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SOURCES &amp; USES" sheetId="2" state="visible" r:id="rId2"/>
    <sheet name="DEBT SCHEDULE" sheetId="3" state="visible" r:id="rId3"/>
    <sheet name="ANNUAL CASH FLOW" sheetId="4" state="visible" r:id="rId4"/>
    <sheet name="REFERENCE DATA" sheetId="5" state="hidden" r:id="rId5"/>
  </sheets>
  <definedNames>
    <definedName name="Purchase_Price">'ASSUMPTIONS'!$B$16</definedName>
    <definedName name="Construction_Cost_Pct">'ASSUMPTIONS'!$B$19</definedName>
    <definedName name="Construction_Cost_Amount">'ASSUMPTIONS'!$B$20</definedName>
    <definedName name="Closing_Costs_Pct">'ASSUMPTIONS'!$B$23</definedName>
    <definedName name="Closing_Costs_Amount">'ASSUMPTIONS'!$B$24</definedName>
    <definedName name="Due_Diligence">'ASSUMPTIONS'!$B$26</definedName>
    <definedName name="Total_Units">'ASSUMPTIONS'!$B$33</definedName>
    <definedName name="Avg_Current_Rent">'ASSUMPTIONS'!$D$33</definedName>
    <definedName name="Avg_Market_Rent">'ASSUMPTIONS'!$E$33</definedName>
    <definedName name="T12_GPR">'ASSUMPTIONS'!$B$38</definedName>
    <definedName name="T12_Other_Income">'ASSUMPTIONS'!$B$44</definedName>
    <definedName name="T12_EGI">'ASSUMPTIONS'!$B$48</definedName>
    <definedName name="T12_Property_Tax">'ASSUMPTIONS'!$B$51</definedName>
    <definedName name="T12_Insurance">'ASSUMPTIONS'!$B$52</definedName>
    <definedName name="T12_Utilities">'ASSUMPTIONS'!$B$57</definedName>
    <definedName name="T12_Repairs">'ASSUMPTIONS'!$B$58</definedName>
    <definedName name="T12_Payroll">'ASSUMPTIONS'!$B$59</definedName>
    <definedName name="Mgmt_Fee_Pct">'ASSUMPTIONS'!$B$60</definedName>
    <definedName name="T12_Marketing">'ASSUMPTIONS'!$B$62</definedName>
    <definedName name="T12_Legal">'ASSUMPTIONS'!$B$63</definedName>
    <definedName name="T12_Admin">'ASSUMPTIONS'!$B$64</definedName>
    <definedName name="T12_OpEx">'ASSUMPTIONS'!$B$66</definedName>
    <definedName name="T12_NOI">'ASSUMPTIONS'!$B$67</definedName>
    <definedName name="Reno_Contingency_Pct">'ASSUMPTIONS'!$B$72</definedName>
    <definedName name="Total_Renovation_Budget">'ASSUMPTIONS'!$B$73</definedName>
    <definedName name="Market_Rent_Growth">'ASSUMPTIONS'!$B$76</definedName>
    <definedName name="InPlace_Rent_Growth">'ASSUMPTIONS'!$B$77</definedName>
    <definedName name="Other_Income_Growth">'ASSUMPTIONS'!$B$78</definedName>
    <definedName name="OpEx_Growth">'ASSUMPTIONS'!$B$79</definedName>
    <definedName name="Stabilized_Vacancy">'ASSUMPTIONS'!$B$80</definedName>
    <definedName name="CapEx_Per_Unit">'ASSUMPTIONS'!$B$81</definedName>
    <definedName name="LTV">'ASSUMPTIONS'!$B$85</definedName>
    <definedName name="Interest_Rate">'ASSUMPTIONS'!$B$86</definedName>
    <definedName name="Amortization_Years">'ASSUMPTIONS'!$B$87</definedName>
    <definedName name="Origination_Fee_Pct">'ASSUMPTIONS'!$B$89</definedName>
    <definedName name="Lender_Legal">'ASSUMPTIONS'!$B$90</definedName>
    <definedName name="Loan_Amount">'ASSUMPTIONS'!$B$92</definedName>
    <definedName name="Hold_Period">'ASSUMPTIONS'!$B$95</definedName>
    <definedName name="Exit_Cap_Rate">'ASSUMPTIONS'!$B$96</definedName>
    <definedName name="Sale_Costs_Pct">'ASSUMPTIONS'!$B$97</definedName>
    <definedName name="Tax_Rate">'ASSUMPTIONS'!$B$100</definedName>
    <definedName name="Prop13_Cap">'ASSUMPTIONS'!$B$101</definedName>
    <definedName name="Special_Assessments">'ASSUMPTIONS'!$B$102</definedName>
    <definedName name="Total_Equity">'SOURCES &amp; USES'!$B$5</definedName>
    <definedName name="Total_Uses">'SOURCES &amp; USES'!$B$23</definedName>
    <definedName name="Monthly_Payment">'DEBT SCHEDULE'!$B$6</definedName>
    <definedName name="Annual_Debt_Service">'DEBT SCHEDULE'!$B$7</definedName>
    <definedName name="Levered_IRR">'ANNUAL CASH FLOW'!$B$49</definedName>
  </definedNames>
  <calcPr calcId="124519" calcMode="auto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yyyy-mm-dd h:mm:ss"/>
    <numFmt numFmtId="166" formatCode="mm/dd/yyyy"/>
    <numFmt numFmtId="167" formatCode="0.0%"/>
    <numFmt numFmtId="168" formatCode="0.00x"/>
  </numFmts>
  <fonts count="5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b val="1"/>
      <color rgb="00FFFFFF"/>
      <sz val="14"/>
    </font>
    <font>
      <name val="Calibri"/>
      <i val="1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00B050"/>
        <bgColor rgb="0000B05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top style="double"/>
      <bottom style="double"/>
    </border>
    <border>
      <top style="thin"/>
      <bottom style="double"/>
    </border>
    <border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1" pivotButton="0" quotePrefix="0" xfId="0"/>
    <xf numFmtId="1" fontId="0" fillId="3" borderId="1" pivotButton="0" quotePrefix="0" xfId="0"/>
    <xf numFmtId="164" fontId="0" fillId="3" borderId="1" pivotButton="0" quotePrefix="0" xfId="0"/>
    <xf numFmtId="166" fontId="0" fillId="3" borderId="1" pivotButton="0" quotePrefix="0" xfId="0"/>
    <xf numFmtId="167" fontId="0" fillId="3" borderId="1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4" borderId="1" pivotButton="0" quotePrefix="0" xfId="0"/>
    <xf numFmtId="3" fontId="0" fillId="3" borderId="1" pivotButton="0" quotePrefix="0" xfId="0"/>
    <xf numFmtId="0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164" fontId="0" fillId="4" borderId="0" pivotButton="0" quotePrefix="0" xfId="0"/>
    <xf numFmtId="0" fontId="4" fillId="0" borderId="0" pivotButton="0" quotePrefix="0" xfId="0"/>
    <xf numFmtId="164" fontId="4" fillId="4" borderId="0" pivotButton="0" quotePrefix="0" xfId="0"/>
    <xf numFmtId="164" fontId="4" fillId="4" borderId="2" pivotButton="0" quotePrefix="0" xfId="0"/>
    <xf numFmtId="167" fontId="0" fillId="4" borderId="0" pivotButton="0" quotePrefix="0" xfId="0"/>
    <xf numFmtId="10" fontId="0" fillId="3" borderId="1" pivotButton="0" quotePrefix="0" xfId="0"/>
    <xf numFmtId="164" fontId="0" fillId="0" borderId="0" pivotButton="0" quotePrefix="0" xfId="0"/>
    <xf numFmtId="164" fontId="4" fillId="0" borderId="2" pivotButton="0" quotePrefix="0" xfId="0"/>
    <xf numFmtId="164" fontId="4" fillId="0" borderId="0" pivotButton="0" quotePrefix="0" xfId="0"/>
    <xf numFmtId="10" fontId="0" fillId="0" borderId="0" pivotButton="0" quotePrefix="0" xfId="0"/>
    <xf numFmtId="1" fontId="0" fillId="0" borderId="0" pivotButton="0" quotePrefix="0" xfId="0"/>
    <xf numFmtId="164" fontId="4" fillId="0" borderId="3" pivotButton="0" quotePrefix="0" xfId="0"/>
    <xf numFmtId="164" fontId="4" fillId="0" borderId="4" pivotButton="0" quotePrefix="0" xfId="0"/>
    <xf numFmtId="167" fontId="0" fillId="0" borderId="0" pivotButton="0" quotePrefix="0" xfId="0"/>
    <xf numFmtId="168" fontId="0" fillId="0" borderId="0" pivotButton="0" quotePrefix="0" xfId="0"/>
    <xf numFmtId="0" fontId="2" fillId="5" borderId="0" pivotButton="0" quotePrefix="0" xfId="0"/>
    <xf numFmtId="167" fontId="4" fillId="5" borderId="0" pivotButton="0" quotePrefix="0" xfId="0"/>
    <xf numFmtId="168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AEQUITAS BEDROCK HOUSING - UNDERWRITING ASSUMPTIONS</t>
        </is>
      </c>
    </row>
    <row r="3">
      <c r="A3" s="2" t="inlineStr">
        <is>
          <t>PROPERTY INFORMATION</t>
        </is>
      </c>
    </row>
    <row r="4">
      <c r="A4" t="inlineStr">
        <is>
          <t>Property Name</t>
        </is>
      </c>
      <c r="B4" s="3" t="inlineStr">
        <is>
          <t>Deal - 2297 E Shaw Ave</t>
        </is>
      </c>
    </row>
    <row r="5">
      <c r="A5" t="inlineStr">
        <is>
          <t>Address</t>
        </is>
      </c>
      <c r="B5" s="3" t="inlineStr">
        <is>
          <t>2297 E Shaw Ave</t>
        </is>
      </c>
    </row>
    <row r="6">
      <c r="A6" t="inlineStr">
        <is>
          <t>City</t>
        </is>
      </c>
      <c r="B6" s="3" t="inlineStr">
        <is>
          <t>Fresno</t>
        </is>
      </c>
    </row>
    <row r="7">
      <c r="A7" t="inlineStr">
        <is>
          <t>County</t>
        </is>
      </c>
      <c r="B7" s="3" t="inlineStr">
        <is>
          <t>Fresno County</t>
        </is>
      </c>
    </row>
    <row r="8">
      <c r="A8" t="inlineStr">
        <is>
          <t>State</t>
        </is>
      </c>
      <c r="B8" s="3" t="inlineStr">
        <is>
          <t>CA</t>
        </is>
      </c>
    </row>
    <row r="9">
      <c r="A9" t="inlineStr">
        <is>
          <t>ZIP Code</t>
        </is>
      </c>
      <c r="B9" s="3" t="inlineStr">
        <is>
          <t>93704</t>
        </is>
      </c>
    </row>
    <row r="10">
      <c r="A10" t="inlineStr">
        <is>
          <t>Year Built</t>
        </is>
      </c>
      <c r="B10" s="4" t="n">
        <v>1985</v>
      </c>
    </row>
    <row r="11">
      <c r="A11" t="inlineStr">
        <is>
          <t>Building Type</t>
        </is>
      </c>
      <c r="B11" s="3" t="inlineStr">
        <is>
          <t>Garden Style</t>
        </is>
      </c>
    </row>
    <row r="12">
      <c r="A12" t="inlineStr">
        <is>
          <t>Number of Buildings</t>
        </is>
      </c>
      <c r="B12" s="4" t="n">
        <v>4</v>
      </c>
    </row>
    <row r="13">
      <c r="A13" t="inlineStr">
        <is>
          <t>Parking Spaces</t>
        </is>
      </c>
      <c r="B13" s="4" t="n">
        <v>300</v>
      </c>
    </row>
    <row r="15">
      <c r="A15" s="2" t="inlineStr">
        <is>
          <t>ACQUISITION</t>
        </is>
      </c>
    </row>
    <row r="16">
      <c r="A16" t="inlineStr">
        <is>
          <t>Purchase Price</t>
        </is>
      </c>
      <c r="B16" s="5" t="n">
        <v>4100000</v>
      </c>
    </row>
    <row r="17">
      <c r="A17" t="inlineStr">
        <is>
          <t>Acquisition Date</t>
        </is>
      </c>
      <c r="B17" s="6" t="n">
        <v>46036</v>
      </c>
    </row>
    <row r="19">
      <c r="A19" t="inlineStr">
        <is>
          <t>Construction Cost % (Default: 10%)</t>
        </is>
      </c>
      <c r="B19" s="7" t="n">
        <v>0.1</v>
      </c>
    </row>
    <row r="20">
      <c r="A20" s="8" t="inlineStr">
        <is>
          <t>Construction Cost $</t>
        </is>
      </c>
      <c r="B20" s="5">
        <f>Purchase_Price*Construction_Cost_Pct</f>
        <v/>
      </c>
    </row>
    <row r="22">
      <c r="A22" t="inlineStr">
        <is>
          <t>Earnest Money %</t>
        </is>
      </c>
      <c r="B22" s="7" t="n">
        <v>0.02</v>
      </c>
    </row>
    <row r="23">
      <c r="A23" t="inlineStr">
        <is>
          <t>Closing Costs % (Default: 3%)</t>
        </is>
      </c>
      <c r="B23" s="7" t="n">
        <v>0.03</v>
      </c>
    </row>
    <row r="24">
      <c r="A24" s="8" t="inlineStr">
        <is>
          <t>Closing Costs $</t>
        </is>
      </c>
      <c r="B24" s="5">
        <f>Purchase_Price*Closing_Costs_Pct</f>
        <v/>
      </c>
    </row>
    <row r="26">
      <c r="A26" t="inlineStr">
        <is>
          <t>Due Diligence Costs</t>
        </is>
      </c>
      <c r="B26" s="5" t="n">
        <v>50000</v>
      </c>
    </row>
    <row r="28">
      <c r="A28" s="2" t="inlineStr">
        <is>
          <t>UNIT MIX</t>
        </is>
      </c>
    </row>
    <row r="29">
      <c r="A29" s="9" t="inlineStr">
        <is>
          <t>Unit Type</t>
        </is>
      </c>
      <c r="B29" s="9" t="inlineStr">
        <is>
          <t>Count</t>
        </is>
      </c>
      <c r="C29" s="9" t="inlineStr">
        <is>
          <t>Avg SF</t>
        </is>
      </c>
      <c r="D29" s="9" t="inlineStr">
        <is>
          <t>Current Rent</t>
        </is>
      </c>
      <c r="E29" s="9" t="inlineStr">
        <is>
          <t>Market Rent</t>
        </is>
      </c>
    </row>
    <row r="30">
      <c r="A30" s="10" t="inlineStr">
        <is>
          <t>1BR/1BA</t>
        </is>
      </c>
      <c r="B30" s="11" t="n">
        <v>60</v>
      </c>
      <c r="C30" s="11" t="n">
        <v>650</v>
      </c>
      <c r="D30" s="5" t="n">
        <v>1309</v>
      </c>
      <c r="E30" s="5" t="n">
        <v>1540</v>
      </c>
    </row>
    <row r="31">
      <c r="A31" s="10" t="inlineStr">
        <is>
          <t>2BR/2BA</t>
        </is>
      </c>
      <c r="B31" s="11" t="n">
        <v>100</v>
      </c>
      <c r="C31" s="11" t="n">
        <v>900</v>
      </c>
      <c r="D31" s="5" t="n">
        <v>1540</v>
      </c>
      <c r="E31" s="5" t="n">
        <v>1771</v>
      </c>
    </row>
    <row r="32">
      <c r="A32" s="10" t="inlineStr">
        <is>
          <t>3BR/2BA</t>
        </is>
      </c>
      <c r="B32" s="11" t="n">
        <v>40</v>
      </c>
      <c r="C32" s="11" t="n">
        <v>1100</v>
      </c>
      <c r="D32" s="5" t="n">
        <v>1848</v>
      </c>
      <c r="E32" s="5" t="n">
        <v>2156</v>
      </c>
    </row>
    <row r="33">
      <c r="A33" s="12" t="inlineStr">
        <is>
          <t>TOTALS</t>
        </is>
      </c>
      <c r="B33" s="13">
        <f>SUM(B30:B32)</f>
        <v/>
      </c>
      <c r="C33" s="13">
        <f>SUMPRODUCT(B30:B32,C30:C32)/B33</f>
        <v/>
      </c>
      <c r="D33" s="14">
        <f>SUMPRODUCT(B30:B32,D30:D32)/B33</f>
        <v/>
      </c>
      <c r="E33" s="14">
        <f>SUMPRODUCT(B30:B32,E30:E32)/B33</f>
        <v/>
      </c>
    </row>
    <row r="35">
      <c r="A35" s="2" t="inlineStr">
        <is>
          <t>CURRENT OPERATIONS (T12)</t>
        </is>
      </c>
    </row>
    <row r="36">
      <c r="A36" t="inlineStr">
        <is>
          <t>Physical Occupancy %</t>
        </is>
      </c>
      <c r="B36" s="7" t="n">
        <v>0.95</v>
      </c>
    </row>
    <row r="37">
      <c r="A37" t="inlineStr">
        <is>
          <t>Economic Occupancy %</t>
        </is>
      </c>
      <c r="B37" s="7" t="n">
        <v>0.9</v>
      </c>
    </row>
    <row r="38">
      <c r="A38" t="inlineStr">
        <is>
          <t>Gross Potential Rent (Annual)</t>
        </is>
      </c>
      <c r="B38" s="15">
        <f>Total_Units*Avg_Current_Rent*12</f>
        <v/>
      </c>
    </row>
    <row r="39">
      <c r="A39" s="16" t="inlineStr">
        <is>
          <t>Other Income (Annual):</t>
        </is>
      </c>
    </row>
    <row r="40">
      <c r="A40" t="inlineStr">
        <is>
          <t xml:space="preserve">  Laundry ($/unit/month)</t>
        </is>
      </c>
      <c r="B40" s="5" t="n">
        <v>15</v>
      </c>
    </row>
    <row r="41">
      <c r="A41" t="inlineStr">
        <is>
          <t xml:space="preserve">  Pet Rent ($/unit/month)</t>
        </is>
      </c>
      <c r="B41" s="5" t="n">
        <v>25</v>
      </c>
    </row>
    <row r="42">
      <c r="A42" t="inlineStr">
        <is>
          <t xml:space="preserve">  Parking ($/space/month)</t>
        </is>
      </c>
      <c r="B42" s="5" t="n">
        <v>30</v>
      </c>
    </row>
    <row r="43">
      <c r="A43" t="inlineStr">
        <is>
          <t xml:space="preserve">  Other ($/unit/month)</t>
        </is>
      </c>
      <c r="B43" s="5" t="n">
        <v>10</v>
      </c>
    </row>
    <row r="44">
      <c r="A44" t="inlineStr">
        <is>
          <t>Total Other Income (Annual)</t>
        </is>
      </c>
      <c r="B44" s="17">
        <f>(B40+B41+B43)*Total_Units*12+B42*300*12</f>
        <v/>
      </c>
    </row>
    <row r="45">
      <c r="A45" t="inlineStr">
        <is>
          <t>Vacancy Loss (Annual)</t>
        </is>
      </c>
      <c r="B45" s="5" t="n">
        <v>184800</v>
      </c>
    </row>
    <row r="46">
      <c r="A46" t="inlineStr">
        <is>
          <t>Concessions (Annual)</t>
        </is>
      </c>
      <c r="B46" s="5" t="n">
        <v>20000</v>
      </c>
    </row>
    <row r="47">
      <c r="A47" t="inlineStr">
        <is>
          <t>Bad Debt (Annual)</t>
        </is>
      </c>
      <c r="B47" s="5" t="n">
        <v>0</v>
      </c>
    </row>
    <row r="48">
      <c r="A48" t="inlineStr">
        <is>
          <t>Effective Gross Income (EGI)</t>
        </is>
      </c>
      <c r="B48" s="17">
        <f>T12_GPR+T12_Other_Income-B45-B46-B47</f>
        <v/>
      </c>
    </row>
    <row r="50">
      <c r="A50" s="2" t="inlineStr">
        <is>
          <t>OPERATING EXPENSES (T12)</t>
        </is>
      </c>
    </row>
    <row r="51">
      <c r="A51" t="inlineStr">
        <is>
          <t>Property Taxes</t>
        </is>
      </c>
      <c r="B51" s="5" t="n">
        <v>45100</v>
      </c>
    </row>
    <row r="52">
      <c r="A52" t="inlineStr">
        <is>
          <t>Insurance</t>
        </is>
      </c>
      <c r="B52" s="5" t="n">
        <v>120000</v>
      </c>
    </row>
    <row r="53">
      <c r="A53" t="inlineStr">
        <is>
          <t>Utilities - Electric</t>
        </is>
      </c>
      <c r="B53" s="5" t="n">
        <v>120000</v>
      </c>
    </row>
    <row r="54">
      <c r="A54" t="inlineStr">
        <is>
          <t>Utilities - Gas</t>
        </is>
      </c>
      <c r="B54" s="5" t="n">
        <v>72000</v>
      </c>
    </row>
    <row r="55">
      <c r="A55" t="inlineStr">
        <is>
          <t>Utilities - Water/Sewer</t>
        </is>
      </c>
      <c r="B55" s="5" t="n">
        <v>96000</v>
      </c>
    </row>
    <row r="56">
      <c r="A56" t="inlineStr">
        <is>
          <t>Utilities - Trash</t>
        </is>
      </c>
      <c r="B56" s="5" t="n">
        <v>60000</v>
      </c>
    </row>
    <row r="57">
      <c r="A57" t="inlineStr">
        <is>
          <t xml:space="preserve">  Total Utilities</t>
        </is>
      </c>
      <c r="B57" s="17">
        <f>SUM(B53:B56)</f>
        <v/>
      </c>
    </row>
    <row r="58">
      <c r="A58" t="inlineStr">
        <is>
          <t>Repairs &amp; Maintenance</t>
        </is>
      </c>
      <c r="B58" s="5" t="n">
        <v>100000</v>
      </c>
    </row>
    <row r="59">
      <c r="A59" t="inlineStr">
        <is>
          <t>Payroll</t>
        </is>
      </c>
      <c r="B59" s="5" t="n">
        <v>70000</v>
      </c>
    </row>
    <row r="60">
      <c r="A60" t="inlineStr">
        <is>
          <t>Management Fee %</t>
        </is>
      </c>
      <c r="B60" s="7" t="n">
        <v>0.04</v>
      </c>
    </row>
    <row r="61">
      <c r="A61" t="inlineStr">
        <is>
          <t xml:space="preserve">  Management Fee ($)</t>
        </is>
      </c>
      <c r="B61" s="15">
        <f>T12_EGI*Mgmt_Fee_Pct</f>
        <v/>
      </c>
    </row>
    <row r="62">
      <c r="A62" t="inlineStr">
        <is>
          <t>Marketing/Advertising</t>
        </is>
      </c>
      <c r="B62" s="5" t="n">
        <v>20000</v>
      </c>
    </row>
    <row r="63">
      <c r="A63" t="inlineStr">
        <is>
          <t>Legal/Professional</t>
        </is>
      </c>
      <c r="B63" s="5" t="n">
        <v>25000</v>
      </c>
    </row>
    <row r="64">
      <c r="A64" t="inlineStr">
        <is>
          <t>Administrative</t>
        </is>
      </c>
      <c r="B64" s="5" t="n">
        <v>30000</v>
      </c>
    </row>
    <row r="66">
      <c r="A66" t="inlineStr">
        <is>
          <t>Total Operating Expenses</t>
        </is>
      </c>
      <c r="B66" s="18">
        <f>B51+B52+B53+B54+B55+B56+B57+B58+B60+B61+B62+B63</f>
        <v/>
      </c>
    </row>
    <row r="67">
      <c r="A67" t="inlineStr">
        <is>
          <t>Net Operating Income (NOI)</t>
        </is>
      </c>
      <c r="B67" s="17">
        <f>T12_EGI-T12_OpEx</f>
        <v/>
      </c>
    </row>
    <row r="68">
      <c r="A68" t="inlineStr">
        <is>
          <t>Operating Expense Ratio</t>
        </is>
      </c>
      <c r="B68" s="19">
        <f>T12_OpEx/T12_EGI</f>
        <v/>
      </c>
    </row>
    <row r="70">
      <c r="A70" s="2" t="inlineStr">
        <is>
          <t>CONSTRUCTION/RENOVATION BUDGET</t>
        </is>
      </c>
    </row>
    <row r="71">
      <c r="A71" t="inlineStr">
        <is>
          <t>Base Construction Cost</t>
        </is>
      </c>
      <c r="B71" s="15">
        <f>Construction_Cost_Amount</f>
        <v/>
      </c>
    </row>
    <row r="72">
      <c r="A72" t="inlineStr">
        <is>
          <t>Contingency % (Default: 10%)</t>
        </is>
      </c>
      <c r="B72" s="7" t="n">
        <v>0.1</v>
      </c>
    </row>
    <row r="73">
      <c r="A73" t="inlineStr">
        <is>
          <t>Total Renovation Budget</t>
        </is>
      </c>
      <c r="B73" s="18">
        <f>Construction_Cost_Amount*(1+Reno_Contingency_Pct)</f>
        <v/>
      </c>
    </row>
    <row r="75">
      <c r="A75" s="2" t="inlineStr">
        <is>
          <t>OPERATING PROJECTIONS</t>
        </is>
      </c>
    </row>
    <row r="76">
      <c r="A76" t="inlineStr">
        <is>
          <t>Market Rent Growth % (Annual)</t>
        </is>
      </c>
      <c r="B76" s="7" t="n">
        <v>0.03</v>
      </c>
    </row>
    <row r="77">
      <c r="A77" t="inlineStr">
        <is>
          <t>In-Place Rent Growth % (Annual)</t>
        </is>
      </c>
      <c r="B77" s="7" t="n">
        <v>0.025</v>
      </c>
    </row>
    <row r="78">
      <c r="A78" t="inlineStr">
        <is>
          <t>Other Income Growth % (Annual)</t>
        </is>
      </c>
      <c r="B78" s="7" t="n">
        <v>0.03</v>
      </c>
    </row>
    <row r="79">
      <c r="A79" t="inlineStr">
        <is>
          <t>OpEx Growth % (Annual)</t>
        </is>
      </c>
      <c r="B79" s="7" t="n">
        <v>0.03</v>
      </c>
    </row>
    <row r="80">
      <c r="A80" t="inlineStr">
        <is>
          <t>Stabilized Vacancy %</t>
        </is>
      </c>
      <c r="B80" s="7" t="n">
        <v>0.05</v>
      </c>
    </row>
    <row r="81">
      <c r="A81" t="inlineStr">
        <is>
          <t>CapEx Reserve ($/unit/year)</t>
        </is>
      </c>
      <c r="B81" s="5" t="n">
        <v>400</v>
      </c>
    </row>
    <row r="83">
      <c r="A83" s="2" t="inlineStr">
        <is>
          <t>FINANCING</t>
        </is>
      </c>
    </row>
    <row r="84">
      <c r="A84" t="inlineStr">
        <is>
          <t>Loan Type</t>
        </is>
      </c>
      <c r="B84" s="3" t="inlineStr">
        <is>
          <t>Agency Fixed</t>
        </is>
      </c>
    </row>
    <row r="85">
      <c r="A85" t="inlineStr">
        <is>
          <t>LTV %</t>
        </is>
      </c>
      <c r="B85" s="7" t="n">
        <v>0.7</v>
      </c>
    </row>
    <row r="86">
      <c r="A86" t="inlineStr">
        <is>
          <t>Interest Rate %</t>
        </is>
      </c>
      <c r="B86" s="20" t="n">
        <v>0.065</v>
      </c>
    </row>
    <row r="87">
      <c r="A87" t="inlineStr">
        <is>
          <t>Amortization (years)</t>
        </is>
      </c>
      <c r="B87" s="4" t="n">
        <v>30</v>
      </c>
    </row>
    <row r="88">
      <c r="A88" t="inlineStr">
        <is>
          <t>Loan Term (years)</t>
        </is>
      </c>
      <c r="B88" s="4" t="n">
        <v>30</v>
      </c>
    </row>
    <row r="89">
      <c r="A89" t="inlineStr">
        <is>
          <t>Origination Fee %</t>
        </is>
      </c>
      <c r="B89" s="7" t="n">
        <v>0.01</v>
      </c>
    </row>
    <row r="90">
      <c r="A90" t="inlineStr">
        <is>
          <t>Lender Legal/DD</t>
        </is>
      </c>
      <c r="B90" s="5" t="n">
        <v>25000</v>
      </c>
    </row>
    <row r="92">
      <c r="A92" t="inlineStr">
        <is>
          <t>Loan Amount</t>
        </is>
      </c>
      <c r="B92" s="17">
        <f>Purchase_Price*LTV</f>
        <v/>
      </c>
    </row>
    <row r="94">
      <c r="A94" s="2" t="inlineStr">
        <is>
          <t>EXIT ASSUMPTIONS</t>
        </is>
      </c>
    </row>
    <row r="95">
      <c r="A95" t="inlineStr">
        <is>
          <t>Hold Period (years)</t>
        </is>
      </c>
      <c r="B95" s="4" t="n">
        <v>10</v>
      </c>
    </row>
    <row r="96">
      <c r="A96" t="inlineStr">
        <is>
          <t>Exit Cap Rate %</t>
        </is>
      </c>
      <c r="B96" s="20" t="n">
        <v>0.06</v>
      </c>
    </row>
    <row r="97">
      <c r="A97" t="inlineStr">
        <is>
          <t>Sale Costs %</t>
        </is>
      </c>
      <c r="B97" s="7" t="n">
        <v>0.04</v>
      </c>
    </row>
    <row r="99">
      <c r="A99" s="2" t="inlineStr">
        <is>
          <t>PROPERTY TAX</t>
        </is>
      </c>
    </row>
    <row r="100">
      <c r="A100" t="inlineStr">
        <is>
          <t>County Tax Rate %</t>
        </is>
      </c>
      <c r="B100" s="20" t="n">
        <v>0.011</v>
      </c>
    </row>
    <row r="101">
      <c r="A101" t="inlineStr">
        <is>
          <t>Prop 13 Cap % (CA only)</t>
        </is>
      </c>
      <c r="B101" s="7" t="n">
        <v>0.02</v>
      </c>
    </row>
    <row r="102">
      <c r="A102" t="inlineStr">
        <is>
          <t>Mello-Roos/Special Assessments</t>
        </is>
      </c>
      <c r="B102" s="5" t="n">
        <v>0</v>
      </c>
    </row>
  </sheetData>
  <mergeCells count="11">
    <mergeCell ref="A1:D1"/>
    <mergeCell ref="A75:D75"/>
    <mergeCell ref="A70:D70"/>
    <mergeCell ref="A94:D94"/>
    <mergeCell ref="A83:D83"/>
    <mergeCell ref="A35:D35"/>
    <mergeCell ref="A50:D50"/>
    <mergeCell ref="A28:E28"/>
    <mergeCell ref="A3:D3"/>
    <mergeCell ref="A15:D15"/>
    <mergeCell ref="A99:D9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</cols>
  <sheetData>
    <row r="1">
      <c r="A1" s="1" t="inlineStr">
        <is>
          <t>SOURCES &amp; USES OF FUNDS</t>
        </is>
      </c>
    </row>
    <row r="3">
      <c r="A3" s="2" t="inlineStr">
        <is>
          <t>SOURCES</t>
        </is>
      </c>
    </row>
    <row r="4">
      <c r="A4" t="inlineStr">
        <is>
          <t>Loan Proceeds</t>
        </is>
      </c>
      <c r="B4" s="21">
        <f>Loan_Amount</f>
        <v/>
      </c>
    </row>
    <row r="5">
      <c r="A5" t="inlineStr">
        <is>
          <t>Equity</t>
        </is>
      </c>
      <c r="B5" s="21">
        <f>Total_Uses-Loan_Amount</f>
        <v/>
      </c>
    </row>
    <row r="6">
      <c r="A6" s="16" t="inlineStr">
        <is>
          <t>TOTAL SOURCES</t>
        </is>
      </c>
      <c r="B6" s="22">
        <f>B4+B5</f>
        <v/>
      </c>
    </row>
    <row r="8">
      <c r="A8" s="2" t="inlineStr">
        <is>
          <t>USES</t>
        </is>
      </c>
    </row>
    <row r="9">
      <c r="A9" s="16" t="inlineStr">
        <is>
          <t>Acquisition Costs</t>
        </is>
      </c>
    </row>
    <row r="10">
      <c r="A10" t="inlineStr">
        <is>
          <t xml:space="preserve">  Purchase Price</t>
        </is>
      </c>
      <c r="B10" s="21">
        <f>Purchase_Price</f>
        <v/>
      </c>
    </row>
    <row r="11">
      <c r="A11" t="inlineStr">
        <is>
          <t xml:space="preserve">  Closing Costs</t>
        </is>
      </c>
      <c r="B11" s="21">
        <f>Closing_Costs_Amount</f>
        <v/>
      </c>
    </row>
    <row r="12">
      <c r="A12" t="inlineStr">
        <is>
          <t xml:space="preserve">  Due Diligence</t>
        </is>
      </c>
      <c r="B12" s="21">
        <f>Due_Diligence</f>
        <v/>
      </c>
    </row>
    <row r="13">
      <c r="A13" t="inlineStr">
        <is>
          <t>Subtotal Acquisition</t>
        </is>
      </c>
      <c r="B13" s="23">
        <f>SUM(B10:B12)</f>
        <v/>
      </c>
    </row>
    <row r="15">
      <c r="A15" s="16" t="inlineStr">
        <is>
          <t>Renovation Costs</t>
        </is>
      </c>
    </row>
    <row r="16">
      <c r="A16" t="inlineStr">
        <is>
          <t xml:space="preserve">  Total Renovation Budget</t>
        </is>
      </c>
      <c r="B16" s="21">
        <f>Total_Renovation_Budget</f>
        <v/>
      </c>
    </row>
    <row r="18">
      <c r="A18" s="16" t="inlineStr">
        <is>
          <t>Financing Costs</t>
        </is>
      </c>
    </row>
    <row r="19">
      <c r="A19" t="inlineStr">
        <is>
          <t xml:space="preserve">  Loan Origination Fee</t>
        </is>
      </c>
      <c r="B19" s="21">
        <f>Loan_Amount*Origination_Fee_Pct</f>
        <v/>
      </c>
    </row>
    <row r="20">
      <c r="A20" t="inlineStr">
        <is>
          <t xml:space="preserve">  Lender Legal/DD</t>
        </is>
      </c>
      <c r="B20" s="21">
        <f>Lender_Legal</f>
        <v/>
      </c>
    </row>
    <row r="21">
      <c r="A21" t="inlineStr">
        <is>
          <t>Subtotal Financing</t>
        </is>
      </c>
      <c r="B21" s="23">
        <f>SUM(B19:B20)</f>
        <v/>
      </c>
    </row>
    <row r="23">
      <c r="A23" s="16" t="inlineStr">
        <is>
          <t>TOTAL USES</t>
        </is>
      </c>
      <c r="B23" s="22">
        <f>B13+B16+B21</f>
        <v/>
      </c>
    </row>
    <row r="25">
      <c r="A25" s="2" t="inlineStr">
        <is>
          <t>PER UNIT METRICS</t>
        </is>
      </c>
    </row>
    <row r="26">
      <c r="A26" t="inlineStr">
        <is>
          <t>Purchase Price per Unit</t>
        </is>
      </c>
      <c r="B26" s="21">
        <f>Purchase_Price/Total_Units</f>
        <v/>
      </c>
    </row>
    <row r="27">
      <c r="A27" t="inlineStr">
        <is>
          <t>Renovation Cost per Unit</t>
        </is>
      </c>
      <c r="B27" s="21">
        <f>Total_Renovation_Budget/Total_Units</f>
        <v/>
      </c>
    </row>
    <row r="28">
      <c r="A28" t="inlineStr">
        <is>
          <t>Total Project Cost per Unit</t>
        </is>
      </c>
      <c r="B28" s="23">
        <f>Total_Uses/Total_Units</f>
        <v/>
      </c>
    </row>
  </sheetData>
  <mergeCells count="4">
    <mergeCell ref="A1:C1"/>
    <mergeCell ref="A25:C25"/>
    <mergeCell ref="A8:C8"/>
    <mergeCell ref="A3: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DEBT SCHEDULE</t>
        </is>
      </c>
    </row>
    <row r="3">
      <c r="A3" t="inlineStr">
        <is>
          <t>Loan Amount:</t>
        </is>
      </c>
      <c r="B3" s="21">
        <f>Loan_Amount</f>
        <v/>
      </c>
    </row>
    <row r="4">
      <c r="A4" t="inlineStr">
        <is>
          <t>Interest Rate:</t>
        </is>
      </c>
      <c r="B4" s="24">
        <f>Interest_Rate</f>
        <v/>
      </c>
    </row>
    <row r="5">
      <c r="A5" t="inlineStr">
        <is>
          <t>Amortization:</t>
        </is>
      </c>
      <c r="B5" s="25">
        <f>Amortization_Years</f>
        <v/>
      </c>
      <c r="C5" t="inlineStr">
        <is>
          <t>years</t>
        </is>
      </c>
    </row>
    <row r="6">
      <c r="A6" t="inlineStr">
        <is>
          <t>Monthly Payment:</t>
        </is>
      </c>
      <c r="B6" s="21">
        <f>-PMT(Interest_Rate/12,Amortization_Years*12,Loan_Amount)</f>
        <v/>
      </c>
    </row>
    <row r="7">
      <c r="A7" t="inlineStr">
        <is>
          <t>Annual Debt Service:</t>
        </is>
      </c>
      <c r="B7" s="21">
        <f>Monthly_Payment*12</f>
        <v/>
      </c>
    </row>
    <row r="10">
      <c r="A10" s="9" t="inlineStr">
        <is>
          <t>Year</t>
        </is>
      </c>
      <c r="B10" s="9" t="inlineStr">
        <is>
          <t>Month</t>
        </is>
      </c>
      <c r="C10" s="9" t="inlineStr">
        <is>
          <t>Beg Balance</t>
        </is>
      </c>
      <c r="D10" s="9" t="inlineStr">
        <is>
          <t>Principal</t>
        </is>
      </c>
      <c r="E10" s="9" t="inlineStr">
        <is>
          <t>Interest</t>
        </is>
      </c>
      <c r="F10" s="9" t="inlineStr">
        <is>
          <t>Total Pmt</t>
        </is>
      </c>
      <c r="G10" s="9" t="inlineStr">
        <is>
          <t>End Balance</t>
        </is>
      </c>
      <c r="H10" s="9" t="inlineStr">
        <is>
          <t>Cum Principal</t>
        </is>
      </c>
      <c r="I10" s="9" t="inlineStr">
        <is>
          <t>Cum Interest</t>
        </is>
      </c>
    </row>
    <row r="11">
      <c r="A11" s="25" t="n">
        <v>1</v>
      </c>
      <c r="B11" s="25" t="n">
        <v>1</v>
      </c>
      <c r="C11" s="21">
        <f>Loan_Amount</f>
        <v/>
      </c>
      <c r="D11" s="21">
        <f>Monthly_Payment-E11</f>
        <v/>
      </c>
      <c r="E11" s="21">
        <f>C11*Interest_Rate/12</f>
        <v/>
      </c>
      <c r="F11" s="21">
        <f>Monthly_Payment</f>
        <v/>
      </c>
      <c r="G11" s="21">
        <f>C11-D11</f>
        <v/>
      </c>
      <c r="H11" s="21">
        <f>D11</f>
        <v/>
      </c>
      <c r="I11" s="21">
        <f>E11</f>
        <v/>
      </c>
    </row>
    <row r="12">
      <c r="A12" s="25" t="n">
        <v>1</v>
      </c>
      <c r="B12" s="25" t="n">
        <v>2</v>
      </c>
      <c r="C12" s="21">
        <f>G11</f>
        <v/>
      </c>
      <c r="D12" s="21">
        <f>Monthly_Payment-E12</f>
        <v/>
      </c>
      <c r="E12" s="21">
        <f>C12*Interest_Rate/12</f>
        <v/>
      </c>
      <c r="F12" s="21">
        <f>Monthly_Payment</f>
        <v/>
      </c>
      <c r="G12" s="21">
        <f>C12-D12</f>
        <v/>
      </c>
      <c r="H12" s="21">
        <f>H11+D12</f>
        <v/>
      </c>
      <c r="I12" s="21">
        <f>I11+E12</f>
        <v/>
      </c>
    </row>
    <row r="13">
      <c r="A13" s="25" t="n">
        <v>1</v>
      </c>
      <c r="B13" s="25" t="n">
        <v>3</v>
      </c>
      <c r="C13" s="21">
        <f>G12</f>
        <v/>
      </c>
      <c r="D13" s="21">
        <f>Monthly_Payment-E13</f>
        <v/>
      </c>
      <c r="E13" s="21">
        <f>C13*Interest_Rate/12</f>
        <v/>
      </c>
      <c r="F13" s="21">
        <f>Monthly_Payment</f>
        <v/>
      </c>
      <c r="G13" s="21">
        <f>C13-D13</f>
        <v/>
      </c>
      <c r="H13" s="21">
        <f>H12+D13</f>
        <v/>
      </c>
      <c r="I13" s="21">
        <f>I12+E13</f>
        <v/>
      </c>
    </row>
    <row r="14">
      <c r="A14" s="25" t="n">
        <v>1</v>
      </c>
      <c r="B14" s="25" t="n">
        <v>4</v>
      </c>
      <c r="C14" s="21">
        <f>G13</f>
        <v/>
      </c>
      <c r="D14" s="21">
        <f>Monthly_Payment-E14</f>
        <v/>
      </c>
      <c r="E14" s="21">
        <f>C14*Interest_Rate/12</f>
        <v/>
      </c>
      <c r="F14" s="21">
        <f>Monthly_Payment</f>
        <v/>
      </c>
      <c r="G14" s="21">
        <f>C14-D14</f>
        <v/>
      </c>
      <c r="H14" s="21">
        <f>H13+D14</f>
        <v/>
      </c>
      <c r="I14" s="21">
        <f>I13+E14</f>
        <v/>
      </c>
    </row>
    <row r="15">
      <c r="A15" s="25" t="n">
        <v>1</v>
      </c>
      <c r="B15" s="25" t="n">
        <v>5</v>
      </c>
      <c r="C15" s="21">
        <f>G14</f>
        <v/>
      </c>
      <c r="D15" s="21">
        <f>Monthly_Payment-E15</f>
        <v/>
      </c>
      <c r="E15" s="21">
        <f>C15*Interest_Rate/12</f>
        <v/>
      </c>
      <c r="F15" s="21">
        <f>Monthly_Payment</f>
        <v/>
      </c>
      <c r="G15" s="21">
        <f>C15-D15</f>
        <v/>
      </c>
      <c r="H15" s="21">
        <f>H14+D15</f>
        <v/>
      </c>
      <c r="I15" s="21">
        <f>I14+E15</f>
        <v/>
      </c>
    </row>
    <row r="16">
      <c r="A16" s="25" t="n">
        <v>1</v>
      </c>
      <c r="B16" s="25" t="n">
        <v>6</v>
      </c>
      <c r="C16" s="21">
        <f>G15</f>
        <v/>
      </c>
      <c r="D16" s="21">
        <f>Monthly_Payment-E16</f>
        <v/>
      </c>
      <c r="E16" s="21">
        <f>C16*Interest_Rate/12</f>
        <v/>
      </c>
      <c r="F16" s="21">
        <f>Monthly_Payment</f>
        <v/>
      </c>
      <c r="G16" s="21">
        <f>C16-D16</f>
        <v/>
      </c>
      <c r="H16" s="21">
        <f>H15+D16</f>
        <v/>
      </c>
      <c r="I16" s="21">
        <f>I15+E16</f>
        <v/>
      </c>
    </row>
    <row r="17">
      <c r="A17" s="25" t="n">
        <v>1</v>
      </c>
      <c r="B17" s="25" t="n">
        <v>7</v>
      </c>
      <c r="C17" s="21">
        <f>G16</f>
        <v/>
      </c>
      <c r="D17" s="21">
        <f>Monthly_Payment-E17</f>
        <v/>
      </c>
      <c r="E17" s="21">
        <f>C17*Interest_Rate/12</f>
        <v/>
      </c>
      <c r="F17" s="21">
        <f>Monthly_Payment</f>
        <v/>
      </c>
      <c r="G17" s="21">
        <f>C17-D17</f>
        <v/>
      </c>
      <c r="H17" s="21">
        <f>H16+D17</f>
        <v/>
      </c>
      <c r="I17" s="21">
        <f>I16+E17</f>
        <v/>
      </c>
    </row>
    <row r="18">
      <c r="A18" s="25" t="n">
        <v>1</v>
      </c>
      <c r="B18" s="25" t="n">
        <v>8</v>
      </c>
      <c r="C18" s="21">
        <f>G17</f>
        <v/>
      </c>
      <c r="D18" s="21">
        <f>Monthly_Payment-E18</f>
        <v/>
      </c>
      <c r="E18" s="21">
        <f>C18*Interest_Rate/12</f>
        <v/>
      </c>
      <c r="F18" s="21">
        <f>Monthly_Payment</f>
        <v/>
      </c>
      <c r="G18" s="21">
        <f>C18-D18</f>
        <v/>
      </c>
      <c r="H18" s="21">
        <f>H17+D18</f>
        <v/>
      </c>
      <c r="I18" s="21">
        <f>I17+E18</f>
        <v/>
      </c>
    </row>
    <row r="19">
      <c r="A19" s="25" t="n">
        <v>1</v>
      </c>
      <c r="B19" s="25" t="n">
        <v>9</v>
      </c>
      <c r="C19" s="21">
        <f>G18</f>
        <v/>
      </c>
      <c r="D19" s="21">
        <f>Monthly_Payment-E19</f>
        <v/>
      </c>
      <c r="E19" s="21">
        <f>C19*Interest_Rate/12</f>
        <v/>
      </c>
      <c r="F19" s="21">
        <f>Monthly_Payment</f>
        <v/>
      </c>
      <c r="G19" s="21">
        <f>C19-D19</f>
        <v/>
      </c>
      <c r="H19" s="21">
        <f>H18+D19</f>
        <v/>
      </c>
      <c r="I19" s="21">
        <f>I18+E19</f>
        <v/>
      </c>
    </row>
    <row r="20">
      <c r="A20" s="25" t="n">
        <v>1</v>
      </c>
      <c r="B20" s="25" t="n">
        <v>10</v>
      </c>
      <c r="C20" s="21">
        <f>G19</f>
        <v/>
      </c>
      <c r="D20" s="21">
        <f>Monthly_Payment-E20</f>
        <v/>
      </c>
      <c r="E20" s="21">
        <f>C20*Interest_Rate/12</f>
        <v/>
      </c>
      <c r="F20" s="21">
        <f>Monthly_Payment</f>
        <v/>
      </c>
      <c r="G20" s="21">
        <f>C20-D20</f>
        <v/>
      </c>
      <c r="H20" s="21">
        <f>H19+D20</f>
        <v/>
      </c>
      <c r="I20" s="21">
        <f>I19+E20</f>
        <v/>
      </c>
    </row>
    <row r="21">
      <c r="A21" s="25" t="n">
        <v>1</v>
      </c>
      <c r="B21" s="25" t="n">
        <v>11</v>
      </c>
      <c r="C21" s="21">
        <f>G20</f>
        <v/>
      </c>
      <c r="D21" s="21">
        <f>Monthly_Payment-E21</f>
        <v/>
      </c>
      <c r="E21" s="21">
        <f>C21*Interest_Rate/12</f>
        <v/>
      </c>
      <c r="F21" s="21">
        <f>Monthly_Payment</f>
        <v/>
      </c>
      <c r="G21" s="21">
        <f>C21-D21</f>
        <v/>
      </c>
      <c r="H21" s="21">
        <f>H20+D21</f>
        <v/>
      </c>
      <c r="I21" s="21">
        <f>I20+E21</f>
        <v/>
      </c>
    </row>
    <row r="22">
      <c r="A22" s="25" t="n">
        <v>1</v>
      </c>
      <c r="B22" s="25" t="n">
        <v>12</v>
      </c>
      <c r="C22" s="21">
        <f>G21</f>
        <v/>
      </c>
      <c r="D22" s="21">
        <f>Monthly_Payment-E22</f>
        <v/>
      </c>
      <c r="E22" s="21">
        <f>C22*Interest_Rate/12</f>
        <v/>
      </c>
      <c r="F22" s="21">
        <f>Monthly_Payment</f>
        <v/>
      </c>
      <c r="G22" s="21">
        <f>C22-D22</f>
        <v/>
      </c>
      <c r="H22" s="21">
        <f>H21+D22</f>
        <v/>
      </c>
      <c r="I22" s="21">
        <f>I21+E22</f>
        <v/>
      </c>
    </row>
    <row r="23">
      <c r="A23" s="25" t="n">
        <v>2</v>
      </c>
      <c r="B23" s="25" t="n">
        <v>1</v>
      </c>
      <c r="C23" s="21">
        <f>G22</f>
        <v/>
      </c>
      <c r="D23" s="21">
        <f>Monthly_Payment-E23</f>
        <v/>
      </c>
      <c r="E23" s="21">
        <f>C23*Interest_Rate/12</f>
        <v/>
      </c>
      <c r="F23" s="21">
        <f>Monthly_Payment</f>
        <v/>
      </c>
      <c r="G23" s="21">
        <f>C23-D23</f>
        <v/>
      </c>
      <c r="H23" s="21">
        <f>H22+D23</f>
        <v/>
      </c>
      <c r="I23" s="21">
        <f>I22+E23</f>
        <v/>
      </c>
    </row>
    <row r="24">
      <c r="A24" s="25" t="n">
        <v>2</v>
      </c>
      <c r="B24" s="25" t="n">
        <v>2</v>
      </c>
      <c r="C24" s="21">
        <f>G23</f>
        <v/>
      </c>
      <c r="D24" s="21">
        <f>Monthly_Payment-E24</f>
        <v/>
      </c>
      <c r="E24" s="21">
        <f>C24*Interest_Rate/12</f>
        <v/>
      </c>
      <c r="F24" s="21">
        <f>Monthly_Payment</f>
        <v/>
      </c>
      <c r="G24" s="21">
        <f>C24-D24</f>
        <v/>
      </c>
      <c r="H24" s="21">
        <f>H23+D24</f>
        <v/>
      </c>
      <c r="I24" s="21">
        <f>I23+E24</f>
        <v/>
      </c>
    </row>
    <row r="25">
      <c r="A25" s="25" t="n">
        <v>2</v>
      </c>
      <c r="B25" s="25" t="n">
        <v>3</v>
      </c>
      <c r="C25" s="21">
        <f>G24</f>
        <v/>
      </c>
      <c r="D25" s="21">
        <f>Monthly_Payment-E25</f>
        <v/>
      </c>
      <c r="E25" s="21">
        <f>C25*Interest_Rate/12</f>
        <v/>
      </c>
      <c r="F25" s="21">
        <f>Monthly_Payment</f>
        <v/>
      </c>
      <c r="G25" s="21">
        <f>C25-D25</f>
        <v/>
      </c>
      <c r="H25" s="21">
        <f>H24+D25</f>
        <v/>
      </c>
      <c r="I25" s="21">
        <f>I24+E25</f>
        <v/>
      </c>
    </row>
    <row r="26">
      <c r="A26" s="25" t="n">
        <v>2</v>
      </c>
      <c r="B26" s="25" t="n">
        <v>4</v>
      </c>
      <c r="C26" s="21">
        <f>G25</f>
        <v/>
      </c>
      <c r="D26" s="21">
        <f>Monthly_Payment-E26</f>
        <v/>
      </c>
      <c r="E26" s="21">
        <f>C26*Interest_Rate/12</f>
        <v/>
      </c>
      <c r="F26" s="21">
        <f>Monthly_Payment</f>
        <v/>
      </c>
      <c r="G26" s="21">
        <f>C26-D26</f>
        <v/>
      </c>
      <c r="H26" s="21">
        <f>H25+D26</f>
        <v/>
      </c>
      <c r="I26" s="21">
        <f>I25+E26</f>
        <v/>
      </c>
    </row>
    <row r="27">
      <c r="A27" s="25" t="n">
        <v>2</v>
      </c>
      <c r="B27" s="25" t="n">
        <v>5</v>
      </c>
      <c r="C27" s="21">
        <f>G26</f>
        <v/>
      </c>
      <c r="D27" s="21">
        <f>Monthly_Payment-E27</f>
        <v/>
      </c>
      <c r="E27" s="21">
        <f>C27*Interest_Rate/12</f>
        <v/>
      </c>
      <c r="F27" s="21">
        <f>Monthly_Payment</f>
        <v/>
      </c>
      <c r="G27" s="21">
        <f>C27-D27</f>
        <v/>
      </c>
      <c r="H27" s="21">
        <f>H26+D27</f>
        <v/>
      </c>
      <c r="I27" s="21">
        <f>I26+E27</f>
        <v/>
      </c>
    </row>
    <row r="28">
      <c r="A28" s="25" t="n">
        <v>2</v>
      </c>
      <c r="B28" s="25" t="n">
        <v>6</v>
      </c>
      <c r="C28" s="21">
        <f>G27</f>
        <v/>
      </c>
      <c r="D28" s="21">
        <f>Monthly_Payment-E28</f>
        <v/>
      </c>
      <c r="E28" s="21">
        <f>C28*Interest_Rate/12</f>
        <v/>
      </c>
      <c r="F28" s="21">
        <f>Monthly_Payment</f>
        <v/>
      </c>
      <c r="G28" s="21">
        <f>C28-D28</f>
        <v/>
      </c>
      <c r="H28" s="21">
        <f>H27+D28</f>
        <v/>
      </c>
      <c r="I28" s="21">
        <f>I27+E28</f>
        <v/>
      </c>
    </row>
    <row r="29">
      <c r="A29" s="25" t="n">
        <v>2</v>
      </c>
      <c r="B29" s="25" t="n">
        <v>7</v>
      </c>
      <c r="C29" s="21">
        <f>G28</f>
        <v/>
      </c>
      <c r="D29" s="21">
        <f>Monthly_Payment-E29</f>
        <v/>
      </c>
      <c r="E29" s="21">
        <f>C29*Interest_Rate/12</f>
        <v/>
      </c>
      <c r="F29" s="21">
        <f>Monthly_Payment</f>
        <v/>
      </c>
      <c r="G29" s="21">
        <f>C29-D29</f>
        <v/>
      </c>
      <c r="H29" s="21">
        <f>H28+D29</f>
        <v/>
      </c>
      <c r="I29" s="21">
        <f>I28+E29</f>
        <v/>
      </c>
    </row>
    <row r="30">
      <c r="A30" s="25" t="n">
        <v>2</v>
      </c>
      <c r="B30" s="25" t="n">
        <v>8</v>
      </c>
      <c r="C30" s="21">
        <f>G29</f>
        <v/>
      </c>
      <c r="D30" s="21">
        <f>Monthly_Payment-E30</f>
        <v/>
      </c>
      <c r="E30" s="21">
        <f>C30*Interest_Rate/12</f>
        <v/>
      </c>
      <c r="F30" s="21">
        <f>Monthly_Payment</f>
        <v/>
      </c>
      <c r="G30" s="21">
        <f>C30-D30</f>
        <v/>
      </c>
      <c r="H30" s="21">
        <f>H29+D30</f>
        <v/>
      </c>
      <c r="I30" s="21">
        <f>I29+E30</f>
        <v/>
      </c>
    </row>
    <row r="31">
      <c r="A31" s="25" t="n">
        <v>2</v>
      </c>
      <c r="B31" s="25" t="n">
        <v>9</v>
      </c>
      <c r="C31" s="21">
        <f>G30</f>
        <v/>
      </c>
      <c r="D31" s="21">
        <f>Monthly_Payment-E31</f>
        <v/>
      </c>
      <c r="E31" s="21">
        <f>C31*Interest_Rate/12</f>
        <v/>
      </c>
      <c r="F31" s="21">
        <f>Monthly_Payment</f>
        <v/>
      </c>
      <c r="G31" s="21">
        <f>C31-D31</f>
        <v/>
      </c>
      <c r="H31" s="21">
        <f>H30+D31</f>
        <v/>
      </c>
      <c r="I31" s="21">
        <f>I30+E31</f>
        <v/>
      </c>
    </row>
    <row r="32">
      <c r="A32" s="25" t="n">
        <v>2</v>
      </c>
      <c r="B32" s="25" t="n">
        <v>10</v>
      </c>
      <c r="C32" s="21">
        <f>G31</f>
        <v/>
      </c>
      <c r="D32" s="21">
        <f>Monthly_Payment-E32</f>
        <v/>
      </c>
      <c r="E32" s="21">
        <f>C32*Interest_Rate/12</f>
        <v/>
      </c>
      <c r="F32" s="21">
        <f>Monthly_Payment</f>
        <v/>
      </c>
      <c r="G32" s="21">
        <f>C32-D32</f>
        <v/>
      </c>
      <c r="H32" s="21">
        <f>H31+D32</f>
        <v/>
      </c>
      <c r="I32" s="21">
        <f>I31+E32</f>
        <v/>
      </c>
    </row>
    <row r="33">
      <c r="A33" s="25" t="n">
        <v>2</v>
      </c>
      <c r="B33" s="25" t="n">
        <v>11</v>
      </c>
      <c r="C33" s="21">
        <f>G32</f>
        <v/>
      </c>
      <c r="D33" s="21">
        <f>Monthly_Payment-E33</f>
        <v/>
      </c>
      <c r="E33" s="21">
        <f>C33*Interest_Rate/12</f>
        <v/>
      </c>
      <c r="F33" s="21">
        <f>Monthly_Payment</f>
        <v/>
      </c>
      <c r="G33" s="21">
        <f>C33-D33</f>
        <v/>
      </c>
      <c r="H33" s="21">
        <f>H32+D33</f>
        <v/>
      </c>
      <c r="I33" s="21">
        <f>I32+E33</f>
        <v/>
      </c>
    </row>
    <row r="34">
      <c r="A34" s="25" t="n">
        <v>2</v>
      </c>
      <c r="B34" s="25" t="n">
        <v>12</v>
      </c>
      <c r="C34" s="21">
        <f>G33</f>
        <v/>
      </c>
      <c r="D34" s="21">
        <f>Monthly_Payment-E34</f>
        <v/>
      </c>
      <c r="E34" s="21">
        <f>C34*Interest_Rate/12</f>
        <v/>
      </c>
      <c r="F34" s="21">
        <f>Monthly_Payment</f>
        <v/>
      </c>
      <c r="G34" s="21">
        <f>C34-D34</f>
        <v/>
      </c>
      <c r="H34" s="21">
        <f>H33+D34</f>
        <v/>
      </c>
      <c r="I34" s="21">
        <f>I33+E34</f>
        <v/>
      </c>
    </row>
    <row r="35">
      <c r="A35" s="25" t="n">
        <v>3</v>
      </c>
      <c r="B35" s="25" t="n">
        <v>1</v>
      </c>
      <c r="C35" s="21">
        <f>G34</f>
        <v/>
      </c>
      <c r="D35" s="21">
        <f>Monthly_Payment-E35</f>
        <v/>
      </c>
      <c r="E35" s="21">
        <f>C35*Interest_Rate/12</f>
        <v/>
      </c>
      <c r="F35" s="21">
        <f>Monthly_Payment</f>
        <v/>
      </c>
      <c r="G35" s="21">
        <f>C35-D35</f>
        <v/>
      </c>
      <c r="H35" s="21">
        <f>H34+D35</f>
        <v/>
      </c>
      <c r="I35" s="21">
        <f>I34+E35</f>
        <v/>
      </c>
    </row>
    <row r="36">
      <c r="A36" s="25" t="n">
        <v>3</v>
      </c>
      <c r="B36" s="25" t="n">
        <v>2</v>
      </c>
      <c r="C36" s="21">
        <f>G35</f>
        <v/>
      </c>
      <c r="D36" s="21">
        <f>Monthly_Payment-E36</f>
        <v/>
      </c>
      <c r="E36" s="21">
        <f>C36*Interest_Rate/12</f>
        <v/>
      </c>
      <c r="F36" s="21">
        <f>Monthly_Payment</f>
        <v/>
      </c>
      <c r="G36" s="21">
        <f>C36-D36</f>
        <v/>
      </c>
      <c r="H36" s="21">
        <f>H35+D36</f>
        <v/>
      </c>
      <c r="I36" s="21">
        <f>I35+E36</f>
        <v/>
      </c>
    </row>
    <row r="37">
      <c r="A37" s="25" t="n">
        <v>3</v>
      </c>
      <c r="B37" s="25" t="n">
        <v>3</v>
      </c>
      <c r="C37" s="21">
        <f>G36</f>
        <v/>
      </c>
      <c r="D37" s="21">
        <f>Monthly_Payment-E37</f>
        <v/>
      </c>
      <c r="E37" s="21">
        <f>C37*Interest_Rate/12</f>
        <v/>
      </c>
      <c r="F37" s="21">
        <f>Monthly_Payment</f>
        <v/>
      </c>
      <c r="G37" s="21">
        <f>C37-D37</f>
        <v/>
      </c>
      <c r="H37" s="21">
        <f>H36+D37</f>
        <v/>
      </c>
      <c r="I37" s="21">
        <f>I36+E37</f>
        <v/>
      </c>
    </row>
    <row r="38">
      <c r="A38" s="25" t="n">
        <v>3</v>
      </c>
      <c r="B38" s="25" t="n">
        <v>4</v>
      </c>
      <c r="C38" s="21">
        <f>G37</f>
        <v/>
      </c>
      <c r="D38" s="21">
        <f>Monthly_Payment-E38</f>
        <v/>
      </c>
      <c r="E38" s="21">
        <f>C38*Interest_Rate/12</f>
        <v/>
      </c>
      <c r="F38" s="21">
        <f>Monthly_Payment</f>
        <v/>
      </c>
      <c r="G38" s="21">
        <f>C38-D38</f>
        <v/>
      </c>
      <c r="H38" s="21">
        <f>H37+D38</f>
        <v/>
      </c>
      <c r="I38" s="21">
        <f>I37+E38</f>
        <v/>
      </c>
    </row>
    <row r="39">
      <c r="A39" s="25" t="n">
        <v>3</v>
      </c>
      <c r="B39" s="25" t="n">
        <v>5</v>
      </c>
      <c r="C39" s="21">
        <f>G38</f>
        <v/>
      </c>
      <c r="D39" s="21">
        <f>Monthly_Payment-E39</f>
        <v/>
      </c>
      <c r="E39" s="21">
        <f>C39*Interest_Rate/12</f>
        <v/>
      </c>
      <c r="F39" s="21">
        <f>Monthly_Payment</f>
        <v/>
      </c>
      <c r="G39" s="21">
        <f>C39-D39</f>
        <v/>
      </c>
      <c r="H39" s="21">
        <f>H38+D39</f>
        <v/>
      </c>
      <c r="I39" s="21">
        <f>I38+E39</f>
        <v/>
      </c>
    </row>
    <row r="40">
      <c r="A40" s="25" t="n">
        <v>3</v>
      </c>
      <c r="B40" s="25" t="n">
        <v>6</v>
      </c>
      <c r="C40" s="21">
        <f>G39</f>
        <v/>
      </c>
      <c r="D40" s="21">
        <f>Monthly_Payment-E40</f>
        <v/>
      </c>
      <c r="E40" s="21">
        <f>C40*Interest_Rate/12</f>
        <v/>
      </c>
      <c r="F40" s="21">
        <f>Monthly_Payment</f>
        <v/>
      </c>
      <c r="G40" s="21">
        <f>C40-D40</f>
        <v/>
      </c>
      <c r="H40" s="21">
        <f>H39+D40</f>
        <v/>
      </c>
      <c r="I40" s="21">
        <f>I39+E40</f>
        <v/>
      </c>
    </row>
    <row r="41">
      <c r="A41" s="25" t="n">
        <v>3</v>
      </c>
      <c r="B41" s="25" t="n">
        <v>7</v>
      </c>
      <c r="C41" s="21">
        <f>G40</f>
        <v/>
      </c>
      <c r="D41" s="21">
        <f>Monthly_Payment-E41</f>
        <v/>
      </c>
      <c r="E41" s="21">
        <f>C41*Interest_Rate/12</f>
        <v/>
      </c>
      <c r="F41" s="21">
        <f>Monthly_Payment</f>
        <v/>
      </c>
      <c r="G41" s="21">
        <f>C41-D41</f>
        <v/>
      </c>
      <c r="H41" s="21">
        <f>H40+D41</f>
        <v/>
      </c>
      <c r="I41" s="21">
        <f>I40+E41</f>
        <v/>
      </c>
    </row>
    <row r="42">
      <c r="A42" s="25" t="n">
        <v>3</v>
      </c>
      <c r="B42" s="25" t="n">
        <v>8</v>
      </c>
      <c r="C42" s="21">
        <f>G41</f>
        <v/>
      </c>
      <c r="D42" s="21">
        <f>Monthly_Payment-E42</f>
        <v/>
      </c>
      <c r="E42" s="21">
        <f>C42*Interest_Rate/12</f>
        <v/>
      </c>
      <c r="F42" s="21">
        <f>Monthly_Payment</f>
        <v/>
      </c>
      <c r="G42" s="21">
        <f>C42-D42</f>
        <v/>
      </c>
      <c r="H42" s="21">
        <f>H41+D42</f>
        <v/>
      </c>
      <c r="I42" s="21">
        <f>I41+E42</f>
        <v/>
      </c>
    </row>
    <row r="43">
      <c r="A43" s="25" t="n">
        <v>3</v>
      </c>
      <c r="B43" s="25" t="n">
        <v>9</v>
      </c>
      <c r="C43" s="21">
        <f>G42</f>
        <v/>
      </c>
      <c r="D43" s="21">
        <f>Monthly_Payment-E43</f>
        <v/>
      </c>
      <c r="E43" s="21">
        <f>C43*Interest_Rate/12</f>
        <v/>
      </c>
      <c r="F43" s="21">
        <f>Monthly_Payment</f>
        <v/>
      </c>
      <c r="G43" s="21">
        <f>C43-D43</f>
        <v/>
      </c>
      <c r="H43" s="21">
        <f>H42+D43</f>
        <v/>
      </c>
      <c r="I43" s="21">
        <f>I42+E43</f>
        <v/>
      </c>
    </row>
    <row r="44">
      <c r="A44" s="25" t="n">
        <v>3</v>
      </c>
      <c r="B44" s="25" t="n">
        <v>10</v>
      </c>
      <c r="C44" s="21">
        <f>G43</f>
        <v/>
      </c>
      <c r="D44" s="21">
        <f>Monthly_Payment-E44</f>
        <v/>
      </c>
      <c r="E44" s="21">
        <f>C44*Interest_Rate/12</f>
        <v/>
      </c>
      <c r="F44" s="21">
        <f>Monthly_Payment</f>
        <v/>
      </c>
      <c r="G44" s="21">
        <f>C44-D44</f>
        <v/>
      </c>
      <c r="H44" s="21">
        <f>H43+D44</f>
        <v/>
      </c>
      <c r="I44" s="21">
        <f>I43+E44</f>
        <v/>
      </c>
    </row>
    <row r="45">
      <c r="A45" s="25" t="n">
        <v>3</v>
      </c>
      <c r="B45" s="25" t="n">
        <v>11</v>
      </c>
      <c r="C45" s="21">
        <f>G44</f>
        <v/>
      </c>
      <c r="D45" s="21">
        <f>Monthly_Payment-E45</f>
        <v/>
      </c>
      <c r="E45" s="21">
        <f>C45*Interest_Rate/12</f>
        <v/>
      </c>
      <c r="F45" s="21">
        <f>Monthly_Payment</f>
        <v/>
      </c>
      <c r="G45" s="21">
        <f>C45-D45</f>
        <v/>
      </c>
      <c r="H45" s="21">
        <f>H44+D45</f>
        <v/>
      </c>
      <c r="I45" s="21">
        <f>I44+E45</f>
        <v/>
      </c>
    </row>
    <row r="46">
      <c r="A46" s="25" t="n">
        <v>3</v>
      </c>
      <c r="B46" s="25" t="n">
        <v>12</v>
      </c>
      <c r="C46" s="21">
        <f>G45</f>
        <v/>
      </c>
      <c r="D46" s="21">
        <f>Monthly_Payment-E46</f>
        <v/>
      </c>
      <c r="E46" s="21">
        <f>C46*Interest_Rate/12</f>
        <v/>
      </c>
      <c r="F46" s="21">
        <f>Monthly_Payment</f>
        <v/>
      </c>
      <c r="G46" s="21">
        <f>C46-D46</f>
        <v/>
      </c>
      <c r="H46" s="21">
        <f>H45+D46</f>
        <v/>
      </c>
      <c r="I46" s="21">
        <f>I45+E46</f>
        <v/>
      </c>
    </row>
    <row r="47">
      <c r="A47" s="25" t="n">
        <v>4</v>
      </c>
      <c r="B47" s="25" t="n">
        <v>1</v>
      </c>
      <c r="C47" s="21">
        <f>G46</f>
        <v/>
      </c>
      <c r="D47" s="21">
        <f>Monthly_Payment-E47</f>
        <v/>
      </c>
      <c r="E47" s="21">
        <f>C47*Interest_Rate/12</f>
        <v/>
      </c>
      <c r="F47" s="21">
        <f>Monthly_Payment</f>
        <v/>
      </c>
      <c r="G47" s="21">
        <f>C47-D47</f>
        <v/>
      </c>
      <c r="H47" s="21">
        <f>H46+D47</f>
        <v/>
      </c>
      <c r="I47" s="21">
        <f>I46+E47</f>
        <v/>
      </c>
    </row>
    <row r="48">
      <c r="A48" s="25" t="n">
        <v>4</v>
      </c>
      <c r="B48" s="25" t="n">
        <v>2</v>
      </c>
      <c r="C48" s="21">
        <f>G47</f>
        <v/>
      </c>
      <c r="D48" s="21">
        <f>Monthly_Payment-E48</f>
        <v/>
      </c>
      <c r="E48" s="21">
        <f>C48*Interest_Rate/12</f>
        <v/>
      </c>
      <c r="F48" s="21">
        <f>Monthly_Payment</f>
        <v/>
      </c>
      <c r="G48" s="21">
        <f>C48-D48</f>
        <v/>
      </c>
      <c r="H48" s="21">
        <f>H47+D48</f>
        <v/>
      </c>
      <c r="I48" s="21">
        <f>I47+E48</f>
        <v/>
      </c>
    </row>
    <row r="49">
      <c r="A49" s="25" t="n">
        <v>4</v>
      </c>
      <c r="B49" s="25" t="n">
        <v>3</v>
      </c>
      <c r="C49" s="21">
        <f>G48</f>
        <v/>
      </c>
      <c r="D49" s="21">
        <f>Monthly_Payment-E49</f>
        <v/>
      </c>
      <c r="E49" s="21">
        <f>C49*Interest_Rate/12</f>
        <v/>
      </c>
      <c r="F49" s="21">
        <f>Monthly_Payment</f>
        <v/>
      </c>
      <c r="G49" s="21">
        <f>C49-D49</f>
        <v/>
      </c>
      <c r="H49" s="21">
        <f>H48+D49</f>
        <v/>
      </c>
      <c r="I49" s="21">
        <f>I48+E49</f>
        <v/>
      </c>
    </row>
    <row r="50">
      <c r="A50" s="25" t="n">
        <v>4</v>
      </c>
      <c r="B50" s="25" t="n">
        <v>4</v>
      </c>
      <c r="C50" s="21">
        <f>G49</f>
        <v/>
      </c>
      <c r="D50" s="21">
        <f>Monthly_Payment-E50</f>
        <v/>
      </c>
      <c r="E50" s="21">
        <f>C50*Interest_Rate/12</f>
        <v/>
      </c>
      <c r="F50" s="21">
        <f>Monthly_Payment</f>
        <v/>
      </c>
      <c r="G50" s="21">
        <f>C50-D50</f>
        <v/>
      </c>
      <c r="H50" s="21">
        <f>H49+D50</f>
        <v/>
      </c>
      <c r="I50" s="21">
        <f>I49+E50</f>
        <v/>
      </c>
    </row>
    <row r="51">
      <c r="A51" s="25" t="n">
        <v>4</v>
      </c>
      <c r="B51" s="25" t="n">
        <v>5</v>
      </c>
      <c r="C51" s="21">
        <f>G50</f>
        <v/>
      </c>
      <c r="D51" s="21">
        <f>Monthly_Payment-E51</f>
        <v/>
      </c>
      <c r="E51" s="21">
        <f>C51*Interest_Rate/12</f>
        <v/>
      </c>
      <c r="F51" s="21">
        <f>Monthly_Payment</f>
        <v/>
      </c>
      <c r="G51" s="21">
        <f>C51-D51</f>
        <v/>
      </c>
      <c r="H51" s="21">
        <f>H50+D51</f>
        <v/>
      </c>
      <c r="I51" s="21">
        <f>I50+E51</f>
        <v/>
      </c>
    </row>
    <row r="52">
      <c r="A52" s="25" t="n">
        <v>4</v>
      </c>
      <c r="B52" s="25" t="n">
        <v>6</v>
      </c>
      <c r="C52" s="21">
        <f>G51</f>
        <v/>
      </c>
      <c r="D52" s="21">
        <f>Monthly_Payment-E52</f>
        <v/>
      </c>
      <c r="E52" s="21">
        <f>C52*Interest_Rate/12</f>
        <v/>
      </c>
      <c r="F52" s="21">
        <f>Monthly_Payment</f>
        <v/>
      </c>
      <c r="G52" s="21">
        <f>C52-D52</f>
        <v/>
      </c>
      <c r="H52" s="21">
        <f>H51+D52</f>
        <v/>
      </c>
      <c r="I52" s="21">
        <f>I51+E52</f>
        <v/>
      </c>
    </row>
    <row r="53">
      <c r="A53" s="25" t="n">
        <v>4</v>
      </c>
      <c r="B53" s="25" t="n">
        <v>7</v>
      </c>
      <c r="C53" s="21">
        <f>G52</f>
        <v/>
      </c>
      <c r="D53" s="21">
        <f>Monthly_Payment-E53</f>
        <v/>
      </c>
      <c r="E53" s="21">
        <f>C53*Interest_Rate/12</f>
        <v/>
      </c>
      <c r="F53" s="21">
        <f>Monthly_Payment</f>
        <v/>
      </c>
      <c r="G53" s="21">
        <f>C53-D53</f>
        <v/>
      </c>
      <c r="H53" s="21">
        <f>H52+D53</f>
        <v/>
      </c>
      <c r="I53" s="21">
        <f>I52+E53</f>
        <v/>
      </c>
    </row>
    <row r="54">
      <c r="A54" s="25" t="n">
        <v>4</v>
      </c>
      <c r="B54" s="25" t="n">
        <v>8</v>
      </c>
      <c r="C54" s="21">
        <f>G53</f>
        <v/>
      </c>
      <c r="D54" s="21">
        <f>Monthly_Payment-E54</f>
        <v/>
      </c>
      <c r="E54" s="21">
        <f>C54*Interest_Rate/12</f>
        <v/>
      </c>
      <c r="F54" s="21">
        <f>Monthly_Payment</f>
        <v/>
      </c>
      <c r="G54" s="21">
        <f>C54-D54</f>
        <v/>
      </c>
      <c r="H54" s="21">
        <f>H53+D54</f>
        <v/>
      </c>
      <c r="I54" s="21">
        <f>I53+E54</f>
        <v/>
      </c>
    </row>
    <row r="55">
      <c r="A55" s="25" t="n">
        <v>4</v>
      </c>
      <c r="B55" s="25" t="n">
        <v>9</v>
      </c>
      <c r="C55" s="21">
        <f>G54</f>
        <v/>
      </c>
      <c r="D55" s="21">
        <f>Monthly_Payment-E55</f>
        <v/>
      </c>
      <c r="E55" s="21">
        <f>C55*Interest_Rate/12</f>
        <v/>
      </c>
      <c r="F55" s="21">
        <f>Monthly_Payment</f>
        <v/>
      </c>
      <c r="G55" s="21">
        <f>C55-D55</f>
        <v/>
      </c>
      <c r="H55" s="21">
        <f>H54+D55</f>
        <v/>
      </c>
      <c r="I55" s="21">
        <f>I54+E55</f>
        <v/>
      </c>
    </row>
    <row r="56">
      <c r="A56" s="25" t="n">
        <v>4</v>
      </c>
      <c r="B56" s="25" t="n">
        <v>10</v>
      </c>
      <c r="C56" s="21">
        <f>G55</f>
        <v/>
      </c>
      <c r="D56" s="21">
        <f>Monthly_Payment-E56</f>
        <v/>
      </c>
      <c r="E56" s="21">
        <f>C56*Interest_Rate/12</f>
        <v/>
      </c>
      <c r="F56" s="21">
        <f>Monthly_Payment</f>
        <v/>
      </c>
      <c r="G56" s="21">
        <f>C56-D56</f>
        <v/>
      </c>
      <c r="H56" s="21">
        <f>H55+D56</f>
        <v/>
      </c>
      <c r="I56" s="21">
        <f>I55+E56</f>
        <v/>
      </c>
    </row>
    <row r="57">
      <c r="A57" s="25" t="n">
        <v>4</v>
      </c>
      <c r="B57" s="25" t="n">
        <v>11</v>
      </c>
      <c r="C57" s="21">
        <f>G56</f>
        <v/>
      </c>
      <c r="D57" s="21">
        <f>Monthly_Payment-E57</f>
        <v/>
      </c>
      <c r="E57" s="21">
        <f>C57*Interest_Rate/12</f>
        <v/>
      </c>
      <c r="F57" s="21">
        <f>Monthly_Payment</f>
        <v/>
      </c>
      <c r="G57" s="21">
        <f>C57-D57</f>
        <v/>
      </c>
      <c r="H57" s="21">
        <f>H56+D57</f>
        <v/>
      </c>
      <c r="I57" s="21">
        <f>I56+E57</f>
        <v/>
      </c>
    </row>
    <row r="58">
      <c r="A58" s="25" t="n">
        <v>4</v>
      </c>
      <c r="B58" s="25" t="n">
        <v>12</v>
      </c>
      <c r="C58" s="21">
        <f>G57</f>
        <v/>
      </c>
      <c r="D58" s="21">
        <f>Monthly_Payment-E58</f>
        <v/>
      </c>
      <c r="E58" s="21">
        <f>C58*Interest_Rate/12</f>
        <v/>
      </c>
      <c r="F58" s="21">
        <f>Monthly_Payment</f>
        <v/>
      </c>
      <c r="G58" s="21">
        <f>C58-D58</f>
        <v/>
      </c>
      <c r="H58" s="21">
        <f>H57+D58</f>
        <v/>
      </c>
      <c r="I58" s="21">
        <f>I57+E58</f>
        <v/>
      </c>
    </row>
    <row r="59">
      <c r="A59" s="25" t="n">
        <v>5</v>
      </c>
      <c r="B59" s="25" t="n">
        <v>1</v>
      </c>
      <c r="C59" s="21">
        <f>G58</f>
        <v/>
      </c>
      <c r="D59" s="21">
        <f>Monthly_Payment-E59</f>
        <v/>
      </c>
      <c r="E59" s="21">
        <f>C59*Interest_Rate/12</f>
        <v/>
      </c>
      <c r="F59" s="21">
        <f>Monthly_Payment</f>
        <v/>
      </c>
      <c r="G59" s="21">
        <f>C59-D59</f>
        <v/>
      </c>
      <c r="H59" s="21">
        <f>H58+D59</f>
        <v/>
      </c>
      <c r="I59" s="21">
        <f>I58+E59</f>
        <v/>
      </c>
    </row>
    <row r="60">
      <c r="A60" s="25" t="n">
        <v>5</v>
      </c>
      <c r="B60" s="25" t="n">
        <v>2</v>
      </c>
      <c r="C60" s="21">
        <f>G59</f>
        <v/>
      </c>
      <c r="D60" s="21">
        <f>Monthly_Payment-E60</f>
        <v/>
      </c>
      <c r="E60" s="21">
        <f>C60*Interest_Rate/12</f>
        <v/>
      </c>
      <c r="F60" s="21">
        <f>Monthly_Payment</f>
        <v/>
      </c>
      <c r="G60" s="21">
        <f>C60-D60</f>
        <v/>
      </c>
      <c r="H60" s="21">
        <f>H59+D60</f>
        <v/>
      </c>
      <c r="I60" s="21">
        <f>I59+E60</f>
        <v/>
      </c>
    </row>
    <row r="61">
      <c r="A61" s="25" t="n">
        <v>5</v>
      </c>
      <c r="B61" s="25" t="n">
        <v>3</v>
      </c>
      <c r="C61" s="21">
        <f>G60</f>
        <v/>
      </c>
      <c r="D61" s="21">
        <f>Monthly_Payment-E61</f>
        <v/>
      </c>
      <c r="E61" s="21">
        <f>C61*Interest_Rate/12</f>
        <v/>
      </c>
      <c r="F61" s="21">
        <f>Monthly_Payment</f>
        <v/>
      </c>
      <c r="G61" s="21">
        <f>C61-D61</f>
        <v/>
      </c>
      <c r="H61" s="21">
        <f>H60+D61</f>
        <v/>
      </c>
      <c r="I61" s="21">
        <f>I60+E61</f>
        <v/>
      </c>
    </row>
    <row r="62">
      <c r="A62" s="25" t="n">
        <v>5</v>
      </c>
      <c r="B62" s="25" t="n">
        <v>4</v>
      </c>
      <c r="C62" s="21">
        <f>G61</f>
        <v/>
      </c>
      <c r="D62" s="21">
        <f>Monthly_Payment-E62</f>
        <v/>
      </c>
      <c r="E62" s="21">
        <f>C62*Interest_Rate/12</f>
        <v/>
      </c>
      <c r="F62" s="21">
        <f>Monthly_Payment</f>
        <v/>
      </c>
      <c r="G62" s="21">
        <f>C62-D62</f>
        <v/>
      </c>
      <c r="H62" s="21">
        <f>H61+D62</f>
        <v/>
      </c>
      <c r="I62" s="21">
        <f>I61+E62</f>
        <v/>
      </c>
    </row>
    <row r="63">
      <c r="A63" s="25" t="n">
        <v>5</v>
      </c>
      <c r="B63" s="25" t="n">
        <v>5</v>
      </c>
      <c r="C63" s="21">
        <f>G62</f>
        <v/>
      </c>
      <c r="D63" s="21">
        <f>Monthly_Payment-E63</f>
        <v/>
      </c>
      <c r="E63" s="21">
        <f>C63*Interest_Rate/12</f>
        <v/>
      </c>
      <c r="F63" s="21">
        <f>Monthly_Payment</f>
        <v/>
      </c>
      <c r="G63" s="21">
        <f>C63-D63</f>
        <v/>
      </c>
      <c r="H63" s="21">
        <f>H62+D63</f>
        <v/>
      </c>
      <c r="I63" s="21">
        <f>I62+E63</f>
        <v/>
      </c>
    </row>
    <row r="64">
      <c r="A64" s="25" t="n">
        <v>5</v>
      </c>
      <c r="B64" s="25" t="n">
        <v>6</v>
      </c>
      <c r="C64" s="21">
        <f>G63</f>
        <v/>
      </c>
      <c r="D64" s="21">
        <f>Monthly_Payment-E64</f>
        <v/>
      </c>
      <c r="E64" s="21">
        <f>C64*Interest_Rate/12</f>
        <v/>
      </c>
      <c r="F64" s="21">
        <f>Monthly_Payment</f>
        <v/>
      </c>
      <c r="G64" s="21">
        <f>C64-D64</f>
        <v/>
      </c>
      <c r="H64" s="21">
        <f>H63+D64</f>
        <v/>
      </c>
      <c r="I64" s="21">
        <f>I63+E64</f>
        <v/>
      </c>
    </row>
    <row r="65">
      <c r="A65" s="25" t="n">
        <v>5</v>
      </c>
      <c r="B65" s="25" t="n">
        <v>7</v>
      </c>
      <c r="C65" s="21">
        <f>G64</f>
        <v/>
      </c>
      <c r="D65" s="21">
        <f>Monthly_Payment-E65</f>
        <v/>
      </c>
      <c r="E65" s="21">
        <f>C65*Interest_Rate/12</f>
        <v/>
      </c>
      <c r="F65" s="21">
        <f>Monthly_Payment</f>
        <v/>
      </c>
      <c r="G65" s="21">
        <f>C65-D65</f>
        <v/>
      </c>
      <c r="H65" s="21">
        <f>H64+D65</f>
        <v/>
      </c>
      <c r="I65" s="21">
        <f>I64+E65</f>
        <v/>
      </c>
    </row>
    <row r="66">
      <c r="A66" s="25" t="n">
        <v>5</v>
      </c>
      <c r="B66" s="25" t="n">
        <v>8</v>
      </c>
      <c r="C66" s="21">
        <f>G65</f>
        <v/>
      </c>
      <c r="D66" s="21">
        <f>Monthly_Payment-E66</f>
        <v/>
      </c>
      <c r="E66" s="21">
        <f>C66*Interest_Rate/12</f>
        <v/>
      </c>
      <c r="F66" s="21">
        <f>Monthly_Payment</f>
        <v/>
      </c>
      <c r="G66" s="21">
        <f>C66-D66</f>
        <v/>
      </c>
      <c r="H66" s="21">
        <f>H65+D66</f>
        <v/>
      </c>
      <c r="I66" s="21">
        <f>I65+E66</f>
        <v/>
      </c>
    </row>
    <row r="67">
      <c r="A67" s="25" t="n">
        <v>5</v>
      </c>
      <c r="B67" s="25" t="n">
        <v>9</v>
      </c>
      <c r="C67" s="21">
        <f>G66</f>
        <v/>
      </c>
      <c r="D67" s="21">
        <f>Monthly_Payment-E67</f>
        <v/>
      </c>
      <c r="E67" s="21">
        <f>C67*Interest_Rate/12</f>
        <v/>
      </c>
      <c r="F67" s="21">
        <f>Monthly_Payment</f>
        <v/>
      </c>
      <c r="G67" s="21">
        <f>C67-D67</f>
        <v/>
      </c>
      <c r="H67" s="21">
        <f>H66+D67</f>
        <v/>
      </c>
      <c r="I67" s="21">
        <f>I66+E67</f>
        <v/>
      </c>
    </row>
    <row r="68">
      <c r="A68" s="25" t="n">
        <v>5</v>
      </c>
      <c r="B68" s="25" t="n">
        <v>10</v>
      </c>
      <c r="C68" s="21">
        <f>G67</f>
        <v/>
      </c>
      <c r="D68" s="21">
        <f>Monthly_Payment-E68</f>
        <v/>
      </c>
      <c r="E68" s="21">
        <f>C68*Interest_Rate/12</f>
        <v/>
      </c>
      <c r="F68" s="21">
        <f>Monthly_Payment</f>
        <v/>
      </c>
      <c r="G68" s="21">
        <f>C68-D68</f>
        <v/>
      </c>
      <c r="H68" s="21">
        <f>H67+D68</f>
        <v/>
      </c>
      <c r="I68" s="21">
        <f>I67+E68</f>
        <v/>
      </c>
    </row>
    <row r="69">
      <c r="A69" s="25" t="n">
        <v>5</v>
      </c>
      <c r="B69" s="25" t="n">
        <v>11</v>
      </c>
      <c r="C69" s="21">
        <f>G68</f>
        <v/>
      </c>
      <c r="D69" s="21">
        <f>Monthly_Payment-E69</f>
        <v/>
      </c>
      <c r="E69" s="21">
        <f>C69*Interest_Rate/12</f>
        <v/>
      </c>
      <c r="F69" s="21">
        <f>Monthly_Payment</f>
        <v/>
      </c>
      <c r="G69" s="21">
        <f>C69-D69</f>
        <v/>
      </c>
      <c r="H69" s="21">
        <f>H68+D69</f>
        <v/>
      </c>
      <c r="I69" s="21">
        <f>I68+E69</f>
        <v/>
      </c>
    </row>
    <row r="70">
      <c r="A70" s="25" t="n">
        <v>5</v>
      </c>
      <c r="B70" s="25" t="n">
        <v>12</v>
      </c>
      <c r="C70" s="21">
        <f>G69</f>
        <v/>
      </c>
      <c r="D70" s="21">
        <f>Monthly_Payment-E70</f>
        <v/>
      </c>
      <c r="E70" s="21">
        <f>C70*Interest_Rate/12</f>
        <v/>
      </c>
      <c r="F70" s="21">
        <f>Monthly_Payment</f>
        <v/>
      </c>
      <c r="G70" s="21">
        <f>C70-D70</f>
        <v/>
      </c>
      <c r="H70" s="21">
        <f>H69+D70</f>
        <v/>
      </c>
      <c r="I70" s="21">
        <f>I69+E70</f>
        <v/>
      </c>
    </row>
    <row r="71">
      <c r="A71" s="25" t="n">
        <v>6</v>
      </c>
      <c r="B71" s="25" t="n">
        <v>1</v>
      </c>
      <c r="C71" s="21">
        <f>G70</f>
        <v/>
      </c>
      <c r="D71" s="21">
        <f>Monthly_Payment-E71</f>
        <v/>
      </c>
      <c r="E71" s="21">
        <f>C71*Interest_Rate/12</f>
        <v/>
      </c>
      <c r="F71" s="21">
        <f>Monthly_Payment</f>
        <v/>
      </c>
      <c r="G71" s="21">
        <f>C71-D71</f>
        <v/>
      </c>
      <c r="H71" s="21">
        <f>H70+D71</f>
        <v/>
      </c>
      <c r="I71" s="21">
        <f>I70+E71</f>
        <v/>
      </c>
    </row>
    <row r="72">
      <c r="A72" s="25" t="n">
        <v>6</v>
      </c>
      <c r="B72" s="25" t="n">
        <v>2</v>
      </c>
      <c r="C72" s="21">
        <f>G71</f>
        <v/>
      </c>
      <c r="D72" s="21">
        <f>Monthly_Payment-E72</f>
        <v/>
      </c>
      <c r="E72" s="21">
        <f>C72*Interest_Rate/12</f>
        <v/>
      </c>
      <c r="F72" s="21">
        <f>Monthly_Payment</f>
        <v/>
      </c>
      <c r="G72" s="21">
        <f>C72-D72</f>
        <v/>
      </c>
      <c r="H72" s="21">
        <f>H71+D72</f>
        <v/>
      </c>
      <c r="I72" s="21">
        <f>I71+E72</f>
        <v/>
      </c>
    </row>
    <row r="73">
      <c r="A73" s="25" t="n">
        <v>6</v>
      </c>
      <c r="B73" s="25" t="n">
        <v>3</v>
      </c>
      <c r="C73" s="21">
        <f>G72</f>
        <v/>
      </c>
      <c r="D73" s="21">
        <f>Monthly_Payment-E73</f>
        <v/>
      </c>
      <c r="E73" s="21">
        <f>C73*Interest_Rate/12</f>
        <v/>
      </c>
      <c r="F73" s="21">
        <f>Monthly_Payment</f>
        <v/>
      </c>
      <c r="G73" s="21">
        <f>C73-D73</f>
        <v/>
      </c>
      <c r="H73" s="21">
        <f>H72+D73</f>
        <v/>
      </c>
      <c r="I73" s="21">
        <f>I72+E73</f>
        <v/>
      </c>
    </row>
    <row r="74">
      <c r="A74" s="25" t="n">
        <v>6</v>
      </c>
      <c r="B74" s="25" t="n">
        <v>4</v>
      </c>
      <c r="C74" s="21">
        <f>G73</f>
        <v/>
      </c>
      <c r="D74" s="21">
        <f>Monthly_Payment-E74</f>
        <v/>
      </c>
      <c r="E74" s="21">
        <f>C74*Interest_Rate/12</f>
        <v/>
      </c>
      <c r="F74" s="21">
        <f>Monthly_Payment</f>
        <v/>
      </c>
      <c r="G74" s="21">
        <f>C74-D74</f>
        <v/>
      </c>
      <c r="H74" s="21">
        <f>H73+D74</f>
        <v/>
      </c>
      <c r="I74" s="21">
        <f>I73+E74</f>
        <v/>
      </c>
    </row>
    <row r="75">
      <c r="A75" s="25" t="n">
        <v>6</v>
      </c>
      <c r="B75" s="25" t="n">
        <v>5</v>
      </c>
      <c r="C75" s="21">
        <f>G74</f>
        <v/>
      </c>
      <c r="D75" s="21">
        <f>Monthly_Payment-E75</f>
        <v/>
      </c>
      <c r="E75" s="21">
        <f>C75*Interest_Rate/12</f>
        <v/>
      </c>
      <c r="F75" s="21">
        <f>Monthly_Payment</f>
        <v/>
      </c>
      <c r="G75" s="21">
        <f>C75-D75</f>
        <v/>
      </c>
      <c r="H75" s="21">
        <f>H74+D75</f>
        <v/>
      </c>
      <c r="I75" s="21">
        <f>I74+E75</f>
        <v/>
      </c>
    </row>
    <row r="76">
      <c r="A76" s="25" t="n">
        <v>6</v>
      </c>
      <c r="B76" s="25" t="n">
        <v>6</v>
      </c>
      <c r="C76" s="21">
        <f>G75</f>
        <v/>
      </c>
      <c r="D76" s="21">
        <f>Monthly_Payment-E76</f>
        <v/>
      </c>
      <c r="E76" s="21">
        <f>C76*Interest_Rate/12</f>
        <v/>
      </c>
      <c r="F76" s="21">
        <f>Monthly_Payment</f>
        <v/>
      </c>
      <c r="G76" s="21">
        <f>C76-D76</f>
        <v/>
      </c>
      <c r="H76" s="21">
        <f>H75+D76</f>
        <v/>
      </c>
      <c r="I76" s="21">
        <f>I75+E76</f>
        <v/>
      </c>
    </row>
    <row r="77">
      <c r="A77" s="25" t="n">
        <v>6</v>
      </c>
      <c r="B77" s="25" t="n">
        <v>7</v>
      </c>
      <c r="C77" s="21">
        <f>G76</f>
        <v/>
      </c>
      <c r="D77" s="21">
        <f>Monthly_Payment-E77</f>
        <v/>
      </c>
      <c r="E77" s="21">
        <f>C77*Interest_Rate/12</f>
        <v/>
      </c>
      <c r="F77" s="21">
        <f>Monthly_Payment</f>
        <v/>
      </c>
      <c r="G77" s="21">
        <f>C77-D77</f>
        <v/>
      </c>
      <c r="H77" s="21">
        <f>H76+D77</f>
        <v/>
      </c>
      <c r="I77" s="21">
        <f>I76+E77</f>
        <v/>
      </c>
    </row>
    <row r="78">
      <c r="A78" s="25" t="n">
        <v>6</v>
      </c>
      <c r="B78" s="25" t="n">
        <v>8</v>
      </c>
      <c r="C78" s="21">
        <f>G77</f>
        <v/>
      </c>
      <c r="D78" s="21">
        <f>Monthly_Payment-E78</f>
        <v/>
      </c>
      <c r="E78" s="21">
        <f>C78*Interest_Rate/12</f>
        <v/>
      </c>
      <c r="F78" s="21">
        <f>Monthly_Payment</f>
        <v/>
      </c>
      <c r="G78" s="21">
        <f>C78-D78</f>
        <v/>
      </c>
      <c r="H78" s="21">
        <f>H77+D78</f>
        <v/>
      </c>
      <c r="I78" s="21">
        <f>I77+E78</f>
        <v/>
      </c>
    </row>
    <row r="79">
      <c r="A79" s="25" t="n">
        <v>6</v>
      </c>
      <c r="B79" s="25" t="n">
        <v>9</v>
      </c>
      <c r="C79" s="21">
        <f>G78</f>
        <v/>
      </c>
      <c r="D79" s="21">
        <f>Monthly_Payment-E79</f>
        <v/>
      </c>
      <c r="E79" s="21">
        <f>C79*Interest_Rate/12</f>
        <v/>
      </c>
      <c r="F79" s="21">
        <f>Monthly_Payment</f>
        <v/>
      </c>
      <c r="G79" s="21">
        <f>C79-D79</f>
        <v/>
      </c>
      <c r="H79" s="21">
        <f>H78+D79</f>
        <v/>
      </c>
      <c r="I79" s="21">
        <f>I78+E79</f>
        <v/>
      </c>
    </row>
    <row r="80">
      <c r="A80" s="25" t="n">
        <v>6</v>
      </c>
      <c r="B80" s="25" t="n">
        <v>10</v>
      </c>
      <c r="C80" s="21">
        <f>G79</f>
        <v/>
      </c>
      <c r="D80" s="21">
        <f>Monthly_Payment-E80</f>
        <v/>
      </c>
      <c r="E80" s="21">
        <f>C80*Interest_Rate/12</f>
        <v/>
      </c>
      <c r="F80" s="21">
        <f>Monthly_Payment</f>
        <v/>
      </c>
      <c r="G80" s="21">
        <f>C80-D80</f>
        <v/>
      </c>
      <c r="H80" s="21">
        <f>H79+D80</f>
        <v/>
      </c>
      <c r="I80" s="21">
        <f>I79+E80</f>
        <v/>
      </c>
    </row>
    <row r="81">
      <c r="A81" s="25" t="n">
        <v>6</v>
      </c>
      <c r="B81" s="25" t="n">
        <v>11</v>
      </c>
      <c r="C81" s="21">
        <f>G80</f>
        <v/>
      </c>
      <c r="D81" s="21">
        <f>Monthly_Payment-E81</f>
        <v/>
      </c>
      <c r="E81" s="21">
        <f>C81*Interest_Rate/12</f>
        <v/>
      </c>
      <c r="F81" s="21">
        <f>Monthly_Payment</f>
        <v/>
      </c>
      <c r="G81" s="21">
        <f>C81-D81</f>
        <v/>
      </c>
      <c r="H81" s="21">
        <f>H80+D81</f>
        <v/>
      </c>
      <c r="I81" s="21">
        <f>I80+E81</f>
        <v/>
      </c>
    </row>
    <row r="82">
      <c r="A82" s="25" t="n">
        <v>6</v>
      </c>
      <c r="B82" s="25" t="n">
        <v>12</v>
      </c>
      <c r="C82" s="21">
        <f>G81</f>
        <v/>
      </c>
      <c r="D82" s="21">
        <f>Monthly_Payment-E82</f>
        <v/>
      </c>
      <c r="E82" s="21">
        <f>C82*Interest_Rate/12</f>
        <v/>
      </c>
      <c r="F82" s="21">
        <f>Monthly_Payment</f>
        <v/>
      </c>
      <c r="G82" s="21">
        <f>C82-D82</f>
        <v/>
      </c>
      <c r="H82" s="21">
        <f>H81+D82</f>
        <v/>
      </c>
      <c r="I82" s="21">
        <f>I81+E82</f>
        <v/>
      </c>
    </row>
    <row r="83">
      <c r="A83" s="25" t="n">
        <v>7</v>
      </c>
      <c r="B83" s="25" t="n">
        <v>1</v>
      </c>
      <c r="C83" s="21">
        <f>G82</f>
        <v/>
      </c>
      <c r="D83" s="21">
        <f>Monthly_Payment-E83</f>
        <v/>
      </c>
      <c r="E83" s="21">
        <f>C83*Interest_Rate/12</f>
        <v/>
      </c>
      <c r="F83" s="21">
        <f>Monthly_Payment</f>
        <v/>
      </c>
      <c r="G83" s="21">
        <f>C83-D83</f>
        <v/>
      </c>
      <c r="H83" s="21">
        <f>H82+D83</f>
        <v/>
      </c>
      <c r="I83" s="21">
        <f>I82+E83</f>
        <v/>
      </c>
    </row>
    <row r="84">
      <c r="A84" s="25" t="n">
        <v>7</v>
      </c>
      <c r="B84" s="25" t="n">
        <v>2</v>
      </c>
      <c r="C84" s="21">
        <f>G83</f>
        <v/>
      </c>
      <c r="D84" s="21">
        <f>Monthly_Payment-E84</f>
        <v/>
      </c>
      <c r="E84" s="21">
        <f>C84*Interest_Rate/12</f>
        <v/>
      </c>
      <c r="F84" s="21">
        <f>Monthly_Payment</f>
        <v/>
      </c>
      <c r="G84" s="21">
        <f>C84-D84</f>
        <v/>
      </c>
      <c r="H84" s="21">
        <f>H83+D84</f>
        <v/>
      </c>
      <c r="I84" s="21">
        <f>I83+E84</f>
        <v/>
      </c>
    </row>
    <row r="85">
      <c r="A85" s="25" t="n">
        <v>7</v>
      </c>
      <c r="B85" s="25" t="n">
        <v>3</v>
      </c>
      <c r="C85" s="21">
        <f>G84</f>
        <v/>
      </c>
      <c r="D85" s="21">
        <f>Monthly_Payment-E85</f>
        <v/>
      </c>
      <c r="E85" s="21">
        <f>C85*Interest_Rate/12</f>
        <v/>
      </c>
      <c r="F85" s="21">
        <f>Monthly_Payment</f>
        <v/>
      </c>
      <c r="G85" s="21">
        <f>C85-D85</f>
        <v/>
      </c>
      <c r="H85" s="21">
        <f>H84+D85</f>
        <v/>
      </c>
      <c r="I85" s="21">
        <f>I84+E85</f>
        <v/>
      </c>
    </row>
    <row r="86">
      <c r="A86" s="25" t="n">
        <v>7</v>
      </c>
      <c r="B86" s="25" t="n">
        <v>4</v>
      </c>
      <c r="C86" s="21">
        <f>G85</f>
        <v/>
      </c>
      <c r="D86" s="21">
        <f>Monthly_Payment-E86</f>
        <v/>
      </c>
      <c r="E86" s="21">
        <f>C86*Interest_Rate/12</f>
        <v/>
      </c>
      <c r="F86" s="21">
        <f>Monthly_Payment</f>
        <v/>
      </c>
      <c r="G86" s="21">
        <f>C86-D86</f>
        <v/>
      </c>
      <c r="H86" s="21">
        <f>H85+D86</f>
        <v/>
      </c>
      <c r="I86" s="21">
        <f>I85+E86</f>
        <v/>
      </c>
    </row>
    <row r="87">
      <c r="A87" s="25" t="n">
        <v>7</v>
      </c>
      <c r="B87" s="25" t="n">
        <v>5</v>
      </c>
      <c r="C87" s="21">
        <f>G86</f>
        <v/>
      </c>
      <c r="D87" s="21">
        <f>Monthly_Payment-E87</f>
        <v/>
      </c>
      <c r="E87" s="21">
        <f>C87*Interest_Rate/12</f>
        <v/>
      </c>
      <c r="F87" s="21">
        <f>Monthly_Payment</f>
        <v/>
      </c>
      <c r="G87" s="21">
        <f>C87-D87</f>
        <v/>
      </c>
      <c r="H87" s="21">
        <f>H86+D87</f>
        <v/>
      </c>
      <c r="I87" s="21">
        <f>I86+E87</f>
        <v/>
      </c>
    </row>
    <row r="88">
      <c r="A88" s="25" t="n">
        <v>7</v>
      </c>
      <c r="B88" s="25" t="n">
        <v>6</v>
      </c>
      <c r="C88" s="21">
        <f>G87</f>
        <v/>
      </c>
      <c r="D88" s="21">
        <f>Monthly_Payment-E88</f>
        <v/>
      </c>
      <c r="E88" s="21">
        <f>C88*Interest_Rate/12</f>
        <v/>
      </c>
      <c r="F88" s="21">
        <f>Monthly_Payment</f>
        <v/>
      </c>
      <c r="G88" s="21">
        <f>C88-D88</f>
        <v/>
      </c>
      <c r="H88" s="21">
        <f>H87+D88</f>
        <v/>
      </c>
      <c r="I88" s="21">
        <f>I87+E88</f>
        <v/>
      </c>
    </row>
    <row r="89">
      <c r="A89" s="25" t="n">
        <v>7</v>
      </c>
      <c r="B89" s="25" t="n">
        <v>7</v>
      </c>
      <c r="C89" s="21">
        <f>G88</f>
        <v/>
      </c>
      <c r="D89" s="21">
        <f>Monthly_Payment-E89</f>
        <v/>
      </c>
      <c r="E89" s="21">
        <f>C89*Interest_Rate/12</f>
        <v/>
      </c>
      <c r="F89" s="21">
        <f>Monthly_Payment</f>
        <v/>
      </c>
      <c r="G89" s="21">
        <f>C89-D89</f>
        <v/>
      </c>
      <c r="H89" s="21">
        <f>H88+D89</f>
        <v/>
      </c>
      <c r="I89" s="21">
        <f>I88+E89</f>
        <v/>
      </c>
    </row>
    <row r="90">
      <c r="A90" s="25" t="n">
        <v>7</v>
      </c>
      <c r="B90" s="25" t="n">
        <v>8</v>
      </c>
      <c r="C90" s="21">
        <f>G89</f>
        <v/>
      </c>
      <c r="D90" s="21">
        <f>Monthly_Payment-E90</f>
        <v/>
      </c>
      <c r="E90" s="21">
        <f>C90*Interest_Rate/12</f>
        <v/>
      </c>
      <c r="F90" s="21">
        <f>Monthly_Payment</f>
        <v/>
      </c>
      <c r="G90" s="21">
        <f>C90-D90</f>
        <v/>
      </c>
      <c r="H90" s="21">
        <f>H89+D90</f>
        <v/>
      </c>
      <c r="I90" s="21">
        <f>I89+E90</f>
        <v/>
      </c>
    </row>
    <row r="91">
      <c r="A91" s="25" t="n">
        <v>7</v>
      </c>
      <c r="B91" s="25" t="n">
        <v>9</v>
      </c>
      <c r="C91" s="21">
        <f>G90</f>
        <v/>
      </c>
      <c r="D91" s="21">
        <f>Monthly_Payment-E91</f>
        <v/>
      </c>
      <c r="E91" s="21">
        <f>C91*Interest_Rate/12</f>
        <v/>
      </c>
      <c r="F91" s="21">
        <f>Monthly_Payment</f>
        <v/>
      </c>
      <c r="G91" s="21">
        <f>C91-D91</f>
        <v/>
      </c>
      <c r="H91" s="21">
        <f>H90+D91</f>
        <v/>
      </c>
      <c r="I91" s="21">
        <f>I90+E91</f>
        <v/>
      </c>
    </row>
    <row r="92">
      <c r="A92" s="25" t="n">
        <v>7</v>
      </c>
      <c r="B92" s="25" t="n">
        <v>10</v>
      </c>
      <c r="C92" s="21">
        <f>G91</f>
        <v/>
      </c>
      <c r="D92" s="21">
        <f>Monthly_Payment-E92</f>
        <v/>
      </c>
      <c r="E92" s="21">
        <f>C92*Interest_Rate/12</f>
        <v/>
      </c>
      <c r="F92" s="21">
        <f>Monthly_Payment</f>
        <v/>
      </c>
      <c r="G92" s="21">
        <f>C92-D92</f>
        <v/>
      </c>
      <c r="H92" s="21">
        <f>H91+D92</f>
        <v/>
      </c>
      <c r="I92" s="21">
        <f>I91+E92</f>
        <v/>
      </c>
    </row>
    <row r="93">
      <c r="A93" s="25" t="n">
        <v>7</v>
      </c>
      <c r="B93" s="25" t="n">
        <v>11</v>
      </c>
      <c r="C93" s="21">
        <f>G92</f>
        <v/>
      </c>
      <c r="D93" s="21">
        <f>Monthly_Payment-E93</f>
        <v/>
      </c>
      <c r="E93" s="21">
        <f>C93*Interest_Rate/12</f>
        <v/>
      </c>
      <c r="F93" s="21">
        <f>Monthly_Payment</f>
        <v/>
      </c>
      <c r="G93" s="21">
        <f>C93-D93</f>
        <v/>
      </c>
      <c r="H93" s="21">
        <f>H92+D93</f>
        <v/>
      </c>
      <c r="I93" s="21">
        <f>I92+E93</f>
        <v/>
      </c>
    </row>
    <row r="94">
      <c r="A94" s="25" t="n">
        <v>7</v>
      </c>
      <c r="B94" s="25" t="n">
        <v>12</v>
      </c>
      <c r="C94" s="21">
        <f>G93</f>
        <v/>
      </c>
      <c r="D94" s="21">
        <f>Monthly_Payment-E94</f>
        <v/>
      </c>
      <c r="E94" s="21">
        <f>C94*Interest_Rate/12</f>
        <v/>
      </c>
      <c r="F94" s="21">
        <f>Monthly_Payment</f>
        <v/>
      </c>
      <c r="G94" s="21">
        <f>C94-D94</f>
        <v/>
      </c>
      <c r="H94" s="21">
        <f>H93+D94</f>
        <v/>
      </c>
      <c r="I94" s="21">
        <f>I93+E94</f>
        <v/>
      </c>
    </row>
    <row r="95">
      <c r="A95" s="25" t="n">
        <v>8</v>
      </c>
      <c r="B95" s="25" t="n">
        <v>1</v>
      </c>
      <c r="C95" s="21">
        <f>G94</f>
        <v/>
      </c>
      <c r="D95" s="21">
        <f>Monthly_Payment-E95</f>
        <v/>
      </c>
      <c r="E95" s="21">
        <f>C95*Interest_Rate/12</f>
        <v/>
      </c>
      <c r="F95" s="21">
        <f>Monthly_Payment</f>
        <v/>
      </c>
      <c r="G95" s="21">
        <f>C95-D95</f>
        <v/>
      </c>
      <c r="H95" s="21">
        <f>H94+D95</f>
        <v/>
      </c>
      <c r="I95" s="21">
        <f>I94+E95</f>
        <v/>
      </c>
    </row>
    <row r="96">
      <c r="A96" s="25" t="n">
        <v>8</v>
      </c>
      <c r="B96" s="25" t="n">
        <v>2</v>
      </c>
      <c r="C96" s="21">
        <f>G95</f>
        <v/>
      </c>
      <c r="D96" s="21">
        <f>Monthly_Payment-E96</f>
        <v/>
      </c>
      <c r="E96" s="21">
        <f>C96*Interest_Rate/12</f>
        <v/>
      </c>
      <c r="F96" s="21">
        <f>Monthly_Payment</f>
        <v/>
      </c>
      <c r="G96" s="21">
        <f>C96-D96</f>
        <v/>
      </c>
      <c r="H96" s="21">
        <f>H95+D96</f>
        <v/>
      </c>
      <c r="I96" s="21">
        <f>I95+E96</f>
        <v/>
      </c>
    </row>
    <row r="97">
      <c r="A97" s="25" t="n">
        <v>8</v>
      </c>
      <c r="B97" s="25" t="n">
        <v>3</v>
      </c>
      <c r="C97" s="21">
        <f>G96</f>
        <v/>
      </c>
      <c r="D97" s="21">
        <f>Monthly_Payment-E97</f>
        <v/>
      </c>
      <c r="E97" s="21">
        <f>C97*Interest_Rate/12</f>
        <v/>
      </c>
      <c r="F97" s="21">
        <f>Monthly_Payment</f>
        <v/>
      </c>
      <c r="G97" s="21">
        <f>C97-D97</f>
        <v/>
      </c>
      <c r="H97" s="21">
        <f>H96+D97</f>
        <v/>
      </c>
      <c r="I97" s="21">
        <f>I96+E97</f>
        <v/>
      </c>
    </row>
    <row r="98">
      <c r="A98" s="25" t="n">
        <v>8</v>
      </c>
      <c r="B98" s="25" t="n">
        <v>4</v>
      </c>
      <c r="C98" s="21">
        <f>G97</f>
        <v/>
      </c>
      <c r="D98" s="21">
        <f>Monthly_Payment-E98</f>
        <v/>
      </c>
      <c r="E98" s="21">
        <f>C98*Interest_Rate/12</f>
        <v/>
      </c>
      <c r="F98" s="21">
        <f>Monthly_Payment</f>
        <v/>
      </c>
      <c r="G98" s="21">
        <f>C98-D98</f>
        <v/>
      </c>
      <c r="H98" s="21">
        <f>H97+D98</f>
        <v/>
      </c>
      <c r="I98" s="21">
        <f>I97+E98</f>
        <v/>
      </c>
    </row>
    <row r="99">
      <c r="A99" s="25" t="n">
        <v>8</v>
      </c>
      <c r="B99" s="25" t="n">
        <v>5</v>
      </c>
      <c r="C99" s="21">
        <f>G98</f>
        <v/>
      </c>
      <c r="D99" s="21">
        <f>Monthly_Payment-E99</f>
        <v/>
      </c>
      <c r="E99" s="21">
        <f>C99*Interest_Rate/12</f>
        <v/>
      </c>
      <c r="F99" s="21">
        <f>Monthly_Payment</f>
        <v/>
      </c>
      <c r="G99" s="21">
        <f>C99-D99</f>
        <v/>
      </c>
      <c r="H99" s="21">
        <f>H98+D99</f>
        <v/>
      </c>
      <c r="I99" s="21">
        <f>I98+E99</f>
        <v/>
      </c>
    </row>
    <row r="100">
      <c r="A100" s="25" t="n">
        <v>8</v>
      </c>
      <c r="B100" s="25" t="n">
        <v>6</v>
      </c>
      <c r="C100" s="21">
        <f>G99</f>
        <v/>
      </c>
      <c r="D100" s="21">
        <f>Monthly_Payment-E100</f>
        <v/>
      </c>
      <c r="E100" s="21">
        <f>C100*Interest_Rate/12</f>
        <v/>
      </c>
      <c r="F100" s="21">
        <f>Monthly_Payment</f>
        <v/>
      </c>
      <c r="G100" s="21">
        <f>C100-D100</f>
        <v/>
      </c>
      <c r="H100" s="21">
        <f>H99+D100</f>
        <v/>
      </c>
      <c r="I100" s="21">
        <f>I99+E100</f>
        <v/>
      </c>
    </row>
    <row r="101">
      <c r="A101" s="25" t="n">
        <v>8</v>
      </c>
      <c r="B101" s="25" t="n">
        <v>7</v>
      </c>
      <c r="C101" s="21">
        <f>G100</f>
        <v/>
      </c>
      <c r="D101" s="21">
        <f>Monthly_Payment-E101</f>
        <v/>
      </c>
      <c r="E101" s="21">
        <f>C101*Interest_Rate/12</f>
        <v/>
      </c>
      <c r="F101" s="21">
        <f>Monthly_Payment</f>
        <v/>
      </c>
      <c r="G101" s="21">
        <f>C101-D101</f>
        <v/>
      </c>
      <c r="H101" s="21">
        <f>H100+D101</f>
        <v/>
      </c>
      <c r="I101" s="21">
        <f>I100+E101</f>
        <v/>
      </c>
    </row>
    <row r="102">
      <c r="A102" s="25" t="n">
        <v>8</v>
      </c>
      <c r="B102" s="25" t="n">
        <v>8</v>
      </c>
      <c r="C102" s="21">
        <f>G101</f>
        <v/>
      </c>
      <c r="D102" s="21">
        <f>Monthly_Payment-E102</f>
        <v/>
      </c>
      <c r="E102" s="21">
        <f>C102*Interest_Rate/12</f>
        <v/>
      </c>
      <c r="F102" s="21">
        <f>Monthly_Payment</f>
        <v/>
      </c>
      <c r="G102" s="21">
        <f>C102-D102</f>
        <v/>
      </c>
      <c r="H102" s="21">
        <f>H101+D102</f>
        <v/>
      </c>
      <c r="I102" s="21">
        <f>I101+E102</f>
        <v/>
      </c>
    </row>
    <row r="103">
      <c r="A103" s="25" t="n">
        <v>8</v>
      </c>
      <c r="B103" s="25" t="n">
        <v>9</v>
      </c>
      <c r="C103" s="21">
        <f>G102</f>
        <v/>
      </c>
      <c r="D103" s="21">
        <f>Monthly_Payment-E103</f>
        <v/>
      </c>
      <c r="E103" s="21">
        <f>C103*Interest_Rate/12</f>
        <v/>
      </c>
      <c r="F103" s="21">
        <f>Monthly_Payment</f>
        <v/>
      </c>
      <c r="G103" s="21">
        <f>C103-D103</f>
        <v/>
      </c>
      <c r="H103" s="21">
        <f>H102+D103</f>
        <v/>
      </c>
      <c r="I103" s="21">
        <f>I102+E103</f>
        <v/>
      </c>
    </row>
    <row r="104">
      <c r="A104" s="25" t="n">
        <v>8</v>
      </c>
      <c r="B104" s="25" t="n">
        <v>10</v>
      </c>
      <c r="C104" s="21">
        <f>G103</f>
        <v/>
      </c>
      <c r="D104" s="21">
        <f>Monthly_Payment-E104</f>
        <v/>
      </c>
      <c r="E104" s="21">
        <f>C104*Interest_Rate/12</f>
        <v/>
      </c>
      <c r="F104" s="21">
        <f>Monthly_Payment</f>
        <v/>
      </c>
      <c r="G104" s="21">
        <f>C104-D104</f>
        <v/>
      </c>
      <c r="H104" s="21">
        <f>H103+D104</f>
        <v/>
      </c>
      <c r="I104" s="21">
        <f>I103+E104</f>
        <v/>
      </c>
    </row>
    <row r="105">
      <c r="A105" s="25" t="n">
        <v>8</v>
      </c>
      <c r="B105" s="25" t="n">
        <v>11</v>
      </c>
      <c r="C105" s="21">
        <f>G104</f>
        <v/>
      </c>
      <c r="D105" s="21">
        <f>Monthly_Payment-E105</f>
        <v/>
      </c>
      <c r="E105" s="21">
        <f>C105*Interest_Rate/12</f>
        <v/>
      </c>
      <c r="F105" s="21">
        <f>Monthly_Payment</f>
        <v/>
      </c>
      <c r="G105" s="21">
        <f>C105-D105</f>
        <v/>
      </c>
      <c r="H105" s="21">
        <f>H104+D105</f>
        <v/>
      </c>
      <c r="I105" s="21">
        <f>I104+E105</f>
        <v/>
      </c>
    </row>
    <row r="106">
      <c r="A106" s="25" t="n">
        <v>8</v>
      </c>
      <c r="B106" s="25" t="n">
        <v>12</v>
      </c>
      <c r="C106" s="21">
        <f>G105</f>
        <v/>
      </c>
      <c r="D106" s="21">
        <f>Monthly_Payment-E106</f>
        <v/>
      </c>
      <c r="E106" s="21">
        <f>C106*Interest_Rate/12</f>
        <v/>
      </c>
      <c r="F106" s="21">
        <f>Monthly_Payment</f>
        <v/>
      </c>
      <c r="G106" s="21">
        <f>C106-D106</f>
        <v/>
      </c>
      <c r="H106" s="21">
        <f>H105+D106</f>
        <v/>
      </c>
      <c r="I106" s="21">
        <f>I105+E106</f>
        <v/>
      </c>
    </row>
    <row r="107">
      <c r="A107" s="25" t="n">
        <v>9</v>
      </c>
      <c r="B107" s="25" t="n">
        <v>1</v>
      </c>
      <c r="C107" s="21">
        <f>G106</f>
        <v/>
      </c>
      <c r="D107" s="21">
        <f>Monthly_Payment-E107</f>
        <v/>
      </c>
      <c r="E107" s="21">
        <f>C107*Interest_Rate/12</f>
        <v/>
      </c>
      <c r="F107" s="21">
        <f>Monthly_Payment</f>
        <v/>
      </c>
      <c r="G107" s="21">
        <f>C107-D107</f>
        <v/>
      </c>
      <c r="H107" s="21">
        <f>H106+D107</f>
        <v/>
      </c>
      <c r="I107" s="21">
        <f>I106+E107</f>
        <v/>
      </c>
    </row>
    <row r="108">
      <c r="A108" s="25" t="n">
        <v>9</v>
      </c>
      <c r="B108" s="25" t="n">
        <v>2</v>
      </c>
      <c r="C108" s="21">
        <f>G107</f>
        <v/>
      </c>
      <c r="D108" s="21">
        <f>Monthly_Payment-E108</f>
        <v/>
      </c>
      <c r="E108" s="21">
        <f>C108*Interest_Rate/12</f>
        <v/>
      </c>
      <c r="F108" s="21">
        <f>Monthly_Payment</f>
        <v/>
      </c>
      <c r="G108" s="21">
        <f>C108-D108</f>
        <v/>
      </c>
      <c r="H108" s="21">
        <f>H107+D108</f>
        <v/>
      </c>
      <c r="I108" s="21">
        <f>I107+E108</f>
        <v/>
      </c>
    </row>
    <row r="109">
      <c r="A109" s="25" t="n">
        <v>9</v>
      </c>
      <c r="B109" s="25" t="n">
        <v>3</v>
      </c>
      <c r="C109" s="21">
        <f>G108</f>
        <v/>
      </c>
      <c r="D109" s="21">
        <f>Monthly_Payment-E109</f>
        <v/>
      </c>
      <c r="E109" s="21">
        <f>C109*Interest_Rate/12</f>
        <v/>
      </c>
      <c r="F109" s="21">
        <f>Monthly_Payment</f>
        <v/>
      </c>
      <c r="G109" s="21">
        <f>C109-D109</f>
        <v/>
      </c>
      <c r="H109" s="21">
        <f>H108+D109</f>
        <v/>
      </c>
      <c r="I109" s="21">
        <f>I108+E109</f>
        <v/>
      </c>
    </row>
    <row r="110">
      <c r="A110" s="25" t="n">
        <v>9</v>
      </c>
      <c r="B110" s="25" t="n">
        <v>4</v>
      </c>
      <c r="C110" s="21">
        <f>G109</f>
        <v/>
      </c>
      <c r="D110" s="21">
        <f>Monthly_Payment-E110</f>
        <v/>
      </c>
      <c r="E110" s="21">
        <f>C110*Interest_Rate/12</f>
        <v/>
      </c>
      <c r="F110" s="21">
        <f>Monthly_Payment</f>
        <v/>
      </c>
      <c r="G110" s="21">
        <f>C110-D110</f>
        <v/>
      </c>
      <c r="H110" s="21">
        <f>H109+D110</f>
        <v/>
      </c>
      <c r="I110" s="21">
        <f>I109+E110</f>
        <v/>
      </c>
    </row>
    <row r="111">
      <c r="A111" s="25" t="n">
        <v>9</v>
      </c>
      <c r="B111" s="25" t="n">
        <v>5</v>
      </c>
      <c r="C111" s="21">
        <f>G110</f>
        <v/>
      </c>
      <c r="D111" s="21">
        <f>Monthly_Payment-E111</f>
        <v/>
      </c>
      <c r="E111" s="21">
        <f>C111*Interest_Rate/12</f>
        <v/>
      </c>
      <c r="F111" s="21">
        <f>Monthly_Payment</f>
        <v/>
      </c>
      <c r="G111" s="21">
        <f>C111-D111</f>
        <v/>
      </c>
      <c r="H111" s="21">
        <f>H110+D111</f>
        <v/>
      </c>
      <c r="I111" s="21">
        <f>I110+E111</f>
        <v/>
      </c>
    </row>
    <row r="112">
      <c r="A112" s="25" t="n">
        <v>9</v>
      </c>
      <c r="B112" s="25" t="n">
        <v>6</v>
      </c>
      <c r="C112" s="21">
        <f>G111</f>
        <v/>
      </c>
      <c r="D112" s="21">
        <f>Monthly_Payment-E112</f>
        <v/>
      </c>
      <c r="E112" s="21">
        <f>C112*Interest_Rate/12</f>
        <v/>
      </c>
      <c r="F112" s="21">
        <f>Monthly_Payment</f>
        <v/>
      </c>
      <c r="G112" s="21">
        <f>C112-D112</f>
        <v/>
      </c>
      <c r="H112" s="21">
        <f>H111+D112</f>
        <v/>
      </c>
      <c r="I112" s="21">
        <f>I111+E112</f>
        <v/>
      </c>
    </row>
    <row r="113">
      <c r="A113" s="25" t="n">
        <v>9</v>
      </c>
      <c r="B113" s="25" t="n">
        <v>7</v>
      </c>
      <c r="C113" s="21">
        <f>G112</f>
        <v/>
      </c>
      <c r="D113" s="21">
        <f>Monthly_Payment-E113</f>
        <v/>
      </c>
      <c r="E113" s="21">
        <f>C113*Interest_Rate/12</f>
        <v/>
      </c>
      <c r="F113" s="21">
        <f>Monthly_Payment</f>
        <v/>
      </c>
      <c r="G113" s="21">
        <f>C113-D113</f>
        <v/>
      </c>
      <c r="H113" s="21">
        <f>H112+D113</f>
        <v/>
      </c>
      <c r="I113" s="21">
        <f>I112+E113</f>
        <v/>
      </c>
    </row>
    <row r="114">
      <c r="A114" s="25" t="n">
        <v>9</v>
      </c>
      <c r="B114" s="25" t="n">
        <v>8</v>
      </c>
      <c r="C114" s="21">
        <f>G113</f>
        <v/>
      </c>
      <c r="D114" s="21">
        <f>Monthly_Payment-E114</f>
        <v/>
      </c>
      <c r="E114" s="21">
        <f>C114*Interest_Rate/12</f>
        <v/>
      </c>
      <c r="F114" s="21">
        <f>Monthly_Payment</f>
        <v/>
      </c>
      <c r="G114" s="21">
        <f>C114-D114</f>
        <v/>
      </c>
      <c r="H114" s="21">
        <f>H113+D114</f>
        <v/>
      </c>
      <c r="I114" s="21">
        <f>I113+E114</f>
        <v/>
      </c>
    </row>
    <row r="115">
      <c r="A115" s="25" t="n">
        <v>9</v>
      </c>
      <c r="B115" s="25" t="n">
        <v>9</v>
      </c>
      <c r="C115" s="21">
        <f>G114</f>
        <v/>
      </c>
      <c r="D115" s="21">
        <f>Monthly_Payment-E115</f>
        <v/>
      </c>
      <c r="E115" s="21">
        <f>C115*Interest_Rate/12</f>
        <v/>
      </c>
      <c r="F115" s="21">
        <f>Monthly_Payment</f>
        <v/>
      </c>
      <c r="G115" s="21">
        <f>C115-D115</f>
        <v/>
      </c>
      <c r="H115" s="21">
        <f>H114+D115</f>
        <v/>
      </c>
      <c r="I115" s="21">
        <f>I114+E115</f>
        <v/>
      </c>
    </row>
    <row r="116">
      <c r="A116" s="25" t="n">
        <v>9</v>
      </c>
      <c r="B116" s="25" t="n">
        <v>10</v>
      </c>
      <c r="C116" s="21">
        <f>G115</f>
        <v/>
      </c>
      <c r="D116" s="21">
        <f>Monthly_Payment-E116</f>
        <v/>
      </c>
      <c r="E116" s="21">
        <f>C116*Interest_Rate/12</f>
        <v/>
      </c>
      <c r="F116" s="21">
        <f>Monthly_Payment</f>
        <v/>
      </c>
      <c r="G116" s="21">
        <f>C116-D116</f>
        <v/>
      </c>
      <c r="H116" s="21">
        <f>H115+D116</f>
        <v/>
      </c>
      <c r="I116" s="21">
        <f>I115+E116</f>
        <v/>
      </c>
    </row>
    <row r="117">
      <c r="A117" s="25" t="n">
        <v>9</v>
      </c>
      <c r="B117" s="25" t="n">
        <v>11</v>
      </c>
      <c r="C117" s="21">
        <f>G116</f>
        <v/>
      </c>
      <c r="D117" s="21">
        <f>Monthly_Payment-E117</f>
        <v/>
      </c>
      <c r="E117" s="21">
        <f>C117*Interest_Rate/12</f>
        <v/>
      </c>
      <c r="F117" s="21">
        <f>Monthly_Payment</f>
        <v/>
      </c>
      <c r="G117" s="21">
        <f>C117-D117</f>
        <v/>
      </c>
      <c r="H117" s="21">
        <f>H116+D117</f>
        <v/>
      </c>
      <c r="I117" s="21">
        <f>I116+E117</f>
        <v/>
      </c>
    </row>
    <row r="118">
      <c r="A118" s="25" t="n">
        <v>9</v>
      </c>
      <c r="B118" s="25" t="n">
        <v>12</v>
      </c>
      <c r="C118" s="21">
        <f>G117</f>
        <v/>
      </c>
      <c r="D118" s="21">
        <f>Monthly_Payment-E118</f>
        <v/>
      </c>
      <c r="E118" s="21">
        <f>C118*Interest_Rate/12</f>
        <v/>
      </c>
      <c r="F118" s="21">
        <f>Monthly_Payment</f>
        <v/>
      </c>
      <c r="G118" s="21">
        <f>C118-D118</f>
        <v/>
      </c>
      <c r="H118" s="21">
        <f>H117+D118</f>
        <v/>
      </c>
      <c r="I118" s="21">
        <f>I117+E118</f>
        <v/>
      </c>
    </row>
    <row r="119">
      <c r="A119" s="25" t="n">
        <v>10</v>
      </c>
      <c r="B119" s="25" t="n">
        <v>1</v>
      </c>
      <c r="C119" s="21">
        <f>G118</f>
        <v/>
      </c>
      <c r="D119" s="21">
        <f>Monthly_Payment-E119</f>
        <v/>
      </c>
      <c r="E119" s="21">
        <f>C119*Interest_Rate/12</f>
        <v/>
      </c>
      <c r="F119" s="21">
        <f>Monthly_Payment</f>
        <v/>
      </c>
      <c r="G119" s="21">
        <f>C119-D119</f>
        <v/>
      </c>
      <c r="H119" s="21">
        <f>H118+D119</f>
        <v/>
      </c>
      <c r="I119" s="21">
        <f>I118+E119</f>
        <v/>
      </c>
    </row>
    <row r="120">
      <c r="A120" s="25" t="n">
        <v>10</v>
      </c>
      <c r="B120" s="25" t="n">
        <v>2</v>
      </c>
      <c r="C120" s="21">
        <f>G119</f>
        <v/>
      </c>
      <c r="D120" s="21">
        <f>Monthly_Payment-E120</f>
        <v/>
      </c>
      <c r="E120" s="21">
        <f>C120*Interest_Rate/12</f>
        <v/>
      </c>
      <c r="F120" s="21">
        <f>Monthly_Payment</f>
        <v/>
      </c>
      <c r="G120" s="21">
        <f>C120-D120</f>
        <v/>
      </c>
      <c r="H120" s="21">
        <f>H119+D120</f>
        <v/>
      </c>
      <c r="I120" s="21">
        <f>I119+E120</f>
        <v/>
      </c>
    </row>
    <row r="121">
      <c r="A121" s="25" t="n">
        <v>10</v>
      </c>
      <c r="B121" s="25" t="n">
        <v>3</v>
      </c>
      <c r="C121" s="21">
        <f>G120</f>
        <v/>
      </c>
      <c r="D121" s="21">
        <f>Monthly_Payment-E121</f>
        <v/>
      </c>
      <c r="E121" s="21">
        <f>C121*Interest_Rate/12</f>
        <v/>
      </c>
      <c r="F121" s="21">
        <f>Monthly_Payment</f>
        <v/>
      </c>
      <c r="G121" s="21">
        <f>C121-D121</f>
        <v/>
      </c>
      <c r="H121" s="21">
        <f>H120+D121</f>
        <v/>
      </c>
      <c r="I121" s="21">
        <f>I120+E121</f>
        <v/>
      </c>
    </row>
    <row r="122">
      <c r="A122" s="25" t="n">
        <v>10</v>
      </c>
      <c r="B122" s="25" t="n">
        <v>4</v>
      </c>
      <c r="C122" s="21">
        <f>G121</f>
        <v/>
      </c>
      <c r="D122" s="21">
        <f>Monthly_Payment-E122</f>
        <v/>
      </c>
      <c r="E122" s="21">
        <f>C122*Interest_Rate/12</f>
        <v/>
      </c>
      <c r="F122" s="21">
        <f>Monthly_Payment</f>
        <v/>
      </c>
      <c r="G122" s="21">
        <f>C122-D122</f>
        <v/>
      </c>
      <c r="H122" s="21">
        <f>H121+D122</f>
        <v/>
      </c>
      <c r="I122" s="21">
        <f>I121+E122</f>
        <v/>
      </c>
    </row>
    <row r="123">
      <c r="A123" s="25" t="n">
        <v>10</v>
      </c>
      <c r="B123" s="25" t="n">
        <v>5</v>
      </c>
      <c r="C123" s="21">
        <f>G122</f>
        <v/>
      </c>
      <c r="D123" s="21">
        <f>Monthly_Payment-E123</f>
        <v/>
      </c>
      <c r="E123" s="21">
        <f>C123*Interest_Rate/12</f>
        <v/>
      </c>
      <c r="F123" s="21">
        <f>Monthly_Payment</f>
        <v/>
      </c>
      <c r="G123" s="21">
        <f>C123-D123</f>
        <v/>
      </c>
      <c r="H123" s="21">
        <f>H122+D123</f>
        <v/>
      </c>
      <c r="I123" s="21">
        <f>I122+E123</f>
        <v/>
      </c>
    </row>
    <row r="124">
      <c r="A124" s="25" t="n">
        <v>10</v>
      </c>
      <c r="B124" s="25" t="n">
        <v>6</v>
      </c>
      <c r="C124" s="21">
        <f>G123</f>
        <v/>
      </c>
      <c r="D124" s="21">
        <f>Monthly_Payment-E124</f>
        <v/>
      </c>
      <c r="E124" s="21">
        <f>C124*Interest_Rate/12</f>
        <v/>
      </c>
      <c r="F124" s="21">
        <f>Monthly_Payment</f>
        <v/>
      </c>
      <c r="G124" s="21">
        <f>C124-D124</f>
        <v/>
      </c>
      <c r="H124" s="21">
        <f>H123+D124</f>
        <v/>
      </c>
      <c r="I124" s="21">
        <f>I123+E124</f>
        <v/>
      </c>
    </row>
    <row r="125">
      <c r="A125" s="25" t="n">
        <v>10</v>
      </c>
      <c r="B125" s="25" t="n">
        <v>7</v>
      </c>
      <c r="C125" s="21">
        <f>G124</f>
        <v/>
      </c>
      <c r="D125" s="21">
        <f>Monthly_Payment-E125</f>
        <v/>
      </c>
      <c r="E125" s="21">
        <f>C125*Interest_Rate/12</f>
        <v/>
      </c>
      <c r="F125" s="21">
        <f>Monthly_Payment</f>
        <v/>
      </c>
      <c r="G125" s="21">
        <f>C125-D125</f>
        <v/>
      </c>
      <c r="H125" s="21">
        <f>H124+D125</f>
        <v/>
      </c>
      <c r="I125" s="21">
        <f>I124+E125</f>
        <v/>
      </c>
    </row>
    <row r="126">
      <c r="A126" s="25" t="n">
        <v>10</v>
      </c>
      <c r="B126" s="25" t="n">
        <v>8</v>
      </c>
      <c r="C126" s="21">
        <f>G125</f>
        <v/>
      </c>
      <c r="D126" s="21">
        <f>Monthly_Payment-E126</f>
        <v/>
      </c>
      <c r="E126" s="21">
        <f>C126*Interest_Rate/12</f>
        <v/>
      </c>
      <c r="F126" s="21">
        <f>Monthly_Payment</f>
        <v/>
      </c>
      <c r="G126" s="21">
        <f>C126-D126</f>
        <v/>
      </c>
      <c r="H126" s="21">
        <f>H125+D126</f>
        <v/>
      </c>
      <c r="I126" s="21">
        <f>I125+E126</f>
        <v/>
      </c>
    </row>
    <row r="127">
      <c r="A127" s="25" t="n">
        <v>10</v>
      </c>
      <c r="B127" s="25" t="n">
        <v>9</v>
      </c>
      <c r="C127" s="21">
        <f>G126</f>
        <v/>
      </c>
      <c r="D127" s="21">
        <f>Monthly_Payment-E127</f>
        <v/>
      </c>
      <c r="E127" s="21">
        <f>C127*Interest_Rate/12</f>
        <v/>
      </c>
      <c r="F127" s="21">
        <f>Monthly_Payment</f>
        <v/>
      </c>
      <c r="G127" s="21">
        <f>C127-D127</f>
        <v/>
      </c>
      <c r="H127" s="21">
        <f>H126+D127</f>
        <v/>
      </c>
      <c r="I127" s="21">
        <f>I126+E127</f>
        <v/>
      </c>
    </row>
    <row r="128">
      <c r="A128" s="25" t="n">
        <v>10</v>
      </c>
      <c r="B128" s="25" t="n">
        <v>10</v>
      </c>
      <c r="C128" s="21">
        <f>G127</f>
        <v/>
      </c>
      <c r="D128" s="21">
        <f>Monthly_Payment-E128</f>
        <v/>
      </c>
      <c r="E128" s="21">
        <f>C128*Interest_Rate/12</f>
        <v/>
      </c>
      <c r="F128" s="21">
        <f>Monthly_Payment</f>
        <v/>
      </c>
      <c r="G128" s="21">
        <f>C128-D128</f>
        <v/>
      </c>
      <c r="H128" s="21">
        <f>H127+D128</f>
        <v/>
      </c>
      <c r="I128" s="21">
        <f>I127+E128</f>
        <v/>
      </c>
    </row>
    <row r="129">
      <c r="A129" s="25" t="n">
        <v>10</v>
      </c>
      <c r="B129" s="25" t="n">
        <v>11</v>
      </c>
      <c r="C129" s="21">
        <f>G128</f>
        <v/>
      </c>
      <c r="D129" s="21">
        <f>Monthly_Payment-E129</f>
        <v/>
      </c>
      <c r="E129" s="21">
        <f>C129*Interest_Rate/12</f>
        <v/>
      </c>
      <c r="F129" s="21">
        <f>Monthly_Payment</f>
        <v/>
      </c>
      <c r="G129" s="21">
        <f>C129-D129</f>
        <v/>
      </c>
      <c r="H129" s="21">
        <f>H128+D129</f>
        <v/>
      </c>
      <c r="I129" s="21">
        <f>I128+E129</f>
        <v/>
      </c>
    </row>
    <row r="130">
      <c r="A130" s="25" t="n">
        <v>10</v>
      </c>
      <c r="B130" s="25" t="n">
        <v>12</v>
      </c>
      <c r="C130" s="21">
        <f>G129</f>
        <v/>
      </c>
      <c r="D130" s="21">
        <f>Monthly_Payment-E130</f>
        <v/>
      </c>
      <c r="E130" s="21">
        <f>C130*Interest_Rate/12</f>
        <v/>
      </c>
      <c r="F130" s="21">
        <f>Monthly_Payment</f>
        <v/>
      </c>
      <c r="G130" s="21">
        <f>C130-D130</f>
        <v/>
      </c>
      <c r="H130" s="21">
        <f>H129+D130</f>
        <v/>
      </c>
      <c r="I130" s="21">
        <f>I129+E130</f>
        <v/>
      </c>
    </row>
    <row r="131">
      <c r="A131" s="25" t="n">
        <v>11</v>
      </c>
      <c r="B131" s="25" t="n">
        <v>1</v>
      </c>
      <c r="C131" s="21">
        <f>G130</f>
        <v/>
      </c>
      <c r="D131" s="21">
        <f>Monthly_Payment-E131</f>
        <v/>
      </c>
      <c r="E131" s="21">
        <f>C131*Interest_Rate/12</f>
        <v/>
      </c>
      <c r="F131" s="21">
        <f>Monthly_Payment</f>
        <v/>
      </c>
      <c r="G131" s="21">
        <f>C131-D131</f>
        <v/>
      </c>
      <c r="H131" s="21">
        <f>H130+D131</f>
        <v/>
      </c>
      <c r="I131" s="21">
        <f>I130+E131</f>
        <v/>
      </c>
    </row>
    <row r="132">
      <c r="A132" s="25" t="n">
        <v>11</v>
      </c>
      <c r="B132" s="25" t="n">
        <v>2</v>
      </c>
      <c r="C132" s="21">
        <f>G131</f>
        <v/>
      </c>
      <c r="D132" s="21">
        <f>Monthly_Payment-E132</f>
        <v/>
      </c>
      <c r="E132" s="21">
        <f>C132*Interest_Rate/12</f>
        <v/>
      </c>
      <c r="F132" s="21">
        <f>Monthly_Payment</f>
        <v/>
      </c>
      <c r="G132" s="21">
        <f>C132-D132</f>
        <v/>
      </c>
      <c r="H132" s="21">
        <f>H131+D132</f>
        <v/>
      </c>
      <c r="I132" s="21">
        <f>I131+E132</f>
        <v/>
      </c>
    </row>
    <row r="133">
      <c r="A133" s="25" t="n">
        <v>11</v>
      </c>
      <c r="B133" s="25" t="n">
        <v>3</v>
      </c>
      <c r="C133" s="21">
        <f>G132</f>
        <v/>
      </c>
      <c r="D133" s="21">
        <f>Monthly_Payment-E133</f>
        <v/>
      </c>
      <c r="E133" s="21">
        <f>C133*Interest_Rate/12</f>
        <v/>
      </c>
      <c r="F133" s="21">
        <f>Monthly_Payment</f>
        <v/>
      </c>
      <c r="G133" s="21">
        <f>C133-D133</f>
        <v/>
      </c>
      <c r="H133" s="21">
        <f>H132+D133</f>
        <v/>
      </c>
      <c r="I133" s="21">
        <f>I132+E133</f>
        <v/>
      </c>
    </row>
    <row r="134">
      <c r="A134" s="25" t="n">
        <v>11</v>
      </c>
      <c r="B134" s="25" t="n">
        <v>4</v>
      </c>
      <c r="C134" s="21">
        <f>G133</f>
        <v/>
      </c>
      <c r="D134" s="21">
        <f>Monthly_Payment-E134</f>
        <v/>
      </c>
      <c r="E134" s="21">
        <f>C134*Interest_Rate/12</f>
        <v/>
      </c>
      <c r="F134" s="21">
        <f>Monthly_Payment</f>
        <v/>
      </c>
      <c r="G134" s="21">
        <f>C134-D134</f>
        <v/>
      </c>
      <c r="H134" s="21">
        <f>H133+D134</f>
        <v/>
      </c>
      <c r="I134" s="21">
        <f>I133+E134</f>
        <v/>
      </c>
    </row>
    <row r="135">
      <c r="A135" s="25" t="n">
        <v>11</v>
      </c>
      <c r="B135" s="25" t="n">
        <v>5</v>
      </c>
      <c r="C135" s="21">
        <f>G134</f>
        <v/>
      </c>
      <c r="D135" s="21">
        <f>Monthly_Payment-E135</f>
        <v/>
      </c>
      <c r="E135" s="21">
        <f>C135*Interest_Rate/12</f>
        <v/>
      </c>
      <c r="F135" s="21">
        <f>Monthly_Payment</f>
        <v/>
      </c>
      <c r="G135" s="21">
        <f>C135-D135</f>
        <v/>
      </c>
      <c r="H135" s="21">
        <f>H134+D135</f>
        <v/>
      </c>
      <c r="I135" s="21">
        <f>I134+E135</f>
        <v/>
      </c>
    </row>
    <row r="136">
      <c r="A136" s="25" t="n">
        <v>11</v>
      </c>
      <c r="B136" s="25" t="n">
        <v>6</v>
      </c>
      <c r="C136" s="21">
        <f>G135</f>
        <v/>
      </c>
      <c r="D136" s="21">
        <f>Monthly_Payment-E136</f>
        <v/>
      </c>
      <c r="E136" s="21">
        <f>C136*Interest_Rate/12</f>
        <v/>
      </c>
      <c r="F136" s="21">
        <f>Monthly_Payment</f>
        <v/>
      </c>
      <c r="G136" s="21">
        <f>C136-D136</f>
        <v/>
      </c>
      <c r="H136" s="21">
        <f>H135+D136</f>
        <v/>
      </c>
      <c r="I136" s="21">
        <f>I135+E136</f>
        <v/>
      </c>
    </row>
    <row r="137">
      <c r="A137" s="25" t="n">
        <v>11</v>
      </c>
      <c r="B137" s="25" t="n">
        <v>7</v>
      </c>
      <c r="C137" s="21">
        <f>G136</f>
        <v/>
      </c>
      <c r="D137" s="21">
        <f>Monthly_Payment-E137</f>
        <v/>
      </c>
      <c r="E137" s="21">
        <f>C137*Interest_Rate/12</f>
        <v/>
      </c>
      <c r="F137" s="21">
        <f>Monthly_Payment</f>
        <v/>
      </c>
      <c r="G137" s="21">
        <f>C137-D137</f>
        <v/>
      </c>
      <c r="H137" s="21">
        <f>H136+D137</f>
        <v/>
      </c>
      <c r="I137" s="21">
        <f>I136+E137</f>
        <v/>
      </c>
    </row>
    <row r="138">
      <c r="A138" s="25" t="n">
        <v>11</v>
      </c>
      <c r="B138" s="25" t="n">
        <v>8</v>
      </c>
      <c r="C138" s="21">
        <f>G137</f>
        <v/>
      </c>
      <c r="D138" s="21">
        <f>Monthly_Payment-E138</f>
        <v/>
      </c>
      <c r="E138" s="21">
        <f>C138*Interest_Rate/12</f>
        <v/>
      </c>
      <c r="F138" s="21">
        <f>Monthly_Payment</f>
        <v/>
      </c>
      <c r="G138" s="21">
        <f>C138-D138</f>
        <v/>
      </c>
      <c r="H138" s="21">
        <f>H137+D138</f>
        <v/>
      </c>
      <c r="I138" s="21">
        <f>I137+E138</f>
        <v/>
      </c>
    </row>
    <row r="139">
      <c r="A139" s="25" t="n">
        <v>11</v>
      </c>
      <c r="B139" s="25" t="n">
        <v>9</v>
      </c>
      <c r="C139" s="21">
        <f>G138</f>
        <v/>
      </c>
      <c r="D139" s="21">
        <f>Monthly_Payment-E139</f>
        <v/>
      </c>
      <c r="E139" s="21">
        <f>C139*Interest_Rate/12</f>
        <v/>
      </c>
      <c r="F139" s="21">
        <f>Monthly_Payment</f>
        <v/>
      </c>
      <c r="G139" s="21">
        <f>C139-D139</f>
        <v/>
      </c>
      <c r="H139" s="21">
        <f>H138+D139</f>
        <v/>
      </c>
      <c r="I139" s="21">
        <f>I138+E139</f>
        <v/>
      </c>
    </row>
    <row r="140">
      <c r="A140" s="25" t="n">
        <v>11</v>
      </c>
      <c r="B140" s="25" t="n">
        <v>10</v>
      </c>
      <c r="C140" s="21">
        <f>G139</f>
        <v/>
      </c>
      <c r="D140" s="21">
        <f>Monthly_Payment-E140</f>
        <v/>
      </c>
      <c r="E140" s="21">
        <f>C140*Interest_Rate/12</f>
        <v/>
      </c>
      <c r="F140" s="21">
        <f>Monthly_Payment</f>
        <v/>
      </c>
      <c r="G140" s="21">
        <f>C140-D140</f>
        <v/>
      </c>
      <c r="H140" s="21">
        <f>H139+D140</f>
        <v/>
      </c>
      <c r="I140" s="21">
        <f>I139+E140</f>
        <v/>
      </c>
    </row>
    <row r="141">
      <c r="A141" s="25" t="n">
        <v>11</v>
      </c>
      <c r="B141" s="25" t="n">
        <v>11</v>
      </c>
      <c r="C141" s="21">
        <f>G140</f>
        <v/>
      </c>
      <c r="D141" s="21">
        <f>Monthly_Payment-E141</f>
        <v/>
      </c>
      <c r="E141" s="21">
        <f>C141*Interest_Rate/12</f>
        <v/>
      </c>
      <c r="F141" s="21">
        <f>Monthly_Payment</f>
        <v/>
      </c>
      <c r="G141" s="21">
        <f>C141-D141</f>
        <v/>
      </c>
      <c r="H141" s="21">
        <f>H140+D141</f>
        <v/>
      </c>
      <c r="I141" s="21">
        <f>I140+E141</f>
        <v/>
      </c>
    </row>
    <row r="142">
      <c r="A142" s="25" t="n">
        <v>11</v>
      </c>
      <c r="B142" s="25" t="n">
        <v>12</v>
      </c>
      <c r="C142" s="21">
        <f>G141</f>
        <v/>
      </c>
      <c r="D142" s="21">
        <f>Monthly_Payment-E142</f>
        <v/>
      </c>
      <c r="E142" s="21">
        <f>C142*Interest_Rate/12</f>
        <v/>
      </c>
      <c r="F142" s="21">
        <f>Monthly_Payment</f>
        <v/>
      </c>
      <c r="G142" s="21">
        <f>C142-D142</f>
        <v/>
      </c>
      <c r="H142" s="21">
        <f>H141+D142</f>
        <v/>
      </c>
      <c r="I142" s="21">
        <f>I141+E142</f>
        <v/>
      </c>
    </row>
    <row r="143">
      <c r="A143" s="25" t="n">
        <v>12</v>
      </c>
      <c r="B143" s="25" t="n">
        <v>1</v>
      </c>
      <c r="C143" s="21">
        <f>G142</f>
        <v/>
      </c>
      <c r="D143" s="21">
        <f>Monthly_Payment-E143</f>
        <v/>
      </c>
      <c r="E143" s="21">
        <f>C143*Interest_Rate/12</f>
        <v/>
      </c>
      <c r="F143" s="21">
        <f>Monthly_Payment</f>
        <v/>
      </c>
      <c r="G143" s="21">
        <f>C143-D143</f>
        <v/>
      </c>
      <c r="H143" s="21">
        <f>H142+D143</f>
        <v/>
      </c>
      <c r="I143" s="21">
        <f>I142+E143</f>
        <v/>
      </c>
    </row>
    <row r="144">
      <c r="A144" s="25" t="n">
        <v>12</v>
      </c>
      <c r="B144" s="25" t="n">
        <v>2</v>
      </c>
      <c r="C144" s="21">
        <f>G143</f>
        <v/>
      </c>
      <c r="D144" s="21">
        <f>Monthly_Payment-E144</f>
        <v/>
      </c>
      <c r="E144" s="21">
        <f>C144*Interest_Rate/12</f>
        <v/>
      </c>
      <c r="F144" s="21">
        <f>Monthly_Payment</f>
        <v/>
      </c>
      <c r="G144" s="21">
        <f>C144-D144</f>
        <v/>
      </c>
      <c r="H144" s="21">
        <f>H143+D144</f>
        <v/>
      </c>
      <c r="I144" s="21">
        <f>I143+E144</f>
        <v/>
      </c>
    </row>
    <row r="145">
      <c r="A145" s="25" t="n">
        <v>12</v>
      </c>
      <c r="B145" s="25" t="n">
        <v>3</v>
      </c>
      <c r="C145" s="21">
        <f>G144</f>
        <v/>
      </c>
      <c r="D145" s="21">
        <f>Monthly_Payment-E145</f>
        <v/>
      </c>
      <c r="E145" s="21">
        <f>C145*Interest_Rate/12</f>
        <v/>
      </c>
      <c r="F145" s="21">
        <f>Monthly_Payment</f>
        <v/>
      </c>
      <c r="G145" s="21">
        <f>C145-D145</f>
        <v/>
      </c>
      <c r="H145" s="21">
        <f>H144+D145</f>
        <v/>
      </c>
      <c r="I145" s="21">
        <f>I144+E145</f>
        <v/>
      </c>
    </row>
    <row r="146">
      <c r="A146" s="25" t="n">
        <v>12</v>
      </c>
      <c r="B146" s="25" t="n">
        <v>4</v>
      </c>
      <c r="C146" s="21">
        <f>G145</f>
        <v/>
      </c>
      <c r="D146" s="21">
        <f>Monthly_Payment-E146</f>
        <v/>
      </c>
      <c r="E146" s="21">
        <f>C146*Interest_Rate/12</f>
        <v/>
      </c>
      <c r="F146" s="21">
        <f>Monthly_Payment</f>
        <v/>
      </c>
      <c r="G146" s="21">
        <f>C146-D146</f>
        <v/>
      </c>
      <c r="H146" s="21">
        <f>H145+D146</f>
        <v/>
      </c>
      <c r="I146" s="21">
        <f>I145+E146</f>
        <v/>
      </c>
    </row>
    <row r="147">
      <c r="A147" s="25" t="n">
        <v>12</v>
      </c>
      <c r="B147" s="25" t="n">
        <v>5</v>
      </c>
      <c r="C147" s="21">
        <f>G146</f>
        <v/>
      </c>
      <c r="D147" s="21">
        <f>Monthly_Payment-E147</f>
        <v/>
      </c>
      <c r="E147" s="21">
        <f>C147*Interest_Rate/12</f>
        <v/>
      </c>
      <c r="F147" s="21">
        <f>Monthly_Payment</f>
        <v/>
      </c>
      <c r="G147" s="21">
        <f>C147-D147</f>
        <v/>
      </c>
      <c r="H147" s="21">
        <f>H146+D147</f>
        <v/>
      </c>
      <c r="I147" s="21">
        <f>I146+E147</f>
        <v/>
      </c>
    </row>
    <row r="148">
      <c r="A148" s="25" t="n">
        <v>12</v>
      </c>
      <c r="B148" s="25" t="n">
        <v>6</v>
      </c>
      <c r="C148" s="21">
        <f>G147</f>
        <v/>
      </c>
      <c r="D148" s="21">
        <f>Monthly_Payment-E148</f>
        <v/>
      </c>
      <c r="E148" s="21">
        <f>C148*Interest_Rate/12</f>
        <v/>
      </c>
      <c r="F148" s="21">
        <f>Monthly_Payment</f>
        <v/>
      </c>
      <c r="G148" s="21">
        <f>C148-D148</f>
        <v/>
      </c>
      <c r="H148" s="21">
        <f>H147+D148</f>
        <v/>
      </c>
      <c r="I148" s="21">
        <f>I147+E148</f>
        <v/>
      </c>
    </row>
    <row r="149">
      <c r="A149" s="25" t="n">
        <v>12</v>
      </c>
      <c r="B149" s="25" t="n">
        <v>7</v>
      </c>
      <c r="C149" s="21">
        <f>G148</f>
        <v/>
      </c>
      <c r="D149" s="21">
        <f>Monthly_Payment-E149</f>
        <v/>
      </c>
      <c r="E149" s="21">
        <f>C149*Interest_Rate/12</f>
        <v/>
      </c>
      <c r="F149" s="21">
        <f>Monthly_Payment</f>
        <v/>
      </c>
      <c r="G149" s="21">
        <f>C149-D149</f>
        <v/>
      </c>
      <c r="H149" s="21">
        <f>H148+D149</f>
        <v/>
      </c>
      <c r="I149" s="21">
        <f>I148+E149</f>
        <v/>
      </c>
    </row>
    <row r="150">
      <c r="A150" s="25" t="n">
        <v>12</v>
      </c>
      <c r="B150" s="25" t="n">
        <v>8</v>
      </c>
      <c r="C150" s="21">
        <f>G149</f>
        <v/>
      </c>
      <c r="D150" s="21">
        <f>Monthly_Payment-E150</f>
        <v/>
      </c>
      <c r="E150" s="21">
        <f>C150*Interest_Rate/12</f>
        <v/>
      </c>
      <c r="F150" s="21">
        <f>Monthly_Payment</f>
        <v/>
      </c>
      <c r="G150" s="21">
        <f>C150-D150</f>
        <v/>
      </c>
      <c r="H150" s="21">
        <f>H149+D150</f>
        <v/>
      </c>
      <c r="I150" s="21">
        <f>I149+E150</f>
        <v/>
      </c>
    </row>
    <row r="151">
      <c r="A151" s="25" t="n">
        <v>12</v>
      </c>
      <c r="B151" s="25" t="n">
        <v>9</v>
      </c>
      <c r="C151" s="21">
        <f>G150</f>
        <v/>
      </c>
      <c r="D151" s="21">
        <f>Monthly_Payment-E151</f>
        <v/>
      </c>
      <c r="E151" s="21">
        <f>C151*Interest_Rate/12</f>
        <v/>
      </c>
      <c r="F151" s="21">
        <f>Monthly_Payment</f>
        <v/>
      </c>
      <c r="G151" s="21">
        <f>C151-D151</f>
        <v/>
      </c>
      <c r="H151" s="21">
        <f>H150+D151</f>
        <v/>
      </c>
      <c r="I151" s="21">
        <f>I150+E151</f>
        <v/>
      </c>
    </row>
    <row r="152">
      <c r="A152" s="25" t="n">
        <v>12</v>
      </c>
      <c r="B152" s="25" t="n">
        <v>10</v>
      </c>
      <c r="C152" s="21">
        <f>G151</f>
        <v/>
      </c>
      <c r="D152" s="21">
        <f>Monthly_Payment-E152</f>
        <v/>
      </c>
      <c r="E152" s="21">
        <f>C152*Interest_Rate/12</f>
        <v/>
      </c>
      <c r="F152" s="21">
        <f>Monthly_Payment</f>
        <v/>
      </c>
      <c r="G152" s="21">
        <f>C152-D152</f>
        <v/>
      </c>
      <c r="H152" s="21">
        <f>H151+D152</f>
        <v/>
      </c>
      <c r="I152" s="21">
        <f>I151+E152</f>
        <v/>
      </c>
    </row>
    <row r="153">
      <c r="A153" s="25" t="n">
        <v>12</v>
      </c>
      <c r="B153" s="25" t="n">
        <v>11</v>
      </c>
      <c r="C153" s="21">
        <f>G152</f>
        <v/>
      </c>
      <c r="D153" s="21">
        <f>Monthly_Payment-E153</f>
        <v/>
      </c>
      <c r="E153" s="21">
        <f>C153*Interest_Rate/12</f>
        <v/>
      </c>
      <c r="F153" s="21">
        <f>Monthly_Payment</f>
        <v/>
      </c>
      <c r="G153" s="21">
        <f>C153-D153</f>
        <v/>
      </c>
      <c r="H153" s="21">
        <f>H152+D153</f>
        <v/>
      </c>
      <c r="I153" s="21">
        <f>I152+E153</f>
        <v/>
      </c>
    </row>
    <row r="154">
      <c r="A154" s="25" t="n">
        <v>12</v>
      </c>
      <c r="B154" s="25" t="n">
        <v>12</v>
      </c>
      <c r="C154" s="21">
        <f>G153</f>
        <v/>
      </c>
      <c r="D154" s="21">
        <f>Monthly_Payment-E154</f>
        <v/>
      </c>
      <c r="E154" s="21">
        <f>C154*Interest_Rate/12</f>
        <v/>
      </c>
      <c r="F154" s="21">
        <f>Monthly_Payment</f>
        <v/>
      </c>
      <c r="G154" s="21">
        <f>C154-D154</f>
        <v/>
      </c>
      <c r="H154" s="21">
        <f>H153+D154</f>
        <v/>
      </c>
      <c r="I154" s="21">
        <f>I153+E154</f>
        <v/>
      </c>
    </row>
    <row r="155">
      <c r="A155" s="25" t="n">
        <v>13</v>
      </c>
      <c r="B155" s="25" t="n">
        <v>1</v>
      </c>
      <c r="C155" s="21">
        <f>G154</f>
        <v/>
      </c>
      <c r="D155" s="21">
        <f>Monthly_Payment-E155</f>
        <v/>
      </c>
      <c r="E155" s="21">
        <f>C155*Interest_Rate/12</f>
        <v/>
      </c>
      <c r="F155" s="21">
        <f>Monthly_Payment</f>
        <v/>
      </c>
      <c r="G155" s="21">
        <f>C155-D155</f>
        <v/>
      </c>
      <c r="H155" s="21">
        <f>H154+D155</f>
        <v/>
      </c>
      <c r="I155" s="21">
        <f>I154+E155</f>
        <v/>
      </c>
    </row>
    <row r="156">
      <c r="A156" s="25" t="n">
        <v>13</v>
      </c>
      <c r="B156" s="25" t="n">
        <v>2</v>
      </c>
      <c r="C156" s="21">
        <f>G155</f>
        <v/>
      </c>
      <c r="D156" s="21">
        <f>Monthly_Payment-E156</f>
        <v/>
      </c>
      <c r="E156" s="21">
        <f>C156*Interest_Rate/12</f>
        <v/>
      </c>
      <c r="F156" s="21">
        <f>Monthly_Payment</f>
        <v/>
      </c>
      <c r="G156" s="21">
        <f>C156-D156</f>
        <v/>
      </c>
      <c r="H156" s="21">
        <f>H155+D156</f>
        <v/>
      </c>
      <c r="I156" s="21">
        <f>I155+E156</f>
        <v/>
      </c>
    </row>
    <row r="157">
      <c r="A157" s="25" t="n">
        <v>13</v>
      </c>
      <c r="B157" s="25" t="n">
        <v>3</v>
      </c>
      <c r="C157" s="21">
        <f>G156</f>
        <v/>
      </c>
      <c r="D157" s="21">
        <f>Monthly_Payment-E157</f>
        <v/>
      </c>
      <c r="E157" s="21">
        <f>C157*Interest_Rate/12</f>
        <v/>
      </c>
      <c r="F157" s="21">
        <f>Monthly_Payment</f>
        <v/>
      </c>
      <c r="G157" s="21">
        <f>C157-D157</f>
        <v/>
      </c>
      <c r="H157" s="21">
        <f>H156+D157</f>
        <v/>
      </c>
      <c r="I157" s="21">
        <f>I156+E157</f>
        <v/>
      </c>
    </row>
    <row r="158">
      <c r="A158" s="25" t="n">
        <v>13</v>
      </c>
      <c r="B158" s="25" t="n">
        <v>4</v>
      </c>
      <c r="C158" s="21">
        <f>G157</f>
        <v/>
      </c>
      <c r="D158" s="21">
        <f>Monthly_Payment-E158</f>
        <v/>
      </c>
      <c r="E158" s="21">
        <f>C158*Interest_Rate/12</f>
        <v/>
      </c>
      <c r="F158" s="21">
        <f>Monthly_Payment</f>
        <v/>
      </c>
      <c r="G158" s="21">
        <f>C158-D158</f>
        <v/>
      </c>
      <c r="H158" s="21">
        <f>H157+D158</f>
        <v/>
      </c>
      <c r="I158" s="21">
        <f>I157+E158</f>
        <v/>
      </c>
    </row>
    <row r="159">
      <c r="A159" s="25" t="n">
        <v>13</v>
      </c>
      <c r="B159" s="25" t="n">
        <v>5</v>
      </c>
      <c r="C159" s="21">
        <f>G158</f>
        <v/>
      </c>
      <c r="D159" s="21">
        <f>Monthly_Payment-E159</f>
        <v/>
      </c>
      <c r="E159" s="21">
        <f>C159*Interest_Rate/12</f>
        <v/>
      </c>
      <c r="F159" s="21">
        <f>Monthly_Payment</f>
        <v/>
      </c>
      <c r="G159" s="21">
        <f>C159-D159</f>
        <v/>
      </c>
      <c r="H159" s="21">
        <f>H158+D159</f>
        <v/>
      </c>
      <c r="I159" s="21">
        <f>I158+E159</f>
        <v/>
      </c>
    </row>
    <row r="160">
      <c r="A160" s="25" t="n">
        <v>13</v>
      </c>
      <c r="B160" s="25" t="n">
        <v>6</v>
      </c>
      <c r="C160" s="21">
        <f>G159</f>
        <v/>
      </c>
      <c r="D160" s="21">
        <f>Monthly_Payment-E160</f>
        <v/>
      </c>
      <c r="E160" s="21">
        <f>C160*Interest_Rate/12</f>
        <v/>
      </c>
      <c r="F160" s="21">
        <f>Monthly_Payment</f>
        <v/>
      </c>
      <c r="G160" s="21">
        <f>C160-D160</f>
        <v/>
      </c>
      <c r="H160" s="21">
        <f>H159+D160</f>
        <v/>
      </c>
      <c r="I160" s="21">
        <f>I159+E160</f>
        <v/>
      </c>
    </row>
    <row r="161">
      <c r="A161" s="25" t="n">
        <v>13</v>
      </c>
      <c r="B161" s="25" t="n">
        <v>7</v>
      </c>
      <c r="C161" s="21">
        <f>G160</f>
        <v/>
      </c>
      <c r="D161" s="21">
        <f>Monthly_Payment-E161</f>
        <v/>
      </c>
      <c r="E161" s="21">
        <f>C161*Interest_Rate/12</f>
        <v/>
      </c>
      <c r="F161" s="21">
        <f>Monthly_Payment</f>
        <v/>
      </c>
      <c r="G161" s="21">
        <f>C161-D161</f>
        <v/>
      </c>
      <c r="H161" s="21">
        <f>H160+D161</f>
        <v/>
      </c>
      <c r="I161" s="21">
        <f>I160+E161</f>
        <v/>
      </c>
    </row>
    <row r="162">
      <c r="A162" s="25" t="n">
        <v>13</v>
      </c>
      <c r="B162" s="25" t="n">
        <v>8</v>
      </c>
      <c r="C162" s="21">
        <f>G161</f>
        <v/>
      </c>
      <c r="D162" s="21">
        <f>Monthly_Payment-E162</f>
        <v/>
      </c>
      <c r="E162" s="21">
        <f>C162*Interest_Rate/12</f>
        <v/>
      </c>
      <c r="F162" s="21">
        <f>Monthly_Payment</f>
        <v/>
      </c>
      <c r="G162" s="21">
        <f>C162-D162</f>
        <v/>
      </c>
      <c r="H162" s="21">
        <f>H161+D162</f>
        <v/>
      </c>
      <c r="I162" s="21">
        <f>I161+E162</f>
        <v/>
      </c>
    </row>
    <row r="163">
      <c r="A163" s="25" t="n">
        <v>13</v>
      </c>
      <c r="B163" s="25" t="n">
        <v>9</v>
      </c>
      <c r="C163" s="21">
        <f>G162</f>
        <v/>
      </c>
      <c r="D163" s="21">
        <f>Monthly_Payment-E163</f>
        <v/>
      </c>
      <c r="E163" s="21">
        <f>C163*Interest_Rate/12</f>
        <v/>
      </c>
      <c r="F163" s="21">
        <f>Monthly_Payment</f>
        <v/>
      </c>
      <c r="G163" s="21">
        <f>C163-D163</f>
        <v/>
      </c>
      <c r="H163" s="21">
        <f>H162+D163</f>
        <v/>
      </c>
      <c r="I163" s="21">
        <f>I162+E163</f>
        <v/>
      </c>
    </row>
    <row r="164">
      <c r="A164" s="25" t="n">
        <v>13</v>
      </c>
      <c r="B164" s="25" t="n">
        <v>10</v>
      </c>
      <c r="C164" s="21">
        <f>G163</f>
        <v/>
      </c>
      <c r="D164" s="21">
        <f>Monthly_Payment-E164</f>
        <v/>
      </c>
      <c r="E164" s="21">
        <f>C164*Interest_Rate/12</f>
        <v/>
      </c>
      <c r="F164" s="21">
        <f>Monthly_Payment</f>
        <v/>
      </c>
      <c r="G164" s="21">
        <f>C164-D164</f>
        <v/>
      </c>
      <c r="H164" s="21">
        <f>H163+D164</f>
        <v/>
      </c>
      <c r="I164" s="21">
        <f>I163+E164</f>
        <v/>
      </c>
    </row>
    <row r="165">
      <c r="A165" s="25" t="n">
        <v>13</v>
      </c>
      <c r="B165" s="25" t="n">
        <v>11</v>
      </c>
      <c r="C165" s="21">
        <f>G164</f>
        <v/>
      </c>
      <c r="D165" s="21">
        <f>Monthly_Payment-E165</f>
        <v/>
      </c>
      <c r="E165" s="21">
        <f>C165*Interest_Rate/12</f>
        <v/>
      </c>
      <c r="F165" s="21">
        <f>Monthly_Payment</f>
        <v/>
      </c>
      <c r="G165" s="21">
        <f>C165-D165</f>
        <v/>
      </c>
      <c r="H165" s="21">
        <f>H164+D165</f>
        <v/>
      </c>
      <c r="I165" s="21">
        <f>I164+E165</f>
        <v/>
      </c>
    </row>
    <row r="166">
      <c r="A166" s="25" t="n">
        <v>13</v>
      </c>
      <c r="B166" s="25" t="n">
        <v>12</v>
      </c>
      <c r="C166" s="21">
        <f>G165</f>
        <v/>
      </c>
      <c r="D166" s="21">
        <f>Monthly_Payment-E166</f>
        <v/>
      </c>
      <c r="E166" s="21">
        <f>C166*Interest_Rate/12</f>
        <v/>
      </c>
      <c r="F166" s="21">
        <f>Monthly_Payment</f>
        <v/>
      </c>
      <c r="G166" s="21">
        <f>C166-D166</f>
        <v/>
      </c>
      <c r="H166" s="21">
        <f>H165+D166</f>
        <v/>
      </c>
      <c r="I166" s="21">
        <f>I165+E166</f>
        <v/>
      </c>
    </row>
    <row r="167">
      <c r="A167" s="25" t="n">
        <v>14</v>
      </c>
      <c r="B167" s="25" t="n">
        <v>1</v>
      </c>
      <c r="C167" s="21">
        <f>G166</f>
        <v/>
      </c>
      <c r="D167" s="21">
        <f>Monthly_Payment-E167</f>
        <v/>
      </c>
      <c r="E167" s="21">
        <f>C167*Interest_Rate/12</f>
        <v/>
      </c>
      <c r="F167" s="21">
        <f>Monthly_Payment</f>
        <v/>
      </c>
      <c r="G167" s="21">
        <f>C167-D167</f>
        <v/>
      </c>
      <c r="H167" s="21">
        <f>H166+D167</f>
        <v/>
      </c>
      <c r="I167" s="21">
        <f>I166+E167</f>
        <v/>
      </c>
    </row>
    <row r="168">
      <c r="A168" s="25" t="n">
        <v>14</v>
      </c>
      <c r="B168" s="25" t="n">
        <v>2</v>
      </c>
      <c r="C168" s="21">
        <f>G167</f>
        <v/>
      </c>
      <c r="D168" s="21">
        <f>Monthly_Payment-E168</f>
        <v/>
      </c>
      <c r="E168" s="21">
        <f>C168*Interest_Rate/12</f>
        <v/>
      </c>
      <c r="F168" s="21">
        <f>Monthly_Payment</f>
        <v/>
      </c>
      <c r="G168" s="21">
        <f>C168-D168</f>
        <v/>
      </c>
      <c r="H168" s="21">
        <f>H167+D168</f>
        <v/>
      </c>
      <c r="I168" s="21">
        <f>I167+E168</f>
        <v/>
      </c>
    </row>
    <row r="169">
      <c r="A169" s="25" t="n">
        <v>14</v>
      </c>
      <c r="B169" s="25" t="n">
        <v>3</v>
      </c>
      <c r="C169" s="21">
        <f>G168</f>
        <v/>
      </c>
      <c r="D169" s="21">
        <f>Monthly_Payment-E169</f>
        <v/>
      </c>
      <c r="E169" s="21">
        <f>C169*Interest_Rate/12</f>
        <v/>
      </c>
      <c r="F169" s="21">
        <f>Monthly_Payment</f>
        <v/>
      </c>
      <c r="G169" s="21">
        <f>C169-D169</f>
        <v/>
      </c>
      <c r="H169" s="21">
        <f>H168+D169</f>
        <v/>
      </c>
      <c r="I169" s="21">
        <f>I168+E169</f>
        <v/>
      </c>
    </row>
    <row r="170">
      <c r="A170" s="25" t="n">
        <v>14</v>
      </c>
      <c r="B170" s="25" t="n">
        <v>4</v>
      </c>
      <c r="C170" s="21">
        <f>G169</f>
        <v/>
      </c>
      <c r="D170" s="21">
        <f>Monthly_Payment-E170</f>
        <v/>
      </c>
      <c r="E170" s="21">
        <f>C170*Interest_Rate/12</f>
        <v/>
      </c>
      <c r="F170" s="21">
        <f>Monthly_Payment</f>
        <v/>
      </c>
      <c r="G170" s="21">
        <f>C170-D170</f>
        <v/>
      </c>
      <c r="H170" s="21">
        <f>H169+D170</f>
        <v/>
      </c>
      <c r="I170" s="21">
        <f>I169+E170</f>
        <v/>
      </c>
    </row>
    <row r="171">
      <c r="A171" s="25" t="n">
        <v>14</v>
      </c>
      <c r="B171" s="25" t="n">
        <v>5</v>
      </c>
      <c r="C171" s="21">
        <f>G170</f>
        <v/>
      </c>
      <c r="D171" s="21">
        <f>Monthly_Payment-E171</f>
        <v/>
      </c>
      <c r="E171" s="21">
        <f>C171*Interest_Rate/12</f>
        <v/>
      </c>
      <c r="F171" s="21">
        <f>Monthly_Payment</f>
        <v/>
      </c>
      <c r="G171" s="21">
        <f>C171-D171</f>
        <v/>
      </c>
      <c r="H171" s="21">
        <f>H170+D171</f>
        <v/>
      </c>
      <c r="I171" s="21">
        <f>I170+E171</f>
        <v/>
      </c>
    </row>
    <row r="172">
      <c r="A172" s="25" t="n">
        <v>14</v>
      </c>
      <c r="B172" s="25" t="n">
        <v>6</v>
      </c>
      <c r="C172" s="21">
        <f>G171</f>
        <v/>
      </c>
      <c r="D172" s="21">
        <f>Monthly_Payment-E172</f>
        <v/>
      </c>
      <c r="E172" s="21">
        <f>C172*Interest_Rate/12</f>
        <v/>
      </c>
      <c r="F172" s="21">
        <f>Monthly_Payment</f>
        <v/>
      </c>
      <c r="G172" s="21">
        <f>C172-D172</f>
        <v/>
      </c>
      <c r="H172" s="21">
        <f>H171+D172</f>
        <v/>
      </c>
      <c r="I172" s="21">
        <f>I171+E172</f>
        <v/>
      </c>
    </row>
    <row r="173">
      <c r="A173" s="25" t="n">
        <v>14</v>
      </c>
      <c r="B173" s="25" t="n">
        <v>7</v>
      </c>
      <c r="C173" s="21">
        <f>G172</f>
        <v/>
      </c>
      <c r="D173" s="21">
        <f>Monthly_Payment-E173</f>
        <v/>
      </c>
      <c r="E173" s="21">
        <f>C173*Interest_Rate/12</f>
        <v/>
      </c>
      <c r="F173" s="21">
        <f>Monthly_Payment</f>
        <v/>
      </c>
      <c r="G173" s="21">
        <f>C173-D173</f>
        <v/>
      </c>
      <c r="H173" s="21">
        <f>H172+D173</f>
        <v/>
      </c>
      <c r="I173" s="21">
        <f>I172+E173</f>
        <v/>
      </c>
    </row>
    <row r="174">
      <c r="A174" s="25" t="n">
        <v>14</v>
      </c>
      <c r="B174" s="25" t="n">
        <v>8</v>
      </c>
      <c r="C174" s="21">
        <f>G173</f>
        <v/>
      </c>
      <c r="D174" s="21">
        <f>Monthly_Payment-E174</f>
        <v/>
      </c>
      <c r="E174" s="21">
        <f>C174*Interest_Rate/12</f>
        <v/>
      </c>
      <c r="F174" s="21">
        <f>Monthly_Payment</f>
        <v/>
      </c>
      <c r="G174" s="21">
        <f>C174-D174</f>
        <v/>
      </c>
      <c r="H174" s="21">
        <f>H173+D174</f>
        <v/>
      </c>
      <c r="I174" s="21">
        <f>I173+E174</f>
        <v/>
      </c>
    </row>
    <row r="175">
      <c r="A175" s="25" t="n">
        <v>14</v>
      </c>
      <c r="B175" s="25" t="n">
        <v>9</v>
      </c>
      <c r="C175" s="21">
        <f>G174</f>
        <v/>
      </c>
      <c r="D175" s="21">
        <f>Monthly_Payment-E175</f>
        <v/>
      </c>
      <c r="E175" s="21">
        <f>C175*Interest_Rate/12</f>
        <v/>
      </c>
      <c r="F175" s="21">
        <f>Monthly_Payment</f>
        <v/>
      </c>
      <c r="G175" s="21">
        <f>C175-D175</f>
        <v/>
      </c>
      <c r="H175" s="21">
        <f>H174+D175</f>
        <v/>
      </c>
      <c r="I175" s="21">
        <f>I174+E175</f>
        <v/>
      </c>
    </row>
    <row r="176">
      <c r="A176" s="25" t="n">
        <v>14</v>
      </c>
      <c r="B176" s="25" t="n">
        <v>10</v>
      </c>
      <c r="C176" s="21">
        <f>G175</f>
        <v/>
      </c>
      <c r="D176" s="21">
        <f>Monthly_Payment-E176</f>
        <v/>
      </c>
      <c r="E176" s="21">
        <f>C176*Interest_Rate/12</f>
        <v/>
      </c>
      <c r="F176" s="21">
        <f>Monthly_Payment</f>
        <v/>
      </c>
      <c r="G176" s="21">
        <f>C176-D176</f>
        <v/>
      </c>
      <c r="H176" s="21">
        <f>H175+D176</f>
        <v/>
      </c>
      <c r="I176" s="21">
        <f>I175+E176</f>
        <v/>
      </c>
    </row>
    <row r="177">
      <c r="A177" s="25" t="n">
        <v>14</v>
      </c>
      <c r="B177" s="25" t="n">
        <v>11</v>
      </c>
      <c r="C177" s="21">
        <f>G176</f>
        <v/>
      </c>
      <c r="D177" s="21">
        <f>Monthly_Payment-E177</f>
        <v/>
      </c>
      <c r="E177" s="21">
        <f>C177*Interest_Rate/12</f>
        <v/>
      </c>
      <c r="F177" s="21">
        <f>Monthly_Payment</f>
        <v/>
      </c>
      <c r="G177" s="21">
        <f>C177-D177</f>
        <v/>
      </c>
      <c r="H177" s="21">
        <f>H176+D177</f>
        <v/>
      </c>
      <c r="I177" s="21">
        <f>I176+E177</f>
        <v/>
      </c>
    </row>
    <row r="178">
      <c r="A178" s="25" t="n">
        <v>14</v>
      </c>
      <c r="B178" s="25" t="n">
        <v>12</v>
      </c>
      <c r="C178" s="21">
        <f>G177</f>
        <v/>
      </c>
      <c r="D178" s="21">
        <f>Monthly_Payment-E178</f>
        <v/>
      </c>
      <c r="E178" s="21">
        <f>C178*Interest_Rate/12</f>
        <v/>
      </c>
      <c r="F178" s="21">
        <f>Monthly_Payment</f>
        <v/>
      </c>
      <c r="G178" s="21">
        <f>C178-D178</f>
        <v/>
      </c>
      <c r="H178" s="21">
        <f>H177+D178</f>
        <v/>
      </c>
      <c r="I178" s="21">
        <f>I177+E178</f>
        <v/>
      </c>
    </row>
    <row r="179">
      <c r="A179" s="25" t="n">
        <v>15</v>
      </c>
      <c r="B179" s="25" t="n">
        <v>1</v>
      </c>
      <c r="C179" s="21">
        <f>G178</f>
        <v/>
      </c>
      <c r="D179" s="21">
        <f>Monthly_Payment-E179</f>
        <v/>
      </c>
      <c r="E179" s="21">
        <f>C179*Interest_Rate/12</f>
        <v/>
      </c>
      <c r="F179" s="21">
        <f>Monthly_Payment</f>
        <v/>
      </c>
      <c r="G179" s="21">
        <f>C179-D179</f>
        <v/>
      </c>
      <c r="H179" s="21">
        <f>H178+D179</f>
        <v/>
      </c>
      <c r="I179" s="21">
        <f>I178+E179</f>
        <v/>
      </c>
    </row>
    <row r="180">
      <c r="A180" s="25" t="n">
        <v>15</v>
      </c>
      <c r="B180" s="25" t="n">
        <v>2</v>
      </c>
      <c r="C180" s="21">
        <f>G179</f>
        <v/>
      </c>
      <c r="D180" s="21">
        <f>Monthly_Payment-E180</f>
        <v/>
      </c>
      <c r="E180" s="21">
        <f>C180*Interest_Rate/12</f>
        <v/>
      </c>
      <c r="F180" s="21">
        <f>Monthly_Payment</f>
        <v/>
      </c>
      <c r="G180" s="21">
        <f>C180-D180</f>
        <v/>
      </c>
      <c r="H180" s="21">
        <f>H179+D180</f>
        <v/>
      </c>
      <c r="I180" s="21">
        <f>I179+E180</f>
        <v/>
      </c>
    </row>
    <row r="181">
      <c r="A181" s="25" t="n">
        <v>15</v>
      </c>
      <c r="B181" s="25" t="n">
        <v>3</v>
      </c>
      <c r="C181" s="21">
        <f>G180</f>
        <v/>
      </c>
      <c r="D181" s="21">
        <f>Monthly_Payment-E181</f>
        <v/>
      </c>
      <c r="E181" s="21">
        <f>C181*Interest_Rate/12</f>
        <v/>
      </c>
      <c r="F181" s="21">
        <f>Monthly_Payment</f>
        <v/>
      </c>
      <c r="G181" s="21">
        <f>C181-D181</f>
        <v/>
      </c>
      <c r="H181" s="21">
        <f>H180+D181</f>
        <v/>
      </c>
      <c r="I181" s="21">
        <f>I180+E181</f>
        <v/>
      </c>
    </row>
    <row r="182">
      <c r="A182" s="25" t="n">
        <v>15</v>
      </c>
      <c r="B182" s="25" t="n">
        <v>4</v>
      </c>
      <c r="C182" s="21">
        <f>G181</f>
        <v/>
      </c>
      <c r="D182" s="21">
        <f>Monthly_Payment-E182</f>
        <v/>
      </c>
      <c r="E182" s="21">
        <f>C182*Interest_Rate/12</f>
        <v/>
      </c>
      <c r="F182" s="21">
        <f>Monthly_Payment</f>
        <v/>
      </c>
      <c r="G182" s="21">
        <f>C182-D182</f>
        <v/>
      </c>
      <c r="H182" s="21">
        <f>H181+D182</f>
        <v/>
      </c>
      <c r="I182" s="21">
        <f>I181+E182</f>
        <v/>
      </c>
    </row>
    <row r="183">
      <c r="A183" s="25" t="n">
        <v>15</v>
      </c>
      <c r="B183" s="25" t="n">
        <v>5</v>
      </c>
      <c r="C183" s="21">
        <f>G182</f>
        <v/>
      </c>
      <c r="D183" s="21">
        <f>Monthly_Payment-E183</f>
        <v/>
      </c>
      <c r="E183" s="21">
        <f>C183*Interest_Rate/12</f>
        <v/>
      </c>
      <c r="F183" s="21">
        <f>Monthly_Payment</f>
        <v/>
      </c>
      <c r="G183" s="21">
        <f>C183-D183</f>
        <v/>
      </c>
      <c r="H183" s="21">
        <f>H182+D183</f>
        <v/>
      </c>
      <c r="I183" s="21">
        <f>I182+E183</f>
        <v/>
      </c>
    </row>
    <row r="184">
      <c r="A184" s="25" t="n">
        <v>15</v>
      </c>
      <c r="B184" s="25" t="n">
        <v>6</v>
      </c>
      <c r="C184" s="21">
        <f>G183</f>
        <v/>
      </c>
      <c r="D184" s="21">
        <f>Monthly_Payment-E184</f>
        <v/>
      </c>
      <c r="E184" s="21">
        <f>C184*Interest_Rate/12</f>
        <v/>
      </c>
      <c r="F184" s="21">
        <f>Monthly_Payment</f>
        <v/>
      </c>
      <c r="G184" s="21">
        <f>C184-D184</f>
        <v/>
      </c>
      <c r="H184" s="21">
        <f>H183+D184</f>
        <v/>
      </c>
      <c r="I184" s="21">
        <f>I183+E184</f>
        <v/>
      </c>
    </row>
    <row r="185">
      <c r="A185" s="25" t="n">
        <v>15</v>
      </c>
      <c r="B185" s="25" t="n">
        <v>7</v>
      </c>
      <c r="C185" s="21">
        <f>G184</f>
        <v/>
      </c>
      <c r="D185" s="21">
        <f>Monthly_Payment-E185</f>
        <v/>
      </c>
      <c r="E185" s="21">
        <f>C185*Interest_Rate/12</f>
        <v/>
      </c>
      <c r="F185" s="21">
        <f>Monthly_Payment</f>
        <v/>
      </c>
      <c r="G185" s="21">
        <f>C185-D185</f>
        <v/>
      </c>
      <c r="H185" s="21">
        <f>H184+D185</f>
        <v/>
      </c>
      <c r="I185" s="21">
        <f>I184+E185</f>
        <v/>
      </c>
    </row>
    <row r="186">
      <c r="A186" s="25" t="n">
        <v>15</v>
      </c>
      <c r="B186" s="25" t="n">
        <v>8</v>
      </c>
      <c r="C186" s="21">
        <f>G185</f>
        <v/>
      </c>
      <c r="D186" s="21">
        <f>Monthly_Payment-E186</f>
        <v/>
      </c>
      <c r="E186" s="21">
        <f>C186*Interest_Rate/12</f>
        <v/>
      </c>
      <c r="F186" s="21">
        <f>Monthly_Payment</f>
        <v/>
      </c>
      <c r="G186" s="21">
        <f>C186-D186</f>
        <v/>
      </c>
      <c r="H186" s="21">
        <f>H185+D186</f>
        <v/>
      </c>
      <c r="I186" s="21">
        <f>I185+E186</f>
        <v/>
      </c>
    </row>
    <row r="187">
      <c r="A187" s="25" t="n">
        <v>15</v>
      </c>
      <c r="B187" s="25" t="n">
        <v>9</v>
      </c>
      <c r="C187" s="21">
        <f>G186</f>
        <v/>
      </c>
      <c r="D187" s="21">
        <f>Monthly_Payment-E187</f>
        <v/>
      </c>
      <c r="E187" s="21">
        <f>C187*Interest_Rate/12</f>
        <v/>
      </c>
      <c r="F187" s="21">
        <f>Monthly_Payment</f>
        <v/>
      </c>
      <c r="G187" s="21">
        <f>C187-D187</f>
        <v/>
      </c>
      <c r="H187" s="21">
        <f>H186+D187</f>
        <v/>
      </c>
      <c r="I187" s="21">
        <f>I186+E187</f>
        <v/>
      </c>
    </row>
    <row r="188">
      <c r="A188" s="25" t="n">
        <v>15</v>
      </c>
      <c r="B188" s="25" t="n">
        <v>10</v>
      </c>
      <c r="C188" s="21">
        <f>G187</f>
        <v/>
      </c>
      <c r="D188" s="21">
        <f>Monthly_Payment-E188</f>
        <v/>
      </c>
      <c r="E188" s="21">
        <f>C188*Interest_Rate/12</f>
        <v/>
      </c>
      <c r="F188" s="21">
        <f>Monthly_Payment</f>
        <v/>
      </c>
      <c r="G188" s="21">
        <f>C188-D188</f>
        <v/>
      </c>
      <c r="H188" s="21">
        <f>H187+D188</f>
        <v/>
      </c>
      <c r="I188" s="21">
        <f>I187+E188</f>
        <v/>
      </c>
    </row>
    <row r="189">
      <c r="A189" s="25" t="n">
        <v>15</v>
      </c>
      <c r="B189" s="25" t="n">
        <v>11</v>
      </c>
      <c r="C189" s="21">
        <f>G188</f>
        <v/>
      </c>
      <c r="D189" s="21">
        <f>Monthly_Payment-E189</f>
        <v/>
      </c>
      <c r="E189" s="21">
        <f>C189*Interest_Rate/12</f>
        <v/>
      </c>
      <c r="F189" s="21">
        <f>Monthly_Payment</f>
        <v/>
      </c>
      <c r="G189" s="21">
        <f>C189-D189</f>
        <v/>
      </c>
      <c r="H189" s="21">
        <f>H188+D189</f>
        <v/>
      </c>
      <c r="I189" s="21">
        <f>I188+E189</f>
        <v/>
      </c>
    </row>
    <row r="190">
      <c r="A190" s="25" t="n">
        <v>15</v>
      </c>
      <c r="B190" s="25" t="n">
        <v>12</v>
      </c>
      <c r="C190" s="21">
        <f>G189</f>
        <v/>
      </c>
      <c r="D190" s="21">
        <f>Monthly_Payment-E190</f>
        <v/>
      </c>
      <c r="E190" s="21">
        <f>C190*Interest_Rate/12</f>
        <v/>
      </c>
      <c r="F190" s="21">
        <f>Monthly_Payment</f>
        <v/>
      </c>
      <c r="G190" s="21">
        <f>C190-D190</f>
        <v/>
      </c>
      <c r="H190" s="21">
        <f>H189+D190</f>
        <v/>
      </c>
      <c r="I190" s="21">
        <f>I189+E190</f>
        <v/>
      </c>
    </row>
    <row r="191">
      <c r="A191" s="25" t="n">
        <v>16</v>
      </c>
      <c r="B191" s="25" t="n">
        <v>1</v>
      </c>
      <c r="C191" s="21">
        <f>G190</f>
        <v/>
      </c>
      <c r="D191" s="21">
        <f>Monthly_Payment-E191</f>
        <v/>
      </c>
      <c r="E191" s="21">
        <f>C191*Interest_Rate/12</f>
        <v/>
      </c>
      <c r="F191" s="21">
        <f>Monthly_Payment</f>
        <v/>
      </c>
      <c r="G191" s="21">
        <f>C191-D191</f>
        <v/>
      </c>
      <c r="H191" s="21">
        <f>H190+D191</f>
        <v/>
      </c>
      <c r="I191" s="21">
        <f>I190+E191</f>
        <v/>
      </c>
    </row>
    <row r="192">
      <c r="A192" s="25" t="n">
        <v>16</v>
      </c>
      <c r="B192" s="25" t="n">
        <v>2</v>
      </c>
      <c r="C192" s="21">
        <f>G191</f>
        <v/>
      </c>
      <c r="D192" s="21">
        <f>Monthly_Payment-E192</f>
        <v/>
      </c>
      <c r="E192" s="21">
        <f>C192*Interest_Rate/12</f>
        <v/>
      </c>
      <c r="F192" s="21">
        <f>Monthly_Payment</f>
        <v/>
      </c>
      <c r="G192" s="21">
        <f>C192-D192</f>
        <v/>
      </c>
      <c r="H192" s="21">
        <f>H191+D192</f>
        <v/>
      </c>
      <c r="I192" s="21">
        <f>I191+E192</f>
        <v/>
      </c>
    </row>
    <row r="193">
      <c r="A193" s="25" t="n">
        <v>16</v>
      </c>
      <c r="B193" s="25" t="n">
        <v>3</v>
      </c>
      <c r="C193" s="21">
        <f>G192</f>
        <v/>
      </c>
      <c r="D193" s="21">
        <f>Monthly_Payment-E193</f>
        <v/>
      </c>
      <c r="E193" s="21">
        <f>C193*Interest_Rate/12</f>
        <v/>
      </c>
      <c r="F193" s="21">
        <f>Monthly_Payment</f>
        <v/>
      </c>
      <c r="G193" s="21">
        <f>C193-D193</f>
        <v/>
      </c>
      <c r="H193" s="21">
        <f>H192+D193</f>
        <v/>
      </c>
      <c r="I193" s="21">
        <f>I192+E193</f>
        <v/>
      </c>
    </row>
    <row r="194">
      <c r="A194" s="25" t="n">
        <v>16</v>
      </c>
      <c r="B194" s="25" t="n">
        <v>4</v>
      </c>
      <c r="C194" s="21">
        <f>G193</f>
        <v/>
      </c>
      <c r="D194" s="21">
        <f>Monthly_Payment-E194</f>
        <v/>
      </c>
      <c r="E194" s="21">
        <f>C194*Interest_Rate/12</f>
        <v/>
      </c>
      <c r="F194" s="21">
        <f>Monthly_Payment</f>
        <v/>
      </c>
      <c r="G194" s="21">
        <f>C194-D194</f>
        <v/>
      </c>
      <c r="H194" s="21">
        <f>H193+D194</f>
        <v/>
      </c>
      <c r="I194" s="21">
        <f>I193+E194</f>
        <v/>
      </c>
    </row>
    <row r="195">
      <c r="A195" s="25" t="n">
        <v>16</v>
      </c>
      <c r="B195" s="25" t="n">
        <v>5</v>
      </c>
      <c r="C195" s="21">
        <f>G194</f>
        <v/>
      </c>
      <c r="D195" s="21">
        <f>Monthly_Payment-E195</f>
        <v/>
      </c>
      <c r="E195" s="21">
        <f>C195*Interest_Rate/12</f>
        <v/>
      </c>
      <c r="F195" s="21">
        <f>Monthly_Payment</f>
        <v/>
      </c>
      <c r="G195" s="21">
        <f>C195-D195</f>
        <v/>
      </c>
      <c r="H195" s="21">
        <f>H194+D195</f>
        <v/>
      </c>
      <c r="I195" s="21">
        <f>I194+E195</f>
        <v/>
      </c>
    </row>
    <row r="196">
      <c r="A196" s="25" t="n">
        <v>16</v>
      </c>
      <c r="B196" s="25" t="n">
        <v>6</v>
      </c>
      <c r="C196" s="21">
        <f>G195</f>
        <v/>
      </c>
      <c r="D196" s="21">
        <f>Monthly_Payment-E196</f>
        <v/>
      </c>
      <c r="E196" s="21">
        <f>C196*Interest_Rate/12</f>
        <v/>
      </c>
      <c r="F196" s="21">
        <f>Monthly_Payment</f>
        <v/>
      </c>
      <c r="G196" s="21">
        <f>C196-D196</f>
        <v/>
      </c>
      <c r="H196" s="21">
        <f>H195+D196</f>
        <v/>
      </c>
      <c r="I196" s="21">
        <f>I195+E196</f>
        <v/>
      </c>
    </row>
    <row r="197">
      <c r="A197" s="25" t="n">
        <v>16</v>
      </c>
      <c r="B197" s="25" t="n">
        <v>7</v>
      </c>
      <c r="C197" s="21">
        <f>G196</f>
        <v/>
      </c>
      <c r="D197" s="21">
        <f>Monthly_Payment-E197</f>
        <v/>
      </c>
      <c r="E197" s="21">
        <f>C197*Interest_Rate/12</f>
        <v/>
      </c>
      <c r="F197" s="21">
        <f>Monthly_Payment</f>
        <v/>
      </c>
      <c r="G197" s="21">
        <f>C197-D197</f>
        <v/>
      </c>
      <c r="H197" s="21">
        <f>H196+D197</f>
        <v/>
      </c>
      <c r="I197" s="21">
        <f>I196+E197</f>
        <v/>
      </c>
    </row>
    <row r="198">
      <c r="A198" s="25" t="n">
        <v>16</v>
      </c>
      <c r="B198" s="25" t="n">
        <v>8</v>
      </c>
      <c r="C198" s="21">
        <f>G197</f>
        <v/>
      </c>
      <c r="D198" s="21">
        <f>Monthly_Payment-E198</f>
        <v/>
      </c>
      <c r="E198" s="21">
        <f>C198*Interest_Rate/12</f>
        <v/>
      </c>
      <c r="F198" s="21">
        <f>Monthly_Payment</f>
        <v/>
      </c>
      <c r="G198" s="21">
        <f>C198-D198</f>
        <v/>
      </c>
      <c r="H198" s="21">
        <f>H197+D198</f>
        <v/>
      </c>
      <c r="I198" s="21">
        <f>I197+E198</f>
        <v/>
      </c>
    </row>
    <row r="199">
      <c r="A199" s="25" t="n">
        <v>16</v>
      </c>
      <c r="B199" s="25" t="n">
        <v>9</v>
      </c>
      <c r="C199" s="21">
        <f>G198</f>
        <v/>
      </c>
      <c r="D199" s="21">
        <f>Monthly_Payment-E199</f>
        <v/>
      </c>
      <c r="E199" s="21">
        <f>C199*Interest_Rate/12</f>
        <v/>
      </c>
      <c r="F199" s="21">
        <f>Monthly_Payment</f>
        <v/>
      </c>
      <c r="G199" s="21">
        <f>C199-D199</f>
        <v/>
      </c>
      <c r="H199" s="21">
        <f>H198+D199</f>
        <v/>
      </c>
      <c r="I199" s="21">
        <f>I198+E199</f>
        <v/>
      </c>
    </row>
    <row r="200">
      <c r="A200" s="25" t="n">
        <v>16</v>
      </c>
      <c r="B200" s="25" t="n">
        <v>10</v>
      </c>
      <c r="C200" s="21">
        <f>G199</f>
        <v/>
      </c>
      <c r="D200" s="21">
        <f>Monthly_Payment-E200</f>
        <v/>
      </c>
      <c r="E200" s="21">
        <f>C200*Interest_Rate/12</f>
        <v/>
      </c>
      <c r="F200" s="21">
        <f>Monthly_Payment</f>
        <v/>
      </c>
      <c r="G200" s="21">
        <f>C200-D200</f>
        <v/>
      </c>
      <c r="H200" s="21">
        <f>H199+D200</f>
        <v/>
      </c>
      <c r="I200" s="21">
        <f>I199+E200</f>
        <v/>
      </c>
    </row>
    <row r="201">
      <c r="A201" s="25" t="n">
        <v>16</v>
      </c>
      <c r="B201" s="25" t="n">
        <v>11</v>
      </c>
      <c r="C201" s="21">
        <f>G200</f>
        <v/>
      </c>
      <c r="D201" s="21">
        <f>Monthly_Payment-E201</f>
        <v/>
      </c>
      <c r="E201" s="21">
        <f>C201*Interest_Rate/12</f>
        <v/>
      </c>
      <c r="F201" s="21">
        <f>Monthly_Payment</f>
        <v/>
      </c>
      <c r="G201" s="21">
        <f>C201-D201</f>
        <v/>
      </c>
      <c r="H201" s="21">
        <f>H200+D201</f>
        <v/>
      </c>
      <c r="I201" s="21">
        <f>I200+E201</f>
        <v/>
      </c>
    </row>
    <row r="202">
      <c r="A202" s="25" t="n">
        <v>16</v>
      </c>
      <c r="B202" s="25" t="n">
        <v>12</v>
      </c>
      <c r="C202" s="21">
        <f>G201</f>
        <v/>
      </c>
      <c r="D202" s="21">
        <f>Monthly_Payment-E202</f>
        <v/>
      </c>
      <c r="E202" s="21">
        <f>C202*Interest_Rate/12</f>
        <v/>
      </c>
      <c r="F202" s="21">
        <f>Monthly_Payment</f>
        <v/>
      </c>
      <c r="G202" s="21">
        <f>C202-D202</f>
        <v/>
      </c>
      <c r="H202" s="21">
        <f>H201+D202</f>
        <v/>
      </c>
      <c r="I202" s="21">
        <f>I201+E202</f>
        <v/>
      </c>
    </row>
    <row r="203">
      <c r="A203" s="25" t="n">
        <v>17</v>
      </c>
      <c r="B203" s="25" t="n">
        <v>1</v>
      </c>
      <c r="C203" s="21">
        <f>G202</f>
        <v/>
      </c>
      <c r="D203" s="21">
        <f>Monthly_Payment-E203</f>
        <v/>
      </c>
      <c r="E203" s="21">
        <f>C203*Interest_Rate/12</f>
        <v/>
      </c>
      <c r="F203" s="21">
        <f>Monthly_Payment</f>
        <v/>
      </c>
      <c r="G203" s="21">
        <f>C203-D203</f>
        <v/>
      </c>
      <c r="H203" s="21">
        <f>H202+D203</f>
        <v/>
      </c>
      <c r="I203" s="21">
        <f>I202+E203</f>
        <v/>
      </c>
    </row>
    <row r="204">
      <c r="A204" s="25" t="n">
        <v>17</v>
      </c>
      <c r="B204" s="25" t="n">
        <v>2</v>
      </c>
      <c r="C204" s="21">
        <f>G203</f>
        <v/>
      </c>
      <c r="D204" s="21">
        <f>Monthly_Payment-E204</f>
        <v/>
      </c>
      <c r="E204" s="21">
        <f>C204*Interest_Rate/12</f>
        <v/>
      </c>
      <c r="F204" s="21">
        <f>Monthly_Payment</f>
        <v/>
      </c>
      <c r="G204" s="21">
        <f>C204-D204</f>
        <v/>
      </c>
      <c r="H204" s="21">
        <f>H203+D204</f>
        <v/>
      </c>
      <c r="I204" s="21">
        <f>I203+E204</f>
        <v/>
      </c>
    </row>
    <row r="205">
      <c r="A205" s="25" t="n">
        <v>17</v>
      </c>
      <c r="B205" s="25" t="n">
        <v>3</v>
      </c>
      <c r="C205" s="21">
        <f>G204</f>
        <v/>
      </c>
      <c r="D205" s="21">
        <f>Monthly_Payment-E205</f>
        <v/>
      </c>
      <c r="E205" s="21">
        <f>C205*Interest_Rate/12</f>
        <v/>
      </c>
      <c r="F205" s="21">
        <f>Monthly_Payment</f>
        <v/>
      </c>
      <c r="G205" s="21">
        <f>C205-D205</f>
        <v/>
      </c>
      <c r="H205" s="21">
        <f>H204+D205</f>
        <v/>
      </c>
      <c r="I205" s="21">
        <f>I204+E205</f>
        <v/>
      </c>
    </row>
    <row r="206">
      <c r="A206" s="25" t="n">
        <v>17</v>
      </c>
      <c r="B206" s="25" t="n">
        <v>4</v>
      </c>
      <c r="C206" s="21">
        <f>G205</f>
        <v/>
      </c>
      <c r="D206" s="21">
        <f>Monthly_Payment-E206</f>
        <v/>
      </c>
      <c r="E206" s="21">
        <f>C206*Interest_Rate/12</f>
        <v/>
      </c>
      <c r="F206" s="21">
        <f>Monthly_Payment</f>
        <v/>
      </c>
      <c r="G206" s="21">
        <f>C206-D206</f>
        <v/>
      </c>
      <c r="H206" s="21">
        <f>H205+D206</f>
        <v/>
      </c>
      <c r="I206" s="21">
        <f>I205+E206</f>
        <v/>
      </c>
    </row>
    <row r="207">
      <c r="A207" s="25" t="n">
        <v>17</v>
      </c>
      <c r="B207" s="25" t="n">
        <v>5</v>
      </c>
      <c r="C207" s="21">
        <f>G206</f>
        <v/>
      </c>
      <c r="D207" s="21">
        <f>Monthly_Payment-E207</f>
        <v/>
      </c>
      <c r="E207" s="21">
        <f>C207*Interest_Rate/12</f>
        <v/>
      </c>
      <c r="F207" s="21">
        <f>Monthly_Payment</f>
        <v/>
      </c>
      <c r="G207" s="21">
        <f>C207-D207</f>
        <v/>
      </c>
      <c r="H207" s="21">
        <f>H206+D207</f>
        <v/>
      </c>
      <c r="I207" s="21">
        <f>I206+E207</f>
        <v/>
      </c>
    </row>
    <row r="208">
      <c r="A208" s="25" t="n">
        <v>17</v>
      </c>
      <c r="B208" s="25" t="n">
        <v>6</v>
      </c>
      <c r="C208" s="21">
        <f>G207</f>
        <v/>
      </c>
      <c r="D208" s="21">
        <f>Monthly_Payment-E208</f>
        <v/>
      </c>
      <c r="E208" s="21">
        <f>C208*Interest_Rate/12</f>
        <v/>
      </c>
      <c r="F208" s="21">
        <f>Monthly_Payment</f>
        <v/>
      </c>
      <c r="G208" s="21">
        <f>C208-D208</f>
        <v/>
      </c>
      <c r="H208" s="21">
        <f>H207+D208</f>
        <v/>
      </c>
      <c r="I208" s="21">
        <f>I207+E208</f>
        <v/>
      </c>
    </row>
    <row r="209">
      <c r="A209" s="25" t="n">
        <v>17</v>
      </c>
      <c r="B209" s="25" t="n">
        <v>7</v>
      </c>
      <c r="C209" s="21">
        <f>G208</f>
        <v/>
      </c>
      <c r="D209" s="21">
        <f>Monthly_Payment-E209</f>
        <v/>
      </c>
      <c r="E209" s="21">
        <f>C209*Interest_Rate/12</f>
        <v/>
      </c>
      <c r="F209" s="21">
        <f>Monthly_Payment</f>
        <v/>
      </c>
      <c r="G209" s="21">
        <f>C209-D209</f>
        <v/>
      </c>
      <c r="H209" s="21">
        <f>H208+D209</f>
        <v/>
      </c>
      <c r="I209" s="21">
        <f>I208+E209</f>
        <v/>
      </c>
    </row>
    <row r="210">
      <c r="A210" s="25" t="n">
        <v>17</v>
      </c>
      <c r="B210" s="25" t="n">
        <v>8</v>
      </c>
      <c r="C210" s="21">
        <f>G209</f>
        <v/>
      </c>
      <c r="D210" s="21">
        <f>Monthly_Payment-E210</f>
        <v/>
      </c>
      <c r="E210" s="21">
        <f>C210*Interest_Rate/12</f>
        <v/>
      </c>
      <c r="F210" s="21">
        <f>Monthly_Payment</f>
        <v/>
      </c>
      <c r="G210" s="21">
        <f>C210-D210</f>
        <v/>
      </c>
      <c r="H210" s="21">
        <f>H209+D210</f>
        <v/>
      </c>
      <c r="I210" s="21">
        <f>I209+E210</f>
        <v/>
      </c>
    </row>
    <row r="211">
      <c r="A211" s="25" t="n">
        <v>17</v>
      </c>
      <c r="B211" s="25" t="n">
        <v>9</v>
      </c>
      <c r="C211" s="21">
        <f>G210</f>
        <v/>
      </c>
      <c r="D211" s="21">
        <f>Monthly_Payment-E211</f>
        <v/>
      </c>
      <c r="E211" s="21">
        <f>C211*Interest_Rate/12</f>
        <v/>
      </c>
      <c r="F211" s="21">
        <f>Monthly_Payment</f>
        <v/>
      </c>
      <c r="G211" s="21">
        <f>C211-D211</f>
        <v/>
      </c>
      <c r="H211" s="21">
        <f>H210+D211</f>
        <v/>
      </c>
      <c r="I211" s="21">
        <f>I210+E211</f>
        <v/>
      </c>
    </row>
    <row r="212">
      <c r="A212" s="25" t="n">
        <v>17</v>
      </c>
      <c r="B212" s="25" t="n">
        <v>10</v>
      </c>
      <c r="C212" s="21">
        <f>G211</f>
        <v/>
      </c>
      <c r="D212" s="21">
        <f>Monthly_Payment-E212</f>
        <v/>
      </c>
      <c r="E212" s="21">
        <f>C212*Interest_Rate/12</f>
        <v/>
      </c>
      <c r="F212" s="21">
        <f>Monthly_Payment</f>
        <v/>
      </c>
      <c r="G212" s="21">
        <f>C212-D212</f>
        <v/>
      </c>
      <c r="H212" s="21">
        <f>H211+D212</f>
        <v/>
      </c>
      <c r="I212" s="21">
        <f>I211+E212</f>
        <v/>
      </c>
    </row>
    <row r="213">
      <c r="A213" s="25" t="n">
        <v>17</v>
      </c>
      <c r="B213" s="25" t="n">
        <v>11</v>
      </c>
      <c r="C213" s="21">
        <f>G212</f>
        <v/>
      </c>
      <c r="D213" s="21">
        <f>Monthly_Payment-E213</f>
        <v/>
      </c>
      <c r="E213" s="21">
        <f>C213*Interest_Rate/12</f>
        <v/>
      </c>
      <c r="F213" s="21">
        <f>Monthly_Payment</f>
        <v/>
      </c>
      <c r="G213" s="21">
        <f>C213-D213</f>
        <v/>
      </c>
      <c r="H213" s="21">
        <f>H212+D213</f>
        <v/>
      </c>
      <c r="I213" s="21">
        <f>I212+E213</f>
        <v/>
      </c>
    </row>
    <row r="214">
      <c r="A214" s="25" t="n">
        <v>17</v>
      </c>
      <c r="B214" s="25" t="n">
        <v>12</v>
      </c>
      <c r="C214" s="21">
        <f>G213</f>
        <v/>
      </c>
      <c r="D214" s="21">
        <f>Monthly_Payment-E214</f>
        <v/>
      </c>
      <c r="E214" s="21">
        <f>C214*Interest_Rate/12</f>
        <v/>
      </c>
      <c r="F214" s="21">
        <f>Monthly_Payment</f>
        <v/>
      </c>
      <c r="G214" s="21">
        <f>C214-D214</f>
        <v/>
      </c>
      <c r="H214" s="21">
        <f>H213+D214</f>
        <v/>
      </c>
      <c r="I214" s="21">
        <f>I213+E214</f>
        <v/>
      </c>
    </row>
    <row r="215">
      <c r="A215" s="25" t="n">
        <v>18</v>
      </c>
      <c r="B215" s="25" t="n">
        <v>1</v>
      </c>
      <c r="C215" s="21">
        <f>G214</f>
        <v/>
      </c>
      <c r="D215" s="21">
        <f>Monthly_Payment-E215</f>
        <v/>
      </c>
      <c r="E215" s="21">
        <f>C215*Interest_Rate/12</f>
        <v/>
      </c>
      <c r="F215" s="21">
        <f>Monthly_Payment</f>
        <v/>
      </c>
      <c r="G215" s="21">
        <f>C215-D215</f>
        <v/>
      </c>
      <c r="H215" s="21">
        <f>H214+D215</f>
        <v/>
      </c>
      <c r="I215" s="21">
        <f>I214+E215</f>
        <v/>
      </c>
    </row>
    <row r="216">
      <c r="A216" s="25" t="n">
        <v>18</v>
      </c>
      <c r="B216" s="25" t="n">
        <v>2</v>
      </c>
      <c r="C216" s="21">
        <f>G215</f>
        <v/>
      </c>
      <c r="D216" s="21">
        <f>Monthly_Payment-E216</f>
        <v/>
      </c>
      <c r="E216" s="21">
        <f>C216*Interest_Rate/12</f>
        <v/>
      </c>
      <c r="F216" s="21">
        <f>Monthly_Payment</f>
        <v/>
      </c>
      <c r="G216" s="21">
        <f>C216-D216</f>
        <v/>
      </c>
      <c r="H216" s="21">
        <f>H215+D216</f>
        <v/>
      </c>
      <c r="I216" s="21">
        <f>I215+E216</f>
        <v/>
      </c>
    </row>
    <row r="217">
      <c r="A217" s="25" t="n">
        <v>18</v>
      </c>
      <c r="B217" s="25" t="n">
        <v>3</v>
      </c>
      <c r="C217" s="21">
        <f>G216</f>
        <v/>
      </c>
      <c r="D217" s="21">
        <f>Monthly_Payment-E217</f>
        <v/>
      </c>
      <c r="E217" s="21">
        <f>C217*Interest_Rate/12</f>
        <v/>
      </c>
      <c r="F217" s="21">
        <f>Monthly_Payment</f>
        <v/>
      </c>
      <c r="G217" s="21">
        <f>C217-D217</f>
        <v/>
      </c>
      <c r="H217" s="21">
        <f>H216+D217</f>
        <v/>
      </c>
      <c r="I217" s="21">
        <f>I216+E217</f>
        <v/>
      </c>
    </row>
    <row r="218">
      <c r="A218" s="25" t="n">
        <v>18</v>
      </c>
      <c r="B218" s="25" t="n">
        <v>4</v>
      </c>
      <c r="C218" s="21">
        <f>G217</f>
        <v/>
      </c>
      <c r="D218" s="21">
        <f>Monthly_Payment-E218</f>
        <v/>
      </c>
      <c r="E218" s="21">
        <f>C218*Interest_Rate/12</f>
        <v/>
      </c>
      <c r="F218" s="21">
        <f>Monthly_Payment</f>
        <v/>
      </c>
      <c r="G218" s="21">
        <f>C218-D218</f>
        <v/>
      </c>
      <c r="H218" s="21">
        <f>H217+D218</f>
        <v/>
      </c>
      <c r="I218" s="21">
        <f>I217+E218</f>
        <v/>
      </c>
    </row>
    <row r="219">
      <c r="A219" s="25" t="n">
        <v>18</v>
      </c>
      <c r="B219" s="25" t="n">
        <v>5</v>
      </c>
      <c r="C219" s="21">
        <f>G218</f>
        <v/>
      </c>
      <c r="D219" s="21">
        <f>Monthly_Payment-E219</f>
        <v/>
      </c>
      <c r="E219" s="21">
        <f>C219*Interest_Rate/12</f>
        <v/>
      </c>
      <c r="F219" s="21">
        <f>Monthly_Payment</f>
        <v/>
      </c>
      <c r="G219" s="21">
        <f>C219-D219</f>
        <v/>
      </c>
      <c r="H219" s="21">
        <f>H218+D219</f>
        <v/>
      </c>
      <c r="I219" s="21">
        <f>I218+E219</f>
        <v/>
      </c>
    </row>
    <row r="220">
      <c r="A220" s="25" t="n">
        <v>18</v>
      </c>
      <c r="B220" s="25" t="n">
        <v>6</v>
      </c>
      <c r="C220" s="21">
        <f>G219</f>
        <v/>
      </c>
      <c r="D220" s="21">
        <f>Monthly_Payment-E220</f>
        <v/>
      </c>
      <c r="E220" s="21">
        <f>C220*Interest_Rate/12</f>
        <v/>
      </c>
      <c r="F220" s="21">
        <f>Monthly_Payment</f>
        <v/>
      </c>
      <c r="G220" s="21">
        <f>C220-D220</f>
        <v/>
      </c>
      <c r="H220" s="21">
        <f>H219+D220</f>
        <v/>
      </c>
      <c r="I220" s="21">
        <f>I219+E220</f>
        <v/>
      </c>
    </row>
    <row r="221">
      <c r="A221" s="25" t="n">
        <v>18</v>
      </c>
      <c r="B221" s="25" t="n">
        <v>7</v>
      </c>
      <c r="C221" s="21">
        <f>G220</f>
        <v/>
      </c>
      <c r="D221" s="21">
        <f>Monthly_Payment-E221</f>
        <v/>
      </c>
      <c r="E221" s="21">
        <f>C221*Interest_Rate/12</f>
        <v/>
      </c>
      <c r="F221" s="21">
        <f>Monthly_Payment</f>
        <v/>
      </c>
      <c r="G221" s="21">
        <f>C221-D221</f>
        <v/>
      </c>
      <c r="H221" s="21">
        <f>H220+D221</f>
        <v/>
      </c>
      <c r="I221" s="21">
        <f>I220+E221</f>
        <v/>
      </c>
    </row>
    <row r="222">
      <c r="A222" s="25" t="n">
        <v>18</v>
      </c>
      <c r="B222" s="25" t="n">
        <v>8</v>
      </c>
      <c r="C222" s="21">
        <f>G221</f>
        <v/>
      </c>
      <c r="D222" s="21">
        <f>Monthly_Payment-E222</f>
        <v/>
      </c>
      <c r="E222" s="21">
        <f>C222*Interest_Rate/12</f>
        <v/>
      </c>
      <c r="F222" s="21">
        <f>Monthly_Payment</f>
        <v/>
      </c>
      <c r="G222" s="21">
        <f>C222-D222</f>
        <v/>
      </c>
      <c r="H222" s="21">
        <f>H221+D222</f>
        <v/>
      </c>
      <c r="I222" s="21">
        <f>I221+E222</f>
        <v/>
      </c>
    </row>
    <row r="223">
      <c r="A223" s="25" t="n">
        <v>18</v>
      </c>
      <c r="B223" s="25" t="n">
        <v>9</v>
      </c>
      <c r="C223" s="21">
        <f>G222</f>
        <v/>
      </c>
      <c r="D223" s="21">
        <f>Monthly_Payment-E223</f>
        <v/>
      </c>
      <c r="E223" s="21">
        <f>C223*Interest_Rate/12</f>
        <v/>
      </c>
      <c r="F223" s="21">
        <f>Monthly_Payment</f>
        <v/>
      </c>
      <c r="G223" s="21">
        <f>C223-D223</f>
        <v/>
      </c>
      <c r="H223" s="21">
        <f>H222+D223</f>
        <v/>
      </c>
      <c r="I223" s="21">
        <f>I222+E223</f>
        <v/>
      </c>
    </row>
    <row r="224">
      <c r="A224" s="25" t="n">
        <v>18</v>
      </c>
      <c r="B224" s="25" t="n">
        <v>10</v>
      </c>
      <c r="C224" s="21">
        <f>G223</f>
        <v/>
      </c>
      <c r="D224" s="21">
        <f>Monthly_Payment-E224</f>
        <v/>
      </c>
      <c r="E224" s="21">
        <f>C224*Interest_Rate/12</f>
        <v/>
      </c>
      <c r="F224" s="21">
        <f>Monthly_Payment</f>
        <v/>
      </c>
      <c r="G224" s="21">
        <f>C224-D224</f>
        <v/>
      </c>
      <c r="H224" s="21">
        <f>H223+D224</f>
        <v/>
      </c>
      <c r="I224" s="21">
        <f>I223+E224</f>
        <v/>
      </c>
    </row>
    <row r="225">
      <c r="A225" s="25" t="n">
        <v>18</v>
      </c>
      <c r="B225" s="25" t="n">
        <v>11</v>
      </c>
      <c r="C225" s="21">
        <f>G224</f>
        <v/>
      </c>
      <c r="D225" s="21">
        <f>Monthly_Payment-E225</f>
        <v/>
      </c>
      <c r="E225" s="21">
        <f>C225*Interest_Rate/12</f>
        <v/>
      </c>
      <c r="F225" s="21">
        <f>Monthly_Payment</f>
        <v/>
      </c>
      <c r="G225" s="21">
        <f>C225-D225</f>
        <v/>
      </c>
      <c r="H225" s="21">
        <f>H224+D225</f>
        <v/>
      </c>
      <c r="I225" s="21">
        <f>I224+E225</f>
        <v/>
      </c>
    </row>
    <row r="226">
      <c r="A226" s="25" t="n">
        <v>18</v>
      </c>
      <c r="B226" s="25" t="n">
        <v>12</v>
      </c>
      <c r="C226" s="21">
        <f>G225</f>
        <v/>
      </c>
      <c r="D226" s="21">
        <f>Monthly_Payment-E226</f>
        <v/>
      </c>
      <c r="E226" s="21">
        <f>C226*Interest_Rate/12</f>
        <v/>
      </c>
      <c r="F226" s="21">
        <f>Monthly_Payment</f>
        <v/>
      </c>
      <c r="G226" s="21">
        <f>C226-D226</f>
        <v/>
      </c>
      <c r="H226" s="21">
        <f>H225+D226</f>
        <v/>
      </c>
      <c r="I226" s="21">
        <f>I225+E226</f>
        <v/>
      </c>
    </row>
    <row r="227">
      <c r="A227" s="25" t="n">
        <v>19</v>
      </c>
      <c r="B227" s="25" t="n">
        <v>1</v>
      </c>
      <c r="C227" s="21">
        <f>G226</f>
        <v/>
      </c>
      <c r="D227" s="21">
        <f>Monthly_Payment-E227</f>
        <v/>
      </c>
      <c r="E227" s="21">
        <f>C227*Interest_Rate/12</f>
        <v/>
      </c>
      <c r="F227" s="21">
        <f>Monthly_Payment</f>
        <v/>
      </c>
      <c r="G227" s="21">
        <f>C227-D227</f>
        <v/>
      </c>
      <c r="H227" s="21">
        <f>H226+D227</f>
        <v/>
      </c>
      <c r="I227" s="21">
        <f>I226+E227</f>
        <v/>
      </c>
    </row>
    <row r="228">
      <c r="A228" s="25" t="n">
        <v>19</v>
      </c>
      <c r="B228" s="25" t="n">
        <v>2</v>
      </c>
      <c r="C228" s="21">
        <f>G227</f>
        <v/>
      </c>
      <c r="D228" s="21">
        <f>Monthly_Payment-E228</f>
        <v/>
      </c>
      <c r="E228" s="21">
        <f>C228*Interest_Rate/12</f>
        <v/>
      </c>
      <c r="F228" s="21">
        <f>Monthly_Payment</f>
        <v/>
      </c>
      <c r="G228" s="21">
        <f>C228-D228</f>
        <v/>
      </c>
      <c r="H228" s="21">
        <f>H227+D228</f>
        <v/>
      </c>
      <c r="I228" s="21">
        <f>I227+E228</f>
        <v/>
      </c>
    </row>
    <row r="229">
      <c r="A229" s="25" t="n">
        <v>19</v>
      </c>
      <c r="B229" s="25" t="n">
        <v>3</v>
      </c>
      <c r="C229" s="21">
        <f>G228</f>
        <v/>
      </c>
      <c r="D229" s="21">
        <f>Monthly_Payment-E229</f>
        <v/>
      </c>
      <c r="E229" s="21">
        <f>C229*Interest_Rate/12</f>
        <v/>
      </c>
      <c r="F229" s="21">
        <f>Monthly_Payment</f>
        <v/>
      </c>
      <c r="G229" s="21">
        <f>C229-D229</f>
        <v/>
      </c>
      <c r="H229" s="21">
        <f>H228+D229</f>
        <v/>
      </c>
      <c r="I229" s="21">
        <f>I228+E229</f>
        <v/>
      </c>
    </row>
    <row r="230">
      <c r="A230" s="25" t="n">
        <v>19</v>
      </c>
      <c r="B230" s="25" t="n">
        <v>4</v>
      </c>
      <c r="C230" s="21">
        <f>G229</f>
        <v/>
      </c>
      <c r="D230" s="21">
        <f>Monthly_Payment-E230</f>
        <v/>
      </c>
      <c r="E230" s="21">
        <f>C230*Interest_Rate/12</f>
        <v/>
      </c>
      <c r="F230" s="21">
        <f>Monthly_Payment</f>
        <v/>
      </c>
      <c r="G230" s="21">
        <f>C230-D230</f>
        <v/>
      </c>
      <c r="H230" s="21">
        <f>H229+D230</f>
        <v/>
      </c>
      <c r="I230" s="21">
        <f>I229+E230</f>
        <v/>
      </c>
    </row>
    <row r="231">
      <c r="A231" s="25" t="n">
        <v>19</v>
      </c>
      <c r="B231" s="25" t="n">
        <v>5</v>
      </c>
      <c r="C231" s="21">
        <f>G230</f>
        <v/>
      </c>
      <c r="D231" s="21">
        <f>Monthly_Payment-E231</f>
        <v/>
      </c>
      <c r="E231" s="21">
        <f>C231*Interest_Rate/12</f>
        <v/>
      </c>
      <c r="F231" s="21">
        <f>Monthly_Payment</f>
        <v/>
      </c>
      <c r="G231" s="21">
        <f>C231-D231</f>
        <v/>
      </c>
      <c r="H231" s="21">
        <f>H230+D231</f>
        <v/>
      </c>
      <c r="I231" s="21">
        <f>I230+E231</f>
        <v/>
      </c>
    </row>
    <row r="232">
      <c r="A232" s="25" t="n">
        <v>19</v>
      </c>
      <c r="B232" s="25" t="n">
        <v>6</v>
      </c>
      <c r="C232" s="21">
        <f>G231</f>
        <v/>
      </c>
      <c r="D232" s="21">
        <f>Monthly_Payment-E232</f>
        <v/>
      </c>
      <c r="E232" s="21">
        <f>C232*Interest_Rate/12</f>
        <v/>
      </c>
      <c r="F232" s="21">
        <f>Monthly_Payment</f>
        <v/>
      </c>
      <c r="G232" s="21">
        <f>C232-D232</f>
        <v/>
      </c>
      <c r="H232" s="21">
        <f>H231+D232</f>
        <v/>
      </c>
      <c r="I232" s="21">
        <f>I231+E232</f>
        <v/>
      </c>
    </row>
    <row r="233">
      <c r="A233" s="25" t="n">
        <v>19</v>
      </c>
      <c r="B233" s="25" t="n">
        <v>7</v>
      </c>
      <c r="C233" s="21">
        <f>G232</f>
        <v/>
      </c>
      <c r="D233" s="21">
        <f>Monthly_Payment-E233</f>
        <v/>
      </c>
      <c r="E233" s="21">
        <f>C233*Interest_Rate/12</f>
        <v/>
      </c>
      <c r="F233" s="21">
        <f>Monthly_Payment</f>
        <v/>
      </c>
      <c r="G233" s="21">
        <f>C233-D233</f>
        <v/>
      </c>
      <c r="H233" s="21">
        <f>H232+D233</f>
        <v/>
      </c>
      <c r="I233" s="21">
        <f>I232+E233</f>
        <v/>
      </c>
    </row>
    <row r="234">
      <c r="A234" s="25" t="n">
        <v>19</v>
      </c>
      <c r="B234" s="25" t="n">
        <v>8</v>
      </c>
      <c r="C234" s="21">
        <f>G233</f>
        <v/>
      </c>
      <c r="D234" s="21">
        <f>Monthly_Payment-E234</f>
        <v/>
      </c>
      <c r="E234" s="21">
        <f>C234*Interest_Rate/12</f>
        <v/>
      </c>
      <c r="F234" s="21">
        <f>Monthly_Payment</f>
        <v/>
      </c>
      <c r="G234" s="21">
        <f>C234-D234</f>
        <v/>
      </c>
      <c r="H234" s="21">
        <f>H233+D234</f>
        <v/>
      </c>
      <c r="I234" s="21">
        <f>I233+E234</f>
        <v/>
      </c>
    </row>
    <row r="235">
      <c r="A235" s="25" t="n">
        <v>19</v>
      </c>
      <c r="B235" s="25" t="n">
        <v>9</v>
      </c>
      <c r="C235" s="21">
        <f>G234</f>
        <v/>
      </c>
      <c r="D235" s="21">
        <f>Monthly_Payment-E235</f>
        <v/>
      </c>
      <c r="E235" s="21">
        <f>C235*Interest_Rate/12</f>
        <v/>
      </c>
      <c r="F235" s="21">
        <f>Monthly_Payment</f>
        <v/>
      </c>
      <c r="G235" s="21">
        <f>C235-D235</f>
        <v/>
      </c>
      <c r="H235" s="21">
        <f>H234+D235</f>
        <v/>
      </c>
      <c r="I235" s="21">
        <f>I234+E235</f>
        <v/>
      </c>
    </row>
    <row r="236">
      <c r="A236" s="25" t="n">
        <v>19</v>
      </c>
      <c r="B236" s="25" t="n">
        <v>10</v>
      </c>
      <c r="C236" s="21">
        <f>G235</f>
        <v/>
      </c>
      <c r="D236" s="21">
        <f>Monthly_Payment-E236</f>
        <v/>
      </c>
      <c r="E236" s="21">
        <f>C236*Interest_Rate/12</f>
        <v/>
      </c>
      <c r="F236" s="21">
        <f>Monthly_Payment</f>
        <v/>
      </c>
      <c r="G236" s="21">
        <f>C236-D236</f>
        <v/>
      </c>
      <c r="H236" s="21">
        <f>H235+D236</f>
        <v/>
      </c>
      <c r="I236" s="21">
        <f>I235+E236</f>
        <v/>
      </c>
    </row>
    <row r="237">
      <c r="A237" s="25" t="n">
        <v>19</v>
      </c>
      <c r="B237" s="25" t="n">
        <v>11</v>
      </c>
      <c r="C237" s="21">
        <f>G236</f>
        <v/>
      </c>
      <c r="D237" s="21">
        <f>Monthly_Payment-E237</f>
        <v/>
      </c>
      <c r="E237" s="21">
        <f>C237*Interest_Rate/12</f>
        <v/>
      </c>
      <c r="F237" s="21">
        <f>Monthly_Payment</f>
        <v/>
      </c>
      <c r="G237" s="21">
        <f>C237-D237</f>
        <v/>
      </c>
      <c r="H237" s="21">
        <f>H236+D237</f>
        <v/>
      </c>
      <c r="I237" s="21">
        <f>I236+E237</f>
        <v/>
      </c>
    </row>
    <row r="238">
      <c r="A238" s="25" t="n">
        <v>19</v>
      </c>
      <c r="B238" s="25" t="n">
        <v>12</v>
      </c>
      <c r="C238" s="21">
        <f>G237</f>
        <v/>
      </c>
      <c r="D238" s="21">
        <f>Monthly_Payment-E238</f>
        <v/>
      </c>
      <c r="E238" s="21">
        <f>C238*Interest_Rate/12</f>
        <v/>
      </c>
      <c r="F238" s="21">
        <f>Monthly_Payment</f>
        <v/>
      </c>
      <c r="G238" s="21">
        <f>C238-D238</f>
        <v/>
      </c>
      <c r="H238" s="21">
        <f>H237+D238</f>
        <v/>
      </c>
      <c r="I238" s="21">
        <f>I237+E238</f>
        <v/>
      </c>
    </row>
    <row r="239">
      <c r="A239" s="25" t="n">
        <v>20</v>
      </c>
      <c r="B239" s="25" t="n">
        <v>1</v>
      </c>
      <c r="C239" s="21">
        <f>G238</f>
        <v/>
      </c>
      <c r="D239" s="21">
        <f>Monthly_Payment-E239</f>
        <v/>
      </c>
      <c r="E239" s="21">
        <f>C239*Interest_Rate/12</f>
        <v/>
      </c>
      <c r="F239" s="21">
        <f>Monthly_Payment</f>
        <v/>
      </c>
      <c r="G239" s="21">
        <f>C239-D239</f>
        <v/>
      </c>
      <c r="H239" s="21">
        <f>H238+D239</f>
        <v/>
      </c>
      <c r="I239" s="21">
        <f>I238+E239</f>
        <v/>
      </c>
    </row>
    <row r="240">
      <c r="A240" s="25" t="n">
        <v>20</v>
      </c>
      <c r="B240" s="25" t="n">
        <v>2</v>
      </c>
      <c r="C240" s="21">
        <f>G239</f>
        <v/>
      </c>
      <c r="D240" s="21">
        <f>Monthly_Payment-E240</f>
        <v/>
      </c>
      <c r="E240" s="21">
        <f>C240*Interest_Rate/12</f>
        <v/>
      </c>
      <c r="F240" s="21">
        <f>Monthly_Payment</f>
        <v/>
      </c>
      <c r="G240" s="21">
        <f>C240-D240</f>
        <v/>
      </c>
      <c r="H240" s="21">
        <f>H239+D240</f>
        <v/>
      </c>
      <c r="I240" s="21">
        <f>I239+E240</f>
        <v/>
      </c>
    </row>
    <row r="241">
      <c r="A241" s="25" t="n">
        <v>20</v>
      </c>
      <c r="B241" s="25" t="n">
        <v>3</v>
      </c>
      <c r="C241" s="21">
        <f>G240</f>
        <v/>
      </c>
      <c r="D241" s="21">
        <f>Monthly_Payment-E241</f>
        <v/>
      </c>
      <c r="E241" s="21">
        <f>C241*Interest_Rate/12</f>
        <v/>
      </c>
      <c r="F241" s="21">
        <f>Monthly_Payment</f>
        <v/>
      </c>
      <c r="G241" s="21">
        <f>C241-D241</f>
        <v/>
      </c>
      <c r="H241" s="21">
        <f>H240+D241</f>
        <v/>
      </c>
      <c r="I241" s="21">
        <f>I240+E241</f>
        <v/>
      </c>
    </row>
    <row r="242">
      <c r="A242" s="25" t="n">
        <v>20</v>
      </c>
      <c r="B242" s="25" t="n">
        <v>4</v>
      </c>
      <c r="C242" s="21">
        <f>G241</f>
        <v/>
      </c>
      <c r="D242" s="21">
        <f>Monthly_Payment-E242</f>
        <v/>
      </c>
      <c r="E242" s="21">
        <f>C242*Interest_Rate/12</f>
        <v/>
      </c>
      <c r="F242" s="21">
        <f>Monthly_Payment</f>
        <v/>
      </c>
      <c r="G242" s="21">
        <f>C242-D242</f>
        <v/>
      </c>
      <c r="H242" s="21">
        <f>H241+D242</f>
        <v/>
      </c>
      <c r="I242" s="21">
        <f>I241+E242</f>
        <v/>
      </c>
    </row>
    <row r="243">
      <c r="A243" s="25" t="n">
        <v>20</v>
      </c>
      <c r="B243" s="25" t="n">
        <v>5</v>
      </c>
      <c r="C243" s="21">
        <f>G242</f>
        <v/>
      </c>
      <c r="D243" s="21">
        <f>Monthly_Payment-E243</f>
        <v/>
      </c>
      <c r="E243" s="21">
        <f>C243*Interest_Rate/12</f>
        <v/>
      </c>
      <c r="F243" s="21">
        <f>Monthly_Payment</f>
        <v/>
      </c>
      <c r="G243" s="21">
        <f>C243-D243</f>
        <v/>
      </c>
      <c r="H243" s="21">
        <f>H242+D243</f>
        <v/>
      </c>
      <c r="I243" s="21">
        <f>I242+E243</f>
        <v/>
      </c>
    </row>
    <row r="244">
      <c r="A244" s="25" t="n">
        <v>20</v>
      </c>
      <c r="B244" s="25" t="n">
        <v>6</v>
      </c>
      <c r="C244" s="21">
        <f>G243</f>
        <v/>
      </c>
      <c r="D244" s="21">
        <f>Monthly_Payment-E244</f>
        <v/>
      </c>
      <c r="E244" s="21">
        <f>C244*Interest_Rate/12</f>
        <v/>
      </c>
      <c r="F244" s="21">
        <f>Monthly_Payment</f>
        <v/>
      </c>
      <c r="G244" s="21">
        <f>C244-D244</f>
        <v/>
      </c>
      <c r="H244" s="21">
        <f>H243+D244</f>
        <v/>
      </c>
      <c r="I244" s="21">
        <f>I243+E244</f>
        <v/>
      </c>
    </row>
    <row r="245">
      <c r="A245" s="25" t="n">
        <v>20</v>
      </c>
      <c r="B245" s="25" t="n">
        <v>7</v>
      </c>
      <c r="C245" s="21">
        <f>G244</f>
        <v/>
      </c>
      <c r="D245" s="21">
        <f>Monthly_Payment-E245</f>
        <v/>
      </c>
      <c r="E245" s="21">
        <f>C245*Interest_Rate/12</f>
        <v/>
      </c>
      <c r="F245" s="21">
        <f>Monthly_Payment</f>
        <v/>
      </c>
      <c r="G245" s="21">
        <f>C245-D245</f>
        <v/>
      </c>
      <c r="H245" s="21">
        <f>H244+D245</f>
        <v/>
      </c>
      <c r="I245" s="21">
        <f>I244+E245</f>
        <v/>
      </c>
    </row>
    <row r="246">
      <c r="A246" s="25" t="n">
        <v>20</v>
      </c>
      <c r="B246" s="25" t="n">
        <v>8</v>
      </c>
      <c r="C246" s="21">
        <f>G245</f>
        <v/>
      </c>
      <c r="D246" s="21">
        <f>Monthly_Payment-E246</f>
        <v/>
      </c>
      <c r="E246" s="21">
        <f>C246*Interest_Rate/12</f>
        <v/>
      </c>
      <c r="F246" s="21">
        <f>Monthly_Payment</f>
        <v/>
      </c>
      <c r="G246" s="21">
        <f>C246-D246</f>
        <v/>
      </c>
      <c r="H246" s="21">
        <f>H245+D246</f>
        <v/>
      </c>
      <c r="I246" s="21">
        <f>I245+E246</f>
        <v/>
      </c>
    </row>
    <row r="247">
      <c r="A247" s="25" t="n">
        <v>20</v>
      </c>
      <c r="B247" s="25" t="n">
        <v>9</v>
      </c>
      <c r="C247" s="21">
        <f>G246</f>
        <v/>
      </c>
      <c r="D247" s="21">
        <f>Monthly_Payment-E247</f>
        <v/>
      </c>
      <c r="E247" s="21">
        <f>C247*Interest_Rate/12</f>
        <v/>
      </c>
      <c r="F247" s="21">
        <f>Monthly_Payment</f>
        <v/>
      </c>
      <c r="G247" s="21">
        <f>C247-D247</f>
        <v/>
      </c>
      <c r="H247" s="21">
        <f>H246+D247</f>
        <v/>
      </c>
      <c r="I247" s="21">
        <f>I246+E247</f>
        <v/>
      </c>
    </row>
    <row r="248">
      <c r="A248" s="25" t="n">
        <v>20</v>
      </c>
      <c r="B248" s="25" t="n">
        <v>10</v>
      </c>
      <c r="C248" s="21">
        <f>G247</f>
        <v/>
      </c>
      <c r="D248" s="21">
        <f>Monthly_Payment-E248</f>
        <v/>
      </c>
      <c r="E248" s="21">
        <f>C248*Interest_Rate/12</f>
        <v/>
      </c>
      <c r="F248" s="21">
        <f>Monthly_Payment</f>
        <v/>
      </c>
      <c r="G248" s="21">
        <f>C248-D248</f>
        <v/>
      </c>
      <c r="H248" s="21">
        <f>H247+D248</f>
        <v/>
      </c>
      <c r="I248" s="21">
        <f>I247+E248</f>
        <v/>
      </c>
    </row>
    <row r="249">
      <c r="A249" s="25" t="n">
        <v>20</v>
      </c>
      <c r="B249" s="25" t="n">
        <v>11</v>
      </c>
      <c r="C249" s="21">
        <f>G248</f>
        <v/>
      </c>
      <c r="D249" s="21">
        <f>Monthly_Payment-E249</f>
        <v/>
      </c>
      <c r="E249" s="21">
        <f>C249*Interest_Rate/12</f>
        <v/>
      </c>
      <c r="F249" s="21">
        <f>Monthly_Payment</f>
        <v/>
      </c>
      <c r="G249" s="21">
        <f>C249-D249</f>
        <v/>
      </c>
      <c r="H249" s="21">
        <f>H248+D249</f>
        <v/>
      </c>
      <c r="I249" s="21">
        <f>I248+E249</f>
        <v/>
      </c>
    </row>
    <row r="250">
      <c r="A250" s="25" t="n">
        <v>20</v>
      </c>
      <c r="B250" s="25" t="n">
        <v>12</v>
      </c>
      <c r="C250" s="21">
        <f>G249</f>
        <v/>
      </c>
      <c r="D250" s="21">
        <f>Monthly_Payment-E250</f>
        <v/>
      </c>
      <c r="E250" s="21">
        <f>C250*Interest_Rate/12</f>
        <v/>
      </c>
      <c r="F250" s="21">
        <f>Monthly_Payment</f>
        <v/>
      </c>
      <c r="G250" s="21">
        <f>C250-D250</f>
        <v/>
      </c>
      <c r="H250" s="21">
        <f>H249+D250</f>
        <v/>
      </c>
      <c r="I250" s="21">
        <f>I249+E250</f>
        <v/>
      </c>
    </row>
    <row r="251">
      <c r="A251" s="25" t="n">
        <v>21</v>
      </c>
      <c r="B251" s="25" t="n">
        <v>1</v>
      </c>
      <c r="C251" s="21">
        <f>G250</f>
        <v/>
      </c>
      <c r="D251" s="21">
        <f>Monthly_Payment-E251</f>
        <v/>
      </c>
      <c r="E251" s="21">
        <f>C251*Interest_Rate/12</f>
        <v/>
      </c>
      <c r="F251" s="21">
        <f>Monthly_Payment</f>
        <v/>
      </c>
      <c r="G251" s="21">
        <f>C251-D251</f>
        <v/>
      </c>
      <c r="H251" s="21">
        <f>H250+D251</f>
        <v/>
      </c>
      <c r="I251" s="21">
        <f>I250+E251</f>
        <v/>
      </c>
    </row>
    <row r="252">
      <c r="A252" s="25" t="n">
        <v>21</v>
      </c>
      <c r="B252" s="25" t="n">
        <v>2</v>
      </c>
      <c r="C252" s="21">
        <f>G251</f>
        <v/>
      </c>
      <c r="D252" s="21">
        <f>Monthly_Payment-E252</f>
        <v/>
      </c>
      <c r="E252" s="21">
        <f>C252*Interest_Rate/12</f>
        <v/>
      </c>
      <c r="F252" s="21">
        <f>Monthly_Payment</f>
        <v/>
      </c>
      <c r="G252" s="21">
        <f>C252-D252</f>
        <v/>
      </c>
      <c r="H252" s="21">
        <f>H251+D252</f>
        <v/>
      </c>
      <c r="I252" s="21">
        <f>I251+E252</f>
        <v/>
      </c>
    </row>
    <row r="253">
      <c r="A253" s="25" t="n">
        <v>21</v>
      </c>
      <c r="B253" s="25" t="n">
        <v>3</v>
      </c>
      <c r="C253" s="21">
        <f>G252</f>
        <v/>
      </c>
      <c r="D253" s="21">
        <f>Monthly_Payment-E253</f>
        <v/>
      </c>
      <c r="E253" s="21">
        <f>C253*Interest_Rate/12</f>
        <v/>
      </c>
      <c r="F253" s="21">
        <f>Monthly_Payment</f>
        <v/>
      </c>
      <c r="G253" s="21">
        <f>C253-D253</f>
        <v/>
      </c>
      <c r="H253" s="21">
        <f>H252+D253</f>
        <v/>
      </c>
      <c r="I253" s="21">
        <f>I252+E253</f>
        <v/>
      </c>
    </row>
    <row r="254">
      <c r="A254" s="25" t="n">
        <v>21</v>
      </c>
      <c r="B254" s="25" t="n">
        <v>4</v>
      </c>
      <c r="C254" s="21">
        <f>G253</f>
        <v/>
      </c>
      <c r="D254" s="21">
        <f>Monthly_Payment-E254</f>
        <v/>
      </c>
      <c r="E254" s="21">
        <f>C254*Interest_Rate/12</f>
        <v/>
      </c>
      <c r="F254" s="21">
        <f>Monthly_Payment</f>
        <v/>
      </c>
      <c r="G254" s="21">
        <f>C254-D254</f>
        <v/>
      </c>
      <c r="H254" s="21">
        <f>H253+D254</f>
        <v/>
      </c>
      <c r="I254" s="21">
        <f>I253+E254</f>
        <v/>
      </c>
    </row>
    <row r="255">
      <c r="A255" s="25" t="n">
        <v>21</v>
      </c>
      <c r="B255" s="25" t="n">
        <v>5</v>
      </c>
      <c r="C255" s="21">
        <f>G254</f>
        <v/>
      </c>
      <c r="D255" s="21">
        <f>Monthly_Payment-E255</f>
        <v/>
      </c>
      <c r="E255" s="21">
        <f>C255*Interest_Rate/12</f>
        <v/>
      </c>
      <c r="F255" s="21">
        <f>Monthly_Payment</f>
        <v/>
      </c>
      <c r="G255" s="21">
        <f>C255-D255</f>
        <v/>
      </c>
      <c r="H255" s="21">
        <f>H254+D255</f>
        <v/>
      </c>
      <c r="I255" s="21">
        <f>I254+E255</f>
        <v/>
      </c>
    </row>
    <row r="256">
      <c r="A256" s="25" t="n">
        <v>21</v>
      </c>
      <c r="B256" s="25" t="n">
        <v>6</v>
      </c>
      <c r="C256" s="21">
        <f>G255</f>
        <v/>
      </c>
      <c r="D256" s="21">
        <f>Monthly_Payment-E256</f>
        <v/>
      </c>
      <c r="E256" s="21">
        <f>C256*Interest_Rate/12</f>
        <v/>
      </c>
      <c r="F256" s="21">
        <f>Monthly_Payment</f>
        <v/>
      </c>
      <c r="G256" s="21">
        <f>C256-D256</f>
        <v/>
      </c>
      <c r="H256" s="21">
        <f>H255+D256</f>
        <v/>
      </c>
      <c r="I256" s="21">
        <f>I255+E256</f>
        <v/>
      </c>
    </row>
    <row r="257">
      <c r="A257" s="25" t="n">
        <v>21</v>
      </c>
      <c r="B257" s="25" t="n">
        <v>7</v>
      </c>
      <c r="C257" s="21">
        <f>G256</f>
        <v/>
      </c>
      <c r="D257" s="21">
        <f>Monthly_Payment-E257</f>
        <v/>
      </c>
      <c r="E257" s="21">
        <f>C257*Interest_Rate/12</f>
        <v/>
      </c>
      <c r="F257" s="21">
        <f>Monthly_Payment</f>
        <v/>
      </c>
      <c r="G257" s="21">
        <f>C257-D257</f>
        <v/>
      </c>
      <c r="H257" s="21">
        <f>H256+D257</f>
        <v/>
      </c>
      <c r="I257" s="21">
        <f>I256+E257</f>
        <v/>
      </c>
    </row>
    <row r="258">
      <c r="A258" s="25" t="n">
        <v>21</v>
      </c>
      <c r="B258" s="25" t="n">
        <v>8</v>
      </c>
      <c r="C258" s="21">
        <f>G257</f>
        <v/>
      </c>
      <c r="D258" s="21">
        <f>Monthly_Payment-E258</f>
        <v/>
      </c>
      <c r="E258" s="21">
        <f>C258*Interest_Rate/12</f>
        <v/>
      </c>
      <c r="F258" s="21">
        <f>Monthly_Payment</f>
        <v/>
      </c>
      <c r="G258" s="21">
        <f>C258-D258</f>
        <v/>
      </c>
      <c r="H258" s="21">
        <f>H257+D258</f>
        <v/>
      </c>
      <c r="I258" s="21">
        <f>I257+E258</f>
        <v/>
      </c>
    </row>
    <row r="259">
      <c r="A259" s="25" t="n">
        <v>21</v>
      </c>
      <c r="B259" s="25" t="n">
        <v>9</v>
      </c>
      <c r="C259" s="21">
        <f>G258</f>
        <v/>
      </c>
      <c r="D259" s="21">
        <f>Monthly_Payment-E259</f>
        <v/>
      </c>
      <c r="E259" s="21">
        <f>C259*Interest_Rate/12</f>
        <v/>
      </c>
      <c r="F259" s="21">
        <f>Monthly_Payment</f>
        <v/>
      </c>
      <c r="G259" s="21">
        <f>C259-D259</f>
        <v/>
      </c>
      <c r="H259" s="21">
        <f>H258+D259</f>
        <v/>
      </c>
      <c r="I259" s="21">
        <f>I258+E259</f>
        <v/>
      </c>
    </row>
    <row r="260">
      <c r="A260" s="25" t="n">
        <v>21</v>
      </c>
      <c r="B260" s="25" t="n">
        <v>10</v>
      </c>
      <c r="C260" s="21">
        <f>G259</f>
        <v/>
      </c>
      <c r="D260" s="21">
        <f>Monthly_Payment-E260</f>
        <v/>
      </c>
      <c r="E260" s="21">
        <f>C260*Interest_Rate/12</f>
        <v/>
      </c>
      <c r="F260" s="21">
        <f>Monthly_Payment</f>
        <v/>
      </c>
      <c r="G260" s="21">
        <f>C260-D260</f>
        <v/>
      </c>
      <c r="H260" s="21">
        <f>H259+D260</f>
        <v/>
      </c>
      <c r="I260" s="21">
        <f>I259+E260</f>
        <v/>
      </c>
    </row>
    <row r="261">
      <c r="A261" s="25" t="n">
        <v>21</v>
      </c>
      <c r="B261" s="25" t="n">
        <v>11</v>
      </c>
      <c r="C261" s="21">
        <f>G260</f>
        <v/>
      </c>
      <c r="D261" s="21">
        <f>Monthly_Payment-E261</f>
        <v/>
      </c>
      <c r="E261" s="21">
        <f>C261*Interest_Rate/12</f>
        <v/>
      </c>
      <c r="F261" s="21">
        <f>Monthly_Payment</f>
        <v/>
      </c>
      <c r="G261" s="21">
        <f>C261-D261</f>
        <v/>
      </c>
      <c r="H261" s="21">
        <f>H260+D261</f>
        <v/>
      </c>
      <c r="I261" s="21">
        <f>I260+E261</f>
        <v/>
      </c>
    </row>
    <row r="262">
      <c r="A262" s="25" t="n">
        <v>21</v>
      </c>
      <c r="B262" s="25" t="n">
        <v>12</v>
      </c>
      <c r="C262" s="21">
        <f>G261</f>
        <v/>
      </c>
      <c r="D262" s="21">
        <f>Monthly_Payment-E262</f>
        <v/>
      </c>
      <c r="E262" s="21">
        <f>C262*Interest_Rate/12</f>
        <v/>
      </c>
      <c r="F262" s="21">
        <f>Monthly_Payment</f>
        <v/>
      </c>
      <c r="G262" s="21">
        <f>C262-D262</f>
        <v/>
      </c>
      <c r="H262" s="21">
        <f>H261+D262</f>
        <v/>
      </c>
      <c r="I262" s="21">
        <f>I261+E262</f>
        <v/>
      </c>
    </row>
    <row r="263">
      <c r="A263" s="25" t="n">
        <v>22</v>
      </c>
      <c r="B263" s="25" t="n">
        <v>1</v>
      </c>
      <c r="C263" s="21">
        <f>G262</f>
        <v/>
      </c>
      <c r="D263" s="21">
        <f>Monthly_Payment-E263</f>
        <v/>
      </c>
      <c r="E263" s="21">
        <f>C263*Interest_Rate/12</f>
        <v/>
      </c>
      <c r="F263" s="21">
        <f>Monthly_Payment</f>
        <v/>
      </c>
      <c r="G263" s="21">
        <f>C263-D263</f>
        <v/>
      </c>
      <c r="H263" s="21">
        <f>H262+D263</f>
        <v/>
      </c>
      <c r="I263" s="21">
        <f>I262+E263</f>
        <v/>
      </c>
    </row>
    <row r="264">
      <c r="A264" s="25" t="n">
        <v>22</v>
      </c>
      <c r="B264" s="25" t="n">
        <v>2</v>
      </c>
      <c r="C264" s="21">
        <f>G263</f>
        <v/>
      </c>
      <c r="D264" s="21">
        <f>Monthly_Payment-E264</f>
        <v/>
      </c>
      <c r="E264" s="21">
        <f>C264*Interest_Rate/12</f>
        <v/>
      </c>
      <c r="F264" s="21">
        <f>Monthly_Payment</f>
        <v/>
      </c>
      <c r="G264" s="21">
        <f>C264-D264</f>
        <v/>
      </c>
      <c r="H264" s="21">
        <f>H263+D264</f>
        <v/>
      </c>
      <c r="I264" s="21">
        <f>I263+E264</f>
        <v/>
      </c>
    </row>
    <row r="265">
      <c r="A265" s="25" t="n">
        <v>22</v>
      </c>
      <c r="B265" s="25" t="n">
        <v>3</v>
      </c>
      <c r="C265" s="21">
        <f>G264</f>
        <v/>
      </c>
      <c r="D265" s="21">
        <f>Monthly_Payment-E265</f>
        <v/>
      </c>
      <c r="E265" s="21">
        <f>C265*Interest_Rate/12</f>
        <v/>
      </c>
      <c r="F265" s="21">
        <f>Monthly_Payment</f>
        <v/>
      </c>
      <c r="G265" s="21">
        <f>C265-D265</f>
        <v/>
      </c>
      <c r="H265" s="21">
        <f>H264+D265</f>
        <v/>
      </c>
      <c r="I265" s="21">
        <f>I264+E265</f>
        <v/>
      </c>
    </row>
    <row r="266">
      <c r="A266" s="25" t="n">
        <v>22</v>
      </c>
      <c r="B266" s="25" t="n">
        <v>4</v>
      </c>
      <c r="C266" s="21">
        <f>G265</f>
        <v/>
      </c>
      <c r="D266" s="21">
        <f>Monthly_Payment-E266</f>
        <v/>
      </c>
      <c r="E266" s="21">
        <f>C266*Interest_Rate/12</f>
        <v/>
      </c>
      <c r="F266" s="21">
        <f>Monthly_Payment</f>
        <v/>
      </c>
      <c r="G266" s="21">
        <f>C266-D266</f>
        <v/>
      </c>
      <c r="H266" s="21">
        <f>H265+D266</f>
        <v/>
      </c>
      <c r="I266" s="21">
        <f>I265+E266</f>
        <v/>
      </c>
    </row>
    <row r="267">
      <c r="A267" s="25" t="n">
        <v>22</v>
      </c>
      <c r="B267" s="25" t="n">
        <v>5</v>
      </c>
      <c r="C267" s="21">
        <f>G266</f>
        <v/>
      </c>
      <c r="D267" s="21">
        <f>Monthly_Payment-E267</f>
        <v/>
      </c>
      <c r="E267" s="21">
        <f>C267*Interest_Rate/12</f>
        <v/>
      </c>
      <c r="F267" s="21">
        <f>Monthly_Payment</f>
        <v/>
      </c>
      <c r="G267" s="21">
        <f>C267-D267</f>
        <v/>
      </c>
      <c r="H267" s="21">
        <f>H266+D267</f>
        <v/>
      </c>
      <c r="I267" s="21">
        <f>I266+E267</f>
        <v/>
      </c>
    </row>
    <row r="268">
      <c r="A268" s="25" t="n">
        <v>22</v>
      </c>
      <c r="B268" s="25" t="n">
        <v>6</v>
      </c>
      <c r="C268" s="21">
        <f>G267</f>
        <v/>
      </c>
      <c r="D268" s="21">
        <f>Monthly_Payment-E268</f>
        <v/>
      </c>
      <c r="E268" s="21">
        <f>C268*Interest_Rate/12</f>
        <v/>
      </c>
      <c r="F268" s="21">
        <f>Monthly_Payment</f>
        <v/>
      </c>
      <c r="G268" s="21">
        <f>C268-D268</f>
        <v/>
      </c>
      <c r="H268" s="21">
        <f>H267+D268</f>
        <v/>
      </c>
      <c r="I268" s="21">
        <f>I267+E268</f>
        <v/>
      </c>
    </row>
    <row r="269">
      <c r="A269" s="25" t="n">
        <v>22</v>
      </c>
      <c r="B269" s="25" t="n">
        <v>7</v>
      </c>
      <c r="C269" s="21">
        <f>G268</f>
        <v/>
      </c>
      <c r="D269" s="21">
        <f>Monthly_Payment-E269</f>
        <v/>
      </c>
      <c r="E269" s="21">
        <f>C269*Interest_Rate/12</f>
        <v/>
      </c>
      <c r="F269" s="21">
        <f>Monthly_Payment</f>
        <v/>
      </c>
      <c r="G269" s="21">
        <f>C269-D269</f>
        <v/>
      </c>
      <c r="H269" s="21">
        <f>H268+D269</f>
        <v/>
      </c>
      <c r="I269" s="21">
        <f>I268+E269</f>
        <v/>
      </c>
    </row>
    <row r="270">
      <c r="A270" s="25" t="n">
        <v>22</v>
      </c>
      <c r="B270" s="25" t="n">
        <v>8</v>
      </c>
      <c r="C270" s="21">
        <f>G269</f>
        <v/>
      </c>
      <c r="D270" s="21">
        <f>Monthly_Payment-E270</f>
        <v/>
      </c>
      <c r="E270" s="21">
        <f>C270*Interest_Rate/12</f>
        <v/>
      </c>
      <c r="F270" s="21">
        <f>Monthly_Payment</f>
        <v/>
      </c>
      <c r="G270" s="21">
        <f>C270-D270</f>
        <v/>
      </c>
      <c r="H270" s="21">
        <f>H269+D270</f>
        <v/>
      </c>
      <c r="I270" s="21">
        <f>I269+E270</f>
        <v/>
      </c>
    </row>
    <row r="271">
      <c r="A271" s="25" t="n">
        <v>22</v>
      </c>
      <c r="B271" s="25" t="n">
        <v>9</v>
      </c>
      <c r="C271" s="21">
        <f>G270</f>
        <v/>
      </c>
      <c r="D271" s="21">
        <f>Monthly_Payment-E271</f>
        <v/>
      </c>
      <c r="E271" s="21">
        <f>C271*Interest_Rate/12</f>
        <v/>
      </c>
      <c r="F271" s="21">
        <f>Monthly_Payment</f>
        <v/>
      </c>
      <c r="G271" s="21">
        <f>C271-D271</f>
        <v/>
      </c>
      <c r="H271" s="21">
        <f>H270+D271</f>
        <v/>
      </c>
      <c r="I271" s="21">
        <f>I270+E271</f>
        <v/>
      </c>
    </row>
    <row r="272">
      <c r="A272" s="25" t="n">
        <v>22</v>
      </c>
      <c r="B272" s="25" t="n">
        <v>10</v>
      </c>
      <c r="C272" s="21">
        <f>G271</f>
        <v/>
      </c>
      <c r="D272" s="21">
        <f>Monthly_Payment-E272</f>
        <v/>
      </c>
      <c r="E272" s="21">
        <f>C272*Interest_Rate/12</f>
        <v/>
      </c>
      <c r="F272" s="21">
        <f>Monthly_Payment</f>
        <v/>
      </c>
      <c r="G272" s="21">
        <f>C272-D272</f>
        <v/>
      </c>
      <c r="H272" s="21">
        <f>H271+D272</f>
        <v/>
      </c>
      <c r="I272" s="21">
        <f>I271+E272</f>
        <v/>
      </c>
    </row>
    <row r="273">
      <c r="A273" s="25" t="n">
        <v>22</v>
      </c>
      <c r="B273" s="25" t="n">
        <v>11</v>
      </c>
      <c r="C273" s="21">
        <f>G272</f>
        <v/>
      </c>
      <c r="D273" s="21">
        <f>Monthly_Payment-E273</f>
        <v/>
      </c>
      <c r="E273" s="21">
        <f>C273*Interest_Rate/12</f>
        <v/>
      </c>
      <c r="F273" s="21">
        <f>Monthly_Payment</f>
        <v/>
      </c>
      <c r="G273" s="21">
        <f>C273-D273</f>
        <v/>
      </c>
      <c r="H273" s="21">
        <f>H272+D273</f>
        <v/>
      </c>
      <c r="I273" s="21">
        <f>I272+E273</f>
        <v/>
      </c>
    </row>
    <row r="274">
      <c r="A274" s="25" t="n">
        <v>22</v>
      </c>
      <c r="B274" s="25" t="n">
        <v>12</v>
      </c>
      <c r="C274" s="21">
        <f>G273</f>
        <v/>
      </c>
      <c r="D274" s="21">
        <f>Monthly_Payment-E274</f>
        <v/>
      </c>
      <c r="E274" s="21">
        <f>C274*Interest_Rate/12</f>
        <v/>
      </c>
      <c r="F274" s="21">
        <f>Monthly_Payment</f>
        <v/>
      </c>
      <c r="G274" s="21">
        <f>C274-D274</f>
        <v/>
      </c>
      <c r="H274" s="21">
        <f>H273+D274</f>
        <v/>
      </c>
      <c r="I274" s="21">
        <f>I273+E274</f>
        <v/>
      </c>
    </row>
    <row r="275">
      <c r="A275" s="25" t="n">
        <v>23</v>
      </c>
      <c r="B275" s="25" t="n">
        <v>1</v>
      </c>
      <c r="C275" s="21">
        <f>G274</f>
        <v/>
      </c>
      <c r="D275" s="21">
        <f>Monthly_Payment-E275</f>
        <v/>
      </c>
      <c r="E275" s="21">
        <f>C275*Interest_Rate/12</f>
        <v/>
      </c>
      <c r="F275" s="21">
        <f>Monthly_Payment</f>
        <v/>
      </c>
      <c r="G275" s="21">
        <f>C275-D275</f>
        <v/>
      </c>
      <c r="H275" s="21">
        <f>H274+D275</f>
        <v/>
      </c>
      <c r="I275" s="21">
        <f>I274+E275</f>
        <v/>
      </c>
    </row>
    <row r="276">
      <c r="A276" s="25" t="n">
        <v>23</v>
      </c>
      <c r="B276" s="25" t="n">
        <v>2</v>
      </c>
      <c r="C276" s="21">
        <f>G275</f>
        <v/>
      </c>
      <c r="D276" s="21">
        <f>Monthly_Payment-E276</f>
        <v/>
      </c>
      <c r="E276" s="21">
        <f>C276*Interest_Rate/12</f>
        <v/>
      </c>
      <c r="F276" s="21">
        <f>Monthly_Payment</f>
        <v/>
      </c>
      <c r="G276" s="21">
        <f>C276-D276</f>
        <v/>
      </c>
      <c r="H276" s="21">
        <f>H275+D276</f>
        <v/>
      </c>
      <c r="I276" s="21">
        <f>I275+E276</f>
        <v/>
      </c>
    </row>
    <row r="277">
      <c r="A277" s="25" t="n">
        <v>23</v>
      </c>
      <c r="B277" s="25" t="n">
        <v>3</v>
      </c>
      <c r="C277" s="21">
        <f>G276</f>
        <v/>
      </c>
      <c r="D277" s="21">
        <f>Monthly_Payment-E277</f>
        <v/>
      </c>
      <c r="E277" s="21">
        <f>C277*Interest_Rate/12</f>
        <v/>
      </c>
      <c r="F277" s="21">
        <f>Monthly_Payment</f>
        <v/>
      </c>
      <c r="G277" s="21">
        <f>C277-D277</f>
        <v/>
      </c>
      <c r="H277" s="21">
        <f>H276+D277</f>
        <v/>
      </c>
      <c r="I277" s="21">
        <f>I276+E277</f>
        <v/>
      </c>
    </row>
    <row r="278">
      <c r="A278" s="25" t="n">
        <v>23</v>
      </c>
      <c r="B278" s="25" t="n">
        <v>4</v>
      </c>
      <c r="C278" s="21">
        <f>G277</f>
        <v/>
      </c>
      <c r="D278" s="21">
        <f>Monthly_Payment-E278</f>
        <v/>
      </c>
      <c r="E278" s="21">
        <f>C278*Interest_Rate/12</f>
        <v/>
      </c>
      <c r="F278" s="21">
        <f>Monthly_Payment</f>
        <v/>
      </c>
      <c r="G278" s="21">
        <f>C278-D278</f>
        <v/>
      </c>
      <c r="H278" s="21">
        <f>H277+D278</f>
        <v/>
      </c>
      <c r="I278" s="21">
        <f>I277+E278</f>
        <v/>
      </c>
    </row>
    <row r="279">
      <c r="A279" s="25" t="n">
        <v>23</v>
      </c>
      <c r="B279" s="25" t="n">
        <v>5</v>
      </c>
      <c r="C279" s="21">
        <f>G278</f>
        <v/>
      </c>
      <c r="D279" s="21">
        <f>Monthly_Payment-E279</f>
        <v/>
      </c>
      <c r="E279" s="21">
        <f>C279*Interest_Rate/12</f>
        <v/>
      </c>
      <c r="F279" s="21">
        <f>Monthly_Payment</f>
        <v/>
      </c>
      <c r="G279" s="21">
        <f>C279-D279</f>
        <v/>
      </c>
      <c r="H279" s="21">
        <f>H278+D279</f>
        <v/>
      </c>
      <c r="I279" s="21">
        <f>I278+E279</f>
        <v/>
      </c>
    </row>
    <row r="280">
      <c r="A280" s="25" t="n">
        <v>23</v>
      </c>
      <c r="B280" s="25" t="n">
        <v>6</v>
      </c>
      <c r="C280" s="21">
        <f>G279</f>
        <v/>
      </c>
      <c r="D280" s="21">
        <f>Monthly_Payment-E280</f>
        <v/>
      </c>
      <c r="E280" s="21">
        <f>C280*Interest_Rate/12</f>
        <v/>
      </c>
      <c r="F280" s="21">
        <f>Monthly_Payment</f>
        <v/>
      </c>
      <c r="G280" s="21">
        <f>C280-D280</f>
        <v/>
      </c>
      <c r="H280" s="21">
        <f>H279+D280</f>
        <v/>
      </c>
      <c r="I280" s="21">
        <f>I279+E280</f>
        <v/>
      </c>
    </row>
    <row r="281">
      <c r="A281" s="25" t="n">
        <v>23</v>
      </c>
      <c r="B281" s="25" t="n">
        <v>7</v>
      </c>
      <c r="C281" s="21">
        <f>G280</f>
        <v/>
      </c>
      <c r="D281" s="21">
        <f>Monthly_Payment-E281</f>
        <v/>
      </c>
      <c r="E281" s="21">
        <f>C281*Interest_Rate/12</f>
        <v/>
      </c>
      <c r="F281" s="21">
        <f>Monthly_Payment</f>
        <v/>
      </c>
      <c r="G281" s="21">
        <f>C281-D281</f>
        <v/>
      </c>
      <c r="H281" s="21">
        <f>H280+D281</f>
        <v/>
      </c>
      <c r="I281" s="21">
        <f>I280+E281</f>
        <v/>
      </c>
    </row>
    <row r="282">
      <c r="A282" s="25" t="n">
        <v>23</v>
      </c>
      <c r="B282" s="25" t="n">
        <v>8</v>
      </c>
      <c r="C282" s="21">
        <f>G281</f>
        <v/>
      </c>
      <c r="D282" s="21">
        <f>Monthly_Payment-E282</f>
        <v/>
      </c>
      <c r="E282" s="21">
        <f>C282*Interest_Rate/12</f>
        <v/>
      </c>
      <c r="F282" s="21">
        <f>Monthly_Payment</f>
        <v/>
      </c>
      <c r="G282" s="21">
        <f>C282-D282</f>
        <v/>
      </c>
      <c r="H282" s="21">
        <f>H281+D282</f>
        <v/>
      </c>
      <c r="I282" s="21">
        <f>I281+E282</f>
        <v/>
      </c>
    </row>
    <row r="283">
      <c r="A283" s="25" t="n">
        <v>23</v>
      </c>
      <c r="B283" s="25" t="n">
        <v>9</v>
      </c>
      <c r="C283" s="21">
        <f>G282</f>
        <v/>
      </c>
      <c r="D283" s="21">
        <f>Monthly_Payment-E283</f>
        <v/>
      </c>
      <c r="E283" s="21">
        <f>C283*Interest_Rate/12</f>
        <v/>
      </c>
      <c r="F283" s="21">
        <f>Monthly_Payment</f>
        <v/>
      </c>
      <c r="G283" s="21">
        <f>C283-D283</f>
        <v/>
      </c>
      <c r="H283" s="21">
        <f>H282+D283</f>
        <v/>
      </c>
      <c r="I283" s="21">
        <f>I282+E283</f>
        <v/>
      </c>
    </row>
    <row r="284">
      <c r="A284" s="25" t="n">
        <v>23</v>
      </c>
      <c r="B284" s="25" t="n">
        <v>10</v>
      </c>
      <c r="C284" s="21">
        <f>G283</f>
        <v/>
      </c>
      <c r="D284" s="21">
        <f>Monthly_Payment-E284</f>
        <v/>
      </c>
      <c r="E284" s="21">
        <f>C284*Interest_Rate/12</f>
        <v/>
      </c>
      <c r="F284" s="21">
        <f>Monthly_Payment</f>
        <v/>
      </c>
      <c r="G284" s="21">
        <f>C284-D284</f>
        <v/>
      </c>
      <c r="H284" s="21">
        <f>H283+D284</f>
        <v/>
      </c>
      <c r="I284" s="21">
        <f>I283+E284</f>
        <v/>
      </c>
    </row>
    <row r="285">
      <c r="A285" s="25" t="n">
        <v>23</v>
      </c>
      <c r="B285" s="25" t="n">
        <v>11</v>
      </c>
      <c r="C285" s="21">
        <f>G284</f>
        <v/>
      </c>
      <c r="D285" s="21">
        <f>Monthly_Payment-E285</f>
        <v/>
      </c>
      <c r="E285" s="21">
        <f>C285*Interest_Rate/12</f>
        <v/>
      </c>
      <c r="F285" s="21">
        <f>Monthly_Payment</f>
        <v/>
      </c>
      <c r="G285" s="21">
        <f>C285-D285</f>
        <v/>
      </c>
      <c r="H285" s="21">
        <f>H284+D285</f>
        <v/>
      </c>
      <c r="I285" s="21">
        <f>I284+E285</f>
        <v/>
      </c>
    </row>
    <row r="286">
      <c r="A286" s="25" t="n">
        <v>23</v>
      </c>
      <c r="B286" s="25" t="n">
        <v>12</v>
      </c>
      <c r="C286" s="21">
        <f>G285</f>
        <v/>
      </c>
      <c r="D286" s="21">
        <f>Monthly_Payment-E286</f>
        <v/>
      </c>
      <c r="E286" s="21">
        <f>C286*Interest_Rate/12</f>
        <v/>
      </c>
      <c r="F286" s="21">
        <f>Monthly_Payment</f>
        <v/>
      </c>
      <c r="G286" s="21">
        <f>C286-D286</f>
        <v/>
      </c>
      <c r="H286" s="21">
        <f>H285+D286</f>
        <v/>
      </c>
      <c r="I286" s="21">
        <f>I285+E286</f>
        <v/>
      </c>
    </row>
    <row r="287">
      <c r="A287" s="25" t="n">
        <v>24</v>
      </c>
      <c r="B287" s="25" t="n">
        <v>1</v>
      </c>
      <c r="C287" s="21">
        <f>G286</f>
        <v/>
      </c>
      <c r="D287" s="21">
        <f>Monthly_Payment-E287</f>
        <v/>
      </c>
      <c r="E287" s="21">
        <f>C287*Interest_Rate/12</f>
        <v/>
      </c>
      <c r="F287" s="21">
        <f>Monthly_Payment</f>
        <v/>
      </c>
      <c r="G287" s="21">
        <f>C287-D287</f>
        <v/>
      </c>
      <c r="H287" s="21">
        <f>H286+D287</f>
        <v/>
      </c>
      <c r="I287" s="21">
        <f>I286+E287</f>
        <v/>
      </c>
    </row>
    <row r="288">
      <c r="A288" s="25" t="n">
        <v>24</v>
      </c>
      <c r="B288" s="25" t="n">
        <v>2</v>
      </c>
      <c r="C288" s="21">
        <f>G287</f>
        <v/>
      </c>
      <c r="D288" s="21">
        <f>Monthly_Payment-E288</f>
        <v/>
      </c>
      <c r="E288" s="21">
        <f>C288*Interest_Rate/12</f>
        <v/>
      </c>
      <c r="F288" s="21">
        <f>Monthly_Payment</f>
        <v/>
      </c>
      <c r="G288" s="21">
        <f>C288-D288</f>
        <v/>
      </c>
      <c r="H288" s="21">
        <f>H287+D288</f>
        <v/>
      </c>
      <c r="I288" s="21">
        <f>I287+E288</f>
        <v/>
      </c>
    </row>
    <row r="289">
      <c r="A289" s="25" t="n">
        <v>24</v>
      </c>
      <c r="B289" s="25" t="n">
        <v>3</v>
      </c>
      <c r="C289" s="21">
        <f>G288</f>
        <v/>
      </c>
      <c r="D289" s="21">
        <f>Monthly_Payment-E289</f>
        <v/>
      </c>
      <c r="E289" s="21">
        <f>C289*Interest_Rate/12</f>
        <v/>
      </c>
      <c r="F289" s="21">
        <f>Monthly_Payment</f>
        <v/>
      </c>
      <c r="G289" s="21">
        <f>C289-D289</f>
        <v/>
      </c>
      <c r="H289" s="21">
        <f>H288+D289</f>
        <v/>
      </c>
      <c r="I289" s="21">
        <f>I288+E289</f>
        <v/>
      </c>
    </row>
    <row r="290">
      <c r="A290" s="25" t="n">
        <v>24</v>
      </c>
      <c r="B290" s="25" t="n">
        <v>4</v>
      </c>
      <c r="C290" s="21">
        <f>G289</f>
        <v/>
      </c>
      <c r="D290" s="21">
        <f>Monthly_Payment-E290</f>
        <v/>
      </c>
      <c r="E290" s="21">
        <f>C290*Interest_Rate/12</f>
        <v/>
      </c>
      <c r="F290" s="21">
        <f>Monthly_Payment</f>
        <v/>
      </c>
      <c r="G290" s="21">
        <f>C290-D290</f>
        <v/>
      </c>
      <c r="H290" s="21">
        <f>H289+D290</f>
        <v/>
      </c>
      <c r="I290" s="21">
        <f>I289+E290</f>
        <v/>
      </c>
    </row>
    <row r="291">
      <c r="A291" s="25" t="n">
        <v>24</v>
      </c>
      <c r="B291" s="25" t="n">
        <v>5</v>
      </c>
      <c r="C291" s="21">
        <f>G290</f>
        <v/>
      </c>
      <c r="D291" s="21">
        <f>Monthly_Payment-E291</f>
        <v/>
      </c>
      <c r="E291" s="21">
        <f>C291*Interest_Rate/12</f>
        <v/>
      </c>
      <c r="F291" s="21">
        <f>Monthly_Payment</f>
        <v/>
      </c>
      <c r="G291" s="21">
        <f>C291-D291</f>
        <v/>
      </c>
      <c r="H291" s="21">
        <f>H290+D291</f>
        <v/>
      </c>
      <c r="I291" s="21">
        <f>I290+E291</f>
        <v/>
      </c>
    </row>
    <row r="292">
      <c r="A292" s="25" t="n">
        <v>24</v>
      </c>
      <c r="B292" s="25" t="n">
        <v>6</v>
      </c>
      <c r="C292" s="21">
        <f>G291</f>
        <v/>
      </c>
      <c r="D292" s="21">
        <f>Monthly_Payment-E292</f>
        <v/>
      </c>
      <c r="E292" s="21">
        <f>C292*Interest_Rate/12</f>
        <v/>
      </c>
      <c r="F292" s="21">
        <f>Monthly_Payment</f>
        <v/>
      </c>
      <c r="G292" s="21">
        <f>C292-D292</f>
        <v/>
      </c>
      <c r="H292" s="21">
        <f>H291+D292</f>
        <v/>
      </c>
      <c r="I292" s="21">
        <f>I291+E292</f>
        <v/>
      </c>
    </row>
    <row r="293">
      <c r="A293" s="25" t="n">
        <v>24</v>
      </c>
      <c r="B293" s="25" t="n">
        <v>7</v>
      </c>
      <c r="C293" s="21">
        <f>G292</f>
        <v/>
      </c>
      <c r="D293" s="21">
        <f>Monthly_Payment-E293</f>
        <v/>
      </c>
      <c r="E293" s="21">
        <f>C293*Interest_Rate/12</f>
        <v/>
      </c>
      <c r="F293" s="21">
        <f>Monthly_Payment</f>
        <v/>
      </c>
      <c r="G293" s="21">
        <f>C293-D293</f>
        <v/>
      </c>
      <c r="H293" s="21">
        <f>H292+D293</f>
        <v/>
      </c>
      <c r="I293" s="21">
        <f>I292+E293</f>
        <v/>
      </c>
    </row>
    <row r="294">
      <c r="A294" s="25" t="n">
        <v>24</v>
      </c>
      <c r="B294" s="25" t="n">
        <v>8</v>
      </c>
      <c r="C294" s="21">
        <f>G293</f>
        <v/>
      </c>
      <c r="D294" s="21">
        <f>Monthly_Payment-E294</f>
        <v/>
      </c>
      <c r="E294" s="21">
        <f>C294*Interest_Rate/12</f>
        <v/>
      </c>
      <c r="F294" s="21">
        <f>Monthly_Payment</f>
        <v/>
      </c>
      <c r="G294" s="21">
        <f>C294-D294</f>
        <v/>
      </c>
      <c r="H294" s="21">
        <f>H293+D294</f>
        <v/>
      </c>
      <c r="I294" s="21">
        <f>I293+E294</f>
        <v/>
      </c>
    </row>
    <row r="295">
      <c r="A295" s="25" t="n">
        <v>24</v>
      </c>
      <c r="B295" s="25" t="n">
        <v>9</v>
      </c>
      <c r="C295" s="21">
        <f>G294</f>
        <v/>
      </c>
      <c r="D295" s="21">
        <f>Monthly_Payment-E295</f>
        <v/>
      </c>
      <c r="E295" s="21">
        <f>C295*Interest_Rate/12</f>
        <v/>
      </c>
      <c r="F295" s="21">
        <f>Monthly_Payment</f>
        <v/>
      </c>
      <c r="G295" s="21">
        <f>C295-D295</f>
        <v/>
      </c>
      <c r="H295" s="21">
        <f>H294+D295</f>
        <v/>
      </c>
      <c r="I295" s="21">
        <f>I294+E295</f>
        <v/>
      </c>
    </row>
    <row r="296">
      <c r="A296" s="25" t="n">
        <v>24</v>
      </c>
      <c r="B296" s="25" t="n">
        <v>10</v>
      </c>
      <c r="C296" s="21">
        <f>G295</f>
        <v/>
      </c>
      <c r="D296" s="21">
        <f>Monthly_Payment-E296</f>
        <v/>
      </c>
      <c r="E296" s="21">
        <f>C296*Interest_Rate/12</f>
        <v/>
      </c>
      <c r="F296" s="21">
        <f>Monthly_Payment</f>
        <v/>
      </c>
      <c r="G296" s="21">
        <f>C296-D296</f>
        <v/>
      </c>
      <c r="H296" s="21">
        <f>H295+D296</f>
        <v/>
      </c>
      <c r="I296" s="21">
        <f>I295+E296</f>
        <v/>
      </c>
    </row>
    <row r="297">
      <c r="A297" s="25" t="n">
        <v>24</v>
      </c>
      <c r="B297" s="25" t="n">
        <v>11</v>
      </c>
      <c r="C297" s="21">
        <f>G296</f>
        <v/>
      </c>
      <c r="D297" s="21">
        <f>Monthly_Payment-E297</f>
        <v/>
      </c>
      <c r="E297" s="21">
        <f>C297*Interest_Rate/12</f>
        <v/>
      </c>
      <c r="F297" s="21">
        <f>Monthly_Payment</f>
        <v/>
      </c>
      <c r="G297" s="21">
        <f>C297-D297</f>
        <v/>
      </c>
      <c r="H297" s="21">
        <f>H296+D297</f>
        <v/>
      </c>
      <c r="I297" s="21">
        <f>I296+E297</f>
        <v/>
      </c>
    </row>
    <row r="298">
      <c r="A298" s="25" t="n">
        <v>24</v>
      </c>
      <c r="B298" s="25" t="n">
        <v>12</v>
      </c>
      <c r="C298" s="21">
        <f>G297</f>
        <v/>
      </c>
      <c r="D298" s="21">
        <f>Monthly_Payment-E298</f>
        <v/>
      </c>
      <c r="E298" s="21">
        <f>C298*Interest_Rate/12</f>
        <v/>
      </c>
      <c r="F298" s="21">
        <f>Monthly_Payment</f>
        <v/>
      </c>
      <c r="G298" s="21">
        <f>C298-D298</f>
        <v/>
      </c>
      <c r="H298" s="21">
        <f>H297+D298</f>
        <v/>
      </c>
      <c r="I298" s="21">
        <f>I297+E298</f>
        <v/>
      </c>
    </row>
    <row r="299">
      <c r="A299" s="25" t="n">
        <v>25</v>
      </c>
      <c r="B299" s="25" t="n">
        <v>1</v>
      </c>
      <c r="C299" s="21">
        <f>G298</f>
        <v/>
      </c>
      <c r="D299" s="21">
        <f>Monthly_Payment-E299</f>
        <v/>
      </c>
      <c r="E299" s="21">
        <f>C299*Interest_Rate/12</f>
        <v/>
      </c>
      <c r="F299" s="21">
        <f>Monthly_Payment</f>
        <v/>
      </c>
      <c r="G299" s="21">
        <f>C299-D299</f>
        <v/>
      </c>
      <c r="H299" s="21">
        <f>H298+D299</f>
        <v/>
      </c>
      <c r="I299" s="21">
        <f>I298+E299</f>
        <v/>
      </c>
    </row>
    <row r="300">
      <c r="A300" s="25" t="n">
        <v>25</v>
      </c>
      <c r="B300" s="25" t="n">
        <v>2</v>
      </c>
      <c r="C300" s="21">
        <f>G299</f>
        <v/>
      </c>
      <c r="D300" s="21">
        <f>Monthly_Payment-E300</f>
        <v/>
      </c>
      <c r="E300" s="21">
        <f>C300*Interest_Rate/12</f>
        <v/>
      </c>
      <c r="F300" s="21">
        <f>Monthly_Payment</f>
        <v/>
      </c>
      <c r="G300" s="21">
        <f>C300-D300</f>
        <v/>
      </c>
      <c r="H300" s="21">
        <f>H299+D300</f>
        <v/>
      </c>
      <c r="I300" s="21">
        <f>I299+E300</f>
        <v/>
      </c>
    </row>
    <row r="301">
      <c r="A301" s="25" t="n">
        <v>25</v>
      </c>
      <c r="B301" s="25" t="n">
        <v>3</v>
      </c>
      <c r="C301" s="21">
        <f>G300</f>
        <v/>
      </c>
      <c r="D301" s="21">
        <f>Monthly_Payment-E301</f>
        <v/>
      </c>
      <c r="E301" s="21">
        <f>C301*Interest_Rate/12</f>
        <v/>
      </c>
      <c r="F301" s="21">
        <f>Monthly_Payment</f>
        <v/>
      </c>
      <c r="G301" s="21">
        <f>C301-D301</f>
        <v/>
      </c>
      <c r="H301" s="21">
        <f>H300+D301</f>
        <v/>
      </c>
      <c r="I301" s="21">
        <f>I300+E301</f>
        <v/>
      </c>
    </row>
    <row r="302">
      <c r="A302" s="25" t="n">
        <v>25</v>
      </c>
      <c r="B302" s="25" t="n">
        <v>4</v>
      </c>
      <c r="C302" s="21">
        <f>G301</f>
        <v/>
      </c>
      <c r="D302" s="21">
        <f>Monthly_Payment-E302</f>
        <v/>
      </c>
      <c r="E302" s="21">
        <f>C302*Interest_Rate/12</f>
        <v/>
      </c>
      <c r="F302" s="21">
        <f>Monthly_Payment</f>
        <v/>
      </c>
      <c r="G302" s="21">
        <f>C302-D302</f>
        <v/>
      </c>
      <c r="H302" s="21">
        <f>H301+D302</f>
        <v/>
      </c>
      <c r="I302" s="21">
        <f>I301+E302</f>
        <v/>
      </c>
    </row>
    <row r="303">
      <c r="A303" s="25" t="n">
        <v>25</v>
      </c>
      <c r="B303" s="25" t="n">
        <v>5</v>
      </c>
      <c r="C303" s="21">
        <f>G302</f>
        <v/>
      </c>
      <c r="D303" s="21">
        <f>Monthly_Payment-E303</f>
        <v/>
      </c>
      <c r="E303" s="21">
        <f>C303*Interest_Rate/12</f>
        <v/>
      </c>
      <c r="F303" s="21">
        <f>Monthly_Payment</f>
        <v/>
      </c>
      <c r="G303" s="21">
        <f>C303-D303</f>
        <v/>
      </c>
      <c r="H303" s="21">
        <f>H302+D303</f>
        <v/>
      </c>
      <c r="I303" s="21">
        <f>I302+E303</f>
        <v/>
      </c>
    </row>
    <row r="304">
      <c r="A304" s="25" t="n">
        <v>25</v>
      </c>
      <c r="B304" s="25" t="n">
        <v>6</v>
      </c>
      <c r="C304" s="21">
        <f>G303</f>
        <v/>
      </c>
      <c r="D304" s="21">
        <f>Monthly_Payment-E304</f>
        <v/>
      </c>
      <c r="E304" s="21">
        <f>C304*Interest_Rate/12</f>
        <v/>
      </c>
      <c r="F304" s="21">
        <f>Monthly_Payment</f>
        <v/>
      </c>
      <c r="G304" s="21">
        <f>C304-D304</f>
        <v/>
      </c>
      <c r="H304" s="21">
        <f>H303+D304</f>
        <v/>
      </c>
      <c r="I304" s="21">
        <f>I303+E304</f>
        <v/>
      </c>
    </row>
    <row r="305">
      <c r="A305" s="25" t="n">
        <v>25</v>
      </c>
      <c r="B305" s="25" t="n">
        <v>7</v>
      </c>
      <c r="C305" s="21">
        <f>G304</f>
        <v/>
      </c>
      <c r="D305" s="21">
        <f>Monthly_Payment-E305</f>
        <v/>
      </c>
      <c r="E305" s="21">
        <f>C305*Interest_Rate/12</f>
        <v/>
      </c>
      <c r="F305" s="21">
        <f>Monthly_Payment</f>
        <v/>
      </c>
      <c r="G305" s="21">
        <f>C305-D305</f>
        <v/>
      </c>
      <c r="H305" s="21">
        <f>H304+D305</f>
        <v/>
      </c>
      <c r="I305" s="21">
        <f>I304+E305</f>
        <v/>
      </c>
    </row>
    <row r="306">
      <c r="A306" s="25" t="n">
        <v>25</v>
      </c>
      <c r="B306" s="25" t="n">
        <v>8</v>
      </c>
      <c r="C306" s="21">
        <f>G305</f>
        <v/>
      </c>
      <c r="D306" s="21">
        <f>Monthly_Payment-E306</f>
        <v/>
      </c>
      <c r="E306" s="21">
        <f>C306*Interest_Rate/12</f>
        <v/>
      </c>
      <c r="F306" s="21">
        <f>Monthly_Payment</f>
        <v/>
      </c>
      <c r="G306" s="21">
        <f>C306-D306</f>
        <v/>
      </c>
      <c r="H306" s="21">
        <f>H305+D306</f>
        <v/>
      </c>
      <c r="I306" s="21">
        <f>I305+E306</f>
        <v/>
      </c>
    </row>
    <row r="307">
      <c r="A307" s="25" t="n">
        <v>25</v>
      </c>
      <c r="B307" s="25" t="n">
        <v>9</v>
      </c>
      <c r="C307" s="21">
        <f>G306</f>
        <v/>
      </c>
      <c r="D307" s="21">
        <f>Monthly_Payment-E307</f>
        <v/>
      </c>
      <c r="E307" s="21">
        <f>C307*Interest_Rate/12</f>
        <v/>
      </c>
      <c r="F307" s="21">
        <f>Monthly_Payment</f>
        <v/>
      </c>
      <c r="G307" s="21">
        <f>C307-D307</f>
        <v/>
      </c>
      <c r="H307" s="21">
        <f>H306+D307</f>
        <v/>
      </c>
      <c r="I307" s="21">
        <f>I306+E307</f>
        <v/>
      </c>
    </row>
    <row r="308">
      <c r="A308" s="25" t="n">
        <v>25</v>
      </c>
      <c r="B308" s="25" t="n">
        <v>10</v>
      </c>
      <c r="C308" s="21">
        <f>G307</f>
        <v/>
      </c>
      <c r="D308" s="21">
        <f>Monthly_Payment-E308</f>
        <v/>
      </c>
      <c r="E308" s="21">
        <f>C308*Interest_Rate/12</f>
        <v/>
      </c>
      <c r="F308" s="21">
        <f>Monthly_Payment</f>
        <v/>
      </c>
      <c r="G308" s="21">
        <f>C308-D308</f>
        <v/>
      </c>
      <c r="H308" s="21">
        <f>H307+D308</f>
        <v/>
      </c>
      <c r="I308" s="21">
        <f>I307+E308</f>
        <v/>
      </c>
    </row>
    <row r="309">
      <c r="A309" s="25" t="n">
        <v>25</v>
      </c>
      <c r="B309" s="25" t="n">
        <v>11</v>
      </c>
      <c r="C309" s="21">
        <f>G308</f>
        <v/>
      </c>
      <c r="D309" s="21">
        <f>Monthly_Payment-E309</f>
        <v/>
      </c>
      <c r="E309" s="21">
        <f>C309*Interest_Rate/12</f>
        <v/>
      </c>
      <c r="F309" s="21">
        <f>Monthly_Payment</f>
        <v/>
      </c>
      <c r="G309" s="21">
        <f>C309-D309</f>
        <v/>
      </c>
      <c r="H309" s="21">
        <f>H308+D309</f>
        <v/>
      </c>
      <c r="I309" s="21">
        <f>I308+E309</f>
        <v/>
      </c>
    </row>
    <row r="310">
      <c r="A310" s="25" t="n">
        <v>25</v>
      </c>
      <c r="B310" s="25" t="n">
        <v>12</v>
      </c>
      <c r="C310" s="21">
        <f>G309</f>
        <v/>
      </c>
      <c r="D310" s="21">
        <f>Monthly_Payment-E310</f>
        <v/>
      </c>
      <c r="E310" s="21">
        <f>C310*Interest_Rate/12</f>
        <v/>
      </c>
      <c r="F310" s="21">
        <f>Monthly_Payment</f>
        <v/>
      </c>
      <c r="G310" s="21">
        <f>C310-D310</f>
        <v/>
      </c>
      <c r="H310" s="21">
        <f>H309+D310</f>
        <v/>
      </c>
      <c r="I310" s="21">
        <f>I309+E310</f>
        <v/>
      </c>
    </row>
    <row r="311">
      <c r="A311" s="25" t="n">
        <v>26</v>
      </c>
      <c r="B311" s="25" t="n">
        <v>1</v>
      </c>
      <c r="C311" s="21">
        <f>G310</f>
        <v/>
      </c>
      <c r="D311" s="21">
        <f>Monthly_Payment-E311</f>
        <v/>
      </c>
      <c r="E311" s="21">
        <f>C311*Interest_Rate/12</f>
        <v/>
      </c>
      <c r="F311" s="21">
        <f>Monthly_Payment</f>
        <v/>
      </c>
      <c r="G311" s="21">
        <f>C311-D311</f>
        <v/>
      </c>
      <c r="H311" s="21">
        <f>H310+D311</f>
        <v/>
      </c>
      <c r="I311" s="21">
        <f>I310+E311</f>
        <v/>
      </c>
    </row>
    <row r="312">
      <c r="A312" s="25" t="n">
        <v>26</v>
      </c>
      <c r="B312" s="25" t="n">
        <v>2</v>
      </c>
      <c r="C312" s="21">
        <f>G311</f>
        <v/>
      </c>
      <c r="D312" s="21">
        <f>Monthly_Payment-E312</f>
        <v/>
      </c>
      <c r="E312" s="21">
        <f>C312*Interest_Rate/12</f>
        <v/>
      </c>
      <c r="F312" s="21">
        <f>Monthly_Payment</f>
        <v/>
      </c>
      <c r="G312" s="21">
        <f>C312-D312</f>
        <v/>
      </c>
      <c r="H312" s="21">
        <f>H311+D312</f>
        <v/>
      </c>
      <c r="I312" s="21">
        <f>I311+E312</f>
        <v/>
      </c>
    </row>
    <row r="313">
      <c r="A313" s="25" t="n">
        <v>26</v>
      </c>
      <c r="B313" s="25" t="n">
        <v>3</v>
      </c>
      <c r="C313" s="21">
        <f>G312</f>
        <v/>
      </c>
      <c r="D313" s="21">
        <f>Monthly_Payment-E313</f>
        <v/>
      </c>
      <c r="E313" s="21">
        <f>C313*Interest_Rate/12</f>
        <v/>
      </c>
      <c r="F313" s="21">
        <f>Monthly_Payment</f>
        <v/>
      </c>
      <c r="G313" s="21">
        <f>C313-D313</f>
        <v/>
      </c>
      <c r="H313" s="21">
        <f>H312+D313</f>
        <v/>
      </c>
      <c r="I313" s="21">
        <f>I312+E313</f>
        <v/>
      </c>
    </row>
    <row r="314">
      <c r="A314" s="25" t="n">
        <v>26</v>
      </c>
      <c r="B314" s="25" t="n">
        <v>4</v>
      </c>
      <c r="C314" s="21">
        <f>G313</f>
        <v/>
      </c>
      <c r="D314" s="21">
        <f>Monthly_Payment-E314</f>
        <v/>
      </c>
      <c r="E314" s="21">
        <f>C314*Interest_Rate/12</f>
        <v/>
      </c>
      <c r="F314" s="21">
        <f>Monthly_Payment</f>
        <v/>
      </c>
      <c r="G314" s="21">
        <f>C314-D314</f>
        <v/>
      </c>
      <c r="H314" s="21">
        <f>H313+D314</f>
        <v/>
      </c>
      <c r="I314" s="21">
        <f>I313+E314</f>
        <v/>
      </c>
    </row>
    <row r="315">
      <c r="A315" s="25" t="n">
        <v>26</v>
      </c>
      <c r="B315" s="25" t="n">
        <v>5</v>
      </c>
      <c r="C315" s="21">
        <f>G314</f>
        <v/>
      </c>
      <c r="D315" s="21">
        <f>Monthly_Payment-E315</f>
        <v/>
      </c>
      <c r="E315" s="21">
        <f>C315*Interest_Rate/12</f>
        <v/>
      </c>
      <c r="F315" s="21">
        <f>Monthly_Payment</f>
        <v/>
      </c>
      <c r="G315" s="21">
        <f>C315-D315</f>
        <v/>
      </c>
      <c r="H315" s="21">
        <f>H314+D315</f>
        <v/>
      </c>
      <c r="I315" s="21">
        <f>I314+E315</f>
        <v/>
      </c>
    </row>
    <row r="316">
      <c r="A316" s="25" t="n">
        <v>26</v>
      </c>
      <c r="B316" s="25" t="n">
        <v>6</v>
      </c>
      <c r="C316" s="21">
        <f>G315</f>
        <v/>
      </c>
      <c r="D316" s="21">
        <f>Monthly_Payment-E316</f>
        <v/>
      </c>
      <c r="E316" s="21">
        <f>C316*Interest_Rate/12</f>
        <v/>
      </c>
      <c r="F316" s="21">
        <f>Monthly_Payment</f>
        <v/>
      </c>
      <c r="G316" s="21">
        <f>C316-D316</f>
        <v/>
      </c>
      <c r="H316" s="21">
        <f>H315+D316</f>
        <v/>
      </c>
      <c r="I316" s="21">
        <f>I315+E316</f>
        <v/>
      </c>
    </row>
    <row r="317">
      <c r="A317" s="25" t="n">
        <v>26</v>
      </c>
      <c r="B317" s="25" t="n">
        <v>7</v>
      </c>
      <c r="C317" s="21">
        <f>G316</f>
        <v/>
      </c>
      <c r="D317" s="21">
        <f>Monthly_Payment-E317</f>
        <v/>
      </c>
      <c r="E317" s="21">
        <f>C317*Interest_Rate/12</f>
        <v/>
      </c>
      <c r="F317" s="21">
        <f>Monthly_Payment</f>
        <v/>
      </c>
      <c r="G317" s="21">
        <f>C317-D317</f>
        <v/>
      </c>
      <c r="H317" s="21">
        <f>H316+D317</f>
        <v/>
      </c>
      <c r="I317" s="21">
        <f>I316+E317</f>
        <v/>
      </c>
    </row>
    <row r="318">
      <c r="A318" s="25" t="n">
        <v>26</v>
      </c>
      <c r="B318" s="25" t="n">
        <v>8</v>
      </c>
      <c r="C318" s="21">
        <f>G317</f>
        <v/>
      </c>
      <c r="D318" s="21">
        <f>Monthly_Payment-E318</f>
        <v/>
      </c>
      <c r="E318" s="21">
        <f>C318*Interest_Rate/12</f>
        <v/>
      </c>
      <c r="F318" s="21">
        <f>Monthly_Payment</f>
        <v/>
      </c>
      <c r="G318" s="21">
        <f>C318-D318</f>
        <v/>
      </c>
      <c r="H318" s="21">
        <f>H317+D318</f>
        <v/>
      </c>
      <c r="I318" s="21">
        <f>I317+E318</f>
        <v/>
      </c>
    </row>
    <row r="319">
      <c r="A319" s="25" t="n">
        <v>26</v>
      </c>
      <c r="B319" s="25" t="n">
        <v>9</v>
      </c>
      <c r="C319" s="21">
        <f>G318</f>
        <v/>
      </c>
      <c r="D319" s="21">
        <f>Monthly_Payment-E319</f>
        <v/>
      </c>
      <c r="E319" s="21">
        <f>C319*Interest_Rate/12</f>
        <v/>
      </c>
      <c r="F319" s="21">
        <f>Monthly_Payment</f>
        <v/>
      </c>
      <c r="G319" s="21">
        <f>C319-D319</f>
        <v/>
      </c>
      <c r="H319" s="21">
        <f>H318+D319</f>
        <v/>
      </c>
      <c r="I319" s="21">
        <f>I318+E319</f>
        <v/>
      </c>
    </row>
    <row r="320">
      <c r="A320" s="25" t="n">
        <v>26</v>
      </c>
      <c r="B320" s="25" t="n">
        <v>10</v>
      </c>
      <c r="C320" s="21">
        <f>G319</f>
        <v/>
      </c>
      <c r="D320" s="21">
        <f>Monthly_Payment-E320</f>
        <v/>
      </c>
      <c r="E320" s="21">
        <f>C320*Interest_Rate/12</f>
        <v/>
      </c>
      <c r="F320" s="21">
        <f>Monthly_Payment</f>
        <v/>
      </c>
      <c r="G320" s="21">
        <f>C320-D320</f>
        <v/>
      </c>
      <c r="H320" s="21">
        <f>H319+D320</f>
        <v/>
      </c>
      <c r="I320" s="21">
        <f>I319+E320</f>
        <v/>
      </c>
    </row>
    <row r="321">
      <c r="A321" s="25" t="n">
        <v>26</v>
      </c>
      <c r="B321" s="25" t="n">
        <v>11</v>
      </c>
      <c r="C321" s="21">
        <f>G320</f>
        <v/>
      </c>
      <c r="D321" s="21">
        <f>Monthly_Payment-E321</f>
        <v/>
      </c>
      <c r="E321" s="21">
        <f>C321*Interest_Rate/12</f>
        <v/>
      </c>
      <c r="F321" s="21">
        <f>Monthly_Payment</f>
        <v/>
      </c>
      <c r="G321" s="21">
        <f>C321-D321</f>
        <v/>
      </c>
      <c r="H321" s="21">
        <f>H320+D321</f>
        <v/>
      </c>
      <c r="I321" s="21">
        <f>I320+E321</f>
        <v/>
      </c>
    </row>
    <row r="322">
      <c r="A322" s="25" t="n">
        <v>26</v>
      </c>
      <c r="B322" s="25" t="n">
        <v>12</v>
      </c>
      <c r="C322" s="21">
        <f>G321</f>
        <v/>
      </c>
      <c r="D322" s="21">
        <f>Monthly_Payment-E322</f>
        <v/>
      </c>
      <c r="E322" s="21">
        <f>C322*Interest_Rate/12</f>
        <v/>
      </c>
      <c r="F322" s="21">
        <f>Monthly_Payment</f>
        <v/>
      </c>
      <c r="G322" s="21">
        <f>C322-D322</f>
        <v/>
      </c>
      <c r="H322" s="21">
        <f>H321+D322</f>
        <v/>
      </c>
      <c r="I322" s="21">
        <f>I321+E322</f>
        <v/>
      </c>
    </row>
    <row r="323">
      <c r="A323" s="25" t="n">
        <v>27</v>
      </c>
      <c r="B323" s="25" t="n">
        <v>1</v>
      </c>
      <c r="C323" s="21">
        <f>G322</f>
        <v/>
      </c>
      <c r="D323" s="21">
        <f>Monthly_Payment-E323</f>
        <v/>
      </c>
      <c r="E323" s="21">
        <f>C323*Interest_Rate/12</f>
        <v/>
      </c>
      <c r="F323" s="21">
        <f>Monthly_Payment</f>
        <v/>
      </c>
      <c r="G323" s="21">
        <f>C323-D323</f>
        <v/>
      </c>
      <c r="H323" s="21">
        <f>H322+D323</f>
        <v/>
      </c>
      <c r="I323" s="21">
        <f>I322+E323</f>
        <v/>
      </c>
    </row>
    <row r="324">
      <c r="A324" s="25" t="n">
        <v>27</v>
      </c>
      <c r="B324" s="25" t="n">
        <v>2</v>
      </c>
      <c r="C324" s="21">
        <f>G323</f>
        <v/>
      </c>
      <c r="D324" s="21">
        <f>Monthly_Payment-E324</f>
        <v/>
      </c>
      <c r="E324" s="21">
        <f>C324*Interest_Rate/12</f>
        <v/>
      </c>
      <c r="F324" s="21">
        <f>Monthly_Payment</f>
        <v/>
      </c>
      <c r="G324" s="21">
        <f>C324-D324</f>
        <v/>
      </c>
      <c r="H324" s="21">
        <f>H323+D324</f>
        <v/>
      </c>
      <c r="I324" s="21">
        <f>I323+E324</f>
        <v/>
      </c>
    </row>
    <row r="325">
      <c r="A325" s="25" t="n">
        <v>27</v>
      </c>
      <c r="B325" s="25" t="n">
        <v>3</v>
      </c>
      <c r="C325" s="21">
        <f>G324</f>
        <v/>
      </c>
      <c r="D325" s="21">
        <f>Monthly_Payment-E325</f>
        <v/>
      </c>
      <c r="E325" s="21">
        <f>C325*Interest_Rate/12</f>
        <v/>
      </c>
      <c r="F325" s="21">
        <f>Monthly_Payment</f>
        <v/>
      </c>
      <c r="G325" s="21">
        <f>C325-D325</f>
        <v/>
      </c>
      <c r="H325" s="21">
        <f>H324+D325</f>
        <v/>
      </c>
      <c r="I325" s="21">
        <f>I324+E325</f>
        <v/>
      </c>
    </row>
    <row r="326">
      <c r="A326" s="25" t="n">
        <v>27</v>
      </c>
      <c r="B326" s="25" t="n">
        <v>4</v>
      </c>
      <c r="C326" s="21">
        <f>G325</f>
        <v/>
      </c>
      <c r="D326" s="21">
        <f>Monthly_Payment-E326</f>
        <v/>
      </c>
      <c r="E326" s="21">
        <f>C326*Interest_Rate/12</f>
        <v/>
      </c>
      <c r="F326" s="21">
        <f>Monthly_Payment</f>
        <v/>
      </c>
      <c r="G326" s="21">
        <f>C326-D326</f>
        <v/>
      </c>
      <c r="H326" s="21">
        <f>H325+D326</f>
        <v/>
      </c>
      <c r="I326" s="21">
        <f>I325+E326</f>
        <v/>
      </c>
    </row>
    <row r="327">
      <c r="A327" s="25" t="n">
        <v>27</v>
      </c>
      <c r="B327" s="25" t="n">
        <v>5</v>
      </c>
      <c r="C327" s="21">
        <f>G326</f>
        <v/>
      </c>
      <c r="D327" s="21">
        <f>Monthly_Payment-E327</f>
        <v/>
      </c>
      <c r="E327" s="21">
        <f>C327*Interest_Rate/12</f>
        <v/>
      </c>
      <c r="F327" s="21">
        <f>Monthly_Payment</f>
        <v/>
      </c>
      <c r="G327" s="21">
        <f>C327-D327</f>
        <v/>
      </c>
      <c r="H327" s="21">
        <f>H326+D327</f>
        <v/>
      </c>
      <c r="I327" s="21">
        <f>I326+E327</f>
        <v/>
      </c>
    </row>
    <row r="328">
      <c r="A328" s="25" t="n">
        <v>27</v>
      </c>
      <c r="B328" s="25" t="n">
        <v>6</v>
      </c>
      <c r="C328" s="21">
        <f>G327</f>
        <v/>
      </c>
      <c r="D328" s="21">
        <f>Monthly_Payment-E328</f>
        <v/>
      </c>
      <c r="E328" s="21">
        <f>C328*Interest_Rate/12</f>
        <v/>
      </c>
      <c r="F328" s="21">
        <f>Monthly_Payment</f>
        <v/>
      </c>
      <c r="G328" s="21">
        <f>C328-D328</f>
        <v/>
      </c>
      <c r="H328" s="21">
        <f>H327+D328</f>
        <v/>
      </c>
      <c r="I328" s="21">
        <f>I327+E328</f>
        <v/>
      </c>
    </row>
    <row r="329">
      <c r="A329" s="25" t="n">
        <v>27</v>
      </c>
      <c r="B329" s="25" t="n">
        <v>7</v>
      </c>
      <c r="C329" s="21">
        <f>G328</f>
        <v/>
      </c>
      <c r="D329" s="21">
        <f>Monthly_Payment-E329</f>
        <v/>
      </c>
      <c r="E329" s="21">
        <f>C329*Interest_Rate/12</f>
        <v/>
      </c>
      <c r="F329" s="21">
        <f>Monthly_Payment</f>
        <v/>
      </c>
      <c r="G329" s="21">
        <f>C329-D329</f>
        <v/>
      </c>
      <c r="H329" s="21">
        <f>H328+D329</f>
        <v/>
      </c>
      <c r="I329" s="21">
        <f>I328+E329</f>
        <v/>
      </c>
    </row>
    <row r="330">
      <c r="A330" s="25" t="n">
        <v>27</v>
      </c>
      <c r="B330" s="25" t="n">
        <v>8</v>
      </c>
      <c r="C330" s="21">
        <f>G329</f>
        <v/>
      </c>
      <c r="D330" s="21">
        <f>Monthly_Payment-E330</f>
        <v/>
      </c>
      <c r="E330" s="21">
        <f>C330*Interest_Rate/12</f>
        <v/>
      </c>
      <c r="F330" s="21">
        <f>Monthly_Payment</f>
        <v/>
      </c>
      <c r="G330" s="21">
        <f>C330-D330</f>
        <v/>
      </c>
      <c r="H330" s="21">
        <f>H329+D330</f>
        <v/>
      </c>
      <c r="I330" s="21">
        <f>I329+E330</f>
        <v/>
      </c>
    </row>
    <row r="331">
      <c r="A331" s="25" t="n">
        <v>27</v>
      </c>
      <c r="B331" s="25" t="n">
        <v>9</v>
      </c>
      <c r="C331" s="21">
        <f>G330</f>
        <v/>
      </c>
      <c r="D331" s="21">
        <f>Monthly_Payment-E331</f>
        <v/>
      </c>
      <c r="E331" s="21">
        <f>C331*Interest_Rate/12</f>
        <v/>
      </c>
      <c r="F331" s="21">
        <f>Monthly_Payment</f>
        <v/>
      </c>
      <c r="G331" s="21">
        <f>C331-D331</f>
        <v/>
      </c>
      <c r="H331" s="21">
        <f>H330+D331</f>
        <v/>
      </c>
      <c r="I331" s="21">
        <f>I330+E331</f>
        <v/>
      </c>
    </row>
    <row r="332">
      <c r="A332" s="25" t="n">
        <v>27</v>
      </c>
      <c r="B332" s="25" t="n">
        <v>10</v>
      </c>
      <c r="C332" s="21">
        <f>G331</f>
        <v/>
      </c>
      <c r="D332" s="21">
        <f>Monthly_Payment-E332</f>
        <v/>
      </c>
      <c r="E332" s="21">
        <f>C332*Interest_Rate/12</f>
        <v/>
      </c>
      <c r="F332" s="21">
        <f>Monthly_Payment</f>
        <v/>
      </c>
      <c r="G332" s="21">
        <f>C332-D332</f>
        <v/>
      </c>
      <c r="H332" s="21">
        <f>H331+D332</f>
        <v/>
      </c>
      <c r="I332" s="21">
        <f>I331+E332</f>
        <v/>
      </c>
    </row>
    <row r="333">
      <c r="A333" s="25" t="n">
        <v>27</v>
      </c>
      <c r="B333" s="25" t="n">
        <v>11</v>
      </c>
      <c r="C333" s="21">
        <f>G332</f>
        <v/>
      </c>
      <c r="D333" s="21">
        <f>Monthly_Payment-E333</f>
        <v/>
      </c>
      <c r="E333" s="21">
        <f>C333*Interest_Rate/12</f>
        <v/>
      </c>
      <c r="F333" s="21">
        <f>Monthly_Payment</f>
        <v/>
      </c>
      <c r="G333" s="21">
        <f>C333-D333</f>
        <v/>
      </c>
      <c r="H333" s="21">
        <f>H332+D333</f>
        <v/>
      </c>
      <c r="I333" s="21">
        <f>I332+E333</f>
        <v/>
      </c>
    </row>
    <row r="334">
      <c r="A334" s="25" t="n">
        <v>27</v>
      </c>
      <c r="B334" s="25" t="n">
        <v>12</v>
      </c>
      <c r="C334" s="21">
        <f>G333</f>
        <v/>
      </c>
      <c r="D334" s="21">
        <f>Monthly_Payment-E334</f>
        <v/>
      </c>
      <c r="E334" s="21">
        <f>C334*Interest_Rate/12</f>
        <v/>
      </c>
      <c r="F334" s="21">
        <f>Monthly_Payment</f>
        <v/>
      </c>
      <c r="G334" s="21">
        <f>C334-D334</f>
        <v/>
      </c>
      <c r="H334" s="21">
        <f>H333+D334</f>
        <v/>
      </c>
      <c r="I334" s="21">
        <f>I333+E334</f>
        <v/>
      </c>
    </row>
    <row r="335">
      <c r="A335" s="25" t="n">
        <v>28</v>
      </c>
      <c r="B335" s="25" t="n">
        <v>1</v>
      </c>
      <c r="C335" s="21">
        <f>G334</f>
        <v/>
      </c>
      <c r="D335" s="21">
        <f>Monthly_Payment-E335</f>
        <v/>
      </c>
      <c r="E335" s="21">
        <f>C335*Interest_Rate/12</f>
        <v/>
      </c>
      <c r="F335" s="21">
        <f>Monthly_Payment</f>
        <v/>
      </c>
      <c r="G335" s="21">
        <f>C335-D335</f>
        <v/>
      </c>
      <c r="H335" s="21">
        <f>H334+D335</f>
        <v/>
      </c>
      <c r="I335" s="21">
        <f>I334+E335</f>
        <v/>
      </c>
    </row>
    <row r="336">
      <c r="A336" s="25" t="n">
        <v>28</v>
      </c>
      <c r="B336" s="25" t="n">
        <v>2</v>
      </c>
      <c r="C336" s="21">
        <f>G335</f>
        <v/>
      </c>
      <c r="D336" s="21">
        <f>Monthly_Payment-E336</f>
        <v/>
      </c>
      <c r="E336" s="21">
        <f>C336*Interest_Rate/12</f>
        <v/>
      </c>
      <c r="F336" s="21">
        <f>Monthly_Payment</f>
        <v/>
      </c>
      <c r="G336" s="21">
        <f>C336-D336</f>
        <v/>
      </c>
      <c r="H336" s="21">
        <f>H335+D336</f>
        <v/>
      </c>
      <c r="I336" s="21">
        <f>I335+E336</f>
        <v/>
      </c>
    </row>
    <row r="337">
      <c r="A337" s="25" t="n">
        <v>28</v>
      </c>
      <c r="B337" s="25" t="n">
        <v>3</v>
      </c>
      <c r="C337" s="21">
        <f>G336</f>
        <v/>
      </c>
      <c r="D337" s="21">
        <f>Monthly_Payment-E337</f>
        <v/>
      </c>
      <c r="E337" s="21">
        <f>C337*Interest_Rate/12</f>
        <v/>
      </c>
      <c r="F337" s="21">
        <f>Monthly_Payment</f>
        <v/>
      </c>
      <c r="G337" s="21">
        <f>C337-D337</f>
        <v/>
      </c>
      <c r="H337" s="21">
        <f>H336+D337</f>
        <v/>
      </c>
      <c r="I337" s="21">
        <f>I336+E337</f>
        <v/>
      </c>
    </row>
    <row r="338">
      <c r="A338" s="25" t="n">
        <v>28</v>
      </c>
      <c r="B338" s="25" t="n">
        <v>4</v>
      </c>
      <c r="C338" s="21">
        <f>G337</f>
        <v/>
      </c>
      <c r="D338" s="21">
        <f>Monthly_Payment-E338</f>
        <v/>
      </c>
      <c r="E338" s="21">
        <f>C338*Interest_Rate/12</f>
        <v/>
      </c>
      <c r="F338" s="21">
        <f>Monthly_Payment</f>
        <v/>
      </c>
      <c r="G338" s="21">
        <f>C338-D338</f>
        <v/>
      </c>
      <c r="H338" s="21">
        <f>H337+D338</f>
        <v/>
      </c>
      <c r="I338" s="21">
        <f>I337+E338</f>
        <v/>
      </c>
    </row>
    <row r="339">
      <c r="A339" s="25" t="n">
        <v>28</v>
      </c>
      <c r="B339" s="25" t="n">
        <v>5</v>
      </c>
      <c r="C339" s="21">
        <f>G338</f>
        <v/>
      </c>
      <c r="D339" s="21">
        <f>Monthly_Payment-E339</f>
        <v/>
      </c>
      <c r="E339" s="21">
        <f>C339*Interest_Rate/12</f>
        <v/>
      </c>
      <c r="F339" s="21">
        <f>Monthly_Payment</f>
        <v/>
      </c>
      <c r="G339" s="21">
        <f>C339-D339</f>
        <v/>
      </c>
      <c r="H339" s="21">
        <f>H338+D339</f>
        <v/>
      </c>
      <c r="I339" s="21">
        <f>I338+E339</f>
        <v/>
      </c>
    </row>
    <row r="340">
      <c r="A340" s="25" t="n">
        <v>28</v>
      </c>
      <c r="B340" s="25" t="n">
        <v>6</v>
      </c>
      <c r="C340" s="21">
        <f>G339</f>
        <v/>
      </c>
      <c r="D340" s="21">
        <f>Monthly_Payment-E340</f>
        <v/>
      </c>
      <c r="E340" s="21">
        <f>C340*Interest_Rate/12</f>
        <v/>
      </c>
      <c r="F340" s="21">
        <f>Monthly_Payment</f>
        <v/>
      </c>
      <c r="G340" s="21">
        <f>C340-D340</f>
        <v/>
      </c>
      <c r="H340" s="21">
        <f>H339+D340</f>
        <v/>
      </c>
      <c r="I340" s="21">
        <f>I339+E340</f>
        <v/>
      </c>
    </row>
    <row r="341">
      <c r="A341" s="25" t="n">
        <v>28</v>
      </c>
      <c r="B341" s="25" t="n">
        <v>7</v>
      </c>
      <c r="C341" s="21">
        <f>G340</f>
        <v/>
      </c>
      <c r="D341" s="21">
        <f>Monthly_Payment-E341</f>
        <v/>
      </c>
      <c r="E341" s="21">
        <f>C341*Interest_Rate/12</f>
        <v/>
      </c>
      <c r="F341" s="21">
        <f>Monthly_Payment</f>
        <v/>
      </c>
      <c r="G341" s="21">
        <f>C341-D341</f>
        <v/>
      </c>
      <c r="H341" s="21">
        <f>H340+D341</f>
        <v/>
      </c>
      <c r="I341" s="21">
        <f>I340+E341</f>
        <v/>
      </c>
    </row>
    <row r="342">
      <c r="A342" s="25" t="n">
        <v>28</v>
      </c>
      <c r="B342" s="25" t="n">
        <v>8</v>
      </c>
      <c r="C342" s="21">
        <f>G341</f>
        <v/>
      </c>
      <c r="D342" s="21">
        <f>Monthly_Payment-E342</f>
        <v/>
      </c>
      <c r="E342" s="21">
        <f>C342*Interest_Rate/12</f>
        <v/>
      </c>
      <c r="F342" s="21">
        <f>Monthly_Payment</f>
        <v/>
      </c>
      <c r="G342" s="21">
        <f>C342-D342</f>
        <v/>
      </c>
      <c r="H342" s="21">
        <f>H341+D342</f>
        <v/>
      </c>
      <c r="I342" s="21">
        <f>I341+E342</f>
        <v/>
      </c>
    </row>
    <row r="343">
      <c r="A343" s="25" t="n">
        <v>28</v>
      </c>
      <c r="B343" s="25" t="n">
        <v>9</v>
      </c>
      <c r="C343" s="21">
        <f>G342</f>
        <v/>
      </c>
      <c r="D343" s="21">
        <f>Monthly_Payment-E343</f>
        <v/>
      </c>
      <c r="E343" s="21">
        <f>C343*Interest_Rate/12</f>
        <v/>
      </c>
      <c r="F343" s="21">
        <f>Monthly_Payment</f>
        <v/>
      </c>
      <c r="G343" s="21">
        <f>C343-D343</f>
        <v/>
      </c>
      <c r="H343" s="21">
        <f>H342+D343</f>
        <v/>
      </c>
      <c r="I343" s="21">
        <f>I342+E343</f>
        <v/>
      </c>
    </row>
    <row r="344">
      <c r="A344" s="25" t="n">
        <v>28</v>
      </c>
      <c r="B344" s="25" t="n">
        <v>10</v>
      </c>
      <c r="C344" s="21">
        <f>G343</f>
        <v/>
      </c>
      <c r="D344" s="21">
        <f>Monthly_Payment-E344</f>
        <v/>
      </c>
      <c r="E344" s="21">
        <f>C344*Interest_Rate/12</f>
        <v/>
      </c>
      <c r="F344" s="21">
        <f>Monthly_Payment</f>
        <v/>
      </c>
      <c r="G344" s="21">
        <f>C344-D344</f>
        <v/>
      </c>
      <c r="H344" s="21">
        <f>H343+D344</f>
        <v/>
      </c>
      <c r="I344" s="21">
        <f>I343+E344</f>
        <v/>
      </c>
    </row>
    <row r="345">
      <c r="A345" s="25" t="n">
        <v>28</v>
      </c>
      <c r="B345" s="25" t="n">
        <v>11</v>
      </c>
      <c r="C345" s="21">
        <f>G344</f>
        <v/>
      </c>
      <c r="D345" s="21">
        <f>Monthly_Payment-E345</f>
        <v/>
      </c>
      <c r="E345" s="21">
        <f>C345*Interest_Rate/12</f>
        <v/>
      </c>
      <c r="F345" s="21">
        <f>Monthly_Payment</f>
        <v/>
      </c>
      <c r="G345" s="21">
        <f>C345-D345</f>
        <v/>
      </c>
      <c r="H345" s="21">
        <f>H344+D345</f>
        <v/>
      </c>
      <c r="I345" s="21">
        <f>I344+E345</f>
        <v/>
      </c>
    </row>
    <row r="346">
      <c r="A346" s="25" t="n">
        <v>28</v>
      </c>
      <c r="B346" s="25" t="n">
        <v>12</v>
      </c>
      <c r="C346" s="21">
        <f>G345</f>
        <v/>
      </c>
      <c r="D346" s="21">
        <f>Monthly_Payment-E346</f>
        <v/>
      </c>
      <c r="E346" s="21">
        <f>C346*Interest_Rate/12</f>
        <v/>
      </c>
      <c r="F346" s="21">
        <f>Monthly_Payment</f>
        <v/>
      </c>
      <c r="G346" s="21">
        <f>C346-D346</f>
        <v/>
      </c>
      <c r="H346" s="21">
        <f>H345+D346</f>
        <v/>
      </c>
      <c r="I346" s="21">
        <f>I345+E346</f>
        <v/>
      </c>
    </row>
    <row r="347">
      <c r="A347" s="25" t="n">
        <v>29</v>
      </c>
      <c r="B347" s="25" t="n">
        <v>1</v>
      </c>
      <c r="C347" s="21">
        <f>G346</f>
        <v/>
      </c>
      <c r="D347" s="21">
        <f>Monthly_Payment-E347</f>
        <v/>
      </c>
      <c r="E347" s="21">
        <f>C347*Interest_Rate/12</f>
        <v/>
      </c>
      <c r="F347" s="21">
        <f>Monthly_Payment</f>
        <v/>
      </c>
      <c r="G347" s="21">
        <f>C347-D347</f>
        <v/>
      </c>
      <c r="H347" s="21">
        <f>H346+D347</f>
        <v/>
      </c>
      <c r="I347" s="21">
        <f>I346+E347</f>
        <v/>
      </c>
    </row>
    <row r="348">
      <c r="A348" s="25" t="n">
        <v>29</v>
      </c>
      <c r="B348" s="25" t="n">
        <v>2</v>
      </c>
      <c r="C348" s="21">
        <f>G347</f>
        <v/>
      </c>
      <c r="D348" s="21">
        <f>Monthly_Payment-E348</f>
        <v/>
      </c>
      <c r="E348" s="21">
        <f>C348*Interest_Rate/12</f>
        <v/>
      </c>
      <c r="F348" s="21">
        <f>Monthly_Payment</f>
        <v/>
      </c>
      <c r="G348" s="21">
        <f>C348-D348</f>
        <v/>
      </c>
      <c r="H348" s="21">
        <f>H347+D348</f>
        <v/>
      </c>
      <c r="I348" s="21">
        <f>I347+E348</f>
        <v/>
      </c>
    </row>
    <row r="349">
      <c r="A349" s="25" t="n">
        <v>29</v>
      </c>
      <c r="B349" s="25" t="n">
        <v>3</v>
      </c>
      <c r="C349" s="21">
        <f>G348</f>
        <v/>
      </c>
      <c r="D349" s="21">
        <f>Monthly_Payment-E349</f>
        <v/>
      </c>
      <c r="E349" s="21">
        <f>C349*Interest_Rate/12</f>
        <v/>
      </c>
      <c r="F349" s="21">
        <f>Monthly_Payment</f>
        <v/>
      </c>
      <c r="G349" s="21">
        <f>C349-D349</f>
        <v/>
      </c>
      <c r="H349" s="21">
        <f>H348+D349</f>
        <v/>
      </c>
      <c r="I349" s="21">
        <f>I348+E349</f>
        <v/>
      </c>
    </row>
    <row r="350">
      <c r="A350" s="25" t="n">
        <v>29</v>
      </c>
      <c r="B350" s="25" t="n">
        <v>4</v>
      </c>
      <c r="C350" s="21">
        <f>G349</f>
        <v/>
      </c>
      <c r="D350" s="21">
        <f>Monthly_Payment-E350</f>
        <v/>
      </c>
      <c r="E350" s="21">
        <f>C350*Interest_Rate/12</f>
        <v/>
      </c>
      <c r="F350" s="21">
        <f>Monthly_Payment</f>
        <v/>
      </c>
      <c r="G350" s="21">
        <f>C350-D350</f>
        <v/>
      </c>
      <c r="H350" s="21">
        <f>H349+D350</f>
        <v/>
      </c>
      <c r="I350" s="21">
        <f>I349+E350</f>
        <v/>
      </c>
    </row>
    <row r="351">
      <c r="A351" s="25" t="n">
        <v>29</v>
      </c>
      <c r="B351" s="25" t="n">
        <v>5</v>
      </c>
      <c r="C351" s="21">
        <f>G350</f>
        <v/>
      </c>
      <c r="D351" s="21">
        <f>Monthly_Payment-E351</f>
        <v/>
      </c>
      <c r="E351" s="21">
        <f>C351*Interest_Rate/12</f>
        <v/>
      </c>
      <c r="F351" s="21">
        <f>Monthly_Payment</f>
        <v/>
      </c>
      <c r="G351" s="21">
        <f>C351-D351</f>
        <v/>
      </c>
      <c r="H351" s="21">
        <f>H350+D351</f>
        <v/>
      </c>
      <c r="I351" s="21">
        <f>I350+E351</f>
        <v/>
      </c>
    </row>
    <row r="352">
      <c r="A352" s="25" t="n">
        <v>29</v>
      </c>
      <c r="B352" s="25" t="n">
        <v>6</v>
      </c>
      <c r="C352" s="21">
        <f>G351</f>
        <v/>
      </c>
      <c r="D352" s="21">
        <f>Monthly_Payment-E352</f>
        <v/>
      </c>
      <c r="E352" s="21">
        <f>C352*Interest_Rate/12</f>
        <v/>
      </c>
      <c r="F352" s="21">
        <f>Monthly_Payment</f>
        <v/>
      </c>
      <c r="G352" s="21">
        <f>C352-D352</f>
        <v/>
      </c>
      <c r="H352" s="21">
        <f>H351+D352</f>
        <v/>
      </c>
      <c r="I352" s="21">
        <f>I351+E352</f>
        <v/>
      </c>
    </row>
    <row r="353">
      <c r="A353" s="25" t="n">
        <v>29</v>
      </c>
      <c r="B353" s="25" t="n">
        <v>7</v>
      </c>
      <c r="C353" s="21">
        <f>G352</f>
        <v/>
      </c>
      <c r="D353" s="21">
        <f>Monthly_Payment-E353</f>
        <v/>
      </c>
      <c r="E353" s="21">
        <f>C353*Interest_Rate/12</f>
        <v/>
      </c>
      <c r="F353" s="21">
        <f>Monthly_Payment</f>
        <v/>
      </c>
      <c r="G353" s="21">
        <f>C353-D353</f>
        <v/>
      </c>
      <c r="H353" s="21">
        <f>H352+D353</f>
        <v/>
      </c>
      <c r="I353" s="21">
        <f>I352+E353</f>
        <v/>
      </c>
    </row>
    <row r="354">
      <c r="A354" s="25" t="n">
        <v>29</v>
      </c>
      <c r="B354" s="25" t="n">
        <v>8</v>
      </c>
      <c r="C354" s="21">
        <f>G353</f>
        <v/>
      </c>
      <c r="D354" s="21">
        <f>Monthly_Payment-E354</f>
        <v/>
      </c>
      <c r="E354" s="21">
        <f>C354*Interest_Rate/12</f>
        <v/>
      </c>
      <c r="F354" s="21">
        <f>Monthly_Payment</f>
        <v/>
      </c>
      <c r="G354" s="21">
        <f>C354-D354</f>
        <v/>
      </c>
      <c r="H354" s="21">
        <f>H353+D354</f>
        <v/>
      </c>
      <c r="I354" s="21">
        <f>I353+E354</f>
        <v/>
      </c>
    </row>
    <row r="355">
      <c r="A355" s="25" t="n">
        <v>29</v>
      </c>
      <c r="B355" s="25" t="n">
        <v>9</v>
      </c>
      <c r="C355" s="21">
        <f>G354</f>
        <v/>
      </c>
      <c r="D355" s="21">
        <f>Monthly_Payment-E355</f>
        <v/>
      </c>
      <c r="E355" s="21">
        <f>C355*Interest_Rate/12</f>
        <v/>
      </c>
      <c r="F355" s="21">
        <f>Monthly_Payment</f>
        <v/>
      </c>
      <c r="G355" s="21">
        <f>C355-D355</f>
        <v/>
      </c>
      <c r="H355" s="21">
        <f>H354+D355</f>
        <v/>
      </c>
      <c r="I355" s="21">
        <f>I354+E355</f>
        <v/>
      </c>
    </row>
    <row r="356">
      <c r="A356" s="25" t="n">
        <v>29</v>
      </c>
      <c r="B356" s="25" t="n">
        <v>10</v>
      </c>
      <c r="C356" s="21">
        <f>G355</f>
        <v/>
      </c>
      <c r="D356" s="21">
        <f>Monthly_Payment-E356</f>
        <v/>
      </c>
      <c r="E356" s="21">
        <f>C356*Interest_Rate/12</f>
        <v/>
      </c>
      <c r="F356" s="21">
        <f>Monthly_Payment</f>
        <v/>
      </c>
      <c r="G356" s="21">
        <f>C356-D356</f>
        <v/>
      </c>
      <c r="H356" s="21">
        <f>H355+D356</f>
        <v/>
      </c>
      <c r="I356" s="21">
        <f>I355+E356</f>
        <v/>
      </c>
    </row>
    <row r="357">
      <c r="A357" s="25" t="n">
        <v>29</v>
      </c>
      <c r="B357" s="25" t="n">
        <v>11</v>
      </c>
      <c r="C357" s="21">
        <f>G356</f>
        <v/>
      </c>
      <c r="D357" s="21">
        <f>Monthly_Payment-E357</f>
        <v/>
      </c>
      <c r="E357" s="21">
        <f>C357*Interest_Rate/12</f>
        <v/>
      </c>
      <c r="F357" s="21">
        <f>Monthly_Payment</f>
        <v/>
      </c>
      <c r="G357" s="21">
        <f>C357-D357</f>
        <v/>
      </c>
      <c r="H357" s="21">
        <f>H356+D357</f>
        <v/>
      </c>
      <c r="I357" s="21">
        <f>I356+E357</f>
        <v/>
      </c>
    </row>
    <row r="358">
      <c r="A358" s="25" t="n">
        <v>29</v>
      </c>
      <c r="B358" s="25" t="n">
        <v>12</v>
      </c>
      <c r="C358" s="21">
        <f>G357</f>
        <v/>
      </c>
      <c r="D358" s="21">
        <f>Monthly_Payment-E358</f>
        <v/>
      </c>
      <c r="E358" s="21">
        <f>C358*Interest_Rate/12</f>
        <v/>
      </c>
      <c r="F358" s="21">
        <f>Monthly_Payment</f>
        <v/>
      </c>
      <c r="G358" s="21">
        <f>C358-D358</f>
        <v/>
      </c>
      <c r="H358" s="21">
        <f>H357+D358</f>
        <v/>
      </c>
      <c r="I358" s="21">
        <f>I357+E358</f>
        <v/>
      </c>
    </row>
    <row r="359">
      <c r="A359" s="25" t="n">
        <v>30</v>
      </c>
      <c r="B359" s="25" t="n">
        <v>1</v>
      </c>
      <c r="C359" s="21">
        <f>G358</f>
        <v/>
      </c>
      <c r="D359" s="21">
        <f>Monthly_Payment-E359</f>
        <v/>
      </c>
      <c r="E359" s="21">
        <f>C359*Interest_Rate/12</f>
        <v/>
      </c>
      <c r="F359" s="21">
        <f>Monthly_Payment</f>
        <v/>
      </c>
      <c r="G359" s="21">
        <f>C359-D359</f>
        <v/>
      </c>
      <c r="H359" s="21">
        <f>H358+D359</f>
        <v/>
      </c>
      <c r="I359" s="21">
        <f>I358+E359</f>
        <v/>
      </c>
    </row>
    <row r="360">
      <c r="A360" s="25" t="n">
        <v>30</v>
      </c>
      <c r="B360" s="25" t="n">
        <v>2</v>
      </c>
      <c r="C360" s="21">
        <f>G359</f>
        <v/>
      </c>
      <c r="D360" s="21">
        <f>Monthly_Payment-E360</f>
        <v/>
      </c>
      <c r="E360" s="21">
        <f>C360*Interest_Rate/12</f>
        <v/>
      </c>
      <c r="F360" s="21">
        <f>Monthly_Payment</f>
        <v/>
      </c>
      <c r="G360" s="21">
        <f>C360-D360</f>
        <v/>
      </c>
      <c r="H360" s="21">
        <f>H359+D360</f>
        <v/>
      </c>
      <c r="I360" s="21">
        <f>I359+E360</f>
        <v/>
      </c>
    </row>
    <row r="361">
      <c r="A361" s="25" t="n">
        <v>30</v>
      </c>
      <c r="B361" s="25" t="n">
        <v>3</v>
      </c>
      <c r="C361" s="21">
        <f>G360</f>
        <v/>
      </c>
      <c r="D361" s="21">
        <f>Monthly_Payment-E361</f>
        <v/>
      </c>
      <c r="E361" s="21">
        <f>C361*Interest_Rate/12</f>
        <v/>
      </c>
      <c r="F361" s="21">
        <f>Monthly_Payment</f>
        <v/>
      </c>
      <c r="G361" s="21">
        <f>C361-D361</f>
        <v/>
      </c>
      <c r="H361" s="21">
        <f>H360+D361</f>
        <v/>
      </c>
      <c r="I361" s="21">
        <f>I360+E361</f>
        <v/>
      </c>
    </row>
    <row r="362">
      <c r="A362" s="25" t="n">
        <v>30</v>
      </c>
      <c r="B362" s="25" t="n">
        <v>4</v>
      </c>
      <c r="C362" s="21">
        <f>G361</f>
        <v/>
      </c>
      <c r="D362" s="21">
        <f>Monthly_Payment-E362</f>
        <v/>
      </c>
      <c r="E362" s="21">
        <f>C362*Interest_Rate/12</f>
        <v/>
      </c>
      <c r="F362" s="21">
        <f>Monthly_Payment</f>
        <v/>
      </c>
      <c r="G362" s="21">
        <f>C362-D362</f>
        <v/>
      </c>
      <c r="H362" s="21">
        <f>H361+D362</f>
        <v/>
      </c>
      <c r="I362" s="21">
        <f>I361+E362</f>
        <v/>
      </c>
    </row>
    <row r="363">
      <c r="A363" s="25" t="n">
        <v>30</v>
      </c>
      <c r="B363" s="25" t="n">
        <v>5</v>
      </c>
      <c r="C363" s="21">
        <f>G362</f>
        <v/>
      </c>
      <c r="D363" s="21">
        <f>Monthly_Payment-E363</f>
        <v/>
      </c>
      <c r="E363" s="21">
        <f>C363*Interest_Rate/12</f>
        <v/>
      </c>
      <c r="F363" s="21">
        <f>Monthly_Payment</f>
        <v/>
      </c>
      <c r="G363" s="21">
        <f>C363-D363</f>
        <v/>
      </c>
      <c r="H363" s="21">
        <f>H362+D363</f>
        <v/>
      </c>
      <c r="I363" s="21">
        <f>I362+E363</f>
        <v/>
      </c>
    </row>
    <row r="364">
      <c r="A364" s="25" t="n">
        <v>30</v>
      </c>
      <c r="B364" s="25" t="n">
        <v>6</v>
      </c>
      <c r="C364" s="21">
        <f>G363</f>
        <v/>
      </c>
      <c r="D364" s="21">
        <f>Monthly_Payment-E364</f>
        <v/>
      </c>
      <c r="E364" s="21">
        <f>C364*Interest_Rate/12</f>
        <v/>
      </c>
      <c r="F364" s="21">
        <f>Monthly_Payment</f>
        <v/>
      </c>
      <c r="G364" s="21">
        <f>C364-D364</f>
        <v/>
      </c>
      <c r="H364" s="21">
        <f>H363+D364</f>
        <v/>
      </c>
      <c r="I364" s="21">
        <f>I363+E364</f>
        <v/>
      </c>
    </row>
    <row r="365">
      <c r="A365" s="25" t="n">
        <v>30</v>
      </c>
      <c r="B365" s="25" t="n">
        <v>7</v>
      </c>
      <c r="C365" s="21">
        <f>G364</f>
        <v/>
      </c>
      <c r="D365" s="21">
        <f>Monthly_Payment-E365</f>
        <v/>
      </c>
      <c r="E365" s="21">
        <f>C365*Interest_Rate/12</f>
        <v/>
      </c>
      <c r="F365" s="21">
        <f>Monthly_Payment</f>
        <v/>
      </c>
      <c r="G365" s="21">
        <f>C365-D365</f>
        <v/>
      </c>
      <c r="H365" s="21">
        <f>H364+D365</f>
        <v/>
      </c>
      <c r="I365" s="21">
        <f>I364+E365</f>
        <v/>
      </c>
    </row>
    <row r="366">
      <c r="A366" s="25" t="n">
        <v>30</v>
      </c>
      <c r="B366" s="25" t="n">
        <v>8</v>
      </c>
      <c r="C366" s="21">
        <f>G365</f>
        <v/>
      </c>
      <c r="D366" s="21">
        <f>Monthly_Payment-E366</f>
        <v/>
      </c>
      <c r="E366" s="21">
        <f>C366*Interest_Rate/12</f>
        <v/>
      </c>
      <c r="F366" s="21">
        <f>Monthly_Payment</f>
        <v/>
      </c>
      <c r="G366" s="21">
        <f>C366-D366</f>
        <v/>
      </c>
      <c r="H366" s="21">
        <f>H365+D366</f>
        <v/>
      </c>
      <c r="I366" s="21">
        <f>I365+E366</f>
        <v/>
      </c>
    </row>
    <row r="367">
      <c r="A367" s="25" t="n">
        <v>30</v>
      </c>
      <c r="B367" s="25" t="n">
        <v>9</v>
      </c>
      <c r="C367" s="21">
        <f>G366</f>
        <v/>
      </c>
      <c r="D367" s="21">
        <f>Monthly_Payment-E367</f>
        <v/>
      </c>
      <c r="E367" s="21">
        <f>C367*Interest_Rate/12</f>
        <v/>
      </c>
      <c r="F367" s="21">
        <f>Monthly_Payment</f>
        <v/>
      </c>
      <c r="G367" s="21">
        <f>C367-D367</f>
        <v/>
      </c>
      <c r="H367" s="21">
        <f>H366+D367</f>
        <v/>
      </c>
      <c r="I367" s="21">
        <f>I366+E367</f>
        <v/>
      </c>
    </row>
    <row r="368">
      <c r="A368" s="25" t="n">
        <v>30</v>
      </c>
      <c r="B368" s="25" t="n">
        <v>10</v>
      </c>
      <c r="C368" s="21">
        <f>G367</f>
        <v/>
      </c>
      <c r="D368" s="21">
        <f>Monthly_Payment-E368</f>
        <v/>
      </c>
      <c r="E368" s="21">
        <f>C368*Interest_Rate/12</f>
        <v/>
      </c>
      <c r="F368" s="21">
        <f>Monthly_Payment</f>
        <v/>
      </c>
      <c r="G368" s="21">
        <f>C368-D368</f>
        <v/>
      </c>
      <c r="H368" s="21">
        <f>H367+D368</f>
        <v/>
      </c>
      <c r="I368" s="21">
        <f>I367+E368</f>
        <v/>
      </c>
    </row>
    <row r="369">
      <c r="A369" s="25" t="n">
        <v>30</v>
      </c>
      <c r="B369" s="25" t="n">
        <v>11</v>
      </c>
      <c r="C369" s="21">
        <f>G368</f>
        <v/>
      </c>
      <c r="D369" s="21">
        <f>Monthly_Payment-E369</f>
        <v/>
      </c>
      <c r="E369" s="21">
        <f>C369*Interest_Rate/12</f>
        <v/>
      </c>
      <c r="F369" s="21">
        <f>Monthly_Payment</f>
        <v/>
      </c>
      <c r="G369" s="21">
        <f>C369-D369</f>
        <v/>
      </c>
      <c r="H369" s="21">
        <f>H368+D369</f>
        <v/>
      </c>
      <c r="I369" s="21">
        <f>I368+E369</f>
        <v/>
      </c>
    </row>
    <row r="370">
      <c r="A370" s="25" t="n">
        <v>30</v>
      </c>
      <c r="B370" s="25" t="n">
        <v>12</v>
      </c>
      <c r="C370" s="21">
        <f>G369</f>
        <v/>
      </c>
      <c r="D370" s="21">
        <f>Monthly_Payment-E370</f>
        <v/>
      </c>
      <c r="E370" s="21">
        <f>C370*Interest_Rate/12</f>
        <v/>
      </c>
      <c r="F370" s="21">
        <f>Monthly_Payment</f>
        <v/>
      </c>
      <c r="G370" s="21">
        <f>C370-D370</f>
        <v/>
      </c>
      <c r="H370" s="21">
        <f>H369+D370</f>
        <v/>
      </c>
      <c r="I370" s="21">
        <f>I369+E370</f>
        <v/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ANNUAL CASH FLOW PRO FORMA (10 Years)</t>
        </is>
      </c>
    </row>
    <row r="3">
      <c r="A3" t="inlineStr">
        <is>
          <t>Year</t>
        </is>
      </c>
      <c r="B3" s="9" t="n">
        <v>0</v>
      </c>
      <c r="C3" s="9" t="n">
        <v>1</v>
      </c>
      <c r="D3" s="9" t="n">
        <v>2</v>
      </c>
      <c r="E3" s="9" t="n">
        <v>3</v>
      </c>
      <c r="F3" s="9" t="n">
        <v>4</v>
      </c>
      <c r="G3" s="9" t="n">
        <v>5</v>
      </c>
      <c r="H3" s="9" t="n">
        <v>6</v>
      </c>
      <c r="I3" s="9" t="n">
        <v>7</v>
      </c>
      <c r="J3" s="9" t="n">
        <v>8</v>
      </c>
      <c r="K3" s="9" t="n">
        <v>9</v>
      </c>
      <c r="L3" s="9" t="n">
        <v>10</v>
      </c>
    </row>
    <row r="4">
      <c r="A4" s="2" t="inlineStr">
        <is>
          <t>REVENUE</t>
        </is>
      </c>
    </row>
    <row r="5">
      <c r="A5" t="inlineStr">
        <is>
          <t>Gross Potential Rent</t>
        </is>
      </c>
      <c r="B5" s="21">
        <f>T12_GPR</f>
        <v/>
      </c>
      <c r="C5" s="21">
        <f>T12_GPR*POWER(1+InPlace_Rent_Growth,1)*(1-0.4)+Total_Units*Avg_Market_Rent*12*POWER(1+Market_Rent_Growth,1)*0.4</f>
        <v/>
      </c>
      <c r="D5" s="21">
        <f>T12_GPR*POWER(1+InPlace_Rent_Growth,2)*(1-0.8)+Total_Units*Avg_Market_Rent*12*POWER(1+Market_Rent_Growth,2)*0.8</f>
        <v/>
      </c>
      <c r="E5" s="21">
        <f>Total_Units*Avg_Market_Rent*12*POWER(1+Market_Rent_Growth,3)</f>
        <v/>
      </c>
      <c r="F5" s="21">
        <f>Total_Units*Avg_Market_Rent*12*POWER(1+Market_Rent_Growth,4)</f>
        <v/>
      </c>
      <c r="G5" s="21">
        <f>Total_Units*Avg_Market_Rent*12*POWER(1+Market_Rent_Growth,5)</f>
        <v/>
      </c>
      <c r="H5" s="21">
        <f>Total_Units*Avg_Market_Rent*12*POWER(1+Market_Rent_Growth,6)</f>
        <v/>
      </c>
      <c r="I5" s="21">
        <f>Total_Units*Avg_Market_Rent*12*POWER(1+Market_Rent_Growth,7)</f>
        <v/>
      </c>
      <c r="J5" s="21">
        <f>Total_Units*Avg_Market_Rent*12*POWER(1+Market_Rent_Growth,8)</f>
        <v/>
      </c>
      <c r="K5" s="21">
        <f>Total_Units*Avg_Market_Rent*12*POWER(1+Market_Rent_Growth,9)</f>
        <v/>
      </c>
      <c r="L5" s="21">
        <f>Total_Units*Avg_Market_Rent*12*POWER(1+Market_Rent_Growth,10)</f>
        <v/>
      </c>
    </row>
    <row r="6">
      <c r="A6" t="inlineStr">
        <is>
          <t>Other Income</t>
        </is>
      </c>
      <c r="B6" s="21">
        <f>T12_Other_Income</f>
        <v/>
      </c>
      <c r="C6" s="21">
        <f>T12_Other_Income*POWER(1+Other_Income_Growth,1)</f>
        <v/>
      </c>
      <c r="D6" s="21">
        <f>T12_Other_Income*POWER(1+Other_Income_Growth,2)</f>
        <v/>
      </c>
      <c r="E6" s="21">
        <f>T12_Other_Income*POWER(1+Other_Income_Growth,3)</f>
        <v/>
      </c>
      <c r="F6" s="21">
        <f>T12_Other_Income*POWER(1+Other_Income_Growth,4)</f>
        <v/>
      </c>
      <c r="G6" s="21">
        <f>T12_Other_Income*POWER(1+Other_Income_Growth,5)</f>
        <v/>
      </c>
      <c r="H6" s="21">
        <f>T12_Other_Income*POWER(1+Other_Income_Growth,6)</f>
        <v/>
      </c>
      <c r="I6" s="21">
        <f>T12_Other_Income*POWER(1+Other_Income_Growth,7)</f>
        <v/>
      </c>
      <c r="J6" s="21">
        <f>T12_Other_Income*POWER(1+Other_Income_Growth,8)</f>
        <v/>
      </c>
      <c r="K6" s="21">
        <f>T12_Other_Income*POWER(1+Other_Income_Growth,9)</f>
        <v/>
      </c>
      <c r="L6" s="21">
        <f>T12_Other_Income*POWER(1+Other_Income_Growth,10)</f>
        <v/>
      </c>
    </row>
    <row r="7">
      <c r="A7" s="16" t="inlineStr">
        <is>
          <t>Gross Potential Income</t>
        </is>
      </c>
      <c r="B7" s="23">
        <f>B5+B6</f>
        <v/>
      </c>
      <c r="C7" s="23">
        <f>C5+C6</f>
        <v/>
      </c>
      <c r="D7" s="23">
        <f>D5+D6</f>
        <v/>
      </c>
      <c r="E7" s="23">
        <f>E5+E6</f>
        <v/>
      </c>
      <c r="F7" s="23">
        <f>F5+F6</f>
        <v/>
      </c>
      <c r="G7" s="23">
        <f>G5+G6</f>
        <v/>
      </c>
      <c r="H7" s="23">
        <f>H5+H6</f>
        <v/>
      </c>
      <c r="I7" s="23">
        <f>I5+I6</f>
        <v/>
      </c>
      <c r="J7" s="23">
        <f>J5+J6</f>
        <v/>
      </c>
      <c r="K7" s="23">
        <f>K5+K6</f>
        <v/>
      </c>
      <c r="L7" s="23">
        <f>L5+L6</f>
        <v/>
      </c>
    </row>
    <row r="8">
      <c r="A8" s="16" t="inlineStr">
        <is>
          <t>Less: Economic Loss</t>
        </is>
      </c>
    </row>
    <row r="9">
      <c r="A9" t="inlineStr">
        <is>
          <t xml:space="preserve">  Vacancy &amp; Credit Loss</t>
        </is>
      </c>
      <c r="B9" s="21">
        <f>B7*0.14</f>
        <v/>
      </c>
      <c r="C9" s="21">
        <f>C7*0.12000000000000001</f>
        <v/>
      </c>
      <c r="D9" s="21">
        <f>D7*0.1</f>
        <v/>
      </c>
      <c r="E9" s="21">
        <f>E7*Stabilized_Vacancy</f>
        <v/>
      </c>
      <c r="F9" s="21">
        <f>F7*Stabilized_Vacancy</f>
        <v/>
      </c>
      <c r="G9" s="21">
        <f>G7*Stabilized_Vacancy</f>
        <v/>
      </c>
      <c r="H9" s="21">
        <f>H7*Stabilized_Vacancy</f>
        <v/>
      </c>
      <c r="I9" s="21">
        <f>I7*Stabilized_Vacancy</f>
        <v/>
      </c>
      <c r="J9" s="21">
        <f>J7*Stabilized_Vacancy</f>
        <v/>
      </c>
      <c r="K9" s="21">
        <f>K7*Stabilized_Vacancy</f>
        <v/>
      </c>
      <c r="L9" s="21">
        <f>L7*Stabilized_Vacancy</f>
        <v/>
      </c>
    </row>
    <row r="10">
      <c r="A10" s="16" t="inlineStr">
        <is>
          <t>Effective Gross Income (EGI)</t>
        </is>
      </c>
      <c r="B10" s="26">
        <f>B7-B9</f>
        <v/>
      </c>
      <c r="C10" s="26">
        <f>C7-C9</f>
        <v/>
      </c>
      <c r="D10" s="26">
        <f>D7-D9</f>
        <v/>
      </c>
      <c r="E10" s="26">
        <f>E7-E9</f>
        <v/>
      </c>
      <c r="F10" s="26">
        <f>F7-F9</f>
        <v/>
      </c>
      <c r="G10" s="26">
        <f>G7-G9</f>
        <v/>
      </c>
      <c r="H10" s="26">
        <f>H7-H9</f>
        <v/>
      </c>
      <c r="I10" s="26">
        <f>I7-I9</f>
        <v/>
      </c>
      <c r="J10" s="26">
        <f>J7-J9</f>
        <v/>
      </c>
      <c r="K10" s="26">
        <f>K7-K9</f>
        <v/>
      </c>
      <c r="L10" s="26">
        <f>L7-L9</f>
        <v/>
      </c>
    </row>
    <row r="12">
      <c r="A12" s="2" t="inlineStr">
        <is>
          <t>OPERATING EXPENSES</t>
        </is>
      </c>
    </row>
    <row r="13">
      <c r="A13" t="inlineStr">
        <is>
          <t>Property Taxes</t>
        </is>
      </c>
      <c r="B13" s="21">
        <f>Purchase_Price*Tax_Rate+Special_Assessments</f>
        <v/>
      </c>
      <c r="C13" s="21">
        <f>Purchase_Price*POWER(1+Prop13_Cap,1)*Tax_Rate+Special_Assessments</f>
        <v/>
      </c>
      <c r="D13" s="21">
        <f>Purchase_Price*POWER(1+Prop13_Cap,2)*Tax_Rate+Special_Assessments</f>
        <v/>
      </c>
      <c r="E13" s="21">
        <f>Purchase_Price*POWER(1+Prop13_Cap,3)*Tax_Rate+Special_Assessments</f>
        <v/>
      </c>
      <c r="F13" s="21">
        <f>Purchase_Price*POWER(1+Prop13_Cap,4)*Tax_Rate+Special_Assessments</f>
        <v/>
      </c>
      <c r="G13" s="21">
        <f>Purchase_Price*POWER(1+Prop13_Cap,5)*Tax_Rate+Special_Assessments</f>
        <v/>
      </c>
      <c r="H13" s="21">
        <f>Purchase_Price*POWER(1+Prop13_Cap,6)*Tax_Rate+Special_Assessments</f>
        <v/>
      </c>
      <c r="I13" s="21">
        <f>Purchase_Price*POWER(1+Prop13_Cap,7)*Tax_Rate+Special_Assessments</f>
        <v/>
      </c>
      <c r="J13" s="21">
        <f>Purchase_Price*POWER(1+Prop13_Cap,8)*Tax_Rate+Special_Assessments</f>
        <v/>
      </c>
      <c r="K13" s="21">
        <f>Purchase_Price*POWER(1+Prop13_Cap,9)*Tax_Rate+Special_Assessments</f>
        <v/>
      </c>
      <c r="L13" s="21">
        <f>Purchase_Price*POWER(1+Prop13_Cap,10)*Tax_Rate+Special_Assessments</f>
        <v/>
      </c>
    </row>
    <row r="14">
      <c r="A14" t="inlineStr">
        <is>
          <t>Insurance</t>
        </is>
      </c>
      <c r="B14" s="21">
        <f>T12_Insurance</f>
        <v/>
      </c>
      <c r="C14" s="21">
        <f>T12_Insurance*POWER(1+OpEx_Growth,1)</f>
        <v/>
      </c>
      <c r="D14" s="21">
        <f>T12_Insurance*POWER(1+OpEx_Growth,2)</f>
        <v/>
      </c>
      <c r="E14" s="21">
        <f>T12_Insurance*POWER(1+OpEx_Growth,3)</f>
        <v/>
      </c>
      <c r="F14" s="21">
        <f>T12_Insurance*POWER(1+OpEx_Growth,4)</f>
        <v/>
      </c>
      <c r="G14" s="21">
        <f>T12_Insurance*POWER(1+OpEx_Growth,5)</f>
        <v/>
      </c>
      <c r="H14" s="21">
        <f>T12_Insurance*POWER(1+OpEx_Growth,6)</f>
        <v/>
      </c>
      <c r="I14" s="21">
        <f>T12_Insurance*POWER(1+OpEx_Growth,7)</f>
        <v/>
      </c>
      <c r="J14" s="21">
        <f>T12_Insurance*POWER(1+OpEx_Growth,8)</f>
        <v/>
      </c>
      <c r="K14" s="21">
        <f>T12_Insurance*POWER(1+OpEx_Growth,9)</f>
        <v/>
      </c>
      <c r="L14" s="21">
        <f>T12_Insurance*POWER(1+OpEx_Growth,10)</f>
        <v/>
      </c>
    </row>
    <row r="15">
      <c r="A15" t="inlineStr">
        <is>
          <t>Utilities</t>
        </is>
      </c>
      <c r="B15" s="21">
        <f>T12_Utilities</f>
        <v/>
      </c>
      <c r="C15" s="21">
        <f>T12_Utilities*POWER(1+OpEx_Growth,1)</f>
        <v/>
      </c>
      <c r="D15" s="21">
        <f>T12_Utilities*POWER(1+OpEx_Growth,2)</f>
        <v/>
      </c>
      <c r="E15" s="21">
        <f>T12_Utilities*POWER(1+OpEx_Growth,3)</f>
        <v/>
      </c>
      <c r="F15" s="21">
        <f>T12_Utilities*POWER(1+OpEx_Growth,4)</f>
        <v/>
      </c>
      <c r="G15" s="21">
        <f>T12_Utilities*POWER(1+OpEx_Growth,5)</f>
        <v/>
      </c>
      <c r="H15" s="21">
        <f>T12_Utilities*POWER(1+OpEx_Growth,6)</f>
        <v/>
      </c>
      <c r="I15" s="21">
        <f>T12_Utilities*POWER(1+OpEx_Growth,7)</f>
        <v/>
      </c>
      <c r="J15" s="21">
        <f>T12_Utilities*POWER(1+OpEx_Growth,8)</f>
        <v/>
      </c>
      <c r="K15" s="21">
        <f>T12_Utilities*POWER(1+OpEx_Growth,9)</f>
        <v/>
      </c>
      <c r="L15" s="21">
        <f>T12_Utilities*POWER(1+OpEx_Growth,10)</f>
        <v/>
      </c>
    </row>
    <row r="16">
      <c r="A16" t="inlineStr">
        <is>
          <t>Repairs &amp; Maintenance</t>
        </is>
      </c>
      <c r="B16" s="21">
        <f>T12_Repairs</f>
        <v/>
      </c>
      <c r="C16" s="21">
        <f>T12_Repairs*POWER(1+OpEx_Growth,1)</f>
        <v/>
      </c>
      <c r="D16" s="21">
        <f>T12_Repairs*POWER(1+OpEx_Growth,2)</f>
        <v/>
      </c>
      <c r="E16" s="21">
        <f>T12_Repairs*POWER(1+OpEx_Growth,3)</f>
        <v/>
      </c>
      <c r="F16" s="21">
        <f>T12_Repairs*POWER(1+OpEx_Growth,4)</f>
        <v/>
      </c>
      <c r="G16" s="21">
        <f>T12_Repairs*POWER(1+OpEx_Growth,5)</f>
        <v/>
      </c>
      <c r="H16" s="21">
        <f>T12_Repairs*POWER(1+OpEx_Growth,6)</f>
        <v/>
      </c>
      <c r="I16" s="21">
        <f>T12_Repairs*POWER(1+OpEx_Growth,7)</f>
        <v/>
      </c>
      <c r="J16" s="21">
        <f>T12_Repairs*POWER(1+OpEx_Growth,8)</f>
        <v/>
      </c>
      <c r="K16" s="21">
        <f>T12_Repairs*POWER(1+OpEx_Growth,9)</f>
        <v/>
      </c>
      <c r="L16" s="21">
        <f>T12_Repairs*POWER(1+OpEx_Growth,10)</f>
        <v/>
      </c>
    </row>
    <row r="17">
      <c r="A17" t="inlineStr">
        <is>
          <t>Payroll</t>
        </is>
      </c>
      <c r="B17" s="21">
        <f>T12_Payroll</f>
        <v/>
      </c>
      <c r="C17" s="21">
        <f>T12_Payroll*POWER(1+OpEx_Growth,1)</f>
        <v/>
      </c>
      <c r="D17" s="21">
        <f>T12_Payroll*POWER(1+OpEx_Growth,2)</f>
        <v/>
      </c>
      <c r="E17" s="21">
        <f>T12_Payroll*POWER(1+OpEx_Growth,3)</f>
        <v/>
      </c>
      <c r="F17" s="21">
        <f>T12_Payroll*POWER(1+OpEx_Growth,4)</f>
        <v/>
      </c>
      <c r="G17" s="21">
        <f>T12_Payroll*POWER(1+OpEx_Growth,5)</f>
        <v/>
      </c>
      <c r="H17" s="21">
        <f>T12_Payroll*POWER(1+OpEx_Growth,6)</f>
        <v/>
      </c>
      <c r="I17" s="21">
        <f>T12_Payroll*POWER(1+OpEx_Growth,7)</f>
        <v/>
      </c>
      <c r="J17" s="21">
        <f>T12_Payroll*POWER(1+OpEx_Growth,8)</f>
        <v/>
      </c>
      <c r="K17" s="21">
        <f>T12_Payroll*POWER(1+OpEx_Growth,9)</f>
        <v/>
      </c>
      <c r="L17" s="21">
        <f>T12_Payroll*POWER(1+OpEx_Growth,10)</f>
        <v/>
      </c>
    </row>
    <row r="18">
      <c r="A18" t="inlineStr">
        <is>
          <t>Marketing</t>
        </is>
      </c>
      <c r="B18" s="21">
        <f>T12_Marketing</f>
        <v/>
      </c>
      <c r="C18" s="21">
        <f>T12_Marketing*POWER(1+OpEx_Growth,1)</f>
        <v/>
      </c>
      <c r="D18" s="21">
        <f>T12_Marketing*POWER(1+OpEx_Growth,2)</f>
        <v/>
      </c>
      <c r="E18" s="21">
        <f>T12_Marketing*POWER(1+OpEx_Growth,3)</f>
        <v/>
      </c>
      <c r="F18" s="21">
        <f>T12_Marketing*POWER(1+OpEx_Growth,4)</f>
        <v/>
      </c>
      <c r="G18" s="21">
        <f>T12_Marketing*POWER(1+OpEx_Growth,5)</f>
        <v/>
      </c>
      <c r="H18" s="21">
        <f>T12_Marketing*POWER(1+OpEx_Growth,6)</f>
        <v/>
      </c>
      <c r="I18" s="21">
        <f>T12_Marketing*POWER(1+OpEx_Growth,7)</f>
        <v/>
      </c>
      <c r="J18" s="21">
        <f>T12_Marketing*POWER(1+OpEx_Growth,8)</f>
        <v/>
      </c>
      <c r="K18" s="21">
        <f>T12_Marketing*POWER(1+OpEx_Growth,9)</f>
        <v/>
      </c>
      <c r="L18" s="21">
        <f>T12_Marketing*POWER(1+OpEx_Growth,10)</f>
        <v/>
      </c>
    </row>
    <row r="19">
      <c r="A19" t="inlineStr">
        <is>
          <t>Legal/Professional</t>
        </is>
      </c>
      <c r="B19" s="21">
        <f>T12_Legal</f>
        <v/>
      </c>
      <c r="C19" s="21">
        <f>T12_Legal*POWER(1+OpEx_Growth,1)</f>
        <v/>
      </c>
      <c r="D19" s="21">
        <f>T12_Legal*POWER(1+OpEx_Growth,2)</f>
        <v/>
      </c>
      <c r="E19" s="21">
        <f>T12_Legal*POWER(1+OpEx_Growth,3)</f>
        <v/>
      </c>
      <c r="F19" s="21">
        <f>T12_Legal*POWER(1+OpEx_Growth,4)</f>
        <v/>
      </c>
      <c r="G19" s="21">
        <f>T12_Legal*POWER(1+OpEx_Growth,5)</f>
        <v/>
      </c>
      <c r="H19" s="21">
        <f>T12_Legal*POWER(1+OpEx_Growth,6)</f>
        <v/>
      </c>
      <c r="I19" s="21">
        <f>T12_Legal*POWER(1+OpEx_Growth,7)</f>
        <v/>
      </c>
      <c r="J19" s="21">
        <f>T12_Legal*POWER(1+OpEx_Growth,8)</f>
        <v/>
      </c>
      <c r="K19" s="21">
        <f>T12_Legal*POWER(1+OpEx_Growth,9)</f>
        <v/>
      </c>
      <c r="L19" s="21">
        <f>T12_Legal*POWER(1+OpEx_Growth,10)</f>
        <v/>
      </c>
    </row>
    <row r="20">
      <c r="A20" t="inlineStr">
        <is>
          <t>Administrative</t>
        </is>
      </c>
      <c r="B20" s="21">
        <f>T12_Admin</f>
        <v/>
      </c>
      <c r="C20" s="21">
        <f>T12_Admin*POWER(1+OpEx_Growth,1)</f>
        <v/>
      </c>
      <c r="D20" s="21">
        <f>T12_Admin*POWER(1+OpEx_Growth,2)</f>
        <v/>
      </c>
      <c r="E20" s="21">
        <f>T12_Admin*POWER(1+OpEx_Growth,3)</f>
        <v/>
      </c>
      <c r="F20" s="21">
        <f>T12_Admin*POWER(1+OpEx_Growth,4)</f>
        <v/>
      </c>
      <c r="G20" s="21">
        <f>T12_Admin*POWER(1+OpEx_Growth,5)</f>
        <v/>
      </c>
      <c r="H20" s="21">
        <f>T12_Admin*POWER(1+OpEx_Growth,6)</f>
        <v/>
      </c>
      <c r="I20" s="21">
        <f>T12_Admin*POWER(1+OpEx_Growth,7)</f>
        <v/>
      </c>
      <c r="J20" s="21">
        <f>T12_Admin*POWER(1+OpEx_Growth,8)</f>
        <v/>
      </c>
      <c r="K20" s="21">
        <f>T12_Admin*POWER(1+OpEx_Growth,9)</f>
        <v/>
      </c>
      <c r="L20" s="21">
        <f>T12_Admin*POWER(1+OpEx_Growth,10)</f>
        <v/>
      </c>
    </row>
    <row r="21">
      <c r="A21" t="inlineStr">
        <is>
          <t>Management Fee</t>
        </is>
      </c>
      <c r="B21" s="21">
        <f>B10*Mgmt_Fee_Pct</f>
        <v/>
      </c>
      <c r="C21" s="21">
        <f>C10*Mgmt_Fee_Pct</f>
        <v/>
      </c>
      <c r="D21" s="21">
        <f>D10*Mgmt_Fee_Pct</f>
        <v/>
      </c>
      <c r="E21" s="21">
        <f>E10*Mgmt_Fee_Pct</f>
        <v/>
      </c>
      <c r="F21" s="21">
        <f>F10*Mgmt_Fee_Pct</f>
        <v/>
      </c>
      <c r="G21" s="21">
        <f>G10*Mgmt_Fee_Pct</f>
        <v/>
      </c>
      <c r="H21" s="21">
        <f>H10*Mgmt_Fee_Pct</f>
        <v/>
      </c>
      <c r="I21" s="21">
        <f>I10*Mgmt_Fee_Pct</f>
        <v/>
      </c>
      <c r="J21" s="21">
        <f>J10*Mgmt_Fee_Pct</f>
        <v/>
      </c>
      <c r="K21" s="21">
        <f>K10*Mgmt_Fee_Pct</f>
        <v/>
      </c>
      <c r="L21" s="21">
        <f>L10*Mgmt_Fee_Pct</f>
        <v/>
      </c>
    </row>
    <row r="22">
      <c r="A22" s="16" t="inlineStr">
        <is>
          <t>Total Operating Expenses</t>
        </is>
      </c>
      <c r="B22" s="27">
        <f>SUM(B13:B21)</f>
        <v/>
      </c>
      <c r="C22" s="27">
        <f>SUM(C13:C21)</f>
        <v/>
      </c>
      <c r="D22" s="27">
        <f>SUM(D13:D21)</f>
        <v/>
      </c>
      <c r="E22" s="27">
        <f>SUM(E13:E21)</f>
        <v/>
      </c>
      <c r="F22" s="27">
        <f>SUM(F13:F21)</f>
        <v/>
      </c>
      <c r="G22" s="27">
        <f>SUM(G13:G21)</f>
        <v/>
      </c>
      <c r="H22" s="27">
        <f>SUM(H13:H21)</f>
        <v/>
      </c>
      <c r="I22" s="27">
        <f>SUM(I13:I21)</f>
        <v/>
      </c>
      <c r="J22" s="27">
        <f>SUM(J13:J21)</f>
        <v/>
      </c>
      <c r="K22" s="27">
        <f>SUM(K13:K21)</f>
        <v/>
      </c>
      <c r="L22" s="27">
        <f>SUM(L13:L21)</f>
        <v/>
      </c>
    </row>
    <row r="24">
      <c r="A24" s="16" t="inlineStr">
        <is>
          <t>NET OPERATING INCOME (NOI)</t>
        </is>
      </c>
      <c r="B24" s="22">
        <f>B10-B22</f>
        <v/>
      </c>
      <c r="C24" s="22">
        <f>C10-C22</f>
        <v/>
      </c>
      <c r="D24" s="22">
        <f>D10-D22</f>
        <v/>
      </c>
      <c r="E24" s="22">
        <f>E10-E22</f>
        <v/>
      </c>
      <c r="F24" s="22">
        <f>F10-F22</f>
        <v/>
      </c>
      <c r="G24" s="22">
        <f>G10-G22</f>
        <v/>
      </c>
      <c r="H24" s="22">
        <f>H10-H22</f>
        <v/>
      </c>
      <c r="I24" s="22">
        <f>I10-I22</f>
        <v/>
      </c>
      <c r="J24" s="22">
        <f>J10-J22</f>
        <v/>
      </c>
      <c r="K24" s="22">
        <f>K10-K22</f>
        <v/>
      </c>
      <c r="L24" s="22">
        <f>L10-L22</f>
        <v/>
      </c>
    </row>
    <row r="25">
      <c r="A25" t="inlineStr">
        <is>
          <t>NOI per Unit</t>
        </is>
      </c>
      <c r="B25" s="21">
        <f>B24/Total_Units</f>
        <v/>
      </c>
      <c r="C25" s="21">
        <f>C24/Total_Units</f>
        <v/>
      </c>
      <c r="D25" s="21">
        <f>D24/Total_Units</f>
        <v/>
      </c>
      <c r="E25" s="21">
        <f>E24/Total_Units</f>
        <v/>
      </c>
      <c r="F25" s="21">
        <f>F24/Total_Units</f>
        <v/>
      </c>
      <c r="G25" s="21">
        <f>G24/Total_Units</f>
        <v/>
      </c>
      <c r="H25" s="21">
        <f>H24/Total_Units</f>
        <v/>
      </c>
      <c r="I25" s="21">
        <f>I24/Total_Units</f>
        <v/>
      </c>
      <c r="J25" s="21">
        <f>J24/Total_Units</f>
        <v/>
      </c>
      <c r="K25" s="21">
        <f>K24/Total_Units</f>
        <v/>
      </c>
      <c r="L25" s="21">
        <f>L24/Total_Units</f>
        <v/>
      </c>
    </row>
    <row r="26">
      <c r="A26" t="inlineStr">
        <is>
          <t>NOI Margin %</t>
        </is>
      </c>
      <c r="B26" s="28">
        <f>B24/B10</f>
        <v/>
      </c>
      <c r="C26" s="28">
        <f>C24/C10</f>
        <v/>
      </c>
      <c r="D26" s="28">
        <f>D24/D10</f>
        <v/>
      </c>
      <c r="E26" s="28">
        <f>E24/E10</f>
        <v/>
      </c>
      <c r="F26" s="28">
        <f>F24/F10</f>
        <v/>
      </c>
      <c r="G26" s="28">
        <f>G24/G10</f>
        <v/>
      </c>
      <c r="H26" s="28">
        <f>H24/H10</f>
        <v/>
      </c>
      <c r="I26" s="28">
        <f>I24/I10</f>
        <v/>
      </c>
      <c r="J26" s="28">
        <f>J24/J10</f>
        <v/>
      </c>
      <c r="K26" s="28">
        <f>K24/K10</f>
        <v/>
      </c>
      <c r="L26" s="28">
        <f>L24/L10</f>
        <v/>
      </c>
    </row>
    <row r="28">
      <c r="A28" s="2" t="inlineStr">
        <is>
          <t>CAPITAL EXPENDITURES &amp; DEBT SERVICE</t>
        </is>
      </c>
    </row>
    <row r="29">
      <c r="A29" t="inlineStr">
        <is>
          <t>CapEx Reserve</t>
        </is>
      </c>
      <c r="B29" s="21">
        <f>Total_Units*CapEx_Per_Unit</f>
        <v/>
      </c>
      <c r="C29" s="21">
        <f>Total_Units*CapEx_Per_Unit</f>
        <v/>
      </c>
      <c r="D29" s="21">
        <f>Total_Units*CapEx_Per_Unit</f>
        <v/>
      </c>
      <c r="E29" s="21">
        <f>Total_Units*CapEx_Per_Unit</f>
        <v/>
      </c>
      <c r="F29" s="21">
        <f>Total_Units*CapEx_Per_Unit</f>
        <v/>
      </c>
      <c r="G29" s="21">
        <f>Total_Units*CapEx_Per_Unit</f>
        <v/>
      </c>
      <c r="H29" s="21">
        <f>Total_Units*CapEx_Per_Unit</f>
        <v/>
      </c>
      <c r="I29" s="21">
        <f>Total_Units*CapEx_Per_Unit</f>
        <v/>
      </c>
      <c r="J29" s="21">
        <f>Total_Units*CapEx_Per_Unit</f>
        <v/>
      </c>
      <c r="K29" s="21">
        <f>Total_Units*CapEx_Per_Unit</f>
        <v/>
      </c>
      <c r="L29" s="21">
        <f>Total_Units*CapEx_Per_Unit</f>
        <v/>
      </c>
    </row>
    <row r="30">
      <c r="A30" t="inlineStr">
        <is>
          <t>Renovation Expenditures</t>
        </is>
      </c>
      <c r="B30" s="21">
        <f>Total_Renovation_Budget*0.1</f>
        <v/>
      </c>
      <c r="C30" s="21">
        <f>Total_Renovation_Budget*0.5</f>
        <v/>
      </c>
      <c r="D30" s="21">
        <f>Total_Renovation_Budget*0.4</f>
        <v/>
      </c>
      <c r="E30" s="21" t="n">
        <v>0</v>
      </c>
      <c r="F30" s="21" t="n">
        <v>0</v>
      </c>
      <c r="G30" s="21" t="n">
        <v>0</v>
      </c>
      <c r="H30" s="21" t="n">
        <v>0</v>
      </c>
      <c r="I30" s="21" t="n">
        <v>0</v>
      </c>
      <c r="J30" s="21" t="n">
        <v>0</v>
      </c>
      <c r="K30" s="21" t="n">
        <v>0</v>
      </c>
      <c r="L30" s="21" t="n">
        <v>0</v>
      </c>
    </row>
    <row r="31">
      <c r="A31" t="inlineStr">
        <is>
          <t>Annual Debt Service</t>
        </is>
      </c>
      <c r="B31" s="21" t="n">
        <v>0</v>
      </c>
      <c r="C31" s="21">
        <f>Annual_Debt_Service</f>
        <v/>
      </c>
      <c r="D31" s="21">
        <f>Annual_Debt_Service</f>
        <v/>
      </c>
      <c r="E31" s="21">
        <f>Annual_Debt_Service</f>
        <v/>
      </c>
      <c r="F31" s="21">
        <f>Annual_Debt_Service</f>
        <v/>
      </c>
      <c r="G31" s="21">
        <f>Annual_Debt_Service</f>
        <v/>
      </c>
      <c r="H31" s="21">
        <f>Annual_Debt_Service</f>
        <v/>
      </c>
      <c r="I31" s="21">
        <f>Annual_Debt_Service</f>
        <v/>
      </c>
      <c r="J31" s="21">
        <f>Annual_Debt_Service</f>
        <v/>
      </c>
      <c r="K31" s="21">
        <f>Annual_Debt_Service</f>
        <v/>
      </c>
      <c r="L31" s="21">
        <f>Annual_Debt_Service</f>
        <v/>
      </c>
    </row>
    <row r="32">
      <c r="A32" t="inlineStr">
        <is>
          <t>Debt Service Coverage Ratio</t>
        </is>
      </c>
      <c r="B32" t="inlineStr">
        <is>
          <t>N/A</t>
        </is>
      </c>
      <c r="C32" s="29">
        <f>C24/C31</f>
        <v/>
      </c>
      <c r="D32" s="29">
        <f>D24/D31</f>
        <v/>
      </c>
      <c r="E32" s="29">
        <f>E24/E31</f>
        <v/>
      </c>
      <c r="F32" s="29">
        <f>F24/F31</f>
        <v/>
      </c>
      <c r="G32" s="29">
        <f>G24/G31</f>
        <v/>
      </c>
      <c r="H32" s="29">
        <f>H24/H31</f>
        <v/>
      </c>
      <c r="I32" s="29">
        <f>I24/I31</f>
        <v/>
      </c>
      <c r="J32" s="29">
        <f>J24/J31</f>
        <v/>
      </c>
      <c r="K32" s="29">
        <f>K24/K31</f>
        <v/>
      </c>
      <c r="L32" s="29">
        <f>L24/L31</f>
        <v/>
      </c>
    </row>
    <row r="34">
      <c r="A34" s="16" t="inlineStr">
        <is>
          <t>NET CASH FLOW (Before Sale)</t>
        </is>
      </c>
      <c r="B34" s="23">
        <f>B24-B29-B30-B31</f>
        <v/>
      </c>
      <c r="C34" s="23">
        <f>C24-C29-C30-C31</f>
        <v/>
      </c>
      <c r="D34" s="23">
        <f>D24-D29-D30-D31</f>
        <v/>
      </c>
      <c r="E34" s="23">
        <f>E24-E29-E30-E31</f>
        <v/>
      </c>
      <c r="F34" s="23">
        <f>F24-F29-F30-F31</f>
        <v/>
      </c>
      <c r="G34" s="23">
        <f>G24-G29-G30-G31</f>
        <v/>
      </c>
      <c r="H34" s="23">
        <f>H24-H29-H30-H31</f>
        <v/>
      </c>
      <c r="I34" s="23">
        <f>I24-I29-I30-I31</f>
        <v/>
      </c>
      <c r="J34" s="23">
        <f>J24-J29-J30-J31</f>
        <v/>
      </c>
      <c r="K34" s="23">
        <f>K24-K29-K30-K31</f>
        <v/>
      </c>
      <c r="L34" s="23">
        <f>L24-L29-L30-L31</f>
        <v/>
      </c>
    </row>
    <row r="36">
      <c r="A36" s="2" t="inlineStr">
        <is>
          <t>SALE PROCEEDS (at exit)</t>
        </is>
      </c>
    </row>
    <row r="37">
      <c r="A37" t="inlineStr">
        <is>
          <t>Forward NOI (Year N+1)</t>
        </is>
      </c>
      <c r="B37" s="21">
        <f>C24</f>
        <v/>
      </c>
      <c r="C37" s="21">
        <f>D24</f>
        <v/>
      </c>
      <c r="D37" s="21">
        <f>E24</f>
        <v/>
      </c>
      <c r="E37" s="21">
        <f>F24</f>
        <v/>
      </c>
      <c r="F37" s="21">
        <f>G24</f>
        <v/>
      </c>
      <c r="G37" s="21">
        <f>H24</f>
        <v/>
      </c>
      <c r="H37" s="21">
        <f>I24</f>
        <v/>
      </c>
      <c r="I37" s="21">
        <f>J24</f>
        <v/>
      </c>
      <c r="J37" s="21">
        <f>K24</f>
        <v/>
      </c>
      <c r="K37" s="21">
        <f>L24</f>
        <v/>
      </c>
      <c r="L37" s="21">
        <f>L24*1.03</f>
        <v/>
      </c>
    </row>
    <row r="38">
      <c r="A38" t="inlineStr">
        <is>
          <t>Gross Sale Price (at Exit Cap)</t>
        </is>
      </c>
      <c r="B38" s="21">
        <f>B37/Exit_Cap_Rate</f>
        <v/>
      </c>
      <c r="C38" s="21">
        <f>C37/Exit_Cap_Rate</f>
        <v/>
      </c>
      <c r="D38" s="21">
        <f>D37/Exit_Cap_Rate</f>
        <v/>
      </c>
      <c r="E38" s="21">
        <f>E37/Exit_Cap_Rate</f>
        <v/>
      </c>
      <c r="F38" s="21">
        <f>F37/Exit_Cap_Rate</f>
        <v/>
      </c>
      <c r="G38" s="21">
        <f>G37/Exit_Cap_Rate</f>
        <v/>
      </c>
      <c r="H38" s="21">
        <f>H37/Exit_Cap_Rate</f>
        <v/>
      </c>
      <c r="I38" s="21">
        <f>I37/Exit_Cap_Rate</f>
        <v/>
      </c>
      <c r="J38" s="21">
        <f>J37/Exit_Cap_Rate</f>
        <v/>
      </c>
      <c r="K38" s="21">
        <f>K37/Exit_Cap_Rate</f>
        <v/>
      </c>
      <c r="L38" s="21">
        <f>L37/Exit_Cap_Rate</f>
        <v/>
      </c>
    </row>
    <row r="39">
      <c r="A39" t="inlineStr">
        <is>
          <t>Less: Sale Costs</t>
        </is>
      </c>
      <c r="B39" s="21">
        <f>B38*Sale_Costs_Pct</f>
        <v/>
      </c>
      <c r="C39" s="21">
        <f>C38*Sale_Costs_Pct</f>
        <v/>
      </c>
      <c r="D39" s="21">
        <f>D38*Sale_Costs_Pct</f>
        <v/>
      </c>
      <c r="E39" s="21">
        <f>E38*Sale_Costs_Pct</f>
        <v/>
      </c>
      <c r="F39" s="21">
        <f>F38*Sale_Costs_Pct</f>
        <v/>
      </c>
      <c r="G39" s="21">
        <f>G38*Sale_Costs_Pct</f>
        <v/>
      </c>
      <c r="H39" s="21">
        <f>H38*Sale_Costs_Pct</f>
        <v/>
      </c>
      <c r="I39" s="21">
        <f>I38*Sale_Costs_Pct</f>
        <v/>
      </c>
      <c r="J39" s="21">
        <f>J38*Sale_Costs_Pct</f>
        <v/>
      </c>
      <c r="K39" s="21">
        <f>K38*Sale_Costs_Pct</f>
        <v/>
      </c>
      <c r="L39" s="21">
        <f>L38*Sale_Costs_Pct</f>
        <v/>
      </c>
    </row>
    <row r="40">
      <c r="A40" t="inlineStr">
        <is>
          <t>Net Sale Proceeds (before debt)</t>
        </is>
      </c>
      <c r="B40" s="21">
        <f>B38-B39</f>
        <v/>
      </c>
      <c r="C40" s="21">
        <f>C38-C39</f>
        <v/>
      </c>
      <c r="D40" s="21">
        <f>D38-D39</f>
        <v/>
      </c>
      <c r="E40" s="21">
        <f>E38-E39</f>
        <v/>
      </c>
      <c r="F40" s="21">
        <f>F38-F39</f>
        <v/>
      </c>
      <c r="G40" s="21">
        <f>G38-G39</f>
        <v/>
      </c>
      <c r="H40" s="21">
        <f>H38-H39</f>
        <v/>
      </c>
      <c r="I40" s="21">
        <f>I38-I39</f>
        <v/>
      </c>
      <c r="J40" s="21">
        <f>J38-J39</f>
        <v/>
      </c>
      <c r="K40" s="21">
        <f>K38-K39</f>
        <v/>
      </c>
      <c r="L40" s="21">
        <f>L38-L39</f>
        <v/>
      </c>
    </row>
    <row r="41">
      <c r="A41" t="inlineStr">
        <is>
          <t>Less: Loan Payoff</t>
        </is>
      </c>
      <c r="B41" s="21">
        <f>Loan_Amount</f>
        <v/>
      </c>
      <c r="C41" s="21">
        <f>"DEBT SCHEDULE"!G21</f>
        <v/>
      </c>
      <c r="D41" s="21">
        <f>"DEBT SCHEDULE"!G33</f>
        <v/>
      </c>
      <c r="E41" s="21">
        <f>"DEBT SCHEDULE"!G45</f>
        <v/>
      </c>
      <c r="F41" s="21">
        <f>"DEBT SCHEDULE"!G57</f>
        <v/>
      </c>
      <c r="G41" s="21">
        <f>"DEBT SCHEDULE"!G69</f>
        <v/>
      </c>
      <c r="H41" s="21">
        <f>"DEBT SCHEDULE"!G81</f>
        <v/>
      </c>
      <c r="I41" s="21">
        <f>"DEBT SCHEDULE"!G93</f>
        <v/>
      </c>
      <c r="J41" s="21">
        <f>"DEBT SCHEDULE"!G105</f>
        <v/>
      </c>
      <c r="K41" s="21">
        <f>"DEBT SCHEDULE"!G117</f>
        <v/>
      </c>
      <c r="L41" s="21">
        <f>"DEBT SCHEDULE"!G129</f>
        <v/>
      </c>
    </row>
    <row r="42">
      <c r="A42" s="16" t="inlineStr">
        <is>
          <t>Net Proceeds to Equity</t>
        </is>
      </c>
      <c r="B42" s="23">
        <f>B40-B41</f>
        <v/>
      </c>
      <c r="C42" s="23">
        <f>C40-C41</f>
        <v/>
      </c>
      <c r="D42" s="23">
        <f>D40-D41</f>
        <v/>
      </c>
      <c r="E42" s="23">
        <f>E40-E41</f>
        <v/>
      </c>
      <c r="F42" s="23">
        <f>F40-F41</f>
        <v/>
      </c>
      <c r="G42" s="23">
        <f>G40-G41</f>
        <v/>
      </c>
      <c r="H42" s="23">
        <f>H40-H41</f>
        <v/>
      </c>
      <c r="I42" s="23">
        <f>I40-I41</f>
        <v/>
      </c>
      <c r="J42" s="23">
        <f>J40-J41</f>
        <v/>
      </c>
      <c r="K42" s="23">
        <f>K40-K41</f>
        <v/>
      </c>
      <c r="L42" s="23">
        <f>L40-L41</f>
        <v/>
      </c>
    </row>
    <row r="44">
      <c r="A44" s="16" t="inlineStr">
        <is>
          <t>TOTAL CASH FLOW TO EQUITY</t>
        </is>
      </c>
      <c r="B44" s="22">
        <f>-Total_Equity</f>
        <v/>
      </c>
      <c r="C44" s="22">
        <f>IF(1=Hold_Period,C34+C42,C34)</f>
        <v/>
      </c>
      <c r="D44" s="22">
        <f>IF(2=Hold_Period,D34+D42,D34)</f>
        <v/>
      </c>
      <c r="E44" s="22">
        <f>IF(3=Hold_Period,E34+E42,E34)</f>
        <v/>
      </c>
      <c r="F44" s="22">
        <f>IF(4=Hold_Period,F34+F42,F34)</f>
        <v/>
      </c>
      <c r="G44" s="22">
        <f>IF(5=Hold_Period,G34+G42,G34)</f>
        <v/>
      </c>
      <c r="H44" s="22">
        <f>IF(6=Hold_Period,H34+H42,H34)</f>
        <v/>
      </c>
      <c r="I44" s="22">
        <f>IF(7=Hold_Period,I34+I42,I34)</f>
        <v/>
      </c>
      <c r="J44" s="22">
        <f>IF(8=Hold_Period,J34+J42,J34)</f>
        <v/>
      </c>
      <c r="K44" s="22">
        <f>IF(9=Hold_Period,K34+K42,K34)</f>
        <v/>
      </c>
      <c r="L44" s="22">
        <f>IF(10=Hold_Period,L34+L42,L34)</f>
        <v/>
      </c>
    </row>
    <row r="47">
      <c r="A47" s="30" t="inlineStr">
        <is>
          <t>RETURN METRICS</t>
        </is>
      </c>
    </row>
    <row r="48">
      <c r="A48" t="inlineStr">
        <is>
          <t>Total Equity Invested</t>
        </is>
      </c>
      <c r="B48" s="21">
        <f>Total_Equity</f>
        <v/>
      </c>
    </row>
    <row r="49">
      <c r="A49" s="16" t="inlineStr">
        <is>
          <t>Levered IRR</t>
        </is>
      </c>
      <c r="B49" s="31">
        <f>IFERROR(IRR(B44:L44),"#N/A - Check cash flows")</f>
        <v/>
      </c>
    </row>
    <row r="50">
      <c r="A50" s="16" t="inlineStr">
        <is>
          <t>Equity Multiple</t>
        </is>
      </c>
      <c r="B50" s="32">
        <f>(SUM(B44:L44)+Total_Equity)/Total_Equity</f>
        <v/>
      </c>
    </row>
    <row r="51">
      <c r="A51" t="inlineStr">
        <is>
          <t>Average Cash-on-Cash Return (Yr 3-5)</t>
        </is>
      </c>
      <c r="B51" s="28">
        <f>AVERAGE(E34:G34)/Total_Equity</f>
        <v/>
      </c>
    </row>
    <row r="52">
      <c r="A52" t="inlineStr">
        <is>
          <t>Year 5 NOI</t>
        </is>
      </c>
      <c r="B52" s="21">
        <f>G24</f>
        <v/>
      </c>
    </row>
    <row r="53">
      <c r="A53" t="inlineStr">
        <is>
          <t>Yield on Cost (Stabilized NOI / Total Cost)</t>
        </is>
      </c>
      <c r="B53" s="28">
        <f>G24/Total_Uses</f>
        <v/>
      </c>
    </row>
  </sheetData>
  <mergeCells count="2">
    <mergeCell ref="A47:L47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REFERENCE DATA</t>
        </is>
      </c>
    </row>
    <row r="3">
      <c r="A3" t="inlineStr">
        <is>
          <t>This tab contains lookup data and reference tables</t>
        </is>
      </c>
    </row>
    <row r="5">
      <c r="A5" s="16" t="inlineStr">
        <is>
          <t>Unit Types</t>
        </is>
      </c>
    </row>
    <row r="6">
      <c r="A6" t="inlineStr">
        <is>
          <t>Studio</t>
        </is>
      </c>
    </row>
    <row r="7">
      <c r="A7" t="inlineStr">
        <is>
          <t>1BR/1BA</t>
        </is>
      </c>
    </row>
    <row r="8">
      <c r="A8" t="inlineStr">
        <is>
          <t>2BR/1BA</t>
        </is>
      </c>
    </row>
    <row r="9">
      <c r="A9" t="inlineStr">
        <is>
          <t>2BR/2BA</t>
        </is>
      </c>
    </row>
    <row r="10">
      <c r="A10" t="inlineStr">
        <is>
          <t>3BR/2BA</t>
        </is>
      </c>
    </row>
    <row r="11">
      <c r="A11" t="inlineStr">
        <is>
          <t>3BR/2.5BA</t>
        </is>
      </c>
    </row>
    <row r="13">
      <c r="A13" s="16" t="inlineStr">
        <is>
          <t>Loan Types</t>
        </is>
      </c>
    </row>
    <row r="14">
      <c r="A14" t="inlineStr">
        <is>
          <t>Agency Fixed</t>
        </is>
      </c>
    </row>
    <row r="15">
      <c r="A15" t="inlineStr">
        <is>
          <t>Bridge Floating</t>
        </is>
      </c>
    </row>
    <row r="16">
      <c r="A16" t="inlineStr">
        <is>
          <t>Bridge to Agency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2026-01-14T21:39:07Z</dcterms:created>
  <dcterms:modified xsi:type="dcterms:W3CDTF">2026-01-14T21:39:07Z</dcterms:modified>
</cp:coreProperties>
</file>