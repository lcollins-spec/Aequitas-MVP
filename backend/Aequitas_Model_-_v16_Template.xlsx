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360" windowHeight="18520" tabRatio="600" firstSheet="0" activeTab="0" autoFilterDateGrouping="1"/>
  </bookViews>
  <sheets>
    <sheet xmlns:r="http://schemas.openxmlformats.org/officeDocument/2006/relationships" name="Pro Forma" sheetId="1" state="visible" r:id="rId1"/>
    <sheet xmlns:r="http://schemas.openxmlformats.org/officeDocument/2006/relationships" name="Inputs" sheetId="2" state="visible" r:id="rId2"/>
  </sheets>
  <definedNames>
    <definedName name="_" hidden="1">#REF!</definedName>
    <definedName name="__" hidden="1">#REF!</definedName>
    <definedName name="___" hidden="1">#REF!</definedName>
    <definedName name="____" hidden="1">#REF!</definedName>
    <definedName name="__________________________________________________________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___________________________________old2" hidden="1">{#N/A,#N/A,FALSE,"Chart 2 by Prop Type"}</definedName>
    <definedName name="______________________________________old2" hidden="1">{#N/A,#N/A,FALSE,"Chart 2 by Prop Type"}</definedName>
    <definedName name="_____________________________________old2" hidden="1">{#N/A,#N/A,FALSE,"Chart 2 by Prop Type"}</definedName>
    <definedName name="____________________________________old2" hidden="1">{#N/A,#N/A,FALSE,"Chart 2 by Prop Type"}</definedName>
    <definedName name="___________________________________old2" hidden="1">{#N/A,#N/A,FALSE,"Chart 2 by Prop Type"}</definedName>
    <definedName name="__________________________________old2" hidden="1">{#N/A,#N/A,FALSE,"Chart 2 by Prop Type"}</definedName>
    <definedName name="_________________________________old2" hidden="1">{#N/A,#N/A,FALSE,"Chart 2 by Prop Type"}</definedName>
    <definedName name="________________________________old2" hidden="1">{#N/A,#N/A,FALSE,"Chart 2 by Prop Type"}</definedName>
    <definedName name="_______________________________old2" hidden="1">{#N/A,#N/A,FALSE,"Chart 2 by Prop Type"}</definedName>
    <definedName name="______________________________old2" hidden="1">{#N/A,#N/A,FALSE,"Chart 2 by Prop Type"}</definedName>
    <definedName name="_____________________________old2" hidden="1">{#N/A,#N/A,FALSE,"Chart 2 by Prop Type"}</definedName>
    <definedName name="____________________________old2" hidden="1">{#N/A,#N/A,FALSE,"Chart 2 by Prop Type"}</definedName>
    <definedName name="___________________________old2" hidden="1">{#N/A,#N/A,FALSE,"Chart 2 by Prop Type"}</definedName>
    <definedName name="__________________________old2" hidden="1">{#N/A,#N/A,FALSE,"Chart 2 by Prop Type"}</definedName>
    <definedName name="_________________________old2" hidden="1">{#N/A,#N/A,FALSE,"Chart 2 by Prop Type"}</definedName>
    <definedName name="_________________________wrn3" hidden="1">{#N/A,#N/A,FALSE,"Aging Summary";#N/A,#N/A,FALSE,"Ratio Analysis";#N/A,#N/A,FALSE,"Test 120 Day Accts";#N/A,#N/A,FALSE,"Tickmarks"}</definedName>
    <definedName name="________________________old2" hidden="1">{#N/A,#N/A,FALSE,"Chart 2 by Prop Type"}</definedName>
    <definedName name="_______________________old2" hidden="1">{#N/A,#N/A,FALSE,"Chart 2 by Prop Type"}</definedName>
    <definedName name="_______________________wrn3" hidden="1">{#N/A,#N/A,FALSE,"Aging Summary";#N/A,#N/A,FALSE,"Ratio Analysis";#N/A,#N/A,FALSE,"Test 120 Day Accts";#N/A,#N/A,FALSE,"Tickmarks"}</definedName>
    <definedName name="______________________old2" hidden="1">{#N/A,#N/A,FALSE,"Chart 2 by Prop Type"}</definedName>
    <definedName name="_____________________old2" hidden="1">{#N/A,#N/A,FALSE,"Chart 2 by Prop Type"}</definedName>
    <definedName name="_____________________wrn3" hidden="1">{#N/A,#N/A,FALSE,"Aging Summary";#N/A,#N/A,FALSE,"Ratio Analysis";#N/A,#N/A,FALSE,"Test 120 Day Accts";#N/A,#N/A,FALSE,"Tickmarks"}</definedName>
    <definedName name="____________________old2" hidden="1">{#N/A,#N/A,FALSE,"Chart 2 by Prop Type"}</definedName>
    <definedName name="____________________wrn3" hidden="1">{#N/A,#N/A,FALSE,"Aging Summary";#N/A,#N/A,FALSE,"Ratio Analysis";#N/A,#N/A,FALSE,"Test 120 Day Accts";#N/A,#N/A,FALSE,"Tickmarks"}</definedName>
    <definedName name="___________________Feb03" hidden="1">{#N/A,#N/A,FALSE,"Class A";#N/A,#N/A,FALSE,"Class B";#N/A,#N/A,FALSE,"Class C"}</definedName>
    <definedName name="___________________old2" hidden="1">{#N/A,#N/A,FALSE,"Chart 2 by Prop Type"}</definedName>
    <definedName name="___________________wrn3" hidden="1">{#N/A,#N/A,FALSE,"Aging Summary";#N/A,#N/A,FALSE,"Ratio Analysis";#N/A,#N/A,FALSE,"Test 120 Day Accts";#N/A,#N/A,FALSE,"Tickmarks"}</definedName>
    <definedName name="__________________old2" hidden="1">{#N/A,#N/A,FALSE,"Chart 2 by Prop Type"}</definedName>
    <definedName name="_________________Feb03" hidden="1">{#N/A,#N/A,FALSE,"Class A";#N/A,#N/A,FALSE,"Class B";#N/A,#N/A,FALSE,"Class C"}</definedName>
    <definedName name="_________________old2" hidden="1">{#N/A,#N/A,FALSE,"Chart 2 by Prop Type"}</definedName>
    <definedName name="_________________wrn3" hidden="1">{#N/A,#N/A,FALSE,"Aging Summary";#N/A,#N/A,FALSE,"Ratio Analysis";#N/A,#N/A,FALSE,"Test 120 Day Accts";#N/A,#N/A,FALSE,"Tickmarks"}</definedName>
    <definedName name="________________Feb03" hidden="1">{#N/A,#N/A,FALSE,"Class A";#N/A,#N/A,FALSE,"Class B";#N/A,#N/A,FALSE,"Class C"}</definedName>
    <definedName name="________________old2" hidden="1">{#N/A,#N/A,FALSE,"Chart 2 by Prop Type"}</definedName>
    <definedName name="________________TX3" hidden="1">{#N/A,#N/A,FALSE,"Aging Summary";#N/A,#N/A,FALSE,"Ratio Analysis";#N/A,#N/A,FALSE,"Test 120 Day Accts";#N/A,#N/A,FALSE,"Tickmarks"}</definedName>
    <definedName name="________________wrn3" hidden="1">{#N/A,#N/A,FALSE,"Aging Summary";#N/A,#N/A,FALSE,"Ratio Analysis";#N/A,#N/A,FALSE,"Test 120 Day Accts";#N/A,#N/A,FALSE,"Tickmarks"}</definedName>
    <definedName name="_______________Feb03" hidden="1">{#N/A,#N/A,FALSE,"Class A";#N/A,#N/A,FALSE,"Class B";#N/A,#N/A,FALSE,"Class C"}</definedName>
    <definedName name="_______________old2" hidden="1">{#N/A,#N/A,FALSE,"Chart 2 by Prop Type"}</definedName>
    <definedName name="_______________TX2" hidden="1">{#N/A,#N/A,FALSE,"Aging Summary";#N/A,#N/A,FALSE,"Ratio Analysis";#N/A,#N/A,FALSE,"Test 120 Day Accts";#N/A,#N/A,FALSE,"Tickmarks"}</definedName>
    <definedName name="_______________wrn3" hidden="1">{#N/A,#N/A,FALSE,"Aging Summary";#N/A,#N/A,FALSE,"Ratio Analysis";#N/A,#N/A,FALSE,"Test 120 Day Accts";#N/A,#N/A,FALSE,"Tickmarks"}</definedName>
    <definedName name="______________old2" hidden="1">{#N/A,#N/A,FALSE,"Chart 2 by Prop Type"}</definedName>
    <definedName name="______________wrn3" hidden="1">{#N/A,#N/A,FALSE,"Aging Summary";#N/A,#N/A,FALSE,"Ratio Analysis";#N/A,#N/A,FALSE,"Test 120 Day Accts";#N/A,#N/A,FALSE,"Tickmarks"}</definedName>
    <definedName name="_____________Feb03" hidden="1">{#N/A,#N/A,FALSE,"Class A";#N/A,#N/A,FALSE,"Class B";#N/A,#N/A,FALSE,"Class C"}</definedName>
    <definedName name="_____________old2" hidden="1">{#N/A,#N/A,FALSE,"Chart 2 by Prop Type"}</definedName>
    <definedName name="_____________wrn3" hidden="1">{#N/A,#N/A,FALSE,"Aging Summary";#N/A,#N/A,FALSE,"Ratio Analysis";#N/A,#N/A,FALSE,"Test 120 Day Accts";#N/A,#N/A,FALSE,"Tickmarks"}</definedName>
    <definedName name="____________Feb03" hidden="1">{#N/A,#N/A,FALSE,"Class A";#N/A,#N/A,FALSE,"Class B";#N/A,#N/A,FALSE,"Class C"}</definedName>
    <definedName name="__________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________OK2" hidden="1">{#N/A,#N/A,FALSE,"Cover";#N/A,#N/A,FALSE,"LUMI";#N/A,#N/A,FALSE,"COMD";#N/A,#N/A,FALSE,"Valuation";#N/A,#N/A,FALSE,"Assumptions";#N/A,#N/A,FALSE,"Pooling";#N/A,#N/A,FALSE,"BalanceSheet"}</definedName>
    <definedName name="____________old2" hidden="1">{#N/A,#N/A,FALSE,"Chart 2 by Prop Type"}</definedName>
    <definedName name="____________wrn3" hidden="1">{#N/A,#N/A,FALSE,"Aging Summary";#N/A,#N/A,FALSE,"Ratio Analysis";#N/A,#N/A,FALSE,"Test 120 Day Accts";#N/A,#N/A,FALSE,"Tickmarks"}</definedName>
    <definedName name="___________k" hidden="1">{#N/A,#N/A,TRUE,"A-site";#N/A,#N/A,TRUE,"B-Buildings";#N/A,#N/A,TRUE,"c-out-of-fence";#N/A,#N/A,TRUE,"d-proj.infr.";#N/A,#N/A,TRUE,"e- land"}</definedName>
    <definedName name="_________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_______OK2" hidden="1">{#N/A,#N/A,FALSE,"Cover";#N/A,#N/A,FALSE,"LUMI";#N/A,#N/A,FALSE,"COMD";#N/A,#N/A,FALSE,"Valuation";#N/A,#N/A,FALSE,"Assumptions";#N/A,#N/A,FALSE,"Pooling";#N/A,#N/A,FALSE,"BalanceSheet"}</definedName>
    <definedName name="___________old2" hidden="1">{#N/A,#N/A,FALSE,"Chart 2 by Prop Type"}</definedName>
    <definedName name="___________w" hidden="1">{#N/A,#N/A,TRUE,"A-site";#N/A,#N/A,TRUE,"B-Buildings";#N/A,#N/A,TRUE,"c-out-of-fence";#N/A,#N/A,TRUE,"d-proj.infr.";#N/A,#N/A,TRUE,"e- land"}</definedName>
    <definedName name="___________wrn3" hidden="1">{#N/A,#N/A,FALSE,"Aging Summary";#N/A,#N/A,FALSE,"Ratio Analysis";#N/A,#N/A,FALSE,"Test 120 Day Accts";#N/A,#N/A,FALSE,"Tickmarks"}</definedName>
    <definedName name="__________Feb03" hidden="1">{#N/A,#N/A,FALSE,"Class A";#N/A,#N/A,FALSE,"Class B";#N/A,#N/A,FALSE,"Class C"}</definedName>
    <definedName name="________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______OK2" hidden="1">{#N/A,#N/A,FALSE,"Cover";#N/A,#N/A,FALSE,"LUMI";#N/A,#N/A,FALSE,"COMD";#N/A,#N/A,FALSE,"Valuation";#N/A,#N/A,FALSE,"Assumptions";#N/A,#N/A,FALSE,"Pooling";#N/A,#N/A,FALSE,"BalanceSheet"}</definedName>
    <definedName name="__________old2" hidden="1">{#N/A,#N/A,FALSE,"Chart 2 by Prop Type"}</definedName>
    <definedName name="__________wrn3" hidden="1">{#N/A,#N/A,FALSE,"Aging Summary";#N/A,#N/A,FALSE,"Ratio Analysis";#N/A,#N/A,FALSE,"Test 120 Day Accts";#N/A,#N/A,FALSE,"Tickmarks"}</definedName>
    <definedName name="_________Feb03" hidden="1">{#N/A,#N/A,FALSE,"Class A";#N/A,#N/A,FALSE,"Class B";#N/A,#N/A,FALSE,"Class C"}</definedName>
    <definedName name="_________key1" hidden="1">#REF!</definedName>
    <definedName name="_________key2" hidden="1">#REF!</definedName>
    <definedName name="_______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_____OK2" hidden="1">{#N/A,#N/A,FALSE,"Cover";#N/A,#N/A,FALSE,"LUMI";#N/A,#N/A,FALSE,"COMD";#N/A,#N/A,FALSE,"Valuation";#N/A,#N/A,FALSE,"Assumptions";#N/A,#N/A,FALSE,"Pooling";#N/A,#N/A,FALSE,"BalanceSheet"}</definedName>
    <definedName name="_________old2" hidden="1">{#N/A,#N/A,FALSE,"Chart 2 by Prop Type"}</definedName>
    <definedName name="_________wrn3" hidden="1">{#N/A,#N/A,FALSE,"Aging Summary";#N/A,#N/A,FALSE,"Ratio Analysis";#N/A,#N/A,FALSE,"Test 120 Day Accts";#N/A,#N/A,FALSE,"Tickmarks"}</definedName>
    <definedName name="________Feb03" hidden="1">{#N/A,#N/A,FALSE,"Class A";#N/A,#N/A,FALSE,"Class B";#N/A,#N/A,FALSE,"Class C"}</definedName>
    <definedName name="________key1" hidden="1">#REF!</definedName>
    <definedName name="________key2" hidden="1">#REF!</definedName>
    <definedName name="______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____OK2" hidden="1">{#N/A,#N/A,FALSE,"Cover";#N/A,#N/A,FALSE,"LUMI";#N/A,#N/A,FALSE,"COMD";#N/A,#N/A,FALSE,"Valuation";#N/A,#N/A,FALSE,"Assumptions";#N/A,#N/A,FALSE,"Pooling";#N/A,#N/A,FALSE,"BalanceSheet"}</definedName>
    <definedName name="________old2" hidden="1">{#N/A,#N/A,FALSE,"Chart 2 by Prop Type"}</definedName>
    <definedName name="________wrn3" hidden="1">{#N/A,#N/A,FALSE,"Aging Summary";#N/A,#N/A,FALSE,"Ratio Analysis";#N/A,#N/A,FALSE,"Test 120 Day Accts";#N/A,#N/A,FALSE,"Tickmarks"}</definedName>
    <definedName name="________z1" hidden="1">{"Commish",#N/A,FALSE,"LAWTC"}</definedName>
    <definedName name="_______a1" hidden="1">{"Assump",#N/A,TRUE,"Proforma";"first",#N/A,TRUE,"Proforma";"second",#N/A,TRUE,"Proforma";"lease1",#N/A,TRUE,"Proforma";"lease2",#N/A,TRUE,"Proforma"}</definedName>
    <definedName name="_______Feb03" hidden="1">{#N/A,#N/A,FALSE,"Class A";#N/A,#N/A,FALSE,"Class B";#N/A,#N/A,FALSE,"Class C"}</definedName>
    <definedName name="_______key1" hidden="1">#REF!</definedName>
    <definedName name="_______key2" hidden="1">#REF!</definedName>
    <definedName name="_____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___OK2" hidden="1">{#N/A,#N/A,FALSE,"Cover";#N/A,#N/A,FALSE,"LUMI";#N/A,#N/A,FALSE,"COMD";#N/A,#N/A,FALSE,"Valuation";#N/A,#N/A,FALSE,"Assumptions";#N/A,#N/A,FALSE,"Pooling";#N/A,#N/A,FALSE,"BalanceSheet"}</definedName>
    <definedName name="_______old2" hidden="1">{#N/A,#N/A,FALSE,"Chart 2 by Prop Type"}</definedName>
    <definedName name="_______wrn1" hidden="1">{"schedule1",#N/A,FALSE,"Sheet1";"schedule2",#N/A,FALSE,"Sheet1";"schedule3",#N/A,FALSE,"Sheet1";"schedule4",#N/A,FALSE,"Sheet1";"schedule5",#N/A,FALSE,"Sheet1";"schedule6",#N/A,FALSE,"Sheet1"}</definedName>
    <definedName name="_______wrn1_1" hidden="1">{"schedule1",#N/A,FALSE,"Sheet1";"schedule2",#N/A,FALSE,"Sheet1";"schedule3",#N/A,FALSE,"Sheet1";"schedule4",#N/A,FALSE,"Sheet1";"schedule5",#N/A,FALSE,"Sheet1";"schedule6",#N/A,FALSE,"Sheet1"}</definedName>
    <definedName name="_______wrn1_2" hidden="1">{"schedule1",#N/A,FALSE,"Sheet1";"schedule2",#N/A,FALSE,"Sheet1";"schedule3",#N/A,FALSE,"Sheet1";"schedule4",#N/A,FALSE,"Sheet1";"schedule5",#N/A,FALSE,"Sheet1";"schedule6",#N/A,FALSE,"Sheet1"}</definedName>
    <definedName name="_______wrn1_3" hidden="1">{"schedule1",#N/A,FALSE,"Sheet1";"schedule2",#N/A,FALSE,"Sheet1";"schedule3",#N/A,FALSE,"Sheet1";"schedule4",#N/A,FALSE,"Sheet1";"schedule5",#N/A,FALSE,"Sheet1";"schedule6",#N/A,FALSE,"Sheet1"}</definedName>
    <definedName name="_______wrn1_4" hidden="1">{"schedule1",#N/A,FALSE,"Sheet1";"schedule2",#N/A,FALSE,"Sheet1";"schedule3",#N/A,FALSE,"Sheet1";"schedule4",#N/A,FALSE,"Sheet1";"schedule5",#N/A,FALSE,"Sheet1";"schedule6",#N/A,FALSE,"Sheet1"}</definedName>
    <definedName name="_______wrn3" hidden="1">{#N/A,#N/A,FALSE,"Aging Summary";#N/A,#N/A,FALSE,"Ratio Analysis";#N/A,#N/A,FALSE,"Test 120 Day Accts";#N/A,#N/A,FALSE,"Tickmarks"}</definedName>
    <definedName name="______a1" hidden="1">{"Assump",#N/A,TRUE,"Proforma";"first",#N/A,TRUE,"Proforma";"second",#N/A,TRUE,"Proforma";"lease1",#N/A,TRUE,"Proforma";"lease2",#N/A,TRUE,"Proforma"}</definedName>
    <definedName name="______al1" hidden="1">{"sheet a",#N/A,FALSE,"A";"sheet b 1",#N/A,FALSE,"B";"sheet b 2",#N/A,FALSE,"B"}</definedName>
    <definedName name="______Feb03" hidden="1">{#N/A,#N/A,FALSE,"Class A";#N/A,#N/A,FALSE,"Class B";#N/A,#N/A,FALSE,"Class C"}</definedName>
    <definedName name="____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__new1">#REF!</definedName>
    <definedName name="______OK2" hidden="1">{#N/A,#N/A,FALSE,"Cover";#N/A,#N/A,FALSE,"LUMI";#N/A,#N/A,FALSE,"COMD";#N/A,#N/A,FALSE,"Valuation";#N/A,#N/A,FALSE,"Assumptions";#N/A,#N/A,FALSE,"Pooling";#N/A,#N/A,FALSE,"BalanceSheet"}</definedName>
    <definedName name="______old2" hidden="1">{#N/A,#N/A,FALSE,"Chart 2 by Prop Type"}</definedName>
    <definedName name="______wmp1" hidden="1">{#N/A,#N/A,FALSE,"ENVIRONMENTAL"}</definedName>
    <definedName name="______wpm1" hidden="1">{#N/A,#N/A,FALSE,"LOAN ANALYSIS"}</definedName>
    <definedName name="______wrn1" hidden="1">{"schedule1",#N/A,FALSE,"Sheet1";"schedule2",#N/A,FALSE,"Sheet1";"schedule3",#N/A,FALSE,"Sheet1";"schedule4",#N/A,FALSE,"Sheet1";"schedule5",#N/A,FALSE,"Sheet1";"schedule6",#N/A,FALSE,"Sheet1"}</definedName>
    <definedName name="______wrn1_1" hidden="1">{"schedule1",#N/A,FALSE,"Sheet1";"schedule2",#N/A,FALSE,"Sheet1";"schedule3",#N/A,FALSE,"Sheet1";"schedule4",#N/A,FALSE,"Sheet1";"schedule5",#N/A,FALSE,"Sheet1";"schedule6",#N/A,FALSE,"Sheet1"}</definedName>
    <definedName name="______wrn1_2" hidden="1">{"schedule1",#N/A,FALSE,"Sheet1";"schedule2",#N/A,FALSE,"Sheet1";"schedule3",#N/A,FALSE,"Sheet1";"schedule4",#N/A,FALSE,"Sheet1";"schedule5",#N/A,FALSE,"Sheet1";"schedule6",#N/A,FALSE,"Sheet1"}</definedName>
    <definedName name="______wrn1_3" hidden="1">{"schedule1",#N/A,FALSE,"Sheet1";"schedule2",#N/A,FALSE,"Sheet1";"schedule3",#N/A,FALSE,"Sheet1";"schedule4",#N/A,FALSE,"Sheet1";"schedule5",#N/A,FALSE,"Sheet1";"schedule6",#N/A,FALSE,"Sheet1"}</definedName>
    <definedName name="______wrn1_4" hidden="1">{"schedule1",#N/A,FALSE,"Sheet1";"schedule2",#N/A,FALSE,"Sheet1";"schedule3",#N/A,FALSE,"Sheet1";"schedule4",#N/A,FALSE,"Sheet1";"schedule5",#N/A,FALSE,"Sheet1";"schedule6",#N/A,FALSE,"Sheet1"}</definedName>
    <definedName name="______wrn3" hidden="1">{#N/A,#N/A,FALSE,"Aging Summary";#N/A,#N/A,FALSE,"Ratio Analysis";#N/A,#N/A,FALSE,"Test 120 Day Accts";#N/A,#N/A,FALSE,"Tickmarks"}</definedName>
    <definedName name="______z1" hidden="1">{"Commish",#N/A,FALSE,"LAWTC"}</definedName>
    <definedName name="_____a1" hidden="1">{"Assump",#N/A,TRUE,"Proforma";"first",#N/A,TRUE,"Proforma";"second",#N/A,TRUE,"Proforma";"lease1",#N/A,TRUE,"Proforma";"lease2",#N/A,TRUE,"Proforma"}</definedName>
    <definedName name="_____al1" hidden="1">{"sheet a",#N/A,FALSE,"A";"sheet b 1",#N/A,FALSE,"B";"sheet b 2",#N/A,FALSE,"B"}</definedName>
    <definedName name="_____as2" hidden="1">{"FCB_ALL",#N/A,FALSE,"FCB"}</definedName>
    <definedName name="_____key1" hidden="1">#REF!</definedName>
    <definedName name="_____key2" hidden="1">#REF!</definedName>
    <definedName name="___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_new1">#REF!</definedName>
    <definedName name="_____OK2" hidden="1">{#N/A,#N/A,FALSE,"Cover";#N/A,#N/A,FALSE,"LUMI";#N/A,#N/A,FALSE,"COMD";#N/A,#N/A,FALSE,"Valuation";#N/A,#N/A,FALSE,"Assumptions";#N/A,#N/A,FALSE,"Pooling";#N/A,#N/A,FALSE,"BalanceSheet"}</definedName>
    <definedName name="_____old2" hidden="1">{#N/A,#N/A,FALSE,"Chart 2 by Prop Type"}</definedName>
    <definedName name="_____sad2" hidden="1">{"MonthlyRentRoll",#N/A,FALSE,"RentRoll"}</definedName>
    <definedName name="_____wmp1" hidden="1">{#N/A,#N/A,FALSE,"ENVIRONMENTAL"}</definedName>
    <definedName name="_____wpm1" hidden="1">{#N/A,#N/A,FALSE,"LOAN ANALYSIS"}</definedName>
    <definedName name="_____wrn1" hidden="1">{"schedule1",#N/A,FALSE,"Sheet1";"schedule2",#N/A,FALSE,"Sheet1";"schedule3",#N/A,FALSE,"Sheet1";"schedule4",#N/A,FALSE,"Sheet1";"schedule5",#N/A,FALSE,"Sheet1";"schedule6",#N/A,FALSE,"Sheet1"}</definedName>
    <definedName name="_____wrn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____wrn3" hidden="1">{#N/A,#N/A,FALSE,"Aging Summary";#N/A,#N/A,FALSE,"Ratio Analysis";#N/A,#N/A,FALSE,"Test 120 Day Accts";#N/A,#N/A,FALSE,"Tickmarks"}</definedName>
    <definedName name="_____wrn4" hidden="1">{"data",#N/A,FALSE,"INPUT"}</definedName>
    <definedName name="____a1" hidden="1">{"Assump",#N/A,TRUE,"Proforma";"first",#N/A,TRUE,"Proforma";"second",#N/A,TRUE,"Proforma";"lease1",#N/A,TRUE,"Proforma";"lease2",#N/A,TRUE,"Proforma"}</definedName>
    <definedName name="____al1" hidden="1">{"sheet a",#N/A,FALSE,"A";"sheet b 1",#N/A,FALSE,"B";"sheet b 2",#N/A,FALSE,"B"}</definedName>
    <definedName name="____as2" hidden="1">{"FCB_ALL",#N/A,FALSE,"FCB"}</definedName>
    <definedName name="____Feb03" hidden="1">{#N/A,#N/A,FALSE,"Class A";#N/A,#N/A,FALSE,"Class B";#N/A,#N/A,FALSE,"Class C"}</definedName>
    <definedName name="____key1" hidden="1">#REF!</definedName>
    <definedName name="____key2" hidden="1">#REF!</definedName>
    <definedName name="__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new2" hidden="1">{"'B-2 QSER Jun 98 4-27-98 cor'!$A$1:$F$57"}</definedName>
    <definedName name="____new5" hidden="1">{"'B-2 QSER Jun 98 4-27-98 cor'!$A$1:$F$57"}</definedName>
    <definedName name="____OK2" hidden="1">{#N/A,#N/A,FALSE,"Cover";#N/A,#N/A,FALSE,"LUMI";#N/A,#N/A,FALSE,"COMD";#N/A,#N/A,FALSE,"Valuation";#N/A,#N/A,FALSE,"Assumptions";#N/A,#N/A,FALSE,"Pooling";#N/A,#N/A,FALSE,"BalanceSheet"}</definedName>
    <definedName name="____old2" hidden="1">{#N/A,#N/A,FALSE,"Chart 2 by Prop Type"}</definedName>
    <definedName name="____sad2" hidden="1">{"MonthlyRentRoll",#N/A,FALSE,"RentRoll"}</definedName>
    <definedName name="____wmp1" hidden="1">{#N/A,#N/A,FALSE,"ENVIRONMENTAL"}</definedName>
    <definedName name="____wpm1" hidden="1">{#N/A,#N/A,FALSE,"LOAN ANALYSIS"}</definedName>
    <definedName name="____wrn1" hidden="1">{"schedule1",#N/A,FALSE,"Sheet1";"schedule2",#N/A,FALSE,"Sheet1";"schedule3",#N/A,FALSE,"Sheet1";"schedule4",#N/A,FALSE,"Sheet1";"schedule5",#N/A,FALSE,"Sheet1";"schedule6",#N/A,FALSE,"Sheet1"}</definedName>
    <definedName name="____wrn1_1" hidden="1">{"schedule1",#N/A,FALSE,"Sheet1";"schedule2",#N/A,FALSE,"Sheet1";"schedule3",#N/A,FALSE,"Sheet1";"schedule4",#N/A,FALSE,"Sheet1";"schedule5",#N/A,FALSE,"Sheet1";"schedule6",#N/A,FALSE,"Sheet1"}</definedName>
    <definedName name="____wrn1_2" hidden="1">{"schedule1",#N/A,FALSE,"Sheet1";"schedule2",#N/A,FALSE,"Sheet1";"schedule3",#N/A,FALSE,"Sheet1";"schedule4",#N/A,FALSE,"Sheet1";"schedule5",#N/A,FALSE,"Sheet1";"schedule6",#N/A,FALSE,"Sheet1"}</definedName>
    <definedName name="____wrn1_3" hidden="1">{"schedule1",#N/A,FALSE,"Sheet1";"schedule2",#N/A,FALSE,"Sheet1";"schedule3",#N/A,FALSE,"Sheet1";"schedule4",#N/A,FALSE,"Sheet1";"schedule5",#N/A,FALSE,"Sheet1";"schedule6",#N/A,FALSE,"Sheet1"}</definedName>
    <definedName name="____wrn1_4" hidden="1">{"schedule1",#N/A,FALSE,"Sheet1";"schedule2",#N/A,FALSE,"Sheet1";"schedule3",#N/A,FALSE,"Sheet1";"schedule4",#N/A,FALSE,"Sheet1";"schedule5",#N/A,FALSE,"Sheet1";"schedule6",#N/A,FALSE,"Sheet1"}</definedName>
    <definedName name="____wrn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___wrn3" hidden="1">{#N/A,#N/A,FALSE,"Aging Summary";#N/A,#N/A,FALSE,"Ratio Analysis";#N/A,#N/A,FALSE,"Test 120 Day Accts";#N/A,#N/A,FALSE,"Tickmarks"}</definedName>
    <definedName name="____wrn4" hidden="1">{"data",#N/A,FALSE,"INPUT"}</definedName>
    <definedName name="____z1" hidden="1">{"Commish",#N/A,FALSE,"LAWTC"}</definedName>
    <definedName name="___a1" hidden="1">{"Assump",#N/A,TRUE,"Proforma";"first",#N/A,TRUE,"Proforma";"second",#N/A,TRUE,"Proforma";"lease1",#N/A,TRUE,"Proforma";"lease2",#N/A,TRUE,"Proforma"}</definedName>
    <definedName name="___ABC2" hidden="1">{"CHART",#N/A,FALSE,"Arch Communications"}</definedName>
    <definedName name="___ad2" hidden="1">{"CHART",#N/A,FALSE,"Arch Communications"}</definedName>
    <definedName name="___ADS1" hidden="1">{"FCB_ALL",#N/A,FALSE,"FCB"}</definedName>
    <definedName name="___al1" hidden="1">{"sheet a",#N/A,FALSE,"A";"sheet b 1",#N/A,FALSE,"B";"sheet b 2",#N/A,FALSE,"B"}</definedName>
    <definedName name="___as1" hidden="1">{"FCB_ALL",#N/A,FALSE,"FCB"}</definedName>
    <definedName name="___as2" hidden="1">{"FCB_ALL",#N/A,FALSE,"FCB"}</definedName>
    <definedName name="___as3" hidden="1">{"FCB_ALL",#N/A,FALSE,"FCB"}</definedName>
    <definedName name="___AS4" hidden="1">{"FCB_ALL",#N/A,FALSE,"FCB"}</definedName>
    <definedName name="___as6" hidden="1">{"FCB_ALL",#N/A,FALSE,"FCB"}</definedName>
    <definedName name="___AS7" hidden="1">{"FCB_ALL",#N/A,FALSE,"FCB"}</definedName>
    <definedName name="___d1" hidden="1">{#N/A,#N/A,FALSE,"Sales"}</definedName>
    <definedName name="___d116" hidden="1">{#N/A,#N/A,FALSE,"Sales"}</definedName>
    <definedName name="___d16" hidden="1">{"Annual",#N/A,FALSE,"Sales &amp; Market";"Quarterly",#N/A,FALSE,"Sales &amp; Market"}</definedName>
    <definedName name="___d2" hidden="1">{#N/A,#N/A,FALSE,"Sales"}</definedName>
    <definedName name="___d216" hidden="1">{#N/A,#N/A,FALSE,"Sales"}</definedName>
    <definedName name="___dcf1" hidden="1">{#N/A,#N/A,FALSE,"Tar-Ass";#N/A,#N/A,FALSE,"Tar-IS";#N/A,#N/A,FALSE,"Tar-BS";#N/A,#N/A,FALSE,"Tar-Adg BS";#N/A,#N/A,FALSE,"Tar-CF"}</definedName>
    <definedName name="___df1" hidden="1">{#N/A,#N/A,FALSE,"Calc";#N/A,#N/A,FALSE,"Sensitivity";#N/A,#N/A,FALSE,"LT Earn.Dil.";#N/A,#N/A,FALSE,"Dil. AVP"}</definedName>
    <definedName name="___df2" hidden="1">{#N/A,#N/A,FALSE,"Calc";#N/A,#N/A,FALSE,"Sensitivity";#N/A,#N/A,FALSE,"LT Earn.Dil.";#N/A,#N/A,FALSE,"Dil. AVP"}</definedName>
    <definedName name="___dfd1" hidden="1">{"FCB_ALL",#N/A,FALSE,"FCB";"GREY_ALL",#N/A,FALSE,"GREY"}</definedName>
    <definedName name="___Feb03" hidden="1">{#N/A,#N/A,FALSE,"Class A";#N/A,#N/A,FALSE,"Class B";#N/A,#N/A,FALSE,"Class C"}</definedName>
    <definedName name="___fff1" hidden="1">{"Annual",#N/A,FALSE,"Sales &amp; Market";"Quarterly",#N/A,FALSE,"Sales &amp; Market"}</definedName>
    <definedName name="___gc1" hidden="1">{"Annual",#N/A,FALSE,"Sales &amp; Market";"Quarterly",#N/A,FALSE,"Sales &amp; Market"}</definedName>
    <definedName name="___hd1" hidden="1">{#N/A,#N/A,FALSE,"Calc";#N/A,#N/A,FALSE,"Sensitivity";#N/A,#N/A,FALSE,"LT Earn.Dil.";#N/A,#N/A,FALSE,"Dil. AVP"}</definedName>
    <definedName name="___hd2" hidden="1">{#N/A,#N/A,FALSE,"Calc";#N/A,#N/A,FALSE,"Sensitivity";#N/A,#N/A,FALSE,"LT Earn.Dil.";#N/A,#N/A,FALSE,"Dil. AVP"}</definedName>
    <definedName name="___key1" hidden="1">#REF!</definedName>
    <definedName name="___key2" hidden="1">#REF!</definedName>
    <definedName name="_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MRG2" hidden="1">{"INCOME",#N/A,FALSE,"ProNet";"VALUE",#N/A,FALSE,"ProNet"}</definedName>
    <definedName name="___MRG22" hidden="1">{"INCOME",#N/A,FALSE,"ProNet";"VALUE",#N/A,FALSE,"ProNet"}</definedName>
    <definedName name="___mrg4" hidden="1">{"INCOME",#N/A,FALSE,"ProNet";"VALUE",#N/A,FALSE,"ProNet"}</definedName>
    <definedName name="___mrg8" hidden="1">{"INCOME",#N/A,FALSE,"ProNet";"VALUE",#N/A,FALSE,"ProNet"}</definedName>
    <definedName name="___new1">#REF!</definedName>
    <definedName name="___ok1" hidden="1">{"Annual",#N/A,FALSE,"Sales &amp; Market";"Quarterly",#N/A,FALSE,"Sales &amp; Market"}</definedName>
    <definedName name="___OK2" hidden="1">{#N/A,#N/A,FALSE,"Cover";#N/A,#N/A,FALSE,"LUMI";#N/A,#N/A,FALSE,"COMD";#N/A,#N/A,FALSE,"Valuation";#N/A,#N/A,FALSE,"Assumptions";#N/A,#N/A,FALSE,"Pooling";#N/A,#N/A,FALSE,"BalanceSheet"}</definedName>
    <definedName name="___old2" hidden="1">{#N/A,#N/A,FALSE,"Chart 2 by Prop Type"}</definedName>
    <definedName name="___pj2" hidden="1">{"INCOME",#N/A,FALSE,"ProNet";"VALUE",#N/A,FALSE,"ProNet"}</definedName>
    <definedName name="___tax1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_thinkcellWUMAAAAAAAAAAAAA.qKOZ2HjcUS0vtZdGnn.Uw" hidden="1">#REF!</definedName>
    <definedName name="___we2" hidden="1">{"INCOME",#N/A,FALSE,"ProNet";"VALUE",#N/A,FALSE,"ProNet"}</definedName>
    <definedName name="___wmp1" hidden="1">{#N/A,#N/A,FALSE,"ENVIRONMENTAL"}</definedName>
    <definedName name="___wpm1" hidden="1">{#N/A,#N/A,FALSE,"LOAN ANALYSIS"}</definedName>
    <definedName name="___wrn1" hidden="1">{"schedule1",#N/A,FALSE,"Sheet1";"schedule2",#N/A,FALSE,"Sheet1";"schedule3",#N/A,FALSE,"Sheet1";"schedule4",#N/A,FALSE,"Sheet1";"schedule5",#N/A,FALSE,"Sheet1";"schedule6",#N/A,FALSE,"Sheet1"}</definedName>
    <definedName name="___wrn1_1" hidden="1">{"schedule1",#N/A,FALSE,"Sheet1";"schedule2",#N/A,FALSE,"Sheet1";"schedule3",#N/A,FALSE,"Sheet1";"schedule4",#N/A,FALSE,"Sheet1";"schedule5",#N/A,FALSE,"Sheet1";"schedule6",#N/A,FALSE,"Sheet1"}</definedName>
    <definedName name="___wrn1_2" hidden="1">{"schedule1",#N/A,FALSE,"Sheet1";"schedule2",#N/A,FALSE,"Sheet1";"schedule3",#N/A,FALSE,"Sheet1";"schedule4",#N/A,FALSE,"Sheet1";"schedule5",#N/A,FALSE,"Sheet1";"schedule6",#N/A,FALSE,"Sheet1"}</definedName>
    <definedName name="___wrn1_3" hidden="1">{"schedule1",#N/A,FALSE,"Sheet1";"schedule2",#N/A,FALSE,"Sheet1";"schedule3",#N/A,FALSE,"Sheet1";"schedule4",#N/A,FALSE,"Sheet1";"schedule5",#N/A,FALSE,"Sheet1";"schedule6",#N/A,FALSE,"Sheet1"}</definedName>
    <definedName name="___wrn1_4" hidden="1">{"schedule1",#N/A,FALSE,"Sheet1";"schedule2",#N/A,FALSE,"Sheet1";"schedule3",#N/A,FALSE,"Sheet1";"schedule4",#N/A,FALSE,"Sheet1";"schedule5",#N/A,FALSE,"Sheet1";"schedule6",#N/A,FALSE,"Sheet1"}</definedName>
    <definedName name="___wrn3" hidden="1">{#N/A,#N/A,FALSE,"Aging Summary";#N/A,#N/A,FALSE,"Ratio Analysis";#N/A,#N/A,FALSE,"Test 120 Day Accts";#N/A,#N/A,FALSE,"Tickmarks"}</definedName>
    <definedName name="___wrn4" hidden="1">{"data",#N/A,FALSE,"INPUT"}</definedName>
    <definedName name="___wrn9" hidden="1">{"FCB_ALL",#N/A,FALSE,"FCB"}</definedName>
    <definedName name="__1__123Graph_ACHART_1" hidden="1">#REF!</definedName>
    <definedName name="__1__123Graph_ACHART_28" hidden="1">#REF!</definedName>
    <definedName name="__1__123Graph_BCHART_4" hidden="1">#REF!</definedName>
    <definedName name="__10__123Graph_BCHART_5" hidden="1">#REF!</definedName>
    <definedName name="__10__123Graph_FCHART_1" hidden="1">#REF!</definedName>
    <definedName name="__11__123Graph_BCHART_6" hidden="1">#REF!</definedName>
    <definedName name="__11__123Graph_XCHART_2" hidden="1">#REF!</definedName>
    <definedName name="__12__123Graph_BCHART_7" hidden="1">#REF!</definedName>
    <definedName name="__123Graph_A" hidden="1">#REF!</definedName>
    <definedName name="__123Graph_AANNUAL" hidden="1">#REF!</definedName>
    <definedName name="__123Graph_AAVERAGE" hidden="1">#REF!</definedName>
    <definedName name="__123Graph_ABC" hidden="1">#REF!</definedName>
    <definedName name="__123Graph_ABCBAR" hidden="1">#REF!</definedName>
    <definedName name="__123Graph_ABICBETA" hidden="1">#REF!</definedName>
    <definedName name="__123Graph_ABOOK" hidden="1">#REF!</definedName>
    <definedName name="__123Graph_ABOOKBETA" hidden="1">#REF!</definedName>
    <definedName name="__123Graph_ACAPEX" hidden="1">#REF!</definedName>
    <definedName name="__123Graph_ACASHCOST1" hidden="1">#REF!</definedName>
    <definedName name="__123Graph_ACASHCOSTS" hidden="1">#REF!</definedName>
    <definedName name="__123Graph_ACONC" hidden="1">#REF!</definedName>
    <definedName name="__123Graph_ACurrent" hidden="1">#REF!</definedName>
    <definedName name="__123Graph_ADA" hidden="1">#REF!</definedName>
    <definedName name="__123Graph_ADEPREC2" hidden="1">#REF!</definedName>
    <definedName name="__123Graph_AEBITDABETA" hidden="1">#REF!</definedName>
    <definedName name="__123Graph_AEMPBETA" hidden="1">#REF!</definedName>
    <definedName name="__123Graph_AEMPLOYEE" hidden="1">#REF!</definedName>
    <definedName name="__123Graph_AGRAPH1" hidden="1">#REF!</definedName>
    <definedName name="__123Graph_AGRAPH4" hidden="1">#REF!</definedName>
    <definedName name="__123Graph_AGRAPH5" hidden="1">#REF!</definedName>
    <definedName name="__123Graph_AGRAPH85" hidden="1">#REF!</definedName>
    <definedName name="__123Graph_AGRAPH87" hidden="1">#REF!</definedName>
    <definedName name="__123Graph_AINVPRICE" hidden="1">#REF!</definedName>
    <definedName name="__123Graph_ALEASED" hidden="1">#REF!</definedName>
    <definedName name="__123Graph_AMKTVBETA" hidden="1">#REF!</definedName>
    <definedName name="__123Graph_AMONTHCONSUM" hidden="1">#REF!</definedName>
    <definedName name="__123Graph_AMOVEMINPRO" hidden="1">#REF!</definedName>
    <definedName name="__123Graph_AMOVEREFCONS" hidden="1">#REF!</definedName>
    <definedName name="__123Graph_AMOVEREFPRO" hidden="1">#REF!</definedName>
    <definedName name="__123Graph_AMVIC" hidden="1">#REF!</definedName>
    <definedName name="__123Graph_AMVICBETA" hidden="1">#REF!</definedName>
    <definedName name="__123Graph_ANIBETA" hidden="1">#REF!</definedName>
    <definedName name="__123Graph_AOAR" hidden="1">#REF!</definedName>
    <definedName name="__123Graph_APEDFLOT" hidden="1">#REF!</definedName>
    <definedName name="__123Graph_APROCEEDS" hidden="1">#REF!</definedName>
    <definedName name="__123Graph_APRODPROF" hidden="1">#REF!</definedName>
    <definedName name="__123Graph_ARECENT" hidden="1">#REF!</definedName>
    <definedName name="__123Graph_ASALEBETA" hidden="1">#REF!</definedName>
    <definedName name="__123Graph_ASALES" hidden="1">#REF!</definedName>
    <definedName name="__123Graph_ASQFT" hidden="1">#REF!</definedName>
    <definedName name="__123Graph_ATOTINVPRIWKS" hidden="1">#REF!</definedName>
    <definedName name="__123Graph_ATOTINVREPRIWKS" hidden="1">#REF!</definedName>
    <definedName name="__123Graph_ATREND" hidden="1">#REF!</definedName>
    <definedName name="__123Graph_AUNIT" hidden="1">#REF!</definedName>
    <definedName name="__123Graph_B" hidden="1">#REF!</definedName>
    <definedName name="__123Graph_BBCBAR" hidden="1">#REF!</definedName>
    <definedName name="__123Graph_BBICBETA" hidden="1">#REF!</definedName>
    <definedName name="__123Graph_BBOOK" hidden="1">#REF!</definedName>
    <definedName name="__123Graph_BBOOKBETA" hidden="1">#REF!</definedName>
    <definedName name="__123Graph_BCAPEX" hidden="1">#REF!</definedName>
    <definedName name="__123Graph_BCASHCOST1" hidden="1">#REF!</definedName>
    <definedName name="__123Graph_BCASHCOSTS" hidden="1">#REF!</definedName>
    <definedName name="__123Graph_BCurrent" hidden="1">#REF!</definedName>
    <definedName name="__123Graph_BEBITDABETA" hidden="1">#REF!</definedName>
    <definedName name="__123Graph_BEMPBETA" hidden="1">#REF!</definedName>
    <definedName name="__123Graph_BEMPLOYEE" hidden="1">#REF!</definedName>
    <definedName name="__123Graph_BGRAPH1" hidden="1">#REF!</definedName>
    <definedName name="__123Graph_BGRAPH85" hidden="1">#REF!</definedName>
    <definedName name="__123Graph_BGRAPH87" hidden="1">#REF!</definedName>
    <definedName name="__123Graph_BINVPRICE" hidden="1">#REF!</definedName>
    <definedName name="__123Graph_BMKTVBETA" hidden="1">#REF!</definedName>
    <definedName name="__123Graph_BMONTHCONSUM" hidden="1">#REF!</definedName>
    <definedName name="__123Graph_BMONTHMINPRO" hidden="1">#REF!</definedName>
    <definedName name="__123Graph_BMONTHREFPRO" hidden="1">#REF!</definedName>
    <definedName name="__123Graph_BMOVEMINPRO" hidden="1">#REF!</definedName>
    <definedName name="__123Graph_BMOVEREFCONS" hidden="1">#REF!</definedName>
    <definedName name="__123Graph_BMOVEREFPRO" hidden="1">#REF!</definedName>
    <definedName name="__123Graph_BMVIC" hidden="1">#REF!</definedName>
    <definedName name="__123Graph_BMVICBETA" hidden="1">#REF!</definedName>
    <definedName name="__123Graph_BNIBETA" hidden="1">#REF!</definedName>
    <definedName name="__123Graph_BPEDFLOT" hidden="1">#REF!</definedName>
    <definedName name="__123Graph_BPROCEEDS" hidden="1">#REF!</definedName>
    <definedName name="__123Graph_BPRODPROF" hidden="1">#REF!</definedName>
    <definedName name="__123Graph_BRECENT" hidden="1">#REF!</definedName>
    <definedName name="__123Graph_BSALEBETA" hidden="1">#REF!</definedName>
    <definedName name="__123Graph_BSALES" hidden="1">#REF!</definedName>
    <definedName name="__123Graph_BTREND" hidden="1">#REF!</definedName>
    <definedName name="__123Graph_C" hidden="1">#REF!</definedName>
    <definedName name="__123Graph_CBCBAR" hidden="1">#REF!</definedName>
    <definedName name="__123Graph_CCAPEX" hidden="1">#REF!</definedName>
    <definedName name="__123Graph_CCASHCOST1" hidden="1">#REF!</definedName>
    <definedName name="__123Graph_CCASHCOSTS" hidden="1">#REF!</definedName>
    <definedName name="__123Graph_CCurrent" hidden="1">#REF!</definedName>
    <definedName name="__123Graph_CGRAPH1" hidden="1">#REF!</definedName>
    <definedName name="__123Graph_CMONTHCONSUM" hidden="1">#REF!</definedName>
    <definedName name="__123Graph_CMONTHMINPRO" hidden="1">#REF!</definedName>
    <definedName name="__123Graph_CMONTHREFPRO" hidden="1">#REF!</definedName>
    <definedName name="__123Graph_CPROCEEDS" hidden="1">#REF!</definedName>
    <definedName name="__123Graph_CPRODPROF" hidden="1">#REF!</definedName>
    <definedName name="__123Graph_CRECENT" hidden="1">#REF!</definedName>
    <definedName name="__123Graph_CTREND" hidden="1">#REF!</definedName>
    <definedName name="__123Graph_D" hidden="1">#REF!</definedName>
    <definedName name="__123Graph_DBCBAR" hidden="1">#REF!</definedName>
    <definedName name="__123Graph_DCurrent" hidden="1">#REF!</definedName>
    <definedName name="__123Graph_DINVPRICE" hidden="1">#REF!</definedName>
    <definedName name="__123Graph_DMONTHCONSUM" hidden="1">#REF!</definedName>
    <definedName name="__123Graph_DMONTHMINPRO" hidden="1">#REF!</definedName>
    <definedName name="__123Graph_DMONTHREFPRO" hidden="1">#REF!</definedName>
    <definedName name="__123Graph_DRECENT" hidden="1">#REF!</definedName>
    <definedName name="__123Graph_E" hidden="1">#REF!</definedName>
    <definedName name="__123Graph_EMONTHCONSUM" hidden="1">#REF!</definedName>
    <definedName name="__123Graph_EMONTHMINPRO" hidden="1">#REF!</definedName>
    <definedName name="__123Graph_EMONTHREFPRO" hidden="1">#REF!</definedName>
    <definedName name="__123Graph_ERECENT" hidden="1">#REF!</definedName>
    <definedName name="__123Graph_F" hidden="1">#REF!</definedName>
    <definedName name="__123Graph_FMONTHCONSUM" hidden="1">#REF!</definedName>
    <definedName name="__123Graph_FMONTHMINPRO" hidden="1">#REF!</definedName>
    <definedName name="__123Graph_FMONTHREFPRO" hidden="1">#REF!</definedName>
    <definedName name="__123Graph_FPROFILE" hidden="1">#REF!</definedName>
    <definedName name="__123Graph_LBL_A" hidden="1">#REF!</definedName>
    <definedName name="__123Graph_LBL_AAVERAGE" hidden="1">#REF!</definedName>
    <definedName name="__123Graph_LBL_AGRAPH4" hidden="1">#REF!</definedName>
    <definedName name="__123Graph_LBL_AGRAPH5" hidden="1">#REF!</definedName>
    <definedName name="__123Graph_LBL_ALEASED" hidden="1">#REF!</definedName>
    <definedName name="__123Graph_LBL_AMETPLX" hidden="1">#REF!</definedName>
    <definedName name="__123Graph_LBL_ANDALLAS" hidden="1">#REF!</definedName>
    <definedName name="__123Graph_LBL_ASQFT" hidden="1">#REF!</definedName>
    <definedName name="__123Graph_LBL_AUNIT" hidden="1">#REF!</definedName>
    <definedName name="__123Graph_LBL_B" hidden="1">#REF!</definedName>
    <definedName name="__123Graph_LBL_BGRAPH4" hidden="1">#REF!</definedName>
    <definedName name="__123Graph_LBL_BGRAPH5" hidden="1">#REF!</definedName>
    <definedName name="__123Graph_LBL_BMETPLX" hidden="1">#REF!</definedName>
    <definedName name="__123Graph_LBL_BNDALLAS" hidden="1">#REF!</definedName>
    <definedName name="__123Graph_LBL_C" hidden="1">#REF!</definedName>
    <definedName name="__123Graph_LBL_CMETPLX" hidden="1">#REF!</definedName>
    <definedName name="__123Graph_LBL_CNDALLAS" hidden="1">#REF!</definedName>
    <definedName name="__123Graph_LBL_D" hidden="1">#REF!</definedName>
    <definedName name="__123Graph_LBL_E" hidden="1">#REF!</definedName>
    <definedName name="__123Graph_LBL_F" hidden="1">#REF!</definedName>
    <definedName name="__123Graph_X" hidden="1">#REF!</definedName>
    <definedName name="__123Graph_XANNUAL" hidden="1">#REF!</definedName>
    <definedName name="__123Graph_XBC" hidden="1">#REF!</definedName>
    <definedName name="__123Graph_XBCBAR" hidden="1">#REF!</definedName>
    <definedName name="__123Graph_XCAPEX" hidden="1">#REF!</definedName>
    <definedName name="__123Graph_XCASHCOST1" hidden="1">#REF!</definedName>
    <definedName name="__123Graph_XCASHCOSTS" hidden="1">#REF!</definedName>
    <definedName name="__123Graph_XCONC" hidden="1">#REF!</definedName>
    <definedName name="__123Graph_XEMPLOYEE" hidden="1">#REF!</definedName>
    <definedName name="__123Graph_XGRAPH1" hidden="1">#REF!</definedName>
    <definedName name="__123Graph_XGRAPH4" hidden="1">#REF!</definedName>
    <definedName name="__123Graph_XGRAPH5" hidden="1">#REF!</definedName>
    <definedName name="__123Graph_XINVPRICE" hidden="1">#REF!</definedName>
    <definedName name="__123Graph_XMONTHCONSUM" hidden="1">#REF!</definedName>
    <definedName name="__123Graph_XMONTHMINPRO" hidden="1">#REF!</definedName>
    <definedName name="__123Graph_XMONTHREFPRO" hidden="1">#REF!</definedName>
    <definedName name="__123Graph_XMOVEMINPRO" hidden="1">#REF!</definedName>
    <definedName name="__123Graph_XMOVEREFCONS" hidden="1">#REF!</definedName>
    <definedName name="__123Graph_XMOVEREFPRO" hidden="1">#REF!</definedName>
    <definedName name="__123Graph_XOAR" hidden="1">#REF!</definedName>
    <definedName name="__123Graph_XPROCEEDS" hidden="1">#REF!</definedName>
    <definedName name="__123Graph_XPRODPROF" hidden="1">#REF!</definedName>
    <definedName name="__123Graph_XTOTINVPRIWKS" hidden="1">#REF!</definedName>
    <definedName name="__123Graph_XTOTINVREPRIWKS" hidden="1">#REF!</definedName>
    <definedName name="__123Graph_XTREND" hidden="1">#REF!</definedName>
    <definedName name="__123Graph_ZZ" hidden="1">#REF!</definedName>
    <definedName name="__13__123Graph_CCHART_4" hidden="1">#REF!</definedName>
    <definedName name="__14__123Graph_XCHART_5" hidden="1">#REF!</definedName>
    <definedName name="__15__123Graph_XCHART_6" hidden="1">#REF!</definedName>
    <definedName name="__16__123Graph_XCHART_7" hidden="1">#REF!</definedName>
    <definedName name="__2__123Graph_ACHART_2" hidden="1">#REF!</definedName>
    <definedName name="__2__123Graph_BCHART_28" hidden="1">#REF!</definedName>
    <definedName name="__2__123Graph_LBL_ACHART_5" hidden="1">#REF!</definedName>
    <definedName name="__3__123Graph_BCHART_1" hidden="1">#REF!</definedName>
    <definedName name="__3__123Graph_CCHART_28" hidden="1">#REF!</definedName>
    <definedName name="__3__123Graph_LBL_BCHART_4" hidden="1">#REF!</definedName>
    <definedName name="__4__123Graph_DCHART_28" hidden="1">#REF!</definedName>
    <definedName name="__4__123Graph_XCHART_1" hidden="1">#REF!</definedName>
    <definedName name="__5__123Graph_ACHART_4" hidden="1">#REF!</definedName>
    <definedName name="__5__123Graph_CCHART_1" hidden="1">#REF!</definedName>
    <definedName name="__5__123Graph_ECHART_28" hidden="1">#REF!</definedName>
    <definedName name="__5__123Graph_XCHART_2" hidden="1">#REF!</definedName>
    <definedName name="__6__123Graph_ACHART_5" hidden="1">#REF!</definedName>
    <definedName name="__6__123Graph_CCHART_2" hidden="1">#REF!</definedName>
    <definedName name="__6__123Graph_FCHART_28" hidden="1">#REF!</definedName>
    <definedName name="__7__123Graph_ACHART_6" hidden="1">#REF!</definedName>
    <definedName name="__7__123Graph_DCHART_1" hidden="1">#REF!</definedName>
    <definedName name="__8__123Graph_ACHART_7" hidden="1">#REF!</definedName>
    <definedName name="__8__123Graph_DCHART_2" hidden="1">#REF!</definedName>
    <definedName name="__9__123Graph_BCHART_4" hidden="1">#REF!</definedName>
    <definedName name="__9__123Graph_ECHART_1" hidden="1">#REF!</definedName>
    <definedName name="__a1" hidden="1">{"Assump",#N/A,TRUE,"Proforma";"first",#N/A,TRUE,"Proforma";"second",#N/A,TRUE,"Proforma";"lease1",#N/A,TRUE,"Proforma";"lease2",#N/A,TRUE,"Proforma"}</definedName>
    <definedName name="__ABC2" hidden="1">{"CHART",#N/A,FALSE,"Arch Communications"}</definedName>
    <definedName name="__ad2" hidden="1">{"CHART",#N/A,FALSE,"Arch Communications"}</definedName>
    <definedName name="__ADS1" hidden="1">{"FCB_ALL",#N/A,FALSE,"FCB"}</definedName>
    <definedName name="__al1" hidden="1">{"sheet a",#N/A,FALSE,"A";"sheet b 1",#N/A,FALSE,"B";"sheet b 2",#N/A,FALSE,"B"}</definedName>
    <definedName name="__as1" hidden="1">{"FCB_ALL",#N/A,FALSE,"FCB"}</definedName>
    <definedName name="__AS2" hidden="1">{"FCB_ALL",#N/A,FALSE,"FCB"}</definedName>
    <definedName name="__as3" hidden="1">{"FCB_ALL",#N/A,FALSE,"FCB"}</definedName>
    <definedName name="__AS4" hidden="1">{"FCB_ALL",#N/A,FALSE,"FCB"}</definedName>
    <definedName name="__as6" hidden="1">{"FCB_ALL",#N/A,FALSE,"FCB"}</definedName>
    <definedName name="__AS7" hidden="1">{"FCB_ALL",#N/A,FALSE,"FCB"}</definedName>
    <definedName name="__d1" hidden="1">{#N/A,#N/A,FALSE,"Sales"}</definedName>
    <definedName name="__d116" hidden="1">{#N/A,#N/A,FALSE,"Sales"}</definedName>
    <definedName name="__d16" hidden="1">{"Annual",#N/A,FALSE,"Sales &amp; Market";"Quarterly",#N/A,FALSE,"Sales &amp; Market"}</definedName>
    <definedName name="__d2" hidden="1">{#N/A,#N/A,FALSE,"Sales"}</definedName>
    <definedName name="__d216" hidden="1">{#N/A,#N/A,FALSE,"Sales"}</definedName>
    <definedName name="__dan1" hidden="1">#REF!</definedName>
    <definedName name="__dcf1" hidden="1">{#N/A,#N/A,FALSE,"Tar-Ass";#N/A,#N/A,FALSE,"Tar-IS";#N/A,#N/A,FALSE,"Tar-BS";#N/A,#N/A,FALSE,"Tar-Adg BS";#N/A,#N/A,FALSE,"Tar-CF"}</definedName>
    <definedName name="__df1" hidden="1">{#N/A,#N/A,FALSE,"Calc";#N/A,#N/A,FALSE,"Sensitivity";#N/A,#N/A,FALSE,"LT Earn.Dil.";#N/A,#N/A,FALSE,"Dil. AVP"}</definedName>
    <definedName name="__df2" hidden="1">{#N/A,#N/A,FALSE,"Calc";#N/A,#N/A,FALSE,"Sensitivity";#N/A,#N/A,FALSE,"LT Earn.Dil.";#N/A,#N/A,FALSE,"Dil. AVP"}</definedName>
    <definedName name="__dfd1" hidden="1">{"FCB_ALL",#N/A,FALSE,"FCB";"GREY_ALL",#N/A,FALSE,"GREY"}</definedName>
    <definedName name="__FDS_HYPERLINK_TOGGLE_STATE__" hidden="1">"ON"</definedName>
    <definedName name="__FDS_UNIQUE_RANGE_ID_GENERATOR_COUNTER" hidden="1">1</definedName>
    <definedName name="__FDS_USED_FOR_REUSING_RANGE_IDS_RECYCLE" hidden="1">{33,33,33,33,33}</definedName>
    <definedName name="__Feb03" hidden="1">{#N/A,#N/A,FALSE,"Class A";#N/A,#N/A,FALSE,"Class B";#N/A,#N/A,FALSE,"Class C"}</definedName>
    <definedName name="__fff1" hidden="1">{"Annual",#N/A,FALSE,"Sales &amp; Market";"Quarterly",#N/A,FALSE,"Sales &amp; Market"}</definedName>
    <definedName name="__gc1" hidden="1">{"Annual",#N/A,FALSE,"Sales &amp; Market";"Quarterly",#N/A,FALSE,"Sales &amp; Market"}</definedName>
    <definedName name="__hd1" hidden="1">{#N/A,#N/A,FALSE,"Calc";#N/A,#N/A,FALSE,"Sensitivity";#N/A,#N/A,FALSE,"LT Earn.Dil.";#N/A,#N/A,FALSE,"Dil. AVP"}</definedName>
    <definedName name="__hd2" hidden="1">{#N/A,#N/A,FALSE,"Calc";#N/A,#N/A,FALSE,"Sensitivity";#N/A,#N/A,FALSE,"LT Earn.Dil.";#N/A,#N/A,FALSE,"Dil. AVP"}</definedName>
    <definedName name="__Ht_Data_Spc_Version_Spc_1" hidden="1">"01._Spc_Current_Spc_Data_Spc_Version"</definedName>
    <definedName name="__Ht_Data_Spc_Version_Spc_2" hidden="1">"02._Spc_Previous_Spc_Year_Spc_Data_Spc_Version"</definedName>
    <definedName name="__Ht_Data_Spc_Version_Spc_3" hidden="1">"03._Spc_Most_Spc_recent_Spc_Budget_Spc_Version"</definedName>
    <definedName name="__Ht_Data_Spc_Version_Spc_4" hidden="1">"04._Spc_Target_Spc_Data_Spc_version_Spc_for_Spc_Quarter_Hyp_to_Hyp_go"</definedName>
    <definedName name="__Ht_Data_Spc_Version_Spc_5" hidden="1">"02b._Spc_Previous_Spc_Year_Spc_Current_Spc_volume_Spc_Version"</definedName>
    <definedName name="__Ht_Data_Spc_Version_Spc_6" hidden="1">"03b._Spc_Most_Spc_recent_Spc_budget_Spc_Current_Spc_volume_Spc_version"</definedName>
    <definedName name="__Ht_Data_Spc_Version_Spc_7" hidden="1">"01b._Spc_Current_Spc_volume_Spc_Data_Spc_Version"</definedName>
    <definedName name="__Ht_Data_Spc_Version_Spc_8" hidden="1">"04b._Spc_Target_Spc_Volume_Spc_version_Spc_for_Spc_Quarter_Hyp_to_Hyp_go"</definedName>
    <definedName name="__Ht_Period_Spc_1" hidden="1">"05._Spc_Current_Spc_Month"</definedName>
    <definedName name="__Ht_Period_Spc_2" hidden="1">"07._Spc_All_Spc_months_Spc_in_Spc_YTD"</definedName>
    <definedName name="__Ht_Period_Spc_3" hidden="1">"06._Spc_All_Spc_months_Spc_in_Spc_current_Spc_Quarter"</definedName>
    <definedName name="__Ht_Region_Spc_1" hidden="1">"18._Spc_Select_Spc_your_Spc_region"</definedName>
    <definedName name="__Ht_USD_Spc_Month_Spc_1?" hidden="1">"12._Spc_Financials_Spc_Month"</definedName>
    <definedName name="__Ht_USD_Spc_Quarter_Spc_1?" hidden="1">"13._Spc_Financials_Spc_Quarter"</definedName>
    <definedName name="__Ht_USD_Spc_YTD_Spc_1?" hidden="1">"14._Spc_Financials_Spc_YTD"</definedName>
    <definedName name="__Ht_Variance_Spc_Description_Spc_1" hidden="1">"08._Spc_Variance_Spc_Description_Spc_vs._Spc_Actual"</definedName>
    <definedName name="__Ht_Variance_Spc_Description_Spc_2" hidden="1">"9._Spc_Variance_Spc_Description_Spc_vs._Spc_Budget"</definedName>
    <definedName name="__Ht_Variance_Spc_Description_Spc_3" hidden="1">"10._Spc_OCI_Spc_tracking_Spc_Variance_Spc_Description_Spc_1"</definedName>
    <definedName name="__Ht_Variance_Spc_Description_Spc_4" hidden="1">"11._Spc_OCI_Spc_tracking_Spc_Variance_Spc_Description_Spc_2"</definedName>
    <definedName name="__Ht_Volume_Spc_Month_Spc_1?" hidden="1">"15._Spc_Volume_Spc_Month"</definedName>
    <definedName name="__Ht_Volume_Spc_Quarter_Spc_1?" hidden="1">"16._Spc_Volume_Spc_Quarter"</definedName>
    <definedName name="__Ht_Volume_Spc_YTD_Spc_1?" hidden="1">"17._Spc_Volume_Spc_YTD"</definedName>
    <definedName name="__IntlFixup" hidden="1">TRUE</definedName>
    <definedName name="__k" hidden="1">{#N/A,#N/A,TRUE,"A-site";#N/A,#N/A,TRUE,"B-Buildings";#N/A,#N/A,TRUE,"c-out-of-fence";#N/A,#N/A,TRUE,"d-proj.infr.";#N/A,#N/A,TRUE,"e- land"}</definedName>
    <definedName name="__key1" hidden="1">#REF!</definedName>
    <definedName name="__key2" hidden="1">#REF!</definedName>
    <definedName name="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MRG2" hidden="1">{"INCOME",#N/A,FALSE,"ProNet";"VALUE",#N/A,FALSE,"ProNet"}</definedName>
    <definedName name="__MRG22" hidden="1">{"INCOME",#N/A,FALSE,"ProNet";"VALUE",#N/A,FALSE,"ProNet"}</definedName>
    <definedName name="__mrg4" hidden="1">{"INCOME",#N/A,FALSE,"ProNet";"VALUE",#N/A,FALSE,"ProNet"}</definedName>
    <definedName name="__mrg8" hidden="1">{"INCOME",#N/A,FALSE,"ProNet";"VALUE",#N/A,FALSE,"ProNet"}</definedName>
    <definedName name="__new1">#REF!</definedName>
    <definedName name="__new2" hidden="1">{"'B-2 QSER Jun 98 4-27-98 cor'!$A$1:$F$57"}</definedName>
    <definedName name="__new5" hidden="1">{"'B-2 QSER Jun 98 4-27-98 cor'!$A$1:$F$57"}</definedName>
    <definedName name="__ok1" hidden="1">{"Annual",#N/A,FALSE,"Sales &amp; Market";"Quarterly",#N/A,FALSE,"Sales &amp; Market"}</definedName>
    <definedName name="__OK2" hidden="1">{#N/A,#N/A,FALSE,"Cover";#N/A,#N/A,FALSE,"LUMI";#N/A,#N/A,FALSE,"COMD";#N/A,#N/A,FALSE,"Valuation";#N/A,#N/A,FALSE,"Assumptions";#N/A,#N/A,FALSE,"Pooling";#N/A,#N/A,FALSE,"BalanceSheet"}</definedName>
    <definedName name="__old2" hidden="1">{#N/A,#N/A,FALSE,"Chart 2 by Prop Type"}</definedName>
    <definedName name="__pj2" hidden="1">{"INCOME",#N/A,FALSE,"ProNet";"VALUE",#N/A,FALSE,"ProNet"}</definedName>
    <definedName name="__sad2" hidden="1">{"MonthlyRentRoll",#N/A,FALSE,"RentRoll"}</definedName>
    <definedName name="__tax1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w" hidden="1">{#N/A,#N/A,TRUE,"A-site";#N/A,#N/A,TRUE,"B-Buildings";#N/A,#N/A,TRUE,"c-out-of-fence";#N/A,#N/A,TRUE,"d-proj.infr.";#N/A,#N/A,TRUE,"e- land"}</definedName>
    <definedName name="__we2" hidden="1">{"INCOME",#N/A,FALSE,"ProNet";"VALUE",#N/A,FALSE,"ProNet"}</definedName>
    <definedName name="__wmp1" hidden="1">{#N/A,#N/A,FALSE,"ENVIRONMENTAL"}</definedName>
    <definedName name="__wpm1" hidden="1">{#N/A,#N/A,FALSE,"LOAN ANALYSIS"}</definedName>
    <definedName name="__wrn1" hidden="1">{"schedule1",#N/A,FALSE,"Sheet1";"schedule2",#N/A,FALSE,"Sheet1";"schedule3",#N/A,FALSE,"Sheet1";"schedule4",#N/A,FALSE,"Sheet1";"schedule5",#N/A,FALSE,"Sheet1";"schedule6",#N/A,FALSE,"Sheet1"}</definedName>
    <definedName name="__wrn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_wrn3" hidden="1">{#N/A,#N/A,FALSE,"Aging Summary";#N/A,#N/A,FALSE,"Ratio Analysis";#N/A,#N/A,FALSE,"Test 120 Day Accts";#N/A,#N/A,FALSE,"Tickmarks"}</definedName>
    <definedName name="__wrn4" hidden="1">{"data",#N/A,FALSE,"INPUT"}</definedName>
    <definedName name="__wrn9" hidden="1">{"FCB_ALL",#N/A,FALSE,"FCB"}</definedName>
    <definedName name="__xlfn.RTD" hidden="1">#NAME?</definedName>
    <definedName name="__y1" hidden="1">#REF!</definedName>
    <definedName name="__y2" hidden="1">#REF!</definedName>
    <definedName name="__y3" hidden="1">#REF!</definedName>
    <definedName name="__y4" hidden="1">#REF!</definedName>
    <definedName name="__y5" hidden="1">#REF!</definedName>
    <definedName name="__yr1" hidden="1">#REF!</definedName>
    <definedName name="__yr2" hidden="1">#REF!</definedName>
    <definedName name="__yr3" hidden="1">#REF!</definedName>
    <definedName name="__yr4" hidden="1">#REF!</definedName>
    <definedName name="__z1" hidden="1">{"Commish",#N/A,FALSE,"LAWTC"}</definedName>
    <definedName name="_0215" hidden="1">#REF!</definedName>
    <definedName name="_1__123Graph_ACHART_1" hidden="1">#REF!</definedName>
    <definedName name="_1__123Graph_ACHART_12" hidden="1">#REF!</definedName>
    <definedName name="_1__123Graph_ACHART_2" hidden="1">#REF!</definedName>
    <definedName name="_1__123Graph_ACHART_28" hidden="1">#REF!</definedName>
    <definedName name="_1__123Graph_ACHART_3A" hidden="1">#REF!</definedName>
    <definedName name="_1__123Graph_ACHART_4" hidden="1">#REF!</definedName>
    <definedName name="_1__123Graph_ACHART_4A" hidden="1">#REF!</definedName>
    <definedName name="_1__123Graph_AMARKET_SEGMENT" hidden="1">#REF!</definedName>
    <definedName name="_1__123Graph_BCHART_4" hidden="1">#REF!</definedName>
    <definedName name="_1__123Graph_CCHART_2" hidden="1">#REF!</definedName>
    <definedName name="_1__FDSAUDITLINK__" hidden="1">{"fdsup://directions/FAT Viewer?action=UPDATE&amp;creator=factset&amp;DYN_ARGS=TRUE&amp;DOC_NAME=FAT:FQL_AUDITING_CLIENT_TEMPLATE.FAT&amp;display_string=Audit&amp;VAR:KEY=JIVIHKDEZQ&amp;VAR:QUERY=UkdGX0VOVFJQUl9WQUwoQU5OLDQxMDQ0LCwsLFVTRCwsTk9BVURJVCk=&amp;WINDOW=FIRST_POPUP&amp;HEIGHT=45","0&amp;WIDTH=450&amp;START_MAXIMIZED=FALSE&amp;VAR:CALENDAR=US&amp;VAR:SYMBOL=707624&amp;VAR:INDEX=0"}</definedName>
    <definedName name="_1_0_0__123Grap" hidden="1">#REF!</definedName>
    <definedName name="_1_0_0_S" hidden="1">#REF!</definedName>
    <definedName name="_1_0_S" hidden="1">#REF!</definedName>
    <definedName name="_10__123Graph_A_FABP_L.WK1_FAB" hidden="1">#REF!</definedName>
    <definedName name="_10__123Graph_ADEPREC" hidden="1">#REF!</definedName>
    <definedName name="_10__123Graph_BCHART_16" hidden="1">#REF!</definedName>
    <definedName name="_10__123Graph_BCHART_2" hidden="1">#REF!</definedName>
    <definedName name="_10__123Graph_BCHART_5" hidden="1">#REF!</definedName>
    <definedName name="_10__123Graph_CCHART_1" hidden="1">#REF!</definedName>
    <definedName name="_10__123Graph_CCHART_3" hidden="1">#REF!</definedName>
    <definedName name="_10__123Graph_FCHART_1" hidden="1">#REF!</definedName>
    <definedName name="_10__123Graph_XCHART_1" hidden="1">#REF!</definedName>
    <definedName name="_10__123Graph_XCHART_1A" hidden="1">#REF!</definedName>
    <definedName name="_10__FDSAUDITLINK__" hidden="1">{"fdsup://directions/FAT Viewer?action=UPDATE&amp;creator=factset&amp;DYN_ARGS=TRUE&amp;DOC_NAME=FAT:FQL_AUDITING_CLIENT_TEMPLATE.FAT&amp;display_string=Audit&amp;VAR:KEY=QVOTMVOFAN&amp;VAR:QUERY=RkZfRU5UUlBSX1ZBTF9EQUlMWSg0MDI0MiwsLCwnVVNEJywnRElMJyk=&amp;WINDOW=FIRST_POPUP&amp;HEIGHT=45","0&amp;WIDTH=450&amp;START_MAXIMIZED=FALSE&amp;VAR:CALENDAR=US&amp;VAR:SYMBOL=B1H508&amp;VAR:INDEX=0"}</definedName>
    <definedName name="_100__FDSAUDITLINK__" hidden="1">{"fdsup://directions/FAT Viewer?action=UPDATE&amp;creator=factset&amp;DYN_ARGS=TRUE&amp;DOC_NAME=FAT:FQL_AUDITING_CLIENT_TEMPLATE.FAT&amp;display_string=Audit&amp;VAR:KEY=MFMZMXUPCP&amp;VAR:QUERY=RkZfRUJJVERBX0lCKCdDQUwnLDIwMDksLCwsJ1VTRCcp&amp;WINDOW=FIRST_POPUP&amp;HEIGHT=450&amp;WIDTH=450&amp;","START_MAXIMIZED=FALSE&amp;VAR:CALENDAR=US&amp;VAR:SYMBOL=332770&amp;VAR:INDEX=0"}</definedName>
    <definedName name="_101__FDSAUDITLINK__" hidden="1">{"fdsup://directions/FAT Viewer?action=UPDATE&amp;creator=factset&amp;DYN_ARGS=TRUE&amp;DOC_NAME=FAT:FQL_AUDITING_CLIENT_TEMPLATE.FAT&amp;display_string=Audit&amp;VAR:KEY=CXEHCRWFAB&amp;VAR:QUERY=RkZfRU5UUlBSX1ZBTF9EQUlMWSg0MDI0MiwsLCwnVVNEJywnRElMJyk=&amp;WINDOW=FIRST_POPUP&amp;HEIGHT=45","0&amp;WIDTH=450&amp;START_MAXIMIZED=FALSE&amp;VAR:CALENDAR=US&amp;VAR:SYMBOL=332770&amp;VAR:INDEX=0"}</definedName>
    <definedName name="_102__123Graph_XCHART_19" hidden="1">#REF!</definedName>
    <definedName name="_102__FDSAUDITLINK__" hidden="1">{"fdsup://directions/FAT Viewer?action=UPDATE&amp;creator=factset&amp;DYN_ARGS=TRUE&amp;DOC_NAME=FAT:FQL_AUDITING_CLIENT_TEMPLATE.FAT&amp;display_string=Audit&amp;VAR:KEY=SVGBOBYLCP&amp;VAR:QUERY=RkZfRUJJVERBX0lCKCdDQUwnLDIwMDksLCwsJ1VTRCcp&amp;WINDOW=FIRST_POPUP&amp;HEIGHT=450&amp;WIDTH=450&amp;","START_MAXIMIZED=FALSE&amp;VAR:CALENDAR=US&amp;VAR:SYMBOL=70454910&amp;VAR:INDEX=0"}</definedName>
    <definedName name="_102_0_Table2_" hidden="1">#REF!</definedName>
    <definedName name="_105__123Graph_XCHART_22" hidden="1">#REF!</definedName>
    <definedName name="_107__123Graph_LBL_ACHART_3" hidden="1">#REF!</definedName>
    <definedName name="_108__123Graph_BCHART_22" hidden="1">#REF!</definedName>
    <definedName name="_108__123Graph_XSEG_PIE" hidden="1">#REF!</definedName>
    <definedName name="_11__123Graph_ACHART_1" hidden="1">#REF!</definedName>
    <definedName name="_11__123Graph_ACHART_3" hidden="1">#REF!</definedName>
    <definedName name="_11__123Graph_B_FABP_L.WK1_FAB" hidden="1">#REF!</definedName>
    <definedName name="_11__123Graph_BCHART_17" hidden="1">#REF!</definedName>
    <definedName name="_11__123Graph_BCHART_3" hidden="1">#REF!</definedName>
    <definedName name="_11__123Graph_BCHART_6" hidden="1">#REF!</definedName>
    <definedName name="_11__123Graph_CCHART_2" hidden="1">#REF!</definedName>
    <definedName name="_11__123Graph_DCHART_1" hidden="1">#REF!</definedName>
    <definedName name="_11__123Graph_XCHART_2" hidden="1">#REF!</definedName>
    <definedName name="_11__123Graph_XGROWTH_9" hidden="1">#REF!</definedName>
    <definedName name="_11__FDSAUDITLINK__" hidden="1">{"fdsup://directions/FAT Viewer?action=UPDATE&amp;creator=factset&amp;DYN_ARGS=TRUE&amp;DOC_NAME=FAT:FQL_AUDITING_CLIENT_TEMPLATE.FAT&amp;display_string=Audit&amp;VAR:KEY=OXKBUPEVWZ&amp;VAR:QUERY=RkZfRUJJVERBX0lCKCdDQUwnLDIwMDksLCwsJ1VTRCcp&amp;WINDOW=FIRST_POPUP&amp;HEIGHT=450&amp;WIDTH=450&amp;","START_MAXIMIZED=FALSE&amp;VAR:CALENDAR=US&amp;VAR:SYMBOL=B0ZSH5&amp;VAR:INDEX=0"}</definedName>
    <definedName name="_110__123Graph_BCHART_3" hidden="1">#REF!</definedName>
    <definedName name="_115__123Graph_LBL_ACHART_4" hidden="1">#REF!</definedName>
    <definedName name="_117__123Graph_CCHART_15" hidden="1">#REF!</definedName>
    <definedName name="_12__123Graph_ACHART_17" hidden="1">#REF!</definedName>
    <definedName name="_12__123Graph_ACHART_2" hidden="1">#REF!</definedName>
    <definedName name="_12__123Graph_ACHART_2A" hidden="1">#REF!</definedName>
    <definedName name="_12__123Graph_ACHART_4" hidden="1">#REF!</definedName>
    <definedName name="_12__123Graph_BCHART_1" hidden="1">#REF!</definedName>
    <definedName name="_12__123Graph_BCHART_22" hidden="1">#REF!</definedName>
    <definedName name="_12__123Graph_BCHART_2A" hidden="1">#REF!</definedName>
    <definedName name="_12__123Graph_BCHART_4" hidden="1">#REF!</definedName>
    <definedName name="_12__123Graph_BCHART_7" hidden="1">#REF!</definedName>
    <definedName name="_12__123Graph_ECHART_1" hidden="1">#REF!</definedName>
    <definedName name="_12__123Graph_XCHART_2A" hidden="1">#REF!</definedName>
    <definedName name="_12__FDSAUDITLINK__" hidden="1">{"fdsup://directions/FAT Viewer?action=UPDATE&amp;creator=factset&amp;DYN_ARGS=TRUE&amp;DOC_NAME=FAT:FQL_AUDITING_CLIENT_TEMPLATE.FAT&amp;display_string=Audit&amp;VAR:KEY=EHMBMXQHMZ&amp;VAR:QUERY=RkZfRUJJVERBX0lCKCdDQUwnLDIwMDksLCwsJ1VTRCcp&amp;WINDOW=FIRST_POPUP&amp;HEIGHT=450&amp;WIDTH=450&amp;","START_MAXIMIZED=FALSE&amp;VAR:CALENDAR=US&amp;VAR:SYMBOL=B1H508&amp;VAR:INDEX=0"}</definedName>
    <definedName name="_121__123Graph_BCHART_4" hidden="1">#REF!</definedName>
    <definedName name="_123" hidden="1">#REF!</definedName>
    <definedName name="_123__123Graph_LBL_BCHART_1" hidden="1">#REF!</definedName>
    <definedName name="_12312" hidden="1">#REF!</definedName>
    <definedName name="_123Graph" hidden="1">#REF!</definedName>
    <definedName name="_123Graph_A2" hidden="1">#N/A</definedName>
    <definedName name="_123Graph_ACHART" hidden="1">#REF!</definedName>
    <definedName name="_126__123Graph_CCHART_16" hidden="1">#REF!</definedName>
    <definedName name="_13__123Graph_ACHART_3" hidden="1">#REF!</definedName>
    <definedName name="_13__123Graph_BCHART_1" hidden="1">#REF!</definedName>
    <definedName name="_13__123Graph_BCHART_2" hidden="1">#REF!</definedName>
    <definedName name="_13__123Graph_BCHART_5" hidden="1">#REF!</definedName>
    <definedName name="_13__123Graph_CCHART_15" hidden="1">#REF!</definedName>
    <definedName name="_13__123Graph_CCHART_3" hidden="1">#REF!</definedName>
    <definedName name="_13__123Graph_CCHART_4" hidden="1">#REF!</definedName>
    <definedName name="_13__123Graph_FCHART_1" hidden="1">#REF!</definedName>
    <definedName name="_13__FDSAUDITLINK__" hidden="1">{"fdsup://directions/FAT Viewer?action=UPDATE&amp;creator=factset&amp;DYN_ARGS=TRUE&amp;DOC_NAME=FAT:FQL_AUDITING_CLIENT_TEMPLATE.FAT&amp;display_string=Audit&amp;VAR:KEY=ONSFQDEZIB&amp;VAR:QUERY=RkZfRUJJVERBX0lCKCdDQUwnLDIwMDksLCwsJ1VTRCcp&amp;WINDOW=FIRST_POPUP&amp;HEIGHT=450&amp;WIDTH=450&amp;","START_MAXIMIZED=FALSE&amp;VAR:CALENDAR=US&amp;VAR:SYMBOL=B1VRCG&amp;VAR:INDEX=0"}</definedName>
    <definedName name="_131__123Graph_LBL_BCHART_2" hidden="1">#REF!</definedName>
    <definedName name="_132__123Graph_BCHART_5" hidden="1">#REF!</definedName>
    <definedName name="_135__123Graph_CCHART_17" hidden="1">#REF!</definedName>
    <definedName name="_139__123Graph_LBL_BCHART_3" hidden="1">#REF!</definedName>
    <definedName name="_14__123Graph_ACHART_4" hidden="1">#REF!</definedName>
    <definedName name="_14__123Graph_BCHART_2" hidden="1">#REF!</definedName>
    <definedName name="_14__123Graph_BCHART_3" hidden="1">#REF!</definedName>
    <definedName name="_14__123Graph_BCHART_6" hidden="1">#REF!</definedName>
    <definedName name="_14__123Graph_CCHART_16" hidden="1">#REF!</definedName>
    <definedName name="_14__123Graph_DCHART_1" hidden="1">#REF!</definedName>
    <definedName name="_14__123Graph_LBL_ACHART_2" hidden="1">#REF!</definedName>
    <definedName name="_14__123Graph_XCHART_5" hidden="1">#REF!</definedName>
    <definedName name="_14__FDSAUDITLINK__" hidden="1">{"fdsup://directions/FAT Viewer?action=UPDATE&amp;creator=factset&amp;DYN_ARGS=TRUE&amp;DOC_NAME=FAT:FQL_AUDITING_CLIENT_TEMPLATE.FAT&amp;display_string=Audit&amp;VAR:KEY=KVODGPMXKV&amp;VAR:QUERY=RkZfRU5UUlBSX1ZBTF9EQUlMWSg0MDI0MiwsLCwnVVNEJywnRElMJyk=&amp;WINDOW=FIRST_POPUP&amp;HEIGHT=45","0&amp;WIDTH=450&amp;START_MAXIMIZED=FALSE&amp;VAR:CALENDAR=US&amp;VAR:SYMBOL=B1VRCG&amp;VAR:INDEX=0"}</definedName>
    <definedName name="_143__123Graph_BCHART_6" hidden="1">#REF!</definedName>
    <definedName name="_144__123Graph_CCHART_22" hidden="1">#REF!</definedName>
    <definedName name="_147__123Graph_XCHART_1" hidden="1">#REF!</definedName>
    <definedName name="_15__123Graph_ACHART_18" hidden="1">#REF!</definedName>
    <definedName name="_15__123Graph_ACHART_5" hidden="1">#REF!</definedName>
    <definedName name="_15__123Graph_BCHART_4" hidden="1">#REF!</definedName>
    <definedName name="_15__123Graph_BCHART_7" hidden="1">#REF!</definedName>
    <definedName name="_15__123Graph_CCHART_17" hidden="1">#REF!</definedName>
    <definedName name="_15__123Graph_ECHART_1" hidden="1">#REF!</definedName>
    <definedName name="_15__123Graph_LBL_ACHART_3" hidden="1">#REF!</definedName>
    <definedName name="_15__123Graph_XCHART_1A" hidden="1">#REF!</definedName>
    <definedName name="_15__123Graph_XCHART_6" hidden="1">#REF!</definedName>
    <definedName name="_15__FDSAUDITLINK__" hidden="1">{"fdsup://directions/FAT Viewer?action=UPDATE&amp;creator=factset&amp;DYN_ARGS=TRUE&amp;DOC_NAME=FAT:FQL_AUDITING_CLIENT_TEMPLATE.FAT&amp;display_string=Audit&amp;VAR:KEY=QJARQRUDEH&amp;VAR:QUERY=RkZfRUJJVERBX0lCKCdDQUwnLDIwMDksLCwsJ1VTRCcp&amp;WINDOW=FIRST_POPUP&amp;HEIGHT=450&amp;WIDTH=450&amp;","START_MAXIMIZED=FALSE&amp;VAR:CALENDAR=US&amp;VAR:SYMBOL=600030&amp;VAR:INDEX=0"}</definedName>
    <definedName name="_153__123Graph_CSEG_PIE" hidden="1">#REF!</definedName>
    <definedName name="_154__123Graph_BCHART_7" hidden="1">#REF!</definedName>
    <definedName name="_155__123Graph_XCHART_2" hidden="1">#REF!</definedName>
    <definedName name="_159_0_Table1_" hidden="1">#REF!</definedName>
    <definedName name="_16__123Graph_ACHART_3" hidden="1">#REF!</definedName>
    <definedName name="_16__123Graph_ACHART_6" hidden="1">#REF!</definedName>
    <definedName name="_16__123Graph_BCHART_5" hidden="1">#REF!</definedName>
    <definedName name="_16__123Graph_CCHART_22" hidden="1">#REF!</definedName>
    <definedName name="_16__123Graph_DCHART_1" hidden="1">#REF!</definedName>
    <definedName name="_16__123Graph_FCHART_1" hidden="1">#REF!</definedName>
    <definedName name="_16__123Graph_LBL_ACHART_4" hidden="1">#REF!</definedName>
    <definedName name="_16__123Graph_XCHART_7" hidden="1">#REF!</definedName>
    <definedName name="_16__FDSAUDITLINK__" hidden="1">{"fdsup://directions/FAT Viewer?action=UPDATE&amp;creator=factset&amp;DYN_ARGS=TRUE&amp;DOC_NAME=FAT:FQL_AUDITING_CLIENT_TEMPLATE.FAT&amp;display_string=Audit&amp;VAR:KEY=SHKZGPYRAD&amp;VAR:QUERY=RkZfRU5UUlBSX1ZBTF9EQUlMWSg0MDI0MiwsLCwnVVNEJywnRElMJyk=&amp;WINDOW=FIRST_POPUP&amp;HEIGHT=45","0&amp;WIDTH=450&amp;START_MAXIMIZED=FALSE&amp;VAR:CALENDAR=US&amp;VAR:SYMBOL=600030&amp;VAR:INDEX=0"}</definedName>
    <definedName name="_162__123Graph_DCHART_15" hidden="1">#REF!</definedName>
    <definedName name="_163__123Graph_XCHART_3" hidden="1">#REF!</definedName>
    <definedName name="_163_0_Table2_" hidden="1">#REF!</definedName>
    <definedName name="_169_0_Table1_" hidden="1">#REF!</definedName>
    <definedName name="_17__123Graph_ACHART_4" hidden="1">#REF!</definedName>
    <definedName name="_17__123Graph_ACHART_7" hidden="1">#REF!</definedName>
    <definedName name="_17__123Graph_BCHART_6" hidden="1">#REF!</definedName>
    <definedName name="_17__123Graph_CSEG_PIE" hidden="1">#REF!</definedName>
    <definedName name="_17__123Graph_LBL_ACHART_1" hidden="1">#REF!</definedName>
    <definedName name="_17__123Graph_LBL_ACHART_2" hidden="1">#REF!</definedName>
    <definedName name="_17__123Graph_LBL_BCHART_2" hidden="1">#REF!</definedName>
    <definedName name="_17__FDSAUDITLINK__" hidden="1">{"fdsup://directions/FAT Viewer?action=UPDATE&amp;creator=factset&amp;DYN_ARGS=TRUE&amp;DOC_NAME=FAT:FQL_AUDITING_CLIENT_TEMPLATE.FAT&amp;display_string=Audit&amp;VAR:KEY=WDEJKFYBMT&amp;VAR:QUERY=RkZfRUJJVERBX0lCKCdDQUwnLDIwMDksLCwsJ1VTRCcp&amp;WINDOW=FIRST_POPUP&amp;HEIGHT=450&amp;WIDTH=450&amp;","START_MAXIMIZED=FALSE&amp;VAR:CALENDAR=US&amp;VAR:SYMBOL=610989&amp;VAR:INDEX=0"}</definedName>
    <definedName name="_171__123Graph_DCHART_16" hidden="1">#REF!</definedName>
    <definedName name="_171__123Graph_XCHART_4" hidden="1">#REF!</definedName>
    <definedName name="_175_0_Table2_" hidden="1">#REF!</definedName>
    <definedName name="_178_0_Table1_" hidden="1">#REF!</definedName>
    <definedName name="_18__123Graph_ACHART_15" hidden="1">#REF!</definedName>
    <definedName name="_18__123Graph_ACHART_19" hidden="1">#REF!</definedName>
    <definedName name="_18__123Graph_BCHART_1" hidden="1">#REF!</definedName>
    <definedName name="_18__123Graph_BCHART_1A" hidden="1">#REF!</definedName>
    <definedName name="_18__123Graph_BCHART_7" hidden="1">#REF!</definedName>
    <definedName name="_18__123Graph_DCHART_15" hidden="1">#REF!</definedName>
    <definedName name="_18__123Graph_LBL_ACHART_3" hidden="1">#REF!</definedName>
    <definedName name="_18__123Graph_LBL_BCHART_3" hidden="1">#REF!</definedName>
    <definedName name="_18__123Graph_XCHART_2A" hidden="1">#REF!</definedName>
    <definedName name="_18__FDSAUDITLINK__" hidden="1">{"fdsup://directions/FAT Viewer?action=UPDATE&amp;creator=factset&amp;DYN_ARGS=TRUE&amp;DOC_NAME=FAT:FQL_AUDITING_CLIENT_TEMPLATE.FAT&amp;display_string=Audit&amp;VAR:KEY=SJEHMVUTUJ&amp;VAR:QUERY=RkZfRU5UUlBSX1ZBTF9EQUlMWSg0MDI0MiwsLCwnVVNEJywnRElMJyk=&amp;WINDOW=FIRST_POPUP&amp;HEIGHT=45","0&amp;WIDTH=450&amp;START_MAXIMIZED=FALSE&amp;VAR:CALENDAR=US&amp;VAR:SYMBOL=610989&amp;VAR:INDEX=0"}</definedName>
    <definedName name="_180__123Graph_DCHART_17" hidden="1">#REF!</definedName>
    <definedName name="_185_0_Table2_" hidden="1">#REF!</definedName>
    <definedName name="_189__123Graph_DCHART_22" hidden="1">#REF!</definedName>
    <definedName name="_19__123Graph_BCHART_2" hidden="1">#REF!</definedName>
    <definedName name="_19__123Graph_C_FABP_L.WK1_FAB" hidden="1">#REF!</definedName>
    <definedName name="_19__123Graph_DCHART_16" hidden="1">#REF!</definedName>
    <definedName name="_19__123Graph_LBL_ACHART_3" hidden="1">#REF!</definedName>
    <definedName name="_19__123Graph_LBL_CCHART_2" hidden="1">#REF!</definedName>
    <definedName name="_19__123Graph_LBL_DCHART_1" hidden="1">#REF!</definedName>
    <definedName name="_19__FDSAUDITLINK__" hidden="1">{"fdsup://directions/FAT Viewer?action=UPDATE&amp;creator=factset&amp;DYN_ARGS=TRUE&amp;DOC_NAME=FAT:FQL_AUDITING_CLIENT_TEMPLATE.FAT&amp;display_string=Audit&amp;VAR:KEY=UJSFKRAFAX&amp;VAR:QUERY=RkZfRUJJVERBX0lCKCdDQUwnLDIwMDksLCwsJ1VTRCcp&amp;WINDOW=FIRST_POPUP&amp;HEIGHT=450&amp;WIDTH=450&amp;","START_MAXIMIZED=FALSE&amp;VAR:CALENDAR=US&amp;VAR:SYMBOL=672529&amp;VAR:INDEX=0"}</definedName>
    <definedName name="_198__123Graph_ECHART_15" hidden="1">#REF!</definedName>
    <definedName name="_1ƒ0ACwvu.Sommai" hidden="1">#REF!,#REF!,#REF!,#REF!,#REF!,#REF!</definedName>
    <definedName name="_1x1" hidden="1">#REF!</definedName>
    <definedName name="_2__123Graph_A_FABP_L.WK1_FAB" hidden="1">#REF!</definedName>
    <definedName name="_2__123Graph_ACHART_1" hidden="1">#REF!</definedName>
    <definedName name="_2__123Graph_ACHART_15" hidden="1">#REF!</definedName>
    <definedName name="_2__123Graph_ACHART_1A" hidden="1">#REF!</definedName>
    <definedName name="_2__123Graph_ACHART_2" hidden="1">#REF!</definedName>
    <definedName name="_2__123Graph_ACHART_4" hidden="1">#REF!</definedName>
    <definedName name="_2__123Graph_ACHART_4A" hidden="1">#REF!</definedName>
    <definedName name="_2__123Graph_BCHART_1" hidden="1">#REF!</definedName>
    <definedName name="_2__123Graph_BCHART_2" hidden="1">#REF!</definedName>
    <definedName name="_2__123Graph_BCHART_28" hidden="1">#REF!</definedName>
    <definedName name="_2__123Graph_BCHART_4" hidden="1">#REF!</definedName>
    <definedName name="_2__123Graph_LBL_ACHART_5" hidden="1">#REF!</definedName>
    <definedName name="_2__123Graph_XCHART_2" hidden="1">#REF!</definedName>
    <definedName name="_2__123Graph_XCHART_3A" hidden="1">#REF!</definedName>
    <definedName name="_2__123Graph_XCHART_4A" hidden="1">#REF!</definedName>
    <definedName name="_2__123Graph_XMARKET_SEGMENT" hidden="1">#REF!</definedName>
    <definedName name="_2__FDSAUDITLINK__" hidden="1">{"fdsup://directions/FAT Viewer?action=UPDATE&amp;creator=factset&amp;DYN_ARGS=TRUE&amp;DOC_NAME=FAT:FQL_AUDITING_CLIENT_TEMPLATE.FAT&amp;display_string=Audit&amp;VAR:KEY=SVWDARGLYV&amp;VAR:QUERY=UkdGX0VOVFJQUl9WQUwoQU5OLDQxMDQ0LCwsLCwsTk9BVURJVCk=&amp;WINDOW=FIRST_POPUP&amp;HEIGHT=450&amp;WI","DTH=450&amp;START_MAXIMIZED=FALSE&amp;VAR:CALENDAR=US&amp;VAR:SYMBOL=707624&amp;VAR:INDEX=0"}</definedName>
    <definedName name="_2_0__123Grap" hidden="1">#REF!</definedName>
    <definedName name="_2_0_S" hidden="1">#REF!</definedName>
    <definedName name="_20__123Graph_ACHART_5" hidden="1">#REF!</definedName>
    <definedName name="_20__123Graph_DCHART_1" hidden="1">#REF!</definedName>
    <definedName name="_20__123Graph_DCHART_17" hidden="1">#REF!</definedName>
    <definedName name="_20__123Graph_LBL_ACHART_4" hidden="1">#REF!</definedName>
    <definedName name="_20__123Graph_LBL_CCHART_3" hidden="1">#REF!</definedName>
    <definedName name="_20__FDSAUDITLINK__" hidden="1">{"fdsup://directions/FAT Viewer?action=UPDATE&amp;creator=factset&amp;DYN_ARGS=TRUE&amp;DOC_NAME=FAT:FQL_AUDITING_CLIENT_TEMPLATE.FAT&amp;display_string=Audit&amp;VAR:KEY=UZSZCXIVQZ&amp;VAR:QUERY=RkZfRU5UUlBSX1ZBTF9EQUlMWSg0MDI0MiwsLCwnVVNEJywnRElMJyk=&amp;WINDOW=FIRST_POPUP&amp;HEIGHT=45","0&amp;WIDTH=450&amp;START_MAXIMIZED=FALSE&amp;VAR:CALENDAR=US&amp;VAR:SYMBOL=672529&amp;VAR:INDEX=0"}</definedName>
    <definedName name="_2004">#REF!</definedName>
    <definedName name="_2005">#REF!</definedName>
    <definedName name="_2006">#REF!</definedName>
    <definedName name="_2007">#REF!</definedName>
    <definedName name="_2008">#REF!</definedName>
    <definedName name="_2009">#REF!</definedName>
    <definedName name="_2010">#REF!</definedName>
    <definedName name="_2011">#REF!</definedName>
    <definedName name="_2012">#REF!</definedName>
    <definedName name="_2013">#REF!</definedName>
    <definedName name="_2013_">#REF!</definedName>
    <definedName name="_2014">#REF!</definedName>
    <definedName name="_2015">#REF!</definedName>
    <definedName name="_2016">#REF!</definedName>
    <definedName name="_2017">#REF!</definedName>
    <definedName name="_2018">#REF!</definedName>
    <definedName name="_2020">#REF!</definedName>
    <definedName name="_207__123Graph_ECHART_16" hidden="1">#REF!</definedName>
    <definedName name="_20IQ_POLICĎĎ__ĘĘ__TS" hidden="1">"c1036"</definedName>
    <definedName name="_21__123Graph_ACHART_21" hidden="1">#REF!</definedName>
    <definedName name="_21__123Graph_ACHART_4" hidden="1">#REF!</definedName>
    <definedName name="_21__123Graph_DCHART_22" hidden="1">#REF!</definedName>
    <definedName name="_21__123Graph_LBL_ACHART_1" hidden="1">#REF!</definedName>
    <definedName name="_21__123Graph_LBL_BCHART_2" hidden="1">#REF!</definedName>
    <definedName name="_21__FDSAUDITLINK__" hidden="1">{"fdsup://directions/FAT Viewer?action=UPDATE&amp;creator=factset&amp;DYN_ARGS=TRUE&amp;DOC_NAME=FAT:FQL_AUDITING_CLIENT_TEMPLATE.FAT&amp;display_string=Audit&amp;VAR:KEY=MXYZWTSLEL&amp;VAR:QUERY=RkZfRUJJVERBX0lCKCdDQUwnLDIwMDksLCwsJ1VTRCcp&amp;WINDOW=FIRST_POPUP&amp;HEIGHT=450&amp;WIDTH=450&amp;","START_MAXIMIZED=FALSE&amp;VAR:CALENDAR=US&amp;VAR:SYMBOL=642539&amp;VAR:INDEX=0"}</definedName>
    <definedName name="_21_0_S" hidden="1">#REF!</definedName>
    <definedName name="_216__123Graph_ECHART_17" hidden="1">#REF!</definedName>
    <definedName name="_22__123Graph_ACHART_2" hidden="1">#REF!</definedName>
    <definedName name="_22__123Graph_ACHART_5" hidden="1">#REF!</definedName>
    <definedName name="_22__123Graph_BCHART_2" hidden="1">#REF!</definedName>
    <definedName name="_22__123Graph_ECHART_15" hidden="1">#REF!</definedName>
    <definedName name="_22__123Graph_LBL_ACHART_3" hidden="1">#REF!</definedName>
    <definedName name="_22__FDSAUDITLINK__" hidden="1">{"fdsup://directions/FAT Viewer?action=UPDATE&amp;creator=factset&amp;DYN_ARGS=TRUE&amp;DOC_NAME=FAT:FQL_AUDITING_CLIENT_TEMPLATE.FAT&amp;display_string=Audit&amp;VAR:KEY=MXSHIJCBUD&amp;VAR:QUERY=RkZfRU5UUlBSX1ZBTF9EQUlMWSg0MDI0MiwsLCwnVVNEJywnRElMJyk=&amp;WINDOW=FIRST_POPUP&amp;HEIGHT=45","0&amp;WIDTH=450&amp;START_MAXIMIZED=FALSE&amp;VAR:CALENDAR=US&amp;VAR:SYMBOL=642539&amp;VAR:INDEX=0"}</definedName>
    <definedName name="_22_0_S" hidden="1">#REF!</definedName>
    <definedName name="_225__123Graph_ECHART_22" hidden="1">#REF!</definedName>
    <definedName name="_23__123Graph_ACHART_6" hidden="1">#REF!</definedName>
    <definedName name="_23__123Graph_BCHART_3" hidden="1">#REF!</definedName>
    <definedName name="_23__123Graph_ECHART_16" hidden="1">#REF!</definedName>
    <definedName name="_23__123Graph_LBL_BCHART_3" hidden="1">#REF!</definedName>
    <definedName name="_23__123Graph_LBL_DCHART_1" hidden="1">#REF!</definedName>
    <definedName name="_23__FDSAUDITLINK__" hidden="1">{"fdsup://directions/FAT Viewer?action=UPDATE&amp;creator=factset&amp;DYN_ARGS=TRUE&amp;DOC_NAME=FAT:FQL_AUDITING_CLIENT_TEMPLATE.FAT&amp;display_string=Audit&amp;VAR:KEY=CXYHEJMREF&amp;VAR:QUERY=RkZfRUJJVERBX0lCKCdDQUwnLDIwMDksLCwsJ1VTRCcp&amp;WINDOW=FIRST_POPUP&amp;HEIGHT=450&amp;WIDTH=450&amp;","START_MAXIMIZED=FALSE&amp;VAR:CALENDAR=US&amp;VAR:SYMBOL=B1JNK8&amp;VAR:INDEX=0"}</definedName>
    <definedName name="_234__123Graph_FCHART_15" hidden="1">#REF!</definedName>
    <definedName name="_24__123Graph_ACHART_7" hidden="1">#REF!</definedName>
    <definedName name="_24__123Graph_ASEG_PIE" hidden="1">#REF!</definedName>
    <definedName name="_24__123Graph_BCHART_2A" hidden="1">#REF!</definedName>
    <definedName name="_24__123Graph_CCHART_1" hidden="1">#REF!</definedName>
    <definedName name="_24__123Graph_ECHART_17" hidden="1">#REF!</definedName>
    <definedName name="_24__123Graph_LBL_CCHART_2" hidden="1">#REF!</definedName>
    <definedName name="_24__123Graph_X_FABP_L.WK1_FAB" hidden="1">#REF!</definedName>
    <definedName name="_24__FDSAUDITLINK__" hidden="1">{"fdsup://directions/FAT Viewer?action=UPDATE&amp;creator=factset&amp;DYN_ARGS=TRUE&amp;DOC_NAME=FAT:FQL_AUDITING_CLIENT_TEMPLATE.FAT&amp;display_string=Audit&amp;VAR:KEY=EHIVMZAFGB&amp;VAR:QUERY=RkZfRU5UUlBSX1ZBTF9EQUlMWSg0MDI0MiwsLCwnVVNEJywnRElMJyk=&amp;WINDOW=FIRST_POPUP&amp;HEIGHT=45","0&amp;WIDTH=450&amp;START_MAXIMIZED=FALSE&amp;VAR:CALENDAR=US&amp;VAR:SYMBOL=B1JNK8&amp;VAR:INDEX=0"}</definedName>
    <definedName name="_24_0_Table1_" hidden="1">#REF!</definedName>
    <definedName name="_243__123Graph_FCHART_16" hidden="1">#REF!</definedName>
    <definedName name="_25__123Graph_BCHART_4" hidden="1">#REF!</definedName>
    <definedName name="_25__123Graph_CCHART_2" hidden="1">#REF!</definedName>
    <definedName name="_25__123Graph_ECHART_22" hidden="1">#REF!</definedName>
    <definedName name="_25__FDSAUDITLINK__" hidden="1">{"fdsup://directions/FAT Viewer?action=UPDATE&amp;creator=factset&amp;DYN_ARGS=TRUE&amp;DOC_NAME=FAT:FQL_AUDITING_CLIENT_TEMPLATE.FAT&amp;display_string=Audit&amp;VAR:KEY=OVIVMZOVCP&amp;VAR:QUERY=RkZfRUJJVERBX0lCKCdDQUwnLDIwMDksLCwsJ1VTRCcp&amp;WINDOW=FIRST_POPUP&amp;HEIGHT=450&amp;WIDTH=450&amp;","START_MAXIMIZED=FALSE&amp;VAR:CALENDAR=US&amp;VAR:SYMBOL=B09N7M&amp;VAR:INDEX=0"}</definedName>
    <definedName name="_25_0_Table2_" hidden="1">#REF!</definedName>
    <definedName name="_252__123Graph_FCHART_17" hidden="1">#REF!</definedName>
    <definedName name="_26__123Graph_BCHART_3" hidden="1">#REF!</definedName>
    <definedName name="_26__123Graph_BCHART_5" hidden="1">#REF!</definedName>
    <definedName name="_26__123Graph_FCHART_15" hidden="1">#REF!</definedName>
    <definedName name="_26__123Graph_LBL_CCHART_3" hidden="1">#REF!</definedName>
    <definedName name="_26__FDSAUDITLINK__" hidden="1">{"fdsup://directions/FAT Viewer?action=UPDATE&amp;creator=factset&amp;DYN_ARGS=TRUE&amp;DOC_NAME=FAT:FQL_AUDITING_CLIENT_TEMPLATE.FAT&amp;display_string=Audit&amp;VAR:KEY=MLSVYZWRCH&amp;VAR:QUERY=RkZfRU5UUlBSX1ZBTF9EQUlMWSg0MDI0MiwsLCwnVVNEJywnRElMJyk=&amp;WINDOW=FIRST_POPUP&amp;HEIGHT=45","0&amp;WIDTH=450&amp;START_MAXIMIZED=FALSE&amp;VAR:CALENDAR=US&amp;VAR:SYMBOL=B09N7M&amp;VAR:INDEX=0"}</definedName>
    <definedName name="_261__123Graph_FCHART_22" hidden="1">#REF!</definedName>
    <definedName name="_27__123Graph_ACHART_16" hidden="1">#REF!</definedName>
    <definedName name="_27__123Graph_ADEPREC" hidden="1">#REF!</definedName>
    <definedName name="_27__123Graph_BCHART_15" hidden="1">#REF!</definedName>
    <definedName name="_27__123Graph_BCHART_4" hidden="1">#REF!</definedName>
    <definedName name="_27__123Graph_BCHART_6" hidden="1">#REF!</definedName>
    <definedName name="_27__123Graph_CCHART_1" hidden="1">#REF!</definedName>
    <definedName name="_27__123Graph_FCHART_16" hidden="1">#REF!</definedName>
    <definedName name="_27__FDSAUDITLINK__" hidden="1">{"fdsup://Directions/FactSet Auditing Viewer?action=AUDIT_VALUE&amp;DB=129&amp;ID1=604348&amp;VALUEID=03426&amp;SDATE=2008&amp;PERIODTYPE=ANN_STD&amp;window=popup_no_bar&amp;width=385&amp;height=120&amp;START_MAXIMIZED=FALSE&amp;creator=factset&amp;display_string=Audit"}</definedName>
    <definedName name="_27_0_Table1_" hidden="1">#REF!</definedName>
    <definedName name="_270__123Graph_XCHART_15" hidden="1">#REF!</definedName>
    <definedName name="_279__123Graph_XCHART_16" hidden="1">#REF!</definedName>
    <definedName name="_28__123Graph_BCHART_5" hidden="1">#REF!</definedName>
    <definedName name="_28__123Graph_BCHART_7" hidden="1">#REF!</definedName>
    <definedName name="_28__123Graph_CCHART_2" hidden="1">#REF!</definedName>
    <definedName name="_28__123Graph_FCHART_17" hidden="1">#REF!</definedName>
    <definedName name="_28__FDSAUDITLINK__" hidden="1">{"fdsup://directions/FAT Viewer?action=UPDATE&amp;creator=factset&amp;DYN_ARGS=TRUE&amp;DOC_NAME=FAT:FQL_AUDITING_CLIENT_TEMPLATE.FAT&amp;display_string=Audit&amp;VAR:KEY=ALIZMZKVMP&amp;VAR:QUERY=RkZfRU5UUlBSX1ZBTF9EQUlMWSg0MDI0MiwsLCwnVVNEJywnRElMJyk=&amp;WINDOW=FIRST_POPUP&amp;HEIGHT=45","0&amp;WIDTH=450&amp;START_MAXIMIZED=FALSE&amp;VAR:CALENDAR=US&amp;VAR:SYMBOL=70454910&amp;VAR:INDEX=0"}</definedName>
    <definedName name="_28_0_S" hidden="1">#REF!</definedName>
    <definedName name="_28_0_Table2_" hidden="1">#REF!</definedName>
    <definedName name="_288__123Graph_XCHART_17" hidden="1">#REF!</definedName>
    <definedName name="_29__123Graph_BCHART_6" hidden="1">#REF!</definedName>
    <definedName name="_29__123Graph_CCHART_4" hidden="1">#REF!</definedName>
    <definedName name="_29__123Graph_FCHART_22" hidden="1">#REF!</definedName>
    <definedName name="_29__FDSAUDITLINK__" hidden="1">{"fdsup://directions/FAT Viewer?action=UPDATE&amp;creator=factset&amp;DYN_ARGS=TRUE&amp;DOC_NAME=FAT:FQL_AUDITING_CLIENT_TEMPLATE.FAT&amp;display_string=Audit&amp;VAR:KEY=KVIZONYBQL&amp;VAR:QUERY=RkZfRUJJVERBX0lCKCdDQUwnLDIwMDksLCwsJ1VTRCcp&amp;WINDOW=FIRST_POPUP&amp;HEIGHT=450&amp;WIDTH=450&amp;","START_MAXIMIZED=FALSE&amp;VAR:CALENDAR=US&amp;VAR:SYMBOL=01381710&amp;VAR:INDEX=0"}</definedName>
    <definedName name="_297__123Graph_XCHART_18" hidden="1">#REF!</definedName>
    <definedName name="_2ƒ0ACwvu.Sommai" hidden="1">#REF!,#REF!,#REF!,#REF!,#REF!,#REF!</definedName>
    <definedName name="_2ƒ0Swvu.Sommai" hidden="1">#REF!,#REF!,#REF!,#REF!,#REF!,#REF!</definedName>
    <definedName name="_3__123Graph_ACHART_1" hidden="1">#REF!</definedName>
    <definedName name="_3__123Graph_ACHART_12" hidden="1">#REF!</definedName>
    <definedName name="_3__123Graph_ACHART_16" hidden="1">#REF!</definedName>
    <definedName name="_3__123Graph_ACHART_1A" hidden="1">#REF!</definedName>
    <definedName name="_3__123Graph_ACHART_2" hidden="1">#REF!</definedName>
    <definedName name="_3__123Graph_ACHART_3" hidden="1">#REF!</definedName>
    <definedName name="_3__123Graph_BCHART_1" hidden="1">#REF!</definedName>
    <definedName name="_3__123Graph_BCHART_4" hidden="1">#REF!</definedName>
    <definedName name="_3__123Graph_CCHART_1" hidden="1">#REF!</definedName>
    <definedName name="_3__123Graph_CCHART_2" hidden="1">#REF!</definedName>
    <definedName name="_3__123Graph_CCHART_28" hidden="1">#REF!</definedName>
    <definedName name="_3__123Graph_CCHART_4" hidden="1">#REF!</definedName>
    <definedName name="_3__123Graph_LBL_BCHART_4" hidden="1">#REF!</definedName>
    <definedName name="_3__FDSAUDITLINK__" hidden="1">{"fdsup://directions/FAT Viewer?action=UPDATE&amp;creator=factset&amp;DYN_ARGS=TRUE&amp;DOC_NAME=FAT:FQL_AUDITING_CLIENT_TEMPLATE.FAT&amp;display_string=Audit&amp;VAR:KEY=YFOVQTWLIJ&amp;VAR:QUERY=RkZfRU5UUlBSX1ZBTF9EQUlMWSg0MDI0MiwsLCwnVVNEJywnRElMJyk=&amp;WINDOW=FIRST_POPUP&amp;HEIGHT=45","0&amp;WIDTH=450&amp;START_MAXIMIZED=FALSE&amp;VAR:CALENDAR=US&amp;VAR:SYMBOL=678305&amp;VAR:INDEX=0"}</definedName>
    <definedName name="_3_0__123Grap" hidden="1">#REF!</definedName>
    <definedName name="_3_0_0_F" hidden="1">#REF!</definedName>
    <definedName name="_3_0_0_S" hidden="1">#REF!</definedName>
    <definedName name="_30__123Graph_BCHART_16" hidden="1">#REF!</definedName>
    <definedName name="_30__123Graph_BCHART_6" hidden="1">#REF!</definedName>
    <definedName name="_30__123Graph_BCHART_7" hidden="1">#REF!</definedName>
    <definedName name="_30__123Graph_XCHART_15" hidden="1">#REF!</definedName>
    <definedName name="_30__123Graph_XCHART_1A" hidden="1">#REF!</definedName>
    <definedName name="_30__123Graph_XCHART_5" hidden="1">#REF!</definedName>
    <definedName name="_30__FDSAUDITLINK__" hidden="1">{"fdsup://directions/FAT Viewer?action=UPDATE&amp;creator=factset&amp;DYN_ARGS=TRUE&amp;DOC_NAME=FAT:FQL_AUDITING_CLIENT_TEMPLATE.FAT&amp;display_string=Audit&amp;VAR:KEY=WDIPMPONKN&amp;VAR:QUERY=RkZfRU5UUlBSX1ZBTF9EQUlMWSg0MDI0MiwsLCwnVVNEJywnRElMJyk=&amp;WINDOW=FIRST_POPUP&amp;HEIGHT=45","0&amp;WIDTH=450&amp;START_MAXIMIZED=FALSE&amp;VAR:CALENDAR=US&amp;VAR:SYMBOL=01381710&amp;VAR:INDEX=0"}</definedName>
    <definedName name="_3000">#REF!</definedName>
    <definedName name="_3010">#REF!</definedName>
    <definedName name="_3019">#REF!</definedName>
    <definedName name="_306__123Graph_XCHART_19" hidden="1">#REF!</definedName>
    <definedName name="_31__123Graph_XCHART_16" hidden="1">#REF!</definedName>
    <definedName name="_31__123Graph_XCHART_6" hidden="1">#REF!</definedName>
    <definedName name="_31__FDSAUDITLINK__" hidden="1">{"fdsup://directions/FAT Viewer?action=UPDATE&amp;creator=factset&amp;DYN_ARGS=TRUE&amp;DOC_NAME=FAT:FQL_AUDITING_CLIENT_TEMPLATE.FAT&amp;display_string=Audit&amp;VAR:KEY=SFSDQLCZQV&amp;VAR:QUERY=RkZfRUJJVERBX0lCKCdDQUwnLDIwMDksLCwsJ1VTRCcp&amp;WINDOW=FIRST_POPUP&amp;HEIGHT=450&amp;WIDTH=450&amp;","START_MAXIMIZED=FALSE&amp;VAR:CALENDAR=US&amp;VAR:SYMBOL=B1G426&amp;VAR:INDEX=0"}</definedName>
    <definedName name="_315__123Graph_XCHART_22" hidden="1">#REF!</definedName>
    <definedName name="_32__123Graph_XCHART_17" hidden="1">#REF!</definedName>
    <definedName name="_32__123Graph_XCHART_7" hidden="1">#REF!</definedName>
    <definedName name="_32__FDSAUDITLINK__" hidden="1">{"fdsup://directions/FAT Viewer?action=UPDATE&amp;creator=factset&amp;DYN_ARGS=TRUE&amp;DOC_NAME=FAT:FQL_AUDITING_CLIENT_TEMPLATE.FAT&amp;display_string=Audit&amp;VAR:KEY=MZYVMTAFUT&amp;VAR:QUERY=RkZfRU5UUlBSX1ZBTF9EQUlMWSg0MDI0MiwsLCwnVVNEJywnRElMJyk=&amp;WINDOW=FIRST_POPUP&amp;HEIGHT=45","0&amp;WIDTH=450&amp;START_MAXIMIZED=FALSE&amp;VAR:CALENDAR=US&amp;VAR:SYMBOL=B1G426&amp;VAR:INDEX=0"}</definedName>
    <definedName name="_324__123Graph_XSEG_PIE" hidden="1">#REF!</definedName>
    <definedName name="_33__123Graph_ACHART_3" hidden="1">#REF!</definedName>
    <definedName name="_33__123Graph_BCHART_17" hidden="1">#REF!</definedName>
    <definedName name="_33__123Graph_XCHART_18" hidden="1">#REF!</definedName>
    <definedName name="_33__FDSAUDITLINK__" hidden="1">{"fdsup://directions/FAT Viewer?action=UPDATE&amp;creator=factset&amp;DYN_ARGS=TRUE&amp;DOC_NAME=FAT:FQL_AUDITING_CLIENT_TEMPLATE.FAT&amp;display_string=Audit&amp;VAR:KEY=CLMPGRAFIV&amp;VAR:QUERY=RkZfRUJJVERBX0lCKCdDQUwnLDIwMDksLCwsJ1VTRCcp&amp;WINDOW=FIRST_POPUP&amp;HEIGHT=450&amp;WIDTH=450&amp;","START_MAXIMIZED=FALSE&amp;VAR:CALENDAR=US&amp;VAR:SYMBOL=B29BCK&amp;VAR:INDEX=0"}</definedName>
    <definedName name="_3310">#REF!</definedName>
    <definedName name="_34__123Graph_CCHART_3" hidden="1">#REF!</definedName>
    <definedName name="_34__123Graph_XCHART_19" hidden="1">#REF!</definedName>
    <definedName name="_34__FDSAUDITLINK__" hidden="1">{"fdsup://directions/FAT Viewer?action=UPDATE&amp;creator=factset&amp;DYN_ARGS=TRUE&amp;DOC_NAME=FAT:FQL_AUDITING_CLIENT_TEMPLATE.FAT&amp;display_string=Audit&amp;VAR:KEY=ONCXUBIDAL&amp;VAR:QUERY=RkZfRU5UUlBSX1ZBTF9EQUlMWSg0MDI0MiwsLCwnVVNEJywnRElMJyk=&amp;WINDOW=FIRST_POPUP&amp;HEIGHT=45","0&amp;WIDTH=450&amp;START_MAXIMIZED=FALSE&amp;VAR:CALENDAR=US&amp;VAR:SYMBOL=B29BCK&amp;VAR:INDEX=0"}</definedName>
    <definedName name="_35__123Graph_ACHART_1" hidden="1">#REF!</definedName>
    <definedName name="_35__123Graph_CCHART_3" hidden="1">#REF!</definedName>
    <definedName name="_35__123Graph_DCHART_1" hidden="1">#REF!</definedName>
    <definedName name="_35__123Graph_XCHART_22" hidden="1">#REF!</definedName>
    <definedName name="_35__FDSAUDITLINK__" hidden="1">{"fdsup://directions/FAT Viewer?action=UPDATE&amp;creator=factset&amp;DYN_ARGS=TRUE&amp;DOC_NAME=FAT:FQL_AUDITING_CLIENT_TEMPLATE.FAT&amp;display_string=Audit&amp;VAR:KEY=CPINQXQDOF&amp;VAR:QUERY=RkZfRUJJVERBX0lCKCdDQUwnLDIwMDksLCwsJ1VTRCcp&amp;WINDOW=FIRST_POPUP&amp;HEIGHT=450&amp;WIDTH=450&amp;","START_MAXIMIZED=FALSE&amp;VAR:CALENDAR=US&amp;VAR:SYMBOL=B019KX&amp;VAR:INDEX=0"}</definedName>
    <definedName name="_36__123Graph_ACHART_17" hidden="1">#REF!</definedName>
    <definedName name="_36__123Graph_BCHART_22" hidden="1">#REF!</definedName>
    <definedName name="_36__123Graph_DCHART_1" hidden="1">#REF!</definedName>
    <definedName name="_36__123Graph_ECHART_1" hidden="1">#REF!</definedName>
    <definedName name="_36__123Graph_XCHART_2A" hidden="1">#REF!</definedName>
    <definedName name="_36__123Graph_XSEG_PIE" hidden="1">#REF!</definedName>
    <definedName name="_36__FDSAUDITLINK__" hidden="1">{"fdsup://directions/FAT Viewer?action=UPDATE&amp;creator=factset&amp;DYN_ARGS=TRUE&amp;DOC_NAME=FAT:FQL_AUDITING_CLIENT_TEMPLATE.FAT&amp;display_string=Audit&amp;VAR:KEY=GBWNGBUNCZ&amp;VAR:QUERY=RkZfRUJJVERBX0lCKCdDQUwnLDIwMDksLCwsJ1VTRCcp&amp;WINDOW=FIRST_POPUP&amp;HEIGHT=450&amp;WIDTH=450&amp;","START_MAXIMIZED=FALSE&amp;VAR:CALENDAR=US&amp;VAR:SYMBOL=84265V10&amp;VAR:INDEX=0"}</definedName>
    <definedName name="_37__123Graph_B_FABP_L.WK1_FAB" hidden="1">#REF!</definedName>
    <definedName name="_37__123Graph_ECHART_1" hidden="1">#REF!</definedName>
    <definedName name="_37__123Graph_FCHART_1" hidden="1">#REF!</definedName>
    <definedName name="_37__FDSAUDITLINK__" hidden="1">{"fdsup://directions/FAT Viewer?action=UPDATE&amp;creator=factset&amp;DYN_ARGS=TRUE&amp;DOC_NAME=FAT:FQL_AUDITING_CLIENT_TEMPLATE.FAT&amp;display_string=Audit&amp;VAR:KEY=QTEFEBGPSL&amp;VAR:QUERY=RkZfRUJJVERBX0lCKCdDQUwnLDIwMDksLCwsJ1VTRCcp&amp;WINDOW=FIRST_POPUP&amp;HEIGHT=450&amp;WIDTH=450&amp;","START_MAXIMIZED=FALSE&amp;VAR:CALENDAR=US&amp;VAR:SYMBOL=35671D85&amp;VAR:INDEX=0"}</definedName>
    <definedName name="_38__123Graph_BCHART_1" hidden="1">#REF!</definedName>
    <definedName name="_38__123Graph_FCHART_1" hidden="1">#REF!</definedName>
    <definedName name="_38__123Graph_LBL_ACHART_2" hidden="1">#REF!</definedName>
    <definedName name="_38__FDSAUDITLINK__" hidden="1">{"fdsup://directions/FAT Viewer?action=UPDATE&amp;creator=factset&amp;DYN_ARGS=TRUE&amp;DOC_NAME=FAT:FQL_AUDITING_CLIENT_TEMPLATE.FAT&amp;display_string=Audit&amp;VAR:KEY=SDCXMZYZYB&amp;VAR:QUERY=RkZfRUJJVERBX0lCKCdDQUwnLDIwMDksLCwsJ1VTRCcp&amp;WINDOW=FIRST_POPUP&amp;HEIGHT=450&amp;WIDTH=450&amp;","START_MAXIMIZED=FALSE&amp;VAR:CALENDAR=US&amp;VAR:SYMBOL=604348&amp;VAR:INDEX=0"}</definedName>
    <definedName name="_39__123Graph_BCHART_2" hidden="1">#REF!</definedName>
    <definedName name="_39__123Graph_CCHART_15" hidden="1">#REF!</definedName>
    <definedName name="_39__123Graph_LBL_ACHART_2" hidden="1">#REF!</definedName>
    <definedName name="_39__FDSAUDITLINK__" hidden="1">{"fdsup://Directions/FactSet Auditing Viewer?action=AUDIT_VALUE&amp;DB=129&amp;ID1=604348&amp;VALUEID=02001&amp;SDATE=2008&amp;PERIODTYPE=ANN_STD&amp;window=popup_no_bar&amp;width=385&amp;height=120&amp;START_MAXIMIZED=FALSE&amp;creator=factset&amp;display_string=Audit"}</definedName>
    <definedName name="_3ƒ0Swvu.Sommai" hidden="1">#REF!,#REF!,#REF!,#REF!,#REF!,#REF!</definedName>
    <definedName name="_3p0Rwvu.Sommai" hidden="1">#REF!,#REF!,#REF!,#REF!,#REF!</definedName>
    <definedName name="_4__123Graph_ACHART_17" hidden="1">#REF!</definedName>
    <definedName name="_4__123Graph_ACHART_2" hidden="1">#REF!</definedName>
    <definedName name="_4__123Graph_ACHART_2A" hidden="1">#REF!</definedName>
    <definedName name="_4__123Graph_ACHART_3" hidden="1">#REF!</definedName>
    <definedName name="_4__123Graph_ACHART_3I" hidden="1">#REF!</definedName>
    <definedName name="_4__123Graph_ACHART_4" hidden="1">#REF!</definedName>
    <definedName name="_4__123Graph_CCHART_4" hidden="1">#REF!</definedName>
    <definedName name="_4__123Graph_DCHART_1" hidden="1">#REF!</definedName>
    <definedName name="_4__123Graph_DCHART_28" hidden="1">#REF!</definedName>
    <definedName name="_4__123Graph_XCHART_1" hidden="1">#REF!</definedName>
    <definedName name="_4__123Graph_XCHART_2" hidden="1">#REF!</definedName>
    <definedName name="_4__123Graph_XCHART_4A" hidden="1">#REF!</definedName>
    <definedName name="_4__FDSAUDITLINK__" hidden="1">{"fdsup://directions/FAT Viewer?action=UPDATE&amp;creator=factset&amp;DYN_ARGS=TRUE&amp;DOC_NAME=FAT:FQL_AUDITING_CLIENT_TEMPLATE.FAT&amp;display_string=Audit&amp;VAR:KEY=YDSHWDYLUB&amp;VAR:QUERY=RkZfRUJJVERBX0lCKCdDQUwnLDIwMDksLCwsJ1VTRCcp&amp;WINDOW=FIRST_POPUP&amp;HEIGHT=450&amp;WIDTH=450&amp;","START_MAXIMIZED=FALSE&amp;VAR:CALENDAR=US&amp;VAR:SYMBOL=650432&amp;VAR:INDEX=0"}</definedName>
    <definedName name="_4_0_0__123Grap" hidden="1">#REF!</definedName>
    <definedName name="_4_0_0_F" hidden="1">#REF!</definedName>
    <definedName name="_40__123Graph_BCHART_3" hidden="1">#REF!</definedName>
    <definedName name="_40__FDSAUDITLINK__" hidden="1">{"fdsup://directions/FAT Viewer?action=UPDATE&amp;creator=factset&amp;DYN_ARGS=TRUE&amp;DOC_NAME=FAT:FQL_AUDITING_CLIENT_TEMPLATE.FAT&amp;display_string=Audit&amp;VAR:KEY=IBUXKJGJCN&amp;VAR:QUERY=RkZfRU5UUlBSX1ZBTF9EQUlMWSg0MDI0MiwsLCwnVVNEJywnRElMJyk=&amp;WINDOW=FIRST_POPUP&amp;HEIGHT=45","0&amp;WIDTH=450&amp;START_MAXIMIZED=FALSE&amp;VAR:CALENDAR=US&amp;VAR:SYMBOL=604348&amp;VAR:INDEX=0"}</definedName>
    <definedName name="_41__123Graph_BCHART_4" hidden="1">#REF!</definedName>
    <definedName name="_41__FDSAUDITLINK__" hidden="1">{"fdsup://directions/FAT Viewer?action=UPDATE&amp;creator=factset&amp;DYN_ARGS=TRUE&amp;DOC_NAME=FAT:FQL_AUDITING_CLIENT_TEMPLATE.FAT&amp;display_string=Audit&amp;VAR:KEY=ORCHORYFWP&amp;VAR:QUERY=RkZfRUJJVERBX0lCKCdDQUwnLDIwMDksLCwsJ1VTRCcp&amp;WINDOW=FIRST_POPUP&amp;HEIGHT=450&amp;WIDTH=450&amp;","START_MAXIMIZED=FALSE&amp;VAR:CALENDAR=US&amp;VAR:SYMBOL=613944&amp;VAR:INDEX=0"}</definedName>
    <definedName name="_42__123Graph_BCHART_5" hidden="1">#REF!</definedName>
    <definedName name="_42__123Graph_CCHART_16" hidden="1">#REF!</definedName>
    <definedName name="_42__FDSAUDITLINK__" hidden="1">{"fdsup://directions/FAT Viewer?action=UPDATE&amp;creator=factset&amp;DYN_ARGS=TRUE&amp;DOC_NAME=FAT:FQL_AUDITING_CLIENT_TEMPLATE.FAT&amp;display_string=Audit&amp;VAR:KEY=MPCJKXEHKN&amp;VAR:QUERY=RkZfRU5UUlBSX1ZBTF9EQUlMWSg0MDI0MiwsLCwnVVNEJywnRElMJyk=&amp;WINDOW=FIRST_POPUP&amp;HEIGHT=45","0&amp;WIDTH=450&amp;START_MAXIMIZED=FALSE&amp;VAR:CALENDAR=US&amp;VAR:SYMBOL=613944&amp;VAR:INDEX=0"}</definedName>
    <definedName name="_43__123Graph_ACHART_2" hidden="1">#REF!</definedName>
    <definedName name="_43__123Graph_BCHART_6" hidden="1">#REF!</definedName>
    <definedName name="_43__FDSAUDITLINK__" hidden="1">{"fdsup://directions/FAT Viewer?action=UPDATE&amp;creator=factset&amp;DYN_ARGS=TRUE&amp;DOC_NAME=FAT:FQL_AUDITING_CLIENT_TEMPLATE.FAT&amp;display_string=Audit&amp;VAR:KEY=MZMPOVYPOT&amp;VAR:QUERY=RkZfRUJJVERBX0lCKCdDQUwnLDIwMDksLCwsJ1VTRCcp&amp;WINDOW=FIRST_POPUP&amp;HEIGHT=450&amp;WIDTH=450&amp;","START_MAXIMIZED=FALSE&amp;VAR:CALENDAR=US&amp;VAR:SYMBOL=B0GWF4&amp;VAR:INDEX=0"}</definedName>
    <definedName name="_4320">#REF!</definedName>
    <definedName name="_4355">#REF!</definedName>
    <definedName name="_44__123Graph_ACHART_4" hidden="1">#REF!</definedName>
    <definedName name="_44__123Graph_BCHART_7" hidden="1">#REF!</definedName>
    <definedName name="_44__FDSAUDITLINK__" hidden="1">{"fdsup://directions/FAT Viewer?action=UPDATE&amp;creator=factset&amp;DYN_ARGS=TRUE&amp;DOC_NAME=FAT:FQL_AUDITING_CLIENT_TEMPLATE.FAT&amp;display_string=Audit&amp;VAR:KEY=OTIPUXQVWX&amp;VAR:QUERY=RkZfRU5UUlBSX1ZBTF9EQUlMWSg0MDI0MiwsLCwnVVNEJywnRElMJyk=&amp;WINDOW=FIRST_POPUP&amp;HEIGHT=45","0&amp;WIDTH=450&amp;START_MAXIMIZED=FALSE&amp;VAR:CALENDAR=US&amp;VAR:SYMBOL=B0GWF4&amp;VAR:INDEX=0"}</definedName>
    <definedName name="_4405">#REF!</definedName>
    <definedName name="_4410">#REF!</definedName>
    <definedName name="_4445">#REF!</definedName>
    <definedName name="_4450">#REF!</definedName>
    <definedName name="_4452">#REF!</definedName>
    <definedName name="_4453">#REF!</definedName>
    <definedName name="_4480">#REF!</definedName>
    <definedName name="_4485">#REF!</definedName>
    <definedName name="_4496">#REF!</definedName>
    <definedName name="_45__123Graph_ACHART_18" hidden="1">#REF!</definedName>
    <definedName name="_45__123Graph_CCHART_17" hidden="1">#REF!</definedName>
    <definedName name="_45__FDSAUDITLINK__" hidden="1">{"fdsup://directions/FAT Viewer?action=UPDATE&amp;creator=factset&amp;DYN_ARGS=TRUE&amp;DOC_NAME=FAT:FQL_AUDITING_CLIENT_TEMPLATE.FAT&amp;display_string=Audit&amp;VAR:KEY=OFSDYBCHEJ&amp;VAR:QUERY=RkZfRUJJVERBX0lCKCdDQUwnLDIwMDksLCwsJ1VTRCcp&amp;WINDOW=FIRST_POPUP&amp;HEIGHT=450&amp;WIDTH=450&amp;","START_MAXIMIZED=FALSE&amp;VAR:CALENDAR=US&amp;VAR:SYMBOL=B11HK3&amp;VAR:INDEX=0"}</definedName>
    <definedName name="_4505">#REF!</definedName>
    <definedName name="_4555">#REF!</definedName>
    <definedName name="_4560">#REF!</definedName>
    <definedName name="_46__123Graph_LBL_ACHART_3" hidden="1">#REF!</definedName>
    <definedName name="_46__FDSAUDITLINK__" hidden="1">{"fdsup://directions/FAT Viewer?action=UPDATE&amp;creator=factset&amp;DYN_ARGS=TRUE&amp;DOC_NAME=FAT:FQL_AUDITING_CLIENT_TEMPLATE.FAT&amp;display_string=Audit&amp;VAR:KEY=MDELEFOVAR&amp;VAR:QUERY=RkZfRU5UUlBSX1ZBTF9EQUlMWSg0MDI0MiwsLCwnVVNEJywnRElMJyk=&amp;WINDOW=FIRST_POPUP&amp;HEIGHT=45","0&amp;WIDTH=450&amp;START_MAXIMIZED=FALSE&amp;VAR:CALENDAR=US&amp;VAR:SYMBOL=B11HK3&amp;VAR:INDEX=0"}</definedName>
    <definedName name="_47__123Graph_LBL_ACHART_3" hidden="1">#REF!</definedName>
    <definedName name="_47__123Graph_LBL_ACHART_4" hidden="1">#REF!</definedName>
    <definedName name="_47__FDSAUDITLINK__" hidden="1">{"fdsup://directions/FAT Viewer?action=UPDATE&amp;creator=factset&amp;DYN_ARGS=TRUE&amp;DOC_NAME=FAT:FQL_AUDITING_CLIENT_TEMPLATE.FAT&amp;display_string=Audit&amp;VAR:KEY=UXMFINCVAN&amp;VAR:QUERY=RkZfRUJJVERBX0lCKCdDQUwnLDIwMDksLCwsJ1VTRCcp&amp;WINDOW=FIRST_POPUP&amp;HEIGHT=450&amp;WIDTH=450&amp;","START_MAXIMIZED=FALSE&amp;VAR:CALENDAR=US&amp;VAR:SYMBOL=20854P10&amp;VAR:INDEX=0"}</definedName>
    <definedName name="_4710">#REF!</definedName>
    <definedName name="_4715">#REF!</definedName>
    <definedName name="_48__123Graph_CCHART_22" hidden="1">#REF!</definedName>
    <definedName name="_48__123Graph_LBL_ACHART_4" hidden="1">#REF!</definedName>
    <definedName name="_48__123Graph_LBL_BCHART_2" hidden="1">#REF!</definedName>
    <definedName name="_48__FDSAUDITLINK__" hidden="1">{"fdsup://directions/FAT Viewer?action=UPDATE&amp;creator=factset&amp;DYN_ARGS=TRUE&amp;DOC_NAME=FAT:FQL_AUDITING_CLIENT_TEMPLATE.FAT&amp;display_string=Audit&amp;VAR:KEY=YZUDINQFMN&amp;VAR:QUERY=RkZfRU5UUlBSX1ZBTF9EQUlMWSg0MDI0MiwsLCwnVVNEJywnRElMJyk=&amp;WINDOW=FIRST_POPUP&amp;HEIGHT=45","0&amp;WIDTH=450&amp;START_MAXIMIZED=FALSE&amp;VAR:CALENDAR=US&amp;VAR:SYMBOL=20854P10&amp;VAR:INDEX=0"}</definedName>
    <definedName name="_4830">#REF!</definedName>
    <definedName name="_4848">#REF!</definedName>
    <definedName name="_49__123Graph_LBL_BCHART_2" hidden="1">#REF!</definedName>
    <definedName name="_49__FDSAUDITLINK__" hidden="1">{"fdsup://directions/FAT Viewer?action=UPDATE&amp;creator=factset&amp;DYN_ARGS=TRUE&amp;DOC_NAME=FAT:FQL_AUDITING_CLIENT_TEMPLATE.FAT&amp;display_string=Audit&amp;VAR:KEY=MFMZMXUPCP&amp;VAR:QUERY=RkZfRUJJVERBX0lCKCdDQUwnLDIwMDksLCwsJ1VTRCcp&amp;WINDOW=FIRST_POPUP&amp;HEIGHT=450&amp;WIDTH=450&amp;","START_MAXIMIZED=FALSE&amp;VAR:CALENDAR=US&amp;VAR:SYMBOL=332770&amp;VAR:INDEX=0"}</definedName>
    <definedName name="_4p0Rwvu.Sommai" hidden="1">#REF!,#REF!,#REF!,#REF!,#REF!</definedName>
    <definedName name="_5__123Graph_ACHART_18" hidden="1">#REF!</definedName>
    <definedName name="_5__123Graph_ACHART_3" hidden="1">#REF!</definedName>
    <definedName name="_5__123Graph_ACHART_4" hidden="1">#REF!</definedName>
    <definedName name="_5__123Graph_BCHART_1" hidden="1">#REF!</definedName>
    <definedName name="_5__123Graph_CCHART_1" hidden="1">#REF!</definedName>
    <definedName name="_5__123Graph_ECHART_28" hidden="1">#REF!</definedName>
    <definedName name="_5__123Graph_XCHART_1" hidden="1">#REF!</definedName>
    <definedName name="_5__123Graph_XCHART_2" hidden="1">#REF!</definedName>
    <definedName name="_5__FDSAUDITLINK__" hidden="1">{"fdsup://directions/FAT Viewer?action=UPDATE&amp;creator=factset&amp;DYN_ARGS=TRUE&amp;DOC_NAME=FAT:FQL_AUDITING_CLIENT_TEMPLATE.FAT&amp;display_string=Audit&amp;VAR:KEY=WVMRQVONSP&amp;VAR:QUERY=RkZfRU5UUlBSX1ZBTF9EQUlMWSg0MDI0MiwsLCwnVVNEJywnRElMJyk=&amp;WINDOW=FIRST_POPUP&amp;HEIGHT=45","0&amp;WIDTH=450&amp;START_MAXIMIZED=FALSE&amp;VAR:CALENDAR=US&amp;VAR:SYMBOL=650432&amp;VAR:INDEX=0"}</definedName>
    <definedName name="_50__FDSAUDITLINK__" hidden="1">{"fdsup://directions/FAT Viewer?action=UPDATE&amp;creator=factset&amp;DYN_ARGS=TRUE&amp;DOC_NAME=FAT:FQL_AUDITING_CLIENT_TEMPLATE.FAT&amp;display_string=Audit&amp;VAR:KEY=CXEHCRWFAB&amp;VAR:QUERY=RkZfRU5UUlBSX1ZBTF9EQUlMWSg0MDI0MiwsLCwnVVNEJywnRElMJyk=&amp;WINDOW=FIRST_POPUP&amp;HEIGHT=45","0&amp;WIDTH=450&amp;START_MAXIMIZED=FALSE&amp;VAR:CALENDAR=US&amp;VAR:SYMBOL=332770&amp;VAR:INDEX=0"}</definedName>
    <definedName name="_51__123Graph_ACHART_3" hidden="1">#REF!</definedName>
    <definedName name="_51__123Graph_CSEG_PIE" hidden="1">#REF!</definedName>
    <definedName name="_51__FDSAUDITLINK__" hidden="1">{"fdsup://directions/FAT Viewer?action=UPDATE&amp;creator=factset&amp;DYN_ARGS=TRUE&amp;DOC_NAME=FAT:FQL_AUDITING_CLIENT_TEMPLATE.FAT&amp;display_string=Audit&amp;VAR:KEY=SVGBOBYLCP&amp;VAR:QUERY=RkZfRUJJVERBX0lCKCdDQUwnLDIwMDksLCwsJ1VTRCcp&amp;WINDOW=FIRST_POPUP&amp;HEIGHT=450&amp;WIDTH=450&amp;","START_MAXIMIZED=FALSE&amp;VAR:CALENDAR=US&amp;VAR:SYMBOL=70454910&amp;VAR:INDEX=0"}</definedName>
    <definedName name="_52__FDSAUDITLINK__" hidden="1">{"fdsup://directions/FAT Viewer?action=UPDATE&amp;creator=factset&amp;DYN_ARGS=TRUE&amp;DOC_NAME=FAT:FQL_AUDITING_CLIENT_TEMPLATE.FAT&amp;display_string=Audit&amp;VAR:KEY=ETCDEBGVWV&amp;VAR:QUERY=RkZfRU5UUlBSX1ZBTF9EQUlMWSg0MDI0MiwsLCwnVVNEJywnRElMJyk=&amp;WINDOW=FIRST_POPUP&amp;HEIGHT=45","0&amp;WIDTH=450&amp;START_MAXIMIZED=FALSE&amp;VAR:CALENDAR=US&amp;VAR:SYMBOL=B0ZSH5&amp;VAR:INDEX=0"}</definedName>
    <definedName name="_53__FDSAUDITLINK__" hidden="1">{"fdsup://directions/FAT Viewer?action=UPDATE&amp;creator=factset&amp;DYN_ARGS=TRUE&amp;DOC_NAME=FAT:FQL_AUDITING_CLIENT_TEMPLATE.FAT&amp;display_string=Audit&amp;VAR:KEY=CTADCFEBYL&amp;VAR:QUERY=RkZfRUJJVERBX0lCKCdDQUwnLDIwMDksLCwsJ1VTRCcp&amp;WINDOW=FIRST_POPUP&amp;HEIGHT=450&amp;WIDTH=450&amp;","START_MAXIMIZED=FALSE&amp;VAR:CALENDAR=US&amp;VAR:SYMBOL=678305&amp;VAR:INDEX=0"}</definedName>
    <definedName name="_54__123Graph_ACHART_19" hidden="1">#REF!</definedName>
    <definedName name="_54__123Graph_C_FABP_L.WK1_FAB" hidden="1">#REF!</definedName>
    <definedName name="_54__123Graph_DCHART_15" hidden="1">#REF!</definedName>
    <definedName name="_54__FDSAUDITLINK__" hidden="1">{"fdsup://directions/FAT Viewer?action=UPDATE&amp;creator=factset&amp;DYN_ARGS=TRUE&amp;DOC_NAME=FAT:FQL_AUDITING_CLIENT_TEMPLATE.FAT&amp;display_string=Audit&amp;VAR:KEY=YFOVQTWLIJ&amp;VAR:QUERY=RkZfRU5UUlBSX1ZBTF9EQUlMWSg0MDI0MiwsLCwnVVNEJywnRElMJyk=&amp;WINDOW=FIRST_POPUP&amp;HEIGHT=45","0&amp;WIDTH=450&amp;START_MAXIMIZED=FALSE&amp;VAR:CALENDAR=US&amp;VAR:SYMBOL=678305&amp;VAR:INDEX=0"}</definedName>
    <definedName name="_55__123Graph_ACHART_5" hidden="1">#REF!</definedName>
    <definedName name="_55__123Graph_LBL_BCHART_3" hidden="1">#REF!</definedName>
    <definedName name="_55__FDSAUDITLINK__" hidden="1">{"fdsup://directions/FAT Viewer?action=UPDATE&amp;creator=factset&amp;DYN_ARGS=TRUE&amp;DOC_NAME=FAT:FQL_AUDITING_CLIENT_TEMPLATE.FAT&amp;display_string=Audit&amp;VAR:KEY=YDSHWDYLUB&amp;VAR:QUERY=RkZfRUJJVERBX0lCKCdDQUwnLDIwMDksLCwsJ1VTRCcp&amp;WINDOW=FIRST_POPUP&amp;HEIGHT=450&amp;WIDTH=450&amp;","START_MAXIMIZED=FALSE&amp;VAR:CALENDAR=US&amp;VAR:SYMBOL=650432&amp;VAR:INDEX=0"}</definedName>
    <definedName name="_56__123Graph_LBL_CCHART_2" hidden="1">#REF!</definedName>
    <definedName name="_56__FDSAUDITLINK__" hidden="1">{"fdsup://directions/FAT Viewer?action=UPDATE&amp;creator=factset&amp;DYN_ARGS=TRUE&amp;DOC_NAME=FAT:FQL_AUDITING_CLIENT_TEMPLATE.FAT&amp;display_string=Audit&amp;VAR:KEY=WVMRQVONSP&amp;VAR:QUERY=RkZfRU5UUlBSX1ZBTF9EQUlMWSg0MDI0MiwsLCwnVVNEJywnRElMJyk=&amp;WINDOW=FIRST_POPUP&amp;HEIGHT=45","0&amp;WIDTH=450&amp;START_MAXIMIZED=FALSE&amp;VAR:CALENDAR=US&amp;VAR:SYMBOL=650432&amp;VAR:INDEX=0"}</definedName>
    <definedName name="_56_0_Table1_" hidden="1">#REF!</definedName>
    <definedName name="_57__123Graph_DCHART_16" hidden="1">#REF!</definedName>
    <definedName name="_57__FDSAUDITLINK__" hidden="1">{"fdsup://directions/FAT Viewer?action=UPDATE&amp;creator=factset&amp;DYN_ARGS=TRUE&amp;DOC_NAME=FAT:FQL_AUDITING_CLIENT_TEMPLATE.FAT&amp;display_string=Audit&amp;VAR:KEY=IDMNGFAXQB&amp;VAR:QUERY=RkZfRUJJVERBX0lCKCdDQUwnLDIwMDksLCwsJ1VTRCcp&amp;WINDOW=FIRST_POPUP&amp;HEIGHT=450&amp;WIDTH=450&amp;","START_MAXIMIZED=FALSE&amp;VAR:CALENDAR=US&amp;VAR:SYMBOL=610579&amp;VAR:INDEX=0"}</definedName>
    <definedName name="_58__123Graph_LBL_BCHART_3" hidden="1">#REF!</definedName>
    <definedName name="_58__FDSAUDITLINK__" hidden="1">{"fdsup://directions/FAT Viewer?action=UPDATE&amp;creator=factset&amp;DYN_ARGS=TRUE&amp;DOC_NAME=FAT:FQL_AUDITING_CLIENT_TEMPLATE.FAT&amp;display_string=Audit&amp;VAR:KEY=CXATOXCJOV&amp;VAR:QUERY=RkZfRU5UUlBSX1ZBTF9EQUlMWSg0MDI0MiwsLCwnVVNEJywnRElMJyk=&amp;WINDOW=FIRST_POPUP&amp;HEIGHT=45","0&amp;WIDTH=450&amp;START_MAXIMIZED=FALSE&amp;VAR:CALENDAR=US&amp;VAR:SYMBOL=610579&amp;VAR:INDEX=0"}</definedName>
    <definedName name="_58_0_Table2_" hidden="1">#REF!</definedName>
    <definedName name="_59__123Graph_ACHART_4" hidden="1">#REF!</definedName>
    <definedName name="_59__123Graph_LBL_CCHART_2" hidden="1">#REF!</definedName>
    <definedName name="_59__FDSAUDITLINK__" hidden="1">{"fdsup://directions/FAT Viewer?action=UPDATE&amp;creator=factset&amp;DYN_ARGS=TRUE&amp;DOC_NAME=FAT:FQL_AUDITING_CLIENT_TEMPLATE.FAT&amp;display_string=Audit&amp;VAR:KEY=EZUHWRCBOF&amp;VAR:QUERY=RkZfRUJJVERBX0lCKCdDQUwnLDIwMDksLCwsJ1VTRCcp&amp;WINDOW=FIRST_POPUP&amp;HEIGHT=450&amp;WIDTH=450&amp;","START_MAXIMIZED=FALSE&amp;VAR:CALENDAR=US&amp;VAR:SYMBOL=620337&amp;VAR:INDEX=0"}</definedName>
    <definedName name="_6__123Graph_ACHART_15" hidden="1">#REF!</definedName>
    <definedName name="_6__123Graph_ACHART_19" hidden="1">#REF!</definedName>
    <definedName name="_6__123Graph_ACHART_1A" hidden="1">#REF!</definedName>
    <definedName name="_6__123Graph_ACHART_2" hidden="1">#REF!</definedName>
    <definedName name="_6__123Graph_ACHART_2A" hidden="1">#REF!</definedName>
    <definedName name="_6__123Graph_ACHART_4" hidden="1">#REF!</definedName>
    <definedName name="_6__123Graph_ACHART_5" hidden="1">#REF!</definedName>
    <definedName name="_6__123Graph_AGROWTH_9" hidden="1">#REF!</definedName>
    <definedName name="_6__123Graph_BCHART_1" hidden="1">#REF!</definedName>
    <definedName name="_6__123Graph_BCHART_1A" hidden="1">#REF!</definedName>
    <definedName name="_6__123Graph_BCHART_2" hidden="1">#REF!</definedName>
    <definedName name="_6__123Graph_CCHART_2" hidden="1">#REF!</definedName>
    <definedName name="_6__123Graph_FCHART_28" hidden="1">#REF!</definedName>
    <definedName name="_6__123Graph_LBL_ACHART_1" hidden="1">#REF!</definedName>
    <definedName name="_6__FDSAUDITLINK__" hidden="1">{"fdsup://directions/FAT Viewer?action=UPDATE&amp;creator=factset&amp;DYN_ARGS=TRUE&amp;DOC_NAME=FAT:FQL_AUDITING_CLIENT_TEMPLATE.FAT&amp;display_string=Audit&amp;VAR:KEY=IDMNGFAXQB&amp;VAR:QUERY=RkZfRUJJVERBX0lCKCdDQUwnLDIwMDksLCwsJ1VTRCcp&amp;WINDOW=FIRST_POPUP&amp;HEIGHT=450&amp;WIDTH=450&amp;","START_MAXIMIZED=FALSE&amp;VAR:CALENDAR=US&amp;VAR:SYMBOL=610579&amp;VAR:INDEX=0"}</definedName>
    <definedName name="_6_0_0_S" hidden="1">#REF!</definedName>
    <definedName name="_60__123Graph_DCHART_17" hidden="1">#REF!</definedName>
    <definedName name="_60__FDSAUDITLINK__" hidden="1">{"fdsup://directions/FAT Viewer?action=UPDATE&amp;creator=factset&amp;DYN_ARGS=TRUE&amp;DOC_NAME=FAT:FQL_AUDITING_CLIENT_TEMPLATE.FAT&amp;display_string=Audit&amp;VAR:KEY=EDQJQJKLIF&amp;VAR:QUERY=RkZfRU5UUlBSX1ZBTF9EQUlMWSg0MDI0MiwsLCwnVVNEJywnRElMJyk=&amp;WINDOW=FIRST_POPUP&amp;HEIGHT=45","0&amp;WIDTH=450&amp;START_MAXIMIZED=FALSE&amp;VAR:CALENDAR=US&amp;VAR:SYMBOL=620337&amp;VAR:INDEX=0"}</definedName>
    <definedName name="_61__FDSAUDITLINK__" hidden="1">{"fdsup://directions/FAT Viewer?action=UPDATE&amp;creator=factset&amp;DYN_ARGS=TRUE&amp;DOC_NAME=FAT:FQL_AUDITING_CLIENT_TEMPLATE.FAT&amp;display_string=Audit&amp;VAR:KEY=QVOTMVOFAN&amp;VAR:QUERY=RkZfRU5UUlBSX1ZBTF9EQUlMWSg0MDI0MiwsLCwnVVNEJywnRElMJyk=&amp;WINDOW=FIRST_POPUP&amp;HEIGHT=45","0&amp;WIDTH=450&amp;START_MAXIMIZED=FALSE&amp;VAR:CALENDAR=US&amp;VAR:SYMBOL=B1H508&amp;VAR:INDEX=0"}</definedName>
    <definedName name="_62__FDSAUDITLINK__" hidden="1">{"fdsup://directions/FAT Viewer?action=UPDATE&amp;creator=factset&amp;DYN_ARGS=TRUE&amp;DOC_NAME=FAT:FQL_AUDITING_CLIENT_TEMPLATE.FAT&amp;display_string=Audit&amp;VAR:KEY=OXKBUPEVWZ&amp;VAR:QUERY=RkZfRUJJVERBX0lCKCdDQUwnLDIwMDksLCwsJ1VTRCcp&amp;WINDOW=FIRST_POPUP&amp;HEIGHT=450&amp;WIDTH=450&amp;","START_MAXIMIZED=FALSE&amp;VAR:CALENDAR=US&amp;VAR:SYMBOL=B0ZSH5&amp;VAR:INDEX=0"}</definedName>
    <definedName name="_63__123Graph_ACHART_21" hidden="1">#REF!</definedName>
    <definedName name="_63__123Graph_DCHART_22" hidden="1">#REF!</definedName>
    <definedName name="_63__123Graph_LBL_CCHART_3" hidden="1">#REF!</definedName>
    <definedName name="_63__FDSAUDITLINK__" hidden="1">{"fdsup://directions/FAT Viewer?action=UPDATE&amp;creator=factset&amp;DYN_ARGS=TRUE&amp;DOC_NAME=FAT:FQL_AUDITING_CLIENT_TEMPLATE.FAT&amp;display_string=Audit&amp;VAR:KEY=EHMBMXQHMZ&amp;VAR:QUERY=RkZfRUJJVERBX0lCKCdDQUwnLDIwMDksLCwsJ1VTRCcp&amp;WINDOW=FIRST_POPUP&amp;HEIGHT=450&amp;WIDTH=450&amp;","START_MAXIMIZED=FALSE&amp;VAR:CALENDAR=US&amp;VAR:SYMBOL=B1H508&amp;VAR:INDEX=0"}</definedName>
    <definedName name="_64__123Graph_DCHART_1" hidden="1">#REF!</definedName>
    <definedName name="_64__FDSAUDITLINK__" hidden="1">{"fdsup://directions/FAT Viewer?action=UPDATE&amp;creator=factset&amp;DYN_ARGS=TRUE&amp;DOC_NAME=FAT:FQL_AUDITING_CLIENT_TEMPLATE.FAT&amp;display_string=Audit&amp;VAR:KEY=ONSFQDEZIB&amp;VAR:QUERY=RkZfRUJJVERBX0lCKCdDQUwnLDIwMDksLCwsJ1VTRCcp&amp;WINDOW=FIRST_POPUP&amp;HEIGHT=450&amp;WIDTH=450&amp;","START_MAXIMIZED=FALSE&amp;VAR:CALENDAR=US&amp;VAR:SYMBOL=B1VRCG&amp;VAR:INDEX=0"}</definedName>
    <definedName name="_65__FDSAUDITLINK__" hidden="1">{"fdsup://directions/FAT Viewer?action=UPDATE&amp;creator=factset&amp;DYN_ARGS=TRUE&amp;DOC_NAME=FAT:FQL_AUDITING_CLIENT_TEMPLATE.FAT&amp;display_string=Audit&amp;VAR:KEY=KVODGPMXKV&amp;VAR:QUERY=RkZfRU5UUlBSX1ZBTF9EQUlMWSg0MDI0MiwsLCwnVVNEJywnRElMJyk=&amp;WINDOW=FIRST_POPUP&amp;HEIGHT=45","0&amp;WIDTH=450&amp;START_MAXIMIZED=FALSE&amp;VAR:CALENDAR=US&amp;VAR:SYMBOL=B1VRCG&amp;VAR:INDEX=0"}</definedName>
    <definedName name="_66__123Graph_ACHART_6" hidden="1">#REF!</definedName>
    <definedName name="_66__123Graph_ECHART_15" hidden="1">#REF!</definedName>
    <definedName name="_66__FDSAUDITLINK__" hidden="1">{"fdsup://directions/FAT Viewer?action=UPDATE&amp;creator=factset&amp;DYN_ARGS=TRUE&amp;DOC_NAME=FAT:FQL_AUDITING_CLIENT_TEMPLATE.FAT&amp;display_string=Audit&amp;VAR:KEY=QJARQRUDEH&amp;VAR:QUERY=RkZfRUJJVERBX0lCKCdDQUwnLDIwMDksLCwsJ1VTRCcp&amp;WINDOW=FIRST_POPUP&amp;HEIGHT=450&amp;WIDTH=450&amp;","START_MAXIMIZED=FALSE&amp;VAR:CALENDAR=US&amp;VAR:SYMBOL=600030&amp;VAR:INDEX=0"}</definedName>
    <definedName name="_67__123Graph_BCHART_1" hidden="1">#REF!</definedName>
    <definedName name="_67__FDSAUDITLINK__" hidden="1">{"fdsup://directions/FAT Viewer?action=UPDATE&amp;creator=factset&amp;DYN_ARGS=TRUE&amp;DOC_NAME=FAT:FQL_AUDITING_CLIENT_TEMPLATE.FAT&amp;display_string=Audit&amp;VAR:KEY=SHKZGPYRAD&amp;VAR:QUERY=RkZfRU5UUlBSX1ZBTF9EQUlMWSg0MDI0MiwsLCwnVVNEJywnRElMJyk=&amp;WINDOW=FIRST_POPUP&amp;HEIGHT=45","0&amp;WIDTH=450&amp;START_MAXIMIZED=FALSE&amp;VAR:CALENDAR=US&amp;VAR:SYMBOL=600030&amp;VAR:INDEX=0"}</definedName>
    <definedName name="_68__123Graph_LBL_CCHART_3" hidden="1">#REF!</definedName>
    <definedName name="_68__FDSAUDITLINK__" hidden="1">{"fdsup://directions/FAT Viewer?action=UPDATE&amp;creator=factset&amp;DYN_ARGS=TRUE&amp;DOC_NAME=FAT:FQL_AUDITING_CLIENT_TEMPLATE.FAT&amp;display_string=Audit&amp;VAR:KEY=WDEJKFYBMT&amp;VAR:QUERY=RkZfRUJJVERBX0lCKCdDQUwnLDIwMDksLCwsJ1VTRCcp&amp;WINDOW=FIRST_POPUP&amp;HEIGHT=450&amp;WIDTH=450&amp;","START_MAXIMIZED=FALSE&amp;VAR:CALENDAR=US&amp;VAR:SYMBOL=610989&amp;VAR:INDEX=0"}</definedName>
    <definedName name="_69__123Graph_ECHART_16" hidden="1">#REF!</definedName>
    <definedName name="_69__FDSAUDITLINK__" hidden="1">{"fdsup://directions/FAT Viewer?action=UPDATE&amp;creator=factset&amp;DYN_ARGS=TRUE&amp;DOC_NAME=FAT:FQL_AUDITING_CLIENT_TEMPLATE.FAT&amp;display_string=Audit&amp;VAR:KEY=SJEHMVUTUJ&amp;VAR:QUERY=RkZfRU5UUlBSX1ZBTF9EQUlMWSg0MDI0MiwsLCwnVVNEJywnRElMJyk=&amp;WINDOW=FIRST_POPUP&amp;HEIGHT=45","0&amp;WIDTH=450&amp;START_MAXIMIZED=FALSE&amp;VAR:CALENDAR=US&amp;VAR:SYMBOL=610989&amp;VAR:INDEX=0"}</definedName>
    <definedName name="_7__123Graph_ACHART_21" hidden="1">#REF!</definedName>
    <definedName name="_7__123Graph_ACHART_5" hidden="1">#REF!</definedName>
    <definedName name="_7__123Graph_ACHART_6" hidden="1">#REF!</definedName>
    <definedName name="_7__123Graph_BCHART_2" hidden="1">#REF!</definedName>
    <definedName name="_7__123Graph_BCHART_3" hidden="1">#REF!</definedName>
    <definedName name="_7__123Graph_DCHART_1" hidden="1">#REF!</definedName>
    <definedName name="_7__123Graph_XCHART_1" hidden="1">#REF!</definedName>
    <definedName name="_7__FDSAUDITLINK__" hidden="1">{"fdsup://directions/FAT Viewer?action=UPDATE&amp;creator=factset&amp;DYN_ARGS=TRUE&amp;DOC_NAME=FAT:FQL_AUDITING_CLIENT_TEMPLATE.FAT&amp;display_string=Audit&amp;VAR:KEY=CXATOXCJOV&amp;VAR:QUERY=RkZfRU5UUlBSX1ZBTF9EQUlMWSg0MDI0MiwsLCwnVVNEJywnRElMJyk=&amp;WINDOW=FIRST_POPUP&amp;HEIGHT=45","0&amp;WIDTH=450&amp;START_MAXIMIZED=FALSE&amp;VAR:CALENDAR=US&amp;VAR:SYMBOL=610579&amp;VAR:INDEX=0"}</definedName>
    <definedName name="_70__FDSAUDITLINK__" hidden="1">{"fdsup://directions/FAT Viewer?action=UPDATE&amp;creator=factset&amp;DYN_ARGS=TRUE&amp;DOC_NAME=FAT:FQL_AUDITING_CLIENT_TEMPLATE.FAT&amp;display_string=Audit&amp;VAR:KEY=UJSFKRAFAX&amp;VAR:QUERY=RkZfRUJJVERBX0lCKCdDQUwnLDIwMDksLCwsJ1VTRCcp&amp;WINDOW=FIRST_POPUP&amp;HEIGHT=450&amp;WIDTH=450&amp;","START_MAXIMIZED=FALSE&amp;VAR:CALENDAR=US&amp;VAR:SYMBOL=672529&amp;VAR:INDEX=0"}</definedName>
    <definedName name="_70_0_S" hidden="1">#REF!</definedName>
    <definedName name="_71__FDSAUDITLINK__" hidden="1">{"fdsup://directions/FAT Viewer?action=UPDATE&amp;creator=factset&amp;DYN_ARGS=TRUE&amp;DOC_NAME=FAT:FQL_AUDITING_CLIENT_TEMPLATE.FAT&amp;display_string=Audit&amp;VAR:KEY=UZSZCXIVQZ&amp;VAR:QUERY=RkZfRU5UUlBSX1ZBTF9EQUlMWSg0MDI0MiwsLCwnVVNEJywnRElMJyk=&amp;WINDOW=FIRST_POPUP&amp;HEIGHT=45","0&amp;WIDTH=450&amp;START_MAXIMIZED=FALSE&amp;VAR:CALENDAR=US&amp;VAR:SYMBOL=672529&amp;VAR:INDEX=0"}</definedName>
    <definedName name="_72__123Graph_ASEG_PIE" hidden="1">#REF!</definedName>
    <definedName name="_72__123Graph_ECHART_17" hidden="1">#REF!</definedName>
    <definedName name="_72__FDSAUDITLINK__" hidden="1">{"fdsup://directions/FAT Viewer?action=UPDATE&amp;creator=factset&amp;DYN_ARGS=TRUE&amp;DOC_NAME=FAT:FQL_AUDITING_CLIENT_TEMPLATE.FAT&amp;display_string=Audit&amp;VAR:KEY=MXYZWTSLEL&amp;VAR:QUERY=RkZfRUJJVERBX0lCKCdDQUwnLDIwMDksLCwsJ1VTRCcp&amp;WINDOW=FIRST_POPUP&amp;HEIGHT=450&amp;WIDTH=450&amp;","START_MAXIMIZED=FALSE&amp;VAR:CALENDAR=US&amp;VAR:SYMBOL=642539&amp;VAR:INDEX=0"}</definedName>
    <definedName name="_73__FDSAUDITLINK__" hidden="1">{"fdsup://directions/FAT Viewer?action=UPDATE&amp;creator=factset&amp;DYN_ARGS=TRUE&amp;DOC_NAME=FAT:FQL_AUDITING_CLIENT_TEMPLATE.FAT&amp;display_string=Audit&amp;VAR:KEY=MXSHIJCBUD&amp;VAR:QUERY=RkZfRU5UUlBSX1ZBTF9EQUlMWSg0MDI0MiwsLCwnVVNEJywnRElMJyk=&amp;WINDOW=FIRST_POPUP&amp;HEIGHT=45","0&amp;WIDTH=450&amp;START_MAXIMIZED=FALSE&amp;VAR:CALENDAR=US&amp;VAR:SYMBOL=642539&amp;VAR:INDEX=0"}</definedName>
    <definedName name="_74__123Graph_LBL_ACHART_1" hidden="1">#REF!</definedName>
    <definedName name="_74__FDSAUDITLINK__" hidden="1">{"fdsup://directions/FAT Viewer?action=UPDATE&amp;creator=factset&amp;DYN_ARGS=TRUE&amp;DOC_NAME=FAT:FQL_AUDITING_CLIENT_TEMPLATE.FAT&amp;display_string=Audit&amp;VAR:KEY=CXYHEJMREF&amp;VAR:QUERY=RkZfRUJJVERBX0lCKCdDQUwnLDIwMDksLCwsJ1VTRCcp&amp;WINDOW=FIRST_POPUP&amp;HEIGHT=450&amp;WIDTH=450&amp;","START_MAXIMIZED=FALSE&amp;VAR:CALENDAR=US&amp;VAR:SYMBOL=B1JNK8&amp;VAR:INDEX=0"}</definedName>
    <definedName name="_75__123Graph_BCHART_2" hidden="1">#REF!</definedName>
    <definedName name="_75__123Graph_ECHART_22" hidden="1">#REF!</definedName>
    <definedName name="_75__123Graph_LBL_ACHART_3" hidden="1">#REF!</definedName>
    <definedName name="_75__FDSAUDITLINK__" hidden="1">{"fdsup://directions/FAT Viewer?action=UPDATE&amp;creator=factset&amp;DYN_ARGS=TRUE&amp;DOC_NAME=FAT:FQL_AUDITING_CLIENT_TEMPLATE.FAT&amp;display_string=Audit&amp;VAR:KEY=EHIVMZAFGB&amp;VAR:QUERY=RkZfRU5UUlBSX1ZBTF9EQUlMWSg0MDI0MiwsLCwnVVNEJywnRElMJyk=&amp;WINDOW=FIRST_POPUP&amp;HEIGHT=45","0&amp;WIDTH=450&amp;START_MAXIMIZED=FALSE&amp;VAR:CALENDAR=US&amp;VAR:SYMBOL=B1JNK8&amp;VAR:INDEX=0"}</definedName>
    <definedName name="_76__FDSAUDITLINK__" hidden="1">{"fdsup://directions/FAT Viewer?action=UPDATE&amp;creator=factset&amp;DYN_ARGS=TRUE&amp;DOC_NAME=FAT:FQL_AUDITING_CLIENT_TEMPLATE.FAT&amp;display_string=Audit&amp;VAR:KEY=OVIVMZOVCP&amp;VAR:QUERY=RkZfRUJJVERBX0lCKCdDQUwnLDIwMDksLCwsJ1VTRCcp&amp;WINDOW=FIRST_POPUP&amp;HEIGHT=450&amp;WIDTH=450&amp;","START_MAXIMIZED=FALSE&amp;VAR:CALENDAR=US&amp;VAR:SYMBOL=B09N7M&amp;VAR:INDEX=0"}</definedName>
    <definedName name="_77__123Graph_ACHART_7" hidden="1">#REF!</definedName>
    <definedName name="_77__FDSAUDITLINK__" hidden="1">{"fdsup://directions/FAT Viewer?action=UPDATE&amp;creator=factset&amp;DYN_ARGS=TRUE&amp;DOC_NAME=FAT:FQL_AUDITING_CLIENT_TEMPLATE.FAT&amp;display_string=Audit&amp;VAR:KEY=MLSVYZWRCH&amp;VAR:QUERY=RkZfRU5UUlBSX1ZBTF9EQUlMWSg0MDI0MiwsLCwnVVNEJywnRElMJyk=&amp;WINDOW=FIRST_POPUP&amp;HEIGHT=45","0&amp;WIDTH=450&amp;START_MAXIMIZED=FALSE&amp;VAR:CALENDAR=US&amp;VAR:SYMBOL=B09N7M&amp;VAR:INDEX=0"}</definedName>
    <definedName name="_77_0_S" hidden="1">#REF!</definedName>
    <definedName name="_78__123Graph_FCHART_15" hidden="1">#REF!</definedName>
    <definedName name="_78__FDSAUDITLINK__" hidden="1">{"fdsup://Directions/FactSet Auditing Viewer?action=AUDIT_VALUE&amp;DB=129&amp;ID1=604348&amp;VALUEID=03426&amp;SDATE=2008&amp;PERIODTYPE=ANN_STD&amp;window=popup_no_bar&amp;width=385&amp;height=120&amp;START_MAXIMIZED=FALSE&amp;creator=factset&amp;display_string=Audit"}</definedName>
    <definedName name="_79__FDSAUDITLINK__" hidden="1">{"fdsup://directions/FAT Viewer?action=UPDATE&amp;creator=factset&amp;DYN_ARGS=TRUE&amp;DOC_NAME=FAT:FQL_AUDITING_CLIENT_TEMPLATE.FAT&amp;display_string=Audit&amp;VAR:KEY=ALIZMZKVMP&amp;VAR:QUERY=RkZfRU5UUlBSX1ZBTF9EQUlMWSg0MDI0MiwsLCwnVVNEJywnRElMJyk=&amp;WINDOW=FIRST_POPUP&amp;HEIGHT=45","0&amp;WIDTH=450&amp;START_MAXIMIZED=FALSE&amp;VAR:CALENDAR=US&amp;VAR:SYMBOL=70454910&amp;VAR:INDEX=0"}</definedName>
    <definedName name="_8__123Graph_ACHART_1" hidden="1">#REF!</definedName>
    <definedName name="_8__123Graph_ACHART_6" hidden="1">#REF!</definedName>
    <definedName name="_8__123Graph_ACHART_7" hidden="1">#REF!</definedName>
    <definedName name="_8__123Graph_ASEG_PIE" hidden="1">#REF!</definedName>
    <definedName name="_8__123Graph_BCHART_2A" hidden="1">#REF!</definedName>
    <definedName name="_8__123Graph_CCHART_1" hidden="1">#REF!</definedName>
    <definedName name="_8__123Graph_DCHART_2" hidden="1">#REF!</definedName>
    <definedName name="_8__123Graph_LBL_ACHART_3I" hidden="1">#REF!</definedName>
    <definedName name="_8__FDSAUDITLINK__" hidden="1">{"fdsup://directions/FAT Viewer?action=UPDATE&amp;creator=factset&amp;DYN_ARGS=TRUE&amp;DOC_NAME=FAT:FQL_AUDITING_CLIENT_TEMPLATE.FAT&amp;display_string=Audit&amp;VAR:KEY=EZUHWRCBOF&amp;VAR:QUERY=RkZfRUJJVERBX0lCKCdDQUwnLDIwMDksLCwsJ1VTRCcp&amp;WINDOW=FIRST_POPUP&amp;HEIGHT=450&amp;WIDTH=450&amp;","START_MAXIMIZED=FALSE&amp;VAR:CALENDAR=US&amp;VAR:SYMBOL=620337&amp;VAR:INDEX=0"}</definedName>
    <definedName name="_8_0_0__123Grap" hidden="1">#REF!</definedName>
    <definedName name="_80__FDSAUDITLINK__" hidden="1">{"fdsup://directions/FAT Viewer?action=UPDATE&amp;creator=factset&amp;DYN_ARGS=TRUE&amp;DOC_NAME=FAT:FQL_AUDITING_CLIENT_TEMPLATE.FAT&amp;display_string=Audit&amp;VAR:KEY=KVIZONYBQL&amp;VAR:QUERY=RkZfRUJJVERBX0lCKCdDQUwnLDIwMDksLCwsJ1VTRCcp&amp;WINDOW=FIRST_POPUP&amp;HEIGHT=450&amp;WIDTH=450&amp;","START_MAXIMIZED=FALSE&amp;VAR:CALENDAR=US&amp;VAR:SYMBOL=01381710&amp;VAR:INDEX=0"}</definedName>
    <definedName name="_81__123Graph_BCHART_15" hidden="1">#REF!</definedName>
    <definedName name="_81__123Graph_FCHART_16" hidden="1">#REF!</definedName>
    <definedName name="_81__FDSAUDITLINK__" hidden="1">{"fdsup://directions/FAT Viewer?action=UPDATE&amp;creator=factset&amp;DYN_ARGS=TRUE&amp;DOC_NAME=FAT:FQL_AUDITING_CLIENT_TEMPLATE.FAT&amp;display_string=Audit&amp;VAR:KEY=WDIPMPONKN&amp;VAR:QUERY=RkZfRU5UUlBSX1ZBTF9EQUlMWSg0MDI0MiwsLCwnVVNEJywnRElMJyk=&amp;WINDOW=FIRST_POPUP&amp;HEIGHT=45","0&amp;WIDTH=450&amp;START_MAXIMIZED=FALSE&amp;VAR:CALENDAR=US&amp;VAR:SYMBOL=01381710&amp;VAR:INDEX=0"}</definedName>
    <definedName name="_82__FDSAUDITLINK__" hidden="1">{"fdsup://directions/FAT Viewer?action=UPDATE&amp;creator=factset&amp;DYN_ARGS=TRUE&amp;DOC_NAME=FAT:FQL_AUDITING_CLIENT_TEMPLATE.FAT&amp;display_string=Audit&amp;VAR:KEY=SFSDQLCZQV&amp;VAR:QUERY=RkZfRUJJVERBX0lCKCdDQUwnLDIwMDksLCwsJ1VTRCcp&amp;WINDOW=FIRST_POPUP&amp;HEIGHT=450&amp;WIDTH=450&amp;","START_MAXIMIZED=FALSE&amp;VAR:CALENDAR=US&amp;VAR:SYMBOL=B1G426&amp;VAR:INDEX=0"}</definedName>
    <definedName name="_83__123Graph_BCHART_3" hidden="1">#REF!</definedName>
    <definedName name="_83__FDSAUDITLINK__" hidden="1">{"fdsup://directions/FAT Viewer?action=UPDATE&amp;creator=factset&amp;DYN_ARGS=TRUE&amp;DOC_NAME=FAT:FQL_AUDITING_CLIENT_TEMPLATE.FAT&amp;display_string=Audit&amp;VAR:KEY=MZYVMTAFUT&amp;VAR:QUERY=RkZfRU5UUlBSX1ZBTF9EQUlMWSg0MDI0MiwsLCwnVVNEJywnRElMJyk=&amp;WINDOW=FIRST_POPUP&amp;HEIGHT=45","0&amp;WIDTH=450&amp;START_MAXIMIZED=FALSE&amp;VAR:CALENDAR=US&amp;VAR:SYMBOL=B1G426&amp;VAR:INDEX=0"}</definedName>
    <definedName name="_84__123Graph_FCHART_17" hidden="1">#REF!</definedName>
    <definedName name="_84__FDSAUDITLINK__" hidden="1">{"fdsup://directions/FAT Viewer?action=UPDATE&amp;creator=factset&amp;DYN_ARGS=TRUE&amp;DOC_NAME=FAT:FQL_AUDITING_CLIENT_TEMPLATE.FAT&amp;display_string=Audit&amp;VAR:KEY=CLMPGRAFIV&amp;VAR:QUERY=RkZfRUJJVERBX0lCKCdDQUwnLDIwMDksLCwsJ1VTRCcp&amp;WINDOW=FIRST_POPUP&amp;HEIGHT=450&amp;WIDTH=450&amp;","START_MAXIMIZED=FALSE&amp;VAR:CALENDAR=US&amp;VAR:SYMBOL=B29BCK&amp;VAR:INDEX=0"}</definedName>
    <definedName name="_85__123Graph_LBL_DCHART_1" hidden="1">#REF!</definedName>
    <definedName name="_85__FDSAUDITLINK__" hidden="1">{"fdsup://directions/FAT Viewer?action=UPDATE&amp;creator=factset&amp;DYN_ARGS=TRUE&amp;DOC_NAME=FAT:FQL_AUDITING_CLIENT_TEMPLATE.FAT&amp;display_string=Audit&amp;VAR:KEY=ONCXUBIDAL&amp;VAR:QUERY=RkZfRU5UUlBSX1ZBTF9EQUlMWSg0MDI0MiwsLCwnVVNEJywnRElMJyk=&amp;WINDOW=FIRST_POPUP&amp;HEIGHT=45","0&amp;WIDTH=450&amp;START_MAXIMIZED=FALSE&amp;VAR:CALENDAR=US&amp;VAR:SYMBOL=B29BCK&amp;VAR:INDEX=0"}</definedName>
    <definedName name="_86__FDSAUDITLINK__" hidden="1">{"fdsup://directions/FAT Viewer?action=UPDATE&amp;creator=factset&amp;DYN_ARGS=TRUE&amp;DOC_NAME=FAT:FQL_AUDITING_CLIENT_TEMPLATE.FAT&amp;display_string=Audit&amp;VAR:KEY=CPINQXQDOF&amp;VAR:QUERY=RkZfRUJJVERBX0lCKCdDQUwnLDIwMDksLCwsJ1VTRCcp&amp;WINDOW=FIRST_POPUP&amp;HEIGHT=450&amp;WIDTH=450&amp;","START_MAXIMIZED=FALSE&amp;VAR:CALENDAR=US&amp;VAR:SYMBOL=B019KX&amp;VAR:INDEX=0"}</definedName>
    <definedName name="_87__123Graph_FCHART_22" hidden="1">#REF!</definedName>
    <definedName name="_87__FDSAUDITLINK__" hidden="1">{"fdsup://directions/FAT Viewer?action=UPDATE&amp;creator=factset&amp;DYN_ARGS=TRUE&amp;DOC_NAME=FAT:FQL_AUDITING_CLIENT_TEMPLATE.FAT&amp;display_string=Audit&amp;VAR:KEY=GBWNGBUNCZ&amp;VAR:QUERY=RkZfRUJJVERBX0lCKCdDQUwnLDIwMDksLCwsJ1VTRCcp&amp;WINDOW=FIRST_POPUP&amp;HEIGHT=450&amp;WIDTH=450&amp;","START_MAXIMIZED=FALSE&amp;VAR:CALENDAR=US&amp;VAR:SYMBOL=84265V10&amp;VAR:INDEX=0"}</definedName>
    <definedName name="_88__123Graph_BCHART_1" hidden="1">#REF!</definedName>
    <definedName name="_88__FDSAUDITLINK__" hidden="1">{"fdsup://directions/FAT Viewer?action=UPDATE&amp;creator=factset&amp;DYN_ARGS=TRUE&amp;DOC_NAME=FAT:FQL_AUDITING_CLIENT_TEMPLATE.FAT&amp;display_string=Audit&amp;VAR:KEY=QTEFEBGPSL&amp;VAR:QUERY=RkZfRUJJVERBX0lCKCdDQUwnLDIwMDksLCwsJ1VTRCcp&amp;WINDOW=FIRST_POPUP&amp;HEIGHT=450&amp;WIDTH=450&amp;","START_MAXIMIZED=FALSE&amp;VAR:CALENDAR=US&amp;VAR:SYMBOL=35671D85&amp;VAR:INDEX=0"}</definedName>
    <definedName name="_89__FDSAUDITLINK__" hidden="1">{"fdsup://directions/FAT Viewer?action=UPDATE&amp;creator=factset&amp;DYN_ARGS=TRUE&amp;DOC_NAME=FAT:FQL_AUDITING_CLIENT_TEMPLATE.FAT&amp;display_string=Audit&amp;VAR:KEY=SDCXMZYZYB&amp;VAR:QUERY=RkZfRUJJVERBX0lCKCdDQUwnLDIwMDksLCwsJ1VTRCcp&amp;WINDOW=FIRST_POPUP&amp;HEIGHT=450&amp;WIDTH=450&amp;","START_MAXIMIZED=FALSE&amp;VAR:CALENDAR=US&amp;VAR:SYMBOL=604348&amp;VAR:INDEX=0"}</definedName>
    <definedName name="_9__123Graph_ACHART_12" hidden="1">#REF!</definedName>
    <definedName name="_9__123Graph_ACHART_16" hidden="1">#REF!</definedName>
    <definedName name="_9__123Graph_ACHART_2" hidden="1">#REF!</definedName>
    <definedName name="_9__123Graph_ACHART_7" hidden="1">#REF!</definedName>
    <definedName name="_9__123Graph_BCHART_1" hidden="1">#REF!</definedName>
    <definedName name="_9__123Graph_BCHART_15" hidden="1">#REF!</definedName>
    <definedName name="_9__123Graph_BCHART_1A" hidden="1">#REF!</definedName>
    <definedName name="_9__123Graph_BCHART_3" hidden="1">#REF!</definedName>
    <definedName name="_9__123Graph_BCHART_4" hidden="1">#REF!</definedName>
    <definedName name="_9__123Graph_BGROWTH_9" hidden="1">#REF!</definedName>
    <definedName name="_9__123Graph_CCHART_2" hidden="1">#REF!</definedName>
    <definedName name="_9__123Graph_ECHART_1" hidden="1">#REF!</definedName>
    <definedName name="_9__FDSAUDITLINK__" hidden="1">{"fdsup://directions/FAT Viewer?action=UPDATE&amp;creator=factset&amp;DYN_ARGS=TRUE&amp;DOC_NAME=FAT:FQL_AUDITING_CLIENT_TEMPLATE.FAT&amp;display_string=Audit&amp;VAR:KEY=EDQJQJKLIF&amp;VAR:QUERY=RkZfRU5UUlBSX1ZBTF9EQUlMWSg0MDI0MiwsLCwnVVNEJywnRElMJyk=&amp;WINDOW=FIRST_POPUP&amp;HEIGHT=45","0&amp;WIDTH=450&amp;START_MAXIMIZED=FALSE&amp;VAR:CALENDAR=US&amp;VAR:SYMBOL=620337&amp;VAR:INDEX=0"}</definedName>
    <definedName name="_90__123Graph_BCHART_16" hidden="1">#REF!</definedName>
    <definedName name="_90__123Graph_XCHART_15" hidden="1">#REF!</definedName>
    <definedName name="_90__FDSAUDITLINK__" hidden="1">{"fdsup://Directions/FactSet Auditing Viewer?action=AUDIT_VALUE&amp;DB=129&amp;ID1=604348&amp;VALUEID=02001&amp;SDATE=2008&amp;PERIODTYPE=ANN_STD&amp;window=popup_no_bar&amp;width=385&amp;height=120&amp;START_MAXIMIZED=FALSE&amp;creator=factset&amp;display_string=Audit"}</definedName>
    <definedName name="_91__123Graph_LBL_ACHART_1" hidden="1">#REF!</definedName>
    <definedName name="_91__FDSAUDITLINK__" hidden="1">{"fdsup://directions/FAT Viewer?action=UPDATE&amp;creator=factset&amp;DYN_ARGS=TRUE&amp;DOC_NAME=FAT:FQL_AUDITING_CLIENT_TEMPLATE.FAT&amp;display_string=Audit&amp;VAR:KEY=IBUXKJGJCN&amp;VAR:QUERY=RkZfRU5UUlBSX1ZBTF9EQUlMWSg0MDI0MiwsLCwnVVNEJywnRElMJyk=&amp;WINDOW=FIRST_POPUP&amp;HEIGHT=45","0&amp;WIDTH=450&amp;START_MAXIMIZED=FALSE&amp;VAR:CALENDAR=US&amp;VAR:SYMBOL=604348&amp;VAR:INDEX=0"}</definedName>
    <definedName name="_92__FDSAUDITLINK__" hidden="1">{"fdsup://directions/FAT Viewer?action=UPDATE&amp;creator=factset&amp;DYN_ARGS=TRUE&amp;DOC_NAME=FAT:FQL_AUDITING_CLIENT_TEMPLATE.FAT&amp;display_string=Audit&amp;VAR:KEY=ORCHORYFWP&amp;VAR:QUERY=RkZfRUJJVERBX0lCKCdDQUwnLDIwMDksLCwsJ1VTRCcp&amp;WINDOW=FIRST_POPUP&amp;HEIGHT=450&amp;WIDTH=450&amp;","START_MAXIMIZED=FALSE&amp;VAR:CALENDAR=US&amp;VAR:SYMBOL=613944&amp;VAR:INDEX=0"}</definedName>
    <definedName name="_92_0_Table1_" hidden="1">#REF!</definedName>
    <definedName name="_93__123Graph_XCHART_16" hidden="1">#REF!</definedName>
    <definedName name="_93__FDSAUDITLINK__" hidden="1">{"fdsup://directions/FAT Viewer?action=UPDATE&amp;creator=factset&amp;DYN_ARGS=TRUE&amp;DOC_NAME=FAT:FQL_AUDITING_CLIENT_TEMPLATE.FAT&amp;display_string=Audit&amp;VAR:KEY=MPCJKXEHKN&amp;VAR:QUERY=RkZfRU5UUlBSX1ZBTF9EQUlMWSg0MDI0MiwsLCwnVVNEJywnRElMJyk=&amp;WINDOW=FIRST_POPUP&amp;HEIGHT=45","0&amp;WIDTH=450&amp;START_MAXIMIZED=FALSE&amp;VAR:CALENDAR=US&amp;VAR:SYMBOL=613944&amp;VAR:INDEX=0"}</definedName>
    <definedName name="_94__FDSAUDITLINK__" hidden="1">{"fdsup://directions/FAT Viewer?action=UPDATE&amp;creator=factset&amp;DYN_ARGS=TRUE&amp;DOC_NAME=FAT:FQL_AUDITING_CLIENT_TEMPLATE.FAT&amp;display_string=Audit&amp;VAR:KEY=MZMPOVYPOT&amp;VAR:QUERY=RkZfRUJJVERBX0lCKCdDQUwnLDIwMDksLCwsJ1VTRCcp&amp;WINDOW=FIRST_POPUP&amp;HEIGHT=450&amp;WIDTH=450&amp;","START_MAXIMIZED=FALSE&amp;VAR:CALENDAR=US&amp;VAR:SYMBOL=B0GWF4&amp;VAR:INDEX=0"}</definedName>
    <definedName name="_94_0_Table2_" hidden="1">#REF!</definedName>
    <definedName name="_95__123Graph_X_FABP_L.WK1_FAB" hidden="1">#REF!</definedName>
    <definedName name="_95__FDSAUDITLINK__" hidden="1">{"fdsup://directions/FAT Viewer?action=UPDATE&amp;creator=factset&amp;DYN_ARGS=TRUE&amp;DOC_NAME=FAT:FQL_AUDITING_CLIENT_TEMPLATE.FAT&amp;display_string=Audit&amp;VAR:KEY=OTIPUXQVWX&amp;VAR:QUERY=RkZfRU5UUlBSX1ZBTF9EQUlMWSg0MDI0MiwsLCwnVVNEJywnRElMJyk=&amp;WINDOW=FIRST_POPUP&amp;HEIGHT=45","0&amp;WIDTH=450&amp;START_MAXIMIZED=FALSE&amp;VAR:CALENDAR=US&amp;VAR:SYMBOL=B0GWF4&amp;VAR:INDEX=0"}</definedName>
    <definedName name="_96__123Graph_XCHART_17" hidden="1">#REF!</definedName>
    <definedName name="_96__FDSAUDITLINK__" hidden="1">{"fdsup://directions/FAT Viewer?action=UPDATE&amp;creator=factset&amp;DYN_ARGS=TRUE&amp;DOC_NAME=FAT:FQL_AUDITING_CLIENT_TEMPLATE.FAT&amp;display_string=Audit&amp;VAR:KEY=OFSDYBCHEJ&amp;VAR:QUERY=RkZfRUJJVERBX0lCKCdDQUwnLDIwMDksLCwsJ1VTRCcp&amp;WINDOW=FIRST_POPUP&amp;HEIGHT=450&amp;WIDTH=450&amp;","START_MAXIMIZED=FALSE&amp;VAR:CALENDAR=US&amp;VAR:SYMBOL=B11HK3&amp;VAR:INDEX=0"}</definedName>
    <definedName name="_97__FDSAUDITLINK__" hidden="1">{"fdsup://directions/FAT Viewer?action=UPDATE&amp;creator=factset&amp;DYN_ARGS=TRUE&amp;DOC_NAME=FAT:FQL_AUDITING_CLIENT_TEMPLATE.FAT&amp;display_string=Audit&amp;VAR:KEY=MDELEFOVAR&amp;VAR:QUERY=RkZfRU5UUlBSX1ZBTF9EQUlMWSg0MDI0MiwsLCwnVVNEJywnRElMJyk=&amp;WINDOW=FIRST_POPUP&amp;HEIGHT=45","0&amp;WIDTH=450&amp;START_MAXIMIZED=FALSE&amp;VAR:CALENDAR=US&amp;VAR:SYMBOL=B11HK3&amp;VAR:INDEX=0"}</definedName>
    <definedName name="_98__FDSAUDITLINK__" hidden="1">{"fdsup://directions/FAT Viewer?action=UPDATE&amp;creator=factset&amp;DYN_ARGS=TRUE&amp;DOC_NAME=FAT:FQL_AUDITING_CLIENT_TEMPLATE.FAT&amp;display_string=Audit&amp;VAR:KEY=UXMFINCVAN&amp;VAR:QUERY=RkZfRUJJVERBX0lCKCdDQUwnLDIwMDksLCwsJ1VTRCcp&amp;WINDOW=FIRST_POPUP&amp;HEIGHT=450&amp;WIDTH=450&amp;","START_MAXIMIZED=FALSE&amp;VAR:CALENDAR=US&amp;VAR:SYMBOL=20854P10&amp;VAR:INDEX=0"}</definedName>
    <definedName name="_99__123Graph_BCHART_17" hidden="1">#REF!</definedName>
    <definedName name="_99__123Graph_BCHART_2" hidden="1">#REF!</definedName>
    <definedName name="_99__123Graph_LBL_ACHART_2" hidden="1">#REF!</definedName>
    <definedName name="_99__123Graph_XCHART_18" hidden="1">#REF!</definedName>
    <definedName name="_99__FDSAUDITLINK__" hidden="1">{"fdsup://directions/FAT Viewer?action=UPDATE&amp;creator=factset&amp;DYN_ARGS=TRUE&amp;DOC_NAME=FAT:FQL_AUDITING_CLIENT_TEMPLATE.FAT&amp;display_string=Audit&amp;VAR:KEY=YZUDINQFMN&amp;VAR:QUERY=RkZfRU5UUlBSX1ZBTF9EQUlMWSg0MDI0MiwsLCwnVVNEJywnRElMJyk=&amp;WINDOW=FIRST_POPUP&amp;HEIGHT=45","0&amp;WIDTH=450&amp;START_MAXIMIZED=FALSE&amp;VAR:CALENDAR=US&amp;VAR:SYMBOL=20854P10&amp;VAR:INDEX=0"}</definedName>
    <definedName name="_99_0_Table1_" hidden="1">#REF!</definedName>
    <definedName name="_a1" hidden="1">{"Assump",#N/A,TRUE,"Proforma";"first",#N/A,TRUE,"Proforma";"second",#N/A,TRUE,"Proforma";"lease1",#N/A,TRUE,"Proforma";"lease2",#N/A,TRUE,"Proforma"}</definedName>
    <definedName name="_a2" hidden="1">{"sheet a",#N/A,FALSE,"A";"2 9 casflow",#N/A,FALSE,"B"}</definedName>
    <definedName name="_ADM2000">#REF!</definedName>
    <definedName name="_ADM2001">#REF!</definedName>
    <definedName name="_al1" hidden="1">{"sheet a",#N/A,FALSE,"A";"sheet b 1",#N/A,FALSE,"B";"sheet b 2",#N/A,FALSE,"B"}</definedName>
    <definedName name="_as2" hidden="1">{"FCB_ALL",#N/A,FALSE,"FCB"}</definedName>
    <definedName name="_asdasfsedf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VB2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_bdm.0000011391824A3BB065AA3290EB713A.edm" hidden="1">#REF!</definedName>
    <definedName name="_bdm.001ebbfb01f446788abe587396dca203.edm" hidden="1">#REF!</definedName>
    <definedName name="_bdm.009D8938786F46E0B5A069FBF295F125.edm" hidden="1">#REF!</definedName>
    <definedName name="_bdm.009FBCED271D4C33850C59B86BBEFA5E.edm" hidden="1">#REF!</definedName>
    <definedName name="_bdm.00A30EEC70914950886ACA1DA54ED705.edm" hidden="1">#REF!</definedName>
    <definedName name="_bdm.00DF460E05C946038BAC10FA4B695964.edm" hidden="1">#REF!</definedName>
    <definedName name="_bdm.01538417E31B4AF7857A980BA1A90657.edm" hidden="1">#REF!</definedName>
    <definedName name="_bdm.016a9a2f75ed43119a8de09f1c2c0f84.edm" hidden="1">#REF!</definedName>
    <definedName name="_bdm.019D86CC9B5F4A438ECE0F5A68BFB1B6.edm" hidden="1">#REF!</definedName>
    <definedName name="_bdm.026E05F70CA84C22868A1088F849EC78.edm" hidden="1">#REF!</definedName>
    <definedName name="_bdm.02C3F0020F8242858E50ED8F580EC2B9.edm" hidden="1">#REF!</definedName>
    <definedName name="_bdm.02DA0F14E77F410CB688206B95A3651E.edm" hidden="1">#REF!</definedName>
    <definedName name="_bdm.034DCEECAC4B4525936291C529A286E1.edm" hidden="1">#REF!</definedName>
    <definedName name="_bdm.0361AAB0C8DF4B4F829B8B9D9F6E7739.edm" hidden="1">#REF!</definedName>
    <definedName name="_bdm.03ee43d78be043ffa57f7b21ccccd8d4.edm" hidden="1">#REF!</definedName>
    <definedName name="_bdm.045A1838D86F47CC995485B6BD6EA147.edm" hidden="1">#REF!</definedName>
    <definedName name="_bdm.04C024BA2CA647408B384C4E8434AF11.edm" hidden="1">#REF!</definedName>
    <definedName name="_bdm.053467FC79AC4911B25AD65640B9F694.edm" hidden="1">#REF!</definedName>
    <definedName name="_bdm.054e672510964616b338d87f20da4110.edm" hidden="1">#REF!</definedName>
    <definedName name="_bdm.0586221F243A41EABDC140BDC10FFF81.edm" hidden="1">#REF!</definedName>
    <definedName name="_bdm.05BE98B744D44AE6ADA8DD409385F72D.edm" hidden="1">#REF!</definedName>
    <definedName name="_bdm.077DAB9856674B1BB0163E30E1B2BE30.edm" hidden="1">#REF!</definedName>
    <definedName name="_bdm.08248F6E4FAD4E70B33AD4D7B220B787.edm" hidden="1">#REF!</definedName>
    <definedName name="_bdm.08268dc8e60746f29bab8ccb424c3995.edm" hidden="1">#REF!</definedName>
    <definedName name="_bdm.084320B1F3854DF3A6E7EBED1747A3D8.edm" hidden="1">#REF!</definedName>
    <definedName name="_bdm.085e2160f4ad457aafc24e35dd80e65d.edm" hidden="1">#REF!</definedName>
    <definedName name="_bdm.08763FB2B0AD43229F5479F0721891AE.edm" hidden="1">#REF!</definedName>
    <definedName name="_bdm.08E94ECD949F45C692F32266AE8057B1.edm" hidden="1">#REF!</definedName>
    <definedName name="_bdm.0918806E79ED4806B4341C11D437AD7E.edm" hidden="1">#REF!</definedName>
    <definedName name="_bdm.0929A4DC5A004DDEB37590D37954F5ED.edm" hidden="1">#REF!</definedName>
    <definedName name="_bdm.09DCA47796BD4D369C372D771591429D.edm" hidden="1">#REF!</definedName>
    <definedName name="_bdm.0A059373B67B4F8CBAC43B054965B49A.edm" hidden="1">#REF!</definedName>
    <definedName name="_bdm.0b1e5c7326cd4e0e8cc65baea87ada32.edm" hidden="1">#REF!</definedName>
    <definedName name="_bdm.0b41d1b2049646d599bb1809c645d1bb.edm" hidden="1">#REF!</definedName>
    <definedName name="_bdm.0B582B8F13D74787BBFA522358CEE9F6.edm" hidden="1">#REF!</definedName>
    <definedName name="_bdm.0B6654A6EEE6494E8FF5D9DCF9DE348F.edm" hidden="1">#REF!</definedName>
    <definedName name="_bdm.0B6924026F204A9CB3FEB8AC70BC65C5.edm" hidden="1">#REF!</definedName>
    <definedName name="_bdm.0B84724C98A943CBB8B64E8FDC47F469.edm" hidden="1">#REF!</definedName>
    <definedName name="_bdm.0C45FA7333F14177BDD4497D806A8CC5.edm" hidden="1">#REF!</definedName>
    <definedName name="_bdm.0C7D2B832C15436A9AF40A933667BF4F.edm" hidden="1">#REF!</definedName>
    <definedName name="_bdm.0DA695115A7849878FF9EE3AC84F1576.edm" hidden="1">#REF!</definedName>
    <definedName name="_bdm.0DC956D7E796469F9D9BB85AABB3D589.edm" hidden="1">#REF!</definedName>
    <definedName name="_bdm.0DEFC6CA905A40CDAE1F4A8F8E01F5D0.edm" hidden="1">#N/A</definedName>
    <definedName name="_bdm.0E0927368FDA4F41A2E56A99ECDC4BF8.edm" hidden="1">#N/A</definedName>
    <definedName name="_bdm.0E35EF21EBD547599D485A7D76045A18.edm" hidden="1">#REF!</definedName>
    <definedName name="_bdm.0E3CBD3E264B41B28F3F526873678CBA.edm" hidden="1">#REF!</definedName>
    <definedName name="_bdm.0e579f5134d2428f907dd3263f3d3a96.edm" hidden="1">#REF!</definedName>
    <definedName name="_bdm.0EE6FC54691E434D9159A3C6D972147D.edm" hidden="1">#REF!</definedName>
    <definedName name="_bdm.0F29B0194978478E841F907C40A21F6F.edm" hidden="1">#REF!</definedName>
    <definedName name="_bdm.0F3A02584C6842C6B88C64266649CFDD.edm" hidden="1">#REF!</definedName>
    <definedName name="_bdm.0FF3515C4D8A46C39371756981218BC2.edm" hidden="1">#REF!</definedName>
    <definedName name="_bdm.1005001E7CA34FA08435D955664FB3AD.edm" hidden="1">#REF!</definedName>
    <definedName name="_bdm.104276f570c54be088a08e0fc64669f3.edm" hidden="1">#REF!</definedName>
    <definedName name="_bdm.106BF9AD7184485C82620E5C6501496A.edm" hidden="1">#REF!</definedName>
    <definedName name="_bdm.119a6f57d771459cadc3bda0322c10cf.edm" hidden="1">#REF!</definedName>
    <definedName name="_bdm.120CF732499E4BBC9366C054E3739509.edm" hidden="1">#REF!</definedName>
    <definedName name="_bdm.122E4A6B2C54429CBB80EBB70B7C528F.edm" hidden="1">#N/A</definedName>
    <definedName name="_bdm.12f67ba7893f42628745fba8faef98d0.edm" hidden="1">#REF!</definedName>
    <definedName name="_bdm.12f7a5d175bb4c279e0ddd827f28516e.edm" hidden="1">#REF!</definedName>
    <definedName name="_bdm.1320D9E2D6BF46A9AC09A792A6E32BD9.edm" hidden="1">#REF!</definedName>
    <definedName name="_bdm.13406362699440AEA5EF4B8ADEE522F0.edm" hidden="1">#REF!</definedName>
    <definedName name="_bdm.138CE5D51A304FFDB8D964A42B52773D.edm" hidden="1">#REF!</definedName>
    <definedName name="_bdm.159CCB3A74614A5D87BBBC6DD67AC7E6.edm" hidden="1">#REF!</definedName>
    <definedName name="_bdm.160f7016d2c24d57ac704f6349190c5f.edm" hidden="1">#REF!</definedName>
    <definedName name="_bdm.161A1B3F66FC4CA59023742E35E83BC0.edm" hidden="1">#REF!</definedName>
    <definedName name="_bdm.1636CB241427403B8D690FA04961A801.edm" hidden="1">#REF!</definedName>
    <definedName name="_bdm.166620AD85C24DB6964FE6183CB94521.edm" hidden="1">#REF!</definedName>
    <definedName name="_bdm.16950da0b2e44a1bbd6240f38e8be561.edm" hidden="1">#REF!</definedName>
    <definedName name="_bdm.16B3008A64E44D499C71DFDE9580B547.edm" hidden="1">#REF!</definedName>
    <definedName name="_bdm.1718F6ECF9B643BB9ECFC6EF36F303DB.edm" hidden="1">#REF!</definedName>
    <definedName name="_bdm.17686CFFBE4A450B95D750F6CAF63F79.edm" hidden="1">#REF!</definedName>
    <definedName name="_bdm.17B53146B77B45A0BEDDB75EFDC4A065.edm" hidden="1">#REF!</definedName>
    <definedName name="_bdm.17D6D0306F13452D8EC568F03D908316.edm" hidden="1">#REF!</definedName>
    <definedName name="_bdm.17FF8FC0CB67401A947CDE6B76B7A5C7.edm" hidden="1">#REF!</definedName>
    <definedName name="_bdm.1837948C9DFD4F478195D8D7C2B014C4.edm" hidden="1">#REF!</definedName>
    <definedName name="_bdm.1886814B452E429C804967D39484D1F2.edm" hidden="1">#REF!</definedName>
    <definedName name="_bdm.18ef7a19750b4d11a6a5adf249540ae4.edm" hidden="1">#REF!</definedName>
    <definedName name="_bdm.1942e8c738894f36956be557bf376f6c.edm" hidden="1">#REF!</definedName>
    <definedName name="_bdm.194963E896034ECA9031284ADD56F613.edm" hidden="1">#REF!</definedName>
    <definedName name="_bdm.1970F22910DF4397983C8FF5D28E0F8F.edm" hidden="1">#REF!</definedName>
    <definedName name="_bdm.19B6E50345314EAD93A54CD7A694D859.edm" hidden="1">#REF!</definedName>
    <definedName name="_bdm.19EFE4A357D8496D943FBCBCBFCF130C.edm" hidden="1">#REF!</definedName>
    <definedName name="_bdm.1A60CA308C234F83AAB2EE96AD403B4A.edm" hidden="1">#REF!</definedName>
    <definedName name="_bdm.1A6DD9EDF0014631BA5DAB54DD1AF109.edm" hidden="1">#REF!</definedName>
    <definedName name="_bdm.1a827dae8fda40578a88f08ee0c0b5e8.edm" hidden="1">#REF!</definedName>
    <definedName name="_bdm.1AD00C3B56054B49B0702F2AABFC9046.edm" hidden="1">#REF!</definedName>
    <definedName name="_bdm.1AE0E60C53774E6998E9075CB8641DEC.edm" hidden="1">#REF!</definedName>
    <definedName name="_bdm.1B16DD25DD6544E6971940B4F2C3A52A.edm" hidden="1">#REF!</definedName>
    <definedName name="_bdm.1B6C0A1A6B7F408497E757C686EBD63D.edm" hidden="1">#REF!</definedName>
    <definedName name="_bdm.1B6D0DE624354F56AB6DAC12553B8A3F.edm" hidden="1">#REF!</definedName>
    <definedName name="_bdm.1BAA57F96AFF465DBD4F11048C70D68A.edm" hidden="1">#REF!</definedName>
    <definedName name="_bdm.1c2f2f633ce64d049c4960bfea1c3bf9.edm" hidden="1">#REF!</definedName>
    <definedName name="_bdm.1C6BFD37D0EC46C8BADCDCDF85FC0E92.edm" hidden="1">#REF!</definedName>
    <definedName name="_bdm.1C9835AF9E9748CBB0BFFF4BCF0594F0.edm" hidden="1">#REF!</definedName>
    <definedName name="_bdm.1CAA96B36F22447EAD8C9BD8FCE27331.edm" hidden="1">#REF!</definedName>
    <definedName name="_bdm.1cdd619104e54e0ea3c5bcdc591a9fd7.edm" hidden="1">#REF!</definedName>
    <definedName name="_bdm.1CEDA0EF377A47BDBB5F928D501D1657.edm" hidden="1">#REF!</definedName>
    <definedName name="_bdm.1D0C2820985E4D8D9A53450F5BC66FA7.edm" hidden="1">#REF!</definedName>
    <definedName name="_bdm.1D3D252A3ED84811AD0FA4712245B264.edm" hidden="1">#REF!</definedName>
    <definedName name="_bdm.1D548960ED2C452B9E65B84C19B7A669.edm" hidden="1">#REF!</definedName>
    <definedName name="_bdm.1E11197879E148699BA81A66230AC518.edm" hidden="1">#REF!</definedName>
    <definedName name="_bdm.1E5CA6E3B5204C70A2F71F2ADC7DA213.edm" hidden="1">#REF!</definedName>
    <definedName name="_bdm.1E7ACAEADE8841F1ACA0B32FE24FE49D.edm" hidden="1">#REF!</definedName>
    <definedName name="_bdm.1E958923CB97465D873AE2981E7EF503.edm" hidden="1">#REF!</definedName>
    <definedName name="_bdm.1EE47C4AA0064280819CC19BB4690A1F.edm" hidden="1">#REF!</definedName>
    <definedName name="_bdm.1f04dc48cac7476f98640b8286b1c640.edm" hidden="1">#REF!</definedName>
    <definedName name="_bdm.1FA5713C12A349E887E6CE04DE7000C5.edm" hidden="1">#REF!</definedName>
    <definedName name="_bdm.205CE42F10B1402DAED71CCF9CE1735D.edm" hidden="1">#REF!</definedName>
    <definedName name="_bdm.208D7AAD418D45DC9CD0DB5248EA1C54.edm" hidden="1">#REF!</definedName>
    <definedName name="_bdm.20D92F93B3F14855A2001E3D36889F81.edm" hidden="1">#REF!</definedName>
    <definedName name="_bdm.21035019083648108165B1BA45E6A741.edm" hidden="1">#REF!</definedName>
    <definedName name="_bdm.226FED87962B41349D1EB0228679AA7C.edm" hidden="1">#REF!</definedName>
    <definedName name="_bdm.22AEF38705EE4679A7004923B5451B99.edm" hidden="1">#REF!</definedName>
    <definedName name="_bdm.22F1C0055A4644768DBAC180CC11D54E.edm" hidden="1">#REF!</definedName>
    <definedName name="_bdm.23670C5F8FB04EA2B3A96B1EA78D5F3E.edm" hidden="1">#REF!</definedName>
    <definedName name="_bdm.2375BEA4FD994733BF573265850818D8.edm" hidden="1">#N/A</definedName>
    <definedName name="_bdm.238B51964A82412792FE0CD24D4EDB24.edm" hidden="1">#REF!</definedName>
    <definedName name="_bdm.23D13E00A2CC4DA3AE2346EFF9C33B24.edm" hidden="1">#REF!</definedName>
    <definedName name="_bdm.2504604E69DD4DB38D16B580E9DD9E71.edm" hidden="1">#REF!</definedName>
    <definedName name="_bdm.25A249BEEF5C41918C4EF275AEC526FA.edm" hidden="1">#REF!</definedName>
    <definedName name="_bdm.27A3D57A7F1E4ED194098B7389CDD32A.edm" hidden="1">#REF!</definedName>
    <definedName name="_bdm.27fd09bad1d047c2bc4d85fa5a8c4ee6.edm" hidden="1">#REF!</definedName>
    <definedName name="_bdm.28059f013c8e4bffa50771401a6ed368.edm" hidden="1">#REF!</definedName>
    <definedName name="_bdm.2855D58411CD4FE4A735E3A6EE25C836.edm" hidden="1">#N/A</definedName>
    <definedName name="_bdm.2907C800E7354AF49EF9B30655538BFC.edm" hidden="1">#REF!</definedName>
    <definedName name="_bdm.2931B7BFDE154F5EAE1A5735CA3BD3DD.edm" hidden="1">#REF!</definedName>
    <definedName name="_bdm.294AA496D34A43399372281D01706956.edm" hidden="1">#REF!</definedName>
    <definedName name="_bdm.29978DFEBA4F42A7BBA04DF8EA909BA5.edm" hidden="1">#REF!</definedName>
    <definedName name="_bdm.29B4AAD3E0F94597AF1D7A79DCC2A860.edm" hidden="1">#REF!</definedName>
    <definedName name="_bdm.2A81A4CD1EBF489FA3A5E2762C1E232F.edm" hidden="1">#REF!</definedName>
    <definedName name="_bdm.2AACF379138C4ACF9B347ABF8FE65863.edm" hidden="1">#REF!</definedName>
    <definedName name="_bdm.2adff27edca44858ba2930c1f2e33dbb.edm" hidden="1">#REF!</definedName>
    <definedName name="_bdm.2AF1B31EE30F45778FD3F2A94A3EBB04.edm" hidden="1">#REF!</definedName>
    <definedName name="_bdm.2B266B094B714C22B66D493C1E5626C3.edm" hidden="1">#REF!</definedName>
    <definedName name="_bdm.2C5F54B5CDD3489698C833C833F36067.edm" hidden="1">#REF!</definedName>
    <definedName name="_bdm.2C7D239AA19E4778A90259BF7A2BF9FF.edm" hidden="1">#REF!</definedName>
    <definedName name="_bdm.2CB4BF74C4B048B5911F24941A31F5FE.edm" hidden="1">#REF!</definedName>
    <definedName name="_bdm.2CCD44ACE8EF422D88045C2A0F5B824C.edm" hidden="1">#REF!</definedName>
    <definedName name="_bdm.2cd6ecf3a5a64a9f9e84ab4b96703999.edm" hidden="1">#REF!</definedName>
    <definedName name="_bdm.2D2F7533CCE94D17BF3F603B29093C72.edm" hidden="1">#REF!</definedName>
    <definedName name="_bdm.2D8A9BA2029349879D845F587E86F8A7.edm" hidden="1">#REF!</definedName>
    <definedName name="_bdm.2DAB2B1D99A44F69B10CB9D00243940D.edm" hidden="1">#REF!</definedName>
    <definedName name="_bdm.2DFF2ADFD0A34F15BB51AE98AF0CD141.edm" hidden="1">#REF!</definedName>
    <definedName name="_bdm.2e0fa6c752b04c57a70638aedd638a3e.edm" hidden="1">#REF!</definedName>
    <definedName name="_bdm.2e2a872bfdb545909c3f879544d9c26f.edm" hidden="1">#REF!</definedName>
    <definedName name="_bdm.2E992C0B17A84955BA91F52DDFA70110.edm" hidden="1">#REF!</definedName>
    <definedName name="_bdm.2E9C8A4F9CEA48D19CF24C07D401990F.edm" hidden="1">#REF!</definedName>
    <definedName name="_bdm.2EDEA7D2AA2D4136A8CCA76F09CB212B.edm" hidden="1">#REF!</definedName>
    <definedName name="_bdm.2F2B2B5E0A7F41A5A5153533F14B2F3B.edm" hidden="1">#REF!</definedName>
    <definedName name="_bdm.2F44724262DE43D3BDE5786DB353A8FA.edm" hidden="1">#REF!</definedName>
    <definedName name="_bdm.2F550A4241F342F69B6ABF5933AB756A.edm" hidden="1">#REF!</definedName>
    <definedName name="_bdm.2FC03635BF3E4836AD64569892D8AD00.edm" hidden="1">#REF!</definedName>
    <definedName name="_bdm.2FE3202B86524D4DBB4E253AD9373036.edm" hidden="1">#REF!</definedName>
    <definedName name="_bdm.3059FC0807AD4C3BB6649AE47F6BAE83.edm" hidden="1">#REF!</definedName>
    <definedName name="_bdm.30B871B032664FC18B843AAE03C7A6BF.edm" hidden="1">#REF!</definedName>
    <definedName name="_bdm.31180886AA1C44999657AADF8B07A65B.edm" hidden="1">#REF!</definedName>
    <definedName name="_bdm.315B51B8441A481E80D76335B1387721.edm" hidden="1">#REF!</definedName>
    <definedName name="_bdm.318F7FA3B6564C7382F87C2807B768F2.edm" hidden="1">#N/A</definedName>
    <definedName name="_bdm.31DE635AD9CE4D6B902F064FDBBBF467.edm" hidden="1">#REF!</definedName>
    <definedName name="_bdm.320b6c8c568547888fc300a04242fc92.edm" hidden="1">#REF!</definedName>
    <definedName name="_bdm.3288F7267AD84412A6BBE42C27EAAEDF.edm" hidden="1">#REF!</definedName>
    <definedName name="_bdm.3298F537C98A4E8391727CC612F1CF49.edm" hidden="1">#REF!</definedName>
    <definedName name="_bdm.32BE2BB4707549EAAAF874A36DAA2A41.edm" hidden="1">#REF!</definedName>
    <definedName name="_bdm.32e0359972d04f60adbe9289093d3aea.edm" hidden="1">#REF!</definedName>
    <definedName name="_bdm.33576D400FD044DD8354B35E1AA4591F.edm" hidden="1">#REF!</definedName>
    <definedName name="_bdm.3381B92ED69C44B1AAD1265465682DA0.edm" hidden="1">#REF!</definedName>
    <definedName name="_bdm.33FEAC027B3F459B8BE06F74992AC4BB.edm" hidden="1">#REF!</definedName>
    <definedName name="_bdm.34145880510C416C85644C58A8D12353.edm" hidden="1">#REF!</definedName>
    <definedName name="_bdm.34182B27D68C4E9D8EA685646B09A0E8.edm" hidden="1">#REF!</definedName>
    <definedName name="_bdm.3472369B624C4554BFA2B3CD85986586.edm" hidden="1">#REF!</definedName>
    <definedName name="_bdm.349ebe3540164a9db574498e805ead94.edm" hidden="1">#REF!</definedName>
    <definedName name="_bdm.34FEC3ED52824CBEB006DB5A8CED478B.edm" hidden="1">#N/A</definedName>
    <definedName name="_bdm.356860FDB939423396FFB1B7D4E7E389.edm" hidden="1">#REF!</definedName>
    <definedName name="_bdm.35AE18F075EB4D8C8B3A482A51E3D08A.edm" hidden="1">#REF!</definedName>
    <definedName name="_bdm.35CC9F67A8D1443F88DB03C615293600.edm" hidden="1">#REF!</definedName>
    <definedName name="_bdm.3627893EB5D44F85A9898DB7E2735846.edm" hidden="1">#REF!</definedName>
    <definedName name="_bdm.36D2766ECD1049448968A9C485824191.edm" hidden="1">#REF!</definedName>
    <definedName name="_bdm.36D2A2580E7E40149A40FBE530628719.edm" hidden="1">#REF!</definedName>
    <definedName name="_bdm.372EFD856B9C4969908033BBACFCF06C.edm" hidden="1">#REF!</definedName>
    <definedName name="_bdm.384EE96C742345499A1C166A07BD588D.edm" hidden="1">#REF!</definedName>
    <definedName name="_bdm.388e292c02c64784a281685ca22616b7.edm" hidden="1">#REF!</definedName>
    <definedName name="_bdm.38A607F2D76C4DECA5D18AC9DFE68A84.edm" hidden="1">#REF!</definedName>
    <definedName name="_bdm.392DA044F4E94D799308C267E4E7FEFE.edm" hidden="1">#REF!</definedName>
    <definedName name="_bdm.396C5DC4488C41F2A55A6A9A4FA39CB5.edm" hidden="1">#REF!</definedName>
    <definedName name="_bdm.396E33553A8446A8AA4873AE62900D27.edm" hidden="1">#REF!</definedName>
    <definedName name="_bdm.398E817975214956A02E26DF8F2711A8.edm" hidden="1">#REF!</definedName>
    <definedName name="_bdm.39A13F57309140C480CD3C11FECDDE0B.edm" hidden="1">#REF!</definedName>
    <definedName name="_bdm.39D175483D364E2588F3E440F98C7725.edm" hidden="1">#REF!</definedName>
    <definedName name="_bdm.39dade56de1b42d983ce8d894356bd19.edm" hidden="1">#REF!</definedName>
    <definedName name="_bdm.3A75987E2C7B41CDA0FEED8522EB73DE.edm" hidden="1">#REF!</definedName>
    <definedName name="_bdm.3aa1232e383b4539965c90ad3a6f3cb9.edm" hidden="1">#REF!</definedName>
    <definedName name="_bdm.3BC385B203304DC2A2F1B29290FCAD72.edm" hidden="1">#REF!</definedName>
    <definedName name="_bdm.3BFF97D4B70541A1AB18440AF48B4030.edm" hidden="1">#REF!</definedName>
    <definedName name="_bdm.3CAB7057C2DD42888BBF9D13A64861D2.edm" hidden="1">#REF!</definedName>
    <definedName name="_bdm.3CBC5B09A08F4336ACC8C679008533BF.edm" hidden="1">#REF!</definedName>
    <definedName name="_bdm.3CD927BF1D6447359EE3667290A6670B.edm" hidden="1">#REF!</definedName>
    <definedName name="_bdm.3CEA6569C8E343FA99AA03396582BDAA.edm" hidden="1">#REF!</definedName>
    <definedName name="_bdm.3D1E10B26203441B858D280FE05B7DCC.edm" hidden="1">#REF!</definedName>
    <definedName name="_bdm.3D2DF660175F47099FB11EC32617A5C1.edm" hidden="1">#REF!</definedName>
    <definedName name="_bdm.3E4E04BAFACA428DA01DD123B72C7D30.edm" hidden="1">#REF!</definedName>
    <definedName name="_bdm.3E656774FFD24CAAA312EEDD608EB489.edm" hidden="1">#REF!</definedName>
    <definedName name="_bdm.3E7A1EC9BD754784A7FEAF7D5A8BC9C2.edm" hidden="1">#REF!</definedName>
    <definedName name="_bdm.3EAE1F3AD27F42FD84E51F0CDC1C5CDC.edm" hidden="1">#REF!</definedName>
    <definedName name="_bdm.3F587436603A435DA121EDF6452BD138.edm" hidden="1">#REF!</definedName>
    <definedName name="_bdm.3FF9BF0CD07843B6B0C473B9EA33B256.edm" hidden="1">#REF!</definedName>
    <definedName name="_bdm.407CD10E83E84C1F9A80AFB27CE5D53A.edm" hidden="1">#REF!</definedName>
    <definedName name="_bdm.41b8177043dc465e9979559f93cd058c.edm" hidden="1">#REF!</definedName>
    <definedName name="_bdm.41BB7010280A4F17A60A7A2EC65762F2.edm" hidden="1">#REF!</definedName>
    <definedName name="_bdm.41DFE0648815401C8625480744470C15.edm" hidden="1">#REF!</definedName>
    <definedName name="_bdm.4206AD06615B4CCBB41C66A4F2CD48B8.edm" hidden="1">#REF!</definedName>
    <definedName name="_bdm.425343A9E0134837A6ECC38214DF76D7.edm" hidden="1">#REF!</definedName>
    <definedName name="_bdm.434B100D22B049B8B753816FBC05C5F0.edm" hidden="1">#REF!</definedName>
    <definedName name="_bdm.43579CAC20BC4F7780D333FAE524597E.edm" hidden="1">#REF!</definedName>
    <definedName name="_bdm.4379E51FFE244487883A18E1A12B5AF3.edm" hidden="1">#REF!</definedName>
    <definedName name="_bdm.43CE62AD62924B2DBFE57089B20D3DE3.edm" hidden="1">#REF!</definedName>
    <definedName name="_bdm.43e40a228fac4c01833c7f6688f854f9.edm" hidden="1">#REF!</definedName>
    <definedName name="_bdm.43FB78AC4C294F46B2DC4D3676C1471F.edm" hidden="1">#REF!</definedName>
    <definedName name="_bdm.43FC0D71033D4EA79BA8B50F2137F9A0.edm" hidden="1">#REF!</definedName>
    <definedName name="_bdm.43FDCAA237CB40BE8F5A0CC46E2452CE.edm" hidden="1">#REF!</definedName>
    <definedName name="_bdm.4418E901CD374AF39ED5735CC763C2EF.edm" hidden="1">#REF!</definedName>
    <definedName name="_bdm.44C8A3A18C954DC28DF11D65F8CD9D16.edm" hidden="1">#REF!</definedName>
    <definedName name="_bdm.45b5410ed38f4cd6a0c98d918a454cc9.edm" hidden="1">#REF!</definedName>
    <definedName name="_bdm.45D289B8878A441E9D37295804097740.edm" hidden="1">#REF!</definedName>
    <definedName name="_bdm.462774E013DA4C2490AA31CFFD99523F.edm" hidden="1">#REF!</definedName>
    <definedName name="_bdm.46B50CECF8B1448D9BA71B58077B92DD.edm" hidden="1">#REF!</definedName>
    <definedName name="_bdm.47415ABAF28B42B380ACD6186BBB7FFF.edm" hidden="1">#REF!</definedName>
    <definedName name="_bdm.481881804AB842A4995410D65293E331.edm" hidden="1">#N/A</definedName>
    <definedName name="_bdm.482E0259FBC74402B98A806BA3A623EB.edm" hidden="1">#REF!</definedName>
    <definedName name="_bdm.485707491EC34E5AB7C4661D8C46033E.edm" hidden="1">#REF!</definedName>
    <definedName name="_bdm.486603D52B0A41308EAA522F0F700B7B.edm" hidden="1">#REF!</definedName>
    <definedName name="_bdm.49C69B5591F8437A940272489930B9EA.edm" hidden="1">#REF!</definedName>
    <definedName name="_bdm.4A424AFC423A4B92B9931B2A6702D220.edm" hidden="1">#REF!</definedName>
    <definedName name="_bdm.4A5C97D8A8B4461BB06808C9781CCA97.edm" hidden="1">#REF!</definedName>
    <definedName name="_bdm.4AC540F0263646A4B23B749E5A7CFD7E.edm" hidden="1">#REF!</definedName>
    <definedName name="_bdm.4AE6C975F8294006B0BFA06571B7FAC5.edm" hidden="1">#REF!</definedName>
    <definedName name="_bdm.4B2BFA8079DB4EF791830BB94EFFE90F.edm" hidden="1">#REF!</definedName>
    <definedName name="_bdm.4B2D5BD28B3140D4B4705065833BCDC7.edm" hidden="1">#REF!</definedName>
    <definedName name="_bdm.4BAAD788663C4927AC9B2D3273A30784.edm" hidden="1">#REF!</definedName>
    <definedName name="_bdm.4BF4D5F9A8A54BEF9E6C0813B17074E3.edm" hidden="1">#REF!</definedName>
    <definedName name="_bdm.4C0820FE73D94BA1B2B4A6A724A199CC.edm" hidden="1">#REF!</definedName>
    <definedName name="_bdm.4C44C078990642D78A02330A9225EF64.edm" hidden="1">#REF!</definedName>
    <definedName name="_bdm.4CC45777DB794402B638D2F5A2762696.edm" hidden="1">#REF!</definedName>
    <definedName name="_bdm.4d7e8b98502e4317989705faa089faf2.edm" hidden="1">#REF!</definedName>
    <definedName name="_bdm.4DA249A0C5784F35917D09DE46C4BBA0.edm" hidden="1">#REF!</definedName>
    <definedName name="_bdm.4DB2644D35F448CD9B0013A0F3915E09.edm" hidden="1">#REF!</definedName>
    <definedName name="_bdm.4E13E13C5F2F42DF87E20EBAE016B9AB.edm" hidden="1">#N/A</definedName>
    <definedName name="_bdm.4F023A98DD254131BE2E677DB226C2C4.edm" hidden="1">#REF!</definedName>
    <definedName name="_bdm.4F657E653B14431C80FBCC9DCADBB169.edm" hidden="1">#REF!</definedName>
    <definedName name="_bdm.4F73B73271114C6CB1F0D6CA023A909E.edm" hidden="1">#REF!</definedName>
    <definedName name="_bdm.4f770b3a5e064bae860d3597e730559d.edm" hidden="1">#REF!</definedName>
    <definedName name="_bdm.4FB5ED0DC1F54E89A8ABD6C62E9A1A73.edm" hidden="1">#REF!</definedName>
    <definedName name="_bdm.5011d7008c1b4c14a0608aed032c5881.edm" hidden="1">#REF!</definedName>
    <definedName name="_bdm.505BC32561004A2E8FAC6257652A957B.edm" hidden="1">#REF!</definedName>
    <definedName name="_bdm.506BB95D5FF74692ACB6C4DCCF0C02A1.edm" hidden="1">#REF!</definedName>
    <definedName name="_bdm.50D3A1D7B5584F559E494D98546BC058.edm" hidden="1">#REF!</definedName>
    <definedName name="_bdm.50FB6FE9A7204DEC8B4A147929DD201C.edm" hidden="1">#REF!</definedName>
    <definedName name="_bdm.5131554936EB402C9C0ADC73C0942BDF.edm" hidden="1">#REF!</definedName>
    <definedName name="_bdm.513edb90263148bb83d38ec28cc89d90.edm" hidden="1">#REF!</definedName>
    <definedName name="_bdm.51F2C2ABCE3D47D3AFEF2C48D35EF1AE.edm" hidden="1">#REF!</definedName>
    <definedName name="_bdm.52205806B7494501B935897EDAE40C47.edm" hidden="1">#REF!</definedName>
    <definedName name="_bdm.5222E973893B4D419699D266C985636B.edm" hidden="1">#REF!</definedName>
    <definedName name="_bdm.5317156ED3834B09918F6E9C916C8030.edm" hidden="1">#REF!</definedName>
    <definedName name="_bdm.532855C8713A4ED2BE65859A52DE38A6.edm" hidden="1">#REF!</definedName>
    <definedName name="_bdm.5381E876F578457791B38D1DC0F111ED.edm" hidden="1">#REF!</definedName>
    <definedName name="_bdm.5407610E4A3949798C32D51045BF3275.edm" hidden="1">#REF!</definedName>
    <definedName name="_bdm.5556D73EAF13440A88C2A923F0104106.edm" hidden="1">#REF!</definedName>
    <definedName name="_bdm.5556dc0476f14d68b13ce2ba9783223a.edm" hidden="1">#REF!</definedName>
    <definedName name="_bdm.55EA4041DC1946C39D44477DE8810544.edm" hidden="1">#REF!</definedName>
    <definedName name="_bdm.55EBCDF38506436ABCF2B64FA3767621.edm" hidden="1">#REF!</definedName>
    <definedName name="_bdm.5644e99cc6974b78bf5e19c76821139a.edm" hidden="1">#REF!</definedName>
    <definedName name="_bdm.56612c627c0e4f2896a2a80c3630c42a.edm" hidden="1">#REF!</definedName>
    <definedName name="_bdm.566fe5a92e164799966a61da3c913e94.edm" hidden="1">#REF!</definedName>
    <definedName name="_bdm.569343150CEE4E949874014E31384266.edm" hidden="1">#REF!</definedName>
    <definedName name="_bdm.56D5D11E1C9A41AF9F370F08D6EB511C.edm" hidden="1">#REF!</definedName>
    <definedName name="_bdm.56F72C0613F04AEC97700FF20C5F9B86.edm" hidden="1">#REF!</definedName>
    <definedName name="_bdm.5774105F019240CD8319D8CD8D95D706.edm" hidden="1">#REF!</definedName>
    <definedName name="_bdm.5787AD1ACC334FDB8E2263B1F024685F.edm" hidden="1">#REF!</definedName>
    <definedName name="_bdm.57FA3EE63C6F43B6BC1A78D17833CF38.edm" hidden="1">#N/A</definedName>
    <definedName name="_bdm.5822C7B2DBBD4570AED0FA491B178A20.edm" hidden="1">#REF!</definedName>
    <definedName name="_bdm.59097C90020849E584C54BBE15C02D79.edm" hidden="1">#REF!</definedName>
    <definedName name="_bdm.591c5f18c4334980a886e189b73faf77.edm" hidden="1">#REF!</definedName>
    <definedName name="_bdm.591EB47C21C740079DFA03DBF9B896A6.edm" hidden="1">#REF!</definedName>
    <definedName name="_bdm.5A06B77531BB40EAB24074C943DCD22A.edm" hidden="1">#REF!</definedName>
    <definedName name="_bdm.5AB0290907E74A59AD61C108619557BF.edm" hidden="1">#REF!</definedName>
    <definedName name="_bdm.5AD944435AAB4E59BE5754CEE8639177.edm" hidden="1">#REF!</definedName>
    <definedName name="_bdm.5B01567551CF4D0F9516DB9616A4CC65.edm" hidden="1">#REF!</definedName>
    <definedName name="_bdm.5B39FF2E51684801BF2B19C6CA4C5623.edm" hidden="1">#REF!</definedName>
    <definedName name="_bdm.5B7727DF487A4ED1A970FE868DCAB737.edm" hidden="1">#REF!</definedName>
    <definedName name="_bdm.5BED8E322A0E4D21AD81A57E4077B268.edm" hidden="1">#REF!</definedName>
    <definedName name="_bdm.5CF81FEE6E9A4189820ECA41DD31C6C1.edm" hidden="1">#REF!</definedName>
    <definedName name="_bdm.5D31E83EAF3C44D1AB191842C1200959.edm" hidden="1">#REF!</definedName>
    <definedName name="_bdm.5D83D4FAA6344614A40E21DB9160887C.edm" hidden="1">#REF!</definedName>
    <definedName name="_bdm.5E033E8614194FCBADEF7EB7A716B0A7.edm" hidden="1">#REF!</definedName>
    <definedName name="_bdm.5e11f69969314c439fbe3664f30fee7d.edm" hidden="1">#REF!</definedName>
    <definedName name="_bdm.5E3A688369224664B12548FD15A516DD.edm" hidden="1">#REF!</definedName>
    <definedName name="_bdm.600594aab2824bd78b75a7b1f116546c.edm" hidden="1">#REF!</definedName>
    <definedName name="_bdm.603487ff383d493d913c0c12efc254ab.edm" hidden="1">#REF!</definedName>
    <definedName name="_bdm.604BF667BDBF4BF191BB2AFF3973B8FA.edm" hidden="1">#REF!</definedName>
    <definedName name="_bdm.606439BA82B9464F87851B49F611E17B.edm" hidden="1">#REF!</definedName>
    <definedName name="_bdm.60C1A0D19FAF481989BB82933BC0DB92.edm" hidden="1">#REF!</definedName>
    <definedName name="_bdm.60D1E9AD46C44C31BD4921876B6B8E89.edm" hidden="1">#REF!</definedName>
    <definedName name="_bdm.60D496C198B94FE88AAC240F81DA2AE4.edm" hidden="1">#REF!</definedName>
    <definedName name="_bdm.60D9BAA530494B848C89FD091AD27B44.edm" hidden="1">#REF!</definedName>
    <definedName name="_bdm.60e7dcf42a0343e48bf25ae7367eeaa3.edm" hidden="1">#REF!</definedName>
    <definedName name="_bdm.61330CBA08904ACAB64AC6F5479848F8.edm" hidden="1">#REF!</definedName>
    <definedName name="_bdm.61C0268107124E37A9B886DBD4485DAA.edm" hidden="1">#REF!</definedName>
    <definedName name="_bdm.61c3ce8cc6ec41fb88dd4e56e1b8c01b.edm" hidden="1">#REF!</definedName>
    <definedName name="_bdm.61ED02BFE0B348829184BE36B07771C8.edm" hidden="1">#REF!</definedName>
    <definedName name="_bdm.62014CE4344B47469900109D23F83536.edm" hidden="1">#REF!</definedName>
    <definedName name="_bdm.621903F4E3F24FD0B6FC2ED5D809768E.edm" hidden="1">#REF!</definedName>
    <definedName name="_bdm.6384E401ACF242E2947ECB9198E5E73A.edm" hidden="1">#REF!</definedName>
    <definedName name="_bdm.638ED91A93804F5D9E69120C0D3D71A8.edm" hidden="1">#REF!</definedName>
    <definedName name="_bdm.63941e6d1b244216828ac170564845fb.edm" hidden="1">#REF!</definedName>
    <definedName name="_bdm.639E0DA34E18487AB31CE96EC0A44870.edm" hidden="1">#REF!</definedName>
    <definedName name="_bdm.63CE9CF74A934A2CABE43E0C9A5325A7.edm" hidden="1">#REF!</definedName>
    <definedName name="_bdm.648AD1D8D6B744EFA7969766C1C9688A.edm" hidden="1">#REF!</definedName>
    <definedName name="_bdm.654C8EDA268E41A0BB9FEA30B24668CE.edm" hidden="1">#REF!</definedName>
    <definedName name="_bdm.658BD73E718B4E1C912C47566B23EE2B.edm" hidden="1">#REF!</definedName>
    <definedName name="_bdm.6631D025E3DA4129A5C05DEFF0A78E72.edm" hidden="1">#REF!</definedName>
    <definedName name="_bdm.664080757F3D4BC2A61C0A8E7F58284F.edm" hidden="1">#N/A</definedName>
    <definedName name="_bdm.6657855B840E42128A201BE863EC1AD9.edm" hidden="1">#REF!</definedName>
    <definedName name="_bdm.665FCB1D52C344F389D375804F17A17C.edm" hidden="1">#REF!</definedName>
    <definedName name="_bdm.66AF624733E24EBC8EE41466C72B1FF8.edm" hidden="1">#REF!</definedName>
    <definedName name="_bdm.66F6802BBD9B4638ACDB08834F16FCF6.edm" hidden="1">#REF!</definedName>
    <definedName name="_bdm.6854F5B3A1074E21A7E29A900CF9C0FD.edm" hidden="1">#REF!</definedName>
    <definedName name="_bdm.68AE8E8816004C59BF6F22A4E29BB438.edm" hidden="1">#REF!</definedName>
    <definedName name="_bdm.68C1455F3C744CD3B4FAFEA63902F454.edm" hidden="1">#REF!</definedName>
    <definedName name="_bdm.69B894C4E5A8465F8862773CAE413F97.edm" hidden="1">#REF!</definedName>
    <definedName name="_bdm.6ABD906E889542728B71832173617762.edm" hidden="1">#REF!</definedName>
    <definedName name="_bdm.6AFB8EC9794F4B969C3DC3748E73F7B9.edm" hidden="1">#REF!</definedName>
    <definedName name="_bdm.6B922E2C01B840F3846C2C49675DC960.edm" hidden="1">#REF!</definedName>
    <definedName name="_bdm.6BC95A4A6A5B49C3A2326DE710415184.edm" hidden="1">#REF!</definedName>
    <definedName name="_bdm.6bf6471b7c4d4d4f9297a17dbddfaf55.edm" hidden="1">#REF!</definedName>
    <definedName name="_bdm.6c1b6dd0d3574147a98bebf526aaaaa8.edm" hidden="1">#REF!</definedName>
    <definedName name="_bdm.6D53DE4225324FDCBF9AA92886584D79.edm" hidden="1">#REF!</definedName>
    <definedName name="_bdm.6D8BB308F1A7454584FC7D1C95409EBC.edm" hidden="1">#REF!</definedName>
    <definedName name="_bdm.6E4CA2400FD148C6ABD12E10316F5FB2.edm" hidden="1">#REF!</definedName>
    <definedName name="_bdm.6E6AC3AB029949FD882DE6CF28E96A18.edm" hidden="1">#REF!</definedName>
    <definedName name="_bdm.6E7E7A9B6C344B019A02AB74EB3A849C.edm" hidden="1">#REF!</definedName>
    <definedName name="_bdm.6EEC5A193E16440E948667A92332B274.edm" hidden="1">#REF!</definedName>
    <definedName name="_bdm.6EFF6BF9DA394A29AB4619CF14E80301.edm" hidden="1">#N/A</definedName>
    <definedName name="_bdm.6F69026AB7F74852B6E976FF69BD3B79.edm" hidden="1">#REF!</definedName>
    <definedName name="_bdm.6FE180B454FB43358B7047BB5BFCA0E6.edm" hidden="1">#REF!</definedName>
    <definedName name="_bdm.70058EEE7BCB482F8E1363DCED650E60.edm" hidden="1">#REF!</definedName>
    <definedName name="_bdm.7038DB908F4F4C80AC08D58013794A10.edm" hidden="1">#REF!</definedName>
    <definedName name="_bdm.705760A1B45140F9B71328111DEC6C1A.edm" hidden="1">#REF!</definedName>
    <definedName name="_bdm.710C7DA6F4DF4B42B668C074065CAC09.edm" hidden="1">#REF!</definedName>
    <definedName name="_bdm.71F0BB01B7E64656915E0781B5F4896E.edm" hidden="1">#REF!</definedName>
    <definedName name="_bdm.722FFBA31F474BFAB735063A64B90C1F.edm" hidden="1">#REF!</definedName>
    <definedName name="_bdm.7232396e7f144792a455af3a03febebe.edm" hidden="1">#REF!</definedName>
    <definedName name="_bdm.72E6923CAC814F5E850DB1877FE33636.edm" hidden="1">#N/A</definedName>
    <definedName name="_bdm.73017CA1697D4E179562DE45A692A8D1.edm" hidden="1">#REF!</definedName>
    <definedName name="_bdm.7356D19C508E45D5BCA036988C40826A.edm" hidden="1">#REF!</definedName>
    <definedName name="_bdm.74948890E52A4A12B6FEE1C8F759F4B3.edm" hidden="1">#REF!</definedName>
    <definedName name="_bdm.74A9476FAC55418499D93F7D398E7EF4.edm" hidden="1">#REF!</definedName>
    <definedName name="_bdm.74E7E27736D841FD861DBC138FF10505.edm" hidden="1">#REF!</definedName>
    <definedName name="_bdm.74EF0CA68A23406B8F83AC6C95DC30C5.edm" hidden="1">#REF!</definedName>
    <definedName name="_bdm.7500A888C25C4A7A9D607197D0216FE5.edm" hidden="1">#REF!</definedName>
    <definedName name="_bdm.75F1D394719348F4837FD5C38CD0E50D.edm" hidden="1">#REF!</definedName>
    <definedName name="_bdm.7600CB5C2BF74B4B9CC987CA00103588.edm" hidden="1">#REF!</definedName>
    <definedName name="_bdm.760CE0791FFA4C46885A609CCE539100.edm" hidden="1">#REF!</definedName>
    <definedName name="_bdm.763E9B061D824965ABE00FECE1C119CE.edm" hidden="1">#REF!</definedName>
    <definedName name="_bdm.763F178D80114F57820E4C6C0024777D.edm" hidden="1">#REF!</definedName>
    <definedName name="_bdm.766242ecedfb4a8da805fb918ee09d9b.edm" hidden="1">#REF!</definedName>
    <definedName name="_bdm.76A83B961E724F848C72CFBCC8C89D79.edm" hidden="1">#REF!</definedName>
    <definedName name="_bdm.7704643C2DB34A3F918143DECA3C4DE2.edm" hidden="1">#N/A</definedName>
    <definedName name="_bdm.775f1b92231345beac5b6a7ed0baab63.edm" hidden="1">#REF!</definedName>
    <definedName name="_bdm.7840EB5D15424756B94CF933E38E96E2.edm" hidden="1">#REF!</definedName>
    <definedName name="_bdm.7878728B0549452A831B7C33AA636A5B.edm" hidden="1">#REF!</definedName>
    <definedName name="_bdm.787EA5A165CF43FB8E0A5924FA31108D.edm" hidden="1">#REF!</definedName>
    <definedName name="_bdm.78c6c072f20b4c82ba824fdb6065a9b9.edm" hidden="1">#REF!</definedName>
    <definedName name="_bdm.79589ABDEFB54FB09CD421FD6832248F.edm" hidden="1">#REF!</definedName>
    <definedName name="_bdm.7A39769AA990408F98A40E93E2C328B7.edm" hidden="1">#REF!</definedName>
    <definedName name="_bdm.7A63497052294108BBB8C9F28C1714CA.edm" hidden="1">#REF!</definedName>
    <definedName name="_bdm.7ABE8D07F0BC4810B6A1CF0F06B0D822.edm" hidden="1">#REF!</definedName>
    <definedName name="_bdm.7AE6D4C9BFD44A24884B0E7783F34497.edm" hidden="1">#REF!</definedName>
    <definedName name="_bdm.7B83263CB2EA40A3A1C326F4B64FF272.edm" hidden="1">#REF!</definedName>
    <definedName name="_bdm.7BAB045F55674A75B88F57B71127A243.edm" hidden="1">#REF!</definedName>
    <definedName name="_bdm.7C1450A0D06448B0B7349F8EEA36977C.edm" hidden="1">#REF!</definedName>
    <definedName name="_bdm.7C70E420607249B397E3C4F49521F10D.edm" hidden="1">#REF!</definedName>
    <definedName name="_bdm.7C8F732387564934BFF94B2B3A2F1708.edm" hidden="1">#REF!</definedName>
    <definedName name="_bdm.7D3ECE4F25C94A6EBE538786CFBAF74B.edm" hidden="1">#REF!</definedName>
    <definedName name="_bdm.7D79CCEAE23C43E28C60B86A3AE5E0E2.edm" hidden="1">#REF!</definedName>
    <definedName name="_bdm.7D95730C247643EEA3B963D7969C456D.edm" hidden="1">#REF!</definedName>
    <definedName name="_bdm.7E889CBB27EA41159176861147F0AFC5.edm" hidden="1">#REF!</definedName>
    <definedName name="_bdm.7eacf50218da4246835f27f177d5fadb.edm" hidden="1">#REF!</definedName>
    <definedName name="_bdm.7EC65D909DF840588A6CA3F04BE3A31E.edm" hidden="1">#REF!</definedName>
    <definedName name="_bdm.7F13F3083E614A29B32E7B4151F4A016.edm" hidden="1">#REF!</definedName>
    <definedName name="_bdm.8014a81f189c43e0b9afcdbf2b56d201.edm" hidden="1">#REF!</definedName>
    <definedName name="_bdm.804F03656EE34D2DB392885B01F57F3D.edm" hidden="1">#REF!</definedName>
    <definedName name="_bdm.805FFD14F628439A8928B3AF3F0F25B8.edm" hidden="1">#REF!</definedName>
    <definedName name="_bdm.80A6D6EF19614E129E482B00B90292B5.edm" hidden="1">#REF!</definedName>
    <definedName name="_bdm.80B2266AE52841B79E2E9F23BF6E8149.edm" hidden="1">#REF!</definedName>
    <definedName name="_bdm.80E4624CFA544DF49D9E78665703B7DE.edm" hidden="1">#REF!</definedName>
    <definedName name="_bdm.80F6FA82A31A47C58A68A0EDE1223DD1.edm" hidden="1">#REF!</definedName>
    <definedName name="_bdm.81406bbfc2274232a76c23a59e79bfb1.edm" hidden="1">#REF!</definedName>
    <definedName name="_bdm.81A7DCB98AFA442597C5DECE5FAF135A.edm" hidden="1">#REF!</definedName>
    <definedName name="_bdm.8289850a63a64f30bd416943f73445c8.edm" hidden="1">#REF!</definedName>
    <definedName name="_bdm.84029fd2204a4f1c996d0c483f410cb3.edm" hidden="1">#REF!</definedName>
    <definedName name="_bdm.842888B6F15043AFBC913C1A8E0142B0.edm" hidden="1">#REF!</definedName>
    <definedName name="_bdm.8441f24cef574b5fb37560a8cdaebb2c.edm" hidden="1">#REF!</definedName>
    <definedName name="_bdm.84E01D2DBA1A4CCE9697F725B5F39C5C.edm" hidden="1">#REF!</definedName>
    <definedName name="_bdm.85D6C78B2B5D4D4793BCC71891259F85.edm" hidden="1">#REF!</definedName>
    <definedName name="_bdm.85E7D943FFDF4849BADDF66B787F0FE0.edm" hidden="1">#REF!</definedName>
    <definedName name="_bdm.8619819714C34785A60673868673C589.edm" hidden="1">#REF!</definedName>
    <definedName name="_bdm.8624F4AE44E14A7497E1D4088F797A76.edm" hidden="1">#REF!</definedName>
    <definedName name="_bdm.862a365d7ee245cb922b5685355cd389.edm" hidden="1">#REF!</definedName>
    <definedName name="_bdm.86539AE4DFAD4FEF8F7BC13CED1B65BD.edm" hidden="1">#REF!</definedName>
    <definedName name="_bdm.86B8F6E048DD42EDB1E538D2B5AB72A7.edm" hidden="1">#REF!</definedName>
    <definedName name="_bdm.86e418e1668348e480fcd41532825c9c.edm" hidden="1">#REF!</definedName>
    <definedName name="_bdm.86feeadfae7a481cb8b93c50284d2830.edm" hidden="1">#REF!</definedName>
    <definedName name="_bdm.8739F0B826D74C0F92B3EFB384E0D99A.edm" hidden="1">#REF!</definedName>
    <definedName name="_bdm.875710AB518640B6B7A4C6C360BD885A.edm" hidden="1">#REF!</definedName>
    <definedName name="_bdm.87EC8B54D0914194933649F313CF4230.edm" hidden="1">#REF!</definedName>
    <definedName name="_bdm.8821B96569564C7783F9355FD275A864.edm" hidden="1">#REF!</definedName>
    <definedName name="_bdm.882C59D4404640129C696AF15CB3755A.edm" hidden="1">#REF!</definedName>
    <definedName name="_bdm.8921AA538C6B4B109BBA62E9534A9C14.edm" hidden="1">#REF!</definedName>
    <definedName name="_bdm.89E6BDEE223B433E91AA988BACACCCA7.edm" hidden="1">#REF!</definedName>
    <definedName name="_bdm.8A08EA11AC38492FAE61DFC7796E493D.edm" hidden="1">#REF!</definedName>
    <definedName name="_bdm.8A0F2319A84943EABB2C42CE92AECFCE.edm" hidden="1">#REF!</definedName>
    <definedName name="_bdm.8A531667E06F41F589ECBE50EB131292.edm" hidden="1">#REF!</definedName>
    <definedName name="_bdm.8AA8BD0F69204775B0A74378BF5202C4.edm" hidden="1">#REF!</definedName>
    <definedName name="_bdm.8B35F89D16034126B13D53ADFD7752D5.edm" hidden="1">#REF!</definedName>
    <definedName name="_bdm.8D37ED638AD34A37AE5E53618DBE8226.edm" hidden="1">#REF!</definedName>
    <definedName name="_bdm.8d7830f59c774cbda20b2d4b21b36bca.edm" hidden="1">#REF!</definedName>
    <definedName name="_bdm.8DA6119DB8FF4E89A70AD5D4C3D3F063.edm" hidden="1">#N/A</definedName>
    <definedName name="_bdm.8DBC5E47CDA840288DE96589919BE62B.edm" hidden="1">#REF!</definedName>
    <definedName name="_bdm.8DCCCB4B2BC14C1AA84A9FF8A30B1264.edm" hidden="1">#REF!</definedName>
    <definedName name="_bdm.8F6996C8B88741B4AFC085E2E31F5F45.edm" hidden="1">#REF!</definedName>
    <definedName name="_bdm.8F7EA46C2AF44FD8B9853320F4C1D308.edm" hidden="1">#REF!</definedName>
    <definedName name="_bdm.8F9D84B1DA024119B21C33A792531846.edm" hidden="1">#REF!</definedName>
    <definedName name="_bdm.8FB8D0476D434CF0BB12679ACFD65F47.edm" hidden="1">#REF!</definedName>
    <definedName name="_bdm.8FC3C75C3F864B7BAD2586F1891B40CD.edm" hidden="1">#REF!</definedName>
    <definedName name="_bdm.900DA900218A492AAE89E907EDA27C79.edm" hidden="1">#REF!</definedName>
    <definedName name="_bdm.9021E5C64433461DA2545928D8C14D7C.edm" hidden="1">#REF!</definedName>
    <definedName name="_bdm.90827DD3B8DA47E6B20CF91F7AEB8DEF.edm" hidden="1">#REF!</definedName>
    <definedName name="_bdm.9153024C63394F95B439E2F1733EFCDE.edm" hidden="1">#REF!</definedName>
    <definedName name="_bdm.91A0B11909A947559083CFFAB8CC725C.edm" hidden="1">#REF!</definedName>
    <definedName name="_bdm.91B5014D282441F0AE56633B86379C51.edm" hidden="1">#REF!</definedName>
    <definedName name="_bdm.9295845727974FDA81DFBC25B6C85439.edm" hidden="1">#REF!</definedName>
    <definedName name="_bdm.92c6e2fd23fa4acf8b6e47a12fe7f94a.edm" hidden="1">#REF!</definedName>
    <definedName name="_bdm.92DE871363C0464F9E085F9868F72FF2.edm" hidden="1">#REF!</definedName>
    <definedName name="_bdm.93235CC542A84AE781376A3CAB8201B5.edm" hidden="1">#REF!</definedName>
    <definedName name="_bdm.932A88661F144B0EB0A1ABEBBFF74D41.edm" hidden="1">#REF!</definedName>
    <definedName name="_bdm.937E5C54C9C04661B537B3722FEFC15D.edm" hidden="1">#REF!</definedName>
    <definedName name="_bdm.93E88A72D9144BD9A88F5D8E349C4FC6.edm" hidden="1">#REF!</definedName>
    <definedName name="_bdm.94810449B91145CF8FE2D04E4EAC48FB.edm" hidden="1">#REF!</definedName>
    <definedName name="_bdm.948A18E54F854DF78AA6F2EA7F0F0676.edm" hidden="1">#REF!</definedName>
    <definedName name="_bdm.949B2547748F49B197C942B5AC4E9AFE.edm" hidden="1">#REF!</definedName>
    <definedName name="_bdm.94D63755E22F41798F4B40D8943C2F3C.edm" hidden="1">#REF!</definedName>
    <definedName name="_bdm.955BB573355F4380B529B457D6A9B8DB.edm" hidden="1">#REF!</definedName>
    <definedName name="_bdm.958a9696b4a349debe7d31303cf606e8.edm" hidden="1">#REF!</definedName>
    <definedName name="_bdm.95936FC30BE54F4F8BD88B9FADB3B06B.edm" hidden="1">#REF!</definedName>
    <definedName name="_bdm.9646B478C6A44110A39C09C611292BC6.edm" hidden="1">#REF!</definedName>
    <definedName name="_bdm.9653DE5D1DE340038545453292074708.edm" hidden="1">#REF!</definedName>
    <definedName name="_bdm.967b89721a8f44b8b7abff48b795d59c.edm" hidden="1">#REF!</definedName>
    <definedName name="_bdm.96A92CA2E0A5491A9F4EC2A597DD5C80.edm" hidden="1">#REF!</definedName>
    <definedName name="_bdm.96D833F6ECB84ED69D43C8F7783FCDA7.edm" hidden="1">#REF!</definedName>
    <definedName name="_bdm.9705da9c72f24415984a8fadef332d3a.edm" hidden="1">#REF!</definedName>
    <definedName name="_bdm.972A0188B6C74475B4B9ABABAF0CE384.edm" hidden="1">#REF!</definedName>
    <definedName name="_bdm.9824D1854B07496E92FBB3FBEBC06588.edm" hidden="1">#REF!</definedName>
    <definedName name="_bdm.9843AFC235C14AFC84C910A41F40EB0A.edm" hidden="1">#REF!</definedName>
    <definedName name="_bdm.986EF8DB917447AC8DC9400BF7AE52B3.edm" hidden="1">#REF!</definedName>
    <definedName name="_bdm.9877ACEE390C45A196CB01D5E3BB3F25.edm" hidden="1">#REF!</definedName>
    <definedName name="_bdm.9933D23F27BF46B8A50BF44F8F24C7E1.edm" hidden="1">#REF!</definedName>
    <definedName name="_bdm.99F55084A5364FE6884E1669DD980415.edm" hidden="1">#REF!</definedName>
    <definedName name="_bdm.9A040B5ACDCB4B0698A5B5E86E5A054C.edm" hidden="1">#REF!</definedName>
    <definedName name="_bdm.9A24B22176BD46AE80F61283EB784C24.edm" hidden="1">#REF!</definedName>
    <definedName name="_bdm.9A2B326206C24FF9BF9246D48686EF69.edm" hidden="1">#N/A</definedName>
    <definedName name="_bdm.9A33AC905BB444F196611646F4B45A33.edm" hidden="1">#REF!</definedName>
    <definedName name="_bdm.9a45c2d095a245d581393c0ae7fe4583.edm" hidden="1">#REF!</definedName>
    <definedName name="_bdm.9B405D01CC23443DB1C18C31CC760CA5.edm" hidden="1">#REF!</definedName>
    <definedName name="_bdm.9B4B4AED967146C2B5105E244C24BC28.edm" hidden="1">#REF!</definedName>
    <definedName name="_bdm.9C53B09F598E47D48CB6C24D9DCA09FC.edm" hidden="1">#N/A</definedName>
    <definedName name="_bdm.9C693B1F8DD14A379D9CA0C4D57FE6E2.edm" hidden="1">#REF!</definedName>
    <definedName name="_bdm.9CAF6C027A14488E8A0EEBFD8D5AC962.edm" hidden="1">#REF!</definedName>
    <definedName name="_bdm.9D56EB5F43204F978F37E4C059A868D1.edm" hidden="1">#REF!</definedName>
    <definedName name="_bdm.9D6AFCC90CAC4A59B167272DC3455CD4.edm" hidden="1">#REF!</definedName>
    <definedName name="_bdm.9D7AEA57863E4A2390DF02EEBA36AE3A.edm" hidden="1">#REF!</definedName>
    <definedName name="_bdm.9da63cfb85724b9a8bf84d7ac0a902cb.edm" hidden="1">#REF!</definedName>
    <definedName name="_bdm.9E6F0A82A5E5415CAAF64DE7061D11DB.edm" hidden="1">#REF!</definedName>
    <definedName name="_bdm.9F208D015B134B47B545B64FDAF07661.edm" hidden="1">#REF!</definedName>
    <definedName name="_bdm.9F46F9B0355144CD92786BC7A590E434.edm" hidden="1">#REF!</definedName>
    <definedName name="_bdm.A0CF02EA29F449759792FB9AA710768C.edm" hidden="1">#REF!</definedName>
    <definedName name="_bdm.A1817E7BA1FD45B7B1328270FF4FAF53.edm" hidden="1">#REF!</definedName>
    <definedName name="_bdm.A247B1D77986400F9A61095B26F4A68A.edm" hidden="1">#REF!</definedName>
    <definedName name="_bdm.A2D7D32E999A42C693AC64234B320B5F.edm" hidden="1">#REF!</definedName>
    <definedName name="_bdm.a39910f6b16348899ef93db85dc3b3fb.edm" hidden="1">#REF!</definedName>
    <definedName name="_bdm.A3A75D4C593949B9B996FE51C9585838.edm" hidden="1">#REF!</definedName>
    <definedName name="_bdm.A3FD5497DBE04494A34B6E84080D40A9.edm" hidden="1">#REF!</definedName>
    <definedName name="_bdm.A411065B5F324D8CBAB4FB61821C40F4.edm" hidden="1">#REF!</definedName>
    <definedName name="_bdm.A4DAC0D0633C4863AD94619826D2984F.edm" hidden="1">#REF!</definedName>
    <definedName name="_bdm.A508B333E25044FAB95CD28811999DA7.edm" hidden="1">#REF!</definedName>
    <definedName name="_bdm.A631F04C24C64FA1B3442671385A8C6F.edm" hidden="1">#REF!</definedName>
    <definedName name="_bdm.A66AE807B67643F8B8301B620184D260.edm" hidden="1">#REF!</definedName>
    <definedName name="_bdm.A6EBE14DE4BC44C28DF5E55C98A19744.edm" hidden="1">#REF!</definedName>
    <definedName name="_bdm.A7BDD56845D9412F9C4B0BA7F995B457.edm" hidden="1">#REF!</definedName>
    <definedName name="_bdm.A8855C368B0441E792C540656C2568A1.edm" hidden="1">#REF!</definedName>
    <definedName name="_bdm.A89FC4F87AEB428881A8D060C0D25C93.edm" hidden="1">#REF!</definedName>
    <definedName name="_bdm.A93E44EA09E7485B995131FEAF4E6B0F.edm" hidden="1">#REF!</definedName>
    <definedName name="_bdm.A956A545376C41AFA0BB6E78FDB1E463.edm" hidden="1">#REF!</definedName>
    <definedName name="_bdm.a959b5b656774de0ad9704988d477132.edm" hidden="1">#REF!</definedName>
    <definedName name="_bdm.A99AFBA406D64FB89B6DD45DCD9B359B.edm" hidden="1">#REF!</definedName>
    <definedName name="_bdm.AA1DA22D2B6242A1B834E84EBA658562.edm" hidden="1">#REF!</definedName>
    <definedName name="_bdm.aa503b83e58841f894b56e35fcd4758d.edm" hidden="1">#REF!</definedName>
    <definedName name="_bdm.AA800F43136D43E48FE84EB8F11154AC.edm" hidden="1">#REF!</definedName>
    <definedName name="_bdm.AA83FF06981C438D9FFB6784B6C11E6B.edm" hidden="1">#REF!</definedName>
    <definedName name="_bdm.AB061C648D314BCBBEB8E5498C965AFF.edm" hidden="1">#REF!</definedName>
    <definedName name="_bdm.AB5EC28A3C6F4DBBB2909BDAFC1FA969.edm" hidden="1">#REF!</definedName>
    <definedName name="_bdm.ABE8C9034EC54986B0EE063EDD66AB43.edm" hidden="1">#REF!</definedName>
    <definedName name="_bdm.AD41DDE7431F4602AB79648F8DFACF67.edm" hidden="1">#REF!</definedName>
    <definedName name="_bdm.AD5A6331246A4F19A261362F47B704A5.edm" hidden="1">#REF!</definedName>
    <definedName name="_bdm.ADD40332324C4D18A8C9D57083A36C27.edm" hidden="1">#REF!</definedName>
    <definedName name="_bdm.ae0c22fb8a9040fea0e5045247bc7e8c.edm" hidden="1">#REF!</definedName>
    <definedName name="_bdm.AE148FA4168546C58A598F1DF2EFA90E.edm" hidden="1">#REF!</definedName>
    <definedName name="_bdm.AE48393B14B34F5A9D1F8B314A6B61CE.edm" hidden="1">#REF!</definedName>
    <definedName name="_bdm.af0a8eeff89d47d6a3f11360025356d6.edm" hidden="1">#REF!</definedName>
    <definedName name="_bdm.AF96C98CFADB40A29FBC55BF472EC83D.edm" hidden="1">#REF!</definedName>
    <definedName name="_bdm.B0621781755A4650AB79B0F302E29759.edm" hidden="1">#REF!</definedName>
    <definedName name="_bdm.B1AB6DB0ACBD4AFEA14C0F9F6FA47775.edm" hidden="1">#REF!</definedName>
    <definedName name="_bdm.B1B8B01901474A3FAEDD99532F0512D9.edm" hidden="1">#REF!</definedName>
    <definedName name="_bdm.B21235BCF6604B82AA6C6B8F0FFF699E.edm" hidden="1">#REF!</definedName>
    <definedName name="_bdm.B2307084EF9F4C7D8716E7C83539FC82.edm" hidden="1">#REF!</definedName>
    <definedName name="_bdm.B238B0BF07174C20BE49BB50D2EFA2EF.edm" hidden="1">#REF!</definedName>
    <definedName name="_bdm.b27dbbfe5d4d487b95ebe2f0e5ca2436.edm" hidden="1">#REF!</definedName>
    <definedName name="_bdm.B283837471F34CCBA9E7AF9F10093756.edm" hidden="1">#REF!</definedName>
    <definedName name="_bdm.B284BBA334874EEFA4767558940763E1.edm" hidden="1">#REF!</definedName>
    <definedName name="_bdm.b2b9dceb386140fcabb91280b2196902.edm" hidden="1">#REF!</definedName>
    <definedName name="_bdm.B2C35A47FB1A4A3F88326AF1BEB8C12C.edm" hidden="1">#REF!</definedName>
    <definedName name="_bdm.B2F3F41B90384D609C598ACA4C045722.edm" hidden="1">#REF!</definedName>
    <definedName name="_bdm.B31F0C67559C40CFBA36A3D04EB3FD7C.edm" hidden="1">#REF!</definedName>
    <definedName name="_bdm.B34198F78CC043239767DA1C385649DB.edm" hidden="1">#REF!</definedName>
    <definedName name="_bdm.B3A4BD6B228F429D84F19E39334DE333.edm" hidden="1">#N/A</definedName>
    <definedName name="_bdm.B3A9F977F4314E89BFCED45B7CD43B23.edm" hidden="1">#REF!</definedName>
    <definedName name="_bdm.B3ACEA44F2294844BF284B61ED0026F2.edm" hidden="1">#REF!</definedName>
    <definedName name="_bdm.B3C3AA356CE24FDDB9FA3667EB226B90.edm" hidden="1">#REF!</definedName>
    <definedName name="_bdm.B3E1854C8CFA4833BC002D14F0D3D6C1.edm" hidden="1">#REF!</definedName>
    <definedName name="_bdm.B4437C5413BE404383BD19DD6769B91D.edm" hidden="1">#REF!</definedName>
    <definedName name="_bdm.B44B39F24B8F404A9B79CFADC1040818.edm" hidden="1">#REF!</definedName>
    <definedName name="_bdm.B4E0A942ACB6477BA9616C7683885D79.edm" hidden="1">#REF!</definedName>
    <definedName name="_bdm.B4E22011F915428FA5A0D0B0E6F899EB.edm" hidden="1">#REF!</definedName>
    <definedName name="_bdm.B5094461F488437A9A822C174EA8AA5E.edm" hidden="1">#REF!</definedName>
    <definedName name="_bdm.b549e0319b1d4d4f8b0d40f9817d3849.edm" hidden="1">#REF!</definedName>
    <definedName name="_bdm.B5E56900AEE7463EA843066AD9C1DBB0.edm" hidden="1">#REF!</definedName>
    <definedName name="_bdm.B62AFDF0C9064AF3869DADD40F90B273.edm" hidden="1">#REF!</definedName>
    <definedName name="_bdm.B6B12FFDEA024C84B9F9141054595299.edm" hidden="1">#N/A</definedName>
    <definedName name="_bdm.B6F88C8CEE704951B11DD738AD559123.edm" hidden="1">#REF!</definedName>
    <definedName name="_bdm.B725C9C38DBC4EF480B8AD3B484E3030.edm" hidden="1">#REF!</definedName>
    <definedName name="_bdm.B75DFC9B2CE8450AA8877DDBEDBDE60B.edm" hidden="1">#REF!</definedName>
    <definedName name="_bdm.B80F625885894CA6822B3B9EC2C4B103.edm" hidden="1">#REF!</definedName>
    <definedName name="_bdm.B84D1F02013F42A68B2196ED360ECEE1.edm" hidden="1">#REF!</definedName>
    <definedName name="_bdm.B94ED3E620B644C58A62EB65AAA1D7FF.edm" hidden="1">#REF!</definedName>
    <definedName name="_bdm.B97D9B136D0A4F9BB5287231BCBB617C.edm" hidden="1">#REF!</definedName>
    <definedName name="_bdm.B993F17BDCB944D7B0FDD7C6618720FA.edm" hidden="1">#REF!</definedName>
    <definedName name="_bdm.B9A8D500C744459C9F195AC41BDB245D.edm" hidden="1">#REF!</definedName>
    <definedName name="_bdm.B9DB597268FF4E6A9C506BE1E771F551.edm" hidden="1">#REF!</definedName>
    <definedName name="_bdm.B9DF74829F3B4CD6988F4DE0DB1BCF38.edm" hidden="1">#REF!</definedName>
    <definedName name="_bdm.B9FA0D73802D460D9753D070E00F2518.edm" hidden="1">#REF!</definedName>
    <definedName name="_bdm.BA35F86C913C454C9F7E55A2F807E4BE.edm" hidden="1">#REF!</definedName>
    <definedName name="_bdm.BA87B23BDD0045309F1DFE71D4C3B113.edm" hidden="1">#REF!</definedName>
    <definedName name="_bdm.BABF452210574A9CA93D617BC84B3A91.edm" hidden="1">#REF!</definedName>
    <definedName name="_bdm.BAD6743125F64CF5B46CFDEB8D68D329.edm" hidden="1">#REF!</definedName>
    <definedName name="_bdm.BAF090EDB36940DF8EAB5F8FDBC9917A.edm" hidden="1">#REF!</definedName>
    <definedName name="_bdm.BB998E3468A04264B722FFB382DAD4A6.edm" hidden="1">#REF!</definedName>
    <definedName name="_bdm.BC0211E181094707BD7C6FE5463B3D99.edm" hidden="1">#REF!</definedName>
    <definedName name="_bdm.BCC54364CD1942AC8C89A97A92113290.edm" hidden="1">#REF!</definedName>
    <definedName name="_bdm.BD495EBDC1914DBD9B6470BCA0B93927.edm" hidden="1">#REF!</definedName>
    <definedName name="_bdm.BDF86781587B4CE2802B5B5770960A62.edm" hidden="1">#REF!</definedName>
    <definedName name="_bdm.BF26B38A53B94A02B49ED20FDC7B90F7.edm" hidden="1">#REF!</definedName>
    <definedName name="_bdm.BF38EDEC9C0741078123029737F9BFD3.edm" hidden="1">#REF!</definedName>
    <definedName name="_bdm.bf48fd25b20d48ffaa1b4fdef5e2ae5e.edm" hidden="1">#REF!</definedName>
    <definedName name="_bdm.C0304B96ECE24D2992715D7FCE5D8B71.edm" hidden="1">#REF!</definedName>
    <definedName name="_bdm.C0543421CD694029A02AED39B7B4A4E4.edm" hidden="1">#REF!</definedName>
    <definedName name="_bdm.C05F64A50B1C49B18A42EF3653A60752.edm" hidden="1">#REF!</definedName>
    <definedName name="_bdm.C0AF0529C5EE4334BC78FCB26BC04820.edm" hidden="1">#REF!</definedName>
    <definedName name="_bdm.C0F450AE914E4376B0FFB9F969683C09.edm" hidden="1">#REF!</definedName>
    <definedName name="_bdm.C1E9DC370AFD493B96374786ACD5EFEA.edm" hidden="1">#REF!</definedName>
    <definedName name="_bdm.c2221da5cfa14ebc97a26c23bbe958b0.edm" hidden="1">#REF!</definedName>
    <definedName name="_bdm.C2B2D6ED6A2E46B79F04E519AC7AF970.edm" hidden="1">#REF!</definedName>
    <definedName name="_bdm.C3237E6B1FFC4DCBA75404594775A07E.edm" hidden="1">#REF!</definedName>
    <definedName name="_bdm.C339B5DB3E594D95A66F2D5E433755E4.edm" hidden="1">#REF!</definedName>
    <definedName name="_bdm.C36A13298BB54AD88301BD1203C4CD54.edm" hidden="1">#REF!</definedName>
    <definedName name="_bdm.C37CDF7D9160439B8EE8D5B3B3971FA5.edm" hidden="1">#REF!</definedName>
    <definedName name="_bdm.C40B67D061CB44D88266843C77C4A875.edm" hidden="1">#REF!</definedName>
    <definedName name="_bdm.C570CEC2E201448697EEA67AEEC48C92.edm" hidden="1">#REF!</definedName>
    <definedName name="_bdm.C5DC8FA93DE442CCB61B4A0C11C100E3.edm" hidden="1">#REF!</definedName>
    <definedName name="_bdm.C5EA0C259E63403D93B5EA89078017EC.edm" hidden="1">#REF!</definedName>
    <definedName name="_bdm.C6431F7D8E184B61B695E4CD7A6BA286.edm" hidden="1">#REF!</definedName>
    <definedName name="_bdm.C6B7218D518D4DEFBDE91D23E5344CC7.edm" hidden="1">#REF!</definedName>
    <definedName name="_bdm.C6CBB324C3DF4C78ADFFE620653991B6.edm" hidden="1">#REF!</definedName>
    <definedName name="_bdm.C752B30334FD4D6B911EEB3E8BFBCDB8.edm" hidden="1">#REF!</definedName>
    <definedName name="_bdm.C7DBB29E3D8D41B69A73DF63E338BC5B.edm" hidden="1">#REF!</definedName>
    <definedName name="_bdm.C7EC7C9397A74D5B838601EA86DF84CF.edm" hidden="1">#REF!</definedName>
    <definedName name="_bdm.C80DFA93FBFA43969ECC38920DD2C9C2.edm" hidden="1">#REF!</definedName>
    <definedName name="_bdm.C88AFA8E94C6438498AB0CFC62AF535D.edm" hidden="1">#N/A</definedName>
    <definedName name="_bdm.C92855286E524CC6AA6FE531BB1AC235.edm" hidden="1">#REF!</definedName>
    <definedName name="_bdm.c96bb1d40f9f4f838e6bf1319a50ca65.edm" hidden="1">#REF!</definedName>
    <definedName name="_bdm.CB1F284F6F3F44C7AA34271F2E4A7366.edm" hidden="1">#REF!</definedName>
    <definedName name="_bdm.CB22EAFD62BC44F2824F5B70DE2722FC.edm" hidden="1">#REF!</definedName>
    <definedName name="_bdm.CC8D4248568C4E39836F45FE408706B5.edm" hidden="1">#REF!</definedName>
    <definedName name="_bdm.CC971240B06D4B72974932A5991C4C48.edm" hidden="1">#REF!</definedName>
    <definedName name="_bdm.CCDBB06690E640C1A8B075607965F8FB.edm" hidden="1">#REF!</definedName>
    <definedName name="_bdm.CD26987DE32D4671AE827B5655D52F15.edm" hidden="1">#REF!</definedName>
    <definedName name="_bdm.ce427e876e6242df92a079a5b9e432a2.edm" hidden="1">#REF!</definedName>
    <definedName name="_bdm.CEB1A2C583D34065857A7E8E8DA7C6B7.edm" hidden="1">#REF!</definedName>
    <definedName name="_bdm.CF02168FB8E9419AAAE043008F3ED3FA.edm" hidden="1">#REF!</definedName>
    <definedName name="_bdm.D03F53F083AB47DDB0AA114CCD0F9CE2.edm" hidden="1">#REF!</definedName>
    <definedName name="_bdm.D0423E6A4FFC436AA4D38948B7D7A19E.edm" hidden="1">#REF!</definedName>
    <definedName name="_bdm.D04DF9632C8847EF98BCCAE0B786BF73.edm" hidden="1">#REF!</definedName>
    <definedName name="_bdm.D09924EFCD5F4945A75C01BA27084DAA.edm" hidden="1">#REF!</definedName>
    <definedName name="_bdm.D09B80795EF541A287486283862F6944.edm" hidden="1">#REF!</definedName>
    <definedName name="_bdm.D1AD1FD987FC48DDB27340619D17BD4B.edm" hidden="1">#REF!</definedName>
    <definedName name="_bdm.D2B1740531EB42EFA55C061A4965B641.edm" hidden="1">#REF!</definedName>
    <definedName name="_bdm.D2CCADD4FC5B49ACA9EC2095F713590B.edm" hidden="1">#REF!</definedName>
    <definedName name="_bdm.d2e05b7bbe394a179c59d0b9c826a5bc.edm" hidden="1">#REF!</definedName>
    <definedName name="_bdm.D35661170E5544B0AB8B1C85FFF3A75F.edm" hidden="1">#REF!</definedName>
    <definedName name="_bdm.D3EDFD64385E40D69A79C80D81B305D2.edm" hidden="1">#REF!</definedName>
    <definedName name="_bdm.D4590E31785042E9BDCEF3B2354E20DD.edm" hidden="1">#REF!</definedName>
    <definedName name="_bdm.D4850A8A27AA4685999755CDE2C5945C.edm" hidden="1">#REF!</definedName>
    <definedName name="_bdm.D4CF1C6FAE0C4663851E52BF8B871FAD.edm" hidden="1">#REF!</definedName>
    <definedName name="_bdm.D59C811B3D494A0EA74B1169FA91A502.edm" hidden="1">#REF!</definedName>
    <definedName name="_bdm.D619F92786E0454786C79CB7B1156B09.edm" hidden="1">#REF!</definedName>
    <definedName name="_bdm.D677CBE865C447399A20D13A16482277.edm" hidden="1">#REF!</definedName>
    <definedName name="_bdm.d6ce46683f2249aaaad631f3506c19ec.edm" hidden="1">#REF!</definedName>
    <definedName name="_bdm.D7A7E3C542724D59AB9152AE3CE78586.edm" hidden="1">#REF!</definedName>
    <definedName name="_bdm.D7CD4C512BCA4CD2B45591CE8BDEAD0B.edm" hidden="1">#REF!</definedName>
    <definedName name="_bdm.D7E0ACE8AD814A1BB89B25C84084CF13.edm" hidden="1">#REF!</definedName>
    <definedName name="_bdm.d7f15742803841e9b2a1815cb1c98f3e.edm" hidden="1">#REF!</definedName>
    <definedName name="_bdm.d832970f46844d3ea85c5b99dd7f192f.edm" hidden="1">#REF!</definedName>
    <definedName name="_bdm.d8fe9cbb1f124415bb83dfd796babb6c.edm" hidden="1">#REF!</definedName>
    <definedName name="_bdm.D935410C6D51491AA424CF14990C5EBC.edm" hidden="1">#REF!</definedName>
    <definedName name="_bdm.D9D944A6D3E34B7B8EFE3724375E0152.edm" hidden="1">#REF!</definedName>
    <definedName name="_bdm.D9ECDB47EB944209A49F9DEB77C8F931.edm" hidden="1">#REF!</definedName>
    <definedName name="_bdm.DA519DD06AD04286B81FAF2A763BFB6F.edm" hidden="1">#REF!</definedName>
    <definedName name="_bdm.db82f91749484738b76f5e0d272f3f6b.edm" hidden="1">#REF!</definedName>
    <definedName name="_bdm.DBB5ACDA5BD746A98542AFB153BDFEF7.edm" hidden="1">#REF!</definedName>
    <definedName name="_bdm.DBB7B9E409C34D8294D0997646FCBE69.edm" hidden="1">#REF!</definedName>
    <definedName name="_bdm.DBD99F5645254F80BB9955CF92A1A9AF.edm" hidden="1">#REF!</definedName>
    <definedName name="_bdm.DC32E0CB559443F4A9E92D02A6B84DE5.edm" hidden="1">#REF!</definedName>
    <definedName name="_bdm.DC4D9CF90E7D4ACD9DB0549A683B8465.edm" hidden="1">#REF!</definedName>
    <definedName name="_bdm.DC875A1E5D7247BFAB834A855BD35C6E.edm" hidden="1">#REF!</definedName>
    <definedName name="_bdm.DC9CA7F15CCA471EBCEE56A3A16E2C4E.edm" hidden="1">#REF!</definedName>
    <definedName name="_bdm.DCD4238C512B4EA5AC02BAA7BE4DDB96.edm" hidden="1">#REF!</definedName>
    <definedName name="_bdm.DD095069D3AF48E6A145C9F0FC3C1FAA.edm" hidden="1">#REF!</definedName>
    <definedName name="_bdm.DD72E3E4240445EEBF6632FBF3BDB2F2.edm" hidden="1">#REF!</definedName>
    <definedName name="_bdm.dd9b5201f9ef41e0877d911c9e9c8e7f.edm" hidden="1">#REF!</definedName>
    <definedName name="_bdm.DDF07D276443410880AED92640235617.edm" hidden="1">#REF!</definedName>
    <definedName name="_bdm.DE146303A2C64E8B9F6B0CC32AF7454D.edm" hidden="1">#REF!</definedName>
    <definedName name="_bdm.de23e503b950465ba0ef790cbea66611.edm" hidden="1">#REF!</definedName>
    <definedName name="_bdm.DE7A6EF29FA14EB892B9AE01C1A7F4A2.edm" hidden="1">#REF!</definedName>
    <definedName name="_bdm.DE98270AB5A941F2B59BAC96AB2837C2.edm" hidden="1">#REF!</definedName>
    <definedName name="_bdm.defeee2c227a4d4e805f47e1a7e9594b.edm" hidden="1">#REF!</definedName>
    <definedName name="_bdm.DF106DD122D9423AA9E739AB8C8AFB7C.edm" hidden="1">#REF!</definedName>
    <definedName name="_bdm.dfe93628459c42c0a1b230efe5da0e6f.edm" hidden="1">#REF!</definedName>
    <definedName name="_bdm.E0202CCEAE9B45DF800CD86E6F67C09C.edm" hidden="1">#REF!</definedName>
    <definedName name="_bdm.e0d2225138bd4b84bf9cf781dd3ddd10.edm" hidden="1">#REF!</definedName>
    <definedName name="_bdm.e14ebc830005426db01d539ed11ffbbb.edm" hidden="1">#REF!</definedName>
    <definedName name="_bdm.E20A39970C934A56827944A7083536AD.edm" hidden="1">#REF!</definedName>
    <definedName name="_bdm.E2146D56B51D42BFA7A36787BB2091E1.edm" hidden="1">#REF!</definedName>
    <definedName name="_bdm.E28F4DC58D17427F81D60C9AF9C615BF.edm" hidden="1">#REF!</definedName>
    <definedName name="_bdm.E2BF0CF6213A4E58ADC7C744CEAF5C83.edm" hidden="1">#REF!</definedName>
    <definedName name="_bdm.e2ebcd33312e4abbbf453f2c26ea7ac9.edm" hidden="1">#REF!</definedName>
    <definedName name="_bdm.E3061F9D23BA494BB145113ACB2F7327.edm" hidden="1">#REF!</definedName>
    <definedName name="_bdm.E36DA5890E2046EFB7DA33B348CA388C.edm" hidden="1">#REF!</definedName>
    <definedName name="_bdm.E39EBCDC1C124205BED5C8547A5B72D1.edm" hidden="1">#REF!</definedName>
    <definedName name="_bdm.E3F39A4C774D40E2967721210C2879F3.edm" hidden="1">#REF!</definedName>
    <definedName name="_bdm.E43160091D894E4682594BC359201658.edm" hidden="1">#REF!</definedName>
    <definedName name="_bdm.E44F4A6711374D6B91AADB9FA3F6C5C5.edm" hidden="1">#REF!</definedName>
    <definedName name="_bdm.E489436D3DF346DE907A0360E5EAEC8D.edm" hidden="1">#REF!</definedName>
    <definedName name="_bdm.E48B019D23A34E2FB36833D571C08B02.edm" hidden="1">#REF!</definedName>
    <definedName name="_bdm.e50c148df0d94afe9036d798361eb9c5.edm" hidden="1">#REF!</definedName>
    <definedName name="_bdm.E5743739224A4283ADB83CE2636E223E.edm" hidden="1">#REF!</definedName>
    <definedName name="_bdm.e5c26aa359834bbc9635fd245036c75d.edm" hidden="1">#REF!</definedName>
    <definedName name="_bdm.E5FC0CF48FB5437C8A20BA5DCB395152.edm" hidden="1">#REF!</definedName>
    <definedName name="_bdm.E66671197BB84D9CB784EBA8A298DD70.edm" hidden="1">#REF!</definedName>
    <definedName name="_bdm.E69E4802DC434ADBA8081243844C6988.edm" hidden="1">#REF!</definedName>
    <definedName name="_bdm.E6EAF6EA2CB94A3988683635710F111D.edm" hidden="1">#REF!</definedName>
    <definedName name="_bdm.E6EE4D346442467587874AB112A91B00.edm" hidden="1">#REF!</definedName>
    <definedName name="_bdm.E7423D687DCC44E08A636FF1C03B7327.edm" hidden="1">#REF!</definedName>
    <definedName name="_bdm.E747304E50CC42809E31B35572E376F6.edm" hidden="1">#REF!</definedName>
    <definedName name="_bdm.E760B70AB6D44349B0F46823EFBDA54D.edm" hidden="1">#REF!</definedName>
    <definedName name="_bdm.E7879069D6544094ACC574392F02FCDC.edm" hidden="1">#REF!</definedName>
    <definedName name="_bdm.E7CB8804B9E445D18E03D62F4AE5EA14.edm" hidden="1">#REF!</definedName>
    <definedName name="_bdm.E7F147181F6749909E86AE0B94642443.edm" hidden="1">#REF!</definedName>
    <definedName name="_bdm.E7FE84A084364391BB41DB428BD74FDA.edm" hidden="1">#REF!</definedName>
    <definedName name="_bdm.E82B9A19CF4343EC9674771C65B0EBE1.edm" hidden="1">#REF!</definedName>
    <definedName name="_bdm.E83131132811402EAD49BD1EA8CD48EB.edm" hidden="1">#REF!</definedName>
    <definedName name="_bdm.E9905BC403254510A5C8BB975C19D221.edm" hidden="1">#REF!</definedName>
    <definedName name="_bdm.E9939EA0C06A4D33BD55829357CAEA83.edm" hidden="1">#REF!</definedName>
    <definedName name="_bdm.E9CF464F22A84AA6975FEE9F15F4A7FC.edm" hidden="1">#REF!</definedName>
    <definedName name="_bdm.E9E307659C3C4FBF897790A0D326B4A8.edm" hidden="1">#REF!</definedName>
    <definedName name="_bdm.E9EE559E6F4248D18E2D4C03DF8C296A.edm" hidden="1">#REF!</definedName>
    <definedName name="_bdm.EA4DEB90385B4240B559AB053F5D7384.edm" hidden="1">#REF!</definedName>
    <definedName name="_bdm.EA90692A9A854C42A909A8D0E0E78763.edm" hidden="1">#REF!</definedName>
    <definedName name="_bdm.EB193AD7D56647E8B33736278248FB8E.edm" hidden="1">#REF!</definedName>
    <definedName name="_bdm.eb92ceea4b85440680e1e58b55cb0c99.edm" hidden="1">#REF!</definedName>
    <definedName name="_bdm.ECD7CD27800F4C01A85872A2A17ACFFB.edm" hidden="1">#REF!</definedName>
    <definedName name="_bdm.ED0C18D1621B4EAEA5215BE441249EBB.edm" hidden="1">#REF!</definedName>
    <definedName name="_bdm.EDAAEECA2DBC4B0584397B03489516CA.edm" hidden="1">#REF!</definedName>
    <definedName name="_bdm.EDE90AADB97F4FB4872ACDD83889FF30.edm" hidden="1">#REF!</definedName>
    <definedName name="_bdm.EDF9E1546C2140E3A88416C4BE2667E3.edm" hidden="1">#REF!</definedName>
    <definedName name="_bdm.EE641F58DFEF4258A8597F4F5C2007D8.edm" hidden="1">#REF!</definedName>
    <definedName name="_bdm.EE7FB79BA0C245EBA45A8052DB95D782.edm" hidden="1">#REF!</definedName>
    <definedName name="_bdm.ef45477c88e64c078f4fac629171ab82.edm" hidden="1">#REF!</definedName>
    <definedName name="_bdm.EF75AAC0F11345B5B6FEEC3D8F94705E.edm" hidden="1">#REF!</definedName>
    <definedName name="_bdm.EF7A9AF8685C46ED8F865C3EE8870754.edm" hidden="1">#REF!</definedName>
    <definedName name="_bdm.F04F4E7E061A46B1B6791076165C1BA7.edm" hidden="1">#REF!</definedName>
    <definedName name="_bdm.f09fd8df88ab441ca610218ed879b200.edm" hidden="1">#REF!</definedName>
    <definedName name="_bdm.f1218a9252db464dbb86ea52660ac728.edm" hidden="1">#REF!</definedName>
    <definedName name="_bdm.F1E0FC2F3EB04B88AAA80D60A91C07BC.edm" hidden="1">#REF!</definedName>
    <definedName name="_bdm.f23d8990ef2e412fb60cb39e6fa47ef8.edm" hidden="1">#REF!</definedName>
    <definedName name="_bdm.F2D7291CDB3D4FC3B160BBE6876EBBC4.edm" hidden="1">#REF!</definedName>
    <definedName name="_bdm.F2F8A725C0EF443AAB58E6D35B1B9F1D.edm" hidden="1">#REF!</definedName>
    <definedName name="_bdm.f32a2a5f347b47b39d71cf6cdb24778d.edm" hidden="1">#REF!</definedName>
    <definedName name="_bdm.F37276AFD694462CBFE4BB1A4661BFD7.edm" hidden="1">#REF!</definedName>
    <definedName name="_bdm.f39f1b2c270044c1884a0050ac2ca9e6.edm" hidden="1">#REF!</definedName>
    <definedName name="_bdm.F3EFE946BB1645DCAAFE2F786B617A19.edm" hidden="1">#REF!</definedName>
    <definedName name="_bdm.F4D182427A0D4B5481C7F3065D86822D.edm" hidden="1">#REF!</definedName>
    <definedName name="_bdm.F4F73DBE5B974BA68D1877DDE99E313F.edm" hidden="1">#REF!</definedName>
    <definedName name="_bdm.f533adff5cc6498186d2b5652bdedfe4.edm" hidden="1">#REF!</definedName>
    <definedName name="_bdm.F668575024A54B62B5FE159042CE6D74.edm" hidden="1">#REF!</definedName>
    <definedName name="_bdm.F6922AD455B24AC2A1C1B443764C1205.edm" hidden="1">#REF!</definedName>
    <definedName name="_bdm.F6A828CF2B724605A28FA4D36DE5E0EE.edm" hidden="1">#REF!</definedName>
    <definedName name="_bdm.F7132AC7BB4A4C0DA0D7053C053C4CC6.edm" hidden="1">#REF!</definedName>
    <definedName name="_bdm.F74F088D4E344235A54774DAFAC46D4A.edm" hidden="1">#REF!</definedName>
    <definedName name="_bdm.F83612F9F2B74E8580278D9F885F56E7.edm" hidden="1">#REF!</definedName>
    <definedName name="_bdm.F88F076BB6694DC186B3666D010501EC.edm" hidden="1">#REF!</definedName>
    <definedName name="_bdm.F8FC83D03C874DEA8992887C0CAAAF32.edm" hidden="1">#REF!</definedName>
    <definedName name="_bdm.F93EDABDA4534BCF8AFE6848E08D07C8.edm" hidden="1">#REF!</definedName>
    <definedName name="_bdm.fa291217c36549b6b9c1bb4c4656d8d7.edm" hidden="1">#REF!</definedName>
    <definedName name="_bdm.FA76B221A40448DA9B7AF85FF9A6E014.edm" hidden="1">#REF!</definedName>
    <definedName name="_bdm.FA84F58C8C0347EABAB83C6CA9263675.edm" hidden="1">#REF!</definedName>
    <definedName name="_bdm.FAA4AA31B4A048D29FC5CAB93BE9A429.edm" hidden="1">#REF!</definedName>
    <definedName name="_bdm.FACDE5C901294AA6A5A8D69CCFC7EE9F.edm" hidden="1">#REF!</definedName>
    <definedName name="_bdm.FastTrackBookmark.1_30_2020_11_38_46_PM.edm" hidden="1">#REF!</definedName>
    <definedName name="_bdm.FastTrackBookmark.12_10_2005_4_35_12_PM.edm" hidden="1">#REF!</definedName>
    <definedName name="_bdm.FastTrackBookmark.12_10_2005_4_35_13_PM.edm" hidden="1">#REF!</definedName>
    <definedName name="_bdm.FastTrackBookmark.12_14_2005_3_58_56_PM.edm" hidden="1">#REF!</definedName>
    <definedName name="_bdm.FastTrackBookmark.6_30_2009_4_34_16_PM.edm" hidden="1">#REF!</definedName>
    <definedName name="_bdm.FastTrackBookmark.8_23_2004_10_50_33_AM.edm" hidden="1">#REF!</definedName>
    <definedName name="_bdm.FastTrackBookmark.8_23_2004_10_50_37_AM.edm" hidden="1">#REF!</definedName>
    <definedName name="_bdm.FastTrackBookmark.8_23_2004_10_54_30_AM.edm" hidden="1">#REF!</definedName>
    <definedName name="_bdm.FastTrackBookmark.8_23_2004_10_54_40_AM.edm" hidden="1">#REF!</definedName>
    <definedName name="_bdm.FastTrackBookmark.8_23_2004_3_57_07_PM.edm" hidden="1">#REF!</definedName>
    <definedName name="_bdm.FastTrackBookmark.8_23_2004_3_57_16_PM.edm" hidden="1">#REF!</definedName>
    <definedName name="_bdm.FastTrackBookmark.8_23_2004_4_05_53_PM.edm" hidden="1">#REF!</definedName>
    <definedName name="_bdm.FastTrackBookmark.8_23_2004_4_06_00_PM.edm" hidden="1">#REF!</definedName>
    <definedName name="_bdm.FB1E9E00540E472A9C8CFF6D783FC853.edm" hidden="1">#N/A</definedName>
    <definedName name="_bdm.FB72741E774A49088D16A9B2C010ED3A.edm" hidden="1">#REF!</definedName>
    <definedName name="_bdm.FB7F1A7645214169AE2AB6573203C693.edm" hidden="1">#REF!</definedName>
    <definedName name="_bdm.FC33060EBDC242D8A9AC035BB7340F1D.edm" hidden="1">#REF!</definedName>
    <definedName name="_bdm.fd08819146664e47b20649034fa7ce0d.edm" hidden="1">#REF!</definedName>
    <definedName name="_bdm.FD419D728EEE4E35899F2FE5B3B58234.edm" hidden="1">#REF!</definedName>
    <definedName name="_bdm.FD84FAF3D478437DBCC15ECFAC6E8AB9.edm" hidden="1">#REF!</definedName>
    <definedName name="_bdm.FD98FC87081B4B0A8A929F6045D7BEBB.edm" hidden="1">#REF!</definedName>
    <definedName name="_bdm.FE1CF0F9DA8D484BA18FFCE8B6DA2D22.edm" hidden="1">#REF!</definedName>
    <definedName name="_bdm.FE2ACCB92A9846EFA811FA1F5B762938.edm" hidden="1">#REF!</definedName>
    <definedName name="_bdm.FECC922A73CE4ED5AEF0561D82336DED.edm" hidden="1">#REF!</definedName>
    <definedName name="_bdm.FF0A03FB97DA4D188B322E3A6EF53865.edm" hidden="1">#REF!</definedName>
    <definedName name="_bdm.FFD97655F89D4868B19F5A48292E1019.edm" hidden="1">#REF!</definedName>
    <definedName name="_bdm.FFFC152FC94848048D9888D8E2116D1E.edm" hidden="1">#REF!</definedName>
    <definedName name="_bdm.ToolkitBookmark.1_24_2004_11_15_31_PM.edm" hidden="1">#REF!</definedName>
    <definedName name="_bdm.ToolkitBookmark.1_24_2004_8_24_02_PM.edm" hidden="1">#REF!</definedName>
    <definedName name="_bdm.ToolkitBookmark.1_24_2004_8_54_41_PM.edm" hidden="1">#REF!</definedName>
    <definedName name="_bdm.ToolkitBookmark.1_25_2004_9_47_15_PM.edm" hidden="1">#REF!</definedName>
    <definedName name="_bdm.ToolkitBookmark.1_25_2004_9_47_23_PM.edm" hidden="1">#REF!</definedName>
    <definedName name="_bdm.ToolkitBookmark.1_25_2004_9_48_01_PM.edm" hidden="1">#REF!</definedName>
    <definedName name="_Bud02">#REF!</definedName>
    <definedName name="_Bud03">#REF!</definedName>
    <definedName name="_CAM96">#REF!</definedName>
    <definedName name="_CAM97">#REF!</definedName>
    <definedName name="_CAM98">#REF!</definedName>
    <definedName name="_dan1" hidden="1">#REF!</definedName>
    <definedName name="_del1" hidden="1">{"Page1",#N/A,FALSE,"7979";"Page2",#N/A,FALSE,"7979";"Page3",#N/A,FALSE,"7979"}</definedName>
    <definedName name="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ist_Bin" hidden="1">#REF!</definedName>
    <definedName name="_Dist_Values" hidden="1">#REF!</definedName>
    <definedName name="_DPU95">#REF!</definedName>
    <definedName name="_e4" hidden="1">{"new",#N/A,FALSE,"D";"PROFORMA",#N/A,FALSE,"A";"partial 1",#N/A,FALSE,"B";"partial 2",#N/A,FALSE,"B";"partial 3",#N/A,FALSE,"B";"SMALL CF 1",#N/A,FALSE,"C"}</definedName>
    <definedName name="_e4567" hidden="1">{"Status",#N/A,FALSE,"Consol";"StatusDetail",#N/A,FALSE,"Consol"}</definedName>
    <definedName name="_end1">IF([0]!Loan_Amount*[0]!Interest_Rate*[0]!Loan_Years*[0]!Loan_Start&gt;0,1,0)</definedName>
    <definedName name="_EPU01">#REF!</definedName>
    <definedName name="_EPU02">#REF!</definedName>
    <definedName name="_EPU03">#REF!</definedName>
    <definedName name="_EPU04">#REF!</definedName>
    <definedName name="_EPU96">#REF!</definedName>
    <definedName name="_EPU97">#REF!</definedName>
    <definedName name="_EPU98">#REF!</definedName>
    <definedName name="_EPU99">#REF!</definedName>
    <definedName name="_EXP1">#REF!</definedName>
    <definedName name="_fdf1" hidden="1">{"incomemth",#N/A,TRUE,"forecast00";"incomepercentmth",#N/A,TRUE,"forecast00";"balancemth",#N/A,TRUE,"forecast00";"cashmth",#N/A,TRUE,"forecast00";"covenantmth",#N/A,TRUE,"forecast00"}</definedName>
    <definedName name="_fdg1" hidden="1">{"incomemth",#N/A,TRUE,"forecast00";"incomepercentmth",#N/A,TRUE,"forecast00";"balancemth",#N/A,TRUE,"forecast00";"cashmth",#N/A,TRUE,"forecast00";"covenantmth",#N/A,TRUE,"forecast00"}</definedName>
    <definedName name="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eb03" hidden="1">{#N/A,#N/A,FALSE,"Class A";#N/A,#N/A,FALSE,"Class B";#N/A,#N/A,FALSE,"Class C"}</definedName>
    <definedName name="_FG1" hidden="1">{"schedule1",#N/A,FALSE,"Sheet1";"schedule2",#N/A,FALSE,"Sheet1";"schedule3",#N/A,FALSE,"Sheet1";"schedule4",#N/A,FALSE,"Sheet1";"schedule5",#N/A,FALSE,"Sheet1";"schedule6",#N/A,FALSE,"Sheet1"}</definedName>
    <definedName name="_Fil1" hidden="1">#REF!</definedName>
    <definedName name="_Fill" hidden="1">#REF!</definedName>
    <definedName name="_Fill1" hidden="1">#REF!</definedName>
    <definedName name="_Fill2" hidden="1">#REF!</definedName>
    <definedName name="_Fillb" hidden="1">#REF!</definedName>
    <definedName name="_Fillc" hidden="1">#REF!</definedName>
    <definedName name="_Filll" hidden="1">#REF!</definedName>
    <definedName name="_FL" hidden="1">#REF!</definedName>
    <definedName name="_fx2" hidden="1">#REF!</definedName>
    <definedName name="_FX2006" hidden="1">{#N/A,#N/A,FALSE,"Aging Summary";#N/A,#N/A,FALSE,"Ratio Analysis";#N/A,#N/A,FALSE,"Test 120 Day Accts";#N/A,#N/A,FALSE,"Tickmarks"}</definedName>
    <definedName name="_gf1" hidden="1">{"incomemth",#N/A,TRUE,"forecast00";"incomepercentmth",#N/A,TRUE,"forecast00";"balancemth",#N/A,TRUE,"forecast00";"cashmth",#N/A,TRUE,"forecast00";"covenantmth",#N/A,TRUE,"forecast00"}</definedName>
    <definedName name="_gfd2" hidden="1">{#N/A,#N/A,FALSE,"Cashflow Analysis";#N/A,#N/A,FALSE,"Sensitivity Analysis";#N/A,#N/A,FALSE,"PV";#N/A,#N/A,FALSE,"Pro Forma"}</definedName>
    <definedName name="_INC01">#REF!</definedName>
    <definedName name="_INC02">#REF!</definedName>
    <definedName name="_INC03">#REF!</definedName>
    <definedName name="_INC04">#REF!</definedName>
    <definedName name="_INC05">#REF!</definedName>
    <definedName name="_INC95">#REF!</definedName>
    <definedName name="_INC96">#REF!</definedName>
    <definedName name="_INC97">#REF!</definedName>
    <definedName name="_INC98">#REF!</definedName>
    <definedName name="_INC99">#REF!</definedName>
    <definedName name="_jc1" hidden="1">{"'Cash Requirements 5F '!$A$1:$AC$48"}</definedName>
    <definedName name="_jc2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_jc3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jc4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k" hidden="1">{#N/A,#N/A,FALSE,"Project Properties";#N/A,#N/A,FALSE,"Eng %";#N/A,#N/A,FALSE,"ENGFORM";#N/A,#N/A,FALSE,"staffing";#N/A,#N/A,FALSE,"spending"}</definedName>
    <definedName name="_KAW999929" hidden="1">#REF!</definedName>
    <definedName name="_KAW999934" hidden="1">#REF!</definedName>
    <definedName name="_Key" hidden="1">#REF!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Key5" hidden="1">#REF!</definedName>
    <definedName name="_Key6" hidden="1">#REF!</definedName>
    <definedName name="_Key8" hidden="1">#REF!</definedName>
    <definedName name="_Key9" hidden="1">#REF!</definedName>
    <definedName name="_keyl2" hidden="1">#REF!</definedName>
    <definedName name="_ky1" hidden="1">#REF!</definedName>
    <definedName name="_LTC2">#REF!</definedName>
    <definedName name="_Market">#REF!</definedName>
    <definedName name="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MGF197">#REF!</definedName>
    <definedName name="_MGF198">#REF!</definedName>
    <definedName name="_MGF199">#REF!</definedName>
    <definedName name="_MGF297">#REF!</definedName>
    <definedName name="_MGF298">#REF!</definedName>
    <definedName name="_MGF299">#REF!</definedName>
    <definedName name="_MI101">#REF!</definedName>
    <definedName name="_MI102">#REF!</definedName>
    <definedName name="_MI103">#REF!</definedName>
    <definedName name="_MI104">#REF!</definedName>
    <definedName name="_MI105">#REF!</definedName>
    <definedName name="_MI106">#REF!</definedName>
    <definedName name="_MI107">#REF!</definedName>
    <definedName name="_MI108">#REF!</definedName>
    <definedName name="_MI109">#REF!</definedName>
    <definedName name="_MI110">#REF!</definedName>
    <definedName name="_MI111">#REF!</definedName>
    <definedName name="_MI112">#REF!</definedName>
    <definedName name="_MI201">#REF!</definedName>
    <definedName name="_MI202">#REF!</definedName>
    <definedName name="_MI203">#REF!</definedName>
    <definedName name="_MI204">#REF!</definedName>
    <definedName name="_MI205">#REF!</definedName>
    <definedName name="_MI206">#REF!</definedName>
    <definedName name="_MI207">#REF!</definedName>
    <definedName name="_MI208">#REF!</definedName>
    <definedName name="_MI209">#REF!</definedName>
    <definedName name="_MI210">#REF!</definedName>
    <definedName name="_MI211">#REF!</definedName>
    <definedName name="_MI212">#REF!</definedName>
    <definedName name="_MI301">#REF!</definedName>
    <definedName name="_MI302">#REF!</definedName>
    <definedName name="_MI303">#REF!</definedName>
    <definedName name="_MI304">#REF!</definedName>
    <definedName name="_MI305">#REF!</definedName>
    <definedName name="_MI306">#REF!</definedName>
    <definedName name="_MI307">#REF!</definedName>
    <definedName name="_MI308">#REF!</definedName>
    <definedName name="_MI309">#REF!</definedName>
    <definedName name="_MI310">#REF!</definedName>
    <definedName name="_MI311">#REF!</definedName>
    <definedName name="_MI312">#REF!</definedName>
    <definedName name="_MI401">#REF!</definedName>
    <definedName name="_Mkt101">#REF!</definedName>
    <definedName name="_Mkt102">#REF!</definedName>
    <definedName name="_Mkt103">#REF!</definedName>
    <definedName name="_Mkt104">#REF!</definedName>
    <definedName name="_Mkt105">#REF!</definedName>
    <definedName name="_Mkt106">#REF!</definedName>
    <definedName name="_Mkt107">#REF!</definedName>
    <definedName name="_Mkt108">#REF!</definedName>
    <definedName name="_MKt109">#REF!</definedName>
    <definedName name="_Mkt110">#REF!</definedName>
    <definedName name="_MKt111">#REF!</definedName>
    <definedName name="_Mkt112">#REF!</definedName>
    <definedName name="_Mkt201">#REF!</definedName>
    <definedName name="_Mkt202">#REF!</definedName>
    <definedName name="_Mkt203">#REF!</definedName>
    <definedName name="_Mkt204">#REF!</definedName>
    <definedName name="_Mkt205">#REF!</definedName>
    <definedName name="_Mkt206">#REF!</definedName>
    <definedName name="_Mkt207">#REF!</definedName>
    <definedName name="_Mkt208">#REF!</definedName>
    <definedName name="_Mkt209">#REF!</definedName>
    <definedName name="_Mkt210">#REF!</definedName>
    <definedName name="_Mkt211">#REF!</definedName>
    <definedName name="_Mkt212">#REF!</definedName>
    <definedName name="_Mkt301">#REF!</definedName>
    <definedName name="_Mkt302">#REF!</definedName>
    <definedName name="_Mkt303">#REF!</definedName>
    <definedName name="_Mkt304">#REF!</definedName>
    <definedName name="_Mkt305">#REF!</definedName>
    <definedName name="_Mkt306">#REF!</definedName>
    <definedName name="_Mkt307">#REF!</definedName>
    <definedName name="_Mkt308">#REF!</definedName>
    <definedName name="_MKt309">#REF!</definedName>
    <definedName name="_Mkt310">#REF!</definedName>
    <definedName name="_MKt311">#REF!</definedName>
    <definedName name="_MKt312">#REF!</definedName>
    <definedName name="_MO101">#REF!</definedName>
    <definedName name="_MO102">#REF!</definedName>
    <definedName name="_MO103">#REF!</definedName>
    <definedName name="_MO104">#REF!</definedName>
    <definedName name="_MO105">#REF!</definedName>
    <definedName name="_MO106">#REF!</definedName>
    <definedName name="_MO107">#REF!</definedName>
    <definedName name="_MO108">#REF!</definedName>
    <definedName name="_MO109">#REF!</definedName>
    <definedName name="_MO110">#REF!</definedName>
    <definedName name="_MO111">#REF!</definedName>
    <definedName name="_MO112">#REF!</definedName>
    <definedName name="_MO201">#REF!</definedName>
    <definedName name="_MO202">#REF!</definedName>
    <definedName name="_MO203">#REF!</definedName>
    <definedName name="_MO204">#REF!</definedName>
    <definedName name="_MO205">#REF!</definedName>
    <definedName name="_MO206">#REF!</definedName>
    <definedName name="_MO207">#REF!</definedName>
    <definedName name="_MO208">#REF!</definedName>
    <definedName name="_MO209">#REF!</definedName>
    <definedName name="_MO210">#REF!</definedName>
    <definedName name="_MO211">#REF!</definedName>
    <definedName name="_MO212">#REF!</definedName>
    <definedName name="_MO301">#REF!</definedName>
    <definedName name="_MO302">#REF!</definedName>
    <definedName name="_MO303">#REF!</definedName>
    <definedName name="_MO304">#REF!</definedName>
    <definedName name="_MO305">#REF!</definedName>
    <definedName name="_MO306">#REF!</definedName>
    <definedName name="_MO307">#REF!</definedName>
    <definedName name="_MO308">#REF!</definedName>
    <definedName name="_MO309">#REF!</definedName>
    <definedName name="_MO310">#REF!</definedName>
    <definedName name="_MO311">#REF!</definedName>
    <definedName name="_MO312">#REF!</definedName>
    <definedName name="_MR2000">#REF!</definedName>
    <definedName name="_MR2001">#REF!</definedName>
    <definedName name="_MRG2" hidden="1">{"INCOME",#N/A,FALSE,"ProNet";"VALUE",#N/A,FALSE,"ProNet"}</definedName>
    <definedName name="_MTM">#REF!</definedName>
    <definedName name="_new" hidden="1">#REF!</definedName>
    <definedName name="_new1">#REF!</definedName>
    <definedName name="_new2" hidden="1">{"'B-2 QSER Jun 98 4-27-98 cor'!$A$1:$F$57"}</definedName>
    <definedName name="_new5" hidden="1">{"'B-2 QSER Jun 98 4-27-98 cor'!$A$1:$F$57"}</definedName>
    <definedName name="_NTA01">#REF!</definedName>
    <definedName name="_NTA02">#REF!</definedName>
    <definedName name="_NTA03">#REF!</definedName>
    <definedName name="_NTA04">#REF!</definedName>
    <definedName name="_NTA05">#REF!</definedName>
    <definedName name="_NTA95">#REF!</definedName>
    <definedName name="_NTA98">#REF!</definedName>
    <definedName name="_NTA99">#REF!</definedName>
    <definedName name="_OC201">#REF!</definedName>
    <definedName name="_OC202">#REF!</definedName>
    <definedName name="_OC203">#REF!</definedName>
    <definedName name="_OC204">#REF!</definedName>
    <definedName name="_OC205">#REF!</definedName>
    <definedName name="_OC206">#REF!</definedName>
    <definedName name="_OC207">#REF!</definedName>
    <definedName name="_OC208">#REF!</definedName>
    <definedName name="_OC209">#REF!</definedName>
    <definedName name="_OC210">#REF!</definedName>
    <definedName name="_OC211">#REF!</definedName>
    <definedName name="_OC212">#REF!</definedName>
    <definedName name="_OC301">#REF!</definedName>
    <definedName name="_OC302">#REF!</definedName>
    <definedName name="_OC303">#REF!</definedName>
    <definedName name="_OC304">#REF!</definedName>
    <definedName name="_OC305">#REF!</definedName>
    <definedName name="_OC306">#REF!</definedName>
    <definedName name="_OC307">#REF!</definedName>
    <definedName name="_OC308">#REF!</definedName>
    <definedName name="_OC309">#REF!</definedName>
    <definedName name="_OC310">#REF!</definedName>
    <definedName name="_OC311">#REF!</definedName>
    <definedName name="_OC312">#REF!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ld2" hidden="1">{#N/A,#N/A,FALSE,"Chart 2 by Prop Type"}</definedName>
    <definedName name="_Order1" hidden="1">255</definedName>
    <definedName name="_Order1_1" hidden="1">255</definedName>
    <definedName name="_Order2" hidden="1">255</definedName>
    <definedName name="_OrderA" hidden="1">0</definedName>
    <definedName name="_OtherInc">#REF!</definedName>
    <definedName name="_Parse_In" hidden="1">#REF!</definedName>
    <definedName name="_Parse_Out" hidden="1">#REF!</definedName>
    <definedName name="_Ppm2" hidden="1">{"data",#N/A,FALSE,"INPUT"}</definedName>
    <definedName name="_Q2NAME">#REF!</definedName>
    <definedName name="_Regression_Int" hidden="1">1</definedName>
    <definedName name="_Regression_Out" hidden="1">#REF!</definedName>
    <definedName name="_regression_out1" hidden="1">#REF!</definedName>
    <definedName name="_Regression_X" hidden="1">#REF!</definedName>
    <definedName name="_regression_x1" hidden="1">#REF!</definedName>
    <definedName name="_Regression_Y" hidden="1">#REF!</definedName>
    <definedName name="_regression_y1" hidden="1">#REF!</definedName>
    <definedName name="_RM2000">#REF!</definedName>
    <definedName name="_RM2001">#REF!</definedName>
    <definedName name="_RN101">#REF!</definedName>
    <definedName name="_RN102">#REF!</definedName>
    <definedName name="_RN103">#REF!</definedName>
    <definedName name="_RN104">#REF!</definedName>
    <definedName name="_RN105">#REF!</definedName>
    <definedName name="_RN106">#REF!</definedName>
    <definedName name="_RN107">#REF!</definedName>
    <definedName name="_RN108">#REF!</definedName>
    <definedName name="_RN109">#REF!</definedName>
    <definedName name="_RN110">#REF!</definedName>
    <definedName name="_RN111">#REF!</definedName>
    <definedName name="_RN112">#REF!</definedName>
    <definedName name="_RN201">#REF!</definedName>
    <definedName name="_RN202">#REF!</definedName>
    <definedName name="_RN203">#REF!</definedName>
    <definedName name="_RN204">#REF!</definedName>
    <definedName name="_RN205">#REF!</definedName>
    <definedName name="_RN206">#REF!</definedName>
    <definedName name="_RN207">#REF!</definedName>
    <definedName name="_RN208">#REF!</definedName>
    <definedName name="_RN209">#REF!</definedName>
    <definedName name="_RN210">#REF!</definedName>
    <definedName name="_RN211">#REF!</definedName>
    <definedName name="_RN212">#REF!</definedName>
    <definedName name="_RN301">#REF!</definedName>
    <definedName name="_RN302">#REF!</definedName>
    <definedName name="_RN303">#REF!</definedName>
    <definedName name="_RN304">#REF!</definedName>
    <definedName name="_RN305">#REF!</definedName>
    <definedName name="_RN306">#REF!</definedName>
    <definedName name="_RN307">#REF!</definedName>
    <definedName name="_RN308">#REF!</definedName>
    <definedName name="_RN309">#REF!</definedName>
    <definedName name="_RN310">#REF!</definedName>
    <definedName name="_RN311">#REF!</definedName>
    <definedName name="_RN312">#REF!</definedName>
    <definedName name="_s2" hidden="1">{"'Expirations'!$A$1:$L$65"}</definedName>
    <definedName name="_sad2" hidden="1">{"MonthlyRentRoll",#N/A,FALSE,"RentRoll"}</definedName>
    <definedName name="_scenchg_count" hidden="1">7</definedName>
    <definedName name="_scenchg1" hidden="1">#REF!</definedName>
    <definedName name="_scenchg2" hidden="1">#REF!</definedName>
    <definedName name="_scenchg3" hidden="1">#REF!</definedName>
    <definedName name="_scenchg4" hidden="1">#REF!</definedName>
    <definedName name="_scenchg5" hidden="1">#REF!</definedName>
    <definedName name="_scenchg6" hidden="1">#REF!</definedName>
    <definedName name="_scenchg7" hidden="1">#REF!</definedName>
    <definedName name="_Sort" hidden="1">#REF!</definedName>
    <definedName name="_sort2" hidden="1">#REF!</definedName>
    <definedName name="_sum1" hidden="1">{#N/A,#N/A,FALSE,"Notes";#N/A,#N/A,FALSE,"Loan Value";"CashFlowSummary Quarterly",#N/A,FALSE,"CashFlowSummary";"InvestorSummary Quarterly",#N/A,FALSE,"InvestorSummary";#N/A,#N/A,FALSE,"RevenueAssumptions";"MasterCostAssmp Quarterly",#N/A,FALSE,"MasterCostAssmp";#N/A,#N/A,FALSE,"InTractCstAssmp";"Lot Takedowns Quarterly",#N/A,FALSE,"LotTakedowns"}</definedName>
    <definedName name="_T" hidden="1">#REF!</definedName>
    <definedName name="_Tab2_In2" hidden="1">#REF!</definedName>
    <definedName name="_Table1_In1" hidden="1">#REF!</definedName>
    <definedName name="_Table1_In2" hidden="1">#REF!</definedName>
    <definedName name="_Table1_Out" hidden="1">#REF!</definedName>
    <definedName name="_Table2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able3_In3" hidden="1">#REF!</definedName>
    <definedName name="_TL" hidden="1">#REF!</definedName>
    <definedName name="_TMAutoChart1Names" hidden="1">{"YTD","Chart 1","YTD Chart 1"}</definedName>
    <definedName name="_TMAutoChart1Refs" hidden="1">{"","","'YTD'!$AB$20","","","","","","","","","","","","","","","","",""}</definedName>
    <definedName name="_TMAutoChart2Names" hidden="1">{"Mth","Chart 1","Mth Chart 1"}</definedName>
    <definedName name="_TMAutoChart2Refs" hidden="1">{"","","'Mth'!$AB$20","","","","","","","","","","","","","","","","",""}</definedName>
    <definedName name="_TMAutoChart3Names" hidden="1">{"YTD","Chart 2","Mth Chart 2"}</definedName>
    <definedName name="_TMAutoChart3Refs" hidden="1">{"","","'YTD'!$AB$20","","","","","","","","","","","","","","","","",""}</definedName>
    <definedName name="_TMAutoChart4Names" hidden="1">{"Mth","Chart 1","Mth Chart 1"}</definedName>
    <definedName name="_TMAutoChart4Refs" hidden="1">{"","","'Mth'!$AB$20","","","","","","","","","","","","","","","","",""}</definedName>
    <definedName name="_TMAutoChart5Names" hidden="1">{"Mth","Chart 1","Mth Chart 1"}</definedName>
    <definedName name="_TMAutoChart5Refs" hidden="1">{"","","'Mth'!$AB$20","","","","","","","","","","","","","","","","",""}</definedName>
    <definedName name="_TMAutoChart6Names" hidden="1">{"YTD","Chart 2","YTD Chart 2"}</definedName>
    <definedName name="_TMAutoChart6Refs" hidden="1">{"","","'YTD'!$AB$20","","","","","","","","","","","","","","","","",""}</definedName>
    <definedName name="_TMAutoChartCount" hidden="1">6</definedName>
    <definedName name="_v" hidden="1">#REF!</definedName>
    <definedName name="_v2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_Vacant">#REF!</definedName>
    <definedName name="_w" hidden="1">{#N/A,#N/A,FALSE,"Project Properties";#N/A,#N/A,FALSE,"Eng %";#N/A,#N/A,FALSE,"ENGFORM";#N/A,#N/A,FALSE,"staffing";#N/A,#N/A,FALSE,"spending"}</definedName>
    <definedName name="_Whatever" hidden="1">#REF!</definedName>
    <definedName name="_wmp1" hidden="1">{#N/A,#N/A,FALSE,"ENVIRONMENTAL"}</definedName>
    <definedName name="_wpm1" hidden="1">{#N/A,#N/A,FALSE,"LOAN ANALYSIS"}</definedName>
    <definedName name="_wrn.Aging._.and._.Trend._.Analysis" hidden="1">{#N/A,#N/A,FALSE,"Aging Summary";#N/A,#N/A,FALSE,"Ratio Analysis";#N/A,#N/A,FALSE,"Test 120 Day Accts";#N/A,#N/A,FALSE,"Tickmarks"}</definedName>
    <definedName name="_wrn1" hidden="1">{"schedule1",#N/A,FALSE,"Sheet1";"schedule2",#N/A,FALSE,"Sheet1";"schedule3",#N/A,FALSE,"Sheet1";"schedule4",#N/A,FALSE,"Sheet1";"schedule5",#N/A,FALSE,"Sheet1";"schedule6",#N/A,FALSE,"Sheet1"}</definedName>
    <definedName name="_wrn1_1" hidden="1">{"schedule1",#N/A,FALSE,"Sheet1";"schedule2",#N/A,FALSE,"Sheet1";"schedule3",#N/A,FALSE,"Sheet1";"schedule4",#N/A,FALSE,"Sheet1";"schedule5",#N/A,FALSE,"Sheet1";"schedule6",#N/A,FALSE,"Sheet1"}</definedName>
    <definedName name="_wrn1_2" hidden="1">{"schedule1",#N/A,FALSE,"Sheet1";"schedule2",#N/A,FALSE,"Sheet1";"schedule3",#N/A,FALSE,"Sheet1";"schedule4",#N/A,FALSE,"Sheet1";"schedule5",#N/A,FALSE,"Sheet1";"schedule6",#N/A,FALSE,"Sheet1"}</definedName>
    <definedName name="_wrn1_3" hidden="1">{"schedule1",#N/A,FALSE,"Sheet1";"schedule2",#N/A,FALSE,"Sheet1";"schedule3",#N/A,FALSE,"Sheet1";"schedule4",#N/A,FALSE,"Sheet1";"schedule5",#N/A,FALSE,"Sheet1";"schedule6",#N/A,FALSE,"Sheet1"}</definedName>
    <definedName name="_wrn1_4" hidden="1">{"schedule1",#N/A,FALSE,"Sheet1";"schedule2",#N/A,FALSE,"Sheet1";"schedule3",#N/A,FALSE,"Sheet1";"schedule4",#N/A,FALSE,"Sheet1";"schedule5",#N/A,FALSE,"Sheet1";"schedule6",#N/A,FALSE,"Sheet1"}</definedName>
    <definedName name="_wrn2" hidden="1">{"schedule1",#N/A,FALSE,"Sheet1";"schedule2",#N/A,FALSE,"Sheet1";"schedule3",#N/A,FALSE,"Sheet1";"schedule4",#N/A,FALSE,"Sheet1";"schedule5",#N/A,FALSE,"Sheet1";"schedule6",#N/A,FALSE,"Sheet1"}</definedName>
    <definedName name="_wrn3" hidden="1">{#N/A,#N/A,FALSE,"Aging Summary";#N/A,#N/A,FALSE,"Ratio Analysis";#N/A,#N/A,FALSE,"Test 120 Day Accts";#N/A,#N/A,FALSE,"Tickmarks"}</definedName>
    <definedName name="_wrn4" hidden="1">{"data",#N/A,FALSE,"INPUT"}</definedName>
    <definedName name="_x1" hidden="1">{#N/A,#N/A,FALSE,"WATCHDSC";#N/A,#N/A,FALSE,"2LOSSMOD";#N/A,#N/A,FALSE,"2LOSS";#N/A,#N/A,FALSE,"DSC";#N/A,#N/A,FALSE,"OPERAT";#N/A,#N/A,FALSE,"ADJUST";#N/A,#N/A,FALSE,"LEASE EXPIRE"}</definedName>
    <definedName name="_x2" hidden="1">{#N/A,#N/A,FALSE,"WATCHDSC";#N/A,#N/A,FALSE,"2LOSSMOD";#N/A,#N/A,FALSE,"2LOSS";#N/A,#N/A,FALSE,"DSC";#N/A,#N/A,FALSE,"OPERAT";#N/A,#N/A,FALSE,"ADJUST";#N/A,#N/A,FALSE,"LEASE EXPIRE"}</definedName>
    <definedName name="_x3" hidden="1">{#N/A,#N/A,FALSE,"WATCHDSC";#N/A,#N/A,FALSE,"2LOSSMOD";#N/A,#N/A,FALSE,"2LOSS";#N/A,#N/A,FALSE,"DSC";#N/A,#N/A,FALSE,"OPERAT";#N/A,#N/A,FALSE,"ADJUST";#N/A,#N/A,FALSE,"LEASE EXPIRE"}</definedName>
    <definedName name="_y1" hidden="1">#REF!</definedName>
    <definedName name="_y2" hidden="1">#REF!</definedName>
    <definedName name="_y3" hidden="1">#REF!</definedName>
    <definedName name="_y4" hidden="1">#REF!</definedName>
    <definedName name="_y5" hidden="1">#REF!</definedName>
    <definedName name="_Yr02">#REF!</definedName>
    <definedName name="_Yr03">#REF!</definedName>
    <definedName name="_yr4" hidden="1">#REF!</definedName>
    <definedName name="_z1" hidden="1">{"Commish",#N/A,FALSE,"LAWTC"}</definedName>
    <definedName name="\" hidden="1">{#N/A,#N/A,TRUE,"Cap Budget";#N/A,#N/A,TRUE,"Sources &amp; Uses";#N/A,#N/A,TRUE,"All Closing Disbursements";#N/A,#N/A,TRUE,"Title Co Instructions";#N/A,#N/A,TRUE,"Title Co  - Tranche A";#N/A,#N/A,TRUE,"Title Co - Tranche B";#N/A,#N/A,TRUE,"Lender Summary";#N/A,#N/A,TRUE,"Lender Summary- Tranche A";#N/A,#N/A,TRUE,"Lender - Tranche B";#N/A,#N/A,TRUE,"Closing Prorations";#N/A,#N/A,TRUE,"JV &amp; PWREF Wire Transfers";#N/A,#N/A,TRUE,"Cost Aggregation";#N/A,#N/A,TRUE,"Escrow Accounts";#N/A,#N/A,TRUE,"Inputs"}</definedName>
    <definedName name="\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I">#REF!</definedName>
    <definedName name="\k">#N/A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v">#N/A</definedName>
    <definedName name="\X">#REF!</definedName>
    <definedName name="\y">#REF!</definedName>
    <definedName name="\Z">#REF!</definedName>
    <definedName name="a" hidden="1">{"AnnualRentRoll",#N/A,FALSE,"RentRoll"}</definedName>
    <definedName name="a_Key1" hidden="1">#REF!</definedName>
    <definedName name="a_Key2" hidden="1">#REF!</definedName>
    <definedName name="a1a1" hidden="1">{"Assump",#N/A,TRUE,"Proforma";"first",#N/A,TRUE,"Proforma";"second",#N/A,TRUE,"Proforma";"lease1",#N/A,TRUE,"Proforma";"lease2",#N/A,TRUE,"Proforma"}</definedName>
    <definedName name="A6.0">#REF!</definedName>
    <definedName name="A6B">#REF!</definedName>
    <definedName name="A6B4">#REF!</definedName>
    <definedName name="aa" hidden="1">{"AnnualRentRoll",#N/A,FALSE,"RentRoll"}</definedName>
    <definedName name="aa.2" hidden="1">{#N/A,#N/A,FALSE,"Cashflow Analysis";#N/A,#N/A,FALSE,"Sensitivity Analysis";#N/A,#N/A,FALSE,"PV";#N/A,#N/A,FALSE,"Pro Forma"}</definedName>
    <definedName name="aa3e43" hidden="1">#REF!</definedName>
    <definedName name="aaa" hidden="1">{"AnnualRentRoll",#N/A,FALSE,"RentRoll"}</definedName>
    <definedName name="AAA_DOCTOPS" hidden="1">"AAA_SET"</definedName>
    <definedName name="AAA_duser" hidden="1">"OFF"</definedName>
    <definedName name="aaaa" hidden="1">#REF!</definedName>
    <definedName name="aaaaa" hidden="1">#REF!</definedName>
    <definedName name="aaaaaaa" hidden="1">{"Outflow 1",#N/A,FALSE,"Outflows-Inflows";"Outflow 2",#N/A,FALSE,"Outflows-Inflows";"Inflow 1",#N/A,FALSE,"Outflows-Inflows";"Inflow 2",#N/A,FALSE,"Outflows-Inflows"}</definedName>
    <definedName name="aaaaaaa_1" hidden="1">{"Outflow 1",#N/A,FALSE,"Outflows-Inflows";"Outflow 2",#N/A,FALSE,"Outflows-Inflows";"Inflow 1",#N/A,FALSE,"Outflows-Inflows";"Inflow 2",#N/A,FALSE,"Outflows-Inflows"}</definedName>
    <definedName name="aaaaaaa_2" hidden="1">{"Outflow 1",#N/A,FALSE,"Outflows-Inflows";"Outflow 2",#N/A,FALSE,"Outflows-Inflows";"Inflow 1",#N/A,FALSE,"Outflows-Inflows";"Inflow 2",#N/A,FALSE,"Outflows-Inflows"}</definedName>
    <definedName name="aaaaaaa_3" hidden="1">{"Outflow 1",#N/A,FALSE,"Outflows-Inflows";"Outflow 2",#N/A,FALSE,"Outflows-Inflows";"Inflow 1",#N/A,FALSE,"Outflows-Inflows";"Inflow 2",#N/A,FALSE,"Outflows-Inflows"}</definedName>
    <definedName name="aaaaaaa_4" hidden="1">{"Outflow 1",#N/A,FALSE,"Outflows-Inflows";"Outflow 2",#N/A,FALSE,"Outflows-Inflows";"Inflow 1",#N/A,FALSE,"Outflows-Inflows";"Inflow 2",#N/A,FALSE,"Outflows-Inflows"}</definedName>
    <definedName name="aaaaaaa1" hidden="1">{"Outflow 1",#N/A,FALSE,"Outflows-Inflows";"Outflow 2",#N/A,FALSE,"Outflows-Inflows";"Inflow 1",#N/A,FALSE,"Outflows-Inflows";"Inflow 2",#N/A,FALSE,"Outflows-Inflows"}</definedName>
    <definedName name="aaaaaaa1_1" hidden="1">{"Outflow 1",#N/A,FALSE,"Outflows-Inflows";"Outflow 2",#N/A,FALSE,"Outflows-Inflows";"Inflow 1",#N/A,FALSE,"Outflows-Inflows";"Inflow 2",#N/A,FALSE,"Outflows-Inflows"}</definedName>
    <definedName name="aaaaaaa1_2" hidden="1">{"Outflow 1",#N/A,FALSE,"Outflows-Inflows";"Outflow 2",#N/A,FALSE,"Outflows-Inflows";"Inflow 1",#N/A,FALSE,"Outflows-Inflows";"Inflow 2",#N/A,FALSE,"Outflows-Inflows"}</definedName>
    <definedName name="aaaaaaa1_3" hidden="1">{"Outflow 1",#N/A,FALSE,"Outflows-Inflows";"Outflow 2",#N/A,FALSE,"Outflows-Inflows";"Inflow 1",#N/A,FALSE,"Outflows-Inflows";"Inflow 2",#N/A,FALSE,"Outflows-Inflows"}</definedName>
    <definedName name="aaaaaaa1_4" hidden="1">{"Outflow 1",#N/A,FALSE,"Outflows-Inflows";"Outflow 2",#N/A,FALSE,"Outflows-Inflows";"Inflow 1",#N/A,FALSE,"Outflows-Inflows";"Inflow 2",#N/A,FALSE,"Outflows-Inflows"}</definedName>
    <definedName name="aaaaaaaaaa" hidden="1">{"FCB_ALL",#N/A,FALSE,"FCB";"GREY_ALL",#N/A,FALSE,"GREY"}</definedName>
    <definedName name="aaaab" hidden="1">{#N/A,#N/A,FALSE,"Project Properties";#N/A,#N/A,FALSE,"Eng %";#N/A,#N/A,FALSE,"ENGFORM";#N/A,#N/A,FALSE,"staffing";#N/A,#N/A,FALSE,"spending"}</definedName>
    <definedName name="aaaattt" hidden="1">{#N/A,#N/A,TRUE,"Cover &amp; Contents";#N/A,#N/A,TRUE,"Net Assets &amp; Ops &amp; #Units";#N/A,#N/A,TRUE,"NAV per unit";#N/A,#N/A,TRUE,"Cashflow &amp; RE";#N/A,#N/A,TRUE,"Notes 1-2";#N/A,#N/A,TRUE,"Notes 3-8";#N/A,#N/A,TRUE,"Notes 9-10";#N/A,#N/A,TRUE,"Notes 11-17";#N/A,#N/A,TRUE,"Notes 18-19";#N/A,#N/A,TRUE,"Notes 20-";#N/A,#N/A,TRUE,"Cos 1";#N/A,#N/A,TRUE,"Cos 2";#N/A,#N/A,TRUE,"App I";#N/A,#N/A,TRUE,"App II"}</definedName>
    <definedName name="aab" hidden="1">{#N/A,#N/A,TRUE,"A-site";#N/A,#N/A,TRUE,"B-Buildings";#N/A,#N/A,TRUE,"c-out-of-fence";#N/A,#N/A,TRUE,"d-proj.infr.";#N/A,#N/A,TRUE,"e- land"}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ghteasfdbdsf" hidden="1">#REF!</definedName>
    <definedName name="aasdfa" hidden="1">{"rtn",#N/A,FALSE,"RTN";"tables",#N/A,FALSE,"RTN";"cf",#N/A,FALSE,"CF";"stats",#N/A,FALSE,"Stats";"prop",#N/A,FALSE,"Prop"}</definedName>
    <definedName name="aasdfa_1" hidden="1">{"rtn",#N/A,FALSE,"RTN";"tables",#N/A,FALSE,"RTN";"cf",#N/A,FALSE,"CF";"stats",#N/A,FALSE,"Stats";"prop",#N/A,FALSE,"Prop"}</definedName>
    <definedName name="aasdfa_2" hidden="1">{"rtn",#N/A,FALSE,"RTN";"tables",#N/A,FALSE,"RTN";"cf",#N/A,FALSE,"CF";"stats",#N/A,FALSE,"Stats";"prop",#N/A,FALSE,"Prop"}</definedName>
    <definedName name="aasdfa_3" hidden="1">{"rtn",#N/A,FALSE,"RTN";"tables",#N/A,FALSE,"RTN";"cf",#N/A,FALSE,"CF";"stats",#N/A,FALSE,"Stats";"prop",#N/A,FALSE,"Prop"}</definedName>
    <definedName name="aasdfa_4" hidden="1">{"rtn",#N/A,FALSE,"RTN";"tables",#N/A,FALSE,"RTN";"cf",#N/A,FALSE,"CF";"stats",#N/A,FALSE,"Stats";"prop",#N/A,FALSE,"Prop"}</definedName>
    <definedName name="ab" hidden="1">{#N/A,#N/A,TRUE,"Ericsson Stadium PCD ";#N/A,#N/A,TRUE,"Ericsson Stadium IOR"}</definedName>
    <definedName name="ab_condo" hidden="1">{#N/A,#N/A,TRUE,"Ericsson Stadium PCD ";#N/A,#N/A,TRUE,"Ericsson Stadium IOR"}</definedName>
    <definedName name="abc" hidden="1">{#N/A,#N/A,FALSE,"Broker Sheet";#N/A,#N/A,FALSE,"Exec.Summary";#N/A,#N/A,FALSE,"Argus Cash Flow";#N/A,#N/A,FALSE,"SPF";#N/A,#N/A,FALSE,"RentRoll"}</definedName>
    <definedName name="ABC_old" hidden="1">{"CHART",#N/A,FALSE,"Arch Communications"}</definedName>
    <definedName name="abcd" hidden="1">{"Zone1",#N/A,FALSE,"Parameters";"Zone2",#N/A,FALSE,"Parameters"}</definedName>
    <definedName name="abm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AccDate">#REF!</definedName>
    <definedName name="Access_Button">"Loan_Front_End_Input_List"</definedName>
    <definedName name="AccessCode" hidden="1">""""</definedName>
    <definedName name="AccessDatabase">"C:\My Documents\DAVE\MODELS\Cash at Risk\Loan Front End.mdb"</definedName>
    <definedName name="AccruedExpenses">#REF!</definedName>
    <definedName name="accts">#REF!</definedName>
    <definedName name="Acq_Date">#REF!</definedName>
    <definedName name="acqdate">#REF!</definedName>
    <definedName name="acqp1">#REF!</definedName>
    <definedName name="acqp2">#REF!</definedName>
    <definedName name="acqp3">#REF!</definedName>
    <definedName name="acqp4">#REF!</definedName>
    <definedName name="acqp5">#REF!</definedName>
    <definedName name="ACQSUM">#REF!</definedName>
    <definedName name="Acquisition_Date">#REF!</definedName>
    <definedName name="Active_Case">#REF!</definedName>
    <definedName name="actthru">#REF!</definedName>
    <definedName name="actual">#REF!</definedName>
    <definedName name="actualdatethru">#REF!</definedName>
    <definedName name="actualexp">#REF!</definedName>
    <definedName name="actuals">#REF!</definedName>
    <definedName name="ACwvu.ALL." hidden="1">#REF!</definedName>
    <definedName name="ACwvu.CAM._.RATES." hidden="1">#REF!</definedName>
    <definedName name="ACwvu.CAM._.RECOVERIES." hidden="1">#REF!</definedName>
    <definedName name="ACwvu.CAM._.RECOVERY." hidden="1">#REF!</definedName>
    <definedName name="ACwvu.CAM._.TABLE." hidden="1">#REF!</definedName>
    <definedName name="ACwvu.FRP_BACKLOG1." hidden="1">#REF!</definedName>
    <definedName name="ACwvu.FRP_backlog2." hidden="1">#REF!</definedName>
    <definedName name="ACwvu.inputs._.raw._.data." hidden="1">#REF!</definedName>
    <definedName name="ACwvu.INSURANCE._.RECOVERIES." hidden="1">#REF!</definedName>
    <definedName name="ACwvu.LSMEET." hidden="1">#REF!</definedName>
    <definedName name="ACwvu.MARKETING._.REVENUE." hidden="1">#REF!</definedName>
    <definedName name="ACwvu.MINIMUM._.RENT." hidden="1">#REF!</definedName>
    <definedName name="ACwvu.OCCUPANCY." hidden="1">#REF!</definedName>
    <definedName name="ACwvu.OCCUPANCY._.ANALYSIS." hidden="1">#REF!</definedName>
    <definedName name="ACwvu.Overhead._.detail." hidden="1">#REF!</definedName>
    <definedName name="ACwvu.PERCENTAGE._.RENT." hidden="1">#REF!</definedName>
    <definedName name="ACwvu.Profit._.report._.detailed." hidden="1">#REF!</definedName>
    <definedName name="ACwvu.Sommaire." hidden="1">#REF!,#REF!,#REF!,#REF!,#REF!,#REF!</definedName>
    <definedName name="ACwvu.summary1." hidden="1">#REF!</definedName>
    <definedName name="ACwvu.summary2." hidden="1">#REF!</definedName>
    <definedName name="ACwvu.summary3." hidden="1">#REF!</definedName>
    <definedName name="ACwvu.TAX._.RATES." hidden="1">#REF!</definedName>
    <definedName name="ACwvu.TAX._.RECOVERIES." hidden="1">#REF!</definedName>
    <definedName name="ACwvu.TAX._.RECOVERY." hidden="1">#REF!</definedName>
    <definedName name="ACwvu.WAT." hidden="1">#REF!</definedName>
    <definedName name="ad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d_old" hidden="1">{"CHART",#N/A,FALSE,"Arch Communications"}</definedName>
    <definedName name="addgf" hidden="1">{#N/A,#N/A,FALSE,"Chart 2 by Prop Type"}</definedName>
    <definedName name="adf" hidden="1">{"INCOME",#N/A,FALSE,"ProNet";"VALUE",#N/A,FALSE,"ProNet"}</definedName>
    <definedName name="adfa" hidden="1">{"cap_structure",#N/A,FALSE,"Graph-Mkt Cap";"price",#N/A,FALSE,"Graph-Price";"ebit",#N/A,FALSE,"Graph-EBITDA";"ebitda",#N/A,FALSE,"Graph-EBITDA"}</definedName>
    <definedName name="adfgh" hidden="1">{0,#N/A,FALSE,0;0,#N/A,FALSE,0}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justedLoanAmnt">#REF!</definedName>
    <definedName name="ADJUSTEDoccupancy">#REF!</definedName>
    <definedName name="adlak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adrtr" hidden="1">{0,0,0,0}</definedName>
    <definedName name="ads" hidden="1">{"inputs raw data",#N/A,TRUE,"INPUT"}</definedName>
    <definedName name="adsew" hidden="1">{"FCB_ALL",#N/A,FALSE,"FCB"}</definedName>
    <definedName name="adsf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adsf1" hidden="1">{"Annual",#N/A,FALSE,"Sales &amp; Market";"Quarterly",#N/A,FALSE,"Sales &amp; Market"}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{#N/A,#N/A,TRUE,"10 Yr Hold";#N/A,#N/A,TRUE,"7 Yr Hold";#N/A,#N/A,TRUE,"5 Yr Hold";#N/A,#N/A,TRUE,"3 Yr Hold"}</definedName>
    <definedName name="AEWEW" hidden="1">{"inputs raw data",#N/A,TRUE,"INPUT"}</definedName>
    <definedName name="aewfwe" hidden="1">{#N/A,#N/A,FALSE,"Brad_DCFM";#N/A,#N/A,FALSE,"Nick_DCFM";#N/A,#N/A,FALSE,"Mobile_DCFM"}</definedName>
    <definedName name="afdsdsaf" hidden="1">#REF!</definedName>
    <definedName name="afe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afei" hidden="1">#REF!</definedName>
    <definedName name="Affordable">#REF!</definedName>
    <definedName name="afge" hidden="1">{"FCB_ALL",#N/A,FALSE,"FCB";"GREY_ALL",#N/A,FALSE,"GREY"}</definedName>
    <definedName name="afhasd" hidden="1">{#VALUE!,#N/A,FALSE,0}</definedName>
    <definedName name="afirot" hidden="1">{#N/A,#N/A,TRUE,"TITLE";#N/A,#N/A,TRUE,"SCH 1";#N/A,#N/A,TRUE,"SCH 2";#N/A,#N/A,TRUE,"SCH 3";#N/A,#N/A,TRUE,"SCH3(A)"}</definedName>
    <definedName name="afirpt" hidden="1">{#N/A,#N/A,TRUE,"TITLE";#N/A,#N/A,TRUE,"SCH 1";#N/A,#N/A,TRUE,"SCH 2";#N/A,#N/A,TRUE,"SCH 3";#N/A,#N/A,TRUE,"SCH3(A)"}</definedName>
    <definedName name="afsdasio" hidden="1">#REF!</definedName>
    <definedName name="aftreport" hidden="1">{#N/A,#N/A,TRUE,"TITLE";#N/A,#N/A,TRUE,"SCH 1";#N/A,#N/A,TRUE,"SCH 2";#N/A,#N/A,TRUE,"SCH 3";#N/A,#N/A,TRUE,"SCH3(A)"}</definedName>
    <definedName name="agf" hidden="1">{#N/A,#N/A,FALSE,"ExecSum";#N/A,#N/A,FALSE,"total summary";#N/A,#N/A,FALSE,"Budget";#N/A,#N/A,FALSE,"CashFlow"}</definedName>
    <definedName name="agne" hidden="1">{"FCB_ALL",#N/A,FALSE,"FCB";"GREY_ALL",#N/A,FALSE,"GREY"}</definedName>
    <definedName name="ah" hidden="1">#REF!</definedName>
    <definedName name="ahafd" hidden="1">{#VALUE!,#N/A,FALSE,0}</definedName>
    <definedName name="ahge" hidden="1">{"FCB_ALL",#N/A,FALSE,"FCB";"GREY_ALL",#N/A,FALSE,"GREY"}</definedName>
    <definedName name="AIG">#REF!</definedName>
    <definedName name="aioeaiovio" hidden="1">#REF!</definedName>
    <definedName name="akdlk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Al" hidden="1">{"sheet a",#N/A,FALSE,"A";"2 9 casflow",#N/A,FALSE,"B"}</definedName>
    <definedName name="ALL">#REF!</definedName>
    <definedName name="alsow" hidden="1">{#N/A,#N/A,FALSE,"Consolidated";#N/A,#N/A,FALSE,"Available Credit";#N/A,#N/A,FALSE,"100% Owned";#N/A,#N/A,FALSE,"Bentall U.S. LLC";#N/A,#N/A,FALSE,"Bentall Properties (U.S.) Ltd.";#N/A,#N/A,FALSE,"Schedule I"}</definedName>
    <definedName name="alternate_matrix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amo">#REF!</definedName>
    <definedName name="Amo_Print">#REF!</definedName>
    <definedName name="Amort">#REF!</definedName>
    <definedName name="Amortize">#REF!</definedName>
    <definedName name="Amortizing?">#REF!</definedName>
    <definedName name="AMP_SUMMARY">#REF!</definedName>
    <definedName name="an" hidden="1">#REF!</definedName>
    <definedName name="Analysis_Begin">#REF!</definedName>
    <definedName name="Analysis_Date">#REF!</definedName>
    <definedName name="Analysis_Year">#REF!</definedName>
    <definedName name="andrew" hidden="1">{"eca",#N/A,TRUE,"E-C1 (R)";"ecb",#N/A,TRUE,"E-C1 (R)"}</definedName>
    <definedName name="Annual_Amort_Table">#REF!</definedName>
    <definedName name="Annual_interest_rate">#REF!</definedName>
    <definedName name="annual_quarterly1" hidden="1">{"Annual",#N/A,FALSE,"Sales &amp; Market";"Quarterly",#N/A,FALSE,"Sales &amp; Market"}</definedName>
    <definedName name="annualize">#REF!</definedName>
    <definedName name="Annuitäten">#REF!</definedName>
    <definedName name="anoigrowth">#REF!</definedName>
    <definedName name="anscount" hidden="1">1</definedName>
    <definedName name="aold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ap">#REF!</definedName>
    <definedName name="apartments">#REF!</definedName>
    <definedName name="apartmentTypes">#REF!</definedName>
    <definedName name="Apr.">#REF!</definedName>
    <definedName name="April03" hidden="1">{#N/A,#N/A,FALSE,"Class A";#N/A,#N/A,FALSE,"Class B";#N/A,#N/A,FALSE,"Class C"}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rgusScenario" hidden="1">#REF!</definedName>
    <definedName name="ArgusSF">#REF!</definedName>
    <definedName name="as" hidden="1">{"Outflow 1",#N/A,FALSE,"Outflows-Inflows";"Outflow 2",#N/A,FALSE,"Outflows-Inflows";"Inflow 1",#N/A,FALSE,"Outflows-Inflows";"Inflow 2",#N/A,FALSE,"Outflows-Inflows"}</definedName>
    <definedName name="as_1" hidden="1">{"Outflow 1",#N/A,FALSE,"Outflows-Inflows";"Outflow 2",#N/A,FALSE,"Outflows-Inflows";"Inflow 1",#N/A,FALSE,"Outflows-Inflows";"Inflow 2",#N/A,FALSE,"Outflows-Inflows"}</definedName>
    <definedName name="as_2" hidden="1">{"Outflow 1",#N/A,FALSE,"Outflows-Inflows";"Outflow 2",#N/A,FALSE,"Outflows-Inflows";"Inflow 1",#N/A,FALSE,"Outflows-Inflows";"Inflow 2",#N/A,FALSE,"Outflows-Inflows"}</definedName>
    <definedName name="as_3" hidden="1">{"Outflow 1",#N/A,FALSE,"Outflows-Inflows";"Outflow 2",#N/A,FALSE,"Outflows-Inflows";"Inflow 1",#N/A,FALSE,"Outflows-Inflows";"Inflow 2",#N/A,FALSE,"Outflows-Inflows"}</definedName>
    <definedName name="as_4" hidden="1">{"Outflow 1",#N/A,FALSE,"Outflows-Inflows";"Outflow 2",#N/A,FALSE,"Outflows-Inflows";"Inflow 1",#N/A,FALSE,"Outflows-Inflows";"Inflow 2",#N/A,FALSE,"Outflows-Inflows"}</definedName>
    <definedName name="AS2DocOpenMode" hidden="1">"AS2DocumentEdit"</definedName>
    <definedName name="AS2HasNoAutoHeaderFooter" hidden="1">" "</definedName>
    <definedName name="AS2LinkLS" hidden="1">#REF!</definedName>
    <definedName name="AS2NamedRange" hidden="1">3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{"Outflow 1",#N/A,FALSE,"Outflows-Inflows";"Outflow 2",#N/A,FALSE,"Outflows-Inflows";"Inflow 1",#N/A,FALSE,"Outflows-Inflows";"Inflow 2",#N/A,FALSE,"Outflows-Inflows"}</definedName>
    <definedName name="asa_1" hidden="1">{"Outflow 1",#N/A,FALSE,"Outflows-Inflows";"Outflow 2",#N/A,FALSE,"Outflows-Inflows";"Inflow 1",#N/A,FALSE,"Outflows-Inflows";"Inflow 2",#N/A,FALSE,"Outflows-Inflows"}</definedName>
    <definedName name="asa_2" hidden="1">{"Outflow 1",#N/A,FALSE,"Outflows-Inflows";"Outflow 2",#N/A,FALSE,"Outflows-Inflows";"Inflow 1",#N/A,FALSE,"Outflows-Inflows";"Inflow 2",#N/A,FALSE,"Outflows-Inflows"}</definedName>
    <definedName name="asa_3" hidden="1">{"Outflow 1",#N/A,FALSE,"Outflows-Inflows";"Outflow 2",#N/A,FALSE,"Outflows-Inflows";"Inflow 1",#N/A,FALSE,"Outflows-Inflows";"Inflow 2",#N/A,FALSE,"Outflows-Inflows"}</definedName>
    <definedName name="asa_4" hidden="1">{"Outflow 1",#N/A,FALSE,"Outflows-Inflows";"Outflow 2",#N/A,FALSE,"Outflows-Inflows";"Inflow 1",#N/A,FALSE,"Outflows-Inflows";"Inflow 2",#N/A,FALSE,"Outflows-Inflows"}</definedName>
    <definedName name="asadgasgasg" hidden="1">#REF!</definedName>
    <definedName name="asd" hidden="1">{#N/A,#N/A,FALSE,"Chart 2 by Prop Type"}</definedName>
    <definedName name="asda" hidden="1">{"AnnualRentRoll",#N/A,FALSE,"RentRoll"}</definedName>
    <definedName name="asdasd" hidden="1">{#N/A,#N/A,FALSE,"Loan Summary";#N/A,#N/A,FALSE,"NOI";"RR and Expir",#N/A,FALSE,"Rental";"Sales History",#N/A,FALSE,"Rental";#N/A,#N/A,FALSE,"Reserves"}</definedName>
    <definedName name="asdaw" hidden="1">{"FCB_ALL",#N/A,FALSE,"FCB"}</definedName>
    <definedName name="asdf" hidden="1">{"Plant Parameters",#N/A,FALSE,"Total Project Economics";"summary1",#N/A,FALSE,"Total Project Economics";"Tariffs_Unit Prices_Costs",#N/A,FALSE,"Total Project Economics";"Financials",#N/A,FALSE,"Total Project Economics"}</definedName>
    <definedName name="asdf_1" hidden="1">{"Plant Parameters",#N/A,FALSE,"Total Project Economics";"summary1",#N/A,FALSE,"Total Project Economics";"Tariffs_Unit Prices_Costs",#N/A,FALSE,"Total Project Economics";"Financials",#N/A,FALSE,"Total Project Economics"}</definedName>
    <definedName name="asdf2" hidden="1">{#N/A,#N/A,FALSE,"OperatingAssumptions"}</definedName>
    <definedName name="asdf2_1" hidden="1">{#N/A,#N/A,FALSE,"OperatingAssumptions"}</definedName>
    <definedName name="asdf2_2" hidden="1">{#N/A,#N/A,FALSE,"OperatingAssumptions"}</definedName>
    <definedName name="asdf2_3" hidden="1">{#N/A,#N/A,FALSE,"OperatingAssumptions"}</definedName>
    <definedName name="asdf2_4" hidden="1">{#N/A,#N/A,FALSE,"OperatingAssumptions"}</definedName>
    <definedName name="asdf22" hidden="1">{#N/A,#N/A,FALSE,"OperatingAssumptions"}</definedName>
    <definedName name="asdf3" hidden="1">{#N/A,#N/A,FALSE,"LoanAssumptions"}</definedName>
    <definedName name="asdf3_1" hidden="1">{#N/A,#N/A,FALSE,"LoanAssumptions"}</definedName>
    <definedName name="asdf3_2" hidden="1">{#N/A,#N/A,FALSE,"LoanAssumptions"}</definedName>
    <definedName name="asdf3_3" hidden="1">{#N/A,#N/A,FALSE,"LoanAssumptions"}</definedName>
    <definedName name="asdf3_4" hidden="1">{#N/A,#N/A,FALSE,"LoanAssumptions"}</definedName>
    <definedName name="asdf33" hidden="1">{#N/A,#N/A,FALSE,"LoanAssumptions"}</definedName>
    <definedName name="asdf5" hidden="1">{"MonthlyRentRoll",#N/A,FALSE,"RentRoll"}</definedName>
    <definedName name="asdf5_1" hidden="1">{"MonthlyRentRoll",#N/A,FALSE,"RentRoll"}</definedName>
    <definedName name="asdf5_2" hidden="1">{"MonthlyRentRoll",#N/A,FALSE,"RentRoll"}</definedName>
    <definedName name="asdf5_3" hidden="1">{"MonthlyRentRoll",#N/A,FALSE,"RentRoll"}</definedName>
    <definedName name="asdf5_4" hidden="1">{"MonthlyRentRoll",#N/A,FALSE,"RentRoll"}</definedName>
    <definedName name="asdf55" hidden="1">{"MonthlyRentRoll",#N/A,FALSE,"RentRoll"}</definedName>
    <definedName name="asdf7" hidden="1">{#N/A,#N/A,TRUE,"Summary";"AnnualRentRoll",#N/A,TRUE,"RentRoll";#N/A,#N/A,TRUE,"ExitStratigy";#N/A,#N/A,TRUE,"OperatingAssumptions"}</definedName>
    <definedName name="asdf7_1" hidden="1">{#N/A,#N/A,TRUE,"Summary";"AnnualRentRoll",#N/A,TRUE,"RentRoll";#N/A,#N/A,TRUE,"ExitStratigy";#N/A,#N/A,TRUE,"OperatingAssumptions"}</definedName>
    <definedName name="asdf7_2" hidden="1">{#N/A,#N/A,TRUE,"Summary";"AnnualRentRoll",#N/A,TRUE,"RentRoll";#N/A,#N/A,TRUE,"ExitStratigy";#N/A,#N/A,TRUE,"OperatingAssumptions"}</definedName>
    <definedName name="asdf7_3" hidden="1">{#N/A,#N/A,TRUE,"Summary";"AnnualRentRoll",#N/A,TRUE,"RentRoll";#N/A,#N/A,TRUE,"ExitStratigy";#N/A,#N/A,TRUE,"OperatingAssumptions"}</definedName>
    <definedName name="asdf7_4" hidden="1">{#N/A,#N/A,TRUE,"Summary";"AnnualRentRoll",#N/A,TRUE,"RentRoll";#N/A,#N/A,TRUE,"ExitStratigy";#N/A,#N/A,TRUE,"OperatingAssumptions"}</definedName>
    <definedName name="asdf77" hidden="1">{#N/A,#N/A,TRUE,"Summary";"AnnualRentRoll",#N/A,TRUE,"RentRoll";#N/A,#N/A,TRUE,"ExitStratigy";#N/A,#N/A,TRUE,"OperatingAssumptions"}</definedName>
    <definedName name="asdfa" hidden="1">#N/A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_1" hidden="1">{"print 1.6",#N/A,FALSE,"Sheet1";"print 2.6",#N/A,FALSE,"Sheet1";"print 3.6",#N/A,FALSE,"Sheet1";"print 4.6",#N/A,FALSE,"Sheet1";"print 5.6",#N/A,FALSE,"Sheet1";"print 6.6",#N/A,FALSE,"Sheet1"}</definedName>
    <definedName name="asdfas_2" hidden="1">{"print 1.6",#N/A,FALSE,"Sheet1";"print 2.6",#N/A,FALSE,"Sheet1";"print 3.6",#N/A,FALSE,"Sheet1";"print 4.6",#N/A,FALSE,"Sheet1";"print 5.6",#N/A,FALSE,"Sheet1";"print 6.6",#N/A,FALSE,"Sheet1"}</definedName>
    <definedName name="asdfas_3" hidden="1">{"print 1.6",#N/A,FALSE,"Sheet1";"print 2.6",#N/A,FALSE,"Sheet1";"print 3.6",#N/A,FALSE,"Sheet1";"print 4.6",#N/A,FALSE,"Sheet1";"print 5.6",#N/A,FALSE,"Sheet1";"print 6.6",#N/A,FALSE,"Sheet1"}</definedName>
    <definedName name="asdfas_4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aa_1" hidden="1">{"print 1.6",#N/A,FALSE,"Sheet1";"print 2.6",#N/A,FALSE,"Sheet1";"print 3.6",#N/A,FALSE,"Sheet1";"print 4.6",#N/A,FALSE,"Sheet1";"print 5.6",#N/A,FALSE,"Sheet1";"print 6.6",#N/A,FALSE,"Sheet1"}</definedName>
    <definedName name="asdfasaa_2" hidden="1">{"print 1.6",#N/A,FALSE,"Sheet1";"print 2.6",#N/A,FALSE,"Sheet1";"print 3.6",#N/A,FALSE,"Sheet1";"print 4.6",#N/A,FALSE,"Sheet1";"print 5.6",#N/A,FALSE,"Sheet1";"print 6.6",#N/A,FALSE,"Sheet1"}</definedName>
    <definedName name="asdfasaa_3" hidden="1">{"print 1.6",#N/A,FALSE,"Sheet1";"print 2.6",#N/A,FALSE,"Sheet1";"print 3.6",#N/A,FALSE,"Sheet1";"print 4.6",#N/A,FALSE,"Sheet1";"print 5.6",#N/A,FALSE,"Sheet1";"print 6.6",#N/A,FALSE,"Sheet1"}</definedName>
    <definedName name="asdfasaa_4" hidden="1">{"print 1.6",#N/A,FALSE,"Sheet1";"print 2.6",#N/A,FALSE,"Sheet1";"print 3.6",#N/A,FALSE,"Sheet1";"print 4.6",#N/A,FALSE,"Sheet1";"print 5.6",#N/A,FALSE,"Sheet1";"print 6.6",#N/A,FALSE,"Sheet1"}</definedName>
    <definedName name="asdfasdf" hidden="1">{"rtn",#N/A,FALSE,"RTN";"tables",#N/A,FALSE,"RTN";"cf",#N/A,FALSE,"CF";"stats",#N/A,FALSE,"Stats";"prop",#N/A,FALSE,"Prop"}</definedName>
    <definedName name="asdfasdf_1" hidden="1">{"rtn",#N/A,FALSE,"RTN";"tables",#N/A,FALSE,"RTN";"cf",#N/A,FALSE,"CF";"stats",#N/A,FALSE,"Stats";"prop",#N/A,FALSE,"Prop"}</definedName>
    <definedName name="asdfasdf_2" hidden="1">{"rtn",#N/A,FALSE,"RTN";"tables",#N/A,FALSE,"RTN";"cf",#N/A,FALSE,"CF";"stats",#N/A,FALSE,"Stats";"prop",#N/A,FALSE,"Prop"}</definedName>
    <definedName name="asdfasdf_3" hidden="1">{"rtn",#N/A,FALSE,"RTN";"tables",#N/A,FALSE,"RTN";"cf",#N/A,FALSE,"CF";"stats",#N/A,FALSE,"Stats";"prop",#N/A,FALSE,"Prop"}</definedName>
    <definedName name="asdfasdf_4" hidden="1">{"rtn",#N/A,FALSE,"RTN";"tables",#N/A,FALSE,"RTN";"cf",#N/A,FALSE,"CF";"stats",#N/A,FALSE,"Stats";"prop",#N/A,FALSE,"Prop"}</definedName>
    <definedName name="asdfasdf1" hidden="1">{"Annual",#N/A,FALSE,"Sales &amp; Market";"Quarterly",#N/A,FALSE,"Sales &amp; Market"}</definedName>
    <definedName name="asdfasdfasdfa" hidden="1">binary</definedName>
    <definedName name="asdfasdfdddd" hidden="1">{"DCF","UPSIDE CASE",FALSE,"Sheet1";"DCF","BASE CASE",FALSE,"Sheet1";"DCF","DOWNSIDE CASE",FALSE,"Sheet1"}</definedName>
    <definedName name="asdfasdfs" hidden="1">{#N/A,#N/A,FALSE,"Matrix";#N/A,#N/A,FALSE,"Cash Flow";#N/A,#N/A,FALSE,"10 Year Cost Analysis"}</definedName>
    <definedName name="asdfasfsa" hidden="1">binary</definedName>
    <definedName name="asdfe" hidden="1">{"FCB_ALL",#N/A,FALSE,"FCB"}</definedName>
    <definedName name="asdfg" hidden="1">{"rtn",#N/A,FALSE,"RTN";"tables",#N/A,FALSE,"RTN";"cf",#N/A,FALSE,"CF";"stats",#N/A,FALSE,"Stats";"prop",#N/A,FALSE,"Prop"}</definedName>
    <definedName name="asdfn" hidden="1">{"FCB_ALL",#N/A,FALSE,"FCB";"GREY_ALL",#N/A,FALSE,"GREY"}</definedName>
    <definedName name="asdfsd" hidden="1">binary</definedName>
    <definedName name="asdfsdf" hidden="1">{"Annual",#N/A,FALSE,"Sales &amp; Market";"Quarterly",#N/A,FALSE,"Sales &amp; Market"}</definedName>
    <definedName name="asdfsdf1" hidden="1">{"Annual",#N/A,FALSE,"Sales &amp; Market";"Quarterly",#N/A,FALSE,"Sales &amp; Market"}</definedName>
    <definedName name="asdgaew" hidden="1">{"FCB_ALL",#N/A,FALSE,"FCB"}</definedName>
    <definedName name="asdr5" hidden="1">{"FCB_ALL",#N/A,FALSE,"FCB";"GREY_ALL",#N/A,FALSE,"GREY"}</definedName>
    <definedName name="asdvaw" hidden="1">#REF!</definedName>
    <definedName name="asf" hidden="1">{"sheet a",#N/A,FALSE,"A";"sheet b 1",#N/A,FALSE,"B";"sheet b 2",#N/A,FALSE,"B"}</definedName>
    <definedName name="asfd" hidden="1">{"FCB_ALL",#N/A,FALSE,"FCB"}</definedName>
    <definedName name="asfget" hidden="1">{"Page1",#N/A,FALSE,"7979";"Page2",#N/A,FALSE,"7979";"Page3",#N/A,FALSE,"7979"}</definedName>
    <definedName name="asfsaf" hidden="1">binary</definedName>
    <definedName name="asgdr" hidden="1">{"fdb2_print",#N/A,FALSE,"Report"}</definedName>
    <definedName name="asgearg" hidden="1">#REF!</definedName>
    <definedName name="ashish" hidden="1">{"'Assump'!$F$6:$J$6"}</definedName>
    <definedName name="ASIS">#REF!</definedName>
    <definedName name="ass" hidden="1">{"print 1.6",#N/A,FALSE,"Sheet1";"print 2.6",#N/A,FALSE,"Sheet1";"print 3.6",#N/A,FALSE,"Sheet1";"print 4.6",#N/A,FALSE,"Sheet1";"print 5.6",#N/A,FALSE,"Sheet1";"print 6.6",#N/A,FALSE,"Sheet1"}</definedName>
    <definedName name="ass_1" hidden="1">{"print 1.6",#N/A,FALSE,"Sheet1";"print 2.6",#N/A,FALSE,"Sheet1";"print 3.6",#N/A,FALSE,"Sheet1";"print 4.6",#N/A,FALSE,"Sheet1";"print 5.6",#N/A,FALSE,"Sheet1";"print 6.6",#N/A,FALSE,"Sheet1"}</definedName>
    <definedName name="ass_2" hidden="1">{"print 1.6",#N/A,FALSE,"Sheet1";"print 2.6",#N/A,FALSE,"Sheet1";"print 3.6",#N/A,FALSE,"Sheet1";"print 4.6",#N/A,FALSE,"Sheet1";"print 5.6",#N/A,FALSE,"Sheet1";"print 6.6",#N/A,FALSE,"Sheet1"}</definedName>
    <definedName name="ass_3" hidden="1">{"print 1.6",#N/A,FALSE,"Sheet1";"print 2.6",#N/A,FALSE,"Sheet1";"print 3.6",#N/A,FALSE,"Sheet1";"print 4.6",#N/A,FALSE,"Sheet1";"print 5.6",#N/A,FALSE,"Sheet1";"print 6.6",#N/A,FALSE,"Sheet1"}</definedName>
    <definedName name="ass_4" hidden="1">{"print 1.6",#N/A,FALSE,"Sheet1";"print 2.6",#N/A,FALSE,"Sheet1";"print 3.6",#N/A,FALSE,"Sheet1";"print 4.6",#N/A,FALSE,"Sheet1";"print 5.6",#N/A,FALSE,"Sheet1";"print 6.6",#N/A,FALSE,"Sheet1"}</definedName>
    <definedName name="ASSESS_">#REF!</definedName>
    <definedName name="asset" hidden="1">{"print 1.6",#N/A,FALSE,"Sheet1";"print 2.6",#N/A,FALSE,"Sheet1";"print 3.6",#N/A,FALSE,"Sheet1";"print 4.6",#N/A,FALSE,"Sheet1";"print 5.6",#N/A,FALSE,"Sheet1";"print 6.6",#N/A,FALSE,"Sheet1"}</definedName>
    <definedName name="AssetMgmntFee">#REF!</definedName>
    <definedName name="AssetMngmtFee">#REF!</definedName>
    <definedName name="asss" hidden="1">{"rtn",#N/A,FALSE,"RTN";"tables",#N/A,FALSE,"RTN";"cf",#N/A,FALSE,"CF";"stats",#N/A,FALSE,"Stats";"prop",#N/A,FALSE,"Prop"}</definedName>
    <definedName name="asss_1" hidden="1">{"rtn",#N/A,FALSE,"RTN";"tables",#N/A,FALSE,"RTN";"cf",#N/A,FALSE,"CF";"stats",#N/A,FALSE,"Stats";"prop",#N/A,FALSE,"Prop"}</definedName>
    <definedName name="asss_2" hidden="1">{"rtn",#N/A,FALSE,"RTN";"tables",#N/A,FALSE,"RTN";"cf",#N/A,FALSE,"CF";"stats",#N/A,FALSE,"Stats";"prop",#N/A,FALSE,"Prop"}</definedName>
    <definedName name="asss_3" hidden="1">{"rtn",#N/A,FALSE,"RTN";"tables",#N/A,FALSE,"RTN";"cf",#N/A,FALSE,"CF";"stats",#N/A,FALSE,"Stats";"prop",#N/A,FALSE,"Prop"}</definedName>
    <definedName name="asss_4" hidden="1">{"rtn",#N/A,FALSE,"RTN";"tables",#N/A,FALSE,"RTN";"cf",#N/A,FALSE,"CF";"stats",#N/A,FALSE,"Stats";"prop",#N/A,FALSE,"Prop"}</definedName>
    <definedName name="assssss" hidden="1">{"FCB_ALL",#N/A,FALSE,"FCB"}</definedName>
    <definedName name="assum" hidden="1">{"Financials",#N/A,FALSE,"Financials";"AVP",#N/A,FALSE,"AVP";"DCF",#N/A,FALSE,"DCF";"CSC",#N/A,FALSE,"CSC";"Deal_Comp",#N/A,FALSE,"DealComp"}</definedName>
    <definedName name="ASSUME">#REF!</definedName>
    <definedName name="ASSUMP">#REF!</definedName>
    <definedName name="assumpt">#REF!</definedName>
    <definedName name="assumptions" hidden="1">{#N/A,#N/A,FALSE,"Notes";#N/A,#N/A,FALSE,"CashFlowSummary";#N/A,#N/A,FALSE,"InvestorSummary";#N/A,#N/A,FALSE,"RevenueAssumptions";#N/A,#N/A,FALSE,"MasterCostAssmp";#N/A,#N/A,FALSE,"InTractCstAssmp";#N/A,#N/A,FALSE,"LotTakedowns"}</definedName>
    <definedName name="Assumptions1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Assumptions1_1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AssumptionsA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AssumSEComb" hidden="1">{"clp_bs_doc",#N/A,FALSE,"CLP";"clp_is_doc",#N/A,FALSE,"CLP";"clp_cf_doc",#N/A,FALSE,"CLP";"clp_fr_doc",#N/A,FALSE,"CLP"}</definedName>
    <definedName name="aswd" hidden="1">{#N/A,#N/A,FALSE,"Loan Summary";#N/A,#N/A,FALSE,"NOI";"RR and Expir",#N/A,FALSE,"Rental";"Sales History",#N/A,FALSE,"Rental";#N/A,#N/A,FALSE,"Reserves"}</definedName>
    <definedName name="Atlanta" hidden="1">{#N/A,#N/A,FALSE,"Chart 2 by Prop Type"}</definedName>
    <definedName name="Attach3" hidden="1">{"Grant",#N/A,FALSE,"Grant";"GP Developer",#N/A,FALSE,"GP &amp; Dev Loans";"Operating Analysis",#N/A,FALSE,"Operations";"Tax Credit",#N/A,FALSE,"Tax Credits";"Tax Credit Analysis",#N/A,FALSE,"TC Analysis"}</definedName>
    <definedName name="Aug.">#REF!</definedName>
    <definedName name="avegmultiple" hidden="1">#REF!</definedName>
    <definedName name="aveparkcopy" hidden="1">{"View1",#N/A,FALSE,"Sheet1";"View2",#N/A,FALSE,"Sheet1"}</definedName>
    <definedName name="AvgCOC_10yr">#REF!</definedName>
    <definedName name="AvgCOC_5yr">#REF!</definedName>
    <definedName name="avl" hidden="1">{"Analysis of Assets_Liabilities",#N/A,FALSE,"ccy_anal";"Analysis of Investments",#N/A,FALSE,"ccy_anal"}</definedName>
    <definedName name="awe" hidden="1">{"FCB_ALL",#N/A,FALSE,"FCB"}</definedName>
    <definedName name="awea" hidden="1">{"FCB_ALL",#N/A,FALSE,"FCB";"GREY_ALL",#N/A,FALSE,"GREY"}</definedName>
    <definedName name="awuil">#REF!</definedName>
    <definedName name="ayesha" hidden="1">{"p1TOC",#N/A,FALSE,"DCF_Summary";"p23summary",#N/A,FALSE,"DCF_Summary";"p4contact",#N/A,FALSE,"Contact Lake";"p5kumtor",#N/A,FALSE,"Kumtor";#N/A,#N/A,FALSE,"CCAU_NAV";"p8compdata",#N/A,FALSE,"Gold_Comps";#N/A,#N/A,FALSE,"Comp_Valuation"}</definedName>
    <definedName name="az" hidden="1">{#N/A,#N/A,FALSE,"Chart 2 by Prop Type"}</definedName>
    <definedName name="b" hidden="1">{#N/A,#N/A,FALSE,"ExitStratigy"}</definedName>
    <definedName name="b_Key1" hidden="1">#REF!</definedName>
    <definedName name="b_Key2" hidden="1">#REF!</definedName>
    <definedName name="ba" hidden="1">{"FCB_ALL",#N/A,FALSE,"FCB";"GREY_ALL",#N/A,FALSE,"GREY"}</definedName>
    <definedName name="back" hidden="1">{"fdb1_Rapport_Report",#N/A,FALSE,"Report"}</definedName>
    <definedName name="back2" hidden="1">{"fdb2_print",#N/A,FALSE,"Report"}</definedName>
    <definedName name="backup_yo" hidden="1">{"fdb1_Rapport_Report",#N/A,FALSE,"Report"}</definedName>
    <definedName name="backup2_yo" hidden="1">{"fdb2_print",#N/A,FALSE,"Report"}</definedName>
    <definedName name="BadLink" hidden="1">#REF!</definedName>
    <definedName name="BAL_SHT">#REF!</definedName>
    <definedName name="balance">#REF!</definedName>
    <definedName name="BalType">#REF!</definedName>
    <definedName name="Bank_funding">#REF!</definedName>
    <definedName name="BASE">#REF!</definedName>
    <definedName name="Base_Rental_Revenue">#REF!</definedName>
    <definedName name="Base.Row">ROW(#REF!)</definedName>
    <definedName name="BASERATE">#REF!</definedName>
    <definedName name="BaseRnt">#REF!</definedName>
    <definedName name="Battery">#N/A</definedName>
    <definedName name="battery1">{"Annually";"Semi-Annually";"Quarterly";"Bi-Monthly";"Monthly"}</definedName>
    <definedName name="battery2">#REF!</definedName>
    <definedName name="battery3">#N/A</definedName>
    <definedName name="battery4">#REF!</definedName>
    <definedName name="battery5">#REF!</definedName>
    <definedName name="bb" hidden="1">{#N/A,#N/A,FALSE,"ExitStratigy"}</definedName>
    <definedName name="bbb" hidden="1">{#N/A,#N/A,FALSE,"ExitStratigy"}</definedName>
    <definedName name="bbbb" hidden="1">{#N/A,#N/A,FALSE,"Aging Summary";#N/A,#N/A,FALSE,"Ratio Analysis";#N/A,#N/A,FALSE,"Test 120 Day Accts";#N/A,#N/A,FALSE,"Tickmarks"}</definedName>
    <definedName name="bbbbbb" hidden="1">{"Outflow 1",#N/A,FALSE,"Outflows-Inflows";"Outflow 2",#N/A,FALSE,"Outflows-Inflows";"Inflow 1",#N/A,FALSE,"Outflows-Inflows";"Inflow 2",#N/A,FALSE,"Outflows-Inflows"}</definedName>
    <definedName name="bdcopy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bdinvestor" hidden="1">{"View1",#N/A,FALSE,"Sheet1";"View2",#N/A,FALSE,"Sheet1"}</definedName>
    <definedName name="be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g_Bal">#REF!</definedName>
    <definedName name="BellGlobeMedia">Word</definedName>
    <definedName name="ben" hidden="1">{"Analysis of Assets_Liabilities",#N/A,FALSE,"ccy_anal";"Analysis of Investments",#N/A,FALSE,"ccy_anal"}</definedName>
    <definedName name="BETA">#REF!</definedName>
    <definedName name="Bewässerung">#REF!</definedName>
    <definedName name="Bewässerung_______28.">#REF!</definedName>
    <definedName name="BG_Del" hidden="1">15</definedName>
    <definedName name="BG_Ins" hidden="1">4</definedName>
    <definedName name="BG_Mod" hidden="1">6</definedName>
    <definedName name="bijou">#REF!</definedName>
    <definedName name="Billboard_Cell_Tower_Income">#REF!</definedName>
    <definedName name="birch">#REF!</definedName>
    <definedName name="Bison_Spot">#REF!</definedName>
    <definedName name="blah" hidden="1">{"Input Assumptions",#N/A,FALSE,"Summary";"Project CF",#N/A,FALSE,"Summary";"Debt &amp; Sq. Ft.",#N/A,FALSE,"Summary";"Revenues",#N/A,FALSE,"Revenue"}</definedName>
    <definedName name="blah1" hidden="1">{"schedule1",#N/A,FALSE,"Sheet1";"schedule2",#N/A,FALSE,"Sheet1";"schedule3",#N/A,FALSE,"Sheet1";"schedule4",#N/A,FALSE,"Sheet1";"schedule5",#N/A,FALSE,"Sheet1";"schedule6",#N/A,FALSE,"Sheet1"}</definedName>
    <definedName name="blah2" hidden="1">{"'Directory'!$A$72:$E$91"}</definedName>
    <definedName name="blah3" hidden="1">{"'Directory'!$A$72:$E$91"}</definedName>
    <definedName name="blc">#REF!</definedName>
    <definedName name="BLPH1" hidden="1">#REF!</definedName>
    <definedName name="BLPH10" hidden="1">#REF!</definedName>
    <definedName name="BLPH1001" hidden="1">#REF!</definedName>
    <definedName name="BLPH1002" hidden="1">#REF!</definedName>
    <definedName name="BLPH1003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" hidden="1">#REF!</definedName>
    <definedName name="BLPH30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" hidden="1">#REF!</definedName>
    <definedName name="BLPH40" hidden="1">#REF!</definedName>
    <definedName name="BLPH41" hidden="1">#REF!</definedName>
    <definedName name="BLPH5" hidden="1">#REF!</definedName>
    <definedName name="BLPH50" hidden="1">#REF!</definedName>
    <definedName name="BLPH51" hidden="1">#REF!</definedName>
    <definedName name="BLPH52" hidden="1">#REF!</definedName>
    <definedName name="BLPH535" hidden="1">#REF!</definedName>
    <definedName name="BLPH536" hidden="1">#REF!</definedName>
    <definedName name="BLPH6" hidden="1">#REF!</definedName>
    <definedName name="BLPH64" hidden="1">#REF!</definedName>
    <definedName name="BLPH65" hidden="1">#REF!</definedName>
    <definedName name="BLPH66" hidden="1">#REF!</definedName>
    <definedName name="BLPH67" hidden="1">#REF!</definedName>
    <definedName name="BLPH68" hidden="1">#REF!</definedName>
    <definedName name="BLPH69" hidden="1">#REF!</definedName>
    <definedName name="BLPH7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" hidden="1">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9" hidden="1">#REF!</definedName>
    <definedName name="BLPH99" hidden="1">#REF!</definedName>
    <definedName name="BNE_MESSAGES_HIDDEN" hidden="1">#REF!</definedName>
    <definedName name="bnmb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boc">#REF!</definedName>
    <definedName name="Bond">Facility</definedName>
    <definedName name="BONDRATE">#REF!</definedName>
    <definedName name="bps">#REF!</definedName>
    <definedName name="BR_MO">#REF!</definedName>
    <definedName name="BR_YR">#REF!</definedName>
    <definedName name="Bridgerock" hidden="1">{"Financials",#N/A,FALSE,"Financials";"AVP",#N/A,FALSE,"AVP";"DCF",#N/A,FALSE,"DCF";"CSC",#N/A,FALSE,"CSC";"Deal_Comp",#N/A,FALSE,"DealComp"}</definedName>
    <definedName name="BROWS">#REF!</definedName>
    <definedName name="BSIWhichPageSetup" hidden="1">1</definedName>
    <definedName name="BSIWhichPageSetup_0" hidden="1">"0þ"</definedName>
    <definedName name="BU_Fin_high_pg1">#REF!</definedName>
    <definedName name="BUCH2">#REF!</definedName>
    <definedName name="BUDGET">#REF!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dgetyear">#REF!</definedName>
    <definedName name="BUDGETYTD">#REF!</definedName>
    <definedName name="budtype">#REF!</definedName>
    <definedName name="building">#REF!</definedName>
    <definedName name="building_address">#REF!</definedName>
    <definedName name="building_entity">#REF!</definedName>
    <definedName name="BULK_ValidationRange_0b7bdea024214a8282272c9afb1564a3" hidden="1">#REF!</definedName>
    <definedName name="BULK_ValidationRange_12556ffef6aa483299aa0877d17cbfa0">#REF!</definedName>
    <definedName name="BULK_ValidationRange_12821d32298743069c881a2c45e792ee" hidden="1">#REF!</definedName>
    <definedName name="BULK_ValidationRange_149183ca4b8747228aeaf6223dc7d01e">#REF!</definedName>
    <definedName name="BULK_ValidationRange_14c2cd2d31c34555a7ba024d9466d88c">#REF!</definedName>
    <definedName name="BULK_ValidationRange_15618c1c73dd49549d24af154e37eb19" hidden="1">#REF!</definedName>
    <definedName name="BULK_ValidationRange_1706a2e64baa4140bee3f0e5769f46cc" hidden="1">#REF!</definedName>
    <definedName name="BULK_ValidationRange_18f4061f3dc84248b46421aae7e5d57b" hidden="1">#REF!</definedName>
    <definedName name="BULK_ValidationRange_18f739bcbf7f47ff9c32ca9cd8a19359">#REF!</definedName>
    <definedName name="BULK_ValidationRange_21ee9137b6cd4289a204b31a11de98c2" hidden="1">#REF!</definedName>
    <definedName name="BULK_ValidationRange_2940cb12f7ff4854beee83124817c702">#REF!</definedName>
    <definedName name="BULK_ValidationRange_2972fb02a2e14ea4aa1ae669088dd14c" hidden="1">#REF!</definedName>
    <definedName name="BULK_ValidationRange_2d09407f771247878d1e4141bffee311">#REF!</definedName>
    <definedName name="BULK_ValidationRange_3233a3f6af92408e969b5ac6d6377fce">#REF!</definedName>
    <definedName name="BULK_ValidationRange_386d5683f9234a1ba3b0e63c8d3a5a62" hidden="1">#REF!</definedName>
    <definedName name="BULK_ValidationRange_3ca9f147e93d4d76b160293bf8d59c1c" hidden="1">#REF!</definedName>
    <definedName name="BULK_ValidationRange_3d913c7796e3451ea94b7e4c0931f5a8" hidden="1">#REF!</definedName>
    <definedName name="BULK_ValidationRange_41efc4496cda42f8a14c1047d8be0977" hidden="1">#REF!</definedName>
    <definedName name="BULK_ValidationRange_44a676f09489472ba03fc7b2209e6ab5">#REF!</definedName>
    <definedName name="BULK_ValidationRange_4722c5575b0743658c6f7b3951ec5c93">#REF!</definedName>
    <definedName name="BULK_ValidationRange_4995a0e33daa40b895c330d90d6dba02" hidden="1">#REF!</definedName>
    <definedName name="BULK_ValidationRange_4cf8d0a98cb147bb83428777ab1f32cc" hidden="1">#REF!</definedName>
    <definedName name="BULK_ValidationRange_5932e04fba674694bae03d04fe5d7dd7">#REF!</definedName>
    <definedName name="BULK_ValidationRange_6000b17ef1314361ad48dbf04c448ab9" hidden="1">#REF!</definedName>
    <definedName name="BULK_ValidationRange_60e57394662e470bbada4829788053d2">#REF!</definedName>
    <definedName name="BULK_ValidationRange_6468c789af0a4b04b91f6020307977a9">#REF!</definedName>
    <definedName name="BULK_ValidationRange_68ab878b7aa14256a61fc3b76911bb0a" hidden="1">#REF!</definedName>
    <definedName name="BULK_ValidationRange_7798328a78a74b3098b5323b7d48b550" hidden="1">#REF!</definedName>
    <definedName name="BULK_ValidationRange_85550909b16f4f609069bc490859c66f" hidden="1">#REF!</definedName>
    <definedName name="BULK_ValidationRange_914aa9c7722043cc91672f3db0beb881" hidden="1">#REF!</definedName>
    <definedName name="BULK_ValidationRange_9450bd842be24c45b479df67b6787428" hidden="1">#REF!</definedName>
    <definedName name="BULK_ValidationRange_9646321a0b424dd6a31d7086868f19ab">#REF!</definedName>
    <definedName name="BULK_ValidationRange_99a490aea6104cf58f799f4ef0297918" hidden="1">#REF!</definedName>
    <definedName name="BULK_ValidationRange_9dbe50a5a8b94d96821c467b29631bba" hidden="1">#REF!</definedName>
    <definedName name="BULK_ValidationRange_a48cf423aa214ca7adad0c840ef491c4" hidden="1">#REF!</definedName>
    <definedName name="BULK_ValidationRange_ade4932bc2d8417db1e14b3c860121cd">#REF!</definedName>
    <definedName name="BULK_ValidationRange_b178c8473ace4def8108a29d34f79aa6">#REF!</definedName>
    <definedName name="BULK_ValidationRange_b7378246069f466ba97cd713ef1b6004">#REF!</definedName>
    <definedName name="BULK_ValidationRange_bc9f24b80a0d42fabad20f4a9fef5e6c" hidden="1">#REF!</definedName>
    <definedName name="BULK_ValidationRange_c4611a26fca64b55a919aa5b891394e8" hidden="1">#REF!</definedName>
    <definedName name="BULK_ValidationRange_c859fbfe6fbb4f1f91f99af3a094e3ea">#REF!</definedName>
    <definedName name="BULK_ValidationRange_cddeba81f4a246599a71522bd3f586fb" hidden="1">#REF!</definedName>
    <definedName name="BULK_ValidationRange_d6419b0234f74cada30b280a6a23355d">#REF!</definedName>
    <definedName name="BULK_ValidationRange_d79ee53613d44cd882449757feee2d82" hidden="1">#REF!</definedName>
    <definedName name="BULK_ValidationRange_d9ce7a4f291b4420b12ccc7d75250576" hidden="1">#REF!</definedName>
    <definedName name="BULK_ValidationRange_de4e10c000d645888413fadda7cbb707" hidden="1">#REF!</definedName>
    <definedName name="BULK_ValidationRange_e22d8460b4fe415ea3348d2cdf9042b1" hidden="1">#REF!</definedName>
    <definedName name="BULK_ValidationRange_e2fd83aeed1d493e816b0ecb68ab475a" hidden="1">#REF!</definedName>
    <definedName name="BULK_ValidationRange_f431fde2da6c4727808a228795ddcb8b" hidden="1">#REF!</definedName>
    <definedName name="BULK_ValidationRange_f48b2752c95f4db8af00438b31b7fb59" hidden="1">#REF!</definedName>
    <definedName name="BULK_ValidationRange_f4dfc3b94e614dd5bb63a1211641bfac" hidden="1">#REF!</definedName>
    <definedName name="BULK_ValidationRange_f58ae05a06d94224bee7a8cbe6bcfdf9" hidden="1">#REF!</definedName>
    <definedName name="BULK_ValidationRange_fd2741e684f14cbeb279cc4d89b4f8d2" hidden="1">#REF!</definedName>
    <definedName name="BULK_ValidationRange_feab3b3f620f4ffe8822de3f4141ef65" hidden="1">#REF!</definedName>
    <definedName name="bull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sf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hit" hidden="1">{"Assumptions",#N/A,TRUE,"Returns";"Tables",#N/A,TRUE,"Returns"}</definedName>
    <definedName name="business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Unit">#REF!</definedName>
    <definedName name="but" hidden="1">{"2000",#N/A,FALSE,"2000"}</definedName>
    <definedName name="bv" hidden="1">"c2205"</definedName>
    <definedName name="C_">#REF!</definedName>
    <definedName name="c.LTMYear" hidden="1">#REF!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l" hidden="1">{#N/A,#N/A,FALSE,"Project Properties";#N/A,#N/A,FALSE,"Eng %";#N/A,#N/A,FALSE,"ENGFORM";#N/A,#N/A,FALSE,"staffing";#N/A,#N/A,FALSE,"spending"}</definedName>
    <definedName name="CALCCHOICE">#REF!</definedName>
    <definedName name="calvin" hidden="1">{#N/A,#N/A,FALSE,"Project Properties";#N/A,#N/A,FALSE,"Eng %";#N/A,#N/A,FALSE,"ENGFORM";#N/A,#N/A,FALSE,"staffing";#N/A,#N/A,FALSE,"spending"}</definedName>
    <definedName name="CAM">#REF!</definedName>
    <definedName name="Cap">#REF!</definedName>
    <definedName name="CAP_IMP">#REF!</definedName>
    <definedName name="Cap_Inplace">#REF!</definedName>
    <definedName name="Cap_MTM">#REF!</definedName>
    <definedName name="Cap_Rate">#REF!</definedName>
    <definedName name="Cap_Yr1">#REF!</definedName>
    <definedName name="Cap_Yr3">#REF!</definedName>
    <definedName name="Cap_Yr5">#REF!</definedName>
    <definedName name="CAPIMPRV">#REF!</definedName>
    <definedName name="capint">#REF!</definedName>
    <definedName name="Capital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CapRate">#REF!</definedName>
    <definedName name="Carrie" hidden="1">#REF!</definedName>
    <definedName name="case_name">#REF!</definedName>
    <definedName name="cash" hidden="1">{#N/A,#N/A,FALSE,"Assumptions";#N/A,#N/A,FALSE,"Consol CF";#N/A,#N/A,FALSE,"Hacienda CF";#N/A,#N/A,FALSE,"Chabot CF";#N/A,#N/A,FALSE,"Diablo CF"}</definedName>
    <definedName name="CASH_FLOW">#REF!</definedName>
    <definedName name="CASH198">#REF!</definedName>
    <definedName name="cash23" hidden="1">{"fdb1_Rapport_Report",#N/A,FALSE,"Report"}</definedName>
    <definedName name="CASH297">#REF!</definedName>
    <definedName name="cashflow">#REF!</definedName>
    <definedName name="CASHFLOW2">#REF!</definedName>
    <definedName name="CASHFLOW3">#REF!</definedName>
    <definedName name="CashflowRO_Codes" hidden="1">#REF!</definedName>
    <definedName name="CashflowRO_Details" hidden="1">#REF!</definedName>
    <definedName name="cashoncash">#REF!</definedName>
    <definedName name="cat">#REF!</definedName>
    <definedName name="cavde" hidden="1">{"FCB_ALL",#N/A,FALSE,"FCB"}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bChart595EC34_opts" hidden="1">"1, 9, 1, False, 2, False, False, , 0, False, True, 1, 1"</definedName>
    <definedName name="cb_bChart9876793_opts" hidden="1">"1, 2, 1, False, 2, False, False, , 0, False, False, 2, 2"</definedName>
    <definedName name="cb_Chart_1_opts" hidden="1">"1, 6, 1, False, 2, False, False, , 0, False, True, 1, 2"</definedName>
    <definedName name="cb_Chart_10_opts" hidden="1">"1, 8, 1, False, 2, False, False, , 0, False, False, 2, 2"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1, 1, False, 2, False, False, , 0, False, False, 2, 2"</definedName>
    <definedName name="cb_Chart_12_opts" hidden="1">"1, 8, 1, False, 2, False, False, , 0, False, False, 2, 2"</definedName>
    <definedName name="cb_Chart_13_opts" hidden="1">"1, 8, 1, False, 2, False, False, , 0, False, False, 2, 2"</definedName>
    <definedName name="cb_Chart_14_opts" hidden="1">"1, 8, 1, False, 2, False, False, , 0, False, False, 2, 2"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"1, 8, 1, False, 2, False, False, , 0, False, False, 2, 2"</definedName>
    <definedName name="cb_Chart_1670_opts" hidden="1">"1, 5, 1, False, 2, True, False, , 0, False, False, 2, 1"</definedName>
    <definedName name="cb_Chart_17_opts" hidden="1">"1, 6, 1, False, 2, False, False, , 0, False, True, 2, 2"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1opts1" hidden="1">"1, 9, 1, False, 2, False, True, , 1, False, True, 1, 1"</definedName>
    <definedName name="cb_Chart_2_opts" hidden="1">"1, 6, 1, False, 2, False, False, , 0, False, False, 1, 2"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_opts" hidden="1">"1, 9, 1, False, 2, False, False, , 0, False, False, 1, 1"</definedName>
    <definedName name="cb_Chart_24" hidden="1">#REF!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" hidden="1">#REF!</definedName>
    <definedName name="cb_Chart_26_opts" hidden="1">"1, 8, 1, False, 2, False, False, , 0, False, False, 2, 2"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_opts" hidden="1">"1, 1, 1, False, 2, True, False, , 0, False, False, 2, 2"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3, 1, False, 2, True, False, , 0, False, True, 2, 1"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0_opts" hidden="1">"1, 1, 1, False, 2, False, False, , 0, False, False, 3,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3, 1, False, 2, True, False, , 0, False, True, 1, 2"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48_opts" hidden="1">"2, 1, 2, True, 2, False, False, , 0, False, True, 1, 1"</definedName>
    <definedName name="cb_Chart_49_opts" hidden="1">"2, 1, 2, True, 2, False, False, , 0, False, True, 1, 1"</definedName>
    <definedName name="cb_Chart_5" hidden="1">#REF!</definedName>
    <definedName name="cb_Chart_5_opts" hidden="1">"1, 8, 1, False, 2, False, False, , 0, False, False, 1, 2"</definedName>
    <definedName name="cb_Chart_50_opts" hidden="1">"2, 1, 2, True, 2, False, False, , 0, False, True, 1, 1"</definedName>
    <definedName name="cb_Chart_51_opts" hidden="1">"1, 2, 1, False, 2, False, False, , 0, False, False, 2, 1"</definedName>
    <definedName name="cb_Chart_52_opts" hidden="1">"1, 2, 1, False, 2, False, False, , 0, False, False, 2, 1"</definedName>
    <definedName name="cb_Chart_52582_opts" hidden="1">"1, 1, 1, False, 2, False, False, , 0, False, False, 1, 2"</definedName>
    <definedName name="cb_Chart_53_opts" hidden="1">"1, 9, 1, False, 2, False, True, , 3, False, False, 1, 1"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2, 1, False, 2, False, False, , 0, False, False, 2, 1"</definedName>
    <definedName name="cb_Chart_5449_opts" hidden="1">"1, 1, 1, False, 2, False, False, , 0, False, False, 1, 1"</definedName>
    <definedName name="cb_Chart_55_opts" hidden="1">"1, 7, 1, False, 2, False, False, , 0, False, True, 2, 2"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" hidden="1">#REF!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6_opts" hidden="1">"1, 1, 1, False, 2, False, False, , 0, False, False, 1, 1"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" hidden="1">#REF!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"1, 7, 1, False, 2, False, False, , 0, False, True, 2,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PieChart_16_opts" hidden="1">"1, 10, 1, False, 2, True, False, , 0, False, False, 2, 2"</definedName>
    <definedName name="cb_sChart_1501_opts" hidden="1">"1, 1, 1, False, 2, True, False, , 0, False, False, 1, 2"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1, 1, False, 2, True, False, , 0, False, False, 1, 2"</definedName>
    <definedName name="cb_sChart_36498_opts" hidden="1">"1, 3, 1, False, 2, False, False, , 0, False, False, 1, 2"</definedName>
    <definedName name="cb_sChart_37450_opts" hidden="1">"1, 5, 1, False, 2, True, False, , 0, False, True, 2, 1"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9, 1, False, 2, False, False, , 0, False, True, 2, 2"</definedName>
    <definedName name="cb_sChart_5449_opts" hidden="1">"1, 3, 1, False, 2, False, False, , 0, False, True, 2, 2"</definedName>
    <definedName name="cb_sChart_5723_opts" hidden="1">"1, 3, 1, False, 2, False, False, , 0, False, True, 2, 2"</definedName>
    <definedName name="cb_sChart_58046_opts" hidden="1">"1, 9, 1, False, 2, False, False, , 0, False, True, 2,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8, 1, False, 2, False, False, , 0, False, False, 2, 2"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1, 1, False, 2, True, False, , 0, False, False, 1, 2"</definedName>
    <definedName name="cb_sChart_79140_opts" hidden="1">"1, 5, 1, False, 2, False, False, , 0, False, True, 2, 1"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4, 1, False, 2, True, False, , 0, False, False, 1, 1"</definedName>
    <definedName name="cb_sChart_87236_opts" hidden="1">"1, 1, 1, False, 2, False, False, , 0, False, False, 1, 1"</definedName>
    <definedName name="cb_sChart_95047_opts" hidden="1">"1, 6, 1, False, 2, False, False, , 0, False, True, 2, 2"</definedName>
    <definedName name="cb_sChart_96286_opts" hidden="1">"1, 2, 1, False, 2, False, False, , 0, False, False, 2, 1"</definedName>
    <definedName name="cb_sChart105F0196_opts" hidden="1">"1, 2, 1, False, 2, False, False, , 1, False, False, 2, 1"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12D83A2_opts" hidden="1">"1, 1, 1, False, 2, False, False, , 0, False, True, 2, 2"</definedName>
    <definedName name="cb_sChart12D852C_opts" hidden="1">"1, 1, 1, False, 2, False, False, , 0, False, True, 2, 2"</definedName>
    <definedName name="cb_sChart12D89EB_opts" hidden="1">"1, 1, 1, False, 2, False, False, , 0, False, True, 2, 2"</definedName>
    <definedName name="cb_sChart12DAD51_opts" hidden="1">"1, 1, 1, False, 2, False, False, , 0, False, True, 2, 2"</definedName>
    <definedName name="cb_sChart12E7B7B_opts" hidden="1">"1, 1, 1, False, 2, True, False, , 0, False, True, 2, 2"</definedName>
    <definedName name="cb_sChart12E83C1_opts" hidden="1">"1, 1, 1, False, 2, False, False, , 0, False, True, 2, 1"</definedName>
    <definedName name="cb_sChart12E85B3_opts" hidden="1">"1, 1, 1, False, 2, False, False, , 0, False, True, 2, 2"</definedName>
    <definedName name="cb_sChart12E8C9E_opts" hidden="1">"1, 2, 1, False, 2, False, False, , 0, False, False, 2, 1"</definedName>
    <definedName name="cb_sChart12EA8E0_opts" hidden="1">"1, 1, 1, False, 2, True, False, , 0, False, False, 2, 2"</definedName>
    <definedName name="cb_sChart12EB078_opts" hidden="1">"1, 1, 1, False, 2, False, False, , 0, False, False, 2, 2"</definedName>
    <definedName name="cb_sChart12EBD15_opts" hidden="1">"1, 1, 1, False, 2, False, False, , 0, False, False, 2, 2"</definedName>
    <definedName name="cb_sChart12FE48A_opts" hidden="1">"1, 2, 1, False, 2, False, False, , 0, False, False, 2, 1"</definedName>
    <definedName name="cb_sChart12FE9EB_opts" hidden="1">"1, 1, 1, False, 2, False, False, , 0, False, False, 1, 2"</definedName>
    <definedName name="cb_sChart12FEDFD_opts" hidden="1">"1, 1, 1, False, 2, False, False, , 0, False, False, 1, 2"</definedName>
    <definedName name="cb_sChart12FF231_opts" hidden="1">"1, 1, 1, False, 2, False, False, , 0, False, False, 1, 2"</definedName>
    <definedName name="cb_sChart12FF8BF_opts" hidden="1">"1, 1, 1, False, 2, False, False, , 0, False, False, 1, 2"</definedName>
    <definedName name="cb_sChart12FF933_opts" hidden="1">"1, 3, 1, False, 2, False, False, , 0, False, False, 1, 2"</definedName>
    <definedName name="cb_sChart12FFC46_opts" hidden="1">"1, 1, 1, False, 2, False, False, , 0, False, False, 1, 2"</definedName>
    <definedName name="cb_sChart181DCCD8_opts" hidden="1">"1, 9, 1, False, 2, False, False, , 0, False, True, 1, 2"</definedName>
    <definedName name="cb_sChart181DCFF7_opts" hidden="1">"1, 3, 1, False, 2, True, False, , 0, True, True, 2, 1"</definedName>
    <definedName name="cb_sChart181DDD93_opts" hidden="1">"1, 3, 1, False, 2, True, False, , 0, True, True, 2, 1"</definedName>
    <definedName name="cb_sChart181DDEEE_opts" hidden="1">"1, 3, 1, False, 2, True, False, , 0, True, True, 2, 1"</definedName>
    <definedName name="cb_sChart181DE1C7_opts" hidden="1">"1, 10, 1, False, 2, True, False, , 0, False, True, 2, 1"</definedName>
    <definedName name="cb_sChart181E8791_opts" hidden="1">"2, 1, 2, True, 2, True, False, , 0, False, True, 1, 2"</definedName>
    <definedName name="cb_sChart181E96D9_opts" hidden="1">"1, 9, 1, False, 2, False, False, , 0, False, True, 1, 2"</definedName>
    <definedName name="cb_sChart1B7AB11_opts" hidden="1">"1, 7, 1, False, 2, False, False, , 0, False, True, 1, 1"</definedName>
    <definedName name="cb_sChart1B7ECF0_opts" hidden="1">"1, 9, 1, False, 2, False, False, , 0, False, False, 1, 1"</definedName>
    <definedName name="cb_sChart1B8AF1F_opts" hidden="1">"1, 9, 1, False, 2, False, True, , 0, False, False, 1, 1"</definedName>
    <definedName name="cb_sChart1B99DE1_opts" hidden="1">"1, 7, 1, False, 2, False, False, , 0, False, True, 1, 2"</definedName>
    <definedName name="cb_sChart1BA8AA_opts" hidden="1">"1, 1, 1, False, 2, False, False, , 0, False, False, 1, 2"</definedName>
    <definedName name="cb_sChart1BADD1_opts" hidden="1">"1, 1, 1, False, 2, False, False, , 0, False, False, 2, 2"</definedName>
    <definedName name="cb_sChart1CAAAF_opts" hidden="1">"1, 1, 1, False, 2, False, False, , 0, False, False, 3, 2"</definedName>
    <definedName name="cb_sChart1D05BD_opts" hidden="1">"1, 4, 1, False, 2, True, False, , 0, False, False, 2, 1"</definedName>
    <definedName name="cb_sChart1D0E49_opts" hidden="1">"1, 1, 1, False, 2, True, False, , 0, False, True, 2, 1"</definedName>
    <definedName name="cb_sChart1D0EF7_opts" hidden="1">"1, 5, 1, False, 2, True, False, , 0, False, True, 2, 1"</definedName>
    <definedName name="cb_sChart1D3AE8_opts" hidden="1">"1, 6, 1, False, 2, False, False, , 0, False, True, 2, 2"</definedName>
    <definedName name="cb_sChart1D3EEF_opts" hidden="1">"1, 7, 1, False, 2, False, False, , 0, False, True, 2, 2"</definedName>
    <definedName name="cb_sChart1D41EA_opts" hidden="1">"1, 8, 1, False, 2, False, False, , 0, False, False, 2, 2"</definedName>
    <definedName name="cb_sChart1D5891_opts" hidden="1">"1, 9, 1, False, 2, False, False, , 0, False, True, 2, 2"</definedName>
    <definedName name="cb_sChart1D9CE2_opts" hidden="1">"1, 10, 1, False, 2, True, False, , 0, False, False, 2, 2"</definedName>
    <definedName name="cb_sChart1DA03A_opts" hidden="1">"2, 1, 1, True, 3, False, False, , 0, False, True, 1, 2"</definedName>
    <definedName name="cb_sChart1DA590_opts" hidden="1">"2, 1, 1, True, 3, False, False, , 0, False, True, 2, 2"</definedName>
    <definedName name="cb_sChart1DBAAD_opts" hidden="1">"2, 1, 2, True, 2, False, False, , 0, False, True, 1, 2"</definedName>
    <definedName name="cb_sChart1DBB89_opts" hidden="1">"2, 1, 2, True, 2, False, False, , 0, False, True, 1, 1"</definedName>
    <definedName name="cb_sChart1DCA97_opts" hidden="1">"2, 1, 1, True, 2, False, False, , 0, False, True, 2, 1"</definedName>
    <definedName name="cb_sChart1DCCF1_opts" hidden="1">"2, 1, 1, True, 2, False, False, , 0, False, True, 1, 2"</definedName>
    <definedName name="cb_sChart1E1206_opts" hidden="1">"2, 1, 3, False, 2, False, False, , 0, False, True, 2, 2"</definedName>
    <definedName name="cb_sChart1E17F2_opts" hidden="1">"1, 9, 1, False, 2, False, False, , 0, False, True, 1, 1"</definedName>
    <definedName name="cb_sChart1E2D49_opts" hidden="1">"1, 10, 1, False, 2, True, False, , 0, False, False, 3, 2"</definedName>
    <definedName name="cb_sChart1E2DEB_opts" hidden="1">"1, 10, 1, False, 2, True, False, , 0, False, False, 2, 2"</definedName>
    <definedName name="cb_sChart1E3944_opts" hidden="1">"1, 10, 1, False, 2, True, False, , 0, False, False, 2, 2"</definedName>
    <definedName name="cb_sChart1E3BE4_opts" hidden="1">"1, 10, 1, False, 2, True, False, , 0, False, False, 2, 2"</definedName>
    <definedName name="cb_sChart1E3E3D_opts" hidden="1">"1, 10, 1, False, 2, True, False, , 0, False, False, 1, 2"</definedName>
    <definedName name="cb_sChart1E4314_opts" hidden="1">"1, 10, 1, False, 2, True, False, , 0, False, False, 2, 2"</definedName>
    <definedName name="cb_sChart1E4E56_opts" hidden="1">"1, 1, 1, False, 2, False, False, , 0, False, False, 2, 2"</definedName>
    <definedName name="cb_sChart1E5372_opts" hidden="1">"1, 1, 1, False, 2, True, False, , 0, False, True, 2, 2"</definedName>
    <definedName name="cb_sChart1E5975_opts" hidden="1">"2, 1, 2, True, 2, False, False, , 0, False, True, 1, 2"</definedName>
    <definedName name="cb_sChart1E5C43_opts" hidden="1">"2, 1, 2, True, 2, False, False, , 0, False, True, 2, 2"</definedName>
    <definedName name="cb_sChart1E5F4A_opts" hidden="1">"2, 1, 2, True, 2, False, False, , 0, False, True, 1, 2"</definedName>
    <definedName name="cb_sChart23F891A_opts" hidden="1">"1, 9, 1, False, 2, False, False, , 0, False, True, 1, 1"</definedName>
    <definedName name="cb_sChart24ED245_opts" hidden="1">"1, 9, 1, False, 2, False, False, , 0, False, True, 1, 1"</definedName>
    <definedName name="cb_sChart24ED930_opts" hidden="1">"1, 9, 1, False, 2, False, False, , 0, False, False, 1, 1"</definedName>
    <definedName name="cb_sChart26CA498_opts" hidden="1">"1, 9, 1, False, 2, False, False, , 0, False, False, 1, 1"</definedName>
    <definedName name="cb_sChart27D31D5_opts" hidden="1">"1, 9, 1, False, 2, False, False, , 0, False, True, 1, 1"</definedName>
    <definedName name="cb_sChart27D3990_opts" hidden="1">"1, 9, 1, False, 2, False, False, , 0, False, True, 1, 1"</definedName>
    <definedName name="cb_sChart2A64D8F_opts" hidden="1">"1, 8, 1, False, 2, False, False, , 0, False, True, 1, 1"</definedName>
    <definedName name="cb_sChart2A65748_opts" hidden="1">"1, 8, 1, False, 2, False, False, , 0, False, True, 1, 1"</definedName>
    <definedName name="cb_sChart2A667D4_opts" hidden="1">"1, 8, 1, False, 2, False, False, , 0, False, True, 1, 1"</definedName>
    <definedName name="cb_sChart2A66D9D_opts" hidden="1">"1, 8, 1, False, 2, False, False, , 0, False, True, 1, 1"</definedName>
    <definedName name="cb_sChart2A67124_opts" hidden="1">"2, 1, 3, False, 2, False, False, , 0, False, True, 1, 1"</definedName>
    <definedName name="cb_sChart2A673A1_opts" hidden="1">"1, 8, 1, False, 2, False, False, , 0, False, True, 1, 1"</definedName>
    <definedName name="cb_sChart2A67A0C_opts" hidden="1">"1, 8, 1, False, 2, False, False, , 0, False, True, 1, 1"</definedName>
    <definedName name="cb_sChart2A68670_opts" hidden="1">"1, 8, 1, False, 2, False, False, , 0, False, True, 1, 1"</definedName>
    <definedName name="cb_sChart2A6C43D_opts" hidden="1">"1, 9, 1, False, 2, False, False, , 0, False, True, 1, 1"</definedName>
    <definedName name="cb_sChart2A74E8A_opts" hidden="1">"1, 9, 1, False, 2, False, False, , 0, False, True, 1, 1"</definedName>
    <definedName name="cb_sChart2A76BA8_opts" hidden="1">"1, 9, 1, False, 2, False, False, , 0, False, True, 1, 1"</definedName>
    <definedName name="cb_sChart2D6F93B_opts" hidden="1">"1, 9, 1, False, 2, False, False, , 0, False, True, 1, 1"</definedName>
    <definedName name="cb_sChart2D714FE_opts" hidden="1">"1, 9, 1, False, 2, False, False, , 0, False, True, 1, 2"</definedName>
    <definedName name="cb_sChart2D737E5_opts" hidden="1">"1, 9, 1, False, 2, False, False, , 0, False, False, 1, 2"</definedName>
    <definedName name="cb_sChart2D73A28_opts" hidden="1">"1, 9, 1, False, 2, False, False, , 0, False, True, 1, 1"</definedName>
    <definedName name="cb_sChart2D759D9_opts" hidden="1">"1, 10, 1, False, 2, False, False, , 0, False, False, 1, 2"</definedName>
    <definedName name="cb_sChart2D76823_opts" hidden="1">"1, 9, 1, False, 2, False, False, , 0, False, True, 1, 2"</definedName>
    <definedName name="cb_sChart2D76BFA_opts" hidden="1">"1, 9, 1, False, 2, False, False, , 0, False, True, 1, 2"</definedName>
    <definedName name="cb_sChart2D9FB96_opts" hidden="1">"1, 9, 1, False, 2, False, False, , 0, False, True, 1, 2"</definedName>
    <definedName name="cb_sChart2D9FE6F_opts" hidden="1">"1, 9, 1, False, 2, False, False, , 0, False, True, 1, 2"</definedName>
    <definedName name="cb_sChart2DA6F48_opts" hidden="1">"1, 9, 1, False, 2, False, False, , 0, False, True, 1, 2"</definedName>
    <definedName name="cb_sChart2DAB5B8_opts" hidden="1">"1, 7, 1, False, 2, False, False, , 0, False, True, 1, 1"</definedName>
    <definedName name="cb_sChart2DAC2D5_opts" hidden="1">"1, 7, 1, False, 2, False, False, , 0, False, True, 1, 1"</definedName>
    <definedName name="cb_sChart2DADDDE_opts" hidden="1">"1, 7, 1, False, 2, False, False, , 0, False, False, 1, 1"</definedName>
    <definedName name="cb_sChart2DADE5D_opts" hidden="1">"1, 7, 1, False, 2, False, False, , 0, False, True, 1, 1"</definedName>
    <definedName name="cb_sChart2DAF358_opts" hidden="1">"1, 7, 1, False, 2, False, False, , 0, False, True, 1, 1"</definedName>
    <definedName name="cb_sChart2DB05D6_opts" hidden="1">"1, 7, 1, False, 2, False, False, , 0, False, True, 1, 1"</definedName>
    <definedName name="cb_sChart2DBCB46_opts" hidden="1">"1, 7, 1, False, 2, False, False, , 0, False, True, 1, 1"</definedName>
    <definedName name="cb_sChart2E6278B_opts" hidden="1">"1, 9, 1, False, 2, False, False, , 0, False, True, 1, 1"</definedName>
    <definedName name="cb_sChart2EB0678_opts" hidden="1">"1, 1, 1, False, 2, True, False, , 0, False, True, 2, 2"</definedName>
    <definedName name="cb_sChart2F3EBCE_opts" hidden="1">"2, 1, 1, False, 2, False, False, , 0, False, True, 2, 2"</definedName>
    <definedName name="cb_sChart2F3F63F_opts" hidden="1">"1, 5, 1, False, 2, True, False, , 0, False, False, 1, 1"</definedName>
    <definedName name="cb_sChart2F3F90D_opts" hidden="1">"1, 5, 1, False, 2, True, False, , 0, False, False, 2, 2"</definedName>
    <definedName name="cb_sChart2F46DBE_opts" hidden="1">"2, 1, 1, True, 2, False, False, , 0, False, True, 1, 2"</definedName>
    <definedName name="cb_sChart2F470D1_opts" hidden="1">"2, 1, 1, False, 2, True, False, , 0, False, True, 1, 2"</definedName>
    <definedName name="cb_sChart2F4952A_opts" hidden="1">"1, 5, 1, False, 2, False, False, , 0, False, False, 1, 1"</definedName>
    <definedName name="cb_sChart2F49CDA_opts" hidden="1">"1, 5, 1, False, 2, False, False, , 0, False, False, 1, 1"</definedName>
    <definedName name="cb_sChart2F4A3D0_opts" hidden="1">"1, 5, 1, False, 2, False, False, , 0, False, False, 1, 1"</definedName>
    <definedName name="cb_sChart2F4A9B1_opts" hidden="1">"1, 5, 1, False, 2, False, False, , 0, False, False, 1, 1"</definedName>
    <definedName name="cb_sChart2F65E86_opts" hidden="1">"1, 1, 1, False, 2, True, False, , 0, False, False, 2, 2"</definedName>
    <definedName name="cb_sChart2F6A8C2_opts" hidden="1">"1, 1, 1, False, 2, True, False, , 0, False, False, 1, 2"</definedName>
    <definedName name="cb_sChart2F6AAB4_opts" hidden="1">"1, 1, 1, False, 2, True, False, , 0, False, True, 1, 2"</definedName>
    <definedName name="cb_sChart2F6B601_opts" hidden="1">"1, 1, 1, False, 2, False, False, , 0, False, False, 1, 1"</definedName>
    <definedName name="cb_sChart2F730C1_opts" hidden="1">"1, 4, 1, False, 2, False, False, , 0, False, False, 1, 1"</definedName>
    <definedName name="cb_sChart2FA9A3C_opts" hidden="1">"1, 3, 1, False, 2, False, False, , 0, False, True, 1, 2"</definedName>
    <definedName name="cb_sChart2FA9CC4_opts" hidden="1">"1, 3, 1, False, 2, False, False, , 0, False, True, 1, 2"</definedName>
    <definedName name="cb_sChart33FC2FF_opts" hidden="1">"1, 5, 1, False, 2, False, False, , 0, False, False, 1, 2"</definedName>
    <definedName name="cb_sChart33FC8D4_opts" hidden="1">"1, 5, 1, False, 2, False, False, , 0, False, False, 1, 2"</definedName>
    <definedName name="cb_sChart33FE8BF_opts" hidden="1">"1, 5, 1, False, 2, False, False, , 0, False, False, 1, 2"</definedName>
    <definedName name="cb_sChart34010F1_opts" hidden="1">"1, 5, 1, False, 2, False, False, , 0, False, False, 1, 2"</definedName>
    <definedName name="cb_sChart3401AFA_opts" hidden="1">"1, 5, 1, False, 2, False, False, , 0, False, False, 1, 2"</definedName>
    <definedName name="cb_sChart3409186_opts" hidden="1">"1, 5, 1, False, 2, False, False, , 0, False, False, 1, 2"</definedName>
    <definedName name="cb_sChart340A263_opts" hidden="1">"1, 5, 1, False, 2, False, False, , 0, False, False, 1, 1"</definedName>
    <definedName name="cb_sChart340F629_opts" hidden="1">"1, 8, 1, False, 2, False, False, , 0, False, False, 1, 2"</definedName>
    <definedName name="cb_sChart340FD14_opts" hidden="1">"1, 8, 1, False, 2, False, False, , 0, False, False, 1, 2"</definedName>
    <definedName name="cb_sChart34107E2_opts" hidden="1">"1, 8, 1, False, 2, False, False, , 0, False, False, 1, 1"</definedName>
    <definedName name="cb_sChart3434ED7_opts" hidden="1">"1, 5, 1, False, 2, False, False, , 0, False, False, 1, 2"</definedName>
    <definedName name="cb_sChart343DEED_opts" hidden="1">"2, 1, 2, True, 2, False, False, , 0, False, True, 1, 2"</definedName>
    <definedName name="cb_sChart344EE9A_opts" hidden="1">"1, 9, 1, False, 2, False, False, , 0, False, True, 1, 1"</definedName>
    <definedName name="cb_sChart344F24F_opts" hidden="1">"1, 9, 1, False, 2, False, False, , 0, False, True, 1, 2"</definedName>
    <definedName name="cb_sChart3450777_opts" hidden="1">"1, 9, 1, False, 2, False, True, 13, 2, False, False, 1, 1"</definedName>
    <definedName name="cb_sChart3450E85_opts" hidden="1">"1, 9, 1, False, 2, False, False, , 0, False, True, 1, 2"</definedName>
    <definedName name="cb_sChart3452C22_opts" hidden="1">"1, 3, 1, False, 2, False, False, , 0, False, True, 1, 2"</definedName>
    <definedName name="cb_sChart345311B_opts" hidden="1">"1, 3, 1, False, 2, False, False, , 0, False, True, 1, 2"</definedName>
    <definedName name="cb_sChart3453B0D_opts" hidden="1">"2, 1, 1, True, 2, False, False, , 0, False, True, 1, 2"</definedName>
    <definedName name="cb_sChart34647CA_opts" hidden="1">"1, 8, 1, False, 2, False, False, , 0, False, False, 2, 2"</definedName>
    <definedName name="cb_sChart346520D_opts" hidden="1">"1, 8, 1, False, 2, False, False, , 0, False, False, 1, 2"</definedName>
    <definedName name="cb_sChart34654DB_opts" hidden="1">"1, 8, 1, False, 2, False, False, , 0, False, False, 1, 2"</definedName>
    <definedName name="cb_sChart346953C_opts" hidden="1">"2, 1, 1, False, 2, False, False, , 0, False, False, 2, 2"</definedName>
    <definedName name="cb_sChart346A27B_opts" hidden="1">"1, 3, 1, False, 2, False, False, , 0, False, True, 2, 2"</definedName>
    <definedName name="cb_sChart347102A_opts" hidden="1">"2, 1, 1, False, 2, False, False, , 0, False, True, 2, 2"</definedName>
    <definedName name="cb_sChart34E448E_opts" hidden="1">"1, 1, 1, False, 2, False, False, , 0, False, False, 1, 1"</definedName>
    <definedName name="cb_sChart34F5376_opts" hidden="1">"2, 1, 2, True, 2, False, False, , 0, False, True, 1, 2"</definedName>
    <definedName name="cb_sChart34F577C_opts" hidden="1">"2, 1, 2, True, 2, False, False, , 0, False, True, 1, 2"</definedName>
    <definedName name="cb_sChart34F5A05_opts" hidden="1">"2, 1, 2, True, 2, False, False, , 0, False, True, 1, 2"</definedName>
    <definedName name="cb_sChart34F5F2C_opts" hidden="1">"2, 1, 2, True, 2, False, False, , 0, False, True, 1, 2"</definedName>
    <definedName name="cb_sChart34F92FC_opts" hidden="1">"1, 1, 1, False, 2, True, False, , 0, False, False, 1, 2"</definedName>
    <definedName name="cb_sChart34F9B08_opts" hidden="1">"1, 4, 1, False, 2, False, False, , 0, False, False, 1, 1"</definedName>
    <definedName name="cb_sChart34FAEB3_opts" hidden="1">"1, 3, 1, False, 2, False, False, , 0, False, True, 1, 1"</definedName>
    <definedName name="cb_sChart34FB053_opts" hidden="1">"1, 3, 1, False, 2, True, False, , 0, False, False, 1, 1"</definedName>
    <definedName name="cb_sChart352F02B_opts" hidden="1">"1, 5, 1, False, 2, True, False, , 0, False, False, 1, 2"</definedName>
    <definedName name="cb_sChart3532FF6_opts" hidden="1">"2, 1, 1, False, 2, False, False, , 0, False, True, 1, 2"</definedName>
    <definedName name="cb_sChart355BCAD_opts" hidden="1">"2, 1, 1, False, 2, False, False, , 0, False, True, 1, 2"</definedName>
    <definedName name="cb_sChart35FF6A2_opts" hidden="1">"1, 8, 1, False, 2, False, False, , 0, False, False, 1, 2"</definedName>
    <definedName name="cb_sChart3624091_opts" hidden="1">"1, 8, 1, False, 2, False, False, , 0, False, False, 1, 2"</definedName>
    <definedName name="cb_sChart36406CE_opts" hidden="1">"1, 3, 1, False, 2, True, False, , 0, False, True, 1, 1"</definedName>
    <definedName name="cb_sChart3AB73A1_opts" hidden="1">"2, 1, 1, False, 2, True, False, , 0, False, True, 2, 2"</definedName>
    <definedName name="cb_sChart3ABAD51_opts" hidden="1">"1, 5, 1, False, 2, True, False, , 0, False, False, 2, 2"</definedName>
    <definedName name="cb_sChart3AE4A4F_opts" hidden="1">"2, 1, 1, True, 2, False, False, , 0, False, True, 2, 2"</definedName>
    <definedName name="cb_sChart3AEA7B7_opts" hidden="1">"2, 1, 1, True, 2, False, False, , 0, False, True, 1, 1"</definedName>
    <definedName name="cb_sChart3AEAB83_opts" hidden="1">"2, 1, 1, True, 2, False, False, , 0, False, True, 2, 2"</definedName>
    <definedName name="cb_sChart3AF2834_opts" hidden="1">"1, 3, 1, False, 2, False, False, , 0, False, False, 2, 2"</definedName>
    <definedName name="cb_sChart3AF5310_opts" hidden="1">"1, 1, 1, False, 2, False, False, , 0, False, False, 1, 2"</definedName>
    <definedName name="cb_sChart3AF68AD_opts" hidden="1">"1, 1, 1, False, 2, False, False, , 0, False, False, 2, 2"</definedName>
    <definedName name="cb_sChart3AF71DA_opts" hidden="1">"1, 1, 1, False, 2, False, False, , 0, False, False, 1, 1"</definedName>
    <definedName name="cb_sChart3AF76D4_opts" hidden="1">"1, 1, 1, False, 2, False, False, , 0, False, False, 2, 2"</definedName>
    <definedName name="cb_sChart3AF8492_opts" hidden="1">"1, 1, 1, False, 2, False, False, , 0, False, False, 1, 1"</definedName>
    <definedName name="cb_sChart3AFF994_opts" hidden="1">"1, 1, 1, False, 2, False, False, , 0, False, False, 2, 2"</definedName>
    <definedName name="cb_sChart3B004D6_opts" hidden="1">"1, 1, 1, False, 2, False, False, , 0, False, False, 1, 1"</definedName>
    <definedName name="cb_sChart3B03C44_opts" hidden="1">"1, 1, 1, False, 2, False, False, , 0, False, False, 1, 1"</definedName>
    <definedName name="cb_sChart3B08D31_opts" hidden="1">"1, 8, 1, False, 2, False, False, , 0, False, False, 2, 2"</definedName>
    <definedName name="cb_sChart3B09A9F_opts" hidden="1">"1, 8, 1, False, 2, False, False, , 0, False, False, 2, 2"</definedName>
    <definedName name="cb_sChart3B09F8C_opts" hidden="1">"1, 8, 1, False, 2, False, False, , 0, False, False, 2, 2"</definedName>
    <definedName name="cb_sChart3B0ABD8_opts" hidden="1">"1, 8, 1, False, 2, False, False, , 0, False, False, 2, 2"</definedName>
    <definedName name="cb_sChart3B12357_opts" hidden="1">"1, 8, 1, False, 2, False, False, , 0, False, False, 2, 2"</definedName>
    <definedName name="cb_sChart3B12816_opts" hidden="1">"1, 8, 1, False, 2, False, False, , 0, False, False, 2, 2"</definedName>
    <definedName name="cb_sChart3B12D0F_opts" hidden="1">"1, 8, 1, False, 2, False, False, , 0, False, False, 2, 2"</definedName>
    <definedName name="cb_sChart3BA9EF5_opts" hidden="1">"1, 9, 1, False, 2, False, False, , 0, False, True, 1, 1"</definedName>
    <definedName name="cb_sChart3BAA0A1_opts" hidden="1">"1, 9, 1, False, 2, False, False, , 0, False, True, 1, 1"</definedName>
    <definedName name="cb_sChart3BAA29E_opts" hidden="1">"1, 9, 1, False, 2, False, False, , 0, False, True, 1, 1"</definedName>
    <definedName name="cb_sChart3BAACED_opts" hidden="1">"1, 9, 1, False, 2, False, False, , 0, False, True, 1, 1"</definedName>
    <definedName name="cb_sChart3BAD7A6_opts" hidden="1">"2, 1, 2, True, 2, False, False, , 0, False, True, 1, 2"</definedName>
    <definedName name="cb_sChart3BBD972_opts" hidden="1">"1, 1, 1, False, 2, False, False, , 0, False, False, 1, 1"</definedName>
    <definedName name="cb_sChart3BC0E91_opts" hidden="1">"2, 1, 1, False, 2, True, False, , 0, False, True, 1, 1"</definedName>
    <definedName name="cb_sChart3BFC30E_opts" hidden="1">"1, 4, 1, False, 2, False, False, , 0, False, False, 1, 1"</definedName>
    <definedName name="cb_sChart3BFD9FA_opts" hidden="1">"2, 1, 1, True, 2, False, False, , 0, False, True, 2, 2"</definedName>
    <definedName name="cb_sChart3BFEF23_opts" hidden="1">"1, 4, 1, False, 2, False, False, , 0, False, False, 1, 1"</definedName>
    <definedName name="cb_sChart3BFF2E3_opts" hidden="1">"1, 1, 1, False, 2, False, False, , 0, False, False, 1, 1"</definedName>
    <definedName name="cb_sChart41E9A35_opts" hidden="1">"1, 9, 1, False, 2, False, False, , 0, False, True, 1, 1"</definedName>
    <definedName name="cb_sChart463330_opts" hidden="1">"2, 1, 2, True, 2, False, False, , 0, False, True, 1, 2"</definedName>
    <definedName name="cb_sChart4665D3_opts" hidden="1">"1, 9, 1, False, 2, False, False, , 0, False, True, 2, 2"</definedName>
    <definedName name="cb_sChart4680DD_opts" hidden="1">"1, 10, 1, False, 2, True, False, , 0, False, False, 2, 2"</definedName>
    <definedName name="cb_sChart468801_opts" hidden="1">"1, 10, 1, False, 2, True, False, , 0, False, False, 2, 2"</definedName>
    <definedName name="cb_sChart46BC0B_opts" hidden="1">"2, 1, 2, True, 2, False, False, , 0, False, True, 1, 2"</definedName>
    <definedName name="cb_sChart4828C3_opts" hidden="1">"1, 1, 1, False, 2, False, False, , 0, False, False, 1, 2"</definedName>
    <definedName name="cb_sChart482D03_opts" hidden="1">"1, 1, 1, False, 2, False, False, , 0, False, False, 1, 2"</definedName>
    <definedName name="cb_sChart595EE0E_opts" hidden="1">"1, 9, 1, False, 2, False, True, , 3, False, True, 1, 1"</definedName>
    <definedName name="cb_sChart5D0C805_opts" hidden="1">"1, 4, 1, False, 2, False, False, , 0, False, False, 1, 1"</definedName>
    <definedName name="cb_sChart5D375C8_opts" hidden="1">"1, 9, 1, False, 2, False, False, , 0, False, True, 1, 1"</definedName>
    <definedName name="cb_sChart6A2ED7_opts" hidden="1">"1, 10, 1, False, 2, True, False, , 0, False, False, 1, 1"</definedName>
    <definedName name="cb_sChart6A6617_opts" hidden="1">"1, 10, 1, False, 2, True, False, , 0, False, False, 1, 1"</definedName>
    <definedName name="cb_sChart6A66F3_opts" hidden="1">"1, 10, 1, False, 2, True, False, , 0, False, False, 1, 1"</definedName>
    <definedName name="cb_sChart6A7DF6_opts" hidden="1">"1, 3, 1, False, 2, True, False, , 0, False, True, 2, 1"</definedName>
    <definedName name="cb_sChart74E984_opts" hidden="1">"1, 1, 1, False, 2, False, False, , 0, False, False, 2, 2"</definedName>
    <definedName name="cb_sChart8CD287E_opts" hidden="1">"1, 1, 1, False, 2, False, False, , 0, False, False, 1, 1"</definedName>
    <definedName name="cb_sChartD086F3E_opts" hidden="1">"1, 1, 1, False, 2, False, False, , 1, False, True, 2, 2"</definedName>
    <definedName name="cb_sChartD0876B3_opts" hidden="1">"2, 2, 2, True, 2, False, False, , 1, False, True, 2, 2"</definedName>
    <definedName name="cb_sChartEB337E1_opts" hidden="1">"1, 10, 1, False, 2, False, False, , 1, False, True, 2, 2"</definedName>
    <definedName name="cb_sChartEB33A80_opts" hidden="1">"1, 10, 1, False, 2, False, False, , 1, False, True, 2, 2"</definedName>
    <definedName name="cb_sChartEB33EA9_opts" hidden="1">"1, 10, 1, False, 2, False, False, , 1, False, True, 2, 2"</definedName>
    <definedName name="cb_sChartEB340BD_opts" hidden="1">"1, 10, 1, False, 2, False, False, , 1, False, True, 2, 2"</definedName>
    <definedName name="cb_sChartEB344DA_opts" hidden="1">"1, 10, 1, False, 2, False, False, , 1, False, False, 2, 2"</definedName>
    <definedName name="cb_sChartEB3479C_opts" hidden="1">"1, 1, 1, False, 2, False, False, , 1, False, True, 2, 1"</definedName>
    <definedName name="cb_sChartEB34833_opts" hidden="1">"1, 10, 1, False, 2, False, False, , 1, False, True, 2, 1"</definedName>
    <definedName name="cb_sChartEB34DCE_opts" hidden="1">"1, 10, 1, False, 2, False, False, , 1, False, True, 2, 1"</definedName>
    <definedName name="cb_sChartEB36CAF_opts" hidden="1">"1, 9, 1, False, 2, False, False, , 1, False, True, 1, 2"</definedName>
    <definedName name="cb_sChartEB38838_opts" hidden="1">"1, 9, 1, False, 2, False, False, , 1, False, True, 2, 2"</definedName>
    <definedName name="cb_sChartEB38E8C_opts" hidden="1">"1, 10, 1, False, 2, False, False, , 1, False, True, 2, 2"</definedName>
    <definedName name="cb_sChartEB3980B_opts" hidden="1">"1, 2, 1, False, 2, False, False, , 1, False, False, 2, 1"</definedName>
    <definedName name="cb_sChartEB39C1C_opts" hidden="1">"1, 2, 1, False, 2, False, False, , 1, False, False, 2,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0FF3D7_opts" hidden="1">"1, 8, 1, False, 2, False, False, , 1, False, True, 1, 2"</definedName>
    <definedName name="cb_sChartF1BF8C8_opts" hidden="1">"1, 8, 1, False, 2, False, False, , 1, False, True, 1, 2"</definedName>
    <definedName name="cb_sChartF1C057C_opts" hidden="1">"1, 2, 1, False, 2, False, False, , 1, False, False, 2, 1"</definedName>
    <definedName name="cb_sChartF1C0A0D_opts" hidden="1">"1, 8, 1, False, 2, False, False, , 1, False, True, 1, 1"</definedName>
    <definedName name="cb_sChartF1C9DF0_opts" hidden="1">"1, 8, 1, False, 2, False, False, , 1, False, True, 1, 2"</definedName>
    <definedName name="cb_sChartF1F24F5_opts" hidden="1">"1, 8, 1, False, 2, False, False, , 1, False, True, 1, 2"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re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CBWorkbookPriority" hidden="1">-1131501022</definedName>
    <definedName name="cc" hidden="1">{#N/A,#N/A,FALSE,"LoanAssumptions"}</definedName>
    <definedName name="cc." hidden="1">{"CD1",#N/A,TRUE,"C-D (R)";"CD2",#N/A,TRUE,"C-D (R)"}</definedName>
    <definedName name="cCaprecycling">#REF!</definedName>
    <definedName name="ccc" hidden="1">{#N/A,#N/A,FALSE,"LoanAssumptions"}</definedName>
    <definedName name="cccc" hidden="1">{#N/A,#N/A,TRUE,"10 Yr Hold";#N/A,#N/A,TRUE,"7 Yr Hold";#N/A,#N/A,TRUE,"5 Yr Hold";#N/A,#N/A,TRUE,"3 Yr Hold"}</definedName>
    <definedName name="ccccc" hidden="1">{#N/A,#N/A,FALSE,"Class A";#N/A,#N/A,FALSE,"Class B";#N/A,#N/A,FALSE,"Class C"}</definedName>
    <definedName name="CCCCCCCCC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CCEC_DATA" hidden="1">#REF!</definedName>
    <definedName name="CCM">#REF!</definedName>
    <definedName name="ccs" hidden="1">{#N/A,#N/A,FALSE,"Chart 2 by Prop Type"}</definedName>
    <definedName name="cd" hidden="1">{"annual",#N/A,FALSE,"Pro Forma";#N/A,#N/A,FALSE,"Golf Operations"}</definedName>
    <definedName name="cDebt">#REF!</definedName>
    <definedName name="cDebtassum">#REF!</definedName>
    <definedName name="cdfd" hidden="1">{"fdb1_Rapport_Report",#N/A,FALSE,"Report"}</definedName>
    <definedName name="cDispositions">#REF!</definedName>
    <definedName name="cDMrev">#REF!</definedName>
    <definedName name="census">#REF!</definedName>
    <definedName name="cert" hidden="1">{"fis.dbo.r1_datasum"}</definedName>
    <definedName name="cert1" hidden="1">{"fis.dbo.r1_datasum"}</definedName>
    <definedName name="CF">#REF!</definedName>
    <definedName name="CFafterDS">#REF!</definedName>
    <definedName name="cfgcfg" hidden="1">{#N/A,#N/A,FALSE,"CCC Variance";#N/A,#N/A,FALSE,"CCC Notes"}</definedName>
    <definedName name="cfgjcfgh" hidden="1">{#N/A,#N/A,FALSE,"Common Area Accrual";#N/A,#N/A,FALSE,"Unit One LaSalle";#N/A,#N/A,FALSE,"Unit One CW";#N/A,#N/A,FALSE,"Unit One LaSalle + C &amp; W";#N/A,#N/A,FALSE,"Consolidated Accrual"}</definedName>
    <definedName name="cfin100">#REF!</definedName>
    <definedName name="cfin101">#REF!</definedName>
    <definedName name="cfin102">#REF!</definedName>
    <definedName name="cfin103">#REF!</definedName>
    <definedName name="cfin104">#REF!</definedName>
    <definedName name="cfin105">#REF!</definedName>
    <definedName name="cfin106">#REF!</definedName>
    <definedName name="cfin107">#REF!</definedName>
    <definedName name="CFIN196">#REF!</definedName>
    <definedName name="cfin197">#REF!</definedName>
    <definedName name="cfin198">#REF!</definedName>
    <definedName name="cfin199">#REF!</definedName>
    <definedName name="cfin200">#REF!</definedName>
    <definedName name="cfin201">#REF!</definedName>
    <definedName name="cfin202">#REF!</definedName>
    <definedName name="cfin203">#REF!</definedName>
    <definedName name="cfin204">#REF!</definedName>
    <definedName name="cfin205">#REF!</definedName>
    <definedName name="cfin206">#REF!</definedName>
    <definedName name="cfin207">#REF!</definedName>
    <definedName name="CFIN295">#REF!</definedName>
    <definedName name="CFIN296">#REF!</definedName>
    <definedName name="cfin297">#REF!</definedName>
    <definedName name="cfin298">#REF!</definedName>
    <definedName name="cfin299">#REF!</definedName>
    <definedName name="cfl">#REF!</definedName>
    <definedName name="cflookup">#REF!</definedName>
    <definedName name="cFMV">#REF!</definedName>
    <definedName name="CFS">#REF!</definedName>
    <definedName name="cGAexpenses">#REF!</definedName>
    <definedName name="cgaf" hidden="1">{"FCB_ALL",#N/A,FALSE,"FCB"}</definedName>
    <definedName name="cgafde" hidden="1">{"FCB_ALL",#N/A,FALSE,"FCB"}</definedName>
    <definedName name="cghj" hidden="1">{"ReportTop",#N/A,FALSE,"report top"}</definedName>
    <definedName name="ChangeRange" hidden="1">#N/A</definedName>
    <definedName name="Chart" hidden="1">#REF!</definedName>
    <definedName name="Chart12345" hidden="1">#REF!</definedName>
    <definedName name="chase">#REF!</definedName>
    <definedName name="check2" hidden="1">{#N/A,#N/A,FALSE,"Cashflow Analysis";#N/A,#N/A,FALSE,"Sensitivity Analysis";#N/A,#N/A,FALSE,"PV";#N/A,#N/A,FALSE,"Pro Forma"}</definedName>
    <definedName name="Cherokee">#REF!</definedName>
    <definedName name="chgeas" hidden="1">{"FCB_ALL",#N/A,FALSE,"FCB"}</definedName>
    <definedName name="Choices_Wrapper">#REF!</definedName>
    <definedName name="CIQWBGuid" hidden="1">"322255f0-d5f7-4ed0-9297-4b0b9fdb7c94"</definedName>
    <definedName name="Circ_Break">#REF!</definedName>
    <definedName name="CIRCULAR">#REF!</definedName>
    <definedName name="cLandacq">#REF!</definedName>
    <definedName name="cLandsale">#REF!</definedName>
    <definedName name="ClientFees">#REF!</definedName>
    <definedName name="CLOSING">#REF!</definedName>
    <definedName name="cocncf">#REF!</definedName>
    <definedName name="cocnoi">#REF!</definedName>
    <definedName name="Code" hidden="1">#REF!</definedName>
    <definedName name="COL" hidden="1">#REF!</definedName>
    <definedName name="com" hidden="1">{#N/A,#N/A,FALSE,"PropInfo";#N/A,#N/A,FALSE,"Summary";#N/A,#N/A,FALSE,"Comparitive";#N/A,#N/A,FALSE,"RevSummary";#N/A,#N/A,FALSE,"Rooms";#N/A,#N/A,FALSE,"Van";#N/A,#N/A,FALSE,"F&amp;B Rev";#N/A,#N/A,FALSE,"Food";#N/A,#N/A,FALSE,"Bev";#N/A,#N/A,FALSE,"PBX";#N/A,#N/A,FALSE,"Fitness";#N/A,#N/A,FALSE,"Golf #1";#N/A,#N/A,FALSE,"Golf #2 ";#N/A,#N/A,FALSE,"Tennis";#N/A,#N/A,FALSE,"BusCtr";#N/A,#N/A,FALSE,"InRoomVend";#N/A,#N/A,FALSE,"Retail #1";#N/A,#N/A,FALSE,"Retail #2";#N/A,#N/A,FALSE,"Parking";#N/A,#N/A,FALSE,"Rents&amp;Other";#N/A,#N/A,FALSE,"A&amp;G";#N/A,#N/A,FALSE,"A&amp;P";#N/A,#N/A,FALSE,"Comp";#N/A,#N/A,FALSE,"R&amp;M";#N/A,#N/A,FALSE,"Energy";#N/A,#N/A,FALSE,"Capital";#N/A,#N/A,FALSE,"Laundry";#N/A,#N/A,FALSE,"EmpCafe";#N/A,#N/A,FALSE,"PTEB";#N/A,#N/A,FALSE,"Rent Calc"}</definedName>
    <definedName name="COMM_BLEND">#REF!</definedName>
    <definedName name="COMM_NEW">#REF!</definedName>
    <definedName name="COMM_RENEWAL">#REF!</definedName>
    <definedName name="COMMENTS">#REF!</definedName>
    <definedName name="CommercialCF">#REF!</definedName>
    <definedName name="commonstart" hidden="1">#REF!</definedName>
    <definedName name="Community">#REF!</definedName>
    <definedName name="comp21" hidden="1">#REF!</definedName>
    <definedName name="comp22" hidden="1">#REF!</definedName>
    <definedName name="comp23" hidden="1">#REF!</definedName>
    <definedName name="comp24" hidden="1">#REF!</definedName>
    <definedName name="comp25" hidden="1">#REF!</definedName>
    <definedName name="comp26" hidden="1">#REF!</definedName>
    <definedName name="comp27" hidden="1">#REF!</definedName>
    <definedName name="comp28" hidden="1">#REF!</definedName>
    <definedName name="comp29" hidden="1">#REF!</definedName>
    <definedName name="comp30" hidden="1">#REF!</definedName>
    <definedName name="comp31" hidden="1">#REF!</definedName>
    <definedName name="comp32" hidden="1">#REF!</definedName>
    <definedName name="comp33" hidden="1">#REF!</definedName>
    <definedName name="comp34" hidden="1">#REF!</definedName>
    <definedName name="comp35" hidden="1">#REF!</definedName>
    <definedName name="comp36" hidden="1">#REF!</definedName>
    <definedName name="COMPANY_SUMMARY">#REF!</definedName>
    <definedName name="CompanyOH" hidden="1">#REF!</definedName>
    <definedName name="compnam" hidden="1">#REF!</definedName>
    <definedName name="comps" hidden="1">#REF!</definedName>
    <definedName name="conflict" hidden="1">#REF!</definedName>
    <definedName name="Consolidated">#REF!</definedName>
    <definedName name="ConstLoan">#REF!</definedName>
    <definedName name="ConstLoan2">#REF!</definedName>
    <definedName name="ConstLoan3">#REF!</definedName>
    <definedName name="ConstPeriod">#REF!</definedName>
    <definedName name="Construct" hidden="1">{"Assumptions",#N/A,FALSE,"Assumptions"}</definedName>
    <definedName name="construction" hidden="1">{"Construction Costs",#N/A,FALSE,"Total Costs"}</definedName>
    <definedName name="Construction1" hidden="1">{"Construction Costs",#N/A,FALSE,"Total Costs"}</definedName>
    <definedName name="ConstStart">#REF!</definedName>
    <definedName name="CONT200">#REF!</definedName>
    <definedName name="CONT2000">#REF!</definedName>
    <definedName name="ContentsHelp" hidden="1">#N/A</definedName>
    <definedName name="control">#REF!</definedName>
    <definedName name="Control_Number">#REF!</definedName>
    <definedName name="COO" hidden="1">{#N/A,#N/A,FALSE,"Matrix";#N/A,#N/A,FALSE,"Cash Flow";#N/A,#N/A,FALSE,"10 Year Cost Analysis"}</definedName>
    <definedName name="cOpprop">#REF!</definedName>
    <definedName name="cOppropnew">#REF!</definedName>
    <definedName name="Copy" hidden="1">{"AnnualRentRoll",#N/A,FALSE,"RentRoll"}</definedName>
    <definedName name="copy2" hidden="1">{"new",#N/A,FALSE,"D";"PROFORMA",#N/A,FALSE,"A";"partial 1",#N/A,FALSE,"B";"partial 2",#N/A,FALSE,"B";"partial 3",#N/A,FALSE,"B";"SMALL CF 1",#N/A,FALSE,"C"}</definedName>
    <definedName name="copyall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copymondayjv" hidden="1">{"View1",#N/A,FALSE,"Sheet1";"View2",#N/A,FALSE,"Sheet1"}</definedName>
    <definedName name="corp" hidden="1">{#N/A,#N/A,FALSE,"ZellLurieFinSummary";#N/A,#N/A,FALSE,"FirstCapFinSummary";#N/A,#N/A,FALSE,"ZM I-III Consol FinSummary"}</definedName>
    <definedName name="coss">#REF!</definedName>
    <definedName name="Costs" hidden="1">{"eca",#N/A,TRUE,"E-C1 (R)";"ecb",#N/A,TRUE,"E-C1 (R)"}</definedName>
    <definedName name="Cottage" hidden="1">{"cot1",#N/A,FALSE,"Cottages";"cot2",#N/A,FALSE,"Cottages";"cot3",#N/A,FALSE,"Cottages"}</definedName>
    <definedName name="cottage2" hidden="1">{"cot1",#N/A,FALSE,"Cottages";"cot2",#N/A,FALSE,"Cottages";"cot3",#N/A,FALSE,"Cottages"}</definedName>
    <definedName name="COUNT">#N/A</definedName>
    <definedName name="CPIMAyo1" hidden="1">{"Zone1",#N/A,FALSE,"Parameters";"Zone2",#N/A,FALSE,"Parameters"}</definedName>
    <definedName name="CreateTable" hidden="1">#N/A</definedName>
    <definedName name="Credit_loss">#REF!</definedName>
    <definedName name="CreditStats" hidden="1">#REF!</definedName>
    <definedName name="_xlnm.Criteria">#REF!</definedName>
    <definedName name="CSDCDS" hidden="1">#REF!</definedName>
    <definedName name="CSG" hidden="1">{"cap_structure",#N/A,FALSE,"Graph-Mkt Cap";"price",#N/A,FALSE,"Graph-Price";"ebit",#N/A,FALSE,"Graph-EBITDA";"ebitda",#N/A,FALSE,"Graph-EBITDA"}</definedName>
    <definedName name="csh" hidden="1">{"fdb2_print",#N/A,FALSE,"Report"}</definedName>
    <definedName name="cStabilisations">#REF!</definedName>
    <definedName name="cStarts">#REF!</definedName>
    <definedName name="Currency">#REF!</definedName>
    <definedName name="CURRENT">#REF!</definedName>
    <definedName name="Current_month">#REF!</definedName>
    <definedName name="CURRENTYTD">#REF!</definedName>
    <definedName name="CurrS">#REF!</definedName>
    <definedName name="curse" hidden="1">#REF!</definedName>
    <definedName name="cursource" hidden="1">"SQLServer"</definedName>
    <definedName name="curve">IF(#REF!="Actual",SUMIF(#REF!,CONCATENATE(#REF!,MONTH(#REF!),YEAR(#REF!)),#REF!)/1000,IF(#REF!=0,0,IF(#REF!&lt;#REF!,#REF!,(#REF!/#REF!)*#REF!)))</definedName>
    <definedName name="curveinc">IF(#REF!="Actual",SUMIF(#REF!,CONCATENATE(#REF!,MONTH(#REF!),YEAR(#REF!)),#REF!)/1000,IF(#REF!=0,0,IF(#REF!&lt;#REF!,#REF!,(#REF!/#REF!)*-#REF!)))</definedName>
    <definedName name="cvade" hidden="1">{"FCB_ALL",#N/A,FALSE,"FCB"}</definedName>
    <definedName name="cVLN">#REF!</definedName>
    <definedName name="CVS" hidden="1">#REF!</definedName>
    <definedName name="Cwvu._Current_." hidden="1">#REF!,#REF!,#REF!,#REF!,#REF!,#REF!,#REF!,#REF!,#REF!,#REF!,#REF!,#REF!,#REF!,#REF!,#REF!,#REF!,#REF!,#REF!,#REF!,#REF!,#REF!,#REF!,#REF!,#REF!</definedName>
    <definedName name="Cwvu.ACCOUNT._.DETAIL." hidden="1">#REF!</definedName>
    <definedName name="Cwvu.GREY_ALL." hidden="1">#REF!</definedName>
    <definedName name="Cwvu.Overhead._.Detail." hidden="1">#REF!,#REF!,#REF!,#REF!,#REF!,#REF!,#REF!,#REF!,#REF!,#REF!</definedName>
    <definedName name="Cwvu.Profit._.report._.detailed." hidden="1">#REF!,#REF!,#REF!,#REF!,#REF!,#REF!,#REF!,#REF!,#REF!</definedName>
    <definedName name="Cwvu.WAT." hidden="1">#REF!</definedName>
    <definedName name="Cwvy.GREY_ALL._dcf" hidden="1">#REF!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cxvbvcxb" hidden="1">#REF!</definedName>
    <definedName name="CY">#REF!</definedName>
    <definedName name="d" hidden="1">{#N/A,#N/A,FALSE,"LoanAssumptions"}</definedName>
    <definedName name="d_1" hidden="1">{#N/A,#N/A,FALSE,"Bennington";#N/A,#N/A,FALSE,"Castle Court";#N/A,#N/A,FALSE,"Century Hills";#N/A,#N/A,FALSE,"Edgewater Hills";#N/A,#N/A,FALSE,"Edgewater Terrace";#N/A,#N/A,FALSE,"Edgewater Village";#N/A,#N/A,FALSE,"Fairfax";#N/A,#N/A,FALSE,"Gen. Wash.";#N/A,#N/A,FALSE,"Huntington-Unfurnished";#N/A,#N/A,FALSE,"Huntington-Furnished";#N/A,#N/A,FALSE,"Iris Court";#N/A,#N/A,FALSE,"North Park";#N/A,#N/A,FALSE,"Talbot Woods";#N/A,#N/A,FALSE,"Parkview";#N/A,#N/A,FALSE,"Westgate"}</definedName>
    <definedName name="DACF" hidden="1">{"mgmt forecast",#N/A,FALSE,"Mgmt Forecast";"dcf table",#N/A,FALSE,"Mgmt Forecast";"sensitivity",#N/A,FALSE,"Mgmt Forecast";"table inputs",#N/A,FALSE,"Mgmt Forecast";"calculations",#N/A,FALSE,"Mgmt Forecast"}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fdsaf" hidden="1">{"incomemth",#N/A,TRUE,"forecast00";"incomepercentmth",#N/A,TRUE,"forecast00";"balancemth",#N/A,TRUE,"forecast00";"cashmth",#N/A,TRUE,"forecast00";"covenantmth",#N/A,TRUE,"forecast00"}</definedName>
    <definedName name="dafsaf1" hidden="1">{"incomemth",#N/A,TRUE,"forecast00";"incomepercentmth",#N/A,TRUE,"forecast00";"balancemth",#N/A,TRUE,"forecast00";"cashmth",#N/A,TRUE,"forecast00";"covenantmth",#N/A,TRUE,"forecast00"}</definedName>
    <definedName name="dag" hidden="1">{"Total",#N/A,FALSE,"Six Fields";"PDP",#N/A,FALSE,"Six Fields";"PNP",#N/A,FALSE,"Six Fields";"PUD",#N/A,FALSE,"Six Fields";"Prob",#N/A,FALSE,"Six Fields"}</definedName>
    <definedName name="danbe" hidden="1">#N/A</definedName>
    <definedName name="danny" hidden="1">#REF!</definedName>
    <definedName name="das" hidden="1">#REF!</definedName>
    <definedName name="dasdasdsasad" hidden="1">{#N/A,#N/A,FALSE,"Notes";#N/A,#N/A,FALSE,"BaseAssumptions";#N/A,#N/A,FALSE,"CFD";#N/A,#N/A,FALSE,"RevenueAssumptions";"MasterCostAssmp Annually",#N/A,FALSE,"MasterCostAssmp";#N/A,#N/A,FALSE,"InTractCstAssmp";"LotTakedowns Annually",#N/A,FALSE,"LotTakedowns";"CashFlowSummary Annually",#N/A,FALSE,"CashFlowSummary";#N/A,#N/A,FALSE,"Loan Value";"AcqDev Loan Annually",#N/A,FALSE,"AcqDev Loan";"Loan #1 Annually",#N/A,FALSE,"Loan #1";"Loan #2 Annually",#N/A,FALSE,"Loan #2";"Loan #3 Annually",#N/A,FALSE,"Loan #3";"Consolidated Loan Annually",#N/A,FALSE,"Consolidated Loan";"FlowSummary Annually",#N/A,FALSE,"FlowSummary";"SourcesAndUses Annually",#N/A,FALSE,"SourcesAndUses";"CashDistribute Annually",#N/A,FALSE,"CashDistribute";"InvestorSummary Annually",#N/A,FALSE,"InvestorSummary";#N/A,#N/A,FALSE,"Finance Summary";#N/A,#N/A,FALSE,"Valuation"}</definedName>
    <definedName name="dasf" hidden="1">#REF!</definedName>
    <definedName name="dasgfdag" hidden="1">{"FCB_ALL",#N/A,FALSE,"FCB"}</definedName>
    <definedName name="dasklej" hidden="1">{"FCB_ALL",#N/A,FALSE,"FCB"}</definedName>
    <definedName name="dat" hidden="1">{"data",#N/A,FALSE,"INPUT"}</definedName>
    <definedName name="DATA">#REF!</definedName>
    <definedName name="DATA_0" hidden="1">#REF!</definedName>
    <definedName name="DATA_01" hidden="1">#REF!</definedName>
    <definedName name="DATA_01_a" hidden="1">#REF!</definedName>
    <definedName name="DATA_01A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5A" hidden="1">#REF!</definedName>
    <definedName name="DATA_07" hidden="1">#REF!</definedName>
    <definedName name="DATA_07A" hidden="1">#REF!</definedName>
    <definedName name="DATA_08" hidden="1">#REF!</definedName>
    <definedName name="data1" hidden="1">#REF!</definedName>
    <definedName name="Data116" hidden="1">{#N/A,#N/A,FALSE,"Sales"}</definedName>
    <definedName name="data14" hidden="1">{"data",#N/A,FALSE,"INPUT"}</definedName>
    <definedName name="Data16" hidden="1">{#N/A,#N/A,FALSE,"Sales"}</definedName>
    <definedName name="data2" hidden="1">#REF!</definedName>
    <definedName name="data3" hidden="1">#REF!</definedName>
    <definedName name="_xlnm.Database">#REF!</definedName>
    <definedName name="datadownfour" hidden="1">#REF!</definedName>
    <definedName name="datadownone" hidden="1">#REF!</definedName>
    <definedName name="datadownthree" hidden="1">#REF!</definedName>
    <definedName name="datadowntwo" hidden="1">#REF!</definedName>
    <definedName name="dataerror" hidden="1">{"data",#N/A,FALSE,"INPUT"}</definedName>
    <definedName name="DATATABLE">#REF!</definedName>
    <definedName name="datatoggle" hidden="1">#REF!</definedName>
    <definedName name="datatoggletwo" hidden="1">#REF!</definedName>
    <definedName name="DataValDate" hidden="1">#REF!</definedName>
    <definedName name="datavaldate2" hidden="1">#REF!</definedName>
    <definedName name="datavaldate3" hidden="1">#REF!</definedName>
    <definedName name="date_CurrMo">#REF!</definedName>
    <definedName name="date_PriorMo">#REF!</definedName>
    <definedName name="Dates">#REF!</definedName>
    <definedName name="DAYAN" hidden="1">{"LIBOR",#N/A,TRUE,"Model";"Caps",#N/A,TRUE,"Model";"Assets",#N/A,TRUE,"Model";"Liabilities",#N/A,TRUE,"Model";"Tests",#N/A,TRUE,"Model";"Results",#N/A,TRUE,"Model"}</definedName>
    <definedName name="db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dbase_char_set" hidden="1">1</definedName>
    <definedName name="dbase_compatibility" hidden="1">1</definedName>
    <definedName name="dbase_dflt" hidden="1">TRUE</definedName>
    <definedName name="dc" hidden="1">{#N/A,#N/A,FALSE,"Chart 2 by Prop Type"}</definedName>
    <definedName name="dd" hidden="1">{"MonthlyRentRoll",#N/A,FALSE,"RentRoll"}</definedName>
    <definedName name="ddd" hidden="1">{"MonthlyRentRoll",#N/A,FALSE,"RentRoll"}</definedName>
    <definedName name="dddd" hidden="1">#REF!</definedName>
    <definedName name="dddddd" hidden="1">#REF!</definedName>
    <definedName name="dddddd2" hidden="1">{#N/A,#N/A,FALSE,"CAPREIT"}</definedName>
    <definedName name="ddddddd" hidden="1">{#N/A,#N/A,FALSE,"CAPREIT"}</definedName>
    <definedName name="ddddddd2" hidden="1">{#N/A,#N/A,FALSE,"CAPREIT"}</definedName>
    <definedName name="ddddddddddd" hidden="1">{#N/A,#N/A,TRUE,"Krycí list"}</definedName>
    <definedName name="dddddddddddddddddd" hidden="1">{"Full Gross to Net",#N/A,TRUE,"GtoN";"R_I Accepted from Group Coys",#N/A,TRUE,"GtoN";"R_I Ceded to Group Coys",#N/A,TRUE,"GtoN";"Closing Loss Reserves and Gross Claims Incurred",#N/A,TRUE,"GtoN"}</definedName>
    <definedName name="dddddddddddddddddddddddddddd" hidden="1">{#N/A,#N/A,FALSE,"A";#N/A,#N/A,FALSE,"C"}</definedName>
    <definedName name="ddeded" hidden="1">{"TAB 1",#N/A,FALSE,"1";"tab 2",#N/A,FALSE,"2";"TAB 3",#N/A,FALSE,"3";"tab 4",#N/A,FALSE,"4";"tab 5",#N/A,FALSE,"5";"tab 6",#N/A,FALSE,"6";"tab 7",#N/A,FALSE,"7";"TAB 8",#N/A,FALSE,"8"}</definedName>
    <definedName name="ddgfds" hidden="1">{#N/A,#N/A,FALSE,"Consolidated";#N/A,#N/A,FALSE,"Available Credit";#N/A,#N/A,FALSE,"100% Owned";#N/A,#N/A,FALSE,"Bentall U.S. LLC";#N/A,#N/A,FALSE,"Bentall Properties (U.S.) Ltd.";#N/A,#N/A,FALSE,"Schedule I"}</definedName>
    <definedName name="DDLEntityType">#REF!</definedName>
    <definedName name="DDLResidentialAffordableType">#REF!</definedName>
    <definedName name="DDLResidentialUnitType">#REF!</definedName>
    <definedName name="ddm" hidden="1">{"May",#N/A,FALSE,"Manager Report"}</definedName>
    <definedName name="ddrd" hidden="1">#REF!</definedName>
    <definedName name="deal.closer">#REF!</definedName>
    <definedName name="deal.dealName">#REF!</definedName>
    <definedName name="deal.initialFunding">#REF!</definedName>
    <definedName name="debt">#REF!</definedName>
    <definedName name="Debt_Calc1_Amort" hidden="1">#REF!</definedName>
    <definedName name="Debt_Calc1_CapExEnd" hidden="1">#REF!</definedName>
    <definedName name="Debt_Calc1_Draw" hidden="1">#REF!</definedName>
    <definedName name="Debt_Calc1_End" hidden="1">#REF!</definedName>
    <definedName name="Debt_Calc1_InitialBalance" hidden="1">#REF!</definedName>
    <definedName name="Debt_Calc1_IO" hidden="1">#REF!</definedName>
    <definedName name="Debt_Calc1_IsPrepaid" hidden="1">#REF!</definedName>
    <definedName name="Debt_Calc1_IsRefied" hidden="1">#REF!</definedName>
    <definedName name="Debt_Calc1_Maturity" hidden="1">#REF!</definedName>
    <definedName name="Debt_Calc1_Start" hidden="1">#REF!</definedName>
    <definedName name="Debt_Calc1_Term" hidden="1">#REF!</definedName>
    <definedName name="Debt_Calc1_Year" hidden="1">#REF!</definedName>
    <definedName name="Debt_Calc2_Amort" hidden="1">#REF!</definedName>
    <definedName name="Debt_Calc2_CapExEnd" hidden="1">#REF!</definedName>
    <definedName name="Debt_Calc2_Draw" hidden="1">#REF!</definedName>
    <definedName name="Debt_Calc2_End" hidden="1">#REF!</definedName>
    <definedName name="Debt_Calc2_InitialBalance" hidden="1">#REF!</definedName>
    <definedName name="Debt_Calc2_IO" hidden="1">#REF!</definedName>
    <definedName name="Debt_Calc2_IsPrepaid" hidden="1">#REF!</definedName>
    <definedName name="Debt_Calc2_IsRefied" hidden="1">#REF!</definedName>
    <definedName name="Debt_Calc2_Maturity" hidden="1">#REF!</definedName>
    <definedName name="Debt_Calc2_Start" hidden="1">#REF!</definedName>
    <definedName name="Debt_Calc2_Term" hidden="1">#REF!</definedName>
    <definedName name="Debt_Calc2_Year" hidden="1">#REF!</definedName>
    <definedName name="Debt_Calc3_Amort" hidden="1">#REF!</definedName>
    <definedName name="Debt_Calc3_CapExEnd" hidden="1">#REF!</definedName>
    <definedName name="Debt_Calc3_Draw" hidden="1">#REF!</definedName>
    <definedName name="Debt_Calc3_End" hidden="1">#REF!</definedName>
    <definedName name="Debt_Calc3_InitialBalance" hidden="1">#REF!</definedName>
    <definedName name="Debt_Calc3_IO" hidden="1">#REF!</definedName>
    <definedName name="Debt_Calc3_IsPrepaid" hidden="1">#REF!</definedName>
    <definedName name="Debt_Calc3_Maturity" hidden="1">#REF!</definedName>
    <definedName name="Debt_Calc3_Refi1" hidden="1">#REF!</definedName>
    <definedName name="Debt_Calc3_Refi2" hidden="1">#REF!</definedName>
    <definedName name="Debt_Calc3_Start" hidden="1">#REF!</definedName>
    <definedName name="Debt_Calc3_Term" hidden="1">#REF!</definedName>
    <definedName name="Debt_CalcType2" hidden="1">#REF!</definedName>
    <definedName name="Debt_CalcType3" hidden="1">#REF!</definedName>
    <definedName name="Debt_CalcType4" hidden="1">#REF!</definedName>
    <definedName name="Debt_CalcType5" hidden="1">#REF!</definedName>
    <definedName name="Debt_CalcTypes" hidden="1">#REF!</definedName>
    <definedName name="Debt_FundType1" hidden="1">#REF!</definedName>
    <definedName name="Debt_FundType2" hidden="1">#REF!</definedName>
    <definedName name="Debt_FundType3" hidden="1">#REF!</definedName>
    <definedName name="Debt_FundTypes" hidden="1">#REF!</definedName>
    <definedName name="DEBT_InitialBalance" hidden="1">#REF!</definedName>
    <definedName name="Debt_InitialBOPBalance" hidden="1">#REF!</definedName>
    <definedName name="DEBT_InitialCapital" hidden="1">#REF!</definedName>
    <definedName name="DEBT_InitialFunding" hidden="1">#REF!</definedName>
    <definedName name="DEBT_InitialInterest" hidden="1">#REF!</definedName>
    <definedName name="Debt_InitialLoanFee" hidden="1">#REF!</definedName>
    <definedName name="DEBT_InitialMaturity" hidden="1">#REF!</definedName>
    <definedName name="Debt_InitialPrepaymentFee" hidden="1">#REF!</definedName>
    <definedName name="DEBT_InitialPrincipal" hidden="1">#REF!</definedName>
    <definedName name="DEBT_InitialRefi" hidden="1">#REF!</definedName>
    <definedName name="Debt_InitialSeniorBalance" hidden="1">#REF!</definedName>
    <definedName name="Debt_InitialSeniorBOPBalance" hidden="1">#REF!</definedName>
    <definedName name="Debt_InitialSeniorInterest" hidden="1">#REF!</definedName>
    <definedName name="Debt_InitialSeniorPrincipal" hidden="1">#REF!</definedName>
    <definedName name="Debt_Label1_Amort" hidden="1">#REF!</definedName>
    <definedName name="Debt_Label1_Amount" hidden="1">#REF!</definedName>
    <definedName name="Debt_Label1_InitialRate" hidden="1">#REF!</definedName>
    <definedName name="Debt_Label1_IO" hidden="1">#REF!</definedName>
    <definedName name="Debt_Label1_Maturity" hidden="1">#REF!</definedName>
    <definedName name="Debt_Label1_Percent" hidden="1">#REF!</definedName>
    <definedName name="Debt_Label1_Term" hidden="1">#REF!</definedName>
    <definedName name="Debt_Label1_Value" hidden="1">#REF!</definedName>
    <definedName name="Debt_Label2_Amort" hidden="1">#REF!</definedName>
    <definedName name="Debt_Label2_Amount" hidden="1">#REF!</definedName>
    <definedName name="Debt_Label2_InitialRate" hidden="1">#REF!</definedName>
    <definedName name="Debt_Label2_IO" hidden="1">#REF!</definedName>
    <definedName name="Debt_Label2_Maturity" hidden="1">#REF!</definedName>
    <definedName name="Debt_Label2_Percent" hidden="1">#REF!</definedName>
    <definedName name="Debt_Label2_Term" hidden="1">#REF!</definedName>
    <definedName name="Debt_Label2_Value" hidden="1">#REF!</definedName>
    <definedName name="Debt_Label3_Amort" hidden="1">#REF!</definedName>
    <definedName name="Debt_Label3_Amount" hidden="1">#REF!</definedName>
    <definedName name="Debt_Label3_InitialRate" hidden="1">#REF!</definedName>
    <definedName name="Debt_Label3_IO" hidden="1">#REF!</definedName>
    <definedName name="Debt_Label3_Maturity" hidden="1">#REF!</definedName>
    <definedName name="Debt_Label3_Percent" hidden="1">#REF!</definedName>
    <definedName name="Debt_Label3_Term" hidden="1">#REF!</definedName>
    <definedName name="Debt_Label3_Value" hidden="1">#REF!</definedName>
    <definedName name="Debt_LoanType1" hidden="1">#REF!</definedName>
    <definedName name="Debt_LoanType2" hidden="1">#REF!</definedName>
    <definedName name="Debt_LoanType4" hidden="1">#REF!</definedName>
    <definedName name="Debt_LoanTypes" hidden="1">#REF!</definedName>
    <definedName name="DEBT_PaymentType1" hidden="1">#REF!</definedName>
    <definedName name="DEBT_PaymentType5" hidden="1">#REF!</definedName>
    <definedName name="DEBT_PaymentTypes" hidden="1">#REF!</definedName>
    <definedName name="Debt_PurchaseRange" hidden="1">0</definedName>
    <definedName name="debt_ratedBBB" hidden="1">{#N/A,#N/A,FALSE,"Aging Summary";#N/A,#N/A,FALSE,"Ratio Analysis";#N/A,#N/A,FALSE,"Test 120 Day Accts";#N/A,#N/A,FALSE,"Tickmarks"}</definedName>
    <definedName name="Debt_RefiTypes" hidden="1">#REF!</definedName>
    <definedName name="Debt_Show1_Amort" hidden="1">#REF!</definedName>
    <definedName name="Debt_Show1_AmortHC" hidden="1">#REF!</definedName>
    <definedName name="Debt_Show1_Amount" hidden="1">#REF!</definedName>
    <definedName name="Debt_Show1_CapEx" hidden="1">#REF!</definedName>
    <definedName name="Debt_Show1_FundDate" hidden="1">#REF!</definedName>
    <definedName name="Debt_Show1_FundMethod" hidden="1">#REF!</definedName>
    <definedName name="Debt_Show1_FundPercent" hidden="1">#REF!</definedName>
    <definedName name="Debt_Show1_FundPoints" hidden="1">#REF!</definedName>
    <definedName name="Debt_Show1_Loan" hidden="1">#REF!</definedName>
    <definedName name="Debt_Show1_Rate" hidden="1">#REF!</definedName>
    <definedName name="Debt_Show1_Spread" hidden="1">#REF!</definedName>
    <definedName name="Debt_Show2_Amort" hidden="1">#REF!</definedName>
    <definedName name="Debt_Show2_AmortHC" hidden="1">#REF!</definedName>
    <definedName name="Debt_Show2_Amount" hidden="1">#REF!</definedName>
    <definedName name="Debt_Show2_CapEx" hidden="1">#REF!</definedName>
    <definedName name="Debt_Show2_FundDate" hidden="1">#REF!</definedName>
    <definedName name="Debt_Show2_FundMethod" hidden="1">#REF!</definedName>
    <definedName name="Debt_Show2_FundPercent" hidden="1">#REF!</definedName>
    <definedName name="Debt_Show2_FundPoints" hidden="1">#REF!</definedName>
    <definedName name="Debt_Show2_Loan" hidden="1">#REF!</definedName>
    <definedName name="Debt_Show2_Rate" hidden="1">#REF!</definedName>
    <definedName name="Debt_Show2_Spread" hidden="1">#REF!</definedName>
    <definedName name="Debt_Show3_Amort" hidden="1">#REF!</definedName>
    <definedName name="Debt_Show3_AmortHC" hidden="1">#REF!</definedName>
    <definedName name="Debt_Show3_Amount" hidden="1">#REF!</definedName>
    <definedName name="Debt_Show3_CapEx" hidden="1">#REF!</definedName>
    <definedName name="Debt_Show3_FundDate" hidden="1">#REF!</definedName>
    <definedName name="Debt_Show3_FundMethod" hidden="1">#REF!</definedName>
    <definedName name="Debt_Show3_FundPercent" hidden="1">#REF!</definedName>
    <definedName name="Debt_Show3_FundPoints" hidden="1">#REF!</definedName>
    <definedName name="Debt_Show3_Loan" hidden="1">#REF!</definedName>
    <definedName name="Debt_Show3_Rate" hidden="1">#REF!</definedName>
    <definedName name="Debt_Show3_Refi" hidden="1">#REF!</definedName>
    <definedName name="Debt_Show3_Refi1" hidden="1">#REF!</definedName>
    <definedName name="Debt_Show3_Refi2" hidden="1">#REF!</definedName>
    <definedName name="Debt_Show3_Spread" hidden="1">#REF!</definedName>
    <definedName name="Debt_SubordinationType2" hidden="1">#REF!</definedName>
    <definedName name="Debt_SubordinationTypes" hidden="1">#REF!</definedName>
    <definedName name="Debt_Yes" hidden="1">#REF!</definedName>
    <definedName name="Debt_YesNo" hidden="1">#REF!</definedName>
    <definedName name="debt1" hidden="1">{"Annual",#N/A,FALSE,"Sales &amp; Market";"Quarterly",#N/A,FALSE,"Sales &amp; Market"}</definedName>
    <definedName name="Debt2" hidden="1">{"'Expirations'!$A$1:$L$65"}</definedName>
    <definedName name="DebtAdjustable">#REF!</definedName>
    <definedName name="debtpage">#REF!</definedName>
    <definedName name="DebtPiece1">#REF!</definedName>
    <definedName name="DebtPiece2">#REF!</definedName>
    <definedName name="DebtPiece3">#REF!</definedName>
    <definedName name="debtpref" hidden="1">#REF!</definedName>
    <definedName name="DebtSummary">#REF!</definedName>
    <definedName name="DEF" hidden="1">#REF!</definedName>
    <definedName name="DefExpNewBusDetails" hidden="1">#REF!</definedName>
    <definedName name="DefExpTendDetails" hidden="1">#REF!</definedName>
    <definedName name="defg" hidden="1">{"Financials",#N/A,FALSE,"Financials";"AVP",#N/A,FALSE,"AVP";"DCF",#N/A,FALSE,"DCF";"CSC",#N/A,FALSE,"CSC";"Deal_Comp",#N/A,FALSE,"DealComp"}</definedName>
    <definedName name="del" hidden="1">{"Page1",#N/A,FALSE,"7979";"Page2",#N/A,FALSE,"7979";"Page3",#N/A,FALSE,"7979"}</definedName>
    <definedName name="delete2" hidden="1">#REF!</definedName>
    <definedName name="DeleteRange" hidden="1">#N/A</definedName>
    <definedName name="DeleteTable" hidden="1">#N/A</definedName>
    <definedName name="DELME" hidden="1">{#N/A,#N/A,FALSE,"A";#N/A,#N/A,FALSE,"C"}</definedName>
    <definedName name="DELME_condo" hidden="1">{#N/A,#N/A,FALSE,"A";#N/A,#N/A,FALSE,"C"}</definedName>
    <definedName name="DELME2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2_Condo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3" hidden="1">{#N/A,#N/A,FALSE,"Common Area Accrual";#N/A,#N/A,FALSE,"Unit One LaSalle";#N/A,#N/A,FALSE,"Unit One CW";#N/A,#N/A,FALSE,"Unit One LaSallle + C &amp; W";#N/A,#N/A,FALSE,"Consolidated Accrual"}</definedName>
    <definedName name="DELME3_Condo" hidden="1">{#N/A,#N/A,FALSE,"Common Area Accrual";#N/A,#N/A,FALSE,"Unit One LaSalle";#N/A,#N/A,FALSE,"Unit One CW";#N/A,#N/A,FALSE,"Unit One LaSallle + C &amp; W";#N/A,#N/A,FALSE,"Consolidated Accrual"}</definedName>
    <definedName name="DELME4" hidden="1">{#N/A,#N/A,FALSE,"399 Park Var";#N/A,#N/A,FALSE,"PK NOTES"}</definedName>
    <definedName name="DELME4_Condo" hidden="1">{#N/A,#N/A,FALSE,"399 Park Var";#N/A,#N/A,FALSE,"PK NOTES"}</definedName>
    <definedName name="DELME5" hidden="1">{#N/A,#N/A,FALSE,"Expense Detail ";#N/A,#N/A,FALSE,"Worksheet";#N/A,#N/A,FALSE,"Audit";#N/A,#N/A,FALSE,"Exclusions";#N/A,#N/A,FALSE,"Variance";#N/A,#N/A,FALSE,"Reconciliation"}</definedName>
    <definedName name="DELME5_Condo" hidden="1">{#N/A,#N/A,FALSE,"Expense Detail ";#N/A,#N/A,FALSE,"Worksheet";#N/A,#N/A,FALSE,"Audit";#N/A,#N/A,FALSE,"Exclusions";#N/A,#N/A,FALSE,"Variance";#N/A,#N/A,FALSE,"Reconciliation"}</definedName>
    <definedName name="DELME7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LME7_Condo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lta" hidden="1">{"ACCOUNTING COPY",#N/A,FALSE,"SCHEDULE A";"FINANCE COPY",#N/A,FALSE,"SCHEDULE A";"P.L. COPY",#N/A,FALSE,"SCHEDULE A"}</definedName>
    <definedName name="dep.amt.non.commitFee">#REF!</definedName>
    <definedName name="dep.amt.ref.commitFee">#REF!</definedName>
    <definedName name="depr">#REF!</definedName>
    <definedName name="DeprBuilding">#REF!</definedName>
    <definedName name="DepreLeasing">#REF!</definedName>
    <definedName name="DeprTI">#REF!</definedName>
    <definedName name="DetailLabelCurrent">#REF!</definedName>
    <definedName name="DetailLabelPrior">#REF!</definedName>
    <definedName name="DEV_FEE">#REF!</definedName>
    <definedName name="Dez.">#REF!</definedName>
    <definedName name="df" hidden="1">{"CASHFLOW",#N/A,FALSE,"Northpointe"}</definedName>
    <definedName name="df_1" hidden="1">{"CASHFLOW",#N/A,FALSE,"Northpointe"}</definedName>
    <definedName name="dfasfdsa" hidden="1">{#N/A,#N/A,TRUE,"10 Yr Hold";#N/A,#N/A,TRUE,"7 Yr Hold";#N/A,#N/A,TRUE,"5 Yr Hold";#N/A,#N/A,TRUE,"3 Yr Hold"}</definedName>
    <definedName name="dfd" hidden="1">{"CSheet",#N/A,FALSE,"C";"SmCap",#N/A,FALSE,"VAL1";"GulfCoast",#N/A,FALSE,"VAL1";"nav",#N/A,FALSE,"NAV";"Summary",#N/A,FALSE,"NAV"}</definedName>
    <definedName name="dfdas" hidden="1">{"FCB_ALL",#N/A,FALSE,"FCB";"GREY_ALL",#N/A,FALSE,"GREY"}</definedName>
    <definedName name="dfdas1" hidden="1">{"FCB_ALL",#N/A,FALSE,"FCB";"GREY_ALL",#N/A,FALSE,"GREY"}</definedName>
    <definedName name="dfdf" hidden="1">{#N/A,#N/A,FALSE,"Class A";#N/A,#N/A,FALSE,"Class B";#N/A,#N/A,FALSE,"Class C"}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ere" hidden="1">{"ReportTop",#N/A,FALSE,"report top"}</definedName>
    <definedName name="dff" hidden="1">{"sheet a",#N/A,FALSE,"A";"2 9 casflow",#N/A,FALSE,"B"}</definedName>
    <definedName name="DFFDG" hidden="1">#REF!</definedName>
    <definedName name="dfg">#REF!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g" hidden="1">{"sheet a",#N/A,FALSE,"A";"sheet b 1",#N/A,FALSE,"B";"sheet b 2",#N/A,FALSE,"B"}</definedName>
    <definedName name="dfgsdf" hidden="1">{"FCB_ALL",#N/A,FALSE,"FCB"}</definedName>
    <definedName name="dfhdfh" hidden="1">{"Construction Costs",#N/A,FALSE,"Total Costs"}</definedName>
    <definedName name="dfhdh" hidden="1">{#N/A,#N/A,FALSE,"COVER SHEET";#N/A,#N/A,FALSE,"SECT 1 - SUMM";#N/A,#N/A,FALSE,"SECT 1 - LND PLAN";#N/A,#N/A,FALSE,"SECT 2 - COMBINED QTRLY PROJ CF";#N/A,#N/A,FALSE,"SECT 2 - KUKIO CF";#N/A,#N/A,FALSE,"SECT 2 - MANINI CF";#N/A,#N/A,FALSE,"SECT 5a - CLUB ASSUMPTIONS";#N/A,#N/A,FALSE,"SECT 5 - QTRLY CLUB OPS"}</definedName>
    <definedName name="dfhfh" hidden="1">#REF!</definedName>
    <definedName name="dfhsdf" hidden="1">{0,0,0,0}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gndhgn" hidden="1">#REF!</definedName>
    <definedName name="dgtdf" hidden="1">{"FCB_ALL",#N/A,FALSE,"FCB"}</definedName>
    <definedName name="dh" hidden="1">{#N/A,#N/A,TRUE,"Krycí list"}</definedName>
    <definedName name="dhdjy" hidden="1">#REF!</definedName>
    <definedName name="DHG" hidden="1">{"cap_structure",#N/A,FALSE,"Graph-Mkt Cap";"price",#N/A,FALSE,"Graph-Price";"ebit",#N/A,FALSE,"Graph-EBITDA";"ebitda",#N/A,FALSE,"Graph-EBITDA"}</definedName>
    <definedName name="dhgndn" hidden="1">#REF!</definedName>
    <definedName name="dhh" hidden="1">{#N/A,#N/A,TRUE,"Krycí list"}</definedName>
    <definedName name="dhhh" hidden="1">{#N/A,#N/A,TRUE,"Krycí list"}</definedName>
    <definedName name="DINK">#REF!</definedName>
    <definedName name="Dir_Cap_Value_Stab">#REF!</definedName>
    <definedName name="directory2">#REF!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isc">#REF!</definedName>
    <definedName name="Discount" hidden="1">#REF!</definedName>
    <definedName name="Discount_Rate">#REF!</definedName>
    <definedName name="DiscRate_24seven">#REF!</definedName>
    <definedName name="DiscRate_A">#REF!</definedName>
    <definedName name="Discrepancy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display_area_2" hidden="1">#REF!</definedName>
    <definedName name="DisplaySelectedSheetsMacroButton">#REF!</definedName>
    <definedName name="dispo">#REF!</definedName>
    <definedName name="DispositionFees">#REF!</definedName>
    <definedName name="DispositionPrice" hidden="1">#REF!</definedName>
    <definedName name="dist00">#REF!</definedName>
    <definedName name="dist01">#REF!</definedName>
    <definedName name="dist02">#REF!</definedName>
    <definedName name="dist03">#REF!</definedName>
    <definedName name="dist04">#REF!</definedName>
    <definedName name="dist05">#REF!</definedName>
    <definedName name="dist06">#REF!</definedName>
    <definedName name="dist07">#REF!</definedName>
    <definedName name="dist97">#REF!</definedName>
    <definedName name="dist98">#REF!</definedName>
    <definedName name="dist99">#REF!</definedName>
    <definedName name="distrib" hidden="1">{#N/A,#N/A,FALSE,"Sheet10"}</definedName>
    <definedName name="Divestitures" hidden="1">{"investment roll for cashflow",#N/A,FALSE,"detail investment sched";"fixed asset roll for cashflow",#N/A,FALSE,"other schedules";"goodwill roll for cashflow",#N/A,FALSE,"other schedules";"long term debt roll for cashflow",#N/A,FALSE,"other schedules";"minority interest roll for cashflow",#N/A,FALSE,"other schedules";"other long term obligations roll",#N/A,FALSE,"other schedules"}</definedName>
    <definedName name="dkfjal" hidden="1">#REF!</definedName>
    <definedName name="DME_Dirty" hidden="1">"False"</definedName>
    <definedName name="DME_LocalFile" hidden="1">"True"</definedName>
    <definedName name="DME_ODMALinks1" hidden="1">"::ODMA\DME-MSE\London-44590=C:\TEMP\Dme\London-44590.xls"</definedName>
    <definedName name="DME_ODMALinksCount" hidden="1">"1"</definedName>
    <definedName name="DN_Markets">#REF!</definedName>
    <definedName name="DocType">Word</definedName>
    <definedName name="DocType2">Word</definedName>
    <definedName name="dog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doug" hidden="1">{#N/A,#N/A,FALSE,"Consolidated";#N/A,#N/A,FALSE,"Available Credit";#N/A,#N/A,FALSE,"100% Owned";#N/A,#N/A,FALSE,"Bentall U.S. LLC";#N/A,#N/A,FALSE,"Bentall Properties (U.S.) Ltd.";#N/A,#N/A,FALSE,"Schedule I"}</definedName>
    <definedName name="doug2" hidden="1">{#N/A,#N/A,FALSE,"Consolidated";#N/A,#N/A,FALSE,"Available Credit";#N/A,#N/A,FALSE,"100% Owned";#N/A,#N/A,FALSE,"Bentall U.S. LLC";#N/A,#N/A,FALSE,"Bentall Properties (U.S.) Ltd.";#N/A,#N/A,FALSE,"Schedule I"}</definedName>
    <definedName name="dougie" hidden="1">{#N/A,#N/A,FALSE,"Consolidated";#N/A,#N/A,FALSE,"Available Credit";#N/A,#N/A,FALSE,"100% Owned";#N/A,#N/A,FALSE,"Bentall U.S. LLC";#N/A,#N/A,FALSE,"Bentall Properties (U.S.) Ltd.";#N/A,#N/A,FALSE,"Schedule I"}</definedName>
    <definedName name="Down_Time">#REF!</definedName>
    <definedName name="dpa">#REF!</definedName>
    <definedName name="DRE_P_Flor" hidden="1">#REF!</definedName>
    <definedName name="DRE_P_Trad" hidden="1">#REF!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" hidden="1">{#N/A,#N/A,FALSE,"Chart 2 by Prop Type"}</definedName>
    <definedName name="dsaf" hidden="1">{#N/A,#N/A,FALSE,"ExecSum";#N/A,#N/A,FALSE,"total summary";#N/A,#N/A,FALSE,"Budget";#N/A,#N/A,FALSE,"CashFlow"}</definedName>
    <definedName name="dsa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" hidden="1">{#N/A,#N/A,FALSE,"Chart 2 by Prop Type"}</definedName>
    <definedName name="dsfdsfds" hidden="1">{#N/A,#N/A,FALSE,"Consolidated";#N/A,#N/A,FALSE,"Available Credit";#N/A,#N/A,FALSE,"100% Owned";#N/A,#N/A,FALSE,"Bentall U.S. LLC";#N/A,#N/A,FALSE,"Bentall Properties (U.S.) Ltd.";#N/A,#N/A,FALSE,"Schedule I"}</definedName>
    <definedName name="dsfgdsfg" hidden="1">#REF!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sgh" hidden="1">{#N/A,#N/A,TRUE,"Krycí list"}</definedName>
    <definedName name="dsghh" hidden="1">{#N/A,#N/A,TRUE,"Krycí list"}</definedName>
    <definedName name="dsgvnlkdsfn" hidden="1">{#N/A,#N/A,FALSE,"Chart 2 by Prop Type"}</definedName>
    <definedName name="DSHiddenYear1" hidden="1">#REF!</definedName>
    <definedName name="DSHiddenYear2" hidden="1">#REF!</definedName>
    <definedName name="DSHiddenYear3" hidden="1">#REF!</definedName>
    <definedName name="DSHiddenYear4" hidden="1">#REF!</definedName>
    <definedName name="DSIndHiddenYear1" hidden="1">#REF!</definedName>
    <definedName name="DSIndHiddenYear2" hidden="1">#REF!</definedName>
    <definedName name="DSIndHiddenYear3" hidden="1">#REF!</definedName>
    <definedName name="DSIndHiddenYear4" hidden="1">#REF!</definedName>
    <definedName name="DSIndHistHiddenYear1" hidden="1">#REF!</definedName>
    <definedName name="DSIndHistHiddenYear1A" hidden="1">#REF!</definedName>
    <definedName name="DSIndHistHiddenYear2" hidden="1">#REF!</definedName>
    <definedName name="DSIndHistHiddenYear2A" hidden="1">#REF!</definedName>
    <definedName name="DSIndHistHiddenYear3" hidden="1">#REF!</definedName>
    <definedName name="DSIndHistHiddenYear4" hidden="1">#REF!</definedName>
    <definedName name="DSIndHistHiddenYear5" hidden="1">#REF!</definedName>
    <definedName name="DSS" hidden="1">{"print STAY opening assumptions",#N/A,FALSE,"STAY Openings";"print STAY openings",#N/A,FALSE,"STAY Openings"}</definedName>
    <definedName name="dss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TABLE02">#REF!</definedName>
    <definedName name="DTABLE03">#REF!</definedName>
    <definedName name="DTABLE04">#REF!</definedName>
    <definedName name="DTABLE06">#REF!</definedName>
    <definedName name="DTABLE07">#REF!</definedName>
    <definedName name="DTABLE08">#REF!</definedName>
    <definedName name="DTABLE09">#REF!</definedName>
    <definedName name="DTABLE10">#REF!</definedName>
    <definedName name="DTCALC">#REF!</definedName>
    <definedName name="dtytyhj" hidden="1">#REF!</definedName>
    <definedName name="DVLPBDG">#REF!</definedName>
    <definedName name="dw" hidden="1">#REF!</definedName>
    <definedName name="DY">#REF!</definedName>
    <definedName name="DZ.IndSpec_Left" hidden="1">#REF!</definedName>
    <definedName name="DZ.IndSpec_Right" hidden="1">#REF!</definedName>
    <definedName name="DZ.LTM" hidden="1">#REF!</definedName>
    <definedName name="DZ.LTMPlus" hidden="1">#REF!</definedName>
    <definedName name="e" hidden="1">{"MonthlyRentRoll",#N/A,FALSE,"RentRoll"}</definedName>
    <definedName name="E15xe81">#REF!</definedName>
    <definedName name="EagleLogo" hidden="1">"Picture 1"</definedName>
    <definedName name="earn1" hidden="1">#REF!</definedName>
    <definedName name="EBIT_Margin_Adjusted_Data" hidden="1">OFFSET(#REF!,0,0,COUNTA(#REF!),1)</definedName>
    <definedName name="EBIT_Margin_Data" hidden="1">OFFSET(#REF!,0,0,COUNTA(#REF!)-1,1)</definedName>
    <definedName name="EBIT_Margin_Dummy_Data" hidden="1">OFFSET(#REF!,0,0,COUNTA(#REF!)-1,1)</definedName>
    <definedName name="EBIT_Margin_X_Values" hidden="1">OFFSET(#REF!,0,0,COUNTA(#REF!)-1,1)</definedName>
    <definedName name="ebitdamargin">#REF!</definedName>
    <definedName name="ed" hidden="1">{#N/A,#N/A,FALSE,"Chart 2 by Prop Type"}</definedName>
    <definedName name="edd" hidden="1">{"rtn",#N/A,FALSE,"RTN";"tables",#N/A,FALSE,"RTN";"cf",#N/A,FALSE,"CF";"stats",#N/A,FALSE,"Stats";"prop",#N/A,FALSE,"Prop"}</definedName>
    <definedName name="Eden" hidden="1">{"AnnualRentRoll",#N/A,FALSE,"RentRoll"}</definedName>
    <definedName name="edf" hidden="1">{#N/A,#N/A,FALSE,"Chart 2 by Prop Type"}</definedName>
    <definedName name="edr" hidden="1">{#N/A,#N/A,FALSE,"Chart 2 by Prop Type"}</definedName>
    <definedName name="ee" hidden="1">{#N/A,#N/A,FALSE,"OperatingAssumptions"}</definedName>
    <definedName name="eee" hidden="1">{#N/A,#N/A,FALSE,"OperatingAssumptions"}</definedName>
    <definedName name="eeee" hidden="1">#REF!</definedName>
    <definedName name="eeeee" hidden="1">{#N/A,#N/A,FALSE,"CAPREIT"}</definedName>
    <definedName name="eeeeee" hidden="1">#REF!</definedName>
    <definedName name="eeeeeeee" hidden="1">#REF!</definedName>
    <definedName name="eer" hidden="1">{"Construction_Short",#N/A,FALSE,"Construction"}</definedName>
    <definedName name="effd" hidden="1">{#N/A,#N/A,FALSE,"Class A";#N/A,#N/A,FALSE,"Class B";#N/A,#N/A,FALSE,"Class C"}</definedName>
    <definedName name="efQFQA" hidden="1">#REF!</definedName>
    <definedName name="egfh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iyr1">#REF!</definedName>
    <definedName name="egiyr10">#REF!</definedName>
    <definedName name="egiyr11">#REF!</definedName>
    <definedName name="egiyr2">#REF!</definedName>
    <definedName name="egiyr3">#REF!</definedName>
    <definedName name="egiyr4">#REF!</definedName>
    <definedName name="egiyr5">#REF!</definedName>
    <definedName name="egiyr6">#REF!</definedName>
    <definedName name="egiyr7">#REF!</definedName>
    <definedName name="egiyr8">#REF!</definedName>
    <definedName name="egiyr9">#REF!</definedName>
    <definedName name="ehretje" hidden="1">#REF!</definedName>
    <definedName name="eisen">#REF!</definedName>
    <definedName name="ELIGIBLE_ASSETS">#REF!</definedName>
    <definedName name="ellen" hidden="1">{#N/A,#N/A,FALSE,"WATCHDSC";#N/A,#N/A,FALSE,"2LOSSMOD";#N/A,#N/A,FALSE,"2LOSS";#N/A,#N/A,FALSE,"DSC";#N/A,#N/A,FALSE,"OPERAT";#N/A,#N/A,FALSE,"ADJUST";#N/A,#N/A,FALSE,"LEASE EXPIRE"}</definedName>
    <definedName name="encum">#REF!</definedName>
    <definedName name="end">IF([0]!Loan_Amount*[0]!Interest_Rate*[0]!Loan_Years*[0]!Loan_Start&gt;0,1,0)</definedName>
    <definedName name="End_Bal">#REF!</definedName>
    <definedName name="EndCol">#REF!</definedName>
    <definedName name="EndRow">#REF!</definedName>
    <definedName name="ENGEL" hidden="1">#REF!</definedName>
    <definedName name="entities">#REF!</definedName>
    <definedName name="ENTRIES" hidden="1">#REF!</definedName>
    <definedName name="Entries2" hidden="1">#REF!</definedName>
    <definedName name="entry" hidden="1">{#N/A,#N/A,FALSE,"Sales"}</definedName>
    <definedName name="entry1" hidden="1">{#N/A,#N/A,FALSE,"Sales"}</definedName>
    <definedName name="Entwässerung">#REF!</definedName>
    <definedName name="EOP_MSA_sort_Buildings">#REF!</definedName>
    <definedName name="EOP_MSA_Sort_MSA">#REF!</definedName>
    <definedName name="EOP_MSA_sort_NOI">#REF!</definedName>
    <definedName name="EOP_MSA_sort_SQFT">#REF!</definedName>
    <definedName name="ep" hidden="1">#REF!</definedName>
    <definedName name="EPRINT1">#REF!</definedName>
    <definedName name="epsltm" hidden="1">#REF!</definedName>
    <definedName name="EPU00">#REF!</definedName>
    <definedName name="Equity">#REF!</definedName>
    <definedName name="EQUITY_COST">#REF!</definedName>
    <definedName name="Equity_Invested">#REF!</definedName>
    <definedName name="equity2row" hidden="1">#REF!</definedName>
    <definedName name="equityrow" hidden="1">#REF!</definedName>
    <definedName name="er" hidden="1">{#N/A,#N/A,FALSE,"Chart 2 by Prop Type"}</definedName>
    <definedName name="ER_MO">#REF!</definedName>
    <definedName name="ER_YR">#REF!</definedName>
    <definedName name="erasdf" hidden="1">{"Assump",#N/A,TRUE,"Proforma";"first",#N/A,TRUE,"Proforma";"second",#N/A,TRUE,"Proforma";"lease1",#N/A,TRUE,"Proforma";"lease2",#N/A,TRUE,"Proforma"}</definedName>
    <definedName name="ere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er" hidden="1">{"Total",#N/A,FALSE,"Six Fields";"PDP",#N/A,FALSE,"Six Fields";"PNP",#N/A,FALSE,"Six Fields";"PUD",#N/A,FALSE,"Six Fields";"Prob",#N/A,FALSE,"Six Fields"}</definedName>
    <definedName name="ererg" hidden="1">{"Investor",#N/A,FALSE,"Model";"Property",#N/A,FALSE,"Model";"Incentive Taxes",#N/A,FALSE,"Model"}</definedName>
    <definedName name="eret" hidden="1">{"sheet a",#N/A,FALSE,"A";"2 9 casflow",#N/A,FALSE,"B"}</definedName>
    <definedName name="erg" hidden="1">{0,0,"",0;0,0,0,0;0,0,0,0;0,0,0,0;0,0,0,0}</definedName>
    <definedName name="erghr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ic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OWS">#REF!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rt5t6" hidden="1">{"Detail Project Cash Flow",#N/A,TRUE,"Cash Flow Grid";"Financing Calculation",#N/A,TRUE,"Cash Flow Grid"}</definedName>
    <definedName name="erterg" hidden="1">#REF!</definedName>
    <definedName name="ERTY" hidden="1">#REF!</definedName>
    <definedName name="erw" hidden="1">{"Detail Project Cash Flow",#N/A,TRUE,"Cash Flow Grid";"Financing Calculation",#N/A,TRUE,"Cash Flow Grid"}</definedName>
    <definedName name="erwsr" hidden="1">{#N/A,#N/A,FALSE,"Fund-II"}</definedName>
    <definedName name="erwtwert" hidden="1">#REF!</definedName>
    <definedName name="eryuietj" hidden="1">#REF!</definedName>
    <definedName name="eryumds" hidden="1">{"qtrl1",#N/A,TRUE,"Annual Summary";"qtrl2",#N/A,TRUE,"Annual Summary";"qtrl3",#N/A,TRUE,"Annual Summary";"qtrl4",#N/A,TRUE,"QTLY Summary";"qtrl5",#N/A,TRUE,"QTLY Summary";"qtrl6",#N/A,TRUE,"QTLY Summary"}</definedName>
    <definedName name="es" hidden="1">{"FCB_ALL",#N/A,FALSE,"FCB"}</definedName>
    <definedName name="ESC_PSF">#REF!</definedName>
    <definedName name="ESC_VAR">#REF!</definedName>
    <definedName name="ESCAL">#REF!</definedName>
    <definedName name="esr" hidden="1">{"FCB_ALL",#N/A,FALSE,"FCB"}</definedName>
    <definedName name="esrs" hidden="1">{"FCB_ALL",#N/A,FALSE,"FCB"}</definedName>
    <definedName name="est_mvic" hidden="1">#REF!</definedName>
    <definedName name="estimate">#REF!</definedName>
    <definedName name="estimateexp">#REF!</definedName>
    <definedName name="etert" hidden="1">{"sheet a",#N/A,FALSE,"A";"sheet b 1",#N/A,FALSE,"B";"sheet b 2",#N/A,FALSE,"B"}</definedName>
    <definedName name="etyjydt" hidden="1">#REF!</definedName>
    <definedName name="Euro_FXRate">#REF!</definedName>
    <definedName name="euyhj" hidden="1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EV__CVPARAMS__" hidden="1">"S1!$A$4:$B$21;"</definedName>
    <definedName name="EV__DECIMALSYMBOL__" hidden="1">"."</definedName>
    <definedName name="EV__EVCOM_OPTIONS__" hidden="1">8</definedName>
    <definedName name="EV__EXPOPTIONS__" hidden="1">0</definedName>
    <definedName name="EV__LASTREFTIME__" hidden="1">39367.6355439815</definedName>
    <definedName name="EV__LOCKEDCVW__DRP" hidden="1">"R_REVROI,BU4081,CURRENT,INPUT,D1139,LC,2009.TOTAL,PERIODIC,"</definedName>
    <definedName name="EV__LOCKEDCVW__FINANCE" hidden="1">"GOI,BU4081,CURRENT,TOTALADJ,D_HOTEL,All_InterCo,LC,2010.TOTAL,PERIODIC,"</definedName>
    <definedName name="EV__LOCKEDCVW__FINANCEDETAIL" hidden="1">"706520,BU4081,CURRENT,INPUT,D0185,Non_InterCo,L_ALL,LC,2009.TOTAL,PERIODIC,"</definedName>
    <definedName name="EV__LOCKEDCVW__HCM" hidden="1">"PC_MNTHLY,BU4081,CURRENT,INPUT,D_HOTEL,E0,LC,2009.TOTAL,PERIODIC,"</definedName>
    <definedName name="EV__LOCKSTATUS__" hidden="1">4</definedName>
    <definedName name="EV__MAXEXPCOLS__" hidden="1">100</definedName>
    <definedName name="EV__MAXEXPROWS__" hidden="1">1000</definedName>
    <definedName name="EV__MEMORYCVW__" hidden="1">0</definedName>
    <definedName name="EV__MEMORYCVW__INFO" hidden="1">"FINANCE"</definedName>
    <definedName name="EV__USERCHANGEOPTIONS__" hidden="1">1</definedName>
    <definedName name="EV__WBEVMODE__" hidden="1">0</definedName>
    <definedName name="EV__WBREFOPTIONS__" hidden="1">4</definedName>
    <definedName name="EV__WBVERSION__" hidden="1">0</definedName>
    <definedName name="ev.Calculation" hidden="1">-4135</definedName>
    <definedName name="ev.Initialized" hidden="1">FALSE</definedName>
    <definedName name="ew" hidden="1">#REF!</definedName>
    <definedName name="ewrqwer" hidden="1">#REF!</definedName>
    <definedName name="Ex.Rate">1.55576</definedName>
    <definedName name="ExactAddinConnection" hidden="1">"015"</definedName>
    <definedName name="ExactAddinConnection.015" hidden="1">"SQL;022;pcardinale;1"</definedName>
    <definedName name="ExactAddinConnection.018" hidden="1">"SQL;018;ablanchard;1"</definedName>
    <definedName name="ExactAddinReports" hidden="1">1</definedName>
    <definedName name="ExbMult_Total" hidden="1">#REF!</definedName>
    <definedName name="exbnumlist" hidden="1">#REF!</definedName>
    <definedName name="exc" hidden="1">{"'Assump'!$F$6:$J$6"}</definedName>
    <definedName name="excel" hidden="1">{#N/A,#N/A,FALSE}</definedName>
    <definedName name="Exch_FX_Euro">#REF!</definedName>
    <definedName name="exchange">900</definedName>
    <definedName name="Exchange_Rates" hidden="1">#REF!</definedName>
    <definedName name="exhibits1" hidden="1">{"BS_00",#N/A,FALSE,"Consolidated_BS";"BS_01",#N/A,FALSE,"Consolidated_BS";"BS_02",#N/A,FALSE,"Consolidated_BS";"IS_00",#N/A,FALSE,"Consolidated_IS";"IS_01",#N/A,FALSE,"Consolidated_IS";"IS_02",#N/A,FALSE,"Consolidated_IS";"SanMarcos_00",#N/A,FALSE,"San Marcos_IS";"SanMarcos_01",#N/A,FALSE,"San Marcos_IS";"SanMarcos_02",#N/A,FALSE,"San Marcos_IS";"Hagerstown_00",#N/A,FALSE,"Hagerstown_IS";"Hagerstown_01",#N/A,FALSE,"Hagerstown_IS";"Hagerstown_02",#N/A,FALSE,"Hagerstown_IS";"Corporate_00",#N/A,FALSE,"Corporate_IS";"Corporate_01",#N/A,FALSE,"Corporate_IS";"Corporate_02",#N/A,FALSE,"Corporate_IS";"Cash_Flow_00",#N/A,FALSE,"Consolidated_CashFlow";"Store#3_02",#N/A,FALSE,"Store#3";"Store#3_01",#N/A,FALSE,"Store#3";"Store#4_01",#N/A,FALSE,"Store#4";"Store#4_02",#N/A,FALSE,"Store#4";"Store#5_02",#N/A,FALSE,"Store#5";"Store#6_02",#N/A,FALSE,"Store#6";"San_Marcos_99",#N/A,FALSE,"San Marcos_IS _99";"Corporate_99",#N/A,FALSE,"Corp_IS_99"}</definedName>
    <definedName name="ExistingDebtSchedule">#REF!</definedName>
    <definedName name="Exit">#REF!</definedName>
    <definedName name="Exit_Cap">#REF!</definedName>
    <definedName name="Exit_Cap_Rate">#REF!</definedName>
    <definedName name="Exit_Date">#REF!</definedName>
    <definedName name="EXITcap">#REF!</definedName>
    <definedName name="ExitPSF_Yr10">#REF!</definedName>
    <definedName name="ExitPSF_Yr3">#REF!</definedName>
    <definedName name="ExitPSF_Yr5">#REF!</definedName>
    <definedName name="exp" hidden="1">#REF!</definedName>
    <definedName name="Exp_Mo">#REF!</definedName>
    <definedName name="Exp_Yr">#REF!</definedName>
    <definedName name="Exp_yr1">#REF!</definedName>
    <definedName name="Exp_yr10">#REF!</definedName>
    <definedName name="Exp_yr11">#REF!</definedName>
    <definedName name="Exp_yr12">#REF!</definedName>
    <definedName name="Exp_yr13">#REF!</definedName>
    <definedName name="Exp_yr14">#REF!</definedName>
    <definedName name="Exp_yr15">#REF!</definedName>
    <definedName name="Exp_yr16">#REF!</definedName>
    <definedName name="Exp_yr2">#REF!</definedName>
    <definedName name="Exp_yr3">#REF!</definedName>
    <definedName name="Exp_yr4">#REF!</definedName>
    <definedName name="Exp_yr5">#REF!</definedName>
    <definedName name="Exp_yr6">#REF!</definedName>
    <definedName name="Exp_yr7">#REF!</definedName>
    <definedName name="Exp_yr8">#REF!</definedName>
    <definedName name="Exp_yr9">#REF!</definedName>
    <definedName name="exp.amt.reimb.3rdPartyUW">#REF!</definedName>
    <definedName name="exp.amt.reimb.aerialsPhotos">#REF!</definedName>
    <definedName name="exp.amt.reimb.appraisal">#REF!</definedName>
    <definedName name="exp.amt.reimb.audit">#REF!</definedName>
    <definedName name="exp.amt.reimb.confCalls">#REF!</definedName>
    <definedName name="exp.amt.reimb.copies">#REF!</definedName>
    <definedName name="exp.amt.reimb.courier">#REF!</definedName>
    <definedName name="exp.amt.reimb.creditReports">#REF!</definedName>
    <definedName name="exp.amt.reimb.engineer">#REF!</definedName>
    <definedName name="exp.amt.reimb.envPhase1">#REF!</definedName>
    <definedName name="exp.amt.reimb.envPhase2">#REF!</definedName>
    <definedName name="exp.amt.reimb.equifax">#REF!</definedName>
    <definedName name="exp.amt.reimb.fedEx">#REF!</definedName>
    <definedName name="exp.amt.reimb.FF_E">#REF!</definedName>
    <definedName name="exp.amt.reimb.leaseReview">#REF!</definedName>
    <definedName name="exp.amt.reimb.legal">#REF!</definedName>
    <definedName name="exp.amt.reimb.loanStaffServices">#REF!</definedName>
    <definedName name="exp.amt.reimb.marketReports">#REF!</definedName>
    <definedName name="exp.amt.reimb.miscExpenses">#REF!</definedName>
    <definedName name="exp.amt.reimb.otherReport">#REF!</definedName>
    <definedName name="exp.amt.reimb.peerreview">#REF!</definedName>
    <definedName name="exp.amt.reimb.seismic">#REF!</definedName>
    <definedName name="exp.amt.reimb.t_l">#REF!</definedName>
    <definedName name="exp.amt.reimb.t_lSpecCharge">#REF!</definedName>
    <definedName name="exp.amt.reimb.valuationServices">#REF!</definedName>
    <definedName name="exp.amt.reimb.zoning">#REF!</definedName>
    <definedName name="exp.vend.reimb.3rdPartyUW">#REF!</definedName>
    <definedName name="exp.vend.reimb.aerialsPhotos">#REF!</definedName>
    <definedName name="exp.vend.reimb.confCalls">#REF!</definedName>
    <definedName name="exp.vend.reimb.copies">#REF!</definedName>
    <definedName name="exp.vend.reimb.courier">#REF!</definedName>
    <definedName name="exp.vend.reimb.creditReports">#REF!</definedName>
    <definedName name="exp.vend.reimb.equifax">#REF!</definedName>
    <definedName name="exp.vend.reimb.fedEx">#REF!</definedName>
    <definedName name="exp.vend.reimb.leaseReview">#REF!</definedName>
    <definedName name="exp.vend.reimb.legal">#REF!</definedName>
    <definedName name="exp.vend.reimb.loanStaffServices">#REF!</definedName>
    <definedName name="exp.vend.reimb.marketReports">#REF!</definedName>
    <definedName name="exp.vend.reimb.miscExpenses">#REF!</definedName>
    <definedName name="exp.vend.reimb.t_l">#REF!</definedName>
    <definedName name="exp.vend.reimb.t_lSpecCharge">#REF!</definedName>
    <definedName name="exp.vend.reimb.valuationServices">#REF!</definedName>
    <definedName name="EXPBGT">#REF!</definedName>
    <definedName name="EXPBGTCALC">#REF!</definedName>
    <definedName name="EXPBGTSUM">#REF!</definedName>
    <definedName name="expcomp">"Option Button 21"</definedName>
    <definedName name="Expense_Category_1">#REF!</definedName>
    <definedName name="Expense_Category_10">#REF!</definedName>
    <definedName name="Expense_Category_11">#REF!</definedName>
    <definedName name="Expense_Category_12">#REF!</definedName>
    <definedName name="Expense_Category_13">#REF!</definedName>
    <definedName name="Expense_Category_14">#REF!</definedName>
    <definedName name="Expense_Category_15">#REF!</definedName>
    <definedName name="Expense_Category_16">#REF!</definedName>
    <definedName name="Expense_Category_17">#REF!</definedName>
    <definedName name="Expense_Category_18">#REF!</definedName>
    <definedName name="Expense_Category_19">#REF!</definedName>
    <definedName name="Expense_Category_2">#REF!</definedName>
    <definedName name="Expense_Category_20">#REF!</definedName>
    <definedName name="Expense_Category_3">#REF!</definedName>
    <definedName name="Expense_Category_4">#REF!</definedName>
    <definedName name="Expense_Category_5">#REF!</definedName>
    <definedName name="Expense_Category_6">#REF!</definedName>
    <definedName name="Expense_Category_7">#REF!</definedName>
    <definedName name="Expense_Category_8">#REF!</definedName>
    <definedName name="Expense_Category_9">#REF!</definedName>
    <definedName name="Expense_Inflation">#REF!</definedName>
    <definedName name="expinet">"Option Button 20"</definedName>
    <definedName name="EXPIRATION">#REF!</definedName>
    <definedName name="EXPSAL1">#REF!</definedName>
    <definedName name="EXPSAL10">#REF!</definedName>
    <definedName name="EXPSAL2">#REF!</definedName>
    <definedName name="EXPSAL3">#REF!</definedName>
    <definedName name="EXPSAL4">#REF!</definedName>
    <definedName name="EXPSAL5">#REF!</definedName>
    <definedName name="EXPSAL6">#REF!</definedName>
    <definedName name="EXPSAL7">#REF!</definedName>
    <definedName name="EXPSAL8">#REF!</definedName>
    <definedName name="EXPSAL9">#REF!</definedName>
    <definedName name="EXPSALDET">#REF!</definedName>
    <definedName name="EXPSUMM">#REF!</definedName>
    <definedName name="exptenant">"exptenant"</definedName>
    <definedName name="ExRate_Yr1" hidden="1">#REF!</definedName>
    <definedName name="ExRate_Yr2" hidden="1">#REF!</definedName>
    <definedName name="ExRate_Yr3" hidden="1">#REF!</definedName>
    <definedName name="ExRate_Yr4" hidden="1">#REF!</definedName>
    <definedName name="ExRate_Yr5" hidden="1">#REF!</definedName>
    <definedName name="ExRate_Yr6" hidden="1">#REF!</definedName>
    <definedName name="ExRate_Yr7" hidden="1">#REF!</definedName>
    <definedName name="exrate.cad">1.01595</definedName>
    <definedName name="exrate.euro">0.7852</definedName>
    <definedName name="ExRateLTM_Yr1" hidden="1">#REF!</definedName>
    <definedName name="ExRateLTM_Yr2" hidden="1">#REF!</definedName>
    <definedName name="ExRateLTM_Yr3" hidden="1">#REF!</definedName>
    <definedName name="extra" hidden="1">{#N/A,#N/A,TRUE,"10 Yr Hold";#N/A,#N/A,TRUE,"7 Yr Hold";#N/A,#N/A,TRUE,"5 Yr Hold";#N/A,#N/A,TRUE,"3 Yr Hold"}</definedName>
    <definedName name="Extra_Pay">#REF!</definedName>
    <definedName name="eysdy" hidden="1">#REF!</definedName>
    <definedName name="ezrtezr" hidden="1">#REF!</definedName>
    <definedName name="ezrtrezt" hidden="1">#REF!</definedName>
    <definedName name="eztezrt" hidden="1">#REF!</definedName>
    <definedName name="f">#REF!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dsfasadfasdfasdfasdafsdf" hidden="1">#REF!</definedName>
    <definedName name="fafdasfda" hidden="1">{#N/A,#N/A,TRUE,"10 Yr Hold";#N/A,#N/A,TRUE,"7 Yr Hold";#N/A,#N/A,TRUE,"5 Yr Hold";#N/A,#N/A,TRUE,"3 Yr Hold"}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as" hidden="1">{#N/A,#N/A,TRUE,"10 Yr Hold";#N/A,#N/A,TRUE,"7 Yr Hold";#N/A,#N/A,TRUE,"5 Yr Hold";#N/A,#N/A,TRUE,"3 Yr Hold"}</definedName>
    <definedName name="fasffSFffASFasfASFasf" hidden="1">{#N/A,#N/A,FALSE,"LP Exp";#N/A,#N/A,FALSE,"Salary";#N/A,#N/A,FALSE,"Admin Exp";#N/A,#N/A,FALSE,"QTS Bud";#N/A,#N/A,FALSE,"Marketing"}</definedName>
    <definedName name="fcaprecycling">#REF!</definedName>
    <definedName name="fcDate" hidden="1">#REF!</definedName>
    <definedName name="FCode" hidden="1">#REF!</definedName>
    <definedName name="fd" hidden="1">{#N/A,#N/A,FALSE,"Chart 2 by Prop Type"}</definedName>
    <definedName name="fdasfasd" hidden="1">{"bs",#N/A,FALSE,"SCF"}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_1" hidden="1">"A35795"</definedName>
    <definedName name="FDD_10_2" hidden="1">"A36160"</definedName>
    <definedName name="FDD_10_3" hidden="1">"E36525"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_1" hidden="1">"E35795"</definedName>
    <definedName name="FDD_11_2" hidden="1">"E36160"</definedName>
    <definedName name="FDD_11_3" hidden="1">"E36525"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_1" hidden="1">"E35795"</definedName>
    <definedName name="FDD_12_2" hidden="1">"E36160"</definedName>
    <definedName name="FDD_12_3" hidden="1">"E36525"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_1" hidden="1">"A35795"</definedName>
    <definedName name="FDD_19_2" hidden="1">"E36160"</definedName>
    <definedName name="FDD_19_3" hidden="1">"E36525"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_1" hidden="1">"U35795"</definedName>
    <definedName name="FDD_25_2" hidden="1">"U36160"</definedName>
    <definedName name="FDD_25_3" hidden="1">"U36525"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1_1" hidden="1">"A35795"</definedName>
    <definedName name="FDD_41_2" hidden="1">"E36160"</definedName>
    <definedName name="FDD_41_3" hidden="1">"E36525"</definedName>
    <definedName name="FDD_42_0" hidden="1">"U25569"</definedName>
    <definedName name="FDD_42_1" hidden="1">"U35795"</definedName>
    <definedName name="FDD_42_2" hidden="1">"U36160"</definedName>
    <definedName name="FDD_42_3" hidden="1">"U36525"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_1" hidden="1">"E35795"</definedName>
    <definedName name="FDD_5_2" hidden="1">"E36160"</definedName>
    <definedName name="FDD_5_3" hidden="1">"E36525"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00" hidden="1">"A35044"</definedName>
    <definedName name="FDD_58_101" hidden="1">"A35051"</definedName>
    <definedName name="FDD_58_102" hidden="1">"A35058"</definedName>
    <definedName name="FDD_58_103" hidden="1">"A35065"</definedName>
    <definedName name="FDD_58_104" hidden="1">"A35072"</definedName>
    <definedName name="FDD_58_105" hidden="1">"A35079"</definedName>
    <definedName name="FDD_58_106" hidden="1">"A35086"</definedName>
    <definedName name="FDD_58_107" hidden="1">"A35093"</definedName>
    <definedName name="FDD_58_108" hidden="1">"A35100"</definedName>
    <definedName name="FDD_58_109" hidden="1">"A35107"</definedName>
    <definedName name="FDD_58_11" hidden="1">"A34699"</definedName>
    <definedName name="FDD_58_110" hidden="1">"A35114"</definedName>
    <definedName name="FDD_58_111" hidden="1">"A35121"</definedName>
    <definedName name="FDD_58_112" hidden="1">"A35128"</definedName>
    <definedName name="FDD_58_113" hidden="1">"A35135"</definedName>
    <definedName name="FDD_58_114" hidden="1">"A35142"</definedName>
    <definedName name="FDD_58_115" hidden="1">"A35149"</definedName>
    <definedName name="FDD_58_116" hidden="1">"A35156"</definedName>
    <definedName name="FDD_58_117" hidden="1">"A35162"</definedName>
    <definedName name="FDD_58_118" hidden="1">"A35170"</definedName>
    <definedName name="FDD_58_119" hidden="1">"A35177"</definedName>
    <definedName name="FDD_58_12" hidden="1">"A35064"</definedName>
    <definedName name="FDD_58_120" hidden="1">"A35184"</definedName>
    <definedName name="FDD_58_121" hidden="1">"A35191"</definedName>
    <definedName name="FDD_58_122" hidden="1">"A35198"</definedName>
    <definedName name="FDD_58_123" hidden="1">"A35205"</definedName>
    <definedName name="FDD_58_124" hidden="1">"A35212"</definedName>
    <definedName name="FDD_58_125" hidden="1">"A35219"</definedName>
    <definedName name="FDD_58_126" hidden="1">"A35226"</definedName>
    <definedName name="FDD_58_127" hidden="1">"A35233"</definedName>
    <definedName name="FDD_58_128" hidden="1">"A35240"</definedName>
    <definedName name="FDD_58_129" hidden="1">"A35247"</definedName>
    <definedName name="FDD_58_13" hidden="1">"A35430"</definedName>
    <definedName name="FDD_58_130" hidden="1">"A35254"</definedName>
    <definedName name="FDD_58_131" hidden="1">"A35261"</definedName>
    <definedName name="FDD_58_132" hidden="1">"A35268"</definedName>
    <definedName name="FDD_58_133" hidden="1">"A35275"</definedName>
    <definedName name="FDD_58_134" hidden="1">"A35282"</definedName>
    <definedName name="FDD_58_135" hidden="1">"A35289"</definedName>
    <definedName name="FDD_58_136" hidden="1">"A35296"</definedName>
    <definedName name="FDD_58_137" hidden="1">"A35303"</definedName>
    <definedName name="FDD_58_138" hidden="1">"A35310"</definedName>
    <definedName name="FDD_58_139" hidden="1">"A35317"</definedName>
    <definedName name="FDD_58_14" hidden="1">"A35795"</definedName>
    <definedName name="FDD_58_140" hidden="1">"A35324"</definedName>
    <definedName name="FDD_58_141" hidden="1">"A35331"</definedName>
    <definedName name="FDD_58_142" hidden="1">"A35338"</definedName>
    <definedName name="FDD_58_143" hidden="1">"A35345"</definedName>
    <definedName name="FDD_58_144" hidden="1">"A35352"</definedName>
    <definedName name="FDD_58_145" hidden="1">"A35359"</definedName>
    <definedName name="FDD_58_146" hidden="1">"A35366"</definedName>
    <definedName name="FDD_58_147" hidden="1">"A35373"</definedName>
    <definedName name="FDD_58_148" hidden="1">"A35380"</definedName>
    <definedName name="FDD_58_149" hidden="1">"A35387"</definedName>
    <definedName name="FDD_58_15" hidden="1">"A34449"</definedName>
    <definedName name="FDD_58_150" hidden="1">"A35394"</definedName>
    <definedName name="FDD_58_151" hidden="1">"A35401"</definedName>
    <definedName name="FDD_58_152" hidden="1">"A35408"</definedName>
    <definedName name="FDD_58_153" hidden="1">"A35415"</definedName>
    <definedName name="FDD_58_154" hidden="1">"A35422"</definedName>
    <definedName name="FDD_58_155" hidden="1">"A35429"</definedName>
    <definedName name="FDD_58_156" hidden="1">"A35436"</definedName>
    <definedName name="FDD_58_157" hidden="1">"A35443"</definedName>
    <definedName name="FDD_58_158" hidden="1">"A35450"</definedName>
    <definedName name="FDD_58_159" hidden="1">"A35457"</definedName>
    <definedName name="FDD_58_16" hidden="1">"A34456"</definedName>
    <definedName name="FDD_58_160" hidden="1">"A35464"</definedName>
    <definedName name="FDD_58_161" hidden="1">"A35471"</definedName>
    <definedName name="FDD_58_162" hidden="1">"A35478"</definedName>
    <definedName name="FDD_58_163" hidden="1">"A35485"</definedName>
    <definedName name="FDD_58_164" hidden="1">"A35492"</definedName>
    <definedName name="FDD_58_165" hidden="1">"A35499"</definedName>
    <definedName name="FDD_58_166" hidden="1">"A35506"</definedName>
    <definedName name="FDD_58_167" hidden="1">"A35513"</definedName>
    <definedName name="FDD_58_168" hidden="1">"A35520"</definedName>
    <definedName name="FDD_58_169" hidden="1">"A35527"</definedName>
    <definedName name="FDD_58_17" hidden="1">"A34463"</definedName>
    <definedName name="FDD_58_170" hidden="1">"A35534"</definedName>
    <definedName name="FDD_58_171" hidden="1">"A35541"</definedName>
    <definedName name="FDD_58_172" hidden="1">"A35548"</definedName>
    <definedName name="FDD_58_173" hidden="1">"A35555"</definedName>
    <definedName name="FDD_58_174" hidden="1">"A35562"</definedName>
    <definedName name="FDD_58_175" hidden="1">"A35569"</definedName>
    <definedName name="FDD_58_176" hidden="1">"A35576"</definedName>
    <definedName name="FDD_58_177" hidden="1">"A35583"</definedName>
    <definedName name="FDD_58_178" hidden="1">"A35590"</definedName>
    <definedName name="FDD_58_179" hidden="1">"A35597"</definedName>
    <definedName name="FDD_58_18" hidden="1">"A34470"</definedName>
    <definedName name="FDD_58_180" hidden="1">"A35604"</definedName>
    <definedName name="FDD_58_181" hidden="1">"A35611"</definedName>
    <definedName name="FDD_58_182" hidden="1">"A35618"</definedName>
    <definedName name="FDD_58_183" hidden="1">"A35625"</definedName>
    <definedName name="FDD_58_184" hidden="1">"A35632"</definedName>
    <definedName name="FDD_58_185" hidden="1">"A35639"</definedName>
    <definedName name="FDD_58_186" hidden="1">"A35646"</definedName>
    <definedName name="FDD_58_187" hidden="1">"A35653"</definedName>
    <definedName name="FDD_58_188" hidden="1">"A35660"</definedName>
    <definedName name="FDD_58_189" hidden="1">"A35667"</definedName>
    <definedName name="FDD_58_19" hidden="1">"A34477"</definedName>
    <definedName name="FDD_58_190" hidden="1">"A35674"</definedName>
    <definedName name="FDD_58_191" hidden="1">"A35681"</definedName>
    <definedName name="FDD_58_192" hidden="1">"A35688"</definedName>
    <definedName name="FDD_58_193" hidden="1">"A35695"</definedName>
    <definedName name="FDD_58_194" hidden="1">"A35702"</definedName>
    <definedName name="FDD_58_195" hidden="1">"A35709"</definedName>
    <definedName name="FDD_58_196" hidden="1">"A35716"</definedName>
    <definedName name="FDD_58_197" hidden="1">"A35723"</definedName>
    <definedName name="FDD_58_198" hidden="1">"A35730"</definedName>
    <definedName name="FDD_58_199" hidden="1">"A35737"</definedName>
    <definedName name="FDD_58_2" hidden="1">"A31412"</definedName>
    <definedName name="FDD_58_20" hidden="1">"A34484"</definedName>
    <definedName name="FDD_58_200" hidden="1">"A35744"</definedName>
    <definedName name="FDD_58_201" hidden="1">"A35751"</definedName>
    <definedName name="FDD_58_202" hidden="1">"A35758"</definedName>
    <definedName name="FDD_58_203" hidden="1">"A35765"</definedName>
    <definedName name="FDD_58_204" hidden="1">"A35772"</definedName>
    <definedName name="FDD_58_205" hidden="1">"A35779"</definedName>
    <definedName name="FDD_58_206" hidden="1">"A35786"</definedName>
    <definedName name="FDD_58_207" hidden="1">"A35793"</definedName>
    <definedName name="FDD_58_208" hidden="1">"A35800"</definedName>
    <definedName name="FDD_58_209" hidden="1">"A35807"</definedName>
    <definedName name="FDD_58_21" hidden="1">"A34491"</definedName>
    <definedName name="FDD_58_210" hidden="1">"A35814"</definedName>
    <definedName name="FDD_58_211" hidden="1">"A35821"</definedName>
    <definedName name="FDD_58_212" hidden="1">"A35828"</definedName>
    <definedName name="FDD_58_213" hidden="1">"A35835"</definedName>
    <definedName name="FDD_58_214" hidden="1">"A35842"</definedName>
    <definedName name="FDD_58_215" hidden="1">"A35849"</definedName>
    <definedName name="FDD_58_216" hidden="1">"A35856"</definedName>
    <definedName name="FDD_58_217" hidden="1">"A35863"</definedName>
    <definedName name="FDD_58_218" hidden="1">"A35870"</definedName>
    <definedName name="FDD_58_219" hidden="1">"A35877"</definedName>
    <definedName name="FDD_58_22" hidden="1">"A34498"</definedName>
    <definedName name="FDD_58_220" hidden="1">"A35884"</definedName>
    <definedName name="FDD_58_221" hidden="1">"A35891"</definedName>
    <definedName name="FDD_58_222" hidden="1">"A35898"</definedName>
    <definedName name="FDD_58_223" hidden="1">"A35905"</definedName>
    <definedName name="FDD_58_224" hidden="1">"A35912"</definedName>
    <definedName name="FDD_58_225" hidden="1">"A35919"</definedName>
    <definedName name="FDD_58_226" hidden="1">"A35926"</definedName>
    <definedName name="FDD_58_227" hidden="1">"A35933"</definedName>
    <definedName name="FDD_58_228" hidden="1">"A35940"</definedName>
    <definedName name="FDD_58_229" hidden="1">"A35947"</definedName>
    <definedName name="FDD_58_23" hidden="1">"A34505"</definedName>
    <definedName name="FDD_58_230" hidden="1">"A35954"</definedName>
    <definedName name="FDD_58_231" hidden="1">"A35961"</definedName>
    <definedName name="FDD_58_232" hidden="1">"A35968"</definedName>
    <definedName name="FDD_58_233" hidden="1">"A35975"</definedName>
    <definedName name="FDD_58_234" hidden="1">"A35982"</definedName>
    <definedName name="FDD_58_235" hidden="1">"A35989"</definedName>
    <definedName name="FDD_58_236" hidden="1">"A35996"</definedName>
    <definedName name="FDD_58_237" hidden="1">"A36003"</definedName>
    <definedName name="FDD_58_238" hidden="1">"A36010"</definedName>
    <definedName name="FDD_58_239" hidden="1">"A36017"</definedName>
    <definedName name="FDD_58_24" hidden="1">"A34512"</definedName>
    <definedName name="FDD_58_240" hidden="1">"A36024"</definedName>
    <definedName name="FDD_58_241" hidden="1">"A36031"</definedName>
    <definedName name="FDD_58_242" hidden="1">"A36038"</definedName>
    <definedName name="FDD_58_243" hidden="1">"A36045"</definedName>
    <definedName name="FDD_58_244" hidden="1">"A36052"</definedName>
    <definedName name="FDD_58_245" hidden="1">"A36059"</definedName>
    <definedName name="FDD_58_246" hidden="1">"A36066"</definedName>
    <definedName name="FDD_58_247" hidden="1">"A36073"</definedName>
    <definedName name="FDD_58_248" hidden="1">"A36080"</definedName>
    <definedName name="FDD_58_249" hidden="1">"A36087"</definedName>
    <definedName name="FDD_58_25" hidden="1">"A34519"</definedName>
    <definedName name="FDD_58_250" hidden="1">"A36094"</definedName>
    <definedName name="FDD_58_251" hidden="1">"A36101"</definedName>
    <definedName name="FDD_58_252" hidden="1">"A36108"</definedName>
    <definedName name="FDD_58_253" hidden="1">"A36115"</definedName>
    <definedName name="FDD_58_254" hidden="1">"A36122"</definedName>
    <definedName name="FDD_58_255" hidden="1">"A36129"</definedName>
    <definedName name="FDD_58_256" hidden="1">"A36136"</definedName>
    <definedName name="FDD_58_257" hidden="1">"A36143"</definedName>
    <definedName name="FDD_58_258" hidden="1">"A36150"</definedName>
    <definedName name="FDD_58_259" hidden="1">"A36157"</definedName>
    <definedName name="FDD_58_26" hidden="1">"A34526"</definedName>
    <definedName name="FDD_58_260" hidden="1">"A36164"</definedName>
    <definedName name="FDD_58_27" hidden="1">"A34533"</definedName>
    <definedName name="FDD_58_28" hidden="1">"A34540"</definedName>
    <definedName name="FDD_58_29" hidden="1">"A34547"</definedName>
    <definedName name="FDD_58_3" hidden="1">"A31777"</definedName>
    <definedName name="FDD_58_30" hidden="1">"A34554"</definedName>
    <definedName name="FDD_58_31" hidden="1">"A34561"</definedName>
    <definedName name="FDD_58_32" hidden="1">"A34568"</definedName>
    <definedName name="FDD_58_33" hidden="1">"A34575"</definedName>
    <definedName name="FDD_58_34" hidden="1">"A34582"</definedName>
    <definedName name="FDD_58_35" hidden="1">"A34589"</definedName>
    <definedName name="FDD_58_36" hidden="1">"A34596"</definedName>
    <definedName name="FDD_58_37" hidden="1">"A34603"</definedName>
    <definedName name="FDD_58_38" hidden="1">"A34610"</definedName>
    <definedName name="FDD_58_39" hidden="1">"A34617"</definedName>
    <definedName name="FDD_58_4" hidden="1">"A32142"</definedName>
    <definedName name="FDD_58_40" hidden="1">"A34624"</definedName>
    <definedName name="FDD_58_41" hidden="1">"A34631"</definedName>
    <definedName name="FDD_58_42" hidden="1">"A34638"</definedName>
    <definedName name="FDD_58_43" hidden="1">"A34645"</definedName>
    <definedName name="FDD_58_44" hidden="1">"A34652"</definedName>
    <definedName name="FDD_58_45" hidden="1">"A34659"</definedName>
    <definedName name="FDD_58_46" hidden="1">"A34666"</definedName>
    <definedName name="FDD_58_47" hidden="1">"A34673"</definedName>
    <definedName name="FDD_58_48" hidden="1">"A34680"</definedName>
    <definedName name="FDD_58_49" hidden="1">"A34687"</definedName>
    <definedName name="FDD_58_5" hidden="1">"A32508"</definedName>
    <definedName name="FDD_58_50" hidden="1">"A34694"</definedName>
    <definedName name="FDD_58_51" hidden="1">"A34701"</definedName>
    <definedName name="FDD_58_52" hidden="1">"A34708"</definedName>
    <definedName name="FDD_58_53" hidden="1">"A34715"</definedName>
    <definedName name="FDD_58_54" hidden="1">"A34722"</definedName>
    <definedName name="FDD_58_55" hidden="1">"A34729"</definedName>
    <definedName name="FDD_58_56" hidden="1">"A34736"</definedName>
    <definedName name="FDD_58_57" hidden="1">"A34743"</definedName>
    <definedName name="FDD_58_58" hidden="1">"A34750"</definedName>
    <definedName name="FDD_58_59" hidden="1">"A34757"</definedName>
    <definedName name="FDD_58_6" hidden="1">"A32873"</definedName>
    <definedName name="FDD_58_60" hidden="1">"A34764"</definedName>
    <definedName name="FDD_58_61" hidden="1">"A34771"</definedName>
    <definedName name="FDD_58_62" hidden="1">"A34778"</definedName>
    <definedName name="FDD_58_63" hidden="1">"A34785"</definedName>
    <definedName name="FDD_58_64" hidden="1">"A34792"</definedName>
    <definedName name="FDD_58_65" hidden="1">"A34799"</definedName>
    <definedName name="FDD_58_66" hidden="1">"A34806"</definedName>
    <definedName name="FDD_58_67" hidden="1">"A34813"</definedName>
    <definedName name="FDD_58_68" hidden="1">"A34820"</definedName>
    <definedName name="FDD_58_69" hidden="1">"A34827"</definedName>
    <definedName name="FDD_58_7" hidden="1">"A33238"</definedName>
    <definedName name="FDD_58_70" hidden="1">"A34834"</definedName>
    <definedName name="FDD_58_71" hidden="1">"A34841"</definedName>
    <definedName name="FDD_58_72" hidden="1">"A34848"</definedName>
    <definedName name="FDD_58_73" hidden="1">"A34855"</definedName>
    <definedName name="FDD_58_74" hidden="1">"A34862"</definedName>
    <definedName name="FDD_58_75" hidden="1">"A34869"</definedName>
    <definedName name="FDD_58_76" hidden="1">"A34876"</definedName>
    <definedName name="FDD_58_77" hidden="1">"A34883"</definedName>
    <definedName name="FDD_58_78" hidden="1">"A34890"</definedName>
    <definedName name="FDD_58_79" hidden="1">"A34897"</definedName>
    <definedName name="FDD_58_8" hidden="1">"A33603"</definedName>
    <definedName name="FDD_58_80" hidden="1">"A34904"</definedName>
    <definedName name="FDD_58_81" hidden="1">"A34911"</definedName>
    <definedName name="FDD_58_82" hidden="1">"A34918"</definedName>
    <definedName name="FDD_58_83" hidden="1">"A34925"</definedName>
    <definedName name="FDD_58_84" hidden="1">"A34932"</definedName>
    <definedName name="FDD_58_85" hidden="1">"A34939"</definedName>
    <definedName name="FDD_58_86" hidden="1">"A34946"</definedName>
    <definedName name="FDD_58_87" hidden="1">"A34953"</definedName>
    <definedName name="FDD_58_88" hidden="1">"A34960"</definedName>
    <definedName name="FDD_58_89" hidden="1">"A34967"</definedName>
    <definedName name="FDD_58_9" hidden="1">"A33969"</definedName>
    <definedName name="FDD_58_90" hidden="1">"A34974"</definedName>
    <definedName name="FDD_58_91" hidden="1">"A34981"</definedName>
    <definedName name="FDD_58_92" hidden="1">"A34988"</definedName>
    <definedName name="FDD_58_93" hidden="1">"A34995"</definedName>
    <definedName name="FDD_58_94" hidden="1">"A35002"</definedName>
    <definedName name="FDD_58_95" hidden="1">"A35009"</definedName>
    <definedName name="FDD_58_96" hidden="1">"A35016"</definedName>
    <definedName name="FDD_58_97" hidden="1">"A35023"</definedName>
    <definedName name="FDD_58_98" hidden="1">"A35030"</definedName>
    <definedName name="FDD_58_99" hidden="1">"A35037"</definedName>
    <definedName name="FDD_59_0" hidden="1">"A30681"</definedName>
    <definedName name="FDD_59_1" hidden="1">"A31047"</definedName>
    <definedName name="FDD_59_10" hidden="1">"A34334"</definedName>
    <definedName name="FDD_59_100" hidden="1">"A35044"</definedName>
    <definedName name="FDD_59_101" hidden="1">"A35051"</definedName>
    <definedName name="FDD_59_102" hidden="1">"A35059"</definedName>
    <definedName name="FDD_59_103" hidden="1">"A35065"</definedName>
    <definedName name="FDD_59_104" hidden="1">"A35072"</definedName>
    <definedName name="FDD_59_105" hidden="1">"A35079"</definedName>
    <definedName name="FDD_59_106" hidden="1">"A35086"</definedName>
    <definedName name="FDD_59_107" hidden="1">"A35093"</definedName>
    <definedName name="FDD_59_108" hidden="1">"A35100"</definedName>
    <definedName name="FDD_59_109" hidden="1">"A35107"</definedName>
    <definedName name="FDD_59_11" hidden="1">"A34699"</definedName>
    <definedName name="FDD_59_110" hidden="1">"A35114"</definedName>
    <definedName name="FDD_59_111" hidden="1">"A35121"</definedName>
    <definedName name="FDD_59_112" hidden="1">"A35128"</definedName>
    <definedName name="FDD_59_113" hidden="1">"A35135"</definedName>
    <definedName name="FDD_59_114" hidden="1">"A35141"</definedName>
    <definedName name="FDD_59_115" hidden="1">"A35149"</definedName>
    <definedName name="FDD_59_116" hidden="1">"A35156"</definedName>
    <definedName name="FDD_59_117" hidden="1">"A35163"</definedName>
    <definedName name="FDD_59_118" hidden="1">"A35170"</definedName>
    <definedName name="FDD_59_119" hidden="1">"A35177"</definedName>
    <definedName name="FDD_59_12" hidden="1">"A35064"</definedName>
    <definedName name="FDD_59_120" hidden="1">"A35184"</definedName>
    <definedName name="FDD_59_121" hidden="1">"A35192"</definedName>
    <definedName name="FDD_59_122" hidden="1">"A35198"</definedName>
    <definedName name="FDD_59_123" hidden="1">"A35205"</definedName>
    <definedName name="FDD_59_124" hidden="1">"A35213"</definedName>
    <definedName name="FDD_59_125" hidden="1">"A35219"</definedName>
    <definedName name="FDD_59_126" hidden="1">"A35226"</definedName>
    <definedName name="FDD_59_127" hidden="1">"A35233"</definedName>
    <definedName name="FDD_59_128" hidden="1">"A35240"</definedName>
    <definedName name="FDD_59_129" hidden="1">"A35247"</definedName>
    <definedName name="FDD_59_13" hidden="1">"A35430"</definedName>
    <definedName name="FDD_59_130" hidden="1">"A35254"</definedName>
    <definedName name="FDD_59_131" hidden="1">"A35261"</definedName>
    <definedName name="FDD_59_132" hidden="1">"A35268"</definedName>
    <definedName name="FDD_59_133" hidden="1">"A35275"</definedName>
    <definedName name="FDD_59_134" hidden="1">"A35282"</definedName>
    <definedName name="FDD_59_135" hidden="1">"A35289"</definedName>
    <definedName name="FDD_59_136" hidden="1">"A35296"</definedName>
    <definedName name="FDD_59_137" hidden="1">"A35303"</definedName>
    <definedName name="FDD_59_138" hidden="1">"A35310"</definedName>
    <definedName name="FDD_59_139" hidden="1">"A35317"</definedName>
    <definedName name="FDD_59_14" hidden="1">"A35795"</definedName>
    <definedName name="FDD_59_140" hidden="1">"A35324"</definedName>
    <definedName name="FDD_59_141" hidden="1">"A35331"</definedName>
    <definedName name="FDD_59_142" hidden="1">"A35338"</definedName>
    <definedName name="FDD_59_143" hidden="1">"A35345"</definedName>
    <definedName name="FDD_59_144" hidden="1">"A35352"</definedName>
    <definedName name="FDD_59_145" hidden="1">"A35359"</definedName>
    <definedName name="FDD_59_146" hidden="1">"A35366"</definedName>
    <definedName name="FDD_59_147" hidden="1">"A35373"</definedName>
    <definedName name="FDD_59_148" hidden="1">"A35380"</definedName>
    <definedName name="FDD_59_149" hidden="1">"A35387"</definedName>
    <definedName name="FDD_59_15" hidden="1">"A34449"</definedName>
    <definedName name="FDD_59_150" hidden="1">"A35394"</definedName>
    <definedName name="FDD_59_151" hidden="1">"A35401"</definedName>
    <definedName name="FDD_59_152" hidden="1">"A35408"</definedName>
    <definedName name="FDD_59_153" hidden="1">"A35415"</definedName>
    <definedName name="FDD_59_154" hidden="1">"A35422"</definedName>
    <definedName name="FDD_59_155" hidden="1">"A35429"</definedName>
    <definedName name="FDD_59_156" hidden="1">"A35436"</definedName>
    <definedName name="FDD_59_157" hidden="1">"A35443"</definedName>
    <definedName name="FDD_59_158" hidden="1">"A35450"</definedName>
    <definedName name="FDD_59_159" hidden="1">"A35457"</definedName>
    <definedName name="FDD_59_16" hidden="1">"A34457"</definedName>
    <definedName name="FDD_59_160" hidden="1">"A35464"</definedName>
    <definedName name="FDD_59_161" hidden="1">"A35471"</definedName>
    <definedName name="FDD_59_162" hidden="1">"A35478"</definedName>
    <definedName name="FDD_59_163" hidden="1">"A35485"</definedName>
    <definedName name="FDD_59_164" hidden="1">"A35492"</definedName>
    <definedName name="FDD_59_165" hidden="1">"A35499"</definedName>
    <definedName name="FDD_59_166" hidden="1">"A35506"</definedName>
    <definedName name="FDD_59_167" hidden="1">"A35513"</definedName>
    <definedName name="FDD_59_168" hidden="1">"A35521"</definedName>
    <definedName name="FDD_59_169" hidden="1">"A35527"</definedName>
    <definedName name="FDD_59_17" hidden="1">"A34463"</definedName>
    <definedName name="FDD_59_170" hidden="1">"A35534"</definedName>
    <definedName name="FDD_59_171" hidden="1">"A35541"</definedName>
    <definedName name="FDD_59_172" hidden="1">"A35548"</definedName>
    <definedName name="FDD_59_173" hidden="1">"A35556"</definedName>
    <definedName name="FDD_59_174" hidden="1">"A35562"</definedName>
    <definedName name="FDD_59_175" hidden="1">"A35569"</definedName>
    <definedName name="FDD_59_176" hidden="1">"A35577"</definedName>
    <definedName name="FDD_59_177" hidden="1">"A35583"</definedName>
    <definedName name="FDD_59_178" hidden="1">"A35590"</definedName>
    <definedName name="FDD_59_179" hidden="1">"A35597"</definedName>
    <definedName name="FDD_59_18" hidden="1">"A34470"</definedName>
    <definedName name="FDD_59_180" hidden="1">"A35604"</definedName>
    <definedName name="FDD_59_181" hidden="1">"A35611"</definedName>
    <definedName name="FDD_59_182" hidden="1">"A35618"</definedName>
    <definedName name="FDD_59_183" hidden="1">"A35625"</definedName>
    <definedName name="FDD_59_184" hidden="1">"A35632"</definedName>
    <definedName name="FDD_59_185" hidden="1">"A35639"</definedName>
    <definedName name="FDD_59_186" hidden="1">"A35646"</definedName>
    <definedName name="FDD_59_187" hidden="1">"A35653"</definedName>
    <definedName name="FDD_59_188" hidden="1">"A35660"</definedName>
    <definedName name="FDD_59_189" hidden="1">"A35668"</definedName>
    <definedName name="FDD_59_19" hidden="1">"A34477"</definedName>
    <definedName name="FDD_59_190" hidden="1">"A35674"</definedName>
    <definedName name="FDD_59_191" hidden="1">"A35681"</definedName>
    <definedName name="FDD_59_192" hidden="1">"A35688"</definedName>
    <definedName name="FDD_59_193" hidden="1">"A35695"</definedName>
    <definedName name="FDD_59_194" hidden="1">"A35702"</definedName>
    <definedName name="FDD_59_195" hidden="1">"A35709"</definedName>
    <definedName name="FDD_59_196" hidden="1">"A35716"</definedName>
    <definedName name="FDD_59_197" hidden="1">"A35723"</definedName>
    <definedName name="FDD_59_198" hidden="1">"A35730"</definedName>
    <definedName name="FDD_59_199" hidden="1">"A35737"</definedName>
    <definedName name="FDD_59_2" hidden="1">"A31412"</definedName>
    <definedName name="FDD_59_20" hidden="1">"A34485"</definedName>
    <definedName name="FDD_59_200" hidden="1">"A35744"</definedName>
    <definedName name="FDD_59_201" hidden="1">"A35751"</definedName>
    <definedName name="FDD_59_202" hidden="1">"A35758"</definedName>
    <definedName name="FDD_59_203" hidden="1">"A35765"</definedName>
    <definedName name="FDD_59_204" hidden="1">"A35772"</definedName>
    <definedName name="FDD_59_205" hidden="1">"A35779"</definedName>
    <definedName name="FDD_59_206" hidden="1">"A35786"</definedName>
    <definedName name="FDD_59_207" hidden="1">"A35793"</definedName>
    <definedName name="FDD_59_208" hidden="1">"A35800"</definedName>
    <definedName name="FDD_59_209" hidden="1">"A35807"</definedName>
    <definedName name="FDD_59_21" hidden="1">"A34491"</definedName>
    <definedName name="FDD_59_210" hidden="1">"A35814"</definedName>
    <definedName name="FDD_59_211" hidden="1">"A35821"</definedName>
    <definedName name="FDD_59_212" hidden="1">"A35828"</definedName>
    <definedName name="FDD_59_213" hidden="1">"A35835"</definedName>
    <definedName name="FDD_59_214" hidden="1">"A35842"</definedName>
    <definedName name="FDD_59_215" hidden="1">"A35849"</definedName>
    <definedName name="FDD_59_216" hidden="1">"A35856"</definedName>
    <definedName name="FDD_59_217" hidden="1">"A35863"</definedName>
    <definedName name="FDD_59_218" hidden="1">"A35870"</definedName>
    <definedName name="FDD_59_219" hidden="1">"A35877"</definedName>
    <definedName name="FDD_59_22" hidden="1">"A34498"</definedName>
    <definedName name="FDD_59_220" hidden="1">"A35884"</definedName>
    <definedName name="FDD_59_221" hidden="1">"A35891"</definedName>
    <definedName name="FDD_59_222" hidden="1">"A35899"</definedName>
    <definedName name="FDD_59_223" hidden="1">"A35905"</definedName>
    <definedName name="FDD_59_224" hidden="1">"A35912"</definedName>
    <definedName name="FDD_59_225" hidden="1">"A35919"</definedName>
    <definedName name="FDD_59_226" hidden="1">"A35926"</definedName>
    <definedName name="FDD_59_227" hidden="1">"A35933"</definedName>
    <definedName name="FDD_59_228" hidden="1">"A35941"</definedName>
    <definedName name="FDD_59_229" hidden="1">"A35947"</definedName>
    <definedName name="FDD_59_23" hidden="1">"A34505"</definedName>
    <definedName name="FDD_59_230" hidden="1">"A35954"</definedName>
    <definedName name="FDD_59_231" hidden="1">"A35961"</definedName>
    <definedName name="FDD_59_232" hidden="1">"A35968"</definedName>
    <definedName name="FDD_59_233" hidden="1">"A35975"</definedName>
    <definedName name="FDD_59_234" hidden="1">"A35982"</definedName>
    <definedName name="FDD_59_235" hidden="1">"A35989"</definedName>
    <definedName name="FDD_59_236" hidden="1">"A35996"</definedName>
    <definedName name="FDD_59_237" hidden="1">"A36003"</definedName>
    <definedName name="FDD_59_238" hidden="1">"A36010"</definedName>
    <definedName name="FDD_59_239" hidden="1">"A36017"</definedName>
    <definedName name="FDD_59_24" hidden="1">"A34512"</definedName>
    <definedName name="FDD_59_240" hidden="1">"A36024"</definedName>
    <definedName name="FDD_59_241" hidden="1">"A36031"</definedName>
    <definedName name="FDD_59_242" hidden="1">"A36039"</definedName>
    <definedName name="FDD_59_243" hidden="1">"A36045"</definedName>
    <definedName name="FDD_59_244" hidden="1">"A36052"</definedName>
    <definedName name="FDD_59_245" hidden="1">"A36059"</definedName>
    <definedName name="FDD_59_246" hidden="1">"A36066"</definedName>
    <definedName name="FDD_59_247" hidden="1">"A36073"</definedName>
    <definedName name="FDD_59_248" hidden="1">"A36080"</definedName>
    <definedName name="FDD_59_249" hidden="1">"A36087"</definedName>
    <definedName name="FDD_59_25" hidden="1">"A34519"</definedName>
    <definedName name="FDD_59_250" hidden="1">"A36094"</definedName>
    <definedName name="FDD_59_251" hidden="1">"A36101"</definedName>
    <definedName name="FDD_59_252" hidden="1">"A36108"</definedName>
    <definedName name="FDD_59_253" hidden="1">"A36116"</definedName>
    <definedName name="FDD_59_254" hidden="1">"A36122"</definedName>
    <definedName name="FDD_59_255" hidden="1">"A36129"</definedName>
    <definedName name="FDD_59_256" hidden="1">"A36136"</definedName>
    <definedName name="FDD_59_257" hidden="1">"A36143"</definedName>
    <definedName name="FDD_59_258" hidden="1">"A36150"</definedName>
    <definedName name="FDD_59_259" hidden="1">"A36157"</definedName>
    <definedName name="FDD_59_26" hidden="1">"A34526"</definedName>
    <definedName name="FDD_59_260" hidden="1">"A36164"</definedName>
    <definedName name="FDD_59_27" hidden="1">"A34533"</definedName>
    <definedName name="FDD_59_28" hidden="1">"A34540"</definedName>
    <definedName name="FDD_59_29" hidden="1">"A34547"</definedName>
    <definedName name="FDD_59_3" hidden="1">"A31777"</definedName>
    <definedName name="FDD_59_30" hidden="1">"A34554"</definedName>
    <definedName name="FDD_59_31" hidden="1">"A34561"</definedName>
    <definedName name="FDD_59_32" hidden="1">"A34568"</definedName>
    <definedName name="FDD_59_33" hidden="1">"A34576"</definedName>
    <definedName name="FDD_59_34" hidden="1">"A34582"</definedName>
    <definedName name="FDD_59_35" hidden="1">"A34589"</definedName>
    <definedName name="FDD_59_36" hidden="1">"A34596"</definedName>
    <definedName name="FDD_59_37" hidden="1">"A34603"</definedName>
    <definedName name="FDD_59_38" hidden="1">"A34610"</definedName>
    <definedName name="FDD_59_39" hidden="1">"A34617"</definedName>
    <definedName name="FDD_59_4" hidden="1">"A32142"</definedName>
    <definedName name="FDD_59_40" hidden="1">"A34624"</definedName>
    <definedName name="FDD_59_41" hidden="1">"A34631"</definedName>
    <definedName name="FDD_59_42" hidden="1">"A34638"</definedName>
    <definedName name="FDD_59_43" hidden="1">"A34645"</definedName>
    <definedName name="FDD_59_44" hidden="1">"A34652"</definedName>
    <definedName name="FDD_59_45" hidden="1">"A34659"</definedName>
    <definedName name="FDD_59_46" hidden="1">"A34666"</definedName>
    <definedName name="FDD_59_47" hidden="1">"A34673"</definedName>
    <definedName name="FDD_59_48" hidden="1">"A34680"</definedName>
    <definedName name="FDD_59_49" hidden="1">"A34687"</definedName>
    <definedName name="FDD_59_5" hidden="1">"A32508"</definedName>
    <definedName name="FDD_59_50" hidden="1">"A34696"</definedName>
    <definedName name="FDD_59_51" hidden="1">"A34702"</definedName>
    <definedName name="FDD_59_52" hidden="1">"A34708"</definedName>
    <definedName name="FDD_59_53" hidden="1">"A34715"</definedName>
    <definedName name="FDD_59_54" hidden="1">"A34722"</definedName>
    <definedName name="FDD_59_55" hidden="1">"A34729"</definedName>
    <definedName name="FDD_59_56" hidden="1">"A34736"</definedName>
    <definedName name="FDD_59_57" hidden="1">"A34743"</definedName>
    <definedName name="FDD_59_58" hidden="1">"A34750"</definedName>
    <definedName name="FDD_59_59" hidden="1">"A34757"</definedName>
    <definedName name="FDD_59_6" hidden="1">"A32873"</definedName>
    <definedName name="FDD_59_60" hidden="1">"A34764"</definedName>
    <definedName name="FDD_59_61" hidden="1">"A34771"</definedName>
    <definedName name="FDD_59_62" hidden="1">"A34778"</definedName>
    <definedName name="FDD_59_63" hidden="1">"A34785"</definedName>
    <definedName name="FDD_59_64" hidden="1">"A34792"</definedName>
    <definedName name="FDD_59_65" hidden="1">"A34799"</definedName>
    <definedName name="FDD_59_66" hidden="1">"A34807"</definedName>
    <definedName name="FDD_59_67" hidden="1">"A34813"</definedName>
    <definedName name="FDD_59_68" hidden="1">"A34820"</definedName>
    <definedName name="FDD_59_69" hidden="1">"A34828"</definedName>
    <definedName name="FDD_59_7" hidden="1">"A33238"</definedName>
    <definedName name="FDD_59_70" hidden="1">"A34834"</definedName>
    <definedName name="FDD_59_71" hidden="1">"A34841"</definedName>
    <definedName name="FDD_59_72" hidden="1">"A34848"</definedName>
    <definedName name="FDD_59_73" hidden="1">"A34855"</definedName>
    <definedName name="FDD_59_74" hidden="1">"A34862"</definedName>
    <definedName name="FDD_59_75" hidden="1">"A34870"</definedName>
    <definedName name="FDD_59_76" hidden="1">"A34876"</definedName>
    <definedName name="FDD_59_77" hidden="1">"A34883"</definedName>
    <definedName name="FDD_59_78" hidden="1">"A34891"</definedName>
    <definedName name="FDD_59_79" hidden="1">"A34897"</definedName>
    <definedName name="FDD_59_8" hidden="1">"A33603"</definedName>
    <definedName name="FDD_59_80" hidden="1">"A34904"</definedName>
    <definedName name="FDD_59_81" hidden="1">"A34911"</definedName>
    <definedName name="FDD_59_82" hidden="1">"A34918"</definedName>
    <definedName name="FDD_59_83" hidden="1">"A34925"</definedName>
    <definedName name="FDD_59_84" hidden="1">"A34932"</definedName>
    <definedName name="FDD_59_85" hidden="1">"A34940"</definedName>
    <definedName name="FDD_59_86" hidden="1">"A34946"</definedName>
    <definedName name="FDD_59_87" hidden="1">"A34953"</definedName>
    <definedName name="FDD_59_88" hidden="1">"A34960"</definedName>
    <definedName name="FDD_59_89" hidden="1">"A34967"</definedName>
    <definedName name="FDD_59_9" hidden="1">"A33969"</definedName>
    <definedName name="FDD_59_90" hidden="1">"A34974"</definedName>
    <definedName name="FDD_59_91" hidden="1">"A34981"</definedName>
    <definedName name="FDD_59_92" hidden="1">"A34988"</definedName>
    <definedName name="FDD_59_93" hidden="1">"A34995"</definedName>
    <definedName name="FDD_59_94" hidden="1">"A35002"</definedName>
    <definedName name="FDD_59_95" hidden="1">"A35009"</definedName>
    <definedName name="FDD_59_96" hidden="1">"A35016"</definedName>
    <definedName name="FDD_59_97" hidden="1">"A35023"</definedName>
    <definedName name="FDD_59_98" hidden="1">"A35030"</definedName>
    <definedName name="FDD_59_99" hidden="1">"A35037"</definedName>
    <definedName name="FDD_6_0" hidden="1">"A25569"</definedName>
    <definedName name="FDD_6_1" hidden="1">"A35795"</definedName>
    <definedName name="FDD_6_2" hidden="1">"E36160"</definedName>
    <definedName name="FDD_6_3" hidden="1">"E36525"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_1" hidden="1">"E35795"</definedName>
    <definedName name="FDD_7_2" hidden="1">"E36160"</definedName>
    <definedName name="FDD_7_3" hidden="1">"E36525"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_1" hidden="1">"E35795"</definedName>
    <definedName name="FDD_8_2" hidden="1">"E36160"</definedName>
    <definedName name="FDD_8_3" hidden="1">"E36525"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_1" hidden="1">"E35795"</definedName>
    <definedName name="FDD_9_2" hidden="1">"E36160"</definedName>
    <definedName name="FDD_9_3" hidden="1">"E36525"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dd" hidden="1">{#N/A,#N/A,FALSE,"Chart 2 by Prop Type"}</definedName>
    <definedName name="fdebt">#REF!</definedName>
    <definedName name="fDebtassum">#REF!</definedName>
    <definedName name="fdf" hidden="1">{"incomemth",#N/A,TRUE,"forecast00";"incomepercentmth",#N/A,TRUE,"forecast00";"balancemth",#N/A,TRUE,"forecast00";"cashmth",#N/A,TRUE,"forecast00";"covenantmth",#N/A,TRUE,"forecast00"}</definedName>
    <definedName name="fdfdfd" hidden="1">{#N/A,#N/A,FALSE,"CAPREIT"}</definedName>
    <definedName name="fdfdfdf" hidden="1">{#N/A,#N/A,FALSE,"CAPREIT"}</definedName>
    <definedName name="fdfghdf" hidden="1">{"inputs raw data",#N/A,TRUE,"INPUT"}</definedName>
    <definedName name="fdg" hidden="1">{"incomemth",#N/A,TRUE,"forecast00";"incomepercentmth",#N/A,TRUE,"forecast00";"balancemth",#N/A,TRUE,"forecast00";"cashmth",#N/A,TRUE,"forecast00";"covenantmth",#N/A,TRUE,"forecast00"}</definedName>
    <definedName name="fdgad" hidden="1">{"inputs raw data",#N/A,TRUE,"INPUT"}</definedName>
    <definedName name="fdgfdg" hidden="1">{"FCB_ALL",#N/A,FALSE,"FCB";"GREY_ALL",#N/A,FALSE,"GREY"}</definedName>
    <definedName name="fdgfdgfdg" hidden="1">{#N/A,#N/A,FALSE,"Title Page - Mgmt";#N/A,#N/A,FALSE,"Index - Mgmt";#N/A,#N/A,FALSE,"Stmt of Income";#N/A,#N/A,FALSE,"Balance Sheet";#N/A,#N/A,FALSE,"Stmt of Retained Earnings";#N/A,#N/A,FALSE,"Total Cash Flow";#N/A,#N/A,FALSE,"S.C.F.P.";#N/A,#N/A,FALSE,"Budget to Actual";#N/A,#N/A,FALSE,"Appraisal surplus";#N/A,#N/A,FALSE,"FMV";#N/A,#N/A,FALSE,"Ratios";#N/A,#N/A,FALSE,"Properties";#N/A,#N/A,FALSE,"Secured Debt";#N/A,#N/A,FALSE,"Bank Operating Lines";#N/A,#N/A,FALSE,"Share Capital";#N/A,#N/A,FALSE,"Rental Operating Results";#N/A,#N/A,FALSE,"G. &amp;  A.";#N/A,#N/A,FALSE,"Property Sales";#N/A,#N/A,FALSE,"Accounts receivable ";#N/A,#N/A,FALSE,"Accounts payable";#N/A,#N/A,FALSE,"Budget Analysis";#N/A,#N/A,FALSE,"Mezzanine"}</definedName>
    <definedName name="fdgfdsfdre" hidden="1">#REF!</definedName>
    <definedName name="fDispositions">#REF!</definedName>
    <definedName name="fDMRev">#REF!</definedName>
    <definedName name="fds" hidden="1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fdsafdfsa" hidden="1">{#N/A,#N/A,TRUE,"10 Yr Hold";#N/A,#N/A,TRUE,"7 Yr Hold";#N/A,#N/A,TRUE,"5 Yr Hold";#N/A,#N/A,TRUE,"3 Yr Hold"}</definedName>
    <definedName name="fdsafdsagsadgsa" hidden="1">{#N/A,#N/A,TRUE,"10 Yr Hold";#N/A,#N/A,TRUE,"7 Yr Hold";#N/A,#N/A,TRUE,"5 Yr Hold";#N/A,#N/A,TRUE,"3 Yr Hold"}</definedName>
    <definedName name="fdsafsad" hidden="1">{#N/A,#N/A,TRUE,"10 Yr Hold";#N/A,#N/A,TRUE,"7 Yr Hold";#N/A,#N/A,TRUE,"5 Yr Hold";#N/A,#N/A,TRUE,"3 Yr Hold"}</definedName>
    <definedName name="fdsag" hidden="1">{"FCB_ALL",#N/A,FALSE,"FCB"}</definedName>
    <definedName name="fdsakfjds" hidden="1">{"FCB_ALL",#N/A,FALSE,"FCB";"GREY_ALL",#N/A,FALSE,"GREY"}</definedName>
    <definedName name="fdsfsd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f" hidden="1">"3AZ7TPCT6F7CLWHBG4RBGUQ78"</definedName>
    <definedName name="fdsg" hidden="1">{"incomemth",#N/A,TRUE,"forecast00";"incomepercentmth",#N/A,TRUE,"forecast00";"balancemth",#N/A,TRUE,"forecast00";"cashmth",#N/A,TRUE,"forecast00";"covenantmth",#N/A,TRUE,"forecast00"}</definedName>
    <definedName name="fdsg1" hidden="1">{"incomemth",#N/A,TRUE,"forecast00";"incomepercentmth",#N/A,TRUE,"forecast00";"balancemth",#N/A,TRUE,"forecast00";"cashmth",#N/A,TRUE,"forecast00";"covenantmth",#N/A,TRUE,"forecast00"}</definedName>
    <definedName name="fdssfdhfdh" hidden="1">#REF!</definedName>
    <definedName name="Febr.">#REF!</definedName>
    <definedName name="FEET">#REF!</definedName>
    <definedName name="fefs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f" hidden="1">{#N/A,#N/A,TRUE,"Summary";"AnnualRentRoll",#N/A,TRUE,"RentRoll";#N/A,#N/A,TRUE,"ExitStratigy";#N/A,#N/A,TRUE,"OperatingAssumptions"}</definedName>
    <definedName name="ffe">#REF!</definedName>
    <definedName name="fferw" hidden="1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fff" hidden="1">{#N/A,#N/A,TRUE,"Summary";"AnnualRentRoll",#N/A,TRUE,"RentRoll";#N/A,#N/A,TRUE,"ExitStratigy";#N/A,#N/A,TRUE,"OperatingAssumptions"}</definedName>
    <definedName name="ffff" hidden="1">#REF!</definedName>
    <definedName name="ffffff" hidden="1">#REF!</definedName>
    <definedName name="ffffff.2" hidden="1">{#N/A,#N/A,FALSE,"Cashflow Analysis";#N/A,#N/A,FALSE,"Sensitivity Analysis";#N/A,#N/A,FALSE,"PV";#N/A,#N/A,FALSE,"Pro Forma"}</definedName>
    <definedName name="fffffff" hidden="1">{#N/A,#N/A,FALSE,"Title Page - Mgmt";#N/A,#N/A,FALSE,"Index - Mgmt";#N/A,#N/A,FALSE,"Stmt of Income";#N/A,#N/A,FALSE,"Balance Sheet";#N/A,#N/A,FALSE,"Stmt of Retained Earnings";#N/A,#N/A,FALSE,"Total Cash Flow";#N/A,#N/A,FALSE,"S.C.F.P.";#N/A,#N/A,FALSE,"Budget to Actual";#N/A,#N/A,FALSE,"Appraisal surplus";#N/A,#N/A,FALSE,"FMV";#N/A,#N/A,FALSE,"Ratios";#N/A,#N/A,FALSE,"Properties";#N/A,#N/A,FALSE,"Secured Debt";#N/A,#N/A,FALSE,"Bank Operating Lines";#N/A,#N/A,FALSE,"Share Capital";#N/A,#N/A,FALSE,"Rental Operating Results";#N/A,#N/A,FALSE,"G. &amp;  A.";#N/A,#N/A,FALSE,"Property Sales";#N/A,#N/A,FALSE,"Accounts receivable ";#N/A,#N/A,FALSE,"Accounts payable";#N/A,#N/A,FALSE,"Budget Analysis";#N/A,#N/A,FALSE,"Mezzanine"}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fl" hidden="1">#REF!</definedName>
    <definedName name="fFMV">#REF!</definedName>
    <definedName name="ffoaccretionanalysis100debt">#REF!</definedName>
    <definedName name="ffoaccretionanalysisdebtandequity">#REF!</definedName>
    <definedName name="ffoaccretionanalysisdevelopandsell">#REF!</definedName>
    <definedName name="ffvdfd" hidden="1">{#N/A,#N/A,FALSE,"Class A";#N/A,#N/A,FALSE,"Class B";#N/A,#N/A,FALSE,"Class C"}</definedName>
    <definedName name="fg" hidden="1">{"schedule1",#N/A,FALSE,"Sheet1";"schedule2",#N/A,FALSE,"Sheet1";"schedule3",#N/A,FALSE,"Sheet1";"schedule4",#N/A,FALSE,"Sheet1";"schedule5",#N/A,FALSE,"Sheet1";"schedule6",#N/A,FALSE,"Sheet1"}</definedName>
    <definedName name="FGAexp">#REF!</definedName>
    <definedName name="fgbdzf" hidden="1">{#N/A,#N/A,FALSE,"Cashflow Analysis";#N/A,#N/A,FALSE,"Sensitivity Analysis";#N/A,#N/A,FALSE,"PV";#N/A,#N/A,FALSE,"Pro Forma"}</definedName>
    <definedName name="fgdfs" hidden="1">{"FORMULAS",#N/A,FALSE,"ESTIMATE"}</definedName>
    <definedName name="fgfdg" hidden="1">{"FCB_ALL",#N/A,FALSE,"FCB";"GREY_ALL",#N/A,FALSE,"GREY"}</definedName>
    <definedName name="fgh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" hidden="1">#REF!</definedName>
    <definedName name="FileChart" hidden="1">#REF!</definedName>
    <definedName name="Fill" hidden="1">#REF!</definedName>
    <definedName name="FILL2" hidden="1">#REF!</definedName>
    <definedName name="filler" hidden="1">{"Annual Cash Flows",#N/A,FALSE,"Annual Summary"}</definedName>
    <definedName name="filler2" hidden="1">{"Assumptions",#N/A,FALSE,"Assumptions"}</definedName>
    <definedName name="filler3" hidden="1">{"Construction Costs",#N/A,FALSE,"Total Costs"}</definedName>
    <definedName name="final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al3" hidden="1">{"Construction_Short",#N/A,FALSE,"Construction"}</definedName>
    <definedName name="fine" hidden="1">{"CHART",#N/A,FALSE,"Arch Communications"}</definedName>
    <definedName name="finres" hidden="1">#REF!</definedName>
    <definedName name="FIRR">#REF!</definedName>
    <definedName name="First_payment_due">#REF!</definedName>
    <definedName name="FIRSTLIEN">#REF!</definedName>
    <definedName name="FirstLoanSchedule">#REF!</definedName>
    <definedName name="fixed_assets" hidden="1">{"Detailed",#N/A,FALSE,"Schedule4"}</definedName>
    <definedName name="fjl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ksajf" hidden="1">{#N/A,#N/A,FALSE,"SCHEDULE A";"MINIMUM RENT",#N/A,FALSE,"SCHEDULES B &amp; C";"PERCENTAGE RENT",#N/A,FALSE,"SCHEDULES B &amp; C"}</definedName>
    <definedName name="fl" hidden="1">#REF!</definedName>
    <definedName name="flandacq">#REF!</definedName>
    <definedName name="flandsale">#REF!</definedName>
    <definedName name="fldfjlsd" hidden="1">#REF!</definedName>
    <definedName name="fll" hidden="1">#REF!</definedName>
    <definedName name="flll" hidden="1">#REF!</definedName>
    <definedName name="Flx_Flor" hidden="1">#REF!</definedName>
    <definedName name="Flx_Trad" hidden="1">#REF!</definedName>
    <definedName name="fm" hidden="1">{"summary1",#N/A,TRUE,"Comps";"summary2",#N/A,TRUE,"Comps";"summary3",#N/A,TRUE,"Comps"}</definedName>
    <definedName name="fnex" hidden="1">#REF!</definedName>
    <definedName name="fopporpnew">#REF!</definedName>
    <definedName name="fOpprop">#REF!</definedName>
    <definedName name="FORECAST">#REF!</definedName>
    <definedName name="FP">FIND("|", [0]!cc)</definedName>
    <definedName name="fr" hidden="1">{"print STAY opening assumptions",#N/A,FALSE,"STAY Openings";"print STAY openings",#N/A,FALSE,"STAY Openings"}</definedName>
    <definedName name="FranFeeFandB">#REF!</definedName>
    <definedName name="FranFeeRoomRev">#REF!</definedName>
    <definedName name="FRED" hidden="1">{#N/A,#N/A,FALSE,"Summary";#N/A,#N/A,FALSE,"Sales";#N/A,#N/A,FALSE,"Costs";#N/A,#N/A,FALSE,"1996";#N/A,#N/A,FALSE,"1997";#N/A,#N/A,FALSE,"1998";#N/A,#N/A,FALSE,"1999";#N/A,#N/A,FALSE,"2000";#N/A,#N/A,FALSE,"2001";#N/A,#N/A,FALSE,"2002";#N/A,#N/A,FALSE,"2003";#N/A,#N/A,FALSE,"2004";#N/A,#N/A,FALSE,"2005";#N/A,#N/A,FALSE,"2006"}</definedName>
    <definedName name="FreeRent">#REF!</definedName>
    <definedName name="Frnt_Amort1">#REF!</definedName>
    <definedName name="Frnt_Amort2">#REF!</definedName>
    <definedName name="frtyu" hidden="1">{#N/A,#N/A,FALSE,"Chart 2 by Prop Type"}</definedName>
    <definedName name="fsddsfds" hidden="1">{#N/A,#N/A,FALSE,"Class A";#N/A,#N/A,FALSE,"Class B";#N/A,#N/A,FALSE,"Class C"}</definedName>
    <definedName name="fsdfd">#REF!</definedName>
    <definedName name="FSDFSDF" hidden="1">#REF!</definedName>
    <definedName name="fsdsfafd" hidden="1">{"CSheet",#N/A,FALSE,"C";"SmCap",#N/A,FALSE,"VAL1";"GulfCoast",#N/A,FALSE,"VAL1";"nav",#N/A,FALSE,"NAV";"Summary",#N/A,FALSE,"NAV"}</definedName>
    <definedName name="fsgdr" hidden="1">{"FCB_ALL",#N/A,FALSE,"FCB"}</definedName>
    <definedName name="fsr" hidden="1">{"FCB_ALL",#N/A,FALSE,"FCB"}</definedName>
    <definedName name="fstabilisations">#REF!</definedName>
    <definedName name="fstarts">#REF!</definedName>
    <definedName name="fsv" hidden="1">{"FCB_ALL",#N/A,FALSE,"FCB";"GREY_ALL",#N/A,FALSE,"GREY"}</definedName>
    <definedName name="ftgygy" hidden="1">{#N/A,#N/A,FALSE,"LP Exp";#N/A,#N/A,FALSE,"Salary";#N/A,#N/A,FALSE,"Admin Exp";#N/A,#N/A,FALSE,"QTS Bud";#N/A,#N/A,FALSE,"Marketing"}</definedName>
    <definedName name="ftyf" hidden="1">{"FCB_ALL",#N/A,FALSE,"FCB";"GREY_ALL",#N/A,FALSE,"GREY"}</definedName>
    <definedName name="fu" hidden="1">{0,0,0,0}</definedName>
    <definedName name="fuck" hidden="1">{"Financials",#N/A,FALSE,"Financials";"AVP",#N/A,FALSE,"AVP";"DCF",#N/A,FALSE,"DCF";"CSC",#N/A,FALSE,"CSC";"Deal_Comp",#N/A,FALSE,"DealComp"}</definedName>
    <definedName name="fuckface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fuk" hidden="1">{"1999",#N/A,FALSE,"1999"}</definedName>
    <definedName name="Full_Print">#REF!</definedName>
    <definedName name="Future_Funding">#REF!</definedName>
    <definedName name="FVLN">#REF!</definedName>
    <definedName name="FX_China">#REF!</definedName>
    <definedName name="FX_Euro">#REF!</definedName>
    <definedName name="FX_India">#REF!</definedName>
    <definedName name="FX_Mex">#REF!</definedName>
    <definedName name="FX_Mexico">#REF!</definedName>
    <definedName name="FX_MXN">#REF!</definedName>
    <definedName name="FX_Poland">#REF!</definedName>
    <definedName name="FX_Pound">#REF!</definedName>
    <definedName name="FX_USD">#REF!</definedName>
    <definedName name="FXChina">#REF!</definedName>
    <definedName name="fzgsdrygh" hidden="1">#REF!</definedName>
    <definedName name="g" hidden="1">{#N/A,#N/A,FALSE,"Chart 2 by Prop Type"}</definedName>
    <definedName name="g_1" hidden="1">{"Cover",#N/A,TRUE,"Sheet1";"Value",#N/A,TRUE,"Sheet1";"Sensitivity",#N/A,TRUE,"Sheet1";"Asset CF",#N/A,TRUE,"Sheet1";"Pship NCF",#N/A,TRUE,"Sheet1";"Pship Equity Value",#N/A,TRUE,"Sheet1";"Pship Distributions",#N/A,TRUE,"Sheet1";"JV Splits 1",#N/A,TRUE,"Sheet1";"JV Splits 2",#N/A,TRUE,"Sheet1";"MIR Split 1",#N/A,TRUE,"Sheet1";"Assumptions",#N/A,TRUE,"Sheet1"}</definedName>
    <definedName name="g_2" hidden="1">{"Cover",#N/A,TRUE,"Sheet1";"Value",#N/A,TRUE,"Sheet1";"Sensitivity",#N/A,TRUE,"Sheet1";"Asset CF",#N/A,TRUE,"Sheet1";"Pship NCF",#N/A,TRUE,"Sheet1";"Pship Equity Value",#N/A,TRUE,"Sheet1";"Pship Distributions",#N/A,TRUE,"Sheet1";"JV Splits 1",#N/A,TRUE,"Sheet1";"JV Splits 2",#N/A,TRUE,"Sheet1";"MIR Split 1",#N/A,TRUE,"Sheet1";"Assumptions",#N/A,TRUE,"Sheet1"}</definedName>
    <definedName name="g_3" hidden="1">{"Cover",#N/A,TRUE,"Sheet1";"Value",#N/A,TRUE,"Sheet1";"Sensitivity",#N/A,TRUE,"Sheet1";"Asset CF",#N/A,TRUE,"Sheet1";"Pship NCF",#N/A,TRUE,"Sheet1";"Pship Equity Value",#N/A,TRUE,"Sheet1";"Pship Distributions",#N/A,TRUE,"Sheet1";"JV Splits 1",#N/A,TRUE,"Sheet1";"JV Splits 2",#N/A,TRUE,"Sheet1";"MIR Split 1",#N/A,TRUE,"Sheet1";"Assumptions",#N/A,TRUE,"Sheet1"}</definedName>
    <definedName name="G_e_s_a_m_t">#REF!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laxy">#REF!</definedName>
    <definedName name="garage" hidden="1">{#N/A,#N/A,FALSE,"Garage Assumpt 1";#N/A,#N/A,FALSE,"Garage Op Proj";#N/A,#N/A,FALSE,"Hist I&amp;E";#N/A,#N/A,FALSE,"Garage Lease"}</definedName>
    <definedName name="gary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sco">#REF!</definedName>
    <definedName name="gawea" hidden="1">{"FCB_ALL",#N/A,FALSE,"FCB"}</definedName>
    <definedName name="gawen" hidden="1">{"FCB_ALL",#N/A,FALSE,"FCB"}</definedName>
    <definedName name="GC">#REF!</definedName>
    <definedName name="gcgc" hidden="1">{"Annual",#N/A,FALSE,"Sales &amp; Market";"Quarterly",#N/A,FALSE,"Sales &amp; Market"}</definedName>
    <definedName name="gcgc1" hidden="1">{"Annual",#N/A,FALSE,"Sales &amp; Market";"Quarterly",#N/A,FALSE,"Sales &amp; Market"}</definedName>
    <definedName name="gcjki" hidden="1">{#N/A,#N/A,TRUE,"Krycí list"}</definedName>
    <definedName name="gcjkii" hidden="1">{#N/A,#N/A,TRUE,"Krycí list"}</definedName>
    <definedName name="GCPS">#REF!</definedName>
    <definedName name="GCT">#REF!</definedName>
    <definedName name="gdfga" hidden="1">#REF!</definedName>
    <definedName name="gdxgxdz" hidden="1">{"View1",#N/A,FALSE,"Golf";"View2",#N/A,FALSE,"Golf";"View3",#N/A,FALSE,"Golf";"View4",#N/A,FALSE,"Golf";"View5",#N/A,FALSE,"Golf";"View6",#N/A,FALSE,"Golf";"View7",#N/A,FALSE,"Golf";"View8",#N/A,FALSE,"Golf";"View9",#N/A,FALSE,"Golf";"View10",#N/A,FALSE,"Golf";"View11",#N/A,FALSE,"Golf";"View12",#N/A,FALSE,"Golf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eograph_Pie_X_Labels" hidden="1">OFFSET(#REF!,0,0,COUNTA(#REF!)-1,1)</definedName>
    <definedName name="Geography_Pie_Data" hidden="1">OFFSET(#REF!,0,0,COUNTA(#REF!)-1,1)</definedName>
    <definedName name="gf" hidden="1">{#N/A,#N/A,FALSE,"ACQ";#N/A,#N/A,FALSE,"ASSUMP";#N/A,#N/A,FALSE,"CASH FLOW";#N/A,#N/A,FALSE,"SALE";#N/A,#N/A,FALSE,"TIS";#N/A,#N/A,FALSE,"RENT ROLL"}</definedName>
    <definedName name="gfasd" hidden="1">{"FCB_ALL",#N/A,FALSE,"FCB"}</definedName>
    <definedName name="gfd" hidden="1">{#N/A,#N/A,FALSE,"Cashflow Analysis";#N/A,#N/A,FALSE,"Sensitivity Analysis";#N/A,#N/A,FALSE,"PV";#N/A,#N/A,FALSE,"Pro Forma"}</definedName>
    <definedName name="gfgh" hidden="1">{"Assumptions",#N/A,FALSE,"Assumptions"}</definedName>
    <definedName name="gfh" hidden="1">{"CSheet",#N/A,FALSE,"C";"SmCap",#N/A,FALSE,"VAL1";"GulfCoast",#N/A,FALSE,"VAL1";"nav",#N/A,FALSE,"NAV";"Summary",#N/A,FALSE,"NAV"}</definedName>
    <definedName name="gfhs" hidden="1">{"summary1",#N/A,TRUE,"Comps";"summary2",#N/A,TRUE,"Comps";"summary3",#N/A,TRUE,"Comps"}</definedName>
    <definedName name="gfjfju" hidden="1">{"Downside",#N/A,FALSE,"Downside"}</definedName>
    <definedName name="gfsdn" hidden="1">{"FCB_ALL",#N/A,FALSE,"FCB";"GREY_ALL",#N/A,FALSE,"GREY"}</definedName>
    <definedName name="gg" hidden="1">{#N/A,#N/A,FALSE,"PropertyInfo"}</definedName>
    <definedName name="gg.2" hidden="1">{#N/A,#N/A,FALSE,"Cashflow Analysis";#N/A,#N/A,FALSE,"Sensitivity Analysis";#N/A,#N/A,FALSE,"PV";#N/A,#N/A,FALSE,"Pro Forma"}</definedName>
    <definedName name="ggg" hidden="1">{#N/A,#N/A,FALSE,"PropertyInfo"}</definedName>
    <definedName name="gggg" hidden="1">{"ODB",#N/A,FALSE,"Hold Scenario"}</definedName>
    <definedName name="gggggggg" hidden="1">{#N/A,#N/A,FALSE,"Fund-II"}</definedName>
    <definedName name="gggggggggg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ggh" hidden="1">#REF!</definedName>
    <definedName name="ghh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j" hidden="1">{"CSheet",#N/A,FALSE,"C";"SmCap",#N/A,FALSE,"VAL1";"GulfCoast",#N/A,FALSE,"VAL1";"nav",#N/A,FALSE,"NAV";"Summary",#N/A,FALSE,"NAV"}</definedName>
    <definedName name="ghjghjr" hidden="1">{"Bid",#N/A,FALSE,"Estimate";"Breakdowm",#N/A,FALSE,"Estimate"}</definedName>
    <definedName name="ghu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jio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laccts">#REF!</definedName>
    <definedName name="GLCode">#REF!</definedName>
    <definedName name="GLDesc">#REF!</definedName>
    <definedName name="GlideChartMarker" hidden="1">"Chart!A1"</definedName>
    <definedName name="GlideDataMarker" hidden="1">"Data!A1"</definedName>
    <definedName name="GlideHiddenMarker" hidden="1">"Costcurvedata!A1"</definedName>
    <definedName name="GlideMaxCharts" hidden="1">7</definedName>
    <definedName name="Global_CPI">#REF!</definedName>
    <definedName name="Global_Inflation">#REF!</definedName>
    <definedName name="gmail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gmcol" hidden="1">#REF!</definedName>
    <definedName name="GMHEQUITY">#REF!</definedName>
    <definedName name="GMHEQUITYA">#REF!</definedName>
    <definedName name="GoIn_Cap">#REF!</definedName>
    <definedName name="gr" hidden="1">{"three",#N/A,FALSE,"Capital";"four",#N/A,FALSE,"Capital"}</definedName>
    <definedName name="graph" hidden="1">#REF!</definedName>
    <definedName name="graph." hidden="1">{#N/A,#N/A,FALSE,"Yield Graph"}</definedName>
    <definedName name="graph123" hidden="1">#REF!</definedName>
    <definedName name="Graph1234" hidden="1">#REF!</definedName>
    <definedName name="Graph12345" hidden="1">#REF!</definedName>
    <definedName name="Graph123456" hidden="1">#REF!</definedName>
    <definedName name="Graph1234567" hidden="1">#REF!</definedName>
    <definedName name="graph2." hidden="1">{#N/A,#N/A,FALSE,"Yield Graph";#N/A,#N/A,FALSE,"Rent Roll";#N/A,#N/A,FALSE,"OE Yr1";#N/A,#N/A,FALSE,"Repl.Cst.+Ins."}</definedName>
    <definedName name="graph3." hidden="1">{#N/A,#N/A,FALSE,"Yield Graph"}</definedName>
    <definedName name="GROSS">#REF!</definedName>
    <definedName name="grossnetdebt" hidden="1">#REF!</definedName>
    <definedName name="grtr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undsteuer">#REF!</definedName>
    <definedName name="Grundsteuer_____25.">#REF!</definedName>
    <definedName name="Grundsteuer____25.">#REF!</definedName>
    <definedName name="gvk" hidden="1">{"Assumptions",#N/A,FALSE,"Assumptions"}</definedName>
    <definedName name="gyhui" hidden="1">{"CSheet",#N/A,FALSE,"C";"SmCap",#N/A,FALSE,"VAL1";"GulfCoast",#N/A,FALSE,"VAL1";"nav",#N/A,FALSE,"NAV";"Summary",#N/A,FALSE,"NAV"}</definedName>
    <definedName name="gyjh" hidden="1">{#N/A,#N/A,FALSE,"Cashflow Analysis";#N/A,#N/A,FALSE,"Sensitivity Analysis";#N/A,#N/A,FALSE,"PV";#N/A,#N/A,FALSE,"Pro Forma"}</definedName>
    <definedName name="h" hidden="1">{#N/A,#N/A,FALSE,"PropertyInfo"}</definedName>
    <definedName name="hallo" hidden="1">{#N/A,#N/A,FALSE,"Occ and Rate";#N/A,#N/A,FALSE,"PF Input";#N/A,#N/A,FALSE,"Capital Input";#N/A,#N/A,FALSE,"Proforma Five Yr";#N/A,#N/A,FALSE,"Calculations";#N/A,#N/A,FALSE,"Transaction Summary-DTW"}</definedName>
    <definedName name="HardinDistriOper">#REF!</definedName>
    <definedName name="HardinDistriSale">#REF!</definedName>
    <definedName name="HardinDistrOper">#REF!</definedName>
    <definedName name="HardinEntity">#REF!</definedName>
    <definedName name="HardinEq">#REF!</definedName>
    <definedName name="HardinOwn">#REF!</definedName>
    <definedName name="HardinPrefer">#REF!</definedName>
    <definedName name="Hausbeleuchtung">#REF!</definedName>
    <definedName name="Hausbeleuchtung__20.">#REF!</definedName>
    <definedName name="Hausmeisterservice">#REF!</definedName>
    <definedName name="Hausreinigung">#REF!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ader_Row">ROW(#REF!)</definedName>
    <definedName name="heading_2">#REF!</definedName>
    <definedName name="HealthInsurance">#REF!</definedName>
    <definedName name="Heizung_____zum_10.">#REF!</definedName>
    <definedName name="Heizung_____zum_15.">#REF!</definedName>
    <definedName name="Heizung_____zum_25.">#REF!</definedName>
    <definedName name="Heizung_____zum_5.">#REF!</definedName>
    <definedName name="Heizung_____zum_5._10.">#REF!</definedName>
    <definedName name="Hello">#REF!</definedName>
    <definedName name="Hello1" hidden="1">#REF!</definedName>
    <definedName name="help" hidden="1">{#N/A,#N/A,FALSE,"ZLDebtMaturity";#N/A,#N/A,FALSE,"FCDebtMaturity";#N/A,#N/A,FALSE,"ZM3DebtMaturity";#N/A,#N/A,FALSE,"ZM2DebtMaturity";#N/A,#N/A,FALSE,"zm1DebtMaturity";#N/A,#N/A,FALSE,"ConsZM123DebtMaturity"}</definedName>
    <definedName name="help1" hidden="1">{#N/A,#N/A,FALSE,"ZLDebtMaturity";#N/A,#N/A,FALSE,"FCDebtMaturity";#N/A,#N/A,FALSE,"ZM3DebtMaturity";#N/A,#N/A,FALSE,"ZM2DebtMaturity";#N/A,#N/A,FALSE,"zm1DebtMaturity";#N/A,#N/A,FALSE,"ConsZM123DebtMaturity"}</definedName>
    <definedName name="Hey">#REF!</definedName>
    <definedName name="hfd" hidden="1">{"FCB_ALL",#N/A,FALSE,"FCB";"GREY_ALL",#N/A,FALSE,"GREY"}</definedName>
    <definedName name="hfgh" hidden="1">{"sheet a",#N/A,FALSE,"A";"sheet b 1",#N/A,FALSE,"B";"sheet b 2",#N/A,FALSE,"B"}</definedName>
    <definedName name="HFH" hidden="1">{"print annual inc. statement",#N/A,FALSE,"Summary";"print annual stats",#N/A,FALSE,"Summary";"print quarterly inc. statement",#N/A,FALSE,"Summary";"print quarterly stats",#N/A,FALSE,"Summary"}</definedName>
    <definedName name="hfydf" hidden="1">{"FCB_ALL",#N/A,FALSE,"FCB"}</definedName>
    <definedName name="hgfgh" hidden="1">{"Zone1",#N/A,FALSE,"Parameters";"Zone2",#N/A,FALSE,"Parameters"}</definedName>
    <definedName name="hgfhgf" hidden="1">#REF!</definedName>
    <definedName name="hghg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kdj" hidden="1">{"AnnualRentRoll",#N/A,FALSE,"RentRoll"}</definedName>
    <definedName name="hgsrt" hidden="1">{"FCB_ALL",#N/A,FALSE,"FCB";"GREY_ALL",#N/A,FALSE,"GREY"}</definedName>
    <definedName name="hh" hidden="1">{#N/A,#N/A,FALSE,"Summary"}</definedName>
    <definedName name="hhh" hidden="1">{#N/A,#N/A,FALSE,"Summary"}</definedName>
    <definedName name="hhhh" hidden="1">{"'Lennar U.S. Partners'!$A$1:$N$53"}</definedName>
    <definedName name="hhhhhhhhhhhh" hidden="1">{#N/A,#N/A,FALSE,"CCC ACC Budget";#N/A,#N/A,FALSE,"Variance";#N/A,#N/A,FALSE,"CCC Rent Detail";#N/A,#N/A,FALSE,"COMMON AREA";#N/A,#N/A,FALSE,"CCC Electric Inclusion";#N/A,#N/A,FALSE,"CCC Opex Detail";#N/A,#N/A,FALSE,"CCC RE Tax Detail";#N/A,#N/A,FALSE,"CCC Chilled Wtr Inclusion";#N/A,#N/A,FALSE,"CCC OTHVAC ";#N/A,#N/A,FALSE,"CCC INPUT"}</definedName>
    <definedName name="HI" hidden="1">#REF!</definedName>
    <definedName name="HiddenRows" hidden="1">#REF!</definedName>
    <definedName name="HideHLightInput">0</definedName>
    <definedName name="HistoricalCF">#REF!</definedName>
    <definedName name="hjdg" hidden="1">{#N/A,#N/A,FALSE,"PropertyInfo"}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jhj" hidden="1">{"PROFORMA",#N/A,FALSE,"A";"BIGGER 1",#N/A,FALSE,"B";"BIGGER 2",#N/A,FALSE,"B";"BIGGER 3",#N/A,FALSE,"B";"SMALL CF 1",#N/A,FALSE,"C"}</definedName>
    <definedName name="hjkl" hidden="1">{"Zone1",#N/A,FALSE,"Parameters";"Zone2",#N/A,FALSE,"Parameters"}</definedName>
    <definedName name="hlhldh" hidden="1">{"Annual Cash Flows",#N/A,FALSE,"Annual Summary"}</definedName>
    <definedName name="HMLkUp" hidden="1">#REF!</definedName>
    <definedName name="HMSeek" hidden="1">#REF!</definedName>
    <definedName name="hn._I006" hidden="1">#REF!</definedName>
    <definedName name="hn._I018" hidden="1">#REF!</definedName>
    <definedName name="hn._I024" hidden="1">#REF!</definedName>
    <definedName name="hn._I028" hidden="1">#REF!</definedName>
    <definedName name="hn._I029" hidden="1">#REF!</definedName>
    <definedName name="hn._I030" hidden="1">#REF!</definedName>
    <definedName name="hn._I031" hidden="1">#REF!</definedName>
    <definedName name="hn._I044" hidden="1">#REF!</definedName>
    <definedName name="hn._I051" hidden="1">#REF!</definedName>
    <definedName name="hn._I059" hidden="1">#REF!</definedName>
    <definedName name="hn._I062" hidden="1">#REF!</definedName>
    <definedName name="hn._I070" hidden="1">#REF!</definedName>
    <definedName name="hn._I071" hidden="1">#REF!</definedName>
    <definedName name="hn._I075" hidden="1">#REF!</definedName>
    <definedName name="hn._I077" hidden="1">#REF!</definedName>
    <definedName name="hn._I083" hidden="1">#REF!</definedName>
    <definedName name="hn._I085" hidden="1">#REF!</definedName>
    <definedName name="hn._P001" hidden="1">#REF!</definedName>
    <definedName name="hn._P002" hidden="1">#REF!</definedName>
    <definedName name="hn._P004" hidden="1">#REF!</definedName>
    <definedName name="hn._P014" hidden="1">#REF!</definedName>
    <definedName name="hn._P016" hidden="1">#REF!</definedName>
    <definedName name="hn._P017" hidden="1">#REF!</definedName>
    <definedName name="hn._P017g" hidden="1">#REF!</definedName>
    <definedName name="hn._P021" hidden="1">#REF!</definedName>
    <definedName name="hn._P024" hidden="1">#REF!</definedName>
    <definedName name="hn.Add015" hidden="1">#REF!</definedName>
    <definedName name="hn.ConvertVal1" hidden="1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CopyforPR" hidden="1">#REF!</definedName>
    <definedName name="hn.Delete015" hidden="1">#REF!,#REF!,#REF!,#REF!,#REF!</definedName>
    <definedName name="hn.domestic" hidden="1">#REF!</definedName>
    <definedName name="hn.DZ_MultByFXRates" hidden="1">#REF!,#REF!,#REF!,#REF!</definedName>
    <definedName name="hn.ExtDb" hidden="1">FALSE</definedName>
    <definedName name="hn.FromMain" hidden="1">#REF!</definedName>
    <definedName name="hn.FromMain1" hidden="1">#REF!</definedName>
    <definedName name="hn.FromMain2" hidden="1">#REF!</definedName>
    <definedName name="hn.FromMain3" hidden="1">#REF!</definedName>
    <definedName name="hn.FromMain4" hidden="1">#REF!</definedName>
    <definedName name="hn.FromMain5" hidden="1">#REF!</definedName>
    <definedName name="hn.Global" hidden="1">#REF!</definedName>
    <definedName name="hn.LTM_MultByFXRates" hidden="1">#REF!,#REF!,#REF!,#REF!,#REF!,#REF!,#REF!</definedName>
    <definedName name="hn.LTMData" hidden="1">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ParityCheck" hidden="1">#REF!</definedName>
    <definedName name="hn.PrivateLTMYear" hidden="1">#REF!</definedName>
    <definedName name="hn.RolledForward" hidden="1">FALSE</definedName>
    <definedName name="hn.USLast" hidden="1">#REF!</definedName>
    <definedName name="hn.YearLabel" hidden="1">#REF!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ld">#REF!</definedName>
    <definedName name="Hold_1">#REF!</definedName>
    <definedName name="Hold_1500">#REF!</definedName>
    <definedName name="Hold_2">#REF!</definedName>
    <definedName name="Hold_3">#REF!</definedName>
    <definedName name="Hold_Period">#REF!</definedName>
    <definedName name="Hold1_OR">#REF!</definedName>
    <definedName name="Hold2_OR">#REF!</definedName>
    <definedName name="Hold3_OR">#REF!</definedName>
    <definedName name="hon" hidden="1">{"Full Gross to Net",#N/A,TRUE,"GtoN";"R_I Accepted from Group Coys",#N/A,TRUE,"GtoN";"R_I Ceded to Group Coys",#N/A,TRUE,"GtoN";"Closing Loss Reserves and Gross Claims Incurred",#N/A,TRUE,"GtoN"}</definedName>
    <definedName name="hope" hidden="1">{#N/A,#N/A,FALSE,"LP Exp";#N/A,#N/A,FALSE,"Salary";#N/A,#N/A,FALSE,"Admin Exp";#N/A,#N/A,FALSE,"QTS Bud";#N/A,#N/A,FALSE,"Marketing"}</definedName>
    <definedName name="hope_condo" hidden="1">{#N/A,#N/A,FALSE,"LP Exp";#N/A,#N/A,FALSE,"Salary";#N/A,#N/A,FALSE,"Admin Exp";#N/A,#N/A,FALSE,"QTS Bud";#N/A,#N/A,FALSE,"Marketing"}</definedName>
    <definedName name="HotelEquity">#REF!</definedName>
    <definedName name="houy" hidden="1">{#N/A,#N/A,FALSE,"AD_Purchase";#N/A,#N/A,FALSE,"Credit";#N/A,#N/A,FALSE,"PF Acquisition";#N/A,#N/A,FALSE,"PF Offering"}</definedName>
    <definedName name="HRADJ2" hidden="1">{"2007",#N/A,FALSE,"SUMMARY";"2007",#N/A,FALSE,"RET ON CAP";"2007",#N/A,FALSE,"PROFORMA";"2007",#N/A,FALSE,"Assumptions";"2007",#N/A,FALSE,"Sales &amp; Marketing";"2007",#N/A,FALSE,"Overhead";"2007",#N/A,FALSE,"General Project";"2007",#N/A,FALSE,"Development"}</definedName>
    <definedName name="hsfdhs" hidden="1">#REF!</definedName>
    <definedName name="html" hidden="1">{"'Assump'!$F$6:$J$6"}</definedName>
    <definedName name="HTML_CodePage" hidden="1">1252</definedName>
    <definedName name="HTML_Control" hidden="1">{"'Table of Contents'!$A$1"}</definedName>
    <definedName name="HTML_Control1" hidden="1">{"'B-2 QSER Jun 98 4-27-98 cor'!$A$1:$F$57"}</definedName>
    <definedName name="HTML_Control2" hidden="1">{"'Cash Requirements 5F '!$A$1:$AC$48"}</definedName>
    <definedName name="HTML_Control5" hidden="1">{"'B-2 QSER Jun 98 4-27-98 cor'!$A$1:$F$57"}</definedName>
    <definedName name="HTML_Ctrl" hidden="1">{"'Expirations'!$A$1:$L$65"}</definedName>
    <definedName name="HTML_Description" hidden="1">""</definedName>
    <definedName name="HTML_Email" hidden="1">""</definedName>
    <definedName name="HTML_Header" hidden="1">"Table of Contents"</definedName>
    <definedName name="HTML_LastUpdate" hidden="1">"6/5/01"</definedName>
    <definedName name="HTML_LineAfter" hidden="1">FALSE</definedName>
    <definedName name="HTML_LineBefore" hidden="1">FALSE</definedName>
    <definedName name="HTML_Name" hidden="1">"Samuel Lyustikman"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"E:\temp\MyHTML.htm"</definedName>
    <definedName name="HTML_PathTemplate" hidden="1">"C:\Quaterly Reports\MyHTML.htm"</definedName>
    <definedName name="HTML_Title" hidden="1">"MTK_template_2_1"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2_10" hidden="1">""</definedName>
    <definedName name="HTML2_11" hidden="1">-4146</definedName>
    <definedName name="HTML2_12" hidden="1">"C:\My Documents\Intranet\profit plan\HTML\GERMANY.htm"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1</definedName>
    <definedName name="HTML2_7" hidden="1">1</definedName>
    <definedName name="HTML2_8" hidden="1">""</definedName>
    <definedName name="HTML2_9" hidden="1">""</definedName>
    <definedName name="HTMLCount" hidden="1">1</definedName>
    <definedName name="htmlnew" hidden="1">{"'Assump'!$F$6:$J$6"}</definedName>
    <definedName name="hu" hidden="1">{"Total",#N/A,FALSE,"Six Fields";"PDP",#N/A,FALSE,"Six Fields";"PNP",#N/A,FALSE,"Six Fields";"PUD",#N/A,FALSE,"Six Fields";"Prob",#N/A,FALSE,"Six Fields"}</definedName>
    <definedName name="huh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hui" hidden="1">{"Sum1",#N/A,FALSE,"Reserve Report";"Sum2",#N/A,FALSE,"Reserve Report";"Sum3",#N/A,FALSE,"Reserve Report";"Sum4",#N/A,FALSE,"Reserve Report"}</definedName>
    <definedName name="HUNTPRINT">#REF!</definedName>
    <definedName name="HUNTSPLIT">#REF!</definedName>
    <definedName name="HURDLE">#REF!</definedName>
    <definedName name="i" hidden="1">{#N/A,#N/A,FALSE,"Chart 2 by Prop Type"}</definedName>
    <definedName name="ien" hidden="1">{"P_L Account",#N/A,FALSE,"Prime";"Assets",#N/A,FALSE,"Prime";"Liabilities",#N/A,FALSE,"Prime";"Capital and Reserves",#N/A,FALSE,"Prime";"Rec. of S_Holders Funds",#N/A,FALSE,"Prime";"Rec. of Pre and Post Tax Result",#N/A,FALSE,"Prime"}</definedName>
    <definedName name="IGLookUp">#REF!</definedName>
    <definedName name="ignore" hidden="1">{#N/A,#N/A,FALSE,"WATCHDSC";#N/A,#N/A,FALSE,"2LOSSMOD";#N/A,#N/A,FALSE,"2LOSS";#N/A,#N/A,FALSE,"DSC";#N/A,#N/A,FALSE,"OPERAT";#N/A,#N/A,FALSE,"ADJUST";#N/A,#N/A,FALSE,"LEASE EXPIRE"}</definedName>
    <definedName name="IHMConsultant" hidden="1">#REF!</definedName>
    <definedName name="IHMFirstProjected" hidden="1">#REF!</definedName>
    <definedName name="IHMLastHistoric" hidden="1">#REF!</definedName>
    <definedName name="IHMLocation" hidden="1">#REF!</definedName>
    <definedName name="IHMModelVersion" hidden="1">#REF!</definedName>
    <definedName name="IHMNumRooms" hidden="1">#REF!</definedName>
    <definedName name="IHMPrintCF1" hidden="1">#REF!</definedName>
    <definedName name="IHMPrintMR1" hidden="1">#REF!</definedName>
    <definedName name="IHMPrintMR2" hidden="1">#REF!</definedName>
    <definedName name="IHMPrintPO1" hidden="1">#REF!</definedName>
    <definedName name="IHMPrintPO2" hidden="1">#REF!</definedName>
    <definedName name="IHMPrintPO3" hidden="1">#REF!</definedName>
    <definedName name="IHMPrintPR1" hidden="1">#REF!</definedName>
    <definedName name="IHMPrintVAL1" hidden="1">#REF!</definedName>
    <definedName name="IHMPrintVAL2" hidden="1">#REF!</definedName>
    <definedName name="IHMProjectCity" hidden="1">#REF!</definedName>
    <definedName name="IHMProjectName" hidden="1">#REF!</definedName>
    <definedName name="IHMProjectState" hidden="1">#REF!</definedName>
    <definedName name="IHMPropertyLocation" hidden="1">#REF!</definedName>
    <definedName name="IHMReviewer" hidden="1">#REF!</definedName>
    <definedName name="III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iiii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ik" hidden="1">{#N/A,#N/A,FALSE,"Chart 2 by Prop Type"}</definedName>
    <definedName name="ilghd" hidden="1">{"Investor",#N/A,FALSE,"Model";"Property",#N/A,FALSE,"Model";"Incentive Taxes",#N/A,FALSE,"Model"}</definedName>
    <definedName name="immediate" hidden="1">{"sheet a",#N/A,FALSE,"A";"2 9 casflow",#N/A,FALSE,"B"}</definedName>
    <definedName name="inc">#REF!</definedName>
    <definedName name="INC00">#REF!</definedName>
    <definedName name="IncentFee">#REF!</definedName>
    <definedName name="income">#REF!</definedName>
    <definedName name="index2" hidden="1">{#N/A,#N/A,FALSE,"Class A";#N/A,#N/A,FALSE,"Class B";#N/A,#N/A,FALSE,"Class C"}</definedName>
    <definedName name="Indianapolis" hidden="1">{"Primarily Competition",#N/A,FALSE,"Comp.&amp; Market Penet."}</definedName>
    <definedName name="inf">#REF!</definedName>
    <definedName name="Inf.G_Flor" hidden="1">#REF!</definedName>
    <definedName name="Inf.G_Trad" hidden="1">#REF!</definedName>
    <definedName name="Inflation">#REF!</definedName>
    <definedName name="inflationrate">#REF!</definedName>
    <definedName name="INFLRATE">#REF!</definedName>
    <definedName name="info">#REF!</definedName>
    <definedName name="Initial_CC_Escal_Mo">#REF!</definedName>
    <definedName name="Initial_CC_Escalation_Year">#REF!</definedName>
    <definedName name="Initial_Funding">#REF!</definedName>
    <definedName name="Initial_Reg_Escal_Mo">#REF!</definedName>
    <definedName name="Initial_Reg_Escalation_Yr">#REF!</definedName>
    <definedName name="Inplace_NOI">#REF!</definedName>
    <definedName name="InplaceNetRentPSF">#REF!</definedName>
    <definedName name="InplacePSF">#REF!</definedName>
    <definedName name="InplaceRentPSF">#REF!</definedName>
    <definedName name="INPUT">#REF!</definedName>
    <definedName name="Input_rentpsf">#REF!</definedName>
    <definedName name="inputpage">#REF!</definedName>
    <definedName name="Inst._klein_pausch">#REF!</definedName>
    <definedName name="Int">#REF!</definedName>
    <definedName name="int_ext_sel" hidden="1">2</definedName>
    <definedName name="INTEREST">#REF!</definedName>
    <definedName name="Interest_cost">#REF!</definedName>
    <definedName name="Interest_Rate">#REF!</definedName>
    <definedName name="INTEREST1">#REF!</definedName>
    <definedName name="INTEREST2">#REF!</definedName>
    <definedName name="INTEREST3">#REF!</definedName>
    <definedName name="INTMARGIN">#REF!</definedName>
    <definedName name="IntOnlyYrs">#REF!</definedName>
    <definedName name="IntRate">#REF!</definedName>
    <definedName name="IntRate2">#REF!</definedName>
    <definedName name="INTROP" hidden="1">#REF!</definedName>
    <definedName name="IntroPrintArea" hidden="1">#REF!</definedName>
    <definedName name="IntroPrintArea_b" hidden="1">#REF!</definedName>
    <definedName name="invcap" hidden="1">#REF!</definedName>
    <definedName name="invcap2" hidden="1">#REF!</definedName>
    <definedName name="Investor">#REF!</definedName>
    <definedName name="InvestorDistriOper">#REF!</definedName>
    <definedName name="InvestorDistriSale">#REF!</definedName>
    <definedName name="InvestorEq">#REF!</definedName>
    <definedName name="InvestorOwn">#REF!</definedName>
    <definedName name="InvestorPrefer">#REF!</definedName>
    <definedName name="iouu" hidden="1">{"Total",#N/A,FALSE,"Total Proved + Probable";"PDP",#N/A,FALSE,"Total Proved + Probable";"PNP",#N/A,FALSE,"Total Proved + Probable";"PUD",#N/A,FALSE,"Total Proved + Probable";"Prob",#N/A,FALSE,"Total Proved + Probable"}</definedName>
    <definedName name="IPO_spot">#REF!</definedName>
    <definedName name="IQ_1_4_CONSTRUCTION_GROSS_LOANS_FFIEC">"c13402"</definedName>
    <definedName name="IQ_1_4_CONSTRUCTION_LL_REC_DOM_FFIEC">"c12899"</definedName>
    <definedName name="IQ_1_4_CONSTRUCTION_LOAN_COMMITMENTS_UNUSED_FFIEC">"c13244"</definedName>
    <definedName name="IQ_1_4_CONSTRUCTION_LOANS_DUE_30_89_FFIEC">"c13257"</definedName>
    <definedName name="IQ_1_4_CONSTRUCTION_LOANS_DUE_90_FFIEC">"c13285"</definedName>
    <definedName name="IQ_1_4_CONSTRUCTION_LOANS_NON_ACCRUAL_FFIEC">"c13311"</definedName>
    <definedName name="IQ_1_4_CONSTRUCTION_RISK_BASED_FFIEC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FS_AMORT_COST_FFIEC" hidden="1">"c20499"</definedName>
    <definedName name="IQ_ABS_AFS_FAIR_VAL_FFIEC" hidden="1">"c20464"</definedName>
    <definedName name="IQ_ABS_AVAIL_SALE_FFIEC">"c12802"</definedName>
    <definedName name="IQ_ABS_FFIEC">"c12788"</definedName>
    <definedName name="IQ_ABS_HTM_AMORT_COST_FFIEC" hidden="1">"c20447"</definedName>
    <definedName name="IQ_ABS_HTM_FAIR_VAL_FFIEC" hidden="1">"c20482"</definedName>
    <definedName name="IQ_ABS_INVEST_SECURITIES_FFIEC">"c13461"</definedName>
    <definedName name="IQ_ABS_PERIOD">"c13823"</definedName>
    <definedName name="IQ_ABS_PERIOD_EST" hidden="1">"c16122"</definedName>
    <definedName name="IQ_ACCEPTANCES_OTHER_FOREIGN_BANKS_LL_REC_FFIEC">"c15293"</definedName>
    <definedName name="IQ_ACCEPTANCES_OTHER_US_BANKS_LL_REC_FFIEC">"c15292"</definedName>
    <definedName name="IQ_ACCOUNT_CHANGE" hidden="1">"c1449"</definedName>
    <definedName name="IQ_ACCOUNT_CODE_INTEREST_PENALTIES">"c15741"</definedName>
    <definedName name="IQ_Account_delta" hidden="1">"c413"</definedName>
    <definedName name="IQ_ACCOUNTING_FFIEC">"c13054"</definedName>
    <definedName name="IQ_ACCOUNTING_STANDARD" hidden="1">"c4539"</definedName>
    <definedName name="IQ_ACCOUNTING_STANDARD_CIQ_COL" hidden="1">"c11739"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AMORT_GW" hidden="1">"c17749"</definedName>
    <definedName name="IQ_ACCUM_AMORT_INTAN_ASSETS" hidden="1">"c17747"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_WIRELESS_SUB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COST_SUB">"c15807"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_TAX_POSITIONS_CURRENT_YR">"c15733"</definedName>
    <definedName name="IQ_ADD_TAX_POSITIONS_PRIOR_YRS">"c15735"</definedName>
    <definedName name="IQ_ADDIN" hidden="1">"AUTO"</definedName>
    <definedName name="IQ_ADDITIONAL_NON_INT_INC_FDIC" hidden="1">"c6574"</definedName>
    <definedName name="IQ_ADDITIONS_NON_ACCRUAL_ASSET_DURING_QTR_FFIEC">"c15349"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DILUTED">"c16188"</definedName>
    <definedName name="IQ_AFFO_PER_SHARE_BASIC" hidden="1">"c8869"</definedName>
    <definedName name="IQ_AFFO_PER_SHARE_DILUTED" hidden="1">"c8870"</definedName>
    <definedName name="IQ_AFS_INVEST_SECURITIES_FFIEC">"c13456"</definedName>
    <definedName name="IQ_AFS_SECURITIES_TIER_1_FFIEC">"c13343"</definedName>
    <definedName name="IQ_AFTER_TAX_INCOME_FDIC" hidden="1">"c6583"</definedName>
    <definedName name="IQ_AG_PROD_FARM_LOANS_DOM_QUARTERLY_AVG_FFIEC">"c15477"</definedName>
    <definedName name="IQ_AGENCY" hidden="1">"c8960"</definedName>
    <definedName name="IQ_AGENCY_INVEST_SECURITIES_FFIEC">"c13458"</definedName>
    <definedName name="IQ_AGG_CORPORATE_SHARES">"c13781"</definedName>
    <definedName name="IQ_AGG_CORPORATE_VALUE">"c13774"</definedName>
    <definedName name="IQ_AGG_ESOP_SHARES">"c13782"</definedName>
    <definedName name="IQ_AGG_ESOP_VALUE">"c13775"</definedName>
    <definedName name="IQ_AGG_FOUNDATION_SHARES">"c13783"</definedName>
    <definedName name="IQ_AGG_FOUNDATION_VALUE">"c13776"</definedName>
    <definedName name="IQ_AGG_HEDGEFUND_SHARES">"c13785"</definedName>
    <definedName name="IQ_AGG_HEDGEFUND_VALUE">"c13778"</definedName>
    <definedName name="IQ_AGG_INSIDER_SHARES">"c13780"</definedName>
    <definedName name="IQ_AGG_INSIDER_VALUE">"c13773"</definedName>
    <definedName name="IQ_AGG_INSTITUTIONAL_SHARES">"c13779"</definedName>
    <definedName name="IQ_AGG_INSTITUTIONAL_VALUE">"c13772"</definedName>
    <definedName name="IQ_AGG_OTHER_SHARES">"c13784"</definedName>
    <definedName name="IQ_AGG_OTHER_VALUE">"c13777"</definedName>
    <definedName name="IQ_AGRICULTURAL_GROSS_LOANS_FFIEC">"c13413"</definedName>
    <definedName name="IQ_AGRICULTURAL_LOANS_FOREIGN_FFIEC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DEPOSITS_FOREIGN_DEP_FFIEC">"c15347"</definedName>
    <definedName name="IQ_ALL_OTHER_INVEST_UNCONSOL_SUBS_FFIEC">"c15275"</definedName>
    <definedName name="IQ_ALL_OTHER_LEASES_CHARGE_OFFS_FFIEC">"c13185"</definedName>
    <definedName name="IQ_ALL_OTHER_LEASES_RECOV_FFIEC">"c13207"</definedName>
    <definedName name="IQ_ALL_OTHER_LOANS_CHARGE_OFFS_FFIEC">"c13183"</definedName>
    <definedName name="IQ_ALL_OTHER_LOANS_RECOV_FFIEC">"c13205"</definedName>
    <definedName name="IQ_ALL_OTHER_TRADING_LIABILITIES_DOM_FFIEC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>"c12810"</definedName>
    <definedName name="IQ_ALLOWABLE_T2_CAPITAL_FFIEC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>"c12871"</definedName>
    <definedName name="IQ_ALLOWANCE_LL_LOSSES_T2_FFIEC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>"c13026"</definedName>
    <definedName name="IQ_AMORT_EXPENSE_FDIC" hidden="1">"c6677"</definedName>
    <definedName name="IQ_AMORTIZATION" hidden="1">"c1591"</definedName>
    <definedName name="IQ_AMORTIZED_COST_FDIC" hidden="1">"c6426"</definedName>
    <definedName name="IQ_AMOUNT_FINANCIAL_LOC_CONVEYED_FFIEC">"c13250"</definedName>
    <definedName name="IQ_AMOUNT_PERFORMANCE_LOC_CONVEYED_FFIEC">"c13252"</definedName>
    <definedName name="IQ_AMT_OUT" hidden="1">"c2145"</definedName>
    <definedName name="IQ_ANALYST_DET_EST" hidden="1">"c12043"</definedName>
    <definedName name="IQ_ANALYST_DET_EST_THOM" hidden="1">"c12071"</definedName>
    <definedName name="IQ_ANALYST_EMAIL">"c13738"</definedName>
    <definedName name="IQ_ANALYST_NAME">"c13736"</definedName>
    <definedName name="IQ_ANALYST_NON_PER_DET_EST" hidden="1">"c12755"</definedName>
    <definedName name="IQ_ANALYST_NON_PER_DET_EST_THOM" hidden="1">"c12759"</definedName>
    <definedName name="IQ_ANALYST_PHONE">"c13737"</definedName>
    <definedName name="IQ_ANALYST_START_DATE">"c13740"</definedName>
    <definedName name="IQ_ANNU_DISTRIBUTION_UNIT" hidden="1">"c3004"</definedName>
    <definedName name="IQ_ANNUAL_DIVIDEND" hidden="1">"c229"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RPU_ANALOG_CABLE">"c2864"</definedName>
    <definedName name="IQ_ARPU_BASIC_CABLE">"c2866"</definedName>
    <definedName name="IQ_ARPU_BBAND">"c2867"</definedName>
    <definedName name="IQ_ARPU_DIG_CABLE">"c2865"</definedName>
    <definedName name="IQ_ARPU_PHONE">"c2868"</definedName>
    <definedName name="IQ_ARPU_POSTPAID_WIRELESS">"c15758"</definedName>
    <definedName name="IQ_ARPU_PREPAID_WIRELESS">"c15759"</definedName>
    <definedName name="IQ_ARPU_RETAIL_WIRELESS">"c15760"</definedName>
    <definedName name="IQ_ARPU_SATELLITE">"c15790"</definedName>
    <definedName name="IQ_ARPU_TOTAL">"c2869"</definedName>
    <definedName name="IQ_ARPU_WHOLESALE_WIRELESS">"c15761"</definedName>
    <definedName name="IQ_ARPU_WIRELESS">"c2126"</definedName>
    <definedName name="IQ_ASKPRICE" hidden="1">"c13927"</definedName>
    <definedName name="IQ_ASSET_BACKED_FDIC" hidden="1">"c6301"</definedName>
    <definedName name="IQ_ASSET_MANAGED_GROWTH_RATE" hidden="1">"c20434"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>"c13843"</definedName>
    <definedName name="IQ_ASSETS_HELD_FDIC" hidden="1">"c6305"</definedName>
    <definedName name="IQ_ASSETS_LEVEL_1">"c13839"</definedName>
    <definedName name="IQ_ASSETS_LEVEL_2">"c13840"</definedName>
    <definedName name="IQ_ASSETS_LEVEL_3">"c13841"</definedName>
    <definedName name="IQ_ASSETS_NAME_AP" hidden="1">"c8921"</definedName>
    <definedName name="IQ_ASSETS_NAME_AP_ABS" hidden="1">"c8940"</definedName>
    <definedName name="IQ_ASSETS_NETTING_OTHER_ADJUSTMENTS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ETS_UNDER_ADMINISTRATION" hidden="1">"c20432"</definedName>
    <definedName name="IQ_ASSIGNED_RESERVES_COAL">"c15912"</definedName>
    <definedName name="IQ_ASSIGNED_RESERVES_TO_TOTAL_RESERVES_COAL">"c15955"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LOSSES">"c15870"</definedName>
    <definedName name="IQ_ASSUMED_PC_EARNED" hidden="1">"c2746"</definedName>
    <definedName name="IQ_ASSUMED_PREMIUMS_EARNED_GROSS_PREMIUMS_EARNED">"c15886"</definedName>
    <definedName name="IQ_ASSUMED_PREMIUMS_WRITTEN_GROSS_PREMIUMS_WRITTEN">"c15884"</definedName>
    <definedName name="IQ_ASSUMED_WRITTEN" hidden="1">"c2725"</definedName>
    <definedName name="IQ_ATM_FEES_FFIEC">"c13042"</definedName>
    <definedName name="IQ_ATM_INTERCHANGE_EXPENSES_FFIEC">"c13056"</definedName>
    <definedName name="IQ_AUDITOR_NAME" hidden="1">"c1539"</definedName>
    <definedName name="IQ_AUDITOR_OPINION" hidden="1">"c1540"</definedName>
    <definedName name="IQ_AUM" hidden="1">"c10043"</definedName>
    <definedName name="IQ_AUM_ACQUISITIONS_TRANSFERS" hidden="1">"c20415"</definedName>
    <definedName name="IQ_AUM_AVERAGE" hidden="1">"c20418"</definedName>
    <definedName name="IQ_AUM_BOP" hidden="1">"c20409"</definedName>
    <definedName name="IQ_AUM_CASH_FLOWS_DIVIDENDS" hidden="1">"c20413"</definedName>
    <definedName name="IQ_AUM_DOMESTIC" hidden="1">"c20400"</definedName>
    <definedName name="IQ_AUM_EOP" hidden="1">"c20417"</definedName>
    <definedName name="IQ_AUM_EQUITY_FUNDS" hidden="1">"c10039"</definedName>
    <definedName name="IQ_AUM_FEE_EARNING" hidden="1">"c20402"</definedName>
    <definedName name="IQ_AUM_FIXED_INCOME_FUNDS" hidden="1">"c10040"</definedName>
    <definedName name="IQ_AUM_FOREIGN" hidden="1">"c20401"</definedName>
    <definedName name="IQ_AUM_HIGH_NET_WORTH" hidden="1">"c20398"</definedName>
    <definedName name="IQ_AUM_INFLOWS" hidden="1">"c20410"</definedName>
    <definedName name="IQ_AUM_INSTITUTIONAL" hidden="1">"c20396"</definedName>
    <definedName name="IQ_AUM_INSTITUTIONAL_CUSTOMERS" hidden="1">"c20405"</definedName>
    <definedName name="IQ_AUM_MARKET_APPRECIATION_DEPRECIATION" hidden="1">"c20414"</definedName>
    <definedName name="IQ_AUM_MONEY_MARKET_FUNDS" hidden="1">"c10041"</definedName>
    <definedName name="IQ_AUM_NET_CHANGE" hidden="1">"c20419"</definedName>
    <definedName name="IQ_AUM_NET_INFLOWS_OUTFLOWS" hidden="1">"c20412"</definedName>
    <definedName name="IQ_AUM_NON_FEE_EARNING" hidden="1">"c20403"</definedName>
    <definedName name="IQ_AUM_OTHER" hidden="1">"c10042"</definedName>
    <definedName name="IQ_AUM_OTHER_ADJUSTMENTS" hidden="1">"c20416"</definedName>
    <definedName name="IQ_AUM_OTHER_CLIENTS" hidden="1">"c20399"</definedName>
    <definedName name="IQ_AUM_OTHER_CUSTOMERS" hidden="1">"c20407"</definedName>
    <definedName name="IQ_AUM_OUTFLOWS" hidden="1">"c20411"</definedName>
    <definedName name="IQ_AUM_PRIVATE_EQUITY" hidden="1">"c20394"</definedName>
    <definedName name="IQ_AUM_REAL_ESTATE" hidden="1">"c20395"</definedName>
    <definedName name="IQ_AUM_RETAIL" hidden="1">"c20397"</definedName>
    <definedName name="IQ_AUM_RETAIL_CUSTOMERS" hidden="1">"c20404"</definedName>
    <definedName name="IQ_AUM_SME_CUSTOMERS" hidden="1">"c20406"</definedName>
    <definedName name="IQ_AUM_TOTAL_CUSTOMERS" hidden="1">"c20408"</definedName>
    <definedName name="IQ_AUTO_LOANS_TOTAL_LOANS">"c15713"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_FOR_SALE_FAIR_VALUE_TOT_FFIEC">"c15399"</definedName>
    <definedName name="IQ_AVAIL_FOR_SALE_LEVEL_1_FFIEC">"c15421"</definedName>
    <definedName name="IQ_AVAIL_FOR_SALE_LEVEL_2_FFIEC">"c15434"</definedName>
    <definedName name="IQ_AVAIL_FOR_SALE_LEVEL_3_FFIEC">"c15447"</definedName>
    <definedName name="IQ_AVAILABLE_FOR_SALE_FDIC" hidden="1">"c6409"</definedName>
    <definedName name="IQ_AVAILABLE_SALE_SEC_FFIEC">"c12791"</definedName>
    <definedName name="IQ_AVERAGE_ASSETS_FDIC" hidden="1">"c6362"</definedName>
    <definedName name="IQ_AVERAGE_ASSETS_QUART_FDIC" hidden="1">"c6363"</definedName>
    <definedName name="IQ_AVERAGE_DEPOSITS">"c15256"</definedName>
    <definedName name="IQ_AVERAGE_EARNING_ASSETS_FDIC" hidden="1">"c6748"</definedName>
    <definedName name="IQ_AVERAGE_EQUITY_FDIC" hidden="1">"c6749"</definedName>
    <definedName name="IQ_AVERAGE_INTEREST_BEARING_DEPOSITS">"c15254"</definedName>
    <definedName name="IQ_AVERAGE_LOANS_FDIC" hidden="1">"c6750"</definedName>
    <definedName name="IQ_AVERAGE_LOANS_HFI">"c15251"</definedName>
    <definedName name="IQ_AVERAGE_LOANS_HFS">"c15252"</definedName>
    <definedName name="IQ_AVERAGE_NON_INTEREST_BEARING_DEPOSITS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CIQ_COL" hidden="1">"c11631"</definedName>
    <definedName name="IQ_AVG_INDUSTRY_REC_NO" hidden="1">"c4454"</definedName>
    <definedName name="IQ_AVG_INDUSTRY_REC_NO_CIQ_COL" hidden="1">"c11630"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INV_HOMEBUILDING">"c15812"</definedName>
    <definedName name="IQ_AVG_INV_HOMES">"c15810"</definedName>
    <definedName name="IQ_AVG_INV_LAND_LOTS">"c15811"</definedName>
    <definedName name="IQ_AVG_MKTCAP" hidden="1">"c80"</definedName>
    <definedName name="IQ_AVG_PORTFOLIO_DURATION" hidden="1">"c17693"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REV_PER_TRADE" hidden="1">"c20431"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>"c13159"</definedName>
    <definedName name="IQ_AVG_TOTAL_ASSETS_LEVERAGE_RATIO_FFIEC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>"c13386"</definedName>
    <definedName name="IQ_BANKS_FOREIGN_COUNTRIES_NON_TRANS_ACCTS_FFIEC">"c15326"</definedName>
    <definedName name="IQ_BANKS_FOREIGN_COUNTRIES_TOTAL_DEPOSITS_FDIC" hidden="1">"c6475"</definedName>
    <definedName name="IQ_BANKS_FOREIGN_COUNTRIES_TRANS_ACCTS_FFIEC">"c15318"</definedName>
    <definedName name="IQ_BASE_RENT">"c16017"</definedName>
    <definedName name="IQ_BASE_RENT_OPERATING_LEASE_EXPIRING_AFTER_FIVE">"c16107"</definedName>
    <definedName name="IQ_BASE_RENT_OPERATING_LEASE_EXPIRING_CY">"c16101"</definedName>
    <definedName name="IQ_BASE_RENT_OPERATING_LEASE_EXPIRING_CY1">"c16102"</definedName>
    <definedName name="IQ_BASE_RENT_OPERATING_LEASE_EXPIRING_CY2">"c16103"</definedName>
    <definedName name="IQ_BASE_RENT_OPERATING_LEASE_EXPIRING_CY3">"c16104"</definedName>
    <definedName name="IQ_BASE_RENT_OPERATING_LEASE_EXPIRING_CY4">"c16105"</definedName>
    <definedName name="IQ_BASE_RENT_OPERATING_LEASE_EXPIRING_NEXT_FIVE">"c16106"</definedName>
    <definedName name="IQ_BASE_RENT_OPERATING_LEASE_EXPIRING_TOTAL">"c16108"</definedName>
    <definedName name="IQ_BASE_RENT_RENTAL_REVENUE">"c16062"</definedName>
    <definedName name="IQ_BASIC_EPS_EXCL" hidden="1">"c85"</definedName>
    <definedName name="IQ_BASIC_EPS_INCL" hidden="1">"c86"</definedName>
    <definedName name="IQ_BASIC_NAV_SHARES">"c16012"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DPRICE" hidden="1">"c13926"</definedName>
    <definedName name="IQ_BIG_INT_BEAR_CD" hidden="1">"c11749"</definedName>
    <definedName name="IQ_BOARD_MEMBER" hidden="1">"c96"</definedName>
    <definedName name="IQ_BOARD_MEMBER_ALL_OTHER_COMP">"c18992"</definedName>
    <definedName name="IQ_BOARD_MEMBER_ANNUAL_CASH_COMP">"c18993"</definedName>
    <definedName name="IQ_BOARD_MEMBER_AS_REPORTED_COMP">"c18997"</definedName>
    <definedName name="IQ_BOARD_MEMBER_AS_REPORTED_DIRECTOR_COMP">"c19009"</definedName>
    <definedName name="IQ_BOARD_MEMBER_ASSISTANT_EMAIL">"c15179"</definedName>
    <definedName name="IQ_BOARD_MEMBER_ASSISTANT_FAX">"c15181"</definedName>
    <definedName name="IQ_BOARD_MEMBER_ASSISTANT_NAME">"c15178"</definedName>
    <definedName name="IQ_BOARD_MEMBER_ASSISTANT_PHONE">"c15180"</definedName>
    <definedName name="IQ_BOARD_MEMBER_BACKGROUND" hidden="1">"c2101"</definedName>
    <definedName name="IQ_BOARD_MEMBER_BONUS">"c18988"</definedName>
    <definedName name="IQ_BOARD_MEMBER_CALCULATED_COMP">"c18995"</definedName>
    <definedName name="IQ_BOARD_MEMBER_CHANGE_PENSION">"c19010"</definedName>
    <definedName name="IQ_BOARD_MEMBER_DIRECT_FAX">"c15176"</definedName>
    <definedName name="IQ_BOARD_MEMBER_DIRECT_PHONE">"c15175"</definedName>
    <definedName name="IQ_BOARD_MEMBER_DIRECTOR_BONUS">"c19004"</definedName>
    <definedName name="IQ_BOARD_MEMBER_DIRECTOR_CHANGE_PENSION">"c19005"</definedName>
    <definedName name="IQ_BOARD_MEMBER_DIRECTOR_FEE">"c19001"</definedName>
    <definedName name="IQ_BOARD_MEMBER_DIRECTOR_NON_EQUITY_COMP">"c19006"</definedName>
    <definedName name="IQ_BOARD_MEMBER_DIRECTOR_OPTION_AWARDS">"c19002"</definedName>
    <definedName name="IQ_BOARD_MEMBER_DIRECTOR_OTHER">"c19003"</definedName>
    <definedName name="IQ_BOARD_MEMBER_DIRECTOR_STOCK_AWARDS">"c19007"</definedName>
    <definedName name="IQ_BOARD_MEMBER_DIRECTOR_STOCK_GRANTS">"c19034"</definedName>
    <definedName name="IQ_BOARD_MEMBER_DIRECTOR_STOCK_OPTIONS">"c19008"</definedName>
    <definedName name="IQ_BOARD_MEMBER_EMAIL">"c15177"</definedName>
    <definedName name="IQ_BOARD_MEMBER_EQUITY_INCENTIVE">"c19030"</definedName>
    <definedName name="IQ_BOARD_MEMBER_EST_PAYMENTS_CHANGE_CONTROL">"c18999"</definedName>
    <definedName name="IQ_BOARD_MEMBER_EST_PAYMENTS_TERMINATION">"c19011"</definedName>
    <definedName name="IQ_BOARD_MEMBER_EXERCISABLE_OPTIONS">"c19014"</definedName>
    <definedName name="IQ_BOARD_MEMBER_EXERCISABLE_VALUES">"c19015"</definedName>
    <definedName name="IQ_BOARD_MEMBER_EXERCISED_OPTIONS">"c19012"</definedName>
    <definedName name="IQ_BOARD_MEMBER_EXERCISED_VALUES">"c19013"</definedName>
    <definedName name="IQ_BOARD_MEMBER_ID">"c13756"</definedName>
    <definedName name="IQ_BOARD_MEMBER_LT_INCENTIVE">"c18991"</definedName>
    <definedName name="IQ_BOARD_MEMBER_MAIN_FAX">"c15174"</definedName>
    <definedName name="IQ_BOARD_MEMBER_MAIN_PHONE">"c15173"</definedName>
    <definedName name="IQ_BOARD_MEMBER_MARKET_VALUE_SHARES_NOT_VESTED">"c19029"</definedName>
    <definedName name="IQ_BOARD_MEMBER_NON_EQUITY_INCENTIVE">"c19000"</definedName>
    <definedName name="IQ_BOARD_MEMBER_NUM_SHARED_NOT_VESTED">"c19028"</definedName>
    <definedName name="IQ_BOARD_MEMBER_NUM_SHARES_ACQUIRED">"c19026"</definedName>
    <definedName name="IQ_BOARD_MEMBER_OFFICE_ADDRESS">"c15172"</definedName>
    <definedName name="IQ_BOARD_MEMBER_OPTION_AWARDS">"c18996"</definedName>
    <definedName name="IQ_BOARD_MEMBER_OPTION_MARKET_PRICE">"c19025"</definedName>
    <definedName name="IQ_BOARD_MEMBER_OPTION_PRICE">"c19024"</definedName>
    <definedName name="IQ_BOARD_MEMBER_OTHER_ANNUAL_COMP">"c18989"</definedName>
    <definedName name="IQ_BOARD_MEMBER_OTHER_COMP">"c18998"</definedName>
    <definedName name="IQ_BOARD_MEMBER_RESTRICTED_STOCK_COMP">"c18990"</definedName>
    <definedName name="IQ_BOARD_MEMBER_SALARY">"c18987"</definedName>
    <definedName name="IQ_BOARD_MEMBER_ST_COMP">"c18994"</definedName>
    <definedName name="IQ_BOARD_MEMBER_TITLE" hidden="1">"c97"</definedName>
    <definedName name="IQ_BOARD_MEMBER_TOTAL_NUM_STOCK_AWARDS">"c19033"</definedName>
    <definedName name="IQ_BOARD_MEMBER_TOTAL_OPTIONS">"c19022"</definedName>
    <definedName name="IQ_BOARD_MEMBER_TOTAL_STOCK_VALUE">"c19032"</definedName>
    <definedName name="IQ_BOARD_MEMBER_TOTAL_VALUE_OPTIONS">"c19023"</definedName>
    <definedName name="IQ_BOARD_MEMBER_UNCLASSIFIED_OPTIONS">"c19018"</definedName>
    <definedName name="IQ_BOARD_MEMBER_UNCLASSIFIED_OPTIONS_VALUE">"c19019"</definedName>
    <definedName name="IQ_BOARD_MEMBER_UNEARNED_STOCK_VALUE">"c19031"</definedName>
    <definedName name="IQ_BOARD_MEMBER_UNEXERCISABLE_OPTIONS">"c19016"</definedName>
    <definedName name="IQ_BOARD_MEMBER_UNEXERCISABLE_VALUES">"c19017"</definedName>
    <definedName name="IQ_BOARD_MEMBER_UNEXERCISED_UNEARNED_OPTIONS">"c19020"</definedName>
    <definedName name="IQ_BOARD_MEMBER_UNEXERCISED_UNEARNED_OPTIONS_VALUE">"c19021"</definedName>
    <definedName name="IQ_BOARD_MEMBER_VALUE_VESTING">"c19027"</definedName>
    <definedName name="IQ_BOND_COUPON" hidden="1">"c2183"</definedName>
    <definedName name="IQ_BOND_COUPON_TYPE" hidden="1">"c2184"</definedName>
    <definedName name="IQ_BOND_LIST">"c13505"</definedName>
    <definedName name="IQ_BOND_PRICE" hidden="1">"c2162"</definedName>
    <definedName name="IQ_BONDRATING_FITCH" hidden="1">"c223"</definedName>
    <definedName name="IQ_BONDRATING_FITCH_DATE" hidden="1">"c241"</definedName>
    <definedName name="IQ_BONDRATING_SP" hidden="1">"c224"</definedName>
    <definedName name="IQ_BONDRATING_SP_DATE" hidden="1">"c242"</definedName>
    <definedName name="IQ_BOOK_VALUE" hidden="1">"c68"</definedName>
    <definedName name="IQ_BORROWED_MONEY_QUARTERLY_AVG_FFIEC">"c13091"</definedName>
    <definedName name="IQ_BORROWINGS_LESS_1YR_ASSETS_TOT_FFIEC">"c13450"</definedName>
    <definedName name="IQ_BR_FILING_DATE">"c16223"</definedName>
    <definedName name="IQ_BR_FILING_TYPE">"c16224"</definedName>
    <definedName name="IQ_BR_PLAN_APPROVE_DATE">"c16226"</definedName>
    <definedName name="IQ_BR_PLAN_CONFIRM">"c16225"</definedName>
    <definedName name="IQ_BROK_COMISSION" hidden="1">"c98"</definedName>
    <definedName name="IQ_BROK_COMMISSION" hidden="1">"c3514"</definedName>
    <definedName name="IQ_BROKER_DEPOSIT_LESS_THAN_100000_1_YR_LESS_FFIEC">"c15307"</definedName>
    <definedName name="IQ_BROKER_DEPOSIT_LESS_THAN_100000_1_YR_MORE_FFIEC">"c15308"</definedName>
    <definedName name="IQ_BROKER_DEPOSIT_LESS_THAN_100000_FFIEC">"c15306"</definedName>
    <definedName name="IQ_BROKER_DEPOSIT_MORE_THAN_100000_1_YR_LESS_FFIEC">"c15310"</definedName>
    <definedName name="IQ_BROKER_DEPOSIT_MORE_THAN_100000_1_YR_MORE_FFIEC">"c15311"</definedName>
    <definedName name="IQ_BROKER_DEPOSIT_MORE_THAN_100000_FFIEC">"c15309"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DESCRIPTION">"c15589"</definedName>
    <definedName name="IQ_BUS_SEG_DESCRIPTION_ABS">"c15577"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IC">"c15588"</definedName>
    <definedName name="IQ_BUS_SEG_NAIC_ABS">"c15576"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>"c15584"</definedName>
    <definedName name="IQ_BUS_SEG_PRIMARY_GIC_ABS">"c15572"</definedName>
    <definedName name="IQ_BUS_SEG_PRIMARY_SIC">"c15586"</definedName>
    <definedName name="IQ_BUS_SEG_PRIMARY_SIC_ABS">"c15574"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>"c15585"</definedName>
    <definedName name="IQ_BUS_SEG_SECONDARY_GIC_ABS">"c15573"</definedName>
    <definedName name="IQ_BUS_SEG_SECONDARY_SIC">"c15587"</definedName>
    <definedName name="IQ_BUS_SEG_SECONDARY_SIC_ABS">"c15575"</definedName>
    <definedName name="IQ_BUSINESS_COMBINATIONS_FFIEC">"c12967"</definedName>
    <definedName name="IQ_BUSINESS_DESCRIPTION" hidden="1">"c322"</definedName>
    <definedName name="IQ_BV_ACT_OR_EST_CIQ" hidden="1">"c5068"</definedName>
    <definedName name="IQ_BV_ACT_OR_EST_CIQ_COL" hidden="1">"c11715"</definedName>
    <definedName name="IQ_BV_ACT_OR_EST_REUT" hidden="1">"c5471"</definedName>
    <definedName name="IQ_BV_ACT_OR_EST_THOM" hidden="1">"c5308"</definedName>
    <definedName name="IQ_BV_EST" hidden="1">"c5624"</definedName>
    <definedName name="IQ_BV_EST_REUT" hidden="1">"c5403"</definedName>
    <definedName name="IQ_BV_EST_THOM" hidden="1">"c5147"</definedName>
    <definedName name="IQ_BV_HIGH_EST" hidden="1">"c5626"</definedName>
    <definedName name="IQ_BV_HIGH_EST_REUT" hidden="1">"c5405"</definedName>
    <definedName name="IQ_BV_HIGH_EST_THOM" hidden="1">"c5149"</definedName>
    <definedName name="IQ_BV_LOW_EST" hidden="1">"c5627"</definedName>
    <definedName name="IQ_BV_LOW_EST_REUT" hidden="1">"c5406"</definedName>
    <definedName name="IQ_BV_LOW_EST_THOM" hidden="1">"c5150"</definedName>
    <definedName name="IQ_BV_MEDIAN_EST" hidden="1">"c5625"</definedName>
    <definedName name="IQ_BV_MEDIAN_EST_REUT" hidden="1">"c5404"</definedName>
    <definedName name="IQ_BV_MEDIAN_EST_THOM" hidden="1">"c5148"</definedName>
    <definedName name="IQ_BV_NUM_EST" hidden="1">"c5628"</definedName>
    <definedName name="IQ_BV_NUM_EST_REUT" hidden="1">"c5407"</definedName>
    <definedName name="IQ_BV_NUM_EST_THOM" hidden="1">"c5151"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CIQ_COL" hidden="1">"c11719"</definedName>
    <definedName name="IQ_BV_SHARE_ACT_OR_EST_REUT" hidden="1">"c5477"</definedName>
    <definedName name="IQ_BV_SHARE_ACT_OR_EST_THOM" hidden="1">"c5312"</definedName>
    <definedName name="IQ_BV_SHARE_DET_EST" hidden="1">"c12047"</definedName>
    <definedName name="IQ_BV_SHARE_DET_EST_CURRENCY" hidden="1">"c12456"</definedName>
    <definedName name="IQ_BV_SHARE_DET_EST_CURRENCY_THOM" hidden="1">"c12476"</definedName>
    <definedName name="IQ_BV_SHARE_DET_EST_DATE" hidden="1">"c12200"</definedName>
    <definedName name="IQ_BV_SHARE_DET_EST_DATE_THOM" hidden="1">"c12225"</definedName>
    <definedName name="IQ_BV_SHARE_DET_EST_INCL" hidden="1">"c12339"</definedName>
    <definedName name="IQ_BV_SHARE_DET_EST_INCL_THOM" hidden="1">"c12359"</definedName>
    <definedName name="IQ_BV_SHARE_DET_EST_ORIGIN" hidden="1">"c12573"</definedName>
    <definedName name="IQ_BV_SHARE_DET_EST_ORIGIN_THOM" hidden="1">"c12595"</definedName>
    <definedName name="IQ_BV_SHARE_DET_EST_THOM" hidden="1">"c12075"</definedName>
    <definedName name="IQ_BV_SHARE_EST" hidden="1">"c3541"</definedName>
    <definedName name="IQ_BV_SHARE_EST_REUT" hidden="1">"c5439"</definedName>
    <definedName name="IQ_BV_SHARE_EST_THOM" hidden="1">"c4020"</definedName>
    <definedName name="IQ_BV_SHARE_HIGH_EST" hidden="1">"c3542"</definedName>
    <definedName name="IQ_BV_SHARE_HIGH_EST_REUT" hidden="1">"c5441"</definedName>
    <definedName name="IQ_BV_SHARE_HIGH_EST_THOM" hidden="1">"c4022"</definedName>
    <definedName name="IQ_BV_SHARE_LOW_EST" hidden="1">"c3543"</definedName>
    <definedName name="IQ_BV_SHARE_LOW_EST_REUT" hidden="1">"c5442"</definedName>
    <definedName name="IQ_BV_SHARE_LOW_EST_THOM" hidden="1">"c4023"</definedName>
    <definedName name="IQ_BV_SHARE_MEDIAN_EST" hidden="1">"c3544"</definedName>
    <definedName name="IQ_BV_SHARE_MEDIAN_EST_REUT" hidden="1">"c5440"</definedName>
    <definedName name="IQ_BV_SHARE_MEDIAN_EST_THOM" hidden="1">"c4021"</definedName>
    <definedName name="IQ_BV_SHARE_NUM_EST" hidden="1">"c3539"</definedName>
    <definedName name="IQ_BV_SHARE_NUM_EST_REUT" hidden="1">"c5443"</definedName>
    <definedName name="IQ_BV_SHARE_NUM_EST_THOM" hidden="1">"c4024"</definedName>
    <definedName name="IQ_BV_SHARE_STDDEV_EST" hidden="1">"c3540"</definedName>
    <definedName name="IQ_BV_SHARE_STDDEV_EST_REUT" hidden="1">"c5444"</definedName>
    <definedName name="IQ_BV_SHARE_STDDEV_EST_THOM" hidden="1">"c4025"</definedName>
    <definedName name="IQ_BV_STDDEV_EST" hidden="1">"c5629"</definedName>
    <definedName name="IQ_BV_STDDEV_EST_REUT" hidden="1">"c5408"</definedName>
    <definedName name="IQ_BV_STDDEV_EST_THOM" hidden="1">"c5152"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BUS_PHONE">"c15773"</definedName>
    <definedName name="IQ_CABLE_SUBS_DIG" hidden="1">"c2856"</definedName>
    <definedName name="IQ_CABLE_SUBS_LONG_DIST_PHONE">"c15775"</definedName>
    <definedName name="IQ_CABLE_SUBS_NON_VIDEO" hidden="1">"c2860"</definedName>
    <definedName name="IQ_CABLE_SUBS_PHONE" hidden="1">"c2859"</definedName>
    <definedName name="IQ_CABLE_SUBS_RES_PHONE">"c15772"</definedName>
    <definedName name="IQ_CABLE_SUBS_SATELITE">"c15771"</definedName>
    <definedName name="IQ_CABLE_SUBS_TOTAL" hidden="1">"c2862"</definedName>
    <definedName name="IQ_CABLE_SUBS_WHOLE_PHONE">"c15774"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CIQ_COL" hidden="1">"c11743"</definedName>
    <definedName name="IQ_CAL_Q_EST_REUT" hidden="1">"c6800"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CIQ_COL" hidden="1">"c11744"</definedName>
    <definedName name="IQ_CAL_Y_EST_REUT" hidden="1">"c6801"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INVEST_CABLE">"c15794"</definedName>
    <definedName name="IQ_CAP_INVEST_COMMERCIAL">"c15800"</definedName>
    <definedName name="IQ_CAP_INVEST_CUST_PREMISE_EQUIP">"c15795"</definedName>
    <definedName name="IQ_CAP_INVEST_LINE_EXTENSIONS">"c15797"</definedName>
    <definedName name="IQ_CAP_INVEST_SCALABLE_INFRASTRUCTURE">"c15796"</definedName>
    <definedName name="IQ_CAP_INVEST_SUPPORT">"c15799"</definedName>
    <definedName name="IQ_CAP_INVEST_UPGRADE_REBUILD">"c15798"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CIQ_COL" hidden="1">"c11718"</definedName>
    <definedName name="IQ_CAPEX_ACT_OR_EST_REUT" hidden="1">"c5474"</definedName>
    <definedName name="IQ_CAPEX_ACT_OR_EST_THOM" hidden="1">"c5546"</definedName>
    <definedName name="IQ_CAPEX_BNK" hidden="1">"c110"</definedName>
    <definedName name="IQ_CAPEX_BR" hidden="1">"c111"</definedName>
    <definedName name="IQ_CAPEX_DET_EST" hidden="1">"c12048"</definedName>
    <definedName name="IQ_CAPEX_DET_EST_CURRENCY" hidden="1">"c12457"</definedName>
    <definedName name="IQ_CAPEX_DET_EST_CURRENCY_THOM" hidden="1">"c12477"</definedName>
    <definedName name="IQ_CAPEX_DET_EST_DATE" hidden="1">"c12201"</definedName>
    <definedName name="IQ_CAPEX_DET_EST_DATE_THOM" hidden="1">"c12226"</definedName>
    <definedName name="IQ_CAPEX_DET_EST_INCL" hidden="1">"c12340"</definedName>
    <definedName name="IQ_CAPEX_DET_EST_INCL_THOM" hidden="1">"c12360"</definedName>
    <definedName name="IQ_CAPEX_DET_EST_ORIGIN" hidden="1">"c12765"</definedName>
    <definedName name="IQ_CAPEX_DET_EST_ORIGIN_THOM" hidden="1">"c12596"</definedName>
    <definedName name="IQ_CAPEX_DET_EST_THOM" hidden="1">"c12076"</definedName>
    <definedName name="IQ_CAPEX_EST" hidden="1">"c3523"</definedName>
    <definedName name="IQ_CAPEX_EST_REUT" hidden="1">"c3969"</definedName>
    <definedName name="IQ_CAPEX_EST_THOM" hidden="1">"c5502"</definedName>
    <definedName name="IQ_CAPEX_FIN" hidden="1">"c112"</definedName>
    <definedName name="IQ_CAPEX_GUIDANCE" hidden="1">"c4150"</definedName>
    <definedName name="IQ_CAPEX_GUIDANCE_CIQ">"c4562"</definedName>
    <definedName name="IQ_CAPEX_GUIDANCE_CIQ_COL">"c11211"</definedName>
    <definedName name="IQ_CAPEX_HIGH_EST" hidden="1">"c3524"</definedName>
    <definedName name="IQ_CAPEX_HIGH_EST_REUT" hidden="1">"c3971"</definedName>
    <definedName name="IQ_CAPEX_HIGH_EST_THOM" hidden="1">"c5504"</definedName>
    <definedName name="IQ_CAPEX_HIGH_GUIDANCE" hidden="1">"c4180"</definedName>
    <definedName name="IQ_CAPEX_HIGH_GUIDANCE_CIQ">"c4592"</definedName>
    <definedName name="IQ_CAPEX_HIGH_GUIDANCE_CIQ_COL">"c11241"</definedName>
    <definedName name="IQ_CAPEX_INS" hidden="1">"c113"</definedName>
    <definedName name="IQ_CAPEX_LOW_EST" hidden="1">"c3525"</definedName>
    <definedName name="IQ_CAPEX_LOW_EST_REUT" hidden="1">"c3972"</definedName>
    <definedName name="IQ_CAPEX_LOW_EST_THOM" hidden="1">"c5505"</definedName>
    <definedName name="IQ_CAPEX_LOW_GUIDANCE" hidden="1">"c4220"</definedName>
    <definedName name="IQ_CAPEX_LOW_GUIDANCE_CIQ">"c4632"</definedName>
    <definedName name="IQ_CAPEX_LOW_GUIDANCE_CIQ_COL">"c11281"</definedName>
    <definedName name="IQ_CAPEX_MEDIAN_EST" hidden="1">"c3526"</definedName>
    <definedName name="IQ_CAPEX_MEDIAN_EST_REUT" hidden="1">"c3970"</definedName>
    <definedName name="IQ_CAPEX_MEDIAN_EST_THOM" hidden="1">"c5503"</definedName>
    <definedName name="IQ_CAPEX_NUM_EST" hidden="1">"c3521"</definedName>
    <definedName name="IQ_CAPEX_NUM_EST_REUT" hidden="1">"c3973"</definedName>
    <definedName name="IQ_CAPEX_NUM_EST_THOM" hidden="1">"c5506"</definedName>
    <definedName name="IQ_CAPEX_PCT_REV">"c19144"</definedName>
    <definedName name="IQ_CAPEX_STDDEV_EST" hidden="1">"c3522"</definedName>
    <definedName name="IQ_CAPEX_STDDEV_EST_REUT" hidden="1">"c3974"</definedName>
    <definedName name="IQ_CAPEX_STDDEV_EST_THOM" hidden="1">"c5507"</definedName>
    <definedName name="IQ_CAPEX_UTI" hidden="1">"c114"</definedName>
    <definedName name="IQ_CAPITAL_ALLOCATION_ADJUSTMENT_FOREIGN_FFIEC">"c15389"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_UNDER_MANAGE">"c18929"</definedName>
    <definedName name="IQ_CAPITAL_UNDER_MANAGE_CURRENCY">"c19171"</definedName>
    <definedName name="IQ_CAPITAL_UNDER_MANAGE_DATE">"c18930"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BALANCES_DUE_FFIEC">"c12773"</definedName>
    <definedName name="IQ_CASH_BANKS_FOREIGN_COUNTRIES_DOM_FFIEC">"c15289"</definedName>
    <definedName name="IQ_CASH_COLLECTION_UNPOSTED_DEBITS_CURRENCY_FFIEC">"c15279"</definedName>
    <definedName name="IQ_CASH_COLLECTION_UNPOSTED_DEBITS_DOM_FFIEC">"c15286"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ER_SUB">"c15763"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EPOSITORY_INSTIT_US_DOM_FFIEC">"c15288"</definedName>
    <definedName name="IQ_CASH_DIVIDENDS_NET_INCOME_FDIC" hidden="1">"c6738"</definedName>
    <definedName name="IQ_CASH_DUE_BANKS" hidden="1">"c1351"</definedName>
    <definedName name="IQ_CASH_DUE_OTHER_FED_RESERVE_BANKS_DOM_FFIEC">"c15290"</definedName>
    <definedName name="IQ_CASH_DUE_OTHER_FED_RESERVE_BANKS_FFIEC">"c15284"</definedName>
    <definedName name="IQ_CASH_DUE_US_BRANCH_FOREIGN_BANK_FFIEC">"c15280"</definedName>
    <definedName name="IQ_CASH_EPS_ACT_OR_EST" hidden="1">"c5638"</definedName>
    <definedName name="IQ_CASH_EPS_ACT_OR_EST_THOM" hidden="1">"c5646"</definedName>
    <definedName name="IQ_CASH_EPS_DET_EST_CURRENCY_THOM" hidden="1">"c12478"</definedName>
    <definedName name="IQ_CASH_EPS_DET_EST_DATE_THOM" hidden="1">"c12227"</definedName>
    <definedName name="IQ_CASH_EPS_DET_EST_INCL_THOM" hidden="1">"c12361"</definedName>
    <definedName name="IQ_CASH_EPS_DET_EST_ORIGIN_THOM" hidden="1">"c12597"</definedName>
    <definedName name="IQ_CASH_EPS_DET_EST_THOM" hidden="1">"c12077"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ACT_OR_EST_CIQ_COL" hidden="1">"c11215"</definedName>
    <definedName name="IQ_CASH_FLOW_EST" hidden="1">"c4153"</definedName>
    <definedName name="IQ_CASH_FLOW_GUIDANCE" hidden="1">"c4155"</definedName>
    <definedName name="IQ_CASH_FLOW_GUIDANCE_CIQ">"c4567"</definedName>
    <definedName name="IQ_CASH_FLOW_GUIDANCE_CIQ_COL">"c11216"</definedName>
    <definedName name="IQ_CASH_FLOW_HIGH_EST" hidden="1">"c4156"</definedName>
    <definedName name="IQ_CASH_FLOW_HIGH_GUIDANCE" hidden="1">"c4201"</definedName>
    <definedName name="IQ_CASH_FLOW_HIGH_GUIDANCE_CIQ">"c4613"</definedName>
    <definedName name="IQ_CASH_FLOW_HIGH_GUIDANCE_CIQ_COL">"c11262"</definedName>
    <definedName name="IQ_CASH_FLOW_LOW_EST" hidden="1">"c4157"</definedName>
    <definedName name="IQ_CASH_FLOW_LOW_GUIDANCE" hidden="1">"c4241"</definedName>
    <definedName name="IQ_CASH_FLOW_LOW_GUIDANCE_CIQ">"c4653"</definedName>
    <definedName name="IQ_CASH_FLOW_LOW_GUIDANCE_CIQ_COL">"c11302"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FOREIGN_BRANCH_OTHER_US_BANKS_FFIEC">"c15282"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CT_OR_EST_CIQ_COL" hidden="1">"c11225"</definedName>
    <definedName name="IQ_CASH_OPER_AP" hidden="1">"c8888"</definedName>
    <definedName name="IQ_CASH_OPER_AP_ABS" hidden="1">"c8907"</definedName>
    <definedName name="IQ_CASH_OPER_EST" hidden="1">"c4163"</definedName>
    <definedName name="IQ_CASH_OPER_GUIDANCE" hidden="1">"c4165"</definedName>
    <definedName name="IQ_CASH_OPER_GUIDANCE_CIQ">"c4577"</definedName>
    <definedName name="IQ_CASH_OPER_GUIDANCE_CIQ_COL">"c11226"</definedName>
    <definedName name="IQ_CASH_OPER_HIGH_EST" hidden="1">"c4166"</definedName>
    <definedName name="IQ_CASH_OPER_HIGH_GUIDANCE" hidden="1">"c4185"</definedName>
    <definedName name="IQ_CASH_OPER_HIGH_GUIDANCE_CIQ">"c4597"</definedName>
    <definedName name="IQ_CASH_OPER_HIGH_GUIDANCE_CIQ_COL">"c11246"</definedName>
    <definedName name="IQ_CASH_OPER_LOW_EST" hidden="1">"c4244"</definedName>
    <definedName name="IQ_CASH_OPER_LOW_GUIDANCE" hidden="1">"c4225"</definedName>
    <definedName name="IQ_CASH_OPER_LOW_GUIDANCE_CIQ">"c4637"</definedName>
    <definedName name="IQ_CASH_OPER_LOW_GUIDANCE_CIQ_COL">"c11286"</definedName>
    <definedName name="IQ_CASH_OPER_MEDIAN_EST" hidden="1">"c4245"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STDDEV_EST" hidden="1">"c4247"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OTHER_BANKS_FOREIGN_COUNTRIES_FFIEC">"c15283"</definedName>
    <definedName name="IQ_CASH_OTHER_US_COMM_BANK_DEP_INSTIT_FFIEC">"c15281"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GUIDANCE_CIQ">"c4776"</definedName>
    <definedName name="IQ_CASH_ST_INVEST_GUIDANCE_CIQ_COL">"c11423"</definedName>
    <definedName name="IQ_CASH_ST_INVEST_HIGH_EST" hidden="1">"c4251"</definedName>
    <definedName name="IQ_CASH_ST_INVEST_HIGH_GUIDANCE" hidden="1">"c4195"</definedName>
    <definedName name="IQ_CASH_ST_INVEST_HIGH_GUIDANCE_CIQ">"c4607"</definedName>
    <definedName name="IQ_CASH_ST_INVEST_HIGH_GUIDANCE_CIQ_COL">"c11256"</definedName>
    <definedName name="IQ_CASH_ST_INVEST_LOW_EST" hidden="1">"c4252"</definedName>
    <definedName name="IQ_CASH_ST_INVEST_LOW_GUIDANCE" hidden="1">"c4235"</definedName>
    <definedName name="IQ_CASH_ST_INVEST_LOW_GUIDANCE_CIQ">"c4647"</definedName>
    <definedName name="IQ_CASH_ST_INVEST_LOW_GUIDANCE_CIQ_COL">"c11296"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STRUCTURED_PRODUCTS_AFS_AMORT_COST_FFIEC" hidden="1">"c20500"</definedName>
    <definedName name="IQ_CASH_STRUCTURED_PRODUCTS_AFS_FAIR_VAL_FFIEC" hidden="1">"c20465"</definedName>
    <definedName name="IQ_CASH_STRUCTURED_PRODUCTS_AVAIL_SALE_FFIEC">"c15263"</definedName>
    <definedName name="IQ_CASH_STRUCTURED_PRODUCTS_FFIEC">"c15260"</definedName>
    <definedName name="IQ_CASH_STRUCTURED_PRODUCTS_HTM_AMORT_COST_FFIEC" hidden="1">"c20448"</definedName>
    <definedName name="IQ_CASH_STRUCTURED_PRODUCTS_HTM_FAIR_VAL_FFIEC" hidden="1">"c20483"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ATASTROPHIC_LOSS_RATIO">"c15881"</definedName>
    <definedName name="IQ_CATASTROPHIC_LOSSES" hidden="1">"c17694"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OUPON">"c15234"</definedName>
    <definedName name="IQ_CDS_CURRENCY" hidden="1">"c6031"</definedName>
    <definedName name="IQ_CDS_DERIVATIVES_BENEFICIARY_FFIEC">"c13119"</definedName>
    <definedName name="IQ_CDS_DERIVATIVES_GUARANTOR_FFIEC">"c13112"</definedName>
    <definedName name="IQ_CDS_EVAL_DATE" hidden="1">"c6029"</definedName>
    <definedName name="IQ_CDS_LIST">"c13510"</definedName>
    <definedName name="IQ_CDS_LOAN_LIST">"c13518"</definedName>
    <definedName name="IQ_CDS_MID" hidden="1">"c6028"</definedName>
    <definedName name="IQ_CDS_NAME" hidden="1">"c6034"</definedName>
    <definedName name="IQ_CDS_NEXT_SERIES_ID">"c15231"</definedName>
    <definedName name="IQ_CDS_PREV_SERIES_ID">"c15232"</definedName>
    <definedName name="IQ_CDS_PRICE_TYPE">"c15233"</definedName>
    <definedName name="IQ_CDS_SENIOR_LIST">"c13508"</definedName>
    <definedName name="IQ_CDS_SUB_LIST">"c13509"</definedName>
    <definedName name="IQ_CDS_TERM" hidden="1">"c6030"</definedName>
    <definedName name="IQ_CDS_TYPE" hidden="1">"c6025"</definedName>
    <definedName name="IQ_CEDED_AH_EARNED" hidden="1">"c2743"</definedName>
    <definedName name="IQ_CEDED_CLAIM_ADJ_EXP_RESERVE_BOP">"c15875"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LOSSES">"c15872"</definedName>
    <definedName name="IQ_CEDED_PC_EARNED" hidden="1">"c2748"</definedName>
    <definedName name="IQ_CEDED_PREMIUMS_EARNED_GROSS_PREMIUMS_EARNED">"c15887"</definedName>
    <definedName name="IQ_CEDED_PREMIUMS_WRITTEN_GROSS_PREMIUMS_WRITTEN">"c15885"</definedName>
    <definedName name="IQ_CEDED_WRITTEN" hidden="1">"c2727"</definedName>
    <definedName name="IQ_CEO_ID">"c15210"</definedName>
    <definedName name="IQ_CEO_NAME">"c15209"</definedName>
    <definedName name="IQ_CERTIFIED_OFFICIAL_CHECKS_TRANS_ACCTS_FFIEC">"c15320"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O_ID">"c15212"</definedName>
    <definedName name="IQ_CFO_NAME">"c15211"</definedName>
    <definedName name="IQ_CFPS_ACT_OR_EST" hidden="1">"c2217"</definedName>
    <definedName name="IQ_CFPS_ACT_OR_EST_CIQ_COL" hidden="1">"c11708"</definedName>
    <definedName name="IQ_CFPS_ACT_OR_EST_REUT" hidden="1">"c5463"</definedName>
    <definedName name="IQ_CFPS_ACT_OR_EST_THOM" hidden="1">"c5301"</definedName>
    <definedName name="IQ_CFPS_DET_EST" hidden="1">"c12049"</definedName>
    <definedName name="IQ_CFPS_DET_EST_CURRENCY" hidden="1">"c12458"</definedName>
    <definedName name="IQ_CFPS_DET_EST_CURRENCY_THOM" hidden="1">"c12479"</definedName>
    <definedName name="IQ_CFPS_DET_EST_DATE" hidden="1">"c12202"</definedName>
    <definedName name="IQ_CFPS_DET_EST_DATE_THOM" hidden="1">"c12228"</definedName>
    <definedName name="IQ_CFPS_DET_EST_INCL" hidden="1">"c12341"</definedName>
    <definedName name="IQ_CFPS_DET_EST_INCL_THOM" hidden="1">"c12362"</definedName>
    <definedName name="IQ_CFPS_DET_EST_ORIGIN" hidden="1">"c12575"</definedName>
    <definedName name="IQ_CFPS_DET_EST_ORIGIN_THOM" hidden="1">"c12598"</definedName>
    <definedName name="IQ_CFPS_DET_EST_THOM" hidden="1">"c12078"</definedName>
    <definedName name="IQ_CFPS_EST" hidden="1">"c1667"</definedName>
    <definedName name="IQ_CFPS_EST_REUT" hidden="1">"c3844"</definedName>
    <definedName name="IQ_CFPS_EST_THOM" hidden="1">"c4006"</definedName>
    <definedName name="IQ_CFPS_GUIDANCE" hidden="1">"c4256"</definedName>
    <definedName name="IQ_CFPS_GUIDANCE_CIQ">"c4782"</definedName>
    <definedName name="IQ_CFPS_GUIDANCE_CIQ_COL">"c11429"</definedName>
    <definedName name="IQ_CFPS_HIGH_EST" hidden="1">"c1669"</definedName>
    <definedName name="IQ_CFPS_HIGH_EST_REUT" hidden="1">"c3846"</definedName>
    <definedName name="IQ_CFPS_HIGH_EST_THOM" hidden="1">"c4008"</definedName>
    <definedName name="IQ_CFPS_HIGH_GUIDANCE" hidden="1">"c4167"</definedName>
    <definedName name="IQ_CFPS_HIGH_GUIDANCE_CIQ">"c4579"</definedName>
    <definedName name="IQ_CFPS_HIGH_GUIDANCE_CIQ_COL">"c11228"</definedName>
    <definedName name="IQ_CFPS_LOW_EST" hidden="1">"c1670"</definedName>
    <definedName name="IQ_CFPS_LOW_EST_REUT" hidden="1">"c3847"</definedName>
    <definedName name="IQ_CFPS_LOW_EST_THOM" hidden="1">"c4009"</definedName>
    <definedName name="IQ_CFPS_LOW_GUIDANCE" hidden="1">"c4207"</definedName>
    <definedName name="IQ_CFPS_LOW_GUIDANCE_CIQ">"c4619"</definedName>
    <definedName name="IQ_CFPS_LOW_GUIDANCE_CIQ_COL">"c11268"</definedName>
    <definedName name="IQ_CFPS_MEDIAN_EST" hidden="1">"c1668"</definedName>
    <definedName name="IQ_CFPS_MEDIAN_EST_REUT" hidden="1">"c3845"</definedName>
    <definedName name="IQ_CFPS_MEDIAN_EST_THOM" hidden="1">"c4007"</definedName>
    <definedName name="IQ_CFPS_NUM_EST" hidden="1">"c1671"</definedName>
    <definedName name="IQ_CFPS_NUM_EST_REUT" hidden="1">"c3848"</definedName>
    <definedName name="IQ_CFPS_NUM_EST_THOM" hidden="1">"c4010"</definedName>
    <definedName name="IQ_CFPS_STDDEV_EST" hidden="1">"c1672"</definedName>
    <definedName name="IQ_CFPS_STDDEV_EST_REUT" hidden="1">"c3849"</definedName>
    <definedName name="IQ_CFPS_STDDEV_EST_THOM" hidden="1">"c4011"</definedName>
    <definedName name="IQ_CH">110000</definedName>
    <definedName name="IQ_CHAIRMAN_ID">"c15218"</definedName>
    <definedName name="IQ_CHAIRMAN_NAME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>"c15557"</definedName>
    <definedName name="IQ_CHANGE_DEPOSIT_ACCT" hidden="1">"c148"</definedName>
    <definedName name="IQ_CHANGE_FAIR_VALUE_FINANCIAL_LIAB_T1_FFIEC">"c13138"</definedName>
    <definedName name="IQ_CHANGE_FAIR_VALUE_OPTIONS_FFIEC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UNRECOG_TAX_BENEFIT_1_YR_MAX">"c15747"</definedName>
    <definedName name="IQ_CHANGE_UNRECOG_TAX_BENEFIT_1_YR_MIN">"c15746"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HURN_BASIC_CABLE">"c2871"</definedName>
    <definedName name="IQ_CHURN_BBAND">"c2872"</definedName>
    <definedName name="IQ_CHURN_DIG_CABLE">"c2870"</definedName>
    <definedName name="IQ_CHURN_PHONE">"c2873"</definedName>
    <definedName name="IQ_CHURN_POSTPAID_WIRELESS">"c2121"</definedName>
    <definedName name="IQ_CHURN_PREPAID_WIRELESS">"c2120"</definedName>
    <definedName name="IQ_CHURN_SATELLITE">"c15791"</definedName>
    <definedName name="IQ_CHURN_TOTAL">"c2874"</definedName>
    <definedName name="IQ_CHURN_TOTAL_WIRELESS">"c2122"</definedName>
    <definedName name="IQ_CIK" hidden="1">"c20384"</definedName>
    <definedName name="IQ_CIP" hidden="1">"c17551"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>"c13100"</definedName>
    <definedName name="IQ_CLASS_MARKETCAP">"c13512"</definedName>
    <definedName name="IQ_CLASS_SHARESOUTSTANDING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D_END_1_4_FAM_LOANS_TOT_LOANS_FFIEC">"c13866"</definedName>
    <definedName name="IQ_CLOSED_END_1_4_FIRST_LIENS_TRADING_DOM_FFIEC">"c12928"</definedName>
    <definedName name="IQ_CLOSED_END_1_4_JR_LIENS_LL_REC_DOM_FFIEC">"c12904"</definedName>
    <definedName name="IQ_CLOSED_END_1_4_JUNIOR_LIENS_TRADING_DOM_FFIEC">"c12929"</definedName>
    <definedName name="IQ_CLOSED_END_SEC_1_4_1ST_LIENS_CHARGE_OFFS_FFIEC">"c13169"</definedName>
    <definedName name="IQ_CLOSED_END_SEC_1_4_1ST_LIENS_DUE_30_89_FFIEC">"c13261"</definedName>
    <definedName name="IQ_CLOSED_END_SEC_1_4_1ST_LIENS_DUE_90_FFIEC">"c13289"</definedName>
    <definedName name="IQ_CLOSED_END_SEC_1_4_1ST_LIENS_NON_ACCRUAL_FFIEC">"c13315"</definedName>
    <definedName name="IQ_CLOSED_END_SEC_1_4_1ST_LIENS_RECOV_FFIEC">"c13191"</definedName>
    <definedName name="IQ_CLOSED_END_SEC_1_4_JR_LIENS_CHARGE_OFFS_FFIEC">"c13170"</definedName>
    <definedName name="IQ_CLOSED_END_SEC_1_4_JR_LIENS_DUE_30_89_FFIEC">"c13262"</definedName>
    <definedName name="IQ_CLOSED_END_SEC_1_4_JR_LIENS_DUE_90_FFIEC">"c13290"</definedName>
    <definedName name="IQ_CLOSED_END_SEC_1_4_JR_LIENS_NON_ACCRUAL_FFIEC">"c13316"</definedName>
    <definedName name="IQ_CLOSED_END_SEC_1_4_JR_LIENS_RECOV_FFIEC">"c13192"</definedName>
    <definedName name="IQ_CLOSED_END_SEC_1_4_RESIDENT_CHARGE_OFFS_FFIEC">"c15397"</definedName>
    <definedName name="IQ_CLOSED_END_SEC_1_4_RESIDENT_DUE_30_89_FFIEC">"c15413"</definedName>
    <definedName name="IQ_CLOSED_END_SEC_1_4_RESIDENT_DUE_90_FFIEC">"c15417"</definedName>
    <definedName name="IQ_CLOSED_END_SEC_1_4_RESIDENT_NON_ACCRUAL_FFIEC">"c15460"</definedName>
    <definedName name="IQ_CLOSED_END_SEC_1_4_RESIDENT_RECOV_FFIEC">"c15398"</definedName>
    <definedName name="IQ_CLOSED_END_SECURED_1_4_FIRST_LIENS_LL_REC_DOM_FFIEC">"c12903"</definedName>
    <definedName name="IQ_CLOSED_LOANS_GROSS_LOANS_FFIEC">"c13399"</definedName>
    <definedName name="IQ_CLOSED_LOANS_RISK_BASED_FFIEC">"c13420"</definedName>
    <definedName name="IQ_CLOSEPRICE" hidden="1">"c174"</definedName>
    <definedName name="IQ_CLOSEPRICE_ADJ" hidden="1">"c2115"</definedName>
    <definedName name="IQ_CLOSEPRICE_RT">"CLOSE"</definedName>
    <definedName name="IQ_CMBS_ISSUED_AFS_AMORT_COST_FFIEC" hidden="1">"c20497"</definedName>
    <definedName name="IQ_CMBS_ISSUED_AFS_FAIR_VAL_FFIEC" hidden="1">"c20462"</definedName>
    <definedName name="IQ_CMBS_ISSUED_AVAIL_SALE_FFIEC">"c12800"</definedName>
    <definedName name="IQ_CMBS_ISSUED_FFIEC">"c12786"</definedName>
    <definedName name="IQ_CMBS_ISSUED_HTM_AMORT_COST_FFIEC" hidden="1">"c20445"</definedName>
    <definedName name="IQ_CMBS_ISSUED_HTM_FAIR_VAL_FFIEC" hidden="1">"c20480"</definedName>
    <definedName name="IQ_CMO_FDIC" hidden="1">"c6406"</definedName>
    <definedName name="IQ_CO_INVESTORS">"c18910"</definedName>
    <definedName name="IQ_CO_INVESTORS_ID">"c18911"</definedName>
    <definedName name="IQ_CO_INVESTORS_INVESTMENT">"c19113"</definedName>
    <definedName name="IQ_CO_INVESTORS_NUM_INVESTMENTS">"c19170"</definedName>
    <definedName name="IQ_COAL_SALES_TO_OPERATING_REVENUE_COAL">"c15954"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BANKS_OTHER_DEP_INST_US_TRANS_ACCTS_FFIEC">"c15317"</definedName>
    <definedName name="IQ_COMM_BANKS_OTHER_INST_US_NON_TRANS_ACCTS_FFIEC">"c15325"</definedName>
    <definedName name="IQ_COMM_IND_LOANS_TOT_LOANS_FFIEC">"c13874"</definedName>
    <definedName name="IQ_COMM_INDUSTRIAL_LL_REC_FFIEC">"c18880"</definedName>
    <definedName name="IQ_COMM_INDUSTRIAL_LOANS_FFIEC">"c12821"</definedName>
    <definedName name="IQ_COMM_INDUSTRIAL_NON_US_LL_REC_FFIEC">"c12888"</definedName>
    <definedName name="IQ_COMM_INDUSTRIAL_US_LL_REC_FFIEC">"c12887"</definedName>
    <definedName name="IQ_COMM_RE_FARM_LOANS_TOT_LOANS_FFIEC">"c13872"</definedName>
    <definedName name="IQ_COMM_RE_NONFARM_NONRES_TOT_LOANS_FFIEC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>"c15478"</definedName>
    <definedName name="IQ_COMMERCIAL_INDUSTRIAL_GROSS_LOANS_FFIEC">"c13410"</definedName>
    <definedName name="IQ_COMMERCIAL_INDUSTRIAL_LOANS_DUE_30_89_FFIEC">"c13271"</definedName>
    <definedName name="IQ_COMMERCIAL_INDUSTRIAL_LOANS_DUE_90_FFIEC">"c13297"</definedName>
    <definedName name="IQ_COMMERCIAL_INDUSTRIAL_LOANS_LL_REC_DOM_FFIEC">"c12910"</definedName>
    <definedName name="IQ_COMMERCIAL_INDUSTRIAL_LOANS_NET_FDIC" hidden="1">"c6317"</definedName>
    <definedName name="IQ_COMMERCIAL_INDUSTRIAL_LOANS_NON_ACCRUAL_FFIEC">"c13323"</definedName>
    <definedName name="IQ_COMMERCIAL_INDUSTRIAL_NET_CHARGE_OFFS_FDIC" hidden="1">"c6636"</definedName>
    <definedName name="IQ_COMMERCIAL_INDUSTRIAL_NON_US_CHARGE_OFFS_FFIEC">"c13179"</definedName>
    <definedName name="IQ_COMMERCIAL_INDUSTRIAL_NON_US_DUE_30_89_FFIEC">"c15415"</definedName>
    <definedName name="IQ_COMMERCIAL_INDUSTRIAL_NON_US_DUE_90_FFIEC">"c15419"</definedName>
    <definedName name="IQ_COMMERCIAL_INDUSTRIAL_NON_US_NON_ACCRUAL_FFIEC">"c15464"</definedName>
    <definedName name="IQ_COMMERCIAL_INDUSTRIAL_NON_US_RECOV_FFIEC">"c13201"</definedName>
    <definedName name="IQ_COMMERCIAL_INDUSTRIAL_RECOVERIES_FDIC" hidden="1">"c6617"</definedName>
    <definedName name="IQ_COMMERCIAL_INDUSTRIAL_RISK_BASED_FFIEC">"c13431"</definedName>
    <definedName name="IQ_COMMERCIAL_INDUSTRIAL_TOTAL_LOANS_FOREIGN_FDIC" hidden="1">"c6451"</definedName>
    <definedName name="IQ_COMMERCIAL_INDUSTRIAL_TRADING_DOM_FFIEC">"c12932"</definedName>
    <definedName name="IQ_COMMERCIAL_INDUSTRIAL_US_CHARGE_OFFS_FFIEC">"c13178"</definedName>
    <definedName name="IQ_COMMERCIAL_INDUSTRIAL_US_DUE_30_89_FFIEC">"c15414"</definedName>
    <definedName name="IQ_COMMERCIAL_INDUSTRIAL_US_DUE_90_FFIEC">"c15418"</definedName>
    <definedName name="IQ_COMMERCIAL_INDUSTRIAL_US_NON_ACCRUAL_FFIEC">"c15463"</definedName>
    <definedName name="IQ_COMMERCIAL_INDUSTRIAL_US_RECOV_FFIEC">"c13200"</definedName>
    <definedName name="IQ_COMMERCIAL_INVEST_CABLE_INVEST">"c15806"</definedName>
    <definedName name="IQ_COMMERCIAL_LOANS_TOTAL_LOANS">"c15709"</definedName>
    <definedName name="IQ_COMMERCIAL_MORT" hidden="1">"c179"</definedName>
    <definedName name="IQ_COMMERCIAL_OTHER_LOC_FFIEC">"c13253"</definedName>
    <definedName name="IQ_COMMERCIAL_PAPER_ASSETS_TOT_FFIEC">"c13449"</definedName>
    <definedName name="IQ_COMMERCIAL_PAPER_FFIEC">"c12863"</definedName>
    <definedName name="IQ_COMMERCIAL_RE_CONSTRUCTION_LAND_DEV_FDIC" hidden="1">"c6526"</definedName>
    <definedName name="IQ_COMMERCIAL_RE_GROSS_LOANS_FFIEC">"c13400"</definedName>
    <definedName name="IQ_COMMERCIAL_RE_LOANS_FDIC" hidden="1">"c6312"</definedName>
    <definedName name="IQ_COMMERCIAL_RE_LOANS_TOTAL_LOANS">"c15710"</definedName>
    <definedName name="IQ_COMMERCIAL_RE_RISK_BASED_FFIEC">"c13421"</definedName>
    <definedName name="IQ_COMMISS_FEES" hidden="1">"c180"</definedName>
    <definedName name="IQ_COMMISSION_DEF" hidden="1">"c181"</definedName>
    <definedName name="IQ_COMMITMENTS_BUY_SEC_OTHER_OFF_BS_FFIEC">"c13128"</definedName>
    <definedName name="IQ_COMMITMENTS_COMMERCIAL_RE_UNUSED_FFIEC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>"c13129"</definedName>
    <definedName name="IQ_COMMODITY_EXPOSURE_FFIEC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>"c12876"</definedName>
    <definedName name="IQ_COMP_BENEFITS" hidden="1">"c213"</definedName>
    <definedName name="IQ_COMPANY_ADDRESS" hidden="1">"c214"</definedName>
    <definedName name="IQ_COMPANY_ID" hidden="1">"c3513"</definedName>
    <definedName name="IQ_COMPANY_ID_QUICK_MATCH" hidden="1">"c16227"</definedName>
    <definedName name="IQ_COMPANY_NAME" hidden="1">"c215"</definedName>
    <definedName name="IQ_COMPANY_NAME_LONG" hidden="1">"c1585"</definedName>
    <definedName name="IQ_COMPANY_NAME_QUICK_MATCH" hidden="1">"c16228"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>"c15490"</definedName>
    <definedName name="IQ_COMPANY_TYPE" hidden="1">"c2096"</definedName>
    <definedName name="IQ_COMPANY_WEBSITE" hidden="1">"c220"</definedName>
    <definedName name="IQ_COMPANY_ZIP" hidden="1">"c221"</definedName>
    <definedName name="IQ_COMPETITOR_ALL">"c13754"</definedName>
    <definedName name="IQ_COMPETITOR_NAMED_BY_COMPANY">"c13751"</definedName>
    <definedName name="IQ_COMPETITOR_NAMED_BY_COMPETITOR">"c13752"</definedName>
    <definedName name="IQ_COMPETITOR_NAMED_BY_THIRDPARTY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>"c13087"</definedName>
    <definedName name="IQ_CONSOLIDATED_NI_FOREIGN_FFIEC">"c15396"</definedName>
    <definedName name="IQ_CONST_LAND_DEV_LOANS_TOT_LOANS_FFIEC">"c13865"</definedName>
    <definedName name="IQ_CONST_LAND_DEVELOP_OTHER_DOM_CHARGE_OFFS_FFIEC">"c13628"</definedName>
    <definedName name="IQ_CONST_LAND_DEVELOP_OTHER_DOM_RECOV_FFIEC">"c13632"</definedName>
    <definedName name="IQ_CONSTITUENTS">"c19169"</definedName>
    <definedName name="IQ_CONSTITUENTS_NAME" hidden="1">"c19192"</definedName>
    <definedName name="IQ_CONSTRUCTION_DEV_LOANS_FDIC" hidden="1">"c6313"</definedName>
    <definedName name="IQ_CONSTRUCTION_LAND_DEV_DOM_FFIEC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>"c12900"</definedName>
    <definedName name="IQ_CONSTRUCTION_LOANS" hidden="1">"c222"</definedName>
    <definedName name="IQ_CONSTRUCTION_LOANS_DOM_DUE_30_89_FFIEC">"c13256"</definedName>
    <definedName name="IQ_CONSTRUCTION_LOANS_DOM_DUE_90_FFIEC">"c13284"</definedName>
    <definedName name="IQ_CONSTRUCTION_LOANS_DOM_NON_ACCRUAL_FFIEC">"c13310"</definedName>
    <definedName name="IQ_CONSTRUCTION_LOANS_GROSS_LOANS_FFIEC">"c13401"</definedName>
    <definedName name="IQ_CONSTRUCTION_LOANS_TOTAL_LOANS">"c15711"</definedName>
    <definedName name="IQ_CONSTRUCTION_RISK_BASED_FFIEC">"c13422"</definedName>
    <definedName name="IQ_CONSULTING_FFIEC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>"c12911"</definedName>
    <definedName name="IQ_CONSUMER_LOANS_TOT_LOANS_FFIEC">"c13875"</definedName>
    <definedName name="IQ_CONSUMER_LOANS_TOTAL_LOANS">"c15712"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INGENT_LIABILITIES">"c18873"</definedName>
    <definedName name="IQ_CONTINGENT_RENTAL" hidden="1">"c17746"</definedName>
    <definedName name="IQ_CONTRACT_AMOUNT" hidden="1">"c13933"</definedName>
    <definedName name="IQ_CONTRACT_DETAILS" hidden="1">"c15555"</definedName>
    <definedName name="IQ_CONTRACT_MONTH" hidden="1">"c13934"</definedName>
    <definedName name="IQ_CONTRACT_OBLIGATION_AFTER_FIVE">"c15691"</definedName>
    <definedName name="IQ_CONTRACT_OBLIGATION_CY">"c15685"</definedName>
    <definedName name="IQ_CONTRACT_OBLIGATION_CY1">"c15686"</definedName>
    <definedName name="IQ_CONTRACT_OBLIGATION_CY2">"c15687"</definedName>
    <definedName name="IQ_CONTRACT_OBLIGATION_CY3">"c15688"</definedName>
    <definedName name="IQ_CONTRACT_OBLIGATION_CY4">"c15689"</definedName>
    <definedName name="IQ_CONTRACT_OBLIGATION_NEXT_FIVE">"c15690"</definedName>
    <definedName name="IQ_CONTRACT_OBLIGATION_TOTAL">"c15692"</definedName>
    <definedName name="IQ_CONTRACT_UNIT" hidden="1">"c13932"</definedName>
    <definedName name="IQ_CONTRACT_YEAR" hidden="1">"c13935"</definedName>
    <definedName name="IQ_CONTRACTS_OTHER_COMMODITIES_EQUITIES_FDIC" hidden="1">"c6522"</definedName>
    <definedName name="IQ_CONTRACTS_OTHER_COMMODITIES_EQUITIES._FDIC" hidden="1">"c6522"</definedName>
    <definedName name="IQ_CONTRIB_ID_DET_EST" hidden="1">"c12045"</definedName>
    <definedName name="IQ_CONTRIB_ID_DET_EST_THOM" hidden="1">"c12073"</definedName>
    <definedName name="IQ_CONTRIB_ID_NON_PER_DET_EST" hidden="1">"c13824"</definedName>
    <definedName name="IQ_CONTRIB_ID_NON_PER_DET_EST_THOM" hidden="1">"c13826"</definedName>
    <definedName name="IQ_CONTRIB_NAME_DET_EST" hidden="1">"c12046"</definedName>
    <definedName name="IQ_CONTRIB_NAME_DET_EST_THOM" hidden="1">"c12074"</definedName>
    <definedName name="IQ_CONTRIB_NAME_NON_PER_DET_EST" hidden="1">"c12760"</definedName>
    <definedName name="IQ_CONTRIB_NAME_NON_PER_DET_EST_THOM" hidden="1">"c12764"</definedName>
    <definedName name="IQ_CONTRIB_REC_DET_EST" hidden="1">"c12051"</definedName>
    <definedName name="IQ_CONTRIB_REC_DET_EST_DATE" hidden="1">"c12204"</definedName>
    <definedName name="IQ_CONTRIB_REC_DET_EST_DATE_THOM" hidden="1">"c12230"</definedName>
    <definedName name="IQ_CONTRIB_REC_DET_EST_ORIGIN" hidden="1">"c12577"</definedName>
    <definedName name="IQ_CONTRIB_REC_DET_EST_ORIGIN_THOM" hidden="1">"c12600"</definedName>
    <definedName name="IQ_CONTRIB_REC_DET_EST_THOM" hidden="1">"c12080"</definedName>
    <definedName name="IQ_CONTRIBUTOR_CIQID">"c13742"</definedName>
    <definedName name="IQ_CONTRIBUTOR_NAME">"c13735"</definedName>
    <definedName name="IQ_CONTRIBUTOR_START_DATE">"c13741"</definedName>
    <definedName name="IQ_CONV_DATE" hidden="1">"c2191"</definedName>
    <definedName name="IQ_CONV_EXP_DATE" hidden="1">"c3043"</definedName>
    <definedName name="IQ_CONV_PARITY">"c16197"</definedName>
    <definedName name="IQ_CONV_PREMIUM" hidden="1">"c2195"</definedName>
    <definedName name="IQ_CONV_PRICE" hidden="1">"c2193"</definedName>
    <definedName name="IQ_CONV_PRICE_ISSUE">"c16195"</definedName>
    <definedName name="IQ_CONV_PRICE_PREM_ISSUE">"c16196"</definedName>
    <definedName name="IQ_CONV_PRICE_PREMIUM">"c16198"</definedName>
    <definedName name="IQ_CONV_PT_PREMIUM">"c16199"</definedName>
    <definedName name="IQ_CONV_PT_PREMIUM_PCT">"c16200"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>"c12964"</definedName>
    <definedName name="IQ_CONVERSION_PREF_FFIEC">"c12962"</definedName>
    <definedName name="IQ_CONVERT" hidden="1">"c2536"</definedName>
    <definedName name="IQ_CONVERT_DEBT" hidden="1">"c224"</definedName>
    <definedName name="IQ_CONVERT_PCT" hidden="1">"c2537"</definedName>
    <definedName name="IQ_CONVEXITY" hidden="1">"c2182"</definedName>
    <definedName name="IQ_CONVEYED_TO_OTHERS_FDIC" hidden="1">"c6534"</definedName>
    <definedName name="IQ_COO_ID">"c15222"</definedName>
    <definedName name="IQ_COO_NAME">"c15221"</definedName>
    <definedName name="IQ_CORE_CAPITAL_RATIO_FDIC" hidden="1">"c6745"</definedName>
    <definedName name="IQ_CORE_DEPOSITS_ASSETS_TOT_FFIEC">"c13442"</definedName>
    <definedName name="IQ_CORE_DEPOSITS_FFIEC">"c13862"</definedName>
    <definedName name="IQ_CORE_DEPOSITS_TOT_DEPOSITS_FFIEC">"c13911"</definedName>
    <definedName name="IQ_CORE_TIER_ONE_CAPITAL">"c15244"</definedName>
    <definedName name="IQ_CORE_TIER_ONE_CAPITAL_RATIO">"c15240"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>"c13767"</definedName>
    <definedName name="IQ_COST_BORROWED_FUNDS_FFIEC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>"c13490"</definedName>
    <definedName name="IQ_COST_FUNDS">"c15726"</definedName>
    <definedName name="IQ_COST_FUNDS_PURCHASED_FFIEC">"c13491"</definedName>
    <definedName name="IQ_COST_INT_DEPOSITS_FFIEC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LES_COAL">"c15933"</definedName>
    <definedName name="IQ_COST_SALES_PER_UNIT_SOLD_COAL">"c15944"</definedName>
    <definedName name="IQ_COST_SALES_TO_SALES_COAL">"c15951"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AGE_RATIO">"c15243"</definedName>
    <definedName name="IQ_COVERED_POPS" hidden="1">"c2124"</definedName>
    <definedName name="IQ_COVERED_WIRELESS_POPS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GROSS_LOANS_FFIEC">"c13412"</definedName>
    <definedName name="IQ_CREDIT_CARD_INTERCHANGE_FEES_FFIEC">"c13046"</definedName>
    <definedName name="IQ_CREDIT_CARD_LINES_FDIC" hidden="1">"c6525"</definedName>
    <definedName name="IQ_CREDIT_CARD_LINES_UNUSED_FFIEC">"c13242"</definedName>
    <definedName name="IQ_CREDIT_CARD_LOANS_CHARGE_OFFS_FFIEC">"c13180"</definedName>
    <definedName name="IQ_CREDIT_CARD_LOANS_DOM_QUARTERLY_AVG_FFIEC">"c15480"</definedName>
    <definedName name="IQ_CREDIT_CARD_LOANS_DUE_30_89_FFIEC">"c13272"</definedName>
    <definedName name="IQ_CREDIT_CARD_LOANS_DUE_90_FFIEC">"c13298"</definedName>
    <definedName name="IQ_CREDIT_CARD_LOANS_FDIC" hidden="1">"c6319"</definedName>
    <definedName name="IQ_CREDIT_CARD_LOANS_NON_ACCRUAL_FFIEC">"c13324"</definedName>
    <definedName name="IQ_CREDIT_CARD_LOANS_RECOV_FFIEC">"c13202"</definedName>
    <definedName name="IQ_CREDIT_CARD_NET_CHARGE_OFFS_FDIC" hidden="1">"c6654"</definedName>
    <definedName name="IQ_CREDIT_CARD_RECOVERIES_FDIC" hidden="1">"c6653"</definedName>
    <definedName name="IQ_CREDIT_CARD_RISK_BASED_FFIEC">"c13433"</definedName>
    <definedName name="IQ_CREDIT_CARDS_CONSUMER_LOANS_FFIEC">"c12822"</definedName>
    <definedName name="IQ_CREDIT_CARDS_LL_REC_FFIEC">"c12889"</definedName>
    <definedName name="IQ_CREDIT_CARDS_LOANS_TRADING_DOM_FFIEC">"c12933"</definedName>
    <definedName name="IQ_CREDIT_EXPOSURE" hidden="1">"c10038"</definedName>
    <definedName name="IQ_CREDIT_EXPOSURE_FFIEC">"c13062"</definedName>
    <definedName name="IQ_CREDIT_LOSS_CF" hidden="1">"c232"</definedName>
    <definedName name="IQ_CREDIT_LOSS_PROVISION_NET_CHARGE_OFFS_FDIC" hidden="1">"c6734"</definedName>
    <definedName name="IQ_CREDIT_LOSSES_DERIVATIVES_FFIEC">"c13068"</definedName>
    <definedName name="IQ_CREDIT_OPTIONS_DERIVATIVES_BENEFICIARY_FFIEC">"c13121"</definedName>
    <definedName name="IQ_CREDIT_OPTIONS_DERIVATIVES_GUARANTOR_FFIEC">"c13114"</definedName>
    <definedName name="IQ_CUMULATIVE_PREFERREDS_T2_FFIEC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_TAXES">"c19141"</definedName>
    <definedName name="IQ_CURRENCY_COIN_DOM_FFIEC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DERIVATIVES" hidden="1">"c17742"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_PREMISE_EQUIP_CABLE_INVEST">"c15801"</definedName>
    <definedName name="IQ_CUSTOMER_LIAB_ACCEPTANCES_OUT_FFIEC">"c12835"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RT" hidden="1">"c20427"</definedName>
    <definedName name="IQ_DATA_PROCESSING_EXP_FFIEC">"c13047"</definedName>
    <definedName name="IQ_DATA_SET" hidden="1">"c19244"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>"c13465"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BT_LESS_1YR_INVEST_SECURITIES_FFIEC">"c13464"</definedName>
    <definedName name="IQ_DEBT_MATURING_MORE_THAN_ONE_YEAR_FFIEC">"c13164"</definedName>
    <definedName name="IQ_DEBT_MATURING_WITHIN_ONE_YEAR_FFIEC">"c13163"</definedName>
    <definedName name="IQ_DEBT_SEC_OVER_5YR_INVEST_SECURITIES_FFIEC">"c13466"</definedName>
    <definedName name="IQ_DEBT_SECURITIES_FOREIGN_FFIEC">"c13484"</definedName>
    <definedName name="IQ_DEBT_SECURITIES_OTHER_ASSETS_DUE_30_89_FFIEC">"c13279"</definedName>
    <definedName name="IQ_DEBT_SECURITIES_OTHER_ASSETS_DUE_90_FFIEC">"c13305"</definedName>
    <definedName name="IQ_DEBT_SECURITIES_OTHER_ASSETS_NON_ACCRUAL_FFIEC">"c13331"</definedName>
    <definedName name="IQ_DECREASE_INT_EXPENSE_FFIEC">"c13064"</definedName>
    <definedName name="IQ_DEDUCTIONS_TOTAL_RISK_BASED_CAPITAL_FFIEC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AULT_DATE">"c16220"</definedName>
    <definedName name="IQ_DEFAULT_TYPE">"c16219"</definedName>
    <definedName name="IQ_DEFERRED_CONTINGENT_RENT">"c16181"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>"c12843"</definedName>
    <definedName name="IQ_DEFERRED_TAX_ASSETS_T1_FFIEC">"c13141"</definedName>
    <definedName name="IQ_DEFERRED_TAX_LIAB_FFIEC">"c12870"</definedName>
    <definedName name="IQ_DEFERRED_TAX_NAV">"c16003"</definedName>
    <definedName name="IQ_DEFERRED_TAX_NNAV">"c16008"</definedName>
    <definedName name="IQ_DEFERRED_TAXES" hidden="1">"c1356"</definedName>
    <definedName name="IQ_DEFERRED_TAXES_TOTAL">"c19142"</definedName>
    <definedName name="IQ_DELIVERED_HOMES_NEW_ORDERS">"c15821"</definedName>
    <definedName name="IQ_DELIVERED_HOMES_PRICE_NEW_ORDER_PRICE">"c15822"</definedName>
    <definedName name="IQ_DEMAND_DEP" hidden="1">"c320"</definedName>
    <definedName name="IQ_DEMAND_DEPOSITS_COMMERCIAL_BANK_SUBS_FFIEC">"c12945"</definedName>
    <definedName name="IQ_DEMAND_DEPOSITS_FDIC" hidden="1">"c6489"</definedName>
    <definedName name="IQ_DEMAND_DEPOSITS_TOT_DEPOSITS_FFIEC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>"c12908"</definedName>
    <definedName name="IQ_DEPOSITORY_INST_GROSS_LOANS_FFIEC">"c13409"</definedName>
    <definedName name="IQ_DEPOSITORY_INST_RISK_BASED_FFIEC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>"c13444"</definedName>
    <definedName name="IQ_DEPOSITS_DOM_FFIEC">"c12850"</definedName>
    <definedName name="IQ_DEPOSITS_FAIR_VALUE_TOT_FFIEC">"c13213"</definedName>
    <definedName name="IQ_DEPOSITS_FIN" hidden="1">"c321"</definedName>
    <definedName name="IQ_DEPOSITS_FOREIGN_BANKS_FOREIGN_AGENCIES_FFIEC">"c15344"</definedName>
    <definedName name="IQ_DEPOSITS_FOREIGN_FFIEC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>"c13221"</definedName>
    <definedName name="IQ_DEPOSITS_LEVEL_2_FFIEC">"c13229"</definedName>
    <definedName name="IQ_DEPOSITS_LEVEL_3_FFIEC">"c13237"</definedName>
    <definedName name="IQ_DEPOSITS_MORE_100K_COMMERCIAL_BANK_SUBS_FFIEC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_ASSETS_CURRENT" hidden="1">"c17744"</definedName>
    <definedName name="IQ_DERIVATIVE_ASSETS_FAIR_VALUE_TOT_FFIEC">"c15403"</definedName>
    <definedName name="IQ_DERIVATIVE_ASSETS_LEVEL_1_FFIEC">"c15425"</definedName>
    <definedName name="IQ_DERIVATIVE_ASSETS_LEVEL_2_FFIEC">"c15438"</definedName>
    <definedName name="IQ_DERIVATIVE_ASSETS_LEVEL_3_FFIEC">"c15451"</definedName>
    <definedName name="IQ_DERIVATIVE_ASSETS_LT" hidden="1">"c17745"</definedName>
    <definedName name="IQ_DERIVATIVE_LIABILITIES_FAIR_VALUE_TOT_FFIEC">"c15407"</definedName>
    <definedName name="IQ_DERIVATIVE_LIABILITIES_LEVEL_1_FFIEC">"c15429"</definedName>
    <definedName name="IQ_DERIVATIVE_LIABILITIES_LEVEL_2_FFIEC">"c15442"</definedName>
    <definedName name="IQ_DERIVATIVE_LIABILITIES_LEVEL_3_FFIEC">"c15455"</definedName>
    <definedName name="IQ_DERIVATIVES_FDIC" hidden="1">"c6523"</definedName>
    <definedName name="IQ_DERIVATIVES_NEGATIVE_FAIR_VALUE_DOM_FFIEC">"c12943"</definedName>
    <definedName name="IQ_DERIVATIVES_NEGATIVE_VALUE_FFIEC">"c12861"</definedName>
    <definedName name="IQ_DERIVATIVES_POS_FAIR_VALUE_FFIEC">"c12827"</definedName>
    <definedName name="IQ_DERIVATIVES_POSITIVE_FAIR_VALUE_TRADING_DOM_FFIEC">"c12938"</definedName>
    <definedName name="IQ_DESCRIPTION_LONG" hidden="1">"c1520"</definedName>
    <definedName name="IQ_DEVELOP_LAND" hidden="1">"c323"</definedName>
    <definedName name="IQ_DEVELOPMENT_EXPENSE">"c16040"</definedName>
    <definedName name="IQ_DEVELOPMENT_REVENUE">"c16024"</definedName>
    <definedName name="IQ_DIC">"c13834"</definedName>
    <definedName name="IQ_DIFF_LASTCLOSE_TARGET_PRICE" hidden="1">"c1854"</definedName>
    <definedName name="IQ_DIFF_LASTCLOSE_TARGET_PRICE_CIQ" hidden="1">"c4767"</definedName>
    <definedName name="IQ_DIFF_LASTCLOSE_TARGET_PRICE_REUT" hidden="1">"c5436"</definedName>
    <definedName name="IQ_DIFF_LASTCLOSE_TARGET_PRICE_THOM" hidden="1">"c5278"</definedName>
    <definedName name="IQ_DIG_SUB_BASIC_SUB">"c16202"</definedName>
    <definedName name="IQ_DIG_SUB_VIDEO_SUB">"c15788"</definedName>
    <definedName name="IQ_DIGITAL_SUB_TOTAL_HOMES_PASSED">"c15769"</definedName>
    <definedName name="IQ_DIGITAL_VIDEO_PENETRATION">"c15768"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LUTED_EPRA_NAV">"c16005"</definedName>
    <definedName name="IQ_DILUTED_EPRA_NAV_SHARE_RE">"c16014"</definedName>
    <definedName name="IQ_DILUTED_EPRA_NNAV">"c16010"</definedName>
    <definedName name="IQ_DILUTED_EPRA_NNAV_SHARE_RE">"c16015"</definedName>
    <definedName name="IQ_DILUTED_NAV_RE">"c15998"</definedName>
    <definedName name="IQ_DILUTED_NAV_SHARE_RE">"c16013"</definedName>
    <definedName name="IQ_DILUTED_NAV_SHARES">"c16016"</definedName>
    <definedName name="IQ_DILUTION_EFFECT_NAV">"c15997"</definedName>
    <definedName name="IQ_DIRECT_AH_EARNED" hidden="1">"c2740"</definedName>
    <definedName name="IQ_DIRECT_EARNED" hidden="1">"c2730"</definedName>
    <definedName name="IQ_DIRECT_INDIRECT_RE_VENTURES_FFIEC">"c15266"</definedName>
    <definedName name="IQ_DIRECT_INDIRECT_RE_VENTURES_UNCONSOL_FFIEC">"c15274"</definedName>
    <definedName name="IQ_DIRECT_LIFE_EARNED" hidden="1">"c2735"</definedName>
    <definedName name="IQ_DIRECT_LIFE_IN_FORCE" hidden="1">"c2765"</definedName>
    <definedName name="IQ_DIRECT_LOSSES">"c15869"</definedName>
    <definedName name="IQ_DIRECT_PC_EARNED" hidden="1">"c2745"</definedName>
    <definedName name="IQ_DIRECT_WRITTEN" hidden="1">"c2724"</definedName>
    <definedName name="IQ_DIRECTORS_FEES_FFIEC">"c13049"</definedName>
    <definedName name="IQ_DISALLOWED_DEFERRED_TAX_ASSETS_FFIEC">"c13157"</definedName>
    <definedName name="IQ_DISALLOWED_GOODWILL_INTANGIBLE_ASSETS_FFIEC">"c13155"</definedName>
    <definedName name="IQ_DISALLOWED_GOODWILL_INTANGIBLES_T1_FFIEC">"c13137"</definedName>
    <definedName name="IQ_DISALLOWED_SERVICING_ASSETS_FFIEC">"c13156"</definedName>
    <definedName name="IQ_DISALLOWED_SERVICING_ASSETS_T1_FFIEC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CRETIONARY_CAPEX">"c16183"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ACT_OR_EST_CIQ_COL" hidden="1">"c11450"</definedName>
    <definedName name="IQ_DISTRIBUTABLE_CASH_EST" hidden="1">"c4277"</definedName>
    <definedName name="IQ_DISTRIBUTABLE_CASH_EST_CIQ" hidden="1">"c4802"</definedName>
    <definedName name="IQ_DISTRIBUTABLE_CASH_GUIDANCE" hidden="1">"c4279"</definedName>
    <definedName name="IQ_DISTRIBUTABLE_CASH_GUIDANCE_CIQ">"c4804"</definedName>
    <definedName name="IQ_DISTRIBUTABLE_CASH_GUIDANCE_CIQ_COL">"c11451"</definedName>
    <definedName name="IQ_DISTRIBUTABLE_CASH_HIGH_EST" hidden="1">"c4280"</definedName>
    <definedName name="IQ_DISTRIBUTABLE_CASH_HIGH_EST_CIQ" hidden="1">"c4805"</definedName>
    <definedName name="IQ_DISTRIBUTABLE_CASH_HIGH_GUIDANCE" hidden="1">"c4198"</definedName>
    <definedName name="IQ_DISTRIBUTABLE_CASH_HIGH_GUIDANCE_CIQ">"c4610"</definedName>
    <definedName name="IQ_DISTRIBUTABLE_CASH_HIGH_GUIDANCE_CIQ_COL">"c11259"</definedName>
    <definedName name="IQ_DISTRIBUTABLE_CASH_LOW_EST" hidden="1">"c4281"</definedName>
    <definedName name="IQ_DISTRIBUTABLE_CASH_LOW_EST_CIQ" hidden="1">"c4806"</definedName>
    <definedName name="IQ_DISTRIBUTABLE_CASH_LOW_GUIDANCE" hidden="1">"c4238"</definedName>
    <definedName name="IQ_DISTRIBUTABLE_CASH_LOW_GUIDANCE_CIQ">"c4650"</definedName>
    <definedName name="IQ_DISTRIBUTABLE_CASH_LOW_GUIDANCE_CIQ_COL">"c11299"</definedName>
    <definedName name="IQ_DISTRIBUTABLE_CASH_MEDIAN_EST" hidden="1">"c4282"</definedName>
    <definedName name="IQ_DISTRIBUTABLE_CASH_MEDIAN_EST_CIQ" hidden="1">"c4807"</definedName>
    <definedName name="IQ_DISTRIBUTABLE_CASH_NUM_EST" hidden="1">"c4283"</definedName>
    <definedName name="IQ_DISTRIBUTABLE_CASH_NUM_EST_CIQ" hidden="1">"c4808"</definedName>
    <definedName name="IQ_DISTRIBUTABLE_CASH_PAYOUT" hidden="1">"c3005"</definedName>
    <definedName name="IQ_DISTRIBUTABLE_CASH_PER_SHARE_DILUTED">"c16191"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ACT_OR_EST_CIQ_COL" hidden="1">"c11458"</definedName>
    <definedName name="IQ_DISTRIBUTABLE_CASH_SHARE_EST" hidden="1">"c4285"</definedName>
    <definedName name="IQ_DISTRIBUTABLE_CASH_SHARE_EST_CIQ" hidden="1">"c4810"</definedName>
    <definedName name="IQ_DISTRIBUTABLE_CASH_SHARE_GUIDANCE" hidden="1">"c4287"</definedName>
    <definedName name="IQ_DISTRIBUTABLE_CASH_SHARE_GUIDANCE_CIQ">"c4812"</definedName>
    <definedName name="IQ_DISTRIBUTABLE_CASH_SHARE_GUIDANCE_CIQ_COL">"c11459"</definedName>
    <definedName name="IQ_DISTRIBUTABLE_CASH_SHARE_HIGH_EST" hidden="1">"c4288"</definedName>
    <definedName name="IQ_DISTRIBUTABLE_CASH_SHARE_HIGH_EST_CIQ" hidden="1">"c4813"</definedName>
    <definedName name="IQ_DISTRIBUTABLE_CASH_SHARE_HIGH_GUIDANCE" hidden="1">"c4199"</definedName>
    <definedName name="IQ_DISTRIBUTABLE_CASH_SHARE_HIGH_GUIDANCE_CIQ">"c4611"</definedName>
    <definedName name="IQ_DISTRIBUTABLE_CASH_SHARE_HIGH_GUIDANCE_CIQ_COL">"c11260"</definedName>
    <definedName name="IQ_DISTRIBUTABLE_CASH_SHARE_LOW_EST" hidden="1">"c4289"</definedName>
    <definedName name="IQ_DISTRIBUTABLE_CASH_SHARE_LOW_EST_CIQ" hidden="1">"c4814"</definedName>
    <definedName name="IQ_DISTRIBUTABLE_CASH_SHARE_LOW_GUIDANCE" hidden="1">"c4239"</definedName>
    <definedName name="IQ_DISTRIBUTABLE_CASH_SHARE_LOW_GUIDANCE_CIQ">"c4651"</definedName>
    <definedName name="IQ_DISTRIBUTABLE_CASH_SHARE_LOW_GUIDANCE_CIQ_COL">"c11300"</definedName>
    <definedName name="IQ_DISTRIBUTABLE_CASH_SHARE_MEDIAN_EST" hidden="1">"c4290"</definedName>
    <definedName name="IQ_DISTRIBUTABLE_CASH_SHARE_MEDIAN_EST_CIQ" hidden="1">"c4815"</definedName>
    <definedName name="IQ_DISTRIBUTABLE_CASH_SHARE_NUM_EST" hidden="1">"c4291"</definedName>
    <definedName name="IQ_DISTRIBUTABLE_CASH_SHARE_NUM_EST_CIQ" hidden="1">"c4816"</definedName>
    <definedName name="IQ_DISTRIBUTABLE_CASH_SHARE_STDDEV_EST" hidden="1">"c4292"</definedName>
    <definedName name="IQ_DISTRIBUTABLE_CASH_SHARE_STDDEV_EST_CIQ" hidden="1">"c4817"</definedName>
    <definedName name="IQ_DISTRIBUTABLE_CASH_SHARES_BASIC">"c16189"</definedName>
    <definedName name="IQ_DISTRIBUTABLE_CASH_SHARES_DILUTED">"c16190"</definedName>
    <definedName name="IQ_DISTRIBUTABLE_CASH_STANDARDIZED" hidden="1">"c20435"</definedName>
    <definedName name="IQ_DISTRIBUTABLE_CASH_STDDEV_EST" hidden="1">"c4294"</definedName>
    <definedName name="IQ_DISTRIBUTABLE_CASH_STDDEV_EST_CIQ" hidden="1">"c4819"</definedName>
    <definedName name="IQ_DIV_AMOUNT" hidden="1">"c3041"</definedName>
    <definedName name="IQ_DIV_AMOUNT_LIST" hidden="1">"c17417"</definedName>
    <definedName name="IQ_DIV_PAYMENT_DATE" hidden="1">"c2205"</definedName>
    <definedName name="IQ_DIV_PAYMENT_DATE_LIST" hidden="1">"c17418"</definedName>
    <definedName name="IQ_DIV_PAYMENT_TYPE" hidden="1">"c12752"</definedName>
    <definedName name="IQ_DIV_PAYMENT_TYPE_LIST" hidden="1">"c17419"</definedName>
    <definedName name="IQ_DIV_RECORD_DATE" hidden="1">"c2204"</definedName>
    <definedName name="IQ_DIV_RECORD_DATE_LIST" hidden="1">"c17420"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IVIDENDS_DECLARED_COMMON_FDIC" hidden="1">"c6659"</definedName>
    <definedName name="IQ_DIVIDENDS_DECLARED_COMMON_FFIEC">"c12969"</definedName>
    <definedName name="IQ_DIVIDENDS_DECLARED_PREFERRED_FDIC" hidden="1">"c6658"</definedName>
    <definedName name="IQ_DIVIDENDS_DECLARED_PREFERRED_FFIEC">"c12968"</definedName>
    <definedName name="IQ_DIVIDENDS_FDIC" hidden="1">"c6660"</definedName>
    <definedName name="IQ_DIVIDENDS_NET_INCOME_FFIEC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>"c13910"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CIQ_COL" hidden="1">"c11709"</definedName>
    <definedName name="IQ_DPS_ACT_OR_EST_REUT" hidden="1">"c5464"</definedName>
    <definedName name="IQ_DPS_ACT_OR_EST_THOM" hidden="1">"c5302"</definedName>
    <definedName name="IQ_DPS_DET_EST" hidden="1">"c12052"</definedName>
    <definedName name="IQ_DPS_DET_EST_CURRENCY" hidden="1">"c12459"</definedName>
    <definedName name="IQ_DPS_DET_EST_CURRENCY_THOM" hidden="1">"c12480"</definedName>
    <definedName name="IQ_DPS_DET_EST_DATE" hidden="1">"c12205"</definedName>
    <definedName name="IQ_DPS_DET_EST_DATE_THOM" hidden="1">"c12231"</definedName>
    <definedName name="IQ_DPS_DET_EST_INCL" hidden="1">"c12342"</definedName>
    <definedName name="IQ_DPS_DET_EST_INCL_THOM" hidden="1">"c12363"</definedName>
    <definedName name="IQ_DPS_DET_EST_ORIGIN" hidden="1">"c12578"</definedName>
    <definedName name="IQ_DPS_DET_EST_ORIGIN_THOM" hidden="1">"c12601"</definedName>
    <definedName name="IQ_DPS_DET_EST_THOM" hidden="1">"c12081"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EST_THOM" hidden="1">"c4013"</definedName>
    <definedName name="IQ_DPS_GUIDANCE" hidden="1">"c4302"</definedName>
    <definedName name="IQ_DPS_GUIDANCE_CIQ">"c4827"</definedName>
    <definedName name="IQ_DPS_GUIDANCE_CIQ_COL">"c11474"</definedName>
    <definedName name="IQ_DPS_HIGH_EST" hidden="1">"c1676"</definedName>
    <definedName name="IQ_DPS_HIGH_EST_REUT" hidden="1">"c3853"</definedName>
    <definedName name="IQ_DPS_HIGH_EST_THOM" hidden="1">"c4015"</definedName>
    <definedName name="IQ_DPS_HIGH_GUIDANCE" hidden="1">"c4168"</definedName>
    <definedName name="IQ_DPS_HIGH_GUIDANCE_CIQ">"c4580"</definedName>
    <definedName name="IQ_DPS_HIGH_GUIDANCE_CIQ_COL">"c11229"</definedName>
    <definedName name="IQ_DPS_LOW_EST" hidden="1">"c1677"</definedName>
    <definedName name="IQ_DPS_LOW_EST_REUT" hidden="1">"c3854"</definedName>
    <definedName name="IQ_DPS_LOW_EST_THOM" hidden="1">"c4016"</definedName>
    <definedName name="IQ_DPS_LOW_GUIDANCE" hidden="1">"c4208"</definedName>
    <definedName name="IQ_DPS_LOW_GUIDANCE_CIQ">"c4620"</definedName>
    <definedName name="IQ_DPS_LOW_GUIDANCE_CIQ_COL">"c11269"</definedName>
    <definedName name="IQ_DPS_MEDIAN_EST" hidden="1">"c1675"</definedName>
    <definedName name="IQ_DPS_MEDIAN_EST_REUT" hidden="1">"c3852"</definedName>
    <definedName name="IQ_DPS_MEDIAN_EST_THOM" hidden="1">"c4014"</definedName>
    <definedName name="IQ_DPS_NUM_EST" hidden="1">"c1678"</definedName>
    <definedName name="IQ_DPS_NUM_EST_REUT" hidden="1">"c3855"</definedName>
    <definedName name="IQ_DPS_NUM_EST_THOM" hidden="1">"c4017"</definedName>
    <definedName name="IQ_DPS_STDDEV_EST" hidden="1">"c1679"</definedName>
    <definedName name="IQ_DPS_STDDEV_EST_REUT" hidden="1">"c3856"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INT_BEAR_LIABILITIES">"c15703"</definedName>
    <definedName name="IQ_EARNING_ASSET_YIELD" hidden="1">"c343"</definedName>
    <definedName name="IQ_EARNING_ASSETS_AVG_ASSETS_FFIEC">"c13354"</definedName>
    <definedName name="IQ_EARNING_ASSETS_FDIC" hidden="1">"c6360"</definedName>
    <definedName name="IQ_EARNING_ASSETS_QUARTERLY_AVG_FFIEC">"c13086"</definedName>
    <definedName name="IQ_EARNING_ASSETS_REPRICE_ASSETS_TOT_FFIEC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ANNOUNCE_DATE_THOM" hidden="1">"c5093"</definedName>
    <definedName name="IQ_EARNINGS_CO_FFIEC">"c13032"</definedName>
    <definedName name="IQ_EARNINGS_CONT_OPS_HOMEBUILDING_SALES">"c15817"</definedName>
    <definedName name="IQ_EARNINGS_COVERAGE_LOSSES_FFIEC">"c13351"</definedName>
    <definedName name="IQ_EARNINGS_COVERAGE_NET_CHARGE_OFFS_FDIC" hidden="1">"c6735"</definedName>
    <definedName name="IQ_EARNINGS_LIFE_INSURANCE_FFIEC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CIQ_COL" hidden="1">"c11710"</definedName>
    <definedName name="IQ_EBIT_ACT_OR_EST_REUT" hidden="1">"c5465"</definedName>
    <definedName name="IQ_EBIT_ACT_OR_EST_THOM" hidden="1">"c5303"</definedName>
    <definedName name="IQ_EBIT_DET_EST" hidden="1">"c12053"</definedName>
    <definedName name="IQ_EBIT_DET_EST_CURRENCY" hidden="1">"c12460"</definedName>
    <definedName name="IQ_EBIT_DET_EST_CURRENCY_THOM" hidden="1">"c12481"</definedName>
    <definedName name="IQ_EBIT_DET_EST_DATE" hidden="1">"c12206"</definedName>
    <definedName name="IQ_EBIT_DET_EST_DATE_THOM" hidden="1">"c12232"</definedName>
    <definedName name="IQ_EBIT_DET_EST_INCL" hidden="1">"c12343"</definedName>
    <definedName name="IQ_EBIT_DET_EST_INCL_THOM" hidden="1">"c12364"</definedName>
    <definedName name="IQ_EBIT_DET_EST_ORIGIN" hidden="1">"c12579"</definedName>
    <definedName name="IQ_EBIT_DET_EST_ORIGIN_THOM" hidden="1">"c12602"</definedName>
    <definedName name="IQ_EBIT_DET_EST_THOM" hidden="1">"c12082"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ST_THOM" hidden="1">"c5105"</definedName>
    <definedName name="IQ_EBIT_EXCL_SBC" hidden="1">"c3082"</definedName>
    <definedName name="IQ_EBIT_GROWTH_1" hidden="1">"c157"</definedName>
    <definedName name="IQ_EBIT_GROWTH_2" hidden="1">"c161"</definedName>
    <definedName name="IQ_EBIT_GUIDANCE" hidden="1">"c4303"</definedName>
    <definedName name="IQ_EBIT_GUIDANCE_CIQ">"c4828"</definedName>
    <definedName name="IQ_EBIT_GUIDANCE_CIQ_COL">"c11475"</definedName>
    <definedName name="IQ_EBIT_GW_ACT_OR_EST" hidden="1">"c4306"</definedName>
    <definedName name="IQ_EBIT_GW_ACT_OR_EST_CIQ_COL" hidden="1">"c11478"</definedName>
    <definedName name="IQ_EBIT_GW_EST" hidden="1">"c4305"</definedName>
    <definedName name="IQ_EBIT_GW_GUIDANCE" hidden="1">"c4307"</definedName>
    <definedName name="IQ_EBIT_GW_GUIDANCE_CIQ">"c4832"</definedName>
    <definedName name="IQ_EBIT_GW_GUIDANCE_CIQ_COL">"c11479"</definedName>
    <definedName name="IQ_EBIT_GW_HIGH_EST" hidden="1">"c4308"</definedName>
    <definedName name="IQ_EBIT_GW_HIGH_GUIDANCE" hidden="1">"c4171"</definedName>
    <definedName name="IQ_EBIT_GW_HIGH_GUIDANCE_CIQ">"c4583"</definedName>
    <definedName name="IQ_EBIT_GW_HIGH_GUIDANCE_CIQ_COL">"c11232"</definedName>
    <definedName name="IQ_EBIT_GW_LOW_EST" hidden="1">"c4309"</definedName>
    <definedName name="IQ_EBIT_GW_LOW_GUIDANCE" hidden="1">"c4211"</definedName>
    <definedName name="IQ_EBIT_GW_LOW_GUIDANCE_CIQ">"c4623"</definedName>
    <definedName name="IQ_EBIT_GW_LOW_GUIDANCE_CIQ_COL">"c11272"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EST_THOM" hidden="1">"c5107"</definedName>
    <definedName name="IQ_EBIT_HIGH_GUIDANCE" hidden="1">"c4172"</definedName>
    <definedName name="IQ_EBIT_HIGH_GUIDANCE_CIQ">"c4584"</definedName>
    <definedName name="IQ_EBIT_HIGH_GUIDANCE_CIQ_COL">"c11233"</definedName>
    <definedName name="IQ_EBIT_HOMEBUILDING_SALES">"c15815"</definedName>
    <definedName name="IQ_EBIT_INT" hidden="1">"c360"</definedName>
    <definedName name="IQ_EBIT_LOW_EST" hidden="1">"c1684"</definedName>
    <definedName name="IQ_EBIT_LOW_EST_REUT" hidden="1">"c5336"</definedName>
    <definedName name="IQ_EBIT_LOW_EST_THOM" hidden="1">"c5108"</definedName>
    <definedName name="IQ_EBIT_LOW_GUIDANCE" hidden="1">"c4212"</definedName>
    <definedName name="IQ_EBIT_LOW_GUIDANCE_CIQ">"c4624"</definedName>
    <definedName name="IQ_EBIT_LOW_GUIDANCE_CIQ_COL">"c11273"</definedName>
    <definedName name="IQ_EBIT_MARGIN" hidden="1">"c359"</definedName>
    <definedName name="IQ_EBIT_MEDIAN_EST" hidden="1">"c1682"</definedName>
    <definedName name="IQ_EBIT_MEDIAN_EST_REUT" hidden="1">"c5334"</definedName>
    <definedName name="IQ_EBIT_MEDIAN_EST_THOM" hidden="1">"c5106"</definedName>
    <definedName name="IQ_EBIT_NUM_EST" hidden="1">"c1685"</definedName>
    <definedName name="IQ_EBIT_NUM_EST_REUT" hidden="1">"c5337"</definedName>
    <definedName name="IQ_EBIT_NUM_EST_THOM" hidden="1">"c5109"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ACT_OR_EST_CIQ_COL" hidden="1">"c11488"</definedName>
    <definedName name="IQ_EBIT_SBC_EST" hidden="1">"c4315"</definedName>
    <definedName name="IQ_EBIT_SBC_GUIDANCE" hidden="1">"c4317"</definedName>
    <definedName name="IQ_EBIT_SBC_GUIDANCE_CIQ">"c4842"</definedName>
    <definedName name="IQ_EBIT_SBC_GUIDANCE_CIQ_COL">"c11489"</definedName>
    <definedName name="IQ_EBIT_SBC_GW_ACT_OR_EST" hidden="1">"c4320"</definedName>
    <definedName name="IQ_EBIT_SBC_GW_ACT_OR_EST_CIQ" hidden="1">"c4845"</definedName>
    <definedName name="IQ_EBIT_SBC_GW_ACT_OR_EST_CIQ_COL" hidden="1">"c11492"</definedName>
    <definedName name="IQ_EBIT_SBC_GW_EST" hidden="1">"c4319"</definedName>
    <definedName name="IQ_EBIT_SBC_GW_GUIDANCE" hidden="1">"c4321"</definedName>
    <definedName name="IQ_EBIT_SBC_GW_GUIDANCE_CIQ">"c4846"</definedName>
    <definedName name="IQ_EBIT_SBC_GW_GUIDANCE_CIQ_COL">"c11493"</definedName>
    <definedName name="IQ_EBIT_SBC_GW_HIGH_EST" hidden="1">"c4322"</definedName>
    <definedName name="IQ_EBIT_SBC_GW_HIGH_GUIDANCE" hidden="1">"c4193"</definedName>
    <definedName name="IQ_EBIT_SBC_GW_HIGH_GUIDANCE_CIQ">"c4605"</definedName>
    <definedName name="IQ_EBIT_SBC_GW_HIGH_GUIDANCE_CIQ_COL">"c11254"</definedName>
    <definedName name="IQ_EBIT_SBC_GW_LOW_EST" hidden="1">"c4323"</definedName>
    <definedName name="IQ_EBIT_SBC_GW_LOW_GUIDANCE" hidden="1">"c4233"</definedName>
    <definedName name="IQ_EBIT_SBC_GW_LOW_GUIDANCE_CIQ">"c4645"</definedName>
    <definedName name="IQ_EBIT_SBC_GW_LOW_GUIDANCE_CIQ_COL">"c11294"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HIGH_GUIDANCE_CIQ">"c4604"</definedName>
    <definedName name="IQ_EBIT_SBC_HIGH_GUIDANCE_CIQ_COL">"c11253"</definedName>
    <definedName name="IQ_EBIT_SBC_LOW_EST" hidden="1">"c4329"</definedName>
    <definedName name="IQ_EBIT_SBC_LOW_GUIDANCE" hidden="1">"c4232"</definedName>
    <definedName name="IQ_EBIT_SBC_LOW_GUIDANCE_CIQ">"c4644"</definedName>
    <definedName name="IQ_EBIT_SBC_LOW_GUIDANCE_CIQ_COL">"c11293"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CIQ_COL" hidden="1">"c11707"</definedName>
    <definedName name="IQ_EBITDA_ACT_OR_EST_REUT" hidden="1">"c5462"</definedName>
    <definedName name="IQ_EBITDA_ACT_OR_EST_THOM" hidden="1">"c5300"</definedName>
    <definedName name="IQ_EBITDA_CAPEX">"c19143"</definedName>
    <definedName name="IQ_EBITDA_CAPEX_INT" hidden="1">"c368"</definedName>
    <definedName name="IQ_EBITDA_CAPEX_OVER_TOTAL_IE" hidden="1">"c1370"</definedName>
    <definedName name="IQ_EBITDA_DET_EST" hidden="1">"c12054"</definedName>
    <definedName name="IQ_EBITDA_DET_EST_CURRENCY" hidden="1">"c12461"</definedName>
    <definedName name="IQ_EBITDA_DET_EST_CURRENCY_THOM" hidden="1">"c12482"</definedName>
    <definedName name="IQ_EBITDA_DET_EST_DATE" hidden="1">"c12207"</definedName>
    <definedName name="IQ_EBITDA_DET_EST_DATE_THOM" hidden="1">"c12233"</definedName>
    <definedName name="IQ_EBITDA_DET_EST_INCL" hidden="1">"c12344"</definedName>
    <definedName name="IQ_EBITDA_DET_EST_INCL_THOM" hidden="1">"c12365"</definedName>
    <definedName name="IQ_EBITDA_DET_EST_ORIGIN" hidden="1">"c12580"</definedName>
    <definedName name="IQ_EBITDA_DET_EST_ORIGIN_THOM" hidden="1">"c12603"</definedName>
    <definedName name="IQ_EBITDA_DET_EST_THOM" hidden="1">"c12083"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DOWN_2MONTH" hidden="1">"c16297"</definedName>
    <definedName name="IQ_EBITDA_EST_DOWN_2MONTH_CIQ" hidden="1">"c16621"</definedName>
    <definedName name="IQ_EBITDA_EST_DOWN_3MONTH" hidden="1">"c16301"</definedName>
    <definedName name="IQ_EBITDA_EST_DOWN_3MONTH_CIQ" hidden="1">"c16625"</definedName>
    <definedName name="IQ_EBITDA_EST_DOWN_MONTH" hidden="1">"c16293"</definedName>
    <definedName name="IQ_EBITDA_EST_DOWN_MONTH_CIQ" hidden="1">"c16617"</definedName>
    <definedName name="IQ_EBITDA_EST_NOTE" hidden="1">"c17503"</definedName>
    <definedName name="IQ_EBITDA_EST_NOTE_CIQ" hidden="1">"c17456"</definedName>
    <definedName name="IQ_EBITDA_EST_NUM_ANALYSTS_2MONTH" hidden="1">"c16295"</definedName>
    <definedName name="IQ_EBITDA_EST_NUM_ANALYSTS_2MONTH_CIQ" hidden="1">"c16619"</definedName>
    <definedName name="IQ_EBITDA_EST_NUM_ANALYSTS_3MONTH" hidden="1">"c16299"</definedName>
    <definedName name="IQ_EBITDA_EST_NUM_ANALYSTS_3MONTH_CIQ" hidden="1">"c16623"</definedName>
    <definedName name="IQ_EBITDA_EST_NUM_ANALYSTS_MONTH" hidden="1">"c16291"</definedName>
    <definedName name="IQ_EBITDA_EST_NUM_ANALYSTS_MONTH_CIQ" hidden="1">"c16615"</definedName>
    <definedName name="IQ_EBITDA_EST_REUT" hidden="1">"c3640"</definedName>
    <definedName name="IQ_EBITDA_EST_THOM" hidden="1">"c3658"</definedName>
    <definedName name="IQ_EBITDA_EST_TOTAL_REVISED_2MONTH" hidden="1">"c16298"</definedName>
    <definedName name="IQ_EBITDA_EST_TOTAL_REVISED_2MONTH_CIQ" hidden="1">"c16622"</definedName>
    <definedName name="IQ_EBITDA_EST_TOTAL_REVISED_3MONTH" hidden="1">"c16302"</definedName>
    <definedName name="IQ_EBITDA_EST_TOTAL_REVISED_3MONTH_CIQ" hidden="1">"c16626"</definedName>
    <definedName name="IQ_EBITDA_EST_TOTAL_REVISED_MONTH" hidden="1">"c16294"</definedName>
    <definedName name="IQ_EBITDA_EST_TOTAL_REVISED_MONTH_CIQ" hidden="1">"c16618"</definedName>
    <definedName name="IQ_EBITDA_EST_UP_2MONTH" hidden="1">"c16296"</definedName>
    <definedName name="IQ_EBITDA_EST_UP_2MONTH_CIQ" hidden="1">"c16620"</definedName>
    <definedName name="IQ_EBITDA_EST_UP_3MONTH" hidden="1">"c16300"</definedName>
    <definedName name="IQ_EBITDA_EST_UP_3MONTH_CIQ" hidden="1">"c16624"</definedName>
    <definedName name="IQ_EBITDA_EST_UP_MONTH" hidden="1">"c16292"</definedName>
    <definedName name="IQ_EBITDA_EST_UP_MONTH_CIQ" hidden="1">"c16616"</definedName>
    <definedName name="IQ_EBITDA_EXCL_SBC" hidden="1">"c3081"</definedName>
    <definedName name="IQ_EBITDA_GROWTH_1" hidden="1">"c156"</definedName>
    <definedName name="IQ_EBITDA_GROWTH_2" hidden="1">"c160"</definedName>
    <definedName name="IQ_EBITDA_GUIDANCE" hidden="1">"c4334"</definedName>
    <definedName name="IQ_EBITDA_GUIDANCE_CIQ">"c4859"</definedName>
    <definedName name="IQ_EBITDA_GUIDANCE_CIQ_COL">"c11506"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EST_THOM" hidden="1">"c3660"</definedName>
    <definedName name="IQ_EBITDA_HIGH_GUIDANCE" hidden="1">"c4170"</definedName>
    <definedName name="IQ_EBITDA_HIGH_GUIDANCE_CIQ">"c4582"</definedName>
    <definedName name="IQ_EBITDA_HIGH_GUIDANCE_CIQ_COL">"c11231"</definedName>
    <definedName name="IQ_EBITDA_HOMEBUILDING_SALES">"c15814"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EST_THOM" hidden="1">"c3661"</definedName>
    <definedName name="IQ_EBITDA_LOW_GUIDANCE" hidden="1">"c4210"</definedName>
    <definedName name="IQ_EBITDA_LOW_GUIDANCE_CIQ">"c4622"</definedName>
    <definedName name="IQ_EBITDA_LOW_GUIDANCE_CIQ_COL">"c11271"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MEDIAN_EST_THOM" hidden="1">"c3659"</definedName>
    <definedName name="IQ_EBITDA_NO_EST" hidden="1">"c267"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NUM_EST_THOM" hidden="1">"c3662"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BC_ACT_OR_EST_CIQ_COL" hidden="1">"c11509"</definedName>
    <definedName name="IQ_EBITDA_SBC_EST" hidden="1">"c4336"</definedName>
    <definedName name="IQ_EBITDA_SBC_GUIDANCE" hidden="1">"c4338"</definedName>
    <definedName name="IQ_EBITDA_SBC_GUIDANCE_CIQ">"c4863"</definedName>
    <definedName name="IQ_EBITDA_SBC_GUIDANCE_CIQ_COL">"c11510"</definedName>
    <definedName name="IQ_EBITDA_SBC_HIGH_EST" hidden="1">"c4339"</definedName>
    <definedName name="IQ_EBITDA_SBC_HIGH_GUIDANCE" hidden="1">"c4194"</definedName>
    <definedName name="IQ_EBITDA_SBC_HIGH_GUIDANCE_CIQ">"c4606"</definedName>
    <definedName name="IQ_EBITDA_SBC_HIGH_GUIDANCE_CIQ_COL">"c11255"</definedName>
    <definedName name="IQ_EBITDA_SBC_LOW_EST" hidden="1">"c4340"</definedName>
    <definedName name="IQ_EBITDA_SBC_LOW_GUIDANCE" hidden="1">"c4234"</definedName>
    <definedName name="IQ_EBITDA_SBC_LOW_GUIDANCE_CIQ">"c4646"</definedName>
    <definedName name="IQ_EBITDA_SBC_LOW_GUIDANCE_CIQ_COL">"c11295"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>"c13029"</definedName>
    <definedName name="IQ_EBT_FIN" hidden="1">"c386"</definedName>
    <definedName name="IQ_EBT_FTE_FFIEC">"c13037"</definedName>
    <definedName name="IQ_EBT_GAAP_GUIDANCE" hidden="1">"c4345"</definedName>
    <definedName name="IQ_EBT_GAAP_GUIDANCE_CIQ">"c4870"</definedName>
    <definedName name="IQ_EBT_GAAP_GUIDANCE_CIQ_COL">"c11517"</definedName>
    <definedName name="IQ_EBT_GAAP_HIGH_GUIDANCE" hidden="1">"c4174"</definedName>
    <definedName name="IQ_EBT_GAAP_HIGH_GUIDANCE_CIQ">"c4586"</definedName>
    <definedName name="IQ_EBT_GAAP_HIGH_GUIDANCE_CIQ_COL">"c11235"</definedName>
    <definedName name="IQ_EBT_GAAP_LOW_GUIDANCE" hidden="1">"c4214"</definedName>
    <definedName name="IQ_EBT_GAAP_LOW_GUIDANCE_CIQ">"c4626"</definedName>
    <definedName name="IQ_EBT_GAAP_LOW_GUIDANCE_CIQ_COL">"c11275"</definedName>
    <definedName name="IQ_EBT_GUIDANCE" hidden="1">"c4346"</definedName>
    <definedName name="IQ_EBT_GUIDANCE_CIQ">"c4871"</definedName>
    <definedName name="IQ_EBT_GUIDANCE_CIQ_COL">"c11518"</definedName>
    <definedName name="IQ_EBT_GW_GUIDANCE" hidden="1">"c4347"</definedName>
    <definedName name="IQ_EBT_GW_GUIDANCE_CIQ">"c4872"</definedName>
    <definedName name="IQ_EBT_GW_GUIDANCE_CIQ_COL">"c11519"</definedName>
    <definedName name="IQ_EBT_GW_HIGH_GUIDANCE" hidden="1">"c4175"</definedName>
    <definedName name="IQ_EBT_GW_HIGH_GUIDANCE_CIQ">"c4587"</definedName>
    <definedName name="IQ_EBT_GW_HIGH_GUIDANCE_CIQ_COL">"c11236"</definedName>
    <definedName name="IQ_EBT_GW_LOW_GUIDANCE" hidden="1">"c4215"</definedName>
    <definedName name="IQ_EBT_GW_LOW_GUIDANCE_CIQ">"c4627"</definedName>
    <definedName name="IQ_EBT_GW_LOW_GUIDANCE_CIQ_COL">"c11276"</definedName>
    <definedName name="IQ_EBT_HIGH_GUIDANCE" hidden="1">"c4173"</definedName>
    <definedName name="IQ_EBT_HIGH_GUIDANCE_CIQ">"c4585"</definedName>
    <definedName name="IQ_EBT_HIGH_GUIDANCE_CIQ_COL">"c11234"</definedName>
    <definedName name="IQ_EBT_HOMEBUILDING_SALES">"c15816"</definedName>
    <definedName name="IQ_EBT_INCL_MARGIN" hidden="1">"c387"</definedName>
    <definedName name="IQ_EBT_INS" hidden="1">"c388"</definedName>
    <definedName name="IQ_EBT_LOW_GUIDANCE" hidden="1">"c4213"</definedName>
    <definedName name="IQ_EBT_LOW_GUIDANCE_CIQ">"c4625"</definedName>
    <definedName name="IQ_EBT_LOW_GUIDANCE_CIQ_COL">"c11274"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ACT_OR_EST_CIQ_COL" hidden="1">"c11522"</definedName>
    <definedName name="IQ_EBT_SBC_EST" hidden="1">"c4349"</definedName>
    <definedName name="IQ_EBT_SBC_GUIDANCE" hidden="1">"c4351"</definedName>
    <definedName name="IQ_EBT_SBC_GUIDANCE_CIQ">"c4876"</definedName>
    <definedName name="IQ_EBT_SBC_GUIDANCE_CIQ_COL">"c11523"</definedName>
    <definedName name="IQ_EBT_SBC_GW_ACT_OR_EST" hidden="1">"c4354"</definedName>
    <definedName name="IQ_EBT_SBC_GW_ACT_OR_EST_CIQ" hidden="1">"c4879"</definedName>
    <definedName name="IQ_EBT_SBC_GW_ACT_OR_EST_CIQ_COL" hidden="1">"c11526"</definedName>
    <definedName name="IQ_EBT_SBC_GW_EST" hidden="1">"c4353"</definedName>
    <definedName name="IQ_EBT_SBC_GW_GUIDANCE" hidden="1">"c4355"</definedName>
    <definedName name="IQ_EBT_SBC_GW_GUIDANCE_CIQ">"c4880"</definedName>
    <definedName name="IQ_EBT_SBC_GW_GUIDANCE_CIQ_COL">"c11527"</definedName>
    <definedName name="IQ_EBT_SBC_GW_HIGH_EST" hidden="1">"c4356"</definedName>
    <definedName name="IQ_EBT_SBC_GW_HIGH_GUIDANCE" hidden="1">"c4191"</definedName>
    <definedName name="IQ_EBT_SBC_GW_HIGH_GUIDANCE_CIQ">"c4603"</definedName>
    <definedName name="IQ_EBT_SBC_GW_HIGH_GUIDANCE_CIQ_COL">"c11252"</definedName>
    <definedName name="IQ_EBT_SBC_GW_LOW_EST" hidden="1">"c4357"</definedName>
    <definedName name="IQ_EBT_SBC_GW_LOW_GUIDANCE" hidden="1">"c4231"</definedName>
    <definedName name="IQ_EBT_SBC_GW_LOW_GUIDANCE_CIQ">"c4643"</definedName>
    <definedName name="IQ_EBT_SBC_GW_LOW_GUIDANCE_CIQ_COL">"c11292"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HIGH_GUIDANCE_CIQ">"c4602"</definedName>
    <definedName name="IQ_EBT_SBC_HIGH_GUIDANCE_CIQ_COL">"c11251"</definedName>
    <definedName name="IQ_EBT_SBC_LOW_EST" hidden="1">"c4363"</definedName>
    <definedName name="IQ_EBT_SBC_LOW_GUIDANCE" hidden="1">"c4230"</definedName>
    <definedName name="IQ_EBT_SBC_LOW_GUIDANCE_CIQ">"c4642"</definedName>
    <definedName name="IQ_EBT_SBC_LOW_GUIDANCE_CIQ_COL">"c11291"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AUTHORIZED_SHARES_OTHER">"c15613"</definedName>
    <definedName name="IQ_ECS_AUTHORIZED_SHARES_OTHER_ABS">"c15630"</definedName>
    <definedName name="IQ_ECS_CONVERT_FACTOR" hidden="1">"c5581"</definedName>
    <definedName name="IQ_ECS_CONVERT_FACTOR_ABS" hidden="1">"c5595"</definedName>
    <definedName name="IQ_ECS_CONVERT_FACTOR_OTHER">"c15611"</definedName>
    <definedName name="IQ_ECS_CONVERT_FACTOR_OTHER_ABS">"c15628"</definedName>
    <definedName name="IQ_ECS_CONVERT_INTO" hidden="1">"c5580"</definedName>
    <definedName name="IQ_ECS_CONVERT_INTO_ABS" hidden="1">"c5594"</definedName>
    <definedName name="IQ_ECS_CONVERT_INTO_OTHER">"c15610"</definedName>
    <definedName name="IQ_ECS_CONVERT_INTO_OTHER_ABS">"c15627"</definedName>
    <definedName name="IQ_ECS_CONVERT_PRIMARY_FACTOR">"c15592"</definedName>
    <definedName name="IQ_ECS_CONVERT_PRIMARY_FACTOR_ABS">"c15596"</definedName>
    <definedName name="IQ_ECS_CONVERT_TYPE" hidden="1">"c5579"</definedName>
    <definedName name="IQ_ECS_CONVERT_TYPE_ABS" hidden="1">"c5593"</definedName>
    <definedName name="IQ_ECS_CONVERT_TYPE_OTHER">"c15609"</definedName>
    <definedName name="IQ_ECS_CONVERT_TYPE_OTHER_ABS">"c15626"</definedName>
    <definedName name="IQ_ECS_INACTIVE_DATE" hidden="1">"c5576"</definedName>
    <definedName name="IQ_ECS_INACTIVE_DATE_ABS" hidden="1">"c5590"</definedName>
    <definedName name="IQ_ECS_INACTIVE_DATE_OTHER">"c15606"</definedName>
    <definedName name="IQ_ECS_INACTIVE_DATE_OTHER_ABS">"c15623"</definedName>
    <definedName name="IQ_ECS_NAME" hidden="1">"c5571"</definedName>
    <definedName name="IQ_ECS_NAME_ABS" hidden="1">"c5585"</definedName>
    <definedName name="IQ_ECS_NAME_OTHER">"c15599"</definedName>
    <definedName name="IQ_ECS_NAME_OTHER_ABS">"c15616"</definedName>
    <definedName name="IQ_ECS_NUM_SHAREHOLDERS" hidden="1">"c5584"</definedName>
    <definedName name="IQ_ECS_NUM_SHAREHOLDERS_ABS" hidden="1">"c5598"</definedName>
    <definedName name="IQ_ECS_NUM_SHAREHOLDERS_BENEFICIAL_BS_DATE" hidden="1">"c16234"</definedName>
    <definedName name="IQ_ECS_NUM_SHAREHOLDERS_BENEFICIAL_BS_DATE_ABS" hidden="1">"c16235"</definedName>
    <definedName name="IQ_ECS_NUM_SHAREHOLDERS_BENEFICIAL_BS_DATE_OTHER" hidden="1">"c16236"</definedName>
    <definedName name="IQ_ECS_NUM_SHAREHOLDERS_BENEFICIAL_BS_DATE_OTHER_ABS" hidden="1">"c16237"</definedName>
    <definedName name="IQ_ECS_NUM_SHAREHOLDERS_BENEFICIAL_FILING_DATE" hidden="1">"c16230"</definedName>
    <definedName name="IQ_ECS_NUM_SHAREHOLDERS_BENEFICIAL_FILING_DATE_ABS" hidden="1">"c16231"</definedName>
    <definedName name="IQ_ECS_NUM_SHAREHOLDERS_BENEFICIAL_FILING_DATE_OTHER" hidden="1">"c16232"</definedName>
    <definedName name="IQ_ECS_NUM_SHAREHOLDERS_BENEFICIAL_FILING_DATE_OTHER_ABS" hidden="1">"c16233"</definedName>
    <definedName name="IQ_ECS_NUM_SHAREHOLDERS_BS_DATE" hidden="1">"c16238"</definedName>
    <definedName name="IQ_ECS_NUM_SHAREHOLDERS_BS_DATE_ABS" hidden="1">"c16239"</definedName>
    <definedName name="IQ_ECS_NUM_SHAREHOLDERS_BS_DATE_OTHER" hidden="1">"c16240"</definedName>
    <definedName name="IQ_ECS_NUM_SHAREHOLDERS_BS_DATE_OTHER_ABS" hidden="1">"c16241"</definedName>
    <definedName name="IQ_ECS_NUM_SHAREHOLDERS_FILING_DATE" hidden="1">"c5584"</definedName>
    <definedName name="IQ_ECS_NUM_SHAREHOLDERS_FILING_DATE_ABS" hidden="1">"c5598"</definedName>
    <definedName name="IQ_ECS_NUM_SHAREHOLDERS_FILING_DATE_OTHER" hidden="1">"c15615"</definedName>
    <definedName name="IQ_ECS_NUM_SHAREHOLDERS_FILING_DATE_OTHER_ABS" hidden="1">"c15632"</definedName>
    <definedName name="IQ_ECS_NUM_SHAREHOLDERS_OTHER">"c15615"</definedName>
    <definedName name="IQ_ECS_NUM_SHAREHOLDERS_OTHER_ABS">"c15632"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PAR_VALUE_CURRENCY_OTHER">"c15608"</definedName>
    <definedName name="IQ_ECS_PAR_VALUE_CURRENCY_OTHER_ABS">"c15625"</definedName>
    <definedName name="IQ_ECS_PAR_VALUE_OTHER">"c15607"</definedName>
    <definedName name="IQ_ECS_PAR_VALUE_OTHER_ABS">"c15624"</definedName>
    <definedName name="IQ_ECS_PARTICIPATE_FLAG">"c15591"</definedName>
    <definedName name="IQ_ECS_PARTICIPATE_FLAG_ABS">"c15595"</definedName>
    <definedName name="IQ_ECS_PARTICIPATE_FLAG_OTHER">"c15614"</definedName>
    <definedName name="IQ_ECS_PARTICIPATE_FLAG_OTHER_ABS">"c15631"</definedName>
    <definedName name="IQ_ECS_SHARES_OUT_BS_DATE" hidden="1">"c5572"</definedName>
    <definedName name="IQ_ECS_SHARES_OUT_BS_DATE_ABS" hidden="1">"c5586"</definedName>
    <definedName name="IQ_ECS_SHARES_OUT_BS_DATE_OTHER">"c15600"</definedName>
    <definedName name="IQ_ECS_SHARES_OUT_BS_DATE_OTHER_ABS">"c15617"</definedName>
    <definedName name="IQ_ECS_SHARES_OUT_FILING_DATE" hidden="1">"c5573"</definedName>
    <definedName name="IQ_ECS_SHARES_OUT_FILING_DATE_ABS" hidden="1">"c5587"</definedName>
    <definedName name="IQ_ECS_SHARES_OUT_FILING_DATE_OTHER">"c15601"</definedName>
    <definedName name="IQ_ECS_SHARES_OUT_FILING_DATE_OTHER_ABS">"c15618"</definedName>
    <definedName name="IQ_ECS_START_DATE" hidden="1">"c5575"</definedName>
    <definedName name="IQ_ECS_START_DATE_ABS" hidden="1">"c5589"</definedName>
    <definedName name="IQ_ECS_START_DATE_OTHER">"c15605"</definedName>
    <definedName name="IQ_ECS_START_DATE_OTHER_ABS">"c15622"</definedName>
    <definedName name="IQ_ECS_TICKER">"c15594"</definedName>
    <definedName name="IQ_ECS_TICKER_ABS">"c15598"</definedName>
    <definedName name="IQ_ECS_TICKER_OTHER">"c15603"</definedName>
    <definedName name="IQ_ECS_TICKER_OTHER_ABS">"c15620"</definedName>
    <definedName name="IQ_ECS_TRADING_ITEM_CIQID">"c15593"</definedName>
    <definedName name="IQ_ECS_TRADING_ITEM_CIQID_ABS">"c15597"</definedName>
    <definedName name="IQ_ECS_TRADING_ITEM_CIQID_OTHER">"c15602"</definedName>
    <definedName name="IQ_ECS_TRADING_ITEM_CIQID_OTHER_ABS">"c15619"</definedName>
    <definedName name="IQ_ECS_TYPE" hidden="1">"c5574"</definedName>
    <definedName name="IQ_ECS_TYPE_ABS" hidden="1">"c5588"</definedName>
    <definedName name="IQ_ECS_TYPE_OTHER">"c15604"</definedName>
    <definedName name="IQ_ECS_TYPE_OTHER_ABS">"c15621"</definedName>
    <definedName name="IQ_ECS_VOTING" hidden="1">"c5582"</definedName>
    <definedName name="IQ_ECS_VOTING_ABS" hidden="1">"c5596"</definedName>
    <definedName name="IQ_ECS_VOTING_OTHER">"c15612"</definedName>
    <definedName name="IQ_ECS_VOTING_OTHER_ABS">"c15629"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LIMINATIONS_CONSOL_OFFICES_FOREIGN_FFIEC">"c15395"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>"c13035"</definedName>
    <definedName name="IQ_EMPLOYEES_UNDER_UNION_CONTRACTS">"c16109"</definedName>
    <definedName name="IQ_ENTERPRISE_VALUE" hidden="1">"c1348"</definedName>
    <definedName name="IQ_ENTITLEMENT_DET_EST" hidden="1">"c12044"</definedName>
    <definedName name="IQ_ENTITLEMENT_DET_EST_THOM" hidden="1">"c12072"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CIQ_COL" hidden="1">"c11705"</definedName>
    <definedName name="IQ_EPS_ACT_OR_EST_REUT" hidden="1">"c5460"</definedName>
    <definedName name="IQ_EPS_ACT_OR_EST_THOM" hidden="1">"c5298"</definedName>
    <definedName name="IQ_EPS_AP" hidden="1">"c8880"</definedName>
    <definedName name="IQ_EPS_AP_ABS" hidden="1">"c8899"</definedName>
    <definedName name="IQ_EPS_DET_EST" hidden="1">"c13571"</definedName>
    <definedName name="IQ_EPS_DET_EST_CURRENCY" hidden="1">"c13583"</definedName>
    <definedName name="IQ_EPS_DET_EST_CURRENCY_THOM" hidden="1">"c12484"</definedName>
    <definedName name="IQ_EPS_DET_EST_DATE" hidden="1">"c13575"</definedName>
    <definedName name="IQ_EPS_DET_EST_DATE_THOM" hidden="1">"c12235"</definedName>
    <definedName name="IQ_EPS_DET_EST_INCL" hidden="1">"c13587"</definedName>
    <definedName name="IQ_EPS_DET_EST_INCL_THOM" hidden="1">"c12367"</definedName>
    <definedName name="IQ_EPS_DET_EST_ORIGIN" hidden="1">"c13579"</definedName>
    <definedName name="IQ_EPS_DET_EST_ORIGIN_THOM" hidden="1">"c12605"</definedName>
    <definedName name="IQ_EPS_DET_EST_THOM" hidden="1">"c12085"</definedName>
    <definedName name="IQ_EPS_EST" hidden="1">"c399"</definedName>
    <definedName name="IQ_EPS_EST_1" hidden="1">"c189"</definedName>
    <definedName name="IQ_EPS_EST_BOTTOM_UP" hidden="1">"c5489"</definedName>
    <definedName name="IQ_EPS_EST_BOTTOM_UP_CIQ" hidden="1">"c12026"</definedName>
    <definedName name="IQ_EPS_EST_BOTTOM_UP_REUT" hidden="1">"c5497"</definedName>
    <definedName name="IQ_EPS_EST_BOTTOM_UP_THOM" hidden="1">"c5647"</definedName>
    <definedName name="IQ_EPS_EST_CIQ" hidden="1">"c4994"</definedName>
    <definedName name="IQ_EPS_EST_DOWN_2MONTH" hidden="1">"c16309"</definedName>
    <definedName name="IQ_EPS_EST_DOWN_2MONTH_CIQ" hidden="1">"c16633"</definedName>
    <definedName name="IQ_EPS_EST_DOWN_3MONTH" hidden="1">"c16313"</definedName>
    <definedName name="IQ_EPS_EST_DOWN_3MONTH_CIQ" hidden="1">"c16637"</definedName>
    <definedName name="IQ_EPS_EST_DOWN_MONTH" hidden="1">"c16305"</definedName>
    <definedName name="IQ_EPS_EST_DOWN_MONTH_CIQ" hidden="1">"c16629"</definedName>
    <definedName name="IQ_EPS_EST_NOTE" hidden="1">"c17504"</definedName>
    <definedName name="IQ_EPS_EST_NOTE_CIQ" hidden="1">"c17457"</definedName>
    <definedName name="IQ_EPS_EST_NUM_ANALYSTS_2MONTH" hidden="1">"c16307"</definedName>
    <definedName name="IQ_EPS_EST_NUM_ANALYSTS_2MONTH_CIQ" hidden="1">"c16631"</definedName>
    <definedName name="IQ_EPS_EST_NUM_ANALYSTS_3MONTH" hidden="1">"c16311"</definedName>
    <definedName name="IQ_EPS_EST_NUM_ANALYSTS_3MONTH_CIQ" hidden="1">"c16635"</definedName>
    <definedName name="IQ_EPS_EST_NUM_ANALYSTS_MONTH" hidden="1">"c16303"</definedName>
    <definedName name="IQ_EPS_EST_NUM_ANALYSTS_MONTH_CIQ" hidden="1">"c16627"</definedName>
    <definedName name="IQ_EPS_EST_REUT" hidden="1">"c5453"</definedName>
    <definedName name="IQ_EPS_EST_THOM" hidden="1">"c5290"</definedName>
    <definedName name="IQ_EPS_EST_TOTAL_REVISED_2MONTH" hidden="1">"c16310"</definedName>
    <definedName name="IQ_EPS_EST_TOTAL_REVISED_2MONTH_CIQ" hidden="1">"c16634"</definedName>
    <definedName name="IQ_EPS_EST_TOTAL_REVISED_3MONTH" hidden="1">"c16314"</definedName>
    <definedName name="IQ_EPS_EST_TOTAL_REVISED_3MONTH_CIQ" hidden="1">"c16638"</definedName>
    <definedName name="IQ_EPS_EST_TOTAL_REVISED_MONTH" hidden="1">"c16306"</definedName>
    <definedName name="IQ_EPS_EST_TOTAL_REVISED_MONTH_CIQ" hidden="1">"c16630"</definedName>
    <definedName name="IQ_EPS_EST_UP_2MONTH" hidden="1">"c16308"</definedName>
    <definedName name="IQ_EPS_EST_UP_2MONTH_CIQ" hidden="1">"c16632"</definedName>
    <definedName name="IQ_EPS_EST_UP_3MONTH" hidden="1">"c16312"</definedName>
    <definedName name="IQ_EPS_EST_UP_3MONTH_CIQ" hidden="1">"c16636"</definedName>
    <definedName name="IQ_EPS_EST_UP_MONTH" hidden="1">"c16304"</definedName>
    <definedName name="IQ_EPS_EST_UP_MONTH_CIQ" hidden="1">"c16628"</definedName>
    <definedName name="IQ_EPS_EXCL_GUIDANCE" hidden="1">"c4368"</definedName>
    <definedName name="IQ_EPS_EXCL_GUIDANCE_CIQ">"c4893"</definedName>
    <definedName name="IQ_EPS_EXCL_GUIDANCE_CIQ_COL">"c11540"</definedName>
    <definedName name="IQ_EPS_EXCL_HIGH_GUIDANCE" hidden="1">"c4369"</definedName>
    <definedName name="IQ_EPS_EXCL_HIGH_GUIDANCE_CIQ">"c4894"</definedName>
    <definedName name="IQ_EPS_EXCL_HIGH_GUIDANCE_CIQ_COL">"c11541"</definedName>
    <definedName name="IQ_EPS_EXCL_LOW_GUIDANCE" hidden="1">"c4204"</definedName>
    <definedName name="IQ_EPS_EXCL_LOW_GUIDANCE_CIQ">"c4616"</definedName>
    <definedName name="IQ_EPS_EXCL_LOW_GUIDANCE_CIQ_COL">"c11265"</definedName>
    <definedName name="IQ_EPS_GAAP_GUIDANCE" hidden="1">"c4370"</definedName>
    <definedName name="IQ_EPS_GAAP_GUIDANCE_CIQ">"c4895"</definedName>
    <definedName name="IQ_EPS_GAAP_GUIDANCE_CIQ_COL">"c11542"</definedName>
    <definedName name="IQ_EPS_GAAP_HIGH_GUIDANCE" hidden="1">"c4371"</definedName>
    <definedName name="IQ_EPS_GAAP_HIGH_GUIDANCE_CIQ">"c4896"</definedName>
    <definedName name="IQ_EPS_GAAP_HIGH_GUIDANCE_CIQ_COL">"c11543"</definedName>
    <definedName name="IQ_EPS_GAAP_LOW_GUIDANCE" hidden="1">"c4205"</definedName>
    <definedName name="IQ_EPS_GAAP_LOW_GUIDANCE_CIQ">"c4617"</definedName>
    <definedName name="IQ_EPS_GAAP_LOW_GUIDANCE_CIQ_COL">"c11266"</definedName>
    <definedName name="IQ_EPS_GROWTH_GUIDANCE_CIQ">"c32283"</definedName>
    <definedName name="IQ_EPS_GROWTH_GUIDANCE_CIQ_COL">"c32286"</definedName>
    <definedName name="IQ_EPS_GROWTH_HIGH_GUIDANCE_CIQ">"c32284"</definedName>
    <definedName name="IQ_EPS_GROWTH_HIGH_GUIDANCE_CIQ_COL">"c32287"</definedName>
    <definedName name="IQ_EPS_GROWTH_LOW_GUIDANCE_CIQ">"c32285"</definedName>
    <definedName name="IQ_EPS_GROWTH_LOW_GUIDANCE_CIQ_COL">"c32288"</definedName>
    <definedName name="IQ_EPS_GW_ACT_OR_EST" hidden="1">"c2223"</definedName>
    <definedName name="IQ_EPS_GW_ACT_OR_EST_CIQ" hidden="1">"c5066"</definedName>
    <definedName name="IQ_EPS_GW_ACT_OR_EST_REUT" hidden="1">"c5469"</definedName>
    <definedName name="IQ_EPS_GW_DET_EST" hidden="1">"c12056"</definedName>
    <definedName name="IQ_EPS_GW_DET_EST_CURRENCY" hidden="1">"c12463"</definedName>
    <definedName name="IQ_EPS_GW_DET_EST_CURRENCY_THOM" hidden="1">"c12485"</definedName>
    <definedName name="IQ_EPS_GW_DET_EST_DATE" hidden="1">"c12209"</definedName>
    <definedName name="IQ_EPS_GW_DET_EST_DATE_THOM" hidden="1">"c12236"</definedName>
    <definedName name="IQ_EPS_GW_DET_EST_INCL" hidden="1">"c12346"</definedName>
    <definedName name="IQ_EPS_GW_DET_EST_INCL_THOM" hidden="1">"c12368"</definedName>
    <definedName name="IQ_EPS_GW_DET_EST_ORIGIN" hidden="1">"c12582"</definedName>
    <definedName name="IQ_EPS_GW_DET_EST_ORIGIN_THOM" hidden="1">"c12606"</definedName>
    <definedName name="IQ_EPS_GW_DET_EST_THOM" hidden="1">"c12086"</definedName>
    <definedName name="IQ_EPS_GW_EST" hidden="1">"c1737"</definedName>
    <definedName name="IQ_EPS_GW_EST_BOTTOM_UP" hidden="1">"c5491"</definedName>
    <definedName name="IQ_EPS_GW_EST_BOTTOM_UP_CIQ" hidden="1">"c12028"</definedName>
    <definedName name="IQ_EPS_GW_EST_BOTTOM_UP_REUT" hidden="1">"c5499"</definedName>
    <definedName name="IQ_EPS_GW_EST_CIQ" hidden="1">"c4723"</definedName>
    <definedName name="IQ_EPS_GW_EST_DOWN_2MONTH" hidden="1">"c16465"</definedName>
    <definedName name="IQ_EPS_GW_EST_DOWN_2MONTH_CIQ" hidden="1">"c16753"</definedName>
    <definedName name="IQ_EPS_GW_EST_DOWN_3MONTH" hidden="1">"c16469"</definedName>
    <definedName name="IQ_EPS_GW_EST_DOWN_3MONTH_CIQ" hidden="1">"c16757"</definedName>
    <definedName name="IQ_EPS_GW_EST_DOWN_MONTH" hidden="1">"c16461"</definedName>
    <definedName name="IQ_EPS_GW_EST_DOWN_MONTH_CIQ" hidden="1">"c16749"</definedName>
    <definedName name="IQ_EPS_GW_EST_NOTE" hidden="1">"c17524"</definedName>
    <definedName name="IQ_EPS_GW_EST_NOTE_CIQ" hidden="1">"c17477"</definedName>
    <definedName name="IQ_EPS_GW_EST_NUM_ANALYSTS_2MONTH" hidden="1">"c16463"</definedName>
    <definedName name="IQ_EPS_GW_EST_NUM_ANALYSTS_2MONTH_CIQ" hidden="1">"c16751"</definedName>
    <definedName name="IQ_EPS_GW_EST_NUM_ANALYSTS_3MONTH" hidden="1">"c16467"</definedName>
    <definedName name="IQ_EPS_GW_EST_NUM_ANALYSTS_3MONTH_CIQ" hidden="1">"c16755"</definedName>
    <definedName name="IQ_EPS_GW_EST_NUM_ANALYSTS_MONTH" hidden="1">"c16459"</definedName>
    <definedName name="IQ_EPS_GW_EST_NUM_ANALYSTS_MONTH_CIQ" hidden="1">"c16747"</definedName>
    <definedName name="IQ_EPS_GW_EST_REUT" hidden="1">"c5389"</definedName>
    <definedName name="IQ_EPS_GW_EST_THOM" hidden="1">"c5133"</definedName>
    <definedName name="IQ_EPS_GW_EST_TOTAL_REVISED_2MONTH" hidden="1">"c16466"</definedName>
    <definedName name="IQ_EPS_GW_EST_TOTAL_REVISED_2MONTH_CIQ" hidden="1">"c16754"</definedName>
    <definedName name="IQ_EPS_GW_EST_TOTAL_REVISED_3MONTH" hidden="1">"c16470"</definedName>
    <definedName name="IQ_EPS_GW_EST_TOTAL_REVISED_3MONTH_CIQ" hidden="1">"c16758"</definedName>
    <definedName name="IQ_EPS_GW_EST_TOTAL_REVISED_MONTH" hidden="1">"c16462"</definedName>
    <definedName name="IQ_EPS_GW_EST_TOTAL_REVISED_MONTH_CIQ" hidden="1">"c16750"</definedName>
    <definedName name="IQ_EPS_GW_EST_UP_2MONTH" hidden="1">"c16464"</definedName>
    <definedName name="IQ_EPS_GW_EST_UP_2MONTH_CIQ" hidden="1">"c16752"</definedName>
    <definedName name="IQ_EPS_GW_EST_UP_3MONTH" hidden="1">"c16468"</definedName>
    <definedName name="IQ_EPS_GW_EST_UP_3MONTH_CIQ" hidden="1">"c16756"</definedName>
    <definedName name="IQ_EPS_GW_EST_UP_MONTH" hidden="1">"c16460"</definedName>
    <definedName name="IQ_EPS_GW_EST_UP_MONTH_CIQ" hidden="1">"c16748"</definedName>
    <definedName name="IQ_EPS_GW_GUIDANCE" hidden="1">"c4372"</definedName>
    <definedName name="IQ_EPS_GW_GUIDANCE_CIQ">"c4897"</definedName>
    <definedName name="IQ_EPS_GW_GUIDANCE_CIQ_COL">"c11544"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EST_THOM" hidden="1">"c5135"</definedName>
    <definedName name="IQ_EPS_GW_HIGH_GUIDANCE" hidden="1">"c4373"</definedName>
    <definedName name="IQ_EPS_GW_HIGH_GUIDANCE_CIQ">"c4898"</definedName>
    <definedName name="IQ_EPS_GW_HIGH_GUIDANCE_CIQ_COL">"c11545"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EST_THOM" hidden="1">"c5136"</definedName>
    <definedName name="IQ_EPS_GW_LOW_GUIDANCE" hidden="1">"c4206"</definedName>
    <definedName name="IQ_EPS_GW_LOW_GUIDANCE_CIQ">"c4618"</definedName>
    <definedName name="IQ_EPS_GW_LOW_GUIDANCE_CIQ_COL">"c11267"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REUT" hidden="1">"c5454"</definedName>
    <definedName name="IQ_EPS_HIGH_EST_THOM" hidden="1">"c5291"</definedName>
    <definedName name="IQ_EPS_LOW_EST" hidden="1">"c401"</definedName>
    <definedName name="IQ_EPS_LOW_EST_CIQ" hidden="1">"c4996"</definedName>
    <definedName name="IQ_EPS_LOW_EST_REUT" hidden="1">"c5455"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MEDIAN_EST_THOM" hidden="1">"c5293"</definedName>
    <definedName name="IQ_EPS_NAME_AP" hidden="1">"c8918"</definedName>
    <definedName name="IQ_EPS_NAME_AP_ABS" hidden="1">"c8937"</definedName>
    <definedName name="IQ_EPS_NO_EST" hidden="1">"c271"</definedName>
    <definedName name="IQ_EPS_NORM" hidden="1">"c1902"</definedName>
    <definedName name="IQ_EPS_NORM_DET_EST" hidden="1">"c12058"</definedName>
    <definedName name="IQ_EPS_NORM_DET_EST_CURRENCY" hidden="1">"c12465"</definedName>
    <definedName name="IQ_EPS_NORM_DET_EST_DATE" hidden="1">"c12211"</definedName>
    <definedName name="IQ_EPS_NORM_DET_EST_INCL" hidden="1">"c12348"</definedName>
    <definedName name="IQ_EPS_NORM_DET_EST_ORIGIN" hidden="1">"c12583"</definedName>
    <definedName name="IQ_EPS_NORM_DET_EST_ORIGIN_THOM" hidden="1">"c12607"</definedName>
    <definedName name="IQ_EPS_NORM_EST" hidden="1">"c2226"</definedName>
    <definedName name="IQ_EPS_NORM_EST_BOTTOM_UP" hidden="1">"c5490"</definedName>
    <definedName name="IQ_EPS_NORM_EST_BOTTOM_UP_CIQ" hidden="1">"c12027"</definedName>
    <definedName name="IQ_EPS_NORM_EST_BOTTOM_UP_REUT" hidden="1">"c5498"</definedName>
    <definedName name="IQ_EPS_NORM_EST_CIQ" hidden="1">"c4667"</definedName>
    <definedName name="IQ_EPS_NORM_EST_DOWN_2MONTH" hidden="1">"c16597"</definedName>
    <definedName name="IQ_EPS_NORM_EST_DOWN_2MONTH_CIQ" hidden="1">"c16861"</definedName>
    <definedName name="IQ_EPS_NORM_EST_DOWN_3MONTH" hidden="1">"c16601"</definedName>
    <definedName name="IQ_EPS_NORM_EST_DOWN_3MONTH_CIQ" hidden="1">"c16865"</definedName>
    <definedName name="IQ_EPS_NORM_EST_DOWN_MONTH" hidden="1">"c16593"</definedName>
    <definedName name="IQ_EPS_NORM_EST_DOWN_MONTH_CIQ" hidden="1">"c16857"</definedName>
    <definedName name="IQ_EPS_NORM_EST_NOTE" hidden="1">"c17505"</definedName>
    <definedName name="IQ_EPS_NORM_EST_NOTE_CIQ" hidden="1">"c17458"</definedName>
    <definedName name="IQ_EPS_NORM_EST_NUM_ANALYSTS_2MONTH" hidden="1">"c16595"</definedName>
    <definedName name="IQ_EPS_NORM_EST_NUM_ANALYSTS_2MONTH_CIQ" hidden="1">"c16859"</definedName>
    <definedName name="IQ_EPS_NORM_EST_NUM_ANALYSTS_3MONTH" hidden="1">"c16599"</definedName>
    <definedName name="IQ_EPS_NORM_EST_NUM_ANALYSTS_3MONTH_CIQ" hidden="1">"c16863"</definedName>
    <definedName name="IQ_EPS_NORM_EST_NUM_ANALYSTS_MONTH" hidden="1">"c16591"</definedName>
    <definedName name="IQ_EPS_NORM_EST_NUM_ANALYSTS_MONTH_CIQ" hidden="1">"c16855"</definedName>
    <definedName name="IQ_EPS_NORM_EST_REUT" hidden="1">"c5326"</definedName>
    <definedName name="IQ_EPS_NORM_EST_TOTAL_REVISED_2MONTH" hidden="1">"c16598"</definedName>
    <definedName name="IQ_EPS_NORM_EST_TOTAL_REVISED_2MONTH_CIQ" hidden="1">"c16862"</definedName>
    <definedName name="IQ_EPS_NORM_EST_TOTAL_REVISED_3MONTH" hidden="1">"c16602"</definedName>
    <definedName name="IQ_EPS_NORM_EST_TOTAL_REVISED_3MONTH_CIQ" hidden="1">"c16866"</definedName>
    <definedName name="IQ_EPS_NORM_EST_TOTAL_REVISED_MONTH" hidden="1">"c16594"</definedName>
    <definedName name="IQ_EPS_NORM_EST_TOTAL_REVISED_MONTH_CIQ" hidden="1">"c16858"</definedName>
    <definedName name="IQ_EPS_NORM_EST_UP_2MONTH" hidden="1">"c16596"</definedName>
    <definedName name="IQ_EPS_NORM_EST_UP_2MONTH_CIQ" hidden="1">"c16860"</definedName>
    <definedName name="IQ_EPS_NORM_EST_UP_3MONTH" hidden="1">"c16600"</definedName>
    <definedName name="IQ_EPS_NORM_EST_UP_3MONTH_CIQ" hidden="1">"c16864"</definedName>
    <definedName name="IQ_EPS_NORM_EST_UP_MONTH" hidden="1">"c16592"</definedName>
    <definedName name="IQ_EPS_NORM_EST_UP_MONTH_CIQ" hidden="1">"c16856"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NUM_EST_THOM" hidden="1">"c5288"</definedName>
    <definedName name="IQ_EPS_REPORT_ACT_OR_EST" hidden="1">"c2224"</definedName>
    <definedName name="IQ_EPS_REPORT_ACT_OR_EST_CIQ" hidden="1">"c5067"</definedName>
    <definedName name="IQ_EPS_REPORT_ACT_OR_EST_REUT" hidden="1">"c5470"</definedName>
    <definedName name="IQ_EPS_REPORT_ACT_OR_EST_THOM" hidden="1">"c5307"</definedName>
    <definedName name="IQ_EPS_REPORTED_DET_EST" hidden="1">"c12057"</definedName>
    <definedName name="IQ_EPS_REPORTED_DET_EST_CURRENCY" hidden="1">"c12464"</definedName>
    <definedName name="IQ_EPS_REPORTED_DET_EST_CURRENCY_THOM" hidden="1">"c12486"</definedName>
    <definedName name="IQ_EPS_REPORTED_DET_EST_DATE" hidden="1">"c12210"</definedName>
    <definedName name="IQ_EPS_REPORTED_DET_EST_DATE_THOM" hidden="1">"c12237"</definedName>
    <definedName name="IQ_EPS_REPORTED_DET_EST_INCL" hidden="1">"c12347"</definedName>
    <definedName name="IQ_EPS_REPORTED_DET_EST_INCL_THOM" hidden="1">"c12369"</definedName>
    <definedName name="IQ_EPS_REPORTED_DET_EST_ORIGIN" hidden="1">"c12772"</definedName>
    <definedName name="IQ_EPS_REPORTED_DET_EST_ORIGIN_THOM" hidden="1">"c13511"</definedName>
    <definedName name="IQ_EPS_REPORTED_DET_EST_THOM" hidden="1">"c12087"</definedName>
    <definedName name="IQ_EPS_REPORTED_EST" hidden="1">"c1744"</definedName>
    <definedName name="IQ_EPS_REPORTED_EST_BOTTOM_UP" hidden="1">"c5492"</definedName>
    <definedName name="IQ_EPS_REPORTED_EST_BOTTOM_UP_CIQ" hidden="1">"c12029"</definedName>
    <definedName name="IQ_EPS_REPORTED_EST_BOTTOM_UP_REUT" hidden="1">"c5500"</definedName>
    <definedName name="IQ_EPS_REPORTED_EST_CIQ" hidden="1">"c4730"</definedName>
    <definedName name="IQ_EPS_REPORTED_EST_DOWN_2MONTH" hidden="1">"c16477"</definedName>
    <definedName name="IQ_EPS_REPORTED_EST_DOWN_2MONTH_CIQ" hidden="1">"c16765"</definedName>
    <definedName name="IQ_EPS_REPORTED_EST_DOWN_3MONTH" hidden="1">"c16481"</definedName>
    <definedName name="IQ_EPS_REPORTED_EST_DOWN_3MONTH_CIQ" hidden="1">"c16769"</definedName>
    <definedName name="IQ_EPS_REPORTED_EST_DOWN_MONTH" hidden="1">"c16473"</definedName>
    <definedName name="IQ_EPS_REPORTED_EST_DOWN_MONTH_CIQ" hidden="1">"c16761"</definedName>
    <definedName name="IQ_EPS_REPORTED_EST_NOTE" hidden="1">"c17517"</definedName>
    <definedName name="IQ_EPS_REPORTED_EST_NOTE_CIQ" hidden="1">"c17470"</definedName>
    <definedName name="IQ_EPS_REPORTED_EST_NUM_ANALYSTS_2MONTH" hidden="1">"c16475"</definedName>
    <definedName name="IQ_EPS_REPORTED_EST_NUM_ANALYSTS_2MONTH_CIQ" hidden="1">"c16763"</definedName>
    <definedName name="IQ_EPS_REPORTED_EST_NUM_ANALYSTS_3MONTH" hidden="1">"c16479"</definedName>
    <definedName name="IQ_EPS_REPORTED_EST_NUM_ANALYSTS_3MONTH_CIQ" hidden="1">"c16767"</definedName>
    <definedName name="IQ_EPS_REPORTED_EST_NUM_ANALYSTS_MONTH" hidden="1">"c16471"</definedName>
    <definedName name="IQ_EPS_REPORTED_EST_NUM_ANALYSTS_MONTH_CIQ" hidden="1">"c16759"</definedName>
    <definedName name="IQ_EPS_REPORTED_EST_REUT" hidden="1">"c5396"</definedName>
    <definedName name="IQ_EPS_REPORTED_EST_THOM" hidden="1">"c5140"</definedName>
    <definedName name="IQ_EPS_REPORTED_EST_TOTAL_REVISED_2MONTH" hidden="1">"c16478"</definedName>
    <definedName name="IQ_EPS_REPORTED_EST_TOTAL_REVISED_2MONTH_CIQ" hidden="1">"c16766"</definedName>
    <definedName name="IQ_EPS_REPORTED_EST_TOTAL_REVISED_3MONTH" hidden="1">"c16482"</definedName>
    <definedName name="IQ_EPS_REPORTED_EST_TOTAL_REVISED_3MONTH_CIQ" hidden="1">"c16770"</definedName>
    <definedName name="IQ_EPS_REPORTED_EST_TOTAL_REVISED_MONTH" hidden="1">"c16474"</definedName>
    <definedName name="IQ_EPS_REPORTED_EST_TOTAL_REVISED_MONTH_CIQ" hidden="1">"c16762"</definedName>
    <definedName name="IQ_EPS_REPORTED_EST_UP_2MONTH" hidden="1">"c16476"</definedName>
    <definedName name="IQ_EPS_REPORTED_EST_UP_2MONTH_CIQ" hidden="1">"c16764"</definedName>
    <definedName name="IQ_EPS_REPORTED_EST_UP_3MONTH" hidden="1">"c16480"</definedName>
    <definedName name="IQ_EPS_REPORTED_EST_UP_3MONTH_CIQ" hidden="1">"c16768"</definedName>
    <definedName name="IQ_EPS_REPORTED_EST_UP_MONTH" hidden="1">"c16472"</definedName>
    <definedName name="IQ_EPS_REPORTED_EST_UP_MONTH_CIQ" hidden="1">"c16760"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ACT_OR_EST_CIQ_COL" hidden="1">"c11548"</definedName>
    <definedName name="IQ_EPS_SBC_EST" hidden="1">"c4375"</definedName>
    <definedName name="IQ_EPS_SBC_GUIDANCE" hidden="1">"c4377"</definedName>
    <definedName name="IQ_EPS_SBC_GUIDANCE_CIQ">"c4902"</definedName>
    <definedName name="IQ_EPS_SBC_GUIDANCE_CIQ_COL">"c11549"</definedName>
    <definedName name="IQ_EPS_SBC_GW_ACT_OR_EST" hidden="1">"c4380"</definedName>
    <definedName name="IQ_EPS_SBC_GW_ACT_OR_EST_CIQ" hidden="1">"c4905"</definedName>
    <definedName name="IQ_EPS_SBC_GW_ACT_OR_EST_CIQ_COL" hidden="1">"c11552"</definedName>
    <definedName name="IQ_EPS_SBC_GW_EST" hidden="1">"c4379"</definedName>
    <definedName name="IQ_EPS_SBC_GW_GUIDANCE" hidden="1">"c4381"</definedName>
    <definedName name="IQ_EPS_SBC_GW_GUIDANCE_CIQ">"c4906"</definedName>
    <definedName name="IQ_EPS_SBC_GW_GUIDANCE_CIQ_COL">"c11553"</definedName>
    <definedName name="IQ_EPS_SBC_GW_HIGH_EST" hidden="1">"c4382"</definedName>
    <definedName name="IQ_EPS_SBC_GW_HIGH_GUIDANCE" hidden="1">"c4189"</definedName>
    <definedName name="IQ_EPS_SBC_GW_HIGH_GUIDANCE_CIQ">"c4601"</definedName>
    <definedName name="IQ_EPS_SBC_GW_HIGH_GUIDANCE_CIQ_COL">"c11250"</definedName>
    <definedName name="IQ_EPS_SBC_GW_LOW_EST" hidden="1">"c4383"</definedName>
    <definedName name="IQ_EPS_SBC_GW_LOW_GUIDANCE" hidden="1">"c4229"</definedName>
    <definedName name="IQ_EPS_SBC_GW_LOW_GUIDANCE_CIQ">"c4641"</definedName>
    <definedName name="IQ_EPS_SBC_GW_LOW_GUIDANCE_CIQ_COL">"c11290"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HIGH_GUIDANCE_CIQ">"c4600"</definedName>
    <definedName name="IQ_EPS_SBC_HIGH_GUIDANCE_CIQ_COL">"c11249"</definedName>
    <definedName name="IQ_EPS_SBC_LOW_EST" hidden="1">"c4389"</definedName>
    <definedName name="IQ_EPS_SBC_LOW_GUIDANCE" hidden="1">"c4228"</definedName>
    <definedName name="IQ_EPS_SBC_LOW_GUIDANCE_CIQ">"c4640"</definedName>
    <definedName name="IQ_EPS_SBC_LOW_GUIDANCE_CIQ_COL">"c11289"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CIQ" hidden="1">"c4993"</definedName>
    <definedName name="IQ_EPS_STDDEV_EST_REUT" hidden="1">"c5452"</definedName>
    <definedName name="IQ_EPS_STDDEV_EST_THOM" hidden="1">"c5289"</definedName>
    <definedName name="IQ_EQUITY_AFFIL" hidden="1">"c1451"</definedName>
    <definedName name="IQ_EQUITY_AP" hidden="1">"c8887"</definedName>
    <definedName name="IQ_EQUITY_AP_ABS" hidden="1">"c8906"</definedName>
    <definedName name="IQ_EQUITY_ASKPRICE" hidden="1">"c17798"</definedName>
    <definedName name="IQ_EQUITY_ASSETS_TOT_FFIEC">"c13436"</definedName>
    <definedName name="IQ_EQUITY_BEG_EXCL_FFIEC">"c12957"</definedName>
    <definedName name="IQ_EQUITY_BEG_FFIEC">"c12959"</definedName>
    <definedName name="IQ_EQUITY_BIDPRICE" hidden="1">"c17797"</definedName>
    <definedName name="IQ_EQUITY_CAPITAL_ASSETS_FDIC" hidden="1">"c6744"</definedName>
    <definedName name="IQ_EQUITY_CAPITAL_QUARTERLY_AVG_FFIEC">"c13092"</definedName>
    <definedName name="IQ_EQUITY_ENDING_FFIEC">"c12973"</definedName>
    <definedName name="IQ_EQUITY_FDIC" hidden="1">"c6353"</definedName>
    <definedName name="IQ_EQUITY_INDEX_EXPOSURE_FFIEC">"c13060"</definedName>
    <definedName name="IQ_EQUITY_LIST">"c15158"</definedName>
    <definedName name="IQ_EQUITY_METHOD" hidden="1">"c404"</definedName>
    <definedName name="IQ_EQUITY_MIDPRICE" hidden="1">"c17799"</definedName>
    <definedName name="IQ_EQUITY_NAME_AP" hidden="1">"c8925"</definedName>
    <definedName name="IQ_EQUITY_NAME_AP_ABS" hidden="1">"c8944"</definedName>
    <definedName name="IQ_EQUITY_SEC_FAIR_VALUE_AFS_AMORT_COST_FFIEC" hidden="1">"c20505"</definedName>
    <definedName name="IQ_EQUITY_SEC_FAIR_VALUE_AFS_FAIR_VAL_FFIEC" hidden="1">"c20470"</definedName>
    <definedName name="IQ_EQUITY_SEC_FAIR_VALUE_FFIEC">"c12805"</definedName>
    <definedName name="IQ_EQUITY_SEC_INVEST_SECURITIES_FFIEC">"c13463"</definedName>
    <definedName name="IQ_EQUITY_SECURITIES_FDIC" hidden="1">"c6304"</definedName>
    <definedName name="IQ_EQUITY_SECURITIES_QUARTERLY_AVG_FFIEC">"c15474"</definedName>
    <definedName name="IQ_EQUITY_SECURITIES_WITHOUT_FAIR_VALUES_FFIEC">"c12846"</definedName>
    <definedName name="IQ_EQUITY_SECURITY_EXPOSURES_FDIC" hidden="1">"c6664"</definedName>
    <definedName name="IQ_EQUITY_TIER_ONE_CAPITAL">"c15246"</definedName>
    <definedName name="IQ_EQUITY_TIER_ONE_CAPITAL_RATIO">"c15242"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>"c12971"</definedName>
    <definedName name="IQ_ESOP_OVER_TOTAL">"c13768"</definedName>
    <definedName name="IQ_EST_ACT_BV" hidden="1">"c5630"</definedName>
    <definedName name="IQ_EST_ACT_BV_REUT" hidden="1">"c5409"</definedName>
    <definedName name="IQ_EST_ACT_BV_SHARE" hidden="1">"c3549"</definedName>
    <definedName name="IQ_EST_ACT_BV_SHARE_REUT" hidden="1">"c5445"</definedName>
    <definedName name="IQ_EST_ACT_BV_SHARE_THOM" hidden="1">"c4026"</definedName>
    <definedName name="IQ_EST_ACT_BV_THOM" hidden="1">"c5153"</definedName>
    <definedName name="IQ_EST_ACT_CAPEX" hidden="1">"c3546"</definedName>
    <definedName name="IQ_EST_ACT_CAPEX_REUT" hidden="1">"c3975"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CFPS_THOM" hidden="1">"c4012"</definedName>
    <definedName name="IQ_EST_ACT_DISTRIBUTABLE_CASH" hidden="1">"c4396"</definedName>
    <definedName name="IQ_EST_ACT_DISTRIBUTABLE_CASH_CIQ_COL" hidden="1">"c11568"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DPS_THOM" hidden="1">"c4019"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_THOM" hidden="1">"c5111"</definedName>
    <definedName name="IQ_EST_ACT_EBITDA" hidden="1">"c1664"</definedName>
    <definedName name="IQ_EST_ACT_EBITDA_CIQ" hidden="1">"c3667"</definedName>
    <definedName name="IQ_EST_ACT_EBITDA_REUT" hidden="1">"c3836"</definedName>
    <definedName name="IQ_EST_ACT_EBITDA_SBC" hidden="1">"c4401"</definedName>
    <definedName name="IQ_EST_ACT_EBITDA_THOM" hidden="1">"c3998"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PORTED_THOM" hidden="1">"c5146"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EPS_THOM" hidden="1">"c5294"</definedName>
    <definedName name="IQ_EST_ACT_FFO" hidden="1">"c1666"</definedName>
    <definedName name="IQ_EST_ACT_FFO_ADJ" hidden="1">"c4406"</definedName>
    <definedName name="IQ_EST_ACT_FFO_CIQ_COL" hidden="1">"c11579"</definedName>
    <definedName name="IQ_EST_ACT_FFO_REUT" hidden="1">"c3843"</definedName>
    <definedName name="IQ_EST_ACT_FFO_SHARE" hidden="1">"c4407"</definedName>
    <definedName name="IQ_EST_ACT_FFO_SHARE_SHARE_REUT" hidden="1">"c3843"</definedName>
    <definedName name="IQ_EST_ACT_FFO_SHARE_SHARE_THOM" hidden="1">"c4005"</definedName>
    <definedName name="IQ_EST_ACT_FFO_SHARE_THOM" hidden="1">"c4005"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SHARE_REUT" hidden="1">"c5616"</definedName>
    <definedName name="IQ_EST_ACT_NAV_THOM" hidden="1">"c5600"</definedName>
    <definedName name="IQ_EST_ACT_NET_DEBT" hidden="1">"c3545"</definedName>
    <definedName name="IQ_EST_ACT_NET_DEBT_REUT" hidden="1">"c5446"</definedName>
    <definedName name="IQ_EST_ACT_NET_DEBT_THOM" hidden="1">"c4033"</definedName>
    <definedName name="IQ_EST_ACT_NI" hidden="1">"c1722"</definedName>
    <definedName name="IQ_EST_ACT_NI_GW" hidden="1">"c1729"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NI_THOM" hidden="1">"c5132"</definedName>
    <definedName name="IQ_EST_ACT_OPER_INC" hidden="1">"c1694"</definedName>
    <definedName name="IQ_EST_ACT_OPER_INC_REUT" hidden="1">"c5346"</definedName>
    <definedName name="IQ_EST_ACT_OPER_INC_THOM" hidden="1">"c5118"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INC_THOM" hidden="1">"c5125"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ASSETS_THOM" hidden="1">"c4040"</definedName>
    <definedName name="IQ_EST_ACT_RETURN_EQUITY" hidden="1">"c3548"</definedName>
    <definedName name="IQ_EST_ACT_RETURN_EQUITY_REUT" hidden="1">"c3989"</definedName>
    <definedName name="IQ_EST_ACT_RETURN_EQUITY_THOM" hidden="1">"c5287"</definedName>
    <definedName name="IQ_EST_ACT_REV" hidden="1">"c2113"</definedName>
    <definedName name="IQ_EST_ACT_REV_CIQ" hidden="1">"c3666"</definedName>
    <definedName name="IQ_EST_ACT_REV_REUT" hidden="1">"c3835"</definedName>
    <definedName name="IQ_EST_ACT_REV_THOM" hidden="1">"c3997"</definedName>
    <definedName name="IQ_EST_BV_DIFF_REUT" hidden="1">"c5433"</definedName>
    <definedName name="IQ_EST_BV_DIFF_THOM" hidden="1">"c5204"</definedName>
    <definedName name="IQ_EST_BV_SHARE_DIFF" hidden="1">"c4147"</definedName>
    <definedName name="IQ_EST_BV_SHARE_SURPRISE_PERCENT" hidden="1">"c4148"</definedName>
    <definedName name="IQ_EST_BV_SURPRISE_PERCENT_REUT" hidden="1">"c5434"</definedName>
    <definedName name="IQ_EST_BV_SURPRISE_PERCENT_THOM" hidden="1">"c5205"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1YR_THOM" hidden="1">"c5542"</definedName>
    <definedName name="IQ_EST_CAPEX_GROWTH_2YR" hidden="1">"c3589"</definedName>
    <definedName name="IQ_EST_CAPEX_GROWTH_2YR_REUT" hidden="1">"c5448"</definedName>
    <definedName name="IQ_EST_CAPEX_GROWTH_2YR_THOM" hidden="1">"c5543"</definedName>
    <definedName name="IQ_EST_CAPEX_GROWTH_Q_1YR" hidden="1">"c3590"</definedName>
    <definedName name="IQ_EST_CAPEX_GROWTH_Q_1YR_REUT" hidden="1">"c5449"</definedName>
    <definedName name="IQ_EST_CAPEX_GROWTH_Q_1YR_THOM" hidden="1">"c5544"</definedName>
    <definedName name="IQ_EST_CAPEX_SEQ_GROWTH_Q" hidden="1">"c3591"</definedName>
    <definedName name="IQ_EST_CAPEX_SEQ_GROWTH_Q_REUT" hidden="1">"c5450"</definedName>
    <definedName name="IQ_EST_CAPEX_SEQ_GROWTH_Q_THOM" hidden="1">"c5545"</definedName>
    <definedName name="IQ_EST_CAPEX_SURPRISE_PERCENT" hidden="1">"c4151"</definedName>
    <definedName name="IQ_EST_CASH_FLOW_DIFF" hidden="1">"c4152"</definedName>
    <definedName name="IQ_EST_CASH_FLOW_DIFF_CIQ_COL" hidden="1">"c11213"</definedName>
    <definedName name="IQ_EST_CASH_FLOW_SURPRISE_PERCENT" hidden="1">"c4161"</definedName>
    <definedName name="IQ_EST_CASH_FLOW_SURPRISE_PERCENT_CIQ_COL" hidden="1">"c11222"</definedName>
    <definedName name="IQ_EST_CASH_OPER_DIFF" hidden="1">"c4162"</definedName>
    <definedName name="IQ_EST_CASH_OPER_DIFF_CIQ_COL" hidden="1">"c11223"</definedName>
    <definedName name="IQ_EST_CASH_OPER_SURPRISE_PERCENT" hidden="1">"c4248"</definedName>
    <definedName name="IQ_EST_CASH_OPER_SURPRISE_PERCENT_CIQ_COL" hidden="1">"c11421"</definedName>
    <definedName name="IQ_EST_CFPS_DIFF" hidden="1">"c1871"</definedName>
    <definedName name="IQ_EST_CFPS_DIFF_REUT" hidden="1">"c3892"</definedName>
    <definedName name="IQ_EST_CFPS_DIFF_THOM" hidden="1">"c5188"</definedName>
    <definedName name="IQ_EST_CFPS_GROWTH_1YR" hidden="1">"c1774"</definedName>
    <definedName name="IQ_EST_CFPS_GROWTH_1YR_REUT" hidden="1">"c3878"</definedName>
    <definedName name="IQ_EST_CFPS_GROWTH_1YR_THOM" hidden="1">"c5174"</definedName>
    <definedName name="IQ_EST_CFPS_GROWTH_2YR" hidden="1">"c1775"</definedName>
    <definedName name="IQ_EST_CFPS_GROWTH_2YR_REUT" hidden="1">"c3879"</definedName>
    <definedName name="IQ_EST_CFPS_GROWTH_2YR_THOM" hidden="1">"c5175"</definedName>
    <definedName name="IQ_EST_CFPS_GROWTH_Q_1YR" hidden="1">"c1776"</definedName>
    <definedName name="IQ_EST_CFPS_GROWTH_Q_1YR_REUT" hidden="1">"c3880"</definedName>
    <definedName name="IQ_EST_CFPS_GROWTH_Q_1YR_THOM" hidden="1">"c5176"</definedName>
    <definedName name="IQ_EST_CFPS_SEQ_GROWTH_Q" hidden="1">"c1777"</definedName>
    <definedName name="IQ_EST_CFPS_SEQ_GROWTH_Q_REUT" hidden="1">"c3881"</definedName>
    <definedName name="IQ_EST_CFPS_SEQ_GROWTH_Q_THOM" hidden="1">"c5177"</definedName>
    <definedName name="IQ_EST_CFPS_SURPRISE_PERCENT" hidden="1">"c1872"</definedName>
    <definedName name="IQ_EST_CFPS_SURPRISE_PERCENT_REUT" hidden="1">"c3893"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REUT" hidden="1">"c5437"</definedName>
    <definedName name="IQ_EST_CURRENCY_THOM" hidden="1">"c5280"</definedName>
    <definedName name="IQ_EST_DATE" hidden="1">"c1634"</definedName>
    <definedName name="IQ_EST_DATE_CIQ" hidden="1">"c4770"</definedName>
    <definedName name="IQ_EST_DATE_REUT" hidden="1">"c5438"</definedName>
    <definedName name="IQ_EST_DATE_THOM" hidden="1">"c5281"</definedName>
    <definedName name="IQ_EST_DISTRIBUTABLE_CASH_DIFF" hidden="1">"c4276"</definedName>
    <definedName name="IQ_EST_DISTRIBUTABLE_CASH_DIFF_CIQ_COL" hidden="1">"c11448"</definedName>
    <definedName name="IQ_EST_DISTRIBUTABLE_CASH_GROWTH_1YR" hidden="1">"c4413"</definedName>
    <definedName name="IQ_EST_DISTRIBUTABLE_CASH_GROWTH_1YR_CIQ_COL" hidden="1">"c11585"</definedName>
    <definedName name="IQ_EST_DISTRIBUTABLE_CASH_GROWTH_2YR" hidden="1">"c4414"</definedName>
    <definedName name="IQ_EST_DISTRIBUTABLE_CASH_GROWTH_2YR_CIQ_COL" hidden="1">"c11586"</definedName>
    <definedName name="IQ_EST_DISTRIBUTABLE_CASH_GROWTH_Q_1YR" hidden="1">"c4415"</definedName>
    <definedName name="IQ_EST_DISTRIBUTABLE_CASH_GROWTH_Q_1YR_CIQ_COL" hidden="1">"c11587"</definedName>
    <definedName name="IQ_EST_DISTRIBUTABLE_CASH_SEQ_GROWTH_Q" hidden="1">"c4416"</definedName>
    <definedName name="IQ_EST_DISTRIBUTABLE_CASH_SEQ_GROWTH_Q_CIQ_COL" hidden="1">"c11588"</definedName>
    <definedName name="IQ_EST_DISTRIBUTABLE_CASH_SHARE_DIFF" hidden="1">"c4284"</definedName>
    <definedName name="IQ_EST_DISTRIBUTABLE_CASH_SHARE_DIFF_CIQ_COL" hidden="1">"c11456"</definedName>
    <definedName name="IQ_EST_DISTRIBUTABLE_CASH_SHARE_GROWTH_1YR" hidden="1">"c4417"</definedName>
    <definedName name="IQ_EST_DISTRIBUTABLE_CASH_SHARE_GROWTH_1YR_CIQ_COL" hidden="1">"c11589"</definedName>
    <definedName name="IQ_EST_DISTRIBUTABLE_CASH_SHARE_GROWTH_2YR" hidden="1">"c4418"</definedName>
    <definedName name="IQ_EST_DISTRIBUTABLE_CASH_SHARE_GROWTH_2YR_CIQ_COL" hidden="1">"c11590"</definedName>
    <definedName name="IQ_EST_DISTRIBUTABLE_CASH_SHARE_GROWTH_Q_1YR" hidden="1">"c4419"</definedName>
    <definedName name="IQ_EST_DISTRIBUTABLE_CASH_SHARE_GROWTH_Q_1YR_CIQ_COL" hidden="1">"c11591"</definedName>
    <definedName name="IQ_EST_DISTRIBUTABLE_CASH_SHARE_SEQ_GROWTH_Q" hidden="1">"c4420"</definedName>
    <definedName name="IQ_EST_DISTRIBUTABLE_CASH_SHARE_SEQ_GROWTH_Q_CIQ_COL" hidden="1">"c11592"</definedName>
    <definedName name="IQ_EST_DISTRIBUTABLE_CASH_SHARE_SURPRISE_PERCENT" hidden="1">"c4293"</definedName>
    <definedName name="IQ_EST_DISTRIBUTABLE_CASH_SHARE_SURPRISE_PERCENT_CIQ_COL" hidden="1">"c11465"</definedName>
    <definedName name="IQ_EST_DISTRIBUTABLE_CASH_SURPRISE_PERCENT" hidden="1">"c4295"</definedName>
    <definedName name="IQ_EST_DISTRIBUTABLE_CASH_SURPRISE_PERCENT_CIQ_COL" hidden="1">"c11467"</definedName>
    <definedName name="IQ_EST_DPS_DIFF" hidden="1">"c1873"</definedName>
    <definedName name="IQ_EST_DPS_DIFF_REUT" hidden="1">"c3894"</definedName>
    <definedName name="IQ_EST_DPS_DIFF_THOM" hidden="1">"c5190"</definedName>
    <definedName name="IQ_EST_DPS_GROWTH_1YR" hidden="1">"c1778"</definedName>
    <definedName name="IQ_EST_DPS_GROWTH_1YR_REUT" hidden="1">"c3882"</definedName>
    <definedName name="IQ_EST_DPS_GROWTH_1YR_THOM" hidden="1">"c5178"</definedName>
    <definedName name="IQ_EST_DPS_GROWTH_2YR" hidden="1">"c1779"</definedName>
    <definedName name="IQ_EST_DPS_GROWTH_2YR_REUT" hidden="1">"c3883"</definedName>
    <definedName name="IQ_EST_DPS_GROWTH_2YR_THOM" hidden="1">"c5179"</definedName>
    <definedName name="IQ_EST_DPS_GROWTH_Q_1YR" hidden="1">"c1780"</definedName>
    <definedName name="IQ_EST_DPS_GROWTH_Q_1YR_REUT" hidden="1">"c3884"</definedName>
    <definedName name="IQ_EST_DPS_GROWTH_Q_1YR_THOM" hidden="1">"c5180"</definedName>
    <definedName name="IQ_EST_DPS_SEQ_GROWTH_Q" hidden="1">"c1781"</definedName>
    <definedName name="IQ_EST_DPS_SEQ_GROWTH_Q_REUT" hidden="1">"c3885"</definedName>
    <definedName name="IQ_EST_DPS_SEQ_GROWTH_Q_THOM" hidden="1">"c5181"</definedName>
    <definedName name="IQ_EST_DPS_SURPRISE_PERCENT" hidden="1">"c1874"</definedName>
    <definedName name="IQ_EST_DPS_SURPRISE_PERCENT_REUT" hidden="1">"c3895"</definedName>
    <definedName name="IQ_EST_DPS_SURPRISE_PERCENT_THOM" hidden="1">"c5191"</definedName>
    <definedName name="IQ_EST_EBIT_DIFF" hidden="1">"c1875"</definedName>
    <definedName name="IQ_EST_EBIT_DIFF_REUT" hidden="1">"c5413"</definedName>
    <definedName name="IQ_EST_EBIT_DIFF_THOM" hidden="1">"c5192"</definedName>
    <definedName name="IQ_EST_EBIT_GW_DIFF" hidden="1">"c4304"</definedName>
    <definedName name="IQ_EST_EBIT_GW_DIFF_CIQ_COL" hidden="1">"c11476"</definedName>
    <definedName name="IQ_EST_EBIT_GW_SURPRISE_PERCENT" hidden="1">"c4313"</definedName>
    <definedName name="IQ_EST_EBIT_GW_SURPRISE_PERCENT_CIQ_COL" hidden="1">"c11485"</definedName>
    <definedName name="IQ_EST_EBIT_SBC_DIFF" hidden="1">"c4314"</definedName>
    <definedName name="IQ_EST_EBIT_SBC_DIFF_CIQ_COL" hidden="1">"c11486"</definedName>
    <definedName name="IQ_EST_EBIT_SBC_GW_DIFF" hidden="1">"c4318"</definedName>
    <definedName name="IQ_EST_EBIT_SBC_GW_DIFF_CIQ_COL" hidden="1">"c11490"</definedName>
    <definedName name="IQ_EST_EBIT_SBC_GW_SURPRISE_PERCENT" hidden="1">"c4327"</definedName>
    <definedName name="IQ_EST_EBIT_SBC_GW_SURPRISE_PERCENT_CIQ_COL" hidden="1">"c11499"</definedName>
    <definedName name="IQ_EST_EBIT_SBC_SURPRISE_PERCENT" hidden="1">"c4333"</definedName>
    <definedName name="IQ_EST_EBIT_SBC_SURPRISE_PERCENT_CIQ_COL" hidden="1">"c11505"</definedName>
    <definedName name="IQ_EST_EBIT_SURPRISE_PERCENT" hidden="1">"c1876"</definedName>
    <definedName name="IQ_EST_EBIT_SURPRISE_PERCENT_REUT" hidden="1">"c5414"</definedName>
    <definedName name="IQ_EST_EBIT_SURPRISE_PERCENT_THOM" hidden="1">"c5193"</definedName>
    <definedName name="IQ_EST_EBITDA_DIFF" hidden="1">"c1867"</definedName>
    <definedName name="IQ_EST_EBITDA_DIFF_CIQ" hidden="1">"c3719"</definedName>
    <definedName name="IQ_EST_EBITDA_DIFF_REUT" hidden="1">"c3888"</definedName>
    <definedName name="IQ_EST_EBITDA_DIFF_THOM" hidden="1">"c5184"</definedName>
    <definedName name="IQ_EST_EBITDA_GROWTH_1YR" hidden="1">"c1766"</definedName>
    <definedName name="IQ_EST_EBITDA_GROWTH_1YR_CIQ" hidden="1">"c3695"</definedName>
    <definedName name="IQ_EST_EBITDA_GROWTH_1YR_REUT" hidden="1">"c3864"</definedName>
    <definedName name="IQ_EST_EBITDA_GROWTH_1YR_THOM" hidden="1">"c5161"</definedName>
    <definedName name="IQ_EST_EBITDA_GROWTH_2YR" hidden="1">"c1767"</definedName>
    <definedName name="IQ_EST_EBITDA_GROWTH_2YR_CIQ" hidden="1">"c3696"</definedName>
    <definedName name="IQ_EST_EBITDA_GROWTH_2YR_REUT" hidden="1">"c3865"</definedName>
    <definedName name="IQ_EST_EBITDA_GROWTH_2YR_THOM" hidden="1">"c5162"</definedName>
    <definedName name="IQ_EST_EBITDA_GROWTH_Q_1YR" hidden="1">"c1768"</definedName>
    <definedName name="IQ_EST_EBITDA_GROWTH_Q_1YR_CIQ" hidden="1">"c3697"</definedName>
    <definedName name="IQ_EST_EBITDA_GROWTH_Q_1YR_REUT" hidden="1">"c3866"</definedName>
    <definedName name="IQ_EST_EBITDA_GROWTH_Q_1YR_THOM" hidden="1">"c5163"</definedName>
    <definedName name="IQ_EST_EBITDA_SBC_DIFF" hidden="1">"c4335"</definedName>
    <definedName name="IQ_EST_EBITDA_SBC_DIFF_CIQ_COL" hidden="1">"c11507"</definedName>
    <definedName name="IQ_EST_EBITDA_SBC_SURPRISE_PERCENT" hidden="1">"c4344"</definedName>
    <definedName name="IQ_EST_EBITDA_SBC_SURPRISE_PERCENT_CIQ_COL" hidden="1">"c11516"</definedName>
    <definedName name="IQ_EST_EBITDA_SEQ_GROWTH_Q" hidden="1">"c1769"</definedName>
    <definedName name="IQ_EST_EBITDA_SEQ_GROWTH_Q_CIQ" hidden="1">"c3698"</definedName>
    <definedName name="IQ_EST_EBITDA_SEQ_GROWTH_Q_REUT" hidden="1">"c3867"</definedName>
    <definedName name="IQ_EST_EBITDA_SEQ_GROWTH_Q_THOM" hidden="1">"c5164"</definedName>
    <definedName name="IQ_EST_EBITDA_SURPRISE_PERCENT" hidden="1">"c1868"</definedName>
    <definedName name="IQ_EST_EBITDA_SURPRISE_PERCENT_CIQ" hidden="1">"c3720"</definedName>
    <definedName name="IQ_EST_EBITDA_SURPRISE_PERCENT_REUT" hidden="1">"c3889"</definedName>
    <definedName name="IQ_EST_EBITDA_SURPRISE_PERCENT_THOM" hidden="1">"c5185"</definedName>
    <definedName name="IQ_EST_EBT_SBC_DIFF" hidden="1">"c4348"</definedName>
    <definedName name="IQ_EST_EBT_SBC_DIFF_CIQ_COL" hidden="1">"c11520"</definedName>
    <definedName name="IQ_EST_EBT_SBC_GW_DIFF" hidden="1">"c4352"</definedName>
    <definedName name="IQ_EST_EBT_SBC_GW_DIFF_CIQ_COL" hidden="1">"c11524"</definedName>
    <definedName name="IQ_EST_EBT_SBC_GW_SURPRISE_PERCENT" hidden="1">"c4361"</definedName>
    <definedName name="IQ_EST_EBT_SBC_GW_SURPRISE_PERCENT_CIQ_COL" hidden="1">"c11533"</definedName>
    <definedName name="IQ_EST_EBT_SBC_SURPRISE_PERCENT" hidden="1">"c4367"</definedName>
    <definedName name="IQ_EST_EBT_SBC_SURPRISE_PERCENT_CIQ_COL" hidden="1">"c11539"</definedName>
    <definedName name="IQ_EST_EPS_DIFF" hidden="1">"c1864"</definedName>
    <definedName name="IQ_EST_EPS_DIFF_CIQ" hidden="1">"c4999"</definedName>
    <definedName name="IQ_EST_EPS_DIFF_REUT" hidden="1">"c5458"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1YR_THOM" hidden="1">"c3664"</definedName>
    <definedName name="IQ_EST_EPS_GROWTH_2YR" hidden="1">"c1637"</definedName>
    <definedName name="IQ_EST_EPS_GROWTH_2YR_CIQ" hidden="1">"c3689"</definedName>
    <definedName name="IQ_EST_EPS_GROWTH_2YR_REUT" hidden="1">"c3858"</definedName>
    <definedName name="IQ_EST_EPS_GROWTH_2YR_THOM" hidden="1">"c5154"</definedName>
    <definedName name="IQ_EST_EPS_GROWTH_5YR" hidden="1">"c1655"</definedName>
    <definedName name="IQ_EST_EPS_GROWTH_5YR_BOTTOM_UP" hidden="1">"c5487"</definedName>
    <definedName name="IQ_EST_EPS_GROWTH_5YR_BOTTOM_UP_CIQ" hidden="1">"c12024"</definedName>
    <definedName name="IQ_EST_EPS_GROWTH_5YR_BOTTOM_UP_REUT" hidden="1">"c5495"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REUT" hidden="1">"c5322"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REUT" hidden="1">"c5323"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REUT" hidden="1">"c5321"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REUT" hidden="1">"c5324"</definedName>
    <definedName name="IQ_EST_EPS_GROWTH_5YR_NUM_THOM" hidden="1">"c5103"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REUT" hidden="1">"c5325"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REPORT_SURPRISE_PERCENT_THOM" hidden="1">"c5203"</definedName>
    <definedName name="IQ_EST_EPS_SBC_DIFF" hidden="1">"c4374"</definedName>
    <definedName name="IQ_EST_EPS_SBC_DIFF_CIQ_COL" hidden="1">"c11546"</definedName>
    <definedName name="IQ_EST_EPS_SBC_GW_DIFF" hidden="1">"c4378"</definedName>
    <definedName name="IQ_EST_EPS_SBC_GW_DIFF_CIQ_COL" hidden="1">"c11550"</definedName>
    <definedName name="IQ_EST_EPS_SBC_GW_SURPRISE_PERCENT" hidden="1">"c4387"</definedName>
    <definedName name="IQ_EST_EPS_SBC_GW_SURPRISE_PERCENT_CIQ_COL" hidden="1">"c11559"</definedName>
    <definedName name="IQ_EST_EPS_SBC_SURPRISE_PERCENT" hidden="1">"c4393"</definedName>
    <definedName name="IQ_EST_EPS_SBC_SURPRISE_PERCENT_CIQ_COL" hidden="1">"c11565"</definedName>
    <definedName name="IQ_EST_EPS_SEQ_GROWTH_Q" hidden="1">"c1764"</definedName>
    <definedName name="IQ_EST_EPS_SEQ_GROWTH_Q_CIQ" hidden="1">"c3690"</definedName>
    <definedName name="IQ_EST_EPS_SEQ_GROWTH_Q_REUT" hidden="1">"c3859"</definedName>
    <definedName name="IQ_EST_EPS_SEQ_GROWTH_Q_THOM" hidden="1">"c5156"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EPS_SURPRISE_PERCENT_REUT" hidden="1">"c5459"</definedName>
    <definedName name="IQ_EST_EPS_SURPRISE_PERCENT_THOM" hidden="1">"c5296"</definedName>
    <definedName name="IQ_EST_FAIR_VALUE_MORT_SERVICING_ASSETS_FFIEC">"c12956"</definedName>
    <definedName name="IQ_EST_FFO_ADJ_DIFF" hidden="1">"c4433"</definedName>
    <definedName name="IQ_EST_FFO_ADJ_DIFF_CIQ_COL" hidden="1">"c11605"</definedName>
    <definedName name="IQ_EST_FFO_ADJ_GROWTH_1YR" hidden="1">"c4421"</definedName>
    <definedName name="IQ_EST_FFO_ADJ_GROWTH_1YR_CIQ_COL" hidden="1">"c11593"</definedName>
    <definedName name="IQ_EST_FFO_ADJ_GROWTH_2YR" hidden="1">"c4422"</definedName>
    <definedName name="IQ_EST_FFO_ADJ_GROWTH_2YR_CIQ_COL" hidden="1">"c11594"</definedName>
    <definedName name="IQ_EST_FFO_ADJ_GROWTH_Q_1YR" hidden="1">"c4423"</definedName>
    <definedName name="IQ_EST_FFO_ADJ_GROWTH_Q_1YR_CIQ_COL" hidden="1">"c11595"</definedName>
    <definedName name="IQ_EST_FFO_ADJ_SEQ_GROWTH_Q" hidden="1">"c4424"</definedName>
    <definedName name="IQ_EST_FFO_ADJ_SEQ_GROWTH_Q_CIQ_COL" hidden="1">"c11596"</definedName>
    <definedName name="IQ_EST_FFO_ADJ_SURPRISE_PERCENT" hidden="1">"c4442"</definedName>
    <definedName name="IQ_EST_FFO_ADJ_SURPRISE_PERCENT_CIQ_COL" hidden="1">"c11614"</definedName>
    <definedName name="IQ_EST_FFO_DIFF" hidden="1">"c1869"</definedName>
    <definedName name="IQ_EST_FFO_DIFF_CIQ_COL" hidden="1">"c11616"</definedName>
    <definedName name="IQ_EST_FFO_DIFF_REUT" hidden="1">"c3890"</definedName>
    <definedName name="IQ_EST_FFO_DIFF_THOM" hidden="1">"c5186"</definedName>
    <definedName name="IQ_EST_FFO_GROWTH_1YR" hidden="1">"c1770"</definedName>
    <definedName name="IQ_EST_FFO_GROWTH_1YR_CIQ_COL" hidden="1">"c11597"</definedName>
    <definedName name="IQ_EST_FFO_GROWTH_1YR_REUT" hidden="1">"c3874"</definedName>
    <definedName name="IQ_EST_FFO_GROWTH_1YR_THOM" hidden="1">"c5170"</definedName>
    <definedName name="IQ_EST_FFO_GROWTH_2YR" hidden="1">"c1771"</definedName>
    <definedName name="IQ_EST_FFO_GROWTH_2YR_CIQ_COL" hidden="1">"c11598"</definedName>
    <definedName name="IQ_EST_FFO_GROWTH_2YR_REUT" hidden="1">"c3875"</definedName>
    <definedName name="IQ_EST_FFO_GROWTH_2YR_THOM" hidden="1">"c5171"</definedName>
    <definedName name="IQ_EST_FFO_GROWTH_Q_1YR" hidden="1">"c1772"</definedName>
    <definedName name="IQ_EST_FFO_GROWTH_Q_1YR_CIQ_COL" hidden="1">"c11599"</definedName>
    <definedName name="IQ_EST_FFO_GROWTH_Q_1YR_REUT" hidden="1">"c3876"</definedName>
    <definedName name="IQ_EST_FFO_GROWTH_Q_1YR_THOM" hidden="1">"c5172"</definedName>
    <definedName name="IQ_EST_FFO_SEQ_GROWTH_Q" hidden="1">"c1773"</definedName>
    <definedName name="IQ_EST_FFO_SEQ_GROWTH_Q_CIQ_COL" hidden="1">"c11600"</definedName>
    <definedName name="IQ_EST_FFO_SEQ_GROWTH_Q_REUT" hidden="1">"c3877"</definedName>
    <definedName name="IQ_EST_FFO_SEQ_GROWTH_Q_THOM" hidden="1">"c5173"</definedName>
    <definedName name="IQ_EST_FFO_SHARE_DIFF" hidden="1">"c4444"</definedName>
    <definedName name="IQ_EST_FFO_SHARE_DIFF_THOM" hidden="1">"c5186"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HARE_DIFF_REUT" hidden="1">"c3890"</definedName>
    <definedName name="IQ_EST_FFO_SHARE_SHARE_DIFF_THOM" hidden="1">"c5186"</definedName>
    <definedName name="IQ_EST_FFO_SHARE_SHARE_SURPRISE_PERCENT_REUT" hidden="1">"c3891"</definedName>
    <definedName name="IQ_EST_FFO_SHARE_SHARE_SURPRISE_PERCENT_THOM" hidden="1">"c5187"</definedName>
    <definedName name="IQ_EST_FFO_SHARE_SURPRISE_PERCENT" hidden="1">"c4453"</definedName>
    <definedName name="IQ_EST_FFO_SHARE_SURPRISE_PERCENT_THOM" hidden="1">"c5187"</definedName>
    <definedName name="IQ_EST_FFO_SURPRISE_PERCENT" hidden="1">"c1870"</definedName>
    <definedName name="IQ_EST_FFO_SURPRISE_PERCENT_CIQ_COL" hidden="1">"c11629"</definedName>
    <definedName name="IQ_EST_FFO_SURPRISE_PERCENT_REUT" hidden="1">"c3891"</definedName>
    <definedName name="IQ_EST_FFO_SURPRISE_PERCENT_THOM" hidden="1">"c5187"</definedName>
    <definedName name="IQ_EST_FOOTNOTE" hidden="1">"c4540"</definedName>
    <definedName name="IQ_EST_FOOTNOTE_CIQ" hidden="1">"c12022"</definedName>
    <definedName name="IQ_EST_FOOTNOTE_REUT" hidden="1">"c5478"</definedName>
    <definedName name="IQ_EST_FOOTNOTE_THOM" hidden="1">"c5313"</definedName>
    <definedName name="IQ_EST_MAINT_CAPEX_DIFF" hidden="1">"c4456"</definedName>
    <definedName name="IQ_EST_MAINT_CAPEX_DIFF_CIQ_COL" hidden="1">"c11632"</definedName>
    <definedName name="IQ_EST_MAINT_CAPEX_GROWTH_1YR" hidden="1">"c4429"</definedName>
    <definedName name="IQ_EST_MAINT_CAPEX_GROWTH_1YR_CIQ_COL" hidden="1">"c11601"</definedName>
    <definedName name="IQ_EST_MAINT_CAPEX_GROWTH_2YR" hidden="1">"c4430"</definedName>
    <definedName name="IQ_EST_MAINT_CAPEX_GROWTH_2YR_CIQ_COL" hidden="1">"c11602"</definedName>
    <definedName name="IQ_EST_MAINT_CAPEX_GROWTH_Q_1YR" hidden="1">"c4431"</definedName>
    <definedName name="IQ_EST_MAINT_CAPEX_GROWTH_Q_1YR_CIQ_COL" hidden="1">"c11603"</definedName>
    <definedName name="IQ_EST_MAINT_CAPEX_SEQ_GROWTH_Q" hidden="1">"c4432"</definedName>
    <definedName name="IQ_EST_MAINT_CAPEX_SEQ_GROWTH_Q_CIQ_COL" hidden="1">"c11604"</definedName>
    <definedName name="IQ_EST_MAINT_CAPEX_SURPRISE_PERCENT" hidden="1">"c4465"</definedName>
    <definedName name="IQ_EST_MAINT_CAPEX_SURPRISE_PERCENT_CIQ_COL" hidden="1">"c11650"</definedName>
    <definedName name="IQ_EST_NAV_DIFF" hidden="1">"c1895"</definedName>
    <definedName name="IQ_EST_NAV_SHARE_SURPRISE_PERCENT" hidden="1">"c1896"</definedName>
    <definedName name="IQ_EST_NAV_SURPRISE_PERCENT" hidden="1">"c1896"</definedName>
    <definedName name="IQ_EST_NET_DEBT_DIFF" hidden="1">"c4466"</definedName>
    <definedName name="IQ_EST_NET_DEBT_SURPRISE_PERCENT" hidden="1">"c4468"</definedName>
    <definedName name="IQ_EST_NEXT_EARNINGS_DATE">"c13591"</definedName>
    <definedName name="IQ_EST_NI_DIFF" hidden="1">"c1885"</definedName>
    <definedName name="IQ_EST_NI_DIFF_REUT" hidden="1">"c5423"</definedName>
    <definedName name="IQ_EST_NI_DIFF_THOM" hidden="1">"c5198"</definedName>
    <definedName name="IQ_EST_NI_GW_DIFF" hidden="1">"c1887"</definedName>
    <definedName name="IQ_EST_NI_GW_DIFF_REUT" hidden="1">"c5425"</definedName>
    <definedName name="IQ_EST_NI_GW_SURPRISE_PERCENT" hidden="1">"c1888"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DIFF_CIQ_COL" hidden="1">"c11657"</definedName>
    <definedName name="IQ_EST_NI_SBC_GW_DIFF" hidden="1">"c4476"</definedName>
    <definedName name="IQ_EST_NI_SBC_GW_DIFF_CIQ_COL" hidden="1">"c11661"</definedName>
    <definedName name="IQ_EST_NI_SBC_GW_SURPRISE_PERCENT" hidden="1">"c4485"</definedName>
    <definedName name="IQ_EST_NI_SBC_GW_SURPRISE_PERCENT_CIQ_COL" hidden="1">"c11670"</definedName>
    <definedName name="IQ_EST_NI_SBC_SURPRISE_PERCENT" hidden="1">"c4491"</definedName>
    <definedName name="IQ_EST_NI_SBC_SURPRISE_PERCENT_CIQ_COL" hidden="1">"c11676"</definedName>
    <definedName name="IQ_EST_NI_SURPRISE_PERCENT" hidden="1">"c1886"</definedName>
    <definedName name="IQ_EST_NI_SURPRISE_PERCENT_REUT" hidden="1">"c5424"</definedName>
    <definedName name="IQ_EST_NI_SURPRISE_PERCENT_THOM" hidden="1">"c5199"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" hidden="1">"c5649"</definedName>
    <definedName name="IQ_EST_NUM_HIGH_REC_CIQ" hidden="1">"c3701"</definedName>
    <definedName name="IQ_EST_NUM_HIGH_REC_REUT" hidden="1">"c3870"</definedName>
    <definedName name="IQ_EST_NUM_HIGH_REC_THOM" hidden="1">"c5166"</definedName>
    <definedName name="IQ_EST_NUM_HIGHEST_REC" hidden="1">"c5648"</definedName>
    <definedName name="IQ_EST_NUM_HIGHEST_REC_CIQ" hidden="1">"c3700"</definedName>
    <definedName name="IQ_EST_NUM_HIGHEST_REC_REUT" hidden="1">"c3869"</definedName>
    <definedName name="IQ_EST_NUM_HIGHEST_REC_THOM" hidden="1">"c5165"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" hidden="1">"c5651"</definedName>
    <definedName name="IQ_EST_NUM_LOW_REC_CIQ" hidden="1">"c3703"</definedName>
    <definedName name="IQ_EST_NUM_LOW_REC_REUT" hidden="1">"c3872"</definedName>
    <definedName name="IQ_EST_NUM_LOW_REC_THOM" hidden="1">"c5168"</definedName>
    <definedName name="IQ_EST_NUM_LOWEST_REC" hidden="1">"c5652"</definedName>
    <definedName name="IQ_EST_NUM_LOWEST_REC_CIQ" hidden="1">"c3704"</definedName>
    <definedName name="IQ_EST_NUM_LOWEST_REC_REUT" hidden="1">"c3873"</definedName>
    <definedName name="IQ_EST_NUM_LOWEST_REC_THOM" hidden="1">"c5169"</definedName>
    <definedName name="IQ_EST_NUM_NEUTRAL_REC" hidden="1">"c5650"</definedName>
    <definedName name="IQ_EST_NUM_NEUTRAL_REC_CIQ" hidden="1">"c3702"</definedName>
    <definedName name="IQ_EST_NUM_NEUTRAL_REC_REUT" hidden="1">"c3871"</definedName>
    <definedName name="IQ_EST_NUM_NEUTRAL_REC_THOM" hidden="1">"c5167"</definedName>
    <definedName name="IQ_EST_NUM_NO_OPINION" hidden="1">"c1758"</definedName>
    <definedName name="IQ_EST_NUM_NO_OPINION_CIQ" hidden="1">"c3699"</definedName>
    <definedName name="IQ_EST_NUM_NO_OPINION_REUT" hidden="1">"c3868"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DIFF_REUT" hidden="1">"c5415"</definedName>
    <definedName name="IQ_EST_OPER_INC_DIFF_THOM" hidden="1">"c5194"</definedName>
    <definedName name="IQ_EST_OPER_INC_SURPRISE_PERCENT" hidden="1">"c1878"</definedName>
    <definedName name="IQ_EST_OPER_INC_SURPRISE_PERCENT_REUT" hidden="1">"c5416"</definedName>
    <definedName name="IQ_EST_OPER_INC_SURPRISE_PERCENT_THOM" hidden="1">"c5195"</definedName>
    <definedName name="IQ_EST_PERIOD_ID">"c13923"</definedName>
    <definedName name="IQ_EST_PRE_TAX_DIFF" hidden="1">"c1879"</definedName>
    <definedName name="IQ_EST_PRE_TAX_DIFF_REUT" hidden="1">"c5417"</definedName>
    <definedName name="IQ_EST_PRE_TAX_DIFF_THOM" hidden="1">"c5196"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PRE_TAX_SURPRISE_PERCENT_THOM" hidden="1">"c5197"</definedName>
    <definedName name="IQ_EST_RECURRING_PROFIT_SHARE_DIFF" hidden="1">"c4505"</definedName>
    <definedName name="IQ_EST_RECURRING_PROFIT_SHARE_DIFF_CIQ_COL" hidden="1">"c11690"</definedName>
    <definedName name="IQ_EST_RECURRING_PROFIT_SHARE_SURPRISE_PERCENT" hidden="1">"c4515"</definedName>
    <definedName name="IQ_EST_RECURRING_PROFIT_SHARE_SURPRISE_PERCENT_CIQ_COL" hidden="1">"c11700"</definedName>
    <definedName name="IQ_EST_REV_DIFF" hidden="1">"c1865"</definedName>
    <definedName name="IQ_EST_REV_DIFF_CIQ" hidden="1">"c3717"</definedName>
    <definedName name="IQ_EST_REV_DIFF_REUT" hidden="1">"c3886"</definedName>
    <definedName name="IQ_EST_REV_DIFF_THOM" hidden="1">"c5182"</definedName>
    <definedName name="IQ_EST_REV_GROWTH_1YR" hidden="1">"c1638"</definedName>
    <definedName name="IQ_EST_REV_GROWTH_1YR_CIQ" hidden="1">"c3691"</definedName>
    <definedName name="IQ_EST_REV_GROWTH_1YR_REUT" hidden="1">"c3860"</definedName>
    <definedName name="IQ_EST_REV_GROWTH_1YR_THOM" hidden="1">"c5157"</definedName>
    <definedName name="IQ_EST_REV_GROWTH_2YR" hidden="1">"c1639"</definedName>
    <definedName name="IQ_EST_REV_GROWTH_2YR_CIQ" hidden="1">"c3692"</definedName>
    <definedName name="IQ_EST_REV_GROWTH_2YR_REUT" hidden="1">"c3861"</definedName>
    <definedName name="IQ_EST_REV_GROWTH_2YR_THOM" hidden="1">"c5158"</definedName>
    <definedName name="IQ_EST_REV_GROWTH_Q_1YR" hidden="1">"c1640"</definedName>
    <definedName name="IQ_EST_REV_GROWTH_Q_1YR_CIQ" hidden="1">"c3693"</definedName>
    <definedName name="IQ_EST_REV_GROWTH_Q_1YR_REUT" hidden="1">"c3862"</definedName>
    <definedName name="IQ_EST_REV_GROWTH_Q_1YR_THOM" hidden="1">"c5159"</definedName>
    <definedName name="IQ_EST_REV_SEQ_GROWTH_Q" hidden="1">"c1765"</definedName>
    <definedName name="IQ_EST_REV_SEQ_GROWTH_Q_CIQ" hidden="1">"c3694"</definedName>
    <definedName name="IQ_EST_REV_SEQ_GROWTH_Q_REUT" hidden="1">"c3863"</definedName>
    <definedName name="IQ_EST_REV_SEQ_GROWTH_Q_THOM" hidden="1">"c5160"</definedName>
    <definedName name="IQ_EST_REV_SURPRISE_PERCENT" hidden="1">"c1866"</definedName>
    <definedName name="IQ_EST_REV_SURPRISE_PERCENT_CIQ" hidden="1">"c3718"</definedName>
    <definedName name="IQ_EST_REV_SURPRISE_PERCENT_REUT" hidden="1">"c3887"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"c165"</definedName>
    <definedName name="IQ_EV_OVER_REVENUE_EST_1" hidden="1">"c166"</definedName>
    <definedName name="IQ_EVAL_DATE" hidden="1">"c2180"</definedName>
    <definedName name="IQ_EVENT_ADDRESS">"c19167"</definedName>
    <definedName name="IQ_EVENT_ADVISORS">"c19147"</definedName>
    <definedName name="IQ_EVENT_AGENDA">"c19168"</definedName>
    <definedName name="IQ_EVENT_CALL_DESCRIPTION">"c19154"</definedName>
    <definedName name="IQ_EVENT_CONTACT">"c19160"</definedName>
    <definedName name="IQ_EVENT_DATE">"c13819"</definedName>
    <definedName name="IQ_EVENT_EMAIL">"c19162"</definedName>
    <definedName name="IQ_EVENT_ID">"c13818"</definedName>
    <definedName name="IQ_EVENT_LIVE_AUDIO_DETAILS_WEBCAST_URL">"c19153"</definedName>
    <definedName name="IQ_EVENT_LIVE_OTHER_PASSCODE">"c19152"</definedName>
    <definedName name="IQ_EVENT_LIVE_OTHER_PHONE_NUMBER">"c19151"</definedName>
    <definedName name="IQ_EVENT_LIVE_PASSCODE">"c19150"</definedName>
    <definedName name="IQ_EVENT_LIVE_PHONE_NUMBER">"c19149"</definedName>
    <definedName name="IQ_EVENT_MARKETINDICATOR">"c19166"</definedName>
    <definedName name="IQ_EVENT_OTHER_CONTACT">"c19163"</definedName>
    <definedName name="IQ_EVENT_OTHER_CONTACT_EMAIL">"c19165"</definedName>
    <definedName name="IQ_EVENT_OTHER_CONTACT_PHONE">"c19164"</definedName>
    <definedName name="IQ_EVENT_PHONE">"c19161"</definedName>
    <definedName name="IQ_EVENT_REPLAY_AUDIO_DETAILS_WEBCAST_URL">"c19159"</definedName>
    <definedName name="IQ_EVENT_REPLAY_BEGINS">"c19157"</definedName>
    <definedName name="IQ_EVENT_REPLAY_ENDS">"c19158"</definedName>
    <definedName name="IQ_EVENT_REPLAY_PASSCODE">"c19156"</definedName>
    <definedName name="IQ_EVENT_REPLAY_PHONE_NUMBER">"c19155"</definedName>
    <definedName name="IQ_EVENT_SITUATION">"c19148"</definedName>
    <definedName name="IQ_EVENT_SOURCE">"c19146"</definedName>
    <definedName name="IQ_EVENT_TIME">"c13820"</definedName>
    <definedName name="IQ_EVENT_TYPE">"c13821"</definedName>
    <definedName name="IQ_EXCEL_DATA_METHOD" hidden="1">"c16229"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IMBURSE_RENTAL_REVENUE">"c16064"</definedName>
    <definedName name="IQ_EXP_RETURN_PENSION_DOMESTIC" hidden="1">"c407"</definedName>
    <definedName name="IQ_EXP_RETURN_PENSION_FOREIGN" hidden="1">"c408"</definedName>
    <definedName name="IQ_EXPENSE_REIMBURSEMENTS">"c16020"</definedName>
    <definedName name="IQ_EXPENSES_AP" hidden="1">"c8875"</definedName>
    <definedName name="IQ_EXPENSES_AP_ABS" hidden="1">"c8894"</definedName>
    <definedName name="IQ_EXPENSES_FIXED_ASSETS_FFIEC">"c13024"</definedName>
    <definedName name="IQ_EXPENSES_NAME_AP" hidden="1">"c8913"</definedName>
    <definedName name="IQ_EXPENSES_NAME_AP_ABS" hidden="1">"c8932"</definedName>
    <definedName name="IQ_EXPIRATION_DATE" hidden="1">"c13930"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>"c13369"</definedName>
    <definedName name="IQ_EXTRA_ITEMS" hidden="1">"c1459"</definedName>
    <definedName name="IQ_EXTRA_ITEMS_OTHER_ADJUSTMENTS_FOREIGN_FFIEC">"c15392"</definedName>
    <definedName name="IQ_EXTRAORDINARY_GAINS_FDIC" hidden="1">"c6586"</definedName>
    <definedName name="IQ_EXTRAORDINARY_ITEMS_FFIEC">"c13033"</definedName>
    <definedName name="IQ_FAD" hidden="1">"c8757"</definedName>
    <definedName name="IQ_FAD_PAYOUT_RATIO" hidden="1">"c8872"</definedName>
    <definedName name="IQ_FAIR_VALUE_CHANGE_INCL_EARNINGS">"c13849"</definedName>
    <definedName name="IQ_FAIR_VALUE_DEBT">"c16007"</definedName>
    <definedName name="IQ_FAIR_VALUE_FDIC" hidden="1">"c6427"</definedName>
    <definedName name="IQ_FAIR_VALUE_FIN_INSTRUMENTS_NAV">"c16002"</definedName>
    <definedName name="IQ_FAIR_VALUE_FIN_INSTRUMENTS_NNAV">"c16006"</definedName>
    <definedName name="IQ_FAIR_VALUE_TRADING_PROP">"c16001"</definedName>
    <definedName name="IQ_FARM_LOANS_NET_FDIC" hidden="1">"c6316"</definedName>
    <definedName name="IQ_FARM_LOANS_TOT_LOANS_FFIEC">"c13870"</definedName>
    <definedName name="IQ_FARM_LOANS_TOTAL_LOANS_FOREIGN_FDIC" hidden="1">"c6450"</definedName>
    <definedName name="IQ_FARMLAND_DOM_FFIEC">"c15268"</definedName>
    <definedName name="IQ_FARMLAND_LOANS_FDIC" hidden="1">"c6314"</definedName>
    <definedName name="IQ_FDIC" hidden="1">"c417"</definedName>
    <definedName name="IQ_FDIC_CERT_NUMBER_FFIEC" hidden="1">"c20507"</definedName>
    <definedName name="IQ_FDIC_DEPOSIT_INSURANCE_FFIEC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_PURCHASED_SEC_SOLD_REPURCHASE_FFIEC">"c15489"</definedName>
    <definedName name="IQ_FED_FUND_SOLD_SEC_PURCHASED_RESELL_FFIEC">"c15488"</definedName>
    <definedName name="IQ_FED_FUNDS_AVAIL">"c2523"</definedName>
    <definedName name="IQ_FED_FUNDS_PURCH_SEC_SOLD_FAIR_VALUE_TOT_FFIEC">"c15406"</definedName>
    <definedName name="IQ_FED_FUNDS_PURCH_SEC_SOLD_LEVEL_1_FFIEC">"c15428"</definedName>
    <definedName name="IQ_FED_FUNDS_PURCH_SEC_SOLD_LEVEL_2_FFIEC">"c15441"</definedName>
    <definedName name="IQ_FED_FUNDS_PURCH_SEC_SOLD_LEVEL_3_FFIEC">"c15454"</definedName>
    <definedName name="IQ_FED_FUNDS_PURCHASED_DOM_FFIEC">"c12856"</definedName>
    <definedName name="IQ_FED_FUNDS_PURCHASED_FDIC" hidden="1">"c6343"</definedName>
    <definedName name="IQ_FED_FUNDS_PURCHASED_QUARTERLY_AVG_FFIEC">"c13090"</definedName>
    <definedName name="IQ_FED_FUNDS_SOLD_DOM_FFIEC">"c12806"</definedName>
    <definedName name="IQ_FED_FUNDS_SOLD_FDIC" hidden="1">"c6307"</definedName>
    <definedName name="IQ_FED_FUNDS_SOLD_QUARTERLY_AVG_FFIEC">"c13080"</definedName>
    <definedName name="IQ_FED_FUNDS_SOLD_SEC_PURCH_FAIR_VALUE_TOT_FFIEC">"c15402"</definedName>
    <definedName name="IQ_FED_FUNDS_SOLD_SEC_PURCH_LEVEL_1_FFIEC">"c15424"</definedName>
    <definedName name="IQ_FED_FUNDS_SOLD_SEC_PURCH_LEVEL_2_FFIEC">"c15437"</definedName>
    <definedName name="IQ_FED_FUNDS_SOLD_SEC_PURCH_LEVEL_3_FFIEC">"c15450"</definedName>
    <definedName name="IQ_FEDFUNDS_PURCHASED_RELATED">"c19132"</definedName>
    <definedName name="IQ_FEDFUNDS_SOLD" hidden="1">"c2256"</definedName>
    <definedName name="IQ_FEDFUNDS_SOLD_RELATED">"c19130"</definedName>
    <definedName name="IQ_FEES_COMMISSIONS_BROKERAGE_FFIEC">"c13005"</definedName>
    <definedName name="IQ_FEES_OTHER_INCOME">"c15257"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ACT_OR_EST_CIQ_COL" hidden="1">"c11607"</definedName>
    <definedName name="IQ_FFO_ADJ_EST" hidden="1">"c4434"</definedName>
    <definedName name="IQ_FFO_ADJ_EST_CIQ" hidden="1">"c4959"</definedName>
    <definedName name="IQ_FFO_ADJ_GUIDANCE" hidden="1">"c4436"</definedName>
    <definedName name="IQ_FFO_ADJ_GUIDANCE_CIQ">"c4961"</definedName>
    <definedName name="IQ_FFO_ADJ_GUIDANCE_CIQ_COL">"c11608"</definedName>
    <definedName name="IQ_FFO_ADJ_HIGH_EST" hidden="1">"c4437"</definedName>
    <definedName name="IQ_FFO_ADJ_HIGH_EST_CIQ" hidden="1">"c4962"</definedName>
    <definedName name="IQ_FFO_ADJ_HIGH_GUIDANCE" hidden="1">"c4202"</definedName>
    <definedName name="IQ_FFO_ADJ_HIGH_GUIDANCE_CIQ">"c4614"</definedName>
    <definedName name="IQ_FFO_ADJ_HIGH_GUIDANCE_CIQ_COL">"c11263"</definedName>
    <definedName name="IQ_FFO_ADJ_LOW_EST" hidden="1">"c4438"</definedName>
    <definedName name="IQ_FFO_ADJ_LOW_EST_CIQ" hidden="1">"c4963"</definedName>
    <definedName name="IQ_FFO_ADJ_LOW_GUIDANCE" hidden="1">"c4242"</definedName>
    <definedName name="IQ_FFO_ADJ_LOW_GUIDANCE_CIQ">"c4654"</definedName>
    <definedName name="IQ_FFO_ADJ_LOW_GUIDANCE_CIQ_COL">"c11303"</definedName>
    <definedName name="IQ_FFO_ADJ_MEDIAN_EST" hidden="1">"c4439"</definedName>
    <definedName name="IQ_FFO_ADJ_MEDIAN_EST_CIQ" hidden="1">"c4964"</definedName>
    <definedName name="IQ_FFO_ADJ_NUM_EST" hidden="1">"c4440"</definedName>
    <definedName name="IQ_FFO_ADJ_NUM_EST_CIQ" hidden="1">"c4965"</definedName>
    <definedName name="IQ_FFO_ADJ_STDDEV_EST" hidden="1">"c4441"</definedName>
    <definedName name="IQ_FFO_ADJ_STDDEV_EST_CIQ" hidden="1">"c4966"</definedName>
    <definedName name="IQ_FFO_DILUTED">"c16186"</definedName>
    <definedName name="IQ_FFO_EST" hidden="1">"c418"</definedName>
    <definedName name="IQ_FFO_EST_CIQ" hidden="1">"c4970"</definedName>
    <definedName name="IQ_FFO_EST_CIQ_COL" hidden="1">"c11617"</definedName>
    <definedName name="IQ_FFO_EST_DET_EST" hidden="1">"c12059"</definedName>
    <definedName name="IQ_FFO_EST_DET_EST_CURRENCY" hidden="1">"c12466"</definedName>
    <definedName name="IQ_FFO_EST_DET_EST_CURRENCY_REUT" hidden="1">"c12536"</definedName>
    <definedName name="IQ_FFO_EST_DET_EST_CURRENCY_THOM" hidden="1">"c12487"</definedName>
    <definedName name="IQ_FFO_EST_DET_EST_DATE" hidden="1">"c12212"</definedName>
    <definedName name="IQ_FFO_EST_DET_EST_DATE_REUT" hidden="1">"c12295"</definedName>
    <definedName name="IQ_FFO_EST_DET_EST_DATE_THOM" hidden="1">"c12238"</definedName>
    <definedName name="IQ_FFO_EST_DET_EST_INCL" hidden="1">"c12349"</definedName>
    <definedName name="IQ_FFO_EST_DET_EST_INCL_REUT" hidden="1">"c12419"</definedName>
    <definedName name="IQ_FFO_EST_DET_EST_INCL_THOM" hidden="1">"c12370"</definedName>
    <definedName name="IQ_FFO_EST_DET_EST_ORIGIN" hidden="1">"c12722"</definedName>
    <definedName name="IQ_FFO_EST_DET_EST_ORIGIN_REUT" hidden="1">"c12724"</definedName>
    <definedName name="IQ_FFO_EST_DET_EST_ORIGIN_THOM" hidden="1">"c12608"</definedName>
    <definedName name="IQ_FFO_EST_DET_EST_REUT" hidden="1">"c12153"</definedName>
    <definedName name="IQ_FFO_EST_DET_EST_THOM" hidden="1">"c12088"</definedName>
    <definedName name="IQ_FFO_EST_REUT" hidden="1">"c3837"</definedName>
    <definedName name="IQ_FFO_EST_THOM" hidden="1">"c3999"</definedName>
    <definedName name="IQ_FFO_GUIDANCE" hidden="1">"c4443"</definedName>
    <definedName name="IQ_FFO_GUIDANCE_CIQ">"c4968"</definedName>
    <definedName name="IQ_FFO_GUIDANCE_CIQ_COL">"c11615"</definedName>
    <definedName name="IQ_FFO_HIGH_EST" hidden="1">"c419"</definedName>
    <definedName name="IQ_FFO_HIGH_EST_CIQ" hidden="1">"c4977"</definedName>
    <definedName name="IQ_FFO_HIGH_EST_CIQ_COL" hidden="1">"c11624"</definedName>
    <definedName name="IQ_FFO_HIGH_EST_REUT" hidden="1">"c3839"</definedName>
    <definedName name="IQ_FFO_HIGH_EST_THOM" hidden="1">"c4001"</definedName>
    <definedName name="IQ_FFO_HIGH_GUIDANCE" hidden="1">"c4184"</definedName>
    <definedName name="IQ_FFO_HIGH_GUIDANCE_CIQ">"c4596"</definedName>
    <definedName name="IQ_FFO_HIGH_GUIDANCE_CIQ_COL">"c11245"</definedName>
    <definedName name="IQ_FFO_LOW_EST" hidden="1">"c420"</definedName>
    <definedName name="IQ_FFO_LOW_EST_CIQ" hidden="1">"c4978"</definedName>
    <definedName name="IQ_FFO_LOW_EST_CIQ_COL" hidden="1">"c11625"</definedName>
    <definedName name="IQ_FFO_LOW_EST_REUT" hidden="1">"c3840"</definedName>
    <definedName name="IQ_FFO_LOW_EST_THOM" hidden="1">"c4002"</definedName>
    <definedName name="IQ_FFO_LOW_GUIDANCE" hidden="1">"c4224"</definedName>
    <definedName name="IQ_FFO_LOW_GUIDANCE_CIQ">"c4636"</definedName>
    <definedName name="IQ_FFO_LOW_GUIDANCE_CIQ_COL">"c11285"</definedName>
    <definedName name="IQ_FFO_MEDIAN_EST" hidden="1">"c1665"</definedName>
    <definedName name="IQ_FFO_MEDIAN_EST_CIQ" hidden="1">"c4979"</definedName>
    <definedName name="IQ_FFO_MEDIAN_EST_CIQ_COL" hidden="1">"c11626"</definedName>
    <definedName name="IQ_FFO_MEDIAN_EST_REUT" hidden="1">"c3838"</definedName>
    <definedName name="IQ_FFO_MEDIAN_EST_THOM" hidden="1">"c4000"</definedName>
    <definedName name="IQ_FFO_NO_EST" hidden="1">"c276"</definedName>
    <definedName name="IQ_FFO_NUM_EST" hidden="1">"c421"</definedName>
    <definedName name="IQ_FFO_NUM_EST_CIQ" hidden="1">"c4980"</definedName>
    <definedName name="IQ_FFO_NUM_EST_CIQ_COL" hidden="1">"c11627"</definedName>
    <definedName name="IQ_FFO_NUM_EST_REUT" hidden="1">"c3841"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HARE_ACT_OR_EST_CIQ_COL" hidden="1">"c11618"</definedName>
    <definedName name="IQ_FFO_SHARE_EST" hidden="1">"c4445"</definedName>
    <definedName name="IQ_FFO_SHARE_EST_DET_EST" hidden="1">"c12059"</definedName>
    <definedName name="IQ_FFO_SHARE_EST_DET_EST_CURRENCY" hidden="1">"c12466"</definedName>
    <definedName name="IQ_FFO_SHARE_EST_DET_EST_CURRENCY_THOM" hidden="1">"c12487"</definedName>
    <definedName name="IQ_FFO_SHARE_EST_DET_EST_DATE" hidden="1">"c12212"</definedName>
    <definedName name="IQ_FFO_SHARE_EST_DET_EST_DATE_THOM" hidden="1">"c12238"</definedName>
    <definedName name="IQ_FFO_SHARE_EST_DET_EST_INCL" hidden="1">"c12349"</definedName>
    <definedName name="IQ_FFO_SHARE_EST_DET_EST_INCL_THOM" hidden="1">"c12370"</definedName>
    <definedName name="IQ_FFO_SHARE_EST_DET_EST_ORIGIN" hidden="1">"c12722"</definedName>
    <definedName name="IQ_FFO_SHARE_EST_DET_EST_ORIGIN_THOM" hidden="1">"c12608"</definedName>
    <definedName name="IQ_FFO_SHARE_EST_DET_EST_THOM" hidden="1">"c12088"</definedName>
    <definedName name="IQ_FFO_SHARE_EST_THOM" hidden="1">"c3999"</definedName>
    <definedName name="IQ_FFO_SHARE_GUIDANCE" hidden="1">"c4447"</definedName>
    <definedName name="IQ_FFO_SHARE_GUIDANCE_CIQ">"c4976"</definedName>
    <definedName name="IQ_FFO_SHARE_GUIDANCE_CIQ_COL">"c11623"</definedName>
    <definedName name="IQ_FFO_SHARE_HIGH_EST" hidden="1">"c4448"</definedName>
    <definedName name="IQ_FFO_SHARE_HIGH_EST_THOM" hidden="1">"c4001"</definedName>
    <definedName name="IQ_FFO_SHARE_HIGH_GUIDANCE" hidden="1">"c4203"</definedName>
    <definedName name="IQ_FFO_SHARE_HIGH_GUIDANCE_CIQ">"c4615"</definedName>
    <definedName name="IQ_FFO_SHARE_HIGH_GUIDANCE_CIQ_COL">"c11264"</definedName>
    <definedName name="IQ_FFO_SHARE_LOW_EST" hidden="1">"c4449"</definedName>
    <definedName name="IQ_FFO_SHARE_LOW_EST_THOM" hidden="1">"c4002"</definedName>
    <definedName name="IQ_FFO_SHARE_LOW_GUIDANCE" hidden="1">"c4243"</definedName>
    <definedName name="IQ_FFO_SHARE_LOW_GUIDANCE_CIQ">"c4655"</definedName>
    <definedName name="IQ_FFO_SHARE_LOW_GUIDANCE_CIQ_COL">"c11304"</definedName>
    <definedName name="IQ_FFO_SHARE_MEDIAN_EST" hidden="1">"c4450"</definedName>
    <definedName name="IQ_FFO_SHARE_MEDIAN_EST_THOM" hidden="1">"c4000"</definedName>
    <definedName name="IQ_FFO_SHARE_NUM_EST" hidden="1">"c4451"</definedName>
    <definedName name="IQ_FFO_SHARE_NUM_EST_THOM" hidden="1">"c4003"</definedName>
    <definedName name="IQ_FFO_SHARE_SHARE_EST_DET_EST" hidden="1">"c12059"</definedName>
    <definedName name="IQ_FFO_SHARE_SHARE_EST_DET_EST_CURRENCY" hidden="1">"c12466"</definedName>
    <definedName name="IQ_FFO_SHARE_SHARE_EST_DET_EST_CURRENCY_THOM" hidden="1">"c12487"</definedName>
    <definedName name="IQ_FFO_SHARE_SHARE_EST_DET_EST_DATE" hidden="1">"c12212"</definedName>
    <definedName name="IQ_FFO_SHARE_SHARE_EST_DET_EST_DATE_THOM" hidden="1">"c12238"</definedName>
    <definedName name="IQ_FFO_SHARE_SHARE_EST_DET_EST_INCL" hidden="1">"c12349"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REUT" hidden="1">"c3837"</definedName>
    <definedName name="IQ_FFO_SHARE_SHARE_EST_THOM" hidden="1">"c3999"</definedName>
    <definedName name="IQ_FFO_SHARE_SHARE_HIGH_EST_REUT" hidden="1">"c3839"</definedName>
    <definedName name="IQ_FFO_SHARE_SHARE_HIGH_EST_THOM" hidden="1">"c4001"</definedName>
    <definedName name="IQ_FFO_SHARE_SHARE_LOW_EST_REUT" hidden="1">"c3840"</definedName>
    <definedName name="IQ_FFO_SHARE_SHARE_LOW_EST_THOM" hidden="1">"c4002"</definedName>
    <definedName name="IQ_FFO_SHARE_SHARE_MEDIAN_EST_REUT" hidden="1">"c3838"</definedName>
    <definedName name="IQ_FFO_SHARE_SHARE_MEDIAN_EST_THOM" hidden="1">"c4000"</definedName>
    <definedName name="IQ_FFO_SHARE_SHARE_NUM_EST_REUT" hidden="1">"c3841"</definedName>
    <definedName name="IQ_FFO_SHARE_SHARE_NUM_EST_THOM" hidden="1">"c4003"</definedName>
    <definedName name="IQ_FFO_SHARE_SHARE_STDDEV_EST_REUT" hidden="1">"c3842"</definedName>
    <definedName name="IQ_FFO_SHARE_SHARE_STDDEV_EST_THOM" hidden="1">"c4004"</definedName>
    <definedName name="IQ_FFO_SHARE_STDDEV_EST" hidden="1">"c4452"</definedName>
    <definedName name="IQ_FFO_SHARE_STDDEV_EST_THOM" hidden="1">"c4004"</definedName>
    <definedName name="IQ_FFO_SHARES_BASIC">"c16185"</definedName>
    <definedName name="IQ_FFO_SHARES_DILUTED">"c16187"</definedName>
    <definedName name="IQ_FFO_STDDEV_EST" hidden="1">"c422"</definedName>
    <definedName name="IQ_FFO_STDDEV_EST_CIQ" hidden="1">"c4981"</definedName>
    <definedName name="IQ_FFO_STDDEV_EST_CIQ_COL" hidden="1">"c11628"</definedName>
    <definedName name="IQ_FFO_STDDEV_EST_REUT" hidden="1">"c3842"</definedName>
    <definedName name="IQ_FFO_STDDEV_EST_THOM" hidden="1">"c4004"</definedName>
    <definedName name="IQ_FFO_TOTAL_REVENUE">"c16060"</definedName>
    <definedName name="IQ_FH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ARCHITECTURE" hidden="1">"c20386"</definedName>
    <definedName name="IQ_FIN_COLLECTION_ID">"c13922"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_INSTANCE_ID">"c13921"</definedName>
    <definedName name="IQ_FIN_PERIOD_ID">"c13920"</definedName>
    <definedName name="IQ_FINANCIAL_LOC_FOREIGN_GUARANTEES_FFIEC">"c13249"</definedName>
    <definedName name="IQ_FINANCIAL_SERVICING_ASSETS_FAIR_VALUE_TOT_FFIEC">"c13212"</definedName>
    <definedName name="IQ_FINANCIAL_SERVICING_ASSETS_LEVEL_1_FFIEC">"c13220"</definedName>
    <definedName name="IQ_FINANCIAL_SERVICING_ASSETS_LEVEL_2_FFIEC">"c13228"</definedName>
    <definedName name="IQ_FINANCIAL_SERVICING_ASSETS_LEVEL_3_FFIEC">"c13236"</definedName>
    <definedName name="IQ_FINANCIAL_SERVICING_LIAB_FAIR_VALUE_TOT_FFIEC">"c13215"</definedName>
    <definedName name="IQ_FINANCIAL_SERVICING_LIAB_LEVEL_1_FFIEC">"c13223"</definedName>
    <definedName name="IQ_FINANCIAL_SERVICING_LIAB_LEVEL_2_FFIEC">"c13231"</definedName>
    <definedName name="IQ_FINANCIAL_SERVICING_LIAB_LEVEL_3_FFIEC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CIQ_COL" hidden="1">"c11741"</definedName>
    <definedName name="IQ_FISCAL_Q_EST_REUT" hidden="1">"c6798"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CIQ_COL" hidden="1">"c11742"</definedName>
    <definedName name="IQ_FISCAL_Y_EST_REUT" hidden="1">"c6799"</definedName>
    <definedName name="IQ_FISCAL_Y_EST_THOM" hidden="1">"c6803"</definedName>
    <definedName name="IQ_FIVE_PERCENT_AMOUNT" hidden="1">"c240"</definedName>
    <definedName name="IQ_FIVE_PERCENT_CIQID">"c19094"</definedName>
    <definedName name="IQ_FIVE_PERCENT_DERIVATIVES">"c19096"</definedName>
    <definedName name="IQ_FIVE_PERCENT_NAME">"c19093"</definedName>
    <definedName name="IQ_FIVE_PERCENT_OWNER" hidden="1">"c442"</definedName>
    <definedName name="IQ_FIVE_PERCENT_PERCENT">"c19097"</definedName>
    <definedName name="IQ_FIVE_PERCENT_POSITION_DATE">"c19099"</definedName>
    <definedName name="IQ_FIVE_PERCENT_SHARES">"c19095"</definedName>
    <definedName name="IQ_FIVE_PERCENT_VALUE">"c19098"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" hidden="1">"c17421"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>"c13269"</definedName>
    <definedName name="IQ_FOREIGN_BANKS_DUE_90_FFIEC">"c13295"</definedName>
    <definedName name="IQ_FOREIGN_BANKS_LOAN_CHARG_OFFS_FDIC" hidden="1">"c6645"</definedName>
    <definedName name="IQ_FOREIGN_BANKS_NET_CHARGE_OFFS_FDIC" hidden="1">"c6647"</definedName>
    <definedName name="IQ_FOREIGN_BANKS_NON_ACCRUAL_FFIEC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>"c13445"</definedName>
    <definedName name="IQ_FOREIGN_DEPOSITS_NONTRANSACTION_ACCOUNTS_FDIC" hidden="1">"c6549"</definedName>
    <definedName name="IQ_FOREIGN_DEPOSITS_TOT_FFIEC">"c13486"</definedName>
    <definedName name="IQ_FOREIGN_DEPOSITS_TOTAL_DEPOSITS">"c15719"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>"c15345"</definedName>
    <definedName name="IQ_FOREIGN_GOVT_OFFICIAL_INST_NON_TRANS_ACCTS_FFIEC">"c15327"</definedName>
    <definedName name="IQ_FOREIGN_GOVT_OFFICIAL_INST_TRANS_ACCTS_FFIEC">"c15319"</definedName>
    <definedName name="IQ_FOREIGN_LL_REC_FFIEC">"c12892"</definedName>
    <definedName name="IQ_FOREIGN_LOANS" hidden="1">"c448"</definedName>
    <definedName name="IQ_FOREIGN_LOANS_LEASES_FOREIGN_FFIEC">"c13478"</definedName>
    <definedName name="IQ_FOREIGN_LOANS_TOTAL_LOANS">"c15714"</definedName>
    <definedName name="IQ_FOUNDATION_OVER_TOTAL">"c13769"</definedName>
    <definedName name="IQ_FQ">500</definedName>
    <definedName name="IQ_FTOOL_CAPEX">"c16212"</definedName>
    <definedName name="IQ_FTOOL_CASH">"c16213"</definedName>
    <definedName name="IQ_FTOOL_CASH_INVEST">"c16214"</definedName>
    <definedName name="IQ_FTOOL_EBT">"c16215"</definedName>
    <definedName name="IQ_FTOOL_NI">"c16216"</definedName>
    <definedName name="IQ_FTOOL_NI_CF">"c16206"</definedName>
    <definedName name="IQ_FTOOL_NUMBER_SHAREHOLDERS">"c16207"</definedName>
    <definedName name="IQ_FTOOL_SHARES_PER_DR">"c16208"</definedName>
    <definedName name="IQ_FTOOL_TOTAL_ASSETS">"c16209"</definedName>
    <definedName name="IQ_FTOOL_TOTAL_LIAB_EQUITY">"c16210"</definedName>
    <definedName name="IQ_FTOOL_TOTAL_REV">"c16211"</definedName>
    <definedName name="IQ_FUEL" hidden="1">"c449"</definedName>
    <definedName name="IQ_FULL_TIME" hidden="1">"c450"</definedName>
    <definedName name="IQ_FULLY_INSURED_BROKERED_DEPOSITS_FFIEC">"c15305"</definedName>
    <definedName name="IQ_FULLY_INSURED_DEPOSITS_FDIC" hidden="1">"c6487"</definedName>
    <definedName name="IQ_FUND_ANALYSIS" hidden="1">"c19198"</definedName>
    <definedName name="IQ_FUND_AUTHORIZED_SALE" hidden="1">"c19199"</definedName>
    <definedName name="IQ_FUND_BENCHMARK" hidden="1">"c19200"</definedName>
    <definedName name="IQ_FUND_BENCHMARK_ID" hidden="1">"c19201"</definedName>
    <definedName name="IQ_FUND_DISCOUNT_OR_PREMIUM" hidden="1">"c19242"</definedName>
    <definedName name="IQ_FUND_FEE_INC_NON_INT_INC_FFIEC">"c13493"</definedName>
    <definedName name="IQ_FUND_GEOGRAPHIC_MANDATE" hidden="1">"c19195"</definedName>
    <definedName name="IQ_FUND_MARKET_CAP_EMPHASIS" hidden="1">"c19197"</definedName>
    <definedName name="IQ_FUND_NAV">"c15225"</definedName>
    <definedName name="IQ_FUND_PRIMARY_ADVISOR">"c19091"</definedName>
    <definedName name="IQ_FUND_SECTOR_EMPHASIS" hidden="1">"c19196"</definedName>
    <definedName name="IQ_FUND_VEHICLE_TYPE" hidden="1">"c19194"</definedName>
    <definedName name="IQ_FUNDING_DEPENDENCE_FFIEC">"c13336"</definedName>
    <definedName name="IQ_FUNDING_DEPENDENCE_ST_FFIEC">"c13337"</definedName>
    <definedName name="IQ_FUNDS_PURCHASED_ASSETS_TOT_FFIEC">"c13446"</definedName>
    <definedName name="IQ_FUTURES_CONTRACT_LIST" hidden="1">"c17682"</definedName>
    <definedName name="IQ_FUTURES_FORWARD_CONTRACTS_NOTIONAL_AMOUNT_FDIC" hidden="1">"c6518"</definedName>
    <definedName name="IQ_FUTURES_FORWARD_CONTRACTS_RATE_RISK_FDIC" hidden="1">"c6508"</definedName>
    <definedName name="IQ_FUTURES_NAME" hidden="1">"c13936"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FFIEC">"c13125"</definedName>
    <definedName name="IQ_FX_CONTRACTS_SPOT_FDIC" hidden="1">"c6356"</definedName>
    <definedName name="IQ_FX_EXPOSURE_FFIEC">"c13059"</definedName>
    <definedName name="IQ_FY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COMBINED_RATIO" hidden="1">"c2781"</definedName>
    <definedName name="IQ_GAAP_COMBINED_RATIO_EXCL_CL" hidden="1">"c2782"</definedName>
    <definedName name="IQ_GAAP_EST_CIQ" hidden="1">"c13924"</definedName>
    <definedName name="IQ_GAAP_EXPENSE_RATIO" hidden="1">"c2780"</definedName>
    <definedName name="IQ_GAAP_IS" hidden="1">"c6194"</definedName>
    <definedName name="IQ_GAAP_LOSS" hidden="1">"c2779"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>"c13066"</definedName>
    <definedName name="IQ_GAIN_CREDIT_DERIVATIVES_NON_TRADING_FFIEC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C_BNK" hidden="1">"c488"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>"c15384"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>"c13364"</definedName>
    <definedName name="IQ_GAINS_ASSETS_TOT_FFIEC">"c13073"</definedName>
    <definedName name="IQ_GAINS_AVAIL_SALE_EQUITY_SEC_T2_FFIEC">"c13147"</definedName>
    <definedName name="IQ_GAINS_AVAIL_SALE_SEC_T1_FFIEC">"c13131"</definedName>
    <definedName name="IQ_GAINS_CASH_FLOW_HEDGES_T1_FFIEC">"c13133"</definedName>
    <definedName name="IQ_GAINS_HTM_AVG_ASSETS_FFIEC">"c13363"</definedName>
    <definedName name="IQ_GAINS_INSTRUMENT_SPECIFIC_CREDIT_RISK_LIAB_FFIEC">"c13076"</definedName>
    <definedName name="IQ_GAINS_INSTRUMENT_SPECIFIC_RISK_FFIEC">"c13074"</definedName>
    <definedName name="IQ_GAINS_INSURANCE_ACTIVITIES_FFIEC">"c13072"</definedName>
    <definedName name="IQ_GAINS_LIABILITIES_FFIEC">"c13075"</definedName>
    <definedName name="IQ_GAINS_SALE_ASSETS_FDIC" hidden="1">"c6675"</definedName>
    <definedName name="IQ_GAINS_SALE_LOANS_LEASES_FFIEC">"c13013"</definedName>
    <definedName name="IQ_GAINS_SALE_OTHER_ASSETS_FFIEC">"c13015"</definedName>
    <definedName name="IQ_GAINS_SALE_OTHER_RE_OWNED_FFIEC">"c13014"</definedName>
    <definedName name="IQ_GAINS_SECURITIZATION_OPERATING_INC_FFIEC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NERAL_ALLOWANCE">"c15248"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ICS_CODE">"c16201"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>"c12836"</definedName>
    <definedName name="IQ_GOODWILL_IMPAIRMENT_FDIC" hidden="1">"c6678"</definedName>
    <definedName name="IQ_GOODWILL_IMPAIRMENT_FFIEC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DD_BASIC">"c15776"</definedName>
    <definedName name="IQ_GROSS_ADD_BBAND">"c15779"</definedName>
    <definedName name="IQ_GROSS_ADD_DIG">"c15777"</definedName>
    <definedName name="IQ_GROSS_ADD_PHONE">"c15780"</definedName>
    <definedName name="IQ_GROSS_ADD_POSTPAID_WIRELESS">"c15750"</definedName>
    <definedName name="IQ_GROSS_ADD_PREPAID_WIRELESS">"c15751"</definedName>
    <definedName name="IQ_GROSS_ADD_RESELL_WHOLESALE_WIRELESS">"c15752"</definedName>
    <definedName name="IQ_GROSS_ADD_RGU">"c15781"</definedName>
    <definedName name="IQ_GROSS_ADD_SATELLITE">"c15778"</definedName>
    <definedName name="IQ_GROSS_ADD_TOTAL_WIRELESS">"c15753"</definedName>
    <definedName name="IQ_GROSS_AH_EARNED" hidden="1">"c2742"</definedName>
    <definedName name="IQ_GROSS_CLAIM_ADJ_EXP_RESERVE_BOP">"c15874"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GW" hidden="1">"c17750"</definedName>
    <definedName name="IQ_GROSS_INTAN" hidden="1">"c520"</definedName>
    <definedName name="IQ_GROSS_INTAN_ASSETS" hidden="1">"c17748"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">"c15871"</definedName>
    <definedName name="IQ_GROSS_LOSSES_AVG_LOANS_FFIEC">"c13475"</definedName>
    <definedName name="IQ_GROSS_MARGIN" hidden="1">"c529"</definedName>
    <definedName name="IQ_GROSS_MARGIN_ACT_OR_EST" hidden="1">"c5554"</definedName>
    <definedName name="IQ_GROSS_MARGIN_ACT_OR_EST_THOM" hidden="1">"c5562"</definedName>
    <definedName name="IQ_GROSS_MARGIN_DET_EST_DATE_THOM" hidden="1">"c12239"</definedName>
    <definedName name="IQ_GROSS_MARGIN_DET_EST_INCL_THOM" hidden="1">"c12371"</definedName>
    <definedName name="IQ_GROSS_MARGIN_DET_EST_ORIGIN_THOM" hidden="1">"c12609"</definedName>
    <definedName name="IQ_GROSS_MARGIN_DET_EST_THOM" hidden="1">"c12089"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EMIUMS_WRITTEN_AVG_ASSETS">"c15893"</definedName>
    <definedName name="IQ_GROSS_PREMIUMS_WRITTEN_AVG_EQUITY">"c15892"</definedName>
    <definedName name="IQ_GROSS_PREMIUMS_WRITTEN_AVG_STATUTORY_SURPLUS">"c15894"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VKEY">"c15590"</definedName>
    <definedName name="IQ_GVKEY_OTHER">"c15633"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">"c19145"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_EXP_DIRECT_OPERATING_EXP">"c15981"</definedName>
    <definedName name="IQ_HG_CASINO_GROSS_PROFIT">"c15974"</definedName>
    <definedName name="IQ_HG_CASINO_MARGIN">"c15976"</definedName>
    <definedName name="IQ_HG_CASINO_OPERATING_MARGIN">"c15977"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CONFERENCE_SPACE">"c15971"</definedName>
    <definedName name="IQ_HG_EXP_CASINO" hidden="1">"c8733"</definedName>
    <definedName name="IQ_HG_EXP_DEVELOPMENT" hidden="1">"c8738"</definedName>
    <definedName name="IQ_HG_EXP_DIRECT_CASINO_GAMING">"c15994"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DIRECT_HOTEL_MOTEL">"c15995"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BEV_EXP_DIRECT_OPERATING_EXP">"c15980"</definedName>
    <definedName name="IQ_HG_FOOD_BEV_REV_TOTAL_REV">"c15983"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NUMBER_SUITES">"c15970"</definedName>
    <definedName name="IQ_HG_NUMBER_TABLES_AVG">"c15973"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PROMO_ALLOW_GROSS_OPERATING_REV">"c15979"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GROSS_OPERATING">"c15993"</definedName>
    <definedName name="IQ_HG_REV_INCENTIVE_MANAGEMENT_FEES" hidden="1">"c8727"</definedName>
    <definedName name="IQ_HG_REV_MANAGEMENT_FEES" hidden="1">"c8718"</definedName>
    <definedName name="IQ_HG_REV_OTHER_CASINO">"c15992"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SLOT_MACHINE">"c15990"</definedName>
    <definedName name="IQ_HG_REV_TABLE">"c15991"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EXP_DIRECT_OPERATING_EXP">"c15982"</definedName>
    <definedName name="IQ_HG_ROOM_GROSS_PROFIT">"c15975"</definedName>
    <definedName name="IQ_HG_ROOM_MARGIN">"c15978"</definedName>
    <definedName name="IQ_HG_ROOM_PROM_COSTS" hidden="1">"c8745"</definedName>
    <definedName name="IQ_HG_ROOM_REV_TOTAL_REV">"c15984"</definedName>
    <definedName name="IQ_HG_ROOMS_BEG" hidden="1">"c8600"</definedName>
    <definedName name="IQ_HG_SAME_PROPERTIES_CASINO_REV_CHANGE">"c15987"</definedName>
    <definedName name="IQ_HG_SAME_PROPERTIES_FOOD_BEV_REV_CHANGE">"c15989"</definedName>
    <definedName name="IQ_HG_SAME_PROPERTIES_ROOM_REV_CHANGE">"c15988"</definedName>
    <definedName name="IQ_HG_SAME_PROPERTIES_SLOT_MACHINE_REV_CHANGE">"c15985"</definedName>
    <definedName name="IQ_HG_SAME_PROPERTIES_TABLE_REV_CHANGE">"c15986"</definedName>
    <definedName name="IQ_HG_SLOT_MACHINES_AVG">"c15972"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ABLES_JV">"c8643"</definedName>
    <definedName name="IQ_HG_TABLES_MANAGED">"c8644"</definedName>
    <definedName name="IQ_HG_TABLES_OWNED">"c8642"</definedName>
    <definedName name="IQ_HG_TABLES_TOTAL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>"c1204"</definedName>
    <definedName name="IQ_HIGH_SULFUR_CONTENT_RESERVES_COAL">"c15928"</definedName>
    <definedName name="IQ_HIGH_SULFURE_RESERVES_TO_TOTAL_RESERVES_COAL">"c15963"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_TARGET_PRICE_THOM" hidden="1">"c5096"</definedName>
    <definedName name="IQ_HIGHPRICE" hidden="1">"c545"</definedName>
    <definedName name="IQ_HOLDER_CIQID">"c13787"</definedName>
    <definedName name="IQ_HOLDER_CIQID_SECURITY">"c13794"</definedName>
    <definedName name="IQ_HOLDER_DERIVATIVES">"c13789"</definedName>
    <definedName name="IQ_HOLDER_DERIVATIVES_SECURITY">"c13796"</definedName>
    <definedName name="IQ_HOLDER_FUND_CIQID">"c19084"</definedName>
    <definedName name="IQ_HOLDER_FUND_DERIVATIVES">"c19115"</definedName>
    <definedName name="IQ_HOLDER_FUND_NAME">"c19083"</definedName>
    <definedName name="IQ_HOLDER_FUND_NUMBER">"c19090"</definedName>
    <definedName name="IQ_HOLDER_FUND_PERCENT">"c19085"</definedName>
    <definedName name="IQ_HOLDER_FUND_POSITION_DATE">"c19088"</definedName>
    <definedName name="IQ_HOLDER_FUND_PRIMARY_ADVISOR">"c19089"</definedName>
    <definedName name="IQ_HOLDER_FUND_SHARES">"c19086"</definedName>
    <definedName name="IQ_HOLDER_FUND_VALUE">"c19087"</definedName>
    <definedName name="IQ_HOLDER_NAME">"c13786"</definedName>
    <definedName name="IQ_HOLDER_NAME_SECURITY">"c13793"</definedName>
    <definedName name="IQ_HOLDER_PERCENT">"c13790"</definedName>
    <definedName name="IQ_HOLDER_PERCENT_SECURITY">"c13831"</definedName>
    <definedName name="IQ_HOLDER_POSITION_DATE">"c13792"</definedName>
    <definedName name="IQ_HOLDER_POSITION_DATE_SECURITY">"c13798"</definedName>
    <definedName name="IQ_HOLDER_SHARES">"c13788"</definedName>
    <definedName name="IQ_HOLDER_SHARES_SECURITY">"c13795"</definedName>
    <definedName name="IQ_HOLDER_VALUE">"c13791"</definedName>
    <definedName name="IQ_HOLDER_VALUE_SECURITY">"c13797"</definedName>
    <definedName name="IQ_HOLDING_CIQID">"c13802"</definedName>
    <definedName name="IQ_HOLDING_NAME">"c13799"</definedName>
    <definedName name="IQ_HOLDING_PERCENT">"c13805"</definedName>
    <definedName name="IQ_HOLDING_PERCENT_PORTFOLIO">"c13806"</definedName>
    <definedName name="IQ_HOLDING_POSITION_DATE">"c13808"</definedName>
    <definedName name="IQ_HOLDING_SECURITY_TYPE">"c13803"</definedName>
    <definedName name="IQ_HOLDING_SHARES">"c13804"</definedName>
    <definedName name="IQ_HOLDING_TICKER">"c13800"</definedName>
    <definedName name="IQ_HOLDING_TRADING_ITEM_CIQID">"c13801"</definedName>
    <definedName name="IQ_HOLDING_VALUE">"c13807"</definedName>
    <definedName name="IQ_HOLDINGS_AFRICA_MIDEAST_PERCENT" hidden="1">"c19235"</definedName>
    <definedName name="IQ_HOLDINGS_AFRICA_MIDEAST_VALUE" hidden="1">"c19234"</definedName>
    <definedName name="IQ_HOLDINGS_ASIA_PERCENT" hidden="1">"c19233"</definedName>
    <definedName name="IQ_HOLDINGS_ASIA_VALUE" hidden="1">"c19232"</definedName>
    <definedName name="IQ_HOLDINGS_CONSUMER_DISCRETIONARY_PERCENT" hidden="1">"c19213"</definedName>
    <definedName name="IQ_HOLDINGS_CONSUMER_DISCRETIONARY_VALUE" hidden="1">"c19212"</definedName>
    <definedName name="IQ_HOLDINGS_CONSUMER_STAPLES_PERCENT" hidden="1">"c19219"</definedName>
    <definedName name="IQ_HOLDINGS_CONSUMER_STAPLES_VALUE" hidden="1">"c19218"</definedName>
    <definedName name="IQ_HOLDINGS_ENERGY_PERCENT" hidden="1">"c19215"</definedName>
    <definedName name="IQ_HOLDINGS_ENERGY_VALUE" hidden="1">"c19214"</definedName>
    <definedName name="IQ_HOLDINGS_EUROPE_PERCENT" hidden="1">"c19229"</definedName>
    <definedName name="IQ_HOLDINGS_EUROPE_VALUE" hidden="1">"c19228"</definedName>
    <definedName name="IQ_HOLDINGS_FINANCIALS_PERCENT" hidden="1">"c19209"</definedName>
    <definedName name="IQ_HOLDINGS_FINANCIALS_VALUE" hidden="1">"c19208"</definedName>
    <definedName name="IQ_HOLDINGS_HEALTHCARE_PERCENT" hidden="1">"c19211"</definedName>
    <definedName name="IQ_HOLDINGS_HEALTHCARE_VALUE" hidden="1">"c19210"</definedName>
    <definedName name="IQ_HOLDINGS_INDUSTRIALS_PERCENT" hidden="1">"c19217"</definedName>
    <definedName name="IQ_HOLDINGS_INDUSTRIALS_VALUE" hidden="1">"c19216"</definedName>
    <definedName name="IQ_HOLDINGS_IT_PERCENT" hidden="1">"c19207"</definedName>
    <definedName name="IQ_HOLDINGS_IT_VALUE" hidden="1">"c19206"</definedName>
    <definedName name="IQ_HOLDINGS_LATIN_CARIBBEAN_PERCENT" hidden="1">"c19231"</definedName>
    <definedName name="IQ_HOLDINGS_LATIN_CARIBBEAN_VALUE" hidden="1">"c19230"</definedName>
    <definedName name="IQ_HOLDINGS_MATERIALS_PERCENT" hidden="1">"c19223"</definedName>
    <definedName name="IQ_HOLDINGS_MATERIALS_VALUE" hidden="1">"c19222"</definedName>
    <definedName name="IQ_HOLDINGS_TELECOMM_PERCENT" hidden="1">"c19221"</definedName>
    <definedName name="IQ_HOLDINGS_TELECOMM_VALUE" hidden="1">"c19220"</definedName>
    <definedName name="IQ_HOLDINGS_US_CANADA_PERCENT" hidden="1">"c19227"</definedName>
    <definedName name="IQ_HOLDINGS_US_CANADA_VALUE" hidden="1">"c19226"</definedName>
    <definedName name="IQ_HOLDINGS_UTILITIES_PERCENT" hidden="1">"c19225"</definedName>
    <definedName name="IQ_HOLDINGS_UTILITIES_VALUE" hidden="1">"c19224"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ANCELLATION_RATE">"c16192"</definedName>
    <definedName name="IQ_HOME_CANCELLATION_RATE_INCL_JV">"c16194"</definedName>
    <definedName name="IQ_HOME_CANCELLATION_RATE_JV">"c16193"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BUILDING_COGS_SALES">"c15813"</definedName>
    <definedName name="IQ_HOMEBUILDING_INV_TURN">"c15819"</definedName>
    <definedName name="IQ_HOMEBUILDING_TURN">"c15820"</definedName>
    <definedName name="IQ_HOMEOWNERS_WRITTEN" hidden="1">"c546"</definedName>
    <definedName name="IQ_HOTEL_OPERATING_EXPENSE">"c16042"</definedName>
    <definedName name="IQ_HOTEL_OPERATING_REVENUE">"c16026"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>"c13455"</definedName>
    <definedName name="IQ_HTM_SECURITIES_TIER_1_FFIEC">"c13342"</definedName>
    <definedName name="IQ_HYBRID_CAPITAL">"c15245"</definedName>
    <definedName name="IQ_HYBRID_STRUCTURED_PRODUCTS_AFS_AMORT_COST_FFIEC" hidden="1">"c20502"</definedName>
    <definedName name="IQ_HYBRID_STRUCTURED_PRODUCTS_AFS_FAIR_VAL_FFIEC" hidden="1">"c20467"</definedName>
    <definedName name="IQ_HYBRID_STRUCTURED_PRODUCTS_AVAIL_SALE_FFIEC">"c15265"</definedName>
    <definedName name="IQ_HYBRID_STRUCTURED_PRODUCTS_FFIEC">"c15262"</definedName>
    <definedName name="IQ_HYBRID_STRUCTURED_PRODUCTS_HTM_AMORT_COST_FFIEC" hidden="1">"c20450"</definedName>
    <definedName name="IQ_HYBRID_STRUCTURED_PRODUCTS_HTM_FAIR_VAL_FFIEC" hidden="1">"c20485"</definedName>
    <definedName name="IQ_IB_ADVISORY_UNDERWRITING_FEES_FOREIGN_FFIEC">"c15378"</definedName>
    <definedName name="IQ_IBF_COMM_INDUST_LOANS_FFIEC">"c15298"</definedName>
    <definedName name="IQ_IBF_DEPOSIT_LIABILITIES_DUE_TO_BANKS_FFIEC">"c15300"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CT_UNRECOG_TAX_BENEFIT_EFFECTIVE_TAX">"c15748"</definedName>
    <definedName name="IQ_IMPAIR_OIL" hidden="1">"c547"</definedName>
    <definedName name="IQ_IMPAIRED_LOANS">"c15250"</definedName>
    <definedName name="IQ_IMPAIRMENT_GW" hidden="1">"c548"</definedName>
    <definedName name="IQ_IMPAIRMENT_GW_SUPPLE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>"c13040"</definedName>
    <definedName name="IQ_INCOME_EARNED_FDIC" hidden="1">"c6359"</definedName>
    <definedName name="IQ_INCOME_FIDUCIARY_ACTIVITIES_FFIEC">"c13002"</definedName>
    <definedName name="IQ_INCOME_LEASE_FINANCING_REC_FFIEC">"c12980"</definedName>
    <definedName name="IQ_INCOME_LOANS_LEASES_TAX_EXEMPT_FFIEC">"c13038"</definedName>
    <definedName name="IQ_INCOME_OTHER_INSURANCE_ACTIVITIES_FFIEC">"c13009"</definedName>
    <definedName name="IQ_INCOME_SALE_MUTUAL_FUNDS_DOM_FFIEC">"c13069"</definedName>
    <definedName name="IQ_INCOME_SECURITIES_TAX_EXEMPT_FFIEC">"c13039"</definedName>
    <definedName name="IQ_INCOME_TAX_FOREIGN_FFIEC">"c15391"</definedName>
    <definedName name="IQ_INCOME_TAXES_FDIC" hidden="1">"c6582"</definedName>
    <definedName name="IQ_INCOME_TAXES_FFIEC">"c13030"</definedName>
    <definedName name="IQ_INCREASE_INT_INCOME_FFIEC">"c13063"</definedName>
    <definedName name="IQ_INDEX_CURRENCY">"c15224"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PROVIDED_DIVIDEND" hidden="1">"c19252"</definedName>
    <definedName name="IQ_INDEX_SHARES" hidden="1">"c19193"</definedName>
    <definedName name="IQ_INDEX_TYPE">"c15223"</definedName>
    <definedName name="IQ_INDEXCONSTITUENT_CLOSEPRICE" hidden="1">"c19241"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">"c15182"</definedName>
    <definedName name="IQ_INDIVIDUAL_ACTIVE_BOARD_MEMBERSHIPS">"c15201"</definedName>
    <definedName name="IQ_INDIVIDUAL_ACTIVE_PRO_AFFILIATIONS">"c15199"</definedName>
    <definedName name="IQ_INDIVIDUAL_AGE">"c15191"</definedName>
    <definedName name="IQ_INDIVIDUAL_ALL_OTHER_COMP">"c19040"</definedName>
    <definedName name="IQ_INDIVIDUAL_ANNUAL_CASH_COMP">"c19041"</definedName>
    <definedName name="IQ_INDIVIDUAL_AS_REPORTED_COMP">"c19045"</definedName>
    <definedName name="IQ_INDIVIDUAL_AS_REPORTED_DIRECTOR_COMP">"c19057"</definedName>
    <definedName name="IQ_INDIVIDUAL_ASSISTANT_EMAIL">"c15206"</definedName>
    <definedName name="IQ_INDIVIDUAL_ASSISTANT_FAX">"c15208"</definedName>
    <definedName name="IQ_INDIVIDUAL_ASSISTANT_NAME">"c15205"</definedName>
    <definedName name="IQ_INDIVIDUAL_ASSISTANT_PHONE">"c15207"</definedName>
    <definedName name="IQ_INDIVIDUAL_BACKGROUND">"c15184"</definedName>
    <definedName name="IQ_INDIVIDUAL_BONUS">"c19036"</definedName>
    <definedName name="IQ_INDIVIDUAL_CALCULATED_COMP">"c19043"</definedName>
    <definedName name="IQ_INDIVIDUAL_CHANGE_PENSION">"c19058"</definedName>
    <definedName name="IQ_INDIVIDUAL_DIRECT_FAX">"c15189"</definedName>
    <definedName name="IQ_INDIVIDUAL_DIRECT_PHONE">"c15188"</definedName>
    <definedName name="IQ_INDIVIDUAL_DIRECTOR_BONUS">"c19052"</definedName>
    <definedName name="IQ_INDIVIDUAL_DIRECTOR_CHANGE_PENSION">"c19053"</definedName>
    <definedName name="IQ_INDIVIDUAL_DIRECTOR_FEE">"c19049"</definedName>
    <definedName name="IQ_INDIVIDUAL_DIRECTOR_NON_EQUITY_COMP">"c19054"</definedName>
    <definedName name="IQ_INDIVIDUAL_DIRECTOR_OPTION_AWARDS">"c19050"</definedName>
    <definedName name="IQ_INDIVIDUAL_DIRECTOR_OTHER">"c19051"</definedName>
    <definedName name="IQ_INDIVIDUAL_DIRECTOR_STOCK_AWARDS">"c19055"</definedName>
    <definedName name="IQ_INDIVIDUAL_DIRECTOR_STOCK_GRANTS">"c19082"</definedName>
    <definedName name="IQ_INDIVIDUAL_DIRECTOR_STOCK_OPTIONS">"c19056"</definedName>
    <definedName name="IQ_INDIVIDUAL_EDUCATION">"c15203"</definedName>
    <definedName name="IQ_INDIVIDUAL_EMAIL">"c15193"</definedName>
    <definedName name="IQ_INDIVIDUAL_EQUITY_INCENTIVE">"c19078"</definedName>
    <definedName name="IQ_INDIVIDUAL_EST_PAYMENTS_CHANGE_CONTROL">"c19047"</definedName>
    <definedName name="IQ_INDIVIDUAL_EST_PAYMENTS_TERMINATION">"c19059"</definedName>
    <definedName name="IQ_INDIVIDUAL_EXERCISABLE_OPTIONS">"c19062"</definedName>
    <definedName name="IQ_INDIVIDUAL_EXERCISABLE_VALUES">"c19063"</definedName>
    <definedName name="IQ_INDIVIDUAL_EXERCISED_OPTIONS">"c19060"</definedName>
    <definedName name="IQ_INDIVIDUAL_EXERCISED_VALUES">"c19061"</definedName>
    <definedName name="IQ_INDIVIDUAL_FAMILY_LOAN_DOM_QUARTERLY_AVG_FFIEC">"c15479"</definedName>
    <definedName name="IQ_INDIVIDUAL_HOME_ADDRESS">"c15194"</definedName>
    <definedName name="IQ_INDIVIDUAL_HOME_FAX">"c15196"</definedName>
    <definedName name="IQ_INDIVIDUAL_HOME_PHONE">"c15195"</definedName>
    <definedName name="IQ_INDIVIDUAL_LT_INCENTIVE">"c19039"</definedName>
    <definedName name="IQ_INDIVIDUAL_MAIN_FAX">"c15187"</definedName>
    <definedName name="IQ_INDIVIDUAL_MAIN_PHONE">"c15186"</definedName>
    <definedName name="IQ_INDIVIDUAL_MARKET_VALUE_SHARES_NOT_VESTED">"c19077"</definedName>
    <definedName name="IQ_INDIVIDUAL_MOBILE">"c15198"</definedName>
    <definedName name="IQ_INDIVIDUAL_NICKNAME">"c15192"</definedName>
    <definedName name="IQ_INDIVIDUAL_NON_EQUITY_INCENTIVE">"c19048"</definedName>
    <definedName name="IQ_INDIVIDUAL_NOTES">"c15204"</definedName>
    <definedName name="IQ_INDIVIDUAL_NUM_SHARED_NOT_VESTED">"c19076"</definedName>
    <definedName name="IQ_INDIVIDUAL_NUM_SHARES_ACQUIRED">"c19074"</definedName>
    <definedName name="IQ_INDIVIDUAL_OFFICE_ADDRESS">"c15185"</definedName>
    <definedName name="IQ_INDIVIDUAL_OPTION_AWARDS">"c19044"</definedName>
    <definedName name="IQ_INDIVIDUAL_OPTION_MARKET_PRICE">"c19073"</definedName>
    <definedName name="IQ_INDIVIDUAL_OPTION_PRICE">"c19072"</definedName>
    <definedName name="IQ_INDIVIDUAL_OTHER_ANNUAL_COMP">"c19037"</definedName>
    <definedName name="IQ_INDIVIDUAL_OTHER_COMP">"c19046"</definedName>
    <definedName name="IQ_INDIVIDUAL_OTHER_PHONE">"c15197"</definedName>
    <definedName name="IQ_INDIVIDUAL_PARTNER_CORP_NON_TRANS_ACCTS_FFIEC">"c15322"</definedName>
    <definedName name="IQ_INDIVIDUAL_PARTNER_CORP_TRANS_ACCTS_FFIEC">"c15314"</definedName>
    <definedName name="IQ_INDIVIDUAL_PARTNER_CORPS_FOREIGN_DEP_FFIEC">"c15342"</definedName>
    <definedName name="IQ_INDIVIDUAL_PRIOR_BOARD_MEMBERSHIPS">"c15202"</definedName>
    <definedName name="IQ_INDIVIDUAL_PRIOR_PRO_AFFILIATIONS">"c15200"</definedName>
    <definedName name="IQ_INDIVIDUAL_RESTRICTED_STOCK_COMP">"c19038"</definedName>
    <definedName name="IQ_INDIVIDUAL_SALARY">"c19035"</definedName>
    <definedName name="IQ_INDIVIDUAL_SPECIALTY">"c15190"</definedName>
    <definedName name="IQ_INDIVIDUAL_ST_COMP">"c19042"</definedName>
    <definedName name="IQ_INDIVIDUAL_TITLE">"c15183"</definedName>
    <definedName name="IQ_INDIVIDUAL_TOTAL_NUM_STOCK_AWARDS">"c19081"</definedName>
    <definedName name="IQ_INDIVIDUAL_TOTAL_OPTIONS">"c19070"</definedName>
    <definedName name="IQ_INDIVIDUAL_TOTAL_STOCK_VALUE">"c19080"</definedName>
    <definedName name="IQ_INDIVIDUAL_TOTAL_VALUE_OPTIONS">"c19071"</definedName>
    <definedName name="IQ_INDIVIDUAL_UNCLASSIFIED_OPTIONS">"c19066"</definedName>
    <definedName name="IQ_INDIVIDUAL_UNCLASSIFIED_OPTIONS_VALUE">"c19067"</definedName>
    <definedName name="IQ_INDIVIDUAL_UNEARNED_STOCK_VALUE">"c19079"</definedName>
    <definedName name="IQ_INDIVIDUAL_UNEXERCISABLE_OPTIONS">"c19064"</definedName>
    <definedName name="IQ_INDIVIDUAL_UNEXERCISABLE_VALUES">"c19065"</definedName>
    <definedName name="IQ_INDIVIDUAL_UNEXERCISED_UNEARNED_OPTIONS">"c19068"</definedName>
    <definedName name="IQ_INDIVIDUAL_UNEXERCISED_UNEARNED_OPTIONS_VALUE">"c19069"</definedName>
    <definedName name="IQ_INDIVIDUAL_VALUE_VESTING">"c19075"</definedName>
    <definedName name="IQ_INDIVIDUALS_CHARGE_OFFS_FDIC" hidden="1">"c6599"</definedName>
    <definedName name="IQ_INDIVIDUALS_GROSS_LOANS_FFIEC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ITIAL_TRANSACTION">"c18885"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>"c13814"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CIQID">"c19101"</definedName>
    <definedName name="IQ_INSIDER_DERIVATIVES">"c19102"</definedName>
    <definedName name="IQ_INSIDER_LOANS_FDIC" hidden="1">"c6365"</definedName>
    <definedName name="IQ_INSIDER_NAME">"c19100"</definedName>
    <definedName name="IQ_INSIDER_OVER_TOTAL" hidden="1">"c1581"</definedName>
    <definedName name="IQ_INSIDER_OWNER" hidden="1">"c577"</definedName>
    <definedName name="IQ_INSIDER_PERCENT" hidden="1">"c578"</definedName>
    <definedName name="IQ_INSIDER_POSITION_DATE">"c19104"</definedName>
    <definedName name="IQ_INSIDER_SHARES" hidden="1">"c579"</definedName>
    <definedName name="IQ_INSIDER_VALUE">"c19103"</definedName>
    <definedName name="IQ_INST_DEPOSITS" hidden="1">"c89"</definedName>
    <definedName name="IQ_INSTITUTIONAL_AMOUNT" hidden="1">"c236"</definedName>
    <definedName name="IQ_INSTITUTIONAL_CIQID">"c19106"</definedName>
    <definedName name="IQ_INSTITUTIONAL_DERIVATIVES">"c19107"</definedName>
    <definedName name="IQ_INSTITUTIONAL_NAME">"c19105"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POSITION_DATE">"c19109"</definedName>
    <definedName name="IQ_INSTITUTIONAL_SHARES" hidden="1">"c582"</definedName>
    <definedName name="IQ_INSTITUTIONAL_VALUE">"c19108"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>"c13008"</definedName>
    <definedName name="IQ_INSURANCE_REV_OPERATING_INC_FFIEC">"c13387"</definedName>
    <definedName name="IQ_INSURANCE_UNDERWRITING_INCOME_FDIC" hidden="1">"c6671"</definedName>
    <definedName name="IQ_INT_BEARING_DEPOSITS" hidden="1">"c1166"</definedName>
    <definedName name="IQ_INT_BEARING_FUNDS_AVG_ASSETS_FFIEC">"c13355"</definedName>
    <definedName name="IQ_INT_BEARING_LIABILITIES_REPRICE_ASSETS_TOT_FFIEC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>"c12852"</definedName>
    <definedName name="IQ_INT_DEPOSITS_DOM_QUARTERLY_AVG_FFIEC">"c13088"</definedName>
    <definedName name="IQ_INT_DEPOSITS_FOREIGN_FFIEC">"c12855"</definedName>
    <definedName name="IQ_INT_DEPOSITS_FOREIGN_QUARTERLY_AVG_FFIEC">"c13089"</definedName>
    <definedName name="IQ_INT_DIV_INC" hidden="1">"c585"</definedName>
    <definedName name="IQ_INT_DIV_INC_MBS_FFIEC">"c12984"</definedName>
    <definedName name="IQ_INT_DIV_INC_SECURITIES_FFIEC">"c12982"</definedName>
    <definedName name="IQ_INT_DIV_INC_SECURITIES_OTHER_FFIEC">"c12985"</definedName>
    <definedName name="IQ_INT_DIV_INC_TREASURY_SECURITIES_FFIEC">"c12983"</definedName>
    <definedName name="IQ_INT_DOMESTIC_DEPOSITS_FDIC" hidden="1">"c6564"</definedName>
    <definedName name="IQ_INT_EXP_AVG_ASSETS_FFIEC">"c13357"</definedName>
    <definedName name="IQ_INT_EXP_BR" hidden="1">"c586"</definedName>
    <definedName name="IQ_INT_EXP_COVERAGE" hidden="1">"c587"</definedName>
    <definedName name="IQ_INT_EXP_EARNING_ASSETS_FFIEC">"c13376"</definedName>
    <definedName name="IQ_INT_EXP_FED_FUNDS_PURCHASED_FFIEC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EXPENSE_AVG_ASSET">"c15705"</definedName>
    <definedName name="IQ_INT_FED_FUNDS_FDIC" hidden="1">"c6566"</definedName>
    <definedName name="IQ_INT_FEE_INC_ACCEPTANCE_OTHER_BANKS_DOM_FFIEC">"c15357"</definedName>
    <definedName name="IQ_INT_FEE_INC_AGRICULTURE_LOANS_FARMERS_DOM_FFIEC">"c15355"</definedName>
    <definedName name="IQ_INT_FEE_INC_COMM_IND_LOANS_DOM_FFIEC">"c15356"</definedName>
    <definedName name="IQ_INT_FEE_INC_CREDIT_CARDS_DOM_FFIEC">"c15358"</definedName>
    <definedName name="IQ_INT_FEE_INC_DEPOSITORY_LOANS_DOM_FFIEC">"c15354"</definedName>
    <definedName name="IQ_INT_FEE_INC_FOREIGN_GOVT_LOANS_DOM_FFIEC">"c15360"</definedName>
    <definedName name="IQ_INT_FEE_INC_INDIVIDUAL_LOANS_DOM_FFIEC">"c15359"</definedName>
    <definedName name="IQ_INT_FEE_INC_LOANS_1_4_DOM_FFIEC">"c12976"</definedName>
    <definedName name="IQ_INT_FEE_INC_LOANS_DOM_FFIEC">"c13335"</definedName>
    <definedName name="IQ_INT_FEE_INC_LOANS_FOREIGN_FFIEC">"c12979"</definedName>
    <definedName name="IQ_INT_FEE_INC_LOANS_OTHER_DOM_FFIEC">"c12978"</definedName>
    <definedName name="IQ_INT_FEE_INC_RE_LOANS_DOM_FFIEC">"c15353"</definedName>
    <definedName name="IQ_INT_FEE_INC_SECURED_RE_DOM_FFIEC">"c12977"</definedName>
    <definedName name="IQ_INT_FEE_INC_TAX_EXEMPT_OBLIGATIONS_DOM_FFIEC">"c15362"</definedName>
    <definedName name="IQ_INT_FEE_INC_TAXABLE_OBLIGATIONS_DOM_FFIEC">"c15361"</definedName>
    <definedName name="IQ_INT_FEE_INCOME_FFIEC">"c12974"</definedName>
    <definedName name="IQ_INT_FOREIGN_DEPOSITS_FDIC" hidden="1">"c6565"</definedName>
    <definedName name="IQ_INT_INC_AVG_ASSETS_FFIEC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>"c12981"</definedName>
    <definedName name="IQ_INT_INC_EARNING_ASSETS_FFIEC">"c13375"</definedName>
    <definedName name="IQ_INT_INC_FED_FUNDS_FDIC" hidden="1">"c6561"</definedName>
    <definedName name="IQ_INT_INC_FED_FUNDS_SOLD_FFIEC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>"c13358"</definedName>
    <definedName name="IQ_INT_INC_TE_EARNING_ASSETS_FFIEC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>"c12986"</definedName>
    <definedName name="IQ_INT_INC_UTI" hidden="1">"c599"</definedName>
    <definedName name="IQ_INT_INCOME_AVG_ASSET">"c15704"</definedName>
    <definedName name="IQ_INT_INCOME_FTE_AVG_ASSETS_FFIEC">"c13856"</definedName>
    <definedName name="IQ_INT_INCOME_FTE_AVG_EARNING_ASSETS_FFIEC">"c13857"</definedName>
    <definedName name="IQ_INT_INCOME_FTE_FFIEC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>"c12991"</definedName>
    <definedName name="IQ_INT_ON_DEPOSITS_FFIEC">"c12990"</definedName>
    <definedName name="IQ_INT_ON_DEPOSITS_FOREIGN_FFIEC">"c12995"</definedName>
    <definedName name="IQ_INT_RATE_EXPOSURE_FFIEC">"c13058"</definedName>
    <definedName name="IQ_INT_RATE_SPREAD" hidden="1">"c604"</definedName>
    <definedName name="IQ_INT_SAVINGS_DEPOSITS_MMDA_DOM_FFIEC">"c15364"</definedName>
    <definedName name="IQ_INT_SUB_NOTES_FDIC" hidden="1">"c6568"</definedName>
    <definedName name="IQ_INT_SUB_NOTES_FFIEC">"c12998"</definedName>
    <definedName name="IQ_INT_TIME_DEPOSITS_LESS_THAN_100K_DOM_FFIEC">"c12993"</definedName>
    <definedName name="IQ_INT_TIME_DEPOSITS_MORE_THAN_100K_DOM_FFIEC">"c12992"</definedName>
    <definedName name="IQ_INT_TRADING_LIABILITIES_FFIEC">"c12997"</definedName>
    <definedName name="IQ_INT_TRANSACTION_ACCOUNTS_DOM_FFIEC">"c15363"</definedName>
    <definedName name="IQ_INTANGIBLES_NET" hidden="1">"c1407"</definedName>
    <definedName name="IQ_INTEL_EPS_EST" hidden="1">"c24729"</definedName>
    <definedName name="IQ_INTERBANK_RATIO">"c19134"</definedName>
    <definedName name="IQ_INTEREST_ACCRUED_ON_DEPOSITS_DOM_FFIEC">"c15277"</definedName>
    <definedName name="IQ_INTEREST_BEARING_BALANCES_FDIC" hidden="1">"c6371"</definedName>
    <definedName name="IQ_INTEREST_BEARING_BALANCES_QUARTERLY_AVG_FFIEC">"c15467"</definedName>
    <definedName name="IQ_INTEREST_BEARING_CASH_FFIEC">"c15259"</definedName>
    <definedName name="IQ_INTEREST_BEARING_CASH_FOREIGN_FFIEC">"c12776"</definedName>
    <definedName name="IQ_INTEREST_BEARING_CASH_US_FFIEC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>"c15484"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PENALTIES_RECOG_BS_AFTER_TAX">"c15745"</definedName>
    <definedName name="IQ_INTEREST_PENALTIES_RECOG_BS_PRE_TAX">"c15744"</definedName>
    <definedName name="IQ_INTEREST_PENALTIES_RECOG_IS_AFTER_TAX">"c15743"</definedName>
    <definedName name="IQ_INTEREST_PENALTIES_RECOG_IS_PRE_TAX">"c15742"</definedName>
    <definedName name="IQ_INTEREST_RATE_CONTRACTS_FDIC" hidden="1">"c6512"</definedName>
    <definedName name="IQ_INTEREST_RATE_EXPOSURES_FDIC" hidden="1">"c6662"</definedName>
    <definedName name="IQ_INTERNAL_ALLOCATIONS_INC_EXP_FOREIGN_FFIEC">"c15394"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_REL_ID">"c15220"</definedName>
    <definedName name="IQ_INV_REL_NAME">"c15219"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BREAKUP_ASSET_MBS" hidden="1">"c17796"</definedName>
    <definedName name="IQ_INVEST_BREAKUP_COMMON" hidden="1">"c17687"</definedName>
    <definedName name="IQ_INVEST_BREAKUP_CORP_DEBT" hidden="1">"c17684"</definedName>
    <definedName name="IQ_INVEST_BREAKUP_CORP_EQUITY" hidden="1">"c17689"</definedName>
    <definedName name="IQ_INVEST_BREAKUP_NON_US_GOVT" hidden="1">"c17794"</definedName>
    <definedName name="IQ_INVEST_BREAKUP_NOT_CLASSIFIED" hidden="1">"c17690"</definedName>
    <definedName name="IQ_INVEST_BREAKUP_OTHER_FIXED" hidden="1">"c17685"</definedName>
    <definedName name="IQ_INVEST_BREAKUP_PREFERRED" hidden="1">"c17688"</definedName>
    <definedName name="IQ_INVEST_BREAKUP_PUBLIC_UTIL_DEBT" hidden="1">"c17683"</definedName>
    <definedName name="IQ_INVEST_BREAKUP_STATE_MUNI" hidden="1">"c17795"</definedName>
    <definedName name="IQ_INVEST_BREAKUP_TOTAL_FIXED" hidden="1">"c17686"</definedName>
    <definedName name="IQ_INVEST_BREAKUP_TOTAL_INVEST" hidden="1">"c17691"</definedName>
    <definedName name="IQ_INVEST_BREAKUP_US_GOVT" hidden="1">"c17793"</definedName>
    <definedName name="IQ_INVEST_CREDIT_QUAL_AMORT_TYPE_1" hidden="1">"c17785"</definedName>
    <definedName name="IQ_INVEST_CREDIT_QUAL_AMORT_TYPE_1_PCT" hidden="1">"c17844"</definedName>
    <definedName name="IQ_INVEST_CREDIT_QUAL_AMORT_TYPE_2" hidden="1">"c17786"</definedName>
    <definedName name="IQ_INVEST_CREDIT_QUAL_AMORT_TYPE_2_PCT" hidden="1">"c17845"</definedName>
    <definedName name="IQ_INVEST_CREDIT_QUAL_AMORT_TYPE_3" hidden="1">"c17787"</definedName>
    <definedName name="IQ_INVEST_CREDIT_QUAL_AMORT_TYPE_3_PCT" hidden="1">"c17846"</definedName>
    <definedName name="IQ_INVEST_CREDIT_QUAL_AMORT_TYPE_4" hidden="1">"c17788"</definedName>
    <definedName name="IQ_INVEST_CREDIT_QUAL_AMORT_TYPE_4_PCT" hidden="1">"c17847"</definedName>
    <definedName name="IQ_INVEST_CREDIT_QUAL_AMORT_TYPE_5" hidden="1">"c17789"</definedName>
    <definedName name="IQ_INVEST_CREDIT_QUAL_AMORT_TYPE_5_PCT" hidden="1">"c17848"</definedName>
    <definedName name="IQ_INVEST_CREDIT_QUAL_AMORT_TYPE_6" hidden="1">"c17790"</definedName>
    <definedName name="IQ_INVEST_CREDIT_QUAL_AMORT_TYPE_6_PCT" hidden="1">"c17849"</definedName>
    <definedName name="IQ_INVEST_CREDIT_QUAL_AMORT_TYPE_OTHER" hidden="1">"c17791"</definedName>
    <definedName name="IQ_INVEST_CREDIT_QUAL_AMORT_TYPE_OTHER_PCT" hidden="1">"c17850"</definedName>
    <definedName name="IQ_INVEST_CREDIT_QUAL_AMORT_TYPE_TOTAL_FIXED" hidden="1">"c17792"</definedName>
    <definedName name="IQ_INVEST_CREDIT_QUAL_CV_TYPE_1" hidden="1">"c17769"</definedName>
    <definedName name="IQ_INVEST_CREDIT_QUAL_CV_TYPE_1_PCT" hidden="1">"c17830"</definedName>
    <definedName name="IQ_INVEST_CREDIT_QUAL_CV_TYPE_2" hidden="1">"c17770"</definedName>
    <definedName name="IQ_INVEST_CREDIT_QUAL_CV_TYPE_2_PCT" hidden="1">"c17831"</definedName>
    <definedName name="IQ_INVEST_CREDIT_QUAL_CV_TYPE_3" hidden="1">"c17771"</definedName>
    <definedName name="IQ_INVEST_CREDIT_QUAL_CV_TYPE_3_PCT" hidden="1">"c17832"</definedName>
    <definedName name="IQ_INVEST_CREDIT_QUAL_CV_TYPE_4" hidden="1">"c17772"</definedName>
    <definedName name="IQ_INVEST_CREDIT_QUAL_CV_TYPE_4_PCT" hidden="1">"c17833"</definedName>
    <definedName name="IQ_INVEST_CREDIT_QUAL_CV_TYPE_5" hidden="1">"c17773"</definedName>
    <definedName name="IQ_INVEST_CREDIT_QUAL_CV_TYPE_5_PCT" hidden="1">"c17834"</definedName>
    <definedName name="IQ_INVEST_CREDIT_QUAL_CV_TYPE_6" hidden="1">"c17774"</definedName>
    <definedName name="IQ_INVEST_CREDIT_QUAL_CV_TYPE_6_PCT" hidden="1">"c17835"</definedName>
    <definedName name="IQ_INVEST_CREDIT_QUAL_CV_TYPE_OTHER" hidden="1">"c17775"</definedName>
    <definedName name="IQ_INVEST_CREDIT_QUAL_CV_TYPE_OTHER_PCT" hidden="1">"c17836"</definedName>
    <definedName name="IQ_INVEST_CREDIT_QUAL_CV_TYPE_TOTAL_FIXED" hidden="1">"c17776"</definedName>
    <definedName name="IQ_INVEST_CREDIT_QUAL_FV_TYPE_1" hidden="1">"c17777"</definedName>
    <definedName name="IQ_INVEST_CREDIT_QUAL_FV_TYPE_1_PCT" hidden="1">"c17837"</definedName>
    <definedName name="IQ_INVEST_CREDIT_QUAL_FV_TYPE_2" hidden="1">"c17778"</definedName>
    <definedName name="IQ_INVEST_CREDIT_QUAL_FV_TYPE_2_PCT" hidden="1">"c17838"</definedName>
    <definedName name="IQ_INVEST_CREDIT_QUAL_FV_TYPE_3" hidden="1">"c17779"</definedName>
    <definedName name="IQ_INVEST_CREDIT_QUAL_FV_TYPE_3_PCT" hidden="1">"c17839"</definedName>
    <definedName name="IQ_INVEST_CREDIT_QUAL_FV_TYPE_4" hidden="1">"c17780"</definedName>
    <definedName name="IQ_INVEST_CREDIT_QUAL_FV_TYPE_4_PCT" hidden="1">"c17840"</definedName>
    <definedName name="IQ_INVEST_CREDIT_QUAL_FV_TYPE_5" hidden="1">"c17781"</definedName>
    <definedName name="IQ_INVEST_CREDIT_QUAL_FV_TYPE_5_PCT" hidden="1">"c17841"</definedName>
    <definedName name="IQ_INVEST_CREDIT_QUAL_FV_TYPE_6" hidden="1">"c17782"</definedName>
    <definedName name="IQ_INVEST_CREDIT_QUAL_FV_TYPE_6_PCT" hidden="1">"c17842"</definedName>
    <definedName name="IQ_INVEST_CREDIT_QUAL_FV_TYPE_OTHER" hidden="1">"c17783"</definedName>
    <definedName name="IQ_INVEST_CREDIT_QUAL_FV_TYPE_OTHER_PCT" hidden="1">"c17843"</definedName>
    <definedName name="IQ_INVEST_CREDIT_QUAL_FV_TYPE_TOTAL_FIXED" hidden="1">"c17784"</definedName>
    <definedName name="IQ_INVEST_CRITERIA_EBITDA_MAX">"c18907"</definedName>
    <definedName name="IQ_INVEST_CRITERIA_EBITDA_MIN">"c18906"</definedName>
    <definedName name="IQ_INVEST_CRITERIA_EQUITY_MAX">"c18901"</definedName>
    <definedName name="IQ_INVEST_CRITERIA_EQUITY_MIN">"c18900"</definedName>
    <definedName name="IQ_INVEST_CRITERIA_EV_MAX">"c18903"</definedName>
    <definedName name="IQ_INVEST_CRITERIA_EV_MIN">"c18902"</definedName>
    <definedName name="IQ_INVEST_CRITERIA_GEOGRAPHY">"c18898"</definedName>
    <definedName name="IQ_INVEST_CRITERIA_INDUSTRY">"c18897"</definedName>
    <definedName name="IQ_INVEST_CRITERIA_STAGES">"c18899"</definedName>
    <definedName name="IQ_INVEST_CRITERIA_TOT_REV_MAX">"c18905"</definedName>
    <definedName name="IQ_INVEST_CRITERIA_TOT_REV_MIN">"c18904"</definedName>
    <definedName name="IQ_INVEST_DEBT" hidden="1">"c625"</definedName>
    <definedName name="IQ_INVEST_DETAIL_AVAIL_SALE" hidden="1">"c17692"</definedName>
    <definedName name="IQ_INVEST_DETAIL_AVAIL_SALE_AMORT" hidden="1">"c17810"</definedName>
    <definedName name="IQ_INVEST_DETAIL_HELD_MATURITY" hidden="1">"c17807"</definedName>
    <definedName name="IQ_INVEST_DETAIL_OTHER" hidden="1">"c17809"</definedName>
    <definedName name="IQ_INVEST_DETAIL_TRADING" hidden="1">"c17808"</definedName>
    <definedName name="IQ_INVEST_DETAIL_TRADING_AMORT" hidden="1">"c17811"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AT_AMORT_1_5_YR" hidden="1">"c17764"</definedName>
    <definedName name="IQ_INVEST_MAT_AMORT_1_5_YR_PCT" hidden="1">"c17825"</definedName>
    <definedName name="IQ_INVEST_MAT_AMORT_1_YR" hidden="1">"c17763"</definedName>
    <definedName name="IQ_INVEST_MAT_AMORT_1_YR_PCT" hidden="1">"c17824"</definedName>
    <definedName name="IQ_INVEST_MAT_AMORT_5_10_YR" hidden="1">"c17765"</definedName>
    <definedName name="IQ_INVEST_MAT_AMORT_5_10_YR_PCT" hidden="1">"c17826"</definedName>
    <definedName name="IQ_INVEST_MAT_AMORT_AFTER_10_YR" hidden="1">"c17766"</definedName>
    <definedName name="IQ_INVEST_MAT_AMORT_AFTER_10_YR_PCT" hidden="1">"c17827"</definedName>
    <definedName name="IQ_INVEST_MAT_AMORT_ASSET_MBS" hidden="1">"c17767"</definedName>
    <definedName name="IQ_INVEST_MAT_AMORT_ASSET_MBS_PCT" hidden="1">"c17828"</definedName>
    <definedName name="IQ_INVEST_MAT_AMORT_OTHER_FIXED" hidden="1">"c17768"</definedName>
    <definedName name="IQ_INVEST_MAT_AMORT_OTHER_FIXED_PCT" hidden="1">"c17829"</definedName>
    <definedName name="IQ_INVEST_MAT_CV_1_5_YR" hidden="1">"c17752"</definedName>
    <definedName name="IQ_INVEST_MAT_CV_1_5_YR_PCT" hidden="1">"c17813"</definedName>
    <definedName name="IQ_INVEST_MAT_CV_1_YR" hidden="1">"c17751"</definedName>
    <definedName name="IQ_INVEST_MAT_CV_1_YR_PCT" hidden="1">"c17812"</definedName>
    <definedName name="IQ_INVEST_MAT_CV_5_10_YR" hidden="1">"c17753"</definedName>
    <definedName name="IQ_INVEST_MAT_CV_5_10_YR_PCT" hidden="1">"c17814"</definedName>
    <definedName name="IQ_INVEST_MAT_CV_AFTER_10_YR" hidden="1">"c17754"</definedName>
    <definedName name="IQ_INVEST_MAT_CV_AFTER_10_YR_PCT" hidden="1">"c17815"</definedName>
    <definedName name="IQ_INVEST_MAT_CV_ASSET_MBS" hidden="1">"c17755"</definedName>
    <definedName name="IQ_INVEST_MAT_CV_ASSET_MBS_PCT" hidden="1">"c17816"</definedName>
    <definedName name="IQ_INVEST_MAT_CV_OTHER_FIXED" hidden="1">"c17756"</definedName>
    <definedName name="IQ_INVEST_MAT_CV_OTHER_FIXED_PCT" hidden="1">"c17817"</definedName>
    <definedName name="IQ_INVEST_MAT_FV_1_5_YR" hidden="1">"c17758"</definedName>
    <definedName name="IQ_INVEST_MAT_FV_1_5_YR_PCT" hidden="1">"c17819"</definedName>
    <definedName name="IQ_INVEST_MAT_FV_1_YR" hidden="1">"c17757"</definedName>
    <definedName name="IQ_INVEST_MAT_FV_1_YR_PCT" hidden="1">"c17818"</definedName>
    <definedName name="IQ_INVEST_MAT_FV_5_10_YR" hidden="1">"c17759"</definedName>
    <definedName name="IQ_INVEST_MAT_FV_5_10_YR_PCT" hidden="1">"c17820"</definedName>
    <definedName name="IQ_INVEST_MAT_FV_AFTER_10_YR" hidden="1">"c17760"</definedName>
    <definedName name="IQ_INVEST_MAT_FV_AFTER_10_YR_PCT" hidden="1">"c17821"</definedName>
    <definedName name="IQ_INVEST_MAT_FV_ASSET_MBS" hidden="1">"c17761"</definedName>
    <definedName name="IQ_INVEST_MAT_FV_ASSET_MBS_PCT" hidden="1">"c17822"</definedName>
    <definedName name="IQ_INVEST_MAT_FV_OTHER_FIXED" hidden="1">"c17762"</definedName>
    <definedName name="IQ_INVEST_MAT_FV_OTHER_FIXED_PCT" hidden="1">"c17823"</definedName>
    <definedName name="IQ_INVEST_MUNI_SECURITY" hidden="1">"c5512"</definedName>
    <definedName name="IQ_INVEST_REAL_ESTATE" hidden="1">"c635"</definedName>
    <definedName name="IQ_INVEST_SECURITIES_ASSETS_TOT_FFIEC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>"c12834"</definedName>
    <definedName name="IQ_INVESTMENT_ADVISOR" hidden="1">"c19236"</definedName>
    <definedName name="IQ_INVESTMENT_ADVISOR_ID" hidden="1">"c19237"</definedName>
    <definedName name="IQ_INVESTMENT_ADVISOR_PRIMARY" hidden="1">"c19239"</definedName>
    <definedName name="IQ_INVESTMENT_ADVISOR_PRIMARY_ID" hidden="1">"c19240"</definedName>
    <definedName name="IQ_INVESTMENT_ADVISOR_REL" hidden="1">"c19238"</definedName>
    <definedName name="IQ_INVESTMENT_BANKING_BROKERAGE_FEES_FFIEC">"c13627"</definedName>
    <definedName name="IQ_INVESTMENT_BANKING_FEES_COMMISSIONS_FFIEC">"c13006"</definedName>
    <definedName name="IQ_INVESTMENT_BANKING_OTHER_FEES_FDIC" hidden="1">"c6666"</definedName>
    <definedName name="IQ_INVESTMENT_PARTNERSHIP">"c16072"</definedName>
    <definedName name="IQ_INVESTMENTS_ALL">"c18891"</definedName>
    <definedName name="IQ_INVESTMENTS_ALL_COVER">"c19112"</definedName>
    <definedName name="IQ_INVESTMENTS_ALL_ID">"c18892"</definedName>
    <definedName name="IQ_INVESTMENTS_ALL_REL">"c18894"</definedName>
    <definedName name="IQ_INVESTMENTS_ALL_STAKE">"c18893"</definedName>
    <definedName name="IQ_INVESTMENTS_CURR">"c18881"</definedName>
    <definedName name="IQ_INVESTMENTS_CURR_COVER">"c19110"</definedName>
    <definedName name="IQ_INVESTMENTS_CURR_ID">"c18882"</definedName>
    <definedName name="IQ_INVESTMENTS_CURR_REL">"c18884"</definedName>
    <definedName name="IQ_INVESTMENTS_CURR_STAKE">"c18883"</definedName>
    <definedName name="IQ_INVESTMENTS_LP">"c18912"</definedName>
    <definedName name="IQ_INVESTMENTS_LP_ID">"c18913"</definedName>
    <definedName name="IQ_INVESTMENTS_LP_REL">"c18914"</definedName>
    <definedName name="IQ_INVESTMENTS_PENDING">"c18887"</definedName>
    <definedName name="IQ_INVESTMENTS_PENDING_COVER">"c19111"</definedName>
    <definedName name="IQ_INVESTMENTS_PENDING_ID">"c18888"</definedName>
    <definedName name="IQ_INVESTMENTS_PENDING_REL">"c18890"</definedName>
    <definedName name="IQ_INVESTMENTS_PENDING_STAKE">"c18889"</definedName>
    <definedName name="IQ_INVESTMENTS_PRIOR">"c18895"</definedName>
    <definedName name="IQ_INVESTMENTS_PRIOR_ID">"c18896"</definedName>
    <definedName name="IQ_INVESTORS_ALL" hidden="1">"c20509"</definedName>
    <definedName name="IQ_INVESTORS_ALL_COVER" hidden="1">"c20510"</definedName>
    <definedName name="IQ_INVESTORS_ALL_ID" hidden="1">"C20508"</definedName>
    <definedName name="IQ_INVESTORS_ALL_REL" hidden="1">"c20511"</definedName>
    <definedName name="IQ_INVESTORS_ALL_STAKE" hidden="1">"c20512"</definedName>
    <definedName name="IQ_INVESTORS_CURR" hidden="1">"c20514"</definedName>
    <definedName name="IQ_INVESTORS_CURR_COVER" hidden="1">"c20515"</definedName>
    <definedName name="IQ_INVESTORS_CURR_ID" hidden="1">"c20513"</definedName>
    <definedName name="IQ_INVESTORS_CURR_RECENT_AMOUNT" hidden="1">"c20516"</definedName>
    <definedName name="IQ_INVESTORS_CURR_REL" hidden="1">"c20517"</definedName>
    <definedName name="IQ_INVESTORS_CURR_STAKE" hidden="1">"c20518"</definedName>
    <definedName name="IQ_INVESTORS_CURR_TRANSACTION_DATE" hidden="1">"c20519"</definedName>
    <definedName name="IQ_INVESTORS_CURR_TRANSACTION_ID" hidden="1">"c20520"</definedName>
    <definedName name="IQ_INVESTORS_PENDING" hidden="1">"c20522"</definedName>
    <definedName name="IQ_INVESTORS_PENDING_COVER" hidden="1">"c20523"</definedName>
    <definedName name="IQ_INVESTORS_PENDING_ID" hidden="1">"c20521"</definedName>
    <definedName name="IQ_INVESTORS_PENDING_REL" hidden="1">"c20524"</definedName>
    <definedName name="IQ_INVESTORS_PENDING_STAKE" hidden="1">"c20525"</definedName>
    <definedName name="IQ_INVESTORS_PRIOR" hidden="1">"c20526"</definedName>
    <definedName name="IQ_INVESTORS_PRIOR_ID" hidden="1">"c20527"</definedName>
    <definedName name="IQ_IPRD" hidden="1">"c644"</definedName>
    <definedName name="IQ_IPRD_SUPPLE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>"c13830"</definedName>
    <definedName name="IQ_KEY_DEV_COMPANY_NAME">"c13829"</definedName>
    <definedName name="IQ_KEY_DEV_DATE">"c13763"</definedName>
    <definedName name="IQ_KEY_DEV_HEADLINE">"c13761"</definedName>
    <definedName name="IQ_KEY_DEV_ID">"c13760"</definedName>
    <definedName name="IQ_KEY_DEV_ID_INCL_SUBS">"c13832"</definedName>
    <definedName name="IQ_KEY_DEV_SITUATION">"c13762"</definedName>
    <definedName name="IQ_KEY_DEV_SOURCE">"c13765"</definedName>
    <definedName name="IQ_KEY_DEV_TIME">"c13833"</definedName>
    <definedName name="IQ_KEY_DEV_TRANSACTION_ID">"c13766"</definedName>
    <definedName name="IQ_KEY_DEV_TYPE">"c13764"</definedName>
    <definedName name="IQ_LAND" hidden="1">"c645"</definedName>
    <definedName name="IQ_LAND_MINERAL_RIGHTS_TO_PPE_GROSS_COAL">"c15949"</definedName>
    <definedName name="IQ_LAND_MINERAL_RIGHTS_TO_PPE_NET_COAL">"c15950"</definedName>
    <definedName name="IQ_LANDS_MINERAL_RIGHTS_GROSS_COAL">"c15938"</definedName>
    <definedName name="IQ_LANDS_MINERAL_RIGHTS_NET_COAL">"c15939"</definedName>
    <definedName name="IQ_LAPSE_STATUTE_LIMITATIONS">"c15738"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"c151"</definedName>
    <definedName name="IQ_LAST_EBITDA_MARGIN" hidden="1">"c150"</definedName>
    <definedName name="IQ_LAST_GROSS_MARGIN" hidden="1">"c149"</definedName>
    <definedName name="IQ_LAST_NET_INC_MARGIN" hidden="1">"c152"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_TRANSACTION">"c18886"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EXPENSE">"c16039"</definedName>
    <definedName name="IQ_LEASE_FIN_RECEIVABLES_NON_US_CHARGE_OFFS_FFIEC">"c13631"</definedName>
    <definedName name="IQ_LEASE_FIN_RECEIVABLES_NON_US_RECOV_FFIEC">"c13635"</definedName>
    <definedName name="IQ_LEASE_FIN_RECEIVABLES_US_CHARGE_OFFS_FFIEC">"c13630"</definedName>
    <definedName name="IQ_LEASE_FIN_RECEIVABLES_US_RECOV_FFIEC">"c13634"</definedName>
    <definedName name="IQ_LEASE_FINANCE">"c5654"</definedName>
    <definedName name="IQ_LEASE_FINANCING_REC_DUE_30_89_FFIEC">"c13276"</definedName>
    <definedName name="IQ_LEASE_FINANCING_REC_DUE_90_FFIEC">"c13302"</definedName>
    <definedName name="IQ_LEASE_FINANCING_REC_NON_ACCRUAL_FFIEC">"c13328"</definedName>
    <definedName name="IQ_LEASE_FINANCING_RECEIVABLES_CHARGE_OFFS_FDIC" hidden="1">"c6602"</definedName>
    <definedName name="IQ_LEASE_FINANCING_RECEIVABLES_DOM_FFIEC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>"c15483"</definedName>
    <definedName name="IQ_LEASE_FINANCING_RECEIVABLES_RECOVERIES_FDIC" hidden="1">"c6621"</definedName>
    <definedName name="IQ_LEASE_FINANCING_RECEIVABLES_TOTAL_LOANS_FOREIGN_FDIC" hidden="1">"c6449"</definedName>
    <definedName name="IQ_LEASE_PMT_REC_AFTER_FIVE">"c16099"</definedName>
    <definedName name="IQ_LEASE_PMT_REC_CY">"c16093"</definedName>
    <definedName name="IQ_LEASE_PMT_REC_CY1">"c16094"</definedName>
    <definedName name="IQ_LEASE_PMT_REC_CY2">"c16095"</definedName>
    <definedName name="IQ_LEASE_PMT_REC_CY3">"c16096"</definedName>
    <definedName name="IQ_LEASE_PMT_REC_CY4">"c16097"</definedName>
    <definedName name="IQ_LEASE_PMT_REC_NEXT_FIVE">"c16098"</definedName>
    <definedName name="IQ_LEASE_PMT_REC_TOTAL">"c16100"</definedName>
    <definedName name="IQ_LEASE_RECEIVABLES_FOREIGN_FFIEC">"c13483"</definedName>
    <definedName name="IQ_LEASE_REVENUE">"c16023"</definedName>
    <definedName name="IQ_LEASE_TERMINATION_FEES">"c16182"</definedName>
    <definedName name="IQ_LEASED_RESERVES_COAL">"c15918"</definedName>
    <definedName name="IQ_LEASED_RESERVES_TO_TOTAL_RESERVES_COAL">"c15958"</definedName>
    <definedName name="IQ_LEASEHOLD_IMPROVEMENT" hidden="1">"c17549"</definedName>
    <definedName name="IQ_LEASES_INDIVIDUALS_CHARGE_OFFS_FFIEC">"c13184"</definedName>
    <definedName name="IQ_LEASES_INDIVIDUALS_RECOV_FFIEC">"c13206"</definedName>
    <definedName name="IQ_LEASES_PERSONAL_EXP_DUE_30_89_FFIEC">"c13277"</definedName>
    <definedName name="IQ_LEASES_PERSONAL_EXP_DUE_90_FFIEC">"c13303"</definedName>
    <definedName name="IQ_LEASES_PERSONAL_EXP_NON_ACCRUAL_FFIEC">"c13329"</definedName>
    <definedName name="IQ_LEGAL_FEES_FFIEC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>"c13848"</definedName>
    <definedName name="IQ_LIABILITIES_LEVEL_1">"c13844"</definedName>
    <definedName name="IQ_LIABILITIES_LEVEL_2">"c13845"</definedName>
    <definedName name="IQ_LIABILITIES_LEVEL_3">"c13846"</definedName>
    <definedName name="IQ_LIABILITIES_NETTING_OTHER_ADJUSTMENTS">"c13847"</definedName>
    <definedName name="IQ_LIABILITY_ACCEPTANCES_OUT_FFIEC">"c12866"</definedName>
    <definedName name="IQ_LIABILITY_SHORT_POSITIONS_DOM_FFIEC">"c12941"</definedName>
    <definedName name="IQ_LICENSED_POPS" hidden="1">"c2123"</definedName>
    <definedName name="IQ_LICENSED_WIRELESS_POPS">"c2123"</definedName>
    <definedName name="IQ_LIFE_EARNED" hidden="1">"c2739"</definedName>
    <definedName name="IQ_LIFE_INSURANCE_ASSETS_FDIC" hidden="1">"c6372"</definedName>
    <definedName name="IQ_LIFE_INSURANCE_ASSETS_FFIEC">"c12847"</definedName>
    <definedName name="IQ_LIFOR" hidden="1">"c655"</definedName>
    <definedName name="IQ_LIMITED_PARTNERS">"c18915"</definedName>
    <definedName name="IQ_LIMITED_PARTNERS_ID">"c18916"</definedName>
    <definedName name="IQ_LIMITED_PARTNERS_REL">"c19114"</definedName>
    <definedName name="IQ_LINE_EXTENSIONS_CABLE_INVEST">"c15803"</definedName>
    <definedName name="IQ_LIQUID_ASSETS_ASSETS_TOT_FFIEC">"c13439"</definedName>
    <definedName name="IQ_LIQUID_ASSETS_NONCORE_FUNDING_FFIEC">"c13339"</definedName>
    <definedName name="IQ_LIQUIDATION_VALUE_PREFERRED_CONVERT">"c13835"</definedName>
    <definedName name="IQ_LIQUIDATION_VALUE_PREFERRED_NON_REDEEM">"c13836"</definedName>
    <definedName name="IQ_LIQUIDATION_VALUE_PREFERRED_REDEEM">"c13837"</definedName>
    <definedName name="IQ_LL" hidden="1">"c656"</definedName>
    <definedName name="IQ_LOAN_ALLOW_GROSS_LOANS_FFIEC">"c13415"</definedName>
    <definedName name="IQ_LOAN_ALLOWANCE_GROSS_LOSSES_FFIEC">"c13352"</definedName>
    <definedName name="IQ_LOAN_ALLOWANCE_NET_LOANS_FFIEC">"c13472"</definedName>
    <definedName name="IQ_LOAN_ALLOWANCE_NONACCRUAL_ASSETS_FFIEC">"c13473"</definedName>
    <definedName name="IQ_LOAN_ALLOWANCE_PAST_DUE_NONACCRUAL_FFIEC">"c13474"</definedName>
    <definedName name="IQ_LOAN_COMMITMENTS_FAIR_VALUE_TOT_FFIEC">"c13216"</definedName>
    <definedName name="IQ_LOAN_COMMITMENTS_LEVEL_1_FFIEC">"c13224"</definedName>
    <definedName name="IQ_LOAN_COMMITMENTS_LEVEL_2_FFIEC">"c13232"</definedName>
    <definedName name="IQ_LOAN_COMMITMENTS_LEVEL_3_FFIEC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_PERF_ASSETS_FFIEC">"c13912"</definedName>
    <definedName name="IQ_LOAN_LOSS_ALLOWANCE_NONCURRENT_LOANS_FDIC" hidden="1">"c6740"</definedName>
    <definedName name="IQ_LOAN_LOSS_PROVISION_FOREIGN_FFIEC">"c15382"</definedName>
    <definedName name="IQ_LOAN_LOSSES_AVERAGE_LOANS_FFIEC">"c13350"</definedName>
    <definedName name="IQ_LOAN_LOSSES_FDIC" hidden="1">"c6580"</definedName>
    <definedName name="IQ_LOAN_SERVICE_REV" hidden="1">"c658"</definedName>
    <definedName name="IQ_LOANS_AGRICULTURAL_PROD_LL_REC_FFIEC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>"c12884"</definedName>
    <definedName name="IQ_LOANS_DEPOSITORY_INSTITUTIONS_FDIC" hidden="1">"c6382"</definedName>
    <definedName name="IQ_LOANS_DOM_QUARTERLY_AVG_FFIEC">"c13084"</definedName>
    <definedName name="IQ_LOANS_FARMERS_CHARGE_OFFS_FFIEC">"c13177"</definedName>
    <definedName name="IQ_LOANS_FARMERS_RECOV_FFIEC">"c13199"</definedName>
    <definedName name="IQ_LOANS_FINANCE_AGRICULTURAL_DUE_30_89_FFIEC">"c13270"</definedName>
    <definedName name="IQ_LOANS_FINANCE_AGRICULTURAL_DUE_90_FFIEC">"c13296"</definedName>
    <definedName name="IQ_LOANS_FINANCE_AGRICULTURAL_NON_ACCRUAL_FFIEC">"c13322"</definedName>
    <definedName name="IQ_LOANS_FINANCE_AGRICULTURAL_PROD_LL_REC_DOM_FFIEC">"c12909"</definedName>
    <definedName name="IQ_LOANS_FOR_SALE" hidden="1">"c666"</definedName>
    <definedName name="IQ_LOANS_FOREIGN_GOV_CHARGE_OFFS_FFIEC">"c13182"</definedName>
    <definedName name="IQ_LOANS_FOREIGN_GOV_DUE_30_89_FFIEC">"c13274"</definedName>
    <definedName name="IQ_LOANS_FOREIGN_GOV_DUE_90_FFIEC">"c13300"</definedName>
    <definedName name="IQ_LOANS_FOREIGN_GOV_LL_REC_DOM_FFIEC">"c12912"</definedName>
    <definedName name="IQ_LOANS_FOREIGN_GOV_NON_ACCRUAL_FFIEC">"c13326"</definedName>
    <definedName name="IQ_LOANS_FOREIGN_GOV_RECOV_FFIEC">"c13204"</definedName>
    <definedName name="IQ_LOANS_FOREIGN_INST_CHARGE_OFFS_FFIEC">"c13176"</definedName>
    <definedName name="IQ_LOANS_FOREIGN_INST_RECOV_FFIEC">"c13198"</definedName>
    <definedName name="IQ_LOANS_FOREIGN_LL_REC_FFIEC">"c12885"</definedName>
    <definedName name="IQ_LOANS_GOV_GUARANTEED_DUE_30_89_FFIEC">"c13281"</definedName>
    <definedName name="IQ_LOANS_GOV_GUARANTEED_DUE_90_FFIEC">"c13307"</definedName>
    <definedName name="IQ_LOANS_GOV_GUARANTEED_EXCL_GNMA_DUE_30_89_FFIEC">"c13282"</definedName>
    <definedName name="IQ_LOANS_GOV_GUARANTEED_EXCL_GNMA_DUE_90_FFIEC">"c13308"</definedName>
    <definedName name="IQ_LOANS_GOV_GUARANTEED_EXCL_GNMA_NON_ACCRUAL_FFIEC">"c13333"</definedName>
    <definedName name="IQ_LOANS_GOV_GUARANTEED_NON_ACCRUAL_FFIEC">"c13332"</definedName>
    <definedName name="IQ_LOANS_HELD_FOREIGN_FDIC" hidden="1">"c6315"</definedName>
    <definedName name="IQ_LOANS_INDIVIDUALS_FOREIGN_FFIEC">"c13480"</definedName>
    <definedName name="IQ_LOANS_LEASES_ASSETS_TOT_FFIEC">"c13437"</definedName>
    <definedName name="IQ_LOANS_LEASES_FAIR_VALUE_TOT_FFIEC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>"c12808"</definedName>
    <definedName name="IQ_LOANS_LEASES_HFI_FAIR_VALUE_TOT_FFIEC">"c15401"</definedName>
    <definedName name="IQ_LOANS_LEASES_HFI_LEVEL_1_FFIEC">"c15423"</definedName>
    <definedName name="IQ_LOANS_LEASES_HFI_LEVEL_2_FFIEC">"c15436"</definedName>
    <definedName name="IQ_LOANS_LEASES_HFI_LEVEL_3_FFIEC">"c15449"</definedName>
    <definedName name="IQ_LOANS_LEASES_HFS_FAIR_VALUE_TOT_FFIEC">"c15400"</definedName>
    <definedName name="IQ_LOANS_LEASES_HFS_LEVEL_1_FFIEC">"c15422"</definedName>
    <definedName name="IQ_LOANS_LEASES_HFS_LEVEL_2_FFIEC">"c15435"</definedName>
    <definedName name="IQ_LOANS_LEASES_HFS_LEVEL_3_FFIEC">"c15448"</definedName>
    <definedName name="IQ_LOANS_LEASES_LEVEL_1_FFIEC">"c13217"</definedName>
    <definedName name="IQ_LOANS_LEASES_LEVEL_2_FFIEC">"c13225"</definedName>
    <definedName name="IQ_LOANS_LEASES_LEVEL_3_FFIEC">"c13233"</definedName>
    <definedName name="IQ_LOANS_LEASES_NET_FDIC" hidden="1">"c6327"</definedName>
    <definedName name="IQ_LOANS_LEASES_NET_UNEARNED_FDIC" hidden="1">"c6325"</definedName>
    <definedName name="IQ_LOANS_LEASES_NET_UNEARNED_INC_ALLOWANCE_FFIEC">"c12811"</definedName>
    <definedName name="IQ_LOANS_LEASES_NET_UNEARNED_INCOME_FFIEC">"c12809"</definedName>
    <definedName name="IQ_LOANS_LEASES_QUARTERLY_AVG_FFIEC">"c13081"</definedName>
    <definedName name="IQ_LOANS_LOC_ASSETS_TOT_FFIEC">"c13441"</definedName>
    <definedName name="IQ_LOANS_NOT_SECURED_RE_FDIC" hidden="1">"c6381"</definedName>
    <definedName name="IQ_LOANS_PAST_DUE" hidden="1">"c667"</definedName>
    <definedName name="IQ_LOANS_PURCHASING_CARRYING_SECURITIES_LL_REC_DOM_FFIEC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>"c13174"</definedName>
    <definedName name="IQ_LOANS_SEC_RE_FOREIGN_RECOV_FFIEC">"c13196"</definedName>
    <definedName name="IQ_LOANS_SECURED_1_4_DOM_QUARTERLY_AVG_FFIEC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>"c12925"</definedName>
    <definedName name="IQ_LOANS_SECURED_FARMLAND_TRADING_DOM_FFIEC">"c12926"</definedName>
    <definedName name="IQ_LOANS_SECURED_NON_US_FDIC" hidden="1">"c6380"</definedName>
    <definedName name="IQ_LOANS_SECURED_RE_DOM_QUARTERLY_AVG_FFIEC">"c13083"</definedName>
    <definedName name="IQ_LOANS_SECURED_RE_FFIEC">"c12820"</definedName>
    <definedName name="IQ_LOANS_SECURED_RE_LL_REC_FFIEC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>"c13175"</definedName>
    <definedName name="IQ_LOANS_US_INST_RECOV_FFIEC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>"c13132"</definedName>
    <definedName name="IQ_LOSS_LOSS_EXP" hidden="1">"c672"</definedName>
    <definedName name="IQ_LOSS_TO_NET_EARNED" hidden="1">"c2751"</definedName>
    <definedName name="IQ_LOW_SULFUR_CONTENT_RESERVES_COAL">"c15924"</definedName>
    <definedName name="IQ_LOW_SULFURE_RESERVES_TO_TOTAL_RESERVES_COAL">"c15961"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_TARGET_PRICE_THOM" hidden="1">"c5097"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DERIVATIVES" hidden="1">"c17743"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>"c13453"</definedName>
    <definedName name="IQ_LT_DEBT_REPRICING_WITHIN_1_YR_INT_SENSITIVITY_FFIEC">"c13095"</definedName>
    <definedName name="IQ_LT_DEBT_UTI" hidden="1">"c696"</definedName>
    <definedName name="IQ_LT_GROWTH_DET_EST" hidden="1">"c12060"</definedName>
    <definedName name="IQ_LT_GROWTH_DET_EST_DATE" hidden="1">"c12213"</definedName>
    <definedName name="IQ_LT_GROWTH_DET_EST_DATE_THOM" hidden="1">"c12240"</definedName>
    <definedName name="IQ_LT_GROWTH_DET_EST_INCL" hidden="1">"c12350"</definedName>
    <definedName name="IQ_LT_GROWTH_DET_EST_INCL_THOM" hidden="1">"c12372"</definedName>
    <definedName name="IQ_LT_GROWTH_DET_EST_ORIGIN" hidden="1">"c12725"</definedName>
    <definedName name="IQ_LT_GROWTH_DET_EST_ORIGIN_THOM" hidden="1">"c12610"</definedName>
    <definedName name="IQ_LT_GROWTH_DET_EST_THOM" hidden="1">"c12090"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DATE" hidden="1">"IQ_LTM_DATE"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CRO_SURVEY_CONSUMER_SENTIMENT" hidden="1">"c20808"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ACT_OR_EST_CIQ_COL" hidden="1">"c11634"</definedName>
    <definedName name="IQ_MAINT_CAPEX_EST" hidden="1">"c4457"</definedName>
    <definedName name="IQ_MAINT_CAPEX_GUIDANCE" hidden="1">"c4459"</definedName>
    <definedName name="IQ_MAINT_CAPEX_GUIDANCE_CIQ">"c4988"</definedName>
    <definedName name="IQ_MAINT_CAPEX_GUIDANCE_CIQ_COL">"c11635"</definedName>
    <definedName name="IQ_MAINT_CAPEX_HIGH_EST" hidden="1">"c4460"</definedName>
    <definedName name="IQ_MAINT_CAPEX_HIGH_GUIDANCE" hidden="1">"c4197"</definedName>
    <definedName name="IQ_MAINT_CAPEX_HIGH_GUIDANCE_CIQ">"c4609"</definedName>
    <definedName name="IQ_MAINT_CAPEX_HIGH_GUIDANCE_CIQ_COL">"c11258"</definedName>
    <definedName name="IQ_MAINT_CAPEX_LOW_EST" hidden="1">"c4461"</definedName>
    <definedName name="IQ_MAINT_CAPEX_LOW_GUIDANCE" hidden="1">"c4237"</definedName>
    <definedName name="IQ_MAINT_CAPEX_LOW_GUIDANCE_CIQ">"c4649"</definedName>
    <definedName name="IQ_MAINT_CAPEX_LOW_GUIDANCE_CIQ_COL">"c11298"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RKETING_PROMOTION_EXPENSE">"c16035"</definedName>
    <definedName name="IQ_MATERIALS_SUPPLES_INVENTORY_COAL">"c15942"</definedName>
    <definedName name="IQ_MATURITY_DATE" hidden="1">"c2146"</definedName>
    <definedName name="IQ_MATURITY_ONE_YEAR_LESS_FDIC" hidden="1">"c6425"</definedName>
    <definedName name="IQ_MBS_INVEST_SECURITIES_FFIEC">"c13460"</definedName>
    <definedName name="IQ_MBS_OTHER_ISSUED_FNMA_HTM_AMORT_COST_FFIEC" hidden="1">"c20444"</definedName>
    <definedName name="IQ_MBS_OTHER_ISSUED_FNMA_HTM_FAIR_VAL_FFIEC" hidden="1">"c20479"</definedName>
    <definedName name="IQ_MBS_OTHER_ISSUED_FNMA_OTHERS_AFS_AMORT_COST_FFIEC" hidden="1">"c20496"</definedName>
    <definedName name="IQ_MBS_OTHER_ISSUED_FNMA_OTHERS_AFS_FAIR_VAL_FFIEC" hidden="1">"c20461"</definedName>
    <definedName name="IQ_MBS_OTHER_ISSUED_FNMA_OTHERS_AVAIL_SALE_FFIEC">"c12799"</definedName>
    <definedName name="IQ_MBS_OTHER_ISSUED_FNMA_OTHERS_FFIEC">"c12785"</definedName>
    <definedName name="IQ_MBS_PASS_THROUGH_FNMA_AFS_AMORT_COST_FFIEC" hidden="1">"c20494"</definedName>
    <definedName name="IQ_MBS_PASS_THROUGH_FNMA_AFS_FAIR_VAL_FFIEC" hidden="1">"c20459"</definedName>
    <definedName name="IQ_MBS_PASS_THROUGH_FNMA_AVAIL_SALE_FFIEC">"c12797"</definedName>
    <definedName name="IQ_MBS_PASS_THROUGH_FNMA_FFIEC">"c12783"</definedName>
    <definedName name="IQ_MBS_PASS_THROUGH_FNMA_HTM_AMORT_COST_FFIEC" hidden="1">"c20442"</definedName>
    <definedName name="IQ_MBS_PASS_THROUGH_FNMA_HTM_FAIR_VAL_FFIEC" hidden="1">"c20477"</definedName>
    <definedName name="IQ_MBS_PASS_THROUGH_GNMA_AFS_AMORT_COST_FFIEC" hidden="1">"c20493"</definedName>
    <definedName name="IQ_MBS_PASS_THROUGH_GNMA_AFS_FAIR_VAL_FFIEC" hidden="1">"c20458"</definedName>
    <definedName name="IQ_MBS_PASS_THROUGH_GNMA_AVAIL_SALE_FFIEC">"c12796"</definedName>
    <definedName name="IQ_MBS_PASS_THROUGH_GNMA_FFIEC">"c12782"</definedName>
    <definedName name="IQ_MBS_PASS_THROUGH_GNMA_HTM_AMORT_COST_FFIEC" hidden="1">"c20441"</definedName>
    <definedName name="IQ_MBS_PASS_THROUGH_GNMA_HTM_FAIR_VAL_FFIEC" hidden="1">"c20476"</definedName>
    <definedName name="IQ_MBS_PASS_THROUGH_ISSUED_FNMA_GNMA_TRADING_DOM_FFIEC">"c12921"</definedName>
    <definedName name="IQ_MBS_PASS_THROUGH_OTHER_AFS_AMORT_COST_FFIEC" hidden="1">"c20495"</definedName>
    <definedName name="IQ_MBS_PASS_THROUGH_OTHER_AFS_FAIR_VAL_FFIEC" hidden="1">"c20460"</definedName>
    <definedName name="IQ_MBS_PASS_THROUGH_OTHER_AVAIL_SALE_FFIEC">"c12798"</definedName>
    <definedName name="IQ_MBS_PASS_THROUGH_OTHER_FFIEC">"c12784"</definedName>
    <definedName name="IQ_MBS_PASS_THROUGH_OTHER_HTM_AMORT_COST_FFIEC" hidden="1">"c20443"</definedName>
    <definedName name="IQ_MBS_PASS_THROUGH_OTHER_HTM_FAIR_VAL_FFIEC" hidden="1">"c20478"</definedName>
    <definedName name="IQ_MBS_QUARTERLY_AVG_FFIEC">"c15471"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COMMERCIAL_ASO_FEES">"c15862"</definedName>
    <definedName name="IQ_MC_COMMERCIAL_NON_RISK_MEMBERS">"c15835"</definedName>
    <definedName name="IQ_MC_COMMERCIAL_PREMIUMS">"c15852"</definedName>
    <definedName name="IQ_MC_DAYS_CLAIMS_PAYABLE" hidden="1">"c9937"</definedName>
    <definedName name="IQ_MC_DAYS_CLAIMS_PAYABLE_EXCL_CAPITATION" hidden="1">"c9938"</definedName>
    <definedName name="IQ_MC_DENTAL_MEMBERS">"c15832"</definedName>
    <definedName name="IQ_MC_DENTAL_PREMIUMS">"c15858"</definedName>
    <definedName name="IQ_MC_HMO_MEMBERS">"c15824"</definedName>
    <definedName name="IQ_MC_HMO_PREMIUMS">"c15850"</definedName>
    <definedName name="IQ_MC_INDEMNITY_MEMBERS">"c15825"</definedName>
    <definedName name="IQ_MC_INDEMNITY_PREMIUMS">"c15851"</definedName>
    <definedName name="IQ_MC_MEDICAID_ASO_FEES">"c15865"</definedName>
    <definedName name="IQ_MC_MEDICAID_MEMBERS">"c15830"</definedName>
    <definedName name="IQ_MC_MEDICAID_NON_RISK_MEMBERS">"c15838"</definedName>
    <definedName name="IQ_MC_MEDICAID_PREMIUMS">"c15856"</definedName>
    <definedName name="IQ_MC_MEDICAL_COST">"c15847"</definedName>
    <definedName name="IQ_MC_MEDICAL_COSTS_PMPM" hidden="1">"c9925"</definedName>
    <definedName name="IQ_MC_MEDICARE_ASO_FEES">"c15864"</definedName>
    <definedName name="IQ_MC_MEDICARE_MEMBERS">"c15828"</definedName>
    <definedName name="IQ_MC_MEDICARE_NON_RISK_MEMBERS">"c15837"</definedName>
    <definedName name="IQ_MC_MEDICARE_PART_D_MEMBERS">"c15829"</definedName>
    <definedName name="IQ_MC_MEDICARE_PART_D_PREMIUMS">"c15855"</definedName>
    <definedName name="IQ_MC_MEDICARE_PREMIUMS">"c15854"</definedName>
    <definedName name="IQ_MC_MILITARY_ASO_FEES">"c15863"</definedName>
    <definedName name="IQ_MC_MILITARY_MEMBERS">"c15827"</definedName>
    <definedName name="IQ_MC_MILITARY_NON_RISK_MEMBERS">"c15836"</definedName>
    <definedName name="IQ_MC_MILITARY_PREMIUMS">"c15853"</definedName>
    <definedName name="IQ_MC_NET_INVESTMENT_INCOME">"c15845"</definedName>
    <definedName name="IQ_MC_OTHER_REV">"c15846"</definedName>
    <definedName name="IQ_MC_PARENT_CASH" hidden="1">"c9942"</definedName>
    <definedName name="IQ_MC_PPO_POS_MEMBERS">"c15823"</definedName>
    <definedName name="IQ_MC_PPO_POS_PREMIUMS">"c15849"</definedName>
    <definedName name="IQ_MC_PREMIUMS">"c15861"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PECIALTY_ASO_FEES">"c15867"</definedName>
    <definedName name="IQ_MC_SPECIALTY_NON_RISK_MEMBERS">"c15840"</definedName>
    <definedName name="IQ_MC_STATUTORY_SURPLUS" hidden="1">"c2772"</definedName>
    <definedName name="IQ_MC_TANGIBLE_EQUITY_MEDICAL_COST">"c15848"</definedName>
    <definedName name="IQ_MC_TANGIBLE_EQUITY_PER_MEMBER">"c15843"</definedName>
    <definedName name="IQ_MC_TOTAL_ASO_FEES">"c15868"</definedName>
    <definedName name="IQ_MC_TOTAL_COMMERCIAL_MEMBERS">"c15826"</definedName>
    <definedName name="IQ_MC_TOTAL_COVERED_LIVES" hidden="1">"c9919"</definedName>
    <definedName name="IQ_MC_TOTAL_EQUITY_PER_MEMBER">"c15842"</definedName>
    <definedName name="IQ_MC_TOTAL_GOVT_ASO_FEES">"c15866"</definedName>
    <definedName name="IQ_MC_TOTAL_GOVT_MEMBERS">"c15831"</definedName>
    <definedName name="IQ_MC_TOTAL_GOVT_NON_RISK_MEMBERS">"c15839"</definedName>
    <definedName name="IQ_MC_TOTAL_GOVT_PREMIUMS">"c15857"</definedName>
    <definedName name="IQ_MC_TOTAL_MEMBERSHIP" hidden="1">"c9922"</definedName>
    <definedName name="IQ_MC_TOTAL_MEMBERSHIP_CAPITATION" hidden="1">"c9923"</definedName>
    <definedName name="IQ_MC_TOTAL_OTHER_MEMBERS">"c15833"</definedName>
    <definedName name="IQ_MC_TOTAL_OTHER_PREMIUMS">"c15859"</definedName>
    <definedName name="IQ_MC_TOTAL_RESERVES_PER_MEMBER">"c15844"</definedName>
    <definedName name="IQ_MC_TOTAL_SEPCIALTY_MEMBERS">"c15834"</definedName>
    <definedName name="IQ_MC_TOTAL_SEPCIALTY_PREMIUMS">"c15860"</definedName>
    <definedName name="IQ_MC_TOTAL_STATUTORY_CAPITAL_SURPLUS_PER_MEMBER">"c15841"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AN_TARGET_PRICE_THOM" hidden="1">"c5095"</definedName>
    <definedName name="IQ_MEDIUM_SULFUR_CONTENT_RESERVES_COAL">"c15926"</definedName>
    <definedName name="IQ_MEDIUM_SULFURE_RESERVES_TO_TOTAL_RESERVES_COAL">"c15962"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LES_PASSED">"c2848"</definedName>
    <definedName name="IQ_MIN_USE_PER_SUB">"c15764"</definedName>
    <definedName name="IQ_MINE_DEVELOPMENT_GROSS_COAL">"c15940"</definedName>
    <definedName name="IQ_MINORITY_INT_AVG_ASSETS_FFIEC">"c13367"</definedName>
    <definedName name="IQ_MINORITY_INT_BS_FFIEC">"c12874"</definedName>
    <definedName name="IQ_MINORITY_INT_FFIEC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NTUTES_USED_LOCAL">"c15808"</definedName>
    <definedName name="IQ_MINTUTES_USED_LONG_DIST">"c15809"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NON_TRANS_ACCTS_FFIEC">"c15330"</definedName>
    <definedName name="IQ_MMDA_SAVINGS_TOT_DEPOSITS_FFIEC">"c13905"</definedName>
    <definedName name="IQ_MONEY_MARKET_ACCOUNTS_COMMERCIAL_BANK_SUBS_FFIEC">"c12947"</definedName>
    <definedName name="IQ_MONEY_MARKET_ACCOUNTS_OTHER_INSTITUTIONS_FFIEC">"c12952"</definedName>
    <definedName name="IQ_MONEY_MARKET_DEPOSIT_ACCOUNTS_FDIC" hidden="1">"c6553"</definedName>
    <definedName name="IQ_MONEY_MKT_DEPOSITS_TOTAL_DEPOSITS">"c15720"</definedName>
    <definedName name="IQ_MONEY_MKT_SAVINGS_ACCT_DEPOSITS_TOTAL_DEPOSITS">"c15722"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>"c15276"</definedName>
    <definedName name="IQ_MORTGAGE_SERV_RIGHTS" hidden="1">"c2242"</definedName>
    <definedName name="IQ_MORTGAGE_SERVICING_ASSETS_FFIEC">"c12838"</definedName>
    <definedName name="IQ_MORTGAGE_SERVICING_FDIC" hidden="1">"c6335"</definedName>
    <definedName name="IQ_MTD" hidden="1">800000</definedName>
    <definedName name="IQ_MTM_ADJ">"c16000"</definedName>
    <definedName name="IQ_MULTI_RES_PROPERTIES_TRADING_DOM_FFIEC">"c12930"</definedName>
    <definedName name="IQ_MULTIFAM_5_LOANS_TOT_LOANS_FFIEC">"c13869"</definedName>
    <definedName name="IQ_MULTIFAMILY_LOANS_GROSS_LOANS_FFIEC">"c13404"</definedName>
    <definedName name="IQ_MULTIFAMILY_LOANS_RISK_BASED_FFIEC">"c13425"</definedName>
    <definedName name="IQ_MULTIFAMILY_RES_DOM_FFIEC">"c15270"</definedName>
    <definedName name="IQ_MULTIFAMILY_RESIDENTIAL_LOANS_FDIC" hidden="1">"c6311"</definedName>
    <definedName name="IQ_MUNI_ADVALOREM_TAX">"c15144"</definedName>
    <definedName name="IQ_MUNI_AMT_TAX">"c15146"</definedName>
    <definedName name="IQ_MUNI_BANK_QUALIFIED">"c15148"</definedName>
    <definedName name="IQ_MUNI_DEP_TRUST_ELIGIBLE">"c15149"</definedName>
    <definedName name="IQ_MUNI_ECONOMIC_DEFEASANCE">"c15151"</definedName>
    <definedName name="IQ_MUNI_ESCROW">"c15228"</definedName>
    <definedName name="IQ_MUNI_FED_TAX">"c15147"</definedName>
    <definedName name="IQ_MUNI_LEGAL_DEFEASANCE">"c15150"</definedName>
    <definedName name="IQ_MUNI_OFFERING_TYPE">"c15143"</definedName>
    <definedName name="IQ_MUNI_OPTIONAL_REDEMPTION_DEFEASANCE">"c15152"</definedName>
    <definedName name="IQ_MUNI_PRE_REFUNDED_DATE">"c15154"</definedName>
    <definedName name="IQ_MUNI_PRE_REFUNDED_DATED_DATE">"c15156"</definedName>
    <definedName name="IQ_MUNI_PRE_REFUNDED_PRICE">"c15155"</definedName>
    <definedName name="IQ_MUNI_PRE_REFUNDED_TYPE">"c15153"</definedName>
    <definedName name="IQ_MUNI_PURPOSE">"c15226"</definedName>
    <definedName name="IQ_MUNI_STATE_TAX">"c15145"</definedName>
    <definedName name="IQ_MUNI_TERRITORY">"c15142"</definedName>
    <definedName name="IQ_MUNI_TYPE">"c15227"</definedName>
    <definedName name="IQ_MUNICIPAL_INVEST_SECURITIES_FFIEC">"c13459"</definedName>
    <definedName name="IQ_MUTUAL_FUND_ACQUISITIONS_OTHER" hidden="1">"c20425"</definedName>
    <definedName name="IQ_MUTUAL_FUND_APPRECIATION_DEPRECIATION" hidden="1">"c20424"</definedName>
    <definedName name="IQ_MUTUAL_FUND_BOP" hidden="1">"c20420"</definedName>
    <definedName name="IQ_MUTUAL_FUND_EOP" hidden="1">"c20426"</definedName>
    <definedName name="IQ_MUTUAL_FUND_LIST">"c19092"</definedName>
    <definedName name="IQ_MUTUAL_FUND_NET_SALES" hidden="1">"c20423"</definedName>
    <definedName name="IQ_MUTUAL_FUND_REDEMPTIONS" hidden="1">"c20422"</definedName>
    <definedName name="IQ_MUTUAL_FUND_SALES" hidden="1">"c20421"</definedName>
    <definedName name="IQ_NAMES_REVISION_DATE_" hidden="1">40122.3865046296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>"c13822"</definedName>
    <definedName name="IQ_NATURAL_RESOURCES_COST" hidden="1">"c17550"</definedName>
    <definedName name="IQ_NAV_ACT_OR_EST" hidden="1">"c2225"</definedName>
    <definedName name="IQ_NAV_ACT_OR_EST_THOM" hidden="1">"c5607"</definedName>
    <definedName name="IQ_NAV_DET_EST_CURRENCY_THOM" hidden="1">"c12490"</definedName>
    <definedName name="IQ_NAV_DET_EST_DATE_THOM" hidden="1">"c12241"</definedName>
    <definedName name="IQ_NAV_DET_EST_INCL_THOM" hidden="1">"c12373"</definedName>
    <definedName name="IQ_NAV_DET_EST_ORIGIN_THOM" hidden="1">"c12707"</definedName>
    <definedName name="IQ_NAV_DET_EST_THOM" hidden="1">"c12091"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RE">"c15996"</definedName>
    <definedName name="IQ_NAV_SHARE_ACT_OR_EST" hidden="1">"c5615"</definedName>
    <definedName name="IQ_NAV_SHARE_ACT_OR_EST_REUT" hidden="1">"c5623"</definedName>
    <definedName name="IQ_NAV_SHARE_DET_EST_ORIGIN" hidden="1">"c12585"</definedName>
    <definedName name="IQ_NAV_SHARE_DET_EST_ORIGIN_THOM" hidden="1">"c12611"</definedName>
    <definedName name="IQ_NAV_SHARE_EST" hidden="1">"c5609"</definedName>
    <definedName name="IQ_NAV_SHARE_EST_NOTE" hidden="1">"c17522"</definedName>
    <definedName name="IQ_NAV_SHARE_EST_NOTE_CIQ" hidden="1">"c17475"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RE">"c16011"</definedName>
    <definedName name="IQ_NAV_SHARE_STDDEV_EST" hidden="1">"c5611"</definedName>
    <definedName name="IQ_NAV_SHARE_STDDEV_EST_REUT" hidden="1">"c5619"</definedName>
    <definedName name="IQ_NAV_STDDEV_EST" hidden="1">"c1756"</definedName>
    <definedName name="IQ_NAV_STDDEV_EST_THOM" hidden="1">"c5603"</definedName>
    <definedName name="IQ_NCLS_CLOSED_END_1_4_FAM_LOANS_TOT_LOANS_FFIEC">"c13891"</definedName>
    <definedName name="IQ_NCLS_COMM_IND_LOANS_TOT_LOANS_FFIEC">"c13898"</definedName>
    <definedName name="IQ_NCLS_COMM_RE_FARM_LOANS_TOT_LOANS_FFIEC">"c13897"</definedName>
    <definedName name="IQ_NCLS_COMM_RE_NONFARM_NONRES_TOT_LOANS_FFIEC">"c13896"</definedName>
    <definedName name="IQ_NCLS_CONST_LAND_DEV_LOANS_TOT_LOANS_FFIEC">"c13890"</definedName>
    <definedName name="IQ_NCLS_CONSUMER_LOANS_TOT_LOANS_FFIEC">"c13899"</definedName>
    <definedName name="IQ_NCLS_FARM_LOANS_TOT_LOANS_FFIEC">"c13895"</definedName>
    <definedName name="IQ_NCLS_HOME_EQUITY_LOANS_TOT_LOANS_FFIEC">"c13892"</definedName>
    <definedName name="IQ_NCLS_MULTIFAM_5_LOANS_TOT_LOANS_FFIEC">"c13894"</definedName>
    <definedName name="IQ_NCLS_TOT_1_4_FAM_LOANS_TOT_LOANS_FFIEC">"c13893"</definedName>
    <definedName name="IQ_NCLS_TOT_LEASES_TOT_LOANS_FFIEC">"c13900"</definedName>
    <definedName name="IQ_NCLS_TOT_LOANS_TOT_LOANS_FFIEC">"c13901"</definedName>
    <definedName name="IQ_NCOS_CLOSED_END_1_4_FAM_LOANS_TOT_LOANS_FFIEC">"c13879"</definedName>
    <definedName name="IQ_NCOS_COMM_IND_LOANS_TOT_LOANS_FFIEC">"c13886"</definedName>
    <definedName name="IQ_NCOS_COMM_RE_FARM_LOANS_TOT_LOANS_FFIEC">"c13885"</definedName>
    <definedName name="IQ_NCOS_COMM_RE_NONFARM_NONRES_TOT_LOANS_FFIEC">"c13884"</definedName>
    <definedName name="IQ_NCOS_CONST_LAND_DEV_LOANS_TOT_LOANS_FFIEC">"c13878"</definedName>
    <definedName name="IQ_NCOS_CONSUMER_LOANS_TOT_LOANS_FFIEC">"c13887"</definedName>
    <definedName name="IQ_NCOS_FARM_LOANS_TOT_LOANS_FFIEC">"c13883"</definedName>
    <definedName name="IQ_NCOS_HOME_EQUITY_LOANS_TOT_LOANS_FFIEC">"c13880"</definedName>
    <definedName name="IQ_NCOS_MULTIFAM_5_LOANS_TOT_LOANS_FFIEC">"c13882"</definedName>
    <definedName name="IQ_NCOS_TOT_1_4_FAM_LOANS_TOT_LOANS_FFIEC">"c13881"</definedName>
    <definedName name="IQ_NCOS_TOT_LEASES_TOT_LOANS_FFIEC">"c13888"</definedName>
    <definedName name="IQ_NCOS_TOT_LOANS_TOT_LOANS_FFIEC">"c13889"</definedName>
    <definedName name="IQ_NEARBY_CONTRACT_ID" hidden="1">"c14328"</definedName>
    <definedName name="IQ_NEGATIVE_FAIR_VALUE_DERIVATIVES_BENEFICIARY_FFIEC">"c13124"</definedName>
    <definedName name="IQ_NEGATIVE_FAIR_VALUE_DERIVATIVES_GUARANTOR_FFIEC">"c13117"</definedName>
    <definedName name="IQ_NET_ADD_BASIC">"c15782"</definedName>
    <definedName name="IQ_NET_ADD_BBAND">"c15785"</definedName>
    <definedName name="IQ_NET_ADD_DIG">"c15783"</definedName>
    <definedName name="IQ_NET_ADD_PHONE">"c15786"</definedName>
    <definedName name="IQ_NET_ADD_POSTPAID_WIRELESS">"c15754"</definedName>
    <definedName name="IQ_NET_ADD_PREPAID_WIRELESS">"c15755"</definedName>
    <definedName name="IQ_NET_ADD_RESELL_WHOLESALE_WIRELESS">"c15756"</definedName>
    <definedName name="IQ_NET_ADD_RGU">"c15787"</definedName>
    <definedName name="IQ_NET_ADD_SATELLITE">"c15784"</definedName>
    <definedName name="IQ_NET_ADD_TOTAL_WIRELESS">"c15757"</definedName>
    <definedName name="IQ_NET_BOOKING_LOCATION_ADJUSTMENT_FOREIGN_FFIEC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ADJ_EXP_RESERVE_BOP">"c15877"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CIQ_COL" hidden="1">"c11717"</definedName>
    <definedName name="IQ_NET_DEBT_ACT_OR_EST_REUT" hidden="1">"c5473"</definedName>
    <definedName name="IQ_NET_DEBT_ACT_OR_EST_THOM" hidden="1">"c5309"</definedName>
    <definedName name="IQ_NET_DEBT_DET_EST" hidden="1">"c12061"</definedName>
    <definedName name="IQ_NET_DEBT_DET_EST_CURRENCY" hidden="1">"c12468"</definedName>
    <definedName name="IQ_NET_DEBT_DET_EST_CURRENCY_THOM" hidden="1">"c12491"</definedName>
    <definedName name="IQ_NET_DEBT_DET_EST_DATE" hidden="1">"c12214"</definedName>
    <definedName name="IQ_NET_DEBT_DET_EST_DATE_THOM" hidden="1">"c12242"</definedName>
    <definedName name="IQ_NET_DEBT_DET_EST_INCL" hidden="1">"c12351"</definedName>
    <definedName name="IQ_NET_DEBT_DET_EST_INCL_THOM" hidden="1">"c12374"</definedName>
    <definedName name="IQ_NET_DEBT_DET_EST_ORIGIN" hidden="1">"c12586"</definedName>
    <definedName name="IQ_NET_DEBT_DET_EST_ORIGIN_THOM" hidden="1">"c12612"</definedName>
    <definedName name="IQ_NET_DEBT_DET_EST_THOM" hidden="1">"c12092"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EST_THOM" hidden="1">"c4027"</definedName>
    <definedName name="IQ_NET_DEBT_GUIDANCE" hidden="1">"c4467"</definedName>
    <definedName name="IQ_NET_DEBT_GUIDANCE_CIQ">"c5005"</definedName>
    <definedName name="IQ_NET_DEBT_GUIDANCE_CIQ_COL">"c11652"</definedName>
    <definedName name="IQ_NET_DEBT_HIGH_EST" hidden="1">"c3518"</definedName>
    <definedName name="IQ_NET_DEBT_HIGH_EST_REUT" hidden="1">"c3978"</definedName>
    <definedName name="IQ_NET_DEBT_HIGH_EST_THOM" hidden="1">"c4029"</definedName>
    <definedName name="IQ_NET_DEBT_HIGH_GUIDANCE" hidden="1">"c4181"</definedName>
    <definedName name="IQ_NET_DEBT_HIGH_GUIDANCE_CIQ">"c4593"</definedName>
    <definedName name="IQ_NET_DEBT_HIGH_GUIDANCE_CIQ_COL">"c11242"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EST_THOM" hidden="1">"c4030"</definedName>
    <definedName name="IQ_NET_DEBT_LOW_GUIDANCE" hidden="1">"c4221"</definedName>
    <definedName name="IQ_NET_DEBT_LOW_GUIDANCE_CIQ">"c4633"</definedName>
    <definedName name="IQ_NET_DEBT_LOW_GUIDANCE_CIQ_COL">"c11282"</definedName>
    <definedName name="IQ_NET_DEBT_MEDIAN_EST" hidden="1">"c3520"</definedName>
    <definedName name="IQ_NET_DEBT_MEDIAN_EST_REUT" hidden="1">"c3977"</definedName>
    <definedName name="IQ_NET_DEBT_MEDIAN_EST_THOM" hidden="1">"c4028"</definedName>
    <definedName name="IQ_NET_DEBT_NUM_EST" hidden="1">"c3515"</definedName>
    <definedName name="IQ_NET_DEBT_NUM_EST_REUT" hidden="1">"c3980"</definedName>
    <definedName name="IQ_NET_DEBT_NUM_EST_THOM" hidden="1">"c4031"</definedName>
    <definedName name="IQ_NET_DEBT_STDDEV_EST" hidden="1">"c3516"</definedName>
    <definedName name="IQ_NET_DEBT_STDDEV_EST_REUT" hidden="1">"c3981"</definedName>
    <definedName name="IQ_NET_DEBT_STDDEV_EST_THOM" hidden="1">"c4032"</definedName>
    <definedName name="IQ_NET_EARNED" hidden="1">"c2734"</definedName>
    <definedName name="IQ_NET_FUNDS_PURCHASED_ASSETS_TOT_FFIEC">"c13448"</definedName>
    <definedName name="IQ_NET_GAIN_LOSS_OREO_EXP_FFIEC">"c15370"</definedName>
    <definedName name="IQ_NET_GAIN_LOSS_OREO_INC_FFIEC">"c15367"</definedName>
    <definedName name="IQ_NET_GAIN_LOSS_SALES_LOANS_EXP_FFIEC">"c15371"</definedName>
    <definedName name="IQ_NET_GAIN_LOSS_SALES_LOANS_INC_FFIEC">"c15368"</definedName>
    <definedName name="IQ_NET_GAIN_SALE_PREMISES_FIXED_ASSETS_EXP_FFIEC">"c15372"</definedName>
    <definedName name="IQ_NET_GAIN_SALE_PREMISES_FIXED_ASSETS_INC_FFIEC">"c15369"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"c158"</definedName>
    <definedName name="IQ_NET_INC_GROWTH_2" hidden="1">"c162"</definedName>
    <definedName name="IQ_NET_INC_MARGIN" hidden="1">"c1398"</definedName>
    <definedName name="IQ_NET_INCOME_FDIC" hidden="1">"c6587"</definedName>
    <definedName name="IQ_NET_INCOME_HOMEBUILDING_SALES">"c15818"</definedName>
    <definedName name="IQ_NET_INCOME_LH_FFIEC">"c13110"</definedName>
    <definedName name="IQ_NET_INCOME_PC_FFIEC">"c13103"</definedName>
    <definedName name="IQ_NET_INCOME_SHE_FFIEC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AVG_ASSET">"c15706"</definedName>
    <definedName name="IQ_NET_INT_INCOME_FFIEC">"c13001"</definedName>
    <definedName name="IQ_NET_INT_INCOME_FTE_FFIEC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INC_INTERNATIONAL_OPS_FFIEC">"c15375"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>"c13341"</definedName>
    <definedName name="IQ_NET_LOANS_DEPOSITS_FFIEC">"c13340"</definedName>
    <definedName name="IQ_NET_LOANS_EQUITY_FFIEC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LOSSES">"c15873"</definedName>
    <definedName name="IQ_NET_NEW_CLIENT_ASSETS" hidden="1">"c20430"</definedName>
    <definedName name="IQ_NET_NONINTEREST_INC_EXP_INTERNATIONAL_OPS_FFIEC">"c15387"</definedName>
    <definedName name="IQ_NET_OPERATING_INCOME_ASSETS_FDIC" hidden="1">"c6729"</definedName>
    <definedName name="IQ_NET_PREMIUM_WRITTEN_STATUTORY_SURPLUS">"c15880"</definedName>
    <definedName name="IQ_NET_PREMIUMS_WRITTEN_AVG_ASSETS">"c15888"</definedName>
    <definedName name="IQ_NET_PREMIUMS_WRITTEN_AVG_EQUITY">"c15891"</definedName>
    <definedName name="IQ_NET_PREMIUMS_WRITTEN_AVG_STATUTORY_SURPLUS">"c15890"</definedName>
    <definedName name="IQ_NET_PREMIUMS_WRITTEN_GROSS_PREMIUMS_WRITTEN">"c15889"</definedName>
    <definedName name="IQ_NET_RENTAL_EXP_FN" hidden="1">"c780"</definedName>
    <definedName name="IQ_NET_SECURITIZATION_INC_FOREIGN_FFIEC">"c15379"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>"c13743"</definedName>
    <definedName name="IQ_NEWS_DATE">"c13746"</definedName>
    <definedName name="IQ_NEWS_SOURCE">"c13745"</definedName>
    <definedName name="IQ_NEWS_TIME">"c13759"</definedName>
    <definedName name="IQ_NEWS_URL">"c13744"</definedName>
    <definedName name="IQ_NEXT_CALL_DATE" hidden="1">"c2198"</definedName>
    <definedName name="IQ_NEXT_CALL_PRICE" hidden="1">"c2199"</definedName>
    <definedName name="IQ_NEXT_CONTRACT_ID" hidden="1">"c13928"</definedName>
    <definedName name="IQ_NEXT_DIV_AMOUNT" hidden="1">"c17414"</definedName>
    <definedName name="IQ_NEXT_DIV_PAYMENT_DATE" hidden="1">"c17413"</definedName>
    <definedName name="IQ_NEXT_DIV_PAYMENT_TYPE" hidden="1">"c17415"</definedName>
    <definedName name="IQ_NEXT_DIV_RECORD_DATE" hidden="1">"c17412"</definedName>
    <definedName name="IQ_NEXT_EARNINGS_DATE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XDIV_DATE" hidden="1">"c17411"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CIQ_COL" hidden="1">"c11712"</definedName>
    <definedName name="IQ_NI_ACT_OR_EST_REUT" hidden="1">"c5468"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>"c13370"</definedName>
    <definedName name="IQ_NI_BANK_AND_NONCONTROLLING_INTEREST_FFIEC">"c15365"</definedName>
    <definedName name="IQ_NI_BEFORE_CAPITALIZED" hidden="1">"c792"</definedName>
    <definedName name="IQ_NI_BEFORE_INTERNAL_ALLOCATIONS_FOREIGN_FFIEC">"c15393"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DET_EST" hidden="1">"c12062"</definedName>
    <definedName name="IQ_NI_DET_EST_CURRENCY" hidden="1">"c12469"</definedName>
    <definedName name="IQ_NI_DET_EST_CURRENCY_THOM" hidden="1">"c12492"</definedName>
    <definedName name="IQ_NI_DET_EST_DATE" hidden="1">"c12215"</definedName>
    <definedName name="IQ_NI_DET_EST_DATE_THOM" hidden="1">"c12243"</definedName>
    <definedName name="IQ_NI_DET_EST_INCL" hidden="1">"c12352"</definedName>
    <definedName name="IQ_NI_DET_EST_INCL_THOM" hidden="1">"c12375"</definedName>
    <definedName name="IQ_NI_DET_EST_ORIGIN" hidden="1">"c12587"</definedName>
    <definedName name="IQ_NI_DET_EST_ORIGIN_THOM" hidden="1">"c12613"</definedName>
    <definedName name="IQ_NI_DET_EST_THOM" hidden="1">"c12093"</definedName>
    <definedName name="IQ_NI_EST" hidden="1">"c1716"</definedName>
    <definedName name="IQ_NI_EST_REUT" hidden="1">"c5368"</definedName>
    <definedName name="IQ_NI_EST_THOM" hidden="1">"c5126"</definedName>
    <definedName name="IQ_NI_FFIEC">"c13034"</definedName>
    <definedName name="IQ_NI_GAAP_GUIDANCE" hidden="1">"c4470"</definedName>
    <definedName name="IQ_NI_GAAP_GUIDANCE_CIQ">"c5008"</definedName>
    <definedName name="IQ_NI_GAAP_GUIDANCE_CIQ_COL">"c11655"</definedName>
    <definedName name="IQ_NI_GAAP_HIGH_GUIDANCE" hidden="1">"c4177"</definedName>
    <definedName name="IQ_NI_GAAP_HIGH_GUIDANCE_CIQ">"c4589"</definedName>
    <definedName name="IQ_NI_GAAP_HIGH_GUIDANCE_CIQ_COL">"c11238"</definedName>
    <definedName name="IQ_NI_GAAP_LOW_GUIDANCE" hidden="1">"c4217"</definedName>
    <definedName name="IQ_NI_GAAP_LOW_GUIDANCE_CIQ">"c4629"</definedName>
    <definedName name="IQ_NI_GAAP_LOW_GUIDANCE_CIQ_COL">"c11278"</definedName>
    <definedName name="IQ_NI_GUIDANCE" hidden="1">"c4469"</definedName>
    <definedName name="IQ_NI_GUIDANCE_CIQ">"c5007"</definedName>
    <definedName name="IQ_NI_GUIDANCE_CIQ_COL">"c11654"</definedName>
    <definedName name="IQ_NI_GW_DET_EST" hidden="1">"c12063"</definedName>
    <definedName name="IQ_NI_GW_DET_EST_CURRENCY" hidden="1">"c12470"</definedName>
    <definedName name="IQ_NI_GW_DET_EST_DATE" hidden="1">"c12216"</definedName>
    <definedName name="IQ_NI_GW_DET_EST_INCL" hidden="1">"c12353"</definedName>
    <definedName name="IQ_NI_GW_EST" hidden="1">"c1723"</definedName>
    <definedName name="IQ_NI_GW_EST_REUT" hidden="1">"c5375"</definedName>
    <definedName name="IQ_NI_GW_GUIDANCE" hidden="1">"c4471"</definedName>
    <definedName name="IQ_NI_GW_GUIDANCE_CIQ">"c5009"</definedName>
    <definedName name="IQ_NI_GW_GUIDANCE_CIQ_COL">"c11656"</definedName>
    <definedName name="IQ_NI_GW_HIGH_EST" hidden="1">"c1725"</definedName>
    <definedName name="IQ_NI_GW_HIGH_EST_REUT" hidden="1">"c5377"</definedName>
    <definedName name="IQ_NI_GW_HIGH_GUIDANCE" hidden="1">"c4178"</definedName>
    <definedName name="IQ_NI_GW_HIGH_GUIDANCE_CIQ">"c4590"</definedName>
    <definedName name="IQ_NI_GW_HIGH_GUIDANCE_CIQ_COL">"c11239"</definedName>
    <definedName name="IQ_NI_GW_LOW_EST" hidden="1">"c1726"</definedName>
    <definedName name="IQ_NI_GW_LOW_EST_REUT" hidden="1">"c5378"</definedName>
    <definedName name="IQ_NI_GW_LOW_GUIDANCE" hidden="1">"c4218"</definedName>
    <definedName name="IQ_NI_GW_LOW_GUIDANCE_CIQ">"c4630"</definedName>
    <definedName name="IQ_NI_GW_LOW_GUIDANCE_CIQ_COL">"c11279"</definedName>
    <definedName name="IQ_NI_GW_MEDIAN_EST" hidden="1">"c1724"</definedName>
    <definedName name="IQ_NI_GW_MEDIAN_EST_REUT" hidden="1">"c5376"</definedName>
    <definedName name="IQ_NI_GW_NUM_EST" hidden="1">"c1727"</definedName>
    <definedName name="IQ_NI_GW_NUM_EST_REUT" hidden="1">"c5379"</definedName>
    <definedName name="IQ_NI_GW_STDDEV_EST" hidden="1">"c1728"</definedName>
    <definedName name="IQ_NI_GW_STDDEV_EST_REUT" hidden="1">"c5380"</definedName>
    <definedName name="IQ_NI_HIGH_EST" hidden="1">"c1718"</definedName>
    <definedName name="IQ_NI_HIGH_EST_REUT" hidden="1">"c5370"</definedName>
    <definedName name="IQ_NI_HIGH_EST_THOM" hidden="1">"c5128"</definedName>
    <definedName name="IQ_NI_HIGH_GUIDANCE" hidden="1">"c4176"</definedName>
    <definedName name="IQ_NI_HIGH_GUIDANCE_CIQ">"c4588"</definedName>
    <definedName name="IQ_NI_HIGH_GUIDANCE_CIQ_COL">"c11237"</definedName>
    <definedName name="IQ_NI_LOW_EST" hidden="1">"c1719"</definedName>
    <definedName name="IQ_NI_LOW_EST_REUT" hidden="1">"c5371"</definedName>
    <definedName name="IQ_NI_LOW_EST_THOM" hidden="1">"c5129"</definedName>
    <definedName name="IQ_NI_LOW_GUIDANCE" hidden="1">"c4216"</definedName>
    <definedName name="IQ_NI_LOW_GUIDANCE_CIQ">"c4628"</definedName>
    <definedName name="IQ_NI_LOW_GUIDANCE_CIQ_COL">"c11277"</definedName>
    <definedName name="IQ_NI_MARGIN" hidden="1">"c794"</definedName>
    <definedName name="IQ_NI_MEDIAN_EST" hidden="1">"c1717"</definedName>
    <definedName name="IQ_NI_MEDIAN_EST_REUT" hidden="1">"c5369"</definedName>
    <definedName name="IQ_NI_MEDIAN_EST_THOM" hidden="1">"c5127"</definedName>
    <definedName name="IQ_NI_NON_CONTROLLING_INTERESTS_FFIEC">"c15366"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NUM_EST_THOM" hidden="1">"c5130"</definedName>
    <definedName name="IQ_NI_REPORTED_DET_EST_ORIGIN" hidden="1">"c12588"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ACT_OR_EST_CIQ" hidden="1">"c5012"</definedName>
    <definedName name="IQ_NI_SBC_ACT_OR_EST_CIQ_COL" hidden="1">"c11659"</definedName>
    <definedName name="IQ_NI_SBC_EST" hidden="1">"c4473"</definedName>
    <definedName name="IQ_NI_SBC_GUIDANCE" hidden="1">"c4475"</definedName>
    <definedName name="IQ_NI_SBC_GUIDANCE_CIQ">"c5013"</definedName>
    <definedName name="IQ_NI_SBC_GUIDANCE_CIQ_COL">"c11660"</definedName>
    <definedName name="IQ_NI_SBC_GW_ACT_OR_EST" hidden="1">"c4478"</definedName>
    <definedName name="IQ_NI_SBC_GW_ACT_OR_EST_CIQ" hidden="1">"c5016"</definedName>
    <definedName name="IQ_NI_SBC_GW_ACT_OR_EST_CIQ_COL" hidden="1">"c11663"</definedName>
    <definedName name="IQ_NI_SBC_GW_EST" hidden="1">"c4477"</definedName>
    <definedName name="IQ_NI_SBC_GW_GUIDANCE" hidden="1">"c4479"</definedName>
    <definedName name="IQ_NI_SBC_GW_GUIDANCE_CIQ">"c5017"</definedName>
    <definedName name="IQ_NI_SBC_GW_GUIDANCE_CIQ_COL">"c11664"</definedName>
    <definedName name="IQ_NI_SBC_GW_HIGH_EST" hidden="1">"c4480"</definedName>
    <definedName name="IQ_NI_SBC_GW_HIGH_GUIDANCE" hidden="1">"c4187"</definedName>
    <definedName name="IQ_NI_SBC_GW_HIGH_GUIDANCE_CIQ">"c4599"</definedName>
    <definedName name="IQ_NI_SBC_GW_HIGH_GUIDANCE_CIQ_COL">"c11248"</definedName>
    <definedName name="IQ_NI_SBC_GW_LOW_EST" hidden="1">"c4481"</definedName>
    <definedName name="IQ_NI_SBC_GW_LOW_GUIDANCE" hidden="1">"c4227"</definedName>
    <definedName name="IQ_NI_SBC_GW_LOW_GUIDANCE_CIQ">"c4639"</definedName>
    <definedName name="IQ_NI_SBC_GW_LOW_GUIDANCE_CIQ_COL">"c11288"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HIGH_GUIDANCE_CIQ">"c4598"</definedName>
    <definedName name="IQ_NI_SBC_HIGH_GUIDANCE_CIQ_COL">"c11247"</definedName>
    <definedName name="IQ_NI_SBC_LOW_EST" hidden="1">"c4487"</definedName>
    <definedName name="IQ_NI_SBC_LOW_GUIDANCE" hidden="1">"c4226"</definedName>
    <definedName name="IQ_NI_SBC_LOW_GUIDANCE_CIQ">"c4638"</definedName>
    <definedName name="IQ_NI_SBC_LOW_GUIDANCE_CIQ_COL">"c11287"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I_INCL_UNCONSOL">"c16068"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>"c13353"</definedName>
    <definedName name="IQ_NON_ACCRUAL_ASSET_SOLD_DURING_QTR_FFIEC">"c15350"</definedName>
    <definedName name="IQ_NON_ACCRUAL_LOANS" hidden="1">"c796"</definedName>
    <definedName name="IQ_NON_CASH" hidden="1">"c1399"</definedName>
    <definedName name="IQ_NON_CASH_ITEMS" hidden="1">"c797"</definedName>
    <definedName name="IQ_NON_CD_DEPOSITS">"c15718"</definedName>
    <definedName name="IQ_NON_CD_DEPOSITS_TOTAL_DEPOSITS">"c15725"</definedName>
    <definedName name="IQ_NON_CURRENT_LOANS_FFIEC">"c13860"</definedName>
    <definedName name="IQ_NON_FARM_NONRES_PROPERTIES_TRADING_DOM_FFIEC">"c12931"</definedName>
    <definedName name="IQ_NON_INS_EXP" hidden="1">"c798"</definedName>
    <definedName name="IQ_NON_INS_REV" hidden="1">"c799"</definedName>
    <definedName name="IQ_NON_INT_BAL_OTHER_INSTITUTIONS_FFIEC">"c12950"</definedName>
    <definedName name="IQ_NON_INT_BEAR_CD" hidden="1">"c11750"</definedName>
    <definedName name="IQ_NON_INT_BEARING_DEPOSITS" hidden="1">"c800"</definedName>
    <definedName name="IQ_NON_INT_DEPOSITS_DOM_FFIEC">"c12851"</definedName>
    <definedName name="IQ_NON_INT_DEPOSITS_FOREIGN_FFIEC">"c12854"</definedName>
    <definedName name="IQ_NON_INT_EXP" hidden="1">"c801"</definedName>
    <definedName name="IQ_NON_INT_EXP_AVG_ASSETS_FFIEC">"c18878"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AVG_ASSET">"c15708"</definedName>
    <definedName name="IQ_NON_INT_EXPENSE_FFIEC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>"c13382"</definedName>
    <definedName name="IQ_NON_INT_INCOME_AVG_ASSET">"c15707"</definedName>
    <definedName name="IQ_NON_INT_INCOME_FFIEC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EQUITY">"c15702"</definedName>
    <definedName name="IQ_NON_PERF_ASSETS_LOANS_OREO">"c15701"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>"c13859"</definedName>
    <definedName name="IQ_NON_PERFORMING_LOANS" hidden="1">"c827"</definedName>
    <definedName name="IQ_NON_PERFORMING_LOANS_FFIEC">"c13861"</definedName>
    <definedName name="IQ_NON_RE_DA">"c16179"</definedName>
    <definedName name="IQ_NON_RENTAL_NOI">"c16066"</definedName>
    <definedName name="IQ_NON_RENTAL_OPERATING_EXPENSE">"c16046"</definedName>
    <definedName name="IQ_NON_US_ADDRESS_LEASE_FIN_REC_FFIEC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>"c13078"</definedName>
    <definedName name="IQ_NONCASH_PENSION_EXP" hidden="1">"c3000"</definedName>
    <definedName name="IQ_NONCORE_ASSETS_TOT_FFIEC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DOM_FFIEC">"c15271"</definedName>
    <definedName name="IQ_NONFARM_NONRES_GROSS_LOANS_FFIEC">"c13405"</definedName>
    <definedName name="IQ_NONFARM_NONRES_LL_REC_DOM_FFIEC">"c13626"</definedName>
    <definedName name="IQ_NONFARM_NONRES_RISK_BASED_FFIEC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>"c15376"</definedName>
    <definedName name="IQ_NONINTEREST_INCOME_EARNING_ASSETS_FDIC" hidden="1">"c6727"</definedName>
    <definedName name="IQ_NONMORTGAGE_SERVICING_FDIC" hidden="1">"c6336"</definedName>
    <definedName name="IQ_NONQUALIFYING_PREFERRED_T1_FFIEC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>"c13211"</definedName>
    <definedName name="IQ_NONTRADING_SECURITIES_LEVEL_1_FFIEC">"c13219"</definedName>
    <definedName name="IQ_NONTRADING_SECURITIES_LEVEL_2_FFIEC">"c13227"</definedName>
    <definedName name="IQ_NONTRADING_SECURITIES_LEVEL_3_FFIEC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>"c13118"</definedName>
    <definedName name="IQ_NOTIONAL_AMT_DERIVATIVES_GUARANTOR_FFIEC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>"c12946"</definedName>
    <definedName name="IQ_NOW_ATS_ACCOUNTS_OTHER_INSTITUTIONS_FFIEC">"c12951"</definedName>
    <definedName name="IQ_NOW_OTHER_TRANS_ACCTS_TOT_DEPOSITS_FFIEC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>"c13739"</definedName>
    <definedName name="IQ_NUM_OFFICES" hidden="1">"c2088"</definedName>
    <definedName name="IQ_NUMBER_ADRHOLDERS" hidden="1">"c1970"</definedName>
    <definedName name="IQ_NUMBER_CELL_SITES">"c15762"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NUMBER_TRADES_EXECUTED" hidden="1">"c20428"</definedName>
    <definedName name="IQ_NUMBER_WIRELESS_TOWERS">"c15766"</definedName>
    <definedName name="IQ_OBLIGATION_STATES_POLI_SUBD_US_LL_REC_DOM_FFIEC">"c15295"</definedName>
    <definedName name="IQ_OBLIGATION_STATES_POLI_SUBD_US_LL_REC_FFIEC">"c15294"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>"c13372"</definedName>
    <definedName name="IQ_OCCUPANCY_EXP_OPERATING_INC_FFIEC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"c10073"</definedName>
    <definedName name="IQ_OG_DAILY_PRDUCTION_GROWTH_GAS_EQUIVALENT" hidden="1">"c10076"</definedName>
    <definedName name="IQ_OG_DAILY_PRDUCTION_GROWTH_NGL" hidden="1">"c10074"</definedName>
    <definedName name="IQ_OG_DAILY_PRDUCTION_GROWTH_OIL" hidden="1">"c10072"</definedName>
    <definedName name="IQ_OG_DAILY_PRDUCTION_GROWTH_OIL_EQUIVALENT" hidden="1">"c10075"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ITY_RESERVES_GAS" hidden="1">"c2050"</definedName>
    <definedName name="IQ_OG_EQUITY_RESERVES_NGL" hidden="1">"c2921"</definedName>
    <definedName name="IQ_OG_EQUITY_RESERVES_OIL" hidden="1">"c2038"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PRODUCTIVE_WELLS_DRILLED_GAS">"c15907"</definedName>
    <definedName name="IQ_OG_GROSS_DEVELOPMENT_PRODUCTIVE_WELLS_DRILLED_OIL">"c15906"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PRODUCTIVE_WELLS_DRILLED_GAS">"c15905"</definedName>
    <definedName name="IQ_OG_GROSS_EXPLORATORY_PRODUCTIVE_WELLS_DRILLED_OIL">"c15904"</definedName>
    <definedName name="IQ_OG_GROSS_EXPLORATORY_TOTAL_WELLS_DRILLED" hidden="1">"c10096"</definedName>
    <definedName name="IQ_OG_GROSS_OPERATED_WELLS" hidden="1">"c10092"</definedName>
    <definedName name="IQ_OG_GROSS_PRODUCING_WELLS_GAS">"c15897"</definedName>
    <definedName name="IQ_OG_GROSS_PRODUCING_WELLS_OIL">"c15896"</definedName>
    <definedName name="IQ_OG_GROSS_PRODUCTIVE_WELLS_DRILLED_GAS">"c15901"</definedName>
    <definedName name="IQ_OG_GROSS_PRODUCTIVE_WELLS_DRILLED_OIL">"c15900"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PRODUCTIVE_WELLS_DRILLED_GAS">"c15911"</definedName>
    <definedName name="IQ_OG_NET_DEVELOPMENT_PRODUCTIVE_WELLS_DRILLED_OIL">"c15910"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PRODUCTIVE_WELLS_DRILLED_GAS">"c15909"</definedName>
    <definedName name="IQ_OG_NET_EXPLORATORY_PRODUCTIVE_WELLS_DRILLED_OIL">"c15908"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ING_WELLS_GAS">"c15899"</definedName>
    <definedName name="IQ_OG_NET_PRODUCING_WELLS_OIL">"c15898"</definedName>
    <definedName name="IQ_OG_NET_PRODUCTIVE_WELLS_DRILLED_GAS">"c15903"</definedName>
    <definedName name="IQ_OG_NET_PRODUCTIVE_WELLS_DRILLED_OIL">"c15902"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"c10067"</definedName>
    <definedName name="IQ_OG_PRDUCTION_GROWTH_GAS_EQUIVALENT" hidden="1">"c10070"</definedName>
    <definedName name="IQ_OG_PRDUCTION_GROWTH_NGL" hidden="1">"c10068"</definedName>
    <definedName name="IQ_OG_PRDUCTION_GROWTH_OIL" hidden="1">"c10066"</definedName>
    <definedName name="IQ_OG_PRDUCTION_GROWTH_OIL_EQUIVALENT" hidden="1">"c10069"</definedName>
    <definedName name="IQ_OG_PRDUCTION_GROWTH_TOAL" hidden="1">"c10071"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_INTEREST" hidden="1">"c13931"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ACT_OR_EST_THOM" hidden="1">"c5304"</definedName>
    <definedName name="IQ_OPER_INC_BR" hidden="1">"c850"</definedName>
    <definedName name="IQ_OPER_INC_DET_EST" hidden="1">"c12064"</definedName>
    <definedName name="IQ_OPER_INC_DET_EST_CURRENCY" hidden="1">"c12471"</definedName>
    <definedName name="IQ_OPER_INC_DET_EST_CURRENCY_THOM" hidden="1">"c12494"</definedName>
    <definedName name="IQ_OPER_INC_DET_EST_DATE" hidden="1">"c12217"</definedName>
    <definedName name="IQ_OPER_INC_DET_EST_DATE_THOM" hidden="1">"c12245"</definedName>
    <definedName name="IQ_OPER_INC_DET_EST_INCL" hidden="1">"c12354"</definedName>
    <definedName name="IQ_OPER_INC_DET_EST_INCL_THOM" hidden="1">"c12377"</definedName>
    <definedName name="IQ_OPER_INC_DET_EST_ORIGIN" hidden="1">"c12589"</definedName>
    <definedName name="IQ_OPER_INC_DET_EST_ORIGIN_THOM" hidden="1">"c12615"</definedName>
    <definedName name="IQ_OPER_INC_DET_EST_THOM" hidden="1">"c12095"</definedName>
    <definedName name="IQ_OPER_INC_EST" hidden="1">"c1688"</definedName>
    <definedName name="IQ_OPER_INC_EST_REUT" hidden="1">"c5340"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LOW_EST_THOM" hidden="1">"c5115"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MEDIAN_EST_THOM" hidden="1">"c5113"</definedName>
    <definedName name="IQ_OPER_INC_NUM_EST" hidden="1">"c1692"</definedName>
    <definedName name="IQ_OPER_INC_NUM_EST_REUT" hidden="1">"c5344"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STDDEV_EST_THOM" hidden="1">"c5117"</definedName>
    <definedName name="IQ_OPER_INC_UTI" hidden="1">"c854"</definedName>
    <definedName name="IQ_OPERATING_EXP_AVG_ASSETS_FFIEC">"c13373"</definedName>
    <definedName name="IQ_OPERATING_INC_AVG_ASSETS_FFIEC">"c13368"</definedName>
    <definedName name="IQ_OPERATING_INC_TE_AVG_ASSETS_FFIEC">"c13360"</definedName>
    <definedName name="IQ_OPERATING_NOI_AVG_GROSS_PROP">"c16058"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OS" hidden="1">"c858"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>"c12831"</definedName>
    <definedName name="IQ_OREO_FOREIGN_FDIC" hidden="1">"c6460"</definedName>
    <definedName name="IQ_OREO_FOREIGN_FFIEC">"c15273"</definedName>
    <definedName name="IQ_OREO_MULTI_FAMILY_RESIDENTIAL_FDIC" hidden="1">"c6455"</definedName>
    <definedName name="IQ_OREO_OTHER_FFIEC">"c12833"</definedName>
    <definedName name="IQ_ORGANIC_GROWTH_RATE" hidden="1">"c20429"</definedName>
    <definedName name="IQ_OTHER_ADDITIONS_T1_FFIEC">"c13142"</definedName>
    <definedName name="IQ_OTHER_ADDITIONS_T2_FFIEC">"c13148"</definedName>
    <definedName name="IQ_OTHER_ADJ_CLAIM_ADJ_EXP_INCURRED">"c15878"</definedName>
    <definedName name="IQ_OTHER_ADJ_CLAIM_ADJ_EXP_PAID">"c15879"</definedName>
    <definedName name="IQ_OTHER_ADJ_RESERVE_BOP">"c15876"</definedName>
    <definedName name="IQ_OTHER_ADJ_RESERVES">"c15882"</definedName>
    <definedName name="IQ_OTHER_ADJUST_GROSS_LOANS" hidden="1">"c859"</definedName>
    <definedName name="IQ_OTHER_ADJUSTMENTS_COVERED" hidden="1">"c9961"</definedName>
    <definedName name="IQ_OTHER_ADJUSTMENTS_FFIEC">"c12972"</definedName>
    <definedName name="IQ_OTHER_ADJUSTMENTS_GROUP" hidden="1">"c9947"</definedName>
    <definedName name="IQ_OTHER_AFFO">"c16180"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AIR_VALUE_TOT_FFIEC">"c15409"</definedName>
    <definedName name="IQ_OTHER_BORROWED_MONEY_FFIEC">"c12862"</definedName>
    <definedName name="IQ_OTHER_BORROWED_MONEY_LEVEL_1_FFIEC">"c15431"</definedName>
    <definedName name="IQ_OTHER_BORROWED_MONEY_LEVEL_2_FFIEC">"c15444"</definedName>
    <definedName name="IQ_OTHER_BORROWED_MONEY_LEVEL_3_FFIEC">"c15457"</definedName>
    <definedName name="IQ_OTHER_BORROWED_MONEY_LT_FFIEC">"c12865"</definedName>
    <definedName name="IQ_OTHER_BORROWED_MONEY_ST_FFIEC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>"c12970"</definedName>
    <definedName name="IQ_OTHER_CONSTRUCTION_GROSS_LOANS_FFIEC">"c13403"</definedName>
    <definedName name="IQ_OTHER_CONSTRUCTION_LOANS_DUE_30_89_FFIEC">"c13258"</definedName>
    <definedName name="IQ_OTHER_CONSTRUCTION_LOANS_DUE_90_FFIEC">"c13286"</definedName>
    <definedName name="IQ_OTHER_CONSTRUCTION_LOANS_NON_ACCRUAL_FFIEC">"c13312"</definedName>
    <definedName name="IQ_OTHER_CONSTRUCTION_LOANS_UNUSED_FFIEC">"c13245"</definedName>
    <definedName name="IQ_OTHER_CONSTRUCTION_RISK_BASED_FFIEC">"c13424"</definedName>
    <definedName name="IQ_OTHER_CONSUMER_LL_REC_FFIEC">"c12891"</definedName>
    <definedName name="IQ_OTHER_CONSUMER_LOANS_FFIEC">"c12824"</definedName>
    <definedName name="IQ_OTHER_CONSUMER_LOANS_TRADING_DOM_FFIEC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FS_AMORT_COST_FFIEC" hidden="1">"c20503"</definedName>
    <definedName name="IQ_OTHER_DEBT_SEC_DOM_AFS_FAIR_VAL_FFIEC" hidden="1">"c20468"</definedName>
    <definedName name="IQ_OTHER_DEBT_SEC_DOM_AVAIL_SALE_FFIEC">"c12803"</definedName>
    <definedName name="IQ_OTHER_DEBT_SEC_FOREIGN_AFS_AMORT_COST_FFIEC" hidden="1">"c20504"</definedName>
    <definedName name="IQ_OTHER_DEBT_SEC_FOREIGN_AFS_FAIR_VAL_FFIEC" hidden="1">"c20469"</definedName>
    <definedName name="IQ_OTHER_DEBT_SEC_FOREIGN_AVAIL_SALE_FFIEC">"c12804"</definedName>
    <definedName name="IQ_OTHER_DEBT_SEC_INVEST_SECURITIES_FFIEC">"c13462"</definedName>
    <definedName name="IQ_OTHER_DEBT_SEC_TRADING_DOM_FFIEC">"c12924"</definedName>
    <definedName name="IQ_OTHER_DEBT_SEC_TRADING_FFIEC">"c12819"</definedName>
    <definedName name="IQ_OTHER_DEBT_SECURITIES_DOM_FFIEC">"c12789"</definedName>
    <definedName name="IQ_OTHER_DEBT_SECURITIES_DOM_HTM_AMORT_COST_FFIEC" hidden="1">"c20451"</definedName>
    <definedName name="IQ_OTHER_DEBT_SECURITIES_DOM_HTM_FAIR_VAL_FFIEC" hidden="1">"c20486"</definedName>
    <definedName name="IQ_OTHER_DEBT_SECURITIES_FOREIGN_FFIEC">"c12790"</definedName>
    <definedName name="IQ_OTHER_DEBT_SECURITIES_FOREIGN_HTM_AMORT_COST_FFIEC" hidden="1">"c20452"</definedName>
    <definedName name="IQ_OTHER_DEBT_SECURITIES_FOREIGN_HTM_FAIR_VAL_FFIEC" hidden="1">"c20487"</definedName>
    <definedName name="IQ_OTHER_DEBT_SECURITIES_QUARTERLY_AVG_FFIEC">"c15473"</definedName>
    <definedName name="IQ_OTHER_DEDUCTIONS_LEVERAGE_RATIO_FFIEC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>"c12994"</definedName>
    <definedName name="IQ_OTHER_DEPOSITS_TOTAL_DEPOSITS">"c15724"</definedName>
    <definedName name="IQ_OTHER_DERIVATIVES_BENEFICIARY_FFIEC">"c13122"</definedName>
    <definedName name="IQ_OTHER_DERIVATIVES_GUARANTOR_FFIEC">"c13115"</definedName>
    <definedName name="IQ_OTHER_DEVELOPMENT_EXPENSE">"c16041"</definedName>
    <definedName name="IQ_OTHER_DEVELOPMENT_REVENUE">"c16025"</definedName>
    <definedName name="IQ_OTHER_DOMESTIC_DEBT_SECURITIES_FDIC" hidden="1">"c6302"</definedName>
    <definedName name="IQ_OTHER_EARNING" hidden="1">"c1609"</definedName>
    <definedName name="IQ_OTHER_EPRA_NAV_ADJ">"c16004"</definedName>
    <definedName name="IQ_OTHER_EPRA_NNAV_ADJ">"c16009"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>"c12880"</definedName>
    <definedName name="IQ_OTHER_EQUITY_FFIEC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>"c13381"</definedName>
    <definedName name="IQ_OTHER_FAD">"c16184"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>"c13482"</definedName>
    <definedName name="IQ_OTHER_IBF_DEPOSIT_LIABILITIES_FFIEC">"c15301"</definedName>
    <definedName name="IQ_OTHER_INDIVIDUAL_FAMILY_DOM_QUARTERLY_AVG_FFIEC">"c15481"</definedName>
    <definedName name="IQ_OTHER_INSURANCE_FEES_FDIC" hidden="1">"c6672"</definedName>
    <definedName name="IQ_OTHER_INSURANCE_PREMIUMS_FFIEC">"c13071"</definedName>
    <definedName name="IQ_OTHER_INT_EXPENSE_FFIEC">"c12999"</definedName>
    <definedName name="IQ_OTHER_INT_INCOME_FFIEC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>"c12837"</definedName>
    <definedName name="IQ_OTHER_INTANGIBLE_ASSETS_TOT_FFIEC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>"c13278"</definedName>
    <definedName name="IQ_OTHER_LEASES_DUE_90_FFIEC">"c13304"</definedName>
    <definedName name="IQ_OTHER_LEASES_LL_REC_FFIEC">"c12896"</definedName>
    <definedName name="IQ_OTHER_LEASES_NON_ACCRUAL_FFIEC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>"c12872"</definedName>
    <definedName name="IQ_OTHER_LIABILITIES_TOTAL_FFIEC">"c12869"</definedName>
    <definedName name="IQ_OTHER_LL_REC_FFIEC">"c12894"</definedName>
    <definedName name="IQ_OTHER_LOANS" hidden="1">"c945"</definedName>
    <definedName name="IQ_OTHER_LOANS_CHARGE_OFFS_FDIC" hidden="1">"c6601"</definedName>
    <definedName name="IQ_OTHER_LOANS_DUE_30_89_FFIEC">"c13275"</definedName>
    <definedName name="IQ_OTHER_LOANS_DUE_90_FFIEC">"c13301"</definedName>
    <definedName name="IQ_OTHER_LOANS_FFIEC">"c12825"</definedName>
    <definedName name="IQ_OTHER_LOANS_FOREIGN_FDIC" hidden="1">"c6446"</definedName>
    <definedName name="IQ_OTHER_LOANS_GROSS_LOANS_FFIEC">"c13414"</definedName>
    <definedName name="IQ_OTHER_LOANS_INDIVIDUALS_CHARGE_OFFS_FFIEC">"c13181"</definedName>
    <definedName name="IQ_OTHER_LOANS_INDIVIDUALS_DUE_30_89_FFIEC">"c13273"</definedName>
    <definedName name="IQ_OTHER_LOANS_INDIVIDUALS_DUE_90_FFIEC">"c13299"</definedName>
    <definedName name="IQ_OTHER_LOANS_INDIVIDUALS_NON_ACCRUAL_FFIEC">"c13325"</definedName>
    <definedName name="IQ_OTHER_LOANS_INDIVIDUALS_RECOV_FFIEC">"c13203"</definedName>
    <definedName name="IQ_OTHER_LOANS_LEASES_FDIC" hidden="1">"c6322"</definedName>
    <definedName name="IQ_OTHER_LOANS_LL_REC_DOM_FFIEC">"c12914"</definedName>
    <definedName name="IQ_OTHER_LOANS_NET_CHARGE_OFFS_FDIC" hidden="1">"c6639"</definedName>
    <definedName name="IQ_OTHER_LOANS_NON_ACCRUAL_FFIEC">"c13327"</definedName>
    <definedName name="IQ_OTHER_LOANS_RECOVERIES_FDIC" hidden="1">"c6620"</definedName>
    <definedName name="IQ_OTHER_LOANS_RISK_BASED_FFIEC">"c13435"</definedName>
    <definedName name="IQ_OTHER_LOANS_TOTAL_FDIC" hidden="1">"c6432"</definedName>
    <definedName name="IQ_OTHER_LOANS_TOTAL_LOANS">"c15716"</definedName>
    <definedName name="IQ_OTHER_LOANS_TRADING_DOM_FFIEC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FS_AMORT_COST_FFIEC" hidden="1">"c20498"</definedName>
    <definedName name="IQ_OTHER_MBS_AFS_FAIR_VAL_FFIEC" hidden="1">"c20463"</definedName>
    <definedName name="IQ_OTHER_MBS_AVAIL_SALE_FFIEC">"c12801"</definedName>
    <definedName name="IQ_OTHER_MBS_FFIEC">"c12787"</definedName>
    <definedName name="IQ_OTHER_MBS_HTM_AMORT_COST_FFIEC" hidden="1">"c20446"</definedName>
    <definedName name="IQ_OTHER_MBS_HTM_FAIR_VAL_FFIEC" hidden="1">"c20481"</definedName>
    <definedName name="IQ_OTHER_MBS_ISSUED_FNMA_GNMA_TRADING_DOM_FFIEC">"c12922"</definedName>
    <definedName name="IQ_OTHER_MBS_ISSUED_FNMA_GNMA_TRADING_FFIEC">"c12817"</definedName>
    <definedName name="IQ_OTHER_MBS_TRADING_DOM_FFIEC">"c12923"</definedName>
    <definedName name="IQ_OTHER_MBS_TRADING_FFIEC">"c12818"</definedName>
    <definedName name="IQ_OTHER_MINING_REVENUE_COAL">"c15931"</definedName>
    <definedName name="IQ_OTHER_NET" hidden="1">"c1453"</definedName>
    <definedName name="IQ_OTHER_NON_INT_ALLOCATIONS_FFIEC">"c13065"</definedName>
    <definedName name="IQ_OTHER_NON_INT_EXP" hidden="1">"c953"</definedName>
    <definedName name="IQ_OTHER_NON_INT_EXP_FDIC" hidden="1">"c6578"</definedName>
    <definedName name="IQ_OTHER_NON_INT_EXP_FFIEC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>"c13392"</definedName>
    <definedName name="IQ_OTHER_NON_INT_INCOME_FFIEC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>"c13407"</definedName>
    <definedName name="IQ_OTHER_NONFARM_NONRES_LL_REC_DOM_FFIEC">"c12907"</definedName>
    <definedName name="IQ_OTHER_NONFARM_NONRES_RISK_BASED_FFIEC">"c13428"</definedName>
    <definedName name="IQ_OTHER_NONINTEREST_INC_FOREIGN_FFIEC">"c15380"</definedName>
    <definedName name="IQ_OTHER_OFF_BS_ITEMS_FFIEC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>"c13770"</definedName>
    <definedName name="IQ_OTHER_PC_WRITTEN" hidden="1">"c1006"</definedName>
    <definedName name="IQ_OTHER_PROP" hidden="1">"c8764"</definedName>
    <definedName name="IQ_OTHER_PROP_OPERATING_EXPENSE">"c16043"</definedName>
    <definedName name="IQ_OTHER_PROP_OPERATING_REVENUE">"c16027"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>"c12823"</definedName>
    <definedName name="IQ_OTHER_REVOLVING_CREDIT_LL_REC_FFIEC">"c12890"</definedName>
    <definedName name="IQ_OTHER_REVOLVING_CREDIT_LOANS_TRADING_DOM_FFIEC">"c12934"</definedName>
    <definedName name="IQ_OTHER_ROOMS" hidden="1">"c8788"</definedName>
    <definedName name="IQ_OTHER_SAVINGS_DEPOSITS_FDIC" hidden="1">"c6554"</definedName>
    <definedName name="IQ_OTHER_SAVINGS_DEPOSITS_NON_TRANS_ACCTS_FFIEC">"c15331"</definedName>
    <definedName name="IQ_OTHER_SECURITIES_QUARTERLY_AVG_FFIEC">"c15472"</definedName>
    <definedName name="IQ_OTHER_SQ_FT" hidden="1">"c8780"</definedName>
    <definedName name="IQ_OTHER_STRIKE_PRICE_GRANTED" hidden="1">"c2692"</definedName>
    <definedName name="IQ_OTHER_TAX_EQUIVALENT_ADJUSTMENTS_FFIEC">"c13855"</definedName>
    <definedName name="IQ_OTHER_TRADING_ASSETS_FAIR_VALUE_TOT_FFIEC">"c15404"</definedName>
    <definedName name="IQ_OTHER_TRADING_ASSETS_FFIEC">"c12826"</definedName>
    <definedName name="IQ_OTHER_TRADING_ASSETS_LEVEL_1_FFIEC">"c15426"</definedName>
    <definedName name="IQ_OTHER_TRADING_ASSETS_LEVEL_2_FFIEC">"c15439"</definedName>
    <definedName name="IQ_OTHER_TRADING_ASSETS_LEVEL_3_FFIEC">"c15452"</definedName>
    <definedName name="IQ_OTHER_TRADING_ASSETS_TOTAL_FFIEC">"c12937"</definedName>
    <definedName name="IQ_OTHER_TRADING_LIABILITIES_FAIR_VALUE_TOT_FFIEC">"c15408"</definedName>
    <definedName name="IQ_OTHER_TRADING_LIABILITIES_FFIEC">"c12860"</definedName>
    <definedName name="IQ_OTHER_TRADING_LIABILITIES_LEVEL_1_FFIEC">"c15430"</definedName>
    <definedName name="IQ_OTHER_TRADING_LIABILITIES_LEVEL_2_FFIEC">"c15443"</definedName>
    <definedName name="IQ_OTHER_TRADING_LIABILITIES_LEVEL_3_FFIEC">"c15456"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>"c13361"</definedName>
    <definedName name="IQ_OVERHEAD_EXP_REV_FFIEC">"c13494"</definedName>
    <definedName name="IQ_OVERHEAD_NON_INT_INC_AVG_ASSETS_FFIEC">"c13374"</definedName>
    <definedName name="IQ_OVERHEAD_NON_INT_OPERATING_INC_FFIEC">"c13393"</definedName>
    <definedName name="IQ_OVERHEAD_OPERATING_INC_FFIEC">"c13378"</definedName>
    <definedName name="IQ_OWNED_RESERVES_COAL">"c15916"</definedName>
    <definedName name="IQ_OWNED_RESERVES_TO_TOTAL_RESERVES_COAL">"c15957"</definedName>
    <definedName name="IQ_OWNER_OCCUPIED_GROSS_LOANS_FFIEC">"c13406"</definedName>
    <definedName name="IQ_OWNER_OCCUPIED_LOANS_RISK_BASED_FFIEC">"c13427"</definedName>
    <definedName name="IQ_OWNER_OCCUPIED_NONFARM_NONRES_LL_REC_DOM_FFIEC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>"c13254"</definedName>
    <definedName name="IQ_PARTNERSHIP_INC_RE" hidden="1">"c12039"</definedName>
    <definedName name="IQ_PASS_THROUGH_FNMA_GNMA_TRADING_FFIEC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EXCL_FWD_THOM" hidden="1">"c4056"</definedName>
    <definedName name="IQ_PE_FUND_DATE_EST">"c19174"</definedName>
    <definedName name="IQ_PE_FUND_DATE_MONTH">"c19172"</definedName>
    <definedName name="IQ_PE_FUND_DATE_YEAR">"c18925"</definedName>
    <definedName name="IQ_PE_FUND_FAMILIES">"c18917"</definedName>
    <definedName name="IQ_PE_FUND_FAMILIES_ID">"c18918"</definedName>
    <definedName name="IQ_PE_FUND_FAMILIES_REL">"c18919"</definedName>
    <definedName name="IQ_PE_FUND_ID">"c18923"</definedName>
    <definedName name="IQ_PE_FUND_INVEST_AMOUNT">"c18933"</definedName>
    <definedName name="IQ_PE_FUND_INVEST_DATE_MONTH">"c19173"</definedName>
    <definedName name="IQ_PE_FUND_INVEST_DATE_YEAR">"c18934"</definedName>
    <definedName name="IQ_PE_FUND_NAME">"c18922"</definedName>
    <definedName name="IQ_PE_FUND_SIZE">"c18924"</definedName>
    <definedName name="IQ_PE_FUND_STAGE">"c18928"</definedName>
    <definedName name="IQ_PE_FUND_TARGET_MAX">"c18927"</definedName>
    <definedName name="IQ_PE_FUND_TARGET_MIN">"c18926"</definedName>
    <definedName name="IQ_PE_FUND_TRANSACTION_COMMENTS">"c18931"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G_FWD_THOM" hidden="1">"c4059"</definedName>
    <definedName name="IQ_PENETRATION_BASIC_CABLE">"c16204"</definedName>
    <definedName name="IQ_PENETRATION_BBAND">"c2852"</definedName>
    <definedName name="IQ_PENETRATION_BBAND_THP">"c2851"</definedName>
    <definedName name="IQ_PENETRATION_PHONE">"c2853"</definedName>
    <definedName name="IQ_PENETRATION_VIDEO">"c2850"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REUT" hidden="1">"c3959"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REUT" hidden="1">"c3960"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REUT" hidden="1">"c3956"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REUT" hidden="1">"c3957"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REUT" hidden="1">"c3958"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REUT" hidden="1">"c3954"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REUT" hidden="1">"c3955"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REUT" hidden="1">"c5435"</definedName>
    <definedName name="IQ_PERCENT_CHANGE_EST_5YR_GROWTH_RATE_WEEK_THOM" hidden="1">"c5277"</definedName>
    <definedName name="IQ_PERCENT_CHANGE_EST_CFPS_12MONTHS" hidden="1">"c1812"</definedName>
    <definedName name="IQ_PERCENT_CHANGE_EST_CFPS_12MONTHS_REUT" hidden="1">"c3924"</definedName>
    <definedName name="IQ_PERCENT_CHANGE_EST_CFPS_12MONTHS_THOM" hidden="1">"c5234"</definedName>
    <definedName name="IQ_PERCENT_CHANGE_EST_CFPS_18MONTHS" hidden="1">"c1813"</definedName>
    <definedName name="IQ_PERCENT_CHANGE_EST_CFPS_18MONTHS_REUT" hidden="1">"c3925"</definedName>
    <definedName name="IQ_PERCENT_CHANGE_EST_CFPS_18MONTHS_THOM" hidden="1">"c5235"</definedName>
    <definedName name="IQ_PERCENT_CHANGE_EST_CFPS_3MONTHS" hidden="1">"c1809"</definedName>
    <definedName name="IQ_PERCENT_CHANGE_EST_CFPS_3MONTHS_REUT" hidden="1">"c3921"</definedName>
    <definedName name="IQ_PERCENT_CHANGE_EST_CFPS_3MONTHS_THOM" hidden="1">"c5231"</definedName>
    <definedName name="IQ_PERCENT_CHANGE_EST_CFPS_6MONTHS" hidden="1">"c1810"</definedName>
    <definedName name="IQ_PERCENT_CHANGE_EST_CFPS_6MONTHS_REUT" hidden="1">"c3922"</definedName>
    <definedName name="IQ_PERCENT_CHANGE_EST_CFPS_6MONTHS_THOM" hidden="1">"c5232"</definedName>
    <definedName name="IQ_PERCENT_CHANGE_EST_CFPS_9MONTHS" hidden="1">"c1811"</definedName>
    <definedName name="IQ_PERCENT_CHANGE_EST_CFPS_9MONTHS_REUT" hidden="1">"c3923"</definedName>
    <definedName name="IQ_PERCENT_CHANGE_EST_CFPS_9MONTHS_THOM" hidden="1">"c5233"</definedName>
    <definedName name="IQ_PERCENT_CHANGE_EST_CFPS_DAY" hidden="1">"c1806"</definedName>
    <definedName name="IQ_PERCENT_CHANGE_EST_CFPS_DAY_REUT" hidden="1">"c3919"</definedName>
    <definedName name="IQ_PERCENT_CHANGE_EST_CFPS_DAY_THOM" hidden="1">"c5229"</definedName>
    <definedName name="IQ_PERCENT_CHANGE_EST_CFPS_MONTH" hidden="1">"c1808"</definedName>
    <definedName name="IQ_PERCENT_CHANGE_EST_CFPS_MONTH_REUT" hidden="1">"c3920"</definedName>
    <definedName name="IQ_PERCENT_CHANGE_EST_CFPS_MONTH_THOM" hidden="1">"c5230"</definedName>
    <definedName name="IQ_PERCENT_CHANGE_EST_CFPS_WEEK" hidden="1">"c1807"</definedName>
    <definedName name="IQ_PERCENT_CHANGE_EST_CFPS_WEEK_REUT" hidden="1">"c3962"</definedName>
    <definedName name="IQ_PERCENT_CHANGE_EST_CFPS_WEEK_THOM" hidden="1">"c5272"</definedName>
    <definedName name="IQ_PERCENT_CHANGE_EST_DPS_12MONTHS" hidden="1">"c1820"</definedName>
    <definedName name="IQ_PERCENT_CHANGE_EST_DPS_12MONTHS_REUT" hidden="1">"c3931"</definedName>
    <definedName name="IQ_PERCENT_CHANGE_EST_DPS_12MONTHS_THOM" hidden="1">"c5241"</definedName>
    <definedName name="IQ_PERCENT_CHANGE_EST_DPS_18MONTHS" hidden="1">"c1821"</definedName>
    <definedName name="IQ_PERCENT_CHANGE_EST_DPS_18MONTHS_REUT" hidden="1">"c3932"</definedName>
    <definedName name="IQ_PERCENT_CHANGE_EST_DPS_18MONTHS_THOM" hidden="1">"c5242"</definedName>
    <definedName name="IQ_PERCENT_CHANGE_EST_DPS_3MONTHS" hidden="1">"c1817"</definedName>
    <definedName name="IQ_PERCENT_CHANGE_EST_DPS_3MONTHS_REUT" hidden="1">"c3928"</definedName>
    <definedName name="IQ_PERCENT_CHANGE_EST_DPS_3MONTHS_THOM" hidden="1">"c5238"</definedName>
    <definedName name="IQ_PERCENT_CHANGE_EST_DPS_6MONTHS" hidden="1">"c1818"</definedName>
    <definedName name="IQ_PERCENT_CHANGE_EST_DPS_6MONTHS_REUT" hidden="1">"c3929"</definedName>
    <definedName name="IQ_PERCENT_CHANGE_EST_DPS_6MONTHS_THOM" hidden="1">"c5239"</definedName>
    <definedName name="IQ_PERCENT_CHANGE_EST_DPS_9MONTHS" hidden="1">"c1819"</definedName>
    <definedName name="IQ_PERCENT_CHANGE_EST_DPS_9MONTHS_REUT" hidden="1">"c3930"</definedName>
    <definedName name="IQ_PERCENT_CHANGE_EST_DPS_9MONTHS_THOM" hidden="1">"c5240"</definedName>
    <definedName name="IQ_PERCENT_CHANGE_EST_DPS_DAY" hidden="1">"c1814"</definedName>
    <definedName name="IQ_PERCENT_CHANGE_EST_DPS_DAY_REUT" hidden="1">"c3926"</definedName>
    <definedName name="IQ_PERCENT_CHANGE_EST_DPS_DAY_THOM" hidden="1">"c5236"</definedName>
    <definedName name="IQ_PERCENT_CHANGE_EST_DPS_MONTH" hidden="1">"c1816"</definedName>
    <definedName name="IQ_PERCENT_CHANGE_EST_DPS_MONTH_REUT" hidden="1">"c3927"</definedName>
    <definedName name="IQ_PERCENT_CHANGE_EST_DPS_MONTH_THOM" hidden="1">"c5237"</definedName>
    <definedName name="IQ_PERCENT_CHANGE_EST_DPS_WEEK" hidden="1">"c1815"</definedName>
    <definedName name="IQ_PERCENT_CHANGE_EST_DPS_WEEK_REUT" hidden="1">"c3963"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REUT" hidden="1">"c3917"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REUT" hidden="1">"c3918"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REUT" hidden="1">"c3914"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REUT" hidden="1">"c3915"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REUT" hidden="1">"c3916"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REUT" hidden="1">"c3912"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REUT" hidden="1">"c3913"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REUT" hidden="1">"c3961"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REUT" hidden="1">"c3902"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REUT" hidden="1">"c3903"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REUT" hidden="1">"c3899"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REUT" hidden="1">"c3900"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REUT" hidden="1">"c3901"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REUT" hidden="1">"c3896"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REUT" hidden="1">"c3898"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REUT" hidden="1">"c3897"</definedName>
    <definedName name="IQ_PERCENT_CHANGE_EST_EPS_WEEK_THOM" hidden="1">"c5207"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SHARE_12MONTHS" hidden="1">"c1828"</definedName>
    <definedName name="IQ_PERCENT_CHANGE_EST_FFO_SHARE_12MONTHS_THOM" hidden="1">"c5248"</definedName>
    <definedName name="IQ_PERCENT_CHANGE_EST_FFO_SHARE_18MONTHS" hidden="1">"c1829"</definedName>
    <definedName name="IQ_PERCENT_CHANGE_EST_FFO_SHARE_18MONTHS_THOM" hidden="1">"c5249"</definedName>
    <definedName name="IQ_PERCENT_CHANGE_EST_FFO_SHARE_3MONTHS" hidden="1">"c1825"</definedName>
    <definedName name="IQ_PERCENT_CHANGE_EST_FFO_SHARE_3MONTHS_THOM" hidden="1">"c5245"</definedName>
    <definedName name="IQ_PERCENT_CHANGE_EST_FFO_SHARE_6MONTHS" hidden="1">"c1826"</definedName>
    <definedName name="IQ_PERCENT_CHANGE_EST_FFO_SHARE_6MONTHS_THOM" hidden="1">"c5246"</definedName>
    <definedName name="IQ_PERCENT_CHANGE_EST_FFO_SHARE_9MONTHS" hidden="1">"c1827"</definedName>
    <definedName name="IQ_PERCENT_CHANGE_EST_FFO_SHARE_9MONTHS_THOM" hidden="1">"c5247"</definedName>
    <definedName name="IQ_PERCENT_CHANGE_EST_FFO_SHARE_DAY" hidden="1">"c1822"</definedName>
    <definedName name="IQ_PERCENT_CHANGE_EST_FFO_SHARE_DAY_THOM" hidden="1">"c5243"</definedName>
    <definedName name="IQ_PERCENT_CHANGE_EST_FFO_SHARE_MONTH" hidden="1">"c1824"</definedName>
    <definedName name="IQ_PERCENT_CHANGE_EST_FFO_SHARE_MONTH_THOM" hidden="1">"c5244"</definedName>
    <definedName name="IQ_PERCENT_CHANGE_EST_FFO_SHARE_SHARE_12MONTHS" hidden="1">"c1828"</definedName>
    <definedName name="IQ_PERCENT_CHANGE_EST_FFO_SHARE_SHARE_12MONTHS_REUT" hidden="1">"c3938"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REUT" hidden="1">"c3939"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REUT" hidden="1">"c3935"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REUT" hidden="1">"c3936"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REUT" hidden="1">"c3937"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REUT" hidden="1">"c3933"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REUT" hidden="1">"c3934"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REUT" hidden="1">"c3964"</definedName>
    <definedName name="IQ_PERCENT_CHANGE_EST_FFO_SHARE_SHARE_WEEK_THOM" hidden="1">"c5274"</definedName>
    <definedName name="IQ_PERCENT_CHANGE_EST_FFO_SHARE_WEEK" hidden="1">"c1823"</definedName>
    <definedName name="IQ_PERCENT_CHANGE_EST_FFO_SHARE_WEEK_THOM" hidden="1">"c5274"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REUT" hidden="1">"c3952"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REUT" hidden="1">"c3953"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REUT" hidden="1">"c3949"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REUT" hidden="1">"c3950"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REUT" hidden="1">"c3951"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REUT" hidden="1">"c3947"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REUT" hidden="1">"c3948"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REUT" hidden="1">"c3967"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REUT" hidden="1">"c3945"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REUT" hidden="1">"c3946"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REUT" hidden="1">"c3942"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REUT" hidden="1">"c3943"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REUT" hidden="1">"c3944"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REUT" hidden="1">"c3940"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REUT" hidden="1">"c3941"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REUT" hidden="1">"c3965"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REUT" hidden="1">"c3910"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REUT" hidden="1">"c3911"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REUT" hidden="1">"c3907"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REUT" hidden="1">"c3908"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REUT" hidden="1">"c3909"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REUT" hidden="1">"c3904"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REUT" hidden="1">"c3906"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REUT" hidden="1">"c3905"</definedName>
    <definedName name="IQ_PERCENT_CHANGE_EST_REV_WEEK_THOM" hidden="1">"c5215"</definedName>
    <definedName name="IQ_PERCENT_FLOAT" hidden="1">"c227"</definedName>
    <definedName name="IQ_PERCENT_INSURED_FDIC" hidden="1">"c6374"</definedName>
    <definedName name="IQ_PERCENTAGE_RENT">"c16018"</definedName>
    <definedName name="IQ_PERCENTAGE_RENT_RENTAL_REVENUE">"c16063"</definedName>
    <definedName name="IQ_PERFORMANCE_LOC_FOREIGN_GUARANTEES_FFIEC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>"c13371"</definedName>
    <definedName name="IQ_PERSONNEL_EXP_OPERATING_INC_FFIEC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"c10027"</definedName>
    <definedName name="IQ_PHARMBIO_NUMBER_PROD__CLINICAL_DEV" hidden="1">"c10022"</definedName>
    <definedName name="IQ_PHARMBIO_NUMBER_PROD__LAUNCHED_DURING_PERIOD" hidden="1">"c10028"</definedName>
    <definedName name="IQ_PHARMBIO_NUMBER_PROD__PHASE_I" hidden="1">"c10023"</definedName>
    <definedName name="IQ_PHARMBIO_NUMBER_PROD__PHASE_II" hidden="1">"c10024"</definedName>
    <definedName name="IQ_PHARMBIO_NUMBER_PROD__PHASE_III" hidden="1">"c10025"</definedName>
    <definedName name="IQ_PHARMBIO_NUMBER_PROD__PRE_CLINICAL_TRIALS" hidden="1">"c10021"</definedName>
    <definedName name="IQ_PHARMBIO_NUMBER_PROD__PRE_REGISTRATION" hidden="1">"c10026"</definedName>
    <definedName name="IQ_PHARMBIO_NUMBER_PROD__RESEARCH_DEV" hidden="1">"c10020"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RTFOLIO_SHARES" hidden="1">"c19116"</definedName>
    <definedName name="IQ_POSITIVE_FAIR_VALUE_DERIVATIVES_BENEFICIARY_FFIEC">"c13123"</definedName>
    <definedName name="IQ_POSITIVE_FAIR_VALUE_DERIVATIVES_GUARANTOR_FFIEC">"c13116"</definedName>
    <definedName name="IQ_POST_RETIRE_EXP" hidden="1">"c1039"</definedName>
    <definedName name="IQ_POSTAGE_FFIEC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REUT" hidden="1">"c3968"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CIQ_COL" hidden="1">"c11711"</definedName>
    <definedName name="IQ_PRE_TAX_ACT_OR_EST_REUT" hidden="1">"c5467"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>"c12875"</definedName>
    <definedName name="IQ_PREF_TOT" hidden="1">"c1415"</definedName>
    <definedName name="IQ_PREFERRED_DEPOSITS_FFIEC">"c15312"</definedName>
    <definedName name="IQ_PREFERRED_FDIC" hidden="1">"c6349"</definedName>
    <definedName name="IQ_PREFERRED_LIST">"c13506"</definedName>
    <definedName name="IQ_PREMISES_EQUIPMENT_FDIC" hidden="1">"c6577"</definedName>
    <definedName name="IQ_PREMISES_FIXED_ASSETS_CAP_LEASES_FFIEC">"c12830"</definedName>
    <definedName name="IQ_PREMIUM_INSURANCE_CREDIT_FFIEC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SIDENT_ID">"c15216"</definedName>
    <definedName name="IQ_PRESIDENT_NAME">"c15215"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AFTER_CAP_ALLOCATION_FOREIGN_FFIEC">"c15390"</definedName>
    <definedName name="IQ_PRETAX_INC_BEFORE_CAP_ALLOCATION_FOREIGN_FFIEC">"c15388"</definedName>
    <definedName name="IQ_PRETAX_INC_DET_EST" hidden="1">"c12055"</definedName>
    <definedName name="IQ_PRETAX_INC_DET_EST_CURRENCY" hidden="1">"c12462"</definedName>
    <definedName name="IQ_PRETAX_INC_DET_EST_CURRENCY_THOM" hidden="1">"c12483"</definedName>
    <definedName name="IQ_PRETAX_INC_DET_EST_DATE" hidden="1">"c12208"</definedName>
    <definedName name="IQ_PRETAX_INC_DET_EST_DATE_THOM" hidden="1">"c12234"</definedName>
    <definedName name="IQ_PRETAX_INC_DET_EST_INCL" hidden="1">"c12345"</definedName>
    <definedName name="IQ_PRETAX_INC_DET_EST_INCL_THOM" hidden="1">"c12366"</definedName>
    <definedName name="IQ_PRETAX_INC_DET_EST_ORIGIN" hidden="1">"c12771"</definedName>
    <definedName name="IQ_PRETAX_INC_DET_EST_ORIGIN_THOM" hidden="1">"c12604"</definedName>
    <definedName name="IQ_PRETAX_INC_DET_EST_THOM" hidden="1">"c12084"</definedName>
    <definedName name="IQ_PRETAX_INC_EST" hidden="1">"c1695"</definedName>
    <definedName name="IQ_PRETAX_INC_EST_REUT" hidden="1">"c5347"</definedName>
    <definedName name="IQ_PRETAX_INC_EST_THOM" hidden="1">"c5119"</definedName>
    <definedName name="IQ_PRETAX_INC_HIGH_EST" hidden="1">"c1697"</definedName>
    <definedName name="IQ_PRETAX_INC_HIGH_EST_REUT" hidden="1">"c5349"</definedName>
    <definedName name="IQ_PRETAX_INC_HIGH_EST_THOM" hidden="1">"c5121"</definedName>
    <definedName name="IQ_PRETAX_INC_LOW_EST" hidden="1">"c1698"</definedName>
    <definedName name="IQ_PRETAX_INC_LOW_EST_REUT" hidden="1">"c5350"</definedName>
    <definedName name="IQ_PRETAX_INC_LOW_EST_THOM" hidden="1">"c5122"</definedName>
    <definedName name="IQ_PRETAX_INC_MEDIAN_EST" hidden="1">"c1696"</definedName>
    <definedName name="IQ_PRETAX_INC_MEDIAN_EST_REUT" hidden="1">"c5348"</definedName>
    <definedName name="IQ_PRETAX_INC_MEDIAN_EST_THOM" hidden="1">"c5120"</definedName>
    <definedName name="IQ_PRETAX_INC_NUM_EST" hidden="1">"c1699"</definedName>
    <definedName name="IQ_PRETAX_INC_NUM_EST_REUT" hidden="1">"c5351"</definedName>
    <definedName name="IQ_PRETAX_INC_NUM_EST_THOM" hidden="1">"c5123"</definedName>
    <definedName name="IQ_PRETAX_INC_STDDEV_EST" hidden="1">"c1700"</definedName>
    <definedName name="IQ_PRETAX_INC_STDDEV_EST_REUT" hidden="1">"c5352"</definedName>
    <definedName name="IQ_PRETAX_INC_STDDEV_EST_THOM" hidden="1">"c5124"</definedName>
    <definedName name="IQ_PRETAX_OPERATING_INC_AVG_ASSETS_FFIEC">"c13365"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ETAX_RETURN_ASSETS_FDIC" hidden="1">"c6731"</definedName>
    <definedName name="IQ_PREV_CONTRACT_ID" hidden="1">"c13929"</definedName>
    <definedName name="IQ_PREV_MONTHLY_FACTOR" hidden="1">"c8973"</definedName>
    <definedName name="IQ_PREV_MONTHLY_FACTOR_DATE" hidden="1">"c8974"</definedName>
    <definedName name="IQ_PREVIOUS_TIME_RT">"PREVIOUSLASTTIME"</definedName>
    <definedName name="IQ_PRICE_CFPS_FWD" hidden="1">"c2237"</definedName>
    <definedName name="IQ_PRICE_CFPS_FWD_REUT" hidden="1">"c4053"</definedName>
    <definedName name="IQ_PRICE_CFPS_FWD_THOM" hidden="1">"c4060"</definedName>
    <definedName name="IQ_PRICE_OVER_BVPS" hidden="1">"c1412"</definedName>
    <definedName name="IQ_PRICE_OVER_EPS_EST" hidden="1">"c174"</definedName>
    <definedName name="IQ_PRICE_OVER_EPS_EST_1" hidden="1">"c175"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SALES" hidden="1">"c17552"</definedName>
    <definedName name="IQ_PRICE_TARGET" hidden="1">"c82"</definedName>
    <definedName name="IQ_PRICE_TARGET_BOTTOM_UP" hidden="1">"c5486"</definedName>
    <definedName name="IQ_PRICE_TARGET_BOTTOM_UP_CIQ" hidden="1">"c12023"</definedName>
    <definedName name="IQ_PRICE_TARGET_BOTTOM_UP_REUT" hidden="1">"c5494"</definedName>
    <definedName name="IQ_PRICE_TARGET_CIQ" hidden="1">"c3613"</definedName>
    <definedName name="IQ_PRICE_TARGET_REUT" hidden="1">"c3631"</definedName>
    <definedName name="IQ_PRICE_TARGET_THOM" hidden="1">"c3649"</definedName>
    <definedName name="IQ_PRICE_UNIT" hidden="1">"c15556"</definedName>
    <definedName name="IQ_PRICE_VOL_HIST_2YR">"c15637"</definedName>
    <definedName name="IQ_PRICE_VOL_HIST_3MTH">"c15634"</definedName>
    <definedName name="IQ_PRICE_VOL_HIST_5YR">"c15638"</definedName>
    <definedName name="IQ_PRICE_VOL_HIST_6MTH">"c15635"</definedName>
    <definedName name="IQ_PRICE_VOL_HIST_YR">"c15636"</definedName>
    <definedName name="IQ_PRICE_VOLATILITY_EST" hidden="1">"c4492"</definedName>
    <definedName name="IQ_PRICE_VOLATILITY_EST_CIQ_COL" hidden="1">"c11677"</definedName>
    <definedName name="IQ_PRICE_VOLATILITY_HIGH" hidden="1">"c4493"</definedName>
    <definedName name="IQ_PRICE_VOLATILITY_HIGH_CIQ_COL" hidden="1">"c11678"</definedName>
    <definedName name="IQ_PRICE_VOLATILITY_LOW" hidden="1">"c4494"</definedName>
    <definedName name="IQ_PRICE_VOLATILITY_LOW_CIQ_COL" hidden="1">"c11679"</definedName>
    <definedName name="IQ_PRICE_VOLATILITY_MEDIAN" hidden="1">"c4495"</definedName>
    <definedName name="IQ_PRICE_VOLATILITY_MEDIAN_CIQ_COL" hidden="1">"c11680"</definedName>
    <definedName name="IQ_PRICE_VOLATILITY_NUM" hidden="1">"c4496"</definedName>
    <definedName name="IQ_PRICE_VOLATILITY_NUM_CIQ_COL" hidden="1">"c11681"</definedName>
    <definedName name="IQ_PRICE_VOLATILITY_STDDEV" hidden="1">"c4497"</definedName>
    <definedName name="IQ_PRICE_VOLATILITY_STDDEV_CIQ_COL" hidden="1">"c11682"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" hidden="1">"c4498"</definedName>
    <definedName name="IQ_PRIMARY_EPS_TYPE_CIQ" hidden="1">"c5036"</definedName>
    <definedName name="IQ_PRIMARY_EPS_TYPE_REUT" hidden="1">"c5481"</definedName>
    <definedName name="IQ_PRIMARY_EPS_TYPE_THOM" hidden="1">"c5297"</definedName>
    <definedName name="IQ_PRIMARY_EST_CONSOLIDATION" hidden="1">"c16246"</definedName>
    <definedName name="IQ_PRIMARY_EST_CONSOLIDATION_CIQ" hidden="1">"c16247"</definedName>
    <definedName name="IQ_PRIMARY_INDUSTRY" hidden="1">"c1070"</definedName>
    <definedName name="IQ_PRIMARY_SIC_CODE">"c16218"</definedName>
    <definedName name="IQ_PRIMARY_SIC_INDUSTRY">"c16217"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BABLE_RESERVES_TO_TOTAL_RESERVES_COAL">"c15953"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DUCTION_TO_SOLD_COAL">"c15945"</definedName>
    <definedName name="IQ_PROFESSIONAL" hidden="1">"c1071"</definedName>
    <definedName name="IQ_PROFESSIONAL_ALL_OTHER_COMP">"c18944"</definedName>
    <definedName name="IQ_PROFESSIONAL_ANNUAL_CASH_COMP">"c18945"</definedName>
    <definedName name="IQ_PROFESSIONAL_AS_REPORTED_COMP">"c18949"</definedName>
    <definedName name="IQ_PROFESSIONAL_AS_REPORTED_DIRECTOR_COMP">"c18961"</definedName>
    <definedName name="IQ_PROFESSIONAL_ASSISTANT_EMAIL">"c15169"</definedName>
    <definedName name="IQ_PROFESSIONAL_ASSISTANT_FAX">"c15171"</definedName>
    <definedName name="IQ_PROFESSIONAL_ASSISTANT_NAME">"c15168"</definedName>
    <definedName name="IQ_PROFESSIONAL_ASSISTANT_PHONE">"c15170"</definedName>
    <definedName name="IQ_PROFESSIONAL_BACKGROUND">"c15161"</definedName>
    <definedName name="IQ_PROFESSIONAL_BONUS">"c18940"</definedName>
    <definedName name="IQ_PROFESSIONAL_CALCULATED_COMP">"c18947"</definedName>
    <definedName name="IQ_PROFESSIONAL_CHANGE_PENSION">"c18962"</definedName>
    <definedName name="IQ_PROFESSIONAL_DIRECT_FAX">"c15166"</definedName>
    <definedName name="IQ_PROFESSIONAL_DIRECT_PHONE">"c15165"</definedName>
    <definedName name="IQ_PROFESSIONAL_DIRECTOR_BONUS">"c18956"</definedName>
    <definedName name="IQ_PROFESSIONAL_DIRECTOR_CHANGE_PENSION">"c18957"</definedName>
    <definedName name="IQ_PROFESSIONAL_DIRECTOR_FEE">"c18953"</definedName>
    <definedName name="IQ_PROFESSIONAL_DIRECTOR_NON_EQUITY_COMP">"c18958"</definedName>
    <definedName name="IQ_PROFESSIONAL_DIRECTOR_OPTION_AWARDS">"c18954"</definedName>
    <definedName name="IQ_PROFESSIONAL_DIRECTOR_OTHER">"c18955"</definedName>
    <definedName name="IQ_PROFESSIONAL_DIRECTOR_STOCK_AWARDS">"c18959"</definedName>
    <definedName name="IQ_PROFESSIONAL_DIRECTOR_STOCK_GRANTS">"c18986"</definedName>
    <definedName name="IQ_PROFESSIONAL_DIRECTOR_STOCK_OPTIONS">"c18960"</definedName>
    <definedName name="IQ_PROFESSIONAL_EMAIL">"c15167"</definedName>
    <definedName name="IQ_PROFESSIONAL_EQUITY_INCENTIVE">"c18982"</definedName>
    <definedName name="IQ_PROFESSIONAL_EST_PAYMENTS_CHANGE_CONTROL">"c18951"</definedName>
    <definedName name="IQ_PROFESSIONAL_EST_PAYMENTS_TERMINATION">"c18963"</definedName>
    <definedName name="IQ_PROFESSIONAL_EXERCISABLE_OPTIONS">"c18966"</definedName>
    <definedName name="IQ_PROFESSIONAL_EXERCISABLE_VALUES">"c18967"</definedName>
    <definedName name="IQ_PROFESSIONAL_EXERCISED_OPTIONS">"c18964"</definedName>
    <definedName name="IQ_PROFESSIONAL_EXERCISED_VALUES">"c18965"</definedName>
    <definedName name="IQ_PROFESSIONAL_ID">"c13755"</definedName>
    <definedName name="IQ_PROFESSIONAL_LT_INCENTIVE">"c18943"</definedName>
    <definedName name="IQ_PROFESSIONAL_MAIN_FAX">"c15164"</definedName>
    <definedName name="IQ_PROFESSIONAL_MAIN_PHONE">"c15163"</definedName>
    <definedName name="IQ_PROFESSIONAL_MARKET_VALUE_SHARES_NOT_VESTED">"c18981"</definedName>
    <definedName name="IQ_PROFESSIONAL_NON_EQUITY_INCENTIVE">"c18952"</definedName>
    <definedName name="IQ_PROFESSIONAL_NUM_SHARED_NOT_VESTED">"c18980"</definedName>
    <definedName name="IQ_PROFESSIONAL_NUM_SHARES_ACQUIRED">"c18978"</definedName>
    <definedName name="IQ_PROFESSIONAL_OFFICE_ADDRESS">"c15162"</definedName>
    <definedName name="IQ_PROFESSIONAL_OPTION_AWARDS">"c18948"</definedName>
    <definedName name="IQ_PROFESSIONAL_OPTION_MARKET_PRICE">"c18977"</definedName>
    <definedName name="IQ_PROFESSIONAL_OPTION_PRICE">"c18976"</definedName>
    <definedName name="IQ_PROFESSIONAL_OTHER_ANNUAL_COMP">"c18941"</definedName>
    <definedName name="IQ_PROFESSIONAL_OTHER_COMP">"c18950"</definedName>
    <definedName name="IQ_PROFESSIONAL_RESTRICTED_STOCK_COMP">"c18942"</definedName>
    <definedName name="IQ_PROFESSIONAL_SALARY">"c18939"</definedName>
    <definedName name="IQ_PROFESSIONAL_ST_COMP">"c18946"</definedName>
    <definedName name="IQ_PROFESSIONAL_TITLE" hidden="1">"c1072"</definedName>
    <definedName name="IQ_PROFESSIONAL_TOTAL_NUM_STOCK_AWARDS">"c18985"</definedName>
    <definedName name="IQ_PROFESSIONAL_TOTAL_OPTIONS">"c18974"</definedName>
    <definedName name="IQ_PROFESSIONAL_TOTAL_STOCK_VALUE">"c18984"</definedName>
    <definedName name="IQ_PROFESSIONAL_TOTAL_VALUE_OPTIONS">"c18975"</definedName>
    <definedName name="IQ_PROFESSIONAL_UNCLASSIFIED_OPTIONS">"c18970"</definedName>
    <definedName name="IQ_PROFESSIONAL_UNCLASSIFIED_OPTIONS_VALUE">"c18971"</definedName>
    <definedName name="IQ_PROFESSIONAL_UNEARNED_STOCK_VALUE">"c18983"</definedName>
    <definedName name="IQ_PROFESSIONAL_UNEXERCISABLE_OPTIONS">"c18968"</definedName>
    <definedName name="IQ_PROFESSIONAL_UNEXERCISABLE_VALUES">"c18969"</definedName>
    <definedName name="IQ_PROFESSIONAL_UNEXERCISED_UNEARNED_OPTIONS">"c18972"</definedName>
    <definedName name="IQ_PROFESSIONAL_UNEXERCISED_UNEARNED_OPTIONS_VALUE">"c18973"</definedName>
    <definedName name="IQ_PROFESSIONAL_VALUE_VESTING">"c18979"</definedName>
    <definedName name="IQ_PROFIT_AFTER_COST_CAPITAL_NEW_BUSINESS" hidden="1">"c9969"</definedName>
    <definedName name="IQ_PROFIT_BEFORE_COST_CAPITAL_NEW_BUSINESS" hidden="1">"c9967"</definedName>
    <definedName name="IQ_PROGRAMMING_COSTS">"c2884"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_MGMT_EXPENSE">"c16038"</definedName>
    <definedName name="IQ_PROP_MGMT_INCOME">"c16028"</definedName>
    <definedName name="IQ_PROP_OPERATING_EXPENSE">"c16037"</definedName>
    <definedName name="IQ_PROP_RENTAL_REVENUE">"c16019"</definedName>
    <definedName name="IQ_PROP_SALES_EXPENSE">"c16044"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PERTY_TAX_INSURANCE">"c16033"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EN_RESERVES_TO_TOTAL_RESERVES_COAL">"c15952"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AVG_LOANS">"c15717"</definedName>
    <definedName name="IQ_PROVISION_CHARGE_OFFS" hidden="1">"c1083"</definedName>
    <definedName name="IQ_PROVISION_LL_FFIEC">"c13019"</definedName>
    <definedName name="IQ_PROVISION_LOAN_LOSS_AVG_ASSETS_FFIEC">"c18879"</definedName>
    <definedName name="IQ_PROVISION_LOSSES_AVG_ASSETS_FFIEC">"c13362"</definedName>
    <definedName name="IQ_PROVISION_LOSSES_AVG_LOANS_FFIEC">"c13470"</definedName>
    <definedName name="IQ_PROVISION_LOSSES_NET_LOSSES_FFIEC">"c13471"</definedName>
    <definedName name="IQ_PSGR_REV">"c19125"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>"c12966"</definedName>
    <definedName name="IQ_PURCHASED_COAL">"c15934"</definedName>
    <definedName name="IQ_PURCHASED_CREDIT_RELS_SERVICING_ASSETS_FFIEC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D_PRODUCTION_TO_SOLD_COAL">"c15947"</definedName>
    <definedName name="IQ_PURCHASED_TO_PRODUCTION_COAL">"c15948"</definedName>
    <definedName name="IQ_PURCHASED_TO_SOLD_COAL">"c15946"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>"c13135"</definedName>
    <definedName name="IQ_QUALIFYING_SUB_DEBT_REDEEM_PREF_T2_FFIEC">"c13144"</definedName>
    <definedName name="IQ_QUALIFYING_TRUST_PREFERRED_T1_FFIEC">"c13136"</definedName>
    <definedName name="IQ_QUICK_COMP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TE_COUNTRY" hidden="1">"c19247"</definedName>
    <definedName name="IQ_RATE_LEVEL" hidden="1">"c19251"</definedName>
    <definedName name="IQ_RATE_NAME" hidden="1">"c19249"</definedName>
    <definedName name="IQ_RATE_TERM" hidden="1">"c19248"</definedName>
    <definedName name="IQ_RATE_TYPE" hidden="1">"c19246"</definedName>
    <definedName name="IQ_RAW_INV" hidden="1">"c1089"</definedName>
    <definedName name="IQ_RAW_SALEABLE_INVENTORY_COAL">"c15941"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>"c13418"</definedName>
    <definedName name="IQ_RE_ACQ_SATISFACTION_DEBTS_FFIEC">"c12832"</definedName>
    <definedName name="IQ_RE_ASSET_DEVELOPMENT_PROP">"c19136"</definedName>
    <definedName name="IQ_RE_ASSET_INVESTMENT_PROP">"c19135"</definedName>
    <definedName name="IQ_RE_ASSET_OTHER_PROP">"c19137"</definedName>
    <definedName name="IQ_RE_ASSET_TOTAL_PROP">"c19138"</definedName>
    <definedName name="IQ_RE_DEPR_AMORT" hidden="1">"c8750"</definedName>
    <definedName name="IQ_RE_DEPRECIATION">"c16045"</definedName>
    <definedName name="IQ_RE_FARMLAND_GROSS_LOANS_FFIEC">"c13408"</definedName>
    <definedName name="IQ_RE_FARMLAND_RISK_BASED_FFIEC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>"c13479"</definedName>
    <definedName name="IQ_RE_GAIN_LOSS_SALE_ASSETS" hidden="1">"c8751"</definedName>
    <definedName name="IQ_RE_INVEST_FDIC" hidden="1">"c6331"</definedName>
    <definedName name="IQ_RE_LOANS_1_4_GROSS_LOANS_FFIEC">"c13397"</definedName>
    <definedName name="IQ_RE_LOANS_DOM_QUARTERLY_AVG_FFIEC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ENTAL_EXPENSE">"c16036"</definedName>
    <definedName name="IQ_RE_RISK_BASED_FFIEC">"c13417"</definedName>
    <definedName name="IQ_REAL_ESTATE" hidden="1">"c1093"</definedName>
    <definedName name="IQ_REAL_ESTATE_ASSETS" hidden="1">"c1094"</definedName>
    <definedName name="IQ_REALIZED_GAINS_AVAIL_SALE_SEC_FFIEC">"c13022"</definedName>
    <definedName name="IQ_REALIZED_GAINS_HELD_MATURITY_SEC_FFIEC">"c13021"</definedName>
    <definedName name="IQ_REALIZED_GAINS_SEC_TOT_FFIEC">"c13517"</definedName>
    <definedName name="IQ_RECENT_FUNDS">"c18908"</definedName>
    <definedName name="IQ_RECENT_FUNDS_ID">"c18909"</definedName>
    <definedName name="IQ_RECOVERIES_1_4_FAMILY_LOANS_FDIC" hidden="1">"c6707"</definedName>
    <definedName name="IQ_RECOVERIES_AUTO_LOANS_FDIC" hidden="1">"c6701"</definedName>
    <definedName name="IQ_RECOVERIES_AVG_LOANS_FFIEC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ACT_OR_EST_CIQ_COL" hidden="1">"c11692"</definedName>
    <definedName name="IQ_RECURRING_PROFIT_EST" hidden="1">"c4499"</definedName>
    <definedName name="IQ_RECURRING_PROFIT_GUIDANCE" hidden="1">"c4500"</definedName>
    <definedName name="IQ_RECURRING_PROFIT_GUIDANCE_CIQ">"c5038"</definedName>
    <definedName name="IQ_RECURRING_PROFIT_GUIDANCE_CIQ_COL">"c11685"</definedName>
    <definedName name="IQ_RECURRING_PROFIT_HIGH_EST" hidden="1">"c4501"</definedName>
    <definedName name="IQ_RECURRING_PROFIT_HIGH_GUIDANCE" hidden="1">"c4179"</definedName>
    <definedName name="IQ_RECURRING_PROFIT_HIGH_GUIDANCE_CIQ">"c4591"</definedName>
    <definedName name="IQ_RECURRING_PROFIT_HIGH_GUIDANCE_CIQ_COL">"c11240"</definedName>
    <definedName name="IQ_RECURRING_PROFIT_LOW_EST" hidden="1">"c4502"</definedName>
    <definedName name="IQ_RECURRING_PROFIT_LOW_GUIDANCE" hidden="1">"c4219"</definedName>
    <definedName name="IQ_RECURRING_PROFIT_LOW_GUIDANCE_CIQ">"c4631"</definedName>
    <definedName name="IQ_RECURRING_PROFIT_LOW_GUIDANCE_CIQ_COL">"c11280"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ACT_OR_EST_CIQ" hidden="1">"c5046"</definedName>
    <definedName name="IQ_RECURRING_PROFIT_SHARE_ACT_OR_EST_CIQ_COL" hidden="1">"c11693"</definedName>
    <definedName name="IQ_RECURRING_PROFIT_SHARE_EST" hidden="1">"c4506"</definedName>
    <definedName name="IQ_RECURRING_PROFIT_SHARE_GUIDANCE" hidden="1">"c4509"</definedName>
    <definedName name="IQ_RECURRING_PROFIT_SHARE_GUIDANCE_CIQ">"c5047"</definedName>
    <definedName name="IQ_RECURRING_PROFIT_SHARE_GUIDANCE_CIQ_COL">"c11694"</definedName>
    <definedName name="IQ_RECURRING_PROFIT_SHARE_HIGH_EST" hidden="1">"c4510"</definedName>
    <definedName name="IQ_RECURRING_PROFIT_SHARE_HIGH_GUIDANCE" hidden="1">"c4200"</definedName>
    <definedName name="IQ_RECURRING_PROFIT_SHARE_HIGH_GUIDANCE_CIQ">"c4612"</definedName>
    <definedName name="IQ_RECURRING_PROFIT_SHARE_HIGH_GUIDANCE_CIQ_COL">"c11261"</definedName>
    <definedName name="IQ_RECURRING_PROFIT_SHARE_LOW_EST" hidden="1">"c4511"</definedName>
    <definedName name="IQ_RECURRING_PROFIT_SHARE_LOW_GUIDANCE" hidden="1">"c4240"</definedName>
    <definedName name="IQ_RECURRING_PROFIT_SHARE_LOW_GUIDANCE_CIQ">"c4652"</definedName>
    <definedName name="IQ_RECURRING_PROFIT_SHARE_LOW_GUIDANCE_CIQ_COL">"c11301"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DUCTION_TAX_POSITION_CURRENT_YR">"c15734"</definedName>
    <definedName name="IQ_REDUCTION_TAX_POSITION_PRIOR_YRS">"c15736"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TATED">"c16221"</definedName>
    <definedName name="IQ_REINSTATEMENT_DATE">"c16222"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>"c13104"</definedName>
    <definedName name="IQ_REINSURANCE_RECOVERABLE_ASSETS_PC_FFIEC">"c13098"</definedName>
    <definedName name="IQ_RELATED_PLANS_FDIC" hidden="1">"c6320"</definedName>
    <definedName name="IQ_RENT_AVG_PROP">"c16056"</definedName>
    <definedName name="IQ_RENT_OTHER_INC_FROM_OREO_FFIEC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>"c13044"</definedName>
    <definedName name="IQ_RENTAL_NOI">"c16065"</definedName>
    <definedName name="IQ_RENTAL_NOI_AVG_GROSS_PROP">"c16057"</definedName>
    <definedName name="IQ_RENTAL_NOI_TOTAL_RENT_REVENUE">"c16061"</definedName>
    <definedName name="IQ_RENTAL_REV" hidden="1">"c1101"</definedName>
    <definedName name="IQ_REPAIRS_MAINTENANCE">"c16032"</definedName>
    <definedName name="IQ_REPO">"c19133"</definedName>
    <definedName name="IQ_REPRICEABLE_EARNING_ASSETS_INT_SENSITIVITY_FFIEC">"c13093"</definedName>
    <definedName name="IQ_REPRICEABLE_INT_DEPOSITS_INT_SENSITIVITY_FFIEC">"c13094"</definedName>
    <definedName name="IQ_REPURCHASED_REBOOKED_GNMA_DUE_30_89_FFIEC">"c13283"</definedName>
    <definedName name="IQ_REPURCHASED_REBOOKED_GNMA_DUE_90_FFIEC">"c13309"</definedName>
    <definedName name="IQ_REPURCHASED_REBOOKED_GNMA_NON_ACCRUAL_FFIEC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ATALOG_REVENUES">"c9903"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NLINE_REVENUES">"c9904"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REVENUES">"c9902"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L_WHOLESALE_REVENUES">"c15895"</definedName>
    <definedName name="IQ_RETAINED_EARN" hidden="1">"c1420"</definedName>
    <definedName name="IQ_RETAINED_EARNINGS_AVERAGE_EQUITY_FDIC" hidden="1">"c6733"</definedName>
    <definedName name="IQ_RETAINED_EARNINGS_EQUITY_FFIEC">"c13348"</definedName>
    <definedName name="IQ_RETAINED_EARNINGS_FFIEC">"c12878"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DET_EST" hidden="1">"c12066"</definedName>
    <definedName name="IQ_RETURN_ASSETS_DET_EST_DATE" hidden="1">"c12219"</definedName>
    <definedName name="IQ_RETURN_ASSETS_DET_EST_DATE_THOM" hidden="1">"c12247"</definedName>
    <definedName name="IQ_RETURN_ASSETS_DET_EST_INCL" hidden="1">"c12356"</definedName>
    <definedName name="IQ_RETURN_ASSETS_DET_EST_INCL_THOM" hidden="1">"c12379"</definedName>
    <definedName name="IQ_RETURN_ASSETS_DET_EST_ORIGIN" hidden="1">"c12591"</definedName>
    <definedName name="IQ_RETURN_ASSETS_DET_EST_ORIGIN_THOM" hidden="1">"c12617"</definedName>
    <definedName name="IQ_RETURN_ASSETS_DET_EST_THOM" hidden="1">"c12097"</definedName>
    <definedName name="IQ_RETURN_ASSETS_EST" hidden="1">"c3529"</definedName>
    <definedName name="IQ_RETURN_ASSETS_EST_REUT" hidden="1">"c3990"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GUIDANCE_CIQ">"c5055"</definedName>
    <definedName name="IQ_RETURN_ASSETS_GUIDANCE_CIQ_COL">"c11702"</definedName>
    <definedName name="IQ_RETURN_ASSETS_HIGH_EST" hidden="1">"c3530"</definedName>
    <definedName name="IQ_RETURN_ASSETS_HIGH_EST_REUT" hidden="1">"c3992"</definedName>
    <definedName name="IQ_RETURN_ASSETS_HIGH_EST_THOM" hidden="1">"c4036"</definedName>
    <definedName name="IQ_RETURN_ASSETS_HIGH_GUIDANCE" hidden="1">"c4183"</definedName>
    <definedName name="IQ_RETURN_ASSETS_HIGH_GUIDANCE_CIQ">"c4595"</definedName>
    <definedName name="IQ_RETURN_ASSETS_HIGH_GUIDANCE_CIQ_COL">"c11244"</definedName>
    <definedName name="IQ_RETURN_ASSETS_LOW_EST" hidden="1">"c3531"</definedName>
    <definedName name="IQ_RETURN_ASSETS_LOW_EST_REUT" hidden="1">"c3993"</definedName>
    <definedName name="IQ_RETURN_ASSETS_LOW_EST_THOM" hidden="1">"c4037"</definedName>
    <definedName name="IQ_RETURN_ASSETS_LOW_GUIDANCE" hidden="1">"c4223"</definedName>
    <definedName name="IQ_RETURN_ASSETS_LOW_GUIDANCE_CIQ">"c4635"</definedName>
    <definedName name="IQ_RETURN_ASSETS_LOW_GUIDANCE_CIQ_COL">"c11284"</definedName>
    <definedName name="IQ_RETURN_ASSETS_MEDIAN_EST" hidden="1">"c3532"</definedName>
    <definedName name="IQ_RETURN_ASSETS_MEDIAN_EST_REUT" hidden="1">"c3991"</definedName>
    <definedName name="IQ_RETURN_ASSETS_MEDIAN_EST_THOM" hidden="1">"c4035"</definedName>
    <definedName name="IQ_RETURN_ASSETS_NUM_EST" hidden="1">"c3527"</definedName>
    <definedName name="IQ_RETURN_ASSETS_NUM_EST_REUT" hidden="1">"c3994"</definedName>
    <definedName name="IQ_RETURN_ASSETS_NUM_EST_THOM" hidden="1">"c4038"</definedName>
    <definedName name="IQ_RETURN_ASSETS_STDDEV_EST" hidden="1">"c3528"</definedName>
    <definedName name="IQ_RETURN_ASSETS_STDDEV_EST_REUT" hidden="1">"c3995"</definedName>
    <definedName name="IQ_RETURN_ASSETS_STDDEV_EST_THOM" hidden="1">"c4039"</definedName>
    <definedName name="IQ_RETURN_CAPITAL" hidden="1">"c1117"</definedName>
    <definedName name="IQ_RETURN_COMMON_EQUITY">"c13838"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DET_EST" hidden="1">"c12067"</definedName>
    <definedName name="IQ_RETURN_EQUITY_DET_EST_DATE" hidden="1">"c12220"</definedName>
    <definedName name="IQ_RETURN_EQUITY_DET_EST_DATE_THOM" hidden="1">"c12248"</definedName>
    <definedName name="IQ_RETURN_EQUITY_DET_EST_INCL" hidden="1">"c12357"</definedName>
    <definedName name="IQ_RETURN_EQUITY_DET_EST_INCL_THOM" hidden="1">"c12380"</definedName>
    <definedName name="IQ_RETURN_EQUITY_DET_EST_ORIGIN" hidden="1">"c12592"</definedName>
    <definedName name="IQ_RETURN_EQUITY_DET_EST_ORIGIN_THOM" hidden="1">"c12618"</definedName>
    <definedName name="IQ_RETURN_EQUITY_DET_EST_THOM" hidden="1">"c12098"</definedName>
    <definedName name="IQ_RETURN_EQUITY_EST" hidden="1">"c3535"</definedName>
    <definedName name="IQ_RETURN_EQUITY_EST_REUT" hidden="1">"c3983"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GUIDANCE_CIQ">"c5056"</definedName>
    <definedName name="IQ_RETURN_EQUITY_GUIDANCE_CIQ_COL">"c11703"</definedName>
    <definedName name="IQ_RETURN_EQUITY_HIGH_EST" hidden="1">"c3536"</definedName>
    <definedName name="IQ_RETURN_EQUITY_HIGH_EST_REUT" hidden="1">"c3985"</definedName>
    <definedName name="IQ_RETURN_EQUITY_HIGH_EST_THOM" hidden="1">"c5283"</definedName>
    <definedName name="IQ_RETURN_EQUITY_HIGH_GUIDANCE" hidden="1">"c4182"</definedName>
    <definedName name="IQ_RETURN_EQUITY_HIGH_GUIDANCE_CIQ">"c4594"</definedName>
    <definedName name="IQ_RETURN_EQUITY_HIGH_GUIDANCE_CIQ_COL">"c11243"</definedName>
    <definedName name="IQ_RETURN_EQUITY_LOW_EST" hidden="1">"c3537"</definedName>
    <definedName name="IQ_RETURN_EQUITY_LOW_EST_REUT" hidden="1">"c3986"</definedName>
    <definedName name="IQ_RETURN_EQUITY_LOW_EST_THOM" hidden="1">"c5284"</definedName>
    <definedName name="IQ_RETURN_EQUITY_LOW_GUIDANCE" hidden="1">"c4222"</definedName>
    <definedName name="IQ_RETURN_EQUITY_LOW_GUIDANCE_CIQ">"c4634"</definedName>
    <definedName name="IQ_RETURN_EQUITY_LOW_GUIDANCE_CIQ_COL">"c11283"</definedName>
    <definedName name="IQ_RETURN_EQUITY_MEDIAN_EST" hidden="1">"c3538"</definedName>
    <definedName name="IQ_RETURN_EQUITY_MEDIAN_EST_REUT" hidden="1">"c3984"</definedName>
    <definedName name="IQ_RETURN_EQUITY_MEDIAN_EST_THOM" hidden="1">"c5282"</definedName>
    <definedName name="IQ_RETURN_EQUITY_NUM_EST" hidden="1">"c3533"</definedName>
    <definedName name="IQ_RETURN_EQUITY_NUM_EST_REUT" hidden="1">"c3987"</definedName>
    <definedName name="IQ_RETURN_EQUITY_NUM_EST_THOM" hidden="1">"c5285"</definedName>
    <definedName name="IQ_RETURN_EQUITY_STDDEV_EST" hidden="1">"c3534"</definedName>
    <definedName name="IQ_RETURN_EQUITY_STDDEV_EST_REUT" hidden="1">"c3988"</definedName>
    <definedName name="IQ_RETURN_EQUITY_STDDEV_EST_THOM" hidden="1">"c5286"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BEFORE_LOAN_LOSS_FOREIGN_FFIEC">"c15381"</definedName>
    <definedName name="IQ_REV_DET_EST" hidden="1">"c12065"</definedName>
    <definedName name="IQ_REV_DET_EST_CURRENCY" hidden="1">"c12472"</definedName>
    <definedName name="IQ_REV_DET_EST_CURRENCY_THOM" hidden="1">"c12495"</definedName>
    <definedName name="IQ_REV_DET_EST_DATE" hidden="1">"c12218"</definedName>
    <definedName name="IQ_REV_DET_EST_DATE_THOM" hidden="1">"c12246"</definedName>
    <definedName name="IQ_REV_DET_EST_INCL" hidden="1">"c12355"</definedName>
    <definedName name="IQ_REV_DET_EST_INCL_THOM" hidden="1">"c12378"</definedName>
    <definedName name="IQ_REV_DET_EST_ORIGIN" hidden="1">"c12590"</definedName>
    <definedName name="IQ_REV_DET_EST_ORIGIN_THOM" hidden="1">"c12616"</definedName>
    <definedName name="IQ_REV_DET_EST_THOM" hidden="1">"c12096"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STDDEV_EST_THOM" hidden="1">"c3657"</definedName>
    <definedName name="IQ_REV_UTI" hidden="1">"c1125"</definedName>
    <definedName name="IQ_REVALUATION_GAINS_DERIVATIVE_DOM_FFIEC">"c12828"</definedName>
    <definedName name="IQ_REVALUATION_GAINS_DERIVATIVE_FOREIGN_FFIEC">"c12829"</definedName>
    <definedName name="IQ_REVALUATION_GAINS_FDIC" hidden="1">"c6428"</definedName>
    <definedName name="IQ_REVALUATION_LOSSES_FDIC" hidden="1">"c6429"</definedName>
    <definedName name="IQ_REVALUATION_NON_TRADING_PROP">"c15999"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ACT_OR_EST_CIQ_COL" hidden="1">"c11706"</definedName>
    <definedName name="IQ_REVENUE_ACT_OR_EST_REUT" hidden="1">"c5461"</definedName>
    <definedName name="IQ_REVENUE_ACT_OR_EST_THOM" hidden="1">"c5299"</definedName>
    <definedName name="IQ_REVENUE_ADVERTISING">"c2880"</definedName>
    <definedName name="IQ_REVENUE_ANALOG_CABLE">"c2875"</definedName>
    <definedName name="IQ_REVENUE_BASIC_CABLE">"c2877"</definedName>
    <definedName name="IQ_REVENUE_BBAND">"c2878"</definedName>
    <definedName name="IQ_REVENUE_BEFORE_LL_FFIEC">"c13018"</definedName>
    <definedName name="IQ_REVENUE_COMMERCIAL">"c2881"</definedName>
    <definedName name="IQ_REVENUE_DIGITAL_CABLE">"c2876"</definedName>
    <definedName name="IQ_REVENUE_EST" hidden="1">"c1126"</definedName>
    <definedName name="IQ_REVENUE_EST_1" hidden="1">"c190"</definedName>
    <definedName name="IQ_REVENUE_EST_BOTTOM_UP" hidden="1">"c5488"</definedName>
    <definedName name="IQ_REVENUE_EST_BOTTOM_UP_CIQ" hidden="1">"c12025"</definedName>
    <definedName name="IQ_REVENUE_EST_BOTTOM_UP_REUT" hidden="1">"c5496"</definedName>
    <definedName name="IQ_REVENUE_EST_CIQ" hidden="1">"c3616"</definedName>
    <definedName name="IQ_REVENUE_EST_DOWN_2MONTH" hidden="1">"c16285"</definedName>
    <definedName name="IQ_REVENUE_EST_DOWN_2MONTH_CIQ" hidden="1">"c16609"</definedName>
    <definedName name="IQ_REVENUE_EST_DOWN_3MONTH" hidden="1">"c16289"</definedName>
    <definedName name="IQ_REVENUE_EST_DOWN_3MONTH_CIQ" hidden="1">"c16613"</definedName>
    <definedName name="IQ_REVENUE_EST_DOWN_MONTH" hidden="1">"c16281"</definedName>
    <definedName name="IQ_REVENUE_EST_DOWN_MONTH_CIQ" hidden="1">"c16605"</definedName>
    <definedName name="IQ_REVENUE_EST_NOTE" hidden="1">"c17502"</definedName>
    <definedName name="IQ_REVENUE_EST_NOTE_CIQ" hidden="1">"c17455"</definedName>
    <definedName name="IQ_REVENUE_EST_NUM_ANALYSTS_2MONTH" hidden="1">"c16283"</definedName>
    <definedName name="IQ_REVENUE_EST_NUM_ANALYSTS_2MONTH_CIQ" hidden="1">"c16607"</definedName>
    <definedName name="IQ_REVENUE_EST_NUM_ANALYSTS_3MONTH" hidden="1">"c16287"</definedName>
    <definedName name="IQ_REVENUE_EST_NUM_ANALYSTS_3MONTH_CIQ" hidden="1">"c16611"</definedName>
    <definedName name="IQ_REVENUE_EST_NUM_ANALYSTS_MONTH" hidden="1">"c16279"</definedName>
    <definedName name="IQ_REVENUE_EST_NUM_ANALYSTS_MONTH_CIQ" hidden="1">"c16603"</definedName>
    <definedName name="IQ_REVENUE_EST_REUT" hidden="1">"c3634"</definedName>
    <definedName name="IQ_REVENUE_EST_THOM" hidden="1">"c3652"</definedName>
    <definedName name="IQ_REVENUE_EST_TOTAL_REVISED_2MONTH" hidden="1">"c16286"</definedName>
    <definedName name="IQ_REVENUE_EST_TOTAL_REVISED_2MONTH_CIQ" hidden="1">"c16610"</definedName>
    <definedName name="IQ_REVENUE_EST_TOTAL_REVISED_3MONTH" hidden="1">"c16290"</definedName>
    <definedName name="IQ_REVENUE_EST_TOTAL_REVISED_3MONTH_CIQ" hidden="1">"c16614"</definedName>
    <definedName name="IQ_REVENUE_EST_TOTAL_REVISED_MONTH" hidden="1">"c16282"</definedName>
    <definedName name="IQ_REVENUE_EST_TOTAL_REVISED_MONTH_CIQ" hidden="1">"c16606"</definedName>
    <definedName name="IQ_REVENUE_EST_UP_2MONTH" hidden="1">"c16284"</definedName>
    <definedName name="IQ_REVENUE_EST_UP_2MONTH_CIQ" hidden="1">"c16608"</definedName>
    <definedName name="IQ_REVENUE_EST_UP_3MONTH" hidden="1">"c16288"</definedName>
    <definedName name="IQ_REVENUE_EST_UP_3MONTH_CIQ" hidden="1">"c16612"</definedName>
    <definedName name="IQ_REVENUE_EST_UP_MONTH" hidden="1">"c16280"</definedName>
    <definedName name="IQ_REVENUE_EST_UP_MONTH_CIQ" hidden="1">"c16604"</definedName>
    <definedName name="IQ_REVENUE_GROWTH_1" hidden="1">"c155"</definedName>
    <definedName name="IQ_REVENUE_GROWTH_2" hidden="1">"c159"</definedName>
    <definedName name="IQ_REVENUE_GUIDANCE" hidden="1">"c4519"</definedName>
    <definedName name="IQ_REVENUE_GUIDANCE_CIQ">"c5057"</definedName>
    <definedName name="IQ_REVENUE_GUIDANCE_CIQ_COL">"c11704"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EST_THOM" hidden="1">"c3654"</definedName>
    <definedName name="IQ_REVENUE_HIGH_GUIDANCE" hidden="1">"c4169"</definedName>
    <definedName name="IQ_REVENUE_HIGH_GUIDANCE_CIQ">"c4581"</definedName>
    <definedName name="IQ_REVENUE_HIGH_GUIDANCE_CIQ_COL">"c11230"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EST_THOM" hidden="1">"c3655"</definedName>
    <definedName name="IQ_REVENUE_LOW_GUIDANCE" hidden="1">"c4209"</definedName>
    <definedName name="IQ_REVENUE_LOW_GUIDANCE_CIQ">"c4621"</definedName>
    <definedName name="IQ_REVENUE_LOW_GUIDANCE_CIQ_COL">"c11270"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MEDIAN_EST_THOM" hidden="1">"c3653"</definedName>
    <definedName name="IQ_REVENUE_NO_EST" hidden="1">"c263"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NUM_EST_THOM" hidden="1">"c3656"</definedName>
    <definedName name="IQ_REVENUE_OTHER">"c2882"</definedName>
    <definedName name="IQ_REVENUE_PHONE">"c2879"</definedName>
    <definedName name="IQ_REVENUE_TOTAL">"c2883"</definedName>
    <definedName name="IQ_REVENUES_SATELLITE">"c15792"</definedName>
    <definedName name="IQ_REVENUES_WIRELESS">"c15793"</definedName>
    <definedName name="IQ_REVERSE_REPO">"c19131"</definedName>
    <definedName name="IQ_REVISION_DATE_" hidden="1">39839.3672337963</definedName>
    <definedName name="IQ_REVISION_DATE__1" hidden="1">39125.817037037</definedName>
    <definedName name="IQ_REVOLV_OPEN_SECURED_1_4_LL_REC_DOM_FFIEC">"c12902"</definedName>
    <definedName name="IQ_REVOLVING_HOME_EQUITY_LINES_UNUSED_FFIEC">"c13241"</definedName>
    <definedName name="IQ_REVOLVING_LOANS_GROSS_LOANS_FFIEC">"c13398"</definedName>
    <definedName name="IQ_REVOLVING_LOANS_RISK_BASED_FFIEC">"c13419"</definedName>
    <definedName name="IQ_REVOLVING_LOANS_SEC_1_4_DOM_CHARGE_OFFS_FFIEC">"c13168"</definedName>
    <definedName name="IQ_REVOLVING_LOANS_SEC_1_4_DOM_RECOV_FFIEC">"c13190"</definedName>
    <definedName name="IQ_REVOLVING_OPEN_END_1_4_TRADING_DOM_FFIEC">"c12927"</definedName>
    <definedName name="IQ_REVOLVING_SECURED_1_–4_NON_ACCRUAL_FFIEC" hidden="1">"c15565"</definedName>
    <definedName name="IQ_REVOLVING_SECURED_1_4_DUE_30_89_FFIEC">"c13260"</definedName>
    <definedName name="IQ_REVOLVING_SECURED_1_4_DUE_90_FFIEC">"c13288"</definedName>
    <definedName name="IQ_REVOLVING_SECURED_1_4_NON_ACCRUAL_FFIEC" hidden="1">"c13314"</definedName>
    <definedName name="IQ_RGU">"c2863"</definedName>
    <definedName name="IQ_RISK_ADJ_BANK_ASSETS" hidden="1">"c2670"</definedName>
    <definedName name="IQ_RISK_WEIGHTED_ASSETS_0_PCT_FFIEC">"c18874"</definedName>
    <definedName name="IQ_RISK_WEIGHTED_ASSETS_100_PCT_FFIEC">"c18877"</definedName>
    <definedName name="IQ_RISK_WEIGHTED_ASSETS_20_PCT_FFIEC">"c18875"</definedName>
    <definedName name="IQ_RISK_WEIGHTED_ASSETS_50_PCT_FFIEC">"c18876"</definedName>
    <definedName name="IQ_RISK_WEIGHTED_ASSETS_FDIC" hidden="1">"c6370"</definedName>
    <definedName name="IQ_ROAM_MIN_USE_OTHER_CARRIERS">"c15765"</definedName>
    <definedName name="IQ_ROYALTIES_DUE_AFTER_FIVE">"c15969"</definedName>
    <definedName name="IQ_ROYALTIES_DUE_CY">"c15964"</definedName>
    <definedName name="IQ_ROYALTIES_DUE_CY1">"c15965"</definedName>
    <definedName name="IQ_ROYALTIES_DUE_CY2">"c15966"</definedName>
    <definedName name="IQ_ROYALTIES_DUE_CY3">"c15967"</definedName>
    <definedName name="IQ_ROYALTIES_DUE_CY4">"c15968"</definedName>
    <definedName name="IQ_ROYALTY_REVENUE_COAL">"c15932"</definedName>
    <definedName name="IQ_RSI" hidden="1">"c12704"</definedName>
    <definedName name="IQ_RSI_ADJ" hidden="1">"c12705"</definedName>
    <definedName name="IQ_RSSD_ID_FFIEC" hidden="1">"c20506"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>"c13023"</definedName>
    <definedName name="IQ_SALARIES_OTHER_BENEFITS">"c16176"</definedName>
    <definedName name="IQ_SALARY" hidden="1">"c1130"</definedName>
    <definedName name="IQ_SALARY_FDIC" hidden="1">"c6576"</definedName>
    <definedName name="IQ_SALE_COMMON_GROSS_FFIEC">"c12963"</definedName>
    <definedName name="IQ_SALE_CONVERSION_ACQUISITION_NET_COMMON_FFIEC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>"c12961"</definedName>
    <definedName name="IQ_SALE_PROP">"c16029"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>"c12965"</definedName>
    <definedName name="IQ_SALES_COAL">"c15930"</definedName>
    <definedName name="IQ_SALES_MARKETING" hidden="1">"c2240"</definedName>
    <definedName name="IQ_SALES_TO_TOTAL_REVENUE_COAL">"c15943"</definedName>
    <definedName name="IQ_SAME_PROP_AGG_GLA">"c16055"</definedName>
    <definedName name="IQ_SAME_PROP_AGG_UNITS">"c16053"</definedName>
    <definedName name="IQ_SAME_PROP_EXPENSE">"c16050"</definedName>
    <definedName name="IQ_SAME_PROP_EXPENSE_GROWTH">"c16051"</definedName>
    <definedName name="IQ_SAME_PROP_NUMBER_PROP">"c16052"</definedName>
    <definedName name="IQ_SAME_PROP_PORTFOLIO_AREA">"c16054"</definedName>
    <definedName name="IQ_SAME_PROP_REV_GROWTH">"c16049"</definedName>
    <definedName name="IQ_SAME_PROP_REVENUE">"c16048"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ACCT_DEPOSITS_TOTAL_DEPOSITS">"c15721"</definedName>
    <definedName name="IQ_SAVINGS_DEPOSITS_NON_TRANS_ACCTS_FFIEC">"c15329"</definedName>
    <definedName name="IQ_SAVINGS_DEPOSITS_QUARTERLY_AVG_FFIEC">"c15485"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>"c13077"</definedName>
    <definedName name="IQ_SCALABLE_INFRASTRUCTURE_CABLE_INVEST">"c15802"</definedName>
    <definedName name="IQ_SEC_1_4_CONSTRUCTION_DOM_CHARGE_OFFS_FFIEC">"c13165"</definedName>
    <definedName name="IQ_SEC_1_4_CONSTRUCTION_DOM_RECOV_FFIEC">"c13187"</definedName>
    <definedName name="IQ_SEC_BORROWED_OFF_BS_FFIEC">"c13127"</definedName>
    <definedName name="IQ_SEC_FARMLAND_DOM_CHARGE_OFFS_FFIEC">"c13167"</definedName>
    <definedName name="IQ_SEC_FARMLAND_DOM_RECOV_FFIEC">"c13189"</definedName>
    <definedName name="IQ_SEC_FUNDS_PURCHASED_ASSETS_TOT_FFIEC">"c13447"</definedName>
    <definedName name="IQ_SEC_ISSUED_US_AFS_AMORT_COST_FFIEC" hidden="1">"c20492"</definedName>
    <definedName name="IQ_SEC_ISSUED_US_AFS_FAIR_VAL_FFIEC" hidden="1">"c20457"</definedName>
    <definedName name="IQ_SEC_ISSUED_US_AVAIL_SALE_FFIEC">"c12795"</definedName>
    <definedName name="IQ_SEC_ISSUED_US_TRADING_DOM_FFIEC">"c12920"</definedName>
    <definedName name="IQ_SEC_ISSUED_US_TRADING_FFIEC">"c12815"</definedName>
    <definedName name="IQ_SEC_MULTIFAM_DOM_CHARGE_OFFS_FFIEC">"c13171"</definedName>
    <definedName name="IQ_SEC_MULTIFAM_DOM_DUE_30_89_FFIEC">"c13263"</definedName>
    <definedName name="IQ_SEC_MULTIFAM_DOM_DUE_90_FFIEC">"c13291"</definedName>
    <definedName name="IQ_SEC_MULTIFAM_DOM_NON_ACCRUAL_FFIEC">"c13317"</definedName>
    <definedName name="IQ_SEC_MULTIFAM_DOM_RECOV_FFIEC">"c13193"</definedName>
    <definedName name="IQ_SEC_NONFARM_NONRES_CHARGE_OFFS_FFIEC">"c13629"</definedName>
    <definedName name="IQ_SEC_NONFARM_NONRES_DOM_OFFICES_DUE_30_89_FFIEC">"c13264"</definedName>
    <definedName name="IQ_SEC_NONFARM_NONRES_DOM_OFFICES_DUE_90_FFIEC">"c13292"</definedName>
    <definedName name="IQ_SEC_NONFARM_NONRES_DOM_OFFICES_NON_ACCRUAL_FFIEC">"c13318"</definedName>
    <definedName name="IQ_SEC_NONFARM_NONRES_RECOV_FFIEC">"c13633"</definedName>
    <definedName name="IQ_SEC_OTHER_CONSTRUCTION_DOM_CHARGE_OFFS_FFIEC">"c13166"</definedName>
    <definedName name="IQ_SEC_OTHER_CONSTRUCTION_DOM_RECOV_FFIEC">"c13188"</definedName>
    <definedName name="IQ_SEC_OTHER_NONFARM_NONRES_CHARGE_OFFS_FFIEC">"c13173"</definedName>
    <definedName name="IQ_SEC_OTHER_NONFARM_NONRES_DUE_30_89_FFIEC">"c13266"</definedName>
    <definedName name="IQ_SEC_OTHER_NONFARM_NONRES_DUE_90_FFIEC">"c13637"</definedName>
    <definedName name="IQ_SEC_OTHER_NONFARM_NONRES_NON_ACCRUAL_FFIEC">"c15462"</definedName>
    <definedName name="IQ_SEC_OTHER_NONFARM_NONRES_RECOV_FFIEC">"c13195"</definedName>
    <definedName name="IQ_SEC_OWNER_NONFARM_NONRES_CHARGE_OFFS_FFIEC">"c13172"</definedName>
    <definedName name="IQ_SEC_OWNER_NONFARM_NONRES_DUE_30_89_FFIEC">"c13265"</definedName>
    <definedName name="IQ_SEC_OWNER_NONFARM_NONRES_DUE_90_FFIEC">"c13636"</definedName>
    <definedName name="IQ_SEC_OWNER_NONFARM_NONRES_NON_ACCRUAL_FFIEC">"c15461"</definedName>
    <definedName name="IQ_SEC_OWNER_NONFARM_NONRES_RECOV_FFIEC">"c13194"</definedName>
    <definedName name="IQ_SEC_PURCHASED_RESELL" hidden="1">"c5513"</definedName>
    <definedName name="IQ_SEC_PURCHASED_RESELL_FFIEC">"c12807"</definedName>
    <definedName name="IQ_SEC_RE_FOREIGN_DUE_30_89_FFIEC">"c13267"</definedName>
    <definedName name="IQ_SEC_RE_FOREIGN_DUE_90_FFIEC">"c13293"</definedName>
    <definedName name="IQ_SEC_RE_FOREIGN_NON_ACCRUAL_FFIEC">"c13319"</definedName>
    <definedName name="IQ_SEC_SOLD_REPURCHASE_FFIEC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>"c13259"</definedName>
    <definedName name="IQ_SECURED_FARMLAND_DOM_DUE_90_FFIEC">"c13287"</definedName>
    <definedName name="IQ_SECURED_FARMLAND_DOM_NON_ACCRUAL_FFIEC">"c13313"</definedName>
    <definedName name="IQ_SECURED_FARMLAND_LL_REC_DOM_FFIEC">"c12901"</definedName>
    <definedName name="IQ_SECURED_FARMLAND_NET_CHARGE_OFFS_FDIC" hidden="1">"c6631"</definedName>
    <definedName name="IQ_SECURED_FARMLAND_RECOVERIES_FDIC" hidden="1">"c6612"</definedName>
    <definedName name="IQ_SECURED_MULTI_RES_LL_REC_DOM_FFIEC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AFS_AMORT_COST_FFIEC" hidden="1">"c20488"</definedName>
    <definedName name="IQ_SECURITIES_AFS_FAIR_VAL_FFIEC" hidden="1">"c20453"</definedName>
    <definedName name="IQ_SECURITIES_GAINS_FDIC" hidden="1">"c6584"</definedName>
    <definedName name="IQ_SECURITIES_HELD_MATURITY_FFIEC">"c12777"</definedName>
    <definedName name="IQ_SECURITIES_HTM_AMORT_COST_FFIEC" hidden="1">"c20436"</definedName>
    <definedName name="IQ_SECURITIES_HTM_FAIR_VAL_FFIEC" hidden="1">"c20471"</definedName>
    <definedName name="IQ_SECURITIES_ISSUED_STATES_FDIC" hidden="1">"c6300"</definedName>
    <definedName name="IQ_SECURITIES_ISSUED_US_FFIEC">"c12781"</definedName>
    <definedName name="IQ_SECURITIES_ISSUED_US_HTM_AMORT_COST_FFIEC" hidden="1">"c20440"</definedName>
    <definedName name="IQ_SECURITIES_ISSUED_US_HTM_FAIR_VAL_FFIEC" hidden="1">"c20475"</definedName>
    <definedName name="IQ_SECURITIES_LENT_FDIC" hidden="1">"c6532"</definedName>
    <definedName name="IQ_SECURITIES_LENT_FFIEC">"c13255"</definedName>
    <definedName name="IQ_SECURITIES_QUARTERLY_AVG_FFIEC">"c13079"</definedName>
    <definedName name="IQ_SECURITIES_STATE_POLI_SUBD_QUARTERLY_AVG_FFIEC">"c15470"</definedName>
    <definedName name="IQ_SECURITIES_UNDERWRITING_FDIC" hidden="1">"c6529"</definedName>
    <definedName name="IQ_SECURITIES_UNDERWRITING_UNUSED_FFIEC">"c13247"</definedName>
    <definedName name="IQ_SECURITIZATION_INC_OPERATING_INC_FFIEC">"c13390"</definedName>
    <definedName name="IQ_SECURITIZATION_INCOME_FFIEC">"c13012"</definedName>
    <definedName name="IQ_SECURITY_ACTIVE_STATUS">"c15160"</definedName>
    <definedName name="IQ_SECURITY_BORROW" hidden="1">"c1152"</definedName>
    <definedName name="IQ_SECURITY_LEVEL" hidden="1">"c2159"</definedName>
    <definedName name="IQ_SECURITY_NAME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>"c12042"</definedName>
    <definedName name="IQ_SELECTED_FOREIGN_ASSETS_FFIEC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>"c13105"</definedName>
    <definedName name="IQ_SEPARATE_ACCOUNT_LIAB_LH_FFIEC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>"c13003"</definedName>
    <definedName name="IQ_SERVICE_CHARGES_FDIC" hidden="1">"c6572"</definedName>
    <definedName name="IQ_SERVICE_CHARGES_OPERATING_INC_FFIEC">"c13384"</definedName>
    <definedName name="IQ_SERVICE_FEE" hidden="1">"c8951"</definedName>
    <definedName name="IQ_SERVICING_FEES_FFIEC">"c13011"</definedName>
    <definedName name="IQ_SERVICING_FEES_OPERATING_INC_FFIEC">"c13389"</definedName>
    <definedName name="IQ_SETTLEMENT_PRICE" hidden="1">"c15157"</definedName>
    <definedName name="IQ_SETTLEMENTS_TAX_AUTHORITIES">"c15737"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_PARTNERSHIP_ASSETS">"c16071"</definedName>
    <definedName name="IQ_SHARE_PARTNERSHIP_CONSOL_JV_DEBT">"c19139"</definedName>
    <definedName name="IQ_SHARE_PARTNERSHIP_CURRENT_ASSETS">"c16069"</definedName>
    <definedName name="IQ_SHARE_PARTNERSHIP_CURRENT_LIAB">"c16073"</definedName>
    <definedName name="IQ_SHARE_PARTNERSHIP_CURRENT_TAX">"c16091"</definedName>
    <definedName name="IQ_SHARE_PARTNERSHIP_DEBT">"c16078"</definedName>
    <definedName name="IQ_SHARE_PARTNERSHIP_DEFERRED_TAX">"c16092"</definedName>
    <definedName name="IQ_SHARE_PARTNERSHIP_DEPRECIATION">"c16089"</definedName>
    <definedName name="IQ_SHARE_PARTNERSHIP_FLOAT_DEBT">"c16077"</definedName>
    <definedName name="IQ_SHARE_PARTNERSHIP_FR_DEBT">"c16076"</definedName>
    <definedName name="IQ_SHARE_PARTNERSHIP_INT_EXPENSE">"c16088"</definedName>
    <definedName name="IQ_SHARE_PARTNERSHIP_INT_INCOME">"c16090"</definedName>
    <definedName name="IQ_SHARE_PARTNERSHIP_LIAB">"c16075"</definedName>
    <definedName name="IQ_SHARE_PARTNERSHIP_LT_ASSETS">"c16070"</definedName>
    <definedName name="IQ_SHARE_PARTNERSHIP_NOI">"c16084"</definedName>
    <definedName name="IQ_SHARE_PARTNERSHIP_NON_CURRENT_LIAB">"c16074"</definedName>
    <definedName name="IQ_SHARE_PARTNERSHIP_OPEX">"c16086"</definedName>
    <definedName name="IQ_SHARE_PARTNERSHIP_OTHER_EXPENSE">"c16087"</definedName>
    <definedName name="IQ_SHARE_PARTNERSHIP_OTHER_INCOME">"c16085"</definedName>
    <definedName name="IQ_SHARE_PARTNERSHIP_REVENUE">"c16083"</definedName>
    <definedName name="IQ_SHARE_RE_ASSET">"c16082"</definedName>
    <definedName name="IQ_SHARE_RE_ASSET_DEVELOP_PROP">"c16080"</definedName>
    <definedName name="IQ_SHARE_RE_ASSET_INV_PROP">"c16079"</definedName>
    <definedName name="IQ_SHARE_RE_ASSET_OTHER">"c16081"</definedName>
    <definedName name="IQ_SHAREOUTSTANDING" hidden="1">"c1347"</definedName>
    <definedName name="IQ_SHARES_PER_DR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OVER_INST_OWNERSHIP" hidden="1">"c17422"</definedName>
    <definedName name="IQ_SHORT_INTEREST_PERCENT" hidden="1">"c1576"</definedName>
    <definedName name="IQ_SHORT_INTEREST_VOLUME" hidden="1">"c228"</definedName>
    <definedName name="IQ_SHORT_POSITIONS_FFIEC">"c12859"</definedName>
    <definedName name="IQ_SHORT_SCORE_DX" hidden="1">"c17439"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LD_COAL">"c15936"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>"c13616"</definedName>
    <definedName name="IQ_SP_ISSUE_NSR_ACTION_ST">"c13622"</definedName>
    <definedName name="IQ_SP_ISSUE_NSR_DATE_LT">"c13615"</definedName>
    <definedName name="IQ_SP_ISSUE_NSR_DATE_ST">"c13621"</definedName>
    <definedName name="IQ_SP_ISSUE_NSR_LT">"c13614"</definedName>
    <definedName name="IQ_SP_ISSUE_NSR_ST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>"c13613"</definedName>
    <definedName name="IQ_SP_NSR_ACTION_ST">"c13619"</definedName>
    <definedName name="IQ_SP_NSR_DATE_LT">"c13612"</definedName>
    <definedName name="IQ_SP_NSR_DATE_ST">"c13618"</definedName>
    <definedName name="IQ_SP_NSR_LT">"c13611"</definedName>
    <definedName name="IQ_SP_NSR_ST">"c13617"</definedName>
    <definedName name="IQ_SP_OUTLOOK_WATCH" hidden="1">"c2639"</definedName>
    <definedName name="IQ_SP_OUTLOOK_WATCH_DATE" hidden="1">"c2638"</definedName>
    <definedName name="IQ_SP_QUALITY_RANKING_DESCRIPTION" hidden="1">"c17410"</definedName>
    <definedName name="IQ_SP_QUALITY_RANKING_VALUE" hidden="1">"c17409"</definedName>
    <definedName name="IQ_SP_REASON" hidden="1">"c2174"</definedName>
    <definedName name="IQ_SP_STARS_DESCRIPTION" hidden="1">"c17408"</definedName>
    <definedName name="IQ_SP_STARS_VALUE" hidden="1">"c17407"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ALTIES">"c18932"</definedName>
    <definedName name="IQ_SPECIFIC_ALLOWANCE">"c15247"</definedName>
    <definedName name="IQ_SPONSORS">"c18920"</definedName>
    <definedName name="IQ_SPONSORS_ID">"c18921"</definedName>
    <definedName name="IQ_SPOT_CLOSEPRICE" hidden="1">"c17802"</definedName>
    <definedName name="IQ_SPOT_HIGHPRICE" hidden="1">"c17800"</definedName>
    <definedName name="IQ_SPOT_LASTSALEPRICE" hidden="1">"c17806"</definedName>
    <definedName name="IQ_SPOT_LOWPRICE" hidden="1">"c17801"</definedName>
    <definedName name="IQ_SPOT_PRICEDATE" hidden="1">"c17805"</definedName>
    <definedName name="IQ_SPOT_YEARHIGH" hidden="1">"c17803"</definedName>
    <definedName name="IQ_SPOT_YEARLOW" hidden="1">"c17804"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DERIVATIVES" hidden="1">"c17741"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>"c13438"</definedName>
    <definedName name="IQ_ST_INVEST_ST_NONCORE_FUNDING_FFIEC">"c13338"</definedName>
    <definedName name="IQ_ST_INVEST_UTI" hidden="1">"c1198"</definedName>
    <definedName name="IQ_ST_NOTE_RECEIV" hidden="1">"c1199"</definedName>
    <definedName name="IQ_STAND_REC_DET_EST" hidden="1">"c12069"</definedName>
    <definedName name="IQ_STAND_REC_DET_EST_DATE" hidden="1">"c12222"</definedName>
    <definedName name="IQ_STAND_REC_DET_EST_DATE_THOM" hidden="1">"c12250"</definedName>
    <definedName name="IQ_STAND_REC_DET_EST_ORIGIN" hidden="1">"c12594"</definedName>
    <definedName name="IQ_STAND_REC_DET_EST_ORIGIN_THOM" hidden="1">"c12620"</definedName>
    <definedName name="IQ_STAND_REC_DET_EST_THOM" hidden="1">"c12100"</definedName>
    <definedName name="IQ_STAND_REC_NUM_DET_EST" hidden="1">"c12068"</definedName>
    <definedName name="IQ_STAND_REC_NUM_DET_EST_DATE" hidden="1">"c12221"</definedName>
    <definedName name="IQ_STAND_REC_NUM_DET_EST_DATE_THOM" hidden="1">"c12249"</definedName>
    <definedName name="IQ_STAND_REC_NUM_DET_EST_ORIGIN" hidden="1">"c12593"</definedName>
    <definedName name="IQ_STAND_REC_NUM_DET_EST_ORIGIN_THOM" hidden="1">"c12619"</definedName>
    <definedName name="IQ_STAND_REC_NUM_DET_EST_THOM" hidden="1">"c12099"</definedName>
    <definedName name="IQ_STANDBY_LOC_FHLB_BANK_BEHALF_OFF_BS_FFIEC">"c15412"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POLI_SUBD_US_NON_TRANS_ACCTS_FFIEC">"c15324"</definedName>
    <definedName name="IQ_STATES_POLI_SUBD_US_TRANS_ACCTS_FFIEC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ATUTORY_SURPLUS_GAAP_EQUITY">"c15883"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EXPLORE_DRILL">"c13851"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IGHT_LINE_RENT_ADJ">"c16178"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>"c12844"</definedName>
    <definedName name="IQ_STRIPS_RECEIVABLE_OTHER_FFIEC">"c12845"</definedName>
    <definedName name="IQ_STRUCT_FIN_CLASS" hidden="1">"c8950"</definedName>
    <definedName name="IQ_STRUCT_FIN_SERIES" hidden="1">"c8956"</definedName>
    <definedName name="IQ_STRUCTURED_NOTES_INVEST_SECURITIES_FFIEC">"c13468"</definedName>
    <definedName name="IQ_STRUCTURING_NOTES_TIER_1_FFIEC">"c13344"</definedName>
    <definedName name="IQ_STW" hidden="1">"c2166"</definedName>
    <definedName name="IQ_STYLE_GROWTH_VALUE" hidden="1">"c19203"</definedName>
    <definedName name="IQ_STYLE_HIGH_YIELD" hidden="1">"c19204"</definedName>
    <definedName name="IQ_STYLE_MARKET_CAP" hidden="1">"c19202"</definedName>
    <definedName name="IQ_STYLE_REPORTED" hidden="1">"c19205"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>"c15410"</definedName>
    <definedName name="IQ_SUB_NOTES_DEBENTURES_FFIEC">"c12867"</definedName>
    <definedName name="IQ_SUB_NOTES_DEBENTURES_LEVEL_1_FFIEC">"c15432"</definedName>
    <definedName name="IQ_SUB_NOTES_DEBENTURES_LEVEL_2_FFIEC">"c15445"</definedName>
    <definedName name="IQ_SUB_NOTES_DEBENTURES_LEVEL_3_FFIEC">"c15458"</definedName>
    <definedName name="IQ_SUB_NOTES_PAYABLE_UNCONSOLIDATED_TRUSTS_FFIEC">"c12868"</definedName>
    <definedName name="IQ_SUBS_ANALOG_CABLE">"c2855"</definedName>
    <definedName name="IQ_SUBS_BASIC_CABLE">"c16205"</definedName>
    <definedName name="IQ_SUBS_BBAND">"c2858"</definedName>
    <definedName name="IQ_SUBS_BUNDLED">"c2861"</definedName>
    <definedName name="IQ_SUBS_DIG_CABLE">"c2856"</definedName>
    <definedName name="IQ_SUBS_NON_VIDEO">"c2860"</definedName>
    <definedName name="IQ_SUBS_PHONE">"c2859"</definedName>
    <definedName name="IQ_SUBS_POSTPAID_WIRELESS">"c2118"</definedName>
    <definedName name="IQ_SUBS_PREPAID_WIRELESS">"c2117"</definedName>
    <definedName name="IQ_SUBS_RESELL_WHOLESALE_WIRELESS">"c15749"</definedName>
    <definedName name="IQ_SUBS_TOTAL">"c2862"</definedName>
    <definedName name="IQ_SUBS_TOTAL_WIRELESS">"c2119"</definedName>
    <definedName name="IQ_SUBS_VIDEO">"c2857"</definedName>
    <definedName name="IQ_SUPPLIES_FFIEC">"c13050"</definedName>
    <definedName name="IQ_SUPPORT_INFRASTRUCTURE_CABLE_INVEST">"c15805"</definedName>
    <definedName name="IQ_SURFACE_RESERVES_COAL">"c15920"</definedName>
    <definedName name="IQ_SURFACE_RESERVES_TO_TOTAL_RESERVES_COAL">"c15959"</definedName>
    <definedName name="IQ_SURPLUS_FDIC" hidden="1">"c6351"</definedName>
    <definedName name="IQ_SURPLUS_FFIEC">"c12877"</definedName>
    <definedName name="IQ_SVA" hidden="1">"c1214"</definedName>
    <definedName name="IQ_SYMBOL_RT">"SYMBOL"</definedName>
    <definedName name="IQ_SYNTH_STRUCTURED_PRODUCTS_AFS_AMORT_COST_FFIEC" hidden="1">"c20501"</definedName>
    <definedName name="IQ_SYNTH_STRUCTURED_PRODUCTS_AFS_FAIR_VAL_FFIEC" hidden="1">"c20466"</definedName>
    <definedName name="IQ_SYNTH_STRUCTURED_PRODUCTS_HTM_AMORT_COST_FFIEC" hidden="1">"c20449"</definedName>
    <definedName name="IQ_SYNTH_STRUCTURED_PRODUCTS_HTM_FAIR_VAL_FFIEC" hidden="1">"c20484"</definedName>
    <definedName name="IQ_SYNTHETIC_STRUCTURED_PRODUCTS_AVAIL_SALE_FFIEC">"c15264"</definedName>
    <definedName name="IQ_SYNTHETIC_STRUCTURED_PRODUCTS_FFIEC">"c15261"</definedName>
    <definedName name="IQ_TANGIBLE_ASSETS_FFIEC">"c13916"</definedName>
    <definedName name="IQ_TANGIBLE_COMMON_EQUITY_FFIEC">"c13914"</definedName>
    <definedName name="IQ_TANGIBLE_EQUITY_ASSETS_FFIEC">"c13346"</definedName>
    <definedName name="IQ_TANGIBLE_EQUITY_FFIEC">"c13915"</definedName>
    <definedName name="IQ_TANGIBLE_TIER_1_LEVERAGE_FFIEC">"c13345"</definedName>
    <definedName name="IQ_TARGET_PRICE_DET_EST" hidden="1">"c12070"</definedName>
    <definedName name="IQ_TARGET_PRICE_DET_EST_CURRENCY" hidden="1">"c12475"</definedName>
    <definedName name="IQ_TARGET_PRICE_DET_EST_CURRENCY_THOM" hidden="1">"c12498"</definedName>
    <definedName name="IQ_TARGET_PRICE_DET_EST_DATE" hidden="1">"c12223"</definedName>
    <definedName name="IQ_TARGET_PRICE_DET_EST_DATE_THOM" hidden="1">"c12251"</definedName>
    <definedName name="IQ_TARGET_PRICE_DET_EST_INCL" hidden="1">"c12358"</definedName>
    <definedName name="IQ_TARGET_PRICE_DET_EST_INCL_THOM" hidden="1">"c12381"</definedName>
    <definedName name="IQ_TARGET_PRICE_DET_EST_ORIGIN" hidden="1">"c12729"</definedName>
    <definedName name="IQ_TARGET_PRICE_DET_EST_ORIGIN_THOM" hidden="1">"c12621"</definedName>
    <definedName name="IQ_TARGET_PRICE_DET_EST_THOM" hidden="1">"c12101"</definedName>
    <definedName name="IQ_TARGET_PRICE_LASTCLOSE" hidden="1">"c1855"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>"c13395"</definedName>
    <definedName name="IQ_TAXES_NOI_FFIEC">"c13394"</definedName>
    <definedName name="IQ_TAXES_TE_AVG_ASSETS_FFIEC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>"c13516"</definedName>
    <definedName name="IQ_TBV_SHARE" hidden="1">"c1217"</definedName>
    <definedName name="IQ_TBV_SHARE_REPORTED">"c19140"</definedName>
    <definedName name="IQ_TELECOM_FFIEC">"c13057"</definedName>
    <definedName name="IQ_TEMPLATE" hidden="1">"c1521"</definedName>
    <definedName name="IQ_TENANT" hidden="1">"c1218"</definedName>
    <definedName name="IQ_TENANT_LEASE_COMMISSION">"c16177"</definedName>
    <definedName name="IQ_TERM_LOANS" hidden="1">"c2499"</definedName>
    <definedName name="IQ_TERM_LOANS_PCT" hidden="1">"c2500"</definedName>
    <definedName name="IQ_TEV" hidden="1">"c1219"</definedName>
    <definedName name="IQ_TEV_DET_EST_CURRENCY_THOM" hidden="1">"c12499"</definedName>
    <definedName name="IQ_TEV_DET_EST_DATE_THOM" hidden="1">"c12252"</definedName>
    <definedName name="IQ_TEV_DET_EST_INCL_THOM" hidden="1">"c12382"</definedName>
    <definedName name="IQ_TEV_DET_EST_ORIGIN_THOM" hidden="1">"c12709"</definedName>
    <definedName name="IQ_TEV_DET_EST_THOM" hidden="1">"c12102"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_FWD_THOM" hidden="1">"c4061"</definedName>
    <definedName name="IQ_TEV_EBITDA" hidden="1">"c1222"</definedName>
    <definedName name="IQ_TEV_EBITDA_AVG" hidden="1">"c1223"</definedName>
    <definedName name="IQ_TEV_EBITDA_CAPEX" hidden="1">"c17553"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BITDA_FWD_THOM" hidden="1">"c4057"</definedName>
    <definedName name="IQ_TEV_EMPLOYEE_AVG" hidden="1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>"c13139"</definedName>
    <definedName name="IQ_TIER_1_CAPITAL_FFIEC">"c13143"</definedName>
    <definedName name="IQ_TIER_1_LEVERAGE_RATIO_FFIEC">"c13160"</definedName>
    <definedName name="IQ_TIER_1_RISK_BASED_CAPITAL_RATIO_FDIC" hidden="1">"c6746"</definedName>
    <definedName name="IQ_TIER_1_RISK_BASED_CAPITAL_RATIO_FFIEC">"c13161"</definedName>
    <definedName name="IQ_TIER_2_CAPITAL_FFIEC">"c13149"</definedName>
    <definedName name="IQ_TIER_3_CAPITAL_ALLOCATED_MARKET_RISK_FFIEC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ER_TWO_CAPITAL_RATIO">"c15241"</definedName>
    <definedName name="IQ_TIME_DEP" hidden="1">"c1230"</definedName>
    <definedName name="IQ_TIME_DEPOSIT_LESS_100000_QUARTERLY_AVG_FFIEC">"c15487"</definedName>
    <definedName name="IQ_TIME_DEPOSIT_MORE_100000_QUARTERLY_AVG_FFIEC">"c15486"</definedName>
    <definedName name="IQ_TIME_DEPOSITS_LESS_100K_OTHER_INSTITUTIONS_FFIEC">"c12953"</definedName>
    <definedName name="IQ_TIME_DEPOSITS_LESS_100K_TOT_DEPOSITS_FFIEC">"c13907"</definedName>
    <definedName name="IQ_TIME_DEPOSITS_LESS_THAN_100K_FDIC" hidden="1">"c6465"</definedName>
    <definedName name="IQ_TIME_DEPOSITS_MORE_100K_OTHER_INSTITUTIONS_FFIEC">"c12954"</definedName>
    <definedName name="IQ_TIME_DEPOSITS_MORE_100K_TOT_DEPOSITS_FFIEC">"c13906"</definedName>
    <definedName name="IQ_TIME_DEPOSITS_MORE_THAN_100K_FDIC" hidden="1">"c6470"</definedName>
    <definedName name="IQ_TIME_DEPOSITS_TOTAL_DEPOSITS">"c15723"</definedName>
    <definedName name="IQ_TODAY" hidden="1">0</definedName>
    <definedName name="IQ_TOT_1_4_FAM_LOANS_TOT_LOANS_FFIEC">"c13868"</definedName>
    <definedName name="IQ_TOT_ADJ_INC" hidden="1">"c1616"</definedName>
    <definedName name="IQ_TOT_LEASES_TOT_LOANS_FFIEC">"c13876"</definedName>
    <definedName name="IQ_TOT_NON_RE_LOANS_TOT_LOANS_FFIEC">"c13877"</definedName>
    <definedName name="IQ_TOT_NONTRANS_ACCTS_TOT_DEPOSITS_FFIEC">"c13909"</definedName>
    <definedName name="IQ_TOT_RE_LOANS_TOT_LOANS_FFIEC">"c13873"</definedName>
    <definedName name="IQ_TOT_TIME_DEPOSITS_TOT_DEPOSITS_FFIEC">"c13908"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>"c13644"</definedName>
    <definedName name="IQ_TOTAL_ASSETS_FAIR_VALUE_TOT_FFIEC">"c15405"</definedName>
    <definedName name="IQ_TOTAL_ASSETS_FDIC" hidden="1">"c6339"</definedName>
    <definedName name="IQ_TOTAL_ASSETS_FFIEC">"c12849"</definedName>
    <definedName name="IQ_TOTAL_ASSETS_LEVEL_1_FFIEC">"c15427"</definedName>
    <definedName name="IQ_TOTAL_ASSETS_LEVEL_2_FFIEC">"c15440"</definedName>
    <definedName name="IQ_TOTAL_ASSETS_LEVEL_3_FFIEC">"c15453"</definedName>
    <definedName name="IQ_TOTAL_ASSETS_LH_FFIEC">"c13106"</definedName>
    <definedName name="IQ_TOTAL_ASSETS_PC_FFIEC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BROKERED_DEPOSIT_FFIEC">"c15304"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DUE_DEPOSITORY_INSTIT_DOM_FFIEC">"c15291"</definedName>
    <definedName name="IQ_TOTAL_CASH_DUE_DEPOSITORY_INSTIT_FFIEC">"c15285"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EQUITY_FFIEC">"c13913"</definedName>
    <definedName name="IQ_TOTAL_COMMON_EQUITY_TOTAL_ASSETS_FFIEC">"c13864"</definedName>
    <definedName name="IQ_TOTAL_COMMON_SHARES_OUT_FFIEC">"c12955"</definedName>
    <definedName name="IQ_TOTAL_CONSTRUCTION_LL_REC_DOM_FFIEC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GUIDANCE_CIQ">"c5086"</definedName>
    <definedName name="IQ_TOTAL_DEBT_GUIDANCE_CIQ_COL">"c11733"</definedName>
    <definedName name="IQ_TOTAL_DEBT_HIGH_EST" hidden="1">"c4534"</definedName>
    <definedName name="IQ_TOTAL_DEBT_HIGH_GUIDANCE" hidden="1">"c4196"</definedName>
    <definedName name="IQ_TOTAL_DEBT_HIGH_GUIDANCE_CIQ">"c4608"</definedName>
    <definedName name="IQ_TOTAL_DEBT_HIGH_GUIDANCE_CIQ_COL">"c11257"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LOW_GUIDANCE_CIQ">"c4648"</definedName>
    <definedName name="IQ_TOTAL_DEBT_LOW_GUIDANCE_CIQ_COL">"c11297"</definedName>
    <definedName name="IQ_TOTAL_DEBT_MEDIAN_EST" hidden="1">"c4536"</definedName>
    <definedName name="IQ_TOTAL_DEBT_NON_CURRENT" hidden="1">"c6191"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POSITS" hidden="1">"c1265"</definedName>
    <definedName name="IQ_TOTAL_DEPOSITS_DOM_FFIEC">"c15313"</definedName>
    <definedName name="IQ_TOTAL_DEPOSITS_FDIC" hidden="1">"c6342"</definedName>
    <definedName name="IQ_TOTAL_DEPOSITS_FFIEC">"c13623"</definedName>
    <definedName name="IQ_TOTAL_DEPOSITS_SUPPLE">"c15253"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>"c13130"</definedName>
    <definedName name="IQ_TOTAL_EQUITY_FFIEC">"c12881"</definedName>
    <definedName name="IQ_TOTAL_EQUITY_INCL_MINORITY_INTEREST_FFIEC">"c15278"</definedName>
    <definedName name="IQ_TOTAL_EQUITY_LH_FFIEC">"c13109"</definedName>
    <definedName name="IQ_TOTAL_EQUITY_PC_FFIEC">"c13102"</definedName>
    <definedName name="IQ_TOTAL_EQUITY_SUBTOTAL_AP" hidden="1">"c8989"</definedName>
    <definedName name="IQ_TOTAL_EQUITY_TOTAL_ASSETS_FFIEC">"c13863"</definedName>
    <definedName name="IQ_TOTAL_FOREIGN_DEPOSITS_FFIEC">"c15348"</definedName>
    <definedName name="IQ_TOTAL_FOREIGN_LOANS_QUARTERLY_AVG_FFIEC">"c15482"</definedName>
    <definedName name="IQ_TOTAL_IBF_ASSETS_CONSOL_BANK_FFIEC">"c15299"</definedName>
    <definedName name="IQ_TOTAL_IBF_LIABILITIES_FFIEC">"c15302"</definedName>
    <definedName name="IQ_TOTAL_IBF_LL_REC_FFIEC">"c15297"</definedName>
    <definedName name="IQ_TOTAL_INT_EXPENSE_FFIEC">"c13000"</definedName>
    <definedName name="IQ_TOTAL_INT_INCOME_FFIEC">"c12989"</definedName>
    <definedName name="IQ_TOTAL_INTEREST_EXP" hidden="1">"c1382"</definedName>
    <definedName name="IQ_TOTAL_INTEREST_EXP_FOREIGN_FFIEC">"c15374"</definedName>
    <definedName name="IQ_TOTAL_INTEREST_INC_FOREIGN_FFIEC">"c15373"</definedName>
    <definedName name="IQ_TOTAL_INVENTORY" hidden="1">"c1385"</definedName>
    <definedName name="IQ_TOTAL_INVEST" hidden="1">"c1275"</definedName>
    <definedName name="IQ_TOTAL_IRA_KEOGH_PLAN_ACCOUNTS_FFIEC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>"c12882"</definedName>
    <definedName name="IQ_TOTAL_LIABILITIES_FAIR_VALUE_TOT_FFIEC">"c15411"</definedName>
    <definedName name="IQ_TOTAL_LIABILITIES_FDIC" hidden="1">"c6348"</definedName>
    <definedName name="IQ_TOTAL_LIABILITIES_FFIEC">"c12873"</definedName>
    <definedName name="IQ_TOTAL_LIABILITIES_LEVEL_1_FFIEC">"c15433"</definedName>
    <definedName name="IQ_TOTAL_LIABILITIES_LEVEL_2_FFIEC">"c15446"</definedName>
    <definedName name="IQ_TOTAL_LIABILITIES_LEVEL_3_FFIEC">"c15459"</definedName>
    <definedName name="IQ_TOTAL_LL_REC_DOM_FFIEC">"c12917"</definedName>
    <definedName name="IQ_TOTAL_LL_REC_FFIEC">"c12898"</definedName>
    <definedName name="IQ_TOTAL_LOANS" hidden="1">"c5653"</definedName>
    <definedName name="IQ_TOTAL_LOANS_DOM_QUARTERLY_AVG_FFIEC">"c15475"</definedName>
    <definedName name="IQ_TOTAL_LOANS_LEASES_AND_OTHER_DUE_30_89_FFIEC">"c15416"</definedName>
    <definedName name="IQ_TOTAL_LOANS_LEASES_AND_OTHER_DUE_90_FFIEC">"c15420"</definedName>
    <definedName name="IQ_TOTAL_LOANS_LEASES_AND_OTHER_NON_ACCRUAL_FFIEC">"c15466"</definedName>
    <definedName name="IQ_TOTAL_LOANS_LEASES_CHARGE_OFFS_FFIEC">"c13186"</definedName>
    <definedName name="IQ_TOTAL_LOANS_LEASES_DUE_30_89_FFIEC">"c13280"</definedName>
    <definedName name="IQ_TOTAL_LOANS_LEASES_DUE_90_FFIEC">"c13306"</definedName>
    <definedName name="IQ_TOTAL_LOANS_LEASES_NON_ACCRUAL_FFIEC">"c13757"</definedName>
    <definedName name="IQ_TOTAL_LOANS_LEASES_RECOV_FFIEC">"c13208"</definedName>
    <definedName name="IQ_TOTAL_LONG_DEBT" hidden="1">"c1617"</definedName>
    <definedName name="IQ_TOTAL_NON_REC" hidden="1">"c1444"</definedName>
    <definedName name="IQ_TOTAL_NON_TRANS_ACCTS_FFIEC">"c15328"</definedName>
    <definedName name="IQ_TOTAL_NONINTEREST_EXPENSE_FOREIGN_FFIEC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ERATING_EXPENSE">"c16047"</definedName>
    <definedName name="IQ_TOTAL_OPERATING_REVENUE">"c16030"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_LOANS_TOTAL_LOANS">"c15715"</definedName>
    <definedName name="IQ_TOTAL_RE_NOI_AVG_GROSS_PROP">"c16059"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NTAL_REVENUE">"c16022"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>"c13120"</definedName>
    <definedName name="IQ_TOTAL_RETURN_SWAPS_DERIVATIVES_GUARANTOR_FFIEC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>"c13020"</definedName>
    <definedName name="IQ_TOTAL_REVENUE_FOREIGN_FFIEC">"c15383"</definedName>
    <definedName name="IQ_TOTAL_RISK_BASED_CAPITAL_FFIEC">"c13153"</definedName>
    <definedName name="IQ_TOTAL_RISK_BASED_CAPITAL_RATIO_FDIC" hidden="1">"c6747"</definedName>
    <definedName name="IQ_TOTAL_RISK_BASED_CAPITAL_RATIO_FFIEC">"c13162"</definedName>
    <definedName name="IQ_TOTAL_RISK_WEIGHTED_ASSETS_FFIEC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LESS_100000_1_TO_3_YEARS_FFIEC">"c15335"</definedName>
    <definedName name="IQ_TOTAL_TIME_LESS_100000_3_MONTHS_LESS_FFIEC">"c15333"</definedName>
    <definedName name="IQ_TOTAL_TIME_LESS_100000_3_TO_12_MONTHS_FFIEC">"c15334"</definedName>
    <definedName name="IQ_TOTAL_TIME_LESS_100000_FFIEC">"c15332"</definedName>
    <definedName name="IQ_TOTAL_TIME_LESS_100000_OVER_3_YEARS_FFIEC">"c15336"</definedName>
    <definedName name="IQ_TOTAL_TIME_MORE_100000_1_TO_3_YEARS_FFIEC">"c15340"</definedName>
    <definedName name="IQ_TOTAL_TIME_MORE_100000_3_MONTHS_LESS_FFIEC">"c15338"</definedName>
    <definedName name="IQ_TOTAL_TIME_MORE_100000_3_TO_12_MONTHS_FFIEC">"c15339"</definedName>
    <definedName name="IQ_TOTAL_TIME_MORE_100000_FFIEC">"c15337"</definedName>
    <definedName name="IQ_TOTAL_TIME_MORE_100000_OVER_3_YEARS_FFIEC">"c15341"</definedName>
    <definedName name="IQ_TOTAL_TIME_SAVINGS_DEPOSITS_FDIC" hidden="1">"c6498"</definedName>
    <definedName name="IQ_TOTAL_TRADING_ASSETS_FFIEC">"c12939"</definedName>
    <definedName name="IQ_TOTAL_TRADING_LIAB_DOM_FFIEC">"c12944"</definedName>
    <definedName name="IQ_TOTAL_TRADING_LIAB_FOREIGN_FFIEC">"c15296"</definedName>
    <definedName name="IQ_TOTAL_TRANS_ACCTS_FFIEC">"c15321"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DJ_SIZE_FINAL" hidden="1">"c16265"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NKY_ADVISOR_CLIENT_NAME_LIST" hidden="1">"c17671"</definedName>
    <definedName name="IQ_TR_BNKY_ADVISOR_FEE_LIST" hidden="1">"c17673"</definedName>
    <definedName name="IQ_TR_BNKY_ADVISOR_FEE_PCT_LIST" hidden="1">"c17674"</definedName>
    <definedName name="IQ_TR_BNKY_ADVISOR_ID_LIST" hidden="1">"c17670"</definedName>
    <definedName name="IQ_TR_BNKY_ADVISOR_NAME_LIST" hidden="1">"c17669"</definedName>
    <definedName name="IQ_TR_BNKY_ADVISOR_ROLE_LIST" hidden="1">"c17672"</definedName>
    <definedName name="IQ_TR_BNKY_AFFILIATES_JOINT_ADMIN" hidden="1">"c17636"</definedName>
    <definedName name="IQ_TR_BNKY_AFFILIATES_JOINT_ADMIN_LIST" hidden="1">"c17656"</definedName>
    <definedName name="IQ_TR_BNKY_CASE_CONSOLIDATED_DATE" hidden="1">"c17632"</definedName>
    <definedName name="IQ_TR_BNKY_CASE_FILING_FEE_PAID" hidden="1">"c17634"</definedName>
    <definedName name="IQ_TR_BNKY_CASE_NUMBER" hidden="1">"c17627"</definedName>
    <definedName name="IQ_TR_BNKY_CASH_IN_HAND" hidden="1">"c17651"</definedName>
    <definedName name="IQ_TR_BNKY_COURT" hidden="1">"c17626"</definedName>
    <definedName name="IQ_TR_BNKY_CREDITOR_CLAIM_AMT_LIST" hidden="1">"c17660"</definedName>
    <definedName name="IQ_TR_BNKY_CREDITOR_ID_LIST" hidden="1">"c17658"</definedName>
    <definedName name="IQ_TR_BNKY_CREDITOR_NAME_LIST" hidden="1">"c17657"</definedName>
    <definedName name="IQ_TR_BNKY_CREDITOR_REL_LIST" hidden="1">"c17659"</definedName>
    <definedName name="IQ_TR_BNKY_CREDITORS" hidden="1">"c17635"</definedName>
    <definedName name="IQ_TR_BNKY_DIP_COMMITMENT_FEE_LIST" hidden="1">"c17667"</definedName>
    <definedName name="IQ_TR_BNKY_DIP_FIN_PROVIDED" hidden="1">"c17640"</definedName>
    <definedName name="IQ_TR_BNKY_DIP_FIN_PROVIDED_LIST" hidden="1">"c17665"</definedName>
    <definedName name="IQ_TR_BNKY_DIP_FIN_PROVIDERS" hidden="1">"c17639"</definedName>
    <definedName name="IQ_TR_BNKY_DIP_FIN_SECURITY_TYPES" hidden="1">"c17642"</definedName>
    <definedName name="IQ_TR_BNKY_DIP_FIN_UTILIZED" hidden="1">"c17641"</definedName>
    <definedName name="IQ_TR_BNKY_DIP_ID_LIST" hidden="1">"c17662"</definedName>
    <definedName name="IQ_TR_BNKY_DIP_LEAD_PROVIDER_LIST" hidden="1">"c17668"</definedName>
    <definedName name="IQ_TR_BNKY_DIP_LIBOR_SPREAD_LIST" hidden="1">"c17666"</definedName>
    <definedName name="IQ_TR_BNKY_DIP_MATURITY_DATE_LIST" hidden="1">"c17664"</definedName>
    <definedName name="IQ_TR_BNKY_DIP_NAME_LIST" hidden="1">"c17661"</definedName>
    <definedName name="IQ_TR_BNKY_DIP_SECURITY_LIST" hidden="1">"c17663"</definedName>
    <definedName name="IQ_TR_BNKY_DISMISSED_DATE" hidden="1">"c17633"</definedName>
    <definedName name="IQ_TR_BNKY_EMERGED_REORG_DATE" hidden="1">"c17630"</definedName>
    <definedName name="IQ_TR_BNKY_FEATURES_LIST" hidden="1">"c17655"</definedName>
    <definedName name="IQ_TR_BNKY_FILING_TYPE" hidden="1">"c17624"</definedName>
    <definedName name="IQ_TR_BNKY_INVOL_PETITION_FILED_DATE" hidden="1">"c17629"</definedName>
    <definedName name="IQ_TR_BNKY_ISSUANCE_DEBT" hidden="1">"c17648"</definedName>
    <definedName name="IQ_TR_BNKY_ISSUANCE_EQUITY" hidden="1">"c17649"</definedName>
    <definedName name="IQ_TR_BNKY_LEAD_ASSETS_INIT_FILING" hidden="1">"c17645"</definedName>
    <definedName name="IQ_TR_BNKY_LEAD_ASSETS_INIT_FILING_LIST" hidden="1">"c17678"</definedName>
    <definedName name="IQ_TR_BNKY_LEAD_DEBTOR" hidden="1">"c17643"</definedName>
    <definedName name="IQ_TR_BNKY_LEAD_DEBTOR_LIST" hidden="1">"c17675"</definedName>
    <definedName name="IQ_TR_BNKY_LEAD_LIAB_INIT_FILING" hidden="1">"c17644"</definedName>
    <definedName name="IQ_TR_BNKY_LEAD_LIAB_INIT_FILING_LIST" hidden="1">"c17677"</definedName>
    <definedName name="IQ_TR_BNKY_LEAD_REV_ANN" hidden="1">"c17646"</definedName>
    <definedName name="IQ_TR_BNKY_LEAD_REV_ANN_LIST" hidden="1">"c17679"</definedName>
    <definedName name="IQ_TR_BNKY_LEAD_STOCK_PRICE_ANN" hidden="1">"c17647"</definedName>
    <definedName name="IQ_TR_BNKY_LEAD_STOCK_PRICE_ANN_LIST" hidden="1">"c17680"</definedName>
    <definedName name="IQ_TR_BNKY_LEAD_TYPE_LIST" hidden="1">"c17676"</definedName>
    <definedName name="IQ_TR_BNKY_LIQUIDATED_DATE" hidden="1">"c17631"</definedName>
    <definedName name="IQ_TR_BNKY_PRE_BANKRUPTCY_SITUATION" hidden="1">"c17637"</definedName>
    <definedName name="IQ_TR_BNKY_RESOLUTION" hidden="1">"c17638"</definedName>
    <definedName name="IQ_TR_BNKY_RESTRUCTURING_WEBSITE" hidden="1">"c17625"</definedName>
    <definedName name="IQ_TR_BNKY_SALE_ASSETS" hidden="1">"c17650"</definedName>
    <definedName name="IQ_TR_BNKY_TOTAL_CLAIMANTS_AMT" hidden="1">"c17653"</definedName>
    <definedName name="IQ_TR_BNKY_TOTAL_FIN_PROVIDED" hidden="1">"c17652"</definedName>
    <definedName name="IQ_TR_BNKY_TOTAL_PAYMENTS_CLAIMANTS" hidden="1">"c17654"</definedName>
    <definedName name="IQ_TR_BNKY_VOL_PETITION_FILED_DATE" hidden="1">"c17628"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>"c13638"</definedName>
    <definedName name="IQ_TR_BUY_TERM_FEE_PCT">"c13639"</definedName>
    <definedName name="IQ_TR_BUYBACK_TO_CLOSE">"c13919"</definedName>
    <definedName name="IQ_TR_BUYBACK_TO_HIGH">"c13917"</definedName>
    <definedName name="IQ_TR_BUYBACK_TO_LOW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CONSID_PCT_FINAL" hidden="1">"c16268"</definedName>
    <definedName name="IQ_TR_CASH_ST_INVEST" hidden="1">"c3025"</definedName>
    <definedName name="IQ_TR_CASH_ST_INVEST_FINAL" hidden="1">"c16266"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ISSUE" hidden="1">"c17571"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BT_CONSID_PCT_FINAL" hidden="1">"c16274"</definedName>
    <definedName name="IQ_TR_DEF_AGRMT_DATE" hidden="1">"c2285"</definedName>
    <definedName name="IQ_TR_DISCLOSED_FEES_EXP" hidden="1">"c2288"</definedName>
    <definedName name="IQ_TR_EARNOUTS" hidden="1">"c3023"</definedName>
    <definedName name="IQ_TR_EARNOUTS_FINAL" hidden="1">"c16262"</definedName>
    <definedName name="IQ_TR_EX_OVER_SHARES_ISSUE" hidden="1">"c17566"</definedName>
    <definedName name="IQ_TR_EXPIRED_DATE" hidden="1">"c2412"</definedName>
    <definedName name="IQ_TR_GROSS_OFFERING_AMT" hidden="1">"c2262"</definedName>
    <definedName name="IQ_TR_GROSS_PROCEEDS_ISSUE" hidden="1">"c17568"</definedName>
    <definedName name="IQ_TR_HYBRID_CONSID_PCT" hidden="1">"c2300"</definedName>
    <definedName name="IQ_TR_HYBRID_CONSID_PCT_FINAL" hidden="1">"c16276"</definedName>
    <definedName name="IQ_TR_IMPLIED_EQ" hidden="1">"c3018"</definedName>
    <definedName name="IQ_TR_IMPLIED_EQ_BV" hidden="1">"c3019"</definedName>
    <definedName name="IQ_TR_IMPLIED_EQ_BV_FINAL" hidden="1">"c16255"</definedName>
    <definedName name="IQ_TR_IMPLIED_EQ_FINAL" hidden="1">"c16253"</definedName>
    <definedName name="IQ_TR_IMPLIED_EQ_NI_LTM" hidden="1">"c3020"</definedName>
    <definedName name="IQ_TR_IMPLIED_EQ_NI_LTM_FINAL" hidden="1">"c16254"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_FINAL" hidden="1">"c16252"</definedName>
    <definedName name="IQ_TR_IMPLIED_EV_EBITDA" hidden="1">"c2303"</definedName>
    <definedName name="IQ_TR_IMPLIED_EV_EBITDA_FINAL" hidden="1">"c16251"</definedName>
    <definedName name="IQ_TR_IMPLIED_EV_FINAL" hidden="1">"c16249"</definedName>
    <definedName name="IQ_TR_IMPLIED_EV_NI_LTM" hidden="1">"c2307"</definedName>
    <definedName name="IQ_TR_IMPLIED_EV_REV" hidden="1">"c2304"</definedName>
    <definedName name="IQ_TR_IMPLIED_EV_REV_FINAL" hidden="1">"c16250"</definedName>
    <definedName name="IQ_TR_INIT_FILED_DATE" hidden="1">"c3495"</definedName>
    <definedName name="IQ_TR_IPO_TRANSACTION_ID" hidden="1">"c17554"</definedName>
    <definedName name="IQ_TR_LEAD_UNDERWRITERS" hidden="1">"c17576"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ASSUM_LIABILITIES_FINAL" hidden="1">"c16264"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FFER_PER_SHARE_FINAL" hidden="1">"c16257"</definedName>
    <definedName name="IQ_TR_OPTIONS_CONSID_PCT" hidden="1">"c2311"</definedName>
    <definedName name="IQ_TR_OPTIONS_CONSID_PCT_FINAL" hidden="1">"c16278"</definedName>
    <definedName name="IQ_TR_OTHER_CONSID" hidden="1">"c3022"</definedName>
    <definedName name="IQ_TR_OTHER_CONSID_FINAL" hidden="1">"c16261"</definedName>
    <definedName name="IQ_TR_PCT_SOUGHT" hidden="1">"c2309"</definedName>
    <definedName name="IQ_TR_PCT_SOUGHT_ACQUIRED_FINAL" hidden="1">"c16256"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_1D_PRICE" hidden="1">"c19180"</definedName>
    <definedName name="IQ_TR_PO_1D_RETURN" hidden="1">"c19179"</definedName>
    <definedName name="IQ_TR_PO_1M_PRICE" hidden="1">"c19184"</definedName>
    <definedName name="IQ_TR_PO_1M_RETURN" hidden="1">"c19183"</definedName>
    <definedName name="IQ_TR_PO_1W_PRICE" hidden="1">"c19182"</definedName>
    <definedName name="IQ_TR_PO_1W_RETURN" hidden="1">"c19181"</definedName>
    <definedName name="IQ_TR_PO_1Y_PRICE" hidden="1">"c19190"</definedName>
    <definedName name="IQ_TR_PO_1Y_RETURN" hidden="1">"c19189"</definedName>
    <definedName name="IQ_TR_PO_3M_PRICE" hidden="1">"c19186"</definedName>
    <definedName name="IQ_TR_PO_3M_RETURN" hidden="1">"c19185"</definedName>
    <definedName name="IQ_TR_PO_6M_PRICE" hidden="1">"c19188"</definedName>
    <definedName name="IQ_TR_PO_6M_RETURN" hidden="1">"c19187"</definedName>
    <definedName name="IQ_TR_PO_DISCOUNT_SHARE" hidden="1">"c17562"</definedName>
    <definedName name="IQ_TR_PO_ISSUE_CURRENCY" hidden="1">"c17557"</definedName>
    <definedName name="IQ_TR_PO_NET_PROCEEDS_SHARE" hidden="1">"c17563"</definedName>
    <definedName name="IQ_TR_PO_PRICE_RANGE" hidden="1">"c17559"</definedName>
    <definedName name="IQ_TR_PO_PRICE_RANGE_HIGH" hidden="1">"c17560"</definedName>
    <definedName name="IQ_TR_PO_PRICE_RANGE_LOW" hidden="1">"c17561"</definedName>
    <definedName name="IQ_TR_PO_PRICE_SHARE" hidden="1">"c17558"</definedName>
    <definedName name="IQ_TR_PO_SHARES_OFFERED" hidden="1">"c17564"</definedName>
    <definedName name="IQ_TR_PO_SHARES_OFFERED_EX_OVER" hidden="1">"c17567"</definedName>
    <definedName name="IQ_TR_PO_TICKER" hidden="1">"c17556"</definedName>
    <definedName name="IQ_TR_PO_TRADING_ITEM_CIQID" hidden="1">"c17555"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F_CONSID_PCT_FINAL" hidden="1">"c16272"</definedName>
    <definedName name="IQ_TR_PREMONEY_VAL" hidden="1">"c2287"</definedName>
    <definedName name="IQ_TR_PRINTING_FEES" hidden="1">"c2276"</definedName>
    <definedName name="IQ_TR_PROCEEDS_EX_OVER_ISSUE" hidden="1">"c17574"</definedName>
    <definedName name="IQ_TR_PT_MONETARY_VALUES" hidden="1">"c2415"</definedName>
    <definedName name="IQ_TR_PT_NUMBER_SHARES" hidden="1">"c2417"</definedName>
    <definedName name="IQ_TR_PT_OFFER_PER_SHARE">"c18872"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_OVER_SHARES_ISSUE" hidden="1">"c17565"</definedName>
    <definedName name="IQ_TR_REG_OVER_VALUE_ISSUE" hidden="1">"c17572"</definedName>
    <definedName name="IQ_TR_REGISTRATION_FEES">"c2274"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>"c2298"</definedName>
    <definedName name="IQ_TR_SELL_TERM_FEE_PCT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ISSUE" hidden="1">"c17570"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TOCK_CONSID_PCT_FINAL" hidden="1">"c16270"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ASH_FINAL" hidden="1">"c16267"</definedName>
    <definedName name="IQ_TR_TOTAL_CONSID_SH" hidden="1">"c2316"</definedName>
    <definedName name="IQ_TR_TOTAL_CONSID_SH_FINAL" hidden="1">"c16260"</definedName>
    <definedName name="IQ_TR_TOTAL_DEBT" hidden="1">"c2317"</definedName>
    <definedName name="IQ_TR_TOTAL_DEBT_FINAL" hidden="1">"c16273"</definedName>
    <definedName name="IQ_TR_TOTAL_EX_OVER_VALUE_ISSUE" hidden="1">"c17573"</definedName>
    <definedName name="IQ_TR_TOTAL_GROSS_TV" hidden="1">"c2318"</definedName>
    <definedName name="IQ_TR_TOTAL_GROSS_TV_FINAL" hidden="1">"c16259"</definedName>
    <definedName name="IQ_TR_TOTAL_HYBRID" hidden="1">"c2319"</definedName>
    <definedName name="IQ_TR_TOTAL_HYBRID_FINAL" hidden="1">"c16275"</definedName>
    <definedName name="IQ_TR_TOTAL_LEGAL_FEES" hidden="1">"c2272"</definedName>
    <definedName name="IQ_TR_TOTAL_NET_TV" hidden="1">"c2320"</definedName>
    <definedName name="IQ_TR_TOTAL_NET_TV_FINAL" hidden="1">"c16258"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OPTIONS_BUYER_FINAL" hidden="1">"c16277"</definedName>
    <definedName name="IQ_TR_TOTAL_OPTIONS_FINAL" hidden="1">"c16263"</definedName>
    <definedName name="IQ_TR_TOTAL_PREFERRED" hidden="1">"c2321"</definedName>
    <definedName name="IQ_TR_TOTAL_PREFERRED_FINAL" hidden="1">"c16271"</definedName>
    <definedName name="IQ_TR_TOTAL_REG_AMT" hidden="1">"c2261"</definedName>
    <definedName name="IQ_TR_TOTAL_STOCK" hidden="1">"c2323"</definedName>
    <definedName name="IQ_TR_TOTAL_STOCK_FINAL" hidden="1">"c16269"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UNDERWRITER_COMP_ISSUE" hidden="1">"c17569"</definedName>
    <definedName name="IQ_TR_UNDERWRITERS_OTHER" hidden="1">"c17577"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>"c13210"</definedName>
    <definedName name="IQ_TRADING_ASSETS_FDIC" hidden="1">"c6328"</definedName>
    <definedName name="IQ_TRADING_ASSETS_FFIEC">"c12812"</definedName>
    <definedName name="IQ_TRADING_ASSETS_FOREIGN_FFIEC">"c12940"</definedName>
    <definedName name="IQ_TRADING_ASSETS_LEVEL_1_FFIEC">"c13218"</definedName>
    <definedName name="IQ_TRADING_ASSETS_LEVEL_2_FFIEC">"c13226"</definedName>
    <definedName name="IQ_TRADING_ASSETS_LEVEL_3_FFIEC">"c13234"</definedName>
    <definedName name="IQ_TRADING_ASSETS_QUARTERLY_AVG_FFIEC">"c13085"</definedName>
    <definedName name="IQ_TRADING_CURRENCY" hidden="1">"c2212"</definedName>
    <definedName name="IQ_TRADING_ITEM_CIQID" hidden="1">"c8949"</definedName>
    <definedName name="IQ_TRADING_LIABILITIES_FAIR_VALUE_TOT_FFIEC">"c13214"</definedName>
    <definedName name="IQ_TRADING_LIABILITIES_FDIC" hidden="1">"c6344"</definedName>
    <definedName name="IQ_TRADING_LIABILITIES_FFIEC">"c12858"</definedName>
    <definedName name="IQ_TRADING_LIABILITIES_LEVEL_1_FFIEC">"c13222"</definedName>
    <definedName name="IQ_TRADING_LIABILITIES_LEVEL_2_FFIEC">"c13230"</definedName>
    <definedName name="IQ_TRADING_LIABILITIES_LEVEL_3_FFIEC">"c13238"</definedName>
    <definedName name="IQ_TRADING_REV_FOREIGN_FFIEC">"c15377"</definedName>
    <definedName name="IQ_TRADING_REV_OPERATING_INC_FFIEC">"c13385"</definedName>
    <definedName name="IQ_TRADING_REVENUE_FFIEC">"c13004"</definedName>
    <definedName name="IQ_TRANS_ACCTS_TOT_DEPOSITS_FFIEC">"c13904"</definedName>
    <definedName name="IQ_TRANS_IMPACT_FIN_48_CURRENT_ASSETS">"c15727"</definedName>
    <definedName name="IQ_TRANS_IMPACT_FIN_48_CURRENT_LIABILITIES">"c15729"</definedName>
    <definedName name="IQ_TRANS_IMPACT_FIN_48_LT_ASSETS">"c15728"</definedName>
    <definedName name="IQ_TRANS_IMPACT_FIN_48_NON_CURRENT_LIABILITIES">"c15730"</definedName>
    <definedName name="IQ_TRANS_IMPACT_FIN_48_RETAINED_EARNINGS">"c15731"</definedName>
    <definedName name="IQ_TRANSACTION_ACCOUNTS_FDIC" hidden="1">"c6544"</definedName>
    <definedName name="IQ_TRANSACTION_LIST">"c15126"</definedName>
    <definedName name="IQ_TRANSACTION_LIST_BANKRUPTCY">"c15131"</definedName>
    <definedName name="IQ_TRANSACTION_LIST_BUYBACK">"c15129"</definedName>
    <definedName name="IQ_TRANSACTION_LIST_INCL_SUBS">"c15132"</definedName>
    <definedName name="IQ_TRANSACTION_LIST_INCL_SUBS_BANKRUPTCY">"c15137"</definedName>
    <definedName name="IQ_TRANSACTION_LIST_INCL_SUBS_BUYBACK">"c15135"</definedName>
    <definedName name="IQ_TRANSACTION_LIST_INCL_SUBS_MA">"c15133"</definedName>
    <definedName name="IQ_TRANSACTION_LIST_INCL_SUBS_PO">"c15136"</definedName>
    <definedName name="IQ_TRANSACTION_LIST_INCL_SUBS_PP">"c15134"</definedName>
    <definedName name="IQ_TRANSACTION_LIST_MA">"c15127"</definedName>
    <definedName name="IQ_TRANSACTION_LIST_PO">"c15130"</definedName>
    <definedName name="IQ_TRANSACTION_LIST_PP">"c15128"</definedName>
    <definedName name="IQ_TREASURER_ID">"c15214"</definedName>
    <definedName name="IQ_TREASURER_NAME">"c15213"</definedName>
    <definedName name="IQ_TREASURY" hidden="1">"c1311"</definedName>
    <definedName name="IQ_TREASURY_INVEST_SECURITIES_FFIEC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EASURY_STOCK_TRANSACTIONS_FFIEC">"c15352"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ASSIGNED_RESERVES_COAL">"c15914"</definedName>
    <definedName name="IQ_UNASSIGNED_RESERVES_TO_TOTAL_RESERVES_COAL">"c15956"</definedName>
    <definedName name="IQ_UNCLASSIFIED_PROPERTY_OPERATING_EXPENSE">"c16034"</definedName>
    <definedName name="IQ_UNCLASSIFIED_RENTAL_INCOME">"c16021"</definedName>
    <definedName name="IQ_UNCONSOL_BEDS" hidden="1">"c8783"</definedName>
    <definedName name="IQ_UNCONSOL_NOI">"c16067"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GROUND_RESERVES_COAL">"c15922"</definedName>
    <definedName name="IQ_UNDERGROUND_RESERVES_TO_TOTAL_RESERVES_COAL">"c15960"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FED_FUNDS">"c2524"</definedName>
    <definedName name="IQ_UNDRAWN_FHLB">"c2520"</definedName>
    <definedName name="IQ_UNDRAWN_LC">"c2521"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>"c12916"</definedName>
    <definedName name="IQ_UNEARNED_INCOME_LL_REC_FFIEC">"c12897"</definedName>
    <definedName name="IQ_UNEARNED_PREMIUMS_PC_FFIEC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RECOG_TAX_BENEFIT_BEG_PERIOD">"c15732"</definedName>
    <definedName name="IQ_UNRECOG_TAX_BENEFIT_END_PERIOD">"c15740"</definedName>
    <definedName name="IQ_UNRECOG_TAX_BENEFIT_OTHER_ADJ">"c15739"</definedName>
    <definedName name="IQ_UNSECURED_COMMITMENTS_COMMERCIAL_RE_UNUSED_FFIEC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PGRADE_REBUILD_CABLE_INVEST">"c15804"</definedName>
    <definedName name="IQ_US_ADDRESS_LEASE_FIN_REC_FFIEC">"c13624"</definedName>
    <definedName name="IQ_US_AGENCY_OBLIG_FFIEC">"c12779"</definedName>
    <definedName name="IQ_US_AGENCY_OBLIG_HTM_AMORT_COST_FFIEC" hidden="1">"c20438"</definedName>
    <definedName name="IQ_US_AGENCY_OBLIG_HTM_FAIR_VAL_FFIEC" hidden="1">"c20473"</definedName>
    <definedName name="IQ_US_AGENCY_OBLIG_TRADING_DOM_FFIEC">"c12919"</definedName>
    <definedName name="IQ_US_AGENCY_OBLIG_TRADING_FFIEC">"c12814"</definedName>
    <definedName name="IQ_US_AGENCY_OBLIGATIONS_AFS_AMORT_COST_FFIEC" hidden="1">"c20490"</definedName>
    <definedName name="IQ_US_AGENCY_OBLIGATIONS_AFS_FAIR_VAL_FFIEC" hidden="1">"c20455"</definedName>
    <definedName name="IQ_US_AGENCY_OBLIGATIONS_AVAIL_SALE_FFIEC">"c12793"</definedName>
    <definedName name="IQ_US_BANKS_OTHER_INST_FOREIGN_DEP_FFIEC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>"c15323"</definedName>
    <definedName name="IQ_US_GOVT_STATE_POLI_SUBD_IN_US_FOREIGN_DEP_FFIEC">"c15346"</definedName>
    <definedName name="IQ_US_GOVT_TRANS_ACCTS_FFIEC">"c15315"</definedName>
    <definedName name="IQ_US_INST_DUE_30_89_FFIEC">"c13268"</definedName>
    <definedName name="IQ_US_INST_DUE_90_FFIEC">"c13294"</definedName>
    <definedName name="IQ_US_INST_NON_ACCRUAL_FFIEC">"c13320"</definedName>
    <definedName name="IQ_US_SPONSORED_AGENCY_OBLIG_AFS_AMORT_COST_FFIEC" hidden="1">"c20491"</definedName>
    <definedName name="IQ_US_SPONSORED_AGENCY_OBLIG_AFS_FAIR_VAL_FFIEC" hidden="1">"c20456"</definedName>
    <definedName name="IQ_US_SPONSORED_AGENCY_OBLIG_AVAIL_SALE_FFIEC">"c12794"</definedName>
    <definedName name="IQ_US_SPONSORED_AGENCY_OBLIG_FFIEC">"c12780"</definedName>
    <definedName name="IQ_US_SPONSORED_AGENCY_OBLIG_HTM_AMORT_COST_FFIEC" hidden="1">"c20439"</definedName>
    <definedName name="IQ_US_SPONSORED_AGENCY_OBLIG_HTM_FAIR_VAL_FFIEC" hidden="1">"c20474"</definedName>
    <definedName name="IQ_US_TREASURY_SEC_AFS_AMORT_COST_FFIEC" hidden="1">"c20489"</definedName>
    <definedName name="IQ_US_TREASURY_SEC_AFS_FAIR_VAL_FFIEC" hidden="1">"c20454"</definedName>
    <definedName name="IQ_US_TREASURY_SEC_AVAIL_SALE_FFIEC">"c12792"</definedName>
    <definedName name="IQ_US_TREASURY_SEC_TRADING_DOM_FFIEC">"c12918"</definedName>
    <definedName name="IQ_US_TREASURY_SEC_TRADING_FFIEC">"c12813"</definedName>
    <definedName name="IQ_US_TREASURY_SECURITIES_FDIC" hidden="1">"c6298"</definedName>
    <definedName name="IQ_US_TREASURY_SECURITIES_FFIEC">"c12778"</definedName>
    <definedName name="IQ_US_TREASURY_SECURITIES_HTM_AMORT_COST_FFIEC" hidden="1">"c20437"</definedName>
    <definedName name="IQ_US_TREASURY_SECURITIES_HTM_FAIR_VAL_FFIEC" hidden="1">"c20472"</definedName>
    <definedName name="IQ_UST_SEC_GOVT_AGENCY_CORP_QUARTERLY_AVG_FFIEC">"c15469"</definedName>
    <definedName name="IQ_UST_SECURITIES_GOVT_AGENCY_QUARTERLY_AVG_FFIEC">"c15468"</definedName>
    <definedName name="IQ_UTIL_PPE_NET" hidden="1">"c1620"</definedName>
    <definedName name="IQ_UTIL_REV" hidden="1">"c2091"</definedName>
    <definedName name="IQ_UTILITY_EXPENSE">"c16031"</definedName>
    <definedName name="IQ_UV_PENSION_LIAB" hidden="1">"c1332"</definedName>
    <definedName name="IQ_VALUATION_ALLOWANCES_FDIC" hidden="1">"c6400"</definedName>
    <definedName name="IQ_VALUE_CUSTOMER_ASSETS" hidden="1">"c20433"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>"c13096"</definedName>
    <definedName name="IQ_VC_REV_OPERATING_INC_FFIEC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HICLE_LOANS">"c15249"</definedName>
    <definedName name="IQ_VENTURE_CAPITAL_REVENUE_FFIEC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ICE_SUB_BASIC_SUB">"c16203"</definedName>
    <definedName name="IQ_VOICE_SUB_TOTAL_HOMES_PASSED">"c15770"</definedName>
    <definedName name="IQ_VOICE_SUB_VIDEO_SUB">"c15789"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IRELESS_PENETRATION">"c15767"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WTD_AVG_IR_AFTER_FIVE">"c15700"</definedName>
    <definedName name="IQ_WTD_AVG_IR_CY">"c15695"</definedName>
    <definedName name="IQ_WTD_AVG_IR_CY1">"c15696"</definedName>
    <definedName name="IQ_WTD_AVG_IR_CY2">"c15697"</definedName>
    <definedName name="IQ_WTD_AVG_IR_CY3">"c15698"</definedName>
    <definedName name="IQ_WTD_AVG_IR_CY4">"c15699"</definedName>
    <definedName name="IQ_WTD_AVG_IR_LT_DEBT">"c15693"</definedName>
    <definedName name="IQ_WTD_AVG_IR_TOTAL_DEBT">"c15694"</definedName>
    <definedName name="IQ_XDIV_DATE" hidden="1">"c2104"</definedName>
    <definedName name="IQ_XDIV_DATE_LIST" hidden="1">"c17416"</definedName>
    <definedName name="IQ_YEAR_FOUNDED" hidden="1">"c6793"</definedName>
    <definedName name="IQ_YEARHIGH" hidden="1">"c1337"</definedName>
    <definedName name="IQ_YEARHIGH_DATE" hidden="1">"c2250"</definedName>
    <definedName name="IQ_YEARHIGH_RT">"YEARHIGH"</definedName>
    <definedName name="IQ_YEARLOW" hidden="1">"c1338"</definedName>
    <definedName name="IQ_YEARLOW_DATE" hidden="1">"c2251"</definedName>
    <definedName name="IQ_YEARLOW_RT">"YEARLOW"</definedName>
    <definedName name="IQ_YIELD_CURVE_LIST" hidden="1">"c19250"</definedName>
    <definedName name="IQ_YIELD_FED_FUNDS_SOLD_FFIEC">"c13487"</definedName>
    <definedName name="IQ_YIELD_TRADING_ASSETS_FFIEC">"c13488"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B6" hidden="1">"$B$7:$B$260"</definedName>
    <definedName name="IQRC30" hidden="1">"$C$31:$C$130"</definedName>
    <definedName name="IQRC6" hidden="1">"$C$7:$C$260"</definedName>
    <definedName name="IQRC7" hidden="1">"$C$8:$C$27"</definedName>
    <definedName name="IQRD30" hidden="1">"$D$31:$D$130"</definedName>
    <definedName name="IQRD7" hidden="1">"$D$8:$D$27"</definedName>
    <definedName name="IQRE30" hidden="1">"$E$31:$E$130"</definedName>
    <definedName name="IQRE7" hidden="1">"$E$8:$E$27"</definedName>
    <definedName name="IQRR5" hidden="1">"$R$6:$R$147"</definedName>
    <definedName name="iQShowHideColumns" hidden="1">"iQShowAll"</definedName>
    <definedName name="IRR">#REF!</definedName>
    <definedName name="IRR_10yr">#REF!</definedName>
    <definedName name="IRR_3yr">#REF!</definedName>
    <definedName name="IRR_5yr">#REF!</definedName>
    <definedName name="IRRdetail">#REF!</definedName>
    <definedName name="IRRPP" hidden="1">{#N/A,#N/A,FALSE,"Smry1";#N/A,#N/A,FALSE,"Smry2";#N/A,#N/A,FALSE,"Finance Cash Flow";#N/A,#N/A,FALSE,"ProForma_Input";#N/A,#N/A,FALSE,"prop_input";#N/A,#N/A,FALSE,"regional_input";#N/A,#N/A,FALSE,"LT Cost of Capital_Input";#N/A,#N/A,FALSE,"Debt_Input";#N/A,#N/A,FALSE,"Yr 6 Rent";#N/A,#N/A,FALSE,"Accr_Dil Cmpd"}</definedName>
    <definedName name="IRRsummary">#REF!</definedName>
    <definedName name="IsColHidden" hidden="1">FALSE</definedName>
    <definedName name="iser" hidden="1">{"Rent_ChangesTotal",#N/A,FALSE,"Sheet1"}</definedName>
    <definedName name="ishideend" hidden="1">#REF!</definedName>
    <definedName name="ishidestart" hidden="1">#REF!</definedName>
    <definedName name="IsLTMColHidden" hidden="1">FALSE</definedName>
    <definedName name="j" hidden="1">#REF!</definedName>
    <definedName name="j5r6yju" hidden="1">{"Investor",#N/A,FALSE,"Model";"Property",#N/A,FALSE,"Model";"Incentive Taxes",#N/A,FALSE,"Model"}</definedName>
    <definedName name="jackass" hidden="1">{"Summary",#N/A,FALSE,"Returns";"venture Cash flows",#N/A,FALSE,"Returns";"IRR Calcs",#N/A,FALSE,"Returns";"Promote Calcs",#N/A,FALSE,"Returns";"cash flor Streams",#N/A,FALSE,"Returns";"Prop. Cash Flow",#N/A,FALSE,"Returns";"Prop. Cash Flow PSF",#N/A,FALSE,"Returns";"Prop. Cash Flow %",#N/A,FALSE,"Returns";"Stub Period",#N/A,FALSE,"Returns"}</definedName>
    <definedName name="jafza">#REF!</definedName>
    <definedName name="james" hidden="1">{#N/A,#N/A,FALSE,"Consolidated";#N/A,#N/A,FALSE,"Available Credit";#N/A,#N/A,FALSE,"100% Owned";#N/A,#N/A,FALSE,"Bentall U.S. LLC";#N/A,#N/A,FALSE,"Bentall Properties (U.S.) Ltd.";#N/A,#N/A,FALSE,"Schedule I"}</definedName>
    <definedName name="Jan.">#REF!</definedName>
    <definedName name="JaS" hidden="1">{"Assumptions",#N/A,TRUE,"Returns";"Tables",#N/A,TRUE,"Returns"}</definedName>
    <definedName name="jb" hidden="1">{"summary1",#N/A,TRUE,"Comps";"summary2",#N/A,TRUE,"Comps";"summary3",#N/A,TRUE,"Comps"}</definedName>
    <definedName name="jc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jd" hidden="1">{#N/A,#N/A,FALSE,"LoanAssumptions"}</definedName>
    <definedName name="jde">#REF!</definedName>
    <definedName name="jdstryj" hidden="1">{"Investor",#N/A,FALSE,"Model";"Property",#N/A,FALSE,"Model";"Incentive Taxes",#N/A,FALSE,"Model"}</definedName>
    <definedName name="jdtyjs" hidden="1">{"Investor",#N/A,FALSE,"Model";"Property",#N/A,FALSE,"Model";"Incentive Taxes",#N/A,FALSE,"Model"}</definedName>
    <definedName name="Jersey" hidden="1">{0,#N/A,FALSE,0}</definedName>
    <definedName name="jes" hidden="1">{"View1",#N/A,FALSE,"Sheet1";"View2",#N/A,FALSE,"Sheet1"}</definedName>
    <definedName name="jetro">#REF!</definedName>
    <definedName name="jim" hidden="1">#REF!</definedName>
    <definedName name="jimmy" hidden="1">#REF!</definedName>
    <definedName name="jjj" hidden="1">#REF!</definedName>
    <definedName name="jjjjj" hidden="1">#REF!</definedName>
    <definedName name="jjjjjjjjjjjjjjjjjjj" hidden="1">{"AnnualRentRoll",#N/A,FALSE,"RentRoll"}</definedName>
    <definedName name="jjlj" hidden="1">{"scheduleB",#N/A,FALSE,"CTT_CLO"}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kl" hidden="1">{#N/A,#N/A,FALSE,"Chart 2 by Prop Type"}</definedName>
    <definedName name="jklkj" hidden="1">{"Sum1",#N/A,FALSE,"Reserve Report";"Sum2",#N/A,FALSE,"Reserve Report";"Sum3",#N/A,FALSE,"Reserve Report";"Sum4",#N/A,FALSE,"Reserve Report"}</definedName>
    <definedName name="jlkj" hidden="1">{#N/A,#N/A,TRUE,"XL Cash Flow";#N/A,#N/A,TRUE,"Prop Valuation";#N/A,#N/A,TRUE,"Equity";#N/A,#N/A,TRUE,"Modeling assumptions";#N/A,#N/A,TRUE,"NER Model";#N/A,#N/A,TRUE,"Lease Exp";#N/A,#N/A,TRUE,"Inc &amp; Exp";#N/A,#N/A,TRUE,"Formatted - roll";#N/A,#N/A,TRUE,"Debt Model";#N/A,#N/A,TRUE,"Debt-Moody";#N/A,#N/A,TRUE,"Debt"}</definedName>
    <definedName name="jn" hidden="1">{"Data Input",#N/A,TRUE,"Data Input";"10-Yr Cash Flow",#N/A,TRUE,"Cash Flow";"10-Yr Value",#N/A,TRUE,"Value "}</definedName>
    <definedName name="jnm" hidden="1">{"Data Input",#N/A,TRUE,"Data Input";"15-Yr Cash Flow",#N/A,TRUE,"Cash Flow";"15-Yr Value",#N/A,TRUE,"Value "}</definedName>
    <definedName name="jpeg" hidden="1">{"'Assump'!$F$6:$J$6"}</definedName>
    <definedName name="JPICFDIST">#REF!</definedName>
    <definedName name="JPIEQUITY">#REF!</definedName>
    <definedName name="JPIEQUITYA">#REF!</definedName>
    <definedName name="JPIPREFRETURN">#REF!</definedName>
    <definedName name="jrtyhdf" hidden="1">{"Investor",#N/A,FALSE,"Model";"Property",#N/A,FALSE,"Model";"Incentive Taxes",#N/A,FALSE,"Model"}</definedName>
    <definedName name="Js" hidden="1">{"Summary",#N/A,FALSE,"Returns";"venture Cash flows",#N/A,FALSE,"Returns";"IRR Calcs",#N/A,FALSE,"Returns";"Promote Calcs",#N/A,FALSE,"Returns";"cash flor Streams",#N/A,FALSE,"Returns";"Prop. Cash Flow",#N/A,FALSE,"Returns";"Prop. Cash Flow PSF",#N/A,FALSE,"Returns";"Prop. Cash Flow %",#N/A,FALSE,"Returns";"Stub Period",#N/A,FALSE,"Returns"}</definedName>
    <definedName name="jsfda" hidden="1">{"incomemth",#N/A,TRUE,"forecast00";"incomepercentmth",#N/A,TRUE,"forecast00";"balancemth",#N/A,TRUE,"forecast00";"cashmth",#N/A,TRUE,"forecast00";"covenantmth",#N/A,TRUE,"forecast00"}</definedName>
    <definedName name="jsrj" hidden="1">{"Investor",#N/A,FALSE,"Model";"Property",#N/A,FALSE,"Model";"Incentive Taxes",#N/A,FALSE,"Model"}</definedName>
    <definedName name="jtyt" hidden="1">{"Investor",#N/A,FALSE,"Model";"Property",#N/A,FALSE,"Model";"Incentive Taxes",#N/A,FALSE,"Model"}</definedName>
    <definedName name="Juli">#REF!</definedName>
    <definedName name="julia" hidden="1">#REF!</definedName>
    <definedName name="June" hidden="1">{"three",#N/A,FALSE,"Capital";"four",#N/A,FALSE,"Capital"}</definedName>
    <definedName name="Juni">#REF!</definedName>
    <definedName name="JUNK" hidden="1">{"'Table of Contents'!$A$1"}</definedName>
    <definedName name="Junk_condo" hidden="1">{"SCHEDULE",#N/A,FALSE,"Fin_sched"}</definedName>
    <definedName name="JUNK2" hidden="1">{"SUMMARY",#N/A,FALSE,"Fin_sched"}</definedName>
    <definedName name="JV_PORTFOLIO">#REF!</definedName>
    <definedName name="JVCat">#REF!</definedName>
    <definedName name="JVSource">#REF!</definedName>
    <definedName name="jvterm">#REF!</definedName>
    <definedName name="jz" hidden="1">#REF!</definedName>
    <definedName name="k" hidden="1">{#N/A,#N/A,FALSE,"Chart 2 by Prop Type"}</definedName>
    <definedName name="K2_WBEVMODE" hidden="1">-1</definedName>
    <definedName name="kah" hidden="1">#REF!</definedName>
    <definedName name="KansasIncl.">#REF!</definedName>
    <definedName name="kdjol">#REF!</definedName>
    <definedName name="ke" hidden="1">#REF!</definedName>
    <definedName name="key" hidden="1">#REF!</definedName>
    <definedName name="KeyAnaly_Header" hidden="1">#REF!</definedName>
    <definedName name="Keybank" hidden="1">#REF!</definedName>
    <definedName name="keybookltm" hidden="1">#REF!</definedName>
    <definedName name="keybookty" hidden="1">#REF!</definedName>
    <definedName name="keyearnltm" hidden="1">#REF!</definedName>
    <definedName name="keyearnty" hidden="1">#REF!</definedName>
    <definedName name="keyebitdaty" hidden="1">#REF!</definedName>
    <definedName name="keyebitltm" hidden="1">#REF!</definedName>
    <definedName name="keyebitty" hidden="1">#REF!</definedName>
    <definedName name="keyformrow" hidden="1">#REF!</definedName>
    <definedName name="keyformrow2" hidden="1">#REF!</definedName>
    <definedName name="keypebitdaltm" hidden="1">#REF!</definedName>
    <definedName name="keypebitdaty" hidden="1">#REF!</definedName>
    <definedName name="keyprefeqtyty" hidden="1">#REF!</definedName>
    <definedName name="keyrevty" hidden="1">#REF!</definedName>
    <definedName name="Keys">#REF!</definedName>
    <definedName name="keyshareoutty" hidden="1">#REF!</definedName>
    <definedName name="keysharepricety" hidden="1">#REF!</definedName>
    <definedName name="keytotdebtty" hidden="1">#REF!</definedName>
    <definedName name="keytyrange" hidden="1">#REF!</definedName>
    <definedName name="keytyrangeone" hidden="1">#REF!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iju" hidden="1">{#N/A,#N/A,FALSE,"Chart 2 by Prop Type"}</definedName>
    <definedName name="kill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kill2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kill3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kill4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kiu" hidden="1">{#N/A,#N/A,FALSE,"Chart 2 by Prop Type"}</definedName>
    <definedName name="kj" hidden="1">{#N/A,#N/A,TRUE,"Krycí list"}</definedName>
    <definedName name="kjj" hidden="1">{#N/A,#N/A,TRUE,"Krycí list"}</definedName>
    <definedName name="kjjjjkjhk" hidden="1">{"sheet a",#N/A,FALSE,"A";"sheet b 1",#N/A,FALSE,"B";"sheet b 2",#N/A,FALSE,"B"}</definedName>
    <definedName name="kjkk" hidden="1">{"Sum1",#N/A,FALSE,"Reserve Report";"Sum2",#N/A,FALSE,"Reserve Report";"Sum3",#N/A,FALSE,"Reserve Report";"Sum4",#N/A,FALSE,"Reserve Report"}</definedName>
    <definedName name="kjljl" hidden="1">{"sheet a",#N/A,FALSE,"A";"2 9 casflow",#N/A,FALSE,"B"}</definedName>
    <definedName name="kk" hidden="1">#REF!</definedName>
    <definedName name="kkjjj" hidden="1">{#N/A,#N/A,FALSE,"Common Area Accrual";#N/A,#N/A,FALSE,"Unit One LaSalle";#N/A,#N/A,FALSE,"Unit One CW";#N/A,#N/A,FALSE,"Unit One LaSallle + C &amp; W";#N/A,#N/A,FALSE,"Consolidated Accrual"}</definedName>
    <definedName name="kkk" hidden="1">{#N/A,#N/A,FALSE,"B_Spread"}</definedName>
    <definedName name="kkkk" hidden="1">#REF!</definedName>
    <definedName name="kkkkkkk" hidden="1">{"MonthlyRentRoll",#N/A,FALSE,"RentRoll"}</definedName>
    <definedName name="kkkkkkkkkk" hidden="1">{#N/A,#N/A,FALSE,"Cash Flow";#N/A,#N/A,FALSE,"scenario 1"}</definedName>
    <definedName name="kkkkkkkkkkkkkkkkkkkkk" hidden="1">{"AnnualRentRoll",#N/A,FALSE,"RentRoll"}</definedName>
    <definedName name="kli" hidden="1">{"Total",#N/A,FALSE,"Total Proved";"PDP",#N/A,FALSE,"Total Proved";"PNP",#N/A,FALSE,"Total Proved";"PUD",#N/A,FALSE,"Total Proved"}</definedName>
    <definedName name="klmno" hidden="1">{#N/A,#N/A,FALSE,"Chart 2 by Prop Type"}</definedName>
    <definedName name="ktyk" hidden="1">{"Investor",#N/A,FALSE,"Model";"Property",#N/A,FALSE,"Model";"Incentive Taxes",#N/A,FALSE,"Model"}</definedName>
    <definedName name="ky" hidden="1">#REF!</definedName>
    <definedName name="kyd.ChngCell.01." hidden="1">#REF!</definedName>
    <definedName name="kyd.CounterLimitCell.01." hidden="1">"x"</definedName>
    <definedName name="kyd.Dim.01." hidden="1">"tm1serv:company"</definedName>
    <definedName name="kyd.ElementList.01." hidden="1">#REF!</definedName>
    <definedName name="kyd.ElementType.01." hidden="1">1</definedName>
    <definedName name="kyd.ItemType.01." hidden="1">2</definedName>
    <definedName name="kyd.MacroAtEnd." hidden="1">""</definedName>
    <definedName name="kyd.MacroEachCycle." hidden="1">""</definedName>
    <definedName name="kyd.MacroEndOfEachCycle." hidden="1">""</definedName>
    <definedName name="kyd.NumLevels.01." hidden="1">999</definedName>
    <definedName name="kyd.PanicStop." hidden="1">FALSE</definedName>
    <definedName name="kyd.ParentName.01." hidden="1">""</definedName>
    <definedName name="kyd.PreScreenData." hidden="1">FALSE</definedName>
    <definedName name="kyd.PrintActionOptn." hidden="1">1</definedName>
    <definedName name="kyd.PrintParent.01." hidden="1">TRUE</definedName>
    <definedName name="kyd.PrintStdWhen." hidden="1">1</definedName>
    <definedName name="kyd.SaveAsFile." hidden="1">FALSE</definedName>
    <definedName name="kyd.SelectString.01." hidden="1">"*"</definedName>
    <definedName name="kyd.StdSortHide." hidden="1">FALSE</definedName>
    <definedName name="l" hidden="1">{#N/A,#N/A,FALSE,"Chart 2 by Prop Type"}</definedName>
    <definedName name="ladd" hidden="1">#REF!</definedName>
    <definedName name="lam" hidden="1">{"2001",#N/A,FALSE,"2001"}</definedName>
    <definedName name="land">#REF!</definedName>
    <definedName name="Land_Area">#REF!</definedName>
    <definedName name="Land_Basis">#REF!</definedName>
    <definedName name="LandCst">#REF!</definedName>
    <definedName name="lank" hidden="1">#REF!</definedName>
    <definedName name="Last_Edit">#REF!</definedName>
    <definedName name="Last_Row">IF(Values_Entered,Header_Row+Number_of_Payments,Header_Row)</definedName>
    <definedName name="LBOCreditConsol" hidden="1">{"FCB_ALL",#N/A,FALSE,"FCB"}</definedName>
    <definedName name="LCyr1">#REF!</definedName>
    <definedName name="LCyr10">#REF!</definedName>
    <definedName name="LCyr11">#REF!</definedName>
    <definedName name="LCyr2">#REF!</definedName>
    <definedName name="LCyr3">#REF!</definedName>
    <definedName name="LCyr4">#REF!</definedName>
    <definedName name="LCyr5">#REF!</definedName>
    <definedName name="LCyr6">#REF!</definedName>
    <definedName name="LCyr7">#REF!</definedName>
    <definedName name="LCyr8">#REF!</definedName>
    <definedName name="LCyr9">#REF!</definedName>
    <definedName name="LeaseComm">#REF!</definedName>
    <definedName name="leased_unit_count">#REF!</definedName>
    <definedName name="leased_unit_rent">#REF!</definedName>
    <definedName name="leased_unit_size">#REF!</definedName>
    <definedName name="leased_unit_type">#REF!</definedName>
    <definedName name="LeaseDetail">#REF!</definedName>
    <definedName name="LeaseType">#REF!</definedName>
    <definedName name="LeaseUp_YN">#REF!</definedName>
    <definedName name="leek" hidden="1">#REF!</definedName>
    <definedName name="len" hidden="1">{"Full Gross to Net",#N/A,TRUE,"GtoN";"R_I Accepted from Group Coys",#N/A,TRUE,"GtoN";"R_I Ceded to Group Coys",#N/A,TRUE,"GtoN";"Closing Loss Reserves and Gross Claims Incurred",#N/A,TRUE,"GtoN"}</definedName>
    <definedName name="LessorPart">#REF!</definedName>
    <definedName name="LETTER">#N/A</definedName>
    <definedName name="lfyu" hidden="1">{"Investor",#N/A,FALSE,"Model";"Property",#N/A,FALSE,"Model";"Incentive Taxes",#N/A,FALSE,"Model"}</definedName>
    <definedName name="LIBOR">#REF!</definedName>
    <definedName name="LIM">#REF!</definedName>
    <definedName name="limcount" hidden="1">1</definedName>
    <definedName name="lincoln">#REF!</definedName>
    <definedName name="LINCSPLIT">#REF!</definedName>
    <definedName name="Line">"_____ "</definedName>
    <definedName name="LinkHistMdbField001001" hidden="1">#REF!</definedName>
    <definedName name="LinkHistMdbField001002" hidden="1">#REF!</definedName>
    <definedName name="LinkHistMdbField001003" hidden="1">#REF!</definedName>
    <definedName name="LinkHistMdbField001004" hidden="1">#REF!</definedName>
    <definedName name="LinkHistMdbField001005" hidden="1">#REF!</definedName>
    <definedName name="LinkHistMdbField001006" hidden="1">#REF!</definedName>
    <definedName name="LinkHistMdbField001007" hidden="1">#REF!</definedName>
    <definedName name="LinkHistMdbField001008" hidden="1">#REF!</definedName>
    <definedName name="LinkHistMdbField001009" hidden="1">#REF!</definedName>
    <definedName name="LinkHistMdbField001010" hidden="1">#REF!</definedName>
    <definedName name="LinkHistMdbField001011" hidden="1">#REF!</definedName>
    <definedName name="LinkHistMdbField001012" hidden="1">#REF!</definedName>
    <definedName name="LinkHistMdbField001013" hidden="1">#REF!</definedName>
    <definedName name="LinkHistMdbField001014" hidden="1">#REF!</definedName>
    <definedName name="LinkHistMdbField001015" hidden="1">#REF!</definedName>
    <definedName name="LinkHistMdbField001016" hidden="1">#REF!</definedName>
    <definedName name="LinkHistMdbField001017" hidden="1">#REF!</definedName>
    <definedName name="LinkHistMdbField001018" hidden="1">#REF!</definedName>
    <definedName name="LinkHistMdbField001019" hidden="1">#REF!</definedName>
    <definedName name="LinkHistMdbField001020" hidden="1">#REF!</definedName>
    <definedName name="LinkHistMdbField001021" hidden="1">#REF!</definedName>
    <definedName name="LinkHistMdbField001022" hidden="1">#REF!</definedName>
    <definedName name="LinkHistMdbField001023" hidden="1">#REF!</definedName>
    <definedName name="LinkHistMdbField001024" hidden="1">#REF!</definedName>
    <definedName name="LinkHistMdbField001025" hidden="1">#REF!</definedName>
    <definedName name="LinkHistMdbField001026" hidden="1">#REF!</definedName>
    <definedName name="LinkHistMdbField001027" hidden="1">#REF!</definedName>
    <definedName name="LinkHistMdbField001028" hidden="1">#REF!</definedName>
    <definedName name="LinkHistMdbField001029" hidden="1">#REF!</definedName>
    <definedName name="LinkHistMdbField001030" hidden="1">#REF!</definedName>
    <definedName name="LinkHistMdbField001031" hidden="1">#REF!</definedName>
    <definedName name="LinkHistMdbField001032" hidden="1">#REF!</definedName>
    <definedName name="LinkHistMdbField001033" hidden="1">#REF!</definedName>
    <definedName name="LinkHistMdbField001034" hidden="1">#REF!</definedName>
    <definedName name="LinkHistMdbField001035" hidden="1">#REF!</definedName>
    <definedName name="LinkHistMdbField001036" hidden="1">#REF!</definedName>
    <definedName name="LinkHistMdbField001037" hidden="1">#REF!</definedName>
    <definedName name="LinkHistMdbField001038" hidden="1">#REF!</definedName>
    <definedName name="LinkHistMdbField001039" hidden="1">#REF!</definedName>
    <definedName name="LinkHistMdbField001040" hidden="1">#REF!</definedName>
    <definedName name="LinkHistMdbField001041" hidden="1">#REF!</definedName>
    <definedName name="LinkHistMdbField001042" hidden="1">#REF!</definedName>
    <definedName name="LinkHistMdbField001043" hidden="1">#REF!</definedName>
    <definedName name="LinkHistMdbField001044" hidden="1">#REF!</definedName>
    <definedName name="LinkHistMdbField001045" hidden="1">#REF!</definedName>
    <definedName name="LinkHistMdbField001046" hidden="1">#REF!</definedName>
    <definedName name="LinkHistMdbField002001" hidden="1">#REF!</definedName>
    <definedName name="LinkHistMdbField002002" hidden="1">#REF!</definedName>
    <definedName name="LinkHistMdbField002003" hidden="1">#REF!</definedName>
    <definedName name="LinkHistMdbField002004" hidden="1">#REF!</definedName>
    <definedName name="LinkHistMdbField002005" hidden="1">#REF!</definedName>
    <definedName name="LinkHistMdbField002006" hidden="1">#REF!</definedName>
    <definedName name="LinkHistMdbField002007" hidden="1">#REF!</definedName>
    <definedName name="LinkHistMdbField002008" hidden="1">#REF!</definedName>
    <definedName name="LinkHistMdbField002009" hidden="1">#REF!</definedName>
    <definedName name="LinkHistMdbField002010" hidden="1">#REF!</definedName>
    <definedName name="LinkHistMdbField002011" hidden="1">#REF!</definedName>
    <definedName name="LinkHistMdbField002012" hidden="1">#REF!</definedName>
    <definedName name="LinkHistMdbField002013" hidden="1">#REF!</definedName>
    <definedName name="LinkHistMdbField002014" hidden="1">#REF!</definedName>
    <definedName name="LinkHistMdbField002015" hidden="1">#REF!</definedName>
    <definedName name="LinkHistMdbField002016" hidden="1">#REF!</definedName>
    <definedName name="LinkHistMdbField002017" hidden="1">#REF!</definedName>
    <definedName name="LinkHistMdbField002018" hidden="1">#REF!</definedName>
    <definedName name="LinkHistMdbField002019" hidden="1">#REF!</definedName>
    <definedName name="LinkHistMdbField002020" hidden="1">#REF!</definedName>
    <definedName name="LinkHistMdbField002021" hidden="1">#REF!</definedName>
    <definedName name="LinkHistMdbField002022" hidden="1">#REF!</definedName>
    <definedName name="LinkHistMdbField002023" hidden="1">#REF!</definedName>
    <definedName name="LinkHistMdbField002024" hidden="1">#REF!</definedName>
    <definedName name="LinkHistMdbField002025" hidden="1">#REF!</definedName>
    <definedName name="LinkHistMdbField002026" hidden="1">#REF!</definedName>
    <definedName name="LinkHistMdbField002027" hidden="1">#REF!</definedName>
    <definedName name="LinkHistMdbField002028" hidden="1">#REF!</definedName>
    <definedName name="LinkHistMdbField002029" hidden="1">#REF!</definedName>
    <definedName name="LinkHistMdbField002030" hidden="1">#REF!</definedName>
    <definedName name="LinkHistMdbField002031" hidden="1">#REF!</definedName>
    <definedName name="LinkHistMdbField002032" hidden="1">#REF!</definedName>
    <definedName name="LinkHistMdbField002033" hidden="1">#REF!</definedName>
    <definedName name="LinkHistMdbField002034" hidden="1">#REF!</definedName>
    <definedName name="LinkHistMdbField002035" hidden="1">#REF!</definedName>
    <definedName name="LinkHistMdbField002036" hidden="1">#REF!</definedName>
    <definedName name="LinkHistMdbField002037" hidden="1">#REF!</definedName>
    <definedName name="LinkHistMdbField002038" hidden="1">#REF!</definedName>
    <definedName name="LinkHistMdbField002039" hidden="1">#REF!</definedName>
    <definedName name="LinkHistMdbField002040" hidden="1">#REF!</definedName>
    <definedName name="LinkHistMdbField002041" hidden="1">#REF!</definedName>
    <definedName name="LinkHistMdbField002042" hidden="1">#REF!</definedName>
    <definedName name="LinkHistMdbField002043" hidden="1">#REF!</definedName>
    <definedName name="LinkHistMdbField002044" hidden="1">#REF!</definedName>
    <definedName name="LinkHistMdbField002045" hidden="1">#REF!</definedName>
    <definedName name="LinkHistMdbField002046" hidden="1">#REF!</definedName>
    <definedName name="LinkHistMdbField003001" hidden="1">#REF!</definedName>
    <definedName name="LinkHistMdbField003002" hidden="1">#REF!</definedName>
    <definedName name="LinkHistMdbField003003" hidden="1">#REF!</definedName>
    <definedName name="LinkHistMdbField003004" hidden="1">#REF!</definedName>
    <definedName name="LinkHistMdbField003005" hidden="1">#REF!</definedName>
    <definedName name="LinkHistMdbField003006" hidden="1">#REF!</definedName>
    <definedName name="LinkHistMdbField003007" hidden="1">#REF!</definedName>
    <definedName name="LinkHistMdbField003008" hidden="1">#REF!</definedName>
    <definedName name="LinkHistMdbField003009" hidden="1">#REF!</definedName>
    <definedName name="LinkHistMdbField003010" hidden="1">#REF!</definedName>
    <definedName name="LinkHistMdbField003011" hidden="1">#REF!</definedName>
    <definedName name="LinkHistMdbField003012" hidden="1">#REF!</definedName>
    <definedName name="LinkHistMdbField003013" hidden="1">#REF!</definedName>
    <definedName name="LinkHistMdbField003014" hidden="1">#REF!</definedName>
    <definedName name="LinkHistMdbField003015" hidden="1">#REF!</definedName>
    <definedName name="LinkHistMdbField003016" hidden="1">#REF!</definedName>
    <definedName name="LinkHistMdbField003017" hidden="1">#REF!</definedName>
    <definedName name="LinkHistMdbField003018" hidden="1">#REF!</definedName>
    <definedName name="LinkHistMdbField003019" hidden="1">#REF!</definedName>
    <definedName name="LinkHistMdbField003020" hidden="1">#REF!</definedName>
    <definedName name="LinkHistMdbField003021" hidden="1">#REF!</definedName>
    <definedName name="LinkHistMdbField003022" hidden="1">#REF!</definedName>
    <definedName name="LinkHistMdbField003023" hidden="1">#REF!</definedName>
    <definedName name="LinkHistMdbField003024" hidden="1">#REF!</definedName>
    <definedName name="LinkHistMdbField003025" hidden="1">#REF!</definedName>
    <definedName name="LinkHistMdbField003026" hidden="1">#REF!</definedName>
    <definedName name="LinkHistMdbField003027" hidden="1">#REF!</definedName>
    <definedName name="LinkHistMdbField003028" hidden="1">#REF!</definedName>
    <definedName name="LinkHistMdbField003029" hidden="1">#REF!</definedName>
    <definedName name="LinkHistMdbField003030" hidden="1">#REF!</definedName>
    <definedName name="LinkHistMdbField003031" hidden="1">#REF!</definedName>
    <definedName name="LinkHistMdbField003032" hidden="1">#REF!</definedName>
    <definedName name="LinkHistMdbField003033" hidden="1">#REF!</definedName>
    <definedName name="LinkHistMdbField003034" hidden="1">#REF!</definedName>
    <definedName name="LinkHistMdbField003035" hidden="1">#REF!</definedName>
    <definedName name="LinkHistMdbField003036" hidden="1">#REF!</definedName>
    <definedName name="LinkHistMdbField003037" hidden="1">#REF!</definedName>
    <definedName name="LinkHistMdbField003038" hidden="1">#REF!</definedName>
    <definedName name="LinkHistMdbField003039" hidden="1">#REF!</definedName>
    <definedName name="LinkHistMdbField003040" hidden="1">#REF!</definedName>
    <definedName name="LinkHistMdbField003041" hidden="1">#REF!</definedName>
    <definedName name="LinkHistMdbField003042" hidden="1">#REF!</definedName>
    <definedName name="LinkHistMdbField003043" hidden="1">#REF!</definedName>
    <definedName name="LinkHistMdbField003044" hidden="1">#REF!</definedName>
    <definedName name="LinkHistMdbField003045" hidden="1">#REF!</definedName>
    <definedName name="LinkHistMdbField003046" hidden="1">#REF!</definedName>
    <definedName name="LinkHistMdbField004001" hidden="1">#REF!</definedName>
    <definedName name="LinkHistMdbField004002" hidden="1">#REF!</definedName>
    <definedName name="LinkHistMdbField004003" hidden="1">#REF!</definedName>
    <definedName name="LinkHistMdbField004004" hidden="1">#REF!</definedName>
    <definedName name="LinkHistMdbField004005" hidden="1">#REF!</definedName>
    <definedName name="LinkHistMdbField004006" hidden="1">#REF!</definedName>
    <definedName name="LinkHistMdbField004007" hidden="1">#REF!</definedName>
    <definedName name="LinkHistMdbField004008" hidden="1">#REF!</definedName>
    <definedName name="LinkHistMdbField004009" hidden="1">#REF!</definedName>
    <definedName name="LinkHistMdbField004010" hidden="1">#REF!</definedName>
    <definedName name="LinkHistMdbField004011" hidden="1">#REF!</definedName>
    <definedName name="LinkHistMdbField004012" hidden="1">#REF!</definedName>
    <definedName name="LinkHistMdbField004013" hidden="1">#REF!</definedName>
    <definedName name="LinkHistMdbField004014" hidden="1">#REF!</definedName>
    <definedName name="LinkHistMdbField004015" hidden="1">#REF!</definedName>
    <definedName name="LinkHistMdbField004016" hidden="1">#REF!</definedName>
    <definedName name="LinkHistMdbField004017" hidden="1">#REF!</definedName>
    <definedName name="LinkHistMdbField004018" hidden="1">#REF!</definedName>
    <definedName name="LinkHistMdbField004019" hidden="1">#REF!</definedName>
    <definedName name="LinkHistMdbField004020" hidden="1">#REF!</definedName>
    <definedName name="LinkHistMdbField004021" hidden="1">#REF!</definedName>
    <definedName name="LinkHistMdbField004022" hidden="1">#REF!</definedName>
    <definedName name="LinkHistMdbField004023" hidden="1">#REF!</definedName>
    <definedName name="LinkHistMdbField004024" hidden="1">#REF!</definedName>
    <definedName name="LinkHistMdbField004025" hidden="1">#REF!</definedName>
    <definedName name="LinkHistMdbField004026" hidden="1">#REF!</definedName>
    <definedName name="LinkHistMdbField004027" hidden="1">#REF!</definedName>
    <definedName name="LinkHistMdbField004028" hidden="1">#REF!</definedName>
    <definedName name="LinkHistMdbField004029" hidden="1">#REF!</definedName>
    <definedName name="LinkHistMdbField004030" hidden="1">#REF!</definedName>
    <definedName name="LinkHistMdbField004031" hidden="1">#REF!</definedName>
    <definedName name="LinkHistMdbField004032" hidden="1">#REF!</definedName>
    <definedName name="LinkHistMdbField004033" hidden="1">#REF!</definedName>
    <definedName name="LinkHistMdbField004034" hidden="1">#REF!</definedName>
    <definedName name="LinkHistMdbField004035" hidden="1">#REF!</definedName>
    <definedName name="LinkHistMdbField004036" hidden="1">#REF!</definedName>
    <definedName name="LinkHistMdbField004037" hidden="1">#REF!</definedName>
    <definedName name="LinkHistMdbField004038" hidden="1">#REF!</definedName>
    <definedName name="LinkHistMdbField004039" hidden="1">#REF!</definedName>
    <definedName name="LinkHistMdbField004040" hidden="1">#REF!</definedName>
    <definedName name="LinkHistMdbField004041" hidden="1">#REF!</definedName>
    <definedName name="LinkHistMdbField004042" hidden="1">#REF!</definedName>
    <definedName name="LinkHistMdbField004043" hidden="1">#REF!</definedName>
    <definedName name="LinkHistMdbField004044" hidden="1">#REF!</definedName>
    <definedName name="LinkHistMdbField004045" hidden="1">#REF!</definedName>
    <definedName name="LinkHistMdbField004046" hidden="1">#REF!</definedName>
    <definedName name="LinkHistMdbField005001" hidden="1">#REF!</definedName>
    <definedName name="LinkHistMdbField005002" hidden="1">#REF!</definedName>
    <definedName name="LinkHistMdbField005003" hidden="1">#REF!</definedName>
    <definedName name="LinkHistMdbField005004" hidden="1">#REF!</definedName>
    <definedName name="LinkHistMdbField005005" hidden="1">#REF!</definedName>
    <definedName name="LinkHistMdbField005006" hidden="1">#REF!</definedName>
    <definedName name="LinkHistMdbField005007" hidden="1">#REF!</definedName>
    <definedName name="LinkHistMdbField005008" hidden="1">#REF!</definedName>
    <definedName name="LinkHistMdbField005009" hidden="1">#REF!</definedName>
    <definedName name="LinkHistMdbField005010" hidden="1">#REF!</definedName>
    <definedName name="LinkHistMdbField005011" hidden="1">#REF!</definedName>
    <definedName name="LinkHistMdbField005012" hidden="1">#REF!</definedName>
    <definedName name="LinkHistMdbField005013" hidden="1">#REF!</definedName>
    <definedName name="LinkHistMdbField005014" hidden="1">#REF!</definedName>
    <definedName name="LinkHistMdbField005015" hidden="1">#REF!</definedName>
    <definedName name="LinkHistMdbField005016" hidden="1">#REF!</definedName>
    <definedName name="LinkHistMdbField005017" hidden="1">#REF!</definedName>
    <definedName name="LinkHistMdbField005018" hidden="1">#REF!</definedName>
    <definedName name="LinkHistMdbField005019" hidden="1">#REF!</definedName>
    <definedName name="LinkHistMdbField005020" hidden="1">#REF!</definedName>
    <definedName name="LinkHistMdbField005021" hidden="1">#REF!</definedName>
    <definedName name="LinkHistMdbField005022" hidden="1">#REF!</definedName>
    <definedName name="LinkHistMdbField005023" hidden="1">#REF!</definedName>
    <definedName name="LinkHistMdbField005024" hidden="1">#REF!</definedName>
    <definedName name="LinkHistMdbField005025" hidden="1">#REF!</definedName>
    <definedName name="LinkHistMdbField005026" hidden="1">#REF!</definedName>
    <definedName name="LinkHistMdbField005027" hidden="1">#REF!</definedName>
    <definedName name="LinkHistMdbField005028" hidden="1">#REF!</definedName>
    <definedName name="LinkHistMdbField005029" hidden="1">#REF!</definedName>
    <definedName name="LinkHistMdbField005030" hidden="1">#REF!</definedName>
    <definedName name="LinkHistMdbField005031" hidden="1">#REF!</definedName>
    <definedName name="LinkHistMdbField005032" hidden="1">#REF!</definedName>
    <definedName name="LinkHistMdbField005033" hidden="1">#REF!</definedName>
    <definedName name="LinkHistMdbField005034" hidden="1">#REF!</definedName>
    <definedName name="LinkHistMdbField005035" hidden="1">#REF!</definedName>
    <definedName name="LinkHistMdbField005036" hidden="1">#REF!</definedName>
    <definedName name="LinkHistMdbField005037" hidden="1">#REF!</definedName>
    <definedName name="LinkHistMdbField005038" hidden="1">#REF!</definedName>
    <definedName name="LinkHistMdbField005039" hidden="1">#REF!</definedName>
    <definedName name="LinkHistMdbField005040" hidden="1">#REF!</definedName>
    <definedName name="LinkHistMdbField005041" hidden="1">#REF!</definedName>
    <definedName name="LinkHistMdbField005042" hidden="1">#REF!</definedName>
    <definedName name="LinkHistMdbField005043" hidden="1">#REF!</definedName>
    <definedName name="LinkHistMdbField005044" hidden="1">#REF!</definedName>
    <definedName name="LinkHistMdbField005045" hidden="1">#REF!</definedName>
    <definedName name="LinkHistMdbField005046" hidden="1">#REF!</definedName>
    <definedName name="LinkHistMdbField0101" hidden="1">#REF!</definedName>
    <definedName name="LinkHistMdbField0102" hidden="1">#REF!</definedName>
    <definedName name="LinkHistMdbField0103" hidden="1">#REF!</definedName>
    <definedName name="LinkHistMdbField0104" hidden="1">#REF!</definedName>
    <definedName name="LinkHistMdbField0105" hidden="1">#REF!</definedName>
    <definedName name="LinkHistMdbField0106" hidden="1">#REF!</definedName>
    <definedName name="LinkHistMdbField0107" hidden="1">#REF!</definedName>
    <definedName name="LinkHistMdbField0108" hidden="1">#REF!</definedName>
    <definedName name="LinkHistMdbField0109" hidden="1">#REF!</definedName>
    <definedName name="LinkHistMdbField0110" hidden="1">#REF!</definedName>
    <definedName name="LinkHistMdbField0111" hidden="1">#REF!</definedName>
    <definedName name="LinkHistMdbField0112" hidden="1">#REF!</definedName>
    <definedName name="LinkHistMdbField0113" hidden="1">#REF!</definedName>
    <definedName name="LinkHistMdbField0114" hidden="1">#REF!</definedName>
    <definedName name="LinkHistMdbField0115" hidden="1">#REF!</definedName>
    <definedName name="LinkHistMdbField0116" hidden="1">#REF!</definedName>
    <definedName name="LinkHistMdbField0117" hidden="1">#REF!</definedName>
    <definedName name="LinkHistMdbField0118" hidden="1">#REF!</definedName>
    <definedName name="LinkHistMdbField0119" hidden="1">#REF!</definedName>
    <definedName name="LinkHistMdbField0120" hidden="1">#REF!</definedName>
    <definedName name="LinkHistMdbField0121" hidden="1">#REF!</definedName>
    <definedName name="LinkHistMdbField0122" hidden="1">#REF!</definedName>
    <definedName name="LinkHistMdbField0123" hidden="1">#REF!</definedName>
    <definedName name="LinkHistMdbField0124" hidden="1">#REF!</definedName>
    <definedName name="LinkHistMdbField0125" hidden="1">#REF!</definedName>
    <definedName name="LinkHistMdbField0126" hidden="1">#REF!</definedName>
    <definedName name="LinkHistMdbField0127" hidden="1">#REF!</definedName>
    <definedName name="LinkHistMdbField0128" hidden="1">#REF!</definedName>
    <definedName name="LinkHistMdbField0129" hidden="1">#REF!</definedName>
    <definedName name="LinkHistMdbField0130" hidden="1">#REF!</definedName>
    <definedName name="LinkHistMdbField0131" hidden="1">#REF!</definedName>
    <definedName name="LinkHistMdbField0132" hidden="1">#REF!</definedName>
    <definedName name="LinkHistMdbField0133" hidden="1">#REF!</definedName>
    <definedName name="LinkHistMdbField0134" hidden="1">#REF!</definedName>
    <definedName name="LinkHistMdbField0135" hidden="1">#REF!</definedName>
    <definedName name="LinkHistMdbField0136" hidden="1">#REF!</definedName>
    <definedName name="LinkHistMdbField0137" hidden="1">#REF!</definedName>
    <definedName name="LinkHistMdbField0138" hidden="1">#REF!</definedName>
    <definedName name="LinkHistMdbField0139" hidden="1">#REF!</definedName>
    <definedName name="LinkHistMdbField0140" hidden="1">#REF!</definedName>
    <definedName name="LinkHistMdbField0141" hidden="1">#REF!</definedName>
    <definedName name="LinkHistMdbField0142" hidden="1">#REF!</definedName>
    <definedName name="LinkHistMdbField0143" hidden="1">#REF!</definedName>
    <definedName name="LinkHistMdbField0144" hidden="1">#REF!</definedName>
    <definedName name="LinkHistMdbField0145" hidden="1">#REF!</definedName>
    <definedName name="LinkHistMdbField0146" hidden="1">#REF!</definedName>
    <definedName name="LinkHistMdbField0201" hidden="1">#REF!</definedName>
    <definedName name="LinkHistMdbField0202" hidden="1">#REF!</definedName>
    <definedName name="LinkHistMdbField0203" hidden="1">#REF!</definedName>
    <definedName name="LinkHistMdbField0204" hidden="1">#REF!</definedName>
    <definedName name="LinkHistMdbField0205" hidden="1">#REF!</definedName>
    <definedName name="LinkHistMdbField0206" hidden="1">#REF!</definedName>
    <definedName name="LinkHistMdbField0207" hidden="1">#REF!</definedName>
    <definedName name="LinkHistMdbField0208" hidden="1">#REF!</definedName>
    <definedName name="LinkHistMdbField0209" hidden="1">#REF!</definedName>
    <definedName name="LinkHistMdbField0210" hidden="1">#REF!</definedName>
    <definedName name="LinkHistMdbField0211" hidden="1">#REF!</definedName>
    <definedName name="LinkHistMdbField0212" hidden="1">#REF!</definedName>
    <definedName name="LinkHistMdbField0213" hidden="1">#REF!</definedName>
    <definedName name="LinkHistMdbField0214" hidden="1">#REF!</definedName>
    <definedName name="LinkHistMdbField0215" hidden="1">#REF!</definedName>
    <definedName name="LinkHistMdbField0216" hidden="1">#REF!</definedName>
    <definedName name="LinkHistMdbField0217" hidden="1">#REF!</definedName>
    <definedName name="LinkHistMdbField0218" hidden="1">#REF!</definedName>
    <definedName name="LinkHistMdbField0219" hidden="1">#REF!</definedName>
    <definedName name="LinkHistMdbField0220" hidden="1">#REF!</definedName>
    <definedName name="LinkHistMdbField0221" hidden="1">#REF!</definedName>
    <definedName name="LinkHistMdbField0222" hidden="1">#REF!</definedName>
    <definedName name="LinkHistMdbField0223" hidden="1">#REF!</definedName>
    <definedName name="LinkHistMdbField0224" hidden="1">#REF!</definedName>
    <definedName name="LinkHistMdbField0225" hidden="1">#REF!</definedName>
    <definedName name="LinkHistMdbField0226" hidden="1">#REF!</definedName>
    <definedName name="LinkHistMdbField0227" hidden="1">#REF!</definedName>
    <definedName name="LinkHistMdbField0228" hidden="1">#REF!</definedName>
    <definedName name="LinkHistMdbField0229" hidden="1">#REF!</definedName>
    <definedName name="LinkHistMdbField0230" hidden="1">#REF!</definedName>
    <definedName name="LinkHistMdbField0231" hidden="1">#REF!</definedName>
    <definedName name="LinkHistMdbField0232" hidden="1">#REF!</definedName>
    <definedName name="LinkHistMdbField0233" hidden="1">#REF!</definedName>
    <definedName name="LinkHistMdbField0234" hidden="1">#REF!</definedName>
    <definedName name="LinkHistMdbField0235" hidden="1">#REF!</definedName>
    <definedName name="LinkHistMdbField0236" hidden="1">#REF!</definedName>
    <definedName name="LinkHistMdbField0237" hidden="1">#REF!</definedName>
    <definedName name="LinkHistMdbField0238" hidden="1">#REF!</definedName>
    <definedName name="LinkHistMdbField0239" hidden="1">#REF!</definedName>
    <definedName name="LinkHistMdbField0240" hidden="1">#REF!</definedName>
    <definedName name="LinkHistMdbField0241" hidden="1">#REF!</definedName>
    <definedName name="LinkHistMdbField0242" hidden="1">#REF!</definedName>
    <definedName name="LinkHistMdbField0243" hidden="1">#REF!</definedName>
    <definedName name="LinkHistMdbField0244" hidden="1">#REF!</definedName>
    <definedName name="LinkHistMdbField0245" hidden="1">#REF!</definedName>
    <definedName name="LinkHistMdbField0246" hidden="1">#REF!</definedName>
    <definedName name="LinkHistMdbField0301" hidden="1">#REF!</definedName>
    <definedName name="LinkHistMdbField0302" hidden="1">#REF!</definedName>
    <definedName name="LinkHistMdbField0303" hidden="1">#REF!</definedName>
    <definedName name="LinkHistMdbField0304" hidden="1">#REF!</definedName>
    <definedName name="LinkHistMdbField0305" hidden="1">#REF!</definedName>
    <definedName name="LinkHistMdbField0306" hidden="1">#REF!</definedName>
    <definedName name="LinkHistMdbField0307" hidden="1">#REF!</definedName>
    <definedName name="LinkHistMdbField0308" hidden="1">#REF!</definedName>
    <definedName name="LinkHistMdbField0309" hidden="1">#REF!</definedName>
    <definedName name="LinkHistMdbField0310" hidden="1">#REF!</definedName>
    <definedName name="LinkHistMdbField0311" hidden="1">#REF!</definedName>
    <definedName name="LinkHistMdbField0312" hidden="1">#REF!</definedName>
    <definedName name="LinkHistMdbField0313" hidden="1">#REF!</definedName>
    <definedName name="LinkHistMdbField0314" hidden="1">#REF!</definedName>
    <definedName name="LinkHistMdbField0315" hidden="1">#REF!</definedName>
    <definedName name="LinkHistMdbField0316" hidden="1">#REF!</definedName>
    <definedName name="LinkHistMdbField0317" hidden="1">#REF!</definedName>
    <definedName name="LinkHistMdbField0318" hidden="1">#REF!</definedName>
    <definedName name="LinkHistMdbField0319" hidden="1">#REF!</definedName>
    <definedName name="LinkHistMdbField0320" hidden="1">#REF!</definedName>
    <definedName name="LinkHistMdbField0321" hidden="1">#REF!</definedName>
    <definedName name="LinkHistMdbField0322" hidden="1">#REF!</definedName>
    <definedName name="LinkHistMdbField0323" hidden="1">#REF!</definedName>
    <definedName name="LinkHistMdbField0324" hidden="1">#REF!</definedName>
    <definedName name="LinkHistMdbField0325" hidden="1">#REF!</definedName>
    <definedName name="LinkHistMdbField0326" hidden="1">#REF!</definedName>
    <definedName name="LinkHistMdbField0327" hidden="1">#REF!</definedName>
    <definedName name="LinkHistMdbField0328" hidden="1">#REF!</definedName>
    <definedName name="LinkHistMdbField0329" hidden="1">#REF!</definedName>
    <definedName name="LinkHistMdbField0330" hidden="1">#REF!</definedName>
    <definedName name="LinkHistMdbField0331" hidden="1">#REF!</definedName>
    <definedName name="LinkHistMdbField0332" hidden="1">#REF!</definedName>
    <definedName name="LinkHistMdbField0333" hidden="1">#REF!</definedName>
    <definedName name="LinkHistMdbField0334" hidden="1">#REF!</definedName>
    <definedName name="LinkHistMdbField0335" hidden="1">#REF!</definedName>
    <definedName name="LinkHistMdbField0336" hidden="1">#REF!</definedName>
    <definedName name="LinkHistMdbField0337" hidden="1">#REF!</definedName>
    <definedName name="LinkHistMdbField0338" hidden="1">#REF!</definedName>
    <definedName name="LinkHistMdbField0339" hidden="1">#REF!</definedName>
    <definedName name="LinkHistMdbField0340" hidden="1">#REF!</definedName>
    <definedName name="LinkHistMdbField0341" hidden="1">#REF!</definedName>
    <definedName name="LinkHistMdbField0342" hidden="1">#REF!</definedName>
    <definedName name="LinkHistMdbField0343" hidden="1">#REF!</definedName>
    <definedName name="LinkHistMdbField0344" hidden="1">#REF!</definedName>
    <definedName name="LinkHistMdbField0345" hidden="1">#REF!</definedName>
    <definedName name="LinkHistMdbField0346" hidden="1">#REF!</definedName>
    <definedName name="LinkHistMdbField0401" hidden="1">#REF!</definedName>
    <definedName name="LinkHistMdbField0402" hidden="1">#REF!</definedName>
    <definedName name="LinkHistMdbField0403" hidden="1">#REF!</definedName>
    <definedName name="LinkHistMdbField0404" hidden="1">#REF!</definedName>
    <definedName name="LinkHistMdbField0405" hidden="1">#REF!</definedName>
    <definedName name="LinkHistMdbField0406" hidden="1">#REF!</definedName>
    <definedName name="LinkHistMdbField0407" hidden="1">#REF!</definedName>
    <definedName name="LinkHistMdbField0408" hidden="1">#REF!</definedName>
    <definedName name="LinkHistMdbField0409" hidden="1">#REF!</definedName>
    <definedName name="LinkHistMdbField0410" hidden="1">#REF!</definedName>
    <definedName name="LinkHistMdbField0411" hidden="1">#REF!</definedName>
    <definedName name="LinkHistMdbField0412" hidden="1">#REF!</definedName>
    <definedName name="LinkHistMdbField0413" hidden="1">#REF!</definedName>
    <definedName name="LinkHistMdbField0414" hidden="1">#REF!</definedName>
    <definedName name="LinkHistMdbField0415" hidden="1">#REF!</definedName>
    <definedName name="LinkHistMdbField0416" hidden="1">#REF!</definedName>
    <definedName name="LinkHistMdbField0417" hidden="1">#REF!</definedName>
    <definedName name="LinkHistMdbField0418" hidden="1">#REF!</definedName>
    <definedName name="LinkHistMdbField0419" hidden="1">#REF!</definedName>
    <definedName name="LinkHistMdbField0420" hidden="1">#REF!</definedName>
    <definedName name="LinkHistMdbField0421" hidden="1">#REF!</definedName>
    <definedName name="LinkHistMdbField0422" hidden="1">#REF!</definedName>
    <definedName name="LinkHistMdbField0423" hidden="1">#REF!</definedName>
    <definedName name="LinkHistMdbField0424" hidden="1">#REF!</definedName>
    <definedName name="LinkHistMdbField0425" hidden="1">#REF!</definedName>
    <definedName name="LinkHistMdbField0426" hidden="1">#REF!</definedName>
    <definedName name="LinkHistMdbField0427" hidden="1">#REF!</definedName>
    <definedName name="LinkHistMdbField0428" hidden="1">#REF!</definedName>
    <definedName name="LinkHistMdbField0429" hidden="1">#REF!</definedName>
    <definedName name="LinkHistMdbField0430" hidden="1">#REF!</definedName>
    <definedName name="LinkHistMdbField0431" hidden="1">#REF!</definedName>
    <definedName name="LinkHistMdbField0432" hidden="1">#REF!</definedName>
    <definedName name="LinkHistMdbField0433" hidden="1">#REF!</definedName>
    <definedName name="LinkHistMdbField0434" hidden="1">#REF!</definedName>
    <definedName name="LinkHistMdbField0435" hidden="1">#REF!</definedName>
    <definedName name="LinkHistMdbField0436" hidden="1">#REF!</definedName>
    <definedName name="LinkHistMdbField0437" hidden="1">#REF!</definedName>
    <definedName name="LinkHistMdbField0438" hidden="1">#REF!</definedName>
    <definedName name="LinkHistMdbField0439" hidden="1">#REF!</definedName>
    <definedName name="LinkHistMdbField0440" hidden="1">#REF!</definedName>
    <definedName name="LinkHistMdbField0441" hidden="1">#REF!</definedName>
    <definedName name="LinkHistMdbField0442" hidden="1">#REF!</definedName>
    <definedName name="LinkHistMdbField0443" hidden="1">#REF!</definedName>
    <definedName name="LinkHistMdbField0444" hidden="1">#REF!</definedName>
    <definedName name="LinkHistMdbField0445" hidden="1">#REF!</definedName>
    <definedName name="LinkHistMdbField0446" hidden="1">#REF!</definedName>
    <definedName name="LinkHistMdbField0501" hidden="1">#REF!</definedName>
    <definedName name="LinkHistMdbField0502" hidden="1">#REF!</definedName>
    <definedName name="LinkHistMdbField0503" hidden="1">#REF!</definedName>
    <definedName name="LinkHistMdbField0504" hidden="1">#REF!</definedName>
    <definedName name="LinkHistMdbField0505" hidden="1">#REF!</definedName>
    <definedName name="LinkHistMdbField0506" hidden="1">#REF!</definedName>
    <definedName name="LinkHistMdbField0507" hidden="1">#REF!</definedName>
    <definedName name="LinkHistMdbField0508" hidden="1">#REF!</definedName>
    <definedName name="LinkHistMdbField0509" hidden="1">#REF!</definedName>
    <definedName name="LinkHistMdbField0510" hidden="1">#REF!</definedName>
    <definedName name="LinkHistMdbField0511" hidden="1">#REF!</definedName>
    <definedName name="LinkHistMdbField0512" hidden="1">#REF!</definedName>
    <definedName name="LinkHistMdbField0513" hidden="1">#REF!</definedName>
    <definedName name="LinkHistMdbField0514" hidden="1">#REF!</definedName>
    <definedName name="LinkHistMdbField0515" hidden="1">#REF!</definedName>
    <definedName name="LinkHistMdbField0516" hidden="1">#REF!</definedName>
    <definedName name="LinkHistMdbField0517" hidden="1">#REF!</definedName>
    <definedName name="LinkHistMdbField0518" hidden="1">#REF!</definedName>
    <definedName name="LinkHistMdbField0519" hidden="1">#REF!</definedName>
    <definedName name="LinkHistMdbField0520" hidden="1">#REF!</definedName>
    <definedName name="LinkHistMdbField0521" hidden="1">#REF!</definedName>
    <definedName name="LinkHistMdbField0522" hidden="1">#REF!</definedName>
    <definedName name="LinkHistMdbField0523" hidden="1">#REF!</definedName>
    <definedName name="LinkHistMdbField0524" hidden="1">#REF!</definedName>
    <definedName name="LinkHistMdbField0525" hidden="1">#REF!</definedName>
    <definedName name="LinkHistMdbField0526" hidden="1">#REF!</definedName>
    <definedName name="LinkHistMdbField0527" hidden="1">#REF!</definedName>
    <definedName name="LinkHistMdbField0528" hidden="1">#REF!</definedName>
    <definedName name="LinkHistMdbField0529" hidden="1">#REF!</definedName>
    <definedName name="LinkHistMdbField0530" hidden="1">#REF!</definedName>
    <definedName name="LinkHistMdbField0531" hidden="1">#REF!</definedName>
    <definedName name="LinkHistMdbField0532" hidden="1">#REF!</definedName>
    <definedName name="LinkHistMdbField0533" hidden="1">#REF!</definedName>
    <definedName name="LinkHistMdbField0534" hidden="1">#REF!</definedName>
    <definedName name="LinkHistMdbField0535" hidden="1">#REF!</definedName>
    <definedName name="LinkHistMdbField0536" hidden="1">#REF!</definedName>
    <definedName name="LinkHistMdbField0537" hidden="1">#REF!</definedName>
    <definedName name="LinkHistMdbField0538" hidden="1">#REF!</definedName>
    <definedName name="LinkHistMdbField0539" hidden="1">#REF!</definedName>
    <definedName name="LinkHistMdbField0540" hidden="1">#REF!</definedName>
    <definedName name="LinkHistMdbField0541" hidden="1">#REF!</definedName>
    <definedName name="LinkHistMdbField0542" hidden="1">#REF!</definedName>
    <definedName name="LinkHistMdbField0543" hidden="1">#REF!</definedName>
    <definedName name="LinkHistMdbField0544" hidden="1">#REF!</definedName>
    <definedName name="LinkHistMdbField0545" hidden="1">#REF!</definedName>
    <definedName name="LinkHistMdbField0546" hidden="1">#REF!</definedName>
    <definedName name="LinkMdbField001001" hidden="1">#REF!</definedName>
    <definedName name="LinkMdbField001002" hidden="1">#REF!</definedName>
    <definedName name="LinkMdbField001003" hidden="1">#REF!</definedName>
    <definedName name="LinkMdbField001004" hidden="1">#REF!</definedName>
    <definedName name="LinkMdbField001005" hidden="1">#REF!</definedName>
    <definedName name="LinkMdbField001006" hidden="1">#REF!</definedName>
    <definedName name="LinkMdbField001007" hidden="1">#REF!</definedName>
    <definedName name="LinkMdbField001008" hidden="1">#REF!</definedName>
    <definedName name="LinkMdbField001009" hidden="1">#REF!</definedName>
    <definedName name="LinkMdbField001010" hidden="1">#REF!</definedName>
    <definedName name="LinkMdbField001011" hidden="1">#REF!</definedName>
    <definedName name="LinkMdbField001012" hidden="1">#REF!</definedName>
    <definedName name="LinkMdbField001013" hidden="1">#REF!</definedName>
    <definedName name="LinkMdbField001014" hidden="1">#REF!</definedName>
    <definedName name="LinkMdbField001015" hidden="1">#REF!</definedName>
    <definedName name="LinkMdbField001016" hidden="1">#REF!</definedName>
    <definedName name="LinkMdbField001017" hidden="1">#REF!</definedName>
    <definedName name="LinkMdbField001018" hidden="1">#REF!</definedName>
    <definedName name="LinkMdbField001019" hidden="1">#REF!</definedName>
    <definedName name="LinkMdbField001020" hidden="1">#REF!</definedName>
    <definedName name="LinkMdbField001021" hidden="1">#REF!</definedName>
    <definedName name="LinkMdbField001022" hidden="1">#REF!</definedName>
    <definedName name="LinkMdbField001023" hidden="1">#REF!</definedName>
    <definedName name="LinkMdbField001024" hidden="1">#REF!</definedName>
    <definedName name="LinkMdbField001025" hidden="1">#REF!</definedName>
    <definedName name="LinkMdbField001026" hidden="1">#REF!</definedName>
    <definedName name="LinkMdbField001027" hidden="1">#REF!</definedName>
    <definedName name="LinkMdbField001028" hidden="1">#REF!</definedName>
    <definedName name="LinkMdbField001029" hidden="1">#REF!</definedName>
    <definedName name="LinkMdbField001030" hidden="1">#REF!</definedName>
    <definedName name="LinkMdbField001031" hidden="1">#REF!</definedName>
    <definedName name="LinkMdbField001032" hidden="1">#REF!</definedName>
    <definedName name="LinkMdbField001033" hidden="1">#REF!</definedName>
    <definedName name="LinkMdbField001034" hidden="1">#REF!</definedName>
    <definedName name="LinkMdbField001035" hidden="1">#REF!</definedName>
    <definedName name="LinkMdbField001036" hidden="1">#REF!</definedName>
    <definedName name="LinkMdbField001037" hidden="1">#REF!</definedName>
    <definedName name="LinkMdbField001038" hidden="1">#REF!</definedName>
    <definedName name="LinkMdbField001039" hidden="1">#REF!</definedName>
    <definedName name="LinkMdbField001040" hidden="1">#REF!</definedName>
    <definedName name="LinkMdbField001041" hidden="1">#REF!</definedName>
    <definedName name="LinkMdbField001042" hidden="1">#REF!</definedName>
    <definedName name="LinkMdbField001043" hidden="1">#REF!</definedName>
    <definedName name="LinkMdbField001044" hidden="1">#REF!</definedName>
    <definedName name="LinkMdbField001045" hidden="1">#REF!</definedName>
    <definedName name="LinkMdbField001046" hidden="1">#REF!</definedName>
    <definedName name="LinkMdbField001047" hidden="1">#REF!</definedName>
    <definedName name="LinkMdbField001048" hidden="1">#REF!</definedName>
    <definedName name="LinkMdbField001049" hidden="1">#REF!</definedName>
    <definedName name="LinkMdbField001050" hidden="1">#REF!</definedName>
    <definedName name="LinkMdbField001051" hidden="1">#REF!</definedName>
    <definedName name="LinkMdbField001052" hidden="1">#REF!</definedName>
    <definedName name="LinkMdbField001053" hidden="1">#REF!</definedName>
    <definedName name="LinkMdbField001054" hidden="1">#REF!</definedName>
    <definedName name="LinkMdbField001055" hidden="1">#REF!</definedName>
    <definedName name="LinkMdbField001056" hidden="1">#REF!</definedName>
    <definedName name="LinkMdbField001057" hidden="1">#REF!</definedName>
    <definedName name="LinkMdbField001058" hidden="1">#REF!</definedName>
    <definedName name="LinkMdbField001059" hidden="1">#REF!</definedName>
    <definedName name="LinkMdbField001060" hidden="1">#REF!</definedName>
    <definedName name="LinkMdbField001061" hidden="1">#REF!</definedName>
    <definedName name="LinkMdbField001062" hidden="1">#REF!</definedName>
    <definedName name="LinkMdbField001063" hidden="1">#REF!</definedName>
    <definedName name="LinkMdbField001064" hidden="1">#REF!</definedName>
    <definedName name="LinkMdbField001065" hidden="1">#REF!</definedName>
    <definedName name="LinkMdbField001066" hidden="1">#REF!</definedName>
    <definedName name="LinkMdbField001067" hidden="1">#REF!</definedName>
    <definedName name="LinkMdbField001068" hidden="1">#REF!</definedName>
    <definedName name="LinkMdbField001069" hidden="1">#REF!</definedName>
    <definedName name="LinkMdbField001070" hidden="1">#REF!</definedName>
    <definedName name="LinkMdbField001071" hidden="1">#REF!</definedName>
    <definedName name="LinkMdbField001072" hidden="1">#REF!</definedName>
    <definedName name="LinkMdbField001073" hidden="1">#REF!</definedName>
    <definedName name="LinkMdbField001074" hidden="1">#REF!</definedName>
    <definedName name="LinkMdbField001075" hidden="1">#REF!</definedName>
    <definedName name="LinkMdbField001076" hidden="1">#REF!</definedName>
    <definedName name="LinkMdbField001077" hidden="1">#REF!</definedName>
    <definedName name="LinkMdbField001078" hidden="1">#REF!</definedName>
    <definedName name="LinkMdbField001079" hidden="1">#REF!</definedName>
    <definedName name="LinkMdbField001080" hidden="1">#REF!</definedName>
    <definedName name="LinkMdbField001081" hidden="1">#REF!</definedName>
    <definedName name="LinkMdbField001082" hidden="1">#REF!</definedName>
    <definedName name="LinkMdbField001083" hidden="1">#REF!</definedName>
    <definedName name="LinkMdbField001084" hidden="1">#REF!</definedName>
    <definedName name="LinkMdbField001085" hidden="1">#REF!</definedName>
    <definedName name="LinkMdbField001086" hidden="1">#REF!</definedName>
    <definedName name="LinkMdbField001087" hidden="1">#REF!</definedName>
    <definedName name="LinkMdbField001088" hidden="1">#REF!</definedName>
    <definedName name="LinkMdbField001089" hidden="1">#REF!</definedName>
    <definedName name="LinkMdbField001090" hidden="1">#REF!</definedName>
    <definedName name="LinkMdbField001091" hidden="1">#REF!</definedName>
    <definedName name="LinkMdbField001092" hidden="1">#REF!</definedName>
    <definedName name="LinkMdbField001093" hidden="1">#REF!</definedName>
    <definedName name="LinkMdbField001094" hidden="1">#REF!</definedName>
    <definedName name="LinkMdbField001095" hidden="1">#REF!</definedName>
    <definedName name="LinkMdbField001096" hidden="1">#REF!</definedName>
    <definedName name="LinkMdbField001097" hidden="1">#REF!</definedName>
    <definedName name="LinkMdbField001098" hidden="1">#REF!</definedName>
    <definedName name="LinkMdbField001099" hidden="1">#REF!</definedName>
    <definedName name="LinkMdbField001100" hidden="1">#REF!</definedName>
    <definedName name="LinkMdbField001101" hidden="1">#REF!</definedName>
    <definedName name="LinkMdbField001102" hidden="1">#REF!</definedName>
    <definedName name="LinkMdbField001103" hidden="1">#REF!</definedName>
    <definedName name="LinkMdbField001104" hidden="1">#REF!</definedName>
    <definedName name="LinkMdbField001105" hidden="1">#REF!</definedName>
    <definedName name="LinkMdbField001106" hidden="1">#REF!</definedName>
    <definedName name="LinkMdbField001107" hidden="1">#REF!</definedName>
    <definedName name="LinkMdbField001108" hidden="1">#REF!</definedName>
    <definedName name="LinkMdbField001109" hidden="1">#REF!</definedName>
    <definedName name="LinkMdbField001110" hidden="1">#REF!</definedName>
    <definedName name="LinkMdbField001111" hidden="1">#REF!</definedName>
    <definedName name="LinkMdbField001112" hidden="1">#REF!</definedName>
    <definedName name="LinkMdbField001113" hidden="1">#REF!</definedName>
    <definedName name="LinkMdbField001114" hidden="1">#REF!</definedName>
    <definedName name="LinkMdbField001115" hidden="1">#REF!</definedName>
    <definedName name="LinkMdbField001116" hidden="1">#REF!</definedName>
    <definedName name="LinkMdbField001117" hidden="1">#REF!</definedName>
    <definedName name="LinkMdbField001118" hidden="1">#REF!</definedName>
    <definedName name="LinkMdbField001119" hidden="1">#REF!</definedName>
    <definedName name="LinkMdbField001120" hidden="1">#REF!</definedName>
    <definedName name="LinkMdbField001121" hidden="1">#REF!</definedName>
    <definedName name="LinkMdbField001122" hidden="1">#REF!</definedName>
    <definedName name="LinkMdbField001123" hidden="1">#REF!</definedName>
    <definedName name="LinkMdbField001124" hidden="1">#REF!</definedName>
    <definedName name="LinkMdbField001125" hidden="1">#REF!</definedName>
    <definedName name="LinkMdbField001126" hidden="1">#REF!</definedName>
    <definedName name="LinkMdbField001127" hidden="1">#REF!</definedName>
    <definedName name="LinkMdbField001128" hidden="1">#REF!</definedName>
    <definedName name="LinkMdbField001129" hidden="1">#REF!</definedName>
    <definedName name="LinkMdbField001130" hidden="1">#REF!</definedName>
    <definedName name="LinkMdbField001131" hidden="1">#REF!</definedName>
    <definedName name="LinkMdbField001132" hidden="1">#REF!</definedName>
    <definedName name="LinkMdbField001133" hidden="1">#REF!</definedName>
    <definedName name="LinkMdbField001134" hidden="1">#REF!</definedName>
    <definedName name="LinkMdbField001135" hidden="1">#REF!</definedName>
    <definedName name="LinkMdbField001136" hidden="1">#REF!</definedName>
    <definedName name="LinkMdbField001137" hidden="1">#REF!</definedName>
    <definedName name="LinkMdbField001138" hidden="1">#REF!</definedName>
    <definedName name="LinkMdbField001139" hidden="1">#REF!</definedName>
    <definedName name="LinkMdbField001140" hidden="1">#REF!</definedName>
    <definedName name="LinkMdbField001141" hidden="1">#REF!</definedName>
    <definedName name="LinkMdbField001142" hidden="1">#REF!</definedName>
    <definedName name="LinkMdbField001143" hidden="1">#REF!</definedName>
    <definedName name="LinkMdbField001144" hidden="1">#REF!</definedName>
    <definedName name="LinkMdbField001145" hidden="1">#REF!</definedName>
    <definedName name="LinkMdbField001146" hidden="1">#REF!</definedName>
    <definedName name="LinkMdbField001147" hidden="1">#REF!</definedName>
    <definedName name="LinkMdbField001148" hidden="1">#REF!</definedName>
    <definedName name="LinkMdbField001149" hidden="1">#REF!</definedName>
    <definedName name="LinkMdbField001150" hidden="1">#REF!</definedName>
    <definedName name="LinkMdbField001151" hidden="1">#REF!</definedName>
    <definedName name="LinkMdbField001152" hidden="1">#REF!</definedName>
    <definedName name="LinkMdbField001153" hidden="1">#REF!</definedName>
    <definedName name="LinkMdbField001154" hidden="1">#REF!</definedName>
    <definedName name="LinkMdbField001155" hidden="1">#REF!</definedName>
    <definedName name="LinkMdbField001156" hidden="1">#REF!</definedName>
    <definedName name="LinkMdbField001157" hidden="1">#REF!</definedName>
    <definedName name="LinkMdbField001158" hidden="1">#REF!</definedName>
    <definedName name="LinkMdbField001159" hidden="1">#REF!</definedName>
    <definedName name="LinkMdbField001160" hidden="1">#REF!</definedName>
    <definedName name="LinkMdbField001161" hidden="1">#REF!</definedName>
    <definedName name="LinkMdbField001162" hidden="1">#REF!</definedName>
    <definedName name="LinkMdbField001163" hidden="1">#REF!</definedName>
    <definedName name="LinkMdbField001164" hidden="1">#REF!</definedName>
    <definedName name="LinkMdbField001165" hidden="1">#REF!</definedName>
    <definedName name="LinkMdbField001166" hidden="1">#REF!</definedName>
    <definedName name="LinkMdbField001167" hidden="1">#REF!</definedName>
    <definedName name="LinkMdbField001168" hidden="1">#REF!</definedName>
    <definedName name="LinkMdbField001169" hidden="1">#REF!</definedName>
    <definedName name="LinkMdbField001170" hidden="1">#REF!</definedName>
    <definedName name="LinkMdbField001171" hidden="1">#REF!</definedName>
    <definedName name="LinkMdbField001172" hidden="1">#REF!</definedName>
    <definedName name="LinkMdbField001173" hidden="1">#REF!</definedName>
    <definedName name="LinkMdbField001174" hidden="1">#REF!</definedName>
    <definedName name="LinkMdbField001175" hidden="1">#REF!</definedName>
    <definedName name="LinkMdbField001176" hidden="1">#REF!</definedName>
    <definedName name="LinkMdbField001177" hidden="1">#REF!</definedName>
    <definedName name="LinkMdbField001178" hidden="1">#REF!</definedName>
    <definedName name="LinkMdbField001179" hidden="1">#REF!</definedName>
    <definedName name="LinkMdbField001180" hidden="1">#REF!</definedName>
    <definedName name="LinkMdbField001181" hidden="1">#REF!</definedName>
    <definedName name="LinkMdbField001182" hidden="1">#REF!</definedName>
    <definedName name="LinkMdbField001183" hidden="1">#REF!</definedName>
    <definedName name="LinkMdbField001184" hidden="1">#REF!</definedName>
    <definedName name="LinkMdbField001185" hidden="1">#REF!</definedName>
    <definedName name="LinkMdbField001186" hidden="1">#REF!</definedName>
    <definedName name="LinkMdbField001187" hidden="1">#REF!</definedName>
    <definedName name="LinkMdbField001188" hidden="1">#REF!</definedName>
    <definedName name="LinkMdbField001189" hidden="1">#REF!</definedName>
    <definedName name="LinkMdbField001190" hidden="1">#REF!</definedName>
    <definedName name="LinkMdbField001191" hidden="1">#REF!</definedName>
    <definedName name="LinkMdbField001192" hidden="1">#REF!</definedName>
    <definedName name="LinkMdbField001193" hidden="1">#REF!</definedName>
    <definedName name="LinkMdbField001194" hidden="1">#REF!</definedName>
    <definedName name="LinkMdbField001195" hidden="1">#REF!</definedName>
    <definedName name="LinkMdbField001196" hidden="1">#REF!</definedName>
    <definedName name="LinkMdbField001197" hidden="1">#REF!</definedName>
    <definedName name="LinkMdbField001198" hidden="1">#REF!</definedName>
    <definedName name="LinkMdbField001199" hidden="1">#REF!</definedName>
    <definedName name="LinkMdbField001200" hidden="1">#REF!</definedName>
    <definedName name="LinkMdbField001201" hidden="1">#REF!</definedName>
    <definedName name="LinkMdbField001202" hidden="1">#REF!</definedName>
    <definedName name="LinkMdbField001203" hidden="1">#REF!</definedName>
    <definedName name="LinkMdbField001204" hidden="1">#REF!</definedName>
    <definedName name="LinkMdbField001205" hidden="1">#REF!</definedName>
    <definedName name="LinkMdbField001206" hidden="1">#REF!</definedName>
    <definedName name="LinkMdbField001207" hidden="1">#REF!</definedName>
    <definedName name="LinkMdbField001208" hidden="1">#REF!</definedName>
    <definedName name="LinkMdbField001209" hidden="1">#REF!</definedName>
    <definedName name="LinkMdbField001210" hidden="1">#REF!</definedName>
    <definedName name="LinkMdbField001211" hidden="1">#REF!</definedName>
    <definedName name="LinkMdbField001212" hidden="1">#REF!</definedName>
    <definedName name="LinkMdbField001213" hidden="1">#REF!</definedName>
    <definedName name="LinkMdbField001214" hidden="1">#REF!</definedName>
    <definedName name="LinkMdbField001215" hidden="1">#REF!</definedName>
    <definedName name="LinkMdbField001216" hidden="1">#REF!</definedName>
    <definedName name="LinkMdbField001217" hidden="1">#REF!</definedName>
    <definedName name="LinkMdbField001218" hidden="1">#REF!</definedName>
    <definedName name="LinkMdbField001219" hidden="1">#REF!</definedName>
    <definedName name="LinkMdbField001220" hidden="1">#REF!</definedName>
    <definedName name="LinkMdbField001221" hidden="1">#REF!</definedName>
    <definedName name="LinkMdbField001222" hidden="1">#REF!</definedName>
    <definedName name="LinkMdbField001223" hidden="1">#REF!</definedName>
    <definedName name="LinkMdbField001224" hidden="1">#REF!</definedName>
    <definedName name="LinkMdbField001225" hidden="1">#REF!</definedName>
    <definedName name="LinkMdbField001226" hidden="1">#REF!</definedName>
    <definedName name="LinkMdbField001227" hidden="1">#REF!</definedName>
    <definedName name="LinkMdbField001228" hidden="1">#REF!</definedName>
    <definedName name="LinkMdbField001229" hidden="1">#REF!</definedName>
    <definedName name="LinkMdbField001230" hidden="1">#REF!</definedName>
    <definedName name="LinkMdbField001231" hidden="1">#REF!</definedName>
    <definedName name="LinkMdbField0101" hidden="1">#REF!</definedName>
    <definedName name="LinkMdbField0102" hidden="1">#REF!</definedName>
    <definedName name="LinkMdbField0103" hidden="1">#REF!</definedName>
    <definedName name="LinkMdbField0104" hidden="1">#REF!</definedName>
    <definedName name="LinkMdbField0105" hidden="1">#REF!</definedName>
    <definedName name="LinkMdbField0106" hidden="1">#REF!</definedName>
    <definedName name="LinkMdbField0107" hidden="1">#REF!</definedName>
    <definedName name="LinkMdbField0108" hidden="1">#REF!</definedName>
    <definedName name="LinkMdbField0109" hidden="1">#REF!</definedName>
    <definedName name="LinkMdbField0110" hidden="1">#REF!</definedName>
    <definedName name="LinkMdbField01100" hidden="1">#REF!</definedName>
    <definedName name="LinkMdbField01101" hidden="1">#REF!</definedName>
    <definedName name="LinkMdbField01102" hidden="1">#REF!</definedName>
    <definedName name="LinkMdbField01103" hidden="1">#REF!</definedName>
    <definedName name="LinkMdbField01104" hidden="1">#REF!</definedName>
    <definedName name="LinkMdbField01105" hidden="1">#REF!</definedName>
    <definedName name="LinkMdbField01106" hidden="1">#REF!</definedName>
    <definedName name="LinkMdbField01107" hidden="1">#REF!</definedName>
    <definedName name="LinkMdbField01108" hidden="1">#REF!</definedName>
    <definedName name="LinkMdbField01109" hidden="1">#REF!</definedName>
    <definedName name="LinkMdbField0111" hidden="1">#REF!</definedName>
    <definedName name="LinkMdbField01110" hidden="1">#REF!</definedName>
    <definedName name="LinkMdbField01111" hidden="1">#REF!</definedName>
    <definedName name="LinkMdbField01112" hidden="1">#REF!</definedName>
    <definedName name="LinkMdbField01113" hidden="1">#REF!</definedName>
    <definedName name="LinkMdbField01114" hidden="1">#REF!</definedName>
    <definedName name="LinkMdbField01115" hidden="1">#REF!</definedName>
    <definedName name="LinkMdbField01116" hidden="1">#REF!</definedName>
    <definedName name="LinkMdbField01117" hidden="1">#REF!</definedName>
    <definedName name="LinkMdbField01118" hidden="1">#REF!</definedName>
    <definedName name="LinkMdbField01119" hidden="1">#REF!</definedName>
    <definedName name="LinkMdbField0112" hidden="1">#REF!</definedName>
    <definedName name="LinkMdbField01120" hidden="1">#REF!</definedName>
    <definedName name="LinkMdbField01121" hidden="1">#REF!</definedName>
    <definedName name="LinkMdbField01122" hidden="1">#REF!</definedName>
    <definedName name="LinkMdbField01123" hidden="1">#REF!</definedName>
    <definedName name="LinkMdbField01124" hidden="1">#REF!</definedName>
    <definedName name="LinkMdbField01125" hidden="1">#REF!</definedName>
    <definedName name="LinkMdbField01126" hidden="1">#REF!</definedName>
    <definedName name="LinkMdbField01127" hidden="1">#REF!</definedName>
    <definedName name="LinkMdbField01128" hidden="1">#REF!</definedName>
    <definedName name="LinkMdbField01129" hidden="1">#REF!</definedName>
    <definedName name="LinkMdbField0113" hidden="1">#REF!</definedName>
    <definedName name="LinkMdbField01130" hidden="1">#REF!</definedName>
    <definedName name="LinkMdbField01131" hidden="1">#REF!</definedName>
    <definedName name="LinkMdbField01132" hidden="1">#REF!</definedName>
    <definedName name="LinkMdbField01133" hidden="1">#REF!</definedName>
    <definedName name="LinkMdbField01134" hidden="1">#REF!</definedName>
    <definedName name="LinkMdbField01135" hidden="1">#REF!</definedName>
    <definedName name="LinkMdbField01136" hidden="1">#REF!</definedName>
    <definedName name="LinkMdbField01137" hidden="1">#REF!</definedName>
    <definedName name="LinkMdbField01138" hidden="1">#REF!</definedName>
    <definedName name="LinkMdbField01139" hidden="1">#REF!</definedName>
    <definedName name="LinkMdbField0114" hidden="1">#REF!</definedName>
    <definedName name="LinkMdbField01140" hidden="1">#REF!</definedName>
    <definedName name="LinkMdbField01141" hidden="1">#REF!</definedName>
    <definedName name="LinkMdbField01142" hidden="1">#REF!</definedName>
    <definedName name="LinkMdbField01143" hidden="1">#REF!</definedName>
    <definedName name="LinkMdbField01144" hidden="1">#REF!</definedName>
    <definedName name="LinkMdbField01145" hidden="1">#REF!</definedName>
    <definedName name="LinkMdbField01146" hidden="1">#REF!</definedName>
    <definedName name="LinkMdbField01147" hidden="1">#REF!</definedName>
    <definedName name="LinkMdbField01148" hidden="1">#REF!</definedName>
    <definedName name="LinkMdbField01149" hidden="1">#REF!</definedName>
    <definedName name="LinkMdbField0115" hidden="1">#REF!</definedName>
    <definedName name="LinkMdbField01150" hidden="1">#REF!</definedName>
    <definedName name="LinkMdbField01151" hidden="1">#REF!</definedName>
    <definedName name="LinkMdbField01152" hidden="1">#REF!</definedName>
    <definedName name="LinkMdbField01153" hidden="1">#REF!</definedName>
    <definedName name="LinkMdbField01154" hidden="1">#REF!</definedName>
    <definedName name="LinkMdbField01155" hidden="1">#REF!</definedName>
    <definedName name="LinkMdbField01156" hidden="1">#REF!</definedName>
    <definedName name="LinkMdbField01157" hidden="1">#REF!</definedName>
    <definedName name="LinkMdbField01158" hidden="1">#REF!</definedName>
    <definedName name="LinkMdbField01159" hidden="1">#REF!</definedName>
    <definedName name="LinkMdbField0116" hidden="1">#REF!</definedName>
    <definedName name="LinkMdbField01160" hidden="1">#REF!</definedName>
    <definedName name="LinkMdbField01161" hidden="1">#REF!</definedName>
    <definedName name="LinkMdbField01162" hidden="1">#REF!</definedName>
    <definedName name="LinkMdbField01163" hidden="1">#REF!</definedName>
    <definedName name="LinkMdbField01164" hidden="1">#REF!</definedName>
    <definedName name="LinkMdbField01165" hidden="1">#REF!</definedName>
    <definedName name="LinkMdbField01166" hidden="1">#REF!</definedName>
    <definedName name="LinkMdbField01167" hidden="1">#REF!</definedName>
    <definedName name="LinkMdbField01168" hidden="1">#REF!</definedName>
    <definedName name="LinkMdbField01169" hidden="1">#REF!</definedName>
    <definedName name="LinkMdbField0117" hidden="1">#REF!</definedName>
    <definedName name="LinkMdbField01170" hidden="1">#REF!</definedName>
    <definedName name="LinkMdbField01171" hidden="1">#REF!</definedName>
    <definedName name="LinkMdbField01172" hidden="1">#REF!</definedName>
    <definedName name="LinkMdbField01173" hidden="1">#REF!</definedName>
    <definedName name="LinkMdbField01174" hidden="1">#REF!</definedName>
    <definedName name="LinkMdbField01175" hidden="1">#REF!</definedName>
    <definedName name="LinkMdbField01176" hidden="1">#REF!</definedName>
    <definedName name="LinkMdbField01177" hidden="1">#REF!</definedName>
    <definedName name="LinkMdbField01178" hidden="1">#REF!</definedName>
    <definedName name="LinkMdbField01179" hidden="1">#REF!</definedName>
    <definedName name="LinkMdbField0118" hidden="1">#REF!</definedName>
    <definedName name="LinkMdbField01180" hidden="1">#REF!</definedName>
    <definedName name="LinkMdbField01181" hidden="1">#REF!</definedName>
    <definedName name="LinkMdbField01182" hidden="1">#REF!</definedName>
    <definedName name="LinkMdbField01183" hidden="1">#REF!</definedName>
    <definedName name="LinkMdbField01184" hidden="1">#REF!</definedName>
    <definedName name="LinkMdbField01185" hidden="1">#REF!</definedName>
    <definedName name="LinkMdbField01186" hidden="1">#REF!</definedName>
    <definedName name="LinkMdbField01187" hidden="1">#REF!</definedName>
    <definedName name="LinkMdbField01188" hidden="1">#REF!</definedName>
    <definedName name="LinkMdbField01189" hidden="1">#REF!</definedName>
    <definedName name="LinkMdbField0119" hidden="1">#REF!</definedName>
    <definedName name="LinkMdbField01190" hidden="1">#REF!</definedName>
    <definedName name="LinkMdbField01191" hidden="1">#REF!</definedName>
    <definedName name="LinkMdbField01192" hidden="1">#REF!</definedName>
    <definedName name="LinkMdbField01193" hidden="1">#REF!</definedName>
    <definedName name="LinkMdbField01194" hidden="1">#REF!</definedName>
    <definedName name="LinkMdbField01195" hidden="1">#REF!</definedName>
    <definedName name="LinkMdbField01196" hidden="1">#REF!</definedName>
    <definedName name="LinkMdbField01197" hidden="1">#REF!</definedName>
    <definedName name="LinkMdbField01198" hidden="1">#REF!</definedName>
    <definedName name="LinkMdbField01199" hidden="1">#REF!</definedName>
    <definedName name="LinkMdbField0120" hidden="1">#REF!</definedName>
    <definedName name="LinkMdbField01200" hidden="1">#REF!</definedName>
    <definedName name="LinkMdbField01201" hidden="1">#REF!</definedName>
    <definedName name="LinkMdbField01202" hidden="1">#REF!</definedName>
    <definedName name="LinkMdbField01203" hidden="1">#REF!</definedName>
    <definedName name="LinkMdbField01204" hidden="1">#REF!</definedName>
    <definedName name="LinkMdbField01205" hidden="1">#REF!</definedName>
    <definedName name="LinkMdbField01206" hidden="1">#REF!</definedName>
    <definedName name="LinkMdbField01207" hidden="1">#REF!</definedName>
    <definedName name="LinkMdbField01208" hidden="1">#REF!</definedName>
    <definedName name="LinkMdbField01209" hidden="1">#REF!</definedName>
    <definedName name="LinkMdbField0121" hidden="1">#REF!</definedName>
    <definedName name="LinkMdbField01210" hidden="1">#REF!</definedName>
    <definedName name="LinkMdbField01211" hidden="1">#REF!</definedName>
    <definedName name="LinkMdbField01212" hidden="1">#REF!</definedName>
    <definedName name="LinkMdbField01213" hidden="1">#REF!</definedName>
    <definedName name="LinkMdbField01214" hidden="1">#REF!</definedName>
    <definedName name="LinkMdbField01215" hidden="1">#REF!</definedName>
    <definedName name="LinkMdbField01216" hidden="1">#REF!</definedName>
    <definedName name="LinkMdbField01217" hidden="1">#REF!</definedName>
    <definedName name="LinkMdbField01218" hidden="1">#REF!</definedName>
    <definedName name="LinkMdbField01219" hidden="1">#REF!</definedName>
    <definedName name="LinkMdbField0122" hidden="1">#REF!</definedName>
    <definedName name="LinkMdbField01220" hidden="1">#REF!</definedName>
    <definedName name="LinkMdbField01221" hidden="1">#REF!</definedName>
    <definedName name="LinkMdbField01222" hidden="1">#REF!</definedName>
    <definedName name="LinkMdbField01223" hidden="1">#REF!</definedName>
    <definedName name="LinkMdbField01224" hidden="1">#REF!</definedName>
    <definedName name="LinkMdbField01225" hidden="1">#REF!</definedName>
    <definedName name="LinkMdbField01226" hidden="1">#REF!</definedName>
    <definedName name="LinkMdbField01227" hidden="1">#REF!</definedName>
    <definedName name="LinkMdbField01228" hidden="1">#REF!</definedName>
    <definedName name="LinkMdbField01229" hidden="1">#REF!</definedName>
    <definedName name="LinkMdbField0123" hidden="1">#REF!</definedName>
    <definedName name="LinkMdbField01230" hidden="1">#REF!</definedName>
    <definedName name="LinkMdbField01231" hidden="1">#REF!</definedName>
    <definedName name="LinkMdbField0124" hidden="1">#REF!</definedName>
    <definedName name="LinkMdbField0125" hidden="1">#REF!</definedName>
    <definedName name="LinkMdbField0126" hidden="1">#REF!</definedName>
    <definedName name="LinkMdbField0127" hidden="1">#REF!</definedName>
    <definedName name="LinkMdbField0128" hidden="1">#REF!</definedName>
    <definedName name="LinkMdbField0129" hidden="1">#REF!</definedName>
    <definedName name="LinkMdbField0130" hidden="1">#REF!</definedName>
    <definedName name="LinkMdbField0131" hidden="1">#REF!</definedName>
    <definedName name="LinkMdbField0132" hidden="1">#REF!</definedName>
    <definedName name="LinkMdbField0133" hidden="1">#REF!</definedName>
    <definedName name="LinkMdbField0134" hidden="1">#REF!</definedName>
    <definedName name="LinkMdbField0135" hidden="1">#REF!</definedName>
    <definedName name="LinkMdbField0136" hidden="1">#REF!</definedName>
    <definedName name="LinkMdbField0137" hidden="1">#REF!</definedName>
    <definedName name="LinkMdbField0138" hidden="1">#REF!</definedName>
    <definedName name="LinkMdbField0139" hidden="1">#REF!</definedName>
    <definedName name="LinkMdbField0140" hidden="1">#REF!</definedName>
    <definedName name="LinkMdbField0141" hidden="1">#REF!</definedName>
    <definedName name="LinkMdbField0142" hidden="1">#REF!</definedName>
    <definedName name="LinkMdbField0143" hidden="1">#REF!</definedName>
    <definedName name="LinkMdbField0144" hidden="1">#REF!</definedName>
    <definedName name="LinkMdbField0145" hidden="1">#REF!</definedName>
    <definedName name="LinkMdbField0146" hidden="1">#REF!</definedName>
    <definedName name="LinkMdbField0147" hidden="1">#REF!</definedName>
    <definedName name="LinkMdbField0148" hidden="1">#REF!</definedName>
    <definedName name="LinkMdbField0149" hidden="1">#REF!</definedName>
    <definedName name="LinkMdbField0150" hidden="1">#REF!</definedName>
    <definedName name="LinkMdbField0151" hidden="1">#REF!</definedName>
    <definedName name="LinkMdbField0152" hidden="1">#REF!</definedName>
    <definedName name="LinkMdbField0153" hidden="1">#REF!</definedName>
    <definedName name="LinkMdbField0154" hidden="1">#REF!</definedName>
    <definedName name="LinkMdbField0155" hidden="1">#REF!</definedName>
    <definedName name="LinkMdbField0156" hidden="1">#REF!</definedName>
    <definedName name="LinkMdbField0157" hidden="1">#REF!</definedName>
    <definedName name="LinkMdbField0158" hidden="1">#REF!</definedName>
    <definedName name="LinkMdbField0159" hidden="1">#REF!</definedName>
    <definedName name="LinkMdbField0160" hidden="1">#REF!</definedName>
    <definedName name="LinkMdbField0161" hidden="1">#REF!</definedName>
    <definedName name="LinkMdbField0162" hidden="1">#REF!</definedName>
    <definedName name="LinkMdbField0163" hidden="1">#REF!</definedName>
    <definedName name="LinkMdbField0164" hidden="1">#REF!</definedName>
    <definedName name="LinkMdbField0165" hidden="1">#REF!</definedName>
    <definedName name="LinkMdbField0166" hidden="1">#REF!</definedName>
    <definedName name="LinkMdbField0167" hidden="1">#REF!</definedName>
    <definedName name="LinkMdbField0168" hidden="1">#REF!</definedName>
    <definedName name="LinkMdbField0169" hidden="1">#REF!</definedName>
    <definedName name="LinkMdbField0170" hidden="1">#REF!</definedName>
    <definedName name="LinkMdbField0171" hidden="1">#REF!</definedName>
    <definedName name="LinkMdbField0172" hidden="1">#REF!</definedName>
    <definedName name="LinkMdbField0173" hidden="1">#REF!</definedName>
    <definedName name="LinkMdbField0174" hidden="1">#REF!</definedName>
    <definedName name="LinkMdbField0175" hidden="1">#REF!</definedName>
    <definedName name="LinkMdbField0176" hidden="1">#REF!</definedName>
    <definedName name="LinkMdbField0177" hidden="1">#REF!</definedName>
    <definedName name="LinkMdbField0178" hidden="1">#REF!</definedName>
    <definedName name="LinkMdbField0179" hidden="1">#REF!</definedName>
    <definedName name="LinkMdbField0180" hidden="1">#REF!</definedName>
    <definedName name="LinkMdbField0181" hidden="1">#REF!</definedName>
    <definedName name="LinkMdbField0182" hidden="1">#REF!</definedName>
    <definedName name="LinkMdbField0183" hidden="1">#REF!</definedName>
    <definedName name="LinkMdbField0184" hidden="1">#REF!</definedName>
    <definedName name="LinkMdbField0185" hidden="1">#REF!</definedName>
    <definedName name="LinkMdbField0186" hidden="1">#REF!</definedName>
    <definedName name="LinkMdbField0187" hidden="1">#REF!</definedName>
    <definedName name="LinkMdbField0188" hidden="1">#REF!</definedName>
    <definedName name="LinkMdbField0189" hidden="1">#REF!</definedName>
    <definedName name="LinkMdbField0190" hidden="1">#REF!</definedName>
    <definedName name="LinkMdbField0191" hidden="1">#REF!</definedName>
    <definedName name="LinkMdbField0192" hidden="1">#REF!</definedName>
    <definedName name="LinkMdbField0193" hidden="1">#REF!</definedName>
    <definedName name="LinkMdbField0194" hidden="1">#REF!</definedName>
    <definedName name="LinkMdbField0195" hidden="1">#REF!</definedName>
    <definedName name="LinkMdbField0196" hidden="1">#REF!</definedName>
    <definedName name="LinkMdbField0197" hidden="1">#REF!</definedName>
    <definedName name="LinkMdbField0198" hidden="1">#REF!</definedName>
    <definedName name="LinkMdbField0199" hidden="1">#REF!</definedName>
    <definedName name="lisa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lisa2" hidden="1">{"View1",#N/A,FALSE,"Sheet1";"View2",#N/A,FALSE,"Sheet1"}</definedName>
    <definedName name="lisa3" hidden="1">{"View1",#N/A,FALSE,"Sheet1";"View2",#N/A,FALSE,"Sheet1"}</definedName>
    <definedName name="List">#REF!</definedName>
    <definedName name="List_AUS">#REF!</definedName>
    <definedName name="List_BLT">#REF!</definedName>
    <definedName name="List_CAMNonrecov">#REF!</definedName>
    <definedName name="List_CAMRecovNonrecur">#REF!</definedName>
    <definedName name="List_CAMRecovRecur">#REF!</definedName>
    <definedName name="List_CategoryCapital">#REF!</definedName>
    <definedName name="List_CategoryExpense">#REF!</definedName>
    <definedName name="List_CHH">#REF!</definedName>
    <definedName name="List_CHI">#REF!</definedName>
    <definedName name="List_DFW">#REF!</definedName>
    <definedName name="List_Electrical">#REF!</definedName>
    <definedName name="List_ELP">#REF!</definedName>
    <definedName name="List_FireSystems">#REF!</definedName>
    <definedName name="List_HOU">#REF!</definedName>
    <definedName name="List_IEE">#REF!</definedName>
    <definedName name="List_IEW">#REF!</definedName>
    <definedName name="List_Insurance">#REF!</definedName>
    <definedName name="List_JRZ">#REF!</definedName>
    <definedName name="List_LAX">#REF!</definedName>
    <definedName name="List_Leasing">#REF!</definedName>
    <definedName name="List_LRD">#REF!</definedName>
    <definedName name="List_Makeready">#REF!</definedName>
    <definedName name="List_MCA">#REF!</definedName>
    <definedName name="List_Mechanical">#REF!</definedName>
    <definedName name="List_MEP">#REF!</definedName>
    <definedName name="List_MgmtFees">#REF!</definedName>
    <definedName name="List_NCA">#REF!</definedName>
    <definedName name="List_Other">#REF!</definedName>
    <definedName name="List_Paint">#REF!</definedName>
    <definedName name="List_ParkingLot">#REF!</definedName>
    <definedName name="List_PaymentTiming">#REF!</definedName>
    <definedName name="List_PHX">#REF!</definedName>
    <definedName name="List_PropID">#REF!</definedName>
    <definedName name="List_Recoverable">#REF!</definedName>
    <definedName name="List_Recurring">#REF!</definedName>
    <definedName name="List_REY">#REF!</definedName>
    <definedName name="List_Roof">#REF!</definedName>
    <definedName name="List_SAT">#REF!</definedName>
    <definedName name="List_SLC">#REF!</definedName>
    <definedName name="List_Taxes">#REF!</definedName>
    <definedName name="List_TIJ">#REF!</definedName>
    <definedName name="List_TiltWalls">#REF!</definedName>
    <definedName name="List_TruckCourt">#REF!</definedName>
    <definedName name="List_Units">#REF!</definedName>
    <definedName name="List_Utilities">#REF!</definedName>
    <definedName name="List.Category.CapexRecoverable">#REF!</definedName>
    <definedName name="List.Category.ConstructionPeriodInterest">#REF!</definedName>
    <definedName name="List.Category.DevelopmentContingency">#REF!</definedName>
    <definedName name="List.Category.DevelopmentFee">#REF!</definedName>
    <definedName name="List.Category.Expenses">#REF!</definedName>
    <definedName name="List.Category.ExtraordinaryEvents">#REF!</definedName>
    <definedName name="List.Category.HardCosts">#REF!</definedName>
    <definedName name="List.Category.Land">#REF!</definedName>
    <definedName name="List.Category.LeasingCommissions">#REF!</definedName>
    <definedName name="List.Category.NonRecoverable">#REF!</definedName>
    <definedName name="List.Category.PursuitExpenses">#REF!</definedName>
    <definedName name="List.Category.SoftCosts">#REF!</definedName>
    <definedName name="List.Category.TenantImprovements">#REF!</definedName>
    <definedName name="List.Category.TIMakeReady">#REF!</definedName>
    <definedName name="List.CategoryIDName">#REF!</definedName>
    <definedName name="ListOffset" hidden="1">9</definedName>
    <definedName name="ListSheetsMacroButton">#REF!</definedName>
    <definedName name="LiveIndex">#REF!</definedName>
    <definedName name="ljl" hidden="1">{#N/A,#N/A,FALSE,"Expense Detail ";#N/A,#N/A,FALSE,"Worksheet";#N/A,#N/A,FALSE,"Audit";#N/A,#N/A,FALSE,"Exclusions";#N/A,#N/A,FALSE,"Variance";#N/A,#N/A,FALSE,"Reconciliation"}</definedName>
    <definedName name="ll" hidden="1">#REF!</definedName>
    <definedName name="LLL" hidden="1">#REF!</definedName>
    <definedName name="lllll" hidden="1">{"sheet a",#N/A,FALSE,"A";"sheet b 1",#N/A,FALSE,"B";"sheet b 2",#N/A,FALSE,"B"}</definedName>
    <definedName name="llllllllllllllllllllllllllllll" hidden="1">{#N/A,#N/A,FALSE,"LP Exp";#N/A,#N/A,FALSE,"Salary";#N/A,#N/A,FALSE,"Admin Exp";#N/A,#N/A,FALSE,"QTS Bud";#N/A,#N/A,FALSE,"Marketing"}</definedName>
    <definedName name="lmo" hidden="1">{"P_L Account",#N/A,FALSE,"Prime";"Assets",#N/A,FALSE,"Prime";"Liabilities",#N/A,FALSE,"Prime";"Capital and Reserves",#N/A,FALSE,"Prime";"Rec. of S_Holders Funds",#N/A,FALSE,"Prime";"Rec. of Pre and Post Tax Result",#N/A,FALSE,"Prime"}</definedName>
    <definedName name="LOADCHOICE">#REF!</definedName>
    <definedName name="LOADRESULT">#REF!</definedName>
    <definedName name="LOAN">#REF!</definedName>
    <definedName name="Loan_Amount">#REF!</definedName>
    <definedName name="Loan_Start">#REF!</definedName>
    <definedName name="Loan_Term">#REF!</definedName>
    <definedName name="Loan_Years">#REF!</definedName>
    <definedName name="Loan1_Amt">#REF!</definedName>
    <definedName name="Loan1_FDate">#REF!</definedName>
    <definedName name="Loan1_IntRate">#REF!</definedName>
    <definedName name="Loan1_Points">#REF!</definedName>
    <definedName name="Loan2_FDate">#REF!</definedName>
    <definedName name="Loan3_FDate">#REF!</definedName>
    <definedName name="Loan3_Name">#REF!</definedName>
    <definedName name="Loan3_PMO">#REF!</definedName>
    <definedName name="LoanAmnt">#REF!</definedName>
    <definedName name="LoanAmnt2">#REF!</definedName>
    <definedName name="LoanBal">#REF!</definedName>
    <definedName name="loanPAYMENTtable">#REF!</definedName>
    <definedName name="Location">#REF!</definedName>
    <definedName name="Locations">#REF!</definedName>
    <definedName name="lockard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lookback">#REF!</definedName>
    <definedName name="Losses" hidden="1">{"TAB 1",#N/A,FALSE,"1";"tab 2",#N/A,FALSE,"2";"TAB 3",#N/A,FALSE,"3";"tab 4",#N/A,FALSE,"4";"tab 5",#N/A,FALSE,"5";"tab 6",#N/A,FALSE,"6";"tab 7",#N/A,FALSE,"7";"TAB 8",#N/A,FALSE,"8"}</definedName>
    <definedName name="lot">#REF!</definedName>
    <definedName name="Louvers" hidden="1">{#N/A,#N/A,TRUE,"Ericsson Stadium PCD ";#N/A,#N/A,TRUE,"Ericsson Stadium IOR"}</definedName>
    <definedName name="Louversa" hidden="1">{#N/A,#N/A,TRUE,"Ericsson Stadium PCD ";#N/A,#N/A,TRUE,"Ericsson Stadium IOR"}</definedName>
    <definedName name="LS_Delinq">#REF!</definedName>
    <definedName name="LS_Repos">#REF!</definedName>
    <definedName name="Lse_Term">#REF!</definedName>
    <definedName name="LTC">#REF!</definedName>
    <definedName name="ltm_BalanceSheet" hidden="1">#REF!</definedName>
    <definedName name="ltm_IncomeStatement" hidden="1">#REF!</definedName>
    <definedName name="ltmnonasset1" hidden="1">#REF!</definedName>
    <definedName name="ltmnonliab1" hidden="1">#REF!</definedName>
    <definedName name="LTV">#REF!</definedName>
    <definedName name="lu" hidden="1">{"'Directory'!$A$72:$E$91"}</definedName>
    <definedName name="LY">#REF!</definedName>
    <definedName name="m">#REF!</definedName>
    <definedName name="M_PlaceofPath" hidden="1">"\\SNYCEQT0100\HOME\DANDERS\COMPANY\IGT\IGT_VDF.xls"</definedName>
    <definedName name="Mai">#REF!</definedName>
    <definedName name="MAN_INPUT">#REF!</definedName>
    <definedName name="marcapty" hidden="1">#REF!</definedName>
    <definedName name="marearntwo" hidden="1">#REF!</definedName>
    <definedName name="marebitdaty" hidden="1">#REF!</definedName>
    <definedName name="marebitty" hidden="1">#REF!</definedName>
    <definedName name="marformrow2" hidden="1">#REF!</definedName>
    <definedName name="margrossty" hidden="1">#REF!</definedName>
    <definedName name="market">#REF!</definedName>
    <definedName name="market1" hidden="1">{"Zone1",#N/A,FALSE,"Parameters";"Zone2",#N/A,FALSE,"Parameters"}</definedName>
    <definedName name="MarketRentPSF">#REF!</definedName>
    <definedName name="marnwcty" hidden="1">#REF!</definedName>
    <definedName name="marrevtwo" hidden="1">#REF!</definedName>
    <definedName name="MarshR">#REF!</definedName>
    <definedName name="MarshU">#REF!</definedName>
    <definedName name="martyrange" hidden="1">#REF!</definedName>
    <definedName name="martyrangeone" hidden="1">#REF!</definedName>
    <definedName name="März">#REF!</definedName>
    <definedName name="matrices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matricies" hidden="1">{#N/A,#N/A,FALSE,"matx B4 DS";#N/A,#N/A,FALSE,"matx B4 DS Hac";#N/A,#N/A,FALSE,"matx B4 DS Chabot";#N/A,#N/A,FALSE,"matx B4 DS Diablo"}</definedName>
    <definedName name="matrix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aturity">#REF!</definedName>
    <definedName name="Max_Incr">#REF!</definedName>
    <definedName name="MCUwork1" hidden="1">{#N/A,#N/A,TRUE,"Summary";#N/A,#N/A,TRUE,"Program Scheme";#N/A,#N/A,TRUE,"Assumptions";#N/A,#N/A,TRUE,"Development Budget &amp; Timing";#N/A,#N/A,TRUE,"Cash Flow";#N/A,#N/A,TRUE,"Cash Flow to Debt &amp; Equity"}</definedName>
    <definedName name="medmult" hidden="1">#REF!</definedName>
    <definedName name="meg" hidden="1">#REF!</definedName>
    <definedName name="men" hidden="1">{"Error Report",#N/A,FALSE,"Report"}</definedName>
    <definedName name="meow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MerrillPrintIt" hidden="1">#N/A</definedName>
    <definedName name="metro">#REF!</definedName>
    <definedName name="MEWarning" hidden="1">1</definedName>
    <definedName name="Mezz_debt_paydown">#REF!</definedName>
    <definedName name="Mezzanine_Debt">#REF!</definedName>
    <definedName name="Mezzanine_Financing_Proceeds">#REF!</definedName>
    <definedName name="mezzanine_rate">#REF!</definedName>
    <definedName name="mezzfinancing">#REF!</definedName>
    <definedName name="mezzinterest">#REF!</definedName>
    <definedName name="mezzmosofIO">#REF!</definedName>
    <definedName name="mezzorigfee">#REF!</definedName>
    <definedName name="mezzpandi">#REF!</definedName>
    <definedName name="mezzterm">#REF!</definedName>
    <definedName name="MGDV_IRR" hidden="1">{"Zone1",#N/A,FALSE,"Parameters";"Zone2",#N/A,FALSE,"Parameters"}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gmntCo">#REF!</definedName>
    <definedName name="MgmntCoDistriOper">#REF!</definedName>
    <definedName name="MgmntCoDistriSale">#REF!</definedName>
    <definedName name="MgmntCoEq">#REF!</definedName>
    <definedName name="MgmntCoOwn">#REF!</definedName>
    <definedName name="MgmntCoPrefer">#REF!</definedName>
    <definedName name="MgmntFee1">#REF!</definedName>
    <definedName name="MgmntFee2">#REF!</definedName>
    <definedName name="MgmntFee3">#REF!</definedName>
    <definedName name="MgmntFee4">#REF!</definedName>
    <definedName name="MGMT">#REF!</definedName>
    <definedName name="MgmtIncentiveFee">#REF!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ichael" hidden="1">{"GENERAL INPUT",#N/A,FALSE,"GENERAL INPUT";"PROFORMA DRAW SCHEDULE",#N/A,FALSE,"WORKSHEET";"BUDGET ALL",#N/A,FALSE,"BUDGET";"OPERATING ALL",#N/A,FALSE,"OPERATING";"DRAW ESTIMATES",#N/A,FALSE,"DRAWS";"SOURCES &amp; USES",#N/A,FALSE,"SOURCES &amp; USES"}</definedName>
    <definedName name="midpointvalue" hidden="1">{#N/A,#N/A,FALSE,"Cashflow Analysis";#N/A,#N/A,FALSE,"Sensitivity Analysis";#N/A,#N/A,FALSE,"PV";#N/A,#N/A,FALSE,"Pro Forma"}</definedName>
    <definedName name="Mietsoll_._._Leerstand__03.05">#REF!</definedName>
    <definedName name="MILF1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MILF1_1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MILF1_2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MILF1_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milner" hidden="1">{#N/A,#N/A,FALSE,"Aging Summary";#N/A,#N/A,FALSE,"Ratio Analysis";#N/A,#N/A,FALSE,"Test 120 Day Accts";#N/A,#N/A,FALSE,"Tickmarks"}</definedName>
    <definedName name="minadj" hidden="1">#REF!</definedName>
    <definedName name="minadj2" hidden="1">#REF!</definedName>
    <definedName name="MiniPerm">#REF!</definedName>
    <definedName name="MiniPerm2">#REF!</definedName>
    <definedName name="MiniPerm3">#REF!</definedName>
    <definedName name="minorityintyes" hidden="1">#REF!</definedName>
    <definedName name="MISC.NON_RECOV">#REF!</definedName>
    <definedName name="MKT">#REF!</definedName>
    <definedName name="Mkt_Lsd_Rnt_Calcs">#REF!</definedName>
    <definedName name="Mkt_Lsd_Rnt_Data">#REF!</definedName>
    <definedName name="Mkt_Rnt_Data">#REF!</definedName>
    <definedName name="Mkt_Rnt_Formula">#REF!</definedName>
    <definedName name="Mkt_Rnt_Tbl">#REF!</definedName>
    <definedName name="Mkt_Rnt_Unit_Dtl">#REF!</definedName>
    <definedName name="Mkt_Rnt_Unit1">#REF!</definedName>
    <definedName name="mktdisc" hidden="1">#REF!</definedName>
    <definedName name="mktdisc2" hidden="1">#REF!</definedName>
    <definedName name="mktformat" hidden="1">#REF!</definedName>
    <definedName name="mktformat2" hidden="1">#REF!</definedName>
    <definedName name="MKTG2000">#REF!</definedName>
    <definedName name="MKTG2001">#REF!</definedName>
    <definedName name="mktrentyr1">#REF!</definedName>
    <definedName name="mktrentyr10">#REF!</definedName>
    <definedName name="mktrentyr11">#REF!</definedName>
    <definedName name="mktrentyr12">#REF!</definedName>
    <definedName name="mktrentyr2">#REF!</definedName>
    <definedName name="mktrentyr3">#REF!</definedName>
    <definedName name="mktrentyr4">#REF!</definedName>
    <definedName name="mktrentyr5">#REF!</definedName>
    <definedName name="mktrentyr6">#REF!</definedName>
    <definedName name="mktrentyr7">#REF!</definedName>
    <definedName name="mktrentyr8">#REF!</definedName>
    <definedName name="mktrentyr9">#REF!</definedName>
    <definedName name="mm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mm" hidden="1">{"View1",#N/A,FALSE,"Sheet1";"View2",#N/A,FALSE,"Sheet1"}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nths_qtr">#REF!</definedName>
    <definedName name="mnths_quarter">#REF!</definedName>
    <definedName name="mo" hidden="1">{"fis.dbo.r1_datasum"}</definedName>
    <definedName name="mo_CurrMo">#REF!</definedName>
    <definedName name="mo_PriorMo">#REF!</definedName>
    <definedName name="Mo_Rents">#REF!</definedName>
    <definedName name="monday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mondayjvcopy" hidden="1">{"View1",#N/A,FALSE,"Sheet1";"View2",#N/A,FALSE,"Sheet1"}</definedName>
    <definedName name="mondaypark" hidden="1">{"View1",#N/A,FALSE,"Sheet1";"View2",#N/A,FALSE,"Sheet1"}</definedName>
    <definedName name="mondaytest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month">#REF!</definedName>
    <definedName name="monthdes">#REF!</definedName>
    <definedName name="Monthly_">#REF!</definedName>
    <definedName name="Monthly_Taxes">#REF!</definedName>
    <definedName name="monthocc">#REF!</definedName>
    <definedName name="monthocc2">#REF!</definedName>
    <definedName name="monthocc3">#REF!</definedName>
    <definedName name="Monthpy">#REF!</definedName>
    <definedName name="Months_Constr">#REF!</definedName>
    <definedName name="Months_Entitle">#REF!</definedName>
    <definedName name="months_qtr">#REF!</definedName>
    <definedName name="months_year">#REF!</definedName>
    <definedName name="MoPymnt2">#REF!</definedName>
    <definedName name="MoPymt">#REF!</definedName>
    <definedName name="MoPymt2">#REF!</definedName>
    <definedName name="MortCalc">#REF!</definedName>
    <definedName name="MortCalc2">#REF!</definedName>
    <definedName name="MortCalc3">#REF!</definedName>
    <definedName name="Mos_Remain">#REF!</definedName>
    <definedName name="MosHeld">#REF!</definedName>
    <definedName name="MosIn1stYr">#REF!</definedName>
    <definedName name="MOVED" hidden="1">{"CHART",#N/A,FALSE,"Arch Communications"}</definedName>
    <definedName name="moved2" hidden="1">{"CHART",#N/A,FALSE,"Arch Communications"}</definedName>
    <definedName name="mps" hidden="1">{#N/A,#N/A,FALSE,"INDEX";#N/A,#N/A,FALSE,"CONTROL";#N/A,#N/A,FALSE,"COMPLIANCE";#N/A,#N/A,FALSE,"OVERVIEW";#N/A,#N/A,FALSE,"OVERVIEW 1";#N/A,#N/A,FALSE,"1995 Rev &amp; Exp";#N/A,#N/A,FALSE,"HISTORICAL REV &amp; EXP";#N/A,#N/A,FALSE,"LEASES";#N/A,#N/A,FALSE,"APPRAISAL";#N/A,#N/A,FALSE,"APPRAISAL 2";#N/A,#N/A,FALSE,"APPRAISAL 3";#N/A,#N/A,FALSE,"ENGINEERING";#N/A,#N/A,FALSE,"ENVIRONMENTAL";#N/A,#N/A,FALSE,"CREDIT";#N/A,#N/A,FALSE,"ASSET MGMT.";#N/A,#N/A,FALSE,"LOAN ANALYSIS";#N/A,#N/A,FALSE,"SOURCES &amp; USES";#N/A,#N/A,FALSE,"Working List"}</definedName>
    <definedName name="MRG" hidden="1">{"INCOME",#N/A,FALSE,"ProNet";"VALUE",#N/A,FALSE,"ProNet"}</definedName>
    <definedName name="MRG_old" hidden="1">{"INCOME",#N/A,FALSE,"ProNet";"VALUE",#N/A,FALSE,"ProNet"}</definedName>
    <definedName name="MRG2_old" hidden="1">{"INCOME",#N/A,FALSE,"ProNet";"VALUE",#N/A,FALSE,"ProNet"}</definedName>
    <definedName name="MSforecast" hidden="1">{"'Sheet1'!$A$1:$I$10","'Sheet1'!$A$1:$I$11"}</definedName>
    <definedName name="Mt.Todd" hidden="1">{"p1TOC",#N/A,FALSE,"DCF_Summary";"p23summary",#N/A,FALSE,"DCF_Summary";"p4contact",#N/A,FALSE,"Contact Lake";"p5kumtor",#N/A,FALSE,"Kumtor";#N/A,#N/A,FALSE,"CCAU_NAV";"p8compdata",#N/A,FALSE,"Gold_Comps";#N/A,#N/A,FALSE,"Comp_Valuation"}</definedName>
    <definedName name="mth">MONTH(#REF!)</definedName>
    <definedName name="mthno">#REF!</definedName>
    <definedName name="MTM">#REF!</definedName>
    <definedName name="Müllabfuhr">#REF!</definedName>
    <definedName name="multcash1" hidden="1">#REF!</definedName>
    <definedName name="multformrow" hidden="1">#REF!</definedName>
    <definedName name="multtable" hidden="1">#REF!</definedName>
    <definedName name="MVAR725">#REF!</definedName>
    <definedName name="MVAR777">#REF!</definedName>
    <definedName name="mvicebit_col" hidden="1">#REF!</definedName>
    <definedName name="mvicebitda_col" hidden="1">#REF!</definedName>
    <definedName name="mvicprojebitda_col" hidden="1">#REF!</definedName>
    <definedName name="mvicrev_col" hidden="1">#REF!</definedName>
    <definedName name="n">#REF!</definedName>
    <definedName name="NA" hidden="1">#REF!</definedName>
    <definedName name="NAME">#N/A</definedName>
    <definedName name="name1" hidden="1">{"SIMPLIFD_P1",#N/A,FALSE,"SIMPLIFD"}</definedName>
    <definedName name="name1_1" hidden="1">{"SIMPLIFD_P1",#N/A,FALSE,"SIMPLIFD"}</definedName>
    <definedName name="name1_2" hidden="1">{"SIMPLIFD_P1",#N/A,FALSE,"SIMPLIFD"}</definedName>
    <definedName name="name1_3" hidden="1">{"SIMPLIFD_P1",#N/A,FALSE,"SIMPLIFD"}</definedName>
    <definedName name="name1_4" hidden="1">{"SIMPLIFD_P1",#N/A,FALSE,"SIMPLIFD"}</definedName>
    <definedName name="name2" hidden="1">{#N/A,#N/A,FALSE,"Assumptions";#N/A,#N/A,FALSE,"Promote Assumptions";#N/A,#N/A,FALSE,"Residual Analysis";#N/A,#N/A,FALSE,"ROC";#N/A,#N/A,FALSE,"Project Costs";#N/A,#N/A,FALSE,"Annual CF";#N/A,#N/A,FALSE,"Stab Proforma"}</definedName>
    <definedName name="Nane2" hidden="1">{"TEST1",#N/A,FALSE,"SIMPLIFD"}</definedName>
    <definedName name="Nane2_1" hidden="1">{"TEST1",#N/A,FALSE,"SIMPLIFD"}</definedName>
    <definedName name="Nane2_2" hidden="1">{"TEST1",#N/A,FALSE,"SIMPLIFD"}</definedName>
    <definedName name="Nane2_3" hidden="1">{"TEST1",#N/A,FALSE,"SIMPLIFD"}</definedName>
    <definedName name="Nane2_4" hidden="1">{"TEST1",#N/A,FALSE,"SIMPLIFD"}</definedName>
    <definedName name="NashEquity">#REF!</definedName>
    <definedName name="National_Sales___Marketing_Fee">#REF!</definedName>
    <definedName name="NAV">#REF!</definedName>
    <definedName name="naveeds" hidden="1">{"CSheet",#N/A,FALSE,"C";"SmCap",#N/A,FALSE,"VAL1";"GulfCoast",#N/A,FALSE,"VAL1";"nav",#N/A,FALSE,"NAV";"Summary",#N/A,FALSE,"NAV"}</definedName>
    <definedName name="nb" hidden="1">#REF!</definedName>
    <definedName name="nbmvcmnb" hidden="1">{#N/A,#N/A,TRUE,"10 Yr Hold";#N/A,#N/A,TRUE,"7 Yr Hold";#N/A,#N/A,TRUE,"5 Yr Hold";#N/A,#N/A,TRUE,"3 Yr Hold"}</definedName>
    <definedName name="nbvn" hidden="1">{#N/A,#N/A,TRUE,"CostSumm";#N/A,#N/A,TRUE,"Land";#N/A,#N/A,TRUE,"Construction";#N/A,#N/A,TRUE,"A&amp;E";#N/A,#N/A,TRUE,"Indirect";#N/A,#N/A,TRUE,"Marketing";#N/A,#N/A,TRUE,"Finance";#N/A,#N/A,TRUE,"Gen and Admin"}</definedName>
    <definedName name="ncas" hidden="1">{"FCB_ALL",#N/A,FALSE,"FCB";"GREY_ALL",#N/A,FALSE,"GREY"}</definedName>
    <definedName name="NCF">#REF!</definedName>
    <definedName name="ncfyr1">#REF!</definedName>
    <definedName name="ncfyr10">#REF!</definedName>
    <definedName name="ncfyr11">#REF!</definedName>
    <definedName name="ncfyr2">#REF!</definedName>
    <definedName name="ncfyr3">#REF!</definedName>
    <definedName name="ncfyr4">#REF!</definedName>
    <definedName name="ncfyr5">#REF!</definedName>
    <definedName name="ncfyr6">#REF!</definedName>
    <definedName name="ncfyr7">#REF!</definedName>
    <definedName name="ncfyr8">#REF!</definedName>
    <definedName name="ncfyr9">#REF!</definedName>
    <definedName name="NCREIF_Region">#REF!</definedName>
    <definedName name="ND">#REF!</definedName>
    <definedName name="net_rent00">#REF!</definedName>
    <definedName name="net_rent01">#REF!</definedName>
    <definedName name="net_rent02">#REF!</definedName>
    <definedName name="net_rent03">#REF!</definedName>
    <definedName name="net_rent04">#REF!</definedName>
    <definedName name="net_rent05">#REF!</definedName>
    <definedName name="net_rent06">#REF!</definedName>
    <definedName name="net_rent07">#REF!</definedName>
    <definedName name="net_rent97">#REF!</definedName>
    <definedName name="net_rent98">#REF!</definedName>
    <definedName name="net_rent99">#REF!</definedName>
    <definedName name="Net.Asset.Value">#REF!</definedName>
    <definedName name="netdebt1">#REF!</definedName>
    <definedName name="NETLAND">#REF!</definedName>
    <definedName name="NEToperatingINCOME">#REF!</definedName>
    <definedName name="NetReversion">#REF!</definedName>
    <definedName name="NetSaleProceeds">#REF!</definedName>
    <definedName name="NetSalesProceeds">#REF!</definedName>
    <definedName name="netsf">#REF!</definedName>
    <definedName name="new" hidden="1">{"Spread Dollars",#N/A,FALSE,"Budget";"Spread Ratios",#N/A,FALSE,"Budget";"Target Comparison",#N/A,FALSE,"Summary"}</definedName>
    <definedName name="NEW_1" hidden="1">#REF!</definedName>
    <definedName name="New_Equity">#REF!</definedName>
    <definedName name="new_order1" hidden="1">255</definedName>
    <definedName name="New_Parking_Stalls">#REF!</definedName>
    <definedName name="New_Taxes">#REF!</definedName>
    <definedName name="Newcap" hidden="1">{"'2ND_QUAR'!$A$1:$P$106"}</definedName>
    <definedName name="newdebt" hidden="1">{"Spread Dollars",#N/A,FALSE,"Budget";"Spread Ratios",#N/A,FALSE,"Budget";"Target Comparison",#N/A,FALSE,"Summary"}</definedName>
    <definedName name="newer" hidden="1">#REF!</definedName>
    <definedName name="newhtml" hidden="1">{"'Assump'!$F$6:$J$6"}</definedName>
    <definedName name="newname" hidden="1">{"Financials",#N/A,FALSE,"Financials";"AVP",#N/A,FALSE,"AVP";"DCF",#N/A,FALSE,"DCF";"CSC",#N/A,FALSE,"CSC";"Deal_Comp",#N/A,FALSE,"DealComp"}</definedName>
    <definedName name="newrange" hidden="1">{"Annual Cash Flows",#N/A,FALSE,"Annual Summary"}</definedName>
    <definedName name="nhjythh" hidden="1">{"DCF","UPSIDE CASE",FALSE,"Sheet1";"DCF","BASE CASE",FALSE,"Sheet1";"DCF","DOWNSIDE CASE",FALSE,"Sheet1"}</definedName>
    <definedName name="Niederschlagswasser">#REF!</definedName>
    <definedName name="Night">#REF!</definedName>
    <definedName name="NISSAN">#REF!</definedName>
    <definedName name="NJ" hidden="1">{#N/A,#N/A,FALSE}</definedName>
    <definedName name="NLTradingChart">Word</definedName>
    <definedName name="nn" hidden="1">{#N/A,#N/A,FALSE,"Cover";#N/A,#N/A,FALSE,"Table";#N/A,#N/A,FALSE,"sec 1";#N/A,#N/A,FALSE,"Summary Schedule";#N/A,#N/A,FALSE,"Sec 2";#N/A,#N/A,FALSE,"Use of Proceeds";#N/A,#N/A,FALSE,"Sec 3";#N/A,#N/A,FALSE,"Yield Cal";#N/A,#N/A,FALSE,"Sec 4";#N/A,#N/A,FALSE,"Qtrly Distributions";#N/A,#N/A,FALSE,"Sec 5";#N/A,#N/A,FALSE,"RATE";#N/A,#N/A,FALSE,"Sec 6";#N/A,#N/A,FALSE,"OPERATIONS";#N/A,#N/A,FALSE,"Sec 7";#N/A,#N/A,FALSE,"Dev. Budget";#N/A,#N/A,FALSE,"Sec 8";#N/A,#N/A,FALSE,"Draw";#N/A,#N/A,FALSE,"Sec 9";#N/A,#N/A,FALSE,"COMPARISON SCHEDULE";#N/A,#N/A,FALSE,"Sec 10";#N/A,#N/A,FALSE,"Investor10";#N/A,#N/A,FALSE,"Sec 11";#N/A,#N/A,FALSE,"10 year a";#N/A,#N/A,FALSE,"Sec 12";#N/A,#N/A,FALSE,"Assum."}</definedName>
    <definedName name="nnn" hidden="1">{#N/A,#N/A,FALSE,"CCC Variance";#N/A,#N/A,FALSE,"CCC Notes"}</definedName>
    <definedName name="NNN_MarketRent">#REF!</definedName>
    <definedName name="nnnn" hidden="1">{#N/A,#N/A,FALSE,"A";#N/A,#N/A,FALSE,"C"}</definedName>
    <definedName name="nnnnnnn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nnnnnnnnnnnnnnnnnnn" hidden="1">{"LIBOR",#N/A,TRUE,"Model";"Caps",#N/A,TRUE,"Model";"Assets",#N/A,TRUE,"Model";"Liabilities",#N/A,TRUE,"Model";"Tests",#N/A,TRUE,"Model";"Results",#N/A,TRUE,"Model"}</definedName>
    <definedName name="No_SF">#REF!</definedName>
    <definedName name="No_Units">#REF!</definedName>
    <definedName name="NOI">#REF!</definedName>
    <definedName name="noi_table">#REF!</definedName>
    <definedName name="noicf">#REF!</definedName>
    <definedName name="noijnio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noiyr1">#REF!</definedName>
    <definedName name="noiyr10">#REF!</definedName>
    <definedName name="noiyr11">#REF!</definedName>
    <definedName name="noiyr2">#REF!</definedName>
    <definedName name="noiyr3">#REF!</definedName>
    <definedName name="noiyr4">#REF!</definedName>
    <definedName name="noiyr5">#REF!</definedName>
    <definedName name="noiyr6">#REF!</definedName>
    <definedName name="noiyr7">#REF!</definedName>
    <definedName name="noiyr8">#REF!</definedName>
    <definedName name="noiyr9">#REF!</definedName>
    <definedName name="notdoug" hidden="1">{#N/A,#N/A,FALSE,"Consolidated";#N/A,#N/A,FALSE,"Available Credit";#N/A,#N/A,FALSE,"100% Owned";#N/A,#N/A,FALSE,"Bentall U.S. LLC";#N/A,#N/A,FALSE,"Bentall Properties (U.S.) Ltd.";#N/A,#N/A,FALSE,"Schedule I"}</definedName>
    <definedName name="Nov.">#REF!</definedName>
    <definedName name="Now" hidden="1">{"Assumptions",#N/A,TRUE,"Returns";"Tables",#N/A,TRUE,"Returns"}</definedName>
    <definedName name="nowe" hidden="1">{#N/A,#N/A,TRUE,"Krycí list"}</definedName>
    <definedName name="NRA">#REF!</definedName>
    <definedName name="nrAcqFeeBasis">#REF!</definedName>
    <definedName name="nrAMFeeCalcMethod">#REF!</definedName>
    <definedName name="nrAnalysisStartDate">#REF!</definedName>
    <definedName name="nrAssetName">#REF!</definedName>
    <definedName name="nrCBREMetroDataRange">#REF!</definedName>
    <definedName name="nrCBRESubMarketDataRange">#REF!</definedName>
    <definedName name="nrCFCapitalAdjustment">#REF!</definedName>
    <definedName name="nrCityName">#REF!</definedName>
    <definedName name="nrClientList">#REF!</definedName>
    <definedName name="nrClientRange">#REF!</definedName>
    <definedName name="nrContDistAdjustment">#REF!</definedName>
    <definedName name="nrDispFeeCalcMethod">#REF!</definedName>
    <definedName name="nrDistributionSequence">#REF!</definedName>
    <definedName name="nrEquityTiming">#REF!</definedName>
    <definedName name="nrFinancingCostSwitch">#REF!</definedName>
    <definedName name="nrFundName">#REF!</definedName>
    <definedName name="nrInflationRate">#REF!</definedName>
    <definedName name="nrInputDebtLookupRange">#REF!</definedName>
    <definedName name="nrInputDebtOptions">#REF!</definedName>
    <definedName name="nrInputReturns">#REF!</definedName>
    <definedName name="nrIRRYear">#REF!</definedName>
    <definedName name="nrKeyNumberReturnsRange">#REF!</definedName>
    <definedName name="nrKeyNumberReturnType1">#REF!</definedName>
    <definedName name="nrKeyNumberReturnType2">#REF!</definedName>
    <definedName name="nrKeyNumberYearRange">#REF!</definedName>
    <definedName name="nrMaxPerformanceFee">#REF!</definedName>
    <definedName name="nrMinPerformanceFee">#REF!</definedName>
    <definedName name="nrMonthRange">#REF!</definedName>
    <definedName name="nrPerformanceFeeTiming">#REF!</definedName>
    <definedName name="nrPkgReturnsRange">#REF!</definedName>
    <definedName name="nrPkgReturnsYearRange">#REF!</definedName>
    <definedName name="nrProjectionStartDate">#REF!</definedName>
    <definedName name="nrPurchasePrice">#REF!</definedName>
    <definedName name="nrQuarterRange">#REF!</definedName>
    <definedName name="nrRebuyCalcRange">#REF!</definedName>
    <definedName name="nrReturnsRange">#REF!</definedName>
    <definedName name="nrStabilizedYear">#REF!</definedName>
    <definedName name="nrState">#REF!</definedName>
    <definedName name="nrTotalArea">#REF!</definedName>
    <definedName name="nrYearRange">#REF!</definedName>
    <definedName name="nrYears10">#REF!</definedName>
    <definedName name="nrYears14">#REF!</definedName>
    <definedName name="NSP">#REF!</definedName>
    <definedName name="NTA00">#REF!</definedName>
    <definedName name="Num_Pmt_Per_Year">#REF!</definedName>
    <definedName name="Number_of_Payments">MATCH(0.01,End_Bal,-1)+1</definedName>
    <definedName name="number_range">#REF!</definedName>
    <definedName name="number_range2">#REF!</definedName>
    <definedName name="numberINTonlyPAYMENTS">#REF!</definedName>
    <definedName name="NvsASD">"V2001-12-31"</definedName>
    <definedName name="NvsAutoDrillOk">"VN"</definedName>
    <definedName name="NvsElapsedTime">0.00043518518214114</definedName>
    <definedName name="NvsEndTime">37546.5793412037</definedName>
    <definedName name="NvsInstanceHook">"ColumnFormat"</definedName>
    <definedName name="NvsInstSpec">"%,FBUSINESS_UNIT,VAUBLP"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"%,X,RPF..,CZF.."</definedName>
    <definedName name="NvsPanelEffdt">"V2020-12-31"</definedName>
    <definedName name="NvsPanelSetid">"VCPSTD"</definedName>
    <definedName name="NvsReqBU">"VAUBLP"</definedName>
    <definedName name="NvsReqBUOnly">"VY"</definedName>
    <definedName name="NvsTransLed">"VN"</definedName>
    <definedName name="NvsTreeASD">"V2001-12-31"</definedName>
    <definedName name="NvsValTbl.ACCOUNT">"GL_ACCOUNT_TBL"</definedName>
    <definedName name="NvsValTbl.AFFILIATE">"AFFILIATE_VW"</definedName>
    <definedName name="NvsValTbl.BUSINESS_UNIT">"BUS_UNIT_TBL_GL"</definedName>
    <definedName name="NvsValTbl.DEPTID">"DEPARTMENT_TBL"</definedName>
    <definedName name="NvsValTbl.PRODUCT">"PRODUCT_TBL"</definedName>
    <definedName name="NvsValTbl.PROJECT_ID">"PROJECT"</definedName>
    <definedName name="NW" hidden="1">#REF!</definedName>
    <definedName name="O">#REF!</definedName>
    <definedName name="occ_2005">#REF!</definedName>
    <definedName name="Occ_Units">#REF!</definedName>
    <definedName name="OCCNRA">#REF!</definedName>
    <definedName name="Occup">#REF!</definedName>
    <definedName name="OCCUPANCY">#REF!</definedName>
    <definedName name="OCCUPIED">#REF!</definedName>
    <definedName name="OCP">#REF!</definedName>
    <definedName name="oct02b" hidden="1">{#N/A,#N/A,FALSE,"Class A";#N/A,#N/A,FALSE,"Class B";#N/A,#N/A,FALSE,"Class C"}</definedName>
    <definedName name="oen" hidden="1">{"Ops_S.Holders Assets and Income",#N/A,FALSE,"ops_shf"}</definedName>
    <definedName name="OER">#REF!</definedName>
    <definedName name="OfferPrice">#REF!</definedName>
    <definedName name="office1" hidden="1">{#N/A,#N/A,FALSE,"Cashflow Analysis";#N/A,#N/A,FALSE,"Sensitivity Analysis";#N/A,#N/A,FALSE,"PV";#N/A,#N/A,FALSE,"Pro Forma"}</definedName>
    <definedName name="ogmkcjr" hidden="1">{#N/A,#N/A,FALSE,"Chart 2 by Prop Type"}</definedName>
    <definedName name="oipp" hidden="1">{#N/A,#N/A,FALSE,"Chart 2 by Prop Type"}</definedName>
    <definedName name="oiwea" hidden="1">{"FCB_ALL",#N/A,FALSE,"FCB";"GREY_ALL",#N/A,FALSE,"GREY"}</definedName>
    <definedName name="ok" hidden="1">{"Page1",#N/A,TRUE,"Sheet1";"Page2",#N/A,TRUE,"Sheet1";"Page3",#N/A,TRUE,"Sheet1"}</definedName>
    <definedName name="OKAY" hidden="1">#REF!</definedName>
    <definedName name="okp" hidden="1">{#N/A,#N/A,FALSE,"Chart 2 by Prop Type"}</definedName>
    <definedName name="Okt.">#REF!</definedName>
    <definedName name="ol" hidden="1">{#N/A,#N/A,FALSE,"Chart 2 by Prop Type"}</definedName>
    <definedName name="old">#REF!</definedName>
    <definedName name="oldhtl" hidden="1">{"'Assump'!$F$6:$J$6"}</definedName>
    <definedName name="oldkill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oldkill2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oldkill3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oldname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table" hidden="1">#REF!</definedName>
    <definedName name="oldtable1" hidden="1">#REF!</definedName>
    <definedName name="One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OnePager_Mobile" hidden="1">{#N/A,#N/A,FALSE,"Loan Summary";#N/A,#N/A,FALSE,"NOI";"RR and Expir",#N/A,FALSE,"Rental";"Sales History",#N/A,FALSE,"Rental";#N/A,#N/A,FALSE,"Reserves"}</definedName>
    <definedName name="oo" hidden="1">#REF!</definedName>
    <definedName name="ooooooooo" hidden="1">{"SITQ view of BCLP 4 months income statement",#N/A,TRUE,"BCLP 4 MO IS";#N/A,#N/A,TRUE,"Comparison to March Fcst";#N/A,#N/A,TRUE,"BCLP Forecast";"Mgnt view of BCLP 4 month income statement",#N/A,TRUE,"BCLP 4 MO IS";#N/A,#N/A,TRUE,"Closing Adjustments";#N/A,#N/A,TRUE,"Accounting entry"}</definedName>
    <definedName name="OpDeficit">#REF!</definedName>
    <definedName name="OpenDate">#REF!</definedName>
    <definedName name="opendbs" hidden="1">{"fis.dbo.r1_datasum"}</definedName>
    <definedName name="opendbs1" hidden="1">{"fis.dbo.r1_datasum"}</definedName>
    <definedName name="Operating2" hidden="1">#REF!</definedName>
    <definedName name="OPERBGT">#REF!</definedName>
    <definedName name="OPERBGT1">#REF!</definedName>
    <definedName name="OPERBGT2">#REF!</definedName>
    <definedName name="OPERBGT3">#REF!</definedName>
    <definedName name="OPERBGTSUM">#REF!</definedName>
    <definedName name="OPsData">#REF!</definedName>
    <definedName name="opsyr1">#REF!</definedName>
    <definedName name="opsyr10">#REF!</definedName>
    <definedName name="opsyr11">#REF!</definedName>
    <definedName name="opsyr2">#REF!</definedName>
    <definedName name="opsyr3">#REF!</definedName>
    <definedName name="opsyr4">#REF!</definedName>
    <definedName name="opsyr5">#REF!</definedName>
    <definedName name="opsyr6">#REF!</definedName>
    <definedName name="opsyr7">#REF!</definedName>
    <definedName name="opsyr8">#REF!</definedName>
    <definedName name="opsyr9">#REF!</definedName>
    <definedName name="Option_dates">#REF!</definedName>
    <definedName name="ORDER" hidden="1">0</definedName>
    <definedName name="Order2" hidden="1">255</definedName>
    <definedName name="OrderTable" hidden="1">#REF!</definedName>
    <definedName name="Origination_Fee">#REF!</definedName>
    <definedName name="Orix" hidden="1">{#N/A,#N/A,FALSE,"SPacific";#N/A,#N/A,FALSE,"Hanover";#N/A,#N/A,FALSE,"Fairbanks";#N/A,#N/A,FALSE,"Life Savings";#N/A,#N/A,FALSE,"Ocwen";#N/A,#N/A,FALSE,"EMACC";#N/A,#N/A,FALSE,"CREC";#N/A,#N/A,FALSE,"SPTL";#N/A,#N/A,FALSE,"Thornberg";#N/A,#N/A,FALSE,"Conti Res";#N/A,#N/A,FALSE,"Conti Com";#N/A,#N/A,FALSE,"EMAQ";#N/A,#N/A,FALSE,"Fair1"}</definedName>
    <definedName name="Orrick">#REF!</definedName>
    <definedName name="OrrickR">#REF!</definedName>
    <definedName name="OrrickU">#REF!</definedName>
    <definedName name="Other_Co_finhigh_pg4">#REF!</definedName>
    <definedName name="Other_Income_Growth">#REF!</definedName>
    <definedName name="other.income.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other.whatever.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output" hidden="1">{#N/A,#N/A,FALSE,"Matrix";#N/A,#N/A,FALSE,"Cash Flow";#N/A,#N/A,FALSE,"10 Year Cost Analysis"}</definedName>
    <definedName name="owl">#REF!</definedName>
    <definedName name="OwnerEntity">#REF!</definedName>
    <definedName name="OwnerPriority">#REF!</definedName>
    <definedName name="ownership">#REF!</definedName>
    <definedName name="P">#REF!</definedName>
    <definedName name="p.Covenants" hidden="1">#REF!</definedName>
    <definedName name="p.Covenants_Titles" hidden="1">#REF!</definedName>
    <definedName name="p.CreditStats" hidden="1">#REF!</definedName>
    <definedName name="p.LTM_BS" hidden="1">#REF!</definedName>
    <definedName name="p.LTM_IS" hidden="1">#REF!</definedName>
    <definedName name="p.Summary" hidden="1">#REF!</definedName>
    <definedName name="p.Summary_Titles" hidden="1">#REF!</definedName>
    <definedName name="Package" hidden="1">{#N/A,#N/A,FALSE,"Cover Page";#N/A,#N/A,FALSE,"Table of Contents";#N/A,#N/A,FALSE,"Executive Summary";#N/A,#N/A,FALSE,"Investment-Acquisition Costs";#N/A,#N/A,FALSE,"Financing Assumptions";#N/A,#N/A,FALSE,"Rent Roll";#N/A,#N/A,FALSE,"Taxes and Assessments"}</definedName>
    <definedName name="pafssdkp" hidden="1">#REF!</definedName>
    <definedName name="page1">#REF!</definedName>
    <definedName name="Page2">#REF!</definedName>
    <definedName name="palisades" hidden="1">{#N/A,#N/A,FALSE,"WATCHDSC";#N/A,#N/A,FALSE,"2LOSSMOD";#N/A,#N/A,FALSE,"2LOSS";#N/A,#N/A,FALSE,"DSC";#N/A,#N/A,FALSE,"OPERAT";#N/A,#N/A,FALSE,"ADJUST";#N/A,#N/A,FALSE,"LEASE EXPIRE"}</definedName>
    <definedName name="Param_CumRent" hidden="1">#REF!</definedName>
    <definedName name="Param_CurrentDat" hidden="1">#REF!</definedName>
    <definedName name="Param_CurrentDate" hidden="1">#REF!</definedName>
    <definedName name="Param_DRCredit" hidden="1">#REF!</definedName>
    <definedName name="Param_DRNonCredit" hidden="1">#REF!</definedName>
    <definedName name="Param_IncludeCPI" hidden="1">#REF!</definedName>
    <definedName name="Param_IncludePercentRent" hidden="1">#REF!</definedName>
    <definedName name="Param_IncludePW" hidden="1">#REF!</definedName>
    <definedName name="Param_Inclusion" hidden="1">#REF!</definedName>
    <definedName name="Param_PVAbatement" hidden="1">#REF!</definedName>
    <definedName name="Param_SLAbatement" hidden="1">#REF!</definedName>
    <definedName name="Param_VacMarket" hidden="1">#REF!</definedName>
    <definedName name="Param_VacRenew" hidden="1">#REF!</definedName>
    <definedName name="Param_VacVacate" hidden="1">#REF!</definedName>
    <definedName name="PARK_STATS">#REF!</definedName>
    <definedName name="PARK_VAR">#REF!</definedName>
    <definedName name="parkavecopy" hidden="1">{"View1",#N/A,FALSE,"Sheet1";"View2",#N/A,FALSE,"Sheet1"}</definedName>
    <definedName name="parkcopy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parking">#REF!</definedName>
    <definedName name="Parking_NOI">#REF!</definedName>
    <definedName name="parking2">#REF!</definedName>
    <definedName name="ParkingSpaces">#REF!</definedName>
    <definedName name="parkjvcopy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parktest" hidden="1">{"View1",#N/A,FALSE,"Sheet1";"View2",#N/A,FALSE,"Sheet1"}</definedName>
    <definedName name="parktestave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PARTEQUITY">#REF!</definedName>
    <definedName name="PARTEQUITYA">#REF!</definedName>
    <definedName name="partnertier1">#REF!</definedName>
    <definedName name="partnertier2">#REF!</definedName>
    <definedName name="partnertier3">#REF!</definedName>
    <definedName name="partnertier4">#REF!</definedName>
    <definedName name="Pasterange">#REF!</definedName>
    <definedName name="Pay_Num">#REF!</definedName>
    <definedName name="Payment_Date">DATE(YEAR(Loan_Start),MONTH(Loan_Start)+Payment_Number,DAY(Loan_Start))</definedName>
    <definedName name="Payment_Number">ROW()-[0]!Header_Row</definedName>
    <definedName name="Payments_per_year">#REF!</definedName>
    <definedName name="PCap" hidden="1">#REF!</definedName>
    <definedName name="PCM">#REF!</definedName>
    <definedName name="pct_mkt">#REF!</definedName>
    <definedName name="pen" hidden="1">{"Logo",#N/A,FALSE,"Logo";"Exchange",#N/A,FALSE,"Logo";#N/A,#N/A,FALSE,"overview"}</definedName>
    <definedName name="perbolag" hidden="1">{#N/A,#N/A,FALSE,"intag";#N/A,#N/A,FALSE,"budg";#N/A,#N/A,FALSE,"samtl"}</definedName>
    <definedName name="perbolagneu" hidden="1">{#N/A,#N/A,FALSE,"intag";#N/A,#N/A,FALSE,"budg";#N/A,#N/A,FALSE,"samtl"}</definedName>
    <definedName name="PercentageRent">#REF!</definedName>
    <definedName name="Period">#REF!</definedName>
    <definedName name="Period_Size">#REF!</definedName>
    <definedName name="PeriodArray">#REF!</definedName>
    <definedName name="Perm_Beg">#REF!</definedName>
    <definedName name="Perm_Equity">#REF!</definedName>
    <definedName name="Perm_IR">#REF!</definedName>
    <definedName name="Perm_Loan">#REF!</definedName>
    <definedName name="Perm_LoanAvailable">#REF!</definedName>
    <definedName name="Perm_TermYrs">#REF!</definedName>
    <definedName name="PERS2000">#REF!</definedName>
    <definedName name="PERS2001">#REF!</definedName>
    <definedName name="petersen">#REF!</definedName>
    <definedName name="PeterTEST" hidden="1">{#N/A,#N/A,TRUE,"Acq-Ass";#N/A,#N/A,TRUE,"Acq-IS";#N/A,#N/A,TRUE,"Acq-BS";#N/A,#N/A,TRUE,"Acq-CF"}</definedName>
    <definedName name="PEXPBGT">#REF!</definedName>
    <definedName name="PHUNT">#REF!</definedName>
    <definedName name="Pie" hidden="1">{"Financials",#N/A,FALSE,"Financials";"AVP",#N/A,FALSE,"AVP";"DCF",#N/A,FALSE,"DCF";"CSC",#N/A,FALSE,"CSC";"Deal_Comp",#N/A,FALSE,"DealComp"}</definedName>
    <definedName name="pier90" hidden="1">{"excavation",#N/A,FALSE,"DETAIL.XLS"}</definedName>
    <definedName name="pii" hidden="1">#REF!</definedName>
    <definedName name="pijm" hidden="1">{"lot inventory",#N/A,FALSE,"Lot List"}</definedName>
    <definedName name="pio" hidden="1">#REF!</definedName>
    <definedName name="PIRR">#REF!</definedName>
    <definedName name="Pitchbook" hidden="1">{#N/A,#N/A,TRUE,"Sheet16"}</definedName>
    <definedName name="pj" hidden="1">{"INCOME",#N/A,FALSE,"ProNet";"VALUE",#N/A,FALSE,"ProNet"}</definedName>
    <definedName name="PJAM3Yr" hidden="1">{"INCOME",#N/A,FALSE,"ProNet";"VALUE",#N/A,FALSE,"ProNet"}</definedName>
    <definedName name="PJAM3Yr_old" hidden="1">{"INCOME",#N/A,FALSE,"ProNet";"VALUE",#N/A,FALSE,"ProNet"}</definedName>
    <definedName name="pjam3yr2" hidden="1">{"INCOME",#N/A,FALSE,"ProNet";"VALUE",#N/A,FALSE,"ProNet"}</definedName>
    <definedName name="PJDATA">#REF!</definedName>
    <definedName name="pky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pl" hidden="1">#REF!</definedName>
    <definedName name="Platform">#REF!</definedName>
    <definedName name="platforma" hidden="1">{#N/A,#N/A,TRUE,"Ericsson Stadium PCD ";#N/A,#N/A,TRUE,"Ericsson Stadium IOR"}</definedName>
    <definedName name="please" hidden="1">{"Assumptions",#N/A,TRUE,"Returns";"Tables",#N/A,TRUE,"Returns"}</definedName>
    <definedName name="pm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PMACRO">#REF!</definedName>
    <definedName name="pmf">#REF!</definedName>
    <definedName name="Pmt_to_use">#REF!</definedName>
    <definedName name="pn" hidden="1">#REF!</definedName>
    <definedName name="POPERBGT">#REF!</definedName>
    <definedName name="Port_fill" hidden="1">#REF!</definedName>
    <definedName name="Port_Fill2" hidden="1">#REF!</definedName>
    <definedName name="Portfolio" hidden="1">#REF!</definedName>
    <definedName name="Portfolio_NRA">#REF!</definedName>
    <definedName name="pou" hidden="1">#REF!</definedName>
    <definedName name="Power_Plant_Name">"Ilijan, Phillipines (1200 MW)"</definedName>
    <definedName name="PPACKAGE">#REF!</definedName>
    <definedName name="ppdins" hidden="1">#REF!</definedName>
    <definedName name="PPT" hidden="1">{#N/A,#N/A,FALSE,"Chart 2 by Prop Type"}</definedName>
    <definedName name="Pref">#REF!</definedName>
    <definedName name="PREFCFDIST">#REF!</definedName>
    <definedName name="PREFEQUITY">#REF!</definedName>
    <definedName name="PREFEQUITYA">#REF!</definedName>
    <definedName name="Preferred">#REF!</definedName>
    <definedName name="PREFRETURN">#REF!</definedName>
    <definedName name="prefyes" hidden="1">#REF!</definedName>
    <definedName name="preopen">#REF!</definedName>
    <definedName name="previous">#REF!</definedName>
    <definedName name="Price" hidden="1">{"AnnualRentRoll",#N/A,FALSE,"RentRoll"}</definedName>
    <definedName name="pricebook_col" hidden="1">#REF!</definedName>
    <definedName name="priceearnings_col" hidden="1">#REF!</definedName>
    <definedName name="PricePSF">#REF!</definedName>
    <definedName name="PrimaryComp" hidden="1">{"Primarily Competition",#N/A,FALSE,"Comp.&amp; Market Penet."}</definedName>
    <definedName name="Princ">#REF!</definedName>
    <definedName name="PRINCIPAL">#REF!</definedName>
    <definedName name="PRINT">#REF!,#REF!,#REF!</definedName>
    <definedName name="Print_Area_MI">#REF!</definedName>
    <definedName name="Print_Area_Reset">OFFSET(Full_Print,0,0,Last_Row)</definedName>
    <definedName name="Print_Titles_MI">#REF!</definedName>
    <definedName name="PRINT1">#REF!</definedName>
    <definedName name="PRINT2">#REF!</definedName>
    <definedName name="printarea">#REF!</definedName>
    <definedName name="PRINTBUDGET">#REF!</definedName>
    <definedName name="PrintManagerQuery">#REF!</definedName>
    <definedName name="PRINTPROFORMA">#REF!</definedName>
    <definedName name="PRINTPROJCOSTS">#REF!</definedName>
    <definedName name="PrintProjection">#REF!</definedName>
    <definedName name="PRINTRENTUP">#REF!</definedName>
    <definedName name="PrintSelectedSheetsMacroButton">#REF!</definedName>
    <definedName name="PRINTSUMMARY">#REF!</definedName>
    <definedName name="PriorYr">#REF!</definedName>
    <definedName name="Private" hidden="1">{"Page 1",#N/A,FALSE,"92264 Page 1";"Page 2",#N/A,FALSE,"92264 Page 2";"Page 3",#N/A,FALSE,"92264 Page 3";"Page 4",#N/A,FALSE,"92264 Page 4";"Page 5",#N/A,FALSE,"92264 Page 5";"Page 6",#N/A,FALSE,"92264 Page 6";"Page 7",#N/A,FALSE,"92264 Page 7";"Page 8",#N/A,FALSE,"92264 Page 8"}</definedName>
    <definedName name="prmote">#REF!</definedName>
    <definedName name="Prn_Assump_10Yr">#REF!,#REF!</definedName>
    <definedName name="Prn_Assump_Static">#REF!,#REF!</definedName>
    <definedName name="Prn_Op_Stmnt_Dtl">#REF!,#REF!</definedName>
    <definedName name="Prn_Rent_Roll">#REF!</definedName>
    <definedName name="prntall" hidden="1">{#N/A,#N/A,FALSE,"Land";#N/A,#N/A,FALSE,"Cost Analysis";"Summary",#N/A,FALSE,"Equipment"}</definedName>
    <definedName name="problem" hidden="1">{"View1",#N/A,FALSE,"Sheet1";"View2",#N/A,FALSE,"Sheet1"}</definedName>
    <definedName name="ProdForm" hidden="1">#REF!</definedName>
    <definedName name="Product" hidden="1">#REF!</definedName>
    <definedName name="Profit" hidden="1">#REF!</definedName>
    <definedName name="proformrow" hidden="1">#REF!</definedName>
    <definedName name="Proj_Size">#REF!</definedName>
    <definedName name="projdepamort" hidden="1">#REF!</definedName>
    <definedName name="PROJECT">#REF!</definedName>
    <definedName name="Project_Address">#REF!</definedName>
    <definedName name="Project_CashFlow">#REF!</definedName>
    <definedName name="Project_City">#REF!</definedName>
    <definedName name="Project_Descr">#REF!</definedName>
    <definedName name="Project_Description">#REF!</definedName>
    <definedName name="Project_Name">#REF!</definedName>
    <definedName name="Project_Name_1">#REF!</definedName>
    <definedName name="Project_State">#REF!</definedName>
    <definedName name="Project_StName">#REF!</definedName>
    <definedName name="Project_StNo_1">#REF!</definedName>
    <definedName name="Project_StNo_2">#REF!</definedName>
    <definedName name="Project_ZipCode">#REF!</definedName>
    <definedName name="PROJECTION">#REF!</definedName>
    <definedName name="ProjectName">{"Client Name or Project Name"}</definedName>
    <definedName name="projepsstart" hidden="1">#REF!</definedName>
    <definedName name="projint" hidden="1">#REF!</definedName>
    <definedName name="projrev" hidden="1">#REF!</definedName>
    <definedName name="projtax" hidden="1">#REF!</definedName>
    <definedName name="PROM">#REF!</definedName>
    <definedName name="PROM2">#REF!</definedName>
    <definedName name="PROMOTE">#REF!</definedName>
    <definedName name="promote1">#REF!</definedName>
    <definedName name="promte" hidden="1">{"Assumptions",#N/A,FALSE,"Assumptions"}</definedName>
    <definedName name="Prop">#REF!</definedName>
    <definedName name="Prop_13">#REF!</definedName>
    <definedName name="Prop_Acq_Cost">#REF!</definedName>
    <definedName name="Property_Description">#REF!</definedName>
    <definedName name="property_name">#REF!</definedName>
    <definedName name="PropertyName">#REF!</definedName>
    <definedName name="propertytable">#REF!</definedName>
    <definedName name="propname">#REF!</definedName>
    <definedName name="proptable">#REF!</definedName>
    <definedName name="PropTax">#REF!</definedName>
    <definedName name="PropTypes">#REF!</definedName>
    <definedName name="proxy1" hidden="1">{"Full Sheet",#N/A,FALSE,"Expense Comparison"}</definedName>
    <definedName name="proxy1_1" hidden="1">{"Full Sheet",#N/A,FALSE,"Expense Comparison"}</definedName>
    <definedName name="proxy1_2" hidden="1">{"Full Sheet",#N/A,FALSE,"Expense Comparison"}</definedName>
    <definedName name="proxy1_3" hidden="1">{"Full Sheet",#N/A,FALSE,"Expense Comparison"}</definedName>
    <definedName name="proxy1_4" hidden="1">{"Full Sheet",#N/A,FALSE,"Expense Comparison"}</definedName>
    <definedName name="proxy2" hidden="1">{#N/A,#N/A,FALSE,"Expense Comparison"}</definedName>
    <definedName name="proxy2_1" hidden="1">{#N/A,#N/A,FALSE,"Expense Comparison"}</definedName>
    <definedName name="proxy2_2" hidden="1">{#N/A,#N/A,FALSE,"Expense Comparison"}</definedName>
    <definedName name="proxy2_3" hidden="1">{#N/A,#N/A,FALSE,"Expense Comparison"}</definedName>
    <definedName name="proxy2_4" hidden="1">{#N/A,#N/A,FALSE,"Expense Comparison"}</definedName>
    <definedName name="proxy3" hidden="1">{"Full Sheet",#N/A,FALSE,"Expense Comparison"}</definedName>
    <definedName name="proxy3_1" hidden="1">{"Full Sheet",#N/A,FALSE,"Expense Comparison"}</definedName>
    <definedName name="proxy3_2" hidden="1">{"Full Sheet",#N/A,FALSE,"Expense Comparison"}</definedName>
    <definedName name="proxy3_3" hidden="1">{"Full Sheet",#N/A,FALSE,"Expense Comparison"}</definedName>
    <definedName name="proxy3_4" hidden="1">{"Full Sheet",#N/A,FALSE,"Expense Comparison"}</definedName>
    <definedName name="proxy4" hidden="1">{#N/A,#N/A,FALSE,"Expense Comparison"}</definedName>
    <definedName name="proxy4_1" hidden="1">{#N/A,#N/A,FALSE,"Expense Comparison"}</definedName>
    <definedName name="proxy4_2" hidden="1">{#N/A,#N/A,FALSE,"Expense Comparison"}</definedName>
    <definedName name="proxy4_3" hidden="1">{#N/A,#N/A,FALSE,"Expense Comparison"}</definedName>
    <definedName name="proxy4_4" hidden="1">{#N/A,#N/A,FALSE,"Expense Comparison"}</definedName>
    <definedName name="PSALARYDET">#REF!</definedName>
    <definedName name="PSUMMARIES">#REF!</definedName>
    <definedName name="PUB_FileID" hidden="1">"L10004431.xls"</definedName>
    <definedName name="PUB_UserID" hidden="1">"MAYERX"</definedName>
    <definedName name="Purch_Price">#REF!</definedName>
    <definedName name="Purchase_Date">#REF!</definedName>
    <definedName name="PURCHASE_PRICE">#REF!</definedName>
    <definedName name="Purchaser_costs">#REF!</definedName>
    <definedName name="PYADM">#REF!</definedName>
    <definedName name="PYCON">#REF!</definedName>
    <definedName name="PYMKTG">#REF!</definedName>
    <definedName name="PYMR">#REF!</definedName>
    <definedName name="PYPERS">#REF!</definedName>
    <definedName name="PYRM">#REF!</definedName>
    <definedName name="PYUTIL">#REF!</definedName>
    <definedName name="q" hidden="1">{#N/A,#N/A,FALSE,"SPacific";#N/A,#N/A,FALSE,"Hanover";#N/A,#N/A,FALSE,"Fairbanks";#N/A,#N/A,FALSE,"Life Savings";#N/A,#N/A,FALSE,"Ocwen";#N/A,#N/A,FALSE,"EMACC";#N/A,#N/A,FALSE,"CREC";#N/A,#N/A,FALSE,"SPTL";#N/A,#N/A,FALSE,"Thornberg";#N/A,#N/A,FALSE,"Conti Res";#N/A,#N/A,FALSE,"Conti Com";#N/A,#N/A,FALSE,"EMAQ";#N/A,#N/A,FALSE,"Fair1"}</definedName>
    <definedName name="Q3ADM">#REF!</definedName>
    <definedName name="Q3CON">#REF!</definedName>
    <definedName name="Q3GASMASTER">#REF!</definedName>
    <definedName name="Q3GASRUB">#REF!</definedName>
    <definedName name="Q3GASVACANT">#REF!</definedName>
    <definedName name="Q3GREV">#REF!</definedName>
    <definedName name="Q3GROSSREV">#REF!</definedName>
    <definedName name="Q3MKTG">#REF!</definedName>
    <definedName name="Q3MR">#REF!</definedName>
    <definedName name="Q3OPEXPENSE">#REF!</definedName>
    <definedName name="Q3PERS">#REF!</definedName>
    <definedName name="Q3RM">#REF!</definedName>
    <definedName name="Q3SEWERMASTER">#REF!</definedName>
    <definedName name="Q3TRASHMASTER">#REF!</definedName>
    <definedName name="Q3TRRUB\">#REF!</definedName>
    <definedName name="Q3UTIL">#REF!</definedName>
    <definedName name="Q3WATERMASTER">#REF!</definedName>
    <definedName name="Q3WATERVACANT">#REF!</definedName>
    <definedName name="Q3WATRUB">#REF!</definedName>
    <definedName name="qa" hidden="1">{#N/A,#N/A,FALSE,"Chart 2 by Prop Type"}</definedName>
    <definedName name="QEWQEW" hidden="1">{#N/A,#N/A,FALSE,"1995 Rev &amp; Exp"}</definedName>
    <definedName name="qewrga" hidden="1">#REF!</definedName>
    <definedName name="QLGC" hidden="1">{"CHART",#N/A,FALSE,"Arch Communications"}</definedName>
    <definedName name="qq" hidden="1">{"SIMPLIFD_P1",#N/A,FALSE,"SIMPLIFD"}</definedName>
    <definedName name="qq_1" hidden="1">{"SIMPLIFD_P1",#N/A,FALSE,"SIMPLIFD"}</definedName>
    <definedName name="qq_2" hidden="1">{"SIMPLIFD_P1",#N/A,FALSE,"SIMPLIFD"}</definedName>
    <definedName name="qq_3" hidden="1">{"SIMPLIFD_P1",#N/A,FALSE,"SIMPLIFD"}</definedName>
    <definedName name="qq_4" hidden="1">{"SIMPLIFD_P1",#N/A,FALSE,"SIMPLIFD"}</definedName>
    <definedName name="qqq" hidden="1">{"TEST1",#N/A,FALSE,"SIMPLIFD"}</definedName>
    <definedName name="qqq_1" hidden="1">{"TEST1",#N/A,FALSE,"SIMPLIFD"}</definedName>
    <definedName name="qqq_2" hidden="1">{"TEST1",#N/A,FALSE,"SIMPLIFD"}</definedName>
    <definedName name="qqq_3" hidden="1">{"TEST1",#N/A,FALSE,"SIMPLIFD"}</definedName>
    <definedName name="qqq_4" hidden="1">{"TEST1",#N/A,FALSE,"SIMPLIFD"}</definedName>
    <definedName name="qqqq" hidden="1">{#N/A,#N/A,FALSE,"Chart 2 by Prop Type"}</definedName>
    <definedName name="qqqqq" hidden="1">#REF!</definedName>
    <definedName name="qqqqqqqqqqq" hidden="1">{#N/A,#N/A,FALSE,"Title";#N/A,#N/A,FALSE,"Summary";#N/A,#N/A,FALSE,"Tower V";#N/A,#N/A,FALSE,"Steeles Phase I";#N/A,#N/A,FALSE,"IBM - Bldg A";#N/A,#N/A,FALSE,"IBM - Bldg B";#N/A,#N/A,FALSE,"YVR Lands";#N/A,#N/A,FALSE,"Delf Project";#N/A,#N/A,FALSE,"Maycrest";#N/A,#N/A,FALSE,"Guildford Bldg 1";#N/A,#N/A,FALSE,"Guildford Bldg 2";#N/A,#N/A,FALSE,"Guildford Bldg 3";#N/A,#N/A,FALSE,"Summit Ridge";#N/A,#N/A,FALSE,"Millennium G";#N/A,#N/A,FALSE,"Virginia Phase I (CB)";#N/A,#N/A,FALSE,"Ballard";#N/A,#N/A,FALSE,"Westlake"}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SDQS" hidden="1">#REF!</definedName>
    <definedName name="qselReportLeasingByBuilding">#REF!</definedName>
    <definedName name="QTR">#REF!</definedName>
    <definedName name="qtrs_year">#REF!</definedName>
    <definedName name="Quarterly" hidden="1">{"Annual",#N/A,FALSE,"Sales &amp; Market";"Quarterly",#N/A,FALSE,"Sales &amp; Market"}</definedName>
    <definedName name="Quarterly1" hidden="1">{"Annual",#N/A,FALSE,"Sales &amp; Market";"Quarterly",#N/A,FALSE,"Sales &amp; Market"}</definedName>
    <definedName name="qw" hidden="1">{#N/A,#N/A,FALSE,"Chart 2 by Prop Type"}</definedName>
    <definedName name="QWE" hidden="1">{#N/A,#N/A,FALSE,"APPRAISAL";#N/A,#N/A,FALSE,"APPRAISAL 2";#N/A,#N/A,FALSE,"APPRAISAL 3"}</definedName>
    <definedName name="qwer" hidden="1">{"Estimated Proforma",#N/A,TRUE,"Prelim. Proforma";"Sales and Marketing Budget",#N/A,TRUE,"S&amp;M Budget";"Summary Cash Flow Grid",#N/A,TRUE,"Cash Flow Grid";"Detail Project Cash Flow",#N/A,TRUE,"Cash Flow Grid";"Financing Calculation",#N/A,TRUE,"Cash Flow Grid";"Cash Flow Graph",#N/A,TRUE,"Cash Flow Graphic";"Final Proforma",#N/A,TRUE,"Final Proforma"}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qws" hidden="1">{#N/A,#N/A,FALSE,"Chart 2 by Prop Type"}</definedName>
    <definedName name="r.CashFlow" hidden="1">#REF!</definedName>
    <definedName name="r.Leverage" hidden="1">#REF!</definedName>
    <definedName name="r.Liquidity" hidden="1">#REF!</definedName>
    <definedName name="r.LTM" hidden="1">#REF!</definedName>
    <definedName name="r.LTMInterim" hidden="1">#REF!</definedName>
    <definedName name="r.Market" hidden="1">#REF!</definedName>
    <definedName name="r.Profitability" hidden="1">#REF!</definedName>
    <definedName name="R.SMBC" hidden="1">{"Analysis of Non Group Investments",#N/A,TRUE,"Support";"Income And Gains",#N/A,TRUE,"Support";"Inter Coy Interest and Divs",#N/A,TRUE,"Support";"Divs paid and payable",#N/A,TRUE,"Support";"Amounts due to Group Coys",#N/A,TRUE,"Support";"Amounts due from Group Coys.",#N/A,TRUE,"Support";"Holdings In Group Coys",#N/A,TRUE,"Support";"Cash Flow",#N/A,TRUE,"Support";"Staff Nos.",#N/A,TRUE,"Support"}</definedName>
    <definedName name="r.Summary" hidden="1">#REF!</definedName>
    <definedName name="RAAAAA" hidden="1">{"CHART",#N/A,FALSE,"Arch Communications"}</definedName>
    <definedName name="radg" hidden="1">{"FCB_ALL",#N/A,FALSE,"FCB";"GREY_ALL",#N/A,FALSE,"GREY"}</definedName>
    <definedName name="Radnor" hidden="1">binary</definedName>
    <definedName name="RANGE">#N/A</definedName>
    <definedName name="Range_Control">#REF!</definedName>
    <definedName name="Rangecount">#REF!</definedName>
    <definedName name="RATES">#REF!</definedName>
    <definedName name="Rating" hidden="1">{"Assumptions",#N/A,FALSE,"input page";"1998",#N/A,FALSE,"1998";"1999",#N/A,FALSE,"1999";"2000",#N/A,FALSE,"2000";"2001",#N/A,FALSE,"2001"}</definedName>
    <definedName name="RBC" hidden="1">{#N/A,#N/A,FALSE,"ATW";#N/A,#N/A,FALSE,"DO";#N/A,#N/A,FALSE,"ESV";#N/A,#N/A,FALSE,"GLM";#N/A,#N/A,FALSE,"MRL";#N/A,#N/A,FALSE,"NE";#N/A,#N/A,FALSE,"PDE";#N/A,#N/A,FALSE,"FLC";#N/A,#N/A,FALSE,"RDC";#N/A,#N/A,FALSE,"SDC";#N/A,#N/A,FALSE,"RIG"}</definedName>
    <definedName name="RCArea" hidden="1">#REF!</definedName>
    <definedName name="RCIII" hidden="1">{"ba1",#N/A,TRUE,"B-A";"ba2",#N/A,TRUE,"B-A"}</definedName>
    <definedName name="RCT">#REF!</definedName>
    <definedName name="re" hidden="1">#REF!</definedName>
    <definedName name="Recycling">#REF!</definedName>
    <definedName name="RedefinePrintTableRange" hidden="1">#N/A</definedName>
    <definedName name="redo" hidden="1">{#N/A,#N/A,FALSE,"ACQ_GRAPHS";#N/A,#N/A,FALSE,"T_1 GRAPHS";#N/A,#N/A,FALSE,"T_2 GRAPHS";#N/A,#N/A,FALSE,"COMB_GRAPHS"}</definedName>
    <definedName name="REFI">#REF!</definedName>
    <definedName name="REFIcost">#REF!</definedName>
    <definedName name="refiPAYMENTtable">#REF!</definedName>
    <definedName name="RegionList" hidden="1">#REF!</definedName>
    <definedName name="regmult" hidden="1">#REF!</definedName>
    <definedName name="Regression" hidden="1">#REF!</definedName>
    <definedName name="RegY" hidden="1">#REF!</definedName>
    <definedName name="Rehab101">#REF!</definedName>
    <definedName name="Rehab102">#REF!</definedName>
    <definedName name="Rehab103">#REF!</definedName>
    <definedName name="Rehab104">#REF!</definedName>
    <definedName name="Rehab105">#REF!</definedName>
    <definedName name="Rehab106">#REF!</definedName>
    <definedName name="Rehab107">#REF!</definedName>
    <definedName name="Rehab108">#REF!</definedName>
    <definedName name="Rehab109">#REF!</definedName>
    <definedName name="Rehab110">#REF!</definedName>
    <definedName name="Rehab111">#REF!</definedName>
    <definedName name="Rehab112">#REF!</definedName>
    <definedName name="Rehab201">#REF!</definedName>
    <definedName name="Rehab202">#REF!</definedName>
    <definedName name="Rehab203">#REF!</definedName>
    <definedName name="Rehab204">#REF!</definedName>
    <definedName name="Rehab205">#REF!</definedName>
    <definedName name="Rehab206">#REF!</definedName>
    <definedName name="Rehab207">#REF!</definedName>
    <definedName name="Rehab208">#REF!</definedName>
    <definedName name="Rehab209">#REF!</definedName>
    <definedName name="Rehab210">#REF!</definedName>
    <definedName name="Rehab211">#REF!</definedName>
    <definedName name="Rehab212">#REF!</definedName>
    <definedName name="Reim" hidden="1">{#N/A,#N/A,FALSE,"SUMMARY 4a";#N/A,#N/A,FALSE,"GBA 4b";#N/A,#N/A,FALSE,"TENANT 4c";#N/A,#N/A,FALSE,"BUDGET DETAIL";#N/A,#N/A,FALSE,"PRO FORMA"}</definedName>
    <definedName name="rel" hidden="1">#REF!</definedName>
    <definedName name="rem" hidden="1">{"Assumptions",#N/A,FALSE,"input page";"1998",#N/A,FALSE,"1998";"1999",#N/A,FALSE,"1999";"2000",#N/A,FALSE,"2000";"2001",#N/A,FALSE,"2001"}</definedName>
    <definedName name="Remim" hidden="1">{#N/A,#N/A,FALSE,"Leasing 6A"}</definedName>
    <definedName name="remit_address">#REF!</definedName>
    <definedName name="ren" hidden="1">{"rec. of 310",#N/A,FALSE,"Resanal"}</definedName>
    <definedName name="RENT_DEL">#REF!</definedName>
    <definedName name="Rent_Raised">#REF!</definedName>
    <definedName name="RENT_ROLL">#REF!</definedName>
    <definedName name="Rent_Roll_Hdr">#REF!</definedName>
    <definedName name="RENT601" hidden="1">#REF!</definedName>
    <definedName name="RentalStartMonth">#REF!</definedName>
    <definedName name="RENTDATA">#REF!</definedName>
    <definedName name="RentInc01">#REF!</definedName>
    <definedName name="RentInc02">#REF!</definedName>
    <definedName name="RentInc03">#REF!</definedName>
    <definedName name="RentInc04">#REF!</definedName>
    <definedName name="RentInc05">#REF!</definedName>
    <definedName name="RentInc06">#REF!</definedName>
    <definedName name="RentInc07">#REF!</definedName>
    <definedName name="RentInc08">#REF!</definedName>
    <definedName name="RentInc09">#REF!</definedName>
    <definedName name="RentInc10">#REF!</definedName>
    <definedName name="RentInc11">#REF!</definedName>
    <definedName name="RentInc12">#REF!</definedName>
    <definedName name="RentInc13">#REF!</definedName>
    <definedName name="RentInc14">#REF!</definedName>
    <definedName name="RentInc15">#REF!</definedName>
    <definedName name="RentInc16">#REF!</definedName>
    <definedName name="RentInc17">#REF!</definedName>
    <definedName name="RentInc18">#REF!</definedName>
    <definedName name="RentInc19">#REF!</definedName>
    <definedName name="RentInc20">#REF!</definedName>
    <definedName name="RentInc21">#REF!</definedName>
    <definedName name="RentInc22">#REF!</definedName>
    <definedName name="Rentindex">#REF!</definedName>
    <definedName name="RENTPSF">#REF!</definedName>
    <definedName name="RentRoll">#REF!</definedName>
    <definedName name="report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_Tab.City">#REF!</definedName>
    <definedName name="Report_Tab.GenAdmin">#REF!</definedName>
    <definedName name="Report_Tab.GrossPotentialRents">#REF!</definedName>
    <definedName name="Report_Tab.Insurance">#REF!</definedName>
    <definedName name="Report_Tab.Maintenance">#REF!</definedName>
    <definedName name="Report_Tab.ManagementFee">#REF!</definedName>
    <definedName name="Report_Tab.Marketing">#REF!</definedName>
    <definedName name="Report_Tab.NCF">#REF!</definedName>
    <definedName name="Report_Tab.NetRentalIncome">#REF!</definedName>
    <definedName name="Report_Tab.NOI">#REF!</definedName>
    <definedName name="Report_Tab.OccupancyPct">#REF!</definedName>
    <definedName name="Report_Tab.OtherIncome">#REF!</definedName>
    <definedName name="Report_Tab.Payroll">#REF!</definedName>
    <definedName name="Report_Tab.Property_Name">#REF!</definedName>
    <definedName name="Report_Tab.ReplacementReserves">#REF!</definedName>
    <definedName name="Report_Tab.ReportData">#REF!</definedName>
    <definedName name="Report_Tab.ReportHeadersAndData">#REF!</definedName>
    <definedName name="Report_Tab.State">#REF!</definedName>
    <definedName name="Report_Tab.Taxes">#REF!</definedName>
    <definedName name="Report_Tab.Units">#REF!</definedName>
    <definedName name="Report_Tab.Utilities">#REF!</definedName>
    <definedName name="Report_Tab.WaterSewer">#REF!</definedName>
    <definedName name="Report_Version_4">"A1"</definedName>
    <definedName name="report1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Group" hidden="1">0</definedName>
    <definedName name="Reserved">#REF!</definedName>
    <definedName name="Residents">#REF!</definedName>
    <definedName name="Residu" hidden="1">{#N/A,#N/A,TRUE,"Summary";"AnnualRentRoll",#N/A,TRUE,"RentRoll";#N/A,#N/A,TRUE,"ExitStratigy";#N/A,#N/A,TRUE,"OperatingAssumptions"}</definedName>
    <definedName name="ResidualCFPercent">#REF!</definedName>
    <definedName name="ResidualPSF">#REF!</definedName>
    <definedName name="resort" hidden="1">{"Output-3Column",#N/A,FALSE,"Output"}</definedName>
    <definedName name="RESTART">#REF!</definedName>
    <definedName name="RESULTS">#REF!</definedName>
    <definedName name="RESULTS02">#REF!</definedName>
    <definedName name="RET_SF">#REF!</definedName>
    <definedName name="retail" hidden="1">#REF!</definedName>
    <definedName name="retewr" hidden="1">#REF!</definedName>
    <definedName name="retha" hidden="1">#REF!</definedName>
    <definedName name="retl" hidden="1">#REF!</definedName>
    <definedName name="REV_1">#REF!</definedName>
    <definedName name="REV_2">#REF!</definedName>
    <definedName name="REV_3">#REF!</definedName>
    <definedName name="REV_NOI">#REF!</definedName>
    <definedName name="REV_NOI_3">#REF!</definedName>
    <definedName name="Revenue_Category_1">#REF!</definedName>
    <definedName name="Revenue_Category_2">#REF!</definedName>
    <definedName name="Revenue_Category_3">#REF!</definedName>
    <definedName name="Revenue_Category_4">#REF!</definedName>
    <definedName name="Revenue_Category_5">#REF!</definedName>
    <definedName name="Revenue_Category_6">#REF!</definedName>
    <definedName name="Revenue_Category_7">#REF!</definedName>
    <definedName name="Revenue_Category_8">#REF!</definedName>
    <definedName name="Revenue_Dummy_Data" hidden="1">OFFSET(#REF!,0,0,COUNTA(#REF!)-1,1)</definedName>
    <definedName name="revenues">#REF!</definedName>
    <definedName name="reversion">#REF!</definedName>
    <definedName name="rez" hidden="1">{#N/A,#N/A,FALSE,"Sheet39";#N/A,#N/A,FALSE,"Sheet40";#N/A,#N/A,FALSE,"Sheet38";#N/A,#N/A,FALSE,"Sheet37";#N/A,#N/A,FALSE,"Sheet31";#N/A,#N/A,FALSE,"Sheet36";#N/A,#N/A,FALSE,"Sheet35";#N/A,#N/A,FALSE,"Sheet34";#N/A,#N/A,FALSE,"Sheet33";#N/A,#N/A,FALSE,"Sheet32";#N/A,#N/A,FALSE,"Sheet31";#N/A,#N/A,FALSE,"Sheet29";#N/A,#N/A,FALSE,"Sheet30";#N/A,#N/A,FALSE,"Sheet28";#N/A,#N/A,FALSE,"Sheet27";#N/A,#N/A,FALSE,"Sheet26";#N/A,#N/A,FALSE,"Sheet25";#N/A,#N/A,FALSE,"Sheet20";#N/A,#N/A,FALSE,"Sheet19";#N/A,#N/A,FALSE,"Sheet18";#N/A,#N/A,FALSE,"Sheet17";#N/A,#N/A,FALSE,"Sheet16";#N/A,#N/A,FALSE,"Sheet15";#N/A,#N/A,FALSE,"Sheet14";#N/A,#N/A,FALSE,"Sheet13";#N/A,#N/A,FALSE,"Sheet12";#N/A,#N/A,FALSE,"Sheet11";#N/A,#N/A,FALSE,"Sheet8";#N/A,#N/A,FALSE,"Sheet7";#N/A,#N/A,FALSE,"Sheet6";#N/A,#N/A,FALSE,"Sheet5";#N/A,#N/A,FALSE,"Sheet4";#N/A,#N/A,FALSE,"Sheet3";#N/A,#N/A,FALSE,"Sheet2";#N/A,#N/A,FALSE,"Sheet1"}</definedName>
    <definedName name="reza" hidden="1">{#N/A,#N/A,FALSE,"BALLY COSTS";#N/A,#N/A,FALSE,"FF&amp;E";#N/A,#N/A,FALSE,"FEES";#N/A,#N/A,FALSE,"CONTINGENCY";#N/A,#N/A,FALSE,"SOFT COSTS";#N/A,#N/A,FALSE,"DETAIL";#N/A,#N/A,FALSE,"sum12-3"}</definedName>
    <definedName name="rezab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REZTEZRT" hidden="1">#REF!</definedName>
    <definedName name="rgdhgsrt" hidden="1">{"Assump",#N/A,TRUE,"Proforma";"first",#N/A,TRUE,"Proforma";"second",#N/A,TRUE,"Proforma";"lease1",#N/A,TRUE,"Proforma";"lease2",#N/A,TRUE,"Proforma"}</definedName>
    <definedName name="rgdr" hidden="1">#REF!</definedName>
    <definedName name="rgerg" hidden="1">{"Investor",#N/A,FALSE,"Model";"Property",#N/A,FALSE,"Model";"Incentive Taxes",#N/A,FALSE,"Model"}</definedName>
    <definedName name="rget" hidden="1">{0,0,0,0}</definedName>
    <definedName name="rgr" hidden="1">{"ReportTop",#N/A,FALSE,"report top"}</definedName>
    <definedName name="right" hidden="1">{"CHART",#N/A,FALSE,"Arch Communications"}</definedName>
    <definedName name="RiskAfterRecalcMacro" hidden="1">""</definedName>
    <definedName name="RiskAfterSimMacro" hidden="1">""</definedName>
    <definedName name="riskATSTbaselineRequested">TRUE</definedName>
    <definedName name="riskATSTboxGraph">TRUE</definedName>
    <definedName name="riskATSTcomparisonGraph">TRUE</definedName>
    <definedName name="riskATSThistogramGraph">FALSE</definedName>
    <definedName name="riskATSToutputStatistic">4</definedName>
    <definedName name="riskATSTprintReport">FALSE</definedName>
    <definedName name="riskATSTreportsInActiveBook">FALSE</definedName>
    <definedName name="riskATSTreportsSelected">TRUE</definedName>
    <definedName name="riskATSTsequentialStress">TRUE</definedName>
    <definedName name="riskATSTsummaryReport">TRUE</definedName>
    <definedName name="RiskAutoStopPercChange">1.5</definedName>
    <definedName name="RiskBeforeRecalcMacro" hidden="1">""</definedName>
    <definedName name="RiskBeforeSimMacro" hidden="1">""</definedName>
    <definedName name="RiskCollectDistributionSamples">2</definedName>
    <definedName name="RiskExcelReportsGoInNewWorkbook">TRUE</definedName>
    <definedName name="RiskExcelReportsToGenerate">6145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MonitorConvergence">FALSE</definedName>
    <definedName name="RiskMultipleCPUSupportEnabled" hidden="1">TRUE</definedName>
    <definedName name="RiskNumIterations">5000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1</definedName>
    <definedName name="RiskTemplateSheetName">"myTemplate"</definedName>
    <definedName name="RiskUpdateDisplay">FALSE</definedName>
    <definedName name="RiskUseDifferentSeedForEachSim">FALSE</definedName>
    <definedName name="RiskUseFixedSeed">FALSE</definedName>
    <definedName name="RiskUseMultipleCPUs">FALSE</definedName>
    <definedName name="Riverway" hidden="1">{"Table of Contents",#N/A,FALSE,"Table of Contents";"Assumptions Checklist",#N/A,FALSE,"Projected Acq_Dis";"Yearly Assumptions",#N/A,FALSE,"Other Assumptions";"Annual Summary",#N/A,FALSE,"Summary";"1999 by Quarter Summary",#N/A,FALSE,"Summary";"2000 by Quarter Summary",#N/A,FALSE,"Summary";"Contribution to FFO",#N/A,FALSE,"CONT SUMMARY";"Contribution to FFO-Acq. &amp; Disp.",#N/A,FALSE,"CONT SUMMARY";"Contribution to FFO-Developments",#N/A,FALSE,"CONT SUMMARY";"Pivot Table Pro-Forma",#N/A,FALSE,"Pivot Table Proforma";"Pivot Table-Dispositions",#N/A,FALSE,"Pivot Table Dispositions";"Development Cash Flows",#N/A,FALSE,"Development Cash Flows";"Income from JVs",#N/A,FALSE,"Income from JV's";"Fee Income",#N/A,FALSE,"Fees noncombined affiliates";"Interest Income",#N/A,FALSE,"Interest Income";"Unsecured Debentures",#N/A,FALSE,"Unsecured Debentures";"secured interest",#N/A,FALSE,"Secured Existing Interest Pivot";"Extended Secured Debt",#N/A,FALSE,"Extended Secured Debt";"Capitalized Interest",#N/A,FALSE,"Capitalized Interest";"Secured Existing Debt",#N/A,FALSE,"Secured Existing Debt";"Secured Debt-Refinanced",#N/A,FALSE,"Secured Debt Refinanced";"principal payments",#N/A,FALSE,"Secured PrincPay Pivot";"Covenant Ratios",#N/A,FALSE,"Covenant Ratios";"Covenant Calculation",#N/A,FALSE,"Covenant Calculations";"Margins",#N/A,FALSE,"Margins";"GAAP to TAX",#N/A,FALSE,"GAAP to TAX";"Net Free CF-Paydown",#N/A,FALSE,"Net Free CF Revolver Paydown";"CAPX",#N/A,FALSE,"CAP X";"Balance Sheet",#N/A,FALSE,"Balance Sheet";"BSA99",#N/A,FALSE,"Balance Sheet Analysis";"BSA2000",#N/A,FALSE,"Balance Sheet Analysis";"BSA2001",#N/A,FALSE,"Balance Sheet Analysis";"Unencumbered Portfolio",#N/A,FALSE,"Unencumbered Portfolio "}</definedName>
    <definedName name="RLAINPUT_DebtLoan1CapEx" hidden="1">#REF!</definedName>
    <definedName name="RLAINPUT_DebtLoan1Funding" hidden="1">#REF!,#REF!,#REF!</definedName>
    <definedName name="RLAINPUT_DebtLoan1Gen1" hidden="1">#REF!</definedName>
    <definedName name="RLAINPUT_DebtLoan1Gen2" hidden="1">#REF!</definedName>
    <definedName name="RLAINPUT_DebtLoan1Payment" hidden="1">#REF!</definedName>
    <definedName name="RLAINPUT_DebtLoan2CapEx" hidden="1">#REF!</definedName>
    <definedName name="RLAINPUT_DebtLoan2Funding" hidden="1">#REF!,#REF!,#REF!</definedName>
    <definedName name="RLAINPUT_DebtLoan2Gen1" hidden="1">#REF!</definedName>
    <definedName name="RLAINPUT_DebtLoan2Gen2" hidden="1">#REF!</definedName>
    <definedName name="RLAINPUT_DebtLoan2Payment" hidden="1">#REF!</definedName>
    <definedName name="RLAINPUT_DebtLoan3CapEx" hidden="1">#REF!</definedName>
    <definedName name="RLAINPUT_DebtLoan3Funding" hidden="1">#REF!,#REF!,#REF!</definedName>
    <definedName name="RLAINPUT_DebtLoan3Gen1" hidden="1">#REF!</definedName>
    <definedName name="RLAINPUT_DebtLoan3Gen2" hidden="1">#REF!</definedName>
    <definedName name="RLAINPUT_DebtLoan3Payment" hidden="1">#REF!</definedName>
    <definedName name="RLAINPUT_DebtRateIndex" hidden="1">#REF!</definedName>
    <definedName name="RLAINPUT_EquityCatchUp1" hidden="1">#REF!,#REF!</definedName>
    <definedName name="RLAINPUT_EquityCatchUp2" hidden="1">#REF!,#REF!</definedName>
    <definedName name="RLAINPUT_EquityCatchUp3" hidden="1">#REF!,#REF!</definedName>
    <definedName name="RLAINPUT_EquityInputs" hidden="1">#REF!,#REF!,#REF!</definedName>
    <definedName name="RLAINPUT_EquityPartnerNames" hidden="1">#REF!,#REF!</definedName>
    <definedName name="RLAINPUT_EquityPercent" hidden="1">#REF!</definedName>
    <definedName name="RLAINPUT_EquityRemainder" hidden="1">#REF!,#REF!</definedName>
    <definedName name="RLAINPUT_EquityTier1" hidden="1">#REF!,#REF!</definedName>
    <definedName name="RLAINPUT_EquityTier2" hidden="1">#REF!,#REF!,#REF!</definedName>
    <definedName name="RLAINPUT_EquityTier3" hidden="1">#REF!,#REF!,#REF!</definedName>
    <definedName name="RLAINPUT_InPlaceRecovery" hidden="1">#REF!</definedName>
    <definedName name="RLAINPUT_Loan3Refi" hidden="1">#REF!,#REF!,#REF!</definedName>
    <definedName name="RLAINPUT_PortfolioInputs" hidden="1">#REF!</definedName>
    <definedName name="RLAINPUT_PortfolioPropertyInputs" hidden="1">#REF!</definedName>
    <definedName name="RM_Corrected?">TRUE</definedName>
    <definedName name="rngCommunity">#REF!</definedName>
    <definedName name="Rnt_Lse">#REF!</definedName>
    <definedName name="Rnt_Mkt">#REF!</definedName>
    <definedName name="Rnt_Unit_Mo">#REF!</definedName>
    <definedName name="Rnt_Var">#REF!</definedName>
    <definedName name="Rock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ockwell" hidden="1">{"LBO Summary",#N/A,FALSE,"Summary"}</definedName>
    <definedName name="Rollfile">#REF!</definedName>
    <definedName name="rollingEQUITYvalue">#REF!</definedName>
    <definedName name="RollingNPV">#REF!</definedName>
    <definedName name="Rooms">#REF!</definedName>
    <definedName name="RootDir">#REF!</definedName>
    <definedName name="ROWS">#REF!</definedName>
    <definedName name="rozp" hidden="1">{#N/A,#N/A,TRUE,"Krycí list"}</definedName>
    <definedName name="rozpp" hidden="1">{#N/A,#N/A,TRUE,"Krycí list"}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_Date">#REF!</definedName>
    <definedName name="rrg" hidden="1">#REF!</definedName>
    <definedName name="RRoll_Data">#REF!</definedName>
    <definedName name="RRoll_Vac_Calc">#REF!</definedName>
    <definedName name="RRoll_Vac_Data">#REF!</definedName>
    <definedName name="rrr" hidden="1">{#N/A,#N/A,FALSE,"ExecutiveSummary";#N/A,#N/A,FALSE,"CostDetail";#N/A,#N/A,FALSE,"IncomeDetail"}</definedName>
    <definedName name="rrrr" hidden="1">#N/A</definedName>
    <definedName name="rs" hidden="1">{"FCB_ALL",#N/A,FALSE,"FCB"}</definedName>
    <definedName name="rse" hidden="1">{"FCB_ALL",#N/A,FALSE,"FCB"}</definedName>
    <definedName name="RSF">#REF!</definedName>
    <definedName name="rt" hidden="1">#REF!</definedName>
    <definedName name="rtartg" hidden="1">#REF!</definedName>
    <definedName name="rtha" hidden="1">#REF!</definedName>
    <definedName name="rther" hidden="1">{"Investor",#N/A,FALSE,"Model";"Property",#N/A,FALSE,"Model";"Incentive Taxes",#N/A,FALSE,"Model"}</definedName>
    <definedName name="rthsrth" hidden="1">#REF!</definedName>
    <definedName name="rtl" hidden="1">#REF!</definedName>
    <definedName name="rtxfdgth" hidden="1">#REF!</definedName>
    <definedName name="rtyr" hidden="1">{"sheet a",#N/A,FALSE,"A";"sheet b 1",#N/A,FALSE,"B";"sheet b 2",#N/A,FALSE,"B"}</definedName>
    <definedName name="RUT">#REF!</definedName>
    <definedName name="RW_INFO_1">#REF!</definedName>
    <definedName name="rwe" hidden="1">{"Grant",#N/A,FALSE,"Grant";"GP Developer",#N/A,FALSE,"GP &amp; Dev Loans";"Operating Analysis",#N/A,FALSE,"Operations";"Tax Credit",#N/A,FALSE,"Tax Credits";"Tax Credit Analysis",#N/A,FALSE,"TC Analysis"}</definedName>
    <definedName name="Rwvu._Current_." hidden="1">#REF!</definedName>
    <definedName name="Rwvu.ALL." hidden="1">#REF!,#REF!</definedName>
    <definedName name="Rwvu.CAM._.RATES." hidden="1">#REF!,#REF!,#REF!</definedName>
    <definedName name="Rwvu.CAM._.RECOVERIES." hidden="1">#REF!,#REF!,#REF!</definedName>
    <definedName name="Rwvu.CAM._.RECOVERY." hidden="1">#REF!,#REF!,#REF!</definedName>
    <definedName name="Rwvu.CAM._.TABLE." hidden="1">#REF!,#REF!,#REF!</definedName>
    <definedName name="Rwvu.FRP_backlog2." hidden="1">#REF!</definedName>
    <definedName name="Rwvu.INSURANCE._.RECOVERIES." hidden="1">#REF!,#REF!,#REF!,#REF!</definedName>
    <definedName name="Rwvu.LSMEET." hidden="1">#REF!,#REF!,#REF!,#REF!</definedName>
    <definedName name="Rwvu.MARKETING._.REVENUE." hidden="1">#REF!,#REF!,#REF!</definedName>
    <definedName name="Rwvu.MINIMUM._.RENT." hidden="1">#REF!,#REF!</definedName>
    <definedName name="Rwvu.OCCUPANCY." hidden="1">#REF!,#REF!,#REF!</definedName>
    <definedName name="Rwvu.OCCUPANCY._.ANALYSIS." hidden="1">#REF!,#REF!,#REF!</definedName>
    <definedName name="Rwvu.Overhead._.detail." hidden="1">#REF!,#REF!</definedName>
    <definedName name="Rwvu.PERCENTAGE._.RENT." hidden="1">#REF!,#REF!,#REF!</definedName>
    <definedName name="Rwvu.Profit._.report._.detailed." hidden="1">#REF!,#REF!</definedName>
    <definedName name="Rwvu.Sommaire." hidden="1">#REF!,#REF!,#REF!,#REF!,#REF!</definedName>
    <definedName name="Rwvu.TAX._.RATES." hidden="1">#REF!,#REF!,#REF!</definedName>
    <definedName name="Rwvu.TAX._.RECOVERIES." hidden="1">#REF!,#REF!,#REF!,#REF!</definedName>
    <definedName name="Rwvu.TAX._.RECOVERY." hidden="1">#REF!,#REF!,#REF!</definedName>
    <definedName name="Rwvu.WAT." hidden="1">#REF!</definedName>
    <definedName name="ryui" hidden="1">{0,#N/A,FALSE,0}</definedName>
    <definedName name="s" hidden="1">#REF!</definedName>
    <definedName name="s_old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sa" hidden="1">{"cap_structure",#N/A,FALSE,"Graph-Mkt Cap";"price",#N/A,FALSE,"Graph-Price";"ebit",#N/A,FALSE,"Graph-EBITDA";"ebitda",#N/A,FALSE,"Graph-EBITDA"}</definedName>
    <definedName name="saa" hidden="1">{"rtn",#N/A,FALSE,"RTN";"tables",#N/A,FALSE,"RTN";"cf",#N/A,FALSE,"CF";"stats",#N/A,FALSE,"Stats";"prop",#N/A,FALSE,"Prop"}</definedName>
    <definedName name="saa_1" hidden="1">{"rtn",#N/A,FALSE,"RTN";"tables",#N/A,FALSE,"RTN";"cf",#N/A,FALSE,"CF";"stats",#N/A,FALSE,"Stats";"prop",#N/A,FALSE,"Prop"}</definedName>
    <definedName name="saa_2" hidden="1">{"rtn",#N/A,FALSE,"RTN";"tables",#N/A,FALSE,"RTN";"cf",#N/A,FALSE,"CF";"stats",#N/A,FALSE,"Stats";"prop",#N/A,FALSE,"Prop"}</definedName>
    <definedName name="saa_3" hidden="1">{"rtn",#N/A,FALSE,"RTN";"tables",#N/A,FALSE,"RTN";"cf",#N/A,FALSE,"CF";"stats",#N/A,FALSE,"Stats";"prop",#N/A,FALSE,"Prop"}</definedName>
    <definedName name="saa_4" hidden="1">{"rtn",#N/A,FALSE,"RTN";"tables",#N/A,FALSE,"RTN";"cf",#N/A,FALSE,"CF";"stats",#N/A,FALSE,"Stats";"prop",#N/A,FALSE,"Prop"}</definedName>
    <definedName name="sadasd" hidden="1">#REF!</definedName>
    <definedName name="sadd" hidden="1">{"MonthlyRentRoll",#N/A,FALSE,"RentRoll"}</definedName>
    <definedName name="sadd_1" hidden="1">{"MonthlyRentRoll",#N/A,FALSE,"RentRoll"}</definedName>
    <definedName name="sadd_2" hidden="1">{"MonthlyRentRoll",#N/A,FALSE,"RentRoll"}</definedName>
    <definedName name="sadd_3" hidden="1">{"MonthlyRentRoll",#N/A,FALSE,"RentRoll"}</definedName>
    <definedName name="sadd_4" hidden="1">{"MonthlyRentRoll",#N/A,FALSE,"RentRoll"}</definedName>
    <definedName name="sadd1" hidden="1">{"MonthlyRentRoll",#N/A,FALSE,"RentRoll"}</definedName>
    <definedName name="sadd2" hidden="1">{"MonthlyRentRoll",#N/A,FALSE,"RentRoll"}</definedName>
    <definedName name="sadd2_1" hidden="1">{"MonthlyRentRoll",#N/A,FALSE,"RentRoll"}</definedName>
    <definedName name="sadd2_2" hidden="1">{"MonthlyRentRoll",#N/A,FALSE,"RentRoll"}</definedName>
    <definedName name="sadd2_3" hidden="1">{"MonthlyRentRoll",#N/A,FALSE,"RentRoll"}</definedName>
    <definedName name="sadd2_4" hidden="1">{"MonthlyRentRoll",#N/A,FALSE,"RentRoll"}</definedName>
    <definedName name="sadd22" hidden="1">{"MonthlyRentRoll",#N/A,FALSE,"RentRoll"}</definedName>
    <definedName name="saddd" hidden="1">{"AnnualRentRoll",#N/A,FALSE,"RentRoll"}</definedName>
    <definedName name="saddd_1" hidden="1">{"AnnualRentRoll",#N/A,FALSE,"RentRoll"}</definedName>
    <definedName name="saddd_2" hidden="1">{"AnnualRentRoll",#N/A,FALSE,"RentRoll"}</definedName>
    <definedName name="saddd_3" hidden="1">{"AnnualRentRoll",#N/A,FALSE,"RentRoll"}</definedName>
    <definedName name="saddd_4" hidden="1">{"AnnualRentRoll",#N/A,FALSE,"RentRoll"}</definedName>
    <definedName name="saddd2" hidden="1">{"AnnualRentRoll",#N/A,FALSE,"RentRoll"}</definedName>
    <definedName name="saddd2_1" hidden="1">{"AnnualRentRoll",#N/A,FALSE,"RentRoll"}</definedName>
    <definedName name="saddd2_2" hidden="1">{"AnnualRentRoll",#N/A,FALSE,"RentRoll"}</definedName>
    <definedName name="saddd2_3" hidden="1">{"AnnualRentRoll",#N/A,FALSE,"RentRoll"}</definedName>
    <definedName name="saddd2_4" hidden="1">{"AnnualRentRoll",#N/A,FALSE,"RentRoll"}</definedName>
    <definedName name="sadddd2" hidden="1">{"AnnualRentRoll",#N/A,FALSE,"RentRoll"}</definedName>
    <definedName name="sadddd2_1" hidden="1">{"AnnualRentRoll",#N/A,FALSE,"RentRoll"}</definedName>
    <definedName name="sadddd2_2" hidden="1">{"AnnualRentRoll",#N/A,FALSE,"RentRoll"}</definedName>
    <definedName name="sadddd2_3" hidden="1">{"AnnualRentRoll",#N/A,FALSE,"RentRoll"}</definedName>
    <definedName name="sadddd2_4" hidden="1">{"AnnualRentRoll",#N/A,FALSE,"RentRoll"}</definedName>
    <definedName name="saddddd" hidden="1">{"AnnualRentRoll",#N/A,FALSE,"RentRoll"}</definedName>
    <definedName name="saddddd_1" hidden="1">{"AnnualRentRoll",#N/A,FALSE,"RentRoll"}</definedName>
    <definedName name="saddddd_2" hidden="1">{"AnnualRentRoll",#N/A,FALSE,"RentRoll"}</definedName>
    <definedName name="saddddd_3" hidden="1">{"AnnualRentRoll",#N/A,FALSE,"RentRoll"}</definedName>
    <definedName name="saddddd_4" hidden="1">{"AnnualRentRoll",#N/A,FALSE,"RentRoll"}</definedName>
    <definedName name="saddddddd2" hidden="1">{#N/A,#N/A,FALSE,"ExitStratigy"}</definedName>
    <definedName name="saddddddd2_1" hidden="1">{#N/A,#N/A,FALSE,"ExitStratigy"}</definedName>
    <definedName name="saddddddd2_2" hidden="1">{#N/A,#N/A,FALSE,"ExitStratigy"}</definedName>
    <definedName name="saddddddd2_3" hidden="1">{#N/A,#N/A,FALSE,"ExitStratigy"}</definedName>
    <definedName name="saddddddd2_4" hidden="1">{#N/A,#N/A,FALSE,"ExitStratigy"}</definedName>
    <definedName name="sadddddddd" hidden="1">{#N/A,#N/A,FALSE,"ExitStratigy"}</definedName>
    <definedName name="sadddddddd_1" hidden="1">{#N/A,#N/A,FALSE,"ExitStratigy"}</definedName>
    <definedName name="sadddddddd_2" hidden="1">{#N/A,#N/A,FALSE,"ExitStratigy"}</definedName>
    <definedName name="sadddddddd_3" hidden="1">{#N/A,#N/A,FALSE,"ExitStratigy"}</definedName>
    <definedName name="sadddddddd_4" hidden="1">{#N/A,#N/A,FALSE,"ExitStratigy"}</definedName>
    <definedName name="saddddddddd2" hidden="1">{#N/A,#N/A,FALSE,"LoanAssumptions"}</definedName>
    <definedName name="saddddddddd2_1" hidden="1">{#N/A,#N/A,FALSE,"LoanAssumptions"}</definedName>
    <definedName name="saddddddddd2_2" hidden="1">{#N/A,#N/A,FALSE,"LoanAssumptions"}</definedName>
    <definedName name="saddddddddd2_3" hidden="1">{#N/A,#N/A,FALSE,"LoanAssumptions"}</definedName>
    <definedName name="saddddddddd2_4" hidden="1">{#N/A,#N/A,FALSE,"LoanAssumptions"}</definedName>
    <definedName name="sadddddddddd" hidden="1">{#N/A,#N/A,FALSE,"LoanAssumptions"}</definedName>
    <definedName name="sadddddddddd_1" hidden="1">{#N/A,#N/A,FALSE,"LoanAssumptions"}</definedName>
    <definedName name="sadddddddddd_2" hidden="1">{#N/A,#N/A,FALSE,"LoanAssumptions"}</definedName>
    <definedName name="sadddddddddd_3" hidden="1">{#N/A,#N/A,FALSE,"LoanAssumptions"}</definedName>
    <definedName name="sadddddddddd_4" hidden="1">{#N/A,#N/A,FALSE,"LoanAssumptions"}</definedName>
    <definedName name="saddddddddddd2" hidden="1">{#N/A,#N/A,FALSE,"OperatingAssumptions"}</definedName>
    <definedName name="saddddddddddd2_1" hidden="1">{#N/A,#N/A,FALSE,"OperatingAssumptions"}</definedName>
    <definedName name="saddddddddddd2_2" hidden="1">{#N/A,#N/A,FALSE,"OperatingAssumptions"}</definedName>
    <definedName name="saddddddddddd2_3" hidden="1">{#N/A,#N/A,FALSE,"OperatingAssumptions"}</definedName>
    <definedName name="saddddddddddd2_4" hidden="1">{#N/A,#N/A,FALSE,"OperatingAssumptions"}</definedName>
    <definedName name="saddddddddddddd" hidden="1">{#N/A,#N/A,FALSE,"OperatingAssumptions"}</definedName>
    <definedName name="saddddddddddddd_1" hidden="1">{#N/A,#N/A,FALSE,"OperatingAssumptions"}</definedName>
    <definedName name="saddddddddddddd_2" hidden="1">{#N/A,#N/A,FALSE,"OperatingAssumptions"}</definedName>
    <definedName name="saddddddddddddd_3" hidden="1">{#N/A,#N/A,FALSE,"OperatingAssumptions"}</definedName>
    <definedName name="saddddddddddddd_4" hidden="1">{#N/A,#N/A,FALSE,"OperatingAssumptions"}</definedName>
    <definedName name="sadfs" hidden="1">{"Const_Monthly",#N/A,FALSE,"Construction";"Construction_Summary",#N/A,FALSE,"Construction";"Cash_Flow",#N/A,FALSE,"Cash Flow";"Summary",#N/A,FALSE,"Summary";"Finsumm",#N/A,FALSE,"Summary Analysis";"Loanrecap",#N/A,FALSE,"Construction"}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dfz" hidden="1">{0,#N/A,FALSE,0;0,#N/A,FALSE,0}</definedName>
    <definedName name="sadgsdffsd" hidden="1">{#N/A,#N/A,FALSE,"Consolidated";#N/A,#N/A,FALSE,"Available Credit";#N/A,#N/A,FALSE,"100% Owned";#N/A,#N/A,FALSE,"Bentall U.S. LLC";#N/A,#N/A,FALSE,"Bentall Properties (U.S.) Ltd.";#N/A,#N/A,FALSE,"Schedule I"}</definedName>
    <definedName name="sadsadsa" hidden="1">{"'Assump'!$F$6:$J$6"}</definedName>
    <definedName name="saery" hidden="1">{"Investor",#N/A,FALSE,"Model";"Property",#N/A,FALSE,"Model";"Incentive Taxes",#N/A,FALSE,"Model"}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LARY">#REF!</definedName>
    <definedName name="SALARYPRINT">#REF!</definedName>
    <definedName name="Sale">#REF!</definedName>
    <definedName name="SALE_CAP">#REF!</definedName>
    <definedName name="Sale_CapRate">#REF!</definedName>
    <definedName name="Sale_Exp">#REF!</definedName>
    <definedName name="Sale_Mo">#REF!</definedName>
    <definedName name="SALE_YEAR">#REF!</definedName>
    <definedName name="SaleCost">#REF!</definedName>
    <definedName name="salecosts">#REF!</definedName>
    <definedName name="SaleDate">#REF!</definedName>
    <definedName name="SALEPRICE01">#REF!</definedName>
    <definedName name="Sales_Cost">#REF!</definedName>
    <definedName name="Sales_Price">#REF!</definedName>
    <definedName name="Sales_Proceeds_after_Debt">#REF!</definedName>
    <definedName name="SalesCost">#REF!</definedName>
    <definedName name="sam" hidden="1">{"Full Gross to Net",#N/A,TRUE,"GtoN";"R_I Accepted from Group Coys",#N/A,TRUE,"GtoN";"R_I Ceded to Group Coys",#N/A,TRUE,"GtoN";"Closing Loss Reserves and Gross Claims Incurred",#N/A,TRUE,"GtoN"}</definedName>
    <definedName name="SAPBEXdnldView" hidden="1">"CT2YB164SH65T9MQ85IJ9K1BH"</definedName>
    <definedName name="SAPBEXhrIndnt" hidden="1">1</definedName>
    <definedName name="SAPBEXrevision" hidden="1">1</definedName>
    <definedName name="SAPBEXsysID" hidden="1">"BWP"</definedName>
    <definedName name="SAPBEXwbID" hidden="1">"97TGO3MUQQJKGLDFZCKVCYHCU"</definedName>
    <definedName name="sas" hidden="1">{"Outflow 1",#N/A,FALSE,"Outflows-Inflows";"Outflow 2",#N/A,FALSE,"Outflows-Inflows";"Inflow 1",#N/A,FALSE,"Outflows-Inflows";"Inflow 2",#N/A,FALSE,"Outflows-Inflows"}</definedName>
    <definedName name="sas_1" hidden="1">{"Outflow 1",#N/A,FALSE,"Outflows-Inflows";"Outflow 2",#N/A,FALSE,"Outflows-Inflows";"Inflow 1",#N/A,FALSE,"Outflows-Inflows";"Inflow 2",#N/A,FALSE,"Outflows-Inflows"}</definedName>
    <definedName name="sas_2" hidden="1">{"Outflow 1",#N/A,FALSE,"Outflows-Inflows";"Outflow 2",#N/A,FALSE,"Outflows-Inflows";"Inflow 1",#N/A,FALSE,"Outflows-Inflows";"Inflow 2",#N/A,FALSE,"Outflows-Inflows"}</definedName>
    <definedName name="sas_3" hidden="1">{"Outflow 1",#N/A,FALSE,"Outflows-Inflows";"Outflow 2",#N/A,FALSE,"Outflows-Inflows";"Inflow 1",#N/A,FALSE,"Outflows-Inflows";"Inflow 2",#N/A,FALSE,"Outflows-Inflows"}</definedName>
    <definedName name="sas_4" hidden="1">{"Outflow 1",#N/A,FALSE,"Outflows-Inflows";"Outflow 2",#N/A,FALSE,"Outflows-Inflows";"Inflow 1",#N/A,FALSE,"Outflows-Inflows";"Inflow 2",#N/A,FALSE,"Outflows-Inflows"}</definedName>
    <definedName name="sasdfkj" hidden="1">{"FCB_ALL",#N/A,FALSE,"FCB"}</definedName>
    <definedName name="sbgsdgfgbb" hidden="1">#REF!</definedName>
    <definedName name="SC_Fill" hidden="1">#REF!</definedName>
    <definedName name="SC_Fill2" hidden="1">#REF!</definedName>
    <definedName name="scen_change" hidden="1">#REF!,#REF!,#REF!,#REF!,#REF!</definedName>
    <definedName name="scen_date1" hidden="1">34379.7786921296</definedName>
    <definedName name="scen_name1" hidden="1">"SOLV 1"</definedName>
    <definedName name="scen_num" hidden="1">1</definedName>
    <definedName name="scen_result" hidden="1">#REF!</definedName>
    <definedName name="scen_user1" hidden="1">"JEAN-LOUIS TORRES"</definedName>
    <definedName name="scen_value1" hidden="1">{"0,0525";"0";"0";"20";"0";"0,025";"7"}</definedName>
    <definedName name="scen1">#REF!</definedName>
    <definedName name="scen2">#REF!</definedName>
    <definedName name="scen3">#REF!</definedName>
    <definedName name="SCENARIO">#REF!</definedName>
    <definedName name="scenariocoverpage">#REF!</definedName>
    <definedName name="ScenarioNumber" hidden="1">#REF!</definedName>
    <definedName name="Sched_Pay">#REF!</definedName>
    <definedName name="Scheduled_Extra_Payments">#REF!</definedName>
    <definedName name="Scheduled_Monthly_Payment">#REF!</definedName>
    <definedName name="Schornsteinfeger">#REF!</definedName>
    <definedName name="scott" hidden="1">{#N/A,#N/A,TRUE,"Val - sum";#N/A,#N/A,TRUE,"Val - Sum1";#N/A,#N/A,TRUE,"Val - sum2";#N/A,#N/A,TRUE,"Val - Sum3";#N/A,#N/A,TRUE,"Tar-DCF";#N/A,#N/A,TRUE,"Tar-Val LBO";#N/A,#N/A,TRUE,"Tar-Mult Val"}</definedName>
    <definedName name="scottsdaleAP" hidden="1">#REF!</definedName>
    <definedName name="sd" hidden="1">{"Assump",#N/A,TRUE,"Proforma";"first",#N/A,TRUE,"Proforma";"second",#N/A,TRUE,"Proforma";"lease1",#N/A,TRUE,"Proforma";"lease2",#N/A,TRUE,"Proforma"}</definedName>
    <definedName name="SD_1x1_11x1_3_G_9003" hidden="1">#REF!</definedName>
    <definedName name="SD_1x1_2_G_0" hidden="1">#REF!</definedName>
    <definedName name="SD_1x1_3_G_0" hidden="1">#REF!</definedName>
    <definedName name="SD_1x1_62_G_0" hidden="1">#REF!</definedName>
    <definedName name="SD_1x1_6x1_1_B_9000" hidden="1">#REF!</definedName>
    <definedName name="SD_1x1_6x1_10_B_20" hidden="1">#REF!</definedName>
    <definedName name="SD_1x1_6x1_11_B_0" hidden="1">#REF!</definedName>
    <definedName name="SD_1x1_6x1_12_B_0" hidden="1">#REF!</definedName>
    <definedName name="SD_1x1_6x1_13_B_0" hidden="1">#REF!</definedName>
    <definedName name="SD_1x1_6x1_14_B_0" hidden="1">#REF!</definedName>
    <definedName name="SD_1x1_6x1_15_B_0" hidden="1">#REF!</definedName>
    <definedName name="SD_1x1_6x1_16_B_0" hidden="1">#REF!</definedName>
    <definedName name="SD_1x1_6x1_17_B_0" hidden="1">#REF!</definedName>
    <definedName name="SD_1x1_6x1_18_B_0" hidden="1">#REF!</definedName>
    <definedName name="SD_1x1_6x1_19_B_0" hidden="1">#REF!</definedName>
    <definedName name="SD_1x1_6x1_20_B_0" hidden="1">#REF!</definedName>
    <definedName name="SD_1x1_6x1_21_B_0" hidden="1">#REF!</definedName>
    <definedName name="SD_1x1_6x1_22_B_0" hidden="1">#REF!</definedName>
    <definedName name="SD_1x1_6x1_25_B_0" hidden="1">#REF!</definedName>
    <definedName name="SD_1x1_6x1_3_B_0" hidden="1">#REF!</definedName>
    <definedName name="SD_1x1_6x1_4_B_0" hidden="1">#REF!</definedName>
    <definedName name="SD_1x1_6x1_5_B_0" hidden="1">#REF!</definedName>
    <definedName name="SD_1x1_6x1_6_B_0" hidden="1">#REF!</definedName>
    <definedName name="SD_1x1_6x1_7_B_14" hidden="1">#REF!</definedName>
    <definedName name="SD_1x1_6x1_8_B_11" hidden="1">#REF!</definedName>
    <definedName name="SD_1x1_6x1_9_B_0" hidden="1">#REF!</definedName>
    <definedName name="SD_1x1_6x10_1_B_9000" hidden="1">#REF!</definedName>
    <definedName name="SD_1x1_6x10_10_B_20" hidden="1">#REF!</definedName>
    <definedName name="SD_1x1_6x10_11_B_0" hidden="1">#REF!</definedName>
    <definedName name="SD_1x1_6x10_12_B_0" hidden="1">#REF!</definedName>
    <definedName name="SD_1x1_6x10_13_B_0" hidden="1">#REF!</definedName>
    <definedName name="SD_1x1_6x10_14_B_0" hidden="1">#REF!</definedName>
    <definedName name="SD_1x1_6x10_15_B_0" hidden="1">#REF!</definedName>
    <definedName name="SD_1x1_6x10_16_B_0" hidden="1">#REF!</definedName>
    <definedName name="SD_1x1_6x10_17_B_0" hidden="1">#REF!</definedName>
    <definedName name="SD_1x1_6x10_18_B_0" hidden="1">#REF!</definedName>
    <definedName name="SD_1x1_6x10_19_B_0" hidden="1">#REF!</definedName>
    <definedName name="SD_1x1_6x10_20_B_0" hidden="1">#REF!</definedName>
    <definedName name="SD_1x1_6x10_21_B_0" hidden="1">#REF!</definedName>
    <definedName name="SD_1x1_6x10_22_B_0" hidden="1">#REF!</definedName>
    <definedName name="SD_1x1_6x10_25_B_0" hidden="1">#REF!</definedName>
    <definedName name="SD_1x1_6x10_3_B_0" hidden="1">#REF!</definedName>
    <definedName name="SD_1x1_6x10_4_B_0" hidden="1">#REF!</definedName>
    <definedName name="SD_1x1_6x10_5_B_0" hidden="1">#REF!</definedName>
    <definedName name="SD_1x1_6x10_6_B_0" hidden="1">#REF!</definedName>
    <definedName name="SD_1x1_6x10_7_B_14" hidden="1">#REF!</definedName>
    <definedName name="SD_1x1_6x10_8_B_11" hidden="1">#REF!</definedName>
    <definedName name="SD_1x1_6x10_9_B_0" hidden="1">#REF!</definedName>
    <definedName name="SD_1x1_6x11_1_B_9000" hidden="1">#REF!</definedName>
    <definedName name="SD_1x1_6x11_10_B_20" hidden="1">#REF!</definedName>
    <definedName name="SD_1x1_6x11_11_B_0" hidden="1">#REF!</definedName>
    <definedName name="SD_1x1_6x11_12_B_0" hidden="1">#REF!</definedName>
    <definedName name="SD_1x1_6x11_13_B_0" hidden="1">#REF!</definedName>
    <definedName name="SD_1x1_6x11_14_B_0" hidden="1">#REF!</definedName>
    <definedName name="SD_1x1_6x11_15_B_0" hidden="1">#REF!</definedName>
    <definedName name="SD_1x1_6x11_16_B_0" hidden="1">#REF!</definedName>
    <definedName name="SD_1x1_6x11_17_B_0" hidden="1">#REF!</definedName>
    <definedName name="SD_1x1_6x11_18_B_0" hidden="1">#REF!</definedName>
    <definedName name="SD_1x1_6x11_19_B_0" hidden="1">#REF!</definedName>
    <definedName name="SD_1x1_6x11_20_B_0" hidden="1">#REF!</definedName>
    <definedName name="SD_1x1_6x11_21_B_0" hidden="1">#REF!</definedName>
    <definedName name="SD_1x1_6x11_22_B_0" hidden="1">#REF!</definedName>
    <definedName name="SD_1x1_6x11_25_B_0" hidden="1">#REF!</definedName>
    <definedName name="SD_1x1_6x11_3_B_0" hidden="1">#REF!</definedName>
    <definedName name="SD_1x1_6x11_4_B_0" hidden="1">#REF!</definedName>
    <definedName name="SD_1x1_6x11_5_B_0" hidden="1">#REF!</definedName>
    <definedName name="SD_1x1_6x11_6_B_0" hidden="1">#REF!</definedName>
    <definedName name="SD_1x1_6x11_7_B_14" hidden="1">#REF!</definedName>
    <definedName name="SD_1x1_6x11_8_B_11" hidden="1">#REF!</definedName>
    <definedName name="SD_1x1_6x11_9_B_0" hidden="1">#REF!</definedName>
    <definedName name="SD_1x1_6x12_1_B_9000" hidden="1">#REF!</definedName>
    <definedName name="SD_1x1_6x12_10_B_20" hidden="1">#REF!</definedName>
    <definedName name="SD_1x1_6x12_11_B_0" hidden="1">#REF!</definedName>
    <definedName name="SD_1x1_6x12_12_B_0" hidden="1">#REF!</definedName>
    <definedName name="SD_1x1_6x12_13_B_0" hidden="1">#REF!</definedName>
    <definedName name="SD_1x1_6x12_14_B_0" hidden="1">#REF!</definedName>
    <definedName name="SD_1x1_6x12_15_B_0" hidden="1">#REF!</definedName>
    <definedName name="SD_1x1_6x12_16_B_0" hidden="1">#REF!</definedName>
    <definedName name="SD_1x1_6x12_17_B_0" hidden="1">#REF!</definedName>
    <definedName name="SD_1x1_6x12_18_B_0" hidden="1">#REF!</definedName>
    <definedName name="SD_1x1_6x12_19_B_0" hidden="1">#REF!</definedName>
    <definedName name="SD_1x1_6x12_20_B_0" hidden="1">#REF!</definedName>
    <definedName name="SD_1x1_6x12_21_B_0" hidden="1">#REF!</definedName>
    <definedName name="SD_1x1_6x12_22_B_0" hidden="1">#REF!</definedName>
    <definedName name="SD_1x1_6x12_25_B_0" hidden="1">#REF!</definedName>
    <definedName name="SD_1x1_6x12_3_B_0" hidden="1">#REF!</definedName>
    <definedName name="SD_1x1_6x12_4_B_0" hidden="1">#REF!</definedName>
    <definedName name="SD_1x1_6x12_5_B_0" hidden="1">#REF!</definedName>
    <definedName name="SD_1x1_6x12_6_B_0" hidden="1">#REF!</definedName>
    <definedName name="SD_1x1_6x12_7_B_14" hidden="1">#REF!</definedName>
    <definedName name="SD_1x1_6x12_8_B_11" hidden="1">#REF!</definedName>
    <definedName name="SD_1x1_6x12_9_B_0" hidden="1">#REF!</definedName>
    <definedName name="SD_1x1_6x13_1_B_9000" hidden="1">#REF!</definedName>
    <definedName name="SD_1x1_6x13_10_B_20" hidden="1">#REF!</definedName>
    <definedName name="SD_1x1_6x13_11_B_0" hidden="1">#REF!</definedName>
    <definedName name="SD_1x1_6x13_12_B_0" hidden="1">#REF!</definedName>
    <definedName name="SD_1x1_6x13_13_B_0" hidden="1">#REF!</definedName>
    <definedName name="SD_1x1_6x13_14_B_0" hidden="1">#REF!</definedName>
    <definedName name="SD_1x1_6x13_15_B_0" hidden="1">#REF!</definedName>
    <definedName name="SD_1x1_6x13_16_B_0" hidden="1">#REF!</definedName>
    <definedName name="SD_1x1_6x13_17_B_0" hidden="1">#REF!</definedName>
    <definedName name="SD_1x1_6x13_18_B_0" hidden="1">#REF!</definedName>
    <definedName name="SD_1x1_6x13_19_B_0" hidden="1">#REF!</definedName>
    <definedName name="SD_1x1_6x13_20_B_0" hidden="1">#REF!</definedName>
    <definedName name="SD_1x1_6x13_21_B_0" hidden="1">#REF!</definedName>
    <definedName name="SD_1x1_6x13_22_B_0" hidden="1">#REF!</definedName>
    <definedName name="SD_1x1_6x13_25_B_0" hidden="1">#REF!</definedName>
    <definedName name="SD_1x1_6x13_3_B_0" hidden="1">#REF!</definedName>
    <definedName name="SD_1x1_6x13_4_B_0" hidden="1">#REF!</definedName>
    <definedName name="SD_1x1_6x13_5_B_0" hidden="1">#REF!</definedName>
    <definedName name="SD_1x1_6x13_6_B_0" hidden="1">#REF!</definedName>
    <definedName name="SD_1x1_6x13_7_B_14" hidden="1">#REF!</definedName>
    <definedName name="SD_1x1_6x13_8_B_11" hidden="1">#REF!</definedName>
    <definedName name="SD_1x1_6x13_9_B_0" hidden="1">#REF!</definedName>
    <definedName name="SD_1x1_6x14_1_B_9000" hidden="1">#REF!</definedName>
    <definedName name="SD_1x1_6x14_10_B_20" hidden="1">#REF!</definedName>
    <definedName name="SD_1x1_6x14_11_B_0" hidden="1">#REF!</definedName>
    <definedName name="SD_1x1_6x14_12_B_0" hidden="1">#REF!</definedName>
    <definedName name="SD_1x1_6x14_13_B_0" hidden="1">#REF!</definedName>
    <definedName name="SD_1x1_6x14_14_B_0" hidden="1">#REF!</definedName>
    <definedName name="SD_1x1_6x14_15_B_0" hidden="1">#REF!</definedName>
    <definedName name="SD_1x1_6x14_16_B_0" hidden="1">#REF!</definedName>
    <definedName name="SD_1x1_6x14_17_B_0" hidden="1">#REF!</definedName>
    <definedName name="SD_1x1_6x14_18_B_0" hidden="1">#REF!</definedName>
    <definedName name="SD_1x1_6x14_19_B_0" hidden="1">#REF!</definedName>
    <definedName name="SD_1x1_6x14_20_B_0" hidden="1">#REF!</definedName>
    <definedName name="SD_1x1_6x14_21_B_0" hidden="1">#REF!</definedName>
    <definedName name="SD_1x1_6x14_22_B_0" hidden="1">#REF!</definedName>
    <definedName name="SD_1x1_6x14_25_B_0" hidden="1">#REF!</definedName>
    <definedName name="SD_1x1_6x14_3_B_0" hidden="1">#REF!</definedName>
    <definedName name="SD_1x1_6x14_4_B_0" hidden="1">#REF!</definedName>
    <definedName name="SD_1x1_6x14_5_B_0" hidden="1">#REF!</definedName>
    <definedName name="SD_1x1_6x14_6_B_0" hidden="1">#REF!</definedName>
    <definedName name="SD_1x1_6x14_7_B_14" hidden="1">#REF!</definedName>
    <definedName name="SD_1x1_6x14_8_B_11" hidden="1">#REF!</definedName>
    <definedName name="SD_1x1_6x14_9_B_0" hidden="1">#REF!</definedName>
    <definedName name="SD_1x1_6x15_1_B_9000" hidden="1">#REF!</definedName>
    <definedName name="SD_1x1_6x15_10_B_20" hidden="1">#REF!</definedName>
    <definedName name="SD_1x1_6x15_11_B_0" hidden="1">#REF!</definedName>
    <definedName name="SD_1x1_6x15_12_B_0" hidden="1">#REF!</definedName>
    <definedName name="SD_1x1_6x15_13_B_0" hidden="1">#REF!</definedName>
    <definedName name="SD_1x1_6x15_14_B_0" hidden="1">#REF!</definedName>
    <definedName name="SD_1x1_6x15_15_B_0" hidden="1">#REF!</definedName>
    <definedName name="SD_1x1_6x15_16_B_0" hidden="1">#REF!</definedName>
    <definedName name="SD_1x1_6x15_17_B_0" hidden="1">#REF!</definedName>
    <definedName name="SD_1x1_6x15_18_B_0" hidden="1">#REF!</definedName>
    <definedName name="SD_1x1_6x15_19_B_0" hidden="1">#REF!</definedName>
    <definedName name="SD_1x1_6x15_20_B_0" hidden="1">#REF!</definedName>
    <definedName name="SD_1x1_6x15_21_B_0" hidden="1">#REF!</definedName>
    <definedName name="SD_1x1_6x15_22_B_0" hidden="1">#REF!</definedName>
    <definedName name="SD_1x1_6x15_25_B_0" hidden="1">#REF!</definedName>
    <definedName name="SD_1x1_6x15_3_B_0" hidden="1">#REF!</definedName>
    <definedName name="SD_1x1_6x15_4_B_0" hidden="1">#REF!</definedName>
    <definedName name="SD_1x1_6x15_5_B_0" hidden="1">#REF!</definedName>
    <definedName name="SD_1x1_6x15_6_B_0" hidden="1">#REF!</definedName>
    <definedName name="SD_1x1_6x15_7_B_14" hidden="1">#REF!</definedName>
    <definedName name="SD_1x1_6x15_8_B_11" hidden="1">#REF!</definedName>
    <definedName name="SD_1x1_6x15_9_B_0" hidden="1">#REF!</definedName>
    <definedName name="SD_1x1_6x2_1_B_9000" hidden="1">#REF!</definedName>
    <definedName name="SD_1x1_6x2_10_B_20" hidden="1">#REF!</definedName>
    <definedName name="SD_1x1_6x2_11_B_0" hidden="1">#REF!</definedName>
    <definedName name="SD_1x1_6x2_12_B_0" hidden="1">#REF!</definedName>
    <definedName name="SD_1x1_6x2_13_B_0" hidden="1">#REF!</definedName>
    <definedName name="SD_1x1_6x2_14_B_0" hidden="1">#REF!</definedName>
    <definedName name="SD_1x1_6x2_15_B_0" hidden="1">#REF!</definedName>
    <definedName name="SD_1x1_6x2_16_B_0" hidden="1">#REF!</definedName>
    <definedName name="SD_1x1_6x2_17_B_0" hidden="1">#REF!</definedName>
    <definedName name="SD_1x1_6x2_18_B_0" hidden="1">#REF!</definedName>
    <definedName name="SD_1x1_6x2_19_B_0" hidden="1">#REF!</definedName>
    <definedName name="SD_1x1_6x2_20_B_0" hidden="1">#REF!</definedName>
    <definedName name="SD_1x1_6x2_21_B_0" hidden="1">#REF!</definedName>
    <definedName name="SD_1x1_6x2_22_B_0" hidden="1">#REF!</definedName>
    <definedName name="SD_1x1_6x2_25_B_0" hidden="1">#REF!</definedName>
    <definedName name="SD_1x1_6x2_3_B_0" hidden="1">#REF!</definedName>
    <definedName name="SD_1x1_6x2_4_B_0" hidden="1">#REF!</definedName>
    <definedName name="SD_1x1_6x2_5_B_0" hidden="1">#REF!</definedName>
    <definedName name="SD_1x1_6x2_6_B_0" hidden="1">#REF!</definedName>
    <definedName name="SD_1x1_6x2_7_B_14" hidden="1">#REF!</definedName>
    <definedName name="SD_1x1_6x2_8_B_11" hidden="1">#REF!</definedName>
    <definedName name="SD_1x1_6x2_9_B_0" hidden="1">#REF!</definedName>
    <definedName name="SD_1x1_6x3_1_B_9000" hidden="1">#REF!</definedName>
    <definedName name="SD_1x1_6x3_10_B_20" hidden="1">#REF!</definedName>
    <definedName name="SD_1x1_6x3_11_B_0" hidden="1">#REF!</definedName>
    <definedName name="SD_1x1_6x3_12_B_0" hidden="1">#REF!</definedName>
    <definedName name="SD_1x1_6x3_13_B_0" hidden="1">#REF!</definedName>
    <definedName name="SD_1x1_6x3_14_B_0" hidden="1">#REF!</definedName>
    <definedName name="SD_1x1_6x3_15_B_0" hidden="1">#REF!</definedName>
    <definedName name="SD_1x1_6x3_16_B_0" hidden="1">#REF!</definedName>
    <definedName name="SD_1x1_6x3_17_B_0" hidden="1">#REF!</definedName>
    <definedName name="SD_1x1_6x3_18_B_0" hidden="1">#REF!</definedName>
    <definedName name="SD_1x1_6x3_19_B_0" hidden="1">#REF!</definedName>
    <definedName name="SD_1x1_6x3_20_B_0" hidden="1">#REF!</definedName>
    <definedName name="SD_1x1_6x3_21_B_0" hidden="1">#REF!</definedName>
    <definedName name="SD_1x1_6x3_22_B_0" hidden="1">#REF!</definedName>
    <definedName name="SD_1x1_6x3_25_B_0" hidden="1">#REF!</definedName>
    <definedName name="SD_1x1_6x3_3_B_0" hidden="1">#REF!</definedName>
    <definedName name="SD_1x1_6x3_4_B_0" hidden="1">#REF!</definedName>
    <definedName name="SD_1x1_6x3_5_B_0" hidden="1">#REF!</definedName>
    <definedName name="SD_1x1_6x3_6_B_0" hidden="1">#REF!</definedName>
    <definedName name="SD_1x1_6x3_7_B_14" hidden="1">#REF!</definedName>
    <definedName name="SD_1x1_6x3_8_B_11" hidden="1">#REF!</definedName>
    <definedName name="SD_1x1_6x3_9_B_0" hidden="1">#REF!</definedName>
    <definedName name="SD_1x1_6x4_1_B_9000" hidden="1">#REF!</definedName>
    <definedName name="SD_1x1_6x4_10_B_20" hidden="1">#REF!</definedName>
    <definedName name="SD_1x1_6x4_11_B_0" hidden="1">#REF!</definedName>
    <definedName name="SD_1x1_6x4_12_B_0" hidden="1">#REF!</definedName>
    <definedName name="SD_1x1_6x4_13_B_0" hidden="1">#REF!</definedName>
    <definedName name="SD_1x1_6x4_14_B_0" hidden="1">#REF!</definedName>
    <definedName name="SD_1x1_6x4_15_B_0" hidden="1">#REF!</definedName>
    <definedName name="SD_1x1_6x4_16_B_0" hidden="1">#REF!</definedName>
    <definedName name="SD_1x1_6x4_17_B_0" hidden="1">#REF!</definedName>
    <definedName name="SD_1x1_6x4_18_B_0" hidden="1">#REF!</definedName>
    <definedName name="SD_1x1_6x4_19_B_0" hidden="1">#REF!</definedName>
    <definedName name="SD_1x1_6x4_20_B_0" hidden="1">#REF!</definedName>
    <definedName name="SD_1x1_6x4_21_B_0" hidden="1">#REF!</definedName>
    <definedName name="SD_1x1_6x4_22_B_0" hidden="1">#REF!</definedName>
    <definedName name="SD_1x1_6x4_25_B_0" hidden="1">#REF!</definedName>
    <definedName name="SD_1x1_6x4_3_B_0" hidden="1">#REF!</definedName>
    <definedName name="SD_1x1_6x4_4_B_0" hidden="1">#REF!</definedName>
    <definedName name="SD_1x1_6x4_5_B_0" hidden="1">#REF!</definedName>
    <definedName name="SD_1x1_6x4_6_B_0" hidden="1">#REF!</definedName>
    <definedName name="SD_1x1_6x4_7_B_14" hidden="1">#REF!</definedName>
    <definedName name="SD_1x1_6x4_8_B_11" hidden="1">#REF!</definedName>
    <definedName name="SD_1x1_6x4_9_B_0" hidden="1">#REF!</definedName>
    <definedName name="SD_1x1_6x5_1_B_9000" hidden="1">#REF!</definedName>
    <definedName name="SD_1x1_6x5_10_B_20" hidden="1">#REF!</definedName>
    <definedName name="SD_1x1_6x5_11_B_0" hidden="1">#REF!</definedName>
    <definedName name="SD_1x1_6x5_12_B_0" hidden="1">#REF!</definedName>
    <definedName name="SD_1x1_6x5_13_B_0" hidden="1">#REF!</definedName>
    <definedName name="SD_1x1_6x5_14_B_0" hidden="1">#REF!</definedName>
    <definedName name="SD_1x1_6x5_15_B_0" hidden="1">#REF!</definedName>
    <definedName name="SD_1x1_6x5_16_B_0" hidden="1">#REF!</definedName>
    <definedName name="SD_1x1_6x5_17_B_0" hidden="1">#REF!</definedName>
    <definedName name="SD_1x1_6x5_18_B_0" hidden="1">#REF!</definedName>
    <definedName name="SD_1x1_6x5_19_B_0" hidden="1">#REF!</definedName>
    <definedName name="SD_1x1_6x5_20_B_0" hidden="1">#REF!</definedName>
    <definedName name="SD_1x1_6x5_21_B_0" hidden="1">#REF!</definedName>
    <definedName name="SD_1x1_6x5_22_B_0" hidden="1">#REF!</definedName>
    <definedName name="SD_1x1_6x5_25_B_0" hidden="1">#REF!</definedName>
    <definedName name="SD_1x1_6x5_3_B_0" hidden="1">#REF!</definedName>
    <definedName name="SD_1x1_6x5_4_B_0" hidden="1">#REF!</definedName>
    <definedName name="SD_1x1_6x5_5_B_0" hidden="1">#REF!</definedName>
    <definedName name="SD_1x1_6x5_6_B_0" hidden="1">#REF!</definedName>
    <definedName name="SD_1x1_6x5_7_B_14" hidden="1">#REF!</definedName>
    <definedName name="SD_1x1_6x5_8_B_11" hidden="1">#REF!</definedName>
    <definedName name="SD_1x1_6x5_9_B_0" hidden="1">#REF!</definedName>
    <definedName name="SD_1x1_6x6_1_B_9000" hidden="1">#REF!</definedName>
    <definedName name="SD_1x1_6x6_10_B_20" hidden="1">#REF!</definedName>
    <definedName name="SD_1x1_6x6_11_B_0" hidden="1">#REF!</definedName>
    <definedName name="SD_1x1_6x6_12_B_0" hidden="1">#REF!</definedName>
    <definedName name="SD_1x1_6x6_13_B_0" hidden="1">#REF!</definedName>
    <definedName name="SD_1x1_6x6_14_B_0" hidden="1">#REF!</definedName>
    <definedName name="SD_1x1_6x6_15_B_0" hidden="1">#REF!</definedName>
    <definedName name="SD_1x1_6x6_16_B_0" hidden="1">#REF!</definedName>
    <definedName name="SD_1x1_6x6_17_B_0" hidden="1">#REF!</definedName>
    <definedName name="SD_1x1_6x6_18_B_0" hidden="1">#REF!</definedName>
    <definedName name="SD_1x1_6x6_19_B_0" hidden="1">#REF!</definedName>
    <definedName name="SD_1x1_6x6_20_B_0" hidden="1">#REF!</definedName>
    <definedName name="SD_1x1_6x6_21_B_0" hidden="1">#REF!</definedName>
    <definedName name="SD_1x1_6x6_22_B_0" hidden="1">#REF!</definedName>
    <definedName name="SD_1x1_6x6_25_B_0" hidden="1">#REF!</definedName>
    <definedName name="SD_1x1_6x6_3_B_0" hidden="1">#REF!</definedName>
    <definedName name="SD_1x1_6x6_4_B_0" hidden="1">#REF!</definedName>
    <definedName name="SD_1x1_6x6_5_B_0" hidden="1">#REF!</definedName>
    <definedName name="SD_1x1_6x6_6_B_0" hidden="1">#REF!</definedName>
    <definedName name="SD_1x1_6x6_7_B_14" hidden="1">#REF!</definedName>
    <definedName name="SD_1x1_6x6_8_B_11" hidden="1">#REF!</definedName>
    <definedName name="SD_1x1_6x6_9_B_0" hidden="1">#REF!</definedName>
    <definedName name="SD_1x1_6x7_1_B_9000" hidden="1">#REF!</definedName>
    <definedName name="SD_1x1_6x7_10_B_20" hidden="1">#REF!</definedName>
    <definedName name="SD_1x1_6x7_11_B_0" hidden="1">#REF!</definedName>
    <definedName name="SD_1x1_6x7_12_B_0" hidden="1">#REF!</definedName>
    <definedName name="SD_1x1_6x7_13_B_0" hidden="1">#REF!</definedName>
    <definedName name="SD_1x1_6x7_14_B_0" hidden="1">#REF!</definedName>
    <definedName name="SD_1x1_6x7_15_B_0" hidden="1">#REF!</definedName>
    <definedName name="SD_1x1_6x7_16_B_0" hidden="1">#REF!</definedName>
    <definedName name="SD_1x1_6x7_17_B_0" hidden="1">#REF!</definedName>
    <definedName name="SD_1x1_6x7_18_B_0" hidden="1">#REF!</definedName>
    <definedName name="SD_1x1_6x7_19_B_0" hidden="1">#REF!</definedName>
    <definedName name="SD_1x1_6x7_20_B_0" hidden="1">#REF!</definedName>
    <definedName name="SD_1x1_6x7_21_B_0" hidden="1">#REF!</definedName>
    <definedName name="SD_1x1_6x7_22_B_0" hidden="1">#REF!</definedName>
    <definedName name="SD_1x1_6x7_25_B_0" hidden="1">#REF!</definedName>
    <definedName name="SD_1x1_6x7_3_B_0" hidden="1">#REF!</definedName>
    <definedName name="SD_1x1_6x7_4_B_0" hidden="1">#REF!</definedName>
    <definedName name="SD_1x1_6x7_5_B_0" hidden="1">#REF!</definedName>
    <definedName name="SD_1x1_6x7_6_B_0" hidden="1">#REF!</definedName>
    <definedName name="SD_1x1_6x7_7_B_14" hidden="1">#REF!</definedName>
    <definedName name="SD_1x1_6x7_8_B_11" hidden="1">#REF!</definedName>
    <definedName name="SD_1x1_6x7_9_B_0" hidden="1">#REF!</definedName>
    <definedName name="SD_1x1_6x8_1_B_9000" hidden="1">#REF!</definedName>
    <definedName name="SD_1x1_6x8_10_B_20" hidden="1">#REF!</definedName>
    <definedName name="SD_1x1_6x8_11_B_0" hidden="1">#REF!</definedName>
    <definedName name="SD_1x1_6x8_12_B_0" hidden="1">#REF!</definedName>
    <definedName name="SD_1x1_6x8_13_B_0" hidden="1">#REF!</definedName>
    <definedName name="SD_1x1_6x8_14_B_0" hidden="1">#REF!</definedName>
    <definedName name="SD_1x1_6x8_15_B_0" hidden="1">#REF!</definedName>
    <definedName name="SD_1x1_6x8_16_B_0" hidden="1">#REF!</definedName>
    <definedName name="SD_1x1_6x8_17_B_0" hidden="1">#REF!</definedName>
    <definedName name="SD_1x1_6x8_18_B_0" hidden="1">#REF!</definedName>
    <definedName name="SD_1x1_6x8_19_B_0" hidden="1">#REF!</definedName>
    <definedName name="SD_1x1_6x8_20_B_0" hidden="1">#REF!</definedName>
    <definedName name="SD_1x1_6x8_21_B_0" hidden="1">#REF!</definedName>
    <definedName name="SD_1x1_6x8_22_B_0" hidden="1">#REF!</definedName>
    <definedName name="SD_1x1_6x8_25_B_0" hidden="1">#REF!</definedName>
    <definedName name="SD_1x1_6x8_3_B_0" hidden="1">#REF!</definedName>
    <definedName name="SD_1x1_6x8_4_B_0" hidden="1">#REF!</definedName>
    <definedName name="SD_1x1_6x8_5_B_0" hidden="1">#REF!</definedName>
    <definedName name="SD_1x1_6x8_6_B_0" hidden="1">#REF!</definedName>
    <definedName name="SD_1x1_6x8_7_B_14" hidden="1">#REF!</definedName>
    <definedName name="SD_1x1_6x8_8_B_11" hidden="1">#REF!</definedName>
    <definedName name="SD_1x1_6x8_9_B_0" hidden="1">#REF!</definedName>
    <definedName name="SD_1x1_6x9_1_B_9000" hidden="1">#REF!</definedName>
    <definedName name="SD_1x1_6x9_10_B_20" hidden="1">#REF!</definedName>
    <definedName name="SD_1x1_6x9_11_B_0" hidden="1">#REF!</definedName>
    <definedName name="SD_1x1_6x9_12_B_0" hidden="1">#REF!</definedName>
    <definedName name="SD_1x1_6x9_13_B_0" hidden="1">#REF!</definedName>
    <definedName name="SD_1x1_6x9_14_B_0" hidden="1">#REF!</definedName>
    <definedName name="SD_1x1_6x9_15_B_0" hidden="1">#REF!</definedName>
    <definedName name="SD_1x1_6x9_16_B_0" hidden="1">#REF!</definedName>
    <definedName name="SD_1x1_6x9_17_B_0" hidden="1">#REF!</definedName>
    <definedName name="SD_1x1_6x9_18_B_0" hidden="1">#REF!</definedName>
    <definedName name="SD_1x1_6x9_19_B_0" hidden="1">#REF!</definedName>
    <definedName name="SD_1x1_6x9_20_B_0" hidden="1">#REF!</definedName>
    <definedName name="SD_1x1_6x9_21_B_0" hidden="1">#REF!</definedName>
    <definedName name="SD_1x1_6x9_22_B_0" hidden="1">#REF!</definedName>
    <definedName name="SD_1x1_6x9_25_B_0" hidden="1">#REF!</definedName>
    <definedName name="SD_1x1_6x9_3_B_0" hidden="1">#REF!</definedName>
    <definedName name="SD_1x1_6x9_4_B_0" hidden="1">#REF!</definedName>
    <definedName name="SD_1x1_6x9_5_B_0" hidden="1">#REF!</definedName>
    <definedName name="SD_1x1_6x9_6_B_0" hidden="1">#REF!</definedName>
    <definedName name="SD_1x1_6x9_7_B_14" hidden="1">#REF!</definedName>
    <definedName name="SD_1x1_6x9_8_B_11" hidden="1">#REF!</definedName>
    <definedName name="SD_1x1_6x9_9_B_0" hidden="1">#REF!</definedName>
    <definedName name="SD_1x1_8_G_12" hidden="1">#REF!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cds" hidden="1">{"'Assump'!$F$6:$J$6"}</definedName>
    <definedName name="sdf" hidden="1">{"sheet a",#N/A,FALSE,"A";"sheet b 1",#N/A,FALSE,"B";"sheet b 2",#N/A,FALSE,"B"}</definedName>
    <definedName name="sdfasr" hidden="1">{"FCB_ALL",#N/A,FALSE,"FCB"}</definedName>
    <definedName name="sdfass" hidden="1">{"Outflow 1",#N/A,FALSE,"Outflows-Inflows";"Outflow 2",#N/A,FALSE,"Outflows-Inflows";"Inflow 1",#N/A,FALSE,"Outflows-Inflows";"Inflow 2",#N/A,FALSE,"Outflows-Inflows"}</definedName>
    <definedName name="sdfass_1" hidden="1">{"Outflow 1",#N/A,FALSE,"Outflows-Inflows";"Outflow 2",#N/A,FALSE,"Outflows-Inflows";"Inflow 1",#N/A,FALSE,"Outflows-Inflows";"Inflow 2",#N/A,FALSE,"Outflows-Inflows"}</definedName>
    <definedName name="sdfass_2" hidden="1">{"Outflow 1",#N/A,FALSE,"Outflows-Inflows";"Outflow 2",#N/A,FALSE,"Outflows-Inflows";"Inflow 1",#N/A,FALSE,"Outflows-Inflows";"Inflow 2",#N/A,FALSE,"Outflows-Inflows"}</definedName>
    <definedName name="sdfass_3" hidden="1">{"Outflow 1",#N/A,FALSE,"Outflows-Inflows";"Outflow 2",#N/A,FALSE,"Outflows-Inflows";"Inflow 1",#N/A,FALSE,"Outflows-Inflows";"Inflow 2",#N/A,FALSE,"Outflows-Inflows"}</definedName>
    <definedName name="sdfass_4" hidden="1">{"Outflow 1",#N/A,FALSE,"Outflows-Inflows";"Outflow 2",#N/A,FALSE,"Outflows-Inflows";"Inflow 1",#N/A,FALSE,"Outflows-Inflows";"Inflow 2",#N/A,FALSE,"Outflows-Inflows"}</definedName>
    <definedName name="sdfd" hidden="1">{"Summary",#N/A,FALSE,"Summary"}</definedName>
    <definedName name="sdf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f" hidden="1">{"FCB_ALL",#N/A,FALSE,"FCB";"GREY_ALL",#N/A,FALSE,"GREY"}</definedName>
    <definedName name="sdff" hidden="1">{#N/A,#N/A,TRUE,"Krycí list"}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gdsf" hidden="1">#REF!</definedName>
    <definedName name="sdfgdsfg" hidden="1">#REF!</definedName>
    <definedName name="SDFGFG" hidden="1">#REF!</definedName>
    <definedName name="sdfgsdfhhsfd" hidden="1">#REF!</definedName>
    <definedName name="sdfh" hidden="1">{"FCB_ALL",#N/A,FALSE,"FCB"}</definedName>
    <definedName name="sdfh2wh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sdfhshcdddcd" hidden="1">#REF!</definedName>
    <definedName name="sdflk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sdf" hidden="1">#REF!</definedName>
    <definedName name="sdfsdfsdfsafsdf" hidden="1">{"FCB_ALL",#N/A,FALSE,"FCB"}</definedName>
    <definedName name="sdfsds" hidden="1">#REF!</definedName>
    <definedName name="sdfv" hidden="1">{0,#N/A,FALSE,0;0,#N/A,FALSE,0}</definedName>
    <definedName name="sdgasfhadsfhgerh" hidden="1">#REF!</definedName>
    <definedName name="sdgdfg" hidden="1">{"new",#N/A,FALSE,"D";"PROFORMA",#N/A,FALSE,"A";"partial 1",#N/A,FALSE,"B";"partial 2",#N/A,FALSE,"B";"partial 3",#N/A,FALSE,"B";"SMALL CF 1",#N/A,FALSE,"C"}</definedName>
    <definedName name="sdgfr" hidden="1">{"sheet a",#N/A,FALSE,"A";"sheet b 1",#N/A,FALSE,"B";"sheet b 2",#N/A,FALSE,"B"}</definedName>
    <definedName name="sdgg" hidden="1">{"P_L Account",#N/A,FALSE,"Prime";"Assets",#N/A,FALSE,"Prime";"Liabilities",#N/A,FALSE,"Prime";"Capital and Reserves",#N/A,FALSE,"Prime";"Rec. of S_Holders Funds",#N/A,FALSE,"Prime";"Rec. of Pre and Post Tax Result",#N/A,FALSE,"Prime"}</definedName>
    <definedName name="sdgs" hidden="1">{0,0,0,0}</definedName>
    <definedName name="sdhr" hidden="1">{"FCB_ALL",#N/A,FALSE,"FCB";"GREY_ALL",#N/A,FALSE,"GREY"}</definedName>
    <definedName name="sdvsfdvfdsb" hidden="1">#REF!</definedName>
    <definedName name="sdz" hidden="1">{"FCB_ALL",#N/A,FALSE,"FCB"}</definedName>
    <definedName name="se" hidden="1">#REF!</definedName>
    <definedName name="SECONDLIEN">#REF!</definedName>
    <definedName name="SecondLoanSchedule">#REF!</definedName>
    <definedName name="seee" hidden="1">{#N/A,#N/A,FALSE,"Title Page - Sitq";#N/A,#N/A,FALSE,"Index - Sitq";#N/A,#N/A,FALSE,"Stmt of Income";#N/A,#N/A,FALSE,"Balance Sheet - Audit Comm";#N/A,#N/A,FALSE,"Stmt of Retained Earnings";#N/A,#N/A,FALSE,"Total Cash Flow";#N/A,#N/A,FALSE,"S.C.F.P.";#N/A,#N/A,FALSE,"Budget to Actual";#N/A,#N/A,FALSE,"Appraisal surplus";#N/A,#N/A,FALSE,"FMV";#N/A,#N/A,FALSE,"Ratios";#N/A,#N/A,FALSE,"Properties";#N/A,#N/A,FALSE,"Secured Debt";#N/A,#N/A,FALSE,"Mortgage Bonds";#N/A,#N/A,FALSE,"Bank Operating Lines";#N/A,#N/A,FALSE,"Share Capital";#N/A,#N/A,FALSE,"Rental Operating Results";#N/A,#N/A,FALSE,"G. &amp;  A.";#N/A,#N/A,FALSE,"Property Sales";#N/A,#N/A,FALSE,"Accounts receivable ";#N/A,#N/A,FALSE,"Accounts payable";#N/A,#N/A,FALSE,"Budget Analysis";#N/A,#N/A,FALSE,"Mezzanine"}</definedName>
    <definedName name="Seg_LBO_Summ" hidden="1">{"LBO Summary",#N/A,FALSE,"Summary"}</definedName>
    <definedName name="Segment_Pie_Data" hidden="1">OFFSET(#REF!,0,0,COUNTA(#REF!)-1,1)</definedName>
    <definedName name="Segment_Pie_X_Data" hidden="1">OFFSET(#REF!,0,0,COUNTA(#REF!)-1,1)</definedName>
    <definedName name="SELECTION_ENTITY">#REF!</definedName>
    <definedName name="Sell_Date">#REF!</definedName>
    <definedName name="selrange" hidden="1">#REF!</definedName>
    <definedName name="Semiprivate" hidden="1">{"Page 1",#N/A,FALSE,"92264 Page 1";"Page 2",#N/A,FALSE,"92264 Page 2";"Page 3",#N/A,FALSE,"92264 Page 3";"Page 4",#N/A,FALSE,"92264 Page 4";"Page 5",#N/A,FALSE,"92264 Page 5";"Page 6",#N/A,FALSE,"92264 Page 6";"Page 7",#N/A,FALSE,"92264 Page 7";"Page 8",#N/A,FALSE,"92264 Page 8"}</definedName>
    <definedName name="sencount" hidden="1">1</definedName>
    <definedName name="senfinancing">#REF!</definedName>
    <definedName name="senInterest">#REF!</definedName>
    <definedName name="SenLTV">#REF!</definedName>
    <definedName name="senmosofIO">#REF!</definedName>
    <definedName name="senorigfee">#REF!</definedName>
    <definedName name="senpandi">#REF!</definedName>
    <definedName name="SENSITIVITY">#REF!</definedName>
    <definedName name="senterm">#REF!</definedName>
    <definedName name="Sept.">#REF!</definedName>
    <definedName name="sese" hidden="1">{"mgmt forecast",#N/A,FALSE,"Mgmt Forecast";"dcf table",#N/A,FALSE,"Mgmt Forecast";"sensitivity",#N/A,FALSE,"Mgmt Forecast";"table inputs",#N/A,FALSE,"Mgmt Forecast";"calculations",#N/A,FALSE,"Mgmt Forecast"}</definedName>
    <definedName name="Set">" "</definedName>
    <definedName name="SetExitLables">#N/A</definedName>
    <definedName name="setExitValue">#N/A</definedName>
    <definedName name="setheth" hidden="1">#REF!</definedName>
    <definedName name="sf">#REF!</definedName>
    <definedName name="SF_2">#REF!</definedName>
    <definedName name="SF_Additional">#REF!</definedName>
    <definedName name="SF_Build">#REF!</definedName>
    <definedName name="SF_Current_Industrial">#REF!</definedName>
    <definedName name="SF_Current_Office">#REF!</definedName>
    <definedName name="SF_Existing">#REF!</definedName>
    <definedName name="SF_FAR">#REF!</definedName>
    <definedName name="SF_Gross">#REF!</definedName>
    <definedName name="SF_Lot">#REF!</definedName>
    <definedName name="SF_Net">#REF!</definedName>
    <definedName name="SF_Raised">#REF!</definedName>
    <definedName name="sfbgsfbgsfbg" hidden="1">#REF!</definedName>
    <definedName name="sfd" hidden="1">{"Const_Monthly",#N/A,FALSE,"Construction"}</definedName>
    <definedName name="sfdag" hidden="1">{#N/A,#N/A,TRUE,"FR_HC";#N/A,#N/A,TRUE,"FR_REST";#N/A,#N/A,TRUE,"FR_RETA";#N/A,#N/A,TRUE,"FR_TECSOF";#N/A,#N/A,TRUE,"FR_NETTEC";#N/A,#N/A,TRUE,"FR_CLISER"}</definedName>
    <definedName name="SFDGDSG" hidden="1">#REF!</definedName>
    <definedName name="sfdgsar" hidden="1">{"FCB_ALL",#N/A,FALSE,"FCB";"GREY_ALL",#N/A,FALSE,"GREY"}</definedName>
    <definedName name="sfds" hidden="1">{#N/A,#N/A,FALSE,"Cash Flow"}</definedName>
    <definedName name="SFDsum" hidden="1">{#N/A,#N/A,FALSE,"Static Proforma";#N/A,#N/A,FALSE,"Bldg Dev DCF";#N/A,#N/A,FALSE,"Land Sales DCF"}</definedName>
    <definedName name="Sfe" hidden="1">{#N/A,#N/A,FALSE,"Notes";"CashFlowSummary Annually",#N/A,FALSE,"CashFlowSummary";"InvestorSummary Annually",#N/A,FALSE,"InvestorSummary";#N/A,#N/A,FALSE,"RevenueAssumptions";"MasterCostAssmp Annually",#N/A,FALSE,"MasterCostAssmp";#N/A,#N/A,FALSE,"InTractCstAssmp";"LotTakedowns Annually",#N/A,FALSE,"LotTakedowns"}</definedName>
    <definedName name="sffsd">INDEX({12,6,3,2,1},MATCH(#REF!,battery1,0))</definedName>
    <definedName name="sfg" hidden="1">{#N/A,#N/A,FALSE,"Aging Summary";#N/A,#N/A,FALSE,"Ratio Analysis";#N/A,#N/A,FALSE,"Test 120 Day Accts";#N/A,#N/A,FALSE,"Tickmarks"}</definedName>
    <definedName name="sfg." hidden="1">{"Construction_Short",#N/A,FALSE,"Construction"}</definedName>
    <definedName name="sg" hidden="1">{#N/A,#N/A,FALSE,"Chart 2 by Prop Type"}</definedName>
    <definedName name="SG_Fill" hidden="1">#REF!</definedName>
    <definedName name="sgs" hidden="1">{#N/A,#N/A,FALSE,"Chart 2 by Prop Type"}</definedName>
    <definedName name="shaci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mrock" hidden="1">{#N/A,#N/A,TRUE,"Val - sum";#N/A,#N/A,TRUE,"Val - Sum1";#N/A,#N/A,TRUE,"Val - sum2";#N/A,#N/A,TRUE,"Val - Sum3";#N/A,#N/A,TRUE,"Tar-DCF";#N/A,#N/A,TRUE,"Tar-Val LBO";#N/A,#N/A,TRUE,"Tar-Mult Val"}</definedName>
    <definedName name="shareoutltm" hidden="1">#REF!</definedName>
    <definedName name="sharepriceltm" hidden="1">#REF!</definedName>
    <definedName name="Sheet" hidden="1">#N/A</definedName>
    <definedName name="sheet2" hidden="1">{"CF",#N/A,FALSE,"Cash Flow";"RET",#N/A,FALSE,"Returns";"NPV",#N/A,FALSE,"Values";"ASMPT",#N/A,FALSE,"Assumptions"}</definedName>
    <definedName name="shit" hidden="1">{"'Assump'!$F$6:$J$6"}</definedName>
    <definedName name="ShortfallMo1Y1">#REF!</definedName>
    <definedName name="ShortfallMo1Y2">#REF!</definedName>
    <definedName name="ShortfallMo2Y1">#REF!</definedName>
    <definedName name="ShortfallMo2Y2">#REF!</definedName>
    <definedName name="ShortfallMo3Y1">#REF!</definedName>
    <definedName name="ShortfallMo3Y2">#REF!</definedName>
    <definedName name="ShortfallYr">#REF!</definedName>
    <definedName name="ShortfallYr2">#REF!</definedName>
    <definedName name="ShortfallYr3">#REF!</definedName>
    <definedName name="Sites">#REF!</definedName>
    <definedName name="sjsryhry" hidden="1">#REF!</definedName>
    <definedName name="sk" hidden="1">"1, 3, 1, False, 2, False, False, , 0, False, True, 3, 2"</definedName>
    <definedName name="skxcbwjkcb" hidden="1">#REF!</definedName>
    <definedName name="slkdhvoislsfjpsojflmnfsofjhsofbs" hidden="1">{#N/A,#N/A,FALSE,"Chart 2 by Prop Type"}</definedName>
    <definedName name="SMBC" hidden="1">{"Ops_S.Holders Assets and Income",#N/A,FALSE,"ops_shf"}</definedName>
    <definedName name="SMBCR" hidden="1">{"P_L Account",#N/A,FALSE,"Prime";"Assets",#N/A,FALSE,"Prime";"Liabilities",#N/A,FALSE,"Prime";"Capital and Reserves",#N/A,FALSE,"Prime";"Rec. of S_Holders Funds",#N/A,FALSE,"Prime";"Rec. of Pre and Post Tax Result",#N/A,FALSE,"Prime"}</definedName>
    <definedName name="SMtoSF">#REF!</definedName>
    <definedName name="SOBID">#REF!</definedName>
    <definedName name="sofj" hidden="1">{#N/A,#N/A,FALSE,"Chart 2 by Prop Type"}</definedName>
    <definedName name="SOlive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hs10" hidden="1">#REF!</definedName>
    <definedName name="solver_lhs11" hidden="1">#REF!</definedName>
    <definedName name="solver_lhs12" hidden="1">#REF!</definedName>
    <definedName name="solver_lhs13" hidden="1">#REF!</definedName>
    <definedName name="solver_lhs14" hidden="1">#REF!</definedName>
    <definedName name="solver_lhs15" hidden="1">#REF!</definedName>
    <definedName name="solver_lhs16" hidden="1">#REF!</definedName>
    <definedName name="solver_lhs17" hidden="1">#REF!</definedName>
    <definedName name="solver_lhs18" hidden="1">#REF!</definedName>
    <definedName name="solver_lhs19" hidden="1">#REF!</definedName>
    <definedName name="solver_lhs2" hidden="1">#REF!</definedName>
    <definedName name="solver_lhs20" hidden="1">#REF!</definedName>
    <definedName name="solver_lhs21" hidden="1">#REF!</definedName>
    <definedName name="solver_lhs22" hidden="1">#REF!</definedName>
    <definedName name="solver_lhs23" hidden="1">#REF!</definedName>
    <definedName name="solver_lhs24" hidden="1">#REF!</definedName>
    <definedName name="solver_lhs25" hidden="1">#REF!</definedName>
    <definedName name="solver_lhs26" hidden="1">#REF!</definedName>
    <definedName name="solver_lhs27" hidden="1">#REF!</definedName>
    <definedName name="solver_lhs28" hidden="1">#REF!</definedName>
    <definedName name="solver_lhs29" hidden="1">#REF!</definedName>
    <definedName name="solver_lhs3" hidden="1">#REF!</definedName>
    <definedName name="solver_lhs30" hidden="1">#REF!</definedName>
    <definedName name="solver_lhs31" hidden="1">#REF!</definedName>
    <definedName name="solver_lhs32" hidden="1">#REF!</definedName>
    <definedName name="solver_lhs33" hidden="1">#REF!</definedName>
    <definedName name="solver_lhs34" hidden="1">#REF!</definedName>
    <definedName name="solver_lhs35" hidden="1">#REF!</definedName>
    <definedName name="solver_lhs36" hidden="1">#REF!</definedName>
    <definedName name="solver_lhs37" hidden="1">#REF!</definedName>
    <definedName name="solver_lhs38" hidden="1">#REF!</definedName>
    <definedName name="solver_lhs39" hidden="1">#REF!</definedName>
    <definedName name="solver_lhs4" hidden="1">#REF!</definedName>
    <definedName name="solver_lhs40" hidden="1">#REF!</definedName>
    <definedName name="solver_lhs41" hidden="1">#REF!</definedName>
    <definedName name="solver_lhs42" hidden="1">#REF!</definedName>
    <definedName name="solver_lhs43" hidden="1">#REF!</definedName>
    <definedName name="solver_lhs44" hidden="1">#REF!</definedName>
    <definedName name="solver_lhs45" hidden="1">#REF!</definedName>
    <definedName name="solver_lhs46" hidden="1">#REF!</definedName>
    <definedName name="solver_lhs47" hidden="1">#REF!</definedName>
    <definedName name="solver_lhs48" hidden="1">#REF!</definedName>
    <definedName name="solver_lhs49" hidden="1">#REF!</definedName>
    <definedName name="solver_lhs5" hidden="1">#REF!</definedName>
    <definedName name="solver_lhs50" hidden="1">#REF!</definedName>
    <definedName name="solver_lhs51" hidden="1">#REF!</definedName>
    <definedName name="solver_lhs52" hidden="1">#REF!</definedName>
    <definedName name="solver_lhs53" hidden="1">#REF!</definedName>
    <definedName name="solver_lhs54" hidden="1">#REF!</definedName>
    <definedName name="solver_lhs55" hidden="1">#REF!</definedName>
    <definedName name="solver_lhs56" hidden="1">#REF!</definedName>
    <definedName name="solver_lhs57" hidden="1">#REF!</definedName>
    <definedName name="solver_lhs58" hidden="1">#REF!</definedName>
    <definedName name="solver_lhs59" hidden="1">#REF!</definedName>
    <definedName name="solver_lhs6" hidden="1">#REF!</definedName>
    <definedName name="solver_lhs60" hidden="1">#REF!</definedName>
    <definedName name="solver_lhs61" hidden="1">#REF!</definedName>
    <definedName name="solver_lhs62" hidden="1">#REF!</definedName>
    <definedName name="solver_lhs63" hidden="1">#REF!</definedName>
    <definedName name="solver_lhs64" hidden="1">#REF!</definedName>
    <definedName name="solver_lhs65" hidden="1">#REF!</definedName>
    <definedName name="solver_lhs66" hidden="1">#REF!</definedName>
    <definedName name="solver_lhs67" hidden="1">#REF!</definedName>
    <definedName name="solver_lhs68" hidden="1">#REF!</definedName>
    <definedName name="solver_lhs69" hidden="1">#REF!</definedName>
    <definedName name="solver_lhs7" hidden="1">#REF!</definedName>
    <definedName name="solver_lhs70" hidden="1">#REF!</definedName>
    <definedName name="solver_lhs71" hidden="1">#REF!</definedName>
    <definedName name="solver_lhs72" hidden="1">#REF!</definedName>
    <definedName name="solver_lhs73" hidden="1">#REF!</definedName>
    <definedName name="solver_lhs74" hidden="1">#REF!</definedName>
    <definedName name="solver_lhs75" hidden="1">#REF!</definedName>
    <definedName name="solver_lhs76" hidden="1">#REF!</definedName>
    <definedName name="solver_lhs77" hidden="1">#REF!</definedName>
    <definedName name="solver_lhs78" hidden="1">#REF!</definedName>
    <definedName name="solver_lhs79" hidden="1">#REF!</definedName>
    <definedName name="solver_lhs8" hidden="1">#REF!</definedName>
    <definedName name="solver_lhs80" hidden="1">#REF!</definedName>
    <definedName name="solver_lhs81" hidden="1">#REF!</definedName>
    <definedName name="solver_lhs82" hidden="1">#REF!</definedName>
    <definedName name="solver_lhs83" hidden="1">#REF!</definedName>
    <definedName name="solver_lhs84" hidden="1">#REF!</definedName>
    <definedName name="solver_lhs85" hidden="1">#REF!</definedName>
    <definedName name="solver_lhs86" hidden="1">#REF!</definedName>
    <definedName name="solver_lhs87" hidden="1">#REF!</definedName>
    <definedName name="solver_lhs88" hidden="1">#REF!</definedName>
    <definedName name="solver_lhs9" hidden="1">#REF!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rel1" hidden="1">1</definedName>
    <definedName name="solver_rel10" hidden="1">5</definedName>
    <definedName name="solver_rel11" hidden="1">5</definedName>
    <definedName name="solver_rel12" hidden="1">5</definedName>
    <definedName name="solver_rel13" hidden="1">5</definedName>
    <definedName name="solver_rel14" hidden="1">5</definedName>
    <definedName name="solver_rel15" hidden="1">5</definedName>
    <definedName name="solver_rel16" hidden="1">5</definedName>
    <definedName name="solver_rel17" hidden="1">5</definedName>
    <definedName name="solver_rel18" hidden="1">5</definedName>
    <definedName name="solver_rel19" hidden="1">5</definedName>
    <definedName name="solver_rel2" hidden="1">5</definedName>
    <definedName name="solver_rel20" hidden="1">5</definedName>
    <definedName name="solver_rel21" hidden="1">5</definedName>
    <definedName name="solver_rel22" hidden="1">5</definedName>
    <definedName name="solver_rel23" hidden="1">1</definedName>
    <definedName name="solver_rel24" hidden="1">5</definedName>
    <definedName name="solver_rel25" hidden="1">5</definedName>
    <definedName name="solver_rel26" hidden="1">5</definedName>
    <definedName name="solver_rel27" hidden="1">5</definedName>
    <definedName name="solver_rel28" hidden="1">5</definedName>
    <definedName name="solver_rel29" hidden="1">5</definedName>
    <definedName name="solver_rel3" hidden="1">5</definedName>
    <definedName name="solver_rel30" hidden="1">5</definedName>
    <definedName name="solver_rel31" hidden="1">5</definedName>
    <definedName name="solver_rel32" hidden="1">5</definedName>
    <definedName name="solver_rel33" hidden="1">5</definedName>
    <definedName name="solver_rel34" hidden="1">5</definedName>
    <definedName name="solver_rel35" hidden="1">5</definedName>
    <definedName name="solver_rel36" hidden="1">5</definedName>
    <definedName name="solver_rel37" hidden="1">5</definedName>
    <definedName name="solver_rel38" hidden="1">5</definedName>
    <definedName name="solver_rel39" hidden="1">5</definedName>
    <definedName name="solver_rel4" hidden="1">5</definedName>
    <definedName name="solver_rel40" hidden="1">5</definedName>
    <definedName name="solver_rel41" hidden="1">5</definedName>
    <definedName name="solver_rel42" hidden="1">5</definedName>
    <definedName name="solver_rel43" hidden="1">5</definedName>
    <definedName name="solver_rel44" hidden="1">5</definedName>
    <definedName name="solver_rel45" hidden="1">1</definedName>
    <definedName name="solver_rel46" hidden="1">5</definedName>
    <definedName name="solver_rel47" hidden="1">5</definedName>
    <definedName name="solver_rel48" hidden="1">5</definedName>
    <definedName name="solver_rel49" hidden="1">5</definedName>
    <definedName name="solver_rel5" hidden="1">5</definedName>
    <definedName name="solver_rel50" hidden="1">5</definedName>
    <definedName name="solver_rel51" hidden="1">5</definedName>
    <definedName name="solver_rel52" hidden="1">5</definedName>
    <definedName name="solver_rel53" hidden="1">5</definedName>
    <definedName name="solver_rel54" hidden="1">5</definedName>
    <definedName name="solver_rel55" hidden="1">5</definedName>
    <definedName name="solver_rel56" hidden="1">5</definedName>
    <definedName name="solver_rel57" hidden="1">5</definedName>
    <definedName name="solver_rel58" hidden="1">5</definedName>
    <definedName name="solver_rel59" hidden="1">5</definedName>
    <definedName name="solver_rel6" hidden="1">5</definedName>
    <definedName name="solver_rel60" hidden="1">5</definedName>
    <definedName name="solver_rel61" hidden="1">5</definedName>
    <definedName name="solver_rel62" hidden="1">5</definedName>
    <definedName name="solver_rel63" hidden="1">5</definedName>
    <definedName name="solver_rel64" hidden="1">5</definedName>
    <definedName name="solver_rel65" hidden="1">5</definedName>
    <definedName name="solver_rel66" hidden="1">5</definedName>
    <definedName name="solver_rel67" hidden="1">1</definedName>
    <definedName name="solver_rel68" hidden="1">5</definedName>
    <definedName name="solver_rel69" hidden="1">5</definedName>
    <definedName name="solver_rel7" hidden="1">5</definedName>
    <definedName name="solver_rel70" hidden="1">5</definedName>
    <definedName name="solver_rel71" hidden="1">5</definedName>
    <definedName name="solver_rel72" hidden="1">5</definedName>
    <definedName name="solver_rel73" hidden="1">5</definedName>
    <definedName name="solver_rel74" hidden="1">5</definedName>
    <definedName name="solver_rel75" hidden="1">5</definedName>
    <definedName name="solver_rel76" hidden="1">5</definedName>
    <definedName name="solver_rel77" hidden="1">5</definedName>
    <definedName name="solver_rel78" hidden="1">5</definedName>
    <definedName name="solver_rel79" hidden="1">5</definedName>
    <definedName name="solver_rel8" hidden="1">5</definedName>
    <definedName name="solver_rel80" hidden="1">5</definedName>
    <definedName name="solver_rel81" hidden="1">5</definedName>
    <definedName name="solver_rel82" hidden="1">5</definedName>
    <definedName name="solver_rel83" hidden="1">5</definedName>
    <definedName name="solver_rel84" hidden="1">5</definedName>
    <definedName name="solver_rel85" hidden="1">5</definedName>
    <definedName name="solver_rel86" hidden="1">5</definedName>
    <definedName name="solver_rel87" hidden="1">5</definedName>
    <definedName name="solver_rel88" hidden="1">5</definedName>
    <definedName name="solver_rel9" hidden="1">5</definedName>
    <definedName name="solver_rhs1" hidden="1">0.15</definedName>
    <definedName name="solver_rhs10" hidden="1">binary</definedName>
    <definedName name="solver_rhs11" hidden="1">binary</definedName>
    <definedName name="solver_rhs12" hidden="1">binary</definedName>
    <definedName name="solver_rhs13" hidden="1">binary</definedName>
    <definedName name="solver_rhs14" hidden="1">binary</definedName>
    <definedName name="solver_rhs15" hidden="1">binary</definedName>
    <definedName name="solver_rhs16" hidden="1">binary</definedName>
    <definedName name="solver_rhs17" hidden="1">binary</definedName>
    <definedName name="solver_rhs18" hidden="1">binary</definedName>
    <definedName name="solver_rhs19" hidden="1">binary</definedName>
    <definedName name="solver_rhs2" hidden="1">binary</definedName>
    <definedName name="solver_rhs20" hidden="1">binary</definedName>
    <definedName name="solver_rhs21" hidden="1">binary</definedName>
    <definedName name="solver_rhs22" hidden="1">binary</definedName>
    <definedName name="solver_rhs23" hidden="1">#REF!</definedName>
    <definedName name="solver_rhs24" hidden="1">binary</definedName>
    <definedName name="solver_rhs25" hidden="1">binary</definedName>
    <definedName name="solver_rhs26" hidden="1">binary</definedName>
    <definedName name="solver_rhs27" hidden="1">binary</definedName>
    <definedName name="solver_rhs28" hidden="1">binary</definedName>
    <definedName name="solver_rhs29" hidden="1">binary</definedName>
    <definedName name="solver_rhs3" hidden="1">binary</definedName>
    <definedName name="solver_rhs30" hidden="1">binary</definedName>
    <definedName name="solver_rhs31" hidden="1">binary</definedName>
    <definedName name="solver_rhs32" hidden="1">binary</definedName>
    <definedName name="solver_rhs33" hidden="1">binary</definedName>
    <definedName name="solver_rhs34" hidden="1">binary</definedName>
    <definedName name="solver_rhs35" hidden="1">binary</definedName>
    <definedName name="solver_rhs36" hidden="1">binary</definedName>
    <definedName name="solver_rhs37" hidden="1">binary</definedName>
    <definedName name="solver_rhs38" hidden="1">binary</definedName>
    <definedName name="solver_rhs39" hidden="1">binary</definedName>
    <definedName name="solver_rhs4" hidden="1">binary</definedName>
    <definedName name="solver_rhs40" hidden="1">binary</definedName>
    <definedName name="solver_rhs41" hidden="1">binary</definedName>
    <definedName name="solver_rhs42" hidden="1">binary</definedName>
    <definedName name="solver_rhs43" hidden="1">binary</definedName>
    <definedName name="solver_rhs44" hidden="1">binary</definedName>
    <definedName name="solver_rhs45" hidden="1">#REF!</definedName>
    <definedName name="solver_rhs46" hidden="1">binary</definedName>
    <definedName name="solver_rhs47" hidden="1">binary</definedName>
    <definedName name="solver_rhs48" hidden="1">binary</definedName>
    <definedName name="solver_rhs49" hidden="1">binary</definedName>
    <definedName name="solver_rhs5" hidden="1">binary</definedName>
    <definedName name="solver_rhs50" hidden="1">binary</definedName>
    <definedName name="solver_rhs51" hidden="1">binary</definedName>
    <definedName name="solver_rhs52" hidden="1">binary</definedName>
    <definedName name="solver_rhs53" hidden="1">binary</definedName>
    <definedName name="solver_rhs54" hidden="1">binary</definedName>
    <definedName name="solver_rhs55" hidden="1">binary</definedName>
    <definedName name="solver_rhs56" hidden="1">binary</definedName>
    <definedName name="solver_rhs57" hidden="1">binary</definedName>
    <definedName name="solver_rhs58" hidden="1">binary</definedName>
    <definedName name="solver_rhs59" hidden="1">binary</definedName>
    <definedName name="solver_rhs6" hidden="1">binary</definedName>
    <definedName name="solver_rhs60" hidden="1">binary</definedName>
    <definedName name="solver_rhs61" hidden="1">binary</definedName>
    <definedName name="solver_rhs62" hidden="1">binary</definedName>
    <definedName name="solver_rhs63" hidden="1">binary</definedName>
    <definedName name="solver_rhs64" hidden="1">binary</definedName>
    <definedName name="solver_rhs65" hidden="1">binary</definedName>
    <definedName name="solver_rhs66" hidden="1">binary</definedName>
    <definedName name="solver_rhs67" hidden="1">#REF!</definedName>
    <definedName name="solver_rhs68" hidden="1">binary</definedName>
    <definedName name="solver_rhs69" hidden="1">binary</definedName>
    <definedName name="solver_rhs7" hidden="1">binary</definedName>
    <definedName name="solver_rhs70" hidden="1">binary</definedName>
    <definedName name="solver_rhs71" hidden="1">binary</definedName>
    <definedName name="solver_rhs72" hidden="1">binary</definedName>
    <definedName name="solver_rhs73" hidden="1">binary</definedName>
    <definedName name="solver_rhs74" hidden="1">binary</definedName>
    <definedName name="solver_rhs75" hidden="1">binary</definedName>
    <definedName name="solver_rhs76" hidden="1">binary</definedName>
    <definedName name="solver_rhs77" hidden="1">binary</definedName>
    <definedName name="solver_rhs78" hidden="1">binary</definedName>
    <definedName name="solver_rhs79" hidden="1">binary</definedName>
    <definedName name="solver_rhs8" hidden="1">binary</definedName>
    <definedName name="solver_rhs80" hidden="1">binary</definedName>
    <definedName name="solver_rhs81" hidden="1">binary</definedName>
    <definedName name="solver_rhs82" hidden="1">binary</definedName>
    <definedName name="solver_rhs83" hidden="1">binary</definedName>
    <definedName name="solver_rhs84" hidden="1">binary</definedName>
    <definedName name="solver_rhs85" hidden="1">binary</definedName>
    <definedName name="solver_rhs86" hidden="1">binary</definedName>
    <definedName name="solver_rhs87" hidden="1">binary</definedName>
    <definedName name="solver_rhs88" hidden="1">binary</definedName>
    <definedName name="solver_rhs9" hidden="1">binary</definedName>
    <definedName name="solver_scl" hidden="1">2</definedName>
    <definedName name="solver_sho" hidden="1">2</definedName>
    <definedName name="solver_tim" hidden="1">100</definedName>
    <definedName name="solver_tmp" hidden="1">0.15</definedName>
    <definedName name="solver_tol" hidden="1">0.05</definedName>
    <definedName name="solver_typ" hidden="1">3</definedName>
    <definedName name="solver_val" hidden="1">0</definedName>
    <definedName name="solver2" hidden="1">#REF!</definedName>
    <definedName name="sort">#REF!</definedName>
    <definedName name="sot" hidden="1">#REF!</definedName>
    <definedName name="SpecialPrice" hidden="1">#REF!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ponsortier1">#REF!</definedName>
    <definedName name="sponsortier2">#REF!</definedName>
    <definedName name="sponsortier3">#REF!</definedName>
    <definedName name="sponsortier4">#REF!</definedName>
    <definedName name="SPWS_WBID">"8129601D-092E-4067-B84D-9BC90C2562C1"</definedName>
    <definedName name="SqFt">#REF!</definedName>
    <definedName name="sql_statement" hidden="1">"select distinct acct_cat,sum(cyr),sum(lyr),sum(cbd),mult_x000D_
from r1_datasum_x000D_
group by acct_cat_x000D_
_x000D_
"</definedName>
    <definedName name="SR_Lookup">#REF!</definedName>
    <definedName name="srhtjdtyjn" hidden="1">#REF!</definedName>
    <definedName name="srt" hidden="1">#REF!</definedName>
    <definedName name="ss" hidden="1">{"'Lennar U.S. Partners'!$A$1:$N$53"}</definedName>
    <definedName name="SS_fin_high_pg2">#REF!</definedName>
    <definedName name="SS_finhigh_pg1">#REF!</definedName>
    <definedName name="SS_mthoprslt_pg2">#REF!</definedName>
    <definedName name="SS_ytdoprslt_pg3">#REF!</definedName>
    <definedName name="ssm" hidden="1">#REF!</definedName>
    <definedName name="SSO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sss" hidden="1">{#N/A,#N/A,TRUE,"10 Yr Hold";#N/A,#N/A,TRUE,"7 Yr Hold";#N/A,#N/A,TRUE,"5 Yr Hold";#N/A,#N/A,TRUE,"3 Yr Hold"}</definedName>
    <definedName name="ssss" hidden="1">{#N/A,#N/A,FALSE,"Class A";#N/A,#N/A,FALSE,"Class B";#N/A,#N/A,FALSE,"Class C"}</definedName>
    <definedName name="SSSSSVS" hidden="1">{"print annual inc. statement",#N/A,FALSE,"Summary";"print annual stats",#N/A,FALSE,"Summary";"print quarterly inc. statement",#N/A,FALSE,"Summary";"print quarterly stats",#N/A,FALSE,"Summary"}</definedName>
    <definedName name="st" hidden="1">#REF!</definedName>
    <definedName name="ST_INPUT">#REF!</definedName>
    <definedName name="STAB">#REF!</definedName>
    <definedName name="STAB_ROLL_SF">#REF!</definedName>
    <definedName name="StableYr">#REF!</definedName>
    <definedName name="Stacked_Blue" hidden="1">"c1449"</definedName>
    <definedName name="Stadium" hidden="1">{#N/A,#N/A,TRUE,"Ericsson Stadium PCD ";#N/A,#N/A,TRUE,"Ericsson Stadium IOR"}</definedName>
    <definedName name="stadiuma" hidden="1">{#N/A,#N/A,TRUE,"Ericsson Stadium PCD ";#N/A,#N/A,TRUE,"Ericsson Stadium IOR"}</definedName>
    <definedName name="STANDARDS">#REF!</definedName>
    <definedName name="stands" hidden="1">{"FCB_ALL",#N/A,FALSE,"FCB";"GREY_ALL",#N/A,FALSE,"GREY"}</definedName>
    <definedName name="stands1" hidden="1">{"FCB_ALL",#N/A,FALSE,"FCB";"GREY_ALL",#N/A,FALSE,"GREY"}</definedName>
    <definedName name="stare" hidden="1">{#N/A,#N/A,TRUE,"A-site";#N/A,#N/A,TRUE,"B-Buildings";#N/A,#N/A,TRUE,"c-out-of-fence";#N/A,#N/A,TRUE,"d-proj.infr.";#N/A,#N/A,TRUE,"e- land"}</definedName>
    <definedName name="Start">#REF!</definedName>
    <definedName name="Start_Date">#REF!</definedName>
    <definedName name="Startcell">#REF!</definedName>
    <definedName name="StartCol">#REF!</definedName>
    <definedName name="StartDate">#REF!</definedName>
    <definedName name="StartRow">#REF!</definedName>
    <definedName name="StartYr">#REF!</definedName>
    <definedName name="State_List">#REF!</definedName>
    <definedName name="Statistics">#REF!</definedName>
    <definedName name="Status">#REF!</definedName>
    <definedName name="Status_Unit1">#REF!</definedName>
    <definedName name="Status1">#REF!</definedName>
    <definedName name="Status2">#REF!</definedName>
    <definedName name="Status3">#REF!</definedName>
    <definedName name="Status4">#REF!</definedName>
    <definedName name="Status5">#REF!</definedName>
    <definedName name="Status6">#REF!</definedName>
    <definedName name="Status7">#REF!</definedName>
    <definedName name="STNDRDPRS">#REF!</definedName>
    <definedName name="stop" hidden="1">#REF!</definedName>
    <definedName name="Straßenreinigung">#REF!</definedName>
    <definedName name="Strike">#REF!</definedName>
    <definedName name="StudentValueBasis">#REF!</definedName>
    <definedName name="stuff" hidden="1">{"CSheet",#N/A,FALSE,"C";"SmCap",#N/A,FALSE,"VAL1";"GulfCoast",#N/A,FALSE,"VAL1";"nav",#N/A,FALSE,"NAV";"Summary",#N/A,FALSE,"NAV"}</definedName>
    <definedName name="stupid" hidden="1">{"cap_structure",#N/A,FALSE,"Graph-Mkt Cap";"price",#N/A,FALSE,"Graph-Price";"ebit",#N/A,FALSE,"Graph-EBITDA";"ebitda",#N/A,FALSE,"Graph-EBITDA"}</definedName>
    <definedName name="subj_EBITDA" hidden="1">#REF!</definedName>
    <definedName name="SubsGrowth" hidden="1">#REF!</definedName>
    <definedName name="SUl" hidden="1">{#N/A,#N/A,FALSE,"Fund-II"}</definedName>
    <definedName name="SUMM">#REF!</definedName>
    <definedName name="SUMMARY">#REF!</definedName>
    <definedName name="SUMMARY_BOOK" hidden="1">{"page1",#N/A,FALSE,"GIRLBO";"page2",#N/A,FALSE,"GIRLBO";"page3",#N/A,FALSE,"GIRLBO";"page4",#N/A,FALSE,"GIRLBO";"page5",#N/A,FALSE,"GIRLBO"}</definedName>
    <definedName name="Summary2" hidden="1">{"INCOME",#N/A,FALSE,"ProNet";"VALUE",#N/A,FALSE,"ProNet"}</definedName>
    <definedName name="summary3" hidden="1">{"INCOME",#N/A,FALSE,"ProNet";"VALUE",#N/A,FALSE,"ProNet"}</definedName>
    <definedName name="summaryy" hidden="1">{#N/A,#N/A,TRUE,"Krycí list"}</definedName>
    <definedName name="Support4" hidden="1">{"BS_00",#N/A,FALSE,"Consolidated_BS";"BS_01",#N/A,FALSE,"Consolidated_BS";"BS_02",#N/A,FALSE,"Consolidated_BS";"IS_00",#N/A,FALSE,"Consolidated_IS";"IS_01",#N/A,FALSE,"Consolidated_IS";"IS_02",#N/A,FALSE,"Consolidated_IS";"SanMarcos_00",#N/A,FALSE,"San Marcos_IS";"SanMarcos_01",#N/A,FALSE,"San Marcos_IS";"SanMarcos_02",#N/A,FALSE,"San Marcos_IS";"Hagerstown_00",#N/A,FALSE,"Hagerstown_IS";"Hagerstown_01",#N/A,FALSE,"Hagerstown_IS";"Hagerstown_02",#N/A,FALSE,"Hagerstown_IS";"Corporate_00",#N/A,FALSE,"Corporate_IS";"Corporate_01",#N/A,FALSE,"Corporate_IS";"Corporate_02",#N/A,FALSE,"Corporate_IS";"Cash_Flow_00",#N/A,FALSE,"Consolidated_CashFlow";"Store#3_02",#N/A,FALSE,"Store#3";"Store#3_01",#N/A,FALSE,"Store#3";"Store#4_01",#N/A,FALSE,"Store#4";"Store#4_02",#N/A,FALSE,"Store#4";"Store#5_02",#N/A,FALSE,"Store#5";"Store#6_02",#N/A,FALSE,"Store#6";"San_Marcos_99",#N/A,FALSE,"San Marcos_IS _99";"Corporate_99",#N/A,FALSE,"Corp_IS_99"}</definedName>
    <definedName name="Susie" hidden="1">{#N/A,#N/A,FALSE,"ZellLurieFinSummary";#N/A,#N/A,FALSE,"FirstCapFinSummary";#N/A,#N/A,FALSE,"ZM I-III Consol FinSummary"}</definedName>
    <definedName name="switch">#REF!</definedName>
    <definedName name="Swvu.ALL." hidden="1">#REF!</definedName>
    <definedName name="Swvu.CAM._.RATES." hidden="1">#REF!</definedName>
    <definedName name="Swvu.CAM._.RECOVERIES." hidden="1">#REF!</definedName>
    <definedName name="Swvu.CAM._.RECOVERY." hidden="1">#REF!</definedName>
    <definedName name="Swvu.CAM._.TABLE." hidden="1">#REF!</definedName>
    <definedName name="Swvu.FRP_BACKLOG1." hidden="1">#REF!</definedName>
    <definedName name="Swvu.FRP_backlog2." hidden="1">#REF!</definedName>
    <definedName name="Swvu.inputs._.raw._.data." hidden="1">#REF!</definedName>
    <definedName name="Swvu.INSURANCE._.RECOVERIES." hidden="1">#REF!</definedName>
    <definedName name="Swvu.LSMEET." hidden="1">#REF!</definedName>
    <definedName name="Swvu.MARKETING._.REVENUE." hidden="1">#REF!</definedName>
    <definedName name="Swvu.MINIMUM._.RENT." hidden="1">#REF!</definedName>
    <definedName name="Swvu.OCCUPANCY." hidden="1">#REF!</definedName>
    <definedName name="Swvu.OCCUPANCY._.ANALYSIS." hidden="1">#REF!</definedName>
    <definedName name="Swvu.Overhead._.detail." hidden="1">#REF!</definedName>
    <definedName name="Swvu.PERCENTAGE._.RENT." hidden="1">#REF!</definedName>
    <definedName name="Swvu.Profit._.report._.detailed." hidden="1">#REF!</definedName>
    <definedName name="Swvu.Sommaire." hidden="1">#REF!,#REF!,#REF!,#REF!,#REF!,#REF!</definedName>
    <definedName name="Swvu.summary1." hidden="1">#REF!</definedName>
    <definedName name="Swvu.summary2." hidden="1">#REF!</definedName>
    <definedName name="Swvu.summary3." hidden="1">#REF!</definedName>
    <definedName name="Swvu.TAX._.RATES." hidden="1">#REF!</definedName>
    <definedName name="Swvu.TAX._.RECOVERIES." hidden="1">#REF!</definedName>
    <definedName name="Swvu.TAX._.RECOVERY." hidden="1">#REF!</definedName>
    <definedName name="Swvu.WAT." hidden="1">#REF!</definedName>
    <definedName name="sx" hidden="1">{#N/A,#N/A,FALSE,"Chart 2 by Prop Type"}</definedName>
    <definedName name="sxdfrtxdft" hidden="1">{#N/A,#N/A,FALSE,"CCC ACC Budget";#N/A,#N/A,FALSE,"Variance";#N/A,#N/A,FALSE,"CCC Rent Detail";#N/A,#N/A,FALSE,"COMMON AREA";#N/A,#N/A,FALSE,"CCC Electric Inclusion";#N/A,#N/A,FALSE,"CCC Opex Detail";#N/A,#N/A,FALSE,"CCC RE Tax Detail";#N/A,#N/A,FALSE,"CCC Chilled Wtr Inclusion";#N/A,#N/A,FALSE,"CCC OTHVAC ";#N/A,#N/A,FALSE,"CCC INPUT"}</definedName>
    <definedName name="syb">"MVX-CA"</definedName>
    <definedName name="T">#REF!</definedName>
    <definedName name="TABLE_1">#REF!</definedName>
    <definedName name="TABLE_3">#REF!</definedName>
    <definedName name="Table4">#REF!</definedName>
    <definedName name="Table4a">#REF!</definedName>
    <definedName name="Table5">#REF!</definedName>
    <definedName name="Table5a">#REF!</definedName>
    <definedName name="Table6">#REF!</definedName>
    <definedName name="Table6a">#REF!</definedName>
    <definedName name="TableName">"Dummy"</definedName>
    <definedName name="TableNames">#REF!,#REF!</definedName>
    <definedName name="tableofcontents">#REF!</definedName>
    <definedName name="TablePage2.com" hidden="1">{"COM",#N/A,FALSE,"800 10th"}</definedName>
    <definedName name="tables" hidden="1">#REF!</definedName>
    <definedName name="TableTypes">#REF!,#REF!</definedName>
    <definedName name="tanner">#REF!</definedName>
    <definedName name="Target" hidden="1">{"AnnualRentRoll",#N/A,FALSE,"RentRoll"}</definedName>
    <definedName name="Target.Company">"ETC-CA"</definedName>
    <definedName name="Tax_Rate">#REF!</definedName>
    <definedName name="TAXADJUST">#REF!</definedName>
    <definedName name="taxes">#REF!</definedName>
    <definedName name="TaxInflation">#REF!</definedName>
    <definedName name="TaxRate">#REF!</definedName>
    <definedName name="TAXRATE01">#REF!</definedName>
    <definedName name="TAXVALUE">#REF!</definedName>
    <definedName name="tbl_ProdInfo" hidden="1">#REF!</definedName>
    <definedName name="TC">#REF!</definedName>
    <definedName name="tdyjdtyj" hidden="1">{"Investor",#N/A,FALSE,"Model";"Property",#N/A,FALSE,"Model";"Incentive Taxes",#N/A,FALSE,"Model"}</definedName>
    <definedName name="temp" hidden="1">{"Financials",#N/A,FALSE,"Financials";"AVP",#N/A,FALSE,"AVP";"DCF",#N/A,FALSE,"DCF";"CSC",#N/A,FALSE,"CSC";"Deal_Comp",#N/A,FALSE,"DealComp"}</definedName>
    <definedName name="temp2" hidden="1">{"Print CRXLAND Assumptions",#N/A,FALSE,"CRXLAND Openings";"Print CRXLAND Openings",#N/A,FALSE,"CRXLAND Openings"}</definedName>
    <definedName name="template" hidden="1">{"'Lennar U.S. Partners'!$A$1:$N$53"}</definedName>
    <definedName name="tempor" hidden="1">{"print annual inc. statement",#N/A,FALSE,"Summary";"print annual stats",#N/A,FALSE,"Summary";"print quarterly inc. statement",#N/A,FALSE,"Summary";"print quarterly stats",#N/A,FALSE,"Summary";"print STAY opening assumptions",#N/A,FALSE,"STAY Openings";"print STAY openings",#N/A,FALSE,"STAY Openings";"Print SPHI Assumptions",#N/A,FALSE,"SPHI Openings";"Print SPHI Openings",#N/A,FALSE,"SPHI Openings";"Print CRXLAND Assumptions",#N/A,FALSE,"CRXLAND Openings";"Print CRXLAND Openings",#N/A,FALSE,"CRXLAND Openings"}</definedName>
    <definedName name="temporary" hidden="1">{"Construction Costs",#N/A,FALSE,"Total Costs"}</definedName>
    <definedName name="tenant">#REF!</definedName>
    <definedName name="tenant_address">#REF!</definedName>
    <definedName name="tenant_list">#REF!</definedName>
    <definedName name="Term_in_years">#REF!</definedName>
    <definedName name="TermCap">#REF!</definedName>
    <definedName name="TermCap_yr10">#REF!</definedName>
    <definedName name="TermCap_yr3">#REF!</definedName>
    <definedName name="TermCap_yr5">#REF!</definedName>
    <definedName name="Terminate">#REF!</definedName>
    <definedName name="test" hidden="1">{#N/A,#N/A,FALSE,"HISTORICAL REV &amp; EXP"}</definedName>
    <definedName name="test1" hidden="1">#REF!</definedName>
    <definedName name="test10" hidden="1">{"INCOME",#N/A,FALSE,"ProNet";"VALUE",#N/A,FALSE,"ProNet"}</definedName>
    <definedName name="test100" hidden="1">{"View1",#N/A,FALSE,"Sheet1";"View2",#N/A,FALSE,"Sheet1"}</definedName>
    <definedName name="test11" hidden="1">{#N/A,#N/A,FALSE,"Fund-II"}</definedName>
    <definedName name="Test2" hidden="1">{"INCOME",#N/A,FALSE,"ProNet";"VALUE",#N/A,FALSE,"ProNet"}</definedName>
    <definedName name="Test2_old" hidden="1">{"INCOME",#N/A,FALSE,"ProNet";"VALUE",#N/A,FALSE,"ProNet"}</definedName>
    <definedName name="test20" hidden="1">{"INCOME",#N/A,FALSE,"ProNet";"VALUE",#N/A,FALSE,"ProNet"}</definedName>
    <definedName name="test3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est3_old" hidden="1">{"INCOME",#N/A,FALSE,"ProNet";"VALUE",#N/A,FALSE,"ProNet"}</definedName>
    <definedName name="test30" hidden="1">{"INCOME",#N/A,FALSE,"ProNet";"VALUE",#N/A,FALSE,"ProNet"}</definedName>
    <definedName name="test4" hidden="1">{"CHART",#N/A,FALSE,"Arch Communications"}</definedName>
    <definedName name="test4_old" hidden="1">{"CHART",#N/A,FALSE,"Arch Communications"}</definedName>
    <definedName name="test40" hidden="1">{"CHART",#N/A,FALSE,"Arch Communications"}</definedName>
    <definedName name="test6" hidden="1">{"CHART",#N/A,FALSE,"Arch Communications"}</definedName>
    <definedName name="test60" hidden="1">{"CHART",#N/A,FALSE,"Arch Communications"}</definedName>
    <definedName name="testcopy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TestIIL1">NOT(ISERR(DATEVALUE(LEFT([0]!cc,FIND("|", [0]!cc)-1) &amp; "/01")))</definedName>
    <definedName name="TestIIL2">ISNUMBER(VALUE(MID([0]!cc,FP+1, FIND("|", [0]!cc, FP+1)-FP-1)))</definedName>
    <definedName name="TestIIL3">OR(RIGHT([0]!cc,1)="0", RIGHT([0]!cc,1)="1")</definedName>
    <definedName name="testing2" hidden="1">{"View1",#N/A,FALSE,"Sheet1";"View2",#N/A,FALSE,"Sheet1"}</definedName>
    <definedName name="testnig" hidden="1">{#N/A,#N/A,FALSE,"OVERVIEW"}</definedName>
    <definedName name="testparkave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TextRefCopyRangeCount" hidden="1">9</definedName>
    <definedName name="tgreta" hidden="1">#REF!</definedName>
    <definedName name="th" hidden="1">{#N/A,#N/A,FALSE,"SPacific";#N/A,#N/A,FALSE,"Hanover";#N/A,#N/A,FALSE,"Fairbanks";#N/A,#N/A,FALSE,"Life Savings";#N/A,#N/A,FALSE,"Ocwen";#N/A,#N/A,FALSE,"EMACC";#N/A,#N/A,FALSE,"CREC";#N/A,#N/A,FALSE,"SPTL";#N/A,#N/A,FALSE,"Thornberg";#N/A,#N/A,FALSE,"Conti Res";#N/A,#N/A,FALSE,"Conti Com";#N/A,#N/A,FALSE,"EMAQ";#N/A,#N/A,FALSE,"Fair1"}</definedName>
    <definedName name="Thou">#REF!</definedName>
    <definedName name="Threeyr_Data" hidden="1">#REF!</definedName>
    <definedName name="TI" hidden="1">#REF!</definedName>
    <definedName name="TI_BLEND">#REF!</definedName>
    <definedName name="TI_NEW">#REF!</definedName>
    <definedName name="TI_RENEWAL">#REF!</definedName>
    <definedName name="ticker">"B1Z95S"</definedName>
    <definedName name="tickname" hidden="1">#REF!</definedName>
    <definedName name="tilcdebt">#REF!</definedName>
    <definedName name="title">#REF!</definedName>
    <definedName name="TM1REBUILDOPTION">0</definedName>
    <definedName name="TMS_TEMPLATE_ID">"Workbook"</definedName>
    <definedName name="TOTA196">#REF!</definedName>
    <definedName name="TOTA295">#REF!</definedName>
    <definedName name="TOTA296">#REF!</definedName>
    <definedName name="Total">#REF!</definedName>
    <definedName name="Total_Net_Purchase_Price">#REF!</definedName>
    <definedName name="Total_Parking_Income">#REF!</definedName>
    <definedName name="Total_Pay">#REF!</definedName>
    <definedName name="Total_Payment">SCHEDULED_PAYMENT+EXTRA_PAYMENT</definedName>
    <definedName name="Total_Sales_Price">#REF!</definedName>
    <definedName name="Total_Subsidiary_Space_Income">#REF!</definedName>
    <definedName name="Total_Units">#REF!</definedName>
    <definedName name="TotalCF">#REF!</definedName>
    <definedName name="TotalCollected">#REF!</definedName>
    <definedName name="TotalHardCosts" hidden="1">#REF!</definedName>
    <definedName name="TOTALNRA">#REF!</definedName>
    <definedName name="TotalProjectOHLot" hidden="1">#REF!</definedName>
    <definedName name="TOTALrevenue">#REF!</definedName>
    <definedName name="TotalSalesPrice" hidden="1">#REF!</definedName>
    <definedName name="TotalSF">#REF!</definedName>
    <definedName name="TotalUnits">#REF!</definedName>
    <definedName name="totcap" hidden="1">#REF!,#REF!,#REF!,#REF!</definedName>
    <definedName name="TotCost">#REF!</definedName>
    <definedName name="TotEq">#REF!</definedName>
    <definedName name="TOTNRA">#REF!</definedName>
    <definedName name="TOTPRICE">#REF!</definedName>
    <definedName name="TP_Footer_Path" hidden="1">"S:\01534\2003RET\016\PROJ FILE\"</definedName>
    <definedName name="TP_Footer_User" hidden="1">"omichij"</definedName>
    <definedName name="TP_Footer_Version" hidden="1">"v3.00"</definedName>
    <definedName name="Trans_Cost">#REF!</definedName>
    <definedName name="treeList" hidden="1">"11100000000000000000000000000000000000000000000000000000000000000000000000000000000000000000000000000000000000000000000000000000000000000000000000000000000000000000000000000000000000000000000000000000"</definedName>
    <definedName name="trhrwty" hidden="1">#REF!</definedName>
    <definedName name="Trial">#REF!</definedName>
    <definedName name="trtyr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tt" hidden="1">#REF!</definedName>
    <definedName name="tttt" hidden="1">{"data",#N/A,FALSE,"INPUT"}</definedName>
    <definedName name="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vguide">#REF!</definedName>
    <definedName name="twn" hidden="1">{"Analysis of Non Group Investments",#N/A,TRUE,"Support";"Income And Gains",#N/A,TRUE,"Support";"Inter Coy Interest and Divs",#N/A,TRUE,"Support";"Divs paid and payable",#N/A,TRUE,"Support";"Amounts due to Group Coys",#N/A,TRUE,"Support";"Amounts due from Group Coys.",#N/A,TRUE,"Support";"Holdings In Group Coys",#N/A,TRUE,"Support";"Cash Flow",#N/A,TRUE,"Support";"Staff Nos.",#N/A,TRUE,"Support"}</definedName>
    <definedName name="twohy">#REF!</definedName>
    <definedName name="tyjetyj" hidden="1">#REF!</definedName>
    <definedName name="tyjsrty" hidden="1">{"Investor",#N/A,FALSE,"Model";"Property",#N/A,FALSE,"Model";"Incentive Taxes",#N/A,FALSE,"Model"}</definedName>
    <definedName name="tykjthk" hidden="1">{"Investor",#N/A,FALSE,"Model";"Property",#N/A,FALSE,"Model";"Incentive Taxes",#N/A,FALSE,"Model"}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tynonasset" hidden="1">#REF!</definedName>
    <definedName name="Type">#REF!</definedName>
    <definedName name="type_1">#REF!</definedName>
    <definedName name="type_1_breakpoint">#REF!</definedName>
    <definedName name="type_1_SF">#REF!</definedName>
    <definedName name="type_2">#REF!</definedName>
    <definedName name="type_2_breakpoint">#REF!</definedName>
    <definedName name="type_2_SF">#REF!</definedName>
    <definedName name="type_3">#REF!</definedName>
    <definedName name="type_3_breakpoint">#REF!</definedName>
    <definedName name="type_3_SF">#REF!</definedName>
    <definedName name="type_4">#REF!</definedName>
    <definedName name="type_4_breakpoint">#REF!</definedName>
    <definedName name="type_4_SF">#REF!</definedName>
    <definedName name="type_5">#REF!</definedName>
    <definedName name="type_5_breakpoint">#REF!</definedName>
    <definedName name="type_5_SF">#REF!</definedName>
    <definedName name="TypeList">#REF!</definedName>
    <definedName name="tyrt" hidden="1">{"Lot Prices",#N/A,FALSE,"LOTS-PRICING";"lot1",#N/A,FALSE,"Lots";"lot2",#N/A,FALSE,"Lots";"Lot3",#N/A,FALSE,"Lots";"lot4",#N/A,FALSE,"Lots";"lot5",#N/A,FALSE,"Lots";"lot6",#N/A,FALSE,"Lots";"lot7",#N/A,FALSE,"Lots";"lot8",#N/A,FALSE,"Lots";"lot9",#N/A,FALSE,"Lots";"lot10",#N/A,FALSE,"Lots";"lot11",#N/A,FALSE,"Lots";"lot12",#N/A,FALSE,"Lots"}</definedName>
    <definedName name="u" hidden="1">{"CSheet",#N/A,FALSE,"C";"SmCap",#N/A,FALSE,"VAL1";"GulfCoast",#N/A,FALSE,"VAL1";"nav",#N/A,FALSE,"NAV";"Summary",#N/A,FALSE,"NAV"}</definedName>
    <definedName name="Überschuss___Fehlbetrag">#REF!</definedName>
    <definedName name="UCosts">#REF!</definedName>
    <definedName name="uen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ui" hidden="1">{"Total",#N/A,FALSE,"Total Proved";"PDP",#N/A,FALSE,"Total Proved";"PNP",#N/A,FALSE,"Total Proved";"PUD",#N/A,FALSE,"Total Proved"}</definedName>
    <definedName name="uigl" hidden="1">#REF!</definedName>
    <definedName name="uioiuo" hidden="1">{#N/A,#N/A,FALSE,"Highridge Return Analysis";#N/A,#N/A,FALSE,"Sale @ end of year 3 (4yr Plan)";#N/A,#N/A,FALSE,"Highridge Assumption Page"}</definedName>
    <definedName name="uiyui" hidden="1">{"sheet a",#N/A,FALSE,"A";"2 9 casflow",#N/A,FALSE,"B"}</definedName>
    <definedName name="uj" hidden="1">{#N/A,#N/A,FALSE,"Chart 2 by Prop Type"}</definedName>
    <definedName name="uky" hidden="1">#REF!</definedName>
    <definedName name="Unit">#REF!</definedName>
    <definedName name="UNIT_MIX">#REF!</definedName>
    <definedName name="Unit_Number">#REF!</definedName>
    <definedName name="Unit_Type">#REF!</definedName>
    <definedName name="Unit1_Info">#REF!</definedName>
    <definedName name="Unit1_Mo1">#REF!</definedName>
    <definedName name="Unit1_Rents">#REF!</definedName>
    <definedName name="UNIT95">#REF!</definedName>
    <definedName name="unitcount">#REF!</definedName>
    <definedName name="Units">#REF!</definedName>
    <definedName name="unitsav100">#REF!</definedName>
    <definedName name="unitsav101">#REF!</definedName>
    <definedName name="unitsav102">#REF!</definedName>
    <definedName name="unitsav103">#REF!</definedName>
    <definedName name="unitsav104">#REF!</definedName>
    <definedName name="unitsav105">#REF!</definedName>
    <definedName name="unitsav106">#REF!</definedName>
    <definedName name="unitsav107">#REF!</definedName>
    <definedName name="unitsav197">#REF!</definedName>
    <definedName name="unitsav198">#REF!</definedName>
    <definedName name="unitsav199">#REF!</definedName>
    <definedName name="unitsav200">#REF!</definedName>
    <definedName name="unitsav201">#REF!</definedName>
    <definedName name="unitsav202">#REF!</definedName>
    <definedName name="unitsav203">#REF!</definedName>
    <definedName name="unitsav204">#REF!</definedName>
    <definedName name="unitsav205">#REF!</definedName>
    <definedName name="unitsav206">#REF!</definedName>
    <definedName name="unitsav207">#REF!</definedName>
    <definedName name="unitsav297">#REF!</definedName>
    <definedName name="unitsav298">#REF!</definedName>
    <definedName name="unitsav299">#REF!</definedName>
    <definedName name="UNITSORD196">#REF!</definedName>
    <definedName name="Unrec_Costs">#REF!</definedName>
    <definedName name="Unrec_Exp">#REF!</definedName>
    <definedName name="Unrecoverable">#REF!</definedName>
    <definedName name="Unreserved">#REF!</definedName>
    <definedName name="USDollar" hidden="1">#REF!</definedName>
    <definedName name="UTIL2000">#REF!</definedName>
    <definedName name="UTIL2001">#REF!</definedName>
    <definedName name="uu" hidden="1">#REF!</definedName>
    <definedName name="uw4u" hidden="1">{"Investor",#N/A,FALSE,"Model";"Property",#N/A,FALSE,"Model";"Incentive Taxes",#N/A,FALSE,"Model"}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" hidden="1">#REF!</definedName>
    <definedName name="v_Key1" hidden="1">#REF!</definedName>
    <definedName name="v_Key2" hidden="1">#REF!</definedName>
    <definedName name="Vac">#REF!</definedName>
    <definedName name="VACANCY">#REF!</definedName>
    <definedName name="VACANT">#REF!</definedName>
    <definedName name="vacant_unit_count">#REF!</definedName>
    <definedName name="vacant_unit_rent">#REF!</definedName>
    <definedName name="vacant_unit_size">#REF!</definedName>
    <definedName name="vacant_unit_type">#REF!</definedName>
    <definedName name="VACINP">#REF!</definedName>
    <definedName name="VACNRA">#REF!</definedName>
    <definedName name="VALRA1">#REF!</definedName>
    <definedName name="VALRN1">#REF!</definedName>
    <definedName name="VALRN10">#REF!</definedName>
    <definedName name="VALRN11">#REF!</definedName>
    <definedName name="VALRN12">#REF!</definedName>
    <definedName name="VALRN2">#REF!</definedName>
    <definedName name="VALRN3">#REF!</definedName>
    <definedName name="VALRN4">#REF!</definedName>
    <definedName name="VALRN5">#REF!</definedName>
    <definedName name="VALRN6">#REF!</definedName>
    <definedName name="VALRN7">#REF!</definedName>
    <definedName name="VALRN8">#REF!</definedName>
    <definedName name="VALRN9">#REF!</definedName>
    <definedName name="VALRQ1">#REF!</definedName>
    <definedName name="VALRQ2">#REF!</definedName>
    <definedName name="VALRQ3">#REF!</definedName>
    <definedName name="VALRS1">#REF!</definedName>
    <definedName name="VALRS2">#REF!</definedName>
    <definedName name="VALRS3">#REF!</definedName>
    <definedName name="VALRS4">#REF!</definedName>
    <definedName name="VALRV1">#REF!</definedName>
    <definedName name="VALRV2">#REF!</definedName>
    <definedName name="VALRV3">#REF!</definedName>
    <definedName name="VALRV4">#REF!</definedName>
    <definedName name="VALRW1">#REF!</definedName>
    <definedName name="VALUE">#N/A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lues_Entered">IF(Loan_Amount*Interest_Rate*Loan_Years*Loan_Start&gt;0,1,0)</definedName>
    <definedName name="VALUESUM">#REF!</definedName>
    <definedName name="var96_96" hidden="1">{#N/A,#N/A,FALSE,"B_Spread"}</definedName>
    <definedName name="VarExp">#REF!</definedName>
    <definedName name="vasugi" hidden="1">{#N/A,#N/A,FALSE,"Class A";#N/A,#N/A,FALSE,"Class B";#N/A,#N/A,FALSE,"Class C"}</definedName>
    <definedName name="vc" hidden="1">#REF!</definedName>
    <definedName name="Versicherungen">#REF!</definedName>
    <definedName name="VerwGeb_SOLL">#REF!</definedName>
    <definedName name="vghjkvgh" hidden="1">{#N/A,#N/A,FALSE,"Expense Detail ";#N/A,#N/A,FALSE,"Worksheet";#N/A,#N/A,FALSE,"Audit";#N/A,#N/A,FALSE,"Exclusions";#N/A,#N/A,FALSE,"Variance";#N/A,#N/A,FALSE,"Reconciliation"}</definedName>
    <definedName name="vghvgh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vhjh" hidden="1">{#N/A,#N/A,FALSE,"CCC ACC Budget";#N/A,#N/A,FALSE,"Variance";#N/A,#N/A,FALSE,"CCC Rent Detail";#N/A,#N/A,FALSE,"COMMON AREA";#N/A,#N/A,FALSE,"CCC Electric Inclusion";#N/A,#N/A,FALSE,"CCC Opex Detail";#N/A,#N/A,FALSE,"CCC RE Tax Detail";#N/A,#N/A,FALSE,"CCC Chilled Wtr Inclusion";#N/A,#N/A,FALSE,"CCC OTHVAC ";#N/A,#N/A,FALSE,"CCC INPUT"}</definedName>
    <definedName name="viasat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VIGRIN.Operations._.Review" hidden="1">{#N/A,#N/A,FALSE,"Proforma Five Yr";#N/A,#N/A,FALSE,"Occ and Rate";#N/A,#N/A,FALSE,"PF Input";#N/A,#N/A,FALSE,"Hotcomps"}</definedName>
    <definedName name="VIRG.Complete._.Review" hidden="1">{#N/A,#N/A,FALSE,"Occ and Rate";#N/A,#N/A,FALSE,"PF Input";#N/A,#N/A,FALSE,"Capital Input";#N/A,#N/A,FALSE,"Proforma Five Yr";#N/A,#N/A,FALSE,"Calculations";#N/A,#N/A,FALSE,"Transaction Summary-DTW"}</definedName>
    <definedName name="VIRGIN.Investment._.Review" hidden="1">{#N/A,#N/A,FALSE,"Proforma Five Yr";#N/A,#N/A,FALSE,"Capital Input";#N/A,#N/A,FALSE,"Calculations";#N/A,#N/A,FALSE,"Transaction Summary-DTW"}</definedName>
    <definedName name="VIRGIN.Phase._.I." hidden="1">{#N/A,#N/A,FALSE,"Transaction Summary-DTW";#N/A,#N/A,FALSE,"Proforma Five Yr";#N/A,#N/A,FALSE,"Occ and Rate"}</definedName>
    <definedName name="VIRGIN.Proforma._.Review." hidden="1">{#N/A,#N/A,FALSE,"Occ and Rate";#N/A,#N/A,FALSE,"PF Input";#N/A,#N/A,FALSE,"Proforma Five Yr";#N/A,#N/A,FALSE,"Hotcomps"}</definedName>
    <definedName name="vj" hidden="1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vnbs" hidden="1">{"FCB_ALL",#N/A,FALSE,"FCB"}</definedName>
    <definedName name="vsr" hidden="1">{"FCB_ALL",#N/A,FALSE,"FCB"}</definedName>
    <definedName name="vv" hidden="1">#REF!</definedName>
    <definedName name="vvv" hidden="1">{"1998",#N/A,FALSE,"1998"}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vz" hidden="1">{"mgmt forecast",#N/A,FALSE,"Mgmt Forecast";"dcf table",#N/A,FALSE,"Mgmt Forecast";"sensitivity",#N/A,FALSE,"Mgmt Forecast";"table inputs",#N/A,FALSE,"Mgmt Forecast";"calculations",#N/A,FALSE,"Mgmt Forecast"}</definedName>
    <definedName name="vzx" hidden="1">{"mgmt forecast",#N/A,FALSE,"Mgmt Forecast";"dcf table",#N/A,FALSE,"Mgmt Forecast";"sensitivity",#N/A,FALSE,"Mgmt Forecast";"table inputs",#N/A,FALSE,"Mgmt Forecast";"calculations",#N/A,FALSE,"Mgmt Forecast"}</definedName>
    <definedName name="w" hidden="1">{"Assump",#N/A,TRUE,"Proforma";"first",#N/A,TRUE,"Proforma";"second",#N/A,TRUE,"Proforma";"lease1",#N/A,TRUE,"Proforma";"lease2",#N/A,TRUE,"Proforma"}</definedName>
    <definedName name="WACCnew" hidden="1">{"CHART",#N/A,FALSE,"Arch Communications"}</definedName>
    <definedName name="wafe" hidden="1">{"summary1",#N/A,TRUE,"Comps";"summary2",#N/A,TRUE,"Comps";"summary3",#N/A,TRUE,"Comps"}</definedName>
    <definedName name="WageType">#REF!</definedName>
    <definedName name="WalkYTDBudNEW" hidden="1">{"FIXVARIANCE",#N/A,FALSE,"COSTPHSE";"SOURCING",#N/A,FALSE,"COSTPHSE"}</definedName>
    <definedName name="Ward2273" hidden="1">{"Page 1",#N/A,FALSE,"92264 Page 1";"Page 2",#N/A,FALSE,"92264 Page 2";"Page 3",#N/A,FALSE,"92264 Page 3";"Page 4",#N/A,FALSE,"92264 Page 4";"Page 5",#N/A,FALSE,"92264 Page 5";"Page 6",#N/A,FALSE,"92264 Page 6";"Page 7",#N/A,FALSE,"92264 Page 7";"Page 8",#N/A,FALSE,"92264 Page 8"}</definedName>
    <definedName name="Wartung_Aufzug">#REF!</definedName>
    <definedName name="Wartung_Heizung">#REF!</definedName>
    <definedName name="was" hidden="1">{#N/A,#N/A,FALSE,"Chart 2 by Prop Type"}</definedName>
    <definedName name="WatertownIncl.">#REF!</definedName>
    <definedName name="we" hidden="1">{#N/A,#N/A,FALSE,"Chart 2 by Prop Type"}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fdsf" hidden="1">{#N/A,#N/A,FALSE,"Consolidated";#N/A,#N/A,FALSE,"Available Credit";#N/A,#N/A,FALSE,"100% Owned";#N/A,#N/A,FALSE,"Bentall U.S. LLC";#N/A,#N/A,FALSE,"Bentall Properties (U.S.) Ltd.";#N/A,#N/A,FALSE,"Schedule I"}</definedName>
    <definedName name="wegj56" hidden="1">{"scen1",#N/A,FALSE,"Scenarios";"scen2",#N/A,FALSE,"Scenarios"}</definedName>
    <definedName name="wen" hidden="1">{"Assumptions",#N/A,FALSE,"input page"}</definedName>
    <definedName name="wepij" hidden="1">#REF!</definedName>
    <definedName name="WEQQE" hidden="1">{"summary1",#N/A,TRUE,"Comps";"summary2",#N/A,TRUE,"Comps";"summary3",#N/A,TRUE,"Comps"}</definedName>
    <definedName name="wer" hidden="1">{"Total",#N/A,FALSE,"Six Fields";"PDP",#N/A,FALSE,"Six Fields";"PNP",#N/A,FALSE,"Six Fields";"PUD",#N/A,FALSE,"Six Fields";"Prob",#N/A,FALSE,"Six Fields"}</definedName>
    <definedName name="were" hidden="1">{"CHART",#N/A,FALSE,"Arch Communications"}</definedName>
    <definedName name="were2" hidden="1">{"CHART",#N/A,FALSE,"Arch Communications"}</definedName>
    <definedName name="wertewrt" hidden="1">#REF!</definedName>
    <definedName name="wertwert" hidden="1">{0,0,0,0;0,0,0,0;0,0,0,0;0,0,0,0;0,0,0,0}</definedName>
    <definedName name="werw" hidden="1">{#N/A,#N/A,TRUE,"COVER";#N/A,#N/A,TRUE,"PROFORMA";#N/A,#N/A,TRUE,"Construction CF";#N/A,#N/A,TRUE,"CASHFLOW"}</definedName>
    <definedName name="werwer" hidden="1">#N/A</definedName>
    <definedName name="werwerw" hidden="1">#N/A</definedName>
    <definedName name="West" hidden="1">#REF!</definedName>
    <definedName name="wet" hidden="1">{"CSheet",#N/A,FALSE,"C";"SmCap",#N/A,FALSE,"VAL1";"GulfCoast",#N/A,FALSE,"VAL1";"nav",#N/A,FALSE,"NAV";"Summary",#N/A,FALSE,"NAV"}</definedName>
    <definedName name="wetadf" hidden="1">{"Assump",#N/A,TRUE,"Proforma";"first",#N/A,TRUE,"Proforma";"second",#N/A,TRUE,"Proforma";"lease1",#N/A,TRUE,"Proforma";"lease2",#N/A,TRUE,"Proforma"}</definedName>
    <definedName name="WF_2_Inc">#REF!</definedName>
    <definedName name="WF_3_Inc">#REF!</definedName>
    <definedName name="what" hidden="1">{"clp_bs_doc",#N/A,FALSE,"CLP";"clp_is_doc",#N/A,FALSE,"CLP";"clp_cf_doc",#N/A,FALSE,"CLP";"clp_fr_doc",#N/A,FALSE,"CLP"}</definedName>
    <definedName name="what_asdf2" hidden="1">{#N/A,#N/A,FALSE,"OperatingAssumptions"}</definedName>
    <definedName name="what_asdf2_1" hidden="1">{#N/A,#N/A,FALSE,"OperatingAssumptions"}</definedName>
    <definedName name="what_asdf2_2" hidden="1">{#N/A,#N/A,FALSE,"OperatingAssumptions"}</definedName>
    <definedName name="what_asdf2_3" hidden="1">{#N/A,#N/A,FALSE,"OperatingAssumptions"}</definedName>
    <definedName name="what_asdf2_4" hidden="1">{#N/A,#N/A,FALSE,"OperatingAssumptions"}</definedName>
    <definedName name="Whatever" hidden="1">#REF!</definedName>
    <definedName name="whatwhat" hidden="1">{"Page1",#N/A,FALSE,"7979";"Page2",#N/A,FALSE,"7979";"Page3",#N/A,FALSE,"7979"}</definedName>
    <definedName name="whitehall">#REF!</definedName>
    <definedName name="WHSPLIT">#REF!</definedName>
    <definedName name="wilshire">#REF!</definedName>
    <definedName name="wmp" hidden="1">{#N/A,#N/A,FALSE,"ENGINEERING"}</definedName>
    <definedName name="wn.all." hidden="1">{#N/A,#N/A,FALSE,"Class A";#N/A,#N/A,FALSE,"Class B";#N/A,#N/A,FALSE,"Class C"}</definedName>
    <definedName name="wn.Management._.Report." hidden="1">{#N/A,#N/A,FALSE,"Title - Management";#N/A,#N/A,FALSE,"Schedule 1a";#N/A,#N/A,FALSE,"Schedule 2 - 2001";#N/A,#N/A,FALSE,"Schedule 2 - 2002";#N/A,#N/A,FALSE,"Schedule 2 - 2003";#N/A,#N/A,FALSE,"Schedule 3 - Mgnt ";#N/A,#N/A,FALSE,"Schedule 3";#N/A,#N/A,FALSE,"Schedule 4";#N/A,#N/A,FALSE,"Schedule 4a - Mgnt";#N/A,#N/A,FALSE,"Schedule 5";#N/A,#N/A,FALSE,"Schedule 5a";#N/A,#N/A,FALSE,"Schedule 6";#N/A,#N/A,FALSE,"Schedule 6a";#N/A,#N/A,FALSE,"Schedule 6b";#N/A,#N/A,FALSE,"Schedule 6c";#N/A,#N/A,FALSE,"Schedule 6d";#N/A,#N/A,FALSE,"Schedule 6e";#N/A,#N/A,FALSE,"Schedule 7";#N/A,#N/A,FALSE,"Schedule 8";#N/A,#N/A,FALSE,"Schedule 9- Mgnt";#N/A,#N/A,FALSE,"Schedule 10 - Mgmt Fees - Mgnt";#N/A,#N/A,FALSE,"Schedule 10- Leasing Fees- Mgnt";#N/A,#N/A,FALSE,"Schedule 10 - Devel Fees- Mgnt"}</definedName>
    <definedName name="woolworth">#REF!</definedName>
    <definedName name="worksheet_signature">#REF!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.all." hidden="1">{#N/A,#N/A,FALSE,"Class A";#N/A,#N/A,FALSE,"Class B";#N/A,#N/A,FALSE,"Class C"}</definedName>
    <definedName name="wr.alll." hidden="1">{#N/A,#N/A,FALSE,"Class A";#N/A,#N/A,FALSE,"Class B";#N/A,#N/A,FALSE,"Class C"}</definedName>
    <definedName name="wr.Basic._.Forecast.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wr.Brookfield._.Notes." hidden="1">{#N/A,#N/A,FALSE,"Note 2";#N/A,#N/A,FALSE,"Note 3";#N/A,#N/A,FALSE,"Note 4";#N/A,#N/A,FALSE,"Note 5";#N/A,#N/A,FALSE,"Note 6";#N/A,#N/A,FALSE,"Note 10"}</definedName>
    <definedName name="wr.Brookfield._.Notes._1" hidden="1">{#N/A,#N/A,FALSE,"Note 2";#N/A,#N/A,FALSE,"Note 3";#N/A,#N/A,FALSE,"Note 4";#N/A,#N/A,FALSE,"Note 5";#N/A,#N/A,FALSE,"Note 6";#N/A,#N/A,FALSE,"Note 10"}</definedName>
    <definedName name="wr.Brookfield._.Notes._2" hidden="1">{#N/A,#N/A,FALSE,"Note 2";#N/A,#N/A,FALSE,"Note 3";#N/A,#N/A,FALSE,"Note 4";#N/A,#N/A,FALSE,"Note 5";#N/A,#N/A,FALSE,"Note 6";#N/A,#N/A,FALSE,"Note 10"}</definedName>
    <definedName name="wrd.2._.pagers.3" hidden="1">{"Cover",#N/A,FALSE,"Cover";"Summary",#N/A,FALSE,"Summarpage"}</definedName>
    <definedName name="wrn" hidden="1">{#N/A,#N/A,FALSE,"ZellLurieFinSummary";#N/A,#N/A,FALSE,"FirstCapFinSummary";#N/A,#N/A,FALSE,"ZM I-III Consol FinSummary"}</definedName>
    <definedName name="wrn_suite" hidden="1">{"2001 Accum",#N/A,FALSE,"ACCUM SUM"}</definedName>
    <definedName name="wrn.042696." hidden="1">{#N/A,#N/A,FALSE,"Master Summ";#N/A,#N/A,FALSE,"Rem Obl";#N/A,#N/A,FALSE,"320 Park";#N/A,#N/A,FALSE,"520 Mad (LL 41)";#N/A,#N/A,FALSE,"520 Mad (Proj 41)";#N/A,#N/A,FALSE,"1 Rock"}</definedName>
    <definedName name="wrn.1._.Page._.Summaries." hidden="1">{"S/A 1 Summary 1P",#N/A,FALSE,"Core Assumptions";"S/A 2 Summary 1P",#N/A,FALSE,"Core Assumptions";"S/A 3 Summary 1P",#N/A,FALSE,"Core Assumptions";"S/A Summary 4 1P",#N/A,FALSE,"Core Assumptions";"Core Assumptions",#N/A,FALSE,"Core Assumptions";"T/O Assumptions",#N/A,FALSE,"Take Over Assumptions"}</definedName>
    <definedName name="wrn.1._.Recap._.Model." hidden="1">{"1 - Summary",#N/A,TRUE,"Project Summary";"1 - Dev Budg",#N/A,TRUE,"Project Summary";"1 - Annual",#N/A,TRUE,"Project Annual";"1 - Leasing",#N/A,TRUE,"Phase I"}</definedName>
    <definedName name="wrn.10._.Year._.Analysis." hidden="1">{"Data Input",#N/A,TRUE,"Data Input";"10-Yr Cash Flow",#N/A,TRUE,"Cash Flow";"10-Yr Value",#N/A,TRUE,"Value "}</definedName>
    <definedName name="wrn.1111._.Report." hidden="1">{#N/A,#N/A,FALSE,"Annualized Flows";#N/A,#N/A,FALSE,"Comparison";#N/A,#N/A,FALSE,"OpEx - Detail";#N/A,#N/A,FALSE,"Overall - Summary";#N/A,#N/A,FALSE,"Revenue - Summary";#N/A,#N/A,FALSE,"Rental - Detail";#N/A,#N/A,FALSE,"Escalate - Template";#N/A,#N/A,FALSE,"Escalate - Tenants";#N/A,#N/A,FALSE,"Escalate - M to M";#N/A,#N/A,FALSE,"Garage - Detail";#N/A,#N/A,FALSE,"Other - Detail";#N/A,#N/A,FALSE,"OpEx - Summary";#N/A,#N/A,FALSE,"Notes (2)";#N/A,#N/A,FALSE,"Notes";#N/A,#N/A,FALSE,"NRExp - Summary";#N/A,#N/A,FALSE,"NRExp - Detail";#N/A,#N/A,FALSE,"Capx - Summary";#N/A,#N/A,FALSE,"Capx - Detail";#N/A,#N/A,FALSE,"Debt";#N/A,#N/A,FALSE,"Forecast - Summary";#N/A,#N/A,FALSE,"Forecast - Detail";#N/A,#N/A,FALSE,"Forecast - Rent";#N/A,#N/A,FALSE,"Forecast - Garage";#N/A,#N/A,FALSE,"Forecast - Capx"}</definedName>
    <definedName name="wrn.1112._.Report." hidden="1">{#N/A,#N/A,FALSE,"Annualized Flows";#N/A,#N/A,FALSE,"Comparison";#N/A,#N/A,FALSE,"OpEx - Detail";#N/A,#N/A,FALSE,"Overall - Summary";#N/A,#N/A,FALSE,"Revenue - Summary";#N/A,#N/A,FALSE,"Rental - Detail";#N/A,#N/A,FALSE,"Escalate - Template";#N/A,#N/A,FALSE,"Escalate - Tenants";#N/A,#N/A,FALSE,"Escalate - M to M";#N/A,#N/A,FALSE,"Garage - Detail";#N/A,#N/A,FALSE,"Other - Detail";#N/A,#N/A,FALSE,"OpEx - Summary";#N/A,#N/A,FALSE,"Notes (2)";#N/A,#N/A,FALSE,"Notes";#N/A,#N/A,FALSE,"NRExp - Summary";#N/A,#N/A,FALSE,"NRExp - Detail";#N/A,#N/A,FALSE,"Capx - Summary";#N/A,#N/A,FALSE,"Capx - Detail";#N/A,#N/A,FALSE,"Debt";#N/A,#N/A,FALSE,"Forecast - Summary";#N/A,#N/A,FALSE,"Forecast - Detail";#N/A,#N/A,FALSE,"Forecast - Rent";#N/A,#N/A,FALSE,"Forecast - Garage";#N/A,#N/A,FALSE,"Forecast - Capx"}</definedName>
    <definedName name="wrn.12._.MONTH._.SPREAD." hidden="1">{#N/A,#N/A,FALSE,"CPM";#N/A,#N/A,FALSE,"CVI";#N/A,#N/A,FALSE,"RNL";#N/A,#N/A,FALSE,"HAL";#N/A,#N/A,FALSE,"WPL";#N/A,#N/A,FALSE,"RPL";#N/A,#N/A,FALSE,"GVA";#N/A,#N/A,FALSE,"LRJKL";#N/A,#N/A,FALSE,"LPCVI";#N/A,#N/A,FALSE,"RGW and RGW2";#N/A,#N/A,FALSE,"RHL";#N/A,#N/A,FALSE,"HRP";#N/A,#N/A,FALSE,"WPE";#N/A,#N/A,FALSE,"DEL";#N/A,#N/A,FALSE,"PCA";#N/A,#N/A,FALSE,"PBL";#N/A,#N/A,FALSE,"KLL";#N/A,#N/A,FALSE,"RCR";#N/A,#N/A,FALSE,"LRJ#1";#N/A,#N/A,FALSE,"LRJ#2";#N/A,#N/A,FALSE,"OPL"}</definedName>
    <definedName name="wrn.12._.MONTH._.SPREAD._1" hidden="1">{#N/A,#N/A,FALSE,"CPM";#N/A,#N/A,FALSE,"CVI";#N/A,#N/A,FALSE,"RNL";#N/A,#N/A,FALSE,"HAL";#N/A,#N/A,FALSE,"WPL";#N/A,#N/A,FALSE,"RPL";#N/A,#N/A,FALSE,"GVA";#N/A,#N/A,FALSE,"LRJKL";#N/A,#N/A,FALSE,"LPCVI";#N/A,#N/A,FALSE,"RGW and RGW2";#N/A,#N/A,FALSE,"RHL";#N/A,#N/A,FALSE,"HRP";#N/A,#N/A,FALSE,"WPE";#N/A,#N/A,FALSE,"DEL";#N/A,#N/A,FALSE,"PCA";#N/A,#N/A,FALSE,"PBL";#N/A,#N/A,FALSE,"KLL";#N/A,#N/A,FALSE,"RCR";#N/A,#N/A,FALSE,"LRJ#1";#N/A,#N/A,FALSE,"LRJ#2";#N/A,#N/A,FALSE,"OPL"}</definedName>
    <definedName name="wrn.12._.MONTH._.SPREAD._2" hidden="1">{#N/A,#N/A,FALSE,"CPM";#N/A,#N/A,FALSE,"CVI";#N/A,#N/A,FALSE,"RNL";#N/A,#N/A,FALSE,"HAL";#N/A,#N/A,FALSE,"WPL";#N/A,#N/A,FALSE,"RPL";#N/A,#N/A,FALSE,"GVA";#N/A,#N/A,FALSE,"LRJKL";#N/A,#N/A,FALSE,"LPCVI";#N/A,#N/A,FALSE,"RGW and RGW2";#N/A,#N/A,FALSE,"RHL";#N/A,#N/A,FALSE,"HRP";#N/A,#N/A,FALSE,"WPE";#N/A,#N/A,FALSE,"DEL";#N/A,#N/A,FALSE,"PCA";#N/A,#N/A,FALSE,"PBL";#N/A,#N/A,FALSE,"KLL";#N/A,#N/A,FALSE,"RCR";#N/A,#N/A,FALSE,"LRJ#1";#N/A,#N/A,FALSE,"LRJ#2";#N/A,#N/A,FALSE,"OPL"}</definedName>
    <definedName name="wrn.12._.MONTH._.SPREAD._3" hidden="1">{#N/A,#N/A,FALSE,"CPM";#N/A,#N/A,FALSE,"CVI";#N/A,#N/A,FALSE,"RNL";#N/A,#N/A,FALSE,"HAL";#N/A,#N/A,FALSE,"WPL";#N/A,#N/A,FALSE,"RPL";#N/A,#N/A,FALSE,"GVA";#N/A,#N/A,FALSE,"LRJKL";#N/A,#N/A,FALSE,"LPCVI";#N/A,#N/A,FALSE,"RGW and RGW2";#N/A,#N/A,FALSE,"RHL";#N/A,#N/A,FALSE,"HRP";#N/A,#N/A,FALSE,"WPE";#N/A,#N/A,FALSE,"DEL";#N/A,#N/A,FALSE,"PCA";#N/A,#N/A,FALSE,"PBL";#N/A,#N/A,FALSE,"KLL";#N/A,#N/A,FALSE,"RCR";#N/A,#N/A,FALSE,"LRJ#1";#N/A,#N/A,FALSE,"LRJ#2";#N/A,#N/A,FALSE,"OPL"}</definedName>
    <definedName name="wrn.12._.MONTH._.SPREAD._4" hidden="1">{#N/A,#N/A,FALSE,"CPM";#N/A,#N/A,FALSE,"CVI";#N/A,#N/A,FALSE,"RNL";#N/A,#N/A,FALSE,"HAL";#N/A,#N/A,FALSE,"WPL";#N/A,#N/A,FALSE,"RPL";#N/A,#N/A,FALSE,"GVA";#N/A,#N/A,FALSE,"LRJKL";#N/A,#N/A,FALSE,"LPCVI";#N/A,#N/A,FALSE,"RGW and RGW2";#N/A,#N/A,FALSE,"RHL";#N/A,#N/A,FALSE,"HRP";#N/A,#N/A,FALSE,"WPE";#N/A,#N/A,FALSE,"DEL";#N/A,#N/A,FALSE,"PCA";#N/A,#N/A,FALSE,"PBL";#N/A,#N/A,FALSE,"KLL";#N/A,#N/A,FALSE,"RCR";#N/A,#N/A,FALSE,"LRJ#1";#N/A,#N/A,FALSE,"LRJ#2";#N/A,#N/A,FALSE,"OPL"}</definedName>
    <definedName name="wrn.120W45." hidden="1">{#N/A,#N/A,FALSE,"1";#N/A,#N/A,FALSE,"1x";#N/A,#N/A,FALSE,"2";#N/A,#N/A,FALSE,"2x";#N/A,#N/A,FALSE,"3";#N/A,#N/A,FALSE,"3x"}</definedName>
    <definedName name="wrn.15._.Year._.Analysis." hidden="1">{"Data Input",#N/A,TRUE,"Data Input";"15-Yr Cash Flow",#N/A,TRUE,"Cash Flow";"15-Yr Value",#N/A,TRUE,"Value "}</definedName>
    <definedName name="wrn.1995._.Analysis." hidden="1">{#N/A,#N/A,FALSE,"1995 Rev &amp; Exp"}</definedName>
    <definedName name="wrn.1997." hidden="1">{"CoverSheet",#N/A,TRUE,"97CoverPage";#N/A,#N/A,TRUE,"97TableOfContents";"CY 1997",#N/A,TRUE,"97CashFlowBeforeFinancing";"CY 1997",#N/A,TRUE,"97CashFlowAfterFinancing ";"CY 1997",#N/A,TRUE,"97Escrow Closings (all) ";"CY 1997",#N/A,TRUE,"97Revenue Summary";"CY 1997",#N/A,TRUE,"97 A-1 Sales";"CY 1997",#N/A,TRUE,"97 A-2 Sales";"CY 1997",#N/A,TRUE,"97 B-1 Sales";"CY 1997",#N/A,TRUE,"97 B-2 Sales";"CY 1997",#N/A,TRUE,"97 D-1 Sales";"CY 1997",#N/A,TRUE,"97 H Sales";"CY 1997",#N/A,TRUE,"97 I Sales";"CY 1997",#N/A,TRUE,"97 J Sales";"CY 1997",#N/A,TRUE,"97 K Sales";"CY 1997",#N/A,TRUE,"97 Land ";"CY 1997",#N/A,TRUE,"97 Pre-Development";"CY 1997",#N/A,TRUE,"97Construction Summary ";"CY 1997",#N/A,TRUE,"97 A-1 DevCosts";"CY 1997",#N/A,TRUE,"97 A-2 DevCosts";"CY 1997",#N/A,TRUE,"97 B-1 DevCosts";"CY 1997",#N/A,TRUE,"97 B-2 DevCosts";"CY 1997",#N/A,TRUE,"97 C DevCosts";#N/A,#N/A,TRUE,"97 D-1 DevCosts";"CY 1997",#N/A,TRUE,"97 E Dev Costs";"CY 1997",#N/A,TRUE,"97 G Dev Costs";#N/A,#N/A,TRUE,"97 H Dev Costs";#N/A,#N/A,TRUE,"97 I Dev Costs";"CY 1997",#N/A,TRUE,"97 J Dev Costs";#N/A,#N/A,TRUE,"97 K Dev Costs";"CY 1997",#N/A,TRUE,"97 Master Dev. Cost Wksht";"CY 1997",#N/A,TRUE,"97 Golf Course Captial ";"CY 1997",#N/A,TRUE,"97 Indirect &amp; Operating Costs ";"CY 1997",#N/A,TRUE,"97 Other SalesRevenue";"CY 1997",#N/A,TRUE,"97 Village Absorption";"CY 1997",#N/A,TRUE,"97 FINANCING";#N/A,#N/A,TRUE,"97 Dev Assumptions";#N/A,#N/A,TRUE,"97 A&amp;B Development Cost";#N/A,#N/A,TRUE,"97 B-2 Bonding ";#N/A,#N/A,TRUE,"97 E Supplemental Schedule";#N/A,#N/A,TRUE,"97 Factors"}</definedName>
    <definedName name="wrn.1998." hidden="1">{"1998",#N/A,FALSE,"1998"}</definedName>
    <definedName name="wrn.1998._.Budget.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wrn.19982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wrn.1999." hidden="1">{"1999",#N/A,FALSE,"1999"}</definedName>
    <definedName name="wrn.2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000_part.2" hidden="1">{"2000 Accum",#N/A,FALSE,"ACCUM SUM"}</definedName>
    <definedName name="wrn.2000." hidden="1">{"2000",#N/A,FALSE,"2000"}</definedName>
    <definedName name="wrn.2000._.Accum." hidden="1">{"2000 Accum",#N/A,FALSE,"ACCUM SUM"}</definedName>
    <definedName name="wrn.2001_NAr" hidden="1">{"2001 Accum",#N/A,FALSE,"ACCUM SUM"}</definedName>
    <definedName name="wrn.2001." hidden="1">{"2001",#N/A,FALSE,"2001"}</definedName>
    <definedName name="wrn.2001._.Accum." hidden="1">{"2001 Accum",#N/A,FALSE,"ACCUM SUM"}</definedName>
    <definedName name="wrn.2007._.all." hidden="1">{"2007",#N/A,FALSE,"SUMMARY";"2007",#N/A,FALSE,"RET ON CAP";"2007",#N/A,FALSE,"PROFORMA";"2007",#N/A,FALSE,"Assumptions";"2007",#N/A,FALSE,"Sales &amp; Marketing";"2007",#N/A,FALSE,"Overhead";"2007",#N/A,FALSE,"General Project";"2007",#N/A,FALSE,"Development"}</definedName>
    <definedName name="wrn.2007._.summaries." hidden="1">{#N/A,#N/A,FALSE,"SUMMARY";#N/A,#N/A,FALSE,"RET ON CAP"}</definedName>
    <definedName name="wrn.2009._.REPORT._.MANAGER." hidden="1">{"Summary - NEW",#N/A,FALSE,"Summary";"Program1",#N/A,FALSE,"Summary";"Land Dev. Budget",#N/A,FALSE,"Summary";"Infrastructure Budget - Annual",#N/A,FALSE,"Summary";"Infrastructure Monthly",#N/A,FALSE,"Monthly Cash Flow";"Project CF - Annual NEW",#N/A,FALSE,"Summary";"Project Revenues - Annual - NEW",#N/A,FALSE,"Summary";"Debt - Annual New",#N/A,FALSE,"Summary";"Summary CF - Monthly",#N/A,FALSE,"Monthly Cash Flow";"Project Revenues - Monthly",#N/A,FALSE,"Monthly Cash Flow";"Debt Monthly - New",#N/A,FALSE,"Monthly Cash Flow";"Residential Summary",#N/A,FALSE,"Residential";"Residental Monthly - New",#N/A,FALSE,"Residential";"Office &amp; Retail Dev. Schedule",#N/A,FALSE,"Office &amp; Retail-Summary";"Office Monthly - New",#N/A,FALSE,"Office &amp; Retail-Summary"}</definedName>
    <definedName name="wrn.275PricingBook.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wrn.275Schedulles." hidden="1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wrn.3._.Year._.Summary." hidden="1">{#N/A,#N/A,FALSE,"3-Year Summary"}</definedName>
    <definedName name="wrn.310._.rec.." hidden="1">{"rec. of 310",#N/A,FALSE,"Resanal"}</definedName>
    <definedName name="wrn.399." hidden="1">{#N/A,#N/A,FALSE,"A";#N/A,#N/A,FALSE,"C"}</definedName>
    <definedName name="wrn.3cases." hidden="1">{#N/A,"Base",FALSE,"Dividend";#N/A,"Conservative",FALSE,"Dividend";#N/A,"Downside",FALSE,"Dividend"}</definedName>
    <definedName name="wrn.3year._.frcst." hidden="1">{#N/A,#N/A,FALSE,"963YR";#N/A,#N/A,FALSE,"mkt mix";#N/A,#N/A,FALSE,"sect 5";#N/A,#N/A,FALSE,"sect 6";#N/A,#N/A,FALSE,"csh";#N/A,#N/A,FALSE,"capx";#N/A,#N/A,FALSE,"bal sheet"}</definedName>
    <definedName name="wrn.3yr.CF." hidden="1">{"assume",#N/A,FALSE,"K&amp;20th Month CF";"MoCF",#N/A,FALSE,"K&amp;20th Month CF";"AnCF",#N/A,FALSE,"K&amp;20th Month CF"}</definedName>
    <definedName name="wrn.3yr.CF._1" hidden="1">{"assume",#N/A,FALSE,"K&amp;20th Month CF";"MoCF",#N/A,FALSE,"K&amp;20th Month CF";"AnCF",#N/A,FALSE,"K&amp;20th Month CF"}</definedName>
    <definedName name="wrn.3yr.CF._2" hidden="1">{"assume",#N/A,FALSE,"K&amp;20th Month CF";"MoCF",#N/A,FALSE,"K&amp;20th Month CF";"AnCF",#N/A,FALSE,"K&amp;20th Month CF"}</definedName>
    <definedName name="wrn.3yr.CF._3" hidden="1">{"assume",#N/A,FALSE,"K&amp;20th Month CF";"MoCF",#N/A,FALSE,"K&amp;20th Month CF";"AnCF",#N/A,FALSE,"K&amp;20th Month CF"}</definedName>
    <definedName name="wrn.3yr.CF._4" hidden="1">{"assume",#N/A,FALSE,"K&amp;20th Month CF";"MoCF",#N/A,FALSE,"K&amp;20th Month CF";"AnCF",#N/A,FALSE,"K&amp;20th Month CF"}</definedName>
    <definedName name="wrn.42._.Portfolio." hidden="1">{#N/A,#N/A,FALSE,"Consolidate Portfolio";#N/A,#N/A,FALSE,"Ashley";#N/A,#N/A,FALSE,"Atrium";#N/A,#N/A,FALSE,"Biscayne";#N/A,#N/A,FALSE,"Boulder";#N/A,#N/A,FALSE,"Braden";#N/A,#N/A,FALSE,"Cambridge";#N/A,#N/A,FALSE,"Carnegie";#N/A,#N/A,FALSE,"Charleston";#N/A,#N/A,FALSE,"Chasewood";#N/A,#N/A,FALSE,"ClubNorthHills";#N/A,#N/A,FALSE,"Cornerstone";#N/A,#N/A,FALSE,"Courtyard";#N/A,#N/A,FALSE,"Culpeper ";#N/A,#N/A,FALSE,"DoverFarms";#N/A,#N/A,FALSE,"GreenwayChase";#N/A,#N/A,FALSE,"Island Club 1";#N/A,#N/A,FALSE,"Island Club 2";#N/A,#N/A,FALSE,"IslesGateway";#N/A,#N/A,FALSE,"Kensington";#N/A,#N/A,FALSE,"LakeFront";#N/A,#N/A,FALSE,"LakeMayport";#N/A,#N/A,FALSE,"MadisonPark";#N/A,#N/A,FALSE,"MadisonRidge";#N/A,#N/A,FALSE,"Magnolia";#N/A,#N/A,FALSE,"Oaks";#N/A,#N/A,FALSE,"Paces River 1";#N/A,#N/A,FALSE,"Paces River 2";#N/A,#N/A,FALSE,"PacesRun";#N/A,#N/A,FALSE,"Paddock ";#N/A,#N/A,FALSE,"Park";#N/A,#N/A,FALSE,"PointeWest";#N/A,#N/A,FALSE,"Royal";#N/A,#N/A,FALSE,"Summer";#N/A,#N/A,FALSE,"Sunbrook";#N/A,#N/A,FALSE,"Sundance";#N/A,#N/A,FALSE,"Sutton";#N/A,#N/A,FALSE,"TownPlace";#N/A,#N/A,FALSE,"Valle";#N/A,#N/A,FALSE,"WatPark";#N/A,#N/A,FALSE,"WatPlace";#N/A,#N/A,FALSE,"WatCastleton";#N/A,#N/A,FALSE,"Wellington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520._.Madison." hidden="1">{"520 Madison Summary",#N/A,FALSE,"520 Madison Summary";"520 Madison Partnership Valuation",#N/A,FALSE,"520 Madison Summary";"520 Madison Sensitivities",#N/A,FALSE,"520 Madison Summary";"520 Madison Cash Flow",#N/A,FALSE,"520 Madison Summary";"520 Madison Partnership Equity Value",#N/A,FALSE,"520 Madison Summary";"520 Madison Distributions",#N/A,FALSE,"520 Madison Summary";"520 Madison Assumptions",#N/A,FALSE,"520 Madison Summary"}</definedName>
    <definedName name="wrn.617" hidden="1">{#N/A,#N/A,FALSE,"Income Stmt";#N/A,#N/A,FALSE,"Income Summary"}</definedName>
    <definedName name="wrn.7._.Page._.Proforma." hidden="1">{#N/A,#N/A,FALSE,"Deal Summary";#N/A,#N/A,FALSE,"Unit Mix";#N/A,#N/A,FALSE,"Historical OS";#N/A,#N/A,FALSE,"Sources &amp; Uses";#N/A,#N/A,FALSE,"Proj of Cash Flow";#N/A,#N/A,FALSE,"Allocation";#N/A,#N/A,FALSE,"Debt Financing"}</definedName>
    <definedName name="wrn.892A._.II." hidden="1">{#N/A,#N/A,FALSE,"Fund-II"}</definedName>
    <definedName name="wrn.892B._.II." hidden="1">{#N/A,#N/A,FALSE,"Fund-II"}</definedName>
    <definedName name="wrn.892C._.II." hidden="1">{#N/A,#N/A,FALSE,"Fund-II"}</definedName>
    <definedName name="wrn.92264." hidden="1">{"Page 1",#N/A,FALSE,"92264 Page 1";"Page 2",#N/A,FALSE,"92264 Page 2";"Page 3",#N/A,FALSE,"92264 Page 3";"Page 4",#N/A,FALSE,"92264 Page 4";"Page 5",#N/A,FALSE,"92264 Page 5";"Page 6",#N/A,FALSE,"92264 Page 6";"Page 7",#N/A,FALSE,"92264 Page 7";"Page 8",#N/A,FALSE,"92264 Page 8"}</definedName>
    <definedName name="wrn.98A." hidden="1">{#N/A,#N/A,FALSE,"Title";#N/A,#N/A,FALSE,"VARSUM98";#N/A,#N/A,FALSE,"COMPAR";#N/A,#N/A,FALSE,"51-REVEN";#N/A,#N/A,FALSE,"51-RECOV";#N/A,#N/A,FALSE,"REVENUE";#N/A,#N/A,FALSE,"52-INTRS";#N/A,#N/A,FALSE,"61-98SAL";#N/A,#N/A,FALSE,"62-CLEAN";#N/A,#N/A,FALSE,"63-UTIL";#N/A,#N/A,FALSE,"98UTILBACK";#N/A,#N/A,FALSE,"64-RM&amp;S";#N/A,#N/A,FALSE,"65-BMS";#N/A,#N/A,FALSE,"65-MGFEEX";#N/A,#N/A,FALSE,"66-INSUR";#N/A,#N/A,FALSE,"67-TAXES";#N/A,#N/A,FALSE,"Annual Assess";#N/A,#N/A,FALSE,"71-NON-RECOV EXP";#N/A,#N/A,FALSE,"71-detail";#N/A,#N/A,FALSE,"72-PRTNS";#N/A,#N/A,FALSE,"73-INTRS";#N/A,#N/A,FALSE,"10-CAPEX";#N/A,#N/A,FALSE,"17-INDUC";#N/A,#N/A,FALSE,"OPER. GRAPH";#N/A,#N/A,FALSE,"HistOpExp";#N/A,#N/A,FALSE,"HIST. OP.GRAPH"}</definedName>
    <definedName name="wrn.98BUDGET." hidden="1">{#N/A,#N/A,TRUE,"VARSUM98";#N/A,#N/A,TRUE,"COMPAR";#N/A,#N/A,TRUE,"RECEXP-S";#N/A,#N/A,TRUE,"52-INTRS";#N/A,#N/A,TRUE,"1998 SALARIES";#N/A,#N/A,TRUE,"62-CLEAN";#N/A,#N/A,TRUE,"63-UTIL";#N/A,#N/A,TRUE,"98UTILBACK";#N/A,#N/A,TRUE,"64-RM&amp;S";#N/A,#N/A,TRUE,"65-BMS";#N/A,#N/A,TRUE,"65-MGFEEX";#N/A,#N/A,TRUE,"66-INSUR";#N/A,#N/A,TRUE,"67-TAXES";#N/A,#N/A,TRUE,"Annual Assess";#N/A,#N/A,TRUE,"71-NON-RECOV EXP";#N/A,#N/A,TRUE,"71-detail";#N/A,#N/A,TRUE,"72-PRTNS";#N/A,#N/A,TRUE,"73-INTRS";#N/A,#N/A,TRUE,"10-CAPEX";#N/A,#N/A,TRUE,"17-INDUC"}</definedName>
    <definedName name="wrn.98ESC." hidden="1">{#N/A,#N/A,FALSE,"ope";#N/A,#N/A,FALSE,"ret";#N/A,#N/A,FALSE,"expenses";#N/A,#N/A,FALSE,"BankExpenses";#N/A,#N/A,FALSE,"TennExpenses";#N/A,#N/A,FALSE,"Occupancy"}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3._.Reports." hidden="1">{#N/A,#N/A,FALSE,"ActvBud";#N/A,#N/A,FALSE,"RptSalJC";#N/A,#N/A,FALSE,"RptSalTot ";#N/A,#N/A,FALSE,"RptSumExp";#N/A,#N/A,FALSE,"RptSum"}</definedName>
    <definedName name="wrn.A4._.Reports." hidden="1">{#N/A,#N/A,FALSE,"RptMrgCh";#N/A,#N/A,FALSE,"RptMrg";#N/A,#N/A,FALSE,"RptPLCh";#N/A,#N/A,FALSE,"RptPL";#N/A,#N/A,FALSE,"RptAdv ";#N/A,#N/A,FALSE,"RptSalary";#N/A,#N/A,FALSE,"RptSalExp";#N/A,#N/A,FALSE,"RptNW";#N/A,#N/A,FALSE,"RptSalYr";#N/A,#N/A,FALSE,"RptSales";#N/A,#N/A,FALSE,"RptPostn";#N/A,#N/A,FALSE,"RtpPLA-B";#N/A,#N/A,FALSE,"Rpt%age";#N/A,#N/A,FALSE,"RptPLSum";#N/A,#N/A,FALSE,"Index";#N/A,#N/A,FALSE,"Cover";#N/A,#N/A,FALSE,"Memo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old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." hidden="1">{"ABC1",#N/A,TRUE,"Links";"ABC2",#N/A,TRUE,"Links";"ABC3",#N/A,TRUE,"Links"}</definedName>
    <definedName name="wrn.access." hidden="1">{"Access",#N/A,FALSE,"Access"}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q._.Model." hidden="1">{"RTN",#N/A,FALSE,"RTN";"Inc Stmt",#N/A,FALSE,"Inc Stmt";"Stats",#N/A,FALSE,"Stats";"Rnds",#N/A,FALSE,"Rnds";"Capx",#N/A,FALSE,"CapX";"Dues",#N/A,FALSE,"Dues";"Hist",#N/A,FALSE,"Hist";"Rev1",#N/A,FALSE,"Rev";"Rev2",#N/A,FALSE,"Rev";"Exp",#N/A,FALSE,"Exp";"Rounds",#N/A,FALSE,"Rounds";"Cap Imp",#N/A,FALSE,"Cap Imp"}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._.Model." hidden="1">{"Return",#N/A,FALSE,"RTN";"Inc Stmt",#N/A,FALSE,"Inc Stmt";"Stats",#N/A,FALSE,"Stats";"Rnds",#N/A,FALSE,"Rnds";"Dues",#N/A,FALSE,"Dues";"Capx",#N/A,FALSE,"CapX";"History",#N/A,FALSE,"Hist";"Rev",#N/A,FALSE,"Rev";"Expenses",#N/A,FALSE,"Exp";"Rounds",#N/A,FALSE,"Rounds";"Capex",#N/A,FALSE,"Capex"}</definedName>
    <definedName name="wrn.Acquisitions." hidden="1">{"One",#N/A,FALSE,"Acquisitions";"Two",#N/A,FALSE,"Acquisitions"}</definedName>
    <definedName name="wrn.Acquistion._.Status." hidden="1">{#N/A,#N/A,FALSE,"zm III";#N/A,#N/A,FALSE,"deal flow";#N/A,#N/A,FALSE,"Pending deals"}</definedName>
    <definedName name="wrn.AcqVal." hidden="1">{#N/A,#N/A,FALSE,"Acq-Val";#N/A,#N/A,FALSE,"Acq-Mult Val"}</definedName>
    <definedName name="wrn.Actual._.Data._.Entry." hidden="1">{#N/A,#N/A,FALSE,"Sales"}</definedName>
    <definedName name="wrn.AD._.Tool." hidden="1">{"AD Tool",#N/A,FALSE,"Spreadsheet"}</definedName>
    <definedName name="wrn.AFI._.QUARTERLY._.REPORT." hidden="1">{#N/A,#N/A,TRUE,"TITLE";#N/A,#N/A,TRUE,"SCH 1";#N/A,#N/A,TRUE,"SCH 2";#N/A,#N/A,TRUE,"SCH 3";#N/A,#N/A,TRUE,"SCH3(A)"}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Trend._.Analysis.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old" hidden="1">{"INCOME",#N/A,FALSE,"ProNet";"VALUE",#N/A,FALSE,"ProNet"}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._.Budget._.Detail_Forecast." hidden="1">{"All Budget Detail-Forecast",#N/A,FALSE,"Forecast"}</definedName>
    <definedName name="wrn.All._.Budget._.Detail_Reit." hidden="1">{"All Budget Detail-Reit",#N/A,FALSE,"Forecast"}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s." hidden="1">{#N/A,#N/A,FALSE,"Primary";#N/A,#N/A,FALSE,"Secondary";#N/A,#N/A,FALSE,"Latent";#N/A,#N/A,FALSE,"Demand Inputs";#N/A,#N/A,FALSE,"Supply Addn";#N/A,#N/A,FALSE,"Mkt Pen"}</definedName>
    <definedName name="wrn.All._.Main._.Reports." hidden="1">{"Summary",#N/A,FALSE,"Sheet1";"Budget",#N/A,FALSE,"Sheet1";"Notes 2",#N/A,FALSE,"Sheet1";"Payroll Assumption Summary",#N/A,FALSE,"Sheet1";"Payroll_Assumption1",#N/A,FALSE,"Sheet1";"Rent_Assumptions",#N/A,FALSE,"Sheet1"}</definedName>
    <definedName name="wrn.All._.Non._.Recov._.Op._.Exp_Forecast." hidden="1">{"All Non-Recov. Op. Exp-Forecast",#N/A,FALSE,"Forecast"}</definedName>
    <definedName name="wrn.All._.Non._.Recov._.Op._.Exp_Reit." hidden="1">{"All Non-Recov. Op. Exp-Reit",#N/A,FALSE,"Forecast"}</definedName>
    <definedName name="wrn.ALL._.PAGES.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rn.All._.Payroll._.Reports." hidden="1">{"Payroll Assumption Summary",#N/A,FALSE,"Sheet1";"Payroll_Assumption1",#N/A,FALSE,"Sheet1";"Payroll_Assumption2",#N/A,FALSE,"Sheet1"}</definedName>
    <definedName name="wrn.All._.Pro._.Forma." hidden="1">{#N/A,#N/A,FALSE,"DSCR Sum";#N/A,#N/A,FALSE,"Max  Allocation";#N/A,#N/A,FALSE,"Lake Davis";#N/A,#N/A,FALSE,"Lake Jennie I";#N/A,#N/A,FALSE,"Lake Jennie II";#N/A,#N/A,FALSE,"Gov Man";#N/A,#N/A,FALSE,"Mellonville";#N/A,#N/A,FALSE,"Total"}</definedName>
    <definedName name="wrn.All._.Rent._.Reports." hidden="1">{"Rent_Assumptions",#N/A,FALSE,"Sheet1";"Rent_ChangesPerUnit",#N/A,FALSE,"Sheet1";"Rent_ChangesTotal",#N/A,FALSE,"Sheet1";"Rent_Totals",#N/A,FALSE,"Sheet1"}</definedName>
    <definedName name="wrn.All._.Rental._.Income_Forecast." hidden="1">{"All Rental Income-Reforecast",#N/A,FALSE,"Forecast"}</definedName>
    <definedName name="wrn.All._.Rental._.Income_Reit." hidden="1">{"All Rental Income-Reit",#N/A,FALSE,"Forecast"}</definedName>
    <definedName name="wrn.All._.Reports." hidden="1">{"Estimated Proforma",#N/A,TRUE,"Prelim. Proforma";"Sales and Marketing Budget",#N/A,TRUE,"S&amp;M Budget";"Summary Cash Flow Grid",#N/A,TRUE,"Cash Flow Grid";"Detail Project Cash Flow",#N/A,TRUE,"Cash Flow Grid";"Financing Calculation",#N/A,TRUE,"Cash Flow Grid";"Cash Flow Graph",#N/A,TRUE,"Cash Flow Graphic";"Final Proforma",#N/A,TRUE,"Final Proforma"}</definedName>
    <definedName name="wrn.ALL._.REPORTS._.EXCEPT._.PSF._.TABLES." hidden="1">{"ASSUMPTIONS",#N/A,FALSE,"Assumptions";"NPV",#N/A,FALSE,"npv";"CASH-ANNUAL",#N/A,FALSE,"Cash Financial";"CASH-PSF",#N/A,FALSE,"Cash Financial";"GAAP-ANNUAL",#N/A,FALSE,"Gaap Financial ";"GAAP-PSF",#N/A,FALSE,"Gaap Financial "}</definedName>
    <definedName name="wrn.All._.Schedules." hidden="1">{#N/A,#N/A,FALSE,"Static Proforma";#N/A,#N/A,FALSE,"Bldg Dev DCF";#N/A,#N/A,FALSE,"Land Sales DCF"}</definedName>
    <definedName name="wrn.All._.Sections." hidden="1">{#N/A,#N/A,TRUE,"Table of Contents";"Inn P&amp;L Annual",#N/A,TRUE,"Inn P&amp;L";"Condo P&amp;L Annual",#N/A,TRUE,"Condo P&amp;L";"Townhouse P&amp;L Annual",#N/A,TRUE,"Townhouse P&amp;L";"Ocean Ridge P &amp; L Annual",#N/A,TRUE,"Ocean Ridge P &amp; L";"A-2 to A-4 P&amp;L Annual",#N/A,TRUE," A-2 to A-4 P&amp;L";"Inn P&amp;L Monthly",#N/A,TRUE,"Inn P&amp;L";"Condo P&amp;L Monthly",#N/A,TRUE,"Condo P&amp;L";"Townhouse P&amp;L Monthly",#N/A,TRUE,"Townhouse P&amp;L";"Ocean Ridge Monthly P &amp; L",#N/A,TRUE,"Ocean Ridge P &amp; L";"A-2 to A-4 P&amp;L Monthly",#N/A,TRUE," A-2 to A-4 P&amp;L";"Inn Assumptions",#N/A,TRUE,"Inn Assumptions";"Condo Assumptions",#N/A,TRUE,"Condo Assumptions";"Townhouse Assumptions",#N/A,TRUE,"Townhouse Assumptions";"Ocean Ridge Assumptions",#N/A,TRUE,"Ocean Ridge Assumptions";"A-2 to A-4 Assumptions",#N/A,TRUE,"A-2 to A-4 Assumptions"}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Summary." hidden="1">{"Summary",#N/A,FALSE,"Sheet1"}</definedName>
    <definedName name="wrn.All._1" hidden="1">{#N/A,#N/A,FALSE,"Summary";#N/A,#N/A,FALSE,"Gen. Wash.";#N/A,#N/A,FALSE,"Iris Court";#N/A,#N/A,FALSE,"Castle Court";#N/A,#N/A,FALSE,"Edge Hills";#N/A,#N/A,FALSE,"Talbot Woods";#N/A,#N/A,FALSE,"Edge Terrace";#N/A,#N/A,FALSE,"Edge Village";#N/A,#N/A,FALSE,"Westgate";#N/A,#N/A,FALSE,"Century Hills";#N/A,#N/A,FALSE,"Parkview";#N/A,#N/A,FALSE,"Park Bethesda";#N/A,#N/A,FALSE,"Fairfax";#N/A,#N/A,FALSE,"North Park";#N/A,#N/A,FALSE,"Huntington";#N/A,#N/A,FALSE,"Bennington"}</definedName>
    <definedName name="wrn.all.2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.irr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.sched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ll2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mbassador." hidden="1">{#N/A,#N/A,TRUE,"Summary Acquisition Ambassador";#N/A,#N/A,TRUE,"Prime Crest Apartments";#N/A,#N/A,TRUE,"Royal Crest Apartments"}</definedName>
    <definedName name="wrn.AmREIT." hidden="1">{"Summary",#N/A,TRUE,"Summary";"Sensitivities",#N/A,TRUE,"Summary";"Partnership Value",#N/A,TRUE,"Summary";"Cash Flows",#N/A,TRUE,"Summary";"Partnership Equity Value",#N/A,TRUE,"Summary";"MIR Fund Structure",#N/A,TRUE,"Summary";"Assumptions",#N/A,TRUE,"Summary";"Valuation Summary",#N/A,TRUE,"Summary";"MacArthur Park",#N/A,TRUE,"Summary";"Plaza in the Park",#N/A,TRUE,"Summary";"Cinco Ranch",#N/A,TRUE,"Summary";"Uptown Park",#N/A,TRUE,"Summary";"Uptown Plaza Dallas",#N/A,TRUE,"Summary";"Southbank Riverwalk",#N/A,TRUE,"Summary";"Uptown Plaza Houston",#N/A,TRUE,"Summary";"Bakery Square",#N/A,TRUE,"Summary";"Courtyard Square",#N/A,TRUE,"Summary";"Terrace Shops",#N/A,TRUE,"Summary";"Sugar Land Plaza",#N/A,TRUE,"Summary";"Lake Woodlands Plaza",#N/A,TRUE,"Summary";"Woodlands Ring Road",#N/A,TRUE,"Summary";"Ground Leases",#N/A,TRUE,"Summary";"Single-Tenant Fee-Simples",#N/A,TRUE,"Summary";"IHOP Sugarland-Topeka",#N/A,TRUE,"Summary";"IHOP AAA CTL",#N/A,TRUE,"Summary"}</definedName>
    <definedName name="wrn.AmREIT._.excl._.properties." hidden="1">{"Summary",#N/A,TRUE,"Summary";"Sensitivities",#N/A,TRUE,"Summary";"Partnership Value",#N/A,TRUE,"Summary";"Cash Flows",#N/A,TRUE,"Summary";"Partnership Equity Value",#N/A,TRUE,"Summary";"MIR Fund Structure",#N/A,TRUE,"Summary";"Assumptions",#N/A,TRUE,"Summary";"Valuation Summary",#N/A,TRUE,"Summary"}</definedName>
    <definedName name="wrn.Annual_n_Quarterly." hidden="1">{"Annual",#N/A,FALSE,"Sales &amp; Market";"Quarterly",#N/A,FALSE,"Sales &amp; Market"}</definedName>
    <definedName name="wrn.Annual." hidden="1">{"Annual p1",#N/A,TRUE,"Annual CF";"Annual p2",#N/A,TRUE,"Annual CF";"Annual p3",#N/A,TRUE,"Annual CF"}</definedName>
    <definedName name="wrn.Annual._.CF.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1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1_1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1_2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1_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2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4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Report." hidden="1">{"summary",#N/A,FALSE,"Summary";"pro forma annual",#N/A,FALSE,"Pro Forma";"equity annual",#N/A,FALSE,"Equity";"TCC annual",#N/A,FALSE,"TCC"}</definedName>
    <definedName name="wrn.Annual._.Revised." hidden="1">{"Venture Summary",#N/A,FALSE,"Summary";"Development Budget",#N/A,FALSE,"Summary";"Development Proforma",#N/A,FALSE,"Dev PF";"Annual CF",#N/A,FALSE,"Annual"}</definedName>
    <definedName name="wrn.Annual._.Summary." hidden="1">{"INV AUM",#N/A,TRUE,"AUM";"INV S&amp;U",#N/A,TRUE,"S&amp;U";"INV NetCashFlow",#N/A,TRUE,"Net Cash Flow";"INV Waterfall",#N/A,TRUE,"Waterfall";"INV Sensitivity",#N/A,TRUE,"Sensitivity"}</definedName>
    <definedName name="wrn.Annual.CF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1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1_1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1_2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1_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2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4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RentRoll" hidden="1">{"AnnualRentRoll",#N/A,FALSE,"RentRoll"}</definedName>
    <definedName name="wrn.AnnualRentRoll_1" hidden="1">{"AnnualRentRoll",#N/A,FALSE,"RentRoll"}</definedName>
    <definedName name="wrn.AnnualRentRoll_2" hidden="1">{"AnnualRentRoll",#N/A,FALSE,"RentRoll"}</definedName>
    <definedName name="wrn.AnnualRentRoll_3" hidden="1">{"AnnualRentRoll",#N/A,FALSE,"RentRoll"}</definedName>
    <definedName name="wrn.AnnualRentRoll_4" hidden="1">{"AnnualRentRoll",#N/A,FALSE,"RentRoll"}</definedName>
    <definedName name="wrn.AnnualRentRoll." hidden="1">{"AnnualRentRoll",#N/A,FALSE,"RentRoll"}</definedName>
    <definedName name="wrn.AnnualRentRoll._1" hidden="1">{"AnnualRentRoll",#N/A,FALSE,"RentRoll"}</definedName>
    <definedName name="wrn.AnnualRentRoll._2" hidden="1">{"AnnualRentRoll",#N/A,FALSE,"RentRoll"}</definedName>
    <definedName name="wrn.AnnualRentRoll._3" hidden="1">{"AnnualRentRoll",#N/A,FALSE,"RentRoll"}</definedName>
    <definedName name="wrn.AnnualRentRoll._4" hidden="1">{"AnnualRentRoll",#N/A,FALSE,"RentRoll"}</definedName>
    <definedName name="wrn.annualrentroll2" hidden="1">{"AnnualRentRoll",#N/A,FALSE,"RentRoll"}</definedName>
    <definedName name="wrn.annualrentroll2_1" hidden="1">{"AnnualRentRoll",#N/A,FALSE,"RentRoll"}</definedName>
    <definedName name="wrn.annualrentroll2_2" hidden="1">{"AnnualRentRoll",#N/A,FALSE,"RentRoll"}</definedName>
    <definedName name="wrn.annualrentroll2_3" hidden="1">{"AnnualRentRoll",#N/A,FALSE,"RentRoll"}</definedName>
    <definedName name="wrn.annualrentroll2_4" hidden="1">{"AnnualRentRoll",#N/A,FALSE,"RentRoll"}</definedName>
    <definedName name="wrn.Appraisal." hidden="1">{#N/A,#N/A,FALSE,"APPRAISAL";#N/A,#N/A,FALSE,"APPRAISAL 2";#N/A,#N/A,FALSE,"APPRAISAL 3"}</definedName>
    <definedName name="wrn.Appraisal._.2." hidden="1">{#N/A,#N/A,FALSE,"Appraisal 2"}</definedName>
    <definedName name="wrn.Appraisal._.3." hidden="1">{#N/A,#N/A,FALSE,"Appraisal 3"}</definedName>
    <definedName name="wrn.Apr._.Forecast." hidden="1">{"Apr",#N/A,FALSE,"Manager Report"}</definedName>
    <definedName name="wrn.Arcform1." hidden="1">{"One",#N/A,FALSE,"Property";"Rent Analysis",#N/A,FALSE,"Rent &amp; Income";"Market",#N/A,FALSE,"Market";"Environmental",#N/A,FALSE,"Environmental"}</definedName>
    <definedName name="wrn.Arcform2." hidden="1">{"Development Team",#N/A,FALSE,"Team";"Environmental",#N/A,FALSE,"Environmental";"Permanent",#N/A,FALSE,"Perm Mtg";"Soft",#N/A,FALSE,"Soft Mtg"}</definedName>
    <definedName name="wrn.Arcform3." hidden="1">{"Grant",#N/A,FALSE,"Grant";"GP Developer",#N/A,FALSE,"GP &amp; Dev Loans";"Operating Analysis",#N/A,FALSE,"Operations";"Tax Credit",#N/A,FALSE,"Tax Credits";"Tax Credit Analysis",#N/A,FALSE,"TC Analysis"}</definedName>
    <definedName name="wrn.Arcform4." hidden="1">{"Construction Analysis",#N/A,FALSE,"Constr Analysis";"Construction Financing",#N/A,FALSE,"Constr Finan";"Guarantees and Reserves",#N/A,FALSE,"Guar &amp; Reserves"}</definedName>
    <definedName name="wrn.Arena._.PCD." hidden="1">{#N/A,#N/A,TRUE,"Maritime Park Arena PCD";#N/A,#N/A,TRUE,"Maritime Park Arena IOR"}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et._.Management." hidden="1">{#N/A,#N/A,FALSE,"ASSET MGMT."}</definedName>
    <definedName name="wrn.Asset._.Manager._.Package." hidden="1">{#N/A,#N/A,FALSE,"Assumptions";#N/A,#N/A,FALSE,"DCF 5 YR";#N/A,#N/A,FALSE," DCF 10 YR";#N/A,#N/A,FALSE,"Cashflows";"Asset Review 2",#N/A,FALSE,"Asset Review";"Asset Review 1",#N/A,FALSE,"Asset Review"}</definedName>
    <definedName name="wrn.Asset._.Manager._.Summary." hidden="1">{#N/A,#N/A,FALSE,"Jim Walsh";#N/A,#N/A,FALSE,"Dan Minkoff";#N/A,#N/A,FALSE,"Chip Cinnamond";#N/A,#N/A,FALSE,"Ann Cole";#N/A,#N/A,FALSE,"Jim Rosasco";#N/A,#N/A,FALSE,"George Ochs";#N/A,#N/A,FALSE,"Peter Weed";#N/A,#N/A,FALSE,"Sheryl Crosland";#N/A,#N/A,FALSE,"Jim McLoughlin";#N/A,#N/A,FALSE,"Jim Olson";#N/A,#N/A,FALSE,"Anne Pfeiffer"}</definedName>
    <definedName name="wrn.Assumptions." hidden="1">{"Assumptions",#N/A,FALSE,"Assumptions"}</definedName>
    <definedName name="wrn.Assumptions._.Book." hidden="1">{#N/A,#N/A,FALSE,"Cover";#N/A,#N/A,FALSE,"Contents";#N/A,#N/A,FALSE,"1. Transaction parameters";#N/A,#N/A,FALSE,"2. Revenue";#N/A,#N/A,FALSE,"3. Operational - Orco Valley";#N/A,#N/A,FALSE,"3. Operational - Susa Valley";#N/A,#N/A,FALSE,"3. Operational - Turin";#N/A,#N/A,FALSE,"3. Operational - Pont Ventoux";#N/A,#N/A,FALSE,"4. Operating expenses";#N/A,#N/A,FALSE,"5. Capex";#N/A,#N/A,FALSE,"6. Financing";#N/A,#N/A,FALSE,"7. Economics";#N/A,#N/A,FALSE,"8. Cost of Capital";#N/A,#N/A,FALSE,"9. Accounting";#N/A,#N/A,FALSE,"10. Taxation";#N/A,#N/A,FALSE,"11. Others"}</definedName>
    <definedName name="wrn.Atrium." hidden="1">{"Atrium-Investor",#N/A,FALSE,"Atrium";"Atrium-Property",#N/A,FALSE,"Atrium"}</definedName>
    <definedName name="wrn.Audit._.Committee." hidden="1">{#N/A,#N/A,FALSE,"Title Page - Aud";#N/A,#N/A,FALSE,"Index - Aud";#N/A,#N/A,FALSE,"Stmt of Income";#N/A,#N/A,FALSE,"Balance Sheet - Audit Comm";#N/A,#N/A,FALSE,"Stmt of Retained Earnings";#N/A,#N/A,FALSE,"Total Cash Flow";#N/A,#N/A,FALSE,"S.C.F.P.";#N/A,#N/A,FALSE,"Appraisal surplus";#N/A,#N/A,FALSE,"FMV";#N/A,#N/A,FALSE,"Ratios";#N/A,#N/A,FALSE,"Properties";#N/A,#N/A,FALSE,"Secured Debt";#N/A,#N/A,FALSE,"Mortgage Bonds";#N/A,#N/A,FALSE,"Bank Operating Lines";#N/A,#N/A,FALSE,"Share Capital";#N/A,#N/A,FALSE,"Rental Operating Results";#N/A,#N/A,FALSE,"G. &amp;  A.";#N/A,#N/A,FALSE,"Property Sales"}</definedName>
    <definedName name="wrn.Aug._.Forecast." hidden="1">{"Aug",#N/A,FALSE,"Manager Report"}</definedName>
    <definedName name="wrn.Auto._.Comp." hidden="1">{#N/A,#N/A,FALSE,"Sheet1"}</definedName>
    <definedName name="wrn.autoproj." hidden="1">{#N/A,#N/A,FALSE,"Project Properties";#N/A,#N/A,FALSE,"Eng %";#N/A,#N/A,FALSE,"ENGFORM";#N/A,#N/A,FALSE,"staffing";#N/A,#N/A,FALSE,"spending"}</definedName>
    <definedName name="wrn.B._.Spread._.Worksheet._.Summary." hidden="1">{#N/A,#N/A,FALSE,"B_Spread"}</definedName>
    <definedName name="wrn.B._.Spread._.Worksheets._.Detail." hidden="1">{#N/A,#N/A,FALSE,"B_Spread"}</definedName>
    <definedName name="wrn.BA." hidden="1">{"ba1",#N/A,TRUE,"B-A";"ba2",#N/A,TRUE,"B-A"}</definedName>
    <definedName name="wrn.Balance_Sheet." hidden="1">{"One",#N/A,FALSE,"Balance Sheet"}</definedName>
    <definedName name="wrn.balance._.sheet." hidden="1">{"bs",#N/A,FALSE,"SCF"}</definedName>
    <definedName name="wrn.Balcor.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bankrep." hidden="1">{#N/A,#N/A,FALSE,"ExecSum";#N/A,#N/A,FALSE,"Summary";#N/A,#N/A,FALSE,"Budget";#N/A,#N/A,FALSE,"CashFlow"}</definedName>
    <definedName name="wrn.Base._.Case._.Print." hidden="1">{#N/A,#N/A,FALSE,"Assumptions";#N/A,#N/A,FALSE,"Ground Rent";#N/A,#N/A,FALSE,"SQFT SUMMARY";#N/A,#N/A,FALSE,"PROJECT COSTS";#N/A,#N/A,FALSE,"Financing";#N/A,#N/A,FALSE,"RE Tax Analysis";#N/A,#N/A,FALSE,"Oper Pro Forma";#N/A,#N/A,FALSE,"Sale and IRR";#N/A,#N/A,FALSE,"Int BackUP"}</definedName>
    <definedName name="wrn.BaseYearDemand." hidden="1">{"Base Year Demand",#N/A,FALSE,"Demand-Base Year"}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._.Forecast.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wrn.basics." hidden="1">{#N/A,#N/A,FALSE,"TSUM";#N/A,#N/A,FALSE,"shares";#N/A,#N/A,FALSE,"earnout";#N/A,#N/A,FALSE,"Heaty";#N/A,#N/A,FALSE,"self-tend";#N/A,#N/A,FALSE,"self-sum"}</definedName>
    <definedName name="wrn.BATON._.ROUGE._.1996._.CAP._.EX." hidden="1">{#N/A,#N/A,FALSE,"BATCAPX";#N/A,#N/A,FALSE,"GR&amp;CORR TOTALS";#N/A,#N/A,FALSE,"LUX  KING FF&amp;E";#N/A,#N/A,FALSE,"LUX KING GC";#N/A,#N/A,FALSE,"TYP DBL FF&amp;E ";#N/A,#N/A,FALSE,"TYP DBL GC ";#N/A,#N/A,FALSE,"PETITE W-SOFA FF&amp;E";#N/A,#N/A,FALSE,"PETITE W-SOFA GC";#N/A,#N/A,FALSE,"TYP KING FF&amp;E";#N/A,#N/A,FALSE,"TYP KING GC";#N/A,#N/A,FALSE,"EXEC KING FF&amp;E";#N/A,#N/A,FALSE,"EXEC KING GC";#N/A,#N/A,FALSE,"TOWNHS PARLOR FF&amp;E";#N/A,#N/A,FALSE,"TOWNHS PARLOR GC";#N/A,#N/A,FALSE,"LUX K PAR FF&amp;E ";#N/A,#N/A,FALSE,"LUX K PAR GC ";#N/A,#N/A,FALSE,"PRES SUITE FF&amp;E";#N/A,#N/A,FALSE,"PRES SUITE GC";#N/A,#N/A,FALSE,"CONC LOUNGE FF&amp;E";#N/A,#N/A,FALSE,"CONC LOUNGE GC";#N/A,#N/A,FALSE,"ADA GR  FF&amp;E ";#N/A,#N/A,FALSE,"ADA GR GC ";#N/A,#N/A,FALSE,"GUEST COR FF&amp;E ";#N/A,#N/A,FALSE,"GUEST  CORR GC";#N/A,#N/A,FALSE,"2ND FLR BANQ FF&amp;E L";#N/A,#N/A,FALSE,"2ND FLR BANQ GC L";#N/A,#N/A,FALSE,"2ND FLR BANQ FF&amp;E S";#N/A,#N/A,FALSE,"2ND FLR BANQ GC S"}</definedName>
    <definedName name="wrn.BCN._.REVISED." hidden="1">{#N/A,#N/A,FALSE,"Income Statement - Phase II";#N/A,#N/A,FALSE,"Balance Sheet Phase II";#N/A,#N/A,FALSE,"Transaction Costs";#N/A,#N/A,FALSE,"Debt &amp; Equity Detail";#N/A,#N/A,FALSE,"G&amp;A Reduction - 25%";#N/A,#N/A,FALSE,"G&amp;A Reduction - 50%";#N/A,#N/A,FALSE,"G&amp;A Reduction - 75%";#N/A,#N/A,FALSE,"GandA Reduction Detail"}</definedName>
    <definedName name="wrn.BCNPROJ." hidden="1">{#N/A,#N/A,FALSE,"Income Statement";#N/A,#N/A,FALSE,"Balance Sheet";#N/A,#N/A,FALSE,"Sheet5";#N/A,#N/A,FALSE,"Debt &amp; Equity Detail"}</definedName>
    <definedName name="wrn.BEN._.ELDER." hidden="1">{"Venture Summary",#N/A,FALSE,"Summary";"PI Summary",#N/A,FALSE,"PI Summary";"PI Leasing Summary",#N/A,FALSE,"PI Summary";#N/A,#N/A,FALSE,"PI&amp;II Monthly CF"}</definedName>
    <definedName name="wrn.BidCo." hidden="1">{#N/A,#N/A,FALSE,"BidCo Assumptions";#N/A,#N/A,FALSE,"Credit Stats";#N/A,#N/A,FALSE,"Bidco Summary";#N/A,#N/A,FALSE,"BIDCO Consolidated"}</definedName>
    <definedName name="wrn.BIGGER." hidden="1">{"PROFORMA",#N/A,FALSE,"A";"BIGGER 1",#N/A,FALSE,"B";"BIGGER 2",#N/A,FALSE,"B";"BIGGER 3",#N/A,FALSE,"B";"SMALL CF 1",#N/A,FALSE,"C"}</definedName>
    <definedName name="wrn.Binder." hidden="1">{"Summary",#N/A,FALSE,"Financial Summary";"Income",#N/A,FALSE,"Lease Terms";"Development",#N/A,FALSE,"Development Costs";"Expense",#N/A,FALSE,"Lease Terms";"CFlow",#N/A,FALSE,"5 Year Cash Flow"}</definedName>
    <definedName name="wrn.BINDER._.PRINT_YES." hidden="1">{"Summary",#N/A,TRUE,"Summary";"All Annual",#N/A,TRUE,"Annual"}</definedName>
    <definedName name="wrn.Birdie." hidden="1">{#N/A,#N/A,FALSE,"Trans Summary";#N/A,#N/A,FALSE,"Proforma Five Yr";#N/A,#N/A,FALSE,"Occ and Rate"}</definedName>
    <definedName name="wrn.BlackWhite." hidden="1">{#N/A,#N/A,FALSE,"NNN sum";#N/A,#N/A,FALSE,"10-yr Opt. A Sum";#N/A,#N/A,FALSE,"10-yr Opt A Other Costs";#N/A,#N/A,FALSE,"Purchase Sum";#N/A,#N/A,FALSE,"Purchase Other Costs"}</definedName>
    <definedName name="wrn.BlackWhite5" hidden="1">{#N/A,#N/A,FALSE,"NNN sum";#N/A,#N/A,FALSE,"10-yr Opt. A Sum";#N/A,#N/A,FALSE,"10-yr Opt A Other Costs";#N/A,#N/A,FALSE,"Purchase Sum";#N/A,#N/A,FALSE,"Purchase Other Costs"}</definedName>
    <definedName name="wrn.bleu4." hidden="1">{#N/A,#N/A,FALSE}</definedName>
    <definedName name="wrn.bleu4._1" hidden="1">{#N/A,#N/A,FALSE}</definedName>
    <definedName name="wrn.Blue._.Book._.Sections." hidden="1">{#N/A,#N/A,TRUE,"Summary";#N/A,#N/A,TRUE,"Program Scheme";#N/A,#N/A,TRUE,"Assumptions";#N/A,#N/A,TRUE,"Development Budget &amp; Timing";#N/A,#N/A,TRUE,"Cash Flow";#N/A,#N/A,TRUE,"Cash Flow to Debt &amp; Equity"}</definedName>
    <definedName name="wrn.Blue._.Book._.Sections._1" hidden="1">{#N/A,#N/A,TRUE,"Summary";#N/A,#N/A,TRUE,"Program Scheme";#N/A,#N/A,TRUE,"Assumptions";#N/A,#N/A,TRUE,"Development Budget &amp; Timing";#N/A,#N/A,TRUE,"Cash Flow";#N/A,#N/A,TRUE,"Cash Flow to Debt &amp; Equity"}</definedName>
    <definedName name="wrn.Blue._.Book._.Sections._2" hidden="1">{#N/A,#N/A,TRUE,"Summary";#N/A,#N/A,TRUE,"Program Scheme";#N/A,#N/A,TRUE,"Assumptions";#N/A,#N/A,TRUE,"Development Budget &amp; Timing";#N/A,#N/A,TRUE,"Cash Flow";#N/A,#N/A,TRUE,"Cash Flow to Debt &amp; Equity"}</definedName>
    <definedName name="wrn.Blue._.Book._.Sections._3" hidden="1">{#N/A,#N/A,TRUE,"Summary";#N/A,#N/A,TRUE,"Program Scheme";#N/A,#N/A,TRUE,"Assumptions";#N/A,#N/A,TRUE,"Development Budget &amp; Timing";#N/A,#N/A,TRUE,"Cash Flow";#N/A,#N/A,TRUE,"Cash Flow to Debt &amp; Equity"}</definedName>
    <definedName name="wrn.Blue._.Book._.Sections._4" hidden="1">{#N/A,#N/A,TRUE,"Summary";#N/A,#N/A,TRUE,"Program Scheme";#N/A,#N/A,TRUE,"Assumptions";#N/A,#N/A,TRUE,"Development Budget &amp; Timing";#N/A,#N/A,TRUE,"Cash Flow";#N/A,#N/A,TRUE,"Cash Flow to Debt &amp; Equity"}</definedName>
    <definedName name="wrn.Board." hidden="1">{#N/A,#N/A,FALSE,"Title Page - Board";#N/A,#N/A,FALSE,"Index - Board";#N/A,#N/A,FALSE,"Stmt of Income";#N/A,#N/A,FALSE,"Balance Sheet - Audit Comm";#N/A,#N/A,FALSE,"Stmt of Retained Earnings";#N/A,#N/A,FALSE,"Total Cash Flow";#N/A,#N/A,FALSE,"S.C.F.P.";#N/A,#N/A,FALSE,"Appraisal surplus";#N/A,#N/A,FALSE,"FMV";#N/A,#N/A,FALSE,"Ratios"}</definedName>
    <definedName name="wrn.boardPackage." hidden="1">{#N/A,#N/A,FALSE,"ZM I-III Consol FinSummary";#N/A,#N/A,FALSE,"ZM1 FinSummary";#N/A,#N/A,FALSE,"ZM2 FinSummary";#N/A,#N/A,FALSE,"ZM3 FinSummary";#N/A,#N/A,FALSE,"FirstCapFinSummary";#N/A,#N/A,FALSE,"ZellLurieFinSummary";#N/A,#N/A,FALSE,"PortfolioOverview";#N/A,#N/A,FALSE,"Portfolio FinSummary";#N/A,#N/A,FALSE,"OverviewbyState";#N/A,#N/A,FALSE,"portfolio";#N/A,#N/A,FALSE,"ZM123";#N/A,#N/A,FALSE,"FCOccy";#N/A,#N/A,FALSE,"ZL";#N/A,#N/A,FALSE,"ZM ROll SbyS";#N/A,#N/A,FALSE,"zmlConsildated";#N/A,#N/A,FALSE,"FC Roll";#N/A,#N/A,FALSE,"ZL Roll";#N/A,#N/A,FALSE,"Retention";#N/A,#N/A,FALSE,"ConsZM123DebtMaturity";#N/A,#N/A,FALSE,"zm1DebtMaturity";#N/A,#N/A,FALSE,"ZM2DebtMaturity";#N/A,#N/A,FALSE,"ZM3DebtMaturity";#N/A,#N/A,FALSE,"FCDebtMaturity";#N/A,#N/A,FALSE,"ZLDebtMaturity";#N/A,#N/A,FALSE,"Corporate";#N/A,#N/A,FALSE,"SALEDATA";#N/A,#N/A,FALSE,"Pending deals";#N/A,#N/A,FALSE,"zm III";#N/A,#N/A,FALSE,"deal flow";#N/A,#N/A,FALSE,"96Tran";#N/A,#N/A,FALSE,"z4Sources &amp; Uses";#N/A,#N/A,FALSE,"z3 Sources &amp; Uses";#N/A,#N/A,FALSE,"z2 Sources and Uses";#N/A,#N/A,FALSE,"z1 Sources &amp; Uses"}</definedName>
    <definedName name="wrn.Bob." hidden="1">{#N/A,#N/A,TRUE,"33_Cover";#N/A,#N/A,TRUE,"1_Exec_Summ";#N/A,#N/A,TRUE,"2_Assump_Genl";#N/A,#N/A,TRUE,"5_Cash_Flow";#N/A,#N/A,TRUE,"11_Exp_Dtl";#N/A,#N/A,TRUE,"10_Exp_Recov_Dtl";#N/A,#N/A,TRUE,"12_Residual";#N/A,#N/A,TRUE,"14_Pricing_Mtx";#N/A,#N/A,TRUE,"29_Residual_Mtx";#N/A,#N/A,TRUE,"18_Expirations"}</definedName>
    <definedName name="wrn.BofA." hidden="1">{"BofA-Investor",#N/A,FALSE,"BofA Tower";"BofA-Property",#N/A,FALSE,"BofA Tower"}</definedName>
    <definedName name="wrn.Bonds." hidden="1">{#N/A,#N/A,FALSE,"Bonds - Consol";#N/A,#N/A,FALSE,"Bonds - Lakes";#N/A,#N/A,FALSE,"Bonds - Chabot";#N/A,#N/A,FALSE,"Bonds - Diablo"}</definedName>
    <definedName name="wrn.BOOK." hidden="1">{#N/A,#N/A,FALSE,"COVER";#N/A,#N/A,FALSE,"TABLE OF CONTENTS";#N/A,#N/A,FALSE,"EXEC SUMM";#N/A,#N/A,FALSE,"SURVEY";#N/A,#N/A,FALSE,"PROSPECT";#N/A,#N/A,FALSE,"NEW,EXPANSION,RENEWAL,RELET";#N/A,#N/A,FALSE,"EXPIRED,DEFAULTED";#N/A,#N/A,FALSE,"SIGNED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ANALYSIS";#N/A,#N/A,FALSE,"NER_IN_PLACE";#N/A,#N/A,FALSE,"NER_ACQ_DATE";#N/A,#N/A,FALSE,"titles"}</definedName>
    <definedName name="wrn.Book._.Reports." hidden="1">{"Current Month",#N/A,FALSE,"Current Compar.";"Year-To-Date",#N/A,FALSE,"Year Comparison";"Forecast",#N/A,FALSE,"Comparison NOI";"Actual Input",#N/A,FALSE,"Act...Ratios"}</definedName>
    <definedName name="wrn.Boston._.1.4." hidden="1">{"Coversheet",#N/A,TRUE,"Sheet1";"Sensitivity",#N/A,TRUE,"Sheet1";"Value",#N/A,TRUE,"Sheet1";"Asset",#N/A,TRUE,"Sheet1";"Cash+Equity",#N/A,TRUE,"Sheet1";"DCF",#N/A,TRUE,"Sheet1";"Partnership Distribution",#N/A,TRUE,"Sheet1";"Promote1",#N/A,TRUE,"Sheet1";"Promote2",#N/A,TRUE,"Sheet1";"Promote3",#N/A,TRUE,"Sheet1";"Assumptions",#N/A,TRUE,"Sheet1"}</definedName>
    <definedName name="wrn.Boston._.1.4._1" hidden="1">{"Coversheet",#N/A,TRUE,"Sheet1";"Sensitivity",#N/A,TRUE,"Sheet1";"Value",#N/A,TRUE,"Sheet1";"Asset",#N/A,TRUE,"Sheet1";"Cash+Equity",#N/A,TRUE,"Sheet1";"DCF",#N/A,TRUE,"Sheet1";"Partnership Distribution",#N/A,TRUE,"Sheet1";"Promote1",#N/A,TRUE,"Sheet1";"Promote2",#N/A,TRUE,"Sheet1";"Promote3",#N/A,TRUE,"Sheet1";"Assumptions",#N/A,TRUE,"Sheet1"}</definedName>
    <definedName name="wrn.Boston._.1.4._2" hidden="1">{"Coversheet",#N/A,TRUE,"Sheet1";"Sensitivity",#N/A,TRUE,"Sheet1";"Value",#N/A,TRUE,"Sheet1";"Asset",#N/A,TRUE,"Sheet1";"Cash+Equity",#N/A,TRUE,"Sheet1";"DCF",#N/A,TRUE,"Sheet1";"Partnership Distribution",#N/A,TRUE,"Sheet1";"Promote1",#N/A,TRUE,"Sheet1";"Promote2",#N/A,TRUE,"Sheet1";"Promote3",#N/A,TRUE,"Sheet1";"Assumptions",#N/A,TRUE,"Sheet1"}</definedName>
    <definedName name="wrn.Boston._.1.4._3" hidden="1">{"Coversheet",#N/A,TRUE,"Sheet1";"Sensitivity",#N/A,TRUE,"Sheet1";"Value",#N/A,TRUE,"Sheet1";"Asset",#N/A,TRUE,"Sheet1";"Cash+Equity",#N/A,TRUE,"Sheet1";"DCF",#N/A,TRUE,"Sheet1";"Partnership Distribution",#N/A,TRUE,"Sheet1";"Promote1",#N/A,TRUE,"Sheet1";"Promote2",#N/A,TRUE,"Sheet1";"Promote3",#N/A,TRUE,"Sheet1";"Assumptions",#N/A,TRUE,"Sheet1"}</definedName>
    <definedName name="wrn.Both._.Outputs." hidden="1">{"LTV Output",#N/A,FALSE,"Output";"DCR Output",#N/A,FALSE,"Output"}</definedName>
    <definedName name="wrn.BOV.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wrn.Bridge." hidden="1">{"Table of Contents",#N/A,FALSE,"Table of Contents";"Senario",#N/A,FALSE,"Senarios";"Assumptions",#N/A,FALSE,"Assumptions";"Capital Schedule",#N/A,FALSE,"Capital Schedule";"Cash Schedule",#N/A,FALSE,"ScheduleCash";"SummaryCash",#N/A,FALSE,"SummaryCash";"FinancingCash",#N/A,FALSE,"FinancingCash";"Bridge Schedule",#N/A,FALSE,"ScheduleFinanced";"SummaryFinanced",#N/A,FALSE,"SummaryFinanced";"FinancingFinanced",#N/A,FALSE,"FinancingFinanced";"Ownership Schedule",#N/A,FALSE,"ScheduleOwner";"SummaryOwner",#N/A,FALSE,"SummaryOwner";"FinancingOwner",#N/A,FALSE,"FinancingOwner"}</definedName>
    <definedName name="wrn.Brookfield._.Notes." hidden="1">{#N/A,#N/A,FALSE,"Note 2";#N/A,#N/A,FALSE,"Note 3";#N/A,#N/A,FALSE,"Note 4";#N/A,#N/A,FALSE,"Note 5";#N/A,#N/A,FALSE,"Note 6";#N/A,#N/A,FALSE,"Note 10"}</definedName>
    <definedName name="wrn.Budget." hidden="1">{"Spread Dollars",#N/A,FALSE,"Budget";"Spread Ratios",#N/A,FALSE,"Budget";"Target Comparison",#N/A,FALSE,"Summary"}</definedName>
    <definedName name="wrn.Budget._.1997._.Analysis." hidden="1">{#N/A,#N/A,TRUE,"Budget 1997 Class A";#N/A,#N/A,TRUE,"Budgets 1997 Class B &amp; C"}</definedName>
    <definedName name="wrn.Budget._.Report." hidden="1">{#N/A,#N/A,FALSE,"Cover Page";#N/A,#N/A,FALSE,"Brookfield Consolidated";#N/A,#N/A,FALSE,"Marketable Sec.";#N/A,#N/A,FALSE,"Acct. &amp; Loans Rec.";#N/A,#N/A,FALSE,"Brookfield Homes";#N/A,#N/A,FALSE,"Carma Developers";#N/A,#N/A,FALSE,"Brookfield CP";#N/A,#N/A,FALSE,"World Financial Center Props.";#N/A,#N/A,FALSE,"Other Assets";#N/A,#N/A,FALSE,"Accounts Payable";#N/A,#N/A,FALSE,"Liabilities";#N/A,#N/A,FALSE,"Minority Interests";#N/A,#N/A,FALSE,"Conv Debs";#N/A,#N/A,FALSE,"Preferred Shares";#N/A,#N/A,FALSE,"Assumptions"}</definedName>
    <definedName name="wrn.BUDGET97." hidden="1">{"FIXVARIANCE",#N/A,FALSE,"COSTPHSE";"SOURCING",#N/A,FALSE,"COSTPHSE"}</definedName>
    <definedName name="wrn.Buildings._.10._.and._.12." hidden="1">{"B10&amp;12 Summary",#N/A,TRUE,"10 &amp; 12 - CF";"B10&amp;12 Budget",#N/A,TRUE,"10 &amp; 12 - CF";"B10&amp;12 Dev. Costs",#N/A,TRUE,"10 &amp; 12 - CF";"B10&amp;12 CF1",#N/A,TRUE,"10 &amp; 12 - CF";"B10&amp;12 CF2",#N/A,TRUE,"10 &amp; 12 - CF"}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isse._.Report." hidden="1">{#N/A,#N/A,TRUE,"Title - Caisse";#N/A,#N/A,TRUE,"Schedule 1a";#N/A,#N/A,TRUE,"Schedule 2 - 2001";#N/A,#N/A,TRUE,"Schedule 2 - 2002";#N/A,#N/A,TRUE,"Schedule 2 - 2003";#N/A,#N/A,TRUE,"Schedule 3";#N/A,#N/A,TRUE,"Schedule 4";#N/A,#N/A,TRUE,"Schedule 5";#N/A,#N/A,TRUE,"Schedule 5a";#N/A,#N/A,TRUE,"Schedule 6";#N/A,#N/A,TRUE,"Schedule 6a";#N/A,#N/A,TRUE,"Schedule 6b";#N/A,#N/A,TRUE,"Schedule 6c";#N/A,#N/A,TRUE,"Schedule 6d";#N/A,#N/A,TRUE,"Schedule 6e";#N/A,#N/A,TRUE,"Schedule 7";#N/A,#N/A,TRUE,"Schedule 8"}</definedName>
    <definedName name="wrn.Capital_Increm.." hidden="1">{#N/A,#N/A,FALSE,"Capital-Incremental"}</definedName>
    <definedName name="wrn.Capital_Nonincre.." hidden="1">{#N/A,#N/A,FALSE,"Capital-Nonincremental"}</definedName>
    <definedName name="wrn.Capital._.Projections.Base._.Case." hidden="1">{"CapContr.",#N/A,FALSE,"Capital Projections-Base";"LOC Fundings",#N/A,FALSE,"Capital Projections";"LOC Repayments",#N/A,FALSE,"Capital Projections";"LOC 1",#N/A,FALSE,"Capital Projections";"LOC 2",#N/A,FALSE,"Capital Projections";"LOC 3",#N/A,FALSE,"Capital Projections";"Cap.Dis",#N/A,FALSE,"Capital Projections"}</definedName>
    <definedName name="wrn.CapitalProjections.WorseCase." hidden="1">{"Cap.Contr.WorseCase",#N/A,FALSE,"Capital Projections-WorseCase"}</definedName>
    <definedName name="wrn.CAPREIT." hidden="1">{#N/A,#N/A,FALSE,"CAPREIT"}</definedName>
    <definedName name="wrn.CAPREIT._.II." hidden="1">{#N/A,#N/A,FALSE,"Consolidate II";#N/A,#N/A,FALSE,"Atrium";#N/A,#N/A,FALSE,"DoverFarms";#N/A,#N/A,FALSE,"GreenwayChase";#N/A,#N/A,FALSE,"Island Club 1";#N/A,#N/A,FALSE,"IslesGateway";#N/A,#N/A,FALSE,"MadisonPark";#N/A,#N/A,FALSE,"PacesRun";#N/A,#N/A,FALSE,"Park";#N/A,#N/A,FALSE,"Sunbrook";#N/A,#N/A,FALSE,"TownPlace";#N/A,#N/A,FALSE,"WatPark";#N/A,#N/A,FALSE,"WatPlace";#N/A,#N/A,FALSE,"WatCastleton"}</definedName>
    <definedName name="wrn.CAPREIT._.II._.and._.IV." hidden="1">{#N/A,#N/A,FALSE,"Consolidate II &amp; IV";#N/A,#N/A,FALSE,"Atrium";#N/A,#N/A,FALSE,"Chasewood";#N/A,#N/A,FALSE,"ClubNorthHills";#N/A,#N/A,FALSE,"DoverFarms";#N/A,#N/A,FALSE,"GreenwayChase";#N/A,#N/A,FALSE,"Island Club 1";#N/A,#N/A,FALSE,"IslesGateway";#N/A,#N/A,FALSE,"Kensington";#N/A,#N/A,FALSE,"LakeFront";#N/A,#N/A,FALSE,"MadisonPark";#N/A,#N/A,FALSE,"Oaks";#N/A,#N/A,FALSE,"PacesRun";#N/A,#N/A,FALSE,"Park";#N/A,#N/A,FALSE,"PointeWest";#N/A,#N/A,FALSE,"Sunbrook";#N/A,#N/A,FALSE,"Sundance";#N/A,#N/A,FALSE,"TownPlace";#N/A,#N/A,FALSE,"WatPark";#N/A,#N/A,FALSE,"WatPlace";#N/A,#N/A,FALSE,"WatCastleton";#N/A,#N/A,FALSE,"Wellington"}</definedName>
    <definedName name="wrn.CAPREIT._.IV." hidden="1">{#N/A,#N/A,FALSE,"Consolidate IV";#N/A,#N/A,FALSE,"Chasewood";#N/A,#N/A,FALSE,"ClubNorthHills";#N/A,#N/A,FALSE,"Kensington";#N/A,#N/A,FALSE,"LakeFront";#N/A,#N/A,FALSE,"Oaks";#N/A,#N/A,FALSE,"PointeWest";#N/A,#N/A,FALSE,"Sundance";#N/A,#N/A,FALSE,"Wellington"}</definedName>
    <definedName name="wrn.CAPREIT._.TERA." hidden="1">{#N/A,#N/A,FALSE,"Consolidate TERA";#N/A,#N/A,FALSE,"Boulder";#N/A,#N/A,FALSE,"Braden";#N/A,#N/A,FALSE,"Cambridge";#N/A,#N/A,FALSE,"Charleston";#N/A,#N/A,FALSE,"Cornerstone";#N/A,#N/A,FALSE,"Courtyard";#N/A,#N/A,FALSE,"LakeMayport";#N/A,#N/A,FALSE,"Paces River 1";#N/A,#N/A,FALSE,"Paces River 2";#N/A,#N/A,FALSE,"Paddock ";#N/A,#N/A,FALSE,"Summer";#N/A,#N/A,FALSE,"Sutton"}</definedName>
    <definedName name="wrn.CAPREIT._.V." hidden="1">{#N/A,#N/A,FALSE,"Consolidate V";#N/A,#N/A,FALSE,"Ashley";#N/A,#N/A,FALSE,"Biscayne";#N/A,#N/A,FALSE,"Carnegie";#N/A,#N/A,FALSE,"Culpeper ";#N/A,#N/A,FALSE,"Island Club 2";#N/A,#N/A,FALSE,"MadisonRidge";#N/A,#N/A,FALSE,"Magnolia";#N/A,#N/A,FALSE,"Royal";#N/A,#N/A,FALSE,"Valle"}</definedName>
    <definedName name="wrn.CAPREIT2" hidden="1">{#N/A,#N/A,FALSE,"CAPREIT"}</definedName>
    <definedName name="wrn.Capx." hidden="1">{"Capx/exp",#N/A,FALSE,"CapX"}</definedName>
    <definedName name="wrn.cash" hidden="1">{#N/A,#N/A,FALSE,"Matrix";#N/A,#N/A,FALSE,"Cash Flow";#N/A,#N/A,FALSE,"10 Year Cost Analysis"}</definedName>
    <definedName name="wrn.Cash_Flow." hidden="1">{#N/A,#N/A,FALSE,"Cash Flow"}</definedName>
    <definedName name="wrn.Cash._.Flow." hidden="1">{#N/A,#N/A,TRUE,"CashFlowSummary";#N/A,#N/A,TRUE,"FinanceCashFlow";#N/A,#N/A,TRUE,"LandCashFlow";#N/A,#N/A,TRUE,"ConstCashFlow";#N/A,#N/A,TRUE,"A&amp;ECashFlow";#N/A,#N/A,TRUE,"IndirectCashFlow";#N/A,#N/A,TRUE,"MarketingCashFlow";#N/A,#N/A,TRUE,"LeaseUp";#N/A,#N/A,TRUE,"G&amp;ACashFlow"}</definedName>
    <definedName name="wrn.Cash._.Flow._.Anal." hidden="1">{"CF",#N/A,FALSE,"Cash Flow";"RET",#N/A,FALSE,"Returns";"NPV",#N/A,FALSE,"Values";"ASMPT",#N/A,FALSE,"Assumptions"}</definedName>
    <definedName name="wrn.Cash._.Flow._.Analysis." hidden="1">{"CF",#N/A,FALSE,"Cash Flow";"RET",#N/A,FALSE,"Returns";"NPV",#N/A,FALSE,"Values";"ASMPT",#N/A,FALSE,"Assumptions"}</definedName>
    <definedName name="wrn.Cash._.Flow._.Analysis._1" hidden="1">{"CF",#N/A,FALSE,"Cash Flow";"RET",#N/A,FALSE,"Returns";"NPV",#N/A,FALSE,"Values";"ASMPT",#N/A,FALSE,"Assumptions"}</definedName>
    <definedName name="wrn.Cash._.Flow._.Analysis._2" hidden="1">{"CF",#N/A,FALSE,"Cash Flow";"RET",#N/A,FALSE,"Returns";"NPV",#N/A,FALSE,"Values";"ASMPT",#N/A,FALSE,"Assumptions"}</definedName>
    <definedName name="wrn.Cash._.Flow._.Analysis._3" hidden="1">{"CF",#N/A,FALSE,"Cash Flow";"RET",#N/A,FALSE,"Returns";"NPV",#N/A,FALSE,"Values";"ASMPT",#N/A,FALSE,"Assumptions"}</definedName>
    <definedName name="wrn.Cash._.Flow._.Analysis._4" hidden="1">{"CF",#N/A,FALSE,"Cash Flow";"RET",#N/A,FALSE,"Returns";"NPV",#N/A,FALSE,"Values";"ASMPT",#N/A,FALSE,"Assumptions"}</definedName>
    <definedName name="wrn.Cash._.Flow._.and._.Matrix." hidden="1">{#N/A,#N/A,FALSE,"Matrix";#N/A,#N/A,FALSE,"Cash Flow";#N/A,#N/A,FALSE,"10 Year Cost Analysis"}</definedName>
    <definedName name="wrn.Cash._.Flow._.Report." hidden="1">{#N/A,#N/A,FALSE,"Title Page";#N/A,#N/A,FALSE,"Canada - C$";#N/A,#N/A,FALSE,"Canada - US$";#N/A,#N/A,FALSE,"Available Credit"}</definedName>
    <definedName name="wrn.CASH._.FLOWS._.ONLY." hidden="1">{#N/A,#N/A,FALSE,"Assumptions";#N/A,#N/A,FALSE,"Consol CF";#N/A,#N/A,FALSE,"Hacienda CF";#N/A,#N/A,FALSE,"Chabot CF";#N/A,#N/A,FALSE,"Diablo CF"}</definedName>
    <definedName name="wrn.cash.both" hidden="1">{"CF",#N/A,FALSE,"Cash Flow";"RET",#N/A,FALSE,"Returns";"NPV",#N/A,FALSE,"Values";"ASMPT",#N/A,FALSE,"Assumptions"}</definedName>
    <definedName name="wrn.cash.retail" hidden="1">{"CF",#N/A,FALSE,"Cash Flow";"RET",#N/A,FALSE,"Returns";"NPV",#N/A,FALSE,"Values";"ASMPT",#N/A,FALSE,"Assumptions"}</definedName>
    <definedName name="wrn.Cashflow._.Reconciliation." hidden="1">{"cashflow reconciliation",#N/A,FALSE,"cashflow rec"}</definedName>
    <definedName name="wrn.Cashflow._.Rolls." hidden="1">{"investment roll for cashflow",#N/A,FALSE,"detail investment sched";"fixed asset roll for cashflow",#N/A,FALSE,"other schedules";"goodwill roll for cashflow",#N/A,FALSE,"other schedules";"long term debt roll for cashflow",#N/A,FALSE,"other schedules";"minority interest roll for cashflow",#N/A,FALSE,"other schedules";"other long term obligations roll",#N/A,FALSE,"other schedules"}</definedName>
    <definedName name="wrn.Casino." hidden="1">{"Casino (Summary)",#N/A,FALSE,"Casino";"Casino (Budget Sum)",#N/A,FALSE,"Casino";"Casino (Cash Flow)",#N/A,FALSE,"Casino";"Casino (Costs and Sales)",#N/A,FALSE,"Casino";"Casino (Debt)",#N/A,FALSE,"Casino";"Casino (Partner CF)",#N/A,FALSE,"Casino";"Casino (Cost Detail)",#N/A,FALSE,"Casino";"Casino ( Budget Detail)",#N/A,FALSE,"Casino Budget"}</definedName>
    <definedName name="wrn.CCC." hidden="1">{#N/A,#N/A,FALSE,"A";#N/A,#N/A,FALSE,"B"}</definedName>
    <definedName name="wrn.CCC._.OPEX.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wrn.CD." hidden="1">{"CD1",#N/A,TRUE,"C-D (R)";"CD2",#N/A,TRUE,"C-D (R)"}</definedName>
    <definedName name="wrn.CF._.Print.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FB._.150." hidden="1">{"Summary",#N/A,TRUE,"Summary";"Sensitivity",#N/A,TRUE,"Summary";"Valuation",#N/A,TRUE,"Summary";"Cash Flows",#N/A,TRUE,"Summary";"Partnership NCF",#N/A,TRUE,"Summary";"Partnership Equity Value",#N/A,TRUE,"Summary";"Waterfall",#N/A,TRUE,"Summary";"MIR Fund Structure",#N/A,TRUE,"Summary";"Assumptions",#N/A,TRUE,"Summary";"Argus Assumptions",#N/A,TRUE,"Summary"}</definedName>
    <definedName name="wrn.CFD." hidden="1">{"CFD 1",#N/A,FALSE,"CFD";"CFD 2",#N/A,FALSE,"CFD";"CFD 3",#N/A,FALSE,"CFD";"CFD 4",#N/A,FALSE,"CFD"}</definedName>
    <definedName name="wrn.CGR." hidden="1">{#N/A,#N/A,TRUE,"SUMMARY";#N/A,#N/A,TRUE,"LAND";#N/A,#N/A,TRUE,"DIRECT COST";#N/A,#N/A,TRUE,"INDIRECT COST";#N/A,#N/A,TRUE,"PERMIT FEES";#N/A,#N/A,TRUE,"ADDITIONAL PROJECT COST";"LOAN CASH FLOWS",#N/A,TRUE,"PROJECT COSTS";"SUBSUBSCHEDULE",#N/A,TRUE,"INCOME SUMMARY";"EARLY TRADING",#N/A,TRUE,"LEASEUP SCEN1 TARGET";#N/A,#N/A,TRUE,"APPENDIX";#N/A,#N/A,TRUE,"PROJECT COMPONENT BREAKDOWN"}</definedName>
    <definedName name="wrn.CHART_old" hidden="1">{"CHART",#N/A,FALSE,"Arch Communications"}</definedName>
    <definedName name="wrn.CHART." hidden="1">{"CHART",#N/A,FALSE,"Arch Communications"}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2._.detail." hidden="1">{#N/A,#N/A,FALSE,"Chart 2 by Prop Type"}</definedName>
    <definedName name="wrn.check.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eck.2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ecks." hidden="1">{"Checks",#N/A,FALSE,"Checks"}</definedName>
    <definedName name="wrn.Clarie_Bridge." hidden="1">{"One",#N/A,FALSE,"Claire Bridge";"Two",#N/A,FALSE,"Claire Bridge";"Three",#N/A,FALSE,"Claire Bridge";"Four",#N/A,FALSE,"Claire Bridge";"Five",#N/A,FALSE,"Claire Bridge"}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losing._.BW." hidden="1">{#N/A,#N/A,FALSE,"Closing Bentley Wynde";#N/A,#N/A,FALSE,"Closing Bantley Wynde (1)"}</definedName>
    <definedName name="wrn.closing._.statement." hidden="1">{"page1",#N/A,FALSE,"CTT_CLO";"page2",#N/A,FALSE,"CTT_CLO"}</definedName>
    <definedName name="wrn.clp_detail_doc." hidden="1">{"clp_ltd_doc",#N/A,FALSE,"CLP";"clp_om_doc",#N/A,FALSE,"CLP";"clp_ra_doc",#N/A,FALSE,"CLP";"clp_rb_doc",#N/A,FALSE,"CLP";"clp_rev_doc",#N/A,FALSE,"CLP";"clp_tax_doc",#N/A,FALSE,"CLP";"clp_wc_doc",#N/A,FALSE,"CLP";"clp_power_doc",#N/A,FALSE,"CLP"}</definedName>
    <definedName name="wrn.clp_fs_doc." hidden="1">{"clp_bs_doc",#N/A,FALSE,"CLP";"clp_is_doc",#N/A,FALSE,"CLP";"clp_cf_doc",#N/A,FALSE,"CLP";"clp_fr_doc",#N/A,FALSE,"CLP"}</definedName>
    <definedName name="wrn.Co._.Invest." hidden="1">{"Summary - Coinvest",#N/A,FALSE,"Summary";"Sensitivity - Coinvest",#N/A,FALSE,"Summary";"Partnership Value",#N/A,FALSE,"Summary";"Cash Flows",#N/A,FALSE,"Summary";"Partnership Equity Value",#N/A,FALSE,"Summary";"Waterfall - Coinvest",#N/A,FALSE,"Summary";"MIR Fund Structure - Coinvest",#N/A,FALSE,"Summary";"Assumptions - Coinvest",#N/A,FALSE,"Summary"}</definedName>
    <definedName name="wrn.coII._.I." hidden="1">{#N/A,#N/A,FALSE,"Fund-I"}</definedName>
    <definedName name="wrn.CoIV._.II." hidden="1">{#N/A,#N/A,FALSE,"Fund-II"}</definedName>
    <definedName name="wrn.COM." hidden="1">{"COM",#N/A,FALSE,"800 10th"}</definedName>
    <definedName name="wrn.COM._1" hidden="1">{"COM",#N/A,FALSE,"800 10th"}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LAWTC." hidden="1">{"Commish",#N/A,FALSE,"LAWTC"}</definedName>
    <definedName name="wrn.COMLAWTC._1" hidden="1">{"Commish",#N/A,FALSE,"LAWTC"}</definedName>
    <definedName name="wrn.Comp." hidden="1">{"Comp",#N/A,FALSE,"Spreadsheet"}</definedName>
    <definedName name="wrn.Compare._.Hawaiki." hidden="1">{"Divsum Compare Hawaiki",#N/A,FALSE,"Divsum"}</definedName>
    <definedName name="wrn.COMPCO." hidden="1">{"Page1",#N/A,FALSE,"CompCo";"Page2",#N/A,FALSE,"CompCo"}</definedName>
    <definedName name="wrn.Competition." hidden="1">{#N/A,#N/A,FALSE,"CompSummary";#N/A,#N/A,FALSE,"Comp1";#N/A,#N/A,FALSE,"Comp2";#N/A,#N/A,FALSE,"Comp3";#N/A,#N/A,FALSE,"Comp4";#N/A,#N/A,FALSE,"Comp5";#N/A,#N/A,FALSE,"Our Prop";#N/A,#N/A,FALSE,"Projection Sheet"}</definedName>
    <definedName name="wrn.Competition._1" hidden="1">{#N/A,#N/A,FALSE,"CompSummary";#N/A,#N/A,FALSE,"Comp1";#N/A,#N/A,FALSE,"Comp2";#N/A,#N/A,FALSE,"Comp3";#N/A,#N/A,FALSE,"Comp4";#N/A,#N/A,FALSE,"Comp5";#N/A,#N/A,FALSE,"Our Prop";#N/A,#N/A,FALSE,"Projection Sheet"}</definedName>
    <definedName name="wrn.Complete_2." hidden="1">{"Summary",#N/A,TRUE,"Model";"Value",#N/A,TRUE,"Model";"Sensitivity",#N/A,TRUE,"Model";"Asset",#N/A,TRUE,"Model";"Cash_Flows",#N/A,TRUE,"Cash Flow";"Cash",#N/A,TRUE,"Model";"Equity",#N/A,TRUE,"Model";"DCF",#N/A,TRUE,"Model";"Splits 1",#N/A,TRUE,"Model";"Splits 2",#N/A,TRUE,"Model";"Promote1",#N/A,TRUE,"Model";"Promote2",#N/A,TRUE,"Model";"Promote3",#N/A,TRUE,"Model";"Debt",#N/A,TRUE,"Debt";"Assumptions",#N/A,TRUE,"Model"}</definedName>
    <definedName name="wrn.Complete_2._1" hidden="1">{"Summary",#N/A,TRUE,"Model";"Value",#N/A,TRUE,"Model";"Sensitivity",#N/A,TRUE,"Model";"Asset",#N/A,TRUE,"Model";"Cash_Flows",#N/A,TRUE,"Cash Flow";"Cash",#N/A,TRUE,"Model";"Equity",#N/A,TRUE,"Model";"DCF",#N/A,TRUE,"Model";"Splits 1",#N/A,TRUE,"Model";"Splits 2",#N/A,TRUE,"Model";"Promote1",#N/A,TRUE,"Model";"Promote2",#N/A,TRUE,"Model";"Promote3",#N/A,TRUE,"Model";"Debt",#N/A,TRUE,"Debt";"Assumptions",#N/A,TRUE,"Model"}</definedName>
    <definedName name="wrn.Complete_2._2" hidden="1">{"Summary",#N/A,TRUE,"Model";"Value",#N/A,TRUE,"Model";"Sensitivity",#N/A,TRUE,"Model";"Asset",#N/A,TRUE,"Model";"Cash_Flows",#N/A,TRUE,"Cash Flow";"Cash",#N/A,TRUE,"Model";"Equity",#N/A,TRUE,"Model";"DCF",#N/A,TRUE,"Model";"Splits 1",#N/A,TRUE,"Model";"Splits 2",#N/A,TRUE,"Model";"Promote1",#N/A,TRUE,"Model";"Promote2",#N/A,TRUE,"Model";"Promote3",#N/A,TRUE,"Model";"Debt",#N/A,TRUE,"Debt";"Assumptions",#N/A,TRUE,"Model"}</definedName>
    <definedName name="wrn.Complete_2._3" hidden="1">{"Summary",#N/A,TRUE,"Model";"Value",#N/A,TRUE,"Model";"Sensitivity",#N/A,TRUE,"Model";"Asset",#N/A,TRUE,"Model";"Cash_Flows",#N/A,TRUE,"Cash Flow";"Cash",#N/A,TRUE,"Model";"Equity",#N/A,TRUE,"Model";"DCF",#N/A,TRUE,"Model";"Splits 1",#N/A,TRUE,"Model";"Splits 2",#N/A,TRUE,"Model";"Promote1",#N/A,TRUE,"Model";"Promote2",#N/A,TRUE,"Model";"Promote3",#N/A,TRUE,"Model";"Debt",#N/A,TRUE,"Debt";"Assumptions",#N/A,TRUE,"Model"}</definedName>
    <definedName name="wrn.COMPLETE." hidden="1">{#N/A,#N/A,FALSE,"COVER";#N/A,#N/A,FALSE,"PROFORMA";#N/A,#N/A,FALSE,"Construction CF";#N/A,#N/A,FALSE,"CASHFLOW";#N/A,#N/A,FALSE,"Sale &amp; IRR Analysis";#N/A,#N/A,FALSE,"Amortization Table";#N/A,#N/A,FALSE,"Amortization FEMA";#N/A,#N/A,FALSE,"INCOME"}</definedName>
    <definedName name="wrn.Complete._.Budget." hidden="1">{#N/A,#N/A,FALSE,"PropInfo";#N/A,#N/A,FALSE,"Summary";#N/A,#N/A,FALSE,"Comparitive";#N/A,#N/A,FALSE,"RevSummary";#N/A,#N/A,FALSE,"Rooms";#N/A,#N/A,FALSE,"Van";#N/A,#N/A,FALSE,"F&amp;B Rev";#N/A,#N/A,FALSE,"Food";#N/A,#N/A,FALSE,"Bev";#N/A,#N/A,FALSE,"PBX";#N/A,#N/A,FALSE,"Fitness";#N/A,#N/A,FALSE,"Golf #1";#N/A,#N/A,FALSE,"Golf #2 ";#N/A,#N/A,FALSE,"Tennis";#N/A,#N/A,FALSE,"BusCtr";#N/A,#N/A,FALSE,"InRoomVend";#N/A,#N/A,FALSE,"Retail #1";#N/A,#N/A,FALSE,"Retail #2";#N/A,#N/A,FALSE,"Parking";#N/A,#N/A,FALSE,"Rents&amp;Other";#N/A,#N/A,FALSE,"A&amp;G";#N/A,#N/A,FALSE,"A&amp;P";#N/A,#N/A,FALSE,"Comp";#N/A,#N/A,FALSE,"R&amp;M";#N/A,#N/A,FALSE,"Energy";#N/A,#N/A,FALSE,"Capital";#N/A,#N/A,FALSE,"Laundry";#N/A,#N/A,FALSE,"EmpCafe";#N/A,#N/A,FALSE,"PTEB";#N/A,#N/A,FALSE,"Rent Calc"}</definedName>
    <definedName name="wrn.Complete._.Budget.1" hidden="1">{#N/A,#N/A,TRUE,"Budget";#N/A,#N/A,TRUE,"Revenue &amp; COGS"}</definedName>
    <definedName name="wrn.Complete._.Fortress." hidden="1">{"Summary",#N/A,TRUE,"Fund";"Value",#N/A,TRUE,"Fund";"Sensitivity",#N/A,TRUE,"Fund";"Cash_Flows",#N/A,TRUE,"Fund";"Cash/Equity",#N/A,TRUE,"Fund";"DCF/Yield",#N/A,TRUE,"Fund";"Splits 1",#N/A,TRUE,"Fund";"Promote IA",#N/A,TRUE,"Fund";"Assumptions",#N/A,TRUE,"Fund"}</definedName>
    <definedName name="wrn.Complete._.II." hidden="1">{"Summary",#N/A,TRUE,"Fund";"Value",#N/A,TRUE,"Fund";"Sensitivity",#N/A,TRUE,"Fund";"Cash_Flows",#N/A,TRUE,"Fund";"Cash/Equity",#N/A,TRUE,"Fund";"DCF/Yield",#N/A,TRUE,"Fund";"Splits 1",#N/A,TRUE,"Fund";"Promote I",#N/A,TRUE,"Fund";"Promote II",#N/A,TRUE,"Fund";"Promote III",#N/A,TRUE,"Fund";"Assumptions",#N/A,TRUE,"Fund"}</definedName>
    <definedName name="wrn.Complete._.II._1" hidden="1">{"Summary",#N/A,TRUE,"Fund";"Value",#N/A,TRUE,"Fund";"Sensitivity",#N/A,TRUE,"Fund";"Cash_Flows",#N/A,TRUE,"Fund";"Cash/Equity",#N/A,TRUE,"Fund";"DCF/Yield",#N/A,TRUE,"Fund";"Splits 1",#N/A,TRUE,"Fund";"Promote I",#N/A,TRUE,"Fund";"Promote II",#N/A,TRUE,"Fund";"Promote III",#N/A,TRUE,"Fund";"Assumptions",#N/A,TRUE,"Fund"}</definedName>
    <definedName name="wrn.Complete._.II._2" hidden="1">{"Summary",#N/A,TRUE,"Fund";"Value",#N/A,TRUE,"Fund";"Sensitivity",#N/A,TRUE,"Fund";"Cash_Flows",#N/A,TRUE,"Fund";"Cash/Equity",#N/A,TRUE,"Fund";"DCF/Yield",#N/A,TRUE,"Fund";"Splits 1",#N/A,TRUE,"Fund";"Promote I",#N/A,TRUE,"Fund";"Promote II",#N/A,TRUE,"Fund";"Promote III",#N/A,TRUE,"Fund";"Assumptions",#N/A,TRUE,"Fund"}</definedName>
    <definedName name="wrn.Complete._.II._3" hidden="1">{"Summary",#N/A,TRUE,"Fund";"Value",#N/A,TRUE,"Fund";"Sensitivity",#N/A,TRUE,"Fund";"Cash_Flows",#N/A,TRUE,"Fund";"Cash/Equity",#N/A,TRUE,"Fund";"DCF/Yield",#N/A,TRUE,"Fund";"Splits 1",#N/A,TRUE,"Fund";"Promote I",#N/A,TRUE,"Fund";"Promote II",#N/A,TRUE,"Fund";"Promote III",#N/A,TRUE,"Fund";"Assumptions",#N/A,TRUE,"Fund"}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_.Package." hidden="1">{"Summary Including DHC",#N/A,TRUE,"SUMMARY";"Financial Assumptions",#N/A,TRUE,"Financial Assumptions";"Sources &amp; Uses",#N/A,TRUE,"Financial Assumptions";"History &amp; Projection",#N/A,TRUE,"History - Proforma"}</definedName>
    <definedName name="wrn.Complete._.report." hidden="1">{"Plant Parameters",#N/A,FALSE,"Total Project Economics";"summary1",#N/A,FALSE,"Total Project Economics";"Tariffs_Unit Prices_Costs",#N/A,FALSE,"Total Project Economics";"Financials",#N/A,FALSE,"Total Project Economics"}</definedName>
    <definedName name="wrn.Complete._.Review." hidden="1">{#N/A,#N/A,FALSE,"Occ and Rate";#N/A,#N/A,FALSE,"PF Input";#N/A,#N/A,FALSE,"Capital Input";#N/A,#N/A,FALSE,"Proforma Five Yr";#N/A,#N/A,FALSE,"Calculations";#N/A,#N/A,FALSE,"Transaction Summary-DTW"}</definedName>
    <definedName name="wrn.Complete._1" hidden="1">{"Summary",#N/A,TRUE,"Sheet1";"Sensitivity",#N/A,TRUE,"Sheet1";"Value",#N/A,TRUE,"Sheet1";"Asset",#N/A,TRUE,"Sheet1";"Cash",#N/A,TRUE,"Sheet1";"Equity",#N/A,TRUE,"Sheet1";"DCF",#N/A,TRUE,"Sheet1";"Splits",#N/A,TRUE,"Sheet1";"Promote1",#N/A,TRUE,"Sheet1";"Promote2",#N/A,TRUE,"Sheet1";"Promote3",#N/A,TRUE,"Sheet1";"Assumptions",#N/A,TRUE,"Sheet1";"Debt",#N/A,TRUE,"Sheet1";"Cash_Flows",#N/A,TRUE,"Sheet3"}</definedName>
    <definedName name="wrn.Complete._2" hidden="1">{"Summary",#N/A,TRUE,"Sheet1";"Sensitivity",#N/A,TRUE,"Sheet1";"Value",#N/A,TRUE,"Sheet1";"Asset",#N/A,TRUE,"Sheet1";"Cash",#N/A,TRUE,"Sheet1";"Equity",#N/A,TRUE,"Sheet1";"DCF",#N/A,TRUE,"Sheet1";"Splits",#N/A,TRUE,"Sheet1";"Promote1",#N/A,TRUE,"Sheet1";"Promote2",#N/A,TRUE,"Sheet1";"Promote3",#N/A,TRUE,"Sheet1";"Assumptions",#N/A,TRUE,"Sheet1";"Debt",#N/A,TRUE,"Sheet1";"Cash_Flows",#N/A,TRUE,"Sheet3"}</definedName>
    <definedName name="wrn.Complete._3" hidden="1">{"Summary",#N/A,TRUE,"Sheet1";"Sensitivity",#N/A,TRUE,"Sheet1";"Value",#N/A,TRUE,"Sheet1";"Asset",#N/A,TRUE,"Sheet1";"Cash",#N/A,TRUE,"Sheet1";"Equity",#N/A,TRUE,"Sheet1";"DCF",#N/A,TRUE,"Sheet1";"Splits",#N/A,TRUE,"Sheet1";"Promote1",#N/A,TRUE,"Sheet1";"Promote2",#N/A,TRUE,"Sheet1";"Promote3",#N/A,TRUE,"Sheet1";"Assumptions",#N/A,TRUE,"Sheet1";"Debt",#N/A,TRUE,"Sheet1";"Cash_Flows",#N/A,TRUE,"Sheet3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nst_Monthly." hidden="1">{"Const_Monthly",#N/A,FALSE,"Construction"}</definedName>
    <definedName name="wrn.Construction_Summary." hidden="1">{#N/A,#N/A,FALSE,"Construction"}</definedName>
    <definedName name="wrn.Construction._.Costs." hidden="1">{"Construction Costs",#N/A,FALSE,"Total Costs"}</definedName>
    <definedName name="wrn.contribution." hidden="1">{#N/A,#N/A,FALSE,"Contribution Analysis"}</definedName>
    <definedName name="wrn.contribution.1" hidden="1">{#N/A,#N/A,FALSE,"Contribution Analysis"}</definedName>
    <definedName name="wrn.Control_A." hidden="1">{#N/A,#N/A,FALSE,"Notes";#N/A,#N/A,FALSE,"CFD Summary";#N/A,#N/A,FALSE,"Loan Value";#N/A,#N/A,FALSE,"CashFlowSummary";#N/A,#N/A,FALSE,"InvestorSummary";#N/A,#N/A,FALSE,"RevenueAssumptions";#N/A,#N/A,FALSE,"MasterCostAssmp";#N/A,#N/A,FALSE,"InTractCstAssmp";#N/A,#N/A,FALSE,"LotTakedowns"}</definedName>
    <definedName name="wrn.Control_M." hidden="1">{#N/A,#N/A,FALSE,"Notes";#N/A,#N/A,FALSE,"CFD Summary";#N/A,#N/A,FALSE,"BaseAssumptions";#N/A,#N/A,FALSE,"RevenueAssumptions";#N/A,#N/A,FALSE,"MasterCostAssmp";#N/A,#N/A,FALSE,"InTractCstAssmp";#N/A,#N/A,FALSE,"LotTakedowns";#N/A,#N/A,FALSE,"CashFlowSummary";#N/A,#N/A,FALSE,"FlowSummary";#N/A,#N/A,FALSE,"SourcesAndUses";#N/A,#N/A,FALSE,"CashDistribute";#N/A,#N/A,FALSE,"InvestorSummary";#N/A,#N/A,FALSE,"AcqDev Loan";#N/A,#N/A,FALSE,"Finance Summary";#N/A,#N/A,FALSE,"Valuation"}</definedName>
    <definedName name="wrn.Control._.Sheet." hidden="1">{#N/A,#N/A,FALSE,"CONTROL"}</definedName>
    <definedName name="wrn.Converse." hidden="1">{"Cover",#N/A,TRUE,"Sheet1";"Valuation",#N/A,TRUE,"Sheet1";"Sensitivity",#N/A,TRUE,"Sheet1";"Portfolio CF",#N/A,TRUE,"Sheet1";"Pship NCF",#N/A,TRUE,"Sheet1";"Equity &amp; DCF",#N/A,TRUE,"Sheet1";"Pship Dist 1",#N/A,TRUE,"Sheet1";"Pship Dist 2",#N/A,TRUE,"Sheet1";"Pship Dist 3",#N/A,TRUE,"Sheet1";"MIR Splits 1",#N/A,TRUE,"Sheet1";"MIR Splits 2",#N/A,TRUE,"Sheet1";"MIR Splits 3",#N/A,TRUE,"Sheet1";"Assumptions",#N/A,TRUE,"Sheet1"}</definedName>
    <definedName name="wrn.Converse._1" hidden="1">{"Cover",#N/A,TRUE,"Sheet1";"Valuation",#N/A,TRUE,"Sheet1";"Sensitivity",#N/A,TRUE,"Sheet1";"Portfolio CF",#N/A,TRUE,"Sheet1";"Pship NCF",#N/A,TRUE,"Sheet1";"Equity &amp; DCF",#N/A,TRUE,"Sheet1";"Pship Dist 1",#N/A,TRUE,"Sheet1";"Pship Dist 2",#N/A,TRUE,"Sheet1";"Pship Dist 3",#N/A,TRUE,"Sheet1";"MIR Splits 1",#N/A,TRUE,"Sheet1";"MIR Splits 2",#N/A,TRUE,"Sheet1";"MIR Splits 3",#N/A,TRUE,"Sheet1";"Assumptions",#N/A,TRUE,"Sheet1"}</definedName>
    <definedName name="wrn.Converse._2" hidden="1">{"Cover",#N/A,TRUE,"Sheet1";"Valuation",#N/A,TRUE,"Sheet1";"Sensitivity",#N/A,TRUE,"Sheet1";"Portfolio CF",#N/A,TRUE,"Sheet1";"Pship NCF",#N/A,TRUE,"Sheet1";"Equity &amp; DCF",#N/A,TRUE,"Sheet1";"Pship Dist 1",#N/A,TRUE,"Sheet1";"Pship Dist 2",#N/A,TRUE,"Sheet1";"Pship Dist 3",#N/A,TRUE,"Sheet1";"MIR Splits 1",#N/A,TRUE,"Sheet1";"MIR Splits 2",#N/A,TRUE,"Sheet1";"MIR Splits 3",#N/A,TRUE,"Sheet1";"Assumptions",#N/A,TRUE,"Sheet1"}</definedName>
    <definedName name="wrn.Converse._3" hidden="1">{"Cover",#N/A,TRUE,"Sheet1";"Valuation",#N/A,TRUE,"Sheet1";"Sensitivity",#N/A,TRUE,"Sheet1";"Portfolio CF",#N/A,TRUE,"Sheet1";"Pship NCF",#N/A,TRUE,"Sheet1";"Equity &amp; DCF",#N/A,TRUE,"Sheet1";"Pship Dist 1",#N/A,TRUE,"Sheet1";"Pship Dist 2",#N/A,TRUE,"Sheet1";"Pship Dist 3",#N/A,TRUE,"Sheet1";"MIR Splits 1",#N/A,TRUE,"Sheet1";"MIR Splits 2",#N/A,TRUE,"Sheet1";"MIR Splits 3",#N/A,TRUE,"Sheet1";"Assumptions",#N/A,TRUE,"Sheet1"}</definedName>
    <definedName name="wrn.Core." hidden="1">{#N/A,#N/A,FALSE,"Summary (Oblg)";#N/A,#N/A,FALSE,"41 Mad (41)";#N/A,#N/A,FALSE,"41 Mad (27&amp;28)";#N/A,#N/A,FALSE,"41 Mad (29-1)";#N/A,#N/A,FALSE,"41 Mad (29-2A)";#N/A,#N/A,FALSE,"41 Mad (29-2B)";#N/A,#N/A,FALSE,"41 Mad (30)";#N/A,#N/A,FALSE,"41 Mad (42)";#N/A,#N/A,FALSE,"Blend"}</definedName>
    <definedName name="wrn.Core._.Fund." hidden="1">{"Core Assumptions",#N/A,TRUE,"SA1 Quarterly";"Core Annual",#N/A,TRUE,"SA1 Quarterly";"Core Quarterly",#N/A,TRUE,"SA1 Quarterly"}</definedName>
    <definedName name="wrn.CORNELL._.ANALYSIS." hidden="1">{#N/A,#N/A,FALSE,"CORNELL SCENARIO COMPARISON";#N/A,#N/A,FALSE,"SUMMARY";#N/A,#N/A,FALSE,"Returns";#N/A,#N/A,FALSE,"Cash Flow";#N/A,#N/A,FALSE,"Pro-Forma";#N/A,#N/A,FALSE,"Rent Roll"}</definedName>
    <definedName name="wrn.Corporate." hidden="1">{"Corporate",#N/A,FALSE,"Corporate Profile"}</definedName>
    <definedName name="wrn.Cost._.Report." hidden="1">{#N/A,#N/A,TRUE,"CostSumm";#N/A,#N/A,TRUE,"Land";#N/A,#N/A,TRUE,"Construction";#N/A,#N/A,TRUE,"A&amp;E";#N/A,#N/A,TRUE,"Indirect";#N/A,#N/A,TRUE,"Marketing";#N/A,#N/A,TRUE,"Finance";#N/A,#N/A,TRUE,"Gen and Admin"}</definedName>
    <definedName name="wrn.cotop." hidden="1">{"ReportTop",#N/A,FALSE,"report top"}</definedName>
    <definedName name="wrn.cotop2." hidden="1">{"ReportTop",#N/A,FALSE,"report top"}</definedName>
    <definedName name="wrn.Cottage._.Summary." hidden="1">{"cot1",#N/A,FALSE,"Cottages";"cot2",#N/A,FALSE,"Cottages";"cot3",#N/A,FALSE,"Cottages"}</definedName>
    <definedName name="wrn.Country._.consolidation." hidden="1">{#N/A,"Belgium",TRUE,"Country conso graphs";#N/A,"Netherlands",TRUE,"Country conso graphs";#N/A,"Germany",TRUE,"Country conso graphs";#N/A,"France",TRUE,"Country conso graphs";#N/A,"Sweden",TRUE,"Country conso graphs";#N/A,"Denmark",TRUE,"Country conso graphs";#N/A,"UK",TRUE,"Country conso graphs";#N/A,"Italy",TRUE,"Country conso graphs"}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PB." hidden="1">{#N/A,#N/A,FALSE,"CPB"}</definedName>
    <definedName name="wrn.Credit._.Summary." hidden="1">{#N/A,#N/A,FALSE,"CREDIT"}</definedName>
    <definedName name="wrn.Crossings." hidden="1">{"One",#N/A,FALSE,"Crossings";"Two",#N/A,FALSE,"Crossings";"Three",#N/A,FALSE,"Crossings";"Fous",#N/A,FALSE,"Crossings";"Five",#N/A,FALSE,"Crossings"}</definedName>
    <definedName name="wrn.csc." hidden="1">{"orixcsc",#N/A,FALSE,"ORIX CSC";"orixcsc2",#N/A,FALSE,"ORIX CSC"}</definedName>
    <definedName name="wrn.csc.1" hidden="1">{"orixcsc",#N/A,FALSE,"ORIX CSC";"orixcsc2",#N/A,FALSE,"ORIX CSC"}</definedName>
    <definedName name="wrn.csc.3" hidden="1">{#N/A,#N/A,FALSE,"ORIX CSC"}</definedName>
    <definedName name="wrn.csc2." hidden="1">{#N/A,#N/A,FALSE,"ORIX CSC"}</definedName>
    <definedName name="wrn.cssa." hidden="1">{#N/A,#N/A,FALSE,"WATCHDSC";#N/A,#N/A,FALSE,"2LOSSMOD";#N/A,#N/A,FALSE,"2LOSS";#N/A,#N/A,FALSE,"DSC";#N/A,#N/A,FALSE,"OPERAT";#N/A,#N/A,FALSE,"ADJUST";#N/A,#N/A,FALSE,"LEASE EXPIRE"}</definedName>
    <definedName name="wrn.CSSF._.ex._.USGAAP." hidden="1">{#N/A,#N/A,FALSE,"Cover &amp; Contents ex USGAAP";#N/A,#N/A,FALSE,"Mgr";#N/A,#N/A,FALSE,"Audit ex USGAAP";#N/A,#N/A,FALSE,"Net Assets &amp; Ops &amp; #Units";#N/A,#N/A,FALSE,"NAV per unit";#N/A,#N/A,FALSE,"Cashflow &amp; RE";#N/A,#N/A,FALSE,"Notes 1-2";#N/A,#N/A,FALSE,"Notes 3-10";#N/A,#N/A,FALSE,"Notes 10-12";#N/A,#N/A,FALSE,"Notes 13-19";#N/A,#N/A,FALSE,"Notes 20-21";#N/A,#N/A,FALSE,"Note 22 Cos 1";#N/A,#N/A,FALSE,"Cos 2";#N/A,#N/A,FALSE,"App I";#N/A,#N/A,FALSE,"App II"}</definedName>
    <definedName name="wrn.Ctrl._.A._.Annual." hidden="1">{#N/A,#N/A,FALSE,"Sensitivity";#N/A,#N/A,FALSE,"Residual";#N/A,#N/A,FALSE,"RevenueAssumptions";#N/A,#N/A,FALSE,"CFD Summary";#N/A,#N/A,FALSE,"Annual CF";#N/A,#N/A,FALSE,"Annual Delivery";#N/A,#N/A,FALSE,"Annual IS"}</definedName>
    <definedName name="wrn.Ctrl._.A._.Annually." hidden="1">{#N/A,#N/A,FALSE,"Notes";"CashFlowSummary Annually",#N/A,FALSE,"CashFlowSummary";"InvestorSummary Annually",#N/A,FALSE,"InvestorSummary";#N/A,#N/A,FALSE,"RevenueAssumptions";"MasterCostAssmp Annually",#N/A,FALSE,"MasterCostAssmp";#N/A,#N/A,FALSE,"InTractCstAssmp";"LotTakedowns Annually",#N/A,FALSE,"LotTakedowns"}</definedName>
    <definedName name="wrn.Ctrl._.A._.Monthly." hidden="1">{#N/A,#N/A,FALSE,"Sensitivity";#N/A,#N/A,FALSE,"Residual";#N/A,#N/A,FALSE,"RevenueAssumptions";#N/A,#N/A,FALSE,"CFD Summary";#N/A,#N/A,FALSE,"CashFlow";#N/A,#N/A,FALSE,"Lot Take";#N/A,#N/A,FALSE,"MasterCostAssmp";#N/A,#N/A,FALSE,"InTractCstAssmp";#N/A,#N/A,FALSE,"InvestorSummary"}</definedName>
    <definedName name="wrn.Ctrl._.A._.Quarterly." hidden="1">{#N/A,#N/A,FALSE,"Notes";#N/A,#N/A,FALSE,"Loan Value";"CashFlowSummary Quarterly",#N/A,FALSE,"CashFlowSummary";"InvestorSummary Quarterly",#N/A,FALSE,"InvestorSummary";#N/A,#N/A,FALSE,"RevenueAssumptions";"MasterCostAssmp Quarterly",#N/A,FALSE,"MasterCostAssmp";#N/A,#N/A,FALSE,"InTractCstAssmp";"Lot Takedowns Quarterly",#N/A,FALSE,"LotTakedowns"}</definedName>
    <definedName name="wrn.Ctrl._.M." hidden="1">{#N/A,#N/A,FALSE,"Notes";#N/A,#N/A,FALSE,"CFD Summary";#N/A,#N/A,FALSE,"BaseAssumptions";#N/A,#N/A,FALSE,"RevenueAssumptions";#N/A,#N/A,FALSE,"MasterCostAssmp";#N/A,#N/A,FALSE,"InTractCstAssmp";#N/A,#N/A,FALSE,"LotTakedowns";#N/A,#N/A,FALSE,"CashFlowSummary";#N/A,#N/A,FALSE,"Loan #2";#N/A,#N/A,FALSE,"Loan Value";#N/A,#N/A,FALSE,"FlowSummary";#N/A,#N/A,FALSE,"SourcesAndUses";#N/A,#N/A,FALSE,"CashDistribute";#N/A,#N/A,FALSE,"InvestorSummary";#N/A,#N/A,FALSE,"Finance Summary";#N/A,#N/A,FALSE,"SourceAndUse";#N/A,#N/A,FALSE,"Valuation"}</definedName>
    <definedName name="wrn.Ctrl._.M._.Annually." hidden="1">{#N/A,#N/A,FALSE,"Notes";#N/A,#N/A,FALSE,"BaseAssumptions";#N/A,#N/A,FALSE,"CFD";#N/A,#N/A,FALSE,"RevenueAssumptions";"MasterCostAssmp Annually",#N/A,FALSE,"MasterCostAssmp";#N/A,#N/A,FALSE,"InTractCstAssmp";"LotTakedowns Annually",#N/A,FALSE,"LotTakedowns";"CashFlowSummary Annually",#N/A,FALSE,"CashFlowSummary";#N/A,#N/A,FALSE,"Loan Value";"AcqDev Loan Annually",#N/A,FALSE,"AcqDev Loan";"Loan #1 Annually",#N/A,FALSE,"Loan #1";"Loan #2 Annually",#N/A,FALSE,"Loan #2";"Loan #3 Annually",#N/A,FALSE,"Loan #3";"Consolidated Loan Annually",#N/A,FALSE,"Consolidated Loan";"FlowSummary Annually",#N/A,FALSE,"FlowSummary";"SourcesAndUses Annually",#N/A,FALSE,"SourcesAndUses";"CashDistribute Annually",#N/A,FALSE,"CashDistribute";"InvestorSummary Annually",#N/A,FALSE,"InvestorSummary";#N/A,#N/A,FALSE,"Finance Summary";#N/A,#N/A,FALSE,"Valuation"}</definedName>
    <definedName name="wrn.Ctrl._.M._.Quarterly." hidden="1">{#N/A,#N/A,FALSE,"Notes";#N/A,#N/A,FALSE,"BaseAssumptions";#N/A,#N/A,FALSE,"CFD";#N/A,#N/A,FALSE,"RevenueAssumptions";"MasterCostAssmp Quarterly",#N/A,FALSE,"MasterCostAssmp";"Lot Takedowns Quarterly",#N/A,FALSE,"LotTakedowns";#N/A,#N/A,FALSE,"InTractCstAssmp";"CashFlowSummary Quarterly",#N/A,FALSE,"CashFlowSummary";#N/A,#N/A,FALSE,"Loan Value";"AcqDev Loan Quarterly",#N/A,FALSE,"AcqDev Loan";"Loan #1 Quarterly",#N/A,FALSE,"Loan #1";"Loan #2 Quarterly",#N/A,FALSE,"Loan #2";"Loan #3 Quarterly",#N/A,FALSE,"Loan #3";"Consolidated Loan Quarterly",#N/A,FALSE,"Consolidated Loan";"FlowSummary Quarterly",#N/A,FALSE,"FlowSummary";"SourcesAndUses Quarterly",#N/A,FALSE,"SourcesAndUses";"CashDistribute Quarterly",#N/A,FALSE,"CashDistribute";"InvestorSummary Quarterly",#N/A,FALSE,"InvestorSummary";#N/A,#N/A,FALSE,"Finance Summary";#N/A,#N/A,FALSE,"Valuation"}</definedName>
    <definedName name="wrn.Currency._.Analysis." hidden="1">{"Analysis of Assets_Liabilities",#N/A,FALSE,"ccy_anal";"Analysis of Investments",#N/A,FALSE,"ccy_anal"}</definedName>
    <definedName name="wrn.Current." hidden="1">{"Coversheet",#N/A,TRUE,"Sheet1";"Valuation Summary",#N/A,TRUE,"Sheet1";"Cash Flow Projection",#N/A,TRUE,"Sheet1";"Pship Cash &amp; Equity Value",#N/A,TRUE,"Sheet1";"DCF",#N/A,TRUE,"Sheet1";"Partnership Distributions",#N/A,TRUE,"Sheet1";"MIR/Capital Partner Splits",#N/A,TRUE,"Sheet1";"MIR ROC &amp; Pref (3)",#N/A,TRUE,"Sheet1";"MIR Catchup &amp; Promote (4)",#N/A,TRUE,"Sheet1";"Assumptions",#N/A,TRUE,"Sheet1";"Sensitivity",#N/A,TRUE,"Sheet1";"PropertyPage 1",#N/A,TRUE,"Properties";"PropertyPage 2",#N/A,TRUE,"Properties";"PropertyPage 3",#N/A,TRUE,"Properties"}</definedName>
    <definedName name="wrn.Current._.Year._.Plan._.Only." hidden="1">{#N/A,#N/A,FALSE,"Part C";#N/A,#N/A,FALSE,"C.1(a) Key Financial Objectives";#N/A,#N/A,FALSE,"C.1(b) Key HR Objectives";#N/A,#N/A,FALSE,"C.2 Financial Summary";#N/A,#N/A,FALSE,"C.3 Assumptions";#N/A,#N/A,FALSE,"C.4 Sensitivities - 2000";#N/A,#N/A,FALSE,"C.5 Sensitivities - 2001";#N/A,#N/A,FALSE,"C.6 Bal. Sheet";#N/A,#N/A,FALSE,"C.7 Income by Qtr - 2000";#N/A,#N/A,FALSE,"C.8 Income by Qtr - 2001";#N/A,#N/A,FALSE,"C.9 Cash Flows - 2000";#N/A,#N/A,FALSE,"C.10 Cash Flows - 2001"}</definedName>
    <definedName name="wrn.Current._1" hidden="1">{"Coversheet",#N/A,TRUE,"Sheet1";"Valuation Summary",#N/A,TRUE,"Sheet1";"Cash Flow Projection",#N/A,TRUE,"Sheet1";"Pship Cash &amp; Equity Value",#N/A,TRUE,"Sheet1";"DCF",#N/A,TRUE,"Sheet1";"Partnership Distributions",#N/A,TRUE,"Sheet1";"MIR/Capital Partner Splits",#N/A,TRUE,"Sheet1";"MIR ROC &amp; Pref (3)",#N/A,TRUE,"Sheet1";"MIR Catchup &amp; Promote (4)",#N/A,TRUE,"Sheet1";"Assumptions",#N/A,TRUE,"Sheet1";"Sensitivity",#N/A,TRUE,"Sheet1";"PropertyPage 1",#N/A,TRUE,"Properties";"PropertyPage 2",#N/A,TRUE,"Properties";"PropertyPage 3",#N/A,TRUE,"Properties"}</definedName>
    <definedName name="wrn.Current._2" hidden="1">{"Coversheet",#N/A,TRUE,"Sheet1";"Valuation Summary",#N/A,TRUE,"Sheet1";"Cash Flow Projection",#N/A,TRUE,"Sheet1";"Pship Cash &amp; Equity Value",#N/A,TRUE,"Sheet1";"DCF",#N/A,TRUE,"Sheet1";"Partnership Distributions",#N/A,TRUE,"Sheet1";"MIR/Capital Partner Splits",#N/A,TRUE,"Sheet1";"MIR ROC &amp; Pref (3)",#N/A,TRUE,"Sheet1";"MIR Catchup &amp; Promote (4)",#N/A,TRUE,"Sheet1";"Assumptions",#N/A,TRUE,"Sheet1";"Sensitivity",#N/A,TRUE,"Sheet1";"PropertyPage 1",#N/A,TRUE,"Properties";"PropertyPage 2",#N/A,TRUE,"Properties";"PropertyPage 3",#N/A,TRUE,"Properties"}</definedName>
    <definedName name="wrn.Current._3" hidden="1">{"Coversheet",#N/A,TRUE,"Sheet1";"Valuation Summary",#N/A,TRUE,"Sheet1";"Cash Flow Projection",#N/A,TRUE,"Sheet1";"Pship Cash &amp; Equity Value",#N/A,TRUE,"Sheet1";"DCF",#N/A,TRUE,"Sheet1";"Partnership Distributions",#N/A,TRUE,"Sheet1";"MIR/Capital Partner Splits",#N/A,TRUE,"Sheet1";"MIR ROC &amp; Pref (3)",#N/A,TRUE,"Sheet1";"MIR Catchup &amp; Promote (4)",#N/A,TRUE,"Sheet1";"Assumptions",#N/A,TRUE,"Sheet1";"Sensitivity",#N/A,TRUE,"Sheet1";"PropertyPage 1",#N/A,TRUE,"Properties";"PropertyPage 2",#N/A,TRUE,"Properties";"PropertyPage 3",#N/A,TRUE,"Properties"}</definedName>
    <definedName name="wrn.daily." hidden="1">{#N/A,#N/A,FALSE,"Major v. River";#N/A,#N/A,FALSE,"Large Operators";#N/A,#N/A,FALSE,"Smaller Operators";#N/A,#N/A,FALSE,"Equip. Supply";#N/A,#N/A,FALSE,"EBITDA"}</definedName>
    <definedName name="wrn.data." hidden="1">{"data",#N/A,FALSE,"INPUT"}</definedName>
    <definedName name="wrn.data1" hidden="1">{"data",#N/A,FALSE,"INPUT"}</definedName>
    <definedName name="wrn.data5" hidden="1">{"data",#N/A,FALSE,"INPUT"}</definedName>
    <definedName name="wrn.DATABASE." hidden="1">{"DBINPUT1",#N/A,FALSE,"Database";"DBINPUT2",#N/A,FALSE,"Database"}</definedName>
    <definedName name="wrn.Days._.in._.AR." hidden="1">{"Normal",#N/A,TRUE,"Days";"Sold",#N/A,TRUE,"Days"}</definedName>
    <definedName name="wrn.dcf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." hidden="1">{#N/A,#N/A,FALSE,"DCF-COM";#N/A,#N/A,FALSE,"VAC-COM"}</definedName>
    <definedName name="wrn.DCF._.Valuation." hidden="1">{"value box",#N/A,TRUE,"DPL Inc. Fin Statements";"unlevered free cash flows",#N/A,TRUE,"DPL Inc. Fin Statements"}</definedName>
    <definedName name="wrn.dcfiii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R._.Output." hidden="1">{"DCR Output",#N/A,FALSE,"Output"}</definedName>
    <definedName name="wrn.Debt._.Maturity." hidden="1">{#N/A,#N/A,FALSE,"ZLDebtMaturity";#N/A,#N/A,FALSE,"FCDebtMaturity";#N/A,#N/A,FALSE,"ZM3DebtMaturity";#N/A,#N/A,FALSE,"ZM2DebtMaturity";#N/A,#N/A,FALSE,"zm1DebtMaturity";#N/A,#N/A,FALSE,"ConsZM123DebtMaturity"}</definedName>
    <definedName name="wrn.Dec._.Forecast." hidden="1">{"Dec",#N/A,FALSE,"Manager Report"}</definedName>
    <definedName name="wrn.Demand._.Calcs." hidden="1">{#N/A,#N/A,FALSE,"Demand Calcs"}</definedName>
    <definedName name="wrn.Demand._.Inputs." hidden="1">{#N/A,#N/A,FALSE,"Demand Inputs"}</definedName>
    <definedName name="wrn.Depreciation." hidden="1">{"One",#N/A,FALSE,"Depreciation"}</definedName>
    <definedName name="wrn.detail.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_.SCHEDULES." hidden="1">{"ACCOUNT DETAIL",#N/A,FALSE,"SCHEDULE E";"ACCOUNT DETAIL",#N/A,FALSE,"SCHEDULE G";"ACCOUNT DETAIL",#N/A,FALSE,"SCHEDULE H";"ACCOUNT DETAIL",#N/A,FALSE,"SCHEDULE I"}</definedName>
    <definedName name="wrn.detail._1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_2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_3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_4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ed." hidden="1">{"Detailed",#N/A,FALSE,"Schedule4"}</definedName>
    <definedName name="wrn.Detailed._.Partnership._.Returns._.Leveraged." hidden="1">{"Return Analysis - Leveraged",#N/A,FALSE,"Return Analysis - Leveraged"}</definedName>
    <definedName name="wrn.devdeal." hidden="1">{"top",#N/A,TRUE,"Detail";"next",#N/A,TRUE,"Detail";"then",#N/A,TRUE,"Detail";"and",#N/A,TRUE,"Detail";"inaddition",#N/A,TRUE,"Detail";"finally",#N/A,TRUE,"Detail"}</definedName>
    <definedName name="wrn.Development._.Budget." hidden="1">{"Year 1",#N/A,FALSE,"Budget";"Year 2",#N/A,FALSE,"Budget";"Year 3",#N/A,FALSE,"Budget";"Year 4",#N/A,FALSE,"Budget"}</definedName>
    <definedName name="wrn.Dexter._.Nov._.Fund._.Mtg." hidden="1">{"Venture Summary",#N/A,FALSE,"Summary";"Development Budget",#N/A,FALSE,"Summary";"Annual",#N/A,FALSE,"Annual";"Timeline - Quarterly",#N/A,FALSE,"Timeline - Quarterly";"Argus Assumptions",#N/A,FALSE,"Argus Assumptions"}</definedName>
    <definedName name="wrn.Display." hidden="1">{"Summary",#N/A,TRUE,"Sheet1";"Sens",#N/A,TRUE,"Sheet1";"Summary2",#N/A,TRUE,"Sheet1";"Balance",#N/A,TRUE,"Sheet1";"Partner",#N/A,TRUE,"Sheet1";"Yield",#N/A,TRUE,"Sheet1";"Structure",#N/A,TRUE,"Sheet1";"Split",#N/A,TRUE,"Sheet1"}</definedName>
    <definedName name="wrn.Distribution._.Economics." hidden="1">{#N/A,#N/A,FALSE,"Draw";#N/A,#N/A,FALSE,"PROFORMA";#N/A,#N/A,FALSE,"Assumptions";#N/A,#N/A,FALSE,"Costs"}</definedName>
    <definedName name="wrn.Divsum._.All._.Sections." hidden="1">{"Divsum Complete Divsum",#N/A,FALSE,"Divsum"}</definedName>
    <definedName name="wrn.Downside." hidden="1">{"Downside",#N/A,FALSE,"Downside"}</definedName>
    <definedName name="wrn.dtl.schedules" hidden="1">{"ACCOUNT DETAIL",#N/A,FALSE,"SCHEDULE E";"ACCOUNT DETAIL",#N/A,FALSE,"SCHEDULE G";"ACCOUNT DETAIL",#N/A,FALSE,"SCHEDULE H";"ACCOUNT DETAIL",#N/A,FALSE,"SCHEDULE I"}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Dummy." hidden="1">{"Dummy",#N/A,FALSE,"Summary"}</definedName>
    <definedName name="wrn.Dwight._.print." hidden="1">{"Venture Summary",#N/A,TRUE,"Summary";"Sensitivity Tabels",#N/A,TRUE,"Summary";"Operating Assumptions",#N/A,TRUE,"Summary";#N/A,#N/A,TRUE,"IRR Changes"}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B." hidden="1">{"eb1",#N/A,TRUE,"E-B (R)";"eb2",#N/A,TRUE,"E-B (R)"}</definedName>
    <definedName name="wrn.EC1." hidden="1">{"eca",#N/A,TRUE,"E-C1 (R)";"ecb",#N/A,TRUE,"E-C1 (R)"}</definedName>
    <definedName name="wrn.ED." hidden="1">{"ed1",#N/A,TRUE,"E-D";"ed2",#N/A,TRUE,"E-D"}</definedName>
    <definedName name="wrn.Engineering." hidden="1">{#N/A,#N/A,FALSE,"ENGINEERING"}</definedName>
    <definedName name="wrn.Englese._.Report._.1st._.half." hidden="1">{"CoverSheet",#N/A,FALSE,"Cover Sheet";"AreaSum",#N/A,FALSE,"Master Area Summary";"Exclusions",#N/A,FALSE,"Exclusions";"EngEXsum",#N/A,FALSE,"Executive Summary";"Eng A sum",#N/A,FALSE,"Bldg A Summary";"EngAest",#N/A,FALSE,"BLDG.A";"EngCsum",#N/A,FALSE,"Bldg C Summary";"EngCest",#N/A,FALSE,"BLDG.C";"EngSTsum",#N/A,FALSE,"Site Summary";"Engsite",#N/A,FALSE,"Site work"}</definedName>
    <definedName name="wrn.Englese._.Report._.2nd._.half." hidden="1">{"EngSWsum",#N/A,FALSE,"Sewer Summary";"EngSWest",#N/A,FALSE,"Sewer Estimate";"Eng GRsum",#N/A,FALSE,"Garage Summary";"EngGRest",#N/A,FALSE,"Garage Estimate";"EngPLsum",#N/A,FALSE,"Pool Summary";"EngPLest",#N/A,FALSE,"Pool";"EngPHsum",#N/A,FALSE,"Pool House Summary";"EngPHest",#N/A,FALSE,"Pool House Estimate";"EngMAsum",#N/A,FALSE,"Marina Summary";"EngMAest",#N/A,FALSE,"Marina Estimate"}</definedName>
    <definedName name="wrn.ENTIRE." hidden="1">{#N/A,#N/A,FALSE,"SUMMARY";#N/A,#N/A,FALSE,"LEASING SCHEDULE";#N/A,#N/A,FALSE,"EXPLANATION";#N/A,#N/A,FALSE,"EXPLANATION";#N/A,#N/A,FALSE,"ANALYSIS";#N/A,#N/A,FALSE,"SPREAD";#N/A,#N/A,FALSE,"INCOME";#N/A,#N/A,FALSE,"EXPENSES";#N/A,#N/A,FALSE,"CAPITAL";#N/A,#N/A,FALSE,"DEBT SERVICE"}</definedName>
    <definedName name="wrn.Entire._.Package." hidden="1">{#N/A,#N/A,FALSE,"Smry1";#N/A,#N/A,FALSE,"Smry2";#N/A,#N/A,FALSE,"Finance Cash Flow";#N/A,#N/A,FALSE,"ProForma_Input";#N/A,#N/A,FALSE,"prop_input";#N/A,#N/A,FALSE,"regional_input";#N/A,#N/A,FALSE,"LT Cost of Capital_Input";#N/A,#N/A,FALSE,"Debt_Input";#N/A,#N/A,FALSE,"Yr 6 Rent";#N/A,#N/A,FALSE,"Accr_Dil Cmpd"}</definedName>
    <definedName name="wrn.ENTIRE._1" hidden="1">{#N/A,#N/A,FALSE,"SUMMARY";#N/A,#N/A,FALSE,"LEASING SCHEDULE";#N/A,#N/A,FALSE,"EXPLANATION";#N/A,#N/A,FALSE,"EXPLANATION";#N/A,#N/A,FALSE,"ANALYSIS";#N/A,#N/A,FALSE,"SPREAD";#N/A,#N/A,FALSE,"INCOME";#N/A,#N/A,FALSE,"EXPENSES";#N/A,#N/A,FALSE,"CAPITAL";#N/A,#N/A,FALSE,"DEBT SERVICE"}</definedName>
    <definedName name="wrn.ENTIRE._2" hidden="1">{#N/A,#N/A,FALSE,"SUMMARY";#N/A,#N/A,FALSE,"LEASING SCHEDULE";#N/A,#N/A,FALSE,"EXPLANATION";#N/A,#N/A,FALSE,"EXPLANATION";#N/A,#N/A,FALSE,"ANALYSIS";#N/A,#N/A,FALSE,"SPREAD";#N/A,#N/A,FALSE,"INCOME";#N/A,#N/A,FALSE,"EXPENSES";#N/A,#N/A,FALSE,"CAPITAL";#N/A,#N/A,FALSE,"DEBT SERVICE"}</definedName>
    <definedName name="wrn.ENTIRE._3" hidden="1">{#N/A,#N/A,FALSE,"SUMMARY";#N/A,#N/A,FALSE,"LEASING SCHEDULE";#N/A,#N/A,FALSE,"EXPLANATION";#N/A,#N/A,FALSE,"EXPLANATION";#N/A,#N/A,FALSE,"ANALYSIS";#N/A,#N/A,FALSE,"SPREAD";#N/A,#N/A,FALSE,"INCOME";#N/A,#N/A,FALSE,"EXPENSES";#N/A,#N/A,FALSE,"CAPITAL";#N/A,#N/A,FALSE,"DEBT SERVICE"}</definedName>
    <definedName name="wrn.ENTIRE._4" hidden="1">{#N/A,#N/A,FALSE,"SUMMARY";#N/A,#N/A,FALSE,"LEASING SCHEDULE";#N/A,#N/A,FALSE,"EXPLANATION";#N/A,#N/A,FALSE,"EXPLANATION";#N/A,#N/A,FALSE,"ANALYSIS";#N/A,#N/A,FALSE,"SPREAD";#N/A,#N/A,FALSE,"INCOME";#N/A,#N/A,FALSE,"EXPENSES";#N/A,#N/A,FALSE,"CAPITAL";#N/A,#N/A,FALSE,"DEBT SERVICE"}</definedName>
    <definedName name="wrn.Entitlements." hidden="1">{"EB (Summary)",#N/A,FALSE,"Ent Budget";"EB (Budget Detail)",#N/A,FALSE,"Ent Budget";"EB (Budget CF)",#N/A,FALSE,"Ent Budget"}</definedName>
    <definedName name="wrn.Entries." hidden="1">{"entries",#N/A,FALSE,"entries"}</definedName>
    <definedName name="wrn.Environmental." hidden="1">{#N/A,#N/A,FALSE,"ENVIRONMENTAL"}</definedName>
    <definedName name="wrn.Error._.Report." hidden="1">{"Error Report",#N/A,FALSE,"Report"}</definedName>
    <definedName name="wrn.Estimate._.Backup." hidden="1">{"Estimate Backup",#N/A,FALSE,"Divsum"}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ample." hidden="1">{"Assumption Summary",#N/A,TRUE,"FIII Asset CF";"FIII Portfolio CF",#N/A,TRUE,"FIII Asset CF";"FIII Asset CF",#N/A,TRUE,"Rollup CF"}</definedName>
    <definedName name="wrn.Excavation." hidden="1">{"excavation",#N/A,FALSE,"DETAIL.XLS"}</definedName>
    <definedName name="wrn.Exception._.Report." hidden="1">{#N/A,#N/A,FALSE,"Exception Report"}</definedName>
    <definedName name="wrn.Exec._.Summary." hidden="1">{#N/A,#N/A,FALSE,"Index"}</definedName>
    <definedName name="wrn.ExecMgt._.Reports." hidden="1">{#N/A,#N/A,FALSE,"PropInfo";#N/A,#N/A,FALSE,"Summary";#N/A,#N/A,FALSE,"Comparitive";#N/A,#N/A,FALSE,"RevSummary"}</definedName>
    <definedName name="wrn.Executive._.Summary._.Reports." hidden="1">{"Estimated Proforma (Prelim. Proforma)",#N/A,TRUE,"Prelim. Proforma";"Summary Cash Flow Grid",#N/A,TRUE,"Cash Flow Grid";"Final Proforma (Final Proforma)",#N/A,TRUE,"Final Proforma";"Cash Flow Graph (Cash Flow Graphic)",#N/A,TRUE,"Cash Flow Graphic"}</definedName>
    <definedName name="wrn.Exhibits." hidden="1">{#N/A,#N/A,FALSE,"Historical";#N/A,#N/A,FALSE,"Adjusted";#N/A,#N/A,FALSE,"CAM Alloc.";#N/A,#N/A,FALSE,"Projected CAM"}</definedName>
    <definedName name="wrn.ExitAndSalesAssumptions." hidden="1">{#N/A,#N/A,FALSE,"ExitStratigy"}</definedName>
    <definedName name="wrn.ExitAndSalesAssumptions._1" hidden="1">{#N/A,#N/A,FALSE,"ExitStratigy"}</definedName>
    <definedName name="wrn.ExitAndSalesAssumptions._2" hidden="1">{#N/A,#N/A,FALSE,"ExitStratigy"}</definedName>
    <definedName name="wrn.ExitAndSalesAssumptions._3" hidden="1">{#N/A,#N/A,FALSE,"ExitStratigy"}</definedName>
    <definedName name="wrn.ExitAndSalesAssumptions._4" hidden="1">{#N/A,#N/A,FALSE,"ExitStratigy"}</definedName>
    <definedName name="wrn.EXPENSE." hidden="1">{#N/A,#N/A,FALSE,"Common Area Accrual";#N/A,#N/A,FALSE,"Unit One LaSalle";#N/A,#N/A,FALSE,"Unit One CW";#N/A,#N/A,FALSE,"Unit One LaSallle + C &amp; W";#N/A,#N/A,FALSE,"Consolidated Accrual"}</definedName>
    <definedName name="wrn.Expense._.Detail." hidden="1">{#N/A,#N/A,FALSE,"Common Area Accrual";#N/A,#N/A,FALSE,"Unit One LaSalle";#N/A,#N/A,FALSE,"Unit One CW";#N/A,#N/A,FALSE,"Unit One LaSalle + C &amp; W";#N/A,#N/A,FALSE,"Consolidated Accrual"}</definedName>
    <definedName name="wrn.Expense._.Input." hidden="1">{#N/A,#N/A,FALSE,"Expense Input"}</definedName>
    <definedName name="wrn.Exterior._.Wall." hidden="1">{#N/A,#N/A,FALSE,"Paramters";"print range",#N/A,FALSE,"GSF.XLS";"exterior wall",#N/A,FALSE,"DETAIL.XLS"}</definedName>
    <definedName name="wrn.F97._.QTR._.2._.Rate." hidden="1">{#N/A,#N/A,FALSE,"F98 Q2";#N/A,#N/A,FALSE,"Worksheet";#N/A,#N/A,FALSE,"Reconciliation";#N/A,#N/A,FALSE,"Minority Interest"}</definedName>
    <definedName name="wrn.Fair._.Share._.Calcs." hidden="1">{#N/A,#N/A,FALSE,"Fair Share"}</definedName>
    <definedName name="wrn.Fairfield._.Business._.Center." hidden="1">{#N/A,#N/A,FALSE,"SUMMARY";#N/A,#N/A,FALSE,"Returns";#N/A,#N/A,FALSE,"Pro-Forma";#N/A,#N/A,FALSE,"Cash Flow";#N/A,#N/A,FALSE,"Rent Roll"}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CG.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._.Express." hidden="1">{#N/A,#N/A,TRUE,"Title Page";#N/A,#N/A,TRUE,"Executive Summary";#N/A,#N/A,TRUE,"Assumptions";#N/A,#N/A,TRUE,"Footnotes";#N/A,#N/A,TRUE,"Narrative Assumptions";#N/A,#N/A,TRUE,"2nd Generation";#N/A,#N/A,TRUE,"Existing vs Mkt";#N/A,#N/A,TRUE,"Cash Flow";#N/A,#N/A,TRUE,"Residual - Marketing";#N/A,#N/A,TRUE,"Pricing Matrix";#N/A,#N/A,TRUE,"Expiration Schedule";#N/A,#N/A,TRUE,"Expiration Graph "}</definedName>
    <definedName name="wrn.FCG._.Express._1" hidden="1">{#N/A,#N/A,TRUE,"Title Page";#N/A,#N/A,TRUE,"Executive Summary";#N/A,#N/A,TRUE,"Assumptions";#N/A,#N/A,TRUE,"Footnotes";#N/A,#N/A,TRUE,"Narrative Assumptions";#N/A,#N/A,TRUE,"2nd Generation";#N/A,#N/A,TRUE,"Existing vs Mkt";#N/A,#N/A,TRUE,"Cash Flow";#N/A,#N/A,TRUE,"Residual - Marketing";#N/A,#N/A,TRUE,"Pricing Matrix";#N/A,#N/A,TRUE,"Expiration Schedule";#N/A,#N/A,TRUE,"Expiration Graph "}</definedName>
    <definedName name="wrn.FCG._.Full." hidden="1">{#N/A,#N/A,TRUE,"Title Page";#N/A,#N/A,TRUE,"Executive Summary";#N/A,#N/A,TRUE,"Assumptions";#N/A,#N/A,TRUE,"Footnotes";#N/A,#N/A,TRUE,"Narrative Assumptions";#N/A,#N/A,TRUE,"Vacant Space";#N/A,#N/A,TRUE,"2nd Generation";#N/A,#N/A,TRUE,"Existing vs Mkt";#N/A,#N/A,TRUE,"Cash Flow";#N/A,#N/A,TRUE,"Residual - Marketing";#N/A,#N/A,TRUE,"Pricing Matrix";#N/A,#N/A,TRUE,"Vacancy Detail";#N/A,#N/A,TRUE,"Expiration Schedule";#N/A,#N/A,TRUE,"Expiration Graph ";#N/A,#N/A,TRUE,"Value Matrix";#N/A,#N/A,TRUE,"Value Matrix (2)";#N/A,#N/A,TRUE,"GI Detail";#N/A,#N/A,TRUE,"Exp Detail";#N/A,#N/A,TRUE,"ALease-up Schedule"}</definedName>
    <definedName name="wrn.FCG._.Full._1" hidden="1">{#N/A,#N/A,TRUE,"Title Page";#N/A,#N/A,TRUE,"Executive Summary";#N/A,#N/A,TRUE,"Assumptions";#N/A,#N/A,TRUE,"Footnotes";#N/A,#N/A,TRUE,"Narrative Assumptions";#N/A,#N/A,TRUE,"Vacant Space";#N/A,#N/A,TRUE,"2nd Generation";#N/A,#N/A,TRUE,"Existing vs Mkt";#N/A,#N/A,TRUE,"Cash Flow";#N/A,#N/A,TRUE,"Residual - Marketing";#N/A,#N/A,TRUE,"Pricing Matrix";#N/A,#N/A,TRUE,"Vacancy Detail";#N/A,#N/A,TRUE,"Expiration Schedule";#N/A,#N/A,TRUE,"Expiration Graph ";#N/A,#N/A,TRUE,"Value Matrix";#N/A,#N/A,TRUE,"Value Matrix (2)";#N/A,#N/A,TRUE,"GI Detail";#N/A,#N/A,TRUE,"Exp Detail";#N/A,#N/A,TRUE,"ALease-up Schedule"}</definedName>
    <definedName name="wrn.FCG._1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2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db1_Imprime_Print." hidden="1">{"fdb1_Rapport_Report",#N/A,FALSE,"Report"}</definedName>
    <definedName name="wrn.fdb2_print_rpt." hidden="1">{"fdb2_print",#N/A,FALSE,"Report"}</definedName>
    <definedName name="wrn.Feb._.09._.Model._.Review." hidden="1">{"Venture Summary",#N/A,FALSE,"Summary";"Development Budget",#N/A,FALSE,"Summary";"Development Proforma",#N/A,FALSE,"Dev PF";"Argus Assumptions",#N/A,FALSE,"Argus Assumptions";"Project Costs",#N/A,FALSE,"Summary"}</definedName>
    <definedName name="wrn.Feb._.2009._.Model._.Review." hidden="1">{"Venture Summary",#N/A,FALSE,"Summary";"Argus Assumptions",#N/A,FALSE,"Argus Assumptions";"Development Budget",#N/A,FALSE,"Summary";"Dev PF",#N/A,FALSE,"Dev PF";"Monthly Venture CFs",#N/A,FALSE,"Summary";"Monthly Project Costs",#N/A,FALSE,"Summary"}</definedName>
    <definedName name="wrn.Feb._.Forecast." hidden="1">{"Feb",#N/A,FALSE,"Manager Report"}</definedName>
    <definedName name="wrn.Feb98." hidden="1">{"sheet a",#N/A,FALSE,"A";"2 9 casflow",#N/A,FALSE,"B"}</definedName>
    <definedName name="wrn.Ferro.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l." hidden="1">{#N/A,#N/A,FALSE,"Total Sum";#N/A,#N/A,FALSE,"NA Summary";#N/A,#N/A,FALSE,"Junior Summary";#N/A,#N/A,FALSE,"FMC -NA Summary";#N/A,#N/A,FALSE,"Pacif Summary";#N/A,#N/A,FALSE,"NAV";#N/A,#N/A,FALSE,"Asset Summary";#N/A,#N/A,FALSE,"Bulawan";#N/A,#N/A,FALSE,"Sibutad";#N/A,#N/A,FALSE,"Prodn &amp; Reserves"}</definedName>
    <definedName name="wrn.Final._.Output." hidden="1">{#N/A,#N/A,FALSE,"Final Output"}</definedName>
    <definedName name="wrn.Finance." hidden="1">{#N/A,#N/A,TRUE,"97 FINANCING";#N/A,#N/A,TRUE,"97 Indirect &amp; Operating Costs";#N/A,#N/A,TRUE,"97 Master Dev. Cost Wksht"}</definedName>
    <definedName name="wrn.Finance._.Meeting._.1." hidden="1">{"Index",#N/A,FALSE,"Index";"Assumptions_country",#N/A,FALSE,"Assump";"Ebit_division_direct",#N/A,FALSE,"P&amp;L";"Reserves",#N/A,FALSE,"Reserves"}</definedName>
    <definedName name="wrn.Finance._.Meeting._.2." hidden="1">{"Reconciliation",#N/A,FALSE,"Rec";"Ebit_detail",#N/A,FALSE,"P&amp;L";"Cash_summary",#N/A,FALSE,"Cash"}</definedName>
    <definedName name="wrn.Financial._.Model." hidden="1">{#N/A,#N/A,TRUE,"Input Sheet Model";#N/A,#N/A,TRUE,"Project Proforma Detail";#N/A,#N/A,TRUE,"Signoff Summary";#N/A,#N/A,TRUE,"Assumptions";#N/A,#N/A,TRUE,"Constr. Int. Inc.";#N/A,#N/A,TRUE,"Cashflow Projection"}</definedName>
    <definedName name="wrn.Financial._.Model._1" hidden="1">{#N/A,#N/A,TRUE,"Input Sheet Model";#N/A,#N/A,TRUE,"Project Proforma Detail";#N/A,#N/A,TRUE,"Signoff Summary";#N/A,#N/A,TRUE,"Assumptions";#N/A,#N/A,TRUE,"Constr. Int. Inc.";#N/A,#N/A,TRUE,"Cashflow Projection"}</definedName>
    <definedName name="wrn.Financial._.Pack." hidden="1">{#N/A,#N/A,FALSE,"pension";#N/A,#N/A,FALSE,"Cover Page";#N/A,#N/A,FALSE,"Index";#N/A,#N/A,FALSE,"Certificate";#N/A,#N/A,FALSE,"Audit Report";#N/A,#N/A,FALSE,"Capital";#N/A,#N/A,FALSE,"Incomestat";#N/A,#N/A,FALSE,"Istatedetail";#N/A,#N/A,FALSE,"interestdividend";#N/A,#N/A,FALSE,"Tax";#N/A,#N/A,FALSE,"taxcomp";#N/A,#N/A,FALSE,"Incometaxac";#N/A,#N/A,FALSE,"Exitem";#N/A,#N/A,FALSE,"sharecap";#N/A,#N/A,FALSE,"distrprofit";#N/A,#N/A,FALSE,"amortis";#N/A,#N/A,FALSE,"deferredtax";#N/A,#N/A,FALSE,"Loans";#N/A,#N/A,FALSE,"fiassets";#N/A,#N/A,FALSE,"Fixedassets";#N/A,#N/A,FALSE,"reval";#N/A,#N/A,FALSE,"deprec";#N/A,#N/A,FALSE,"intercotr";#N/A,#N/A,FALSE,"plossassets";#N/A,#N/A,FALSE,"taxassets";#N/A,#N/A,FALSE,"notes";#N/A,#N/A,FALSE,"otherfixedass";#N/A,#N/A,FALSE,"sharessub";#N/A,#N/A,FALSE,"investments";#N/A,#N/A,FALSE,"STOCKS";#N/A,#N/A,FALSE,"DEBTORS";#N/A,#N/A,FALSE,"CREDITORS";#N/A,#N/A,FALSE,"BANKS&amp;LOANS";#N/A,#N/A,FALSE,"INTRACOMPANY";#N/A,#N/A,FALSE,"DIRECTORS";#N/A,#N/A,FALSE,"CASHFLOW";#N/A,#N/A,FALSE,"conliab"}</definedName>
    <definedName name="wrn.Financial._.Reports." hidden="1">{#N/A,#N/A,FALSE,"Overview";#N/A,#N/A,FALSE,"santafe";#N/A,#N/A,FALSE,"noble";#N/A,#N/A,FALSE,"Combined Results";#N/A,#N/A,FALSE,"Earnings"}</definedName>
    <definedName name="wrn.Financial._.Results." hidden="1">{"Financial Results",#N/A,FALSE,"Total Project Economics"}</definedName>
    <definedName name="wrn.Financial._.Statements." hidden="1">{"balance sheet",#N/A,FALSE,"balance sheet";#N/A,#N/A,FALSE,"income stmt (YTD)";"income stmt",#N/A,FALSE,"income stmt ";"cash flow YTD",#N/A,FALSE,"cash flow (YTD)";"cash flow",#N/A,FALSE,"cash flow "}</definedName>
    <definedName name="wrn.Financials." hidden="1">{#N/A,#N/A,TRUE,"Income Statement";#N/A,#N/A,TRUE,"Balance Sheet";#N/A,#N/A,TRUE,"Cash Flow"}</definedName>
    <definedName name="wrn.Financing_Assumptions." hidden="1">{"One",#N/A,FALSE,"Financing Assumptions";"Two",#N/A,FALSE,"Financing Assumptions";"Three",#N/A,FALSE,"Financing Assumptions";"Four",#N/A,FALSE,"Financing Assumptions"}</definedName>
    <definedName name="wrn.Financing." hidden="1">{"One",#N/A,FALSE,"Financing";"Two",#N/A,FALSE,"Financing";"Three",#N/A,FALSE,"Financing";"Four",#N/A,FALSE,"Financing"}</definedName>
    <definedName name="wrn.Finsumm." hidden="1">{"Finsumm",#N/A,FALSE,"Summary Analysis"}</definedName>
    <definedName name="wrn.First._.3._.Years._.All._.Sheets." hidden="1">{#N/A,#N/A,FALSE,"BaseAssumptions";"MasterCostAssmp_3 Yrs",#N/A,FALSE,"MasterCostAssmp";#N/A,#N/A,FALSE,"InTractCstAssmp";"LotTakedowns_3 Yrs",#N/A,FALSE,"LotTakedowns";"CashFlowSummary_3 Yrs",#N/A,FALSE,"CashFlowSummary";"FlowSummary_3 Yrs",#N/A,FALSE,"FlowSummary";"SourcesAndUses_3 Yrs",#N/A,FALSE,"SourcesAndUses";"CashDistribute_3 Yrs",#N/A,FALSE,"CashDistribute";"InvestorSummary_3 Yrs",#N/A,FALSE,"InvestorSummary";"AcqDev Loan_3 Yrs",#N/A,FALSE,"AcqDev Loan";#N/A,#N/A,FALSE,"Finance Summary";#N/A,#N/A,FALSE,"Valuation"}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ive._.Year._.Plan." hidden="1">{#N/A,#N/A,FALSE,"Part B - Five Year Projections";#N/A,#N/A,FALSE,"B.1 Financial Summary";#N/A,#N/A,FALSE,"B.1a Financial Sum wks";#N/A,#N/A,FALSE,"B.2 Five Year Assumptions";#N/A,#N/A,FALSE,"B.3 Five Year Income";#N/A,#N/A,FALSE,"B.4 Five Year Balance Sheets";#N/A,#N/A,FALSE,"B.5 Five Year Cash Flows"}</definedName>
    <definedName name="wrn.Fleet." hidden="1">{"FleetDetailsNE",#N/A,FALSE,"NEForecast"}</definedName>
    <definedName name="wrn.Fmgmtfee." hidden="1">{#N/A,#N/A,FALSE,"Fmgmtfee"}</definedName>
    <definedName name="wrn.FMJVO._.and._.Summary._.with._.Calculations." hidden="1">{#N/A,#N/A,FALSE,"Summary";#N/A,#N/A,FALSE,"General Inputs &amp; Assumptions";"Franchise All",#N/A,FALSE,"Franchise";"Managed All",#N/A,FALSE,"Managed";"JV All",#N/A,FALSE,"JV";"Owned All",#N/A,FALSE,"Owned"}</definedName>
    <definedName name="wrn.Footnotes." hidden="1">{"Footnotes",#N/A,FALSE,"Foot_Notes"}</definedName>
    <definedName name="wrn.FORECAST._.ONLY." hidden="1">{"SourceUse",#N/A,FALSE,"S &amp; U";"Pricing","Normal",FALSE,"Pricing";"Fund Flow",#N/A,FALSE,"Fund Flow";"Rent","Normal",FALSE,"Rent,Exp";"Operating Exp",#N/A,FALSE,"Oper Exp";"Net Operating Income",#N/A,FALSE,"NOI";"Cashflow",#N/A,FALSE,"C Flow";"Net Income",#N/A,FALSE,"Net Incm";"Benefit Schedule",#N/A,FALSE,"Benefits";"Min Gain",#N/A,FALSE,"Min Gain";"Devt Fee",#N/A,FALSE,"Devt Fee";"Mort 1",#N/A,FALSE,"Mort 1";"RP Depr",#N/A,FALSE,"RP Depr";"PP Amort",#N/A,FALSE,"PP Amort";"RR Depr",#N/A,FALSE,"RR Depr";"Debt Analysis",#N/A,FALSE,"Debt Anal"}</definedName>
    <definedName name="wrn.FORMULAS." hidden="1">{"FORMULAS",#N/A,FALSE,"ESTIMATE"}</definedName>
    <definedName name="wrn.Fortress." hidden="1">{"Summary",#N/A,TRUE,"Sheet1";"Sens",#N/A,TRUE,"Sheet1";"Valuation Summary",#N/A,TRUE,"Sheet1";"Cash Flows and Value",#N/A,TRUE,"Sheet1";"DCF and Yield",#N/A,TRUE,"Sheet1";"JV Structure",#N/A,TRUE,"Sheet1";"Partnership Summary and Cash",#N/A,TRUE,"Sheet1";"Partnership Distributions 1",#N/A,TRUE,"Sheet1";"Partnership Distributions 2",#N/A,TRUE,"Sheet1";"CP Investment Return",#N/A,TRUE,"Sheet1";"Cash Flows Full",#N/A,TRUE,"Sheet2";"Assumptions",#N/A,TRUE,"Sheet1";"RR 1",#N/A,TRUE,"Rent Roll";"RR 2",#N/A,TRUE,"Rent Roll";"RR 3",#N/A,TRUE,"Rent Roll";"RR 4",#N/A,TRUE,"Rent Roll";"RR 5",#N/A,TRUE,"Rent Roll";"RR 6",#N/A,TRUE,"Rent Roll"}</definedName>
    <definedName name="wrn.Fortress._1" hidden="1">{"Summary",#N/A,TRUE,"Sheet1";"Sens",#N/A,TRUE,"Sheet1";"Valuation Summary",#N/A,TRUE,"Sheet1";"Cash Flows and Value",#N/A,TRUE,"Sheet1";"DCF and Yield",#N/A,TRUE,"Sheet1";"JV Structure",#N/A,TRUE,"Sheet1";"Partnership Summary and Cash",#N/A,TRUE,"Sheet1";"Partnership Distributions 1",#N/A,TRUE,"Sheet1";"Partnership Distributions 2",#N/A,TRUE,"Sheet1";"CP Investment Return",#N/A,TRUE,"Sheet1";"Cash Flows Full",#N/A,TRUE,"Sheet2";"Assumptions",#N/A,TRUE,"Sheet1";"RR 1",#N/A,TRUE,"Rent Roll";"RR 2",#N/A,TRUE,"Rent Roll";"RR 3",#N/A,TRUE,"Rent Roll";"RR 4",#N/A,TRUE,"Rent Roll";"RR 5",#N/A,TRUE,"Rent Roll";"RR 6",#N/A,TRUE,"Rent Roll"}</definedName>
    <definedName name="wrn.Fortress._2" hidden="1">{"Summary",#N/A,TRUE,"Sheet1";"Sens",#N/A,TRUE,"Sheet1";"Valuation Summary",#N/A,TRUE,"Sheet1";"Cash Flows and Value",#N/A,TRUE,"Sheet1";"DCF and Yield",#N/A,TRUE,"Sheet1";"JV Structure",#N/A,TRUE,"Sheet1";"Partnership Summary and Cash",#N/A,TRUE,"Sheet1";"Partnership Distributions 1",#N/A,TRUE,"Sheet1";"Partnership Distributions 2",#N/A,TRUE,"Sheet1";"CP Investment Return",#N/A,TRUE,"Sheet1";"Cash Flows Full",#N/A,TRUE,"Sheet2";"Assumptions",#N/A,TRUE,"Sheet1";"RR 1",#N/A,TRUE,"Rent Roll";"RR 2",#N/A,TRUE,"Rent Roll";"RR 3",#N/A,TRUE,"Rent Roll";"RR 4",#N/A,TRUE,"Rent Roll";"RR 5",#N/A,TRUE,"Rent Roll";"RR 6",#N/A,TRUE,"Rent Roll"}</definedName>
    <definedName name="wrn.Fortress._3" hidden="1">{"Summary",#N/A,TRUE,"Sheet1";"Sens",#N/A,TRUE,"Sheet1";"Valuation Summary",#N/A,TRUE,"Sheet1";"Cash Flows and Value",#N/A,TRUE,"Sheet1";"DCF and Yield",#N/A,TRUE,"Sheet1";"JV Structure",#N/A,TRUE,"Sheet1";"Partnership Summary and Cash",#N/A,TRUE,"Sheet1";"Partnership Distributions 1",#N/A,TRUE,"Sheet1";"Partnership Distributions 2",#N/A,TRUE,"Sheet1";"CP Investment Return",#N/A,TRUE,"Sheet1";"Cash Flows Full",#N/A,TRUE,"Sheet2";"Assumptions",#N/A,TRUE,"Sheet1";"RR 1",#N/A,TRUE,"Rent Roll";"RR 2",#N/A,TRUE,"Rent Roll";"RR 3",#N/A,TRUE,"Rent Roll";"RR 4",#N/A,TRUE,"Rent Roll";"RR 5",#N/A,TRUE,"Rent Roll";"RR 6",#N/A,TRUE,"Rent Roll"}</definedName>
    <definedName name="wrn.FOschedules." hidden="1">{"FOschedule1",#N/A,FALSE,"Sheet1";"FOschedule2",#N/A,FALSE,"Sheet1";"FOschedule3",#N/A,FALSE,"Sheet1"}</definedName>
    <definedName name="wrn.FOschedules._1" hidden="1">{"FOschedule1",#N/A,FALSE,"Sheet1";"FOschedule2",#N/A,FALSE,"Sheet1";"FOschedule3",#N/A,FALSE,"Sheet1"}</definedName>
    <definedName name="wrn.FOschedules._2" hidden="1">{"FOschedule1",#N/A,FALSE,"Sheet1";"FOschedule2",#N/A,FALSE,"Sheet1";"FOschedule3",#N/A,FALSE,"Sheet1"}</definedName>
    <definedName name="wrn.FOschedules._3" hidden="1">{"FOschedule1",#N/A,FALSE,"Sheet1";"FOschedule2",#N/A,FALSE,"Sheet1";"FOschedule3",#N/A,FALSE,"Sheet1"}</definedName>
    <definedName name="wrn.FOschedules._4" hidden="1">{"FOschedule1",#N/A,FALSE,"Sheet1";"FOschedule2",#N/A,FALSE,"Sheet1";"FOschedule3",#N/A,FALSE,"Sheet1"}</definedName>
    <definedName name="wrn.FOUR._.CASES.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xmeyer." hidden="1">{#N/A,#N/A,FALSE,"FOXMEYER SCENARIO COMPARISON";#N/A,#N/A,FALSE,"SUMMARY";#N/A,#N/A,FALSE,"Returns";#N/A,#N/A,FALSE,"Cash Flow";#N/A,#N/A,FALSE,"Pro-Forma";#N/A,#N/A,FALSE,"Rent Roll"}</definedName>
    <definedName name="wrn.Freq_Res." hidden="1">{#N/A,#N/A,TRUE,"FR_HC";#N/A,#N/A,TRUE,"FR_REST";#N/A,#N/A,TRUE,"FR_RETA";#N/A,#N/A,TRUE,"FR_TECSOF";#N/A,#N/A,TRUE,"FR_NETTEC";#N/A,#N/A,TRUE,"FR_CLISER"}</definedName>
    <definedName name="wrn.FRI." hidden="1">{"Cover",#N/A,TRUE,"Sheet1";"2. Value",#N/A,TRUE,"Sheet1";"Sensitivities",#N/A,TRUE,"Sheet1";"3. Porfolio CF",#N/A,TRUE,"Sheet1";"4. NCF",#N/A,TRUE,"Sheet1";"5. DCF",#N/A,TRUE,"Sheet1";"6. Partnership Dist",#N/A,TRUE,"Sheet1";"7. MIR Splits",#N/A,TRUE,"Sheet1";"Assumptions",#N/A,TRUE,"Sheet1"}</definedName>
    <definedName name="wrn.FRI._1" hidden="1">{"Cover",#N/A,TRUE,"Sheet1";"2. Value",#N/A,TRUE,"Sheet1";"Sensitivities",#N/A,TRUE,"Sheet1";"3. Porfolio CF",#N/A,TRUE,"Sheet1";"4. NCF",#N/A,TRUE,"Sheet1";"5. DCF",#N/A,TRUE,"Sheet1";"6. Partnership Dist",#N/A,TRUE,"Sheet1";"7. MIR Splits",#N/A,TRUE,"Sheet1";"Assumptions",#N/A,TRUE,"Sheet1"}</definedName>
    <definedName name="wrn.FRI._2" hidden="1">{"Cover",#N/A,TRUE,"Sheet1";"2. Value",#N/A,TRUE,"Sheet1";"Sensitivities",#N/A,TRUE,"Sheet1";"3. Porfolio CF",#N/A,TRUE,"Sheet1";"4. NCF",#N/A,TRUE,"Sheet1";"5. DCF",#N/A,TRUE,"Sheet1";"6. Partnership Dist",#N/A,TRUE,"Sheet1";"7. MIR Splits",#N/A,TRUE,"Sheet1";"Assumptions",#N/A,TRUE,"Sheet1"}</definedName>
    <definedName name="wrn.FRI._3" hidden="1">{"Cover",#N/A,TRUE,"Sheet1";"2. Value",#N/A,TRUE,"Sheet1";"Sensitivities",#N/A,TRUE,"Sheet1";"3. Porfolio CF",#N/A,TRUE,"Sheet1";"4. NCF",#N/A,TRUE,"Sheet1";"5. DCF",#N/A,TRUE,"Sheet1";"6. Partnership Dist",#N/A,TRUE,"Sheet1";"7. MIR Splits",#N/A,TRUE,"Sheet1";"Assumptions",#N/A,TRUE,"Sheet1"}</definedName>
    <definedName name="wrn.Front._.2." hidden="1">{"Summary",#N/A,TRUE,"Sheet1";"Summary2",#N/A,TRUE,"Sheet1"}</definedName>
    <definedName name="wrn.Front._.3." hidden="1">{"Summary",#N/A,TRUE,"Sheet1";"Summary2",#N/A,TRUE,"Sheet1";"Sens",#N/A,TRUE,"Sheet1"}</definedName>
    <definedName name="wrn.FS_2005." hidden="1">{"BS-Yearly",#N/A,TRUE,"BS-Year";"BS-Monthly-2005",#N/A,TRUE,"BS"}</definedName>
    <definedName name="wrn.FS._.Notes." hidden="1">{#N/A,#N/A,FALSE,"Note 2";#N/A,#N/A,FALSE,"Note 3";#N/A,#N/A,FALSE,"Note 4";#N/A,#N/A,FALSE,"Note 5";#N/A,#N/A,FALSE,"Note 6";#N/A,#N/A,FALSE,"Note 10"}</definedName>
    <definedName name="wrn.Full_Template.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Full_Template._1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Full_Template._2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Full_Template._3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Full_Template._4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Full." hidden="1">{#N/A,#N/A,FALSE,"ExecutiveSummary";#N/A,#N/A,FALSE,"CostDetail";#N/A,#N/A,FALSE,"IncomeDetail";#N/A,#N/A,FALSE,"InterestCalculation"}</definedName>
    <definedName name="wrn.Full._.Business._.Plan._.Package." hidden="1">{#N/A,#N/A,FALSE,"Cover";#N/A,#N/A,FALSE,"Exception Report";#N/A,#N/A,FALSE,"Index";#N/A,#N/A,FALSE,"Part B - Five Year Projections";#N/A,#N/A,FALSE,"B.1 Financial Summary";#N/A,#N/A,FALSE,"B.1a Financial Sum wks";#N/A,#N/A,FALSE,"B.2 Five Year Assumptions";#N/A,#N/A,FALSE,"B.3 Five Year Income";#N/A,#N/A,FALSE,"B.4 Five Year Balance Sheets";#N/A,#N/A,FALSE,"B.5 Five Year Cash Flows";#N/A,#N/A,FALSE,"Part C";#N/A,#N/A,FALSE,"C.1(a) Key Financial Objectives";#N/A,#N/A,FALSE,"C.1(b) Key HR Objectives";#N/A,#N/A,FALSE,"C.2 Financial Summary";#N/A,#N/A,FALSE,"C.3 Assumptions";#N/A,#N/A,FALSE,"C.4 Sensitivities - 2000";#N/A,#N/A,FALSE,"C.5 Sensitivities - 2001";#N/A,#N/A,FALSE,"C.6 Bal. Sheet";#N/A,#N/A,FALSE,"C.7 Income by Qtr - 2000";#N/A,#N/A,FALSE,"C.8 Income by Qtr - 2001";#N/A,#N/A,FALSE,"C.9 Cash Flows - 2000";#N/A,#N/A,FALSE,"C.10 Cash Flows - 2001";#N/A,#N/A,FALSE,"Part D";#N/A,#N/A,FALSE,"D.1 Monthly Plan - 2000";#N/A,#N/A,FALSE,"D.2 Equity and Min. Int.";#N/A,#N/A,FALSE,"D.3 Long-term Investments";#N/A,#N/A,FALSE,"D.4 Fixed Assets";#N/A,#N/A,FALSE,"D.5 Goodwill";#N/A,#N/A,FALSE,"D.6 Intercompany";#N/A,#N/A,FALSE,"D.7 Long-term Debt";#N/A,#N/A,FALSE,"D.8 Acquisitions";#N/A,#N/A,FALSE,"D.9 Key Expenses";#N/A,#N/A,FALSE,"D.10 Cap. Exp. and R&amp;D";#N/A,#N/A,FALSE,"D.11 Dvlpmt Prgs"}</definedName>
    <definedName name="wrn.FULL._.COMPARISON." hidden="1">{"Full Sheet",#N/A,FALSE,"Expense Comparison"}</definedName>
    <definedName name="wrn.FULL._.COMPARISON._1" hidden="1">{"Full Sheet",#N/A,FALSE,"Expense Comparison"}</definedName>
    <definedName name="wrn.FULL._.COMPARISON._2" hidden="1">{"Full Sheet",#N/A,FALSE,"Expense Comparison"}</definedName>
    <definedName name="wrn.FULL._.COMPARISON._3" hidden="1">{"Full Sheet",#N/A,FALSE,"Expense Comparison"}</definedName>
    <definedName name="wrn.FULL._.COMPARISON._4" hidden="1">{"Full Sheet",#N/A,FALSE,"Expense Comparison"}</definedName>
    <definedName name="wrn.Full._.Model." hidden="1">{"VS (Summary 1)",#N/A,FALSE,"Venture Summary";"VS (Summary 2)",#N/A,FALSE,"Venture Summary";"VS (Project CF)",#N/A,FALSE,"Venture Summary";"VS (NOI and Sales)",#N/A,FALSE,"Venture Summary";"VS (Debt)",#N/A,FALSE,"Venture Summary";"VS (Project Cost Detail)",#N/A,FALSE,"Venture Summary";"EB (Summary)",#N/A,FALSE,"Ent Budget";"CFD 1",#N/A,FALSE,"CFD";"CFD 2",#N/A,FALSE,"CFD";"CFD 3",#N/A,FALSE,"CFD";"CFD 4",#N/A,FALSE,"CFD";"Infra (Summary)",#N/A,FALSE,"Infrastructrue";"Infra (Budget)",#N/A,FALSE,"Infrastructrue";"Res (Summary)",#N/A,FALSE,"Res Phasing Summary";"Res (Tables)",#N/A,FALSE,"Res Phasing Summary";"Retail (Summary)",#N/A,FALSE,"Retail Summary";"Retail (Budget Sum - Cons)",#N/A,FALSE,"Retail Summary";"Retail (Budget Sum - Retail)",#N/A,FALSE,"Retail Summary";"Retail (Budget Sum - Res)",#N/A,FALSE,"Retail Summary";"Retail (Cash Flow)",#N/A,FALSE,"Retail Summary";"Retail (Costs)",#N/A,FALSE,"Retail Summary";"Retail (Sales)",#N/A,FALSE,"Retail Summary";"Retail (Debt)",#N/A,FALSE,"Retail Summary";"Retail (Cost Detail)",#N/A,FALSE,"Retail Summary";"Retail (Budget Detail)",#N/A,FALSE,"Retail Budget";"Retail (Tenant Summary)",#N/A,FALSE,"Retail Tenant Summary";"Casino (Summary)",#N/A,FALSE,"Casino";"Casino (Cash Flow)",#N/A,FALSE,"Casino";"Casino (Budget Sum)",#N/A,FALSE,"Casino";"Casino (Costs and Sales)",#N/A,FALSE,"Casino";"Casino (Debt)",#N/A,FALSE,"Casino";"Casino (Partner CF)",#N/A,FALSE,"Casino";"Casino (Cost Detail)",#N/A,FALSE,"Casino";"Casino ( Budget Detail)",#N/A,FALSE,"Casino Budget";"Overhead",#N/A,FALSE,"Overhead";"Project TL",#N/A,FALSE,"Project Timeline";"Fin TL",#N/A,FALSE,"Financing Timeline"}</definedName>
    <definedName name="wrn.Full._.Print." hidden="1">{#N/A,#N/A,FALSE,"Cover";#N/A,#N/A,FALSE,"Table";#N/A,#N/A,FALSE,"sec 1";#N/A,#N/A,FALSE,"Summary Schedule";#N/A,#N/A,FALSE,"Sec 2";#N/A,#N/A,FALSE,"Use of Proceeds";#N/A,#N/A,FALSE,"Sec 3";#N/A,#N/A,FALSE,"Yield Cal";#N/A,#N/A,FALSE,"Sec 4";#N/A,#N/A,FALSE,"Qtrly Distributions";#N/A,#N/A,FALSE,"Sec 5";#N/A,#N/A,FALSE,"RATE";#N/A,#N/A,FALSE,"Sec 6";#N/A,#N/A,FALSE,"OPERATIONS";#N/A,#N/A,FALSE,"Sec 7";#N/A,#N/A,FALSE,"Dev. Budget";#N/A,#N/A,FALSE,"Sec 8";#N/A,#N/A,FALSE,"Draw";#N/A,#N/A,FALSE,"Sec 9";#N/A,#N/A,FALSE,"COMPARISON SCHEDULE";#N/A,#N/A,FALSE,"Sec 10";#N/A,#N/A,FALSE,"Investor10";#N/A,#N/A,FALSE,"Sec 11";#N/A,#N/A,FALSE,"10 year a";#N/A,#N/A,FALSE,"Sec 12";#N/A,#N/A,FALSE,"Assum."}</definedName>
    <definedName name="wrn.Full._.Report" hidden="1">{#N/A,#N/A,FALSE,"Summary";#N/A,#N/A,FALSE,"Project Summary";#N/A,#N/A,FALSE,"Master Developer Cash Flow";#N/A,#N/A,FALSE,"Development Cost Allocation";#N/A,#N/A,FALSE,"Costs";#N/A,#N/A,FALSE,"Pad Fees";#N/A,#N/A,FALSE,"Parking Budget";#N/A,#N/A,FALSE,"Podium Monthly Development #1";#N/A,#N/A,FALSE,"Podium Monthly Development #2";#N/A,#N/A,FALSE,"Podium Quarterly Development Bu";#N/A,#N/A,FALSE,"Parking Cash Flow";#N/A,#N/A,FALSE,"Parking Assumptions";#N/A,#N/A,FALSE,"Bond Debt Service";#N/A,#N/A,FALSE,"Bond Shortfall";#N/A,#N/A,FALSE,"Retail Development Budget";#N/A,#N/A,FALSE,"Retail Monthly Development Budg";#N/A,#N/A,FALSE,"Retail Quarterly Development Bu";#N/A,#N/A,FALSE,"Retail Cash Flow";#N/A,#N/A,FALSE,"Retail Cash Flow";#N/A,#N/A,FALSE,"Retail Assumptions";#N/A,#N/A,FALSE,"Retail Debt Service";#N/A,#N/A,FALSE,"Office Development Budget";#N/A,#N/A,FALSE,"Office Monthly Development Budg";#N/A,#N/A,FALSE,"Office Quarterly Development Bu";#N/A,#N/A,FALSE,"Office Cash Flow";#N/A,#N/A,FALSE,"Office Assumptions";#N/A,#N/A,FALSE,"Office Debt Service";#N/A,#N/A,FALSE,"Hotel Development Budget";#N/A,#N/A,FALSE,"Hotel Monthly Development Budge";#N/A,#N/A,FALSE,"Hotel Quarterly Development Bud";#N/A,#N/A,FALSE,"Hotel Cash Flow";#N/A,#N/A,FALSE,"Hotel Assumptions";#N/A,#N/A,FALSE,"Hotel Debt Service";#N/A,#N/A,FALSE,"Demographics-Hotel";#N/A,#N/A,FALSE,"Land Lease NPV"}</definedName>
    <definedName name="wrn.Full._.Report." hidden="1">{"Office Properties",#N/A,FALSE,"Consolidation";"Residential Summary",#N/A,FALSE,"Consolidation";"Retail Properties",#N/A,FALSE,"Consolidation";"Pru Loan",#N/A,FALSE,"Pru Loan";"One_Clear",#N/A,FALSE,"One Clearlake";"Comm_Corp",#N/A,FALSE,"Comm Corp Ctr";"San_Jac",#N/A,FALSE,"San Jacinto";"Wilshire",#N/A,FALSE,"8383 Wilshire";"Denver_Corp",#N/A,FALSE,"Denver Corp Center";"san_fel",#N/A,FALSE,"San Felipe";"Preston Bend",#N/A,FALSE,"Preston Bend";"The Willows",#N/A,FALSE,"The Willows";"Windemere",#N/A,FALSE,"Windemere";"Concorde",#N/A,FALSE,"Concorde";"Wyndridge",#N/A,FALSE,"Wyndridge 2 &amp; 3";"Spinnaker",#N/A,FALSE,"Spinnaker Cove";"Sedona",#N/A,FALSE,"Sedona Ridge";"Summer_Tree",#N/A,FALSE,"Summer Tree";"Ridge_Mtn",#N/A,FALSE,"Mountbrook_Ridgemont";"Highline",#N/A,FALSE,"Highline Oaks";"South_Towne",#N/A,FALSE,"South Towne";"Swansea",#N/A,FALSE,"Swansea"}</definedName>
    <definedName name="wrn.Full._.Report._1" hidden="1">{"Summary",#N/A,TRUE,"Debt Model";"Sensitivity",#N/A,TRUE,"Debt Model";"Valuation/Asset Cash Flow",#N/A,TRUE,"Debt Model";"Partnership Cash Flow",#N/A,TRUE,"Debt Model";"Equity Value/DCF",#N/A,TRUE,"Debt Model";"Debt Summary",#N/A,TRUE,"Debt Model";"Madison Cash Flow/FX",#N/A,TRUE,"Debt Model";"Promote 1 - Diez",#N/A,TRUE,"Debt Model";"Promote 2 - Diez",#N/A,TRUE,"Debt Model";"Promote 3 - Diez",#N/A,TRUE,"Debt Model"}</definedName>
    <definedName name="wrn.Full._.Report._2" hidden="1">{"Summary",#N/A,TRUE,"Debt Model";"Sensitivity",#N/A,TRUE,"Debt Model";"Valuation/Asset Cash Flow",#N/A,TRUE,"Debt Model";"Partnership Cash Flow",#N/A,TRUE,"Debt Model";"Equity Value/DCF",#N/A,TRUE,"Debt Model";"Debt Summary",#N/A,TRUE,"Debt Model";"Madison Cash Flow/FX",#N/A,TRUE,"Debt Model";"Promote 1 - Diez",#N/A,TRUE,"Debt Model";"Promote 2 - Diez",#N/A,TRUE,"Debt Model";"Promote 3 - Diez",#N/A,TRUE,"Debt Model"}</definedName>
    <definedName name="wrn.Full._.Report._3" hidden="1">{"Summary",#N/A,TRUE,"Debt Model";"Sensitivity",#N/A,TRUE,"Debt Model";"Valuation/Asset Cash Flow",#N/A,TRUE,"Debt Model";"Partnership Cash Flow",#N/A,TRUE,"Debt Model";"Equity Value/DCF",#N/A,TRUE,"Debt Model";"Debt Summary",#N/A,TRUE,"Debt Model";"Madison Cash Flow/FX",#N/A,TRUE,"Debt Model";"Promote 1 - Diez",#N/A,TRUE,"Debt Model";"Promote 2 - Diez",#N/A,TRUE,"Debt Model";"Promote 3 - Diez",#N/A,TRUE,"Debt Model"}</definedName>
    <definedName name="wrn.Full._.Run." hidden="1">{#N/A,#N/A,FALSE,"Master Summary";#N/A,#N/A,FALSE,"Summary";#N/A,#N/A,FALSE,"245 Park Ave - Remaing Obl.";#N/A,#N/A,FALSE,"245 Park Ave - Sublease";#N/A,#N/A,FALSE,"Sublease Commission";#N/A,#N/A,FALSE,"245 Park Avenue-New Lease";#N/A,#N/A,FALSE,"Blend";#N/A,#N/A,FALSE,"30 Rock.";#N/A,#N/A,FALSE,"320 Park";#N/A,#N/A,FALSE,"250 Park-Existing Law Firm"}</definedName>
    <definedName name="wrn.full._.set." hidden="1">{"qtrs",#N/A,FALSE,"External Mnth-Qtr-Ytd (EBITDA)";"months",#N/A,FALSE,"External Mnth-Qtr-Ytd (EBITDA)";"qtrs",#N/A,FALSE,"External Mnth-Qtr-Ytd (EBIT)";"monthsl",#N/A,FALSE,"External Mnth-Qtr-Ytd (EBIT)";"qtrs",#N/A,FALSE,"Internal Mth-Qtr-Ytd";"months",#N/A,FALSE,"Internal Mth-Qtr-Ytd"}</definedName>
    <definedName name="wrn.FUMC._.Dev._.Model._.Nov._.Fund._.Mtg." hidden="1">{"Venture Summary",#N/A,FALSE,"Summary";"Development Budget",#N/A,FALSE,"Summary";"Timeline - Quarterly",#N/A,FALSE,"Timeline - Quarterly";"Argus Assumptions",#N/A,FALSE,"Argus Assumptions";"Annual",#N/A,FALSE,"Annual"}</definedName>
    <definedName name="wrn.FUMC._.Land._.Sale." hidden="1">{"Venture Summary",#N/A,FALSE,"Summary";"Timeline - Quarterly",#N/A,FALSE,"Timeline - Quarterly";"Development Proforma",#N/A,FALSE,"Dev PF";"Development Budget",#N/A,FALSE,"Summary";"Development Proforma",#N/A,FALSE,"Dev PF"}</definedName>
    <definedName name="wrn.FUMC._.Sale._.Model._.Nov._.Fund._.Mtg." hidden="1">{"Venture Summary",#N/A,FALSE,"Summary";"Development Budget",#N/A,FALSE,"Summary";"Sale Model Annual Costs and CFs",#N/A,FALSE,"Annual"}</definedName>
    <definedName name="wrn.Fundus._.33." hidden="1">{"Summary",#N/A,TRUE,"Fond 33";"Sensitivity",#N/A,TRUE,"Fond 33";"Discount Metrics",#N/A,TRUE,"Fond 33";"Partnership Valuation Summary",#N/A,TRUE,"Fond 33";"Cash Flows",#N/A,TRUE,"Fond 33";"Partnership Net Cash Balance",#N/A,TRUE,"Fond 33";"Equity, DCF &amp; Yield",#N/A,TRUE,"Fond 33";"Partnership Distributions",#N/A,TRUE,"Fond 33";"Splits",#N/A,TRUE,"Fond 33";"MIR Distributions",#N/A,TRUE,"Fond 33";"Assumptions",#N/A,TRUE,"Fond 33"}</definedName>
    <definedName name="wrn.Fundus._.33._1" hidden="1">{"Summary",#N/A,TRUE,"Fond 33";"Sensitivity",#N/A,TRUE,"Fond 33";"Discount Metrics",#N/A,TRUE,"Fond 33";"Partnership Valuation Summary",#N/A,TRUE,"Fond 33";"Cash Flows",#N/A,TRUE,"Fond 33";"Partnership Net Cash Balance",#N/A,TRUE,"Fond 33";"Equity, DCF &amp; Yield",#N/A,TRUE,"Fond 33";"Partnership Distributions",#N/A,TRUE,"Fond 33";"Splits",#N/A,TRUE,"Fond 33";"MIR Distributions",#N/A,TRUE,"Fond 33";"Assumptions",#N/A,TRUE,"Fond 33"}</definedName>
    <definedName name="wrn.Fundus._.33._2" hidden="1">{"Summary",#N/A,TRUE,"Fond 33";"Sensitivity",#N/A,TRUE,"Fond 33";"Discount Metrics",#N/A,TRUE,"Fond 33";"Partnership Valuation Summary",#N/A,TRUE,"Fond 33";"Cash Flows",#N/A,TRUE,"Fond 33";"Partnership Net Cash Balance",#N/A,TRUE,"Fond 33";"Equity, DCF &amp; Yield",#N/A,TRUE,"Fond 33";"Partnership Distributions",#N/A,TRUE,"Fond 33";"Splits",#N/A,TRUE,"Fond 33";"MIR Distributions",#N/A,TRUE,"Fond 33";"Assumptions",#N/A,TRUE,"Fond 33"}</definedName>
    <definedName name="wrn.Fundus._.33._3" hidden="1">{"Summary",#N/A,TRUE,"Fond 33";"Sensitivity",#N/A,TRUE,"Fond 33";"Discount Metrics",#N/A,TRUE,"Fond 33";"Partnership Valuation Summary",#N/A,TRUE,"Fond 33";"Cash Flows",#N/A,TRUE,"Fond 33";"Partnership Net Cash Balance",#N/A,TRUE,"Fond 33";"Equity, DCF &amp; Yield",#N/A,TRUE,"Fond 33";"Partnership Distributions",#N/A,TRUE,"Fond 33";"Splits",#N/A,TRUE,"Fond 33";"MIR Distributions",#N/A,TRUE,"Fond 33";"Assumptions",#N/A,TRUE,"Fond 33"}</definedName>
    <definedName name="wrn.FY97SBP." hidden="1">{#N/A,#N/A,FALSE,"FY97";#N/A,#N/A,FALSE,"FY98";#N/A,#N/A,FALSE,"FY99";#N/A,#N/A,FALSE,"FY00";#N/A,#N/A,FALSE,"FY01"}</definedName>
    <definedName name="wrn.Garage." hidden="1">{#N/A,#N/A,FALSE,"Garage Assumpt 1";#N/A,#N/A,FALSE,"Garage Op Proj";#N/A,#N/A,FALSE,"Hist I&amp;E";#N/A,#N/A,FALSE,"Garage Lease"}</definedName>
    <definedName name="wrn.gary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SPACK." hidden="1">{"Page1",#N/A,TRUE,"PERIOD 1  POWERPLAY";"Page 2",#N/A,TRUE,"PERIOD 1  POWERPLAY";"Page 3",#N/A,TRUE,"PERIOD 1  POWERPLAY";"Page 4",#N/A,TRUE,"PERIOD 1  POWERPLAY"}</definedName>
    <definedName name="wrn.GEER_report." hidden="1">{#N/A,#N/A,FALSE,"Table_Ass.";#N/A,#N/A,FALSE,"# of cust";#N/A,#N/A,FALSE,"Res_Report";#N/A,#N/A,FALSE,"Income Statement";"Qtr Cust",#N/A,FALSE,"Qtrly Proj"}</definedName>
    <definedName name="wrn.General." hidden="1">{"Balance",#N/A,FALSE,"General Assumptions";"Cost",#N/A,FALSE,"General Assumptions";"Working",#N/A,FALSE,"General Assumptions"}</definedName>
    <definedName name="wrn.General._.Information." hidden="1">{#N/A,#N/A,FALSE,"Input 2 - Sources of Funds"}</definedName>
    <definedName name="wrn.GIS." hidden="1">{#N/A,#N/A,FALSE,"GIS"}</definedName>
    <definedName name="wrn.GOG." hidden="1">{#N/A,#N/A,TRUE,"CES";#N/A,#N/A,TRUE,"DCS";#N/A,#N/A,TRUE,"GCs";#N/A,#N/A,TRUE,"Clubhouse";#N/A,#N/A,TRUE,"Guestrooms"}</definedName>
    <definedName name="wrn.Golf._.Summary." hidden="1">{"View1",#N/A,FALSE,"Golf";"View2",#N/A,FALSE,"Golf";"View3",#N/A,FALSE,"Golf";"View4",#N/A,FALSE,"Golf";"View5",#N/A,FALSE,"Golf";"View6",#N/A,FALSE,"Golf";"View7",#N/A,FALSE,"Golf";"View8",#N/A,FALSE,"Golf";"View9",#N/A,FALSE,"Golf";"View10",#N/A,FALSE,"Golf";"View11",#N/A,FALSE,"Golf";"View12",#N/A,FALSE,"Golf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eg." hidden="1">{"three",#N/A,FALSE,"Capital";"four",#N/A,FALSE,"Capital"}</definedName>
    <definedName name="wrn.gros." hidden="1">{#N/A,#N/A,FALSE,"Sch01";#N/A,#N/A,FALSE,"Sch02";#N/A,#N/A,FALSE,"Sch04";#N/A,#N/A,FALSE,"Sch05";#N/A,#N/A,FALSE,"Sch05a";#N/A,#N/A,FALSE,"Sch06";#N/A,#N/A,FALSE,"Sch07";#N/A,#N/A,FALSE,"Sch08";#N/A,#N/A,FALSE,"Sch09";#N/A,#N/A,FALSE,"Sch10";#N/A,#N/A,FALSE,"Sch11";#N/A,#N/A,FALSE,"Sch12";#N/A,#N/A,FALSE,"Sch-C";#N/A,#N/A,FALSE,"Sch-E"}</definedName>
    <definedName name="wrn.Gross._.to._.Net._.Reconciliations." hidden="1">{"Full Gross to Net",#N/A,TRUE,"GtoN";"R_I Accepted from Group Coys",#N/A,TRUE,"GtoN";"R_I Ceded to Group Coys",#N/A,TRUE,"GtoN";"Closing Loss Reserves and Gross Claims Incurred",#N/A,TRUE,"GtoN"}</definedName>
    <definedName name="wrn.Gross._.up." hidden="1">{#N/A,#N/A,FALSE,"Gross-Up"}</definedName>
    <definedName name="wrn.Group._.B._.Report." hidden="1">{"Both Reports Group B",#N/A,FALSE,"Group B";"Both Reports S33",#N/A,FALSE,"S33 Weymouth";"Both Reports S35",#N/A,FALSE,"S35 Woodcrest";"Both Reports S36",#N/A,FALSE,"S36 Cheshire";"Both Reports S38",#N/A,FALSE,"S38 Newton"}</definedName>
    <definedName name="wrn.Group._.C._.Report." hidden="1">{"Group C",#N/A,FALSE,"Group C";"Total Bev",#N/A,FALSE,"S01 Beverly";"Total S15",#N/A,FALSE,"S15 Lexington";"Both Reports S26",#N/A,FALSE,"S26 Peabody";"Both Reports S27",#N/A,FALSE,"S27 Randolph";"Both Reports S31",#N/A,FALSE,"S31 Westport";"Both Reports S34",#N/A,FALSE,"S34 Wilmington Woods"}</definedName>
    <definedName name="wrn.GSA._.PRINT." hidden="1">{#N/A,#N/A,FALSE,"DEV COSTS";#N/A,#N/A,FALSE,"10-YR C. F."}</definedName>
    <definedName name="wrn.gsa._PRINT5" hidden="1">{#N/A,#N/A,FALSE,"DEV COSTS";#N/A,#N/A,FALSE,"10-YR C. F."}</definedName>
    <definedName name="wrn.gth." hidden="1">{#N/A,#N/A,FALSE,"Title Page";#N/A,#N/A,FALSE,"Summary Sheet"}</definedName>
    <definedName name="wrn.Gund._.Arena._.PCD." hidden="1">{#N/A,#N/A,TRUE,"Gund Arena PCD";#N/A,#N/A,TRUE,"Gund Arena IOR"}</definedName>
    <definedName name="wrn.H_and_V." hidden="1">{"Summary",#N/A,FALSE,"Summary";"Sensitivity Chart",#N/A,FALSE,"Sensitivity Chart ";"Rent Detail",#N/A,FALSE,"Rent Detail";"Opex Detail",#N/A,FALSE,"Operating"}</definedName>
    <definedName name="wrn.HEAT." hidden="1">{#N/A,#N/A,FALSE,"Heat";#N/A,#N/A,FALSE,"DCF";#N/A,#N/A,FALSE,"LBO";#N/A,#N/A,FALSE,"A";#N/A,#N/A,FALSE,"C";#N/A,#N/A,FALSE,"impd";#N/A,#N/A,FALSE,"Accr-Dilu"}</definedName>
    <definedName name="wrn.heathrow." hidden="1">{#N/A,#N/A,FALSE,"Summary";#N/A,#N/A,FALSE,"Sales";#N/A,#N/A,FALSE,"Costs";#N/A,#N/A,FALSE,"1996";#N/A,#N/A,FALSE,"1997";#N/A,#N/A,FALSE,"1998";#N/A,#N/A,FALSE,"1999";#N/A,#N/A,FALSE,"2000";#N/A,#N/A,FALSE,"2001";#N/A,#N/A,FALSE,"2002";#N/A,#N/A,FALSE,"2003";#N/A,#N/A,FALSE,"2004";#N/A,#N/A,FALSE,"2005";#N/A,#N/A,FALSE,"2006"}</definedName>
    <definedName name="wrn.Hightower." hidden="1">{"Hightower-Investor",#N/A,FALSE,"Hightower";"Hightower-Property",#N/A,FALSE,"Hightower"}</definedName>
    <definedName name="wrn.Hingham." hidden="1">{"Hingham Summary",#N/A,TRUE,"Hingham - CF";"Hinham Budget",#N/A,TRUE,"Hingham - CF";"Hingham Dev. Costs",#N/A,TRUE,"Hingham - CF";"Hingham CF1",#N/A,TRUE,"Hingham - CF";"Hingh CF2",#N/A,TRUE,"Hingham - CF"}</definedName>
    <definedName name="wrn.Hist._.InE." hidden="1">{#N/A,#N/A,FALSE,"Hist I&amp;E - Consol";#N/A,#N/A,FALSE,"Hist I&amp;E - Lakes";#N/A,#N/A,FALSE,"Hist I&amp;E - Chabot";#N/A,#N/A,FALSE,"Hist I&amp;E - Diablo"}</definedName>
    <definedName name="wrn.Hist._.InE2." hidden="1">{#N/A,#N/A,FALSE,"Hist I&amp;E - #2";#N/A,#N/A,FALSE,"Hist I&amp;E - #3";#N/A,#N/A,FALSE,"Hist I&amp;E - #4";#N/A,#N/A,FALSE,"Hist I&amp;E - #5";#N/A,#N/A,FALSE,"Hist I&amp;E - #6";#N/A,#N/A,FALSE,"Hist I&amp;E - #8";#N/A,#N/A,FALSE,"Hist I&amp;E - #9";#N/A,#N/A,FALSE,"Hist I&amp;E - #10"}</definedName>
    <definedName name="wrn.Historical._.Analysis." hidden="1">{#N/A,#N/A,FALSE,"HISTORICAL REV &amp; EXP"}</definedName>
    <definedName name="wrn.Historical._.Rev._.Exp." hidden="1">{#N/A,#N/A,FALSE,"Historical Rev &amp; Exp"}</definedName>
    <definedName name="wrn.History._.Proforma." hidden="1">{"History &amp; Projection",#N/A,FALSE,"History - Proforma"}</definedName>
    <definedName name="wrn.HNZ." hidden="1">{#N/A,#N/A,FALSE,"HNZ"}</definedName>
    <definedName name="wrn.Hold._.Sell.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ld._.Sell._1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ld._.Sell._2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ld._.Sell._3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ld._.Sell._4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rizontal._.Summary." hidden="1">{"VS (Summary 1)",#N/A,FALSE,"Venture Summary";"VS (Summary 2)",#N/A,FALSE,"Venture Summary";"VS (Project CF)",#N/A,FALSE,"Venture Summary";"VS (NOI and Sales)",#N/A,FALSE,"Venture Summary";"VS (Debt)",#N/A,FALSE,"Venture Summary";"VS (Project Cost Detail)",#N/A,FALSE,"Venture Summary"}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BC._.PKF._.Financials." hidden="1">{"Operations",#N/A,TRUE,"PKF";"Departments",#N/A,TRUE,"PKF"}</definedName>
    <definedName name="wrn.IC._.Memo._.Dexter." hidden="1">{"Venture Summary",#N/A,TRUE,"Summary";"Development Budget",#N/A,TRUE,"Summary";"Annual",#N/A,TRUE,"Summary"}</definedName>
    <definedName name="wrn.IC._.Memo._.Emerald." hidden="1">{"Venture Summary",#N/A,TRUE,"Retail Summary";"Dev Budget",#N/A,TRUE,"Retail Summary";"Annual",#N/A,TRUE,"Retail Summary"}</definedName>
    <definedName name="wrn.IC._.Memo._.FUMC." hidden="1">{"Venture Summary",#N/A,TRUE,"Summary";"Development Budget",#N/A,TRUE,"Summary";"Annual",#N/A,TRUE,"Summary"}</definedName>
    <definedName name="wrn.IGT._.Model." hidden="1">{#N/A,#N/A,TRUE,"IGT";#N/A,#N/A,TRUE,"IGTSLOT"}</definedName>
    <definedName name="wrn.III." hidden="1">{"CASHFLOW",#N/A,FALSE,"Northpointe"}</definedName>
    <definedName name="wrn.III1." hidden="1">{"CASHFLOW",#N/A,FALSE,"Northpointe"}</definedName>
    <definedName name="wrn.III1._1" hidden="1">{"CASHFLOW",#N/A,FALSE,"Northpointe"}</definedName>
    <definedName name="wrn.IIII" hidden="1">{"CASHFLOW",#N/A,FALSE,"Northpointe"}</definedName>
    <definedName name="wrn.IIII_1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ncome_Statement." hidden="1">{"One",#N/A,FALSE,"Income Statement";"Two",#N/A,FALSE,"Income Statement";"Three",#N/A,FALSE,"Income Statement";"Four",#N/A,FALSE,"Income Statement"}</definedName>
    <definedName name="wrn.Income._.Input." hidden="1">{#N/A,#N/A,FALSE,"Income Input"}</definedName>
    <definedName name="wrn.Income._.Statements." hidden="1">{"Summary_Annual",#N/A,FALSE,"Summary";"Summary__Quarterly",#N/A,FALSE,"Summary";"Summary__Current Year",#N/A,FALSE,"Summary";"Summary__Next Year",#N/A,FALSE,"Summary"}</definedName>
    <definedName name="wrn.Income._.Statements.1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dex." hidden="1">{#N/A,#N/A,FALSE,"INDEX"}</definedName>
    <definedName name="wrn.Individual._.Regions." hidden="1">{#N/A,#N/A,FALSE,"Summary";#N/A,#N/A,FALSE,"AIME";#N/A,#N/A,FALSE,"Asia (2)";#N/A,#N/A,FALSE,"Europe";#N/A,#N/A,FALSE,"LA"}</definedName>
    <definedName name="wrn.Infrastructure." hidden="1">{"Inf1",#N/A,TRUE,"Ent &amp; Inf";"Inf2",#N/A,TRUE,"Ent &amp; Inf";"Inf3",#N/A,TRUE,"Ent &amp; Inf";"InfCF",#N/A,TRUE,"Ent &amp; Inf"}</definedName>
    <definedName name="wrn.Infrastructure._.2." hidden="1">{"Land Dev Budget 1",#N/A,TRUE,"Ent &amp; Inf";"Land Dev Budget 2",#N/A,TRUE,"Ent &amp; Inf";"Inf1",#N/A,TRUE,"Ent &amp; Inf";"Inf2",#N/A,TRUE,"Ent &amp; Inf";"Inf3",#N/A,TRUE,"Ent &amp; Inf"}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INFO." hidden="1">{"Input",#N/A,FALSE,"INPUT"}</definedName>
    <definedName name="wrn.Input._.Pages." hidden="1">{#N/A,#N/A,TRUE,"General Assumptions (Input)";#N/A,#N/A,TRUE,"Income (Input Page)";#N/A,#N/A,TRUE,"Related Mgmt Exps (Input Page)";#N/A,#N/A,TRUE,"Development Cost (Input)"}</definedName>
    <definedName name="wrn.Input._.Pages._.and._.Pro._.Forma." hidden="1">{#N/A,#N/A,TRUE,"General Assumptions (Input)";#N/A,#N/A,TRUE,"Related Mgmt Exps (Input Page)";#N/A,#N/A,TRUE,"Development Cost (Input)";#N/A,#N/A,TRUE,"Summary";#N/A,#N/A,TRUE,"Income (Input Page)";#N/A,#N/A,TRUE,"Expenses";#N/A,#N/A,TRUE,"Dev. Cost &amp; Elig. Basis(Input)";#N/A,#N/A,TRUE,"Tax Credit";#N/A,#N/A,TRUE,"Sources and Uses";#N/A,#N/A,TRUE,"Rent Up Reserve";#N/A,#N/A,TRUE,"Cash Flow";#N/A,#N/A,TRUE,"Construction Cash Flow"}</definedName>
    <definedName name="wrn.Input._.Print._.Area." hidden="1">{#N/A,#N/A,FALSE,"inputs";#N/A,#N/A,FALSE,"inputs"}</definedName>
    <definedName name="wrn.Inputs." hidden="1">{"Inflation-BaseYear",#N/A,FALSE,"Inputs"}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terest." hidden="1">{#N/A,#N/A,FALSE,"SPacific";#N/A,#N/A,FALSE,"Hanover";#N/A,#N/A,FALSE,"Fairbanks";#N/A,#N/A,FALSE,"Life Savings";#N/A,#N/A,FALSE,"Ocwen";#N/A,#N/A,FALSE,"EMACC";#N/A,#N/A,FALSE,"CREC";#N/A,#N/A,FALSE,"SPTL";#N/A,#N/A,FALSE,"Thornberg";#N/A,#N/A,FALSE,"Conti Res";#N/A,#N/A,FALSE,"Conti Com";#N/A,#N/A,FALSE,"EMAQ";#N/A,#N/A,FALSE,"Fair1"}</definedName>
    <definedName name="wrn.Interior._.finishes." hidden="1">{"interior finishes",#N/A,FALSE,"DETAIL.XLS"}</definedName>
    <definedName name="wrn.internal." hidden="1">{#N/A,#N/A,FALSE,"Rent Roll";#N/A,#N/A,FALSE,"Sales History";#N/A,#N/A,FALSE,"Square Footage Calculations";#N/A,#N/A,FALSE,"Spec Pool";#N/A,#N/A,FALSE,"P &amp; L Detail";#N/A,#N/A,FALSE,"Expense Detail";#N/A,#N/A,FALSE,"Recovery Tables";#N/A,#N/A,FALSE,"Class. &amp; Rent";#N/A,#N/A,FALSE,"Expiration Detail";#N/A,#N/A,FALSE,"2nd Assump."}</definedName>
    <definedName name="wrn.INV._.Distribution." hidden="1">{"INV AUM",#N/A,TRUE,"AUM";"InvEBITDA",#N/A,TRUE,"Net Cash Flow";"INV Annual CF",#N/A,TRUE,"Waterfall";"INV S&amp;U",#N/A,TRUE,"S&amp;U";"INV EV",#N/A,TRUE,"Total EV";"Inv Sr. Pref.",#N/A,TRUE,"Sr. Pref."}</definedName>
    <definedName name="wrn.Investment._.Committee." hidden="1">{"Venture Summary",#N/A,TRUE,"Annual CF";"Project Summary",#N/A,TRUE,"Annual CF";"Detailed Project Summary",#N/A,TRUE,"Annual CF";"Timeline - Quarterly",#N/A,TRUE,"Annual CF";"Development Budget",#N/A,TRUE,"Annual CF";"Project Cash Flow",#N/A,TRUE,"Annual CF";"Sales Proceeds",#N/A,TRUE,"Annual CF";"Construction Loan",#N/A,TRUE,"Annual CF";"Partnership Calculation",#N/A,TRUE,"Annual CF";"Phase I Summary",#N/A,TRUE,"Annual CF";"Phase I Dev budget",#N/A,TRUE,"Phase I CF";"Phase I Detailed Dev Budget",#N/A,TRUE,"Phase I DB";"Phase II Summary",#N/A,TRUE,"Phase II CF";"Phase II Dev Budget",#N/A,TRUE,"Phase II CF";"Phase II Detailed Dev Budget",#N/A,TRUE,"Phase II DB"}</definedName>
    <definedName name="wrn.Investment._.Review." hidden="1">{#N/A,#N/A,FALSE,"Proforma Five Yr";#N/A,#N/A,FALSE,"Capital Input";#N/A,#N/A,FALSE,"Calculations";#N/A,#N/A,FALSE,"Transaction Summary-DTW"}</definedName>
    <definedName name="wrn.Investment._.Schedule." hidden="1">{"detailed investment schedule",#N/A,FALSE,"detail investment sched"}</definedName>
    <definedName name="wrn.Investor._.Package." hidden="1">{#N/A,#N/A,FALSE,"Valuation";#N/A,#N/A,FALSE,"PeakChart";#N/A,#N/A,FALSE,"CashFlowSummary";#N/A,#N/A,FALSE,"RevenueAssumptions";#N/A,#N/A,FALSE,"InTractCstAssmp";#N/A,#N/A,FALSE,"LotTakedowns"}</definedName>
    <definedName name="wrn.Investor._.Terms." hidden="1">{"Term Sheet",#N/A,FALSE,"Term Sheet";"Value Summary",#N/A,FALSE,"Value Sum";"Debt Coverage",#N/A,FALSE,"Debt Coverage"}</definedName>
    <definedName name="wrn.Investors._.II." hidden="1">{#N/A,#N/A,FALSE,"Fund-II"}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RR." hidden="1">{"IRR Benefits",#N/A,FALSE,"IRR";"Tax Credits",#N/A,FALSE,"IRR"}</definedName>
    <definedName name="wrn.IRR._.CORP._.7." hidden="1">{"IRR",#N/A,FALSE,"Corp 7 IRR";"Input",#N/A,FALSE,"Corp 7 IRR"}</definedName>
    <definedName name="wrn.irving._.report." hidden="1">{#N/A,#N/A,FALSE,"Summary";#N/A,#N/A,FALSE,"Total Project Economics"}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TI_Rep." hidden="1">{#N/A,#N/A,FALSE,"Title Page";#N/A,#N/A,FALSE,"Summary Sheet";#N/A,#N/A,FALSE,"Fiscal Year Income Statement";#N/A,#N/A,FALSE,"Valuation Summary";#N/A,#N/A,FALSE,"Comps with IVT";#N/A,#N/A,FALSE,"Comps without IVT"}</definedName>
    <definedName name="wrn.jan._.98." hidden="1">{"sheet a",#N/A,FALSE,"A";"sheet b 1",#N/A,FALSE,"B";"sheet b 2",#N/A,FALSE,"B"}</definedName>
    <definedName name="wrn.Jan._.Forecast." hidden="1">{"Jan",#N/A,FALSE,"Manager Report"}</definedName>
    <definedName name="wrn.JM." hidden="1">{#N/A,#N/A,FALSE,"ExecSum";#N/A,#N/A,FALSE,"Budget";#N/A,#N/A,FALSE,"Summary1";#N/A,#N/A,FALSE,"CashFlow";#N/A,#N/A,FALSE,"Year1 Cash Flow";#N/A,#N/A,FALSE,"Carry";#N/A,#N/A,FALSE,"Page 3"}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._.Forecast." hidden="1">{"Jul",#N/A,FALSE,"Manager Report"}</definedName>
    <definedName name="wrn.July._.5." hidden="1">{#N/A,#N/A,TRUE,"Summary";#N/A,#N/A,TRUE,"Timeline";#N/A,#N/A,TRUE,"Cost Summary (uninflated)";#N/A,#N/A,TRUE,"Assumptions";#N/A,#N/A,TRUE,"Residential";#N/A,#N/A,TRUE,"Retail";#N/A,#N/A,TRUE,"Hotel";#N/A,#N/A,TRUE,"Office";#N/A,#N/A,TRUE,"Dev Expense Detail";#N/A,#N/A,TRUE,"Webster Hotel Model";#N/A,#N/A,TRUE,"Tax Credits";#N/A,#N/A,TRUE,"Garage"}</definedName>
    <definedName name="wrn.Jun._.Forecast." hidden="1">{"Jun",#N/A,FALSE,"Manager Report"}</definedName>
    <definedName name="wrn.JV." hidden="1">{"One",#N/A,FALSE,"JV"}</definedName>
    <definedName name="wrn.K." hidden="1">{#N/A,#N/A,FALSE,"K"}</definedName>
    <definedName name="wrn.Kenngb.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öln._.Model." hidden="1">{"Summary",#N/A,TRUE,"Model";"Discount Metrics",#N/A,TRUE,"Model";"Partnership Valuation Summary",#N/A,TRUE,"Model";"Sensitivity",#N/A,TRUE,"Model";"Cash Flows",#N/A,TRUE,"Model";"Partnership Equity Value",#N/A,TRUE,"Model";"Equity/DCF/Yield",#N/A,TRUE,"Model";"Distributions/Interest Leverage",#N/A,TRUE,"Model";"Splits",#N/A,TRUE,"Model";"Assumptions",#N/A,TRUE,"Model"}</definedName>
    <definedName name="wrn.Köln._.Model._1" hidden="1">{"Summary",#N/A,TRUE,"Model";"Discount Metrics",#N/A,TRUE,"Model";"Partnership Valuation Summary",#N/A,TRUE,"Model";"Sensitivity",#N/A,TRUE,"Model";"Cash Flows",#N/A,TRUE,"Model";"Partnership Equity Value",#N/A,TRUE,"Model";"Equity/DCF/Yield",#N/A,TRUE,"Model";"Distributions/Interest Leverage",#N/A,TRUE,"Model";"Splits",#N/A,TRUE,"Model";"Assumptions",#N/A,TRUE,"Model"}</definedName>
    <definedName name="wrn.Köln._.Model._2" hidden="1">{"Summary",#N/A,TRUE,"Model";"Discount Metrics",#N/A,TRUE,"Model";"Partnership Valuation Summary",#N/A,TRUE,"Model";"Sensitivity",#N/A,TRUE,"Model";"Cash Flows",#N/A,TRUE,"Model";"Partnership Equity Value",#N/A,TRUE,"Model";"Equity/DCF/Yield",#N/A,TRUE,"Model";"Distributions/Interest Leverage",#N/A,TRUE,"Model";"Splits",#N/A,TRUE,"Model";"Assumptions",#N/A,TRUE,"Model"}</definedName>
    <definedName name="wrn.Köln._.Model._3" hidden="1">{"Summary",#N/A,TRUE,"Model";"Discount Metrics",#N/A,TRUE,"Model";"Partnership Valuation Summary",#N/A,TRUE,"Model";"Sensitivity",#N/A,TRUE,"Model";"Cash Flows",#N/A,TRUE,"Model";"Partnership Equity Value",#N/A,TRUE,"Model";"Equity/DCF/Yield",#N/A,TRUE,"Model";"Distributions/Interest Leverage",#N/A,TRUE,"Model";"Splits",#N/A,TRUE,"Model";"Assumptions",#N/A,TRUE,"Model"}</definedName>
    <definedName name="wrn.Kontrolní._.rozpočet." hidden="1">{#N/A,#N/A,TRUE,"Krycí list"}</definedName>
    <definedName name="wrn.Kontrolní._.rozpoeet." hidden="1">{#N/A,#N/A,TRUE,"Krycí list"}</definedName>
    <definedName name="wrn.kpI." hidden="1">{#N/A,#N/A,FALSE,"Top page";#N/A,#N/A,FALSE,"Weekly KPI";#N/A,#N/A,FALSE,"Customer Count Growth";#N/A,#N/A,FALSE,"Customer Spending Growth";#N/A,#N/A,FALSE,"Sales Growth";#N/A,#N/A,FALSE,"Customer Spending";#N/A,#N/A,FALSE,"Credit Card % to Sales"}</definedName>
    <definedName name="wrn.Kuwait._.1." hidden="1">{#N/A,#N/A,FALSE,"Fund-I"}</definedName>
    <definedName name="wrn.Land._.Sale." hidden="1">{"Venture Summary",#N/A,FALSE,"Summary";"Development Budget",#N/A,FALSE,"Summary";"Development Proforma",#N/A,FALSE,"Dev PF";"Annual",#N/A,FALSE,"Annual"}</definedName>
    <definedName name="wrn.Land._.Takedown._.Summary." hidden="1">{"land1",#N/A,FALSE,"Land";"land2",#N/A,FALSE,"Land";"land3",#N/A,FALSE,"Land"}</definedName>
    <definedName name="wrn.Latent._.Demand._.Inputs." hidden="1">{#N/A,#N/A,FALSE,"Latent"}</definedName>
    <definedName name="wrn.LBO." hidden="1">{#N/A,#N/A,FALSE,"Cov";#N/A,#N/A,FALSE,"sum";#N/A,#N/A,FALSE,"baladj";#N/A,#N/A,FALSE,"bs";#N/A,#N/A,FALSE,"is";#N/A,#N/A,FALSE,"pis";#N/A,#N/A,FALSE,"cf";#N/A,#N/A,FALSE,"balhist";#N/A,#N/A,FALSE,"wc";#N/A,#N/A,FALSE,"ltd";#N/A,#N/A,FALSE,"cover";#N/A,#N/A,FALSE,"fa";#N/A,#N/A,FALSE,"tax";#N/A,#N/A,FALSE,"irr";#N/A,#N/A,FALSE,"in"}</definedName>
    <definedName name="wrn.LBO._.Summary." hidden="1">{"LBO Summary",#N/A,FALSE,"Summary"}</definedName>
    <definedName name="wrn.Lease._.Rollover." hidden="1">{#N/A,#N/A,FALSE,"Lease Rollover"}</definedName>
    <definedName name="wrn.Leases." hidden="1">{#N/A,#N/A,FALSE,"Leases"}</definedName>
    <definedName name="wrn.Leasing._.Variance." hidden="1">{#N/A,#N/A,FALSE,"Leasing 6A"}</definedName>
    <definedName name="wrn.Leasing._.Variance._1" hidden="1">{#N/A,#N/A,FALSE,"Leasing 6A"}</definedName>
    <definedName name="wrn.Leasing._.Variance._2" hidden="1">{#N/A,#N/A,FALSE,"Leasing 6A"}</definedName>
    <definedName name="wrn.Leasing._.Variance._3" hidden="1">{#N/A,#N/A,FALSE,"Leasing 6A"}</definedName>
    <definedName name="wrn.Leasing._.Variance._4" hidden="1">{#N/A,#N/A,FALSE,"Leasing 6A"}</definedName>
    <definedName name="wrn.LeasingResults." hidden="1">{#N/A,#N/A,FALSE,"Retention";#N/A,#N/A,FALSE,"ZL Roll";#N/A,#N/A,FALSE,"FC Roll";#N/A,#N/A,FALSE,"zmlConsildated";#N/A,#N/A,FALSE,"ZM ROll SbyS";#N/A,#N/A,FALSE,"ZL";#N/A,#N/A,FALSE,"FCOccy";#N/A,#N/A,FALSE,"ZM123";#N/A,#N/A,FALSE,"portfolio"}</definedName>
    <definedName name="wrn.Legal._.Sized._.Internal." hidden="1">{"Legal Internal",#N/A,FALSE,"Cash Flow Proforma";#N/A,#N/A,FALSE,"Scenario Variable Cells";"Legal",#N/A,FALSE,"Proforma Assumptions";"Legal",#N/A,FALSE,"Rolling Option Sales";"Legal",#N/A,FALSE,"Bulk Pad and Finished Sales"}</definedName>
    <definedName name="wrn.LETTERED.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ichtin._.Summary." hidden="1">{"Summary for Lichtin",#N/A,FALSE,"Value Summary"}</definedName>
    <definedName name="wrn.Lichtin._.Summary._1" hidden="1">{"Summary for Lichtin",#N/A,FALSE,"Value Summary"}</definedName>
    <definedName name="wrn.Lichtin._.Summary._2" hidden="1">{"Summary for Lichtin",#N/A,FALSE,"Value Summary"}</definedName>
    <definedName name="wrn.Lichtin._.Summary._3" hidden="1">{"Summary for Lichtin",#N/A,FALSE,"Value Summary"}</definedName>
    <definedName name="wrn.Line._.Item._.Summary." hidden="1">{#N/A,#N/A,FALSE,"Line Item Summ."}</definedName>
    <definedName name="wrn.lnsum" hidden="1">{"Loan Summary",#N/A,FALSE,"Phase 1 loan &amp; data"}</definedName>
    <definedName name="wrn.Loan._.Pricing._.Analysis." hidden="1">{#N/A,#N/A,FALSE,"LOAN ANALYSIS"}</definedName>
    <definedName name="wrn.Loan._.Summary." hidden="1">{"Loan Summary",#N/A,FALSE,"Phase 1 loan &amp; data"}</definedName>
    <definedName name="wrn.LoanInformation." hidden="1">{#N/A,#N/A,FALSE,"LoanAssumptions"}</definedName>
    <definedName name="wrn.LoanInformation._1" hidden="1">{#N/A,#N/A,FALSE,"LoanAssumptions"}</definedName>
    <definedName name="wrn.LoanInformation._2" hidden="1">{#N/A,#N/A,FALSE,"LoanAssumptions"}</definedName>
    <definedName name="wrn.LoanInformation._3" hidden="1">{#N/A,#N/A,FALSE,"LoanAssumptions"}</definedName>
    <definedName name="wrn.LoanInformation._4" hidden="1">{#N/A,#N/A,FALSE,"LoanAssumptions"}</definedName>
    <definedName name="wrn.Loanrecap." hidden="1">{"Loanrecap",#N/A,FALSE,"Construction"}</definedName>
    <definedName name="wrn.Lodging." hidden="1">{#N/A,#N/A,FALSE,"EPS";#N/A,#N/A,FALSE,"EBITDA"}</definedName>
    <definedName name="wrn.Logo._.Exchange._.and._.Overview." hidden="1">{"Logo",#N/A,FALSE,"Logo";"Exchange",#N/A,FALSE,"Logo";#N/A,#N/A,FALSE,"overview"}</definedName>
    <definedName name="wrn.Long._.Ridge." hidden="1">{"Long Ridge Summary",#N/A,FALSE,"Long Ridge Summary";"Long Ridge Sensitivity",#N/A,FALSE,"Long Ridge Summary";"Long Ridge Partnership Valuation",#N/A,FALSE,"Long Ridge Summary";"Long Ridge Cash Flow",#N/A,FALSE,"Long Ridge Summary";"Long Ridge Partnership Equity Value",#N/A,FALSE,"Long Ridge Summary";"Long Ridge Distributions",#N/A,FALSE,"Long Ridge Summary";"Long Ridge Assumptions",#N/A,FALSE,"Long Ridge Summary"}</definedName>
    <definedName name="wrn.Lot._.Inventory." hidden="1">{"lot inventory",#N/A,FALSE,"Lot List"}</definedName>
    <definedName name="wrn.Lot._.Summary." hidden="1">{"Lot Prices",#N/A,FALSE,"LOTS-PRICING";"lot1",#N/A,FALSE,"Lots";"lot2",#N/A,FALSE,"Lots";"Lot3",#N/A,FALSE,"Lots";"lot4",#N/A,FALSE,"Lots";"lot5",#N/A,FALSE,"Lots";"lot6",#N/A,FALSE,"Lots";"lot7",#N/A,FALSE,"Lots";"lot8",#N/A,FALSE,"Lots";"lot9",#N/A,FALSE,"Lots";"lot10",#N/A,FALSE,"Lots";"lot11",#N/A,FALSE,"Lots";"lot12",#N/A,FALSE,"Lots"}</definedName>
    <definedName name="wrn.Ltd._.Service._.Budget." hidden="1">{#N/A,#N/A,FALSE,"PropInfo";#N/A,#N/A,FALSE,"Summary";#N/A,#N/A,FALSE,"Comparitive";#N/A,#N/A,FALSE,"RevSummary";#N/A,#N/A,FALSE,"Rooms";#N/A,#N/A,FALSE,"PBX";#N/A,#N/A,FALSE,"Rents&amp;Other";#N/A,#N/A,FALSE,"A&amp;G";#N/A,#N/A,FALSE,"A&amp;P";#N/A,#N/A,FALSE,"Comp";#N/A,#N/A,FALSE,"R&amp;M";#N/A,#N/A,FALSE,"Energy";#N/A,#N/A,FALSE,"Capital";#N/A,#N/A,FALSE,"Laundry";#N/A,#N/A,FALSE,"PTEB";#N/A,#N/A,FALSE,"Rent Calc"}</definedName>
    <definedName name="wrn.ltrd.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TV._.Output." hidden="1">{"LTV Output",#N/A,FALSE,"Output"}</definedName>
    <definedName name="wrn.Main._.CBO._.Report." hidden="1">{"LIBOR",#N/A,TRUE,"Model";"Caps",#N/A,TRUE,"Model";"Assets",#N/A,TRUE,"Model";"Liabilities",#N/A,TRUE,"Model";"Tests",#N/A,TRUE,"Model";"Results",#N/A,TRUE,"Model"}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Package." hidden="1">{#N/A,#N/A,FALSE,"Title";#N/A,#N/A,FALSE,"Summary";#N/A,#N/A,FALSE,"Tower V";#N/A,#N/A,FALSE,"Steeles Phase I";#N/A,#N/A,FALSE,"IBM - Bldg A";#N/A,#N/A,FALSE,"IBM - Bldg B";#N/A,#N/A,FALSE,"YVR Lands";#N/A,#N/A,FALSE,"Delf Project";#N/A,#N/A,FALSE,"Maycrest";#N/A,#N/A,FALSE,"Guildford Bldg 1";#N/A,#N/A,FALSE,"Guildford Bldg 2";#N/A,#N/A,FALSE,"Guildford Bldg 3";#N/A,#N/A,FALSE,"Summit Ridge";#N/A,#N/A,FALSE,"Millennium G";#N/A,#N/A,FALSE,"Virginia Phase I (CB)";#N/A,#N/A,FALSE,"Ballard";#N/A,#N/A,FALSE,"Westlake"}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" hidden="1">{#N/A,#N/A,FALSE,"Title Page - Mgmt";#N/A,#N/A,FALSE,"Index - Mgmt";#N/A,#N/A,FALSE,"Stmt of Income";#N/A,#N/A,FALSE,"Balance Sheet";#N/A,#N/A,FALSE,"Stmt of Retained Earnings";#N/A,#N/A,FALSE,"Total Cash Flow";#N/A,#N/A,FALSE,"S.C.F.P.";#N/A,#N/A,FALSE,"Budget to Actual";#N/A,#N/A,FALSE,"Appraisal surplus";#N/A,#N/A,FALSE,"FMV";#N/A,#N/A,FALSE,"Ratios";#N/A,#N/A,FALSE,"Properties";#N/A,#N/A,FALSE,"Secured Debt";#N/A,#N/A,FALSE,"Bank Operating Lines";#N/A,#N/A,FALSE,"Share Capital";#N/A,#N/A,FALSE,"Rental Operating Results";#N/A,#N/A,FALSE,"G. &amp;  A.(1)";#N/A,#N/A,FALSE,"G. &amp;  A. (2)";#N/A,#N/A,FALSE,"INT";#N/A,#N/A,FALSE,"Other Inc";#N/A,#N/A,FALSE,"Property Sales";#N/A,#N/A,FALSE,"Accounts receivable ";#N/A,#N/A,FALSE,"Accounts payable";#N/A,#N/A,FALSE,"Other assets";#N/A,#N/A,FALSE,"Budget Analysis"}</definedName>
    <definedName name="wrn.Management._.Report." hidden="1">{#N/A,#N/A,FALSE,"Title - Management";#N/A,#N/A,FALSE,"Schedule 1a";#N/A,#N/A,FALSE,"Schedule 2 - 2001";#N/A,#N/A,FALSE,"Schedule 2 - 2002";#N/A,#N/A,FALSE,"Schedule 2 - 2003";#N/A,#N/A,FALSE,"Schedule 3 - Mgnt ";#N/A,#N/A,FALSE,"Schedule 3";#N/A,#N/A,FALSE,"Schedule 4";#N/A,#N/A,FALSE,"Schedule 4a - Mgnt";#N/A,#N/A,FALSE,"Schedule 5";#N/A,#N/A,FALSE,"Schedule 5a";#N/A,#N/A,FALSE,"Schedule 6";#N/A,#N/A,FALSE,"Schedule 6a";#N/A,#N/A,FALSE,"Schedule 6b";#N/A,#N/A,FALSE,"Schedule 6c";#N/A,#N/A,FALSE,"Schedule 6d";#N/A,#N/A,FALSE,"Schedule 6e";#N/A,#N/A,FALSE,"Schedule 7";#N/A,#N/A,FALSE,"Schedule 8";#N/A,#N/A,FALSE,"Schedule 9- Mgnt";#N/A,#N/A,FALSE,"Schedule 10 - Mgmt Fees - Mgnt";#N/A,#N/A,FALSE,"Schedule 10- Leasing Fees- Mgnt";#N/A,#N/A,FALSE,"Schedule 10 - Devel Fees- Mgnt"}</definedName>
    <definedName name="wrn.March._.Report." hidden="1">{"Mar",#N/A,FALSE,"Manager Report"}</definedName>
    <definedName name="wrn.market." hidden="1">{#N/A,#N/A,FALSE,"SUBMKT";#N/A,#N/A,FALSE,"MARKET";#N/A,#N/A,FALSE,"VACANCY";#N/A,#N/A,FALSE,"ABSORB";#N/A,#N/A,FALSE,"SUBLEASE";#N/A,#N/A,FALSE,"CONSTRCT"}</definedName>
    <definedName name="wrn.Market._.Review._.File." hidden="1">{"Venture Sum Large Print",#N/A,FALSE,"Mkt Summary";"Development Budget",#N/A,FALSE,"Mkt Summary";"Operating Assumptions",#N/A,FALSE,"Mkt Summary";"Financing Summary",#N/A,FALSE,"Mkt Summary";"Rent Growth Assumptions",#N/A,FALSE,"Mkt Summary";"Mkt Rent Detail",#N/A,FALSE,"Mkt Rent&amp;Exp";"Mkt Expense Detail",#N/A,FALSE,"Mkt Rent&amp;Exp";"Mkt DevPF Landscape",#N/A,FALSE,"Mkt DevPF";"Mkt Annual",#N/A,FALSE,"Mkt Annual"}</definedName>
    <definedName name="wrn.Market._.Values." hidden="1">{#N/A,#N/A,TRUE,"10 Yr Hold";#N/A,#N/A,TRUE,"7 Yr Hold";#N/A,#N/A,TRUE,"5 Yr Hold";#N/A,#N/A,TRUE,"3 Yr Hold"}</definedName>
    <definedName name="wrn.Market._.Values._1" hidden="1">{#N/A,#N/A,TRUE,"10 Yr Hold";#N/A,#N/A,TRUE,"7 Yr Hold";#N/A,#N/A,TRUE,"5 Yr Hold";#N/A,#N/A,TRUE,"3 Yr Hold"}</definedName>
    <definedName name="wrn.Market._.Values._2" hidden="1">{#N/A,#N/A,TRUE,"10 Yr Hold";#N/A,#N/A,TRUE,"7 Yr Hold";#N/A,#N/A,TRUE,"5 Yr Hold";#N/A,#N/A,TRUE,"3 Yr Hold"}</definedName>
    <definedName name="wrn.Market._.Values._3" hidden="1">{#N/A,#N/A,TRUE,"10 Yr Hold";#N/A,#N/A,TRUE,"7 Yr Hold";#N/A,#N/A,TRUE,"5 Yr Hold";#N/A,#N/A,TRUE,"3 Yr Hold"}</definedName>
    <definedName name="wrn.Market._.Values._4" hidden="1">{#N/A,#N/A,TRUE,"10 Yr Hold";#N/A,#N/A,TRUE,"7 Yr Hold";#N/A,#N/A,TRUE,"5 Yr Hold";#N/A,#N/A,TRUE,"3 Yr Hold"}</definedName>
    <definedName name="wrn.Marketing." hidden="1">{#N/A,#N/A,FALSE,"2Assumptions";#N/A,#N/A,FALSE,"3Cash Flow";#N/A,#N/A,FALSE,"I&amp;E";#N/A,#N/A,FALSE,"I&amp;E (2)";#N/A,#N/A,FALSE,"10Vacancy Matrix";#N/A,#N/A,FALSE,"11Expiration Schedule"}</definedName>
    <definedName name="wrn.Marketing._1" hidden="1">{#N/A,#N/A,FALSE,"2Assumptions";#N/A,#N/A,FALSE,"3Cash Flow";#N/A,#N/A,FALSE,"I&amp;E";#N/A,#N/A,FALSE,"I&amp;E (2)";#N/A,#N/A,FALSE,"10Vacancy Matrix";#N/A,#N/A,FALSE,"11Expiration Schedule"}</definedName>
    <definedName name="wrn.Marketing._2" hidden="1">{#N/A,#N/A,FALSE,"2Assumptions";#N/A,#N/A,FALSE,"3Cash Flow";#N/A,#N/A,FALSE,"I&amp;E";#N/A,#N/A,FALSE,"I&amp;E (2)";#N/A,#N/A,FALSE,"10Vacancy Matrix";#N/A,#N/A,FALSE,"11Expiration Schedule"}</definedName>
    <definedName name="wrn.Marketing._3" hidden="1">{#N/A,#N/A,FALSE,"2Assumptions";#N/A,#N/A,FALSE,"3Cash Flow";#N/A,#N/A,FALSE,"I&amp;E";#N/A,#N/A,FALSE,"I&amp;E (2)";#N/A,#N/A,FALSE,"10Vacancy Matrix";#N/A,#N/A,FALSE,"11Expiration Schedule"}</definedName>
    <definedName name="wrn.Marketing._4" hidden="1">{#N/A,#N/A,FALSE,"2Assumptions";#N/A,#N/A,FALSE,"3Cash Flow";#N/A,#N/A,FALSE,"I&amp;E";#N/A,#N/A,FALSE,"I&amp;E (2)";#N/A,#N/A,FALSE,"10Vacancy Matrix";#N/A,#N/A,FALSE,"11Expiration Schedule"}</definedName>
    <definedName name="wrn.Master." hidden="1">{#N/A,#N/A,FALSE,"Master Summary 1";#N/A,#N/A,FALSE,"245 Park-Rem. Obl.";#N/A,#N/A,FALSE,"245 Park-N, Lse";#N/A,#N/A,FALSE,"245 Park-N, Lse (2)";#N/A,#N/A,FALSE,"245 Park- SL";#N/A,#N/A,FALSE,"250 Park";#N/A,#N/A,FALSE,"1285 6th";#N/A,#N/A,FALSE,"101 Park";#N/A,#N/A,FALSE,"Sublease Commission"}</definedName>
    <definedName name="wrn.MATRICES._.and._.CFs.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IES._.ONLY." hidden="1">{#N/A,#N/A,FALSE,"matx B4 DS";#N/A,#N/A,FALSE,"matx B4 DS Hac";#N/A,#N/A,FALSE,"matx B4 DS Chabot";#N/A,#N/A,FALSE,"matx B4 DS Diablo"}</definedName>
    <definedName name="wrn.May._.Forecast." hidden="1">{"May",#N/A,FALSE,"Manager Report"}</definedName>
    <definedName name="wrn.May._.Strategic._.Update." hidden="1">{#N/A,#N/A,FALSE,"Part A - Strategy";#N/A,#N/A,FALSE,"A.1 Vision - Trends";#N/A,#N/A,FALSE,"A.2 Vision - Strategies";#N/A,#N/A,FALSE,"A.3 Fin. Targets (Prelim.)";#N/A,#N/A,FALSE,"A.4 Competition";#N/A,#N/A,FALSE,"A.5 Geographic Segments"}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ezz._.Package." hidden="1">{#N/A,#N/A,FALSE,"CashFlowSummary";#N/A,#N/A,FALSE,"InvestorSummary";#N/A,#N/A,FALSE,"RevenueAssumptions";#N/A,#N/A,FALSE,"MasterCostAssmp";#N/A,#N/A,FALSE,"InTractCstAssmp";#N/A,#N/A,FALSE,"LotTakedowns"}</definedName>
    <definedName name="wrn.MFJVO._.and._.Summary._.Inputs._.Only." hidden="1">{#N/A,#N/A,FALSE,"Summary";#N/A,#N/A,FALSE,"General Inputs &amp; Assumptions";"Franchise Inputs",#N/A,FALSE,"Franchise";"Managed Inputs a",#N/A,FALSE,"Managed";"JV Inputs",#N/A,FALSE,"JV";"Owned Inputs",#N/A,FALSE,"Owned"}</definedName>
    <definedName name="wrn.Mgnt._.Report._.for._.Net._.Income._.adjustment." hidden="1">{"SITQ view of BCLP 4 months income statement",#N/A,TRUE,"BCLP 4 MO IS";#N/A,#N/A,TRUE,"Comparison to March Fcst";#N/A,#N/A,TRUE,"BCLP Forecast";"Mgnt view of BCLP 4 month income statement",#N/A,TRUE,"BCLP 4 MO IS";#N/A,#N/A,TRUE,"Closing Adjustments";#N/A,#N/A,TRUE,"Accounting entry"}</definedName>
    <definedName name="wrn.minrenn" hidden="1">{"MINRENT2",#N/A,FALSE,"SCHEDULE B"}</definedName>
    <definedName name="wrn.MINRENT." hidden="1">{"MINRENT2",#N/A,FALSE,"SCHEDULE B"}</definedName>
    <definedName name="wrn.minrent.2" hidden="1">{"MINRENT2",#N/A,FALSE,"SCHEDULE B"}</definedName>
    <definedName name="wrn.mirBellagio." hidden="1">{#N/A,#N/A,FALSE,"MIR";#N/A,#N/A,FALSE,"NYNY"}</definedName>
    <definedName name="wrn.MIRELF._.III." hidden="1">{"Summary",#N/A,TRUE,"Summary";"Sensitivity",#N/A,TRUE,"Summary";"Partnership Value",#N/A,TRUE,"Summary";"Cash Flows",#N/A,TRUE,"Summary";"Partnership Equity Value",#N/A,TRUE,"Summary";"Waterfall",#N/A,TRUE,"Summary";"MIR Fund Structure",#N/A,TRUE,"Summary";"Assumptions",#N/A,TRUE,"Summary"}</definedName>
    <definedName name="wrn.MIRELF._.III._1" hidden="1">{"Summary",#N/A,TRUE,"Summary";"Sensitivity",#N/A,TRUE,"Summary";"Partnership Value",#N/A,TRUE,"Summary";"Cash Flows",#N/A,TRUE,"Summary";"Partnership Equity Value",#N/A,TRUE,"Summary";"Waterfall",#N/A,TRUE,"Summary";"MIR Fund Structure",#N/A,TRUE,"Summary";"Assumptions",#N/A,TRUE,"Summary"}</definedName>
    <definedName name="wrn.MIRELF._.III._2" hidden="1">{"Summary",#N/A,TRUE,"Summary";"Sensitivity",#N/A,TRUE,"Summary";"Partnership Value",#N/A,TRUE,"Summary";"Cash Flows",#N/A,TRUE,"Summary";"Partnership Equity Value",#N/A,TRUE,"Summary";"Waterfall",#N/A,TRUE,"Summary";"MIR Fund Structure",#N/A,TRUE,"Summary";"Assumptions",#N/A,TRUE,"Summary"}</definedName>
    <definedName name="wrn.MIRELF._.III._3" hidden="1">{"Summary",#N/A,TRUE,"Summary";"Sensitivity",#N/A,TRUE,"Summary";"Partnership Value",#N/A,TRUE,"Summary";"Cash Flows",#N/A,TRUE,"Summary";"Partnership Equity Value",#N/A,TRUE,"Summary";"Waterfall",#N/A,TRUE,"Summary";"MIR Fund Structure",#N/A,TRUE,"Summary";"Assumptions",#N/A,TRUE,"Summary"}</definedName>
    <definedName name="wrn.misc." hidden="1">{#N/A,#N/A,FALSE,"Sheet10"}</definedName>
    <definedName name="wrn.mkting" hidden="1">{#N/A,#N/A,FALSE,"MARKETING I";#N/A,#N/A,FALSE,"MARKETING II";#N/A,#N/A,FALSE,"MARKETING III"}</definedName>
    <definedName name="wrn.MODEL.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._.Print." hidden="1">{"Summary",#N/A,TRUE,"Summary";"Sensitivity",#N/A,TRUE,"Summary";"Partnership Value",#N/A,TRUE,"Summary";"Cash Flows",#N/A,TRUE,"Summary";"Partnership Equity Value",#N/A,TRUE,"Summary";"Waterfall",#N/A,TRUE,"Summary";"MIR Fund Structure",#N/A,TRUE,"Summary";"Assumptions",#N/A,TRUE,"Summary";"Argus Assumptions",#N/A,TRUE,"Summary"}</definedName>
    <definedName name="wrn.MODEL._.PRINT._.ALL." hidden="1">{"Summary1",#N/A,FALSE,"Summary";"Program",#N/A,FALSE,"Summary";"SumCF 2",#N/A,FALSE,"Summary";"VentureMonthlyCF",#N/A,FALSE,"Summary";"VentureMonthlyCF2",#N/A,FALSE,"Summary";"VentureMonthyCF3",#N/A,FALSE,"Summary";"ResSum 1",#N/A,FALSE,"Summary";"ResCF 1",#N/A,FALSE,"Summary";"ResMonthlyCF1",#N/A,FALSE,"Residential";"ResMonthlyCF2",#N/A,FALSE,"Residential";"DSSum1",#N/A,FALSE,"Delaware St.";"DSSum2",#N/A,FALSE,"Summary";"DSMonthlyCF1",#N/A,FALSE,"Summary";"DSMonthlyCF2",#N/A,FALSE,"Summary";"DSMonthlyCF3",#N/A,FALSE,"Summary";"DSDebt",#N/A,FALSE,"Summary";"DS Sales",#N/A,FALSE,"Summary";"OffSum1",#N/A,FALSE,"Summary";"OffSumCF",#N/A,FALSE,"Summary";"Land Dev Budget 1",#N/A,FALSE,"Summary";"Land Dev Budget 2",#N/A,FALSE,"Summary";"InfCF",#N/A,FALSE,"Summary";"Inf1",#N/A,FALSE,"Summary";"Inf2",#N/A,FALSE,"Summary";"Inf3",#N/A,FALSE,"Summary";"BMR",#N/A,FALSE,"Summary";"Timeline",#N/A,FALSE,"Summary"}</definedName>
    <definedName name="wrn.model2." hidden="1">{"Investor",#N/A,FALSE,"Model";"Property",#N/A,FALSE,"Model";"Incentive Taxes",#N/A,FALSE,"Model"}</definedName>
    <definedName name="wrn.MODEL5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lster._.Print." hidden="1">{"Venture Summary",#N/A,FALSE,"Summary";"Development Budget",#N/A,FALSE,"Summary";"Annual",#N/A,FALSE,"Annual"}</definedName>
    <definedName name="wrn.Monthly." hidden="1">{"MONTHLY",#N/A,FALSE,"Pro Forma";"MONTHLY",#N/A,FALSE,"Equity"}</definedName>
    <definedName name="wrn.Monthly._.Detail._.Reports." hidden="1">{"Detail Project Cash Flow",#N/A,TRUE,"Cash Flow Grid";"Financing Calculation",#N/A,TRUE,"Cash Flow Grid"}</definedName>
    <definedName name="wrn.monthly._.financial." hidden="1">{#N/A,#N/A,FALSE,"SUMMARY 4a";#N/A,#N/A,FALSE,"GBA 4b";#N/A,#N/A,FALSE,"TENANT 4c";#N/A,#N/A,FALSE,"BUDGET DETAIL";#N/A,#N/A,FALSE,"PRO FORMA"}</definedName>
    <definedName name="wrn.monthly._.financial._1" hidden="1">{#N/A,#N/A,FALSE,"SUMMARY 4a";#N/A,#N/A,FALSE,"GBA 4b";#N/A,#N/A,FALSE,"TENANT 4c";#N/A,#N/A,FALSE,"BUDGET DETAIL";#N/A,#N/A,FALSE,"PRO FORMA"}</definedName>
    <definedName name="wrn.monthly._.financial._2" hidden="1">{#N/A,#N/A,FALSE,"SUMMARY 4a";#N/A,#N/A,FALSE,"GBA 4b";#N/A,#N/A,FALSE,"TENANT 4c";#N/A,#N/A,FALSE,"BUDGET DETAIL";#N/A,#N/A,FALSE,"PRO FORMA"}</definedName>
    <definedName name="wrn.monthly._.financial._3" hidden="1">{#N/A,#N/A,FALSE,"SUMMARY 4a";#N/A,#N/A,FALSE,"GBA 4b";#N/A,#N/A,FALSE,"TENANT 4c";#N/A,#N/A,FALSE,"BUDGET DETAIL";#N/A,#N/A,FALSE,"PRO FORMA"}</definedName>
    <definedName name="wrn.monthly._.financial._4" hidden="1">{#N/A,#N/A,FALSE,"SUMMARY 4a";#N/A,#N/A,FALSE,"GBA 4b";#N/A,#N/A,FALSE,"TENANT 4c";#N/A,#N/A,FALSE,"BUDGET DETAIL";#N/A,#N/A,FALSE,"PRO FORMA"}</definedName>
    <definedName name="wrn.Monthly._.Fund." hidden="1">{#N/A,#N/A,FALSE,"Monthly Fund"}</definedName>
    <definedName name="wrn.Monthly._.Report." hidden="1">{"pro forma monthly",#N/A,FALSE,"Pro Forma";"equity monthly",#N/A,FALSE,"Equity";"TCC monthly",#N/A,FALSE,"TCC"}</definedName>
    <definedName name="wrn.MonthlyRentRoll." hidden="1">{"MonthlyRentRoll",#N/A,FALSE,"RentRoll"}</definedName>
    <definedName name="wrn.MonthlyRentRoll._1" hidden="1">{"MonthlyRentRoll",#N/A,FALSE,"RentRoll"}</definedName>
    <definedName name="wrn.MonthlyRentRoll._2" hidden="1">{"MonthlyRentRoll",#N/A,FALSE,"RentRoll"}</definedName>
    <definedName name="wrn.MonthlyRentRoll._3" hidden="1">{"MonthlyRentRoll",#N/A,FALSE,"RentRoll"}</definedName>
    <definedName name="wrn.MonthlyRentRoll._4" hidden="1">{"MonthlyRentRoll",#N/A,FALSE,"RentRoll"}</definedName>
    <definedName name="wrn.Months._.98._.to._.01." hidden="1">{"98",#N/A,FALSE,"Month";"99",#N/A,FALSE,"Month";"00",#N/A,FALSE,"Month";"01",#N/A,FALSE,"Month"}</definedName>
    <definedName name="wrn.Mortgage._.Loan._.Sch." hidden="1">{#N/A,#N/A,FALSE,"Mortgage Loan Sch"}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tbacks." hidden="1">{"Netbacks",#N/A,FALSE,"Netbacks"}</definedName>
    <definedName name="wrn.New_Business." hidden="1">{"One",#N/A,FALSE,"New Business"}</definedName>
    <definedName name="wrn.new." hidden="1">{#N/A,#N/A,FALSE,"Impl";#N/A,#N/A,FALSE,"sum";#N/A,#N/A,FALSE,"cat";#N/A,#N/A,FALSE,"cum";#N/A,#N/A,FALSE,"varity";#N/A,#N/A,FALSE,"ddc";#N/A,#N/A,FALSE,"man";#N/A,#N/A,FALSE,"metra";#N/A,#N/A,FALSE,"volvo"}</definedName>
    <definedName name="wrn.New._.Forms." hidden="1">{#N/A,#N/A,FALSE,"ATF TYPA";#N/A,#N/A,FALSE,"COMP SS100";#N/A,#N/A,FALSE,"D HDX 40N";#N/A,#N/A,FALSE,"DXL 40";#N/A,#N/A,FALSE,"D XL 50 EXP";#N/A,#N/A,FALSE,"D SP 15W40";#N/A,#N/A,FALSE,"ECO 40N";#N/A,#N/A,FALSE,"GO 140GL-1";#N/A,#N/A,FALSE,"EPHD GO 68";#N/A,#N/A,FALSE,"EPHD GO460";#N/A,#N/A,FALSE,"HYD AW 32";#N/A,#N/A,FALSE,"HYD AW46";#N/A,#N/A,FALSE,"HYD ZP46";#N/A,#N/A,FALSE,"HYD ZP68";#N/A,#N/A,FALSE,"MO 40N";#N/A,#N/A,FALSE,"MO 50";#N/A,#N/A,FALSE,"MT SUP.20W50N";#N/A,#N/A,FALSE,"MT S 20W50(Tender)N";#N/A,#N/A,FALSE,"MULTIGRADE MO";#N/A,#N/A,FALSE,"PERF OIL 78";#N/A,#N/A,FALSE,"PR.MO.40";#N/A,#N/A,FALSE,"P.GEAR GL-3";#N/A,#N/A,FALSE,"SD OIL 40N";#N/A,#N/A,FALSE,"SD OIL HT 40N";#N/A,#N/A,FALSE,"S.D.ADV15W40";#N/A,#N/A,FALSE,"S.D.ADV 15W40 JOR";#N/A,#N/A,FALSE,"S GEAR 90 GL4N";#N/A,#N/A,FALSE,"S GEAR ZX 90";#N/A,#N/A,FALSE,"S GEAR ZX 140";#N/A,#N/A,FALSE,"S GEAR ZX 140N";#N/A,#N/A,FALSE,"SMO 20W50N";#N/A,#N/A,FALSE,"S OB TCW3";#N/A,#N/A,FALSE,"THERM Z32";#N/A,#N/A,FALSE,"T OIL 68";#N/A,#N/A,FALSE,"U UHP 15W40N";#N/A,#N/A,FALSE,"L ATF TX-2"}</definedName>
    <definedName name="wrn.New._.Report." hidden="1">{"Summary",#N/A,TRUE,"Fund";"Sensitivity",#N/A,TRUE,"Fund";"Gelsenkirchen Asset",#N/A,TRUE,"Fund";"Langenfeld Asset",#N/A,TRUE,"Fund";"Value",#N/A,TRUE,"Fund";"Cash Flow",#N/A,TRUE,"Fund";"NCF",#N/A,TRUE,"Fund";"DCF &amp; Yield",#N/A,TRUE,"Fund";"Waterfall",#N/A,TRUE,"Fund";"MILF Structure",#N/A,TRUE,"Fund";"Assumptions",#N/A,TRUE,"Fund"}</definedName>
    <definedName name="wrn.New._.Summary." hidden="1">{"Summary Page 1",#N/A,TRUE,"Annual";"Summary Page 2",#N/A,TRUE,"Annual";"Annual Page 1",#N/A,TRUE,"Annual"}</definedName>
    <definedName name="wrn.newdcf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est." hidden="1">{#N/A,#N/A,TRUE,"TS";#N/A,#N/A,TRUE,"Combo";#N/A,#N/A,TRUE,"FAIR";#N/A,#N/A,TRUE,"RBC";#N/A,#N/A,TRUE,"xxxx"}</definedName>
    <definedName name="wrn.newoutput" hidden="1">{"DCF","UPSIDE CASE",FALSE,"Sheet1";"DCF","BASE CASE",FALSE,"Sheet1";"DCF","DOWNSIDE CASE",FALSE,"Sheet1"}</definedName>
    <definedName name="wrn.North._.America." hidden="1">{#N/A,#N/A,FALSE,"NA All";#N/A,#N/A,FALSE,"Joe Champ";#N/A,#N/A,FALSE,"Joe Long"}</definedName>
    <definedName name="wrn.Northborough._.Station." hidden="1">{#N/A,#N/A,FALSE,"Total Acquisition and Rehab ";#N/A,#N/A,FALSE,"Summary of Hard Costs"}</definedName>
    <definedName name="wrn.Notes._.2." hidden="1">{"Notes 2",#N/A,FALSE,"Sheet1"}</definedName>
    <definedName name="wrn.Nov._.Forecast." hidden="1">{"Nov",#N/A,FALSE,"Manager Report"}</definedName>
    <definedName name="wrn.NOV30." hidden="1">{#N/A,#N/A,FALSE,"BALLY COSTS";#N/A,#N/A,FALSE,"FF&amp;E";#N/A,#N/A,FALSE,"FEES";#N/A,#N/A,FALSE,"CONTINGENCY";#N/A,#N/A,FALSE,"SOFT COSTS";#N/A,#N/A,FALSE,"DETAIL";#N/A,#N/A,FALSE,"sum12-3"}</definedName>
    <definedName name="wrn.november._.17.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S." hidden="1">{"NS #1",#N/A,TRUE,"Model";"NS #2",#N/A,TRUE,"Model";"NS #3",#N/A,TRUE,"Model"}</definedName>
    <definedName name="wrn.NS._1" hidden="1">{"NS #1",#N/A,TRUE,"Model";"NS #2",#N/A,TRUE,"Model";"NS #3",#N/A,TRUE,"Model"}</definedName>
    <definedName name="wrn.NS._2" hidden="1">{"NS #1",#N/A,TRUE,"Model";"NS #2",#N/A,TRUE,"Model";"NS #3",#N/A,TRUE,"Model"}</definedName>
    <definedName name="wrn.NS._3" hidden="1">{"NS #1",#N/A,TRUE,"Model";"NS #2",#N/A,TRUE,"Model";"NS #3",#N/A,TRUE,"Model"}</definedName>
    <definedName name="wrn.nyt._.times._.full." hidden="1">{#N/A,#N/A,FALSE,"ExecSum";#N/A,#N/A,FALSE,"Budget";#N/A,#N/A,FALSE,"Summary1";#N/A,#N/A,FALSE,"CashFlow";#N/A,#N/A,FALSE,"Year1 Cash Flow";#N/A,#N/A,FALSE,"RE Taxes";#N/A,#N/A,FALSE,"OE Schedule";#N/A,#N/A,FALSE,"Leasing Comm";#N/A,#N/A,FALSE,"Input";#N/A,#N/A,FALSE,"Carry";#N/A,#N/A,FALSE,"Page 1A";#N/A,#N/A,FALSE,"Page 1B";#N/A,#N/A,FALSE,"Page 2";#N/A,#N/A,FALSE,"Page 3";#N/A,#N/A,FALSE,"Page 4";#N/A,#N/A,FALSE,"Summary2";#N/A,#N/A,FALSE,"Lease Summary";#N/A,#N/A,FALSE,"GrossRent";#N/A,#N/A,FALSE,"GrossRent";#N/A,#N/A,FALSE,"FCESummary";#N/A,#N/A,FALSE,"CreditLoss";#N/A,#N/A,FALSE,"Recoveries";#N/A,#N/A,FALSE,"Loan Balance"}</definedName>
    <definedName name="wrn.O._.and._.M._.and._.Fuel." hidden="1">{"Fuel",#N/A,FALSE,"O and M and Fuel Incremental";"O and M",#N/A,FALSE,"O and M and Fuel Incremental"}</definedName>
    <definedName name="wrn.Occupancy._.Calcs." hidden="1">{#N/A,#N/A,FALSE,"Occ. Calcs"}</definedName>
    <definedName name="wrn.Oct._.Forecast." hidden="1">{"Oct",#N/A,FALSE,"Manager Report"}</definedName>
    <definedName name="wrn.ODB." hidden="1">{"ODB",#N/A,FALSE,"Hold Scenario"}</definedName>
    <definedName name="wrn.office.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wrn.OFFICE._.BUDGET." hidden="1">{#N/A,#N/A,FALSE,"LP Exp";#N/A,#N/A,FALSE,"Salary";#N/A,#N/A,FALSE,"Admin Exp";#N/A,#N/A,FALSE,"QTS Bud";#N/A,#N/A,FALSE,"Marketing"}</definedName>
    <definedName name="wrn.Old._.Format." hidden="1">{#N/A,#N/A,FALSE,"Old Format"}</definedName>
    <definedName name="wrn.One._.Partner." hidden="1">{#N/A,#N/A,FALSE,"graph one partner";#N/A,#N/A,FALSE,"Summary Quick Report";#N/A,#N/A,FALSE,"PROJECT  NPV E93";#N/A,#N/A,FALSE,"Project IRR G93";#N/A,#N/A,FALSE,"GENTRY NPV E94";#N/A,#N/A,FALSE,"Gentry IRR G94";#N/A,#N/A,FALSE,"PARTNER NPV E95";#N/A,#N/A,FALSE,"PARTNER IRR G95";#N/A,#N/A,FALSE,"Input Graphs";#N/A,#N/A,FALSE,"Variables &amp; Summary";#N/A,#N/A,FALSE,"cf one partner";#N/A,#N/A,FALSE,"1 design-constr timing";#N/A,#N/A,FALSE,"5 - construction budget";#N/A,#N/A,FALSE,"6 - residential grading";#N/A,#N/A,FALSE,"7-land takedowns";#N/A,#N/A,FALSE,"8-lear siegler dev rights";#N/A,#N/A,FALSE,"parcel summary"}</definedName>
    <definedName name="wrn.ontario." hidden="1">{"page1",#N/A,FALSE,"sheet 1";"Page2",#N/A,FALSE,"sheet 1";"page3",#N/A,FALSE,"sheet 1";"page4",#N/A,FALSE,"sheet 1"}</definedName>
    <definedName name="wrn.ONTK.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peratingAssumtions." hidden="1">{#N/A,#N/A,FALSE,"OperatingAssumptions"}</definedName>
    <definedName name="wrn.OperatingAssumtions._1" hidden="1">{#N/A,#N/A,FALSE,"OperatingAssumptions"}</definedName>
    <definedName name="wrn.OperatingAssumtions._2" hidden="1">{#N/A,#N/A,FALSE,"OperatingAssumptions"}</definedName>
    <definedName name="wrn.OperatingAssumtions._3" hidden="1">{#N/A,#N/A,FALSE,"OperatingAssumptions"}</definedName>
    <definedName name="wrn.OperatingAssumtions._4" hidden="1">{#N/A,#N/A,FALSE,"OperatingAssumptions"}</definedName>
    <definedName name="wrn.Operations._.Review." hidden="1">{#N/A,#N/A,FALSE,"Proforma Five Yr";#N/A,#N/A,FALSE,"Occ and Rate";#N/A,#N/A,FALSE,"PF Input";#N/A,#N/A,FALSE,"Hotcomps"}</definedName>
    <definedName name="wrn.Ops_S.Holders._.Assets_Income." hidden="1">{"Ops_S.Holders Assets and Income",#N/A,FALSE,"ops_shf"}</definedName>
    <definedName name="wrn.Ops._.Charlie._.Packet." hidden="1">{#N/A,#N/A,FALSE,"Proforma Five Yr";#N/A,#N/A,FALSE,"Occ and Rate";#N/A,#N/A,FALSE,"PF Input";#N/A,#N/A,FALSE,"Ops Summary";#N/A,#N/A,FALSE,"Hotcomps"}</definedName>
    <definedName name="wrn.Other._.Schedules." hidden="1">{"Other",#N/A,FALSE,"Other";"Rental Revenue",#N/A,FALSE,"Rental Revenue";"Monthly Draw",#N/A,FALSE,"Monthly"}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3Column." hidden="1">{"Output-3Column",#N/A,FALSE,"Output"}</definedName>
    <definedName name="wrn.OutputAll." hidden="1">{"Output-All",#N/A,FALSE,"Output"}</definedName>
    <definedName name="wrn.OutputBaseYear." hidden="1">{"Output-BaseYear",#N/A,FALSE,"Output"}</definedName>
    <definedName name="wrn.OutputMin." hidden="1">{"Output-Min",#N/A,FALSE,"Output"}</definedName>
    <definedName name="wrn.OutputPercent." hidden="1">{"Output%",#N/A,FALSE,"Output"}</definedName>
    <definedName name="wrn.outputr1a" hidden="1">{#N/A,#N/A,TRUE,"Cover";#N/A,#N/A,TRUE,"Summary";#N/A,#N/A,TRUE,"Assumptions";#N/A,#N/A,TRUE,"Stack";#N/A,#N/A,TRUE,"Budget";#N/A,#N/A,TRUE,"Condo Summary";#N/A,#N/A,TRUE,"Sellout Summary"}</definedName>
    <definedName name="wrn.outputr2a." hidden="1">{#N/A,#N/A,TRUE,"Cover";#N/A,#N/A,TRUE,"Summary";#N/A,#N/A,TRUE,"Assumptions";#N/A,#N/A,TRUE,"Stack";#N/A,#N/A,TRUE,"Budget";#N/A,#N/A,TRUE,"Condo Summary";#N/A,#N/A,TRUE,"Sellout Summary"}</definedName>
    <definedName name="wrn.Overhead." hidden="1">{"Overhead",#N/A,FALSE,"Overhead"}</definedName>
    <definedName name="wrn.Overview._.Reports." hidden="1">{#N/A,#N/A,FALSE,"DCF Values";#N/A,#N/A,FALSE,"Overview";#N/A,#N/A,FALSE,"Earnings";#N/A,#N/A,FALSE,"StockMarketValues";#N/A,#N/A,FALSE,"Asset Values";#N/A,#N/A,FALSE,"Accretion EPS";#N/A,#N/A,FALSE,"Accretion CFPS";#N/A,#N/A,FALSE,"santafe";#N/A,#N/A,FALSE,"noble";#N/A,#N/A,FALSE,"Combined Results"}</definedName>
    <definedName name="wrn.Owner._.Area._.Report._.2._.Areas." hidden="1">{"Line Item Estimate - Owner Area 1 View",#N/A,FALSE,"Line Item Estimate";"Line Item Estimate - Owner Area 2 View",#N/A,FALSE,"Line Item Estimate";"Line Item Estimate - Owner Total View",#N/A,FALSE,"Line Item Estimate"}</definedName>
    <definedName name="wrn.Owner._.Area._.Report._.3._.Areas." hidden="1">{"Line Item Estimate - Owner Area 1 View",#N/A,FALSE,"Line Item Estimate";"Line Item Estimate - Owner Area 2 View",#N/A,FALSE,"Line Item Estimate";"Line Item Estimate - Owner Area 3 View",#N/A,FALSE,"Line Item Estimate";"Line Item Estimate - Owner Total View",#N/A,FALSE,"Line Item Estimate"}</definedName>
    <definedName name="wrn.Owner._.Area._.Report._.4._.Areas." hidden="1">{"Line Item Estimate - Owner Area 1 View",#N/A,FALSE,"Line Item Estimate";"Line Item Estimate - Owner Area 2 View",#N/A,FALSE,"Line Item Estimate";"Line Item Estimate - Owner Area 3 View",#N/A,FALSE,"Line Item Estimate";"Line Item Estimate - Owner Area 4 View",#N/A,FALSE,"Line Item Estimate";"Line Item Estimate - Owner Total View",#N/A,FALSE,"Line Item Estimate"}</definedName>
    <definedName name="wrn.Owner._.Area._.Report._.5._.Areas." hidden="1">{"Line Item Estimate - Owner Area 1 View",#N/A,FALSE,"Line Item Estimate";"Line Item Estimate - Owner Area 2 View",#N/A,FALSE,"Line Item Estimate";"Line Item Estimate - Owner Area 4 View",#N/A,FALSE,"Line Item Estimate";"Line Item Estimate - Owner Area 3 View",#N/A,FALSE,"Line Item Estimate";"Line Item Estimate - Owner Area 5 View",#N/A,FALSE,"Line Item Estimate";"Line Item Estimate - Review Total View",#N/A,FALSE,"Line Item Estimate"}</definedName>
    <definedName name="wrn.Owner._.Total._.Report." hidden="1">{"Line Item Estimate - Review Total View",#N/A,FALSE,"Line Item Estimate"}</definedName>
    <definedName name="wrn.Owner._.Variance._.Report." hidden="1">{"Line Item Estimate - Owner Variance View",#N/A,FALSE,"Line Item Estimate"}</definedName>
    <definedName name="wrn.P_L._.and._.Bal.._.Sheet." hidden="1">{"P_L Account",#N/A,FALSE,"Prime";"Assets",#N/A,FALSE,"Prime";"Liabilities",#N/A,FALSE,"Prime";"Capital and Reserves",#N/A,FALSE,"Prime";"Rec. of S_Holders Funds",#N/A,FALSE,"Prime";"Rec. of Pre and Post Tax Result",#N/A,FALSE,"Prime"}</definedName>
    <definedName name="wrn.p3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acakage." hidden="1">{#N/A,#N/A,FALSE,"Data Entry";#N/A,#N/A,FALSE,"RE Mgmt Fees";#N/A,#N/A,FALSE,"Auto";#N/A,#N/A,FALSE,"Bus &amp; Corp Dev";#N/A,#N/A,FALSE,"Communication";#N/A,#N/A,FALSE,"Comp &amp; Equip";#N/A,#N/A,FALSE,"Office";#N/A,#N/A,FALSE,"Prof &amp; Consult";#N/A,#N/A,FALSE,"Rent";#N/A,#N/A,FALSE,"Non-Recov Sal &amp; Ben";#N/A,#N/A,FALSE,"Travel";#N/A,#N/A,FALSE,"Interco"}</definedName>
    <definedName name="wrn.Package." hidden="1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ckage._1" hidden="1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ckage._2" hidden="1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ckage._3" hidden="1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ckage._4" hidden="1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lms._.at._.South._.Shore." hidden="1">{#N/A,#N/A,FALSE,"loananalysis";#N/A,#N/A,FALSE,"proforma";#N/A,#N/A,FALSE,"unitmix"}</definedName>
    <definedName name="wrn.Partial_Template." hidden="1">{#N/A,#N/A,FALSE,"1Summary";#N/A,#N/A,FALSE,"2Assumptions";#N/A,#N/A,FALSE,"3Cash Flow";#N/A,#N/A,FALSE,"6Residual";#N/A,#N/A,FALSE,"AExpiration Schedule"}</definedName>
    <definedName name="wrn.Partial." hidden="1">{#N/A,#N/A,FALSE,"Assumptions";#N/A,#N/A,FALSE,"Year One Pro Forma";#N/A,#N/A,FALSE,"Rent Roll Summary";#N/A,#N/A,FALSE,"Market Rent Detail";#N/A,#N/A,FALSE,"Rent Roll Summary";#N/A,#N/A,FALSE,"Market Rent Increases";#N/A,#N/A,FALSE,"Exec Sum 10Yr";#N/A,#N/A,FALSE,"Cash Flow Projections";#N/A,#N/A,FALSE,"Net Residual Value";#N/A,#N/A,FALSE,"Effective Rental Income Detail";#N/A,#N/A,FALSE,"Turnovers";#N/A,#N/A,FALSE,"Matrices"}</definedName>
    <definedName name="wrn.Partial._1" hidden="1">{#N/A,#N/A,FALSE,"Assumptions";#N/A,#N/A,FALSE,"Year One Pro Forma";#N/A,#N/A,FALSE,"Rent Roll Summary";#N/A,#N/A,FALSE,"Market Rent Detail";#N/A,#N/A,FALSE,"Rent Roll Summary";#N/A,#N/A,FALSE,"Market Rent Increases";#N/A,#N/A,FALSE,"Exec Sum 10Yr";#N/A,#N/A,FALSE,"Cash Flow Projections";#N/A,#N/A,FALSE,"Net Residual Value";#N/A,#N/A,FALSE,"Effective Rental Income Detail";#N/A,#N/A,FALSE,"Turnovers";#N/A,#N/A,FALSE,"Matrices"}</definedName>
    <definedName name="wrn.Partial._2" hidden="1">{#N/A,#N/A,FALSE,"Assumptions";#N/A,#N/A,FALSE,"Year One Pro Forma";#N/A,#N/A,FALSE,"Rent Roll Summary";#N/A,#N/A,FALSE,"Market Rent Detail";#N/A,#N/A,FALSE,"Rent Roll Summary";#N/A,#N/A,FALSE,"Market Rent Increases";#N/A,#N/A,FALSE,"Exec Sum 10Yr";#N/A,#N/A,FALSE,"Cash Flow Projections";#N/A,#N/A,FALSE,"Net Residual Value";#N/A,#N/A,FALSE,"Effective Rental Income Detail";#N/A,#N/A,FALSE,"Turnovers";#N/A,#N/A,FALSE,"Matrices"}</definedName>
    <definedName name="wrn.Partial._3" hidden="1">{#N/A,#N/A,FALSE,"Assumptions";#N/A,#N/A,FALSE,"Year One Pro Forma";#N/A,#N/A,FALSE,"Rent Roll Summary";#N/A,#N/A,FALSE,"Market Rent Detail";#N/A,#N/A,FALSE,"Rent Roll Summary";#N/A,#N/A,FALSE,"Market Rent Increases";#N/A,#N/A,FALSE,"Exec Sum 10Yr";#N/A,#N/A,FALSE,"Cash Flow Projections";#N/A,#N/A,FALSE,"Net Residual Value";#N/A,#N/A,FALSE,"Effective Rental Income Detail";#N/A,#N/A,FALSE,"Turnovers";#N/A,#N/A,FALSE,"Matrices"}</definedName>
    <definedName name="wrn.Partial._4" hidden="1">{#N/A,#N/A,FALSE,"Assumptions";#N/A,#N/A,FALSE,"Year One Pro Forma";#N/A,#N/A,FALSE,"Rent Roll Summary";#N/A,#N/A,FALSE,"Market Rent Detail";#N/A,#N/A,FALSE,"Rent Roll Summary";#N/A,#N/A,FALSE,"Market Rent Increases";#N/A,#N/A,FALSE,"Exec Sum 10Yr";#N/A,#N/A,FALSE,"Cash Flow Projections";#N/A,#N/A,FALSE,"Net Residual Value";#N/A,#N/A,FALSE,"Effective Rental Income Detail";#N/A,#N/A,FALSE,"Turnovers";#N/A,#N/A,FALSE,"Matrices"}</definedName>
    <definedName name="wrn.Pavilion." hidden="1">{"Pavilion-Investor",#N/A,FALSE,"Pavilion";"Pavilion-Property",#N/A,FALSE,"Pavilion"}</definedName>
    <definedName name="wrn.Payroll._.Assumption._.1." hidden="1">{"Payroll_Assumption1",#N/A,FALSE,"Sheet1"}</definedName>
    <definedName name="wrn.Payroll._.Assumptions." hidden="1">{"Payroll_Assuptions",#N/A,FALSE,"Sheet1"}</definedName>
    <definedName name="wrn.Payroll._.Assumptions._.Summary." hidden="1">{"Payroll Assumption Summary",#N/A,FALSE,"Sheet1"}</definedName>
    <definedName name="wrn.Payroll._.Assumptions2." hidden="1">{"Payroll_Assumption2",#N/A,FALSE,"Sheet1"}</definedName>
    <definedName name="wrn.Pegasus." hidden="1">{#N/A,#N/A,FALSE,"Proforma NAV";#N/A,#N/A,FALSE,"P NAV";#N/A,#N/A,FALSE,"Prodn &amp; Reserves";#N/A,#N/A,FALSE,"Asset Summary";#N/A,#N/A,FALSE,"Mt.Todd";#N/A,#N/A,FALSE,"Zortman";#N/A,#N/A,FALSE,"Pullalli";#N/A,#N/A,FALSE,"Black Pine";#N/A,#N/A,FALSE,"Beal Mtn.";#N/A,#N/A,FALSE,"Florida";#N/A,#N/A,FALSE,"Montana";#N/A,#N/A,FALSE,"Diamond Hill";#N/A,#N/A,FALSE,"K_SUMM"}</definedName>
    <definedName name="wrn.Penetration." hidden="1">{#N/A,#N/A,FALSE,"Mkt Pen"}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r._.Unit." hidden="1">{#N/A,#N/A,FALSE,"Budget 1997 Class A (2)";#N/A,#N/A,FALSE,"Budgets 1997 Class B &amp; C (2)"}</definedName>
    <definedName name="wrn.PERCENTAGE._.RENT." hidden="1">{"PERCENTAGE RENT",#N/A,TRUE,"SCHEDULE B"}</definedName>
    <definedName name="wrn.Phase._.I." hidden="1">{#N/A,#N/A,FALSE,"Transaction Summary-DTW";#N/A,#N/A,FALSE,"Proforma Five Yr";#N/A,#N/A,FALSE,"Occ and Rate"}</definedName>
    <definedName name="wrn.Phil." hidden="1">{#N/A,#N/A,FALSE,"Summary";#N/A,#N/A,FALSE,"41 Mad (Our)";#N/A,#N/A,FALSE,"41 Mad (Comp)";#N/A,#N/A,FALSE,"41 Mad (Rudin's)";#N/A,#N/A,FALSE,"41 Mad (7,354)"}</definedName>
    <definedName name="wrn.Piedmont._.model." hidden="1">{"Summary",#N/A,TRUE,"Summary";"Sensitivities",#N/A,TRUE,"Summary";"Partnership Value",#N/A,TRUE,"Summary";"Cash Flows",#N/A,TRUE,"Summary";"Partnership Equity Value",#N/A,TRUE,"Summary";"MIR Fund Structure",#N/A,TRUE,"Summary";"Assumptions",#N/A,TRUE,"Summary"}</definedName>
    <definedName name="wrn.Pineway." hidden="1">{#N/A,#N/A,FALSE,"rent schedule";#N/A,#N/A,FALSE,"income expenses";#N/A,#N/A,FALSE,"proforma";#N/A,#N/A,FALSE,"proforma stab";#N/A,#N/A,FALSE,"loan analysis";#N/A,#N/A,FALSE,"loan analysis stab";#N/A,#N/A,FALSE,"income expenses"}</definedName>
    <definedName name="wrn.PK._.Variance." hidden="1">{#N/A,#N/A,FALSE,"399 Park Var";#N/A,#N/A,FALSE,"PK NOTES"}</definedName>
    <definedName name="wrn.pl." hidden="1">{#N/A,#N/A,FALSE,"Cons PL-Accrual"}</definedName>
    <definedName name="wrn.Place._.Vendome." hidden="1">{"Venture Summary",#N/A,FALSE,"Summary";"Summary 2",#N/A,FALSE,"Summary";"Rent Detail",#N/A,FALSE,"Summary";"Expense Detail",#N/A,FALSE,"Summary";"Budget Reconciliation",#N/A,FALSE,"Summary";"Sensitivity Tables",#N/A,FALSE,"Summary"}</definedName>
    <definedName name="wrn.Placer._.NAV." hidden="1">{#N/A,#N/A,FALSE,"PDG NAV";#N/A,#N/A,FALSE,"Campbell";#N/A,#N/A,FALSE,"Camp Reserve";#N/A,#N/A,FALSE,"Camp DCF";#N/A,#N/A,FALSE,"Detour";#N/A,#N/A,FALSE,"Detour Reserves";#N/A,#N/A,FALSE,"Detour DCF";#N/A,#N/A,FALSE,"Dome Reserve";#N/A,#N/A,FALSE,"Dome";#N/A,#N/A,FALSE,"Dome DCF";#N/A,#N/A,FALSE,"Musselwhite";#N/A,#N/A,FALSE,"Musselwhite Reserve";#N/A,#N/A,FALSE,"Musselwhite DCF";#N/A,#N/A,FALSE,"La Coipa";#N/A,#N/A,FALSE,"La Coipa Reserve";#N/A,#N/A,FALSE,"La Coipa DCF";#N/A,#N/A,FALSE,"Las Cristinas";#N/A,#N/A,FALSE,"Las Cristinas Reserve";#N/A,#N/A,FALSE,"Las Cristinas DCF";#N/A,#N/A,FALSE,"Granny";#N/A,#N/A,FALSE,"Granny Reserve";#N/A,#N/A,FALSE,"Granny DCF";#N/A,#N/A,FALSE,"Kidston";#N/A,#N/A,FALSE,"Kidston Reserve";#N/A,#N/A,FALSE,"Kidston DCF";#N/A,#N/A,FALSE,"Misima";#N/A,#N/A,FALSE,"Misima Reserves";#N/A,#N/A,FALSE,"Misima DCF";#N/A,#N/A,FALSE,"Osborne";#N/A,#N/A,FALSE,"Osborne Reserves";#N/A,#N/A,FALSE,"Osborne CF SUMMARY";#N/A,#N/A,FALSE,"Osborne CF";#N/A,#N/A,FALSE,"Porgera";#N/A,#N/A,FALSE,"Porgera Reserve";#N/A,#N/A,FALSE,"Porgera DCF";#N/A,#N/A,FALSE,"Bald Mtn";#N/A,#N/A,FALSE,"Bald Mtn Reserve";#N/A,#N/A,FALSE,"Bald Mtn DCF";#N/A,#N/A,FALSE,"Cortez";#N/A,#N/A,FALSE,"Cortez Reserve";#N/A,#N/A,FALSE,"Cortez DCF";#N/A,#N/A,FALSE,"Gold Sun";#N/A,#N/A,FALSE,"Gold Sun Reserves";#N/A,#N/A,FALSE,"Gold Sun DCF";#N/A,#N/A,FALSE,"Crucitas";#N/A,#N/A,FALSE,"Mt Rawdon";#N/A,#N/A,FALSE,"Donlin";#N/A,#N/A,FALSE,"Mulatos";#N/A,#N/A,FALSE,"other Assumptions"}</definedName>
    <definedName name="wrn.Plan." hidden="1">{#N/A,#N/A,FALSE,"Highridge Return Analysis";#N/A,#N/A,FALSE,"Sale @ end of year 3 (4yr Plan)";#N/A,#N/A,FALSE,"Highridge Assumption Page"}</definedName>
    <definedName name="wrn.Plan._.Support._.Only." hidden="1">{#N/A,#N/A,FALSE,"Part D";#N/A,#N/A,FALSE,"D.1 Monthly Plan - 2000";#N/A,#N/A,FALSE,"D.2 Equity and Min. Int.";#N/A,#N/A,FALSE,"D.3 Long-term Investments";#N/A,#N/A,FALSE,"D.4 Fixed Assets";#N/A,#N/A,FALSE,"D.5 Goodwill";#N/A,#N/A,FALSE,"D.6 Intercompany";#N/A,#N/A,FALSE,"D.7 Long-term Debt";#N/A,#N/A,FALSE,"D.8 Acquisitions";#N/A,#N/A,FALSE,"D.9 Key Expenses";#N/A,#N/A,FALSE,"D.10 Cap. Exp. and R&amp;D";#N/A,#N/A,FALSE,"D.11 Dvlpmt Prgs"}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orfolioFinancialSummary." hidden="1">{#N/A,#N/A,FALSE,"ZellLurieFinSummary";#N/A,#N/A,FALSE,"FirstCapFinSummary";#N/A,#N/A,FALSE,"ZM I-III Consol FinSummary"}</definedName>
    <definedName name="wrn.Portfolio." hidden="1">{#N/A,#N/A,FALSE,"Portfolio Summary";#N/A,#N/A,FALSE,"Portfolio Operating Stmt";#N/A,#N/A,FALSE,"Portfolio Cash Flow"}</definedName>
    <definedName name="wrn.PR_TRIAL_BALANCE.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3sty." hidden="1">{#N/A,#N/A,FALSE,"intag";#N/A,#N/A,FALSE,"budg";#N/A,#N/A,FALSE,"samtl"}</definedName>
    <definedName name="wrn.pr3sty.neu" hidden="1">{#N/A,#N/A,FALSE,"intag";#N/A,#N/A,FALSE,"budg";#N/A,#N/A,FALSE,"samtl"}</definedName>
    <definedName name="wrn.PRBFinancials.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cntrent" hidden="1">{"PERCENTAGE RENT",#N/A,TRUE,"SCHEDULE B"}</definedName>
    <definedName name="wrn.Preliminary._.Plan." hidden="1">{#N/A,#N/A,FALSE,"Part E";#N/A,#N/A,FALSE,"E.1 Prelim Earnings Plan"}</definedName>
    <definedName name="wrn.prelist." hidden="1">{#N/A,#N/A,FALSE,"rent roll";#N/A,#N/A,FALSE,"I&amp;E";#N/A,#N/A,FALSE,"96noleaseup";#N/A,#N/A,FALSE,"96noleaseup matrix";#N/A,#N/A,FALSE,"leaseup96";#N/A,#N/A,FALSE,"leaseup96 matrix";#N/A,#N/A,FALSE,"Leaseup and Exp."}</definedName>
    <definedName name="wrn.prelist._1" hidden="1">{#N/A,#N/A,FALSE,"rent roll";#N/A,#N/A,FALSE,"I&amp;E";#N/A,#N/A,FALSE,"96noleaseup";#N/A,#N/A,FALSE,"96noleaseup matrix";#N/A,#N/A,FALSE,"leaseup96";#N/A,#N/A,FALSE,"leaseup96 matrix";#N/A,#N/A,FALSE,"Leaseup and Exp."}</definedName>
    <definedName name="wrn.Prepaid_Recov.." hidden="1">{#N/A,#N/A,FALSE,"Prepaid Recoverable"}</definedName>
    <definedName name="wrn.Prepaid." hidden="1">{#N/A,#N/A,FALSE,"0125-10";#N/A,#N/A,FALSE,"0125-12";#N/A,#N/A,FALSE,"0140-12";#N/A,#N/A,FALSE,"0140-14";#N/A,#N/A,FALSE,"0160-12";#N/A,#N/A,FALSE,"0180-12";#N/A,#N/A,FALSE,"0180-14";#N/A,#N/A,FALSE,"0180-16";#N/A,#N/A,FALSE,"0180-18";#N/A,#N/A,FALSE,"0185-20";#N/A,#N/A,FALSE,"0185-22";#N/A,#N/A,FALSE,"0190-10"}</definedName>
    <definedName name="wrn.Prepaid2" hidden="1">{#N/A,#N/A,FALSE,"0125-10";#N/A,#N/A,FALSE,"0125-12";#N/A,#N/A,FALSE,"0140-12";#N/A,#N/A,FALSE,"0140-14";#N/A,#N/A,FALSE,"0160-12";#N/A,#N/A,FALSE,"0180-12";#N/A,#N/A,FALSE,"0180-14";#N/A,#N/A,FALSE,"0180-16";#N/A,#N/A,FALSE,"0180-18";#N/A,#N/A,FALSE,"0185-20";#N/A,#N/A,FALSE,"0185-22";#N/A,#N/A,FALSE,"0190-10"}</definedName>
    <definedName name="wrn.PRES_OUT." hidden="1">{"page1",#N/A,FALSE,"PRESENTATION";"page2",#N/A,FALSE,"PRESENTATION";#N/A,#N/A,FALSE,"Valuation Summary"}</definedName>
    <definedName name="wrn.pres." hidden="1">{#N/A,#N/A,FALSE,"Major v. River";#N/A,#N/A,FALSE,"Industry";#N/A,#N/A,FALSE,"Large Operators";#N/A,#N/A,FALSE,"Smaller Operators";#N/A,#N/A,FALSE,"Equip. Supply";#N/A,#N/A,FALSE,"EBITDA";#N/A,#N/A,FALSE,"States";#N/A,#N/A,FALSE,"LV Detail"}</definedName>
    <definedName name="wrn.pres97." hidden="1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wrn.Presentation." hidden="1">{#N/A,#N/A,TRUE,"Summary";"AnnualRentRoll",#N/A,TRUE,"RentRoll";#N/A,#N/A,TRUE,"ExitStratigy";#N/A,#N/A,TRUE,"OperatingAssumptions"}</definedName>
    <definedName name="wrn.Presentation._.Summary." hidden="1">{"Cover Page",#N/A,FALSE,"Print Summary";"Acq Summary",#N/A,FALSE,"Print Summary";"Financing Assumptions",#N/A,FALSE,"Print Summary";"CF Summary - Print",#N/A,FALSE,"Print Summary";"General Information",#N/A,FALSE,"Print Summary";"CF Summary",#N/A,FALSE,"Print Summary";"Sensitivity Analysis",#N/A,FALSE,"Print Summary";"Capex",#N/A,FALSE,"Print Summary"}</definedName>
    <definedName name="wrn.Presentation._1" hidden="1">{#N/A,#N/A,TRUE,"Summary";"AnnualRentRoll",#N/A,TRUE,"RentRoll";#N/A,#N/A,TRUE,"ExitStratigy";#N/A,#N/A,TRUE,"OperatingAssumptions"}</definedName>
    <definedName name="wrn.Presentation._2" hidden="1">{#N/A,#N/A,TRUE,"Summary";"AnnualRentRoll",#N/A,TRUE,"RentRoll";#N/A,#N/A,TRUE,"ExitStratigy";#N/A,#N/A,TRUE,"OperatingAssumptions"}</definedName>
    <definedName name="wrn.Presentation._3" hidden="1">{#N/A,#N/A,TRUE,"Summary";"AnnualRentRoll",#N/A,TRUE,"RentRoll";#N/A,#N/A,TRUE,"ExitStratigy";#N/A,#N/A,TRUE,"OperatingAssumptions"}</definedName>
    <definedName name="wrn.Presentation._4" hidden="1">{#N/A,#N/A,TRUE,"Summary";"AnnualRentRoll",#N/A,TRUE,"RentRoll";#N/A,#N/A,TRUE,"ExitStratigy";#N/A,#N/A,TRUE,"OperatingAssumptions"}</definedName>
    <definedName name="wrn.Presentation2" hidden="1">{#N/A,#N/A,FALSE,"INDEX";#N/A,#N/A,FALSE,"CONTROL";#N/A,#N/A,FALSE,"COMPLIANCE";#N/A,#N/A,FALSE,"OVERVIEW";#N/A,#N/A,FALSE,"OVERVIEW 1";#N/A,#N/A,FALSE,"1995 Rev &amp; Exp";#N/A,#N/A,FALSE,"HISTORICAL REV &amp; EXP";#N/A,#N/A,FALSE,"LEASES";#N/A,#N/A,FALSE,"APPRAISAL";#N/A,#N/A,FALSE,"APPRAISAL 2";#N/A,#N/A,FALSE,"APPRAISAL 3";#N/A,#N/A,FALSE,"ENGINEERING";#N/A,#N/A,FALSE,"ENVIRONMENTAL";#N/A,#N/A,FALSE,"CREDIT";#N/A,#N/A,FALSE,"ASSET MGMT.";#N/A,#N/A,FALSE,"LOAN ANALYSIS";#N/A,#N/A,FALSE,"SOURCES &amp; USES";#N/A,#N/A,FALSE,"Working List"}</definedName>
    <definedName name="wrn.President._.Report." hidden="1">{#N/A,#N/A,FALSE,"President's Cover";#N/A,#N/A,FALSE,"A.1 1998 Objectives";#N/A,#N/A,FALSE,"A.2 President's Measures";#N/A,#N/A,FALSE,"A.3 Commentary"}</definedName>
    <definedName name="wrn.Pricing._.Strategy.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cing._.Strategy._1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cing._.Strategy._2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cing._.Strategy._3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cing._.Strategy._4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mary._.Competition." hidden="1">{#N/A,#N/A,FALSE,"Primary"}</definedName>
    <definedName name="wrn.print_all." hidden="1">{#N/A,#N/A,FALSE,"property";#N/A,#N/A,FALSE,"tenants";#N/A,#N/A,FALSE,"capital";#N/A,#N/A,FALSE,"summary"}</definedName>
    <definedName name="wrn.Print_Annual_Schedules." hidden="1">{"Print_Assumptions",#N/A,FALSE,"Assumptions";"Print_Allocations",#N/A,FALSE,"EOP JV";"Print_FAD",#N/A,FALSE,"EOP JV";"Print_Other",#N/A,FALSE,"Other";"Print_Annual_Revenue",#N/A,FALSE,"Revenue";"Print_Lease_Rollovers",#N/A,FALSE,"Revenue"}</definedName>
    <definedName name="wrn.Print_Assumptions." hidden="1">{"Print_Assumptions",#N/A,FALSE,"Assumptions";#N/A,#N/A,FALSE,"Rental Rate"}</definedName>
    <definedName name="wrn.Print_Budget." hidden="1">{"Print_Dev_Budget",#N/A,FALSE,"Budget";"Print_Dev_Budget_Footnotes",#N/A,FALSE,"Budget"}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DM_Report." hidden="1">{"Print_View_1",#N/A,FALSE,"Asset Template";"Print_View_2",#N/A,FALSE,"Asset Template"}</definedName>
    <definedName name="wrn.Print_Heller." hidden="1">{#N/A,#N/A,TRUE,"Summary Schedule Heller";#N/A,#N/A,TRUE,"Qtrly  heller Page 1";#N/A,#N/A,TRUE,"Qtrly heller Page 2";#N/A,#N/A,TRUE,"Qtrly heller Page 2A";#N/A,#N/A,TRUE,"Qtrly heller Page 3";#N/A,#N/A,TRUE,"Qtrly heller Page 3A";#N/A,#N/A,TRUE,"Summary Schedule Heller Ltd";#N/A,#N/A,TRUE,"Qtrly  heller 4 yr"}</definedName>
    <definedName name="wrn.Print_Index." hidden="1">{"Index",#N/A,FALSE,"Index"}</definedName>
    <definedName name="wrn.Print_model.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nthly_Schedules." hidden="1">{"Print_Monthly_Operations_CF",#N/A,FALSE,"Monthly";"Print_Monthly_Revenues",#N/A,FALSE,"Monthly";"Print_Monthly_Draws",#N/A,FALSE,"Monthly";"Print_Monthly_Costs",#N/A,FALSE,"Monthly"}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Unwind." hidden="1">{"Print_Unwind_Summary",#N/A,FALSE,"Unwind Value";"Print_Unwind_Monthly",#N/A,FALSE,"Unwind Value"}</definedName>
    <definedName name="wrn.Print." hidden="1">{"View1",#N/A,FALSE,"Sheet1";"View2",#N/A,FALSE,"Sheet1"}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4._1" hidden="1">{"Outflow 1",#N/A,FALSE,"Outflows-Inflows";"Outflow 2",#N/A,FALSE,"Outflows-Inflows";"Inflow 1",#N/A,FALSE,"Outflows-Inflows";"Inflow 2",#N/A,FALSE,"Outflows-Inflows"}</definedName>
    <definedName name="wrn.Print._.4._2" hidden="1">{"Outflow 1",#N/A,FALSE,"Outflows-Inflows";"Outflow 2",#N/A,FALSE,"Outflows-Inflows";"Inflow 1",#N/A,FALSE,"Outflows-Inflows";"Inflow 2",#N/A,FALSE,"Outflows-Inflows"}</definedName>
    <definedName name="wrn.Print._.4._3" hidden="1">{"Outflow 1",#N/A,FALSE,"Outflows-Inflows";"Outflow 2",#N/A,FALSE,"Outflows-Inflows";"Inflow 1",#N/A,FALSE,"Outflows-Inflows";"Inflow 2",#N/A,FALSE,"Outflows-Inflows"}</definedName>
    <definedName name="wrn.Print._.4._4" hidden="1">{"Outflow 1",#N/A,FALSE,"Outflows-Inflows";"Outflow 2",#N/A,FALSE,"Outflows-Inflows";"Inflow 1",#N/A,FALSE,"Outflows-Inflows";"Inflow 2",#N/A,FALSE,"Outflows-Inflows"}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6._1" hidden="1">{"print 1.6",#N/A,FALSE,"Sheet1";"print 2.6",#N/A,FALSE,"Sheet1";"print 3.6",#N/A,FALSE,"Sheet1";"print 4.6",#N/A,FALSE,"Sheet1";"print 5.6",#N/A,FALSE,"Sheet1";"print 6.6",#N/A,FALSE,"Sheet1"}</definedName>
    <definedName name="wrn.Print._.6._2" hidden="1">{"print 1.6",#N/A,FALSE,"Sheet1";"print 2.6",#N/A,FALSE,"Sheet1";"print 3.6",#N/A,FALSE,"Sheet1";"print 4.6",#N/A,FALSE,"Sheet1";"print 5.6",#N/A,FALSE,"Sheet1";"print 6.6",#N/A,FALSE,"Sheet1"}</definedName>
    <definedName name="wrn.Print._.6._3" hidden="1">{"print 1.6",#N/A,FALSE,"Sheet1";"print 2.6",#N/A,FALSE,"Sheet1";"print 3.6",#N/A,FALSE,"Sheet1";"print 4.6",#N/A,FALSE,"Sheet1";"print 5.6",#N/A,FALSE,"Sheet1";"print 6.6",#N/A,FALSE,"Sheet1"}</definedName>
    <definedName name="wrn.Print._.6._4" hidden="1">{"print 1.6",#N/A,FALSE,"Sheet1";"print 2.6",#N/A,FALSE,"Sheet1";"print 3.6",#N/A,FALSE,"Sheet1";"print 4.6",#N/A,FALSE,"Sheet1";"print 5.6",#N/A,FALSE,"Sheet1";"print 6.6",#N/A,FALSE,"Sheet1"}</definedName>
    <definedName name="wrn.Print._.Accounts." hidden="1">{#N/A,#N/A,FALSE,"Balance sheet";#N/A,#N/A,FALSE,"FAD";#N/A,#N/A,FALSE,"Cashflow";#N/A,#N/A,FALSE,"NAV";#N/A,#N/A,FALSE,"Notes 1-5";#N/A,#N/A,FALSE,"Notes 6-"}</definedName>
    <definedName name="wrn.Print._.ALL." hidden="1">{"Venture Summary",#N/A,FALSE,"Summary";"Development Budget",#N/A,FALSE,"Summary";"Annual Cash Flow",#N/A,FALSE,"Annual";"Project Costs",#N/A,FALSE,"Annual";"NOI &amp; Sale Proceeds",#N/A,FALSE,"Annual"}</definedName>
    <definedName name="wrn.Print._.All._.Dexter." hidden="1">{"Venture Summary",#N/A,TRUE,"Summary";"Timeline - Monthly",#N/A,TRUE,"Summary";"Timeline - Quarterly",#N/A,TRUE,"Summary";"Development Budget",#N/A,TRUE,"Summary";"Development Proforma",#N/A,TRUE,"Summary";"Argus Assumptions",#N/A,TRUE,"Summary";"Project Cash Flows",#N/A,TRUE,"Summary";"Project Costs",#N/A,TRUE,"Summary";"NOI &amp; Sales",#N/A,TRUE,"Summary";"Debt Summary CF",#N/A,TRUE,"Summary";"Uninflated Project Costs",#N/A,TRUE,"Summary"}</definedName>
    <definedName name="wrn.Print._.All._.Emerald." hidden="1">{"Venture Summary",#N/A,TRUE,"Retail Summary";"Dev Budget",#N/A,TRUE,"Retail Summary";"Detailed Dev Budget",#N/A,TRUE,"Retail Summary";"Timeline - Monthly",#N/A,TRUE,"Retail Summary";"Timeline - Quarterly",#N/A,TRUE,"Retail Summary";"Tenant Summary",#N/A,TRUE,"Retail Summary";"Annual",#N/A,TRUE,"Retail Summary";"Project Cash Flow",#N/A,TRUE,"Retail Summary";"Costs &amp; Sales",#N/A,TRUE,"Retail Summary";"Leasing &amp; Rent",#N/A,TRUE,"Retail Summary";"Debt Summary",#N/A,TRUE,"Retail Summary"}</definedName>
    <definedName name="wrn.Print._.all._.exhibits." hidden="1">{"BS_00",#N/A,FALSE,"Consolidated_BS";"BS_01",#N/A,FALSE,"Consolidated_BS";"BS_02",#N/A,FALSE,"Consolidated_BS";"IS_00",#N/A,FALSE,"Consolidated_IS";"IS_01",#N/A,FALSE,"Consolidated_IS";"IS_02",#N/A,FALSE,"Consolidated_IS";"SanMarcos_00",#N/A,FALSE,"San Marcos_IS";"SanMarcos_01",#N/A,FALSE,"San Marcos_IS";"SanMarcos_02",#N/A,FALSE,"San Marcos_IS";"Hagerstown_00",#N/A,FALSE,"Hagerstown_IS";"Hagerstown_01",#N/A,FALSE,"Hagerstown_IS";"Hagerstown_02",#N/A,FALSE,"Hagerstown_IS";"Corporate_00",#N/A,FALSE,"Corporate_IS";"Corporate_01",#N/A,FALSE,"Corporate_IS";"Corporate_02",#N/A,FALSE,"Corporate_IS";"Cash_Flow_00",#N/A,FALSE,"Consolidated_CashFlow";"Store#3_02",#N/A,FALSE,"Store#3";"Store#3_01",#N/A,FALSE,"Store#3";"Store#4_01",#N/A,FALSE,"Store#4";"Store#4_02",#N/A,FALSE,"Store#4";"Store#5_02",#N/A,FALSE,"Store#5";"Store#6_02",#N/A,FALSE,"Store#6";"San_Marcos_99",#N/A,FALSE,"San Marcos_IS _99";"Corporate_99",#N/A,FALSE,"Corp_IS_99"}</definedName>
    <definedName name="wrn.Print._.All._.FUMC." hidden="1">{"Venture Summary",#N/A,TRUE,"Summary";"Annual",#N/A,TRUE,"Summary";"Development Budget",#N/A,TRUE,"Summary";"Argus Assumptions",#N/A,TRUE,"Summary";"Timeline - Quarterly",#N/A,TRUE,"Timeline - Quarterly";"Timeline - Monthly",#N/A,TRUE,"Summary";"FAR Analysis",#N/A,TRUE,"FAR Analysis";"Development Proforma",#N/A,TRUE,"Dev PF";"Project Cash Flows",#N/A,TRUE,"Summary";"Project Costs",#N/A,TRUE,"Summary";"Sales &amp; NOI",#N/A,TRUE,"Summary";"Debt Summary CF",#N/A,TRUE,"Summary";"Uninflated Project Costs",#N/A,TRUE,"Summary"}</definedName>
    <definedName name="wrn.Print._.All._.Improved._.Sales." hidden="1">{#N/A,#N/A,FALSE,"Sale 1";#N/A,#N/A,FALSE,"Sale 2";#N/A,#N/A,FALSE,"Sale 3";#N/A,#N/A,FALSE,"Sale 4";#N/A,#N/A,FALSE,"Sale 5";#N/A,#N/A,FALSE,"Sale 6";#N/A,#N/A,FALSE,"Sale 7";#N/A,#N/A,FALSE,"Sale 8";#N/A,#N/A,FALSE,"Sale 9";#N/A,#N/A,FALSE,"Sale 10";#N/A,#N/A,FALSE,"Sale 11";#N/A,#N/A,FALSE,"Sale 12"}</definedName>
    <definedName name="wrn.Print._.All._.JAS._.No._.JV." hidden="1">{"Assumptions",#N/A,FALSE,"CF Model";"Deal CF",#N/A,FALSE,"CF Model";"Debt Summary",#N/A,FALSE,"CF Model";"Pro Forma",#N/A,FALSE,"CF Model";"Pro Forma $PSF",#N/A,FALSE,"CF Model"}</definedName>
    <definedName name="wrn.Print._.All._.NPV._.Analysis." hidden="1">{"Scen 1 v 2 Summary",#N/A,FALSE,"Scenario 1 v 2  Summary";"Summary",#N/A,FALSE,"Summary";"Debt Sizing Reduced Vacancy",#N/A,FALSE,"10 Yr CF";"Scenario 1",#N/A,FALSE,"10 Yr CF";"Scenario 2 CF",#N/A,FALSE,"10 Yr CF";"Scenario 2 Assumptions",#N/A,FALSE,"10 Yr CF";"Scenario 3 CF",#N/A,FALSE,"10 Yr CF";"Scenario 3 Assumptions",#N/A,FALSE,"10 Yr CF";"10 Yr CF",#N/A,FALSE,"10 Yr CF"}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Report._.Pages." hidden="1">{#N/A,#N/A,FALSE,"Executive Summary Page 1";#N/A,#N/A,FALSE,"Executive Summary Page 2";#N/A,#N/A,FALSE,"Executive Summary Page 3";#N/A,#N/A,FALSE,"DCF Assumptions Exhibit";#N/A,#N/A,FALSE,"Metro Profile";#N/A,#N/A,FALSE,"Metro Employment";#N/A,#N/A,FALSE,"Cap &amp; Disc Rate";#N/A,#N/A,FALSE,"Retail Sales";#N/A,#N/A,FALSE,"Tax Exhibit";#N/A,#N/A,FALSE,"Operating Statement";#N/A,#N/A,FALSE,"Direct Cap";#N/A,#N/A,FALSE,"SCG Summary";#N/A,#N/A,FALSE,"Improved Sales Adj. Grid";#N/A,#N/A,FALSE,"Regression Analysis";#N/A,#N/A,FALSE,"Land Sales Adj. Grid";#N/A,#N/A,FALSE,"Cost Schedule"}</definedName>
    <definedName name="wrn.Print._.all._.workpapers._.and._.exhibits.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wrn.Print._.All._1" hidden="1">{#N/A,#N/A,FALSE,"I&amp;E";#N/A,#N/A,FALSE,"rent roll";#N/A,#N/A,FALSE,"96noleaseup";#N/A,#N/A,FALSE,"96noleaseup matrix";#N/A,#N/A,FALSE,"leaseup 96";#N/A,#N/A,FALSE,"leaseup 96 matrix";#N/A,#N/A,FALSE,"Leaseup and Exp."}</definedName>
    <definedName name="wrn.Print._.All.1" hidden="1">{"Print_Summary Letter",#N/A,FALSE,"A-ProjDevAnalysis";"Print_HmBldrBgt Letter",#N/A,FALSE,"A-ProjDevAnalysis";"Print_LoanCommit Letter",#N/A,FALSE,"A-ProjDevAnalysis";"Print_CF_Stmt Letter",#N/A,FALSE,"A-ProjDevAnalysis";"Print_DevSch Letter",#N/A,FALSE,"A-ProjDevAnalysis";"Print_Debt Letter",#N/A,FALSE,"A-ProjDevAnalysis";"Print_Equity Letter",#N/A,FALSE,"A-ProjDevAnalysis"}</definedName>
    <definedName name="wrn.Print._.Annual." hidden="1">{"Venture Summary",#N/A,TRUE,"Summary";"Development Budget",#N/A,TRUE,"Summary";"Leasing Assumptions",#N/A,TRUE,"Leasing Assumptions";"Project CF Annual",#N/A,TRUE,"Annual";"Proj Costs Annual",#N/A,TRUE,"Annual";"Constr. Loan Annual",#N/A,TRUE,"Annual";"Sales Annual",#N/A,TRUE,"Annual";"MDPA Contr Schedule",#N/A,TRUE,"Annual";"CF Split Annual",#N/A,TRUE,"Annual";"Phase I Development Proforma",#N/A,TRUE,"Phase I Dev PF"}</definedName>
    <definedName name="wrn.Print._.Annual._.Dexter." hidden="1">{"Venture Summary",#N/A,TRUE,"Summary";"Timeline - Quarterly",#N/A,TRUE,"Summary";"Development Budget",#N/A,TRUE,"Summary";"Argus Assumptions",#N/A,TRUE,"Summary";"Development Proforma",#N/A,TRUE,"Summary";"Capstone Comparison",#N/A,TRUE,"Summary";"Annual",#N/A,TRUE,"Summary"}</definedName>
    <definedName name="wrn.Print._.Annual._.FUMC." hidden="1">{"Venture Summary",#N/A,TRUE,"Timeline - Quarterly";"Timeline - Quarterly",#N/A,TRUE,"Timeline - Quarterly";"Argus Assumptions",#N/A,TRUE,"Timeline - Quarterly";"Development Budget",#N/A,TRUE,"Timeline - Quarterly";"Development Proforma",#N/A,TRUE,"Timeline - Quarterly";"Annual",#N/A,TRUE,"Timeline - Quarterly"}</definedName>
    <definedName name="wrn.Print._.BaseCamp." hidden="1">{"Summary - BaseCamp",#N/A,TRUE,"Summary - Sent to BaseCamp";"Annual Portfolio NOI - BaseCamp",#N/A,TRUE,"Annual - Sent to BaseCamp";"Annual Home Rent Rev - BaseCamp",#N/A,TRUE,"Summary - Sent to BaseCamp";"Annual Property NOI - BaseCamp",#N/A,TRUE,"Summary - Sent to BaseCamp";"Annual Lease Rev &amp; NOI - BaseCamp",#N/A,TRUE,"Summary - Sent to BaseCamp";"Annual Sales NOI - BaseCamp",#N/A,TRUE,"Annual - Sent to BaseCamp";"Annual Loan Rev &amp; NOI - BaseCamp",#N/A,TRUE,"Summary - Sent to BaseCamp"}</definedName>
    <definedName name="wrn.Print._.CashFlow." hidden="1">{"Print_CF_Stmt Letter",#N/A,FALSE,"A-ProjDevAnalysis"}</definedName>
    <definedName name="wrn.Print._.CashFlow.1" hidden="1">{"Print_CF_Stmt Letter",#N/A,FALSE,"A-ProjDevAnalysis"}</definedName>
    <definedName name="wrn.Print._.Compare._.and._.Divsum." hidden="1">{"Divsum Compare Hawaiki",#N/A,TRUE,"Divsum";"Divsum Complete Divsum",#N/A,TRUE,"Divsum"}</definedName>
    <definedName name="wrn.Print._.CRXLAND._.Openings." hidden="1">{"Print CRXLAND Assumptions",#N/A,FALSE,"CRXLAND Openings";"Print CRXLAND Openings",#N/A,FALSE,"CRXLAND Openings"}</definedName>
    <definedName name="wrn.Print._.CSI._.and._.Estimate._.Backup." hidden="1">{"Divsum Compare Hawaiki",#N/A,FALSE,"Divsum";"Divsum Complete Divsum",#N/A,FALSE,"Divsum";"Estimate Backup",#N/A,FALSE,"Divsum"}</definedName>
    <definedName name="wrn.Print._.Debt._.Sch." hidden="1">{"Print_Debt Letter",#N/A,FALSE,"A-ProjDevAnalysis"}</definedName>
    <definedName name="wrn.Print._.Debt._Sch.1" hidden="1">{"Print_Debt Letter",#N/A,FALSE,"A-ProjDevAnalysis"}</definedName>
    <definedName name="wrn.Print._.Econ." hidden="1">{"One",#N/A,FALSE,"Summary ";"Two",#N/A,FALSE,"Summary ";"Monthly Outputs",#N/A,FALSE,"Total Project Economics";"Outputs p 1",#N/A,FALSE,"Total Project Economics";"Outputs p 2",#N/A,FALSE,"Total Project Economics";"Pricing P 1",#N/A,FALSE,"Total Project Economics";"Pricing p 2",#N/A,FALSE,"Total Project Economics";"Costs p 1",#N/A,FALSE,"Total Project Economics";"Costs p 2",#N/A,FALSE,"Total Project Economics";"Op Income p 1",#N/A,FALSE,"Total Project Economics";"Op Income p 2",#N/A,FALSE,"Total Project Economics";"Income p 1",#N/A,FALSE,"Total Project Economics";"Income p 2",#N/A,FALSE,"Total Project Economics";"B Sheet p 1",#N/A,FALSE,"Total Project Economics";"B Sheet p 2",#N/A,FALSE,"Total Project Economics";"Cash Taxes p 1",#N/A,FALSE,"Total Project Economics";"Cash Taxes p 2",#N/A,FALSE,"Total Project Economics";"Unlevered p 1",#N/A,FALSE,"Total Project Economics";"Unlevered p 2",#N/A,FALSE,"Total Project Economics";"Unlevered Taxes p 1",#N/A,FALSE,"Total Project Economics";"Unlevered Taxes p 2",#N/A,FALSE,"Total Project Economics";"Fin Ind p 1",#N/A,FALSE,"Total Project Economics";"Fin Ind p 2",#N/A,FALSE,"Total Project Economics"}</definedName>
    <definedName name="wrn.Print._.Economics." hidden="1">{"Print Area",#N/A,FALSE,"Summary";"Plant Outputs",#N/A,FALSE,"Total Project Economics";"Unit Prices Page 1",#N/A,FALSE,"Total Project Economics";"Unit Prices Page 2",#N/A,FALSE,"Total Project Economics";"Op Income PAge 1",#N/A,FALSE,"Total Project Economics";"Op Income Page 2",#N/A,FALSE,"Total Project Economics";"Income Statement PAge 1",#N/A,FALSE,"Total Project Economics";"Income Statement Page 2",#N/A,FALSE,"Total Project Economics";"Equity Cash Flow Page 1",#N/A,FALSE,"Total Project Economics";"Equity Cash Flow Page 2",#N/A,FALSE,"Total Project Economics";"B Sheet Page 1",#N/A,FALSE,"Total Project Economics";"B Sheet Page 2",#N/A,FALSE,"Total Project Economics";"Taxes Page 1",#N/A,FALSE,"Total Project Economics";"Taxes Page 2",#N/A,FALSE,"Total Project Economics";"Unlevered Cal page 1",#N/A,FALSE,"Total Project Economics";"Unlevered Calc page 2",#N/A,FALSE,"Total Project Economics"}</definedName>
    <definedName name="wrn.Print._.Entire._.Workbook." hidden="1">{"Assumptions",#N/A,TRUE,"Assumptions";"qtrl1",#N/A,TRUE,"Annual Summary";"qtrl2",#N/A,TRUE,"Annual Summary";"qtrl3",#N/A,TRUE,"Annual Summary";"qtrl4",#N/A,TRUE,"QTLY Summary";"qtrl5",#N/A,TRUE,"QTLY Summary";"qtrl6",#N/A,TRUE,"QTLY Summary";"Lot Prices",#N/A,TRUE,"Annual Summary";"Construction Costs",#N/A,TRUE,"Annual Summary";"land1",#N/A,TRUE,"Annual Summary";"land2",#N/A,TRUE,"Annual Summary";"land3",#N/A,TRUE,"Annual Summary";"lot1",#N/A,TRUE,"Annual Summary";"lot2",#N/A,TRUE,"Annual Summary";"Lot3",#N/A,TRUE,"Annual Summary";"lot4",#N/A,TRUE,"Annual Summary";"lot5",#N/A,TRUE,"Annual Summary";"lot6",#N/A,TRUE,"Annual Summary";"lot7",#N/A,TRUE,"Annual Summary";"lot8",#N/A,TRUE,"Annual Summary";"lot9",#N/A,TRUE,"Annual Summary";"lot10",#N/A,TRUE,"Annual Summary";"lot11",#N/A,TRUE,"Annual Summary";"lot12",#N/A,TRUE,"Annual Summary";"lot inventory",#N/A,TRUE,"Annual Summary";"scen1",#N/A,TRUE,"Annual Summary";"scen2",#N/A,TRUE,"Annual Summary";"View1",#N/A,TRUE,"Annual Summary";"View2",#N/A,TRUE,"Annual Summary";"View3",#N/A,TRUE,"Annual Summary";"View4",#N/A,TRUE,"Annual Summary";"View5",#N/A,TRUE,"Annual Summary";"View6",#N/A,TRUE,"Annual Summary";"View7",#N/A,TRUE,"Annual Summary";"View8",#N/A,TRUE,"Annual Summary";"View9",#N/A,TRUE,"Annual Summary";"View10",#N/A,TRUE,"Annual Summary";"View11",#N/A,TRUE,"Annual Summary";"View12",#N/A,TRUE,"Annual Summary";"cot1",#N/A,TRUE,"Annual Summary";"cot2",#N/A,TRUE,"Annual Summary";"cot3",#N/A,TRUE,"Annual Summary"}</definedName>
    <definedName name="wrn.Print._.Equity._.Sch." hidden="1">{"Print_Equity Letter",#N/A,FALSE,"A-ProjDevAnalysis"}</definedName>
    <definedName name="wrn.Print._.Equity._.Sch.1" hidden="1">{"Print_Equity Letter",#N/A,FALSE,"A-ProjDevAnalysis"}</definedName>
    <definedName name="wrn.Print._.Everythin." hidden="1">{#N/A,#N/A,FALSE,"PRELIMINARY REVIEW";#N/A,#N/A,FALSE,"SOURCES AND USES OF FUNDS";#N/A,#N/A,FALSE,"COST ITEMS";#N/A,#N/A,FALSE,"DRAW SCHEDULE";#N/A,#N/A,FALSE,"STABILIZED OPERATING PROFORMA";#N/A,#N/A,FALSE,"LEASE UP OPERATING PROFORMA";#N/A,#N/A,FALSE,"INPUT SHEET"}</definedName>
    <definedName name="wrn.Print._.Everything." hidden="1">{"print annual inc. statement",#N/A,FALSE,"Summary";"print annual stats",#N/A,FALSE,"Summary";"print quarterly inc. statement",#N/A,FALSE,"Summary";"print quarterly stats",#N/A,FALSE,"Summary";"print STAY opening assumptions",#N/A,FALSE,"STAY Openings";"print STAY openings",#N/A,FALSE,"STAY Openings";"Print SPHI Assumptions",#N/A,FALSE,"SPHI Openings";"Print SPHI Openings",#N/A,FALSE,"SPHI Openings";"Print CRXLAND Assumptions",#N/A,FALSE,"CRXLAND Openings";"Print CRXLAND Openings",#N/A,FALSE,"CRXLAND Openings"}</definedName>
    <definedName name="wrn.Print._.exhibits._.used._.in._.Report." hidden="1">{#N/A,#N/A,FALSE,"DCF Rev Exp flat 5";"Exhibit 1",#N/A,FALSE,"Rev Exp flat 5";"Exhibit 2",#N/A,FALSE,"Rev Exp flat 5";#N/A,#N/A,FALSE,"DCF Rev Exp to 6";"Exhibit 1",#N/A,FALSE,"Rev Exp to 6";"Exhibit 2",#N/A,FALSE,"Rev Exp to 6"}</definedName>
    <definedName name="wrn.print._.graphs." hidden="1">{"cap_structure",#N/A,FALSE,"Graph-Mkt Cap";"price",#N/A,FALSE,"Graph-Price";"ebit",#N/A,FALSE,"Graph-EBITDA";"ebitda",#N/A,FALSE,"Graph-EBITDA"}</definedName>
    <definedName name="wrn.Print._.HomeConstrStarts." hidden="1">{"Print_HomeStarts Letter",#N/A,FALSE,"A-ProjDevAnalysis"}</definedName>
    <definedName name="wrn.Print._.HomeConstrStarts.1" hidden="1">{"Print_HomeStarts Letter",#N/A,FALSE,"A-ProjDevAnalysis"}</definedName>
    <definedName name="wrn.Print._.IC._.Memo." hidden="1">{"Summary",#N/A,TRUE,"Summary";"Annual Project Cash Flow",#N/A,TRUE,"Summary";"Annual Property NOI",#N/A,TRUE,"Summary";"Annual Lease Ops NOI",#N/A,TRUE,"Summary";"Annual Sales NOI",#N/A,TRUE,"Summary";"Annual Loan NOI",#N/A,TRUE,"Summary";"Annual Net Sales Proceeds",#N/A,TRUE,"Summary";"Annual Debt",#N/A,TRUE,"Summary"}</definedName>
    <definedName name="wrn.Print._.Inc.._.Statement._.and._.Stats.." hidden="1">{"print annual inc. statement",#N/A,FALSE,"Summary";"print annual stats",#N/A,FALSE,"Summary";"print quarterly inc. statement",#N/A,FALSE,"Summary";"print quarterly stats",#N/A,FALSE,"Summary"}</definedName>
    <definedName name="wrn.Print._.It.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It._1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It._2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It._3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It._4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Land._.Sale." hidden="1">{"Land Sale Summary",#N/A,TRUE,"Land Sale";"Land Sale Cash Flow",#N/A,TRUE,"Land Sale"}</definedName>
    <definedName name="wrn.Print._.Loan._.Commit." hidden="1">{"Print_LoanCommit Letter",#N/A,FALSE,"A-ProjDevAnalysis"}</definedName>
    <definedName name="wrn.Print._.Loan._.Commit.1" hidden="1">{"Print_LoanCommit Letter",#N/A,FALSE,"A-ProjDevAnalysis"}</definedName>
    <definedName name="wrn.Print._.Ltd._.Ptr._.Heller." hidden="1">{#N/A,#N/A,FALSE,"Summary Schedule Heller Ltd";#N/A,#N/A,FALSE,"Qtrly  heller Page 1";#N/A,#N/A,FALSE,"Qtrly heller Page 3"}</definedName>
    <definedName name="wrn.Print._.Monthly." hidden="1">{"Summary",#N/A,TRUE,"Summary";"Monthly Project Cash Flows",#N/A,TRUE,"Summary";"Monthly Site Rent Revenue",#N/A,TRUE,"Summary";"Monthly Home Rent Revenue",#N/A,TRUE,"Summary";"Monthly Loan Revenue",#N/A,TRUE,"Summary";"Monthly Loan Balance Calculation",#N/A,TRUE,"Summary";"Monthly Property NOI",#N/A,TRUE,"Summary";"Monthly Lease Ops NOI",#N/A,TRUE,"Summary";"Monthly Loan NOI",#N/A,TRUE,"Summary";"Monthly Sales NOI",#N/A,TRUE,"Summary";"Monthly Sales Proceeds",#N/A,TRUE,"Summary";"Monthly Debt Summary",#N/A,TRUE,"Summary"}</definedName>
    <definedName name="wrn.Print._.Package." hidden="1">{#N/A,#N/A,FALSE,"rent roll";#N/A,#N/A,FALSE,"I&amp;E";#N/A,#N/A,FALSE,"Sales";#N/A,#N/A,FALSE,"% rent";#N/A,#N/A,FALSE,"no leasup 96";#N/A,#N/A,FALSE,"96 Cap Matrix No Leaseup";#N/A,#N/A,FALSE,"Proforma (2)";#N/A,#N/A,FALSE,"Proforma Matrix (2)";#N/A,#N/A,FALSE,"Offering Summary";#N/A,#N/A,FALSE,"RE TAX"}</definedName>
    <definedName name="wrn.Print._.Package._1" hidden="1">{#N/A,#N/A,FALSE,"rent roll";#N/A,#N/A,FALSE,"I&amp;E";#N/A,#N/A,FALSE,"Sales";#N/A,#N/A,FALSE,"% rent";#N/A,#N/A,FALSE,"no leasup 96";#N/A,#N/A,FALSE,"96 Cap Matrix No Leaseup";#N/A,#N/A,FALSE,"Proforma (2)";#N/A,#N/A,FALSE,"Proforma Matrix (2)";#N/A,#N/A,FALSE,"Offering Summary";#N/A,#N/A,FALSE,"RE TAX"}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Rent._.Comps." hidden="1">{#N/A,#N/A,FALSE,"Rent 1";#N/A,#N/A,FALSE,"Rent 2";#N/A,#N/A,FALSE,"Rent 3";#N/A,#N/A,FALSE,"Rent 4";#N/A,#N/A,FALSE,"Rent 5";#N/A,#N/A,FALSE,"Rent 6";#N/A,#N/A,FALSE,"Rent 7";#N/A,#N/A,FALSE,"Rent 8"}</definedName>
    <definedName name="wrn.Print._.Report." hidden="1">{"annual",#N/A,FALSE,"Sheet2";"quarters",#N/A,FALSE,"Sheet2"}</definedName>
    <definedName name="wrn.Print._.Residential." hidden="1">{"Res Summary",#N/A,TRUE,"Residential";"Res DevBudget",#N/A,TRUE,"Residential";"Res CF Yr1&amp;2",#N/A,TRUE,"Residential";"Res CF Yr3",#N/A,TRUE,"Residential";"Res CF Yr4",#N/A,TRUE,"Residential";"Res CF Yr5",#N/A,TRUE,"Residential";"Res CF Yr6",#N/A,TRUE,"Residential";"Res CF Yr7",#N/A,TRUE,"Residential";"Res CF Yr8",#N/A,TRUE,"Residential";"Res CF Yr9",#N/A,TRUE,"Residential";"Res Detailed Yr1&amp;2",#N/A,TRUE,"Residential";"Res Detailed Yr3",#N/A,TRUE,"Residential";"Res Detailed Yr4",#N/A,TRUE,"Residential";"Res Detailed Yr5",#N/A,TRUE,"Residential";"Res Detailed Yr6",#N/A,TRUE,"Residential";"Res Detailed Yr7",#N/A,TRUE,"Residential";"Res Detailed Yr8",#N/A,TRUE,"Residential";"Res Detailed Yr9",#N/A,TRUE,"Residential";"Res D&amp;S Yr1&amp;2",#N/A,TRUE,"Residential";"Res D&amp;S Yr3",#N/A,TRUE,"Residential";"Res D&amp;S Yr4",#N/A,TRUE,"Residential";"Res D&amp;S Yr5",#N/A,TRUE,"Residential";"Res D&amp;S Yr6",#N/A,TRUE,"Residential";"Res D&amp;S Yr7",#N/A,TRUE,"Residential";"Res D&amp;S Yr8",#N/A,TRUE,"Residential"}</definedName>
    <definedName name="wrn.Print._.Retail._.Hotel._.CFD." hidden="1">{"Retail Summary",#N/A,TRUE,"Retail";"Retail Budget",#N/A,TRUE,"Retail";"Retail CF Yr1&amp;2",#N/A,TRUE,"Retail";"Retail CF Yr3",#N/A,TRUE,"Retail";"Retail CF Yr4",#N/A,TRUE,"Retail";"Retail CF Yr5",#N/A,TRUE,"Retail";"Retail CF Yr6",#N/A,TRUE,"Retail";"Retail CF Yr7",#N/A,TRUE,"Retail";"Retail CF Yr8",#N/A,TRUE,"Retail";"Retail Detailed Yr1&amp;2",#N/A,TRUE,"Retail";"Retail Detailed Yr3",#N/A,TRUE,"Retail";"Retail Detailed Yr4",#N/A,TRUE,"Retail";"Retail Detailed Yr5",#N/A,TRUE,"Retail";"Retail Detailed Yr6",#N/A,TRUE,"Retail";"Retail Detailed Yr7",#N/A,TRUE,"Retail";"Retail Detailed Yr8",#N/A,TRUE,"Retail";"Retail D&amp;S Yr1&amp;2",#N/A,TRUE,"Retail";"Retail D&amp;S Yr3",#N/A,TRUE,"Retail";"Retail D&amp;S Yr4",#N/A,TRUE,"Retail";"Retail D&amp;S Yr5",#N/A,TRUE,"Retail";"Retail D&amp;S Yr6",#N/A,TRUE,"Retail";"Retail D&amp;S Yr7",#N/A,TRUE,"Retail";"Retail D&amp;S Yr8",#N/A,TRUE,"Retail";"Hotel Yr1&amp;2",#N/A,TRUE,"Hotel";"Hotel Yr3",#N/A,TRUE,"Hotel";"Hotel Yr4",#N/A,TRUE,"Hotel";"Hotel Yr5",#N/A,TRUE,"Hotel";"CFD Yr1&amp;2",#N/A,TRUE,"CFD";"CFD Yr3",#N/A,TRUE,"CFD";"CFD Yr4",#N/A,TRUE,"CFD";"CFD Yr5",#N/A,TRUE,"CFD";"CFD Yr6",#N/A,TRUE,"CFD";"CFD Yr7",#N/A,TRUE,"CFD";"CFD Yr8",#N/A,TRUE,"CFD";"CFD Yr9",#N/A,TRUE,"CFD"}</definedName>
    <definedName name="wrn.Print._.SPHI._.Openings." hidden="1">{"Print SPHI Assumptions",#N/A,FALSE,"SPHI Openings";"Print SPHI Openings",#N/A,FALSE,"SPHI Openings"}</definedName>
    <definedName name="wrn.print._.standalone." hidden="1">{"standalone1",#N/A,FALSE,"DCFBase";"standalone2",#N/A,FALSE,"DCFBase"}</definedName>
    <definedName name="wrn.Print._.STAY._.Openings." hidden="1">{"print STAY opening assumptions",#N/A,FALSE,"STAY Openings";"print STAY openings",#N/A,FALSE,"STAY Openings"}</definedName>
    <definedName name="wrn.Print._.sum." hidden="1">{#N/A,#N/A,FALSE,"Summary Schedule";#N/A,#N/A,FALSE,"Use of Proceeds";#N/A,#N/A,FALSE,"Yield Cal";#N/A,#N/A,FALSE,"Qtrly Distributions";#N/A,#N/A,FALSE,"RATE";#N/A,#N/A,FALSE,"OPERATIONS";#N/A,#N/A,FALSE,"Draw";#N/A,#N/A,FALSE,"COMPARISON SCHEDULE";#N/A,#N/A,FALSE,"Dev. Budget";#N/A,#N/A,FALSE,"Investor10";#N/A,#N/A,FALSE,"10 year a";#N/A,#N/A,FALSE,"Assum."}</definedName>
    <definedName name="wrn.Print._.Summary." hidden="1">{"One",#N/A,FALSE,"Summary ";"Two",#N/A,FALSE,"Summary "}</definedName>
    <definedName name="wrn.Print._.Summary._.2." hidden="1">{"JVSummary",#N/A,TRUE,"10 &amp; 12 - CF";"B10&amp;12 Summary",#N/A,TRUE,"10 &amp; 12 - CF";"Hingham Summary",#N/A,TRUE,"10 &amp; 12 - CF"}</definedName>
    <definedName name="wrn.Print._.Summary._.CF._.DevSch._.Loan." hidden="1">{"Print_Summary Letter",#N/A,FALSE,"A-ProjDevAnalysis";"Print_CF_Stmt Letter",#N/A,FALSE,"A-ProjDevAnalysis";"Print_DevSch Letter",#N/A,FALSE,"A-ProjDevAnalysis";"Print_LoanCommit Letter",#N/A,FALSE,"A-ProjDevAnalysis"}</definedName>
    <definedName name="wrn.Print._.Summary._.CF._.DevSch._.Loan.1" hidden="1">{"Print_Summary Letter",#N/A,FALSE,"A-ProjDevAnalysis";"Print_CF_Stmt Letter",#N/A,FALSE,"A-ProjDevAnalysis";"Print_DevSch Letter",#N/A,FALSE,"A-ProjDevAnalysis";"Print_LoanCommit Letter",#N/A,FALSE,"A-ProjDevAnalysis"}</definedName>
    <definedName name="wrn.Print._.Summary._.Equity._.First." hidden="1">{"JVSummary",#N/A,TRUE,"Annual CF";"JV Dev Budget",#N/A,TRUE,"Annual CF";"JV Cash Flow",#N/A,TRUE,"Annual CF";"JV Net Sale Proceeds",#N/A,TRUE,"Annual CF";"JV Debt",#N/A,TRUE,"Annual CF";"B10&amp;12 Summary",#N/A,TRUE,"10 &amp; 12 - CF";"B10&amp;12 Budget",#N/A,TRUE,"Annual CF";"B10&amp;12 Dev. Costs",#N/A,TRUE,"Annual CF";"B10&amp;12 CF1",#N/A,TRUE,"Annual CF";"B10&amp;12 CF2",#N/A,TRUE,"Annual CF";"B10&amp;12 Equity First",#N/A,TRUE,"Annual CF";"Hingham Summary",#N/A,TRUE,"Annual CF";"Hinham Budget",#N/A,TRUE,"Annual CF";"Hingham Dev. Costs",#N/A,TRUE,"Annual CF";"Hingham CF1",#N/A,TRUE,"Annual CF";"Hingh CF2",#N/A,TRUE,"Annual CF";"Hingham Debt",#N/A,TRUE,"Hingham - CF"}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._.tenaska." hidden="1">{"Summary",#N/A,FALSE,"Total Project Economics";"Stmts",#N/A,FALSE,"Total Project Economics";#N/A,#N/A,FALSE,"WA Fwd Curve";#N/A,#N/A,FALSE,"O&amp;M, Fuel"}</definedName>
    <definedName name="wrn.Print._.Three._.Page._.Model." hidden="1">{"Page One",#N/A,FALSE,"Model";"Page 2",#N/A,FALSE,"Model";"Page 3",#N/A,FALSE,"Model"}</definedName>
    <definedName name="wrn.Print._.Title._.and._.Contents." hidden="1">{#N/A,#N/A,FALSE,"Title";#N/A,#N/A,FALSE,"Table"}</definedName>
    <definedName name="wrn.Print._.Venture." hidden="1">{"Venture #1",#N/A,TRUE,"Venture";"Venture #2",#N/A,TRUE,"Venture";"Budget",#N/A,TRUE,"Venture";"Venture Cash Flow",#N/A,TRUE,"Venture";"Debt Summary",#N/A,TRUE,"Venture";"Sales Proceeds",#N/A,TRUE,"Venture";"Cash Flow Split",#N/A,TRUE,"Venture"}</definedName>
    <definedName name="wrn.Print._.without._.Promote." hidden="1">{"Summary",#N/A,TRUE,"Summary";"Summary #1",#N/A,TRUE,"Summary";"Summary #2",#N/A,TRUE,"Summary";"CF",#N/A,TRUE,"Summary"}</definedName>
    <definedName name="wrn.Print1" hidden="1">{"View1",#N/A,FALSE,"Sheet1";"View2",#N/A,FALSE,"Sheet1"}</definedName>
    <definedName name="wrn.Print1." hidden="1">{"Page1",#N/A,TRUE,"Sheet1";"Page2",#N/A,TRUE,"Sheet1";"Page3",#N/A,TRUE,"Sheet1"}</definedName>
    <definedName name="wrn.print2." hidden="1">{"Assump",#N/A,TRUE,"Proforma";"first",#N/A,TRUE,"Proforma";"second",#N/A,TRUE,"Proforma";"lease1",#N/A,TRUE,"Proforma";"lease2",#N/A,TRUE,"Proforma"}</definedName>
    <definedName name="wrn.Print4" hidden="1">{"View1",#N/A,FALSE,"Sheet1";"View2",#N/A,FALSE,"Sheet1"}</definedName>
    <definedName name="wrn.print5" hidden="1">{"Assump",#N/A,TRUE,"Proforma";"first",#N/A,TRUE,"Proforma";"second",#N/A,TRUE,"Proforma";"lease1",#N/A,TRUE,"Proforma";"lease2",#N/A,TRUE,"Proforma"}</definedName>
    <definedName name="wrn.PrintAll." hidden="1">{#N/A,#N/A,FALSE,"Broker Sheet";#N/A,#N/A,FALSE,"Exec.Summary";#N/A,#N/A,FALSE,"Argus Cash Flow";#N/A,#N/A,FALSE,"SPF";#N/A,#N/A,FALSE,"RentRoll"}</definedName>
    <definedName name="wrn.PrintAll._1" hidden="1">{#N/A,#N/A,FALSE,"Broker Sheet";#N/A,#N/A,FALSE,"Exec.Summary";#N/A,#N/A,FALSE,"Argus Cash Flow";#N/A,#N/A,FALSE,"SPF";#N/A,#N/A,FALSE,"RentRoll"}</definedName>
    <definedName name="wrn.PrintAll._2" hidden="1">{#N/A,#N/A,FALSE,"Broker Sheet";#N/A,#N/A,FALSE,"Exec.Summary";#N/A,#N/A,FALSE,"Argus Cash Flow";#N/A,#N/A,FALSE,"SPF";#N/A,#N/A,FALSE,"RentRoll"}</definedName>
    <definedName name="wrn.PrintAll._3" hidden="1">{#N/A,#N/A,FALSE,"Broker Sheet";#N/A,#N/A,FALSE,"Exec.Summary";#N/A,#N/A,FALSE,"Argus Cash Flow";#N/A,#N/A,FALSE,"SPF";#N/A,#N/A,FALSE,"RentRoll"}</definedName>
    <definedName name="wrn.PrintAll._4" hidden="1">{#N/A,#N/A,FALSE,"Broker Sheet";#N/A,#N/A,FALSE,"Exec.Summary";#N/A,#N/A,FALSE,"Argus Cash Flow";#N/A,#N/A,FALSE,"SPF";#N/A,#N/A,FALSE,"RentRoll"}</definedName>
    <definedName name="wrn.Printfinancialsmth." hidden="1">{"incomemth",#N/A,TRUE,"forecast00";"incomepercentmth",#N/A,TRUE,"forecast00";"balancemth",#N/A,TRUE,"forecast00";"cashmth",#N/A,TRUE,"forecast00";"covenantmth",#N/A,TRUE,"forecast00"}</definedName>
    <definedName name="wrn.Printout." hidden="1">{"Zone1",#N/A,FALSE,"Parameters";"Zone2",#N/A,FALSE,"Parameters"}</definedName>
    <definedName name="wrn.Prints._.All.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.All.1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.All.4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O." hidden="1">{#N/A,#N/A,FALSE,"COVER";#N/A,#N/A,FALSE,"Construction CF";#N/A,#N/A,FALSE,"PROFORMA";#N/A,#N/A,FALSE,"CASHFLOW"}</definedName>
    <definedName name="wrn.Pro._.Forma." hidden="1">{#N/A,#N/A,FALSE,"ACQ";#N/A,#N/A,FALSE,"ASSUMP";#N/A,#N/A,FALSE,"CASH FLOW";#N/A,#N/A,FALSE,"SALE";#N/A,#N/A,FALSE,"TIS";#N/A,#N/A,FALSE,"RENT ROLL"}</definedName>
    <definedName name="wrn.Product_Assumptions." hidden="1">{"One",#N/A,FALSE,"Product Assumptions";"Two",#N/A,FALSE,"Product Assumptions";"Three",#N/A,FALSE,"Product Assumptions";"Four",#N/A,FALSE,"Product Assumptions";"Five",#N/A,FALSE,"Product Assumptions";"Six",#N/A,FALSE,"Product Assumptions"}</definedName>
    <definedName name="wrn.Profit_and_Loss." hidden="1">{"Profit_Summary",#N/A,FALSE,"Monthly";"Profit_P2",#N/A,FALSE,"Monthly";"Profit_P3",#N/A,FALSE,"Monthly";"Profit_P4",#N/A,FALSE,"Monthly";"Profit_P5",#N/A,FALSE,"Monthly";"Profit_P6",#N/A,FALSE,"Monthly";"Profit_P7",#N/A,FALSE,"Monthly";"Profit_P8",#N/A,FALSE,"Monthly";"Profit_P9",#N/A,FALSE,"Monthly";"Profit_P10",#N/A,FALSE,"Monthly";"Profit_P11",#N/A,FALSE,"Monthly";"Profit_P12",#N/A,FALSE,"Monthly";"Profit_P13",#N/A,FALSE,"Monthly";"Profit_P14",#N/A,FALSE,"Monthly";"pROFIT_p15",#N/A,FALSE,"Monthly"}</definedName>
    <definedName name="wrn.Proforma.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forma._.2." hidden="1">{#N/A,#N/A,TRUE,"Cash Flow Proforma";#N/A,#N/A,TRUE,"Scenario Variable Cells";#N/A,#N/A,TRUE,"Proforma Assumptions";#N/A,#N/A,TRUE,"Bulk Pad and Finished Sales";#N/A,#N/A,TRUE,"Rolling Option Sales"}</definedName>
    <definedName name="wrn.Proforma._.Review." hidden="1">{#N/A,#N/A,FALSE,"Occ and Rate";#N/A,#N/A,FALSE,"PF Input";#N/A,#N/A,FALSE,"Proforma Five Yr";#N/A,#N/A,FALSE,"Hotcomps"}</definedName>
    <definedName name="wrn.Proforma._.Year._.1." hidden="1">{"Plan Information",#N/A,FALSE,"Plans"}</definedName>
    <definedName name="wrn.Proforma._1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forma._2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forma._3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forma._4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gram._.Compliance." hidden="1">{#N/A,#N/A,FALSE,"COMPLIANCE"}</definedName>
    <definedName name="wrn.Project." hidden="1">{#N/A,#N/A,TRUE,"A-site";#N/A,#N/A,TRUE,"B-Buildings";#N/A,#N/A,TRUE,"c-out-of-fence";#N/A,#N/A,TRUE,"d-proj.infr.";#N/A,#N/A,TRUE,"e- land"}</definedName>
    <definedName name="wrn.Project._.Cost._.Estimate." hidden="1">{#N/A,#N/A,FALSE,"cost";#N/A,#N/A,FALSE,"draw sched.";#N/A,#N/A,FALSE,"spread";#N/A,#N/A,FALSE,"Assumptions"}</definedName>
    <definedName name="wrn.projection." hidden="1">{#N/A,#N/A,TRUE,"TOC";#N/A,#N/A,TRUE,"GEN";#N/A,#N/A,TRUE,"FINANCING ";#N/A,#N/A,TRUE,"SYND";#N/A,#N/A,TRUE,"RENT";#N/A,#N/A,TRUE,"RENTUP";#N/A,#N/A,TRUE,"CASH";#N/A,#N/A,TRUE,"LOSS";#N/A,#N/A,TRUE,"BENEFITS";#N/A,#N/A,TRUE,"SOURCE";#N/A,#N/A,TRUE,"FLOW";#N/A,#N/A,TRUE,"TAX CREDIT";#N/A,#N/A,TRUE,"DEPREC";#N/A,#N/A,TRUE,"RESERVES";#N/A,#N/A,TRUE,"AMORT_4";#N/A,#N/A,TRUE,"UT SU ";#N/A,#N/A,TRUE,"UT FLOW";#N/A,#N/A,TRUE,"UT BRIDGE LOAN";#N/A,#N/A,TRUE,"UT LOSS";#N/A,#N/A,TRUE,"UT BENEFITS";#N/A,#N/A,TRUE,"UT FUNDED";#N/A,#N/A,TRUE,"SALES1";#N/A,#N/A,TRUE,"SALES2"}</definedName>
    <definedName name="wrn.projection.new" hidden="1">{#N/A,#N/A,TRUE,"TOC";#N/A,#N/A,TRUE,"GEN";#N/A,#N/A,TRUE,"FINANCING ";#N/A,#N/A,TRUE,"SYND";#N/A,#N/A,TRUE,"RENT";#N/A,#N/A,TRUE,"RENTUP";#N/A,#N/A,TRUE,"CASH";#N/A,#N/A,TRUE,"LOSS";#N/A,#N/A,TRUE,"BENEFITS";#N/A,#N/A,TRUE,"SOURCE";#N/A,#N/A,TRUE,"FLOW";#N/A,#N/A,TRUE,"TAX CREDIT";#N/A,#N/A,TRUE,"DEPREC";#N/A,#N/A,TRUE,"RESERVES";#N/A,#N/A,TRUE,"AMORT_4";#N/A,#N/A,TRUE,"UT SU ";#N/A,#N/A,TRUE,"UT FLOW";#N/A,#N/A,TRUE,"UT BRIDGE LOAN";#N/A,#N/A,TRUE,"UT LOSS";#N/A,#N/A,TRUE,"UT BENEFITS";#N/A,#N/A,TRUE,"UT FUNDED";#N/A,#N/A,TRUE,"SALES1";#N/A,#N/A,TRUE,"SALES2"}</definedName>
    <definedName name="wrn.Projections." hidden="1">{#N/A,#N/A,FALSE,"Release Price";#N/A,#N/A,FALSE,"Cash flow for 50 Unit";#N/A,#N/A,FALSE,"Cash Flow for 3 Models"}</definedName>
    <definedName name="wrn.Projects._.1." hidden="1">{"Project_details",#N/A,FALSE,"Projects";"Project_checks",#N/A,FALSE,"Projects";"Project_completion",#N/A,FALSE,"Projects"}</definedName>
    <definedName name="wrn.Projects._.2." hidden="1">{"Project_profit",#N/A,FALSE,"Projects";"Project_reserves",#N/A,FALSE,"Project Reserves"}</definedName>
    <definedName name="wrn.Property._.Description." hidden="1">{#N/A,#N/A,FALSE,"PROP. DESCRIPTION"}</definedName>
    <definedName name="wrn.PropertyInformation." hidden="1">{#N/A,#N/A,FALSE,"PropertyInfo"}</definedName>
    <definedName name="wrn.PropertyInformation._1" hidden="1">{#N/A,#N/A,FALSE,"PropertyInfo"}</definedName>
    <definedName name="wrn.PropertyInformation._2" hidden="1">{#N/A,#N/A,FALSE,"PropertyInfo"}</definedName>
    <definedName name="wrn.PropertyInformation._3" hidden="1">{#N/A,#N/A,FALSE,"PropertyInfo"}</definedName>
    <definedName name="wrn.PropertyInformation._4" hidden="1">{#N/A,#N/A,FALSE,"PropertyInfo"}</definedName>
    <definedName name="wrn.Proposal." hidden="1">{"Bid",#N/A,FALSE,"Estimate";"Breakdowm",#N/A,FALSE,"Estimate"}</definedName>
    <definedName name="wrn.Prototypes." hidden="1">{"One",#N/A,FALSE,"Prototypes";"Two",#N/A,FALSE,"Prototypes";"Three",#N/A,FALSE,"Prototypes";"Four",#N/A,FALSE,"Prototypes";"Five",#N/A,FALSE,"Prototypes"}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._.1._.Forecast." hidden="1">{#N/A,#N/A,FALSE,"Forecast Cover";#N/A,#N/A,FALSE,"D.1 Bal. Sheet";#N/A,#N/A,FALSE,"D.2 Income Statement";#N/A,#N/A,FALSE,"D.3 Quarterly Forecast";#N/A,#N/A,FALSE,"E.3 Monthly Forecast Q1";#N/A,#N/A,FALSE,"E.4 Monthly Plan";#N/A,#N/A,FALSE,"E.6 1997 Monthly";#N/A,#N/A,FALSE,"E.7 Capital";#N/A,#N/A,FALSE,"E.8 Research &amp; Development";#N/A,#N/A,FALSE,"E.9 New Business Development";#N/A,#N/A,FALSE,"E.10 Tax Information"}</definedName>
    <definedName name="wrn.Quarter._.2._.Forecast." hidden="1">{#N/A,#N/A,FALSE,"Forecast Cover";#N/A,#N/A,FALSE,"D.1 Bal. Sheet";#N/A,#N/A,FALSE,"D.2 Income Statement";#N/A,#N/A,FALSE,"D.3 Quarterly Forecast";#N/A,#N/A,FALSE,"E.2 Monthly Forecast Q2";#N/A,#N/A,FALSE,"E.7 Capital";#N/A,#N/A,FALSE,"E.8 Research &amp; Development";#N/A,#N/A,FALSE,"E.9 New Business Development";#N/A,#N/A,FALSE,"E.10 Tax Information"}</definedName>
    <definedName name="wrn.Quarter._.3._.Forecast." hidden="1">{#N/A,#N/A,FALSE,"Forecast Cover";#N/A,#N/A,FALSE,"D.1 Bal. Sheet";#N/A,#N/A,FALSE,"D.2 Income Statement";#N/A,#N/A,FALSE,"D.3 Quarterly Forecast";#N/A,#N/A,FALSE,"E.1 Monthly Forecast Q3";#N/A,#N/A,FALSE,"E.7 Capital";#N/A,#N/A,FALSE,"E.8 Research &amp; Development";#N/A,#N/A,FALSE,"E.9 New Business Development";#N/A,#N/A,FALSE,"E.10 Tax Information"}</definedName>
    <definedName name="wrn.Quarterly." hidden="1">{"Summary Page 1",#N/A,TRUE,"Quarterly";"Annual Page 1",#N/A,TRUE,"Quarterly";"Quarterly 1",#N/A,TRUE,"Quarterly";"Quarterly 2",#N/A,TRUE,"Quarterly"}</definedName>
    <definedName name="wrn.Quarterly._.Cash._.Flows." hidden="1">{"CF Waterfall",#N/A,TRUE,"CF Waterfall";"CombinedBiz CF",#N/A,TRUE,"CombinedBiz";"ExistingBiz CF",#N/A,TRUE,"ExistingBiz";"NewBiz CF",#N/A,TRUE,"NewBiz"}</definedName>
    <definedName name="wrn.Quarterly._.Consolidation._.Report." hidden="1">{#N/A,#N/A,FALSE,"Front Cover";#N/A,#N/A,FALSE,"B.1 Bal. Sheet";#N/A,#N/A,FALSE,"B.2 Income and Ret. Erngs.";#N/A,#N/A,FALSE,"B.3 Cash Flows";#N/A,#N/A,FALSE,"B.4  Performance Measures";#N/A,#N/A,FALSE,"B.5  Perf Measures Data";#N/A,#N/A,FALSE,"C.1 Sup Sch 1";#N/A,#N/A,FALSE,"C.2 Sup Sch 2";#N/A,#N/A,FALSE,"C.3 Sup Sch 3";#N/A,#N/A,FALSE,"C.4 Sup Sch 4";#N/A,#N/A,FALSE,"C.5 Sup Sch 5";#N/A,#N/A,FALSE,"C.6 Sup Sch 6";#N/A,#N/A,FALSE,"C.7 Sup Sch 7";#N/A,#N/A,FALSE,"C.8 Sup Sch 8";#N/A,#N/A,FALSE,"C.9 Sup Sch 9";#N/A,#N/A,FALSE,"C.10 Sup Sch 10";#N/A,#N/A,FALSE,"C.11 Sup Sch 11";#N/A,#N/A,FALSE,"C.12 Sup Sch 12";#N/A,#N/A,FALSE,"C.13 Sup Sch 13";#N/A,#N/A,FALSE,"C.14 Sup Sch 14";#N/A,#N/A,FALSE,"C.15 Sup Sch 15";#N/A,#N/A,FALSE,"C.16 Other Supp. Info.";#N/A,#N/A,FALSE,"C.17 SCF Proof"}</definedName>
    <definedName name="wrn.Quarterly._.Fund._.Model." hidden="1">{#N/A,#N/A,FALSE,"Quarterly Fund"}</definedName>
    <definedName name="wrn.Quarterly._.Reporting._.Package._.Exec." hidden="1">{#N/A,#N/A,FALSE,"RP - Titlepage Exec";#N/A,#N/A,FALSE,"balance sheet";#N/A,#N/A,FALSE,"income statement";#N/A,#N/A,FALSE,"statement of cashflows";#N/A,#N/A,FALSE,"statement of ret earnings";#N/A,#N/A,FALSE,"RP - MBSF";#N/A,#N/A,FALSE,"RP - EPS Calc";#N/A,#N/A,FALSE,"RP - EPS Comp";#N/A,#N/A,FALSE,"RP - Goodwill";#N/A,#N/A,FALSE,"RP - Minority Interest";#N/A,#N/A,FALSE,"RP - Revenues";#N/A,#N/A,FALSE,"RP - Rev and OI";#N/A,#N/A,FALSE,"RP - Debt and Cash";#N/A,#N/A,FALSE,"RP - Corp Measures";#N/A,#N/A,FALSE,"RP - Investment Board"}</definedName>
    <definedName name="wrn.Quarterly._.Reporting._.Package._.File." hidden="1">{#N/A,#N/A,FALSE,"balance sheet";#N/A,#N/A,FALSE,"income statement";#N/A,#N/A,FALSE,"statement of cashflows";#N/A,#N/A,FALSE,"statement of ret earnings";#N/A,#N/A,FALSE,"RP - Titlepage";#N/A,#N/A,FALSE,"RP - MBSF";#N/A,#N/A,FALSE,"RP - EPS Calc";#N/A,#N/A,FALSE,"RP - EPS Comp";#N/A,#N/A,FALSE,"RP - Invest Income";#N/A,#N/A,FALSE,"RP - Interest";#N/A,#N/A,FALSE,"RP - Goodwill";#N/A,#N/A,FALSE,"RP - Minority Interest";#N/A,#N/A,FALSE,"RP - Revenues";#N/A,#N/A,FALSE,"RP - Rev and OI";#N/A,#N/A,FALSE,"RP - Debt and Cash";#N/A,#N/A,FALSE,"RP - Corp Measures";#N/A,#N/A,FALSE,"RP - Corp Meas Data";#N/A,#N/A,FALSE,"RP - Investment Board";#N/A,#N/A,FALSE,"RP - Investment Exec Equity";#N/A,#N/A,FALSE,"RP - Investment Exec Cost"}</definedName>
    <definedName name="wrn.Quarterly._.Summary." hidden="1">{"qtrl1",#N/A,TRUE,"Annual Summary";"qtrl2",#N/A,TRUE,"Annual Summary";"qtrl3",#N/A,TRUE,"Annual Summary";"qtrl4",#N/A,TRUE,"QTLY Summary";"qtrl5",#N/A,TRUE,"QTLY Summary";"qtrl6",#N/A,TRUE,"QTLY Summary"}</definedName>
    <definedName name="wrn.QUICK." hidden="1">{"ASSUMPTIONS",#N/A,FALSE,"ASSUMPTIONS";"SOURCE USE",#N/A,FALSE,"SOURCE &amp; USE";"COMPLETION LEASEUP",#N/A,FALSE,"CO's &amp; LEASE-UP";"TAX CREDITS",#N/A,FALSE,"TAX CREDITS";"BASE NOI",#N/A,FALSE,"BASE NOI";"PROJECTED NOI",#N/A,FALSE,"PROJECTED NOI";"AMORTIZATION DEPREC",#N/A,FALSE,"AMORT &amp; DEPREC";"PROJECTED CASHFLOW",#N/A,FALSE,"CASH";"CAPITAL ACCT",#N/A,FALSE,"CAPITAL ACCOUNT";"TAXABLE INCOME",#N/A,FALSE,"TAXABLE";"ANNUAL BENEFITS",#N/A,FALSE,"ANNUAL BENEFITS";"QIRR ONE",#N/A,FALSE,"QIRR";"QIRR TWO",#N/A,FALSE,"QIRR"}</definedName>
    <definedName name="wrn.Quick._.Print." hidden="1">{#N/A,#N/A,TRUE,"Summary";#N/A,#N/A,TRUE,"Cost Summary (inflated)";#N/A,#N/A,TRUE,"Timeline";#N/A,#N/A,TRUE,"Res. Summary";#N/A,#N/A,TRUE,"Residential";#N/A,#N/A,TRUE,"Retail Summary";#N/A,#N/A,TRUE,"Retail ";#N/A,#N/A,TRUE,"Dev Expense Detail";#N/A,#N/A,TRUE,"Promote"}</definedName>
    <definedName name="wrn.Rani." hidden="1">{"Venture Summary",#N/A,FALSE,"Summary";"PI Summary",#N/A,FALSE,"PI Summary";#N/A,#N/A,FALSE,"BI Leasing";"PII Summary",#N/A,FALSE,"PII Summary";#N/A,#N/A,FALSE,"BII Leasing"}</definedName>
    <definedName name="wrn.Rapport." hidden="1">{#N/A,#N/A,FALSE,"SHEET1";#N/A,#N/A,FALSE,"SHEET2";#N/A,#N/A,FALSE,"SHEET3";#N/A,#N/A,FALSE,"SHEET4"}</definedName>
    <definedName name="wrn.rate." hidden="1">{"RATES",#N/A,FALSE,"RECOVERY RATES";"CONTRIBUTIONS",#N/A,FALSE,"RECOVERY RATES";"GLA CATEGORY SUMMARY",#N/A,FALSE,"RECOVERY RATES"}</definedName>
    <definedName name="wrn.RATES." hidden="1">{"RATES",#N/A,FALSE,"RECOVERY RATES";"CONTRIBUTIONS",#N/A,FALSE,"RECOVERY RATES";"GLA CATEGORY SUMMARY",#N/A,FALSE,"RECOVERY RATES"}</definedName>
    <definedName name="wrn.Realis." hidden="1">{"Realis Cover",#N/A,TRUE,"Sheet1";"R Value",#N/A,TRUE,"Sheet1";"R Sensitivity",#N/A,TRUE,"Sheet1";"R Prop Cash Flow",#N/A,TRUE,"Property Summary";"R Pship CF",#N/A,TRUE,"Sheet1";"R Equity DCF",#N/A,TRUE,"Sheet1";"R Pship Distributions",#N/A,TRUE,"Sheet1";"R MIR Splits",#N/A,TRUE,"Sheet1";"R Assumptions",#N/A,TRUE,"Sheet1"}</definedName>
    <definedName name="wrn.Realis._1" hidden="1">{"Realis Cover",#N/A,TRUE,"Sheet1";"R Value",#N/A,TRUE,"Sheet1";"R Sensitivity",#N/A,TRUE,"Sheet1";"R Prop Cash Flow",#N/A,TRUE,"Property Summary";"R Pship CF",#N/A,TRUE,"Sheet1";"R Equity DCF",#N/A,TRUE,"Sheet1";"R Pship Distributions",#N/A,TRUE,"Sheet1";"R MIR Splits",#N/A,TRUE,"Sheet1";"R Assumptions",#N/A,TRUE,"Sheet1"}</definedName>
    <definedName name="wrn.Realis._2" hidden="1">{"Realis Cover",#N/A,TRUE,"Sheet1";"R Value",#N/A,TRUE,"Sheet1";"R Sensitivity",#N/A,TRUE,"Sheet1";"R Prop Cash Flow",#N/A,TRUE,"Property Summary";"R Pship CF",#N/A,TRUE,"Sheet1";"R Equity DCF",#N/A,TRUE,"Sheet1";"R Pship Distributions",#N/A,TRUE,"Sheet1";"R MIR Splits",#N/A,TRUE,"Sheet1";"R Assumptions",#N/A,TRUE,"Sheet1"}</definedName>
    <definedName name="wrn.Realis._3" hidden="1">{"Realis Cover",#N/A,TRUE,"Sheet1";"R Value",#N/A,TRUE,"Sheet1";"R Sensitivity",#N/A,TRUE,"Sheet1";"R Prop Cash Flow",#N/A,TRUE,"Property Summary";"R Pship CF",#N/A,TRUE,"Sheet1";"R Equity DCF",#N/A,TRUE,"Sheet1";"R Pship Distributions",#N/A,TRUE,"Sheet1";"R MIR Splits",#N/A,TRUE,"Sheet1";"R Assumptions",#N/A,TRUE,"Sheet1"}</definedName>
    <definedName name="wrn.Recovery._.Calcs." hidden="1">{#N/A,#N/A,FALSE,"Recovery Calcs"}</definedName>
    <definedName name="wrn.RECURRING." hidden="1">{#N/A,#N/A,FALSE,"Summary"}</definedName>
    <definedName name="wrn.Rehab." hidden="1">{#N/A,#N/A,TRUE,"Total Acquisition and Rehab ";#N/A,#N/A,TRUE,"Summary of Hard Costs";#N/A,#N/A,TRUE,"Summary-Interior Scope of Work";#N/A,#N/A,TRUE,"Cementious Decks";#N/A,#N/A,TRUE,"Finish Trim";#N/A,#N/A,TRUE,"Balcony Waterproofing";#N/A,#N/A,TRUE,"Doors and Hardware";#N/A,#N/A,TRUE,"Drywall";#N/A,#N/A,TRUE,"Tile";#N/A,#N/A,TRUE,"Flooring";#N/A,#N/A,TRUE,"Painting";#N/A,#N/A,TRUE,"Identifying, Shelving &amp; Mirrors";#N/A,#N/A,TRUE,"Appliances";#N/A,#N/A,TRUE,"Cabinets and Countertops";#N/A,#N/A,TRUE,"Window Treatments";#N/A,#N/A,TRUE,"Plumbing";#N/A,#N/A,TRUE,"HVAC";#N/A,#N/A,TRUE,"Electrical"}</definedName>
    <definedName name="wrn.Rehab._.Projects." hidden="1">{#N/A,#N/A,FALSE,"Bankside Village Apartments";#N/A,#N/A,FALSE,"Stoneridge Apartments"}</definedName>
    <definedName name="wrn.Relevant._.Sections.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levant._.Sections._1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levant._.Sections._2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levant._.Sections._3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levant._.Sections._4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LEVANTSHEETS." hidden="1">{#N/A,#N/A,FALSE,"AD_Purch";#N/A,#N/A,FALSE,"Projections";#N/A,#N/A,FALSE,"DCF";#N/A,#N/A,FALSE,"Mkt Val"}</definedName>
    <definedName name="wrn.Remaining._.Obligation." hidden="1">{#N/A,#N/A,FALSE,"Summary (Oblg)";#N/A,#N/A,FALSE,"41 Mad (27&amp;28)";#N/A,#N/A,FALSE,"41 Mad (29-1)";#N/A,#N/A,FALSE,"41 Mad (29-2A)";#N/A,#N/A,FALSE,"41 Mad (29-2B)";#N/A,#N/A,FALSE,"41 Mad (30)";#N/A,#N/A,FALSE,"41 Mad (42)"}</definedName>
    <definedName name="wrn.Renovation." hidden="1">{#N/A,#N/A,FALSE,"loan analysis";#N/A,#N/A,FALSE,"Draw Schedule";#N/A,#N/A,FALSE,"Cost";#N/A,#N/A,FALSE,"unit mix";#N/A,#N/A,FALSE,"proforma";#N/A,#N/A,FALSE,"Spread";#N/A,#N/A,FALSE,"Assumptions";#N/A,#N/A,FALSE,"Summary"}</definedName>
    <definedName name="wrn.Rent._.Assumptions." hidden="1">{"Rent_Assumptions",#N/A,FALSE,"Sheet1"}</definedName>
    <definedName name="wrn.Rent._.Changes._.Per._.Unit." hidden="1">{"Rent_ChangesPerUnit",#N/A,FALSE,"Sheet1"}</definedName>
    <definedName name="wrn.Rent._.Changes._.Total." hidden="1">{"Rent_ChangesTotal",#N/A,FALSE,"Sheet1"}</definedName>
    <definedName name="wrn.Rent._.Roll." hidden="1">{#N/A,#N/A,FALSE,"Rent Roll"}</definedName>
    <definedName name="wrn.Rent._.Totals." hidden="1">{"Rent_Totals",#N/A,FALSE,"Sheet1"}</definedName>
    <definedName name="wrn.Rental._.Scenario." hidden="1">{#N/A,#N/A,TRUE,"Summary";#N/A,#N/A,TRUE,"Rental Summary";#N/A,#N/A,TRUE,"Budget";#N/A,#N/A,TRUE,"Assumptions";#N/A,#N/A,TRUE,"Financing"}</definedName>
    <definedName name="wrn.RentRoll." hidden="1">{"CurrentRentRoll",#N/A,FALSE,"Graph &amp; Rent Roll"}</definedName>
    <definedName name="wrn.Repayments." hidden="1">{"One",#N/A,FALSE,"Repayments";"Two",#N/A,FALSE,"Repayments"}</definedName>
    <definedName name="wrn.report" hidden="1">{#N/A,#N/A,FALSE,"Loan Summary";#N/A,#N/A,FALSE,"NOI";"RR and Expir",#N/A,FALSE,"Rental";"Sales History",#N/A,FALSE,"Rental";#N/A,#N/A,FALSE,"Reserves"}</definedName>
    <definedName name="wrn.REPORT_1." hidden="1">{"SIMPLIFD_P1",#N/A,FALSE,"SIMPLIFD"}</definedName>
    <definedName name="wrn.REPORT_1._1" hidden="1">{"SIMPLIFD_P1",#N/A,FALSE,"SIMPLIFD"}</definedName>
    <definedName name="wrn.REPORT_1._2" hidden="1">{"SIMPLIFD_P1",#N/A,FALSE,"SIMPLIFD"}</definedName>
    <definedName name="wrn.REPORT_1._3" hidden="1">{"SIMPLIFD_P1",#N/A,FALSE,"SIMPLIFD"}</definedName>
    <definedName name="wrn.REPORT_1._4" hidden="1">{"SIMPLIFD_P1",#N/A,FALSE,"SIMPLIFD"}</definedName>
    <definedName name="wrn.Report." hidden="1">{#N/A,#N/A,FALSE,"Summary";#N/A,#N/A,FALSE,"Assumptions";#N/A,#N/A,FALSE,"Notes";#N/A,#N/A,FALSE,"Cash Flow";#N/A,#N/A,FALSE,"Eff. Rent Detail";#N/A,#N/A,FALSE,"Residual";#N/A,#N/A,FALSE,"Value Matrix";#N/A,#N/A,FALSE,"Pro Forma";#N/A,#N/A,FALSE,"Historical Op";#N/A,#N/A,FALSE,"Value Comp";#N/A,#N/A,FALSE,"Matrices"}</definedName>
    <definedName name="wrn.Report._.Detail." hidden="1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._.FOR._.CCA." hidden="1">{"CCA",#N/A,FALSE,"INPUT";"Pricing","CCA",FALSE,"Pricing";"Rent","CCA",FALSE,"Rent,Exp";"Fund Flow",#N/A,FALSE,"Fund Flow"}</definedName>
    <definedName name="wrn.REPORT._.FOR._.FA." hidden="1">{"Report for FA","FA",FALSE,"Benefits"}</definedName>
    <definedName name="wrn.REPORT._.FOR._.LUS." hidden="1">{#N/A,#N/A,FALSE,"LeaseData";"Rent",#N/A,FALSE,"Rent,Exp"}</definedName>
    <definedName name="wrn.Report._.I." hidden="1">{#N/A,#N/A,FALSE,"Assumptions";#N/A,#N/A,FALSE,"Promote Assumptions";#N/A,#N/A,FALSE,"Residual Analysis";#N/A,#N/A,FALSE,"ROC";#N/A,#N/A,FALSE,"Project Costs";#N/A,#N/A,FALSE,"Annual CF";#N/A,#N/A,FALSE,"Stab Proforma"}</definedName>
    <definedName name="wrn.Report._.Package." hidden="1">{#N/A,#N/A,FALSE,"RESIDENTIAL";#N/A,#N/A,FALSE,"DEVMT_is";#N/A,#N/A,FALSE,"DEVELOPMENT";#N/A,#N/A,FALSE,"CAPITALIZED"}</definedName>
    <definedName name="wrn.Report._.Tables." hidden="1">{"Penetration Analysis",#N/A,FALSE,"Comp.&amp; Market Penet.";"ADR Analysis",#N/A,FALSE,"Comp.&amp; Market Penet.";"New Supply",#N/A,FALSE,"Comp.&amp; Market Penet.";"MArket Occupancy",#N/A,FALSE,"Comp.&amp; Market Penet.";"Primarily Competition",#N/A,FALSE,"Comp.&amp; Market Penet."}</definedName>
    <definedName name="wrn.Report._1" hidden="1">{#N/A,#N/A,FALSE,"Summary";#N/A,#N/A,FALSE,"Assumptions";#N/A,#N/A,FALSE,"Notes";#N/A,#N/A,FALSE,"Cash Flow";#N/A,#N/A,FALSE,"Eff. Rent Detail";#N/A,#N/A,FALSE,"Residual";#N/A,#N/A,FALSE,"Value Matrix";#N/A,#N/A,FALSE,"Pro Forma";#N/A,#N/A,FALSE,"Historical Op";#N/A,#N/A,FALSE,"Value Comp";#N/A,#N/A,FALSE,"Matrices"}</definedName>
    <definedName name="wrn.Report._2" hidden="1">{#N/A,#N/A,FALSE,"Summary";#N/A,#N/A,FALSE,"Assumptions";#N/A,#N/A,FALSE,"Notes";#N/A,#N/A,FALSE,"Cash Flow";#N/A,#N/A,FALSE,"Eff. Rent Detail";#N/A,#N/A,FALSE,"Residual";#N/A,#N/A,FALSE,"Value Matrix";#N/A,#N/A,FALSE,"Pro Forma";#N/A,#N/A,FALSE,"Historical Op";#N/A,#N/A,FALSE,"Value Comp";#N/A,#N/A,FALSE,"Matrices"}</definedName>
    <definedName name="wrn.Report._3" hidden="1">{#N/A,#N/A,FALSE,"Summary";#N/A,#N/A,FALSE,"Assumptions";#N/A,#N/A,FALSE,"Notes";#N/A,#N/A,FALSE,"Cash Flow";#N/A,#N/A,FALSE,"Eff. Rent Detail";#N/A,#N/A,FALSE,"Residual";#N/A,#N/A,FALSE,"Value Matrix";#N/A,#N/A,FALSE,"Pro Forma";#N/A,#N/A,FALSE,"Historical Op";#N/A,#N/A,FALSE,"Value Comp";#N/A,#N/A,FALSE,"Matrices"}</definedName>
    <definedName name="wrn.Report._4" hidden="1">{#N/A,#N/A,FALSE,"Summary";#N/A,#N/A,FALSE,"Assumptions";#N/A,#N/A,FALSE,"Notes";#N/A,#N/A,FALSE,"Cash Flow";#N/A,#N/A,FALSE,"Eff. Rent Detail";#N/A,#N/A,FALSE,"Residual";#N/A,#N/A,FALSE,"Value Matrix";#N/A,#N/A,FALSE,"Pro Forma";#N/A,#N/A,FALSE,"Historical Op";#N/A,#N/A,FALSE,"Value Comp";#N/A,#N/A,FALSE,"Matrices"}</definedName>
    <definedName name="wrn.report.Irr" hidden="1">{#N/A,#N/A,FALSE,"Loan Summary";#N/A,#N/A,FALSE,"NOI";"RR and Expir",#N/A,FALSE,"Rental";"Sales History",#N/A,FALSE,"Rental";#N/A,#N/A,FALSE,"Reserves"}</definedName>
    <definedName name="wrn.Report1.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2" hidden="1">{#N/A,#N/A,FALSE,"Loan Summary";#N/A,#N/A,FALSE,"NOI";"RR and Expir",#N/A,FALSE,"Rental";"Sales History",#N/A,FALSE,"Rental";#N/A,#N/A,FALSE,"Reserves"}</definedName>
    <definedName name="wrn.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s." hidden="1">{#N/A,#N/A,FALSE,"Project Summary";#N/A,#N/A,FALSE,"Parameter Summary";#N/A,#N/A,FALSE,"Budget Control Report";#N/A,#N/A,FALSE,"DETAIL.XLS"}</definedName>
    <definedName name="wrn.Residential." hidden="1">{"ResSum1",#N/A,TRUE,"Ent &amp; Inf";"ResSum2",#N/A,TRUE,"Ent &amp; Inf";"ResCF1",#N/A,TRUE,"Ent &amp; Inf";"Res Monthly CF1",#N/A,TRUE,"Ent &amp; Inf";"Res MonthlyCF2",#N/A,TRUE,"Ent &amp; Inf"}</definedName>
    <definedName name="wrn.Residential._.Summary." hidden="1">{"Residential Summary",#N/A,TRUE,"Summary";"Residential Budget",#N/A,TRUE,"Summary";"Residential Cash Flow",#N/A,TRUE,"Summary";"Residential Project Costs",#N/A,TRUE,"Summary"}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tail." hidden="1">{"DSSum1",#N/A,TRUE,"Ent &amp; Inf";"DSSum2",#N/A,TRUE,"Ent &amp; Inf";"DSSales",#N/A,TRUE,"Ent &amp; Inf";"DSDebt",#N/A,TRUE,"Ent &amp; Inf";"DS Monthly CF1",#N/A,TRUE,"Ent &amp; Inf";"DS MonthlyCF2",#N/A,TRUE,"Ent &amp; Inf";"DS MonthlyCF3",#N/A,TRUE,"Ent &amp; Inf"}</definedName>
    <definedName name="wrn.Retail._.Summary." hidden="1">{"Retail Summary",#N/A,TRUE,"Summary";"Retail Development Budget",#N/A,TRUE,"Summary";"Retail Cash Flow",#N/A,TRUE,"Summary";"Retail Development Costs and NOI",#N/A,TRUE,"Summary";"Retail Detailed Project Costs",#N/A,TRUE,"Summary"}</definedName>
    <definedName name="wrn.Review._.Area._.Report._.2._.Areas." hidden="1">{"Line Item Estimate - Review Area 2 View",#N/A,FALSE,"Line Item Estimate";"Line Item Estimate - Review Area 1 View",#N/A,FALSE,"Line Item Estimate";"Line Item Estimate - Review Total View",#N/A,FALSE,"Line Item Estimate"}</definedName>
    <definedName name="wrn.Review._.Area._.Report._.3._.Areas." hidden="1">{"Line Item Estimate - Review Area 1 View",#N/A,FALSE,"Line Item Estimate";"Line Item Estimate - Review Area 2 View",#N/A,FALSE,"Line Item Estimate";"Line Item Estimate - Review Area 3 View",#N/A,FALSE,"Line Item Estimate";"Line Item Estimate - Review Total View",#N/A,FALSE,"Line Item Estimate"}</definedName>
    <definedName name="wrn.Review._.Area._.Report._.4._.Areas." hidden="1">{"Line Item Estimate - Review Area 1 View",#N/A,FALSE,"Line Item Estimate";"Line Item Estimate - Review Area 2 View",#N/A,FALSE,"Line Item Estimate";"Line Item Estimate - Review Area 3 View",#N/A,FALSE,"Line Item Estimate";"Line Item Estimate - Review Area 4 View",#N/A,FALSE,"Line Item Estimate";"Line Item Estimate - Review Total View",#N/A,FALSE,"Line Item Estimate"}</definedName>
    <definedName name="wrn.Review._.Area._.Report._.5._.Areas." hidden="1">{"Line Item Estimate - Review Area 1 View",#N/A,FALSE,"Line Item Estimate";"Line Item Estimate - Review Area 2 View",#N/A,FALSE,"Line Item Estimate";"Line Item Estimate - Review Area 3 View",#N/A,FALSE,"Line Item Estimate";"Line Item Estimate - Review Area 4 View",#N/A,FALSE,"Line Item Estimate";"Line Item Estimate - Review Area 5 View",#N/A,FALSE,"Line Item Estimate";"Line Item Estimate - Review Total View",#N/A,FALSE,"Line Item Estimate"}</definedName>
    <definedName name="wrn.Review._.File." hidden="1">{"Venture Summary",#N/A,FALSE,"Summary";"Operating Assumptions",#N/A,FALSE,"Summary";"Development Budget",#N/A,FALSE,"Summary";"Annual",#N/A,FALSE,"Annual";"DevPF",#N/A,FALSE,"DevPF"}</definedName>
    <definedName name="wrn.Review._.Total._.Report." hidden="1">{"Line Item Estimate - Review Total View",#N/A,FALSE,"Line Item Estimate"}</definedName>
    <definedName name="wrn.RFP." hidden="1">{"RFP 1",#N/A,FALSE,"Summary (RFP)";"RFP 2",#N/A,FALSE,"Summary (RFP)";"RFP 3",#N/A,FALSE,"Summary (RFP)";"RFP 4",#N/A,FALSE,"Summary (RFP)";"RFP 5",#N/A,FALSE,"Summary (RFP)";"RFP 6",#N/A,FALSE,"Budget"}</definedName>
    <definedName name="wrn.Rmgmtfee." hidden="1">{#N/A,#N/A,FALSE,"Rmgmtfee"}</definedName>
    <definedName name="wrn.Roll_Out." hidden="1">{"One",#N/A,FALSE,"Roll-out";"Two",#N/A,FALSE,"Roll-out";"Three",#N/A,FALSE,"Roll-out";"Four",#N/A,FALSE,"Roll-out";"Five",#N/A,FALSE,"Roll-out"}</definedName>
    <definedName name="wrn.Roll._.Up._.Fields." hidden="1">{"Total",#N/A,FALSE,"Six Fields";"PDP",#N/A,FALSE,"Six Fields";"PNP",#N/A,FALSE,"Six Fields";"PUD",#N/A,FALSE,"Six Fields";"Prob",#N/A,FALSE,"Six Fields"}</definedName>
    <definedName name="wrn.rollup." hidden="1">{"page1",#N/A,FALSE,"rollup"}</definedName>
    <definedName name="wrn.Roof._.Report." hidden="1">{"Roofs Page 1",#N/A,FALSE,"Roof Outline";"Roofs Page 2",#N/A,FALSE,"Roof Outline"}</definedName>
    <definedName name="wrn.rpt96." hidden="1">{"rmrev1",#N/A,FALSE,"Forecast96";"rmrev2",#N/A,FALSE,"Forecast96";"rmrev3",#N/A,FALSE,"Forecast96"}</definedName>
    <definedName name="wrn.RRDOMINION._.TOWER." hidden="1">{#N/A,#N/A,FALSE,"Title Pg.- Summary of Rent Roll";#N/A,#N/A,FALSE,"SUMMARY OF RENT ROLL";#N/A,#N/A,FALSE,"SUMMARY OF FLOOR AREAS";#N/A,#N/A,FALSE,"Title Pg. - Rent Roll";#N/A,#N/A,FALSE,"RETAIL SECTION";#N/A,#N/A,FALSE,"OFFICES";#N/A,#N/A,FALSE,"STORAGE";#N/A,#N/A,FALSE,"MISCELLANEOUS";#N/A,#N/A,FALSE,"Title Pg.Rental Income Analysis";#N/A,#N/A,FALSE,"RENTAL INCOME ANALYSIS";#N/A,#N/A,FALSE,"Title Pg.-Lease Expirations";#N/A,#N/A,FALSE,"LEASE EXPIRATIONS"}</definedName>
    <definedName name="wrn.RV._.SAR." hidden="1">{#N/A,#N/A,FALSE,"COVER";#N/A,#N/A,FALSE,"WEEKLY SUMMARY";"RiverView I",#N/A,FALSE,"EAST TOWER";#N/A,#N/A,FALSE,"WEST TOWER";"Parking",#N/A,FALSE,"EAST TOWER"}</definedName>
    <definedName name="wrn.sales." hidden="1">{"sales",#N/A,FALSE,"Sales";"sales existing",#N/A,FALSE,"Sales";"sales rd1",#N/A,FALSE,"Sales";"sales rd2",#N/A,FALSE,"Sales"}</definedName>
    <definedName name="wrn.Sales._.Information." hidden="1">{#N/A,#N/A,FALSE,"Cover Page";#N/A,#N/A,FALSE,"Table of Contents";#N/A,#N/A,FALSE,"Investment-Acquisition Costs";#N/A,#N/A,FALSE,"Financing Assumptions";#N/A,#N/A,FALSE,"Proforma Assumptions";#N/A,#N/A,FALSE,"Rent Roll";#N/A,#N/A,FALSE,"Taxes and Assessments"}</definedName>
    <definedName name="wrn.Sales._.Package._.MPS._.01." hidden="1">{#N/A,#N/A,FALSE,"Cover Page";#N/A,#N/A,FALSE,"Table of Contents";#N/A,#N/A,FALSE,"Executive Summary";#N/A,#N/A,FALSE,"Investment-Acquisition Costs";#N/A,#N/A,FALSE,"Financing Assumptions";#N/A,#N/A,FALSE,"Rent Roll";#N/A,#N/A,FALSE,"Taxes and Assessments"}</definedName>
    <definedName name="wrn.SAMPLE." hidden="1">{"JPM1",#N/A,FALSE,"TI_All Projects"}</definedName>
    <definedName name="wrn.Savannah._.Place." hidden="1">{#N/A,#N/A,FALSE,"Investment Analysis ";#N/A,#N/A,FALSE,"Savannah Place"}</definedName>
    <definedName name="wrn.SB_PRES." hidden="1">{#N/A,#N/A,TRUE,"Sheet16"}</definedName>
    <definedName name="wrn.SBU._.STEERIN." hidden="1">{"TOTALS",#N/A,FALSE,"Consolidating Income Statement";"MONTHS",#N/A,FALSE,"Ag";"QTRS",#N/A,FALSE,"Ag";"MONTHS",#N/A,FALSE,"Turf";"QTRS",#N/A,FALSE,"Turf";"MONTHS",#N/A,FALSE,"Industrial";"QTRS",#N/A,FALSE,"Industrial";"MONTHS",#N/A,FALSE,"Parts";"QTRS",#N/A,FALSE,"Parts"}</definedName>
    <definedName name="wrn.Scenario." hidden="1">{"scen1",#N/A,FALSE,"Scenarios";"scen2",#N/A,FALSE,"Scenarios"}</definedName>
    <definedName name="wrn.Scenario._.Summary._.Comparisons." hidden="1">{#N/A,"Rolling Option",FALSE,"Scenario Variable Cells";"Legal Internal",#N/A,FALSE,"Cash Flow Proforma";#N/A,"Pad &amp; Roll",FALSE,"Scenario Variable Cells";"Legal Internal",#N/A,FALSE,"Cash Flow Proforma";#N/A,"SuperPads",FALSE,"Scenario Variable Cells";"Legal Internal",#N/A,FALSE,"Cash Flow Proforma";#N/A,"Finished",FALSE,"Scenario Variable Cells";"Legal Internal",#N/A,FALSE,"Cash Flow Proforma"}</definedName>
    <definedName name="wrn.SCHAs." hidden="1">{"ACCOUNTING COPY",#N/A,FALSE,"SCHEDULE A";"FINANCE COPY",#N/A,FALSE,"SCHEDULE A";"P.L. COPY",#N/A,FALSE,"SCHEDULE A"}</definedName>
    <definedName name="wrn.schas2" hidden="1">{"ACCOUNTING COPY",#N/A,FALSE,"SCHEDULE A";"FINANCE COPY",#N/A,FALSE,"SCHEDULE A";"P.L. COPY",#N/A,FALSE,"SCHEDULE A"}</definedName>
    <definedName name="wrn.SCHEDULE" hidden="1">{"SCHEDULE",#N/A,FALSE,"Fin_sched"}</definedName>
    <definedName name="wrn.Schedule_1A." hidden="1">{"Schedule_IA",#N/A,FALSE,"I-A"}</definedName>
    <definedName name="wrn.Schedule_1B." hidden="1">{"Schedule_1B",#N/A,FALSE,"I-B"}</definedName>
    <definedName name="wrn.Schedule_1C." hidden="1">{"Schedule_1C",#N/A,FALSE,"I-C"}</definedName>
    <definedName name="wrn.Schedule_1D." hidden="1">{"Schedule_1D",#N/A,FALSE,"I-D"}</definedName>
    <definedName name="wrn.Schedule_I." hidden="1">{"Schedule_I",#N/A,FALSE,"I"}</definedName>
    <definedName name="wrn.SCHEDULE." hidden="1">{"SCHEDULE",#N/A,FALSE,"Fin_sched"}</definedName>
    <definedName name="wrn.Schedule._.A." hidden="1">{"Schedule A",#N/A,FALSE,"Schedule A"}</definedName>
    <definedName name="wrn.Schedule._.B." hidden="1">{"Schedule B",#N/A,FALSE,"Schedule B"}</definedName>
    <definedName name="wrn.Schedule._.C." hidden="1">{"Schedule C",#N/A,FALSE,"Schedule C"}</definedName>
    <definedName name="wrn.Schedule._.D." hidden="1">{"Schedule D",#N/A,FALSE,"Schedule C-D"}</definedName>
    <definedName name="wrn.SCHEDULE._.H." hidden="1">{"ACCOUNT DETAIL",#N/A,FALSE,"SCHEDULE E";"ACCOUNT DETAIL",#N/A,FALSE,"SCHEDULE G";"ACCOUNT DETAIL",#N/A,FALSE,"SCHEDULE H";"ACCOUNT DETAIL",#N/A,FALSE,"SCHEDULE I"}</definedName>
    <definedName name="wrn.scheduleA." hidden="1">{"scheduleA",#N/A,FALSE,"CTT_CLO"}</definedName>
    <definedName name="wrn.scheduleB." hidden="1">{"scheduleB",#N/A,FALSE,"CTT_CLO"}</definedName>
    <definedName name="wrn.scheduleEF." hidden="1">{"scheduleEF",#N/A,FALSE,"CTT_CLO"}</definedName>
    <definedName name="wrn.scheduleF." hidden="1">{"scheduleF",#N/A,FALSE,"CTT_CLO"}</definedName>
    <definedName name="wrn.schedules." hidden="1">{"schedule1",#N/A,FALSE,"Sheet1";"schedule2",#N/A,FALSE,"Sheet1";"schedule3",#N/A,FALSE,"Sheet1";"schedule4",#N/A,FALSE,"Sheet1";"schedule5",#N/A,FALSE,"Sheet1";"schedule6",#N/A,FALSE,"Sheet1"}</definedName>
    <definedName name="wrn.SCHEDULES._.ABC." hidden="1">{#N/A,#N/A,FALSE,"SCHEDULE A";"MINIMUM RENT",#N/A,FALSE,"SCHEDULES B &amp; C";"PERCENTAGE RENT",#N/A,FALSE,"SCHEDULES B &amp; C"}</definedName>
    <definedName name="wrn.schedules._1" hidden="1">{"schedule1",#N/A,FALSE,"Sheet1";"schedule2",#N/A,FALSE,"Sheet1";"schedule3",#N/A,FALSE,"Sheet1";"schedule4",#N/A,FALSE,"Sheet1";"schedule5",#N/A,FALSE,"Sheet1";"schedule6",#N/A,FALSE,"Sheet1"}</definedName>
    <definedName name="wrn.schedules._2" hidden="1">{"schedule1",#N/A,FALSE,"Sheet1";"schedule2",#N/A,FALSE,"Sheet1";"schedule3",#N/A,FALSE,"Sheet1";"schedule4",#N/A,FALSE,"Sheet1";"schedule5",#N/A,FALSE,"Sheet1";"schedule6",#N/A,FALSE,"Sheet1"}</definedName>
    <definedName name="wrn.schedules._3" hidden="1">{"schedule1",#N/A,FALSE,"Sheet1";"schedule2",#N/A,FALSE,"Sheet1";"schedule3",#N/A,FALSE,"Sheet1";"schedule4",#N/A,FALSE,"Sheet1";"schedule5",#N/A,FALSE,"Sheet1";"schedule6",#N/A,FALSE,"Sheet1"}</definedName>
    <definedName name="wrn.schedules._4" hidden="1">{"schedule1",#N/A,FALSE,"Sheet1";"schedule2",#N/A,FALSE,"Sheet1";"schedule3",#N/A,FALSE,"Sheet1";"schedule4",#N/A,FALSE,"Sheet1";"schedule5",#N/A,FALSE,"Sheet1";"schedule6",#N/A,FALSE,"Sheet1"}</definedName>
    <definedName name="wrn.seafirst.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wrn.Secondary._.Competition." hidden="1">{#N/A,#N/A,FALSE,"Secondary"}</definedName>
    <definedName name="wrn.Sensitivities." hidden="1">{"Sensitivities",#N/A,FALSE,"Consolidated"}</definedName>
    <definedName name="wrn.Sensitivity." hidden="1">{"sen cf",#N/A,FALSE,"MODEL";"sen earn",#N/A,FALSE,"MODEL";"sen debt",#N/A,FALSE,"MODEL";"sen nav",#N/A,FALSE,"MODEL"}</definedName>
    <definedName name="wrn.Sep._.Forecast." hidden="1">{"Sep",#N/A,FALSE,"Manager Report"}</definedName>
    <definedName name="wrn.Seperate._.Account._.1." hidden="1">{"S/A1 Assumptions",#N/A,TRUE,"SA1 Quarterly";"S/A1 Annual",#N/A,TRUE,"SA1 Quarterly";"S/A1 Quarterly",#N/A,TRUE,"SA1 Quarterly"}</definedName>
    <definedName name="wrn.shamrock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eet._.Rock." hidden="1">{"Sheet Rock MIR Fund Structure",#N/A,FALSE,"Sheet Rock Summary";"Sheet Rock Summary",#N/A,FALSE,"Sheet Rock Summary";"Sheet Rock Assumptions",#N/A,FALSE,"Sheet Rock Summary"}</definedName>
    <definedName name="wrn.Short." hidden="1">{#N/A,#N/A,FALSE,"ExecutiveSummary";#N/A,#N/A,FALSE,"CostDetail";#N/A,#N/A,FALSE,"IncomeDetail"}</definedName>
    <definedName name="wrn.Short._.Print." hidden="1">{#N/A,#N/A,FALSE,"Cover";#N/A,#N/A,FALSE,"Stack";#N/A,#N/A,FALSE,"Cost S";#N/A,#N/A,FALSE," CF";#N/A,#N/A,FALSE,"Investor"}</definedName>
    <definedName name="wrn.Side._.by._.Side." hidden="1">{"Side 99",#N/A,FALSE,"S&amp;U Side by Side"}</definedName>
    <definedName name="wrn.Site._.Development._.Package." hidden="1">{#N/A,#N/A,TRUE,"Site Dev P1";#N/A,#N/A,TRUE,"SD P2";#N/A,#N/A,TRUE,"SD P3"}</definedName>
    <definedName name="wrn.sitq." hidden="1">{#N/A,#N/A,FALSE,"Title Page - Sitq";#N/A,#N/A,FALSE,"Index - Sitq";#N/A,#N/A,FALSE,"Stmt of Income";#N/A,#N/A,FALSE,"Balance Sheet - Audit Comm";#N/A,#N/A,FALSE,"Stmt of Retained Earnings";#N/A,#N/A,FALSE,"Total Cash Flow";#N/A,#N/A,FALSE,"S.C.F.P.";#N/A,#N/A,FALSE,"Budget to Actual";#N/A,#N/A,FALSE,"Appraisal surplus";#N/A,#N/A,FALSE,"FMV";#N/A,#N/A,FALSE,"Ratios";#N/A,#N/A,FALSE,"Properties";#N/A,#N/A,FALSE,"Secured Debt";#N/A,#N/A,FALSE,"Mortgage Bonds";#N/A,#N/A,FALSE,"Bank Operating Lines";#N/A,#N/A,FALSE,"Share Capital";#N/A,#N/A,FALSE,"Rental Operating Results";#N/A,#N/A,FALSE,"G. &amp;  A.";#N/A,#N/A,FALSE,"Property Sales";#N/A,#N/A,FALSE,"Accounts receivable ";#N/A,#N/A,FALSE,"Accounts payable";#N/A,#N/A,FALSE,"Budget Analysis";#N/A,#N/A,FALSE,"Mezzanine"}</definedName>
    <definedName name="wrn.SITQ._.Net._.Income._.Adjustment." hidden="1">{"SITQ view of BCLP 4 months income statement",#N/A,TRUE,"BCLP 4 MO IS";#N/A,#N/A,TRUE,"Comparison to March Fcst";#N/A,#N/A,TRUE,"BCLP Forecast"}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uthTrust." hidden="1">{"SouthTrust-Investor",#N/A,FALSE,"SouthTrust";"SouthTrust-Property",#N/A,FALSE,"SouthTrust"}</definedName>
    <definedName name="wrn.Special._.Project." hidden="1">{#N/A,#N/A,TRUE,"Cedar Branch Apartments";#N/A,#N/A,TRUE,"Creekbend Apartments";#N/A,#N/A,TRUE,"Heatherwood Apartments";#N/A,#N/A,TRUE,"Rockport Apartments";#N/A,#N/A,TRUE,"Sale on 30-Sep-96";#N/A,#N/A,TRUE,"Sale on 30-Sep-97";#N/A,#N/A,TRUE,"Sale on 30-Sep-98"}</definedName>
    <definedName name="wrn.SPG._.Estimate." hidden="1">{#N/A,#N/A,FALSE,"Detail";#N/A,#N/A,FALSE,"Totals"}</definedName>
    <definedName name="wrn.Spread._.Sheet." hidden="1">{#N/A,#N/A,FALSE,"spread"}</definedName>
    <definedName name="wrn.Spreadsheet." hidden="1">{"Spreadsheet",#N/A,FALSE,"Spreadsheet"}</definedName>
    <definedName name="wrn.Stadium._.PCD." hidden="1">{#N/A,#N/A,TRUE,"Ericsson Stadium PCD ";#N/A,#N/A,TRUE,"Ericsson Stadium IOR"}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" hidden="1">{"GENERAL INPUT",#N/A,FALSE,"GENERAL INPUT";"PROFORMA DRAW SCHEDULE",#N/A,FALSE,"WORKSHEET";"BUDGET ALL",#N/A,FALSE,"BUDGET";"OPERATING ALL",#N/A,FALSE,"OPERATING";"DRAW ESTIMATES",#N/A,FALSE,"DRAWS";"SOURCES &amp; USES",#N/A,FALSE,"SOURCES &amp; USES"}</definedName>
    <definedName name="wrn.Standard._.Report." hidden="1">{#N/A,#N/A,FALSE,"Summary";#N/A,#N/A,FALSE,"Construction";#N/A,#N/A,FALSE,"Cash Flow"}</definedName>
    <definedName name="wrn.Standard._.Reports." hidden="1">{"Const_Monthly",#N/A,FALSE,"Construction";"Construction_Summary",#N/A,FALSE,"Construction";"Cash_Flow",#N/A,FALSE,"Cash Flow";"Summary",#N/A,FALSE,"Summary";"Finsumm",#N/A,FALSE,"Summary Analysis";"Loanrecap",#N/A,FALSE,"Construction"}</definedName>
    <definedName name="wrn.Standard._1" hidden="1">{"Summary",#N/A,TRUE,"Model";"Value",#N/A,TRUE,"Model";"Sensitivity",#N/A,TRUE,"Model";"Discount",#N/A,TRUE,"Model";"Cash Flows",#N/A,TRUE,"Model";"Equity/DCF/Yield",#N/A,TRUE,"Model";"Splits",#N/A,TRUE,"Model";"Promote I",#N/A,TRUE,"Model";"Promote II",#N/A,TRUE,"Model";"Assumptions",#N/A,TRUE,"Model"}</definedName>
    <definedName name="wrn.Standard._2" hidden="1">{"Summary",#N/A,TRUE,"Model";"Value",#N/A,TRUE,"Model";"Sensitivity",#N/A,TRUE,"Model";"Discount",#N/A,TRUE,"Model";"Cash Flows",#N/A,TRUE,"Model";"Equity/DCF/Yield",#N/A,TRUE,"Model";"Splits",#N/A,TRUE,"Model";"Promote I",#N/A,TRUE,"Model";"Promote II",#N/A,TRUE,"Model";"Assumptions",#N/A,TRUE,"Model"}</definedName>
    <definedName name="wrn.Standard._3" hidden="1">{"Summary",#N/A,TRUE,"Model";"Value",#N/A,TRUE,"Model";"Sensitivity",#N/A,TRUE,"Model";"Discount",#N/A,TRUE,"Model";"Cash Flows",#N/A,TRUE,"Model";"Equity/DCF/Yield",#N/A,TRUE,"Model";"Splits",#N/A,TRUE,"Model";"Promote I",#N/A,TRUE,"Model";"Promote II",#N/A,TRUE,"Model";"Assumptions",#N/A,TRUE,"Model"}</definedName>
    <definedName name="wrn.Statements." hidden="1">{"Co1statements",#N/A,FALSE,"Cmpy1";"Co2statement",#N/A,FALSE,"Cmpy2";"co1pm",#N/A,FALSE,"Co1PM";"co2PM",#N/A,FALSE,"Co2PM";"value",#N/A,FALSE,"value";"opco",#N/A,FALSE,"NewSparkle";"adjusts",#N/A,FALSE,"Adjustments"}</definedName>
    <definedName name="wrn.Sterling_House." hidden="1">{"One",#N/A,FALSE,"SterlingHouse";"Two",#N/A,FALSE,"SterlingHouse";"Three",#N/A,FALSE,"SterlingHouse";"Four",#N/A,FALSE,"SterlingHouse";"Five",#N/A,FALSE,"SterlingHouse"}</definedName>
    <definedName name="wrn.Sterling._.House." hidden="1">{"One",#N/A,FALSE,"SterlingHouse";"Two",#N/A,FALSE,"SterlingHouse";"Three",#N/A,FALSE,"SterlingHouse";"Four",#N/A,FALSE,"SterlingHouse";"Five",#N/A,FALSE,"SterlingHouse"}</definedName>
    <definedName name="wrn.STETSON." hidden="1">{"Page1",#N/A,FALSE,"ASSUMPTIONS";"Page2",#N/A,FALSE,"MER-CODE";"page3",#N/A,FALSE,"MER-ALONE";"page4",#N/A,FALSE,"MER-COMB";"page5",#N/A,FALSE,"exec dtl";"page6",#N/A,FALSE,"count";#N/A,#N/A,FALSE,"MergerSum";"page6",#N/A,FALSE,"MergerSum";"page7",#N/A,FALSE,"benfts escaltn";"page8",#N/A,FALSE,"ben_load";"page9",#N/A,FALSE,"Labor Inputs";"page10",#N/A,FALSE,"Reduction Comparison";"page11",#N/A,FALSE,"Cypress labor";"page12",#N/A,FALSE,"ROCKET labor";"page13",#N/A,FALSE,"EXEC";"page14",#N/A,FALSE,"LEG";"page15",#N/A,FALSE,"XREL";"page16",#N/A,FALSE,"FIN";"page17",#N/A,FALSE,"HR";"page18",#N/A,FALSE,"IR";"page19",#N/A,FALSE,"A&amp;S";"page20",#N/A,FALSE,"RET";"page21",#N/A,FALSE,"CUS";"page22",#N/A,FALSE,"PRO";"page23",#N/A,FALSE,"TRANS";"page24",#N/A,FALSE,"DIST";"page25",#N/A,FALSE,"EST";"page26",#N/A,FALSE,"COAL";"page27",#N/A,FALSE,"OIL &amp; GAS";"page28",#N/A,FALSE,"GAS SUPPLY";"page29",#N/A,FALSE,"NUC";"page30",#N/A,FALSE,"NONREG"}</definedName>
    <definedName name="wrn.stetson1" hidden="1">{"Page1",#N/A,FALSE,"ASSUMPTIONS";"Page2",#N/A,FALSE,"MER-CODE";"page3",#N/A,FALSE,"MER-ALONE";"page4",#N/A,FALSE,"MER-COMB";"page5",#N/A,FALSE,"exec dtl";"page6",#N/A,FALSE,"count";#N/A,#N/A,FALSE,"MergerSum";"page6",#N/A,FALSE,"MergerSum";"page7",#N/A,FALSE,"benfts escaltn";"page8",#N/A,FALSE,"ben_load";"page9",#N/A,FALSE,"Labor Inputs";"page10",#N/A,FALSE,"Reduction Comparison";"page11",#N/A,FALSE,"Cypress labor";"page12",#N/A,FALSE,"ROCKET labor";"page13",#N/A,FALSE,"EXEC";"page14",#N/A,FALSE,"LEG";"page15",#N/A,FALSE,"XREL";"page16",#N/A,FALSE,"FIN";"page17",#N/A,FALSE,"HR";"page18",#N/A,FALSE,"IR";"page19",#N/A,FALSE,"A&amp;S";"page20",#N/A,FALSE,"RET";"page21",#N/A,FALSE,"CUS";"page22",#N/A,FALSE,"PRO";"page23",#N/A,FALSE,"TRANS";"page24",#N/A,FALSE,"DIST";"page25",#N/A,FALSE,"EST";"page26",#N/A,FALSE,"COAL";"page27",#N/A,FALSE,"OIL &amp; GAS";"page28",#N/A,FALSE,"GAS SUPPLY";"page29",#N/A,FALSE,"NUC";"page30",#N/A,FALSE,"NONREG"}</definedName>
    <definedName name="wrn.stetson2" hidden="1">{"Page1",#N/A,FALSE,"ASSUMPTIONS";"Page2",#N/A,FALSE,"MER-CODE";"page3",#N/A,FALSE,"MER-ALONE";"page4",#N/A,FALSE,"MER-COMB";"page5",#N/A,FALSE,"exec dtl";"page6",#N/A,FALSE,"count";#N/A,#N/A,FALSE,"MergerSum";"page6",#N/A,FALSE,"MergerSum";"page7",#N/A,FALSE,"benfts escaltn";"page8",#N/A,FALSE,"ben_load";"page9",#N/A,FALSE,"Labor Inputs";"page10",#N/A,FALSE,"Reduction Comparison";"page11",#N/A,FALSE,"Cypress labor";"page12",#N/A,FALSE,"ROCKET labor";"page13",#N/A,FALSE,"EXEC";"page14",#N/A,FALSE,"LEG";"page15",#N/A,FALSE,"XREL";"page16",#N/A,FALSE,"FIN";"page17",#N/A,FALSE,"HR";"page18",#N/A,FALSE,"IR";"page19",#N/A,FALSE,"A&amp;S";"page20",#N/A,FALSE,"RET";"page21",#N/A,FALSE,"CUS";"page22",#N/A,FALSE,"PRO";"page23",#N/A,FALSE,"TRANS";"page24",#N/A,FALSE,"DIST";"page25",#N/A,FALSE,"EST";"page26",#N/A,FALSE,"COAL";"page27",#N/A,FALSE,"OIL &amp; GAS";"page28",#N/A,FALSE,"GAS SUPPLY";"page29",#N/A,FALSE,"NUC";"page30",#N/A,FALSE,"NONREG"}</definedName>
    <definedName name="wrn.Store._.cash._.flows." hidden="1">{#N/A,"1",FALSE,"Store Graphs";#N/A,"2",FALSE,"Store Graphs";#N/A,"3",FALSE,"Store Graphs";#N/A,"4",FALSE,"Store Graphs";#N/A,"5",FALSE,"Store Graphs";#N/A,"6",FALSE,"Store Graphs";#N/A,"7",FALSE,"Store Graphs";#N/A,"8",FALSE,"Store Graphs";#N/A,"9",FALSE,"Store Graphs";#N/A,"10",FALSE,"Store Graphs";#N/A,"11",FALSE,"Store Graphs";#N/A,"12",FALSE,"Store Graphs";#N/A,"13",FALSE,"Store Graphs";#N/A,"14",FALSE,"Store Graphs";#N/A,"15",FALSE,"Store Graphs";#N/A,"16",FALSE,"Store Graphs";#N/A,"17",FALSE,"Store Graphs";#N/A,"18",FALSE,"Store Graphs";#N/A,"23",FALSE,"Store Graphs";#N/A,"24",FALSE,"Store Graphs";#N/A,"25",FALSE,"Store Graphs";#N/A,"26",FALSE,"Store Graphs";#N/A,"27",FALSE,"Store Graphs";#N/A,"68",FALSE,"Store Graphs";#N/A,"69",FALSE,"Store Graphs";#N/A,"70",FALSE,"Store Graphs";#N/A,"71",FALSE,"Store Graphs";#N/A,"72",FALSE,"Store Graphs";#N/A,"73",FALSE,"Store Graphs";#N/A,"74",FALSE,"Store Graphs";#N/A,"75",FALSE,"Store Graphs";#N/A,"76",FALSE,"Store Graphs";#N/A,"77",FALSE,"Store Graphs";#N/A,"78",FALSE,"Store Graphs";#N/A,"79",FALSE,"Store Graphs";#N/A,"80",FALSE,"Store Graphs";#N/A,"81",FALSE,"Store Graphs";#N/A,"82",FALSE,"Store Graphs";#N/A,"83",FALSE,"Store Graphs";#N/A,"84",FALSE,"Store Graphs";#N/A,"85",FALSE,"Store Graphs";#N/A,"86",FALSE,"Store Graphs";#N/A,"87",FALSE,"Store Graphs";#N/A,"88",FALSE,"Store Graphs";#N/A,"89",FALSE,"Store Graphs";#N/A,"90",FALSE,"Store Graphs";#N/A,"91",FALSE,"Store Graphs";#N/A,"92",FALSE,"Store Graphs";#N/A,"93",FALSE,"Store Graphs";#N/A,"94",FALSE,"Store Graphs";#N/A,"95",FALSE,"Store Graphs";#N/A,"96",FALSE,"Store Graphs";#N/A,"162",FALSE,"Store Graphs";#N/A,"163",FALSE,"Store Graphs";#N/A,"164",FALSE,"Store Graphs";#N/A,"165",FALSE,"Store Graphs";#N/A,"166",FALSE,"Store Graphs";#N/A,"182",FALSE,"Store Graphs";#N/A,"183",FALSE,"Store Graphs";#N/A,"184",FALSE,"Store Graphs";#N/A,"185",FALSE,"Store Graphs";#N/A,"186",FALSE,"Store Graphs";#N/A,"187",FALSE,"Store Graphs";#N/A,"188",FALSE,"Store Graphs";#N/A,"189",FALSE,"Store Graphs";#N/A,"190",FALSE,"Store Graphs";#N/A,"191",FALSE,"Store Graphs";#N/A,"192",FALSE,"Store Graphs";#N/A,"193",FALSE,"Store Graphs";#N/A,"194",FALSE,"Store Graphs";#N/A,"195",FALSE,"Store Graphs";#N/A,"196",FALSE,"Store Graphs";#N/A,"197",FALSE,"Store Graphs";#N/A,"198",FALSE,"Store Graphs";#N/A,"199",FALSE,"Store Graphs";#N/A,"200",FALSE,"Store Graphs";#N/A,"201",FALSE,"Store Graphs";#N/A,"202",FALSE,"Store Graphs";#N/A,"203",FALSE,"Store Graphs";#N/A,"244",FALSE,"Store Graphs";#N/A,"245",FALSE,"Store Graphs";#N/A,"246",FALSE,"Store Graphs";#N/A,"247",FALSE,"Store Graphs";#N/A,"248",FALSE,"Store Graphs";#N/A,"249",FALSE,"Store Graphs";#N/A,"250",FALSE,"Store Graphs";#N/A,"251",FALSE,"Store Graphs";#N/A,"252",FALSE,"Store Graphs";#N/A,"253",FALSE,"Store Graphs";#N/A,"254",FALSE,"Store Graphs";#N/A,"255",FALSE,"Store Graphs";#N/A,"256",FALSE,"Store Graphs";#N/A,"257",FALSE,"Store Graphs";#N/A,"258",FALSE,"Store Graphs";#N/A,"259",FALSE,"Store Graphs";#N/A,"260",FALSE,"Store Graphs";#N/A,"261",FALSE,"Store Graphs";#N/A,"262",FALSE,"Store Graphs";#N/A,"263",FALSE,"Store Graphs";#N/A,"264",FALSE,"Store Graphs";#N/A,"265",FALSE,"Store Graphs";#N/A,"266",FALSE,"Store Graphs";#N/A,"267",FALSE,"Store Graphs";#N/A,"268",FALSE,"Store Graphs";#N/A,"269",FALSE,"Store Graphs";#N/A,"270",FALSE,"Store Graphs";#N/A,"271",FALSE,"Store Graphs";#N/A,"272",FALSE,"Store Graphs";#N/A,"273",FALSE,"Store Graphs";#N/A,"274",FALSE,"Store Graphs";#N/A,"275",FALSE,"Store Graphs";#N/A,"339",FALSE,"Store Graphs";#N/A,"340",FALSE,"Store Graphs";#N/A,"341",FALSE,"Store Graphs";#N/A,"342",FALSE,"Store Graphs";#N/A,"343",FALSE,"Store Graphs";#N/A,"344",FALSE,"Store Graphs";#N/A,"345",FALSE,"Store Graphs";#N/A,"346",FALSE,"Store Graphs";#N/A,"347",FALSE,"Store Graphs";#N/A,"348",FALSE,"Store Graphs";#N/A,"349",FALSE,"Store Graphs";#N/A,"350",FALSE,"Store Graphs";#N/A,"351",FALSE,"Store Graphs";#N/A,"352",FALSE,"Store Graphs";#N/A,"353",FALSE,"Store Graphs"}</definedName>
    <definedName name="wrn.Strengths._.Weaknesses." hidden="1">{#N/A,#N/A,FALSE,"Strengths &amp; Weaknesses"}</definedName>
    <definedName name="wrn.Structural._.Frame." hidden="1">{"structural",#N/A,FALSE,"DETAIL.XLS"}</definedName>
    <definedName name="wrn.Submittal._.Reconciliation._.Schedule." hidden="1">{"Submittable Reconciliation Schedule",#N/A,FALSE,"Reconciliation";"GSCP2 PCS 30 Day",#N/A,FALSE,"GSCP2 PCS 30 Day Activity List"}</definedName>
    <definedName name="wrn.Sugar." hidden="1">{"Sugar-Investor",#N/A,FALSE,"Sugar";"Sugar-Property",#N/A,FALSE,"Sugar"}</definedName>
    <definedName name="wrn.SUM._.ONLY." hidden="1">{"SUMMARY",#N/A,FALSE,"BIDSUM"}</definedName>
    <definedName name="wrn.SUM._.WITH._.GC." hidden="1">{"SUMMARY",#N/A,FALSE,"BIDSUM";"SUMALTS",#N/A,FALSE,"BIDSUM";#N/A,#N/A,FALSE,"GCOND"}</definedName>
    <definedName name="wrn.Summaries." hidden="1">{#N/A,#N/A,FALSE,"Summaries &amp; NOI Compare";#N/A,#N/A,FALSE,"Consolidate Portfolio";#N/A,#N/A,FALSE,"Consolidate TERA";#N/A,#N/A,FALSE,"Consolidate II";#N/A,#N/A,FALSE,"Consolidate IV";#N/A,#N/A,FALSE,"Consolidate II &amp; IV";#N/A,#N/A,FALSE,"Consolidate V";#N/A,#N/A,FALSE,"2001 PortSum";#N/A,#N/A,FALSE,"2001 Summary";#N/A,#N/A,FALSE,"2002 PortSum";#N/A,#N/A,FALSE,"2002 Summary";#N/A,#N/A,FALSE,"2003 PortSum";#N/A,#N/A,FALSE,"2003 Summary";#N/A,#N/A,FALSE,"2004 Budg PortSum";#N/A,#N/A,FALSE,"2004 Budg Summ";#N/A,#N/A,FALSE,"Econ Occupancy"}</definedName>
    <definedName name="wrn.summary_Parameters_tariffs." hidden="1">{"summary1",#N/A,FALSE,"Total Project Economics";"Plant Parameters",#N/A,FALSE,"Total Project Economics";"Tariffs_Unit Prices_Costs",#N/A,FALSE,"Total Project Economics"}</definedName>
    <definedName name="wrn.Summary." hidden="1">{#N/A,#N/A,FALSE,"Summary"}</definedName>
    <definedName name="wrn.Summary._._NEW." hidden="1">{"Summary1",#N/A,FALSE,"Summary";"Land Dev. Budget",#N/A,FALSE,"Summary";"Program1",#N/A,FALSE,"Summary";"Summary1",#N/A,FALSE,"Office &amp; Retail-Summary";"Residential Summary",#N/A,FALSE,"Summary";"Project CF - Annual New",#N/A,FALSE,"Summary";"Debt - Annual New",#N/A,FALSE,"Summary";"Project Revenues - Annual - New",#N/A,FALSE,"Summary";"Infrastructure Budget - Annual",#N/A,FALSE,"Infrastructure Budget"}</definedName>
    <definedName name="wrn.Summary._.and._.Budget." hidden="1">{#N/A,#N/A,TRUE,"Summary";#N/A,#N/A,TRUE,"Budget"}</definedName>
    <definedName name="wrn.Summary._.Budget._.Assumptions." hidden="1">{#N/A,#N/A,TRUE,"Summary";#N/A,#N/A,TRUE,"Budget";#N/A,#N/A,TRUE,"Assumptions"}</definedName>
    <definedName name="wrn.Summary._.Budget._.Stack._.Assumptions." hidden="1">{#N/A,#N/A,TRUE,"Summary";#N/A,#N/A,TRUE,"Budget";#N/A,#N/A,TRUE,"Stack";#N/A,#N/A,TRUE,"Assumptions"}</definedName>
    <definedName name="wrn.Summary._.ComboBiz." hidden="1">{"EnterpriseValue",#N/A,TRUE,"Total EV";"CombinedBiz CF",#N/A,TRUE,"Combined Biz CF";"Overhead&amp;Expenses",#N/A,TRUE,"Full Budget";"StaffingBudget",#N/A,TRUE,"Staff"}</definedName>
    <definedName name="wrn.Summary._.Excluding._.DHC." hidden="1">{"Summary Excluding DHC",#N/A,FALSE,"SUMMARY"}</definedName>
    <definedName name="wrn.Summary._.incl._.Monthly._.CF." hidden="1">{"Summary1",#N/A,FALSE,"Summary";"Land Dev. Budget",#N/A,FALSE,"Summary";"Program1",#N/A,FALSE,"Summary";"SumCF 1",#N/A,FALSE,"Summary";"SumCF 2",#N/A,FALSE,"Summary";"VentureMonthlyCF",#N/A,FALSE,"Monthly Cash Flow";"VentureMonthlyCF2",#N/A,FALSE,"Monthly Cash Flow";"VentureMonthlyCF3",#N/A,FALSE,"Monthly Cash Flow";"Debt Summary",#N/A,FALSE,"Summary";"DebtMonthlyCF1",#N/A,FALSE,"Monthly Cash Flow";"DebtMonthlyCF2",#N/A,FALSE,"Monthly Cash Flow";"DebtMonthlyCF3",#N/A,FALSE,"Monthly Cash Flow";"Residential Summary",#N/A,FALSE,"Summary";"Res Neighborhood Monthly CF",#N/A,FALSE,"Residential - Monthly";"Office &amp; Retail Dev. Schedule",#N/A,FALSE,"Summary";"Office &amp; Retail CF",#N/A,FALSE,"Summary";"Office &amp; Retail Monthly1",#N/A,FALSE,"Summary";"Office &amp; Retail Monthly2",#N/A,FALSE,"Summary";"Office &amp; Retail Monthly3",#N/A,FALSE,"Summary";"Timeline",#N/A,FALSE,"Summary";"Res Constr &amp; Sales Timeline",#N/A,FALSE,"Summary";"Loan Timeline",#N/A,FALSE,"Summary"}</definedName>
    <definedName name="wrn.Summary._.Including._.DHC." hidden="1">{"Summary Including DHC",#N/A,FALSE,"SUMMARY"}</definedName>
    <definedName name="wrn.Summary._.New." hidden="1">{"Venture Summary",#N/A,FALSE,"Summary";"Annual Cash Flows",#N/A,FALSE,"Summary";"Development Budget",#N/A,FALSE,"Summary";"Argus Assumptions",#N/A,FALSE,"Argus Assumptions";"Development Budget Detail",#N/A,FALSE,"Dev PF"}</definedName>
    <definedName name="wrn.Summary._.No._.Footer." hidden="1">{"Budget No Footer",#N/A,FALSE,"Budget";"Assumptions No Footer",#N/A,FALSE,"Assumptions";"Pro Forma No Footer",#N/A,FALSE,"Pro Forma";"Investment No Footer",#N/A,FALSE,"Investment"}</definedName>
    <definedName name="wrn.Summary._.Overview." hidden="1">{#N/A,#N/A,FALSE,"OVERVIEW"}</definedName>
    <definedName name="wrn.Summary._.Pages." hidden="1">{"Summary",#N/A,TRUE,"Summary";"Venture Cash Flow",#N/A,TRUE,"Summary";"Venture Costs &amp; Income Summary",#N/A,TRUE,"Summary";"Timeline",#N/A,TRUE,"Summary";"Development Budget",#N/A,TRUE,"Summary"}</definedName>
    <definedName name="wrn.Summary._.Print." hidden="1">{"Summary",#N/A,FALSE,"Mkt Summary";"Development Budget",#N/A,FALSE,"Mkt Summary";"Sensitivity Tables",#N/A,FALSE,"Mkt Summary";"Mkt Rent Detail",#N/A,FALSE,"Mkt Rent&amp;Exp";"Mkt Expense Detail",#N/A,FALSE,"Mkt Rent&amp;Exp";"Operating Assumptions",#N/A,FALSE,"Mkt Rent&amp;Exp";"Mkt DevPF",#N/A,FALSE,"Mkt DevPF";"Mkt Annual - New",#N/A,FALSE,"Mkt Annual"}</definedName>
    <definedName name="wrn.Summary._.Schedule." hidden="1">{#N/A,#N/A,FALSE,"Smry1";#N/A,#N/A,FALSE,"Smry2";#N/A,#N/A,FALSE,"Finance Cash Flow"}</definedName>
    <definedName name="wrn.Summary._.Schedules." hidden="1">{"Budget",#N/A,FALSE,"Budget";"Assumptions",#N/A,FALSE,"Assumptions";"Financing",#N/A,FALSE,"Financing";"Pro Forma",#N/A,FALSE,"Pro Forma";"Project Returns",#N/A,FALSE,"Pro Forma";"Investment",#N/A,FALSE,"Investment"}</definedName>
    <definedName name="wrn.Summary._.w._.Quarterly." hidden="1">{"Summary Page 1",#N/A,TRUE,"Assumptions";"Annual Page 1",#N/A,TRUE,"Assumptions";"Annual Page 2",#N/A,TRUE,"Assumptions";"Annual Page 3",#N/A,TRUE,"Assumptions";"Annual Page 4",#N/A,TRUE,"Assumptions";"Annual Page 5",#N/A,TRUE,"Assumptions";"Annual Page 6",#N/A,TRUE,"Assumptions";"Quarterly PAge 1",#N/A,TRUE,"Assumptions";"Quarterly PAge 2",#N/A,TRUE,"Assumptions";"Quarterly Page 3",#N/A,TRUE,"Assumptions";"Quarterly Page 4",#N/A,TRUE,"Assumptions";"Quarterly Page 5",#N/A,TRUE,"Assumptions";"Quarterly Page 6",#N/A,TRUE,"Assumptions";"Quarterly Page 7",#N/A,TRUE,"Assumptions";"Quarterly Page 8",#N/A,TRUE,"Assumptions"}</definedName>
    <definedName name="wrn.Summary._.with._.Page._.Number." hidden="1">{"Budget with page #",#N/A,FALSE,"Budget";"Assumptions with page #",#N/A,FALSE,"Assumptions";"Financing with page #",#N/A,FALSE,"Financing";"Pro Forma with page #",#N/A,FALSE,"Pro Forma";"Project Returns with page #",#N/A,FALSE,"Pro Forma"}</definedName>
    <definedName name="wrn.Summary._1" hidden="1">{#N/A,#N/A,FALSE,"Summary"}</definedName>
    <definedName name="wrn.Summary._2" hidden="1">{#N/A,#N/A,FALSE,"Summary"}</definedName>
    <definedName name="wrn.Summary._3" hidden="1">{#N/A,#N/A,FALSE,"Summary"}</definedName>
    <definedName name="wrn.Summary._4" hidden="1">{#N/A,#N/A,FALSE,"Summary"}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MMSPREAD." hidden="1">{#N/A,#N/A,FALSE,"Master Summary";#N/A,#N/A,FALSE,"30 Irving Pl - Rem Obl";#N/A,#N/A,FALSE,"30 Irving Pl - Sublease";#N/A,#N/A,FALSE,"597 Fifth"}</definedName>
    <definedName name="wrn.SunModel." hidden="1">{#N/A,#N/A,FALSE,"summary";#N/A,#N/A,FALSE,"SIH";#N/A,#N/A,FALSE,"SIH Value";#N/A,#N/A,FALSE,"tax est.";#N/A,#N/A,FALSE,"Mohegan";#N/A,#N/A,FALSE,"Resorts";#N/A,#N/A,FALSE,"Win Per Day";#N/A,#N/A,FALSE,"CapStr"}</definedName>
    <definedName name="wrn.Supplemental._.Pkg.." hidden="1">{#N/A,#N/A,FALSE,"Cover";#N/A,#N/A,FALSE,"Index";#N/A,#N/A,FALSE,"Supp. A";#N/A,#N/A,FALSE,"Supp. B";#N/A,#N/A,FALSE,"Supp. C";#N/A,#N/A,FALSE,"Supp. D";#N/A,#N/A,FALSE,"Supp. E";#N/A,#N/A,FALSE,"Supp. F";#N/A,#N/A,FALSE,"Supp. G";#N/A,#N/A,FALSE,"Supp. H";#N/A,#N/A,FALSE,"Supp. I";#N/A,#N/A,FALSE,"Supp. J";#N/A,#N/A,FALSE,"Supp. K";#N/A,#N/A,FALSE,"Supp. L"}</definedName>
    <definedName name="wrn.Supplementary._.Info." hidden="1">{"Audit and Pension Costs",#N/A,FALSE,"Supp";"Interest Paid and Loans",#N/A,FALSE,"Supp";"Details of Assoc. Coys.",#N/A,FALSE,"Supp"}</definedName>
    <definedName name="wrn.Supply._.Additions." hidden="1">{#N/A,#N/A,FALSE,"Supply Addn"}</definedName>
    <definedName name="wrn.Support._.Data." hidden="1">{"Analysis of Non Group Investments",#N/A,TRUE,"Support";"Income And Gains",#N/A,TRUE,"Support";"Inter Coy Interest and Divs",#N/A,TRUE,"Support";"Divs paid and payable",#N/A,TRUE,"Support";"Amounts due to Group Coys",#N/A,TRUE,"Support";"Amounts due from Group Coys.",#N/A,TRUE,"Support";"Holdings In Group Coys",#N/A,TRUE,"Support";"Cash Flow",#N/A,TRUE,"Support";"Staff Nos.",#N/A,TRUE,"Support"}</definedName>
    <definedName name="wrn.surveillance." hidden="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yndication." hidden="1">{#N/A,#N/A,FALSE,"Assumptions";"Section 1",#N/A,FALSE,"SYNDICATION MODEL";"Section 2",#N/A,FALSE,"SYNDICATION MODEL";#N/A,#N/A,FALSE,"Input Sheet";#N/A,#N/A,FALSE,"SYNDICATION ROE"}</definedName>
    <definedName name="wrn.TANASBOURNE._.ONLY." hidden="1">{#N/A,#N/A,FALSE,"Expense Comparison"}</definedName>
    <definedName name="wrn.TANASBOURNE._.ONLY._1" hidden="1">{#N/A,#N/A,FALSE,"Expense Comparison"}</definedName>
    <definedName name="wrn.TANASBOURNE._.ONLY._2" hidden="1">{#N/A,#N/A,FALSE,"Expense Comparison"}</definedName>
    <definedName name="wrn.TANASBOURNE._.ONLY._3" hidden="1">{#N/A,#N/A,FALSE,"Expense Comparison"}</definedName>
    <definedName name="wrn.TANASBOURNE._.ONLY._4" hidden="1">{#N/A,#N/A,FALSE,"Expense Comparison"}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Comparison." hidden="1">{"Target Comparison",#N/A,FALSE,"Summary"}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axes." hidden="1">{"taxes",#N/A,FALSE,"CTT_CLO"}</definedName>
    <definedName name="wrn.Taxes._.Title._.Insurance." hidden="1">{#N/A,#N/A,FALSE,"Taxes, Insurance, Title"}</definedName>
    <definedName name="wrn.Tear._.Sheets." hidden="1">{#N/A,#N/A,FALSE,"ATW";#N/A,#N/A,FALSE,"DO";#N/A,#N/A,FALSE,"ESV";#N/A,#N/A,FALSE,"GLM";#N/A,#N/A,FALSE,"MRL";#N/A,#N/A,FALSE,"NE";#N/A,#N/A,FALSE,"PDE";#N/A,#N/A,FALSE,"FLC";#N/A,#N/A,FALSE,"RDC";#N/A,#N/A,FALSE,"SDC";#N/A,#N/A,FALSE,"RIG"}</definedName>
    <definedName name="wrn.Template.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mplate._1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nants." hidden="1">{#N/A,#N/A,FALSE,"TENANTS"}</definedName>
    <definedName name="wrn.test." hidden="1">{"test2",#N/A,TRUE,"Prices"}</definedName>
    <definedName name="wrn.test._1" hidden="1">{"coverpage",#N/A,TRUE,"Sheet1";"valuation",#N/A,TRUE,"Sheet1"}</definedName>
    <definedName name="wrn.test._2" hidden="1">{"coverpage",#N/A,TRUE,"Sheet1";"valuation",#N/A,TRUE,"Sheet1"}</definedName>
    <definedName name="wrn.test._3" hidden="1">{"coverpage",#N/A,TRUE,"Sheet1";"valuation",#N/A,TRUE,"Sheet1"}</definedName>
    <definedName name="wrn.TEST1." hidden="1">{"TEST1",#N/A,FALSE,"SIMPLIFD"}</definedName>
    <definedName name="wrn.TEST1._1" hidden="1">{"TEST1",#N/A,FALSE,"SIMPLIFD"}</definedName>
    <definedName name="wrn.TEST1._2" hidden="1">{"TEST1",#N/A,FALSE,"SIMPLIFD"}</definedName>
    <definedName name="wrn.TEST1._3" hidden="1">{"TEST1",#N/A,FALSE,"SIMPLIFD"}</definedName>
    <definedName name="wrn.TEST1._4" hidden="1">{"TEST1",#N/A,FALSE,"SIMPLIFD"}</definedName>
    <definedName name="wrn.Test2." hidden="1">{"CoverSheet 97",#N/A,TRUE,"97CoverPage";"CY 1997",#N/A,TRUE,"97TableOfContents";"CY 1997",#N/A,TRUE,"97CashFlowBeforeFinancing"}</definedName>
    <definedName name="wrn.Texas._.All." hidden="1">{"Texas Sub_Consolidation",#N/A,TRUE,"Texas";"Texas Trial Balances",#N/A,TRUE,"Texas";"Texas Investment Analysis",#N/A,TRUE,"Texas";"Texas AJEs",#N/A,TRUE,"Texas";"Texas AJE Summary",#N/A,TRUE,"Texas";"Texas_P_L_Minority",#N/A,TRUE,"Texas"}</definedName>
    <definedName name="wrn.TheWholeEnchilada." hidden="1">{"CSheet",#N/A,FALSE,"C";"SmCap",#N/A,FALSE,"VAL1";"GulfCoast",#N/A,FALSE,"VAL1";"nav",#N/A,FALSE,"NAV";"Summary",#N/A,FALSE,"NAV"}</definedName>
    <definedName name="wrn.THR._.Budget." hidden="1">{"7-Year Pro Forma",#N/A,FALSE,"Prof";"Statistics",#N/A,FALSE,"Stats"}</definedName>
    <definedName name="wrn.TICKSHEETS." hidden="1">{#N/A,#N/A,FALSE,"Unit &amp; Plot Summary";#N/A,#N/A,FALSE,"House - RG4";#N/A,#N/A,FALSE,"D";#N/A,#N/A,FALSE,"House - S";#N/A,#N/A,FALSE,"House -W";#N/A,#N/A,FALSE,"House -LA";#N/A,#N/A,FALSE,"LAE";#N/A,#N/A,FALSE,"A";#N/A,#N/A,FALSE,"AE";#N/A,#N/A,FALSE,"AG2";#N/A,#N/A,FALSE,"AEU"}</definedName>
    <definedName name="wrn.Timelines." hidden="1">{"Project TL",#N/A,FALSE,"Project Timeline";"Fin TL",#N/A,FALSE,"Financing Timeline"}</definedName>
    <definedName name="wrn.to._.print._.corp._.overhead._.report." hidden="1">{"corp profit summary",#N/A,TRUE,"CORPOPS";"corp - profit detailed",#N/A,TRUE,"CORPOPS";"Corp - Overhead detail",#N/A,TRUE,"CORPOPS";"int other - profit summary",#N/A,TRUE,"Internat - Other";"int other - profit detail",#N/A,TRUE,"Internat - Other";"int other - overhead detail",#N/A,TRUE,"Internat - Other";"Malaysia - profit summary",#N/A,TRUE,"Internat - Asia";"Malaysia - profit detailed",#N/A,TRUE,"Internat - Asia";"Malaysia - Overhead detail",#N/A,TRUE,"Internat - Asia"}</definedName>
    <definedName name="wrn.TOCHTERMAN.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_.closing." hidden="1">{"page1",#N/A,FALSE,"CTT_CLO";"page2",#N/A,FALSE,"CTT_CLO";"schedules",#N/A,FALSE,"CTT_CLO";"scheduleA",#N/A,FALSE,"CTT_CLO";"scheduleBC",#N/A,FALSE,"CTT_CLO";"scheduleDE",#N/A,FALSE,"CTT_CLO";"scheduleF",#N/A,FALSE,"CTT_CLO"}</definedName>
    <definedName name="wrn.Total._.Model." hidden="1">{#N/A,#N/A,TRUE,"Comparison";#N/A,#N/A,TRUE,"toc";#N/A,#N/A,TRUE,"data1";#N/A,#N/A,TRUE,"financing";#N/A,#N/A,TRUE,"source";#N/A,#N/A,TRUE,"cash";#N/A,#N/A,TRUE,"tax";#N/A,#N/A,TRUE,"ln2";#N/A,#N/A,TRUE,"ln4";#N/A,#N/A,TRUE,"rep";#N/A,#N/A,TRUE,"opres";#N/A,#N/A,TRUE,"depr";#N/A,#N/A,TRUE,"funded";#N/A,#N/A,TRUE,"fedtc";#N/A,#N/A,TRUE,"statetc";#N/A,#N/A,TRUE,"mingain";#N/A,#N/A,TRUE,"mtdata1";#N/A,#N/A,TRUE,"base";#N/A,#N/A,TRUE,"mtsource";#N/A,#N/A,TRUE,"mtcash";#N/A,#N/A,TRUE,"mttax";#N/A,#N/A,TRUE,"mtben";#N/A,#N/A,TRUE,"sale";#N/A,#N/A,TRUE,"put";#N/A,#N/A,TRUE,"ResidualVal";#N/A,#N/A,TRUE,"tcamort";#N/A,#N/A,TRUE,"MT3%";#N/A,#N/A,TRUE,"Qirr";#N/A,#N/A,TRUE,"mingainMT";#N/A,#N/A,TRUE,"MTBalSheet";#N/A,#N/A,TRUE,"bstest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HEETS." hidden="1">{#N/A,#N/A,FALSE,"DEV COSTS";#N/A,#N/A,FALSE,"10-YR C. F."}</definedName>
    <definedName name="wrn.TOTAL._.SHEETS5" hidden="1">{#N/A,#N/A,FALSE,"DEV COSTS";#N/A,#N/A,FALSE,"10-YR C. F."}</definedName>
    <definedName name="wrn.Total5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s." hidden="1">{"Total Conn",#N/A,FALSE,"Sun CT Properties";"Total Sun",#N/A,FALSE,"Sun Portfolio";"Total SNF",#N/A,FALSE,"Sun SNFs";"Total Hospitals",#N/A,FALSE,"Sun Hospitals";"Total Bev",#N/A,FALSE,"S01 Beverly";"Total S02",#N/A,FALSE,"S02 Boston";"Total S03",#N/A,FALSE,"S03 Bowling Green";"Total S04",#N/A,FALSE,"S04 Bradenton";"Total S05",#N/A,FALSE,"S05 Bristol";"Total S06",#N/A,FALSE,"S06 Brookline";"Total S07",#N/A,FALSE,"S07 Camden";"Total S08",#N/A,FALSE,"S08 Concord";"Total S09",#N/A,FALSE,"S09 South Conn";"Total S10",#N/A,FALSE,"S10 Danbury";"Total S11",#N/A,FALSE,"S11 Darien";"Total S12",#N/A,FALSE,"S12 Denver";"Total S13",#N/A,FALSE,"S13 East Longmeadow";"Total S14",#N/A,FALSE,"S14 Holyoke";"Total S15",#N/A,FALSE,"S15 Lexington";"Total S16",#N/A,FALSE,"S16 Lowell";"Total S17",#N/A,FALSE,"S17 Marlton";"Total S18",#N/A,FALSE,"S18 Milford";"Total S19",#N/A,FALSE,"S19 Millbury";"Total S20",#N/A,FALSE,"S20 Montgomery";"Total S21",#N/A,FALSE,"S21 New Bedford";"Total S22",#N/A,FALSE,"S22 Newington";"Total S23",#N/A,FALSE,"S23 Northshore";"Total S24",#N/A,FALSE,"S24 Northampton";"Total S25",#N/A,FALSE,"S25 Oradell";"Total S26",#N/A,FALSE,"S26 Peabody";"Total S27",#N/A,FALSE,"S27 Randolph";"Total S28",#N/A,FALSE,"S28 San Joaquin";"Total S29",#N/A,FALSE,"S29 Southbury";"Total S30",#N/A,FALSE,"S30 Stamford";"Total S31",#N/A,FALSE,"S31 Westport";"Total S32",#N/A,FALSE,"S32 Wethersfield";"Total S33",#N/A,FALSE,"S33 Weymouth";"Total S34",#N/A,FALSE,"S34 Wilmington Woods";"Total S35",#N/A,FALSE,"S35 Woodcrest";"Total S36",#N/A,FALSE,"S36 Cheshire";"Total S37",#N/A,FALSE,"S37 Kentfield";"Total S38",#N/A,FALSE,"S38 Newton"}</definedName>
    <definedName name="wrn.TownPoint." hidden="1">{"Townpoint-Investor",#N/A,FALSE,"TownPoint";"Townpoint-Property",#N/A,FALSE,"TownPoint"}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SO._.Model." hidden="1">{"01_Summary",#N/A,TRUE,"Summary";"02_Ssensitivity",#N/A,TRUE,"Summary";"03_Valuation Summary",#N/A,TRUE,"Summary";"04_Prime Plus",#N/A,TRUE,"Summary";"05_Empire Hawkeye",#N/A,TRUE,"Summary";"06_US REIT",#N/A,TRUE,"Summary";"07_US REIT 2",#N/A,TRUE,"Summary";"08_TSO",#N/A,TRUE,"Summary";"08_TSO 2",#N/A,TRUE,"Summary";"09_Madison",#N/A,TRUE,"Summary";"10_Madison2",#N/A,TRUE,"Summary";"Assumptions &amp; Input Panel",#N/A,TRUE,"Summary"}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con._.Model." hidden="1">{"rtn",#N/A,FALSE,"RTN";"tables",#N/A,FALSE,"RTN";"cf",#N/A,FALSE,"CF";"stats",#N/A,FALSE,"Stats";"prop",#N/A,FALSE,"Prop"}</definedName>
    <definedName name="wrn.Tycon._.Model._1" hidden="1">{"rtn",#N/A,FALSE,"RTN";"tables",#N/A,FALSE,"RTN";"cf",#N/A,FALSE,"CF";"stats",#N/A,FALSE,"Stats";"prop",#N/A,FALSE,"Prop"}</definedName>
    <definedName name="wrn.Tycon._.Model._2" hidden="1">{"rtn",#N/A,FALSE,"RTN";"tables",#N/A,FALSE,"RTN";"cf",#N/A,FALSE,"CF";"stats",#N/A,FALSE,"Stats";"prop",#N/A,FALSE,"Prop"}</definedName>
    <definedName name="wrn.Tycon._.Model._3" hidden="1">{"rtn",#N/A,FALSE,"RTN";"tables",#N/A,FALSE,"RTN";"cf",#N/A,FALSE,"CF";"stats",#N/A,FALSE,"Stats";"prop",#N/A,FALSE,"Prop"}</definedName>
    <definedName name="wrn.Tycon._.Model._4" hidden="1">{"rtn",#N/A,FALSE,"RTN";"tables",#N/A,FALSE,"RTN";"cf",#N/A,FALSE,"CF";"stats",#N/A,FALSE,"Stats";"prop",#N/A,FALSE,"Prop"}</definedName>
    <definedName name="wrn.Underwriting." hidden="1">{#N/A,#N/A,FALSE,"proforma";#N/A,#N/A,FALSE,"loananalysis";#N/A,#N/A,FALSE,"unitmix"}</definedName>
    <definedName name="wrn.Underwriting._.Analysis." hidden="1">{#N/A,#N/A,FALSE,"Underwriting Analysis"}</definedName>
    <definedName name="wrn.Unit._.Information." hidden="1">{#N/A,#N/A,FALSE,"Unit Info";#N/A,#N/A,FALSE,"Unit Info"}</definedName>
    <definedName name="wrn.Univ.._.Office._.Plaza." hidden="1">{"Summary",#N/A,TRUE,"Univ. Office Plaza";"Sensitivity",#N/A,TRUE,"Univ. Office Plaza";"Discount Metrics",#N/A,TRUE,"Univ. Office Plaza";"Partnership Valuation Summary",#N/A,TRUE,"Univ. Office Plaza";"Cash Flows",#N/A,TRUE,"Univ. Office Plaza";"Partnership Net Cash Flow",#N/A,TRUE,"Univ. Office Plaza";"Partnership Equity Value",#N/A,TRUE,"Univ. Office Plaza";"Equity/DCF/Yield",#N/A,TRUE,"Univ. Office Plaza";"JV Structure",#N/A,TRUE,"Univ. Office Plaza";"Split to First Hurdle",#N/A,TRUE,"Univ. Office Plaza";"Splits",#N/A,TRUE,"Univ. Office Plaza";"Distributions",#N/A,TRUE,"Univ. Office Plaza";"Assumptions",#N/A,TRUE,"Univ. Office Plaza";"Bellevue Cash Flows",#N/A,TRUE,"Bellevue";"Bellevue Partnership Value",#N/A,TRUE,"Bellevue";"Cambridge Cash Flows",#N/A,TRUE,"Cambridge";"Cambridge Partnership Value",#N/A,TRUE,"Cambridge";"Chopin Cash Flows",#N/A,TRUE,"Chopin";"Chopin Partnership Value",#N/A,TRUE,"Chopin";"Commonwealth Cash Flows",#N/A,TRUE,"Commonwealth";"Commonwealth Partnership Value",#N/A,TRUE,"Commonwealth";"Oxford Cash Flows",#N/A,TRUE,"Oxford";"Oxford Partnership Value",#N/A,TRUE,"Oxford";"Stockton Cash Flows",#N/A,TRUE,"Stockton";"Stockton Partnership Value",#N/A,TRUE,"Stockton"}</definedName>
    <definedName name="wrn.Upstate._.NY." hidden="1">{"Summary",#N/A,TRUE,"Main Model";"Sensitivity",#N/A,TRUE,"Main Model";"Partnership Valuation Summary",#N/A,TRUE,"Main Model";"Distributions",#N/A,TRUE,"Main Model";"Cash Flows",#N/A,TRUE,"Main Model";"Partnership Net Cash Flow",#N/A,TRUE,"Main Model";"Partnership Equity Value",#N/A,TRUE,"Main Model";"DCF/Yield",#N/A,TRUE,"Main Model";"JV Structure",#N/A,TRUE,"Main Model";"Splits",#N/A,TRUE,"Main Model";"Discount Metrics",#N/A,TRUE,"Main Model";"Assumptions",#N/A,TRUE,"Main Model";"James Court Cash Flows",#N/A,TRUE,"Main Model";"Maple Manor Cash Flows",#N/A,TRUE,"Main Model";"Timberlane Cash Flows",#N/A,TRUE,"Main Model";"Barbara Manor Cash Flows",#N/A,TRUE,"Main Model";"Chili Gardens Cash Flows",#N/A,TRUE,"Main Model";"Grecian Gardens Cash Flows",#N/A,TRUE,"Main Model";"Northgate Cash Flows",#N/A,TRUE,"Main Model";"Tudor Lane Cash Flows",#N/A,TRUE,"Main Model";"Walden Estates Cash Flows",#N/A,TRUE,"Main Model";"Carriage House Cash Flow",#N/A,TRUE,"Main Model";"Westside Cash Flows",#N/A,TRUE,"Main Model"}</definedName>
    <definedName name="wrn.Upstate._.NY._1" hidden="1">{"Summary",#N/A,TRUE,"Main Model";"Sensitivity",#N/A,TRUE,"Main Model";"Partnership Valuation Summary",#N/A,TRUE,"Main Model";"Distributions",#N/A,TRUE,"Main Model";"Cash Flows",#N/A,TRUE,"Main Model";"Partnership Net Cash Flow",#N/A,TRUE,"Main Model";"Partnership Equity Value",#N/A,TRUE,"Main Model";"DCF/Yield",#N/A,TRUE,"Main Model";"JV Structure",#N/A,TRUE,"Main Model";"Splits",#N/A,TRUE,"Main Model";"Discount Metrics",#N/A,TRUE,"Main Model";"Assumptions",#N/A,TRUE,"Main Model";"James Court Cash Flows",#N/A,TRUE,"Main Model";"Maple Manor Cash Flows",#N/A,TRUE,"Main Model";"Timberlane Cash Flows",#N/A,TRUE,"Main Model";"Barbara Manor Cash Flows",#N/A,TRUE,"Main Model";"Chili Gardens Cash Flows",#N/A,TRUE,"Main Model";"Grecian Gardens Cash Flows",#N/A,TRUE,"Main Model";"Northgate Cash Flows",#N/A,TRUE,"Main Model";"Tudor Lane Cash Flows",#N/A,TRUE,"Main Model";"Walden Estates Cash Flows",#N/A,TRUE,"Main Model";"Carriage House Cash Flow",#N/A,TRUE,"Main Model";"Westside Cash Flows",#N/A,TRUE,"Main Model"}</definedName>
    <definedName name="wrn.Upstate._.NY._2" hidden="1">{"Summary",#N/A,TRUE,"Main Model";"Sensitivity",#N/A,TRUE,"Main Model";"Partnership Valuation Summary",#N/A,TRUE,"Main Model";"Distributions",#N/A,TRUE,"Main Model";"Cash Flows",#N/A,TRUE,"Main Model";"Partnership Net Cash Flow",#N/A,TRUE,"Main Model";"Partnership Equity Value",#N/A,TRUE,"Main Model";"DCF/Yield",#N/A,TRUE,"Main Model";"JV Structure",#N/A,TRUE,"Main Model";"Splits",#N/A,TRUE,"Main Model";"Discount Metrics",#N/A,TRUE,"Main Model";"Assumptions",#N/A,TRUE,"Main Model";"James Court Cash Flows",#N/A,TRUE,"Main Model";"Maple Manor Cash Flows",#N/A,TRUE,"Main Model";"Timberlane Cash Flows",#N/A,TRUE,"Main Model";"Barbara Manor Cash Flows",#N/A,TRUE,"Main Model";"Chili Gardens Cash Flows",#N/A,TRUE,"Main Model";"Grecian Gardens Cash Flows",#N/A,TRUE,"Main Model";"Northgate Cash Flows",#N/A,TRUE,"Main Model";"Tudor Lane Cash Flows",#N/A,TRUE,"Main Model";"Walden Estates Cash Flows",#N/A,TRUE,"Main Model";"Carriage House Cash Flow",#N/A,TRUE,"Main Model";"Westside Cash Flows",#N/A,TRUE,"Main Model"}</definedName>
    <definedName name="wrn.Upstate._.NY._3" hidden="1">{"Summary",#N/A,TRUE,"Main Model";"Sensitivity",#N/A,TRUE,"Main Model";"Partnership Valuation Summary",#N/A,TRUE,"Main Model";"Distributions",#N/A,TRUE,"Main Model";"Cash Flows",#N/A,TRUE,"Main Model";"Partnership Net Cash Flow",#N/A,TRUE,"Main Model";"Partnership Equity Value",#N/A,TRUE,"Main Model";"DCF/Yield",#N/A,TRUE,"Main Model";"JV Structure",#N/A,TRUE,"Main Model";"Splits",#N/A,TRUE,"Main Model";"Discount Metrics",#N/A,TRUE,"Main Model";"Assumptions",#N/A,TRUE,"Main Model";"James Court Cash Flows",#N/A,TRUE,"Main Model";"Maple Manor Cash Flows",#N/A,TRUE,"Main Model";"Timberlane Cash Flows",#N/A,TRUE,"Main Model";"Barbara Manor Cash Flows",#N/A,TRUE,"Main Model";"Chili Gardens Cash Flows",#N/A,TRUE,"Main Model";"Grecian Gardens Cash Flows",#N/A,TRUE,"Main Model";"Northgate Cash Flows",#N/A,TRUE,"Main Model";"Tudor Lane Cash Flows",#N/A,TRUE,"Main Model";"Walden Estates Cash Flows",#N/A,TRUE,"Main Model";"Carriage House Cash Flow",#N/A,TRUE,"Main Model";"Westside Cash Flows",#N/A,TRUE,"Main Model"}</definedName>
    <definedName name="wrn.USPACKAGE." hidden="1">{#N/A,#N/A,FALSE,"US Summary";#N/A,#N/A,FALSE,"BEC";#N/A,#N/A,FALSE,"OPP";#N/A,#N/A,FALSE,"Crestview";#N/A,#N/A,FALSE,"Kent";#N/A,#N/A,FALSE,"Somerset";#N/A,#N/A,FALSE,"Stadium"}</definedName>
    <definedName name="wrn.USSC_Reports.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USSC_Reports._1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USSC_Reports._2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USSC_Reports._3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USSC_Reports._4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_.Fund." hidden="1">{"VF Assumptions",#N/A,TRUE,"SA1 Quarterly";"VF Annual",#N/A,TRUE,"SA1 Quarterly";"VF Quartely Example P1",#N/A,TRUE,"VF Quarterly";"VF Quarterly Example P2",#N/A,TRUE,"VF Quarterly"}</definedName>
    <definedName name="wrn.Value.2" hidden="1">{#N/A,#N/A,FALSE,"Cashflow Analysis";#N/A,#N/A,FALSE,"Sensitivity Analysis";#N/A,#N/A,FALSE,"PV";#N/A,#N/A,FALSE,"Pro Forma"}</definedName>
    <definedName name="wrn.Variance." hidden="1">{#N/A,#N/A,FALSE,"CCC Variance";#N/A,#N/A,FALSE,"CCC Notes"}</definedName>
    <definedName name="wrn.Variance._.1." hidden="1">{"Ebit_Variance",#N/A,FALSE,"P&amp;L";"Cash_Variance",#N/A,FALSE,"Cash"}</definedName>
    <definedName name="wrn.Variance._.2." hidden="1">{"Reserves_Variance",#N/A,FALSE,"Reserves";"Scm_Variance",#N/A,FALSE,"SCM";"tax_variance",#N/A,FALSE,"Tax"}</definedName>
    <definedName name="wrn.VARIANCE._.ANALYSIS." hidden="1">{#N/A,#N/A,FALSE," VAR ANA FULL YR summ";#N/A,#N/A,FALSE,"YTD VAR";#N/A,#N/A,FALSE,"Var last mth to curr mth"}</definedName>
    <definedName name="wrn.Variance._.Worksheet." hidden="1">{#N/A,#N/A,FALSE,"VARSTRIP"}</definedName>
    <definedName name="wrn.ventana." hidden="1">{#N/A,#N/A,FALSE,"Cash Flow";#N/A,#N/A,FALSE,"scenario 1"}</definedName>
    <definedName name="wrn.Venture." hidden="1">{"Summary1",#N/A,TRUE,"Summary";"Program",#N/A,TRUE,"Summary";"Timeline",#N/A,TRUE,"Summary";"Land Dev Budget 1",#N/A,TRUE,"Summary";"Land Dev Budget 2",#N/A,TRUE,"Summary";"SumCF1",#N/A,TRUE,"Summary";"SumCF2",#N/A,TRUE,"Summary";"Venture CF3",#N/A,TRUE,"Summary";"Venture MonthlyCF",#N/A,TRUE,"Summary";"Venture Monthly CF2",#N/A,TRUE,"Summary"}</definedName>
    <definedName name="wrn.villages.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Wacc." hidden="1">{"Area1",#N/A,FALSE,"OREWACC";"Area2",#N/A,FALSE,"OREWACC"}</definedName>
    <definedName name="wrn.WAGE._.RATES." hidden="1">{#N/A,#N/A,FALSE,"WAGE FORM - UNION";#N/A,#N/A,FALSE,"EST. WAGE RATES - UNION";#N/A,#N/A,FALSE,"WAGE RATE DETAILS - UNION"}</definedName>
    <definedName name="wrn.weekly." hidden="1">{#N/A,#N/A,FALSE,"Large Operators";#N/A,#N/A,FALSE,"Smaller Operators";#N/A,#N/A,FALSE,"Equip. Supply";#N/A,#N/A,FALSE,"EBITDA";#N/A,#N/A,FALSE,"perform"}</definedName>
    <definedName name="wrn.wicor." hidden="1">{#N/A,#N/A,FALSE,"FACTSHEETS";#N/A,#N/A,FALSE,"pump";#N/A,#N/A,FALSE,"filter"}</definedName>
    <definedName name="wrn.Workbook.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ing._.Papers._.1." hidden="1">{"Assumptions_other",#N/A,FALSE,"Assump";"Ebit_division_indirect",#N/A,FALSE,"P&amp;L";"Ebit_indirect_allocation",#N/A,FALSE,"P&amp;L"}</definedName>
    <definedName name="wrn.Working._.Papers._.2." hidden="1">{"Cash_detail",#N/A,FALSE,"Cash";"Cash_reconciliation",#N/A,FALSE,"Cash";"Scm",#N/A,FALSE,"SCM";"Tax",#N/A,FALSE,"Tax"}</definedName>
    <definedName name="wrn.Working._.Party._.List." hidden="1">{#N/A,#N/A,FALSE,"Working List"}</definedName>
    <definedName name="wrn.Workout._.Committee._.Package." hidden="1">{#N/A,#N/A,TRUE,"Sources and Uses";#N/A,#N/A,TRUE,"Annual Projection";#N/A,#N/A,TRUE,"Balance Sheet";#N/A,#N/A,TRUE,"Comparative Income Statement";#N/A,#N/A,TRUE,"Comparative Inc Stmt Per Unit";#N/A,#N/A,TRUE,"Capital Improvement Budget";#N/A,#N/A,TRUE,"Growth Assumptions";#N/A,#N/A,TRUE,"Base Year Unit Mix";#N/A,#N/A,TRUE,"Annual Financing";#N/A,#N/A,TRUE,"Residual Analysis"}</definedName>
    <definedName name="wrn.Worksheet." hidden="1">{"Worksheet",#N/A,FALSE,"Worksheet"}</definedName>
    <definedName name="wrn.Wovenhearts." hidden="1">{"One",#N/A,FALSE,"Wovenhearts";"Two",#N/A,FALSE,"Wovenhearts";"Three",#N/A,FALSE,"Wovenhearts";"Four",#N/A,FALSE,"Wovenhearts";"Five",#N/A,FALSE,"Wovenhearts"}</definedName>
    <definedName name="wrn.wpoall." hidden="1">{"wpocash",#N/A,FALSE,"WPOALLT";"wpoinc",#N/A,FALSE,"WPOALLT";"wpobroad",#N/A,FALSE,"WPOALLT";"wpocable",#N/A,FALSE,"WPOALLT";"wpoexcl",#N/A,FALSE,"WPOALLT";"wponwsweek",#N/A,FALSE,"WPOALLT";"wpopost",#N/A,FALSE,"WPOALLT"}</definedName>
    <definedName name="wrn.WWY." hidden="1">{#N/A,#N/A,FALSE,"WWY"}</definedName>
    <definedName name="wrn.Wynwood." hidden="1">{"One",#N/A,FALSE,"Wynwood";"Two",#N/A,FALSE,"Wynwood";"Three",#N/A,FALSE,"Wynwood";"Four",#N/A,FALSE,"Wynwood";"Five",#N/A,FALSE,"Wynwood"}</definedName>
    <definedName name="wrn.XL._.DTR." hidden="1">{#N/A,#N/A,TRUE,"XL Cash Flow";#N/A,#N/A,TRUE,"Prop Valuation";#N/A,#N/A,TRUE,"Equity";#N/A,#N/A,TRUE,"Modeling assumptions";#N/A,#N/A,TRUE,"NER Model";#N/A,#N/A,TRUE,"Lease Exp";#N/A,#N/A,TRUE,"Inc &amp; Exp";#N/A,#N/A,TRUE,"Formatted - roll";#N/A,#N/A,TRUE,"Debt Model";#N/A,#N/A,TRUE,"Debt-Moody";#N/A,#N/A,TRUE,"Debt"}</definedName>
    <definedName name="wrn.Year._.End._.APF._.reports." hidden="1">{#N/A,#N/A,FALSE,"Summary";#N/A,#N/A,FALSE,"CVI04";#N/A,#N/A,FALSE,"REG04";#N/A,#N/A,FALSE,"HAL04";#N/A,#N/A,FALSE,"WPL04";#N/A,#N/A,FALSE,"RPL04";#N/A,#N/A,FALSE,"GVA04";#N/A,#N/A,FALSE,"LRJKL04";#N/A,#N/A,FALSE,"RGW04";#N/A,#N/A,FALSE,"RHL04sum ";#N/A,#N/A,FALSE,"WPM04sum"}</definedName>
    <definedName name="wrn.Year._.End._.APF._.reports._1" hidden="1">{#N/A,#N/A,FALSE,"Summary";#N/A,#N/A,FALSE,"CVI04";#N/A,#N/A,FALSE,"REG04";#N/A,#N/A,FALSE,"HAL04";#N/A,#N/A,FALSE,"WPL04";#N/A,#N/A,FALSE,"RPL04";#N/A,#N/A,FALSE,"GVA04";#N/A,#N/A,FALSE,"LRJKL04";#N/A,#N/A,FALSE,"RGW04";#N/A,#N/A,FALSE,"RHL04sum ";#N/A,#N/A,FALSE,"WPM04sum"}</definedName>
    <definedName name="wrn.Year._.End._.APF._.reports._2" hidden="1">{#N/A,#N/A,FALSE,"Summary";#N/A,#N/A,FALSE,"CVI04";#N/A,#N/A,FALSE,"REG04";#N/A,#N/A,FALSE,"HAL04";#N/A,#N/A,FALSE,"WPL04";#N/A,#N/A,FALSE,"RPL04";#N/A,#N/A,FALSE,"GVA04";#N/A,#N/A,FALSE,"LRJKL04";#N/A,#N/A,FALSE,"RGW04";#N/A,#N/A,FALSE,"RHL04sum ";#N/A,#N/A,FALSE,"WPM04sum"}</definedName>
    <definedName name="wrn.Year._.End._.APF._.reports._3" hidden="1">{#N/A,#N/A,FALSE,"Summary";#N/A,#N/A,FALSE,"CVI04";#N/A,#N/A,FALSE,"REG04";#N/A,#N/A,FALSE,"HAL04";#N/A,#N/A,FALSE,"WPL04";#N/A,#N/A,FALSE,"RPL04";#N/A,#N/A,FALSE,"GVA04";#N/A,#N/A,FALSE,"LRJKL04";#N/A,#N/A,FALSE,"RGW04";#N/A,#N/A,FALSE,"RHL04sum ";#N/A,#N/A,FALSE,"WPM04sum"}</definedName>
    <definedName name="wrn.Year._.End._.APF._.reports._4" hidden="1">{#N/A,#N/A,FALSE,"Summary";#N/A,#N/A,FALSE,"CVI04";#N/A,#N/A,FALSE,"REG04";#N/A,#N/A,FALSE,"HAL04";#N/A,#N/A,FALSE,"WPL04";#N/A,#N/A,FALSE,"RPL04";#N/A,#N/A,FALSE,"GVA04";#N/A,#N/A,FALSE,"LRJKL04";#N/A,#N/A,FALSE,"RGW04";#N/A,#N/A,FALSE,"RHL04sum ";#N/A,#N/A,FALSE,"WPM04sum"}</definedName>
    <definedName name="wrn.Year._.End._.Reporting._.Pkg.." hidden="1">{#N/A,#N/A,FALSE,"Front Cover";#N/A,#N/A,FALSE,"Index";#N/A,#N/A,FALSE,"A.1 Performance Measures";#N/A,#N/A,FALSE,"A.2 Perf Measures Data";#N/A,#N/A,FALSE,"B.1 Bal. Sheet";#N/A,#N/A,FALSE,"B.2 Income and Ret. Erngs.";#N/A,#N/A,FALSE,"B.3 Cash Flows";#N/A,#N/A,FALSE,"C.1 Sup Sch 1";#N/A,#N/A,FALSE,"C.2 Sup Sch 2";#N/A,#N/A,FALSE,"C.3 Sup Sch 3";#N/A,#N/A,FALSE,"C.4 Sup Sch 4";#N/A,#N/A,FALSE,"C.5 Sup Sch 5";#N/A,#N/A,FALSE,"C.6 Sup Sch 6";#N/A,#N/A,FALSE,"C.7 Sup Sch 7";#N/A,#N/A,FALSE,"C.8 Sup Sch 8";#N/A,#N/A,FALSE,"C.9 Sup Sch 9";#N/A,#N/A,FALSE,"C.10 Sup Sch 10";#N/A,#N/A,FALSE,"C.11 Sup Sch 11";#N/A,#N/A,FALSE,"C.12 Sup Sch 12";#N/A,#N/A,FALSE,"C.13 Sup Sch 13";#N/A,#N/A,FALSE,"C.14 Sup Sch 14";#N/A,#N/A,FALSE,"C.15 Sup Sch 15";#N/A,#N/A,FALSE,"C.16 Other Supp. Info.";#N/A,#N/A,FALSE,"C.17 SCF Proof";#N/A,#N/A,FALSE,"C.18 Income Tax Information"}</definedName>
    <definedName name="wrn.Yearly." hidden="1">{"One",#N/A,FALSE,"Yearly"}</definedName>
    <definedName name="wrn.yeild._.graph.1" hidden="1">{#N/A,#N/A,FALSE,"Yield Graph"}</definedName>
    <definedName name="wrn.Yield._.Graph." hidden="1">{#N/A,#N/A,FALSE,"Yield Graph"}</definedName>
    <definedName name="wrn.Yield._.Graph._.plus._.Input." hidden="1">{#N/A,#N/A,FALSE,"Yield Graph";#N/A,#N/A,FALSE,"Rent Roll";#N/A,#N/A,FALSE,"OE Yr1";#N/A,#N/A,FALSE,"Repl.Cst.+Ins."}</definedName>
    <definedName name="wrn.Zaxon._.Report._.1st._.half." hidden="1">{"CoverSheet",#N/A,FALSE,"Cover Sheet";"AreaSum",#N/A,FALSE,"Master Area Summary";"Exclusions",#N/A,FALSE,"Exclusions";"ZaxEXsum",#N/A,FALSE,"Executive Summary";"Zax A sum",#N/A,FALSE,"Bldg A Summary";"ZaxAest",#N/A,FALSE,"BLDG.A";"zaxCsum",#N/A,FALSE,"Bldg C Summary";"ZaxCest",#N/A,FALSE,"BLDG.C";"ZaxSTsum",#N/A,FALSE,"Site Summary";"zaxsite",#N/A,FALSE,"Site work"}</definedName>
    <definedName name="wrn.Zaxon._.Report._.2._.half." hidden="1">{"ZaxSWsum",#N/A,FALSE,"Sewer Summary";"ZaxSWest",#N/A,FALSE,"Sewer Estimate";"ZaxGRsum",#N/A,FALSE,"Garage Summary";"ZaxGRest",#N/A,FALSE,"Garage Estimate";"ZaxPLsum",#N/A,FALSE,"Pool Summary";"ZaxPLest",#N/A,FALSE,"Pool";"ZaxPHsum",#N/A,FALSE,"Pool House Summary";"ZaxMAsum",#N/A,FALSE,"Marina Summary";"ZaxMAest",#N/A,FALSE,"Marina Estimate"}</definedName>
    <definedName name="wrn.ZML123._.Financial._.Summaries." hidden="1">{#N/A,#N/A,FALSE,"ZM3 FinSummary";#N/A,#N/A,FALSE,"ZM2 FinSummary";#N/A,#N/A,FALSE,"ZM1 FinSummary"}</definedName>
    <definedName name="wrn2.check.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g" hidden="1">{"Output-BaseYear",#N/A,FALSE,"Output"}</definedName>
    <definedName name="wrnh" hidden="1">{"Output-All",#N/A,FALSE,"Output"}</definedName>
    <definedName name="wrnpkg" hidden="1">{#N/A,#N/A,FALSE,"Income Stmt";#N/A,#N/A,FALSE,"Income Summary"}</definedName>
    <definedName name="wrnpkgs" hidden="1">{#N/A,#N/A,FALSE,"Income Stmt";#N/A,#N/A,FALSE,"Income Summary"}</definedName>
    <definedName name="wrnprint1" hidden="1">{#N/A,#N/A,FALSE,"Financial";#N/A,#N/A,FALSE,"Balance Sheet";#N/A,#N/A,FALSE,"Income stmt";#N/A,#N/A,FALSE,"Ratio"}</definedName>
    <definedName name="ws" hidden="1">{#N/A,#N/A,FALSE,"Chart 2 by Prop Type"}</definedName>
    <definedName name="wscott">#REF!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ALL." hidden="1">{TRUE,TRUE,-1.25,-15.5,484.5,276.75,FALSE,FALSE,TRUE,TRUE,0,1,#N/A,1,#N/A,7.71428571428571,15.9411764705882,1,FALSE,FALSE,3,TRUE,1,FALSE,100,"Swvu.ALL.","ACwvu.ALL.",#N/A,FALSE,FALSE,0.37,0.4,1,0.37,2,"&amp;L&amp;""Arial,Bold Italic""&amp;USCHEDULE B &amp; C&amp;C&amp;""Arial,Bold""&amp;UINCOME AND EXPENSE BUDGET
FOR THE YEAR ENDING 12/31/97&amp;R&amp;""Arial,Bold Italic""&amp;UEASTLAND SHOPPING CENTER","&amp;LWestfield Corporation, Inc.&amp;CPage &amp;P of &amp;N&amp;R&amp;D &amp;T",FALSE,FALSE,FALSE,FALSE,1,#N/A,1,#N/A,"=R3C1:R44C22","=R1:R2",#N/A,#N/A,FALSE,FALSE,FALSE,1,65532,65532,FALSE,FALSE,TRUE,TRUE,TRUE}</definedName>
    <definedName name="wvu.As._.Is._.Value.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wvu.CAM._.RATES." hidden="1">{TRUE,TRUE,-1.25,-15.5,604.5,366.75,FALSE,FALSE,TRUE,TRUE,0,1,#N/A,46,#N/A,69.016393442623,25.2941176470588,1,FALSE,FALSE,3,TRUE,1,FALSE,100,"Swvu.CAM._.RATES.","ACwvu.CAM._.RATES.",#N/A,FALSE,FALSE,0.37,0.4,1,0.37,2,"&amp;L&amp;""Arial,Bold Italic""&amp;USCHEDULE B &amp; C&amp;C&amp;""Arial,Bold""&amp;UINCOME AND EXPENSE BUDGET
FOR THE YEAR ENDING 12/31/97&amp;R&amp;""Arial,Bold Italic""&amp;UEASTLAND SHOPPING CENTER","&amp;LWestfield Corporation, Inc.&amp;CPage &amp;P of &amp;N&amp;R&amp;D &amp;T",FALSE,FALSE,FALSE,FALSE,1,#N/A,1,#N/A,"=R48C62:R70C75","=R1:R2","Rwvu.CAM._.RATES.",#N/A,FALSE,FALSE,FALSE,1,65532,65532,FALSE,FALSE,TRUE,TRUE,TRUE}</definedName>
    <definedName name="wvu.CAM._.RECOVERY." hidden="1">{TRUE,TRUE,-1.25,-15.5,604.5,366.75,FALSE,FALSE,TRUE,TRUE,0,1,#N/A,1,#N/A,69.016393442623,23,1,FALSE,FALSE,3,TRUE,1,FALSE,100,"Swvu.CAM._.RECOVERY.","ACwvu.CAM._.RECOVERY.",#N/A,FALSE,FALSE,0.21,0.21,1,0.37,2,"&amp;L&amp;""Arial,Bold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&amp;T",FALSE,FALSE,FALSE,FALSE,1,#N/A,1,#N/A,"=R3C1:R46C75","=R1:R2","Rwvu.CAM._.RECOVERY.",#N/A,FALSE,FALSE,FALSE,1,65532,65532,FALSE,FALSE,TRUE,TRUE,TRUE}</definedName>
    <definedName name="wvu.Détails." hidden="1">{TRUE,TRUE,-1.25,-15.5,604.5,366.75,FALSE,TRUE,TRUE,TRUE,0,1,#N/A,1,#N/A,6.54838709677419,31.3076923076923,1,FALSE,FALSE,3,TRUE,1,FALSE,75,"Swvu.Détails.","ACwvu.Détails.",#N/A,FALSE,FALSE,0.15748031496063,0.15748031496063,0.748031496062992,0.511811023622047,2,"&amp;C&amp;""Arial,Gras""&amp;20DISNEY  -  PRODUCTION  BUDGET&amp;R&amp;""Arial,Gras""&amp;20SUMMARY","&amp;L&amp;F  -  &amp;A&amp;C&amp;""Arial,Gras""&amp;D&amp;""Arial,Normal""  -  &amp;T&amp;RPage
",TRUE,TRUE,FALSE,TRUE,1,#N/A,1,1,"=R1C1:R60C24","=R1:R5",#N/A,#N/A,FALSE,FALSE,FALSE,5,65532,65532,FALSE,FALSE,TRUE,TRUE,TRUE}</definedName>
    <definedName name="wvu.Escalation._.Table." hidden="1">{TRUE,TRUE,-1.25,-15.5,484.5,276.75,FALSE,TRUE,TRUE,TRUE,0,14,#N/A,20,#N/A,6.39784946236559,14.6190476190476,1,FALSE,FALSE,3,TRUE,1,FALSE,100,"Swvu.Escalation._.Table.","ACwvu.Escalation._.Table.",#N/A,FALSE,FALSE,0.51,0.5,0.5,1,2,"","",FALSE,FALSE,FALSE,FALSE,1,#N/A,1,3,FALSE,FALSE,#N/A,#N/A,FALSE,FALSE,FALSE,5,65532,300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SMEET." hidden="1">{TRUE,TRUE,-1.25,-15.5,604.5,366.75,FALSE,FALSE,TRUE,TRUE,0,1,8,1,3,7,2,4,TRUE,TRUE,3,TRUE,1,TRUE,100,"Swvu.LSMEET.","ACwvu.LSMEET.",#N/A,FALSE,FALSE,0.37,0.4,1,0.37,2,"&amp;L&amp;""Arial,Bold Italic""&amp;USCHEDULE B &amp; C&amp;C&amp;""Arial,Bold""&amp;UINCOME AND EXPENSE BUDGET
FOR THE YEAR ENDING 12/31/97&amp;R&amp;""Arial,Bold Italic""&amp;UEASTLAND SHOPPING CENTER","&amp;LWestfield Corporation, Inc.&amp;CPage &amp;P of &amp;N&amp;R&amp;D &amp;T",FALSE,FALSE,FALSE,FALSE,1,#N/A,1,#N/A,"=R3C1:R44C22","=R1:R2","Rwvu.LSMEET.",#N/A,FALSE,FALSE,FALSE,1,65532,65532,FALSE,FALSE,TRUE,TRUE,TRUE}</definedName>
    <definedName name="wvu.MARKETING._.REVENUE." hidden="1">{TRUE,TRUE,-1.25,-15.5,484.5,276.75,FALSE,FALSE,TRUE,TRUE,0,1,114,1,43,4,2,4,TRUE,TRUE,3,TRUE,1,TRUE,100,"Swvu.MARKETING._.REVENUE.","ACwvu.MARKETING._.REVENUE.",#N/A,FALSE,FALSE,0.37,0.4,1,0.37,2,"&amp;L&amp;""Arial,Bold Italic""&amp;USCHEDULE B &amp; C&amp;C&amp;""Arial,Bold""&amp;UINCOME AND EXPENSE BUDGET
FOR THE YEAR ENDING 12/31/98&amp;R&amp;""Arial,Bold Italic""&amp;UEASTLAND SHOPPING CENTER","&amp;LWestfield Corporation, Inc.&amp;CPage &amp;P of &amp;N&amp;R&amp;D &amp;T",FALSE,FALSE,FALSE,FALSE,1,#N/A,1,#N/A,#DIV/0!,"=R1:R2","Rwvu.MARKETING._.REVENUE.",#N/A,FALSE,FALSE,FALSE,1,#N/A,#N/A,FALSE,FALSE,TRUE,TRUE,TRUE}</definedName>
    <definedName name="wvu.MINIMUM._.RENT." hidden="1">{TRUE,TRUE,-1.25,-15.5,484.5,276.75,FALSE,FALSE,TRUE,TRUE,0,17,#N/A,35,#N/A,102.859375,18.2222222222222,1,FALSE,FALSE,3,TRUE,1,FALSE,100,"Swvu.MINIMUM._.RENT.","ACwvu.MINIMUM._.RENT.",#N/A,FALSE,FALSE,0.37,0.4,1,0.37,2,"&amp;L&amp;""Arial,Bold Italic""&amp;USCHEDULE B &amp; C&amp;C&amp;""Arial,Bold""&amp;UINCOME AND EXPENSE BUDGET
FOR THE YEAR ENDING 12/31/98&amp;R&amp;""Arial,Bold Italic""&amp;UEASTLAND SHOPPING CENTER","&amp;LWestfield Corporation, Inc.&amp;CPage &amp;P of &amp;N&amp;R&amp;D &amp;T",FALSE,FALSE,FALSE,FALSE,1,59,#N/A,#N/A,"=R3C1:R46C22","=R1:R2","Rwvu.MINIMUM._.RENT.",#N/A,FALSE,FALSE,FALSE,1,#N/A,#N/A,FALSE,FALSE,TRUE,TRUE,TRUE}</definedName>
    <definedName name="wvu.OCCUPANCY." hidden="1">{TRUE,TRUE,-1.25,-15.5,604.5,366.75,FALSE,FALSE,TRUE,TRUE,0,1,#N/A,1,#N/A,54.1481481481481,23,1,FALSE,FALSE,3,TRUE,1,FALSE,100,"Swvu.OCCUPANCY.","ACwvu.OCCUPANCY.",#N/A,FALSE,FALSE,0.21,0.21,1,0.37,2,"&amp;L&amp;""Arial,Bold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&amp;T",FALSE,FALSE,FALSE,FALSE,1,#N/A,1,#N/A,"=R3C1:R59C61","=R1:R2","Rwvu.OCCUPANCY.",#N/A,FALSE,FALSE,FALSE,1,65532,65532,FALSE,FALSE,TRUE,TRUE,TRUE}</definedName>
    <definedName name="wvu.Overhead._.detail." hidden="1">{TRUE,TRUE,-2,-15.2,616.8,379.8,FALSE,TRUE,TRUE,TRUE,15,4,#N/A,22,#N/A,12.3176470588235,29,1,FALSE,FALSE,3,TRUE,1,FALSE,67,"Swvu.Overhead._.detail.","ACwvu.Overhead._.detail.",#N/A,FALSE,FALSE,0.669291338582677,0.275590551181102,0.236220472440945,0.236220472440945,1,"","",FALSE,FALSE,FALSE,FALSE,1,#N/A,1,#N/A,"=R194C4:R674C19","=R45:R49","Rwvu.Overhead._.detail.",#N/A,FALSE,FALSE,FALSE,9,600,600,FALSE,FALSE,TRUE,TRUE,TRUE}</definedName>
    <definedName name="wvu.PERCENTAGE._.RENT." hidden="1">{TRUE,TRUE,-1.25,-15.5,484.5,276.75,FALSE,FALSE,TRUE,TRUE,0,1,47,1,43,21,2,4,TRUE,TRUE,3,TRUE,1,TRUE,100,"Swvu.PERCENTAGE._.RENT.","ACwvu.PERCENTAGE._.RENT.",#N/A,FALSE,FALSE,0.37,0.4,1,0.37,2,"&amp;L&amp;""Arial,Bold Italic""&amp;USCHEDULE B &amp; C&amp;C&amp;""Arial,Bold""&amp;UINCOME AND EXPENSE BUDGET
FOR THE YEAR ENDING 12/31/98&amp;R&amp;""Arial,Bold Italic""&amp;UEASTLAND SHOPPING CENTER","&amp;LWestfield Corporation, Inc.&amp;CPage &amp;P of &amp;N&amp;R&amp;D &amp;T",FALSE,FALSE,FALSE,FALSE,1,#N/A,1,#N/A,#DIV/0!,"=R1:R2","Rwvu.PERCENTAGE._.RENT.",#N/A,FALSE,FALSE,FALSE,1,#N/A,#N/A,FALSE,FALSE,TRUE,TRUE,TRUE}</definedName>
    <definedName name="wvu.Profit._.report._.detailed." hidden="1">{TRUE,TRUE,-2,-15.2,616.8,379.8,FALSE,TRUE,TRUE,TRUE,15,4,#N/A,50,#N/A,12.3176470588235,70.7586206896552,1,FALSE,FALSE,3,TRUE,1,FALSE,67,"Swvu.Profit._.report._.detailed.","ACwvu.Profit._.report._.detailed.",#N/A,FALSE,FALSE,0.669291338582677,0.275590551181102,0.236220472440945,0.236220472440945,1,"","",FALSE,FALSE,FALSE,FALSE,1,#N/A,1,#N/A,"=R54C4:R191C19","=R45:R53","Rwvu.Profit._.report._.detailed.","Cwvu.Profit._.report._.detailed.",FALSE,FALSE,FALSE,9,600,600,FALSE,FALSE,TRUE,TRUE,TRUE}</definedName>
    <definedName name="wvu.Sommaire." hidden="1">{TRUE,TRUE,-1.25,-15.5,604.5,366.75,FALSE,TRUE,TRUE,TRUE,0,1,2,1,6,1,5,4,TRUE,TRUE,3,TRUE,1,TRUE,75,"Swvu.Sommaire.","ACwvu.Sommaire.",#N/A,FALSE,FALSE,0.15748031496063,0.15748031496063,0.748031496062992,0.511811023622047,2,"&amp;C&amp;""Arial,Gras""&amp;20DISNEY  -  PRODUCTION  BUDGET&amp;R&amp;""Arial,Gras""&amp;20SUMMARY","&amp;L&amp;F  -  &amp;A&amp;C&amp;""Arial,Gras""&amp;D&amp;""Arial,Normal""  -  &amp;T&amp;RPage
",TRUE,TRUE,FALSE,TRUE,1,#N/A,1,1,"=R1C1:R60C24","=R1:R5","Rwvu.Sommaire.",#N/A,FALSE,FALSE,FALSE,5,65532,65532,FALSE,FALSE,TRUE,TRUE,TRUE}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AX._.RATES." hidden="1">{TRUE,TRUE,-1.25,-15.5,604.5,366.75,FALSE,FALSE,TRUE,TRUE,0,1,#N/A,49,#N/A,84.016393442623,25.2941176470588,1,FALSE,FALSE,3,TRUE,1,FALSE,100,"Swvu.TAX._.RATES.","ACwvu.TAX._.RATES.",#N/A,FALSE,FALSE,0.21,0.21,1,0.37,2,"&amp;L&amp;""Arial,Bold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&amp;T",FALSE,FALSE,FALSE,FALSE,1,#N/A,1,#N/A,"=R51C78:R64C90","=R1:R2","Rwvu.TAX._.RATES.",#N/A,FALSE,FALSE,FALSE,1,65532,65532,FALSE,FALSE,TRUE,TRUE,TRUE}</definedName>
    <definedName name="wvu.TAX._.RECOVERY." hidden="1">{TRUE,TRUE,-1.25,-15.5,604.5,366.75,FALSE,FALSE,TRUE,TRUE,0,1,#N/A,1,#N/A,84.016393442623,23,1,FALSE,FALSE,3,TRUE,1,FALSE,100,"Swvu.TAX._.RECOVERY.","ACwvu.TAX._.RECOVERY.",#N/A,FALSE,FALSE,0.21,0.21,1,0.37,2,"&amp;L&amp;""Arial,Bold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&amp;T",FALSE,FALSE,FALSE,FALSE,1,#N/A,1,#N/A,"=R3C1:R46C90","=R1:R2","Rwvu.TAX._.RECOVERY.",#N/A,FALSE,FALSE,FALSE,1,65532,65532,FALSE,FALSE,TRUE,TRUE,TRUE}</definedName>
    <definedName name="ww" hidden="1">{#N/A,#N/A,FALSE,"Chart 2 by Prop Type"}</definedName>
    <definedName name="wwas" hidden="1">{#N/A,#N/A,FALSE,"Chart 2 by Prop Type"}</definedName>
    <definedName name="wwass" hidden="1">{#N/A,#N/A,FALSE,"Chart 2 by Prop Type"}</definedName>
    <definedName name="wwc" hidden="1">{#N/A,#N/A,FALSE,"Aging Summary";#N/A,#N/A,FALSE,"Ratio Analysis";#N/A,#N/A,FALSE,"Test 120 Day Accts";#N/A,#N/A,FALSE,"Tickmarks"}</definedName>
    <definedName name="www" hidden="1">{"data",#N/A,FALSE,"INPUT"}</definedName>
    <definedName name="www.cc" hidden="1">{"qtrs",#N/A,FALSE,"External Mnth-Qtr-Ytd (EBITDA)";"months",#N/A,FALSE,"External Mnth-Qtr-Ytd (EBITDA)";"qtrs",#N/A,FALSE,"External Mnth-Qtr-Ytd (EBIT)";"monthsl",#N/A,FALSE,"External Mnth-Qtr-Ytd (EBIT)";"qtrs",#N/A,FALSE,"Internal Mth-Qtr-Ytd";"months",#N/A,FALSE,"Internal Mth-Qtr-Ytd"}</definedName>
    <definedName name="wwwe" hidden="1">{"land1",#N/A,FALSE,"Land";"land2",#N/A,FALSE,"Land";"land3",#N/A,FALSE,"Land"}</definedName>
    <definedName name="wwww" hidden="1">{#N/A,#N/A,TRUE,"10 Yr Hold";#N/A,#N/A,TRUE,"7 Yr Hold";#N/A,#N/A,TRUE,"5 Yr Hold";#N/A,#N/A,TRUE,"3 Yr Hold"}</definedName>
    <definedName name="wwwww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wwwwwwwww" hidden="1">{#N/A,#N/A,TRUE,"A-site";#N/A,#N/A,TRUE,"B-Buildings";#N/A,#N/A,TRUE,"c-out-of-fence";#N/A,#N/A,TRUE,"d-proj.infr.";#N/A,#N/A,TRUE,"e- land"}</definedName>
    <definedName name="wwwwwwwwwww" hidden="1">{#N/A,#N/A,TRUE,"Title - Caisse";#N/A,#N/A,TRUE,"Schedule 1a";#N/A,#N/A,TRUE,"Schedule 2 - 2001";#N/A,#N/A,TRUE,"Schedule 2 - 2002";#N/A,#N/A,TRUE,"Schedule 2 - 2003";#N/A,#N/A,TRUE,"Schedule 3";#N/A,#N/A,TRUE,"Schedule 4";#N/A,#N/A,TRUE,"Schedule 5";#N/A,#N/A,TRUE,"Schedule 5a";#N/A,#N/A,TRUE,"Schedule 6";#N/A,#N/A,TRUE,"Schedule 6a";#N/A,#N/A,TRUE,"Schedule 6b";#N/A,#N/A,TRUE,"Schedule 6c";#N/A,#N/A,TRUE,"Schedule 6d";#N/A,#N/A,TRUE,"Schedule 6e";#N/A,#N/A,TRUE,"Schedule 7";#N/A,#N/A,TRUE,"Schedule 8"}</definedName>
    <definedName name="x" hidden="1">{#N/A,#N/A,FALSE,"LoanAssumptions"}</definedName>
    <definedName name="xcvxv" hidden="1">{#N/A,#N/A,FALSE,"COVER";#N/A,#N/A,FALSE,"PROFORMA";#N/A,#N/A,FALSE,"Construction CF";#N/A,#N/A,FALSE,"CASHFLOW";#N/A,#N/A,FALSE,"Sale &amp; IRR Analysis";#N/A,#N/A,FALSE,"Amortization Table";#N/A,#N/A,FALSE,"Amortization FEMA";#N/A,#N/A,FALSE,"INCOME"}</definedName>
    <definedName name="xdrtuyxftgu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xdxdy" hidden="1">{#N/A,#N/A,FALSE,"A";#N/A,#N/A,FALSE,"B"}</definedName>
    <definedName name="xfgjxcfgj" hidden="1">{#N/A,#N/A,FALSE,"LP Exp";#N/A,#N/A,FALSE,"Salary";#N/A,#N/A,FALSE,"Admin Exp";#N/A,#N/A,FALSE,"QTS Bud";#N/A,#N/A,FALSE,"Marketing"}</definedName>
    <definedName name="xfgujxcfgj" hidden="1">{#N/A,#N/A,FALSE,"Common Area Accrual";#N/A,#N/A,FALSE,"Unit One LaSalle";#N/A,#N/A,FALSE,"Unit One CW";#N/A,#N/A,FALSE,"Unit One LaSallle + C &amp; W";#N/A,#N/A,FALSE,"Consolidated Accrual"}</definedName>
    <definedName name="xfgxcfgj" hidden="1">{#N/A,#N/A,FALSE,"399 Park Var";#N/A,#N/A,FALSE,"PK NOTES"}</definedName>
    <definedName name="xftxft" hidden="1">{#N/A,#N/A,FALSE,"A";#N/A,#N/A,FALSE,"C"}</definedName>
    <definedName name="XLDW_UID" hidden="1">"us262150"</definedName>
    <definedName name="XLDW_VER" hidden="1">"Office 2000 2.0 with Query Builder"</definedName>
    <definedName name="xlg" hidden="1">{"schedule1",#N/A,FALSE,"Sheet1";"schedule2",#N/A,FALSE,"Sheet1";"schedule3",#N/A,FALSE,"Sheet1";"schedule4",#N/A,FALSE,"Sheet1";"schedule5",#N/A,FALSE,"Sheet1";"schedule6",#N/A,FALSE,"Sheet1"}</definedName>
    <definedName name="xlg1" hidden="1">{"Year 1",#N/A,FALSE,"Budget";"Year 2",#N/A,FALSE,"Budget";"Year 3",#N/A,FALSE,"Budget";"Year 4",#N/A,FALSE,"Budget"}</definedName>
    <definedName name="xp" hidden="1">#REF!</definedName>
    <definedName name="XREF_COLUMN_1" hidden="1">#REF!</definedName>
    <definedName name="XREF_COLUMN_10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Row" hidden="1">#REF!</definedName>
    <definedName name="XRefCopy2" hidden="1">#REF!</definedName>
    <definedName name="XRefCopy27" hidden="1">#REF!</definedName>
    <definedName name="XRefCopy28" hidden="1">#REF!</definedName>
    <definedName name="XRefCopy29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4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RangeCount" hidden="1">5</definedName>
    <definedName name="xrttd" hidden="1">{"Total",#N/A,FALSE,"Total Proved + Probable";"PDP",#N/A,FALSE,"Total Proved + Probable";"PNP",#N/A,FALSE,"Total Proved + Probable";"PUD",#N/A,FALSE,"Total Proved + Probable";"Prob",#N/A,FALSE,"Total Proved + Probable"}</definedName>
    <definedName name="xryjxtjnx" hidden="1">{"Investor",#N/A,FALSE,"Model";"Property",#N/A,FALSE,"Model";"Incentive Taxes",#N/A,FALSE,"Model"}</definedName>
    <definedName name="xs" hidden="1">#REF!</definedName>
    <definedName name="xvc" hidden="1">{"FCB_ALL",#N/A,FALSE,"FCB"}</definedName>
    <definedName name="XVCWXV" hidden="1">#REF!</definedName>
    <definedName name="xx" hidden="1">#REF!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xxx" hidden="1">{#N/A,#N/A,TRUE,"10 Yr Hold";#N/A,#N/A,TRUE,"7 Yr Hold";#N/A,#N/A,TRUE,"5 Yr Hold";#N/A,#N/A,TRUE,"3 Yr Hold"}</definedName>
    <definedName name="xxx_1" hidden="1">{"COM",#N/A,FALSE,"800 10th"}</definedName>
    <definedName name="xxx.detail" hidden="1">{"detail305",#N/A,FALSE,"BI-305"}</definedName>
    <definedName name="xxx.directory" hidden="1">{"summary",#N/A,FALSE,"PCR DIRECTORY"}</definedName>
    <definedName name="xxx.statements." hidden="1">{#N/A,#N/A,FALSE,"Income Statement";#N/A,#N/A,FALSE,"Cash Flow";#N/A,#N/A,FALSE,"Balance Sheet";#N/A,#N/A,FALSE,"Ratios"}</definedName>
    <definedName name="xxx3" hidden="1">{"AnnualRentRoll",#N/A,FALSE,"RentRoll"}</definedName>
    <definedName name="xxx3_1" hidden="1">{"AnnualRentRoll",#N/A,FALSE,"RentRoll"}</definedName>
    <definedName name="xxx3_2" hidden="1">{"AnnualRentRoll",#N/A,FALSE,"RentRoll"}</definedName>
    <definedName name="xxx3_3" hidden="1">{"AnnualRentRoll",#N/A,FALSE,"RentRoll"}</definedName>
    <definedName name="xxx3_4" hidden="1">{"AnnualRentRoll",#N/A,FALSE,"RentRoll"}</definedName>
    <definedName name="xxx4" hidden="1">{#N/A,#N/A,FALSE,"ExitStratigy"}</definedName>
    <definedName name="xxx4_1" hidden="1">{#N/A,#N/A,FALSE,"ExitStratigy"}</definedName>
    <definedName name="xxx4_2" hidden="1">{#N/A,#N/A,FALSE,"ExitStratigy"}</definedName>
    <definedName name="xxx4_3" hidden="1">{#N/A,#N/A,FALSE,"ExitStratigy"}</definedName>
    <definedName name="xxx4_4" hidden="1">{#N/A,#N/A,FALSE,"ExitStratigy"}</definedName>
    <definedName name="xxxx" hidden="1">#REF!</definedName>
    <definedName name="xxxxx" hidden="1">{#N/A,#N/A,FALSE,"Aging Summary";#N/A,#N/A,FALSE,"Ratio Analysis";#N/A,#N/A,FALSE,"Test 120 Day Accts";#N/A,#N/A,FALSE,"Tickmarks"}</definedName>
    <definedName name="XXXXXX" hidden="1">#REF!</definedName>
    <definedName name="XYZ">#REF!</definedName>
    <definedName name="xz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y" hidden="1">{"clp_bs_doc",#N/A,FALSE,"CLP";"clp_is_doc",#N/A,FALSE,"CLP";"clp_cf_doc",#N/A,FALSE,"CLP";"clp_fr_doc",#N/A,FALSE,"CLP"}</definedName>
    <definedName name="ydfbgeartg" hidden="1">#REF!</definedName>
    <definedName name="year">#REF!</definedName>
    <definedName name="Year_01">#REF!</definedName>
    <definedName name="YEAR_END">#REF!</definedName>
    <definedName name="YearLabel02">#REF!</definedName>
    <definedName name="years">#REF!</definedName>
    <definedName name="YG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yhdyh" hidden="1">#REF!</definedName>
    <definedName name="yhjhj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ield">#REF!</definedName>
    <definedName name="yield_graph" hidden="1">{#N/A,#N/A,FALSE,"Yield Graph"}</definedName>
    <definedName name="YIELD_WITH">#REF!</definedName>
    <definedName name="YIELD_WITHOUT">#REF!</definedName>
    <definedName name="YIELDS">#REF!</definedName>
    <definedName name="YOSLAND">#REF!</definedName>
    <definedName name="you" hidden="1">{"Financials",#N/A,FALSE,"Financials";"AVP",#N/A,FALSE,"AVP";"DCF",#N/A,FALSE,"DCF";"CSC",#N/A,FALSE,"CSC";"Deal_Comp",#N/A,FALSE,"DealComp"}</definedName>
    <definedName name="YoY_SS_Array">#REF!</definedName>
    <definedName name="YoY_SS_Offset">#REF!</definedName>
    <definedName name="yr10cashFLOWafterDEBT">#REF!</definedName>
    <definedName name="yr1a" hidden="1">#REF!</definedName>
    <definedName name="yr1cashFLOWafterDEBT">#REF!</definedName>
    <definedName name="yr1NOI">#REF!</definedName>
    <definedName name="YR1NonreimbOpexPSF">#REF!</definedName>
    <definedName name="YR1OpexPSF">#REF!</definedName>
    <definedName name="YR1ReimbOpexPSF">#REF!</definedName>
    <definedName name="yr2a" hidden="1">#REF!</definedName>
    <definedName name="yr2cashFLOWafterDEBT">#REF!</definedName>
    <definedName name="yr3a" hidden="1">#REF!</definedName>
    <definedName name="yr3cashFLOWafterDEBT">#REF!</definedName>
    <definedName name="yr4a" hidden="1">#REF!</definedName>
    <definedName name="yr4cashFLOWafterDEBT">#REF!</definedName>
    <definedName name="yr5cashFLOWafterDEBT">#REF!</definedName>
    <definedName name="yr6cashFLOWafterDEBT">#REF!</definedName>
    <definedName name="yr7cashFLOWafterDEBT">#REF!</definedName>
    <definedName name="yr8cashFLOWafterDEBT">#REF!</definedName>
    <definedName name="yr9cashFLOWafterDEBT">#REF!</definedName>
    <definedName name="ytjh" hidden="1">#REF!</definedName>
    <definedName name="ytsrt" hidden="1">#REF!</definedName>
    <definedName name="yui" hidden="1">{#N/A,#N/A,FALSE,"Chart 2 by Prop Type"}</definedName>
    <definedName name="yuiy" hidden="1">{#N/A,#N/A,FALSE,"COVER";#N/A,#N/A,FALSE,"Construction CF";#N/A,#N/A,FALSE,"PROFORMA";#N/A,#N/A,FALSE,"CASHFLOW"}</definedName>
    <definedName name="yyy" hidden="1">#REF!</definedName>
    <definedName name="yyy.detail" hidden="1">{"detail305",#N/A,FALSE,"BI-305"}</definedName>
    <definedName name="yyyyyyy" hidden="1">{#N/A,#N/A,FALSE,"Title - Management";#N/A,#N/A,FALSE,"Schedule 1a";#N/A,#N/A,FALSE,"Schedule 2 - 2001";#N/A,#N/A,FALSE,"Schedule 2 - 2002";#N/A,#N/A,FALSE,"Schedule 2 - 2003";#N/A,#N/A,FALSE,"Schedule 3 - Mgnt ";#N/A,#N/A,FALSE,"Schedule 3";#N/A,#N/A,FALSE,"Schedule 4";#N/A,#N/A,FALSE,"Schedule 4a - Mgnt";#N/A,#N/A,FALSE,"Schedule 5";#N/A,#N/A,FALSE,"Schedule 5a";#N/A,#N/A,FALSE,"Schedule 6";#N/A,#N/A,FALSE,"Schedule 6a";#N/A,#N/A,FALSE,"Schedule 6b";#N/A,#N/A,FALSE,"Schedule 6c";#N/A,#N/A,FALSE,"Schedule 6d";#N/A,#N/A,FALSE,"Schedule 6e";#N/A,#N/A,FALSE,"Schedule 7";#N/A,#N/A,FALSE,"Schedule 8";#N/A,#N/A,FALSE,"Schedule 9- Mgnt";#N/A,#N/A,FALSE,"Schedule 10 - Mgmt Fees - Mgnt";#N/A,#N/A,FALSE,"Schedule 10- Leasing Fees- Mgnt";#N/A,#N/A,FALSE,"Schedule 10 - Devel Fees- Mgnt"}</definedName>
    <definedName name="z" hidden="1">{"CSheet",#N/A,FALSE,"C";"SmCap",#N/A,FALSE,"VAL1";"GulfCoast",#N/A,FALSE,"VAL1";"nav",#N/A,FALSE,"NAV";"Summary",#N/A,FALSE,"NAV"}</definedName>
    <definedName name="Z_0DF4CCD5_BD29_11D2_B943_0050040AC21C_.wvu.FilterData" hidden="1">#REF!</definedName>
    <definedName name="Z_103EF461_8E0C_11D4_BD19_00C04F7ADBB0_.wvu.PrintTitles" hidden="1">#REF!</definedName>
    <definedName name="Z_1906290E_BC61_11D2_B941_0050040AC21C_.wvu.FilterData" hidden="1">#REF!</definedName>
    <definedName name="Z_19062910_BC61_11D2_B941_0050040AC21C_.wvu.FilterData" hidden="1">#REF!</definedName>
    <definedName name="Z_1C8A8291_48BB_11D3_BD19_00C04F7ADBB0_.wvu.PrintTitles" hidden="1">#REF!</definedName>
    <definedName name="Z_22616A05_83D1_11D4_BD19_00C04F7ADBB0_.wvu.PrintTitles" hidden="1">#REF!</definedName>
    <definedName name="Z_28BDDCCC_2551_11D1_BD8E_0020AF42250B_.wvu.Cols" hidden="1">#REF!,#REF!,#REF!</definedName>
    <definedName name="Z_28BDDCCD_2551_11D1_BD8E_0020AF42250B_.wvu.Cols" hidden="1">#REF!,#REF!,#REF!</definedName>
    <definedName name="Z_28BDDCCF_2551_11D1_BD8E_0020AF42250B_.wvu.Cols" hidden="1">#REF!,#REF!,#REF!,#REF!</definedName>
    <definedName name="Z_28BDDCD0_2551_11D1_BD8E_0020AF42250B_.wvu.Cols" hidden="1">#REF!,#REF!,#REF!</definedName>
    <definedName name="Z_28BDDCD1_2551_11D1_BD8E_0020AF42250B_.wvu.Cols" hidden="1">#REF!,#REF!</definedName>
    <definedName name="Z_28BDDCD2_2551_11D1_BD8E_0020AF42250B_.wvu.Cols" hidden="1">#REF!,#REF!,#REF!</definedName>
    <definedName name="Z_28BDDCD3_2551_11D1_BD8E_0020AF42250B_.wvu.Cols" hidden="1">#REF!,#REF!,#REF!,#REF!</definedName>
    <definedName name="Z_28BDDCD8_2551_11D1_BD8E_0020AF42250B_.wvu.Cols" hidden="1">#REF!,#REF!,#REF!</definedName>
    <definedName name="Z_28BDDCD9_2551_11D1_BD8E_0020AF42250B_.wvu.Cols" hidden="1">#REF!,#REF!,#REF!</definedName>
    <definedName name="Z_293F9608_6186_11D1_8188_004C06C10000_.wvu.Cols" hidden="1">#REF!</definedName>
    <definedName name="Z_2DF11753_B84B_11D2_B93A_0050040AC227_.wvu.PrintArea" hidden="1">#REF!</definedName>
    <definedName name="Z_38B66622_465C_11D1_8554_0080C7F00AC6_.wvu.Cols" hidden="1">#REF!,#REF!,#REF!</definedName>
    <definedName name="Z_38B66623_465C_11D1_8554_0080C7F00AC6_.wvu.Cols" hidden="1">#REF!,#REF!,#REF!</definedName>
    <definedName name="Z_38B66625_465C_11D1_8554_0080C7F00AC6_.wvu.Cols" hidden="1">#REF!,#REF!,#REF!,#REF!</definedName>
    <definedName name="Z_38B66626_465C_11D1_8554_0080C7F00AC6_.wvu.Cols" hidden="1">#REF!,#REF!,#REF!</definedName>
    <definedName name="Z_38B66627_465C_11D1_8554_0080C7F00AC6_.wvu.Cols" hidden="1">#REF!,#REF!</definedName>
    <definedName name="Z_38B66628_465C_11D1_8554_0080C7F00AC6_.wvu.Cols" hidden="1">#REF!,#REF!,#REF!</definedName>
    <definedName name="Z_38B66629_465C_11D1_8554_0080C7F00AC6_.wvu.Cols" hidden="1">#REF!,#REF!,#REF!,#REF!</definedName>
    <definedName name="Z_38B6662E_465C_11D1_8554_0080C7F00AC6_.wvu.Cols" hidden="1">#REF!,#REF!,#REF!</definedName>
    <definedName name="Z_38B6662F_465C_11D1_8554_0080C7F00AC6_.wvu.Cols" hidden="1">#REF!,#REF!,#REF!</definedName>
    <definedName name="Z_3FFCEA43_F8AA_11D0_BD29_0020AF42250B_.wvu.Cols" hidden="1">#REF!,#REF!,#REF!</definedName>
    <definedName name="Z_3FFCEA43_F8AA_11D0_BD29_0020AF42250B_.wvu.PrintArea" hidden="1">#REF!</definedName>
    <definedName name="Z_3FFCEA43_F8AA_11D0_BD29_0020AF42250B_.wvu.PrintTitles" hidden="1">#REF!</definedName>
    <definedName name="Z_40D1A02B_1594_11D1_BD73_0020AF42250B_.wvu.Cols" hidden="1">#REF!,#REF!,#REF!</definedName>
    <definedName name="Z_40D1A02C_1594_11D1_BD73_0020AF42250B_.wvu.Cols" hidden="1">#REF!,#REF!,#REF!</definedName>
    <definedName name="Z_40D1A02D_1594_11D1_BD73_0020AF42250B_.wvu.Cols" hidden="1">#REF!,#REF!,#REF!,#REF!</definedName>
    <definedName name="Z_40D1A02E_1594_11D1_BD73_0020AF42250B_.wvu.Cols" hidden="1">#REF!,#REF!,#REF!</definedName>
    <definedName name="Z_40D1A02F_1594_11D1_BD73_0020AF42250B_.wvu.Cols" hidden="1">#REF!,#REF!</definedName>
    <definedName name="Z_40D1A030_1594_11D1_BD73_0020AF42250B_.wvu.Cols" hidden="1">#REF!,#REF!,#REF!</definedName>
    <definedName name="Z_40D1A031_1594_11D1_BD73_0020AF42250B_.wvu.Cols" hidden="1">#REF!,#REF!,#REF!,#REF!</definedName>
    <definedName name="Z_40D1A032_1594_11D1_BD73_0020AF42250B_.wvu.Cols" hidden="1">#REF!,#REF!,#REF!</definedName>
    <definedName name="Z_40D1A033_1594_11D1_BD73_0020AF42250B_.wvu.Cols" hidden="1">#REF!,#REF!,#REF!</definedName>
    <definedName name="Z_40D1A104_1594_11D1_BD73_0020AF42250B_.wvu.Cols" hidden="1">#REF!,#REF!,#REF!</definedName>
    <definedName name="Z_40D1A105_1594_11D1_BD73_0020AF42250B_.wvu.Cols" hidden="1">#REF!,#REF!,#REF!</definedName>
    <definedName name="Z_40D1A107_1594_11D1_BD73_0020AF42250B_.wvu.Cols" hidden="1">#REF!,#REF!,#REF!,#REF!</definedName>
    <definedName name="Z_40D1A109_1594_11D1_BD73_0020AF42250B_.wvu.Cols" hidden="1">#REF!,#REF!,#REF!</definedName>
    <definedName name="Z_40D1A10B_1594_11D1_BD73_0020AF42250B_.wvu.Cols" hidden="1">#REF!,#REF!</definedName>
    <definedName name="Z_40D1A10C_1594_11D1_BD73_0020AF42250B_.wvu.Cols" hidden="1">#REF!,#REF!,#REF!</definedName>
    <definedName name="Z_40D1A10F_1594_11D1_BD73_0020AF42250B_.wvu.Cols" hidden="1">#REF!,#REF!,#REF!,#REF!</definedName>
    <definedName name="Z_40D1A114_1594_11D1_BD73_0020AF42250B_.wvu.Cols" hidden="1">#REF!,#REF!,#REF!</definedName>
    <definedName name="Z_40D1A115_1594_11D1_BD73_0020AF42250B_.wvu.Cols" hidden="1">#REF!,#REF!,#REF!</definedName>
    <definedName name="Z_49179D1A_043D_11D1_BD55_0020AF42250B_.wvu.Cols" hidden="1">#REF!,#REF!</definedName>
    <definedName name="Z_49179D1A_043D_11D1_BD55_0020AF42250B_.wvu.PrintArea" hidden="1">#REF!</definedName>
    <definedName name="Z_49179D1A_043D_11D1_BD55_0020AF42250B_.wvu.PrintTitles" hidden="1">#REF!</definedName>
    <definedName name="Z_49179D1D_043D_11D1_BD55_0020AF42250B_.wvu.Cols" hidden="1">#REF!,#REF!,#REF!</definedName>
    <definedName name="Z_49179D1D_043D_11D1_BD55_0020AF42250B_.wvu.PrintArea" hidden="1">#REF!</definedName>
    <definedName name="Z_49179D1D_043D_11D1_BD55_0020AF42250B_.wvu.PrintTitles" hidden="1">#REF!</definedName>
    <definedName name="Z_4C1CBF02_B7B5_11D2_B93A_0050040AC21C_.wvu.FilterData" hidden="1">#REF!</definedName>
    <definedName name="Z_4C1CBF02_B7B5_11D2_B93A_0050040AC21C_.wvu.PrintArea" hidden="1">#REF!</definedName>
    <definedName name="Z_4C1CBF02_B7B5_11D2_B93A_0050040AC21C_.wvu.PrintTitles" hidden="1">#REF!</definedName>
    <definedName name="Z_4D69700F_3E5A_11D2_B93D_00C04F7ADD59_.wvu.Cols" hidden="1">#REF!,#REF!</definedName>
    <definedName name="Z_4D697010_3E5A_11D2_B93D_00C04F7ADD59_.wvu.Cols" hidden="1">#REF!,#REF!</definedName>
    <definedName name="Z_4D697010_3E5A_11D2_B93D_00C04F7ADD59_.wvu.Rows" hidden="1">#REF!,#REF!,#REF!,#REF!,#REF!,#REF!</definedName>
    <definedName name="Z_4D697011_3E5A_11D2_B93D_00C04F7ADD59_.wvu.Cols" hidden="1">#REF!,#REF!</definedName>
    <definedName name="Z_4D697011_3E5A_11D2_B93D_00C04F7ADD59_.wvu.Rows" hidden="1">#REF!,#REF!,#REF!,#REF!,#REF!,#REF!,#REF!,#REF!,#REF!</definedName>
    <definedName name="Z_4D697012_3E5A_11D2_B93D_00C04F7ADD59_.wvu.Cols" hidden="1">#REF!,#REF!</definedName>
    <definedName name="Z_4D697012_3E5A_11D2_B93D_00C04F7ADD59_.wvu.Rows" hidden="1">#REF!,#REF!,#REF!,#REF!,#REF!,#REF!,#REF!,#REF!,#REF!</definedName>
    <definedName name="Z_4D697013_3E5A_11D2_B93D_00C04F7ADD59_.wvu.Cols" hidden="1">#REF!,#REF!</definedName>
    <definedName name="Z_4D697013_3E5A_11D2_B93D_00C04F7ADD59_.wvu.Rows" hidden="1">#REF!,#REF!,#REF!,#REF!,#REF!</definedName>
    <definedName name="Z_4D697014_3E5A_11D2_B93D_00C04F7ADD59_.wvu.Cols" hidden="1">#REF!,#REF!</definedName>
    <definedName name="Z_4D697014_3E5A_11D2_B93D_00C04F7ADD59_.wvu.Rows" hidden="1">#REF!,#REF!,#REF!,#REF!,#REF!,#REF!,#REF!,#REF!,#REF!,#REF!</definedName>
    <definedName name="Z_4D697015_3E5A_11D2_B93D_00C04F7ADD59_.wvu.Cols" hidden="1">#REF!,#REF!</definedName>
    <definedName name="Z_4D697016_3E5A_11D2_B93D_00C04F7ADD59_.wvu.Cols" hidden="1">#REF!,#REF!</definedName>
    <definedName name="Z_4D697016_3E5A_11D2_B93D_00C04F7ADD59_.wvu.Rows" hidden="1">#REF!,#REF!</definedName>
    <definedName name="Z_4D697017_3E5A_11D2_B93D_00C04F7ADD59_.wvu.Cols" hidden="1">#REF!,#REF!</definedName>
    <definedName name="Z_4D697067_3E5A_11D2_B93D_00C04F7ADD59_.wvu.Cols" hidden="1">#REF!,#REF!</definedName>
    <definedName name="Z_4D697068_3E5A_11D2_B93D_00C04F7ADD59_.wvu.Cols" hidden="1">#REF!,#REF!</definedName>
    <definedName name="Z_4D697068_3E5A_11D2_B93D_00C04F7ADD59_.wvu.Rows" hidden="1">#REF!,#REF!,#REF!,#REF!,#REF!,#REF!</definedName>
    <definedName name="Z_4D697069_3E5A_11D2_B93D_00C04F7ADD59_.wvu.Cols" hidden="1">#REF!,#REF!</definedName>
    <definedName name="Z_4D697069_3E5A_11D2_B93D_00C04F7ADD59_.wvu.Rows" hidden="1">#REF!,#REF!,#REF!,#REF!,#REF!,#REF!,#REF!,#REF!,#REF!</definedName>
    <definedName name="Z_4D69706A_3E5A_11D2_B93D_00C04F7ADD59_.wvu.Cols" hidden="1">#REF!,#REF!</definedName>
    <definedName name="Z_4D69706A_3E5A_11D2_B93D_00C04F7ADD59_.wvu.Rows" hidden="1">#REF!,#REF!,#REF!,#REF!,#REF!,#REF!,#REF!,#REF!,#REF!</definedName>
    <definedName name="Z_4D69706B_3E5A_11D2_B93D_00C04F7ADD59_.wvu.Cols" hidden="1">#REF!,#REF!</definedName>
    <definedName name="Z_4D69706B_3E5A_11D2_B93D_00C04F7ADD59_.wvu.Rows" hidden="1">#REF!,#REF!,#REF!,#REF!,#REF!</definedName>
    <definedName name="Z_4D69706C_3E5A_11D2_B93D_00C04F7ADD59_.wvu.Cols" hidden="1">#REF!,#REF!</definedName>
    <definedName name="Z_4D69706C_3E5A_11D2_B93D_00C04F7ADD59_.wvu.Rows" hidden="1">#REF!,#REF!,#REF!,#REF!,#REF!,#REF!,#REF!,#REF!,#REF!,#REF!</definedName>
    <definedName name="Z_4D69706D_3E5A_11D2_B93D_00C04F7ADD59_.wvu.Cols" hidden="1">#REF!,#REF!</definedName>
    <definedName name="Z_4D69706E_3E5A_11D2_B93D_00C04F7ADD59_.wvu.Cols" hidden="1">#REF!,#REF!</definedName>
    <definedName name="Z_4D69706E_3E5A_11D2_B93D_00C04F7ADD59_.wvu.Rows" hidden="1">#REF!,#REF!</definedName>
    <definedName name="Z_4D69706F_3E5A_11D2_B93D_00C04F7ADD59_.wvu.Cols" hidden="1">#REF!,#REF!</definedName>
    <definedName name="Z_56741B30_9E05_11D4_BE09_0050040BF713_.wvu.Cols" hidden="1">#REF!</definedName>
    <definedName name="Z_56741B30_9E05_11D4_BE09_0050040BF713_.wvu.PrintTitles" hidden="1">#REF!</definedName>
    <definedName name="Z_6188BF32_9D6B_402D_B864_7A1178662966_.wvu.Cols" hidden="1">#REF!</definedName>
    <definedName name="Z_627E98CA_893D_11D2_9EFC_00C04FE0572F_.wvu.PrintArea" hidden="1">#REF!</definedName>
    <definedName name="Z_627E98CB_893D_11D2_9EFC_00C04FE0572F_.wvu.Cols" hidden="1">#REF!,#REF!,#REF!</definedName>
    <definedName name="Z_627E98CB_893D_11D2_9EFC_00C04FE0572F_.wvu.PrintArea" hidden="1">#REF!</definedName>
    <definedName name="Z_627E98CB_893D_11D2_9EFC_00C04FE0572F_.wvu.PrintTitles" hidden="1">#REF!</definedName>
    <definedName name="Z_66231A85_C0F1_11D2_B93B_0050040AC227_.wvu.FilterData" hidden="1">#REF!</definedName>
    <definedName name="Z_66231A86_C0F1_11D2_B93B_0050040AC227_.wvu.FilterData" hidden="1">#REF!</definedName>
    <definedName name="Z_6DFA7DCF_3C08_11D1_BDBE_0020AF42250B_.wvu.PrintArea" hidden="1">#REF!</definedName>
    <definedName name="Z_6DFA7DCF_3C08_11D1_BDBE_0020AF42250B_.wvu.PrintTitles" hidden="1">#REF!</definedName>
    <definedName name="Z_6DFA7DD9_3C08_11D1_BDBE_0020AF42250B_.wvu.Cols" hidden="1">#REF!,#REF!,#REF!</definedName>
    <definedName name="Z_6DFA7DD9_3C08_11D1_BDBE_0020AF42250B_.wvu.PrintArea" hidden="1">#REF!</definedName>
    <definedName name="Z_6DFA7DD9_3C08_11D1_BDBE_0020AF42250B_.wvu.PrintTitles" hidden="1">#REF!</definedName>
    <definedName name="Z_6DFA7DDA_3C08_11D1_BDBE_0020AF42250B_.wvu.Cols" hidden="1">#REF!,#REF!,#REF!</definedName>
    <definedName name="Z_6DFA7DDA_3C08_11D1_BDBE_0020AF42250B_.wvu.PrintArea" hidden="1">#REF!</definedName>
    <definedName name="Z_6DFA7DDA_3C08_11D1_BDBE_0020AF42250B_.wvu.PrintTitles" hidden="1">#REF!</definedName>
    <definedName name="Z_6DFA7DDC_3C08_11D1_BDBE_0020AF42250B_.wvu.Cols" hidden="1">#REF!,#REF!,#REF!,#REF!</definedName>
    <definedName name="Z_6DFA7DDC_3C08_11D1_BDBE_0020AF42250B_.wvu.PrintArea" hidden="1">#REF!</definedName>
    <definedName name="Z_6DFA7DDC_3C08_11D1_BDBE_0020AF42250B_.wvu.PrintTitles" hidden="1">#REF!</definedName>
    <definedName name="Z_6DFA7DDD_3C08_11D1_BDBE_0020AF42250B_.wvu.Cols" hidden="1">#REF!,#REF!,#REF!</definedName>
    <definedName name="Z_6DFA7DDD_3C08_11D1_BDBE_0020AF42250B_.wvu.PrintArea" hidden="1">#REF!</definedName>
    <definedName name="Z_6DFA7DDD_3C08_11D1_BDBE_0020AF42250B_.wvu.PrintTitles" hidden="1">#REF!</definedName>
    <definedName name="Z_6DFA7DDE_3C08_11D1_BDBE_0020AF42250B_.wvu.Cols" hidden="1">#REF!,#REF!</definedName>
    <definedName name="Z_6DFA7DDE_3C08_11D1_BDBE_0020AF42250B_.wvu.PrintArea" hidden="1">#REF!</definedName>
    <definedName name="Z_6DFA7DDE_3C08_11D1_BDBE_0020AF42250B_.wvu.PrintTitles" hidden="1">#REF!</definedName>
    <definedName name="Z_6DFA7DDF_3C08_11D1_BDBE_0020AF42250B_.wvu.Cols" hidden="1">#REF!,#REF!,#REF!</definedName>
    <definedName name="Z_6DFA7DDF_3C08_11D1_BDBE_0020AF42250B_.wvu.PrintArea" hidden="1">#REF!</definedName>
    <definedName name="Z_6DFA7DDF_3C08_11D1_BDBE_0020AF42250B_.wvu.PrintTitles" hidden="1">#REF!</definedName>
    <definedName name="Z_6DFA7DE0_3C08_11D1_BDBE_0020AF42250B_.wvu.Cols" hidden="1">#REF!,#REF!,#REF!,#REF!</definedName>
    <definedName name="Z_6DFA7DE0_3C08_11D1_BDBE_0020AF42250B_.wvu.PrintArea" hidden="1">#REF!</definedName>
    <definedName name="Z_6DFA7DE0_3C08_11D1_BDBE_0020AF42250B_.wvu.PrintTitles" hidden="1">#REF!</definedName>
    <definedName name="Z_6DFA7DE5_3C08_11D1_BDBE_0020AF42250B_.wvu.Cols" hidden="1">#REF!,#REF!,#REF!</definedName>
    <definedName name="Z_6DFA7DE5_3C08_11D1_BDBE_0020AF42250B_.wvu.PrintArea" hidden="1">#REF!</definedName>
    <definedName name="Z_6DFA7DE5_3C08_11D1_BDBE_0020AF42250B_.wvu.PrintTitles" hidden="1">#REF!</definedName>
    <definedName name="Z_6DFA7DE6_3C08_11D1_BDBE_0020AF42250B_.wvu.Cols" hidden="1">#REF!,#REF!,#REF!</definedName>
    <definedName name="Z_6DFA7DE6_3C08_11D1_BDBE_0020AF42250B_.wvu.PrintArea" hidden="1">#REF!</definedName>
    <definedName name="Z_6DFA7DE6_3C08_11D1_BDBE_0020AF42250B_.wvu.PrintTitles" hidden="1">#REF!</definedName>
    <definedName name="Z_6ECC8A59_F873_11D0_BD29_0020AF42250B_.wvu.Cols" hidden="1">#REF!,#REF!,#REF!</definedName>
    <definedName name="Z_6ECC8A5A_F873_11D0_BD29_0020AF42250B_.wvu.Cols" hidden="1">#REF!,#REF!,#REF!</definedName>
    <definedName name="Z_6ECC8A5C_F873_11D0_BD29_0020AF42250B_.wvu.Cols" hidden="1">#REF!,#REF!,#REF!,#REF!</definedName>
    <definedName name="Z_6ECC8A5D_F873_11D0_BD29_0020AF42250B_.wvu.Cols" hidden="1">#REF!,#REF!,#REF!</definedName>
    <definedName name="Z_6ECC8A5E_F873_11D0_BD29_0020AF42250B_.wvu.Cols" hidden="1">#REF!,#REF!</definedName>
    <definedName name="Z_6ECC8A5F_F873_11D0_BD29_0020AF42250B_.wvu.Cols" hidden="1">#REF!,#REF!,#REF!</definedName>
    <definedName name="Z_6ECC8A60_F873_11D0_BD29_0020AF42250B_.wvu.Cols" hidden="1">#REF!,#REF!,#REF!,#REF!,#REF!,#REF!,#REF!</definedName>
    <definedName name="Z_6ECC8A65_F873_11D0_BD29_0020AF42250B_.wvu.Cols" hidden="1">#REF!,#REF!,#REF!</definedName>
    <definedName name="Z_6ECC8A66_F873_11D0_BD29_0020AF42250B_.wvu.Cols" hidden="1">#REF!,#REF!,#REF!</definedName>
    <definedName name="Z_6ECC8A90_F873_11D0_BD29_0020AF42250B_.wvu.PrintTitles" hidden="1">#REF!</definedName>
    <definedName name="Z_6ECC8A95_F873_11D0_BD29_0020AF42250B_.wvu.Cols" hidden="1">#REF!,#REF!,#REF!</definedName>
    <definedName name="Z_6ECC8A95_F873_11D0_BD29_0020AF42250B_.wvu.PrintArea" hidden="1">#REF!</definedName>
    <definedName name="Z_6ECC8A95_F873_11D0_BD29_0020AF42250B_.wvu.PrintTitles" hidden="1">#REF!</definedName>
    <definedName name="Z_78846D24_6B2D_11D1_8188_004C06C10000_.wvu.Cols" hidden="1">#REF!</definedName>
    <definedName name="Z_7A335D06_3E2B_11D5_982F_00B0D0A6BCF2_.wvu.PrintArea" hidden="1">#REF!</definedName>
    <definedName name="Z_7DE7B4CF_4CBE_11D2_B93D_00C04F7ADD59_.wvu.Cols" hidden="1">#REF!,#REF!</definedName>
    <definedName name="Z_7DE7B4D0_4CBE_11D2_B93D_00C04F7ADD59_.wvu.Cols" hidden="1">#REF!,#REF!</definedName>
    <definedName name="Z_7DE7B4D0_4CBE_11D2_B93D_00C04F7ADD59_.wvu.Rows" hidden="1">#REF!,#REF!,#REF!,#REF!,#REF!,#REF!</definedName>
    <definedName name="Z_7DE7B4D1_4CBE_11D2_B93D_00C04F7ADD59_.wvu.Cols" hidden="1">#REF!,#REF!</definedName>
    <definedName name="Z_7DE7B4D1_4CBE_11D2_B93D_00C04F7ADD59_.wvu.Rows" hidden="1">#REF!,#REF!,#REF!,#REF!,#REF!,#REF!,#REF!,#REF!,#REF!</definedName>
    <definedName name="Z_7DE7B4D2_4CBE_11D2_B93D_00C04F7ADD59_.wvu.Cols" hidden="1">#REF!,#REF!</definedName>
    <definedName name="Z_7DE7B4D2_4CBE_11D2_B93D_00C04F7ADD59_.wvu.Rows" hidden="1">#REF!,#REF!,#REF!,#REF!,#REF!,#REF!,#REF!,#REF!,#REF!</definedName>
    <definedName name="Z_7DE7B4D3_4CBE_11D2_B93D_00C04F7ADD59_.wvu.Cols" hidden="1">#REF!,#REF!</definedName>
    <definedName name="Z_7DE7B4D3_4CBE_11D2_B93D_00C04F7ADD59_.wvu.Rows" hidden="1">#REF!,#REF!,#REF!,#REF!,#REF!</definedName>
    <definedName name="Z_7DE7B4D4_4CBE_11D2_B93D_00C04F7ADD59_.wvu.Cols" hidden="1">#REF!,#REF!</definedName>
    <definedName name="Z_7DE7B4D4_4CBE_11D2_B93D_00C04F7ADD59_.wvu.Rows" hidden="1">#REF!,#REF!,#REF!,#REF!,#REF!,#REF!,#REF!,#REF!,#REF!,#REF!</definedName>
    <definedName name="Z_7DE7B4D5_4CBE_11D2_B93D_00C04F7ADD59_.wvu.Cols" hidden="1">#REF!,#REF!</definedName>
    <definedName name="Z_7DE7B4D6_4CBE_11D2_B93D_00C04F7ADD59_.wvu.Cols" hidden="1">#REF!,#REF!</definedName>
    <definedName name="Z_7DE7B4D6_4CBE_11D2_B93D_00C04F7ADD59_.wvu.Rows" hidden="1">#REF!,#REF!</definedName>
    <definedName name="Z_7DE7B4D7_4CBE_11D2_B93D_00C04F7ADD59_.wvu.Cols" hidden="1">#REF!,#REF!</definedName>
    <definedName name="Z_8723E284_6CA3_11D1_8188_004C06C10000_.wvu.Cols" hidden="1">#REF!</definedName>
    <definedName name="Z_9823FC40_2CCD_11D4_96C6_00C0F02765DE_.wvu.PrintArea" hidden="1">#REF!</definedName>
    <definedName name="Z_9823FC40_2CCD_11D4_96C6_00C0F02765DE_.wvu.PrintTitles" hidden="1">#REF!</definedName>
    <definedName name="Z_9823FC40_2CCD_11D4_96C6_00C0F02765DE_.wvu.Rows" hidden="1">#REF!,#REF!,#REF!,#REF!,#REF!,#REF!,#REF!,#REF!,#REF!,#REF!,#REF!,#REF!,#REF!,#REF!,#REF!,#REF!,#REF!,#REF!,#REF!,#REF!</definedName>
    <definedName name="Z_995DB91B_DC87_11D2_BCA9_00C04F8BBE86_.wvu.PrintArea" hidden="1">#REF!</definedName>
    <definedName name="Z_995DB91E_DC87_11D2_BCA9_00C04F8BBE86_.wvu.Cols" hidden="1">#REF!</definedName>
    <definedName name="Z_995DB91E_DC87_11D2_BCA9_00C04F8BBE86_.wvu.PrintArea" hidden="1">#REF!</definedName>
    <definedName name="Z_995DB91E_DC87_11D2_BCA9_00C04F8BBE86_.wvu.Rows" hidden="1">#REF!</definedName>
    <definedName name="Z_995DB91F_DC87_11D2_BCA9_00C04F8BBE86_.wvu.Cols" hidden="1">#REF!,#REF!,#REF!</definedName>
    <definedName name="Z_995DB91F_DC87_11D2_BCA9_00C04F8BBE86_.wvu.PrintArea" hidden="1">#REF!</definedName>
    <definedName name="Z_995DB91F_DC87_11D2_BCA9_00C04F8BBE86_.wvu.Rows" hidden="1">#REF!,#REF!</definedName>
    <definedName name="Z_9A8750D3_468A_11D3_8ECF_00C04F9226C7_.wvu.Cols" hidden="1">#REF!,#REF!,#REF!</definedName>
    <definedName name="Z_9A8750D3_468A_11D3_8ECF_00C04F9226C7_.wvu.PrintArea" hidden="1">#REF!</definedName>
    <definedName name="Z_9A8750D3_468A_11D3_8ECF_00C04F9226C7_.wvu.Rows" hidden="1">#REF!</definedName>
    <definedName name="Z_9C764411_CC6B_11D4_A50D_00010277FBAA_.wvu.PrintArea" hidden="1">#REF!</definedName>
    <definedName name="Z_A2426FEA_B812_466E_AD56_91907F9FA6F0_.wvu.PrintArea" hidden="1">#REF!</definedName>
    <definedName name="Z_A73E33D1_2630_11D1_BD91_0020AF42250B_.wvu.Cols" hidden="1">#REF!,#REF!,#REF!</definedName>
    <definedName name="Z_A73E33D2_2630_11D1_BD91_0020AF42250B_.wvu.Cols" hidden="1">#REF!,#REF!,#REF!</definedName>
    <definedName name="Z_A73E33D4_2630_11D1_BD91_0020AF42250B_.wvu.Cols" hidden="1">#REF!,#REF!,#REF!,#REF!</definedName>
    <definedName name="Z_A73E33D5_2630_11D1_BD91_0020AF42250B_.wvu.Cols" hidden="1">#REF!,#REF!,#REF!</definedName>
    <definedName name="Z_A73E33D6_2630_11D1_BD91_0020AF42250B_.wvu.Cols" hidden="1">#REF!,#REF!</definedName>
    <definedName name="Z_A73E33D7_2630_11D1_BD91_0020AF42250B_.wvu.Cols" hidden="1">#REF!,#REF!,#REF!</definedName>
    <definedName name="Z_A73E33D8_2630_11D1_BD91_0020AF42250B_.wvu.Cols" hidden="1">#REF!,#REF!,#REF!,#REF!</definedName>
    <definedName name="Z_A73E33DD_2630_11D1_BD91_0020AF42250B_.wvu.Cols" hidden="1">#REF!,#REF!,#REF!</definedName>
    <definedName name="Z_A73E33DE_2630_11D1_BD91_0020AF42250B_.wvu.Cols" hidden="1">#REF!,#REF!,#REF!</definedName>
    <definedName name="Z_A99CC723_C1C7_11D2_B941_0050040AC228_.wvu.FilterData" hidden="1">#REF!</definedName>
    <definedName name="Z_A99CC729_C1C7_11D2_B941_0050040AC228_.wvu.FilterData" hidden="1">#REF!</definedName>
    <definedName name="Z_A99CC733_C1C7_11D2_B941_0050040AC228_.wvu.FilterData" hidden="1">#REF!</definedName>
    <definedName name="Z_A99CC736_C1C7_11D2_B941_0050040AC228_.wvu.FilterData" hidden="1">#REF!</definedName>
    <definedName name="Z_AD027187_6CF8_4425_9630_861DCEA3DE65_.wvu.Rows" hidden="1">#REF!,#REF!,#REF!,#REF!,#REF!,#REF!</definedName>
    <definedName name="Z_B3F6EA45_C4B0_11D6_A93C_F3538214D62E_.wvu.Cols" hidden="1">#REF!</definedName>
    <definedName name="Z_B3F6EA45_C4B0_11D6_A93C_F3538214D62E_.wvu.PrintArea" hidden="1">#REF!</definedName>
    <definedName name="Z_B3F6EA45_C4B0_11D6_A93C_F3538214D62E_.wvu.PrintTitles" hidden="1">#REF!</definedName>
    <definedName name="Z_B3F6EA45_C4B0_11D6_A93C_F3538214D62E_.wvu.Rows" hidden="1">#REF!,#REF!,#REF!</definedName>
    <definedName name="Z_B47DD997_1976_11D1_BD7C_0020AF42250B_.wvu.Cols" hidden="1">#REF!,#REF!,#REF!</definedName>
    <definedName name="Z_B47DD998_1976_11D1_BD7C_0020AF42250B_.wvu.Cols" hidden="1">#REF!,#REF!,#REF!</definedName>
    <definedName name="Z_B47DD99A_1976_11D1_BD7C_0020AF42250B_.wvu.Cols" hidden="1">#REF!,#REF!,#REF!,#REF!</definedName>
    <definedName name="Z_B47DD99B_1976_11D1_BD7C_0020AF42250B_.wvu.Cols" hidden="1">#REF!,#REF!,#REF!</definedName>
    <definedName name="Z_B47DD99C_1976_11D1_BD7C_0020AF42250B_.wvu.Cols" hidden="1">#REF!,#REF!</definedName>
    <definedName name="Z_B47DD99D_1976_11D1_BD7C_0020AF42250B_.wvu.Cols" hidden="1">#REF!,#REF!,#REF!</definedName>
    <definedName name="Z_B47DD99E_1976_11D1_BD7C_0020AF42250B_.wvu.Cols" hidden="1">#REF!,#REF!,#REF!,#REF!</definedName>
    <definedName name="Z_B47DD9A3_1976_11D1_BD7C_0020AF42250B_.wvu.Cols" hidden="1">#REF!,#REF!,#REF!</definedName>
    <definedName name="Z_B47DD9A4_1976_11D1_BD7C_0020AF42250B_.wvu.Cols" hidden="1">#REF!,#REF!,#REF!</definedName>
    <definedName name="Z_B6AE087C_DC06_11D2_BCA9_00C04F8BBE86_.wvu.Cols" hidden="1">#REF!,#REF!,#REF!,#REF!,#REF!</definedName>
    <definedName name="Z_B6AE087C_DC06_11D2_BCA9_00C04F8BBE86_.wvu.PrintArea" hidden="1">#REF!</definedName>
    <definedName name="Z_B6AE087C_DC06_11D2_BCA9_00C04F8BBE86_.wvu.Rows" hidden="1">#REF!,#REF!</definedName>
    <definedName name="Z_C207A48F_3DC8_11D2_B93D_00C04F7ADD59_.wvu.Cols" hidden="1">#REF!,#REF!</definedName>
    <definedName name="Z_C207A490_3DC8_11D2_B93D_00C04F7ADD59_.wvu.Cols" hidden="1">#REF!,#REF!</definedName>
    <definedName name="Z_C207A490_3DC8_11D2_B93D_00C04F7ADD59_.wvu.Rows" hidden="1">#REF!,#REF!,#REF!,#REF!,#REF!,#REF!</definedName>
    <definedName name="Z_C207A491_3DC8_11D2_B93D_00C04F7ADD59_.wvu.Cols" hidden="1">#REF!,#REF!</definedName>
    <definedName name="Z_C207A491_3DC8_11D2_B93D_00C04F7ADD59_.wvu.Rows" hidden="1">#REF!,#REF!,#REF!,#REF!,#REF!,#REF!,#REF!,#REF!,#REF!</definedName>
    <definedName name="Z_C207A493_3DC8_11D2_B93D_00C04F7ADD59_.wvu.Cols" hidden="1">#REF!,#REF!</definedName>
    <definedName name="Z_C207A493_3DC8_11D2_B93D_00C04F7ADD59_.wvu.Rows" hidden="1">#REF!,#REF!,#REF!,#REF!,#REF!</definedName>
    <definedName name="Z_C207A494_3DC8_11D2_B93D_00C04F7ADD59_.wvu.Cols" hidden="1">#REF!,#REF!</definedName>
    <definedName name="Z_C207A494_3DC8_11D2_B93D_00C04F7ADD59_.wvu.Rows" hidden="1">#REF!,#REF!,#REF!,#REF!,#REF!,#REF!,#REF!,#REF!,#REF!,#REF!</definedName>
    <definedName name="Z_C207A495_3DC8_11D2_B93D_00C04F7ADD59_.wvu.Cols" hidden="1">#REF!,#REF!</definedName>
    <definedName name="Z_C207A496_3DC8_11D2_B93D_00C04F7ADD59_.wvu.Cols" hidden="1">#REF!,#REF!</definedName>
    <definedName name="Z_C207A496_3DC8_11D2_B93D_00C04F7ADD59_.wvu.Rows" hidden="1">#REF!,#REF!</definedName>
    <definedName name="Z_C207A497_3DC8_11D2_B93D_00C04F7ADD59_.wvu.Cols" hidden="1">#REF!,#REF!</definedName>
    <definedName name="Z_C313B3E8_4D4B_11D2_B93D_00C04F7ADD59_.wvu.Cols" hidden="1">#REF!,#REF!</definedName>
    <definedName name="Z_C313B3E9_4D4B_11D2_B93D_00C04F7ADD59_.wvu.Cols" hidden="1">#REF!,#REF!</definedName>
    <definedName name="Z_C313B3E9_4D4B_11D2_B93D_00C04F7ADD59_.wvu.Rows" hidden="1">#REF!,#REF!,#REF!,#REF!,#REF!,#REF!</definedName>
    <definedName name="Z_C313B3EA_4D4B_11D2_B93D_00C04F7ADD59_.wvu.Cols" hidden="1">#REF!,#REF!</definedName>
    <definedName name="Z_C313B3EA_4D4B_11D2_B93D_00C04F7ADD59_.wvu.Rows" hidden="1">#REF!,#REF!,#REF!,#REF!,#REF!,#REF!,#REF!,#REF!,#REF!</definedName>
    <definedName name="Z_C313B3EB_4D4B_11D2_B93D_00C04F7ADD59_.wvu.Cols" hidden="1">#REF!,#REF!</definedName>
    <definedName name="Z_C313B3EB_4D4B_11D2_B93D_00C04F7ADD59_.wvu.Rows" hidden="1">#REF!,#REF!,#REF!,#REF!,#REF!,#REF!,#REF!,#REF!,#REF!</definedName>
    <definedName name="Z_C313B3EC_4D4B_11D2_B93D_00C04F7ADD59_.wvu.Cols" hidden="1">#REF!,#REF!</definedName>
    <definedName name="Z_C313B3EC_4D4B_11D2_B93D_00C04F7ADD59_.wvu.Rows" hidden="1">#REF!,#REF!,#REF!,#REF!,#REF!</definedName>
    <definedName name="Z_C313B3ED_4D4B_11D2_B93D_00C04F7ADD59_.wvu.Cols" hidden="1">#REF!,#REF!</definedName>
    <definedName name="Z_C313B3ED_4D4B_11D2_B93D_00C04F7ADD59_.wvu.Rows" hidden="1">#REF!,#REF!,#REF!,#REF!,#REF!,#REF!,#REF!,#REF!,#REF!,#REF!</definedName>
    <definedName name="Z_C313B3EE_4D4B_11D2_B93D_00C04F7ADD59_.wvu.Cols" hidden="1">#REF!,#REF!</definedName>
    <definedName name="Z_C313B3EF_4D4B_11D2_B93D_00C04F7ADD59_.wvu.Cols" hidden="1">#REF!,#REF!</definedName>
    <definedName name="Z_C313B3EF_4D4B_11D2_B93D_00C04F7ADD59_.wvu.Rows" hidden="1">#REF!,#REF!</definedName>
    <definedName name="Z_C313B3F0_4D4B_11D2_B93D_00C04F7ADD59_.wvu.Cols" hidden="1">#REF!,#REF!</definedName>
    <definedName name="Z_C9FB2A72_5C56_11D3_AD66_0050040A13CD_.wvu.PrintArea" hidden="1">#REF!</definedName>
    <definedName name="Z_C9FB2A72_5C56_11D3_AD66_0050040A13CD_.wvu.PrintTitles" hidden="1">#REF!</definedName>
    <definedName name="Z_C9FB2A73_5C56_11D3_AD66_0050040A13CD_.wvu.PrintArea" hidden="1">#REF!</definedName>
    <definedName name="Z_C9FB2A73_5C56_11D3_AD66_0050040A13CD_.wvu.PrintTitles" hidden="1">#REF!</definedName>
    <definedName name="Z_C9FB2A75_5C56_11D3_AD66_0050040A13CD_.wvu.PrintArea" hidden="1">#REF!</definedName>
    <definedName name="Z_C9FB2A75_5C56_11D3_AD66_0050040A13CD_.wvu.PrintTitles" hidden="1">#REF!</definedName>
    <definedName name="Z_C9FB2A76_5C56_11D3_AD66_0050040A13CD_.wvu.PrintArea" hidden="1">#REF!</definedName>
    <definedName name="Z_C9FB2A76_5C56_11D3_AD66_0050040A13CD_.wvu.PrintTitles" hidden="1">#REF!</definedName>
    <definedName name="Z_C9FB2A77_5C56_11D3_AD66_0050040A13CD_.wvu.PrintArea" hidden="1">#REF!</definedName>
    <definedName name="Z_C9FB2A77_5C56_11D3_AD66_0050040A13CD_.wvu.PrintTitles" hidden="1">#REF!</definedName>
    <definedName name="Z_C9FB2A79_5C56_11D3_AD66_0050040A13CD_.wvu.PrintArea" hidden="1">#REF!</definedName>
    <definedName name="Z_C9FB2A79_5C56_11D3_AD66_0050040A13CD_.wvu.PrintTitles" hidden="1">#REF!</definedName>
    <definedName name="Z_D6A399A1_3411_11D2_88B3_A98C263D353B_.wvu.Rows" hidden="1">#REF!,#REF!,#REF!,#REF!,#REF!</definedName>
    <definedName name="Z_D6A399A2_3411_11D2_88B3_A98C263D353B_.wvu.Cols" hidden="1">#REF!</definedName>
    <definedName name="Z_D6A399A2_3411_11D2_88B3_A98C263D353B_.wvu.Rows" hidden="1">#REF!,#REF!,#REF!,#REF!,#REF!</definedName>
    <definedName name="Z_D6A399A3_3411_11D2_88B3_A98C263D353B_.wvu.Cols" hidden="1">#REF!,#REF!</definedName>
    <definedName name="Z_D6A399A3_3411_11D2_88B3_A98C263D353B_.wvu.Rows" hidden="1">#REF!,#REF!,#REF!,#REF!,#REF!</definedName>
    <definedName name="Z_D6A399AF_3411_11D2_88B3_A98C263D353B_.wvu.Cols" hidden="1">#REF!</definedName>
    <definedName name="Z_D6A399AF_3411_11D2_88B3_A98C263D353B_.wvu.Rows" hidden="1">#REF!,#REF!,#REF!,#REF!,#REF!</definedName>
    <definedName name="Z_D6A399B0_3411_11D2_88B3_A98C263D353B_.wvu.Cols" hidden="1">#REF!</definedName>
    <definedName name="Z_D782F750_C0FB_11D2_B941_0050040AC228_.wvu.FilterData" hidden="1">#REF!</definedName>
    <definedName name="Z_DC379DF6_BBB3_11D2_B93F_0050040AC228_.wvu.FilterData" hidden="1">#REF!</definedName>
    <definedName name="Z_ED7DF65E_BB85_11D2_B93F_0050040AC228_.wvu.FilterData" hidden="1">#REF!</definedName>
    <definedName name="Z_F14718EE_5AC2_11D3_AD63_0050040A13CD_.wvu.PrintArea" hidden="1">#REF!</definedName>
    <definedName name="Z_F14718EF_5AC2_11D3_AD63_0050040A13CD_.wvu.PrintArea" hidden="1">#REF!</definedName>
    <definedName name="Z_F14718F1_5AC2_11D3_AD63_0050040A13CD_.wvu.PrintArea" hidden="1">#REF!</definedName>
    <definedName name="Z_F14718F2_5AC2_11D3_AD63_0050040A13CD_.wvu.PrintArea" hidden="1">#REF!</definedName>
    <definedName name="Z_F14718F3_5AC2_11D3_AD63_0050040A13CD_.wvu.PrintArea" hidden="1">#REF!</definedName>
    <definedName name="Z_F14718F5_5AC2_11D3_AD63_0050040A13CD_.wvu.PrintArea" hidden="1">#REF!</definedName>
    <definedName name="Z_F1471909_5AC2_11D3_AD63_0050040A13CD_.wvu.PrintArea" hidden="1">#REF!</definedName>
    <definedName name="Z_F1471909_5AC2_11D3_AD63_0050040A13CD_.wvu.PrintTitles" hidden="1">#REF!</definedName>
    <definedName name="Z_F147190A_5AC2_11D3_AD63_0050040A13CD_.wvu.PrintArea" hidden="1">#REF!</definedName>
    <definedName name="Z_F147190A_5AC2_11D3_AD63_0050040A13CD_.wvu.PrintTitles" hidden="1">#REF!</definedName>
    <definedName name="Z_F147190C_5AC2_11D3_AD63_0050040A13CD_.wvu.PrintArea" hidden="1">#REF!</definedName>
    <definedName name="Z_F147190C_5AC2_11D3_AD63_0050040A13CD_.wvu.PrintTitles" hidden="1">#REF!</definedName>
    <definedName name="Z_F147190D_5AC2_11D3_AD63_0050040A13CD_.wvu.PrintArea" hidden="1">#REF!</definedName>
    <definedName name="Z_F147190D_5AC2_11D3_AD63_0050040A13CD_.wvu.PrintTitles" hidden="1">#REF!</definedName>
    <definedName name="Z_F147190E_5AC2_11D3_AD63_0050040A13CD_.wvu.PrintArea" hidden="1">#REF!</definedName>
    <definedName name="Z_F147190E_5AC2_11D3_AD63_0050040A13CD_.wvu.PrintTitles" hidden="1">#REF!</definedName>
    <definedName name="Z_F1471910_5AC2_11D3_AD63_0050040A13CD_.wvu.PrintArea" hidden="1">#REF!</definedName>
    <definedName name="Z_F1471910_5AC2_11D3_AD63_0050040A13CD_.wvu.PrintTitles" hidden="1">#REF!</definedName>
    <definedName name="Z_F1471912_5AC2_11D3_AD63_0050040A13CD_.wvu.PrintArea" hidden="1">#REF!</definedName>
    <definedName name="Z_F1471912_5AC2_11D3_AD63_0050040A13CD_.wvu.PrintTitles" hidden="1">#REF!</definedName>
    <definedName name="Z_F1471913_5AC2_11D3_AD63_0050040A13CD_.wvu.PrintArea" hidden="1">#REF!</definedName>
    <definedName name="Z_F1471913_5AC2_11D3_AD63_0050040A13CD_.wvu.PrintTitles" hidden="1">#REF!</definedName>
    <definedName name="Z_F1471915_5AC2_11D3_AD63_0050040A13CD_.wvu.PrintArea" hidden="1">#REF!</definedName>
    <definedName name="Z_F1471915_5AC2_11D3_AD63_0050040A13CD_.wvu.PrintTitles" hidden="1">#REF!</definedName>
    <definedName name="Z_F1471916_5AC2_11D3_AD63_0050040A13CD_.wvu.PrintArea" hidden="1">#REF!</definedName>
    <definedName name="Z_F1471916_5AC2_11D3_AD63_0050040A13CD_.wvu.PrintTitles" hidden="1">#REF!</definedName>
    <definedName name="Z_F1471917_5AC2_11D3_AD63_0050040A13CD_.wvu.PrintArea" hidden="1">#REF!</definedName>
    <definedName name="Z_F1471917_5AC2_11D3_AD63_0050040A13CD_.wvu.PrintTitles" hidden="1">#REF!</definedName>
    <definedName name="Z_F1471919_5AC2_11D3_AD63_0050040A13CD_.wvu.PrintArea" hidden="1">#REF!</definedName>
    <definedName name="Z_F1471919_5AC2_11D3_AD63_0050040A13CD_.wvu.PrintTitles" hidden="1">#REF!</definedName>
    <definedName name="Z_F2D042EF_2606_11D1_BD91_0020AF42250B_.wvu.Cols" hidden="1">#REF!,#REF!,#REF!</definedName>
    <definedName name="Z_F2D042F0_2606_11D1_BD91_0020AF42250B_.wvu.Cols" hidden="1">#REF!,#REF!,#REF!</definedName>
    <definedName name="Z_F2D042F2_2606_11D1_BD91_0020AF42250B_.wvu.Cols" hidden="1">#REF!,#REF!,#REF!,#REF!</definedName>
    <definedName name="Z_F2D042F3_2606_11D1_BD91_0020AF42250B_.wvu.Cols" hidden="1">#REF!,#REF!,#REF!</definedName>
    <definedName name="Z_F2D042F4_2606_11D1_BD91_0020AF42250B_.wvu.Cols" hidden="1">#REF!,#REF!</definedName>
    <definedName name="Z_F2D042F5_2606_11D1_BD91_0020AF42250B_.wvu.Cols" hidden="1">#REF!,#REF!,#REF!</definedName>
    <definedName name="Z_F2D042F6_2606_11D1_BD91_0020AF42250B_.wvu.Cols" hidden="1">#REF!,#REF!,#REF!,#REF!</definedName>
    <definedName name="Z_F2D042FB_2606_11D1_BD91_0020AF42250B_.wvu.Cols" hidden="1">#REF!,#REF!,#REF!</definedName>
    <definedName name="Z_F2D042FC_2606_11D1_BD91_0020AF42250B_.wvu.Cols" hidden="1">#REF!,#REF!,#REF!</definedName>
    <definedName name="Z_F4D26AD1_3E1A_11D5_A9C5_00A0C91596F2_.wvu.PrintArea" hidden="1">#REF!</definedName>
    <definedName name="Z_FAFA6ED0_0531_11D1_BD56_0020AF42250B_.wvu.Cols" hidden="1">#REF!,#REF!,#REF!,#REF!</definedName>
    <definedName name="Z_FAFA6ED0_0531_11D1_BD56_0020AF42250B_.wvu.PrintArea" hidden="1">#REF!</definedName>
    <definedName name="Z_FAFA6ED0_0531_11D1_BD56_0020AF42250B_.wvu.PrintTitles" hidden="1">#REF!</definedName>
    <definedName name="Z_FAFA6ED1_0531_11D1_BD56_0020AF42250B_.wvu.Cols" hidden="1">#REF!,#REF!,#REF!</definedName>
    <definedName name="Z_FAFA6ED1_0531_11D1_BD56_0020AF42250B_.wvu.PrintArea" hidden="1">#REF!</definedName>
    <definedName name="Z_FAFA6ED1_0531_11D1_BD56_0020AF42250B_.wvu.PrintTitles" hidden="1">#REF!</definedName>
    <definedName name="Zahlung_an_Eigent.">#REF!</definedName>
    <definedName name="zdfgxzdfg" hidden="1">{"ReportTop",#N/A,FALSE,"report top"}</definedName>
    <definedName name="ZERTRET" hidden="1">#REF!</definedName>
    <definedName name="znzcv" hidden="1">{#VALUE!,#N/A,FALSE,0}</definedName>
    <definedName name="Zortnew" hidden="1">{"p1TOC",#N/A,FALSE,"DCF_Summary";"p23summary",#N/A,FALSE,"DCF_Summary";"p4contact",#N/A,FALSE,"Contact Lake";"p5kumtor",#N/A,FALSE,"Kumtor";#N/A,#N/A,FALSE,"CCAU_NAV";"p8compdata",#N/A,FALSE,"Gold_Comps";#N/A,#N/A,FALSE,"Comp_Valuation"}</definedName>
    <definedName name="ZPRINT">#REF!</definedName>
    <definedName name="ZPRINT01">#REF!</definedName>
    <definedName name="ZPRINTCHOICE">#REF!</definedName>
    <definedName name="zs" hidden="1">{"FCB_ALL",#N/A,FALSE,"FCB"}</definedName>
    <definedName name="zsdas" hidden="1">{"FCB_ALL",#N/A,FALSE,"FCB"}</definedName>
    <definedName name="zv" hidden="1">{#VALUE!,#N/A,FALSE,0}</definedName>
    <definedName name="zxc" hidden="1">{"mgmt forecast",#N/A,FALSE,"Mgmt Forecast";"dcf table",#N/A,FALSE,"Mgmt Forecast";"sensitivity",#N/A,FALSE,"Mgmt Forecast";"table inputs",#N/A,FALSE,"Mgmt Forecast";"calculations",#N/A,FALSE,"Mgmt Forecast"}</definedName>
    <definedName name="zxcxc" hidden="1">{#N/A,#N/A,TRUE,"CashFlowSummary";#N/A,#N/A,TRUE,"FinanceCashFlow";#N/A,#N/A,TRUE,"LandCashFlow";#N/A,#N/A,TRUE,"ConstCashFlow";#N/A,#N/A,TRUE,"A&amp;ECashFlow";#N/A,#N/A,TRUE,"IndirectCashFlow";#N/A,#N/A,TRUE,"MarketingCashFlow";#N/A,#N/A,TRUE,"LeaseUp";#N/A,#N/A,TRUE,"G&amp;ACashFlow"}</definedName>
    <definedName name="zxczz" hidden="1">{"FCB_ALL",#N/A,FALSE,"FCB"}</definedName>
    <definedName name="zz" hidden="1">{#N/A,#N/A,FALSE,"Project Properties";#N/A,#N/A,FALSE,"Eng %";#N/A,#N/A,FALSE,"ENGFORM";#N/A,#N/A,FALSE,"staffing";#N/A,#N/A,FALSE,"spending"}</definedName>
    <definedName name="zzz" hidden="1">{#N/A,#N/A,FALSE,"ZellLurieFinSummary";#N/A,#N/A,FALSE,"FirstCapFinSummary";#N/A,#N/A,FALSE,"ZM I-III Consol FinSummary"}</definedName>
    <definedName name="zzzz" hidden="1">{"Commish",#N/A,FALSE,"LAWTC"}</definedName>
    <definedName name="zzzz_1" hidden="1">{"Commish",#N/A,FALSE,"LAWTC"}</definedName>
    <definedName name="着¤op_13">#REF!</definedName>
    <definedName name="鶰¤op_13">#REF!</definedName>
    <definedName name="_______wrn1" localSheetId="0" hidden="1">{"schedule1",#N/A,FALSE,"Sheet1";"schedule2",#N/A,FALSE,"Sheet1";"schedule3",#N/A,FALSE,"Sheet1";"schedule4",#N/A,FALSE,"Sheet1";"schedule5",#N/A,FALSE,"Sheet1";"schedule6",#N/A,FALSE,"Sheet1"}</definedName>
    <definedName name="______wrn1" localSheetId="0" hidden="1">{"schedule1",#N/A,FALSE,"Sheet1";"schedule2",#N/A,FALSE,"Sheet1";"schedule3",#N/A,FALSE,"Sheet1";"schedule4",#N/A,FALSE,"Sheet1";"schedule5",#N/A,FALSE,"Sheet1";"schedule6",#N/A,FALSE,"Sheet1"}</definedName>
    <definedName name="____wrn1" localSheetId="0" hidden="1">{"schedule1",#N/A,FALSE,"Sheet1";"schedule2",#N/A,FALSE,"Sheet1";"schedule3",#N/A,FALSE,"Sheet1";"schedule4",#N/A,FALSE,"Sheet1";"schedule5",#N/A,FALSE,"Sheet1";"schedule6",#N/A,FALSE,"Sheet1"}</definedName>
    <definedName name="___wrn1" localSheetId="0" hidden="1">{"schedule1",#N/A,FALSE,"Sheet1";"schedule2",#N/A,FALSE,"Sheet1";"schedule3",#N/A,FALSE,"Sheet1";"schedule4",#N/A,FALSE,"Sheet1";"schedule5",#N/A,FALSE,"Sheet1";"schedule6",#N/A,FALSE,"Sheet1"}</definedName>
    <definedName name="_wrn1" localSheetId="0" hidden="1">{"schedule1",#N/A,FALSE,"Sheet1";"schedule2",#N/A,FALSE,"Sheet1";"schedule3",#N/A,FALSE,"Sheet1";"schedule4",#N/A,FALSE,"Sheet1";"schedule5",#N/A,FALSE,"Sheet1";"schedule6",#N/A,FALSE,"Sheet1"}</definedName>
    <definedName name="aaaaaaa" localSheetId="0" hidden="1">{"Outflow 1",#N/A,FALSE,"Outflows-Inflows";"Outflow 2",#N/A,FALSE,"Outflows-Inflows";"Inflow 1",#N/A,FALSE,"Outflows-Inflows";"Inflow 2",#N/A,FALSE,"Outflows-Inflows"}</definedName>
    <definedName name="aaaaaaa1" localSheetId="0" hidden="1">{"Outflow 1",#N/A,FALSE,"Outflows-Inflows";"Outflow 2",#N/A,FALSE,"Outflows-Inflows";"Inflow 1",#N/A,FALSE,"Outflows-Inflows";"Inflow 2",#N/A,FALSE,"Outflows-Inflows"}</definedName>
    <definedName name="aasdfa" localSheetId="0" hidden="1">{"rtn",#N/A,FALSE,"RTN";"tables",#N/A,FALSE,"RTN";"cf",#N/A,FALSE,"CF";"stats",#N/A,FALSE,"Stats";"prop",#N/A,FALSE,"Prop"}</definedName>
    <definedName name="as" localSheetId="0" hidden="1">{"Outflow 1",#N/A,FALSE,"Outflows-Inflows";"Outflow 2",#N/A,FALSE,"Outflows-Inflows";"Inflow 1",#N/A,FALSE,"Outflows-Inflows";"Inflow 2",#N/A,FALSE,"Outflows-Inflows"}</definedName>
    <definedName name="asa" localSheetId="0" hidden="1">{"Outflow 1",#N/A,FALSE,"Outflows-Inflows";"Outflow 2",#N/A,FALSE,"Outflows-Inflows";"Inflow 1",#N/A,FALSE,"Outflows-Inflows";"Inflow 2",#N/A,FALSE,"Outflows-Inflows"}</definedName>
    <definedName name="asdf2" localSheetId="0" hidden="1">{#N/A,#N/A,FALSE,"OperatingAssumptions"}</definedName>
    <definedName name="asdf3" localSheetId="0" hidden="1">{#N/A,#N/A,FALSE,"LoanAssumptions"}</definedName>
    <definedName name="asdf5" localSheetId="0" hidden="1">{"MonthlyRentRoll",#N/A,FALSE,"RentRoll"}</definedName>
    <definedName name="asdf7" localSheetId="0" hidden="1">{#N/A,#N/A,TRUE,"Summary";"AnnualRentRoll",#N/A,TRUE,"RentRoll";#N/A,#N/A,TRUE,"ExitStratigy";#N/A,#N/A,TRUE,"OperatingAssumptions"}</definedName>
    <definedName name="asdfas" localSheetId="0" hidden="1">{"print 1.6",#N/A,FALSE,"Sheet1";"print 2.6",#N/A,FALSE,"Sheet1";"print 3.6",#N/A,FALSE,"Sheet1";"print 4.6",#N/A,FALSE,"Sheet1";"print 5.6",#N/A,FALSE,"Sheet1";"print 6.6",#N/A,FALSE,"Sheet1"}</definedName>
    <definedName name="asdfasaa" localSheetId="0" hidden="1">{"print 1.6",#N/A,FALSE,"Sheet1";"print 2.6",#N/A,FALSE,"Sheet1";"print 3.6",#N/A,FALSE,"Sheet1";"print 4.6",#N/A,FALSE,"Sheet1";"print 5.6",#N/A,FALSE,"Sheet1";"print 6.6",#N/A,FALSE,"Sheet1"}</definedName>
    <definedName name="asdfasdf" localSheetId="0" hidden="1">{"rtn",#N/A,FALSE,"RTN";"tables",#N/A,FALSE,"RTN";"cf",#N/A,FALSE,"CF";"stats",#N/A,FALSE,"Stats";"prop",#N/A,FALSE,"Prop"}</definedName>
    <definedName name="asdfasdfasdfa" localSheetId="0" hidden="1">binary</definedName>
    <definedName name="asdfasfsa" localSheetId="0" hidden="1">binary</definedName>
    <definedName name="asdfsd" localSheetId="0" hidden="1">binary</definedName>
    <definedName name="asfsaf" localSheetId="0" hidden="1">binary</definedName>
    <definedName name="ass" localSheetId="0" hidden="1">{"print 1.6",#N/A,FALSE,"Sheet1";"print 2.6",#N/A,FALSE,"Sheet1";"print 3.6",#N/A,FALSE,"Sheet1";"print 4.6",#N/A,FALSE,"Sheet1";"print 5.6",#N/A,FALSE,"Sheet1";"print 6.6",#N/A,FALSE,"Sheet1"}</definedName>
    <definedName name="asss" localSheetId="0" hidden="1">{"rtn",#N/A,FALSE,"RTN";"tables",#N/A,FALSE,"RTN";"cf",#N/A,FALSE,"CF";"stats",#N/A,FALSE,"Stats";"prop",#N/A,FALSE,"Prop"}</definedName>
    <definedName name="BellGlobeMedia" localSheetId="0">Word</definedName>
    <definedName name="Bond" localSheetId="0">Facility</definedName>
    <definedName name="DocType" localSheetId="0">Word</definedName>
    <definedName name="DocType2" localSheetId="0">Word</definedName>
    <definedName name="name1" localSheetId="0" hidden="1">{"SIMPLIFD_P1",#N/A,FALSE,"SIMPLIFD"}</definedName>
    <definedName name="Nane2" localSheetId="0" hidden="1">{"TEST1",#N/A,FALSE,"SIMPLIFD"}</definedName>
    <definedName name="New_Parking_Stalls" localSheetId="0">#REF!</definedName>
    <definedName name="NLTradingChart" localSheetId="0">Word</definedName>
    <definedName name="proxy1" localSheetId="0" hidden="1">{"Full Sheet",#N/A,FALSE,"Expense Comparison"}</definedName>
    <definedName name="proxy2" localSheetId="0" hidden="1">{#N/A,#N/A,FALSE,"Expense Comparison"}</definedName>
    <definedName name="proxy3" localSheetId="0" hidden="1">{"Full Sheet",#N/A,FALSE,"Expense Comparison"}</definedName>
    <definedName name="proxy4" localSheetId="0" hidden="1">{#N/A,#N/A,FALSE,"Expense Comparison"}</definedName>
    <definedName name="qq" localSheetId="0" hidden="1">{"SIMPLIFD_P1",#N/A,FALSE,"SIMPLIFD"}</definedName>
    <definedName name="qqq" localSheetId="0" hidden="1">{"TEST1",#N/A,FALSE,"SIMPLIFD"}</definedName>
    <definedName name="Radnor" localSheetId="0" hidden="1">binary</definedName>
    <definedName name="saa" localSheetId="0" hidden="1">{"rtn",#N/A,FALSE,"RTN";"tables",#N/A,FALSE,"RTN";"cf",#N/A,FALSE,"CF";"stats",#N/A,FALSE,"Stats";"prop",#N/A,FALSE,"Prop"}</definedName>
    <definedName name="sadd" localSheetId="0" hidden="1">{"MonthlyRentRoll",#N/A,FALSE,"RentRoll"}</definedName>
    <definedName name="sadd2" localSheetId="0" hidden="1">{"MonthlyRentRoll",#N/A,FALSE,"RentRoll"}</definedName>
    <definedName name="saddd" localSheetId="0" hidden="1">{"AnnualRentRoll",#N/A,FALSE,"RentRoll"}</definedName>
    <definedName name="saddd2" localSheetId="0" hidden="1">{"AnnualRentRoll",#N/A,FALSE,"RentRoll"}</definedName>
    <definedName name="sadddd2" localSheetId="0" hidden="1">{"AnnualRentRoll",#N/A,FALSE,"RentRoll"}</definedName>
    <definedName name="saddddd" localSheetId="0" hidden="1">{"AnnualRentRoll",#N/A,FALSE,"RentRoll"}</definedName>
    <definedName name="saddddddd2" localSheetId="0" hidden="1">{#N/A,#N/A,FALSE,"ExitStratigy"}</definedName>
    <definedName name="sadddddddd" localSheetId="0" hidden="1">{#N/A,#N/A,FALSE,"ExitStratigy"}</definedName>
    <definedName name="saddddddddd2" localSheetId="0" hidden="1">{#N/A,#N/A,FALSE,"LoanAssumptions"}</definedName>
    <definedName name="sadddddddddd" localSheetId="0" hidden="1">{#N/A,#N/A,FALSE,"LoanAssumptions"}</definedName>
    <definedName name="saddddddddddd2" localSheetId="0" hidden="1">{#N/A,#N/A,FALSE,"OperatingAssumptions"}</definedName>
    <definedName name="saddddddddddddd" localSheetId="0" hidden="1">{#N/A,#N/A,FALSE,"OperatingAssumptions"}</definedName>
    <definedName name="sas" localSheetId="0" hidden="1">{"Outflow 1",#N/A,FALSE,"Outflows-Inflows";"Outflow 2",#N/A,FALSE,"Outflows-Inflows";"Inflow 1",#N/A,FALSE,"Outflows-Inflows";"Inflow 2",#N/A,FALSE,"Outflows-Inflows"}</definedName>
    <definedName name="sdfass" localSheetId="0" hidden="1">{"Outflow 1",#N/A,FALSE,"Outflows-Inflows";"Outflow 2",#N/A,FALSE,"Outflows-Inflows";"Inflow 1",#N/A,FALSE,"Outflows-Inflows";"Inflow 2",#N/A,FALSE,"Outflows-Inflows"}</definedName>
    <definedName name="solver_rhs10" localSheetId="0" hidden="1">binary</definedName>
    <definedName name="solver_rhs11" localSheetId="0" hidden="1">binary</definedName>
    <definedName name="solver_rhs12" localSheetId="0" hidden="1">binary</definedName>
    <definedName name="solver_rhs13" localSheetId="0" hidden="1">binary</definedName>
    <definedName name="solver_rhs14" localSheetId="0" hidden="1">binary</definedName>
    <definedName name="solver_rhs15" localSheetId="0" hidden="1">binary</definedName>
    <definedName name="solver_rhs16" localSheetId="0" hidden="1">binary</definedName>
    <definedName name="solver_rhs17" localSheetId="0" hidden="1">binary</definedName>
    <definedName name="solver_rhs18" localSheetId="0" hidden="1">binary</definedName>
    <definedName name="solver_rhs19" localSheetId="0" hidden="1">binary</definedName>
    <definedName name="solver_rhs2" localSheetId="0" hidden="1">binary</definedName>
    <definedName name="solver_rhs20" localSheetId="0" hidden="1">binary</definedName>
    <definedName name="solver_rhs21" localSheetId="0" hidden="1">binary</definedName>
    <definedName name="solver_rhs22" localSheetId="0" hidden="1">binary</definedName>
    <definedName name="solver_rhs24" localSheetId="0" hidden="1">binary</definedName>
    <definedName name="solver_rhs25" localSheetId="0" hidden="1">binary</definedName>
    <definedName name="solver_rhs26" localSheetId="0" hidden="1">binary</definedName>
    <definedName name="solver_rhs27" localSheetId="0" hidden="1">binary</definedName>
    <definedName name="solver_rhs28" localSheetId="0" hidden="1">binary</definedName>
    <definedName name="solver_rhs29" localSheetId="0" hidden="1">binary</definedName>
    <definedName name="solver_rhs3" localSheetId="0" hidden="1">binary</definedName>
    <definedName name="solver_rhs30" localSheetId="0" hidden="1">binary</definedName>
    <definedName name="solver_rhs31" localSheetId="0" hidden="1">binary</definedName>
    <definedName name="solver_rhs32" localSheetId="0" hidden="1">binary</definedName>
    <definedName name="solver_rhs33" localSheetId="0" hidden="1">binary</definedName>
    <definedName name="solver_rhs34" localSheetId="0" hidden="1">binary</definedName>
    <definedName name="solver_rhs35" localSheetId="0" hidden="1">binary</definedName>
    <definedName name="solver_rhs36" localSheetId="0" hidden="1">binary</definedName>
    <definedName name="solver_rhs37" localSheetId="0" hidden="1">binary</definedName>
    <definedName name="solver_rhs38" localSheetId="0" hidden="1">binary</definedName>
    <definedName name="solver_rhs39" localSheetId="0" hidden="1">binary</definedName>
    <definedName name="solver_rhs4" localSheetId="0" hidden="1">binary</definedName>
    <definedName name="solver_rhs40" localSheetId="0" hidden="1">binary</definedName>
    <definedName name="solver_rhs41" localSheetId="0" hidden="1">binary</definedName>
    <definedName name="solver_rhs42" localSheetId="0" hidden="1">binary</definedName>
    <definedName name="solver_rhs43" localSheetId="0" hidden="1">binary</definedName>
    <definedName name="solver_rhs44" localSheetId="0" hidden="1">binary</definedName>
    <definedName name="solver_rhs46" localSheetId="0" hidden="1">binary</definedName>
    <definedName name="solver_rhs47" localSheetId="0" hidden="1">binary</definedName>
    <definedName name="solver_rhs48" localSheetId="0" hidden="1">binary</definedName>
    <definedName name="solver_rhs49" localSheetId="0" hidden="1">binary</definedName>
    <definedName name="solver_rhs5" localSheetId="0" hidden="1">binary</definedName>
    <definedName name="solver_rhs50" localSheetId="0" hidden="1">binary</definedName>
    <definedName name="solver_rhs51" localSheetId="0" hidden="1">binary</definedName>
    <definedName name="solver_rhs52" localSheetId="0" hidden="1">binary</definedName>
    <definedName name="solver_rhs53" localSheetId="0" hidden="1">binary</definedName>
    <definedName name="solver_rhs54" localSheetId="0" hidden="1">binary</definedName>
    <definedName name="solver_rhs55" localSheetId="0" hidden="1">binary</definedName>
    <definedName name="solver_rhs56" localSheetId="0" hidden="1">binary</definedName>
    <definedName name="solver_rhs57" localSheetId="0" hidden="1">binary</definedName>
    <definedName name="solver_rhs58" localSheetId="0" hidden="1">binary</definedName>
    <definedName name="solver_rhs59" localSheetId="0" hidden="1">binary</definedName>
    <definedName name="solver_rhs6" localSheetId="0" hidden="1">binary</definedName>
    <definedName name="solver_rhs60" localSheetId="0" hidden="1">binary</definedName>
    <definedName name="solver_rhs61" localSheetId="0" hidden="1">binary</definedName>
    <definedName name="solver_rhs62" localSheetId="0" hidden="1">binary</definedName>
    <definedName name="solver_rhs63" localSheetId="0" hidden="1">binary</definedName>
    <definedName name="solver_rhs64" localSheetId="0" hidden="1">binary</definedName>
    <definedName name="solver_rhs65" localSheetId="0" hidden="1">binary</definedName>
    <definedName name="solver_rhs66" localSheetId="0" hidden="1">binary</definedName>
    <definedName name="solver_rhs68" localSheetId="0" hidden="1">binary</definedName>
    <definedName name="solver_rhs69" localSheetId="0" hidden="1">binary</definedName>
    <definedName name="solver_rhs7" localSheetId="0" hidden="1">binary</definedName>
    <definedName name="solver_rhs70" localSheetId="0" hidden="1">binary</definedName>
    <definedName name="solver_rhs71" localSheetId="0" hidden="1">binary</definedName>
    <definedName name="solver_rhs72" localSheetId="0" hidden="1">binary</definedName>
    <definedName name="solver_rhs73" localSheetId="0" hidden="1">binary</definedName>
    <definedName name="solver_rhs74" localSheetId="0" hidden="1">binary</definedName>
    <definedName name="solver_rhs75" localSheetId="0" hidden="1">binary</definedName>
    <definedName name="solver_rhs76" localSheetId="0" hidden="1">binary</definedName>
    <definedName name="solver_rhs77" localSheetId="0" hidden="1">binary</definedName>
    <definedName name="solver_rhs78" localSheetId="0" hidden="1">binary</definedName>
    <definedName name="solver_rhs79" localSheetId="0" hidden="1">binary</definedName>
    <definedName name="solver_rhs8" localSheetId="0" hidden="1">binary</definedName>
    <definedName name="solver_rhs80" localSheetId="0" hidden="1">binary</definedName>
    <definedName name="solver_rhs81" localSheetId="0" hidden="1">binary</definedName>
    <definedName name="solver_rhs82" localSheetId="0" hidden="1">binary</definedName>
    <definedName name="solver_rhs83" localSheetId="0" hidden="1">binary</definedName>
    <definedName name="solver_rhs84" localSheetId="0" hidden="1">binary</definedName>
    <definedName name="solver_rhs85" localSheetId="0" hidden="1">binary</definedName>
    <definedName name="solver_rhs86" localSheetId="0" hidden="1">binary</definedName>
    <definedName name="solver_rhs87" localSheetId="0" hidden="1">binary</definedName>
    <definedName name="solver_rhs88" localSheetId="0" hidden="1">binary</definedName>
    <definedName name="solver_rhs9" localSheetId="0" hidden="1">binary</definedName>
    <definedName name="Total_Payment" localSheetId="0">SCHEDULED_PAYMENT+EXTRA_PAYMENT</definedName>
    <definedName name="what_asdf2" localSheetId="0" hidden="1">{#N/A,#N/A,FALSE,"OperatingAssumptions"}</definedName>
    <definedName name="wrn.12._.MONTH._.SPREAD." localSheetId="0" hidden="1">{#N/A,#N/A,FALSE,"CPM";#N/A,#N/A,FALSE,"CVI";#N/A,#N/A,FALSE,"RNL";#N/A,#N/A,FALSE,"HAL";#N/A,#N/A,FALSE,"WPL";#N/A,#N/A,FALSE,"RPL";#N/A,#N/A,FALSE,"GVA";#N/A,#N/A,FALSE,"LRJKL";#N/A,#N/A,FALSE,"LPCVI";#N/A,#N/A,FALSE,"RGW and RGW2";#N/A,#N/A,FALSE,"RHL";#N/A,#N/A,FALSE,"HRP";#N/A,#N/A,FALSE,"WPE";#N/A,#N/A,FALSE,"DEL";#N/A,#N/A,FALSE,"PCA";#N/A,#N/A,FALSE,"PBL";#N/A,#N/A,FALSE,"KLL";#N/A,#N/A,FALSE,"RCR";#N/A,#N/A,FALSE,"LRJ#1";#N/A,#N/A,FALSE,"LRJ#2";#N/A,#N/A,FALSE,"OPL"}</definedName>
    <definedName name="wrn.3yr.CF." localSheetId="0" hidden="1">{"assume",#N/A,FALSE,"K&amp;20th Month CF";"MoCF",#N/A,FALSE,"K&amp;20th Month CF";"AnCF",#N/A,FALSE,"K&amp;20th Month CF"}</definedName>
    <definedName name="wrn.Aging._.and._.Trend._.Analysis." localSheetId="0" hidden="1">{#N/A,#N/A,FALSE,"Aging Summary";#N/A,#N/A,FALSE,"Ratio Analysis";#N/A,#N/A,FALSE,"Test 120 Day Accts";#N/A,#N/A,FALSE,"Tickmarks"}</definedName>
    <definedName name="wrn.AnnualRentRoll" localSheetId="0" hidden="1">{"AnnualRentRoll",#N/A,FALSE,"RentRoll"}</definedName>
    <definedName name="wrn.AnnualRentRoll." localSheetId="0" hidden="1">{"AnnualRentRoll",#N/A,FALSE,"RentRoll"}</definedName>
    <definedName name="wrn.annualrentroll2" localSheetId="0" hidden="1">{"AnnualRentRoll",#N/A,FALSE,"RentRoll"}</definedName>
    <definedName name="wrn.Blue._.Book._.Sections." localSheetId="0" hidden="1">{#N/A,#N/A,TRUE,"Summary";#N/A,#N/A,TRUE,"Program Scheme";#N/A,#N/A,TRUE,"Assumptions";#N/A,#N/A,TRUE,"Development Budget &amp; Timing";#N/A,#N/A,TRUE,"Cash Flow";#N/A,#N/A,TRUE,"Cash Flow to Debt &amp; Equity"}</definedName>
    <definedName name="wrn.Cash._.Flow._.Analysis." localSheetId="0" hidden="1">{"CF",#N/A,FALSE,"Cash Flow";"RET",#N/A,FALSE,"Returns";"NPV",#N/A,FALSE,"Values";"ASMPT",#N/A,FALSE,"Assumptions"}</definedName>
    <definedName name="wrn.detail." localSheetId="0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ENTIRE." localSheetId="0" hidden="1">{#N/A,#N/A,FALSE,"SUMMARY";#N/A,#N/A,FALSE,"LEASING SCHEDULE";#N/A,#N/A,FALSE,"EXPLANATION";#N/A,#N/A,FALSE,"EXPLANATION";#N/A,#N/A,FALSE,"ANALYSIS";#N/A,#N/A,FALSE,"SPREAD";#N/A,#N/A,FALSE,"INCOME";#N/A,#N/A,FALSE,"EXPENSES";#N/A,#N/A,FALSE,"CAPITAL";#N/A,#N/A,FALSE,"DEBT SERVICE"}</definedName>
    <definedName name="wrn.ExitAndSalesAssumptions." localSheetId="0" hidden="1">{#N/A,#N/A,FALSE,"ExitStratigy"}</definedName>
    <definedName name="wrn.FOschedules." localSheetId="0" hidden="1">{"FOschedule1",#N/A,FALSE,"Sheet1";"FOschedule2",#N/A,FALSE,"Sheet1";"FOschedule3",#N/A,FALSE,"Sheet1"}</definedName>
    <definedName name="wrn.Full_Template." localSheetId="0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FULL._.COMPARISON." localSheetId="0" hidden="1">{"Full Sheet",#N/A,FALSE,"Expense Comparison"}</definedName>
    <definedName name="wrn.Hold._.Sell." localSheetId="0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Leasing._.Variance." localSheetId="0" hidden="1">{#N/A,#N/A,FALSE,"Leasing 6A"}</definedName>
    <definedName name="wrn.LoanInformation." localSheetId="0" hidden="1">{#N/A,#N/A,FALSE,"LoanAssumptions"}</definedName>
    <definedName name="wrn.Market._.Values." localSheetId="0" hidden="1">{#N/A,#N/A,TRUE,"10 Yr Hold";#N/A,#N/A,TRUE,"7 Yr Hold";#N/A,#N/A,TRUE,"5 Yr Hold";#N/A,#N/A,TRUE,"3 Yr Hold"}</definedName>
    <definedName name="wrn.Marketing." localSheetId="0" hidden="1">{#N/A,#N/A,FALSE,"2Assumptions";#N/A,#N/A,FALSE,"3Cash Flow";#N/A,#N/A,FALSE,"I&amp;E";#N/A,#N/A,FALSE,"I&amp;E (2)";#N/A,#N/A,FALSE,"10Vacancy Matrix";#N/A,#N/A,FALSE,"11Expiration Schedule"}</definedName>
    <definedName name="wrn.monthly._.financial." localSheetId="0" hidden="1">{#N/A,#N/A,FALSE,"SUMMARY 4a";#N/A,#N/A,FALSE,"GBA 4b";#N/A,#N/A,FALSE,"TENANT 4c";#N/A,#N/A,FALSE,"BUDGET DETAIL";#N/A,#N/A,FALSE,"PRO FORMA"}</definedName>
    <definedName name="wrn.MonthlyRentRoll." localSheetId="0" hidden="1">{"MonthlyRentRoll",#N/A,FALSE,"RentRoll"}</definedName>
    <definedName name="wrn.OperatingAssumtions." localSheetId="0" hidden="1">{#N/A,#N/A,FALSE,"OperatingAssumptions"}</definedName>
    <definedName name="wrn.Package." localSheetId="0" hidden="1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rtial." localSheetId="0" hidden="1">{#N/A,#N/A,FALSE,"Assumptions";#N/A,#N/A,FALSE,"Year One Pro Forma";#N/A,#N/A,FALSE,"Rent Roll Summary";#N/A,#N/A,FALSE,"Market Rent Detail";#N/A,#N/A,FALSE,"Rent Roll Summary";#N/A,#N/A,FALSE,"Market Rent Increases";#N/A,#N/A,FALSE,"Exec Sum 10Yr";#N/A,#N/A,FALSE,"Cash Flow Projections";#N/A,#N/A,FALSE,"Net Residual Value";#N/A,#N/A,FALSE,"Effective Rental Income Detail";#N/A,#N/A,FALSE,"Turnovers";#N/A,#N/A,FALSE,"Matrices"}</definedName>
    <definedName name="wrn.Presentation." localSheetId="0" hidden="1">{#N/A,#N/A,TRUE,"Summary";"AnnualRentRoll",#N/A,TRUE,"RentRoll";#N/A,#N/A,TRUE,"ExitStratigy";#N/A,#N/A,TRUE,"OperatingAssumptions"}</definedName>
    <definedName name="wrn.Pricing._.Strategy." localSheetId="0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nt._.4." localSheetId="0" hidden="1">{"Outflow 1",#N/A,FALSE,"Outflows-Inflows";"Outflow 2",#N/A,FALSE,"Outflows-Inflows";"Inflow 1",#N/A,FALSE,"Outflows-Inflows";"Inflow 2",#N/A,FALSE,"Outflows-Inflows"}</definedName>
    <definedName name="wrn.Print._.6." localSheetId="0" hidden="1">{"print 1.6",#N/A,FALSE,"Sheet1";"print 2.6",#N/A,FALSE,"Sheet1";"print 3.6",#N/A,FALSE,"Sheet1";"print 4.6",#N/A,FALSE,"Sheet1";"print 5.6",#N/A,FALSE,"Sheet1";"print 6.6",#N/A,FALSE,"Sheet1"}</definedName>
    <definedName name="wrn.Print._.It." localSheetId="0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All." localSheetId="0" hidden="1">{#N/A,#N/A,FALSE,"Broker Sheet";#N/A,#N/A,FALSE,"Exec.Summary";#N/A,#N/A,FALSE,"Argus Cash Flow";#N/A,#N/A,FALSE,"SPF";#N/A,#N/A,FALSE,"RentRoll"}</definedName>
    <definedName name="wrn.Proforma." localSheetId="0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pertyInformation." localSheetId="0" hidden="1">{#N/A,#N/A,FALSE,"PropertyInfo"}</definedName>
    <definedName name="wrn.Relevant._.Sections." localSheetId="0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PORT_1." localSheetId="0" hidden="1">{"SIMPLIFD_P1",#N/A,FALSE,"SIMPLIFD"}</definedName>
    <definedName name="wrn.Report." localSheetId="0" hidden="1">{#N/A,#N/A,FALSE,"Summary";#N/A,#N/A,FALSE,"Assumptions";#N/A,#N/A,FALSE,"Notes";#N/A,#N/A,FALSE,"Cash Flow";#N/A,#N/A,FALSE,"Eff. Rent Detail";#N/A,#N/A,FALSE,"Residual";#N/A,#N/A,FALSE,"Value Matrix";#N/A,#N/A,FALSE,"Pro Forma";#N/A,#N/A,FALSE,"Historical Op";#N/A,#N/A,FALSE,"Value Comp";#N/A,#N/A,FALSE,"Matrices"}</definedName>
    <definedName name="wrn.schedules." localSheetId="0" hidden="1">{"schedule1",#N/A,FALSE,"Sheet1";"schedule2",#N/A,FALSE,"Sheet1";"schedule3",#N/A,FALSE,"Sheet1";"schedule4",#N/A,FALSE,"Sheet1";"schedule5",#N/A,FALSE,"Sheet1";"schedule6",#N/A,FALSE,"Sheet1"}</definedName>
    <definedName name="wrn.Summary." localSheetId="0" hidden="1">{#N/A,#N/A,FALSE,"Summary"}</definedName>
    <definedName name="wrn.TANASBOURNE._.ONLY." localSheetId="0" hidden="1">{#N/A,#N/A,FALSE,"Expense Comparison"}</definedName>
    <definedName name="wrn.TEST1." localSheetId="0" hidden="1">{"TEST1",#N/A,FALSE,"SIMPLIFD"}</definedName>
    <definedName name="wrn.Tycon._.Model." localSheetId="0" hidden="1">{"rtn",#N/A,FALSE,"RTN";"tables",#N/A,FALSE,"RTN";"cf",#N/A,FALSE,"CF";"stats",#N/A,FALSE,"Stats";"prop",#N/A,FALSE,"Prop"}</definedName>
    <definedName name="wrn.USSC_Reports." localSheetId="0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Year._.End._.APF._.reports." localSheetId="0" hidden="1">{#N/A,#N/A,FALSE,"Summary";#N/A,#N/A,FALSE,"CVI04";#N/A,#N/A,FALSE,"REG04";#N/A,#N/A,FALSE,"HAL04";#N/A,#N/A,FALSE,"WPL04";#N/A,#N/A,FALSE,"RPL04";#N/A,#N/A,FALSE,"GVA04";#N/A,#N/A,FALSE,"LRJKL04";#N/A,#N/A,FALSE,"RGW04";#N/A,#N/A,FALSE,"RHL04sum ";#N/A,#N/A,FALSE,"WPM04sum"}</definedName>
    <definedName name="xxx3" localSheetId="0" hidden="1">{"AnnualRentRoll",#N/A,FALSE,"RentRoll"}</definedName>
    <definedName name="xxx4" localSheetId="0" hidden="1">{#N/A,#N/A,FALSE,"ExitStratigy"}</definedName>
  </definedNames>
  <calcPr calcId="191029" calcMode="autoNoTable" fullCalcOnLoad="1" iterate="1" iterateCount="200"/>
</workbook>
</file>

<file path=xl/styles.xml><?xml version="1.0" encoding="utf-8"?>
<styleSheet xmlns="http://schemas.openxmlformats.org/spreadsheetml/2006/main">
  <numFmts count="26">
    <numFmt numFmtId="164" formatCode="[$-409]mmm\-yy;@"/>
    <numFmt numFmtId="165" formatCode="#,##0.00&quot;x&quot;"/>
    <numFmt numFmtId="166" formatCode="&quot;$&quot;#,##0"/>
    <numFmt numFmtId="167" formatCode="_(* #,##0_);_(* \(#,##0\);_(* &quot;-&quot;_)"/>
    <numFmt numFmtId="168" formatCode="_(* #,##0.00%_);_(* \(#,##0\);_(* &quot;-&quot;_);_(@_)"/>
    <numFmt numFmtId="169" formatCode="0.00%&quot; of EGI&quot;"/>
    <numFmt numFmtId="170" formatCode="#,###\ &quot;Months&quot;"/>
    <numFmt numFmtId="171" formatCode="&quot;Mgmt Fee &quot;0%&quot; of EGI&quot;"/>
    <numFmt numFmtId="172" formatCode="&quot;$&quot;#,##0.00"/>
    <numFmt numFmtId="173" formatCode="_(* #,##0%_);_(* \(#,##0\);_(* &quot;-&quot;_);_(@_)"/>
    <numFmt numFmtId="174" formatCode="General&quot;+&quot;"/>
    <numFmt numFmtId="175" formatCode="0.00000"/>
    <numFmt numFmtId="176" formatCode="&quot;Hold Period: &quot;#&quot; Yrs&quot;"/>
    <numFmt numFmtId="177" formatCode="0.0%"/>
    <numFmt numFmtId="178" formatCode="&quot;Closing Costs&quot;\ #%"/>
    <numFmt numFmtId="179" formatCode="&quot;GP &quot;00%"/>
    <numFmt numFmtId="180" formatCode="&quot;Total Sales Cost &quot;0.00%"/>
    <numFmt numFmtId="181" formatCode="0.00%\ &quot;of GPR&quot;"/>
    <numFmt numFmtId="182" formatCode="0.00&quot;x&quot;"/>
    <numFmt numFmtId="183" formatCode="&quot;Aequitas &quot;00%"/>
    <numFmt numFmtId="184" formatCode="0.00\x\ &quot;Min DSCR&quot;"/>
    <numFmt numFmtId="185" formatCode="#,###\ &quot;Month Max&quot;"/>
    <numFmt numFmtId="186" formatCode="&quot;Floating&quot;;;&quot;Fixed&quot;"/>
    <numFmt numFmtId="187" formatCode="&quot;Closing Costs&quot;\ 0.00%"/>
    <numFmt numFmtId="188" formatCode="0\ &quot;Months&quot;"/>
    <numFmt numFmtId="189" formatCode="[$-409]d\-mmm\-yy;@"/>
  </numFmts>
  <fonts count="29">
    <font>
      <name val="Euphemia"/>
      <family val="2"/>
      <color theme="1"/>
      <sz val="11"/>
      <scheme val="minor"/>
    </font>
    <font>
      <name val="Euphemia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0"/>
      <sz val="11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color rgb="FF0000FF"/>
      <sz val="11"/>
    </font>
    <font>
      <name val="Calibri"/>
      <family val="2"/>
      <i val="1"/>
      <color theme="1"/>
      <sz val="11"/>
    </font>
    <font>
      <name val="Calibri"/>
      <family val="2"/>
      <color rgb="FF0000FF"/>
      <sz val="11"/>
    </font>
    <font>
      <name val="Calibri"/>
      <family val="2"/>
      <sz val="11"/>
    </font>
    <font>
      <name val="Calibri"/>
      <family val="2"/>
      <b val="1"/>
      <color theme="1"/>
      <sz val="11"/>
      <u val="single"/>
    </font>
    <font>
      <name val="Times New Roman"/>
      <family val="1"/>
      <sz val="10"/>
    </font>
    <font>
      <name val="Calibri"/>
      <family val="2"/>
      <color rgb="FF006600"/>
      <sz val="11"/>
    </font>
    <font>
      <name val="Calibri"/>
      <family val="2"/>
      <color indexed="8"/>
      <sz val="11"/>
    </font>
    <font>
      <name val="Calibri"/>
      <family val="2"/>
      <b val="1"/>
      <color indexed="8"/>
      <sz val="11"/>
    </font>
    <font>
      <name val="Calibri"/>
      <family val="2"/>
      <b val="1"/>
      <i val="1"/>
      <color theme="1"/>
      <sz val="11"/>
    </font>
    <font>
      <name val="Arial"/>
      <family val="2"/>
      <sz val="10"/>
    </font>
    <font>
      <name val="Arial"/>
      <family val="2"/>
      <color theme="1"/>
      <sz val="11"/>
    </font>
    <font>
      <name val="Arial"/>
      <family val="2"/>
      <sz val="8"/>
    </font>
    <font>
      <name val="Times New Roman"/>
      <family val="1"/>
      <color rgb="FF000000"/>
      <sz val="10"/>
    </font>
    <font>
      <name val="Times"/>
      <family val="1"/>
      <sz val="12"/>
    </font>
    <font>
      <name val="Calibri"/>
      <family val="2"/>
      <color rgb="FF0000FF"/>
      <sz val="10"/>
    </font>
    <font>
      <name val="Calibri"/>
      <family val="2"/>
      <b val="1"/>
      <i val="1"/>
      <color rgb="FF333333"/>
      <sz val="10"/>
    </font>
    <font>
      <name val="Calibri"/>
      <family val="2"/>
      <color rgb="FF000000"/>
      <sz val="11"/>
    </font>
    <font>
      <name val="Calibri"/>
      <family val="2"/>
      <b val="1"/>
      <i val="1"/>
      <color rgb="FF666666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2"/>
    </font>
    <font>
      <name val="Euphemia"/>
      <b val="1"/>
      <color theme="1"/>
      <sz val="11"/>
      <scheme val="minor"/>
    </font>
    <font>
      <name val="Euphemia"/>
      <charset val="1"/>
      <family val="2"/>
      <color rgb="FF00000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rgb="FF000000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</borders>
  <cellStyleXfs count="19">
    <xf numFmtId="0" fontId="1" fillId="0" borderId="0"/>
    <xf numFmtId="43" fontId="1" fillId="0" borderId="0"/>
    <xf numFmtId="9" fontId="1" fillId="0" borderId="0"/>
    <xf numFmtId="9" fontId="11" fillId="0" borderId="0"/>
    <xf numFmtId="0" fontId="1" fillId="0" borderId="0"/>
    <xf numFmtId="9" fontId="16" fillId="0" borderId="0"/>
    <xf numFmtId="0" fontId="16" fillId="0" borderId="0"/>
    <xf numFmtId="0" fontId="16" fillId="0" borderId="0"/>
    <xf numFmtId="0" fontId="17" fillId="0" borderId="0"/>
    <xf numFmtId="43" fontId="18" fillId="0" borderId="0"/>
    <xf numFmtId="0" fontId="19" fillId="0" borderId="0"/>
    <xf numFmtId="44" fontId="19" fillId="0" borderId="0"/>
    <xf numFmtId="9" fontId="19" fillId="0" borderId="0"/>
    <xf numFmtId="189" fontId="1" fillId="0" borderId="0"/>
    <xf numFmtId="43" fontId="1" fillId="0" borderId="0"/>
    <xf numFmtId="9" fontId="1" fillId="0" borderId="0"/>
    <xf numFmtId="189" fontId="1" fillId="0" borderId="0"/>
    <xf numFmtId="189" fontId="20" fillId="0" borderId="0"/>
    <xf numFmtId="9" fontId="1" fillId="0" borderId="0"/>
  </cellStyleXfs>
  <cellXfs count="246">
    <xf numFmtId="0" fontId="0" fillId="0" borderId="0" pivotButton="0" quotePrefix="0" xfId="0"/>
    <xf numFmtId="0" fontId="2" fillId="0" borderId="0" pivotButton="0" quotePrefix="0" xfId="0"/>
    <xf numFmtId="14" fontId="2" fillId="0" borderId="0" applyAlignment="1" pivotButton="0" quotePrefix="0" xfId="0">
      <alignment horizontal="right"/>
    </xf>
    <xf numFmtId="3" fontId="2" fillId="0" borderId="0" pivotButton="0" quotePrefix="0" xfId="0"/>
    <xf numFmtId="3" fontId="2" fillId="2" borderId="0" pivotButton="0" quotePrefix="0" xfId="0"/>
    <xf numFmtId="164" fontId="2" fillId="0" borderId="0" pivotButton="0" quotePrefix="0" xfId="0"/>
    <xf numFmtId="164" fontId="2" fillId="2" borderId="0" pivotButton="0" quotePrefix="0" xfId="0"/>
    <xf numFmtId="0" fontId="3" fillId="3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4" fillId="2" borderId="0" pivotButton="0" quotePrefix="0" xfId="0"/>
    <xf numFmtId="0" fontId="5" fillId="2" borderId="0" applyAlignment="1" pivotButton="0" quotePrefix="0" xfId="0">
      <alignment horizontal="center"/>
    </xf>
    <xf numFmtId="0" fontId="5" fillId="2" borderId="0" pivotButton="0" quotePrefix="0" xfId="0"/>
    <xf numFmtId="0" fontId="5" fillId="0" borderId="0" applyAlignment="1" pivotButton="0" quotePrefix="0" xfId="0">
      <alignment horizontal="right"/>
    </xf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Continuous"/>
    </xf>
    <xf numFmtId="14" fontId="3" fillId="3" borderId="0" applyAlignment="1" pivotButton="0" quotePrefix="0" xfId="0">
      <alignment horizontal="right"/>
    </xf>
    <xf numFmtId="14" fontId="3" fillId="2" borderId="0" applyAlignment="1" pivotButton="0" quotePrefix="0" xfId="0">
      <alignment horizontal="right"/>
    </xf>
    <xf numFmtId="3" fontId="3" fillId="3" borderId="0" pivotButton="0" quotePrefix="0" xfId="0"/>
    <xf numFmtId="0" fontId="5" fillId="4" borderId="0" applyAlignment="1" pivotButton="0" quotePrefix="0" xfId="0">
      <alignment horizontal="left"/>
    </xf>
    <xf numFmtId="0" fontId="5" fillId="4" borderId="0" applyAlignment="1" pivotButton="0" quotePrefix="0" xfId="0">
      <alignment horizontal="center"/>
    </xf>
    <xf numFmtId="0" fontId="5" fillId="4" borderId="2" applyAlignment="1" pivotButton="0" quotePrefix="0" xfId="0">
      <alignment horizontal="left"/>
    </xf>
    <xf numFmtId="3" fontId="4" fillId="0" borderId="0" pivotButton="0" quotePrefix="0" xfId="0"/>
    <xf numFmtId="0" fontId="5" fillId="0" borderId="2" pivotButton="0" quotePrefix="0" xfId="0"/>
    <xf numFmtId="14" fontId="3" fillId="3" borderId="0" pivotButton="0" quotePrefix="0" xfId="0"/>
    <xf numFmtId="10" fontId="5" fillId="0" borderId="0" pivotButton="0" quotePrefix="0" xfId="2"/>
    <xf numFmtId="0" fontId="5" fillId="4" borderId="3" pivotButton="0" quotePrefix="0" xfId="0"/>
    <xf numFmtId="0" fontId="4" fillId="4" borderId="3" pivotButton="0" quotePrefix="0" xfId="0"/>
    <xf numFmtId="165" fontId="5" fillId="0" borderId="0" pivotButton="0" quotePrefix="0" xfId="0"/>
    <xf numFmtId="10" fontId="4" fillId="0" borderId="0" pivotButton="0" quotePrefix="0" xfId="2"/>
    <xf numFmtId="0" fontId="7" fillId="0" borderId="0" pivotButton="0" quotePrefix="0" xfId="0"/>
    <xf numFmtId="0" fontId="7" fillId="2" borderId="0" pivotButton="0" quotePrefix="0" xfId="0"/>
    <xf numFmtId="10" fontId="7" fillId="0" borderId="0" pivotButton="0" quotePrefix="0" xfId="2"/>
    <xf numFmtId="0" fontId="5" fillId="4" borderId="0" pivotButton="0" quotePrefix="0" xfId="0"/>
    <xf numFmtId="0" fontId="5" fillId="4" borderId="0" applyAlignment="1" pivotButton="0" quotePrefix="0" xfId="0">
      <alignment horizontal="centerContinuous"/>
    </xf>
    <xf numFmtId="0" fontId="2" fillId="4" borderId="0" applyAlignment="1" pivotButton="0" quotePrefix="0" xfId="0">
      <alignment horizontal="center"/>
    </xf>
    <xf numFmtId="14" fontId="8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4" fontId="4" fillId="2" borderId="0" applyAlignment="1" pivotButton="0" quotePrefix="0" xfId="0">
      <alignment horizontal="center"/>
    </xf>
    <xf numFmtId="14" fontId="4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166" fontId="5" fillId="0" borderId="0" applyAlignment="1" pivotButton="0" quotePrefix="0" xfId="0">
      <alignment horizontal="right"/>
    </xf>
    <xf numFmtId="166" fontId="5" fillId="0" borderId="0" pivotButton="0" quotePrefix="0" xfId="0"/>
    <xf numFmtId="0" fontId="5" fillId="4" borderId="0" applyAlignment="1" pivotButton="0" quotePrefix="0" xfId="0">
      <alignment horizontal="right"/>
    </xf>
    <xf numFmtId="166" fontId="4" fillId="0" borderId="0" pivotButton="0" quotePrefix="0" xfId="0"/>
    <xf numFmtId="0" fontId="4" fillId="2" borderId="2" pivotButton="0" quotePrefix="0" xfId="0"/>
    <xf numFmtId="166" fontId="9" fillId="0" borderId="0" applyAlignment="1" pivotButton="0" quotePrefix="0" xfId="0">
      <alignment horizontal="right"/>
    </xf>
    <xf numFmtId="10" fontId="9" fillId="0" borderId="0" pivotButton="0" quotePrefix="0" xfId="2"/>
    <xf numFmtId="10" fontId="6" fillId="0" borderId="0" pivotButton="0" quotePrefix="0" xfId="2"/>
    <xf numFmtId="166" fontId="2" fillId="2" borderId="0" pivotButton="0" quotePrefix="0" xfId="0"/>
    <xf numFmtId="166" fontId="2" fillId="0" borderId="0" pivotButton="0" quotePrefix="0" xfId="0"/>
    <xf numFmtId="0" fontId="10" fillId="0" borderId="0" pivotButton="0" quotePrefix="0" xfId="0"/>
    <xf numFmtId="0" fontId="4" fillId="0" borderId="2" pivotButton="0" quotePrefix="0" xfId="0"/>
    <xf numFmtId="3" fontId="4" fillId="2" borderId="0" pivotButton="0" quotePrefix="0" xfId="0"/>
    <xf numFmtId="3" fontId="4" fillId="0" borderId="0" pivotButton="0" quotePrefix="0" xfId="2"/>
    <xf numFmtId="166" fontId="5" fillId="0" borderId="1" pivotButton="0" quotePrefix="0" xfId="0"/>
    <xf numFmtId="166" fontId="5" fillId="2" borderId="0" pivotButton="0" quotePrefix="0" xfId="0"/>
    <xf numFmtId="0" fontId="5" fillId="4" borderId="2" applyAlignment="1" pivotButton="0" quotePrefix="0" xfId="0">
      <alignment horizontal="centerContinuous"/>
    </xf>
    <xf numFmtId="9" fontId="4" fillId="0" borderId="0" pivotButton="0" quotePrefix="0" xfId="0"/>
    <xf numFmtId="167" fontId="4" fillId="0" borderId="0" pivotButton="0" quotePrefix="0" xfId="0"/>
    <xf numFmtId="167" fontId="4" fillId="2" borderId="0" pivotButton="0" quotePrefix="0" xfId="0"/>
    <xf numFmtId="166" fontId="4" fillId="2" borderId="0" pivotButton="0" quotePrefix="0" xfId="0"/>
    <xf numFmtId="167" fontId="4" fillId="0" borderId="4" pivotButton="0" quotePrefix="0" xfId="0"/>
    <xf numFmtId="0" fontId="4" fillId="0" borderId="4" pivotButton="0" quotePrefix="0" xfId="0"/>
    <xf numFmtId="166" fontId="4" fillId="0" borderId="4" pivotButton="0" quotePrefix="0" xfId="0"/>
    <xf numFmtId="168" fontId="4" fillId="0" borderId="0" pivotButton="0" quotePrefix="0" xfId="0"/>
    <xf numFmtId="168" fontId="4" fillId="2" borderId="0" pivotButton="0" quotePrefix="0" xfId="0"/>
    <xf numFmtId="168" fontId="4" fillId="0" borderId="0" pivotButton="0" quotePrefix="0" xfId="3"/>
    <xf numFmtId="169" fontId="4" fillId="0" borderId="0" pivotButton="0" quotePrefix="0" xfId="0"/>
    <xf numFmtId="166" fontId="5" fillId="2" borderId="3" pivotButton="0" quotePrefix="0" xfId="0"/>
    <xf numFmtId="166" fontId="4" fillId="2" borderId="3" pivotButton="0" quotePrefix="0" xfId="0"/>
    <xf numFmtId="0" fontId="10" fillId="0" borderId="0" applyAlignment="1" pivotButton="0" quotePrefix="0" xfId="0">
      <alignment horizontal="right"/>
    </xf>
    <xf numFmtId="0" fontId="10" fillId="2" borderId="0" applyAlignment="1" pivotButton="0" quotePrefix="0" xfId="0">
      <alignment horizontal="right"/>
    </xf>
    <xf numFmtId="0" fontId="5" fillId="4" borderId="2" pivotButton="0" quotePrefix="0" xfId="0"/>
    <xf numFmtId="0" fontId="9" fillId="0" borderId="0" applyAlignment="1" pivotButton="0" quotePrefix="0" xfId="0">
      <alignment vertical="center"/>
    </xf>
    <xf numFmtId="0" fontId="9" fillId="2" borderId="0" applyAlignment="1" pivotButton="0" quotePrefix="0" xfId="0">
      <alignment horizontal="right" vertical="center" indent="1"/>
    </xf>
    <xf numFmtId="0" fontId="9" fillId="0" borderId="2" applyAlignment="1" pivotButton="0" quotePrefix="0" xfId="0">
      <alignment vertical="center"/>
    </xf>
    <xf numFmtId="166" fontId="9" fillId="2" borderId="0" applyAlignment="1" pivotButton="0" quotePrefix="0" xfId="0">
      <alignment vertical="center"/>
    </xf>
    <xf numFmtId="14" fontId="9" fillId="2" borderId="0" applyAlignment="1" pivotButton="0" quotePrefix="0" xfId="0">
      <alignment vertical="center"/>
    </xf>
    <xf numFmtId="170" fontId="9" fillId="2" borderId="0" applyAlignment="1" pivotButton="0" quotePrefix="0" xfId="0">
      <alignment vertical="center"/>
    </xf>
    <xf numFmtId="166" fontId="10" fillId="0" borderId="1" pivotButton="0" quotePrefix="0" xfId="0"/>
    <xf numFmtId="0" fontId="5" fillId="4" borderId="0" pivotButton="0" quotePrefix="1" xfId="0"/>
    <xf numFmtId="165" fontId="4" fillId="0" borderId="0" pivotButton="0" quotePrefix="0" xfId="0"/>
    <xf numFmtId="10" fontId="12" fillId="2" borderId="0" applyAlignment="1" pivotButton="0" quotePrefix="0" xfId="0">
      <alignment vertical="center"/>
    </xf>
    <xf numFmtId="9" fontId="9" fillId="2" borderId="0" applyAlignment="1" pivotButton="0" quotePrefix="0" xfId="2">
      <alignment vertical="center"/>
    </xf>
    <xf numFmtId="171" fontId="8" fillId="0" borderId="0" applyAlignment="1" pivotButton="0" quotePrefix="0" xfId="0">
      <alignment horizontal="left"/>
    </xf>
    <xf numFmtId="166" fontId="8" fillId="0" borderId="4" pivotButton="0" quotePrefix="0" xfId="0"/>
    <xf numFmtId="166" fontId="10" fillId="0" borderId="0" pivotButton="0" quotePrefix="0" xfId="0"/>
    <xf numFmtId="172" fontId="9" fillId="2" borderId="0" applyAlignment="1" pivotButton="0" quotePrefix="0" xfId="0">
      <alignment horizontal="right"/>
    </xf>
    <xf numFmtId="173" fontId="7" fillId="0" borderId="0" pivotButton="0" quotePrefix="0" xfId="3"/>
    <xf numFmtId="9" fontId="7" fillId="0" borderId="0" pivotButton="0" quotePrefix="0" xfId="2"/>
    <xf numFmtId="0" fontId="5" fillId="2" borderId="1" pivotButton="0" quotePrefix="0" xfId="0"/>
    <xf numFmtId="3" fontId="2" fillId="2" borderId="1" applyAlignment="1" pivotButton="0" quotePrefix="0" xfId="0">
      <alignment horizontal="right"/>
    </xf>
    <xf numFmtId="166" fontId="2" fillId="2" borderId="1" applyAlignment="1" pivotButton="0" quotePrefix="0" xfId="0">
      <alignment horizontal="right"/>
    </xf>
    <xf numFmtId="172" fontId="2" fillId="2" borderId="1" applyAlignment="1" pivotButton="0" quotePrefix="0" xfId="0">
      <alignment horizontal="right"/>
    </xf>
    <xf numFmtId="3" fontId="5" fillId="2" borderId="0" applyAlignment="1" pivotButton="0" quotePrefix="0" xfId="0">
      <alignment horizontal="center"/>
    </xf>
    <xf numFmtId="172" fontId="5" fillId="2" borderId="0" applyAlignment="1" pivotButton="0" quotePrefix="0" xfId="0">
      <alignment horizontal="center"/>
    </xf>
    <xf numFmtId="166" fontId="5" fillId="2" borderId="0" applyAlignment="1" pivotButton="0" quotePrefix="0" xfId="0">
      <alignment horizontal="center"/>
    </xf>
    <xf numFmtId="166" fontId="8" fillId="0" borderId="0" pivotButton="0" quotePrefix="0" xfId="0"/>
    <xf numFmtId="166" fontId="14" fillId="0" borderId="1" pivotButton="0" quotePrefix="0" xfId="0"/>
    <xf numFmtId="166" fontId="14" fillId="2" borderId="0" pivotButton="0" quotePrefix="0" xfId="0"/>
    <xf numFmtId="166" fontId="4" fillId="0" borderId="0" applyAlignment="1" pivotButton="0" quotePrefix="0" xfId="0">
      <alignment horizontal="right"/>
    </xf>
    <xf numFmtId="0" fontId="9" fillId="2" borderId="0" pivotButton="0" quotePrefix="0" xfId="0"/>
    <xf numFmtId="166" fontId="4" fillId="2" borderId="0" applyAlignment="1" pivotButton="0" quotePrefix="0" xfId="0">
      <alignment horizontal="right"/>
    </xf>
    <xf numFmtId="174" fontId="5" fillId="4" borderId="0" applyAlignment="1" pivotButton="0" quotePrefix="0" xfId="0">
      <alignment horizontal="right"/>
    </xf>
    <xf numFmtId="167" fontId="5" fillId="0" borderId="0" pivotButton="0" quotePrefix="0" xfId="0"/>
    <xf numFmtId="10" fontId="8" fillId="2" borderId="0" applyAlignment="1" pivotButton="0" quotePrefix="0" xfId="2">
      <alignment horizontal="right"/>
    </xf>
    <xf numFmtId="10" fontId="4" fillId="2" borderId="0" pivotButton="0" quotePrefix="0" xfId="2"/>
    <xf numFmtId="167" fontId="7" fillId="0" borderId="0" pivotButton="0" quotePrefix="0" xfId="0"/>
    <xf numFmtId="167" fontId="7" fillId="2" borderId="0" pivotButton="0" quotePrefix="0" xfId="0"/>
    <xf numFmtId="167" fontId="5" fillId="2" borderId="0" pivotButton="0" quotePrefix="0" xfId="0"/>
    <xf numFmtId="167" fontId="5" fillId="0" borderId="4" pivotButton="0" quotePrefix="0" xfId="0"/>
    <xf numFmtId="0" fontId="4" fillId="4" borderId="0" pivotButton="0" quotePrefix="0" xfId="0"/>
    <xf numFmtId="166" fontId="8" fillId="2" borderId="0" applyAlignment="1" pivotButton="0" quotePrefix="0" xfId="0">
      <alignment horizontal="center"/>
    </xf>
    <xf numFmtId="175" fontId="4" fillId="2" borderId="0" applyAlignment="1" pivotButton="0" quotePrefix="0" xfId="0">
      <alignment horizontal="center"/>
    </xf>
    <xf numFmtId="166" fontId="4" fillId="2" borderId="0" applyAlignment="1" pivotButton="0" quotePrefix="0" xfId="0">
      <alignment horizontal="center"/>
    </xf>
    <xf numFmtId="172" fontId="4" fillId="0" borderId="0" pivotButton="0" quotePrefix="0" xfId="0"/>
    <xf numFmtId="0" fontId="8" fillId="0" borderId="0" applyAlignment="1" pivotButton="0" quotePrefix="0" xfId="0">
      <alignment horizontal="center"/>
    </xf>
    <xf numFmtId="0" fontId="5" fillId="0" borderId="1" pivotButton="0" quotePrefix="0" xfId="0"/>
    <xf numFmtId="10" fontId="5" fillId="0" borderId="1" pivotButton="0" quotePrefix="0" xfId="2"/>
    <xf numFmtId="166" fontId="7" fillId="0" borderId="0" pivotButton="0" quotePrefix="0" xfId="0"/>
    <xf numFmtId="166" fontId="2" fillId="0" borderId="1" pivotButton="0" quotePrefix="0" xfId="0"/>
    <xf numFmtId="3" fontId="8" fillId="2" borderId="0" applyAlignment="1" pivotButton="0" quotePrefix="0" xfId="0">
      <alignment horizontal="centerContinuous"/>
    </xf>
    <xf numFmtId="3" fontId="9" fillId="2" borderId="0" applyAlignment="1" pivotButton="0" quotePrefix="0" xfId="0">
      <alignment horizontal="centerContinuous"/>
    </xf>
    <xf numFmtId="3" fontId="9" fillId="2" borderId="0" applyAlignment="1" pivotButton="0" quotePrefix="0" xfId="0">
      <alignment horizontal="center"/>
    </xf>
    <xf numFmtId="14" fontId="5" fillId="0" borderId="0" pivotButton="0" quotePrefix="0" xfId="0"/>
    <xf numFmtId="176" fontId="8" fillId="2" borderId="0" applyAlignment="1" pivotButton="0" quotePrefix="0" xfId="0">
      <alignment horizontal="left"/>
    </xf>
    <xf numFmtId="0" fontId="7" fillId="0" borderId="2" pivotButton="0" quotePrefix="0" xfId="0"/>
    <xf numFmtId="166" fontId="4" fillId="0" borderId="0" applyAlignment="1" pivotButton="0" quotePrefix="0" xfId="2">
      <alignment horizontal="right"/>
    </xf>
    <xf numFmtId="3" fontId="5" fillId="0" borderId="1" pivotButton="0" quotePrefix="0" xfId="0"/>
    <xf numFmtId="3" fontId="3" fillId="3" borderId="0" applyAlignment="1" pivotButton="0" quotePrefix="0" xfId="0">
      <alignment horizontal="right"/>
    </xf>
    <xf numFmtId="3" fontId="4" fillId="4" borderId="3" pivotButton="0" quotePrefix="0" xfId="0"/>
    <xf numFmtId="3" fontId="7" fillId="0" borderId="0" pivotButton="0" quotePrefix="0" xfId="0"/>
    <xf numFmtId="3" fontId="4" fillId="0" borderId="4" pivotButton="0" quotePrefix="0" xfId="0"/>
    <xf numFmtId="3" fontId="5" fillId="0" borderId="0" pivotButton="0" quotePrefix="0" xfId="0"/>
    <xf numFmtId="3" fontId="10" fillId="0" borderId="0" applyAlignment="1" pivotButton="0" quotePrefix="0" xfId="0">
      <alignment horizontal="right"/>
    </xf>
    <xf numFmtId="3" fontId="4" fillId="0" borderId="1" pivotButton="0" quotePrefix="0" xfId="0"/>
    <xf numFmtId="3" fontId="4" fillId="4" borderId="0" pivotButton="0" quotePrefix="0" xfId="0"/>
    <xf numFmtId="3" fontId="15" fillId="0" borderId="0" pivotButton="0" quotePrefix="0" xfId="0"/>
    <xf numFmtId="0" fontId="4" fillId="0" borderId="5" pivotButton="0" quotePrefix="0" xfId="0"/>
    <xf numFmtId="3" fontId="4" fillId="0" borderId="5" pivotButton="0" quotePrefix="0" xfId="0"/>
    <xf numFmtId="0" fontId="4" fillId="0" borderId="6" pivotButton="0" quotePrefix="0" xfId="0"/>
    <xf numFmtId="3" fontId="4" fillId="0" borderId="6" pivotButton="0" quotePrefix="0" xfId="0"/>
    <xf numFmtId="177" fontId="4" fillId="0" borderId="0" pivotButton="0" quotePrefix="0" xfId="2"/>
    <xf numFmtId="178" fontId="8" fillId="0" borderId="0" applyAlignment="1" pivotButton="0" quotePrefix="0" xfId="0">
      <alignment horizontal="left"/>
    </xf>
    <xf numFmtId="9" fontId="4" fillId="0" borderId="0" applyAlignment="1" pivotButton="0" quotePrefix="0" xfId="2">
      <alignment horizontal="right"/>
    </xf>
    <xf numFmtId="9" fontId="4" fillId="2" borderId="0" applyAlignment="1" pivotButton="0" quotePrefix="0" xfId="2">
      <alignment horizontal="right"/>
    </xf>
    <xf numFmtId="9" fontId="5" fillId="0" borderId="1" applyAlignment="1" pivotButton="0" quotePrefix="0" xfId="2">
      <alignment horizontal="right"/>
    </xf>
    <xf numFmtId="179" fontId="2" fillId="4" borderId="0" applyAlignment="1" pivotButton="0" quotePrefix="0" xfId="0">
      <alignment horizontal="right"/>
    </xf>
    <xf numFmtId="166" fontId="6" fillId="2" borderId="1" pivotButton="0" quotePrefix="0" xfId="0"/>
    <xf numFmtId="166" fontId="2" fillId="2" borderId="1" pivotButton="0" quotePrefix="0" xfId="0"/>
    <xf numFmtId="0" fontId="5" fillId="2" borderId="7" pivotButton="0" quotePrefix="0" xfId="0"/>
    <xf numFmtId="166" fontId="5" fillId="0" borderId="7" pivotButton="0" quotePrefix="0" xfId="0"/>
    <xf numFmtId="180" fontId="8" fillId="0" borderId="2" applyAlignment="1" pivotButton="0" quotePrefix="0" xfId="0">
      <alignment horizontal="left"/>
    </xf>
    <xf numFmtId="0" fontId="5" fillId="0" borderId="1" applyAlignment="1" pivotButton="0" quotePrefix="0" xfId="0">
      <alignment horizontal="right"/>
    </xf>
    <xf numFmtId="166" fontId="5" fillId="0" borderId="8" applyAlignment="1" pivotButton="0" quotePrefix="0" xfId="0">
      <alignment horizontal="right"/>
    </xf>
    <xf numFmtId="180" fontId="5" fillId="0" borderId="1" applyAlignment="1" pivotButton="0" quotePrefix="0" xfId="0">
      <alignment horizontal="left"/>
    </xf>
    <xf numFmtId="0" fontId="9" fillId="0" borderId="5" applyAlignment="1" pivotButton="0" quotePrefix="0" xfId="0">
      <alignment vertical="center"/>
    </xf>
    <xf numFmtId="0" fontId="9" fillId="0" borderId="10" applyAlignment="1" pivotButton="0" quotePrefix="0" xfId="0">
      <alignment vertical="center"/>
    </xf>
    <xf numFmtId="166" fontId="9" fillId="2" borderId="5" applyAlignment="1" pivotButton="0" quotePrefix="0" xfId="0">
      <alignment vertical="center"/>
    </xf>
    <xf numFmtId="0" fontId="5" fillId="2" borderId="1" applyAlignment="1" pivotButton="0" quotePrefix="0" xfId="0">
      <alignment horizontal="right"/>
    </xf>
    <xf numFmtId="166" fontId="5" fillId="2" borderId="1" applyAlignment="1" pivotButton="0" quotePrefix="0" xfId="0">
      <alignment horizontal="right"/>
    </xf>
    <xf numFmtId="0" fontId="5" fillId="4" borderId="9" applyAlignment="1" pivotButton="0" quotePrefix="0" xfId="0">
      <alignment horizontal="right"/>
    </xf>
    <xf numFmtId="9" fontId="4" fillId="0" borderId="9" applyAlignment="1" pivotButton="0" quotePrefix="0" xfId="2">
      <alignment horizontal="right"/>
    </xf>
    <xf numFmtId="9" fontId="4" fillId="2" borderId="9" applyAlignment="1" pivotButton="0" quotePrefix="0" xfId="2">
      <alignment horizontal="right"/>
    </xf>
    <xf numFmtId="9" fontId="5" fillId="0" borderId="11" applyAlignment="1" pivotButton="0" quotePrefix="0" xfId="2">
      <alignment horizontal="right"/>
    </xf>
    <xf numFmtId="166" fontId="4" fillId="0" borderId="9" applyAlignment="1" pivotButton="0" quotePrefix="0" xfId="0">
      <alignment horizontal="right"/>
    </xf>
    <xf numFmtId="166" fontId="9" fillId="0" borderId="9" applyAlignment="1" pivotButton="0" quotePrefix="0" xfId="0">
      <alignment horizontal="right"/>
    </xf>
    <xf numFmtId="166" fontId="4" fillId="0" borderId="9" pivotButton="0" quotePrefix="0" xfId="0"/>
    <xf numFmtId="166" fontId="5" fillId="0" borderId="11" pivotButton="0" quotePrefix="0" xfId="0"/>
    <xf numFmtId="9" fontId="8" fillId="0" borderId="9" applyAlignment="1" pivotButton="0" quotePrefix="0" xfId="0">
      <alignment horizontal="right"/>
    </xf>
    <xf numFmtId="0" fontId="4" fillId="0" borderId="9" pivotButton="0" quotePrefix="0" xfId="0"/>
    <xf numFmtId="0" fontId="4" fillId="0" borderId="0" applyAlignment="1" pivotButton="0" quotePrefix="0" xfId="0">
      <alignment horizontal="left"/>
    </xf>
    <xf numFmtId="166" fontId="9" fillId="2" borderId="0" applyAlignment="1" pivotButton="0" quotePrefix="0" xfId="0">
      <alignment horizontal="right"/>
    </xf>
    <xf numFmtId="181" fontId="9" fillId="2" borderId="1" applyAlignment="1" pivotButton="0" quotePrefix="0" xfId="2">
      <alignment horizontal="right"/>
    </xf>
    <xf numFmtId="181" fontId="9" fillId="2" borderId="0" applyAlignment="1" pivotButton="0" quotePrefix="0" xfId="2">
      <alignment horizontal="right"/>
    </xf>
    <xf numFmtId="14" fontId="9" fillId="2" borderId="0" applyAlignment="1" pivotButton="0" quotePrefix="0" xfId="0">
      <alignment horizontal="center"/>
    </xf>
    <xf numFmtId="3" fontId="4" fillId="0" borderId="0" pivotButton="0" quotePrefix="0" xfId="3"/>
    <xf numFmtId="3" fontId="13" fillId="0" borderId="0" pivotButton="0" quotePrefix="0" xfId="0"/>
    <xf numFmtId="3" fontId="5" fillId="0" borderId="4" pivotButton="0" quotePrefix="0" xfId="0"/>
    <xf numFmtId="172" fontId="5" fillId="0" borderId="0" pivotButton="0" quotePrefix="0" xfId="0"/>
    <xf numFmtId="10" fontId="4" fillId="4" borderId="0" pivotButton="0" quotePrefix="0" xfId="0"/>
    <xf numFmtId="182" fontId="4" fillId="0" borderId="0" pivotButton="0" quotePrefix="0" xfId="0"/>
    <xf numFmtId="182" fontId="5" fillId="0" borderId="0" pivotButton="0" quotePrefix="0" xfId="0"/>
    <xf numFmtId="9" fontId="4" fillId="2" borderId="0" pivotButton="0" quotePrefix="0" xfId="0"/>
    <xf numFmtId="169" fontId="4" fillId="2" borderId="0" pivotButton="0" quotePrefix="0" xfId="0"/>
    <xf numFmtId="0" fontId="10" fillId="2" borderId="0" pivotButton="0" quotePrefix="0" xfId="0"/>
    <xf numFmtId="166" fontId="10" fillId="2" borderId="0" pivotButton="0" quotePrefix="0" xfId="0"/>
    <xf numFmtId="0" fontId="3" fillId="3" borderId="0" applyAlignment="1" pivotButton="0" quotePrefix="0" xfId="0">
      <alignment horizontal="right"/>
    </xf>
    <xf numFmtId="183" fontId="2" fillId="4" borderId="0" applyAlignment="1" pivotButton="0" quotePrefix="0" xfId="0">
      <alignment horizontal="right"/>
    </xf>
    <xf numFmtId="0" fontId="9" fillId="2" borderId="0" applyAlignment="1" pivotButton="0" quotePrefix="0" xfId="0">
      <alignment horizontal="right" vertical="center"/>
    </xf>
    <xf numFmtId="184" fontId="9" fillId="2" borderId="0" applyAlignment="1" pivotButton="0" quotePrefix="0" xfId="0">
      <alignment vertical="center"/>
    </xf>
    <xf numFmtId="177" fontId="2" fillId="2" borderId="0" applyAlignment="1" pivotButton="0" quotePrefix="0" xfId="0">
      <alignment vertical="center"/>
    </xf>
    <xf numFmtId="0" fontId="9" fillId="2" borderId="0" applyAlignment="1" pivotButton="0" quotePrefix="0" xfId="0">
      <alignment horizontal="right"/>
    </xf>
    <xf numFmtId="166" fontId="2" fillId="2" borderId="0" applyAlignment="1" pivotButton="0" quotePrefix="0" xfId="0">
      <alignment horizontal="right"/>
    </xf>
    <xf numFmtId="185" fontId="9" fillId="2" borderId="0" applyAlignment="1" pivotButton="0" quotePrefix="0" xfId="0">
      <alignment vertical="center"/>
    </xf>
    <xf numFmtId="186" fontId="2" fillId="2" borderId="0" applyAlignment="1" pivotButton="0" quotePrefix="0" xfId="0">
      <alignment horizontal="right" vertical="center"/>
    </xf>
    <xf numFmtId="10" fontId="2" fillId="2" borderId="0" applyAlignment="1" pivotButton="0" quotePrefix="0" xfId="2">
      <alignment vertical="center"/>
    </xf>
    <xf numFmtId="10" fontId="2" fillId="2" borderId="0" applyAlignment="1" pivotButton="0" quotePrefix="0" xfId="0">
      <alignment vertical="center"/>
    </xf>
    <xf numFmtId="10" fontId="9" fillId="0" borderId="5" pivotButton="0" quotePrefix="0" xfId="0"/>
    <xf numFmtId="166" fontId="9" fillId="0" borderId="5" pivotButton="0" quotePrefix="0" xfId="0"/>
    <xf numFmtId="10" fontId="9" fillId="2" borderId="5" applyAlignment="1" pivotButton="0" quotePrefix="0" xfId="0">
      <alignment vertical="center"/>
    </xf>
    <xf numFmtId="165" fontId="9" fillId="0" borderId="0" applyAlignment="1" pivotButton="0" quotePrefix="0" xfId="0">
      <alignment horizontal="right"/>
    </xf>
    <xf numFmtId="177" fontId="9" fillId="0" borderId="0" applyAlignment="1" pivotButton="0" quotePrefix="0" xfId="0">
      <alignment horizontal="right"/>
    </xf>
    <xf numFmtId="9" fontId="9" fillId="0" borderId="0" applyAlignment="1" pivotButton="0" quotePrefix="0" xfId="0">
      <alignment horizontal="right"/>
    </xf>
    <xf numFmtId="3" fontId="9" fillId="2" borderId="0" applyAlignment="1" pivotButton="0" quotePrefix="0" xfId="0">
      <alignment horizontal="right"/>
    </xf>
    <xf numFmtId="3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/>
    </xf>
    <xf numFmtId="3" fontId="9" fillId="2" borderId="0" applyAlignment="1" pivotButton="0" quotePrefix="0" xfId="1">
      <alignment horizontal="right"/>
    </xf>
    <xf numFmtId="166" fontId="9" fillId="2" borderId="0" applyAlignment="1" pivotButton="0" quotePrefix="0" xfId="1">
      <alignment horizontal="right"/>
    </xf>
    <xf numFmtId="10" fontId="8" fillId="0" borderId="0" applyAlignment="1" pivotButton="0" quotePrefix="0" xfId="0">
      <alignment horizontal="center"/>
    </xf>
    <xf numFmtId="14" fontId="3" fillId="3" borderId="0" applyAlignment="1" pivotButton="0" quotePrefix="0" xfId="0">
      <alignment horizontal="left"/>
    </xf>
    <xf numFmtId="0" fontId="4" fillId="0" borderId="3" pivotButton="0" quotePrefix="0" xfId="0"/>
    <xf numFmtId="0" fontId="22" fillId="0" borderId="0" applyAlignment="1" pivotButton="0" quotePrefix="0" xfId="0">
      <alignment horizontal="right"/>
    </xf>
    <xf numFmtId="166" fontId="4" fillId="0" borderId="0" pivotButton="0" quotePrefix="0" xfId="2"/>
    <xf numFmtId="166" fontId="6" fillId="2" borderId="0" applyAlignment="1" pivotButton="0" quotePrefix="0" xfId="0">
      <alignment horizontal="center"/>
    </xf>
    <xf numFmtId="187" fontId="8" fillId="0" borderId="0" applyAlignment="1" pivotButton="0" quotePrefix="0" xfId="0">
      <alignment horizontal="left"/>
    </xf>
    <xf numFmtId="10" fontId="23" fillId="0" borderId="0" pivotButton="0" quotePrefix="0" xfId="0"/>
    <xf numFmtId="0" fontId="24" fillId="0" borderId="0" applyAlignment="1" pivotButton="0" quotePrefix="0" xfId="0">
      <alignment horizontal="right"/>
    </xf>
    <xf numFmtId="10" fontId="5" fillId="2" borderId="0" pivotButton="0" quotePrefix="0" xfId="2"/>
    <xf numFmtId="188" fontId="21" fillId="2" borderId="0" applyAlignment="1" pivotButton="0" quotePrefix="0" xfId="0">
      <alignment horizontal="right"/>
    </xf>
    <xf numFmtId="0" fontId="23" fillId="0" borderId="12" pivotButton="0" quotePrefix="0" xfId="0"/>
    <xf numFmtId="177" fontId="8" fillId="0" borderId="0" pivotButton="0" quotePrefix="0" xfId="0"/>
    <xf numFmtId="0" fontId="25" fillId="0" borderId="12" pivotButton="0" quotePrefix="0" xfId="0"/>
    <xf numFmtId="166" fontId="5" fillId="0" borderId="3" pivotButton="0" quotePrefix="0" xfId="0"/>
    <xf numFmtId="10" fontId="4" fillId="0" borderId="0" pivotButton="0" quotePrefix="0" xfId="0"/>
    <xf numFmtId="177" fontId="4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horizontal="right"/>
    </xf>
    <xf numFmtId="9" fontId="4" fillId="0" borderId="0" pivotButton="0" quotePrefix="0" xfId="2"/>
    <xf numFmtId="166" fontId="26" fillId="0" borderId="0" pivotButton="0" quotePrefix="0" xfId="0"/>
    <xf numFmtId="0" fontId="4" fillId="0" borderId="1" pivotButton="0" quotePrefix="0" xfId="0"/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10" fontId="5" fillId="0" borderId="0" applyAlignment="1" pivotButton="0" quotePrefix="0" xfId="2">
      <alignment horizontal="center"/>
    </xf>
    <xf numFmtId="3" fontId="5" fillId="0" borderId="0" applyAlignment="1" pivotButton="0" quotePrefix="0" xfId="2">
      <alignment horizontal="center"/>
    </xf>
    <xf numFmtId="0" fontId="27" fillId="0" borderId="0" pivotButton="0" quotePrefix="0" xfId="0"/>
    <xf numFmtId="0" fontId="28" fillId="0" borderId="0" pivotButton="0" quotePrefix="0" xfId="0"/>
    <xf numFmtId="14" fontId="8" fillId="5" borderId="0" applyAlignment="1" pivotButton="0" quotePrefix="0" xfId="0">
      <alignment horizontal="center"/>
    </xf>
    <xf numFmtId="9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1" fontId="8" fillId="0" borderId="0" applyAlignment="1" pivotButton="0" quotePrefix="0" xfId="0">
      <alignment horizontal="right"/>
    </xf>
    <xf numFmtId="10" fontId="8" fillId="2" borderId="0" applyAlignment="1" pivotButton="0" quotePrefix="0" xfId="0">
      <alignment horizontal="center"/>
    </xf>
  </cellXfs>
  <cellStyles count="19">
    <cellStyle name="Normal" xfId="0" builtinId="0"/>
    <cellStyle name="Comma" xfId="1" builtinId="3"/>
    <cellStyle name="Percent" xfId="2" builtinId="5"/>
    <cellStyle name="Percent 104" xfId="3"/>
    <cellStyle name="Normal 5" xfId="4"/>
    <cellStyle name="Percent 3 2 2" xfId="5"/>
    <cellStyle name="Normal 2" xfId="6"/>
    <cellStyle name="Normal 4" xfId="7"/>
    <cellStyle name="Normal 3" xfId="8"/>
    <cellStyle name="Comma 4" xfId="9"/>
    <cellStyle name="Normal 6" xfId="10"/>
    <cellStyle name="Currency 2" xfId="11"/>
    <cellStyle name="Percent 2" xfId="12"/>
    <cellStyle name="Normal 18" xfId="13"/>
    <cellStyle name="Comma 7" xfId="14"/>
    <cellStyle name="Percent 7" xfId="15"/>
    <cellStyle name="Normal 4 3" xfId="16"/>
    <cellStyle name="Normal 11" xfId="17"/>
    <cellStyle name="Percent 3" xfId="1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tockbridge">
  <a:themeElements>
    <a:clrScheme name="Excel - Stockbridge">
      <a:dk1>
        <a:srgbClr val="000000"/>
      </a:dk1>
      <a:lt1>
        <a:srgbClr val="FFFFFF"/>
      </a:lt1>
      <a:dk2>
        <a:srgbClr val="102640"/>
      </a:dk2>
      <a:lt2>
        <a:srgbClr val="204D84"/>
      </a:lt2>
      <a:accent1>
        <a:srgbClr val="102640"/>
      </a:accent1>
      <a:accent2>
        <a:srgbClr val="204D84"/>
      </a:accent2>
      <a:accent3>
        <a:srgbClr val="A0B6C8"/>
      </a:accent3>
      <a:accent4>
        <a:srgbClr val="414651"/>
      </a:accent4>
      <a:accent5>
        <a:srgbClr val="7D8597"/>
      </a:accent5>
      <a:accent6>
        <a:srgbClr val="CDCCCE"/>
      </a:accent6>
      <a:hlink>
        <a:srgbClr val="464646"/>
      </a:hlink>
      <a:folHlink>
        <a:srgbClr val="464646"/>
      </a:folHlink>
    </a:clrScheme>
    <a:fontScheme name="Stockbridge">
      <a:majorFont>
        <a:latin typeface="Century Gothic"/>
        <a:ea typeface=""/>
        <a:cs typeface=""/>
      </a:majorFont>
      <a:minorFont>
        <a:latin typeface="Euphemi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B215"/>
  <sheetViews>
    <sheetView showGridLines="0" tabSelected="1" topLeftCell="A48" zoomScaleNormal="100" workbookViewId="0">
      <selection activeCell="D61" sqref="D61"/>
    </sheetView>
  </sheetViews>
  <sheetFormatPr baseColWidth="10" defaultColWidth="9" defaultRowHeight="15"/>
  <cols>
    <col width="3.6640625" customWidth="1" style="9" min="1" max="1"/>
    <col width="23.6640625" bestFit="1" customWidth="1" style="9" min="2" max="2"/>
    <col width="15.1640625" bestFit="1" customWidth="1" style="9" min="3" max="3"/>
    <col width="14.6640625" bestFit="1" customWidth="1" style="9" min="4" max="4"/>
    <col width="18.1640625" bestFit="1" customWidth="1" style="9" min="5" max="5"/>
    <col width="11.6640625" bestFit="1" customWidth="1" style="9" min="6" max="7"/>
    <col width="3.6640625" customWidth="1" style="11" min="8" max="8"/>
    <col width="23" bestFit="1" customWidth="1" style="9" min="9" max="9"/>
    <col width="15.6640625" customWidth="1" style="9" min="10" max="10"/>
    <col width="1.6640625" customWidth="1" style="11" min="11" max="11"/>
    <col width="15.6640625" customWidth="1" style="24" min="12" max="12"/>
    <col width="1.6640625" customWidth="1" style="11" min="13" max="13"/>
    <col hidden="1" outlineLevel="1" width="15.6640625" customWidth="1" style="9" min="14" max="24"/>
    <col hidden="1" outlineLevel="1" collapsed="1" width="1.6640625" customWidth="1" style="11" min="25" max="25"/>
    <col collapsed="1" width="15.6640625" customWidth="1" style="9" min="26" max="26"/>
    <col width="15.6640625" customWidth="1" style="9" min="27" max="158"/>
    <col width="9" customWidth="1" style="9" min="159" max="16363"/>
    <col width="4.83203125" customWidth="1" style="9" min="16364" max="16384"/>
  </cols>
  <sheetData>
    <row r="1" customFormat="1" s="1">
      <c r="C1" s="2" t="n"/>
      <c r="D1" s="2" t="n"/>
      <c r="E1" s="3" t="n"/>
      <c r="F1" s="3" t="n"/>
      <c r="G1" s="3" t="n"/>
      <c r="H1" s="4" t="n"/>
      <c r="I1" s="3" t="n"/>
      <c r="J1" s="3" t="n"/>
      <c r="K1" s="4" t="n"/>
      <c r="L1" s="3" t="n"/>
      <c r="M1" s="4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4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</row>
    <row r="2" customFormat="1" s="1">
      <c r="C2" s="2" t="n"/>
      <c r="D2" s="2" t="n"/>
      <c r="E2" s="5" t="n"/>
      <c r="F2" s="5" t="n"/>
      <c r="G2" s="5" t="n"/>
      <c r="H2" s="6" t="n"/>
      <c r="I2" s="5" t="n"/>
      <c r="J2" s="5" t="n"/>
      <c r="K2" s="6" t="n"/>
      <c r="L2" s="3" t="n"/>
      <c r="M2" s="6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6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  <c r="BH2" s="5" t="n"/>
      <c r="BI2" s="5" t="n"/>
      <c r="BJ2" s="5" t="n"/>
      <c r="BK2" s="5" t="n"/>
      <c r="BL2" s="5" t="n"/>
      <c r="BM2" s="5" t="n"/>
      <c r="BN2" s="5" t="n"/>
      <c r="BO2" s="5" t="n"/>
      <c r="BP2" s="5" t="n"/>
      <c r="BQ2" s="5" t="n"/>
      <c r="BR2" s="5" t="n"/>
      <c r="BS2" s="5" t="n"/>
      <c r="BT2" s="5" t="n"/>
      <c r="BU2" s="5" t="n"/>
      <c r="BV2" s="5" t="n"/>
      <c r="BW2" s="5" t="n"/>
      <c r="BX2" s="5" t="n"/>
      <c r="BY2" s="5" t="n"/>
      <c r="BZ2" s="5" t="n"/>
      <c r="CA2" s="5" t="n"/>
      <c r="CB2" s="5" t="n"/>
      <c r="CC2" s="5" t="n"/>
      <c r="CD2" s="5" t="n"/>
      <c r="CE2" s="5" t="n"/>
      <c r="CF2" s="5" t="n"/>
      <c r="CG2" s="5" t="n"/>
      <c r="CH2" s="5" t="n"/>
      <c r="CI2" s="5" t="n"/>
      <c r="CJ2" s="5" t="n"/>
      <c r="CK2" s="5" t="n"/>
      <c r="CL2" s="5" t="n"/>
      <c r="CM2" s="5" t="n"/>
      <c r="CN2" s="5" t="n"/>
      <c r="CO2" s="5" t="n"/>
      <c r="CP2" s="5" t="n"/>
      <c r="CQ2" s="5" t="n"/>
      <c r="CR2" s="5" t="n"/>
      <c r="CS2" s="5" t="n"/>
      <c r="CT2" s="5" t="n"/>
      <c r="CU2" s="5" t="n"/>
      <c r="CV2" s="5" t="n"/>
      <c r="CW2" s="5" t="n"/>
      <c r="CX2" s="5" t="n"/>
      <c r="CY2" s="5" t="n"/>
      <c r="CZ2" s="5" t="n"/>
      <c r="DA2" s="5" t="n"/>
      <c r="DB2" s="5" t="n"/>
      <c r="DC2" s="5" t="n"/>
      <c r="DD2" s="5" t="n"/>
      <c r="DE2" s="5" t="n"/>
      <c r="DF2" s="5" t="n"/>
      <c r="DG2" s="5" t="n"/>
      <c r="DH2" s="5" t="n"/>
      <c r="DI2" s="5" t="n"/>
      <c r="DJ2" s="5" t="n"/>
      <c r="DK2" s="5" t="n"/>
      <c r="DL2" s="5" t="n"/>
      <c r="DM2" s="5" t="n"/>
      <c r="DN2" s="5" t="n"/>
      <c r="DO2" s="5" t="n"/>
      <c r="DP2" s="5" t="n"/>
      <c r="DQ2" s="5" t="n"/>
      <c r="DR2" s="5" t="n"/>
      <c r="DS2" s="5" t="n"/>
      <c r="DT2" s="5" t="n"/>
      <c r="DU2" s="5" t="n"/>
      <c r="DV2" s="5" t="n"/>
      <c r="DW2" s="5" t="n"/>
      <c r="DX2" s="5" t="n"/>
      <c r="DY2" s="5" t="n"/>
      <c r="DZ2" s="5" t="n"/>
      <c r="EA2" s="5" t="n"/>
      <c r="EB2" s="5" t="n"/>
      <c r="EC2" s="5" t="n"/>
      <c r="ED2" s="5" t="n"/>
      <c r="EE2" s="5" t="n"/>
      <c r="EF2" s="5" t="n"/>
      <c r="EG2" s="5" t="n"/>
      <c r="EH2" s="5" t="n"/>
      <c r="EI2" s="5" t="n"/>
      <c r="EJ2" s="5" t="n"/>
    </row>
    <row r="3">
      <c r="B3" s="7" t="inlineStr">
        <is>
          <t>Base Assumptions</t>
        </is>
      </c>
      <c r="C3" s="7" t="n"/>
      <c r="D3" s="7" t="n"/>
      <c r="E3" s="7" t="n"/>
      <c r="F3" s="7" t="n"/>
      <c r="G3" s="7" t="n"/>
      <c r="H3" s="8" t="n"/>
      <c r="I3" s="7" t="inlineStr">
        <is>
          <t>Yr</t>
        </is>
      </c>
      <c r="J3" s="7" t="n"/>
      <c r="K3" s="8" t="n"/>
      <c r="L3" s="132" t="n"/>
      <c r="M3" s="19" t="n"/>
      <c r="N3" s="18" t="n"/>
      <c r="O3" s="18" t="n"/>
      <c r="P3" s="18" t="n"/>
      <c r="Q3" s="18" t="n"/>
      <c r="R3" s="18" t="n"/>
      <c r="S3" s="18" t="n"/>
      <c r="T3" s="18" t="n"/>
      <c r="U3" s="18" t="n"/>
      <c r="V3" s="18" t="n"/>
      <c r="W3" s="18" t="n"/>
      <c r="X3" s="18" t="n"/>
      <c r="Y3" s="19" t="n"/>
      <c r="Z3" s="20" t="n">
        <v>0</v>
      </c>
      <c r="AA3" s="20" t="n">
        <v>1</v>
      </c>
      <c r="AB3" s="20" t="n">
        <v>1</v>
      </c>
      <c r="AC3" s="20" t="n">
        <v>1</v>
      </c>
      <c r="AD3" s="20" t="n">
        <v>1</v>
      </c>
      <c r="AE3" s="20" t="n">
        <v>1</v>
      </c>
      <c r="AF3" s="20" t="n">
        <v>1</v>
      </c>
      <c r="AG3" s="20" t="n">
        <v>1</v>
      </c>
      <c r="AH3" s="20" t="n">
        <v>1</v>
      </c>
      <c r="AI3" s="20" t="n">
        <v>1</v>
      </c>
      <c r="AJ3" s="20" t="n">
        <v>1</v>
      </c>
      <c r="AK3" s="20" t="n">
        <v>1</v>
      </c>
      <c r="AL3" s="20" t="n">
        <v>1</v>
      </c>
      <c r="AM3" s="20">
        <f>AA3+1</f>
        <v/>
      </c>
      <c r="AN3" s="20">
        <f>AB3+1</f>
        <v/>
      </c>
      <c r="AO3" s="20">
        <f>AC3+1</f>
        <v/>
      </c>
      <c r="AP3" s="20">
        <f>AD3+1</f>
        <v/>
      </c>
      <c r="AQ3" s="20">
        <f>AE3+1</f>
        <v/>
      </c>
      <c r="AR3" s="20">
        <f>AF3+1</f>
        <v/>
      </c>
      <c r="AS3" s="20">
        <f>AG3+1</f>
        <v/>
      </c>
      <c r="AT3" s="20">
        <f>AH3+1</f>
        <v/>
      </c>
      <c r="AU3" s="20">
        <f>AI3+1</f>
        <v/>
      </c>
      <c r="AV3" s="20">
        <f>AJ3+1</f>
        <v/>
      </c>
      <c r="AW3" s="20">
        <f>AK3+1</f>
        <v/>
      </c>
      <c r="AX3" s="20">
        <f>AL3+1</f>
        <v/>
      </c>
      <c r="AY3" s="20">
        <f>AM3+1</f>
        <v/>
      </c>
      <c r="AZ3" s="20">
        <f>AN3+1</f>
        <v/>
      </c>
      <c r="BA3" s="20">
        <f>AO3+1</f>
        <v/>
      </c>
      <c r="BB3" s="20">
        <f>AP3+1</f>
        <v/>
      </c>
      <c r="BC3" s="20">
        <f>AQ3+1</f>
        <v/>
      </c>
      <c r="BD3" s="20">
        <f>AR3+1</f>
        <v/>
      </c>
      <c r="BE3" s="20">
        <f>AS3+1</f>
        <v/>
      </c>
      <c r="BF3" s="20">
        <f>AT3+1</f>
        <v/>
      </c>
      <c r="BG3" s="20">
        <f>AU3+1</f>
        <v/>
      </c>
      <c r="BH3" s="20">
        <f>AV3+1</f>
        <v/>
      </c>
      <c r="BI3" s="20">
        <f>AW3+1</f>
        <v/>
      </c>
      <c r="BJ3" s="20">
        <f>AX3+1</f>
        <v/>
      </c>
      <c r="BK3" s="20">
        <f>AY3+1</f>
        <v/>
      </c>
      <c r="BL3" s="20">
        <f>AZ3+1</f>
        <v/>
      </c>
      <c r="BM3" s="20">
        <f>BA3+1</f>
        <v/>
      </c>
      <c r="BN3" s="20">
        <f>BB3+1</f>
        <v/>
      </c>
      <c r="BO3" s="20">
        <f>BC3+1</f>
        <v/>
      </c>
      <c r="BP3" s="20">
        <f>BD3+1</f>
        <v/>
      </c>
      <c r="BQ3" s="20">
        <f>BE3+1</f>
        <v/>
      </c>
      <c r="BR3" s="20">
        <f>BF3+1</f>
        <v/>
      </c>
      <c r="BS3" s="20">
        <f>BG3+1</f>
        <v/>
      </c>
      <c r="BT3" s="20">
        <f>BH3+1</f>
        <v/>
      </c>
      <c r="BU3" s="20">
        <f>BI3+1</f>
        <v/>
      </c>
      <c r="BV3" s="20">
        <f>BJ3+1</f>
        <v/>
      </c>
      <c r="BW3" s="20">
        <f>BK3+1</f>
        <v/>
      </c>
      <c r="BX3" s="20">
        <f>BL3+1</f>
        <v/>
      </c>
      <c r="BY3" s="20">
        <f>BM3+1</f>
        <v/>
      </c>
      <c r="BZ3" s="20">
        <f>BN3+1</f>
        <v/>
      </c>
      <c r="CA3" s="20">
        <f>BO3+1</f>
        <v/>
      </c>
      <c r="CB3" s="20">
        <f>BP3+1</f>
        <v/>
      </c>
      <c r="CC3" s="20">
        <f>BQ3+1</f>
        <v/>
      </c>
      <c r="CD3" s="20">
        <f>BR3+1</f>
        <v/>
      </c>
      <c r="CE3" s="20">
        <f>BS3+1</f>
        <v/>
      </c>
      <c r="CF3" s="20">
        <f>BT3+1</f>
        <v/>
      </c>
      <c r="CG3" s="20">
        <f>BU3+1</f>
        <v/>
      </c>
      <c r="CH3" s="20">
        <f>BV3+1</f>
        <v/>
      </c>
      <c r="CI3" s="20">
        <f>BW3+1</f>
        <v/>
      </c>
      <c r="CJ3" s="20">
        <f>BX3+1</f>
        <v/>
      </c>
      <c r="CK3" s="20">
        <f>BY3+1</f>
        <v/>
      </c>
      <c r="CL3" s="20">
        <f>BZ3+1</f>
        <v/>
      </c>
      <c r="CM3" s="20">
        <f>CA3+1</f>
        <v/>
      </c>
      <c r="CN3" s="20">
        <f>CB3+1</f>
        <v/>
      </c>
      <c r="CO3" s="20">
        <f>CC3+1</f>
        <v/>
      </c>
      <c r="CP3" s="20">
        <f>CD3+1</f>
        <v/>
      </c>
      <c r="CQ3" s="20">
        <f>CE3+1</f>
        <v/>
      </c>
      <c r="CR3" s="20">
        <f>CF3+1</f>
        <v/>
      </c>
      <c r="CS3" s="20">
        <f>CG3+1</f>
        <v/>
      </c>
      <c r="CT3" s="20">
        <f>CH3+1</f>
        <v/>
      </c>
      <c r="CU3" s="20">
        <f>CI3+1</f>
        <v/>
      </c>
      <c r="CV3" s="20">
        <f>CJ3+1</f>
        <v/>
      </c>
      <c r="CW3" s="20">
        <f>CK3+1</f>
        <v/>
      </c>
      <c r="CX3" s="20">
        <f>CL3+1</f>
        <v/>
      </c>
      <c r="CY3" s="20">
        <f>CM3+1</f>
        <v/>
      </c>
      <c r="CZ3" s="20">
        <f>CN3+1</f>
        <v/>
      </c>
      <c r="DA3" s="20">
        <f>CO3+1</f>
        <v/>
      </c>
      <c r="DB3" s="20">
        <f>CP3+1</f>
        <v/>
      </c>
      <c r="DC3" s="20">
        <f>CQ3+1</f>
        <v/>
      </c>
      <c r="DD3" s="20">
        <f>CR3+1</f>
        <v/>
      </c>
      <c r="DE3" s="20">
        <f>CS3+1</f>
        <v/>
      </c>
      <c r="DF3" s="20">
        <f>CT3+1</f>
        <v/>
      </c>
      <c r="DG3" s="20">
        <f>CU3+1</f>
        <v/>
      </c>
      <c r="DH3" s="20">
        <f>CV3+1</f>
        <v/>
      </c>
      <c r="DI3" s="20">
        <f>CW3+1</f>
        <v/>
      </c>
      <c r="DJ3" s="20">
        <f>CX3+1</f>
        <v/>
      </c>
      <c r="DK3" s="20">
        <f>CY3+1</f>
        <v/>
      </c>
      <c r="DL3" s="20">
        <f>CZ3+1</f>
        <v/>
      </c>
      <c r="DM3" s="20">
        <f>DA3+1</f>
        <v/>
      </c>
      <c r="DN3" s="20">
        <f>DB3+1</f>
        <v/>
      </c>
      <c r="DO3" s="20">
        <f>DC3+1</f>
        <v/>
      </c>
      <c r="DP3" s="20">
        <f>DD3+1</f>
        <v/>
      </c>
      <c r="DQ3" s="20">
        <f>DE3+1</f>
        <v/>
      </c>
      <c r="DR3" s="20">
        <f>DF3+1</f>
        <v/>
      </c>
      <c r="DS3" s="20">
        <f>DG3+1</f>
        <v/>
      </c>
      <c r="DT3" s="20">
        <f>DH3+1</f>
        <v/>
      </c>
      <c r="DU3" s="20">
        <f>DI3+1</f>
        <v/>
      </c>
      <c r="DV3" s="20">
        <f>DJ3+1</f>
        <v/>
      </c>
      <c r="DW3" s="20">
        <f>DK3+1</f>
        <v/>
      </c>
      <c r="DX3" s="20">
        <f>DL3+1</f>
        <v/>
      </c>
      <c r="DY3" s="20">
        <f>DM3+1</f>
        <v/>
      </c>
      <c r="DZ3" s="20">
        <f>DN3+1</f>
        <v/>
      </c>
      <c r="EA3" s="20">
        <f>DO3+1</f>
        <v/>
      </c>
      <c r="EB3" s="20">
        <f>DP3+1</f>
        <v/>
      </c>
      <c r="EC3" s="20">
        <f>DQ3+1</f>
        <v/>
      </c>
      <c r="ED3" s="20">
        <f>DR3+1</f>
        <v/>
      </c>
      <c r="EE3" s="20">
        <f>DS3+1</f>
        <v/>
      </c>
      <c r="EF3" s="20">
        <f>DT3+1</f>
        <v/>
      </c>
      <c r="EG3" s="20">
        <f>DU3+1</f>
        <v/>
      </c>
      <c r="EH3" s="20">
        <f>DV3+1</f>
        <v/>
      </c>
      <c r="EI3" s="20">
        <f>DW3+1</f>
        <v/>
      </c>
      <c r="EJ3" s="20">
        <f>DX3+1</f>
        <v/>
      </c>
      <c r="EK3" s="20">
        <f>DY3+1</f>
        <v/>
      </c>
      <c r="EL3" s="20">
        <f>DZ3+1</f>
        <v/>
      </c>
      <c r="EM3" s="20">
        <f>EA3+1</f>
        <v/>
      </c>
      <c r="EN3" s="20">
        <f>EB3+1</f>
        <v/>
      </c>
      <c r="EO3" s="20">
        <f>EC3+1</f>
        <v/>
      </c>
      <c r="EP3" s="20">
        <f>ED3+1</f>
        <v/>
      </c>
      <c r="EQ3" s="20">
        <f>EE3+1</f>
        <v/>
      </c>
      <c r="ER3" s="20">
        <f>EF3+1</f>
        <v/>
      </c>
      <c r="ES3" s="20">
        <f>EG3+1</f>
        <v/>
      </c>
      <c r="ET3" s="20">
        <f>EH3+1</f>
        <v/>
      </c>
      <c r="EU3" s="20">
        <f>EI3+1</f>
        <v/>
      </c>
      <c r="EV3" s="20">
        <f>EJ3+1</f>
        <v/>
      </c>
      <c r="EW3" s="20">
        <f>EK3+1</f>
        <v/>
      </c>
      <c r="EX3" s="20">
        <f>EL3+1</f>
        <v/>
      </c>
      <c r="EY3" s="20">
        <f>EM3+1</f>
        <v/>
      </c>
      <c r="EZ3" s="20">
        <f>EN3+1</f>
        <v/>
      </c>
      <c r="FA3" s="20">
        <f>EO3+1</f>
        <v/>
      </c>
      <c r="FB3" s="20">
        <f>EP3+1</f>
        <v/>
      </c>
    </row>
    <row r="4">
      <c r="B4" s="12" t="inlineStr">
        <is>
          <t>Property Name:</t>
        </is>
      </c>
      <c r="C4" s="13">
        <f>Inputs!C81</f>
        <v/>
      </c>
      <c r="D4" s="14" t="n"/>
      <c r="E4" s="13" t="n"/>
      <c r="I4" s="7" t="inlineStr">
        <is>
          <t>Mo</t>
        </is>
      </c>
      <c r="J4" s="7" t="n"/>
      <c r="K4" s="8" t="n"/>
      <c r="L4" s="132" t="n"/>
      <c r="M4" s="19" t="n"/>
      <c r="N4" s="18" t="n"/>
      <c r="O4" s="18" t="n"/>
      <c r="P4" s="18" t="n"/>
      <c r="Q4" s="18" t="n"/>
      <c r="R4" s="18" t="n"/>
      <c r="S4" s="18" t="n"/>
      <c r="T4" s="18" t="n"/>
      <c r="U4" s="18" t="n"/>
      <c r="V4" s="18" t="n"/>
      <c r="W4" s="18" t="n"/>
      <c r="X4" s="18" t="n"/>
      <c r="Y4" s="19" t="n"/>
      <c r="Z4" s="20" t="n">
        <v>0</v>
      </c>
      <c r="AA4" s="20">
        <f>Z4+1</f>
        <v/>
      </c>
      <c r="AB4" s="20">
        <f>AA4+1</f>
        <v/>
      </c>
      <c r="AC4" s="20">
        <f>AB4+1</f>
        <v/>
      </c>
      <c r="AD4" s="20">
        <f>AC4+1</f>
        <v/>
      </c>
      <c r="AE4" s="20">
        <f>AD4+1</f>
        <v/>
      </c>
      <c r="AF4" s="20">
        <f>AE4+1</f>
        <v/>
      </c>
      <c r="AG4" s="20">
        <f>AF4+1</f>
        <v/>
      </c>
      <c r="AH4" s="20">
        <f>AG4+1</f>
        <v/>
      </c>
      <c r="AI4" s="20">
        <f>AH4+1</f>
        <v/>
      </c>
      <c r="AJ4" s="20">
        <f>AI4+1</f>
        <v/>
      </c>
      <c r="AK4" s="20">
        <f>AJ4+1</f>
        <v/>
      </c>
      <c r="AL4" s="20">
        <f>AK4+1</f>
        <v/>
      </c>
      <c r="AM4" s="20">
        <f>AL4+1</f>
        <v/>
      </c>
      <c r="AN4" s="20">
        <f>AM4+1</f>
        <v/>
      </c>
      <c r="AO4" s="20">
        <f>AN4+1</f>
        <v/>
      </c>
      <c r="AP4" s="20">
        <f>AO4+1</f>
        <v/>
      </c>
      <c r="AQ4" s="20">
        <f>AP4+1</f>
        <v/>
      </c>
      <c r="AR4" s="20">
        <f>AQ4+1</f>
        <v/>
      </c>
      <c r="AS4" s="20">
        <f>AR4+1</f>
        <v/>
      </c>
      <c r="AT4" s="20">
        <f>AS4+1</f>
        <v/>
      </c>
      <c r="AU4" s="20">
        <f>AT4+1</f>
        <v/>
      </c>
      <c r="AV4" s="20">
        <f>AU4+1</f>
        <v/>
      </c>
      <c r="AW4" s="20">
        <f>AV4+1</f>
        <v/>
      </c>
      <c r="AX4" s="20">
        <f>AW4+1</f>
        <v/>
      </c>
      <c r="AY4" s="20">
        <f>AX4+1</f>
        <v/>
      </c>
      <c r="AZ4" s="20">
        <f>AY4+1</f>
        <v/>
      </c>
      <c r="BA4" s="20">
        <f>AZ4+1</f>
        <v/>
      </c>
      <c r="BB4" s="20">
        <f>BA4+1</f>
        <v/>
      </c>
      <c r="BC4" s="20">
        <f>BB4+1</f>
        <v/>
      </c>
      <c r="BD4" s="20">
        <f>BC4+1</f>
        <v/>
      </c>
      <c r="BE4" s="20">
        <f>BD4+1</f>
        <v/>
      </c>
      <c r="BF4" s="20">
        <f>BE4+1</f>
        <v/>
      </c>
      <c r="BG4" s="20">
        <f>BF4+1</f>
        <v/>
      </c>
      <c r="BH4" s="20">
        <f>BG4+1</f>
        <v/>
      </c>
      <c r="BI4" s="20">
        <f>BH4+1</f>
        <v/>
      </c>
      <c r="BJ4" s="20">
        <f>BI4+1</f>
        <v/>
      </c>
      <c r="BK4" s="20">
        <f>BJ4+1</f>
        <v/>
      </c>
      <c r="BL4" s="20">
        <f>BK4+1</f>
        <v/>
      </c>
      <c r="BM4" s="20">
        <f>BL4+1</f>
        <v/>
      </c>
      <c r="BN4" s="20">
        <f>BM4+1</f>
        <v/>
      </c>
      <c r="BO4" s="20">
        <f>BN4+1</f>
        <v/>
      </c>
      <c r="BP4" s="20">
        <f>BO4+1</f>
        <v/>
      </c>
      <c r="BQ4" s="20">
        <f>BP4+1</f>
        <v/>
      </c>
      <c r="BR4" s="20">
        <f>BQ4+1</f>
        <v/>
      </c>
      <c r="BS4" s="20">
        <f>BR4+1</f>
        <v/>
      </c>
      <c r="BT4" s="20">
        <f>BS4+1</f>
        <v/>
      </c>
      <c r="BU4" s="20">
        <f>BT4+1</f>
        <v/>
      </c>
      <c r="BV4" s="20">
        <f>BU4+1</f>
        <v/>
      </c>
      <c r="BW4" s="20">
        <f>BV4+1</f>
        <v/>
      </c>
      <c r="BX4" s="20">
        <f>BW4+1</f>
        <v/>
      </c>
      <c r="BY4" s="20">
        <f>BX4+1</f>
        <v/>
      </c>
      <c r="BZ4" s="20">
        <f>BY4+1</f>
        <v/>
      </c>
      <c r="CA4" s="20">
        <f>BZ4+1</f>
        <v/>
      </c>
      <c r="CB4" s="20">
        <f>CA4+1</f>
        <v/>
      </c>
      <c r="CC4" s="20">
        <f>CB4+1</f>
        <v/>
      </c>
      <c r="CD4" s="20">
        <f>CC4+1</f>
        <v/>
      </c>
      <c r="CE4" s="20">
        <f>CD4+1</f>
        <v/>
      </c>
      <c r="CF4" s="20">
        <f>CE4+1</f>
        <v/>
      </c>
      <c r="CG4" s="20">
        <f>CF4+1</f>
        <v/>
      </c>
      <c r="CH4" s="20">
        <f>CG4+1</f>
        <v/>
      </c>
      <c r="CI4" s="20">
        <f>CH4+1</f>
        <v/>
      </c>
      <c r="CJ4" s="20">
        <f>CI4+1</f>
        <v/>
      </c>
      <c r="CK4" s="20">
        <f>CJ4+1</f>
        <v/>
      </c>
      <c r="CL4" s="20">
        <f>CK4+1</f>
        <v/>
      </c>
      <c r="CM4" s="20">
        <f>CL4+1</f>
        <v/>
      </c>
      <c r="CN4" s="20">
        <f>CM4+1</f>
        <v/>
      </c>
      <c r="CO4" s="20">
        <f>CN4+1</f>
        <v/>
      </c>
      <c r="CP4" s="20">
        <f>CO4+1</f>
        <v/>
      </c>
      <c r="CQ4" s="20">
        <f>CP4+1</f>
        <v/>
      </c>
      <c r="CR4" s="20">
        <f>CQ4+1</f>
        <v/>
      </c>
      <c r="CS4" s="20">
        <f>CR4+1</f>
        <v/>
      </c>
      <c r="CT4" s="20">
        <f>CS4+1</f>
        <v/>
      </c>
      <c r="CU4" s="20">
        <f>CT4+1</f>
        <v/>
      </c>
      <c r="CV4" s="20">
        <f>CU4+1</f>
        <v/>
      </c>
      <c r="CW4" s="20">
        <f>CV4+1</f>
        <v/>
      </c>
      <c r="CX4" s="20">
        <f>CW4+1</f>
        <v/>
      </c>
      <c r="CY4" s="20">
        <f>CX4+1</f>
        <v/>
      </c>
      <c r="CZ4" s="20">
        <f>CY4+1</f>
        <v/>
      </c>
      <c r="DA4" s="20">
        <f>CZ4+1</f>
        <v/>
      </c>
      <c r="DB4" s="20">
        <f>DA4+1</f>
        <v/>
      </c>
      <c r="DC4" s="20">
        <f>DB4+1</f>
        <v/>
      </c>
      <c r="DD4" s="20">
        <f>DC4+1</f>
        <v/>
      </c>
      <c r="DE4" s="20">
        <f>DD4+1</f>
        <v/>
      </c>
      <c r="DF4" s="20">
        <f>DE4+1</f>
        <v/>
      </c>
      <c r="DG4" s="20">
        <f>DF4+1</f>
        <v/>
      </c>
      <c r="DH4" s="20">
        <f>DG4+1</f>
        <v/>
      </c>
      <c r="DI4" s="20">
        <f>DH4+1</f>
        <v/>
      </c>
      <c r="DJ4" s="20">
        <f>DI4+1</f>
        <v/>
      </c>
      <c r="DK4" s="20">
        <f>DJ4+1</f>
        <v/>
      </c>
      <c r="DL4" s="20">
        <f>DK4+1</f>
        <v/>
      </c>
      <c r="DM4" s="20">
        <f>DL4+1</f>
        <v/>
      </c>
      <c r="DN4" s="20">
        <f>DM4+1</f>
        <v/>
      </c>
      <c r="DO4" s="20">
        <f>DN4+1</f>
        <v/>
      </c>
      <c r="DP4" s="20">
        <f>DO4+1</f>
        <v/>
      </c>
      <c r="DQ4" s="20">
        <f>DP4+1</f>
        <v/>
      </c>
      <c r="DR4" s="20">
        <f>DQ4+1</f>
        <v/>
      </c>
      <c r="DS4" s="20">
        <f>DR4+1</f>
        <v/>
      </c>
      <c r="DT4" s="20">
        <f>DS4+1</f>
        <v/>
      </c>
      <c r="DU4" s="20">
        <f>DT4+1</f>
        <v/>
      </c>
      <c r="DV4" s="20">
        <f>DU4+1</f>
        <v/>
      </c>
      <c r="DW4" s="20">
        <f>DV4+1</f>
        <v/>
      </c>
      <c r="DX4" s="20">
        <f>DW4+1</f>
        <v/>
      </c>
      <c r="DY4" s="20">
        <f>DX4+1</f>
        <v/>
      </c>
      <c r="DZ4" s="20">
        <f>DY4+1</f>
        <v/>
      </c>
      <c r="EA4" s="20">
        <f>DZ4+1</f>
        <v/>
      </c>
      <c r="EB4" s="20">
        <f>EA4+1</f>
        <v/>
      </c>
      <c r="EC4" s="20">
        <f>EB4+1</f>
        <v/>
      </c>
      <c r="ED4" s="20">
        <f>EC4+1</f>
        <v/>
      </c>
      <c r="EE4" s="20">
        <f>ED4+1</f>
        <v/>
      </c>
      <c r="EF4" s="20">
        <f>EE4+1</f>
        <v/>
      </c>
      <c r="EG4" s="20">
        <f>EF4+1</f>
        <v/>
      </c>
      <c r="EH4" s="20">
        <f>EG4+1</f>
        <v/>
      </c>
      <c r="EI4" s="20">
        <f>EH4+1</f>
        <v/>
      </c>
      <c r="EJ4" s="20">
        <f>EI4+1</f>
        <v/>
      </c>
      <c r="EK4" s="20">
        <f>EJ4+1</f>
        <v/>
      </c>
      <c r="EL4" s="20">
        <f>EK4+1</f>
        <v/>
      </c>
      <c r="EM4" s="20">
        <f>EL4+1</f>
        <v/>
      </c>
      <c r="EN4" s="20">
        <f>EM4+1</f>
        <v/>
      </c>
      <c r="EO4" s="20">
        <f>EN4+1</f>
        <v/>
      </c>
      <c r="EP4" s="20">
        <f>EO4+1</f>
        <v/>
      </c>
      <c r="EQ4" s="20">
        <f>EP4+1</f>
        <v/>
      </c>
      <c r="ER4" s="20">
        <f>EQ4+1</f>
        <v/>
      </c>
      <c r="ES4" s="20">
        <f>ER4+1</f>
        <v/>
      </c>
      <c r="ET4" s="20">
        <f>ES4+1</f>
        <v/>
      </c>
      <c r="EU4" s="20">
        <f>ET4+1</f>
        <v/>
      </c>
      <c r="EV4" s="20">
        <f>EU4+1</f>
        <v/>
      </c>
      <c r="EW4" s="20">
        <f>EV4+1</f>
        <v/>
      </c>
      <c r="EX4" s="20">
        <f>EW4+1</f>
        <v/>
      </c>
      <c r="EY4" s="20">
        <f>EX4+1</f>
        <v/>
      </c>
      <c r="EZ4" s="20">
        <f>EY4+1</f>
        <v/>
      </c>
      <c r="FA4" s="20">
        <f>EZ4+1</f>
        <v/>
      </c>
      <c r="FB4" s="20">
        <f>FA4+1</f>
        <v/>
      </c>
    </row>
    <row r="5">
      <c r="B5" s="10" t="inlineStr">
        <is>
          <t>Address:</t>
        </is>
      </c>
      <c r="C5" s="13">
        <f>Inputs!C82</f>
        <v/>
      </c>
      <c r="D5" s="11" t="n"/>
      <c r="E5" s="15" t="n"/>
      <c r="F5" s="217" t="n"/>
      <c r="I5" s="7" t="inlineStr">
        <is>
          <t>Calendar Year</t>
        </is>
      </c>
      <c r="J5" s="7" t="n"/>
      <c r="K5" s="8" t="n"/>
      <c r="L5" s="132" t="n"/>
      <c r="M5" s="19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9" t="n"/>
      <c r="Z5" s="7">
        <f>YEAR(Z6)</f>
        <v/>
      </c>
      <c r="AA5" s="7">
        <f>YEAR(AA6)</f>
        <v/>
      </c>
      <c r="AB5" s="7">
        <f>YEAR(AB6)</f>
        <v/>
      </c>
      <c r="AC5" s="7">
        <f>YEAR(AC6)</f>
        <v/>
      </c>
      <c r="AD5" s="7">
        <f>YEAR(AD6)</f>
        <v/>
      </c>
      <c r="AE5" s="7">
        <f>YEAR(AE6)</f>
        <v/>
      </c>
      <c r="AF5" s="7">
        <f>YEAR(AF6)</f>
        <v/>
      </c>
      <c r="AG5" s="7">
        <f>YEAR(AG6)</f>
        <v/>
      </c>
      <c r="AH5" s="7">
        <f>YEAR(AH6)</f>
        <v/>
      </c>
      <c r="AI5" s="7">
        <f>YEAR(AI6)</f>
        <v/>
      </c>
      <c r="AJ5" s="7">
        <f>YEAR(AJ6)</f>
        <v/>
      </c>
      <c r="AK5" s="7">
        <f>YEAR(AK6)</f>
        <v/>
      </c>
      <c r="AL5" s="7">
        <f>YEAR(AL6)</f>
        <v/>
      </c>
      <c r="AM5" s="7">
        <f>YEAR(AM6)</f>
        <v/>
      </c>
      <c r="AN5" s="7">
        <f>YEAR(AN6)</f>
        <v/>
      </c>
      <c r="AO5" s="7">
        <f>YEAR(AO6)</f>
        <v/>
      </c>
      <c r="AP5" s="7">
        <f>YEAR(AP6)</f>
        <v/>
      </c>
      <c r="AQ5" s="7">
        <f>YEAR(AQ6)</f>
        <v/>
      </c>
      <c r="AR5" s="7">
        <f>YEAR(AR6)</f>
        <v/>
      </c>
      <c r="AS5" s="7">
        <f>YEAR(AS6)</f>
        <v/>
      </c>
      <c r="AT5" s="7">
        <f>YEAR(AT6)</f>
        <v/>
      </c>
      <c r="AU5" s="7">
        <f>YEAR(AU6)</f>
        <v/>
      </c>
      <c r="AV5" s="7">
        <f>YEAR(AV6)</f>
        <v/>
      </c>
      <c r="AW5" s="7">
        <f>YEAR(AW6)</f>
        <v/>
      </c>
      <c r="AX5" s="7">
        <f>YEAR(AX6)</f>
        <v/>
      </c>
      <c r="AY5" s="7">
        <f>YEAR(AY6)</f>
        <v/>
      </c>
      <c r="AZ5" s="7">
        <f>YEAR(AZ6)</f>
        <v/>
      </c>
      <c r="BA5" s="7">
        <f>YEAR(BA6)</f>
        <v/>
      </c>
      <c r="BB5" s="7">
        <f>YEAR(BB6)</f>
        <v/>
      </c>
      <c r="BC5" s="7">
        <f>YEAR(BC6)</f>
        <v/>
      </c>
      <c r="BD5" s="7">
        <f>YEAR(BD6)</f>
        <v/>
      </c>
      <c r="BE5" s="7">
        <f>YEAR(BE6)</f>
        <v/>
      </c>
      <c r="BF5" s="7">
        <f>YEAR(BF6)</f>
        <v/>
      </c>
      <c r="BG5" s="7">
        <f>YEAR(BG6)</f>
        <v/>
      </c>
      <c r="BH5" s="7">
        <f>YEAR(BH6)</f>
        <v/>
      </c>
      <c r="BI5" s="7">
        <f>YEAR(BI6)</f>
        <v/>
      </c>
      <c r="BJ5" s="7">
        <f>YEAR(BJ6)</f>
        <v/>
      </c>
      <c r="BK5" s="7">
        <f>YEAR(BK6)</f>
        <v/>
      </c>
      <c r="BL5" s="7">
        <f>YEAR(BL6)</f>
        <v/>
      </c>
      <c r="BM5" s="7">
        <f>YEAR(BM6)</f>
        <v/>
      </c>
      <c r="BN5" s="7">
        <f>YEAR(BN6)</f>
        <v/>
      </c>
      <c r="BO5" s="7">
        <f>YEAR(BO6)</f>
        <v/>
      </c>
      <c r="BP5" s="7">
        <f>YEAR(BP6)</f>
        <v/>
      </c>
      <c r="BQ5" s="7">
        <f>YEAR(BQ6)</f>
        <v/>
      </c>
      <c r="BR5" s="7">
        <f>YEAR(BR6)</f>
        <v/>
      </c>
      <c r="BS5" s="7">
        <f>YEAR(BS6)</f>
        <v/>
      </c>
      <c r="BT5" s="7">
        <f>YEAR(BT6)</f>
        <v/>
      </c>
      <c r="BU5" s="7">
        <f>YEAR(BU6)</f>
        <v/>
      </c>
      <c r="BV5" s="7">
        <f>YEAR(BV6)</f>
        <v/>
      </c>
      <c r="BW5" s="7">
        <f>YEAR(BW6)</f>
        <v/>
      </c>
      <c r="BX5" s="7">
        <f>YEAR(BX6)</f>
        <v/>
      </c>
      <c r="BY5" s="7">
        <f>YEAR(BY6)</f>
        <v/>
      </c>
      <c r="BZ5" s="7">
        <f>YEAR(BZ6)</f>
        <v/>
      </c>
      <c r="CA5" s="7">
        <f>YEAR(CA6)</f>
        <v/>
      </c>
      <c r="CB5" s="7">
        <f>YEAR(CB6)</f>
        <v/>
      </c>
      <c r="CC5" s="7">
        <f>YEAR(CC6)</f>
        <v/>
      </c>
      <c r="CD5" s="7">
        <f>YEAR(CD6)</f>
        <v/>
      </c>
      <c r="CE5" s="7">
        <f>YEAR(CE6)</f>
        <v/>
      </c>
      <c r="CF5" s="7">
        <f>YEAR(CF6)</f>
        <v/>
      </c>
      <c r="CG5" s="7">
        <f>YEAR(CG6)</f>
        <v/>
      </c>
      <c r="CH5" s="7">
        <f>YEAR(CH6)</f>
        <v/>
      </c>
      <c r="CI5" s="7">
        <f>YEAR(CI6)</f>
        <v/>
      </c>
      <c r="CJ5" s="7">
        <f>YEAR(CJ6)</f>
        <v/>
      </c>
      <c r="CK5" s="7">
        <f>YEAR(CK6)</f>
        <v/>
      </c>
      <c r="CL5" s="7">
        <f>YEAR(CL6)</f>
        <v/>
      </c>
      <c r="CM5" s="7">
        <f>YEAR(CM6)</f>
        <v/>
      </c>
      <c r="CN5" s="7">
        <f>YEAR(CN6)</f>
        <v/>
      </c>
      <c r="CO5" s="7">
        <f>YEAR(CO6)</f>
        <v/>
      </c>
      <c r="CP5" s="7">
        <f>YEAR(CP6)</f>
        <v/>
      </c>
      <c r="CQ5" s="7">
        <f>YEAR(CQ6)</f>
        <v/>
      </c>
      <c r="CR5" s="7">
        <f>YEAR(CR6)</f>
        <v/>
      </c>
      <c r="CS5" s="7">
        <f>YEAR(CS6)</f>
        <v/>
      </c>
      <c r="CT5" s="7">
        <f>YEAR(CT6)</f>
        <v/>
      </c>
      <c r="CU5" s="7">
        <f>YEAR(CU6)</f>
        <v/>
      </c>
      <c r="CV5" s="7">
        <f>YEAR(CV6)</f>
        <v/>
      </c>
      <c r="CW5" s="7">
        <f>YEAR(CW6)</f>
        <v/>
      </c>
      <c r="CX5" s="7">
        <f>YEAR(CX6)</f>
        <v/>
      </c>
      <c r="CY5" s="7">
        <f>YEAR(CY6)</f>
        <v/>
      </c>
      <c r="CZ5" s="7">
        <f>YEAR(CZ6)</f>
        <v/>
      </c>
      <c r="DA5" s="7">
        <f>YEAR(DA6)</f>
        <v/>
      </c>
      <c r="DB5" s="7">
        <f>YEAR(DB6)</f>
        <v/>
      </c>
      <c r="DC5" s="7">
        <f>YEAR(DC6)</f>
        <v/>
      </c>
      <c r="DD5" s="7">
        <f>YEAR(DD6)</f>
        <v/>
      </c>
      <c r="DE5" s="7">
        <f>YEAR(DE6)</f>
        <v/>
      </c>
      <c r="DF5" s="7">
        <f>YEAR(DF6)</f>
        <v/>
      </c>
      <c r="DG5" s="7">
        <f>YEAR(DG6)</f>
        <v/>
      </c>
      <c r="DH5" s="7">
        <f>YEAR(DH6)</f>
        <v/>
      </c>
      <c r="DI5" s="7">
        <f>YEAR(DI6)</f>
        <v/>
      </c>
      <c r="DJ5" s="7">
        <f>YEAR(DJ6)</f>
        <v/>
      </c>
      <c r="DK5" s="7">
        <f>YEAR(DK6)</f>
        <v/>
      </c>
      <c r="DL5" s="7">
        <f>YEAR(DL6)</f>
        <v/>
      </c>
      <c r="DM5" s="7">
        <f>YEAR(DM6)</f>
        <v/>
      </c>
      <c r="DN5" s="7">
        <f>YEAR(DN6)</f>
        <v/>
      </c>
      <c r="DO5" s="7">
        <f>YEAR(DO6)</f>
        <v/>
      </c>
      <c r="DP5" s="7">
        <f>YEAR(DP6)</f>
        <v/>
      </c>
      <c r="DQ5" s="7">
        <f>YEAR(DQ6)</f>
        <v/>
      </c>
      <c r="DR5" s="7">
        <f>YEAR(DR6)</f>
        <v/>
      </c>
      <c r="DS5" s="7">
        <f>YEAR(DS6)</f>
        <v/>
      </c>
      <c r="DT5" s="7">
        <f>YEAR(DT6)</f>
        <v/>
      </c>
      <c r="DU5" s="7">
        <f>YEAR(DU6)</f>
        <v/>
      </c>
      <c r="DV5" s="7">
        <f>YEAR(DV6)</f>
        <v/>
      </c>
      <c r="DW5" s="7">
        <f>YEAR(DW6)</f>
        <v/>
      </c>
      <c r="DX5" s="7">
        <f>YEAR(DX6)</f>
        <v/>
      </c>
      <c r="DY5" s="7">
        <f>YEAR(DY6)</f>
        <v/>
      </c>
      <c r="DZ5" s="7">
        <f>YEAR(DZ6)</f>
        <v/>
      </c>
      <c r="EA5" s="7">
        <f>YEAR(EA6)</f>
        <v/>
      </c>
      <c r="EB5" s="7">
        <f>YEAR(EB6)</f>
        <v/>
      </c>
      <c r="EC5" s="7">
        <f>YEAR(EC6)</f>
        <v/>
      </c>
      <c r="ED5" s="7">
        <f>YEAR(ED6)</f>
        <v/>
      </c>
      <c r="EE5" s="7">
        <f>YEAR(EE6)</f>
        <v/>
      </c>
      <c r="EF5" s="7">
        <f>YEAR(EF6)</f>
        <v/>
      </c>
      <c r="EG5" s="7">
        <f>YEAR(EG6)</f>
        <v/>
      </c>
      <c r="EH5" s="7">
        <f>YEAR(EH6)</f>
        <v/>
      </c>
      <c r="EI5" s="7">
        <f>YEAR(EI6)</f>
        <v/>
      </c>
      <c r="EJ5" s="7">
        <f>YEAR(EJ6)</f>
        <v/>
      </c>
      <c r="EK5" s="7">
        <f>YEAR(EK6)</f>
        <v/>
      </c>
      <c r="EL5" s="7">
        <f>YEAR(EL6)</f>
        <v/>
      </c>
      <c r="EM5" s="7">
        <f>YEAR(EM6)</f>
        <v/>
      </c>
      <c r="EN5" s="7">
        <f>YEAR(EN6)</f>
        <v/>
      </c>
      <c r="EO5" s="7">
        <f>YEAR(EO6)</f>
        <v/>
      </c>
      <c r="EP5" s="7">
        <f>YEAR(EP6)</f>
        <v/>
      </c>
      <c r="EQ5" s="7">
        <f>YEAR(EQ6)</f>
        <v/>
      </c>
      <c r="ER5" s="7">
        <f>YEAR(ER6)</f>
        <v/>
      </c>
      <c r="ES5" s="7">
        <f>YEAR(ES6)</f>
        <v/>
      </c>
      <c r="ET5" s="7">
        <f>YEAR(ET6)</f>
        <v/>
      </c>
      <c r="EU5" s="7">
        <f>YEAR(EU6)</f>
        <v/>
      </c>
      <c r="EV5" s="7">
        <f>YEAR(EV6)</f>
        <v/>
      </c>
      <c r="EW5" s="7">
        <f>YEAR(EW6)</f>
        <v/>
      </c>
      <c r="EX5" s="7">
        <f>YEAR(EX6)</f>
        <v/>
      </c>
      <c r="EY5" s="7">
        <f>YEAR(EY6)</f>
        <v/>
      </c>
      <c r="EZ5" s="7">
        <f>YEAR(EZ6)</f>
        <v/>
      </c>
      <c r="FA5" s="7">
        <f>YEAR(FA6)</f>
        <v/>
      </c>
      <c r="FB5" s="7">
        <f>YEAR(FB6)</f>
        <v/>
      </c>
    </row>
    <row r="6">
      <c r="B6" s="17" t="inlineStr">
        <is>
          <t>Returns Metrics</t>
        </is>
      </c>
      <c r="C6" s="17" t="n"/>
      <c r="D6" s="17" t="n"/>
      <c r="E6" s="17" t="n"/>
      <c r="F6" s="190" t="inlineStr">
        <is>
          <t>Aequitas (LP)</t>
        </is>
      </c>
      <c r="G6" s="190" t="inlineStr">
        <is>
          <t>GP (Sponsor)</t>
        </is>
      </c>
      <c r="I6" s="7" t="inlineStr">
        <is>
          <t>Property Cash Flows</t>
        </is>
      </c>
      <c r="J6" s="7" t="n"/>
      <c r="K6" s="8" t="n"/>
      <c r="L6" s="132" t="inlineStr">
        <is>
          <t>Total</t>
        </is>
      </c>
      <c r="M6" s="19" t="n"/>
      <c r="N6" s="213" t="inlineStr">
        <is>
          <t>Annual Cash Flow (Operating Year)</t>
        </is>
      </c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26">
        <f>D15</f>
        <v/>
      </c>
      <c r="AA6" s="26">
        <f>EOMONTH(Z6,0)</f>
        <v/>
      </c>
      <c r="AB6" s="26">
        <f>EOMONTH(AA6,1)</f>
        <v/>
      </c>
      <c r="AC6" s="26">
        <f>EOMONTH(AB6,1)</f>
        <v/>
      </c>
      <c r="AD6" s="26">
        <f>EOMONTH(AC6,1)</f>
        <v/>
      </c>
      <c r="AE6" s="26">
        <f>EOMONTH(AD6,1)</f>
        <v/>
      </c>
      <c r="AF6" s="26">
        <f>EOMONTH(AE6,1)</f>
        <v/>
      </c>
      <c r="AG6" s="26">
        <f>EOMONTH(AF6,1)</f>
        <v/>
      </c>
      <c r="AH6" s="26">
        <f>EOMONTH(AG6,1)</f>
        <v/>
      </c>
      <c r="AI6" s="26">
        <f>EOMONTH(AH6,1)</f>
        <v/>
      </c>
      <c r="AJ6" s="26">
        <f>EOMONTH(AI6,1)</f>
        <v/>
      </c>
      <c r="AK6" s="26">
        <f>EOMONTH(AJ6,1)</f>
        <v/>
      </c>
      <c r="AL6" s="26">
        <f>EOMONTH(AK6,1)</f>
        <v/>
      </c>
      <c r="AM6" s="26">
        <f>EOMONTH(AL6,1)</f>
        <v/>
      </c>
      <c r="AN6" s="26">
        <f>EOMONTH(AM6,1)</f>
        <v/>
      </c>
      <c r="AO6" s="26">
        <f>EOMONTH(AN6,1)</f>
        <v/>
      </c>
      <c r="AP6" s="26">
        <f>EOMONTH(AO6,1)</f>
        <v/>
      </c>
      <c r="AQ6" s="26">
        <f>EOMONTH(AP6,1)</f>
        <v/>
      </c>
      <c r="AR6" s="26">
        <f>EOMONTH(AQ6,1)</f>
        <v/>
      </c>
      <c r="AS6" s="26">
        <f>EOMONTH(AR6,1)</f>
        <v/>
      </c>
      <c r="AT6" s="26">
        <f>EOMONTH(AS6,1)</f>
        <v/>
      </c>
      <c r="AU6" s="26">
        <f>EOMONTH(AT6,1)</f>
        <v/>
      </c>
      <c r="AV6" s="26">
        <f>EOMONTH(AU6,1)</f>
        <v/>
      </c>
      <c r="AW6" s="26">
        <f>EOMONTH(AV6,1)</f>
        <v/>
      </c>
      <c r="AX6" s="26">
        <f>EOMONTH(AW6,1)</f>
        <v/>
      </c>
      <c r="AY6" s="26">
        <f>EOMONTH(AX6,1)</f>
        <v/>
      </c>
      <c r="AZ6" s="26">
        <f>EOMONTH(AY6,1)</f>
        <v/>
      </c>
      <c r="BA6" s="26">
        <f>EOMONTH(AZ6,1)</f>
        <v/>
      </c>
      <c r="BB6" s="26">
        <f>EOMONTH(BA6,1)</f>
        <v/>
      </c>
      <c r="BC6" s="26">
        <f>EOMONTH(BB6,1)</f>
        <v/>
      </c>
      <c r="BD6" s="26">
        <f>EOMONTH(BC6,1)</f>
        <v/>
      </c>
      <c r="BE6" s="26">
        <f>EOMONTH(BD6,1)</f>
        <v/>
      </c>
      <c r="BF6" s="26">
        <f>EOMONTH(BE6,1)</f>
        <v/>
      </c>
      <c r="BG6" s="26">
        <f>EOMONTH(BF6,1)</f>
        <v/>
      </c>
      <c r="BH6" s="26">
        <f>EOMONTH(BG6,1)</f>
        <v/>
      </c>
      <c r="BI6" s="26">
        <f>EOMONTH(BH6,1)</f>
        <v/>
      </c>
      <c r="BJ6" s="26">
        <f>EOMONTH(BI6,1)</f>
        <v/>
      </c>
      <c r="BK6" s="26">
        <f>EOMONTH(BJ6,1)</f>
        <v/>
      </c>
      <c r="BL6" s="26">
        <f>EOMONTH(BK6,1)</f>
        <v/>
      </c>
      <c r="BM6" s="26">
        <f>EOMONTH(BL6,1)</f>
        <v/>
      </c>
      <c r="BN6" s="26">
        <f>EOMONTH(BM6,1)</f>
        <v/>
      </c>
      <c r="BO6" s="26">
        <f>EOMONTH(BN6,1)</f>
        <v/>
      </c>
      <c r="BP6" s="26">
        <f>EOMONTH(BO6,1)</f>
        <v/>
      </c>
      <c r="BQ6" s="26">
        <f>EOMONTH(BP6,1)</f>
        <v/>
      </c>
      <c r="BR6" s="26">
        <f>EOMONTH(BQ6,1)</f>
        <v/>
      </c>
      <c r="BS6" s="26">
        <f>EOMONTH(BR6,1)</f>
        <v/>
      </c>
      <c r="BT6" s="26">
        <f>EOMONTH(BS6,1)</f>
        <v/>
      </c>
      <c r="BU6" s="26">
        <f>EOMONTH(BT6,1)</f>
        <v/>
      </c>
      <c r="BV6" s="26">
        <f>EOMONTH(BU6,1)</f>
        <v/>
      </c>
      <c r="BW6" s="26">
        <f>EOMONTH(BV6,1)</f>
        <v/>
      </c>
      <c r="BX6" s="26">
        <f>EOMONTH(BW6,1)</f>
        <v/>
      </c>
      <c r="BY6" s="26">
        <f>EOMONTH(BX6,1)</f>
        <v/>
      </c>
      <c r="BZ6" s="26">
        <f>EOMONTH(BY6,1)</f>
        <v/>
      </c>
      <c r="CA6" s="26">
        <f>EOMONTH(BZ6,1)</f>
        <v/>
      </c>
      <c r="CB6" s="26">
        <f>EOMONTH(CA6,1)</f>
        <v/>
      </c>
      <c r="CC6" s="26">
        <f>EOMONTH(CB6,1)</f>
        <v/>
      </c>
      <c r="CD6" s="26">
        <f>EOMONTH(CC6,1)</f>
        <v/>
      </c>
      <c r="CE6" s="26">
        <f>EOMONTH(CD6,1)</f>
        <v/>
      </c>
      <c r="CF6" s="26">
        <f>EOMONTH(CE6,1)</f>
        <v/>
      </c>
      <c r="CG6" s="26">
        <f>EOMONTH(CF6,1)</f>
        <v/>
      </c>
      <c r="CH6" s="26">
        <f>EOMONTH(CG6,1)</f>
        <v/>
      </c>
      <c r="CI6" s="26">
        <f>EOMONTH(CH6,1)</f>
        <v/>
      </c>
      <c r="CJ6" s="26">
        <f>EOMONTH(CI6,1)</f>
        <v/>
      </c>
      <c r="CK6" s="26">
        <f>EOMONTH(CJ6,1)</f>
        <v/>
      </c>
      <c r="CL6" s="26">
        <f>EOMONTH(CK6,1)</f>
        <v/>
      </c>
      <c r="CM6" s="26">
        <f>EOMONTH(CL6,1)</f>
        <v/>
      </c>
      <c r="CN6" s="26">
        <f>EOMONTH(CM6,1)</f>
        <v/>
      </c>
      <c r="CO6" s="26">
        <f>EOMONTH(CN6,1)</f>
        <v/>
      </c>
      <c r="CP6" s="26">
        <f>EOMONTH(CO6,1)</f>
        <v/>
      </c>
      <c r="CQ6" s="26">
        <f>EOMONTH(CP6,1)</f>
        <v/>
      </c>
      <c r="CR6" s="26">
        <f>EOMONTH(CQ6,1)</f>
        <v/>
      </c>
      <c r="CS6" s="26">
        <f>EOMONTH(CR6,1)</f>
        <v/>
      </c>
      <c r="CT6" s="26">
        <f>EOMONTH(CS6,1)</f>
        <v/>
      </c>
      <c r="CU6" s="26">
        <f>EOMONTH(CT6,1)</f>
        <v/>
      </c>
      <c r="CV6" s="26">
        <f>EOMONTH(CU6,1)</f>
        <v/>
      </c>
      <c r="CW6" s="26">
        <f>EOMONTH(CV6,1)</f>
        <v/>
      </c>
      <c r="CX6" s="26">
        <f>EOMONTH(CW6,1)</f>
        <v/>
      </c>
      <c r="CY6" s="26">
        <f>EOMONTH(CX6,1)</f>
        <v/>
      </c>
      <c r="CZ6" s="26">
        <f>EOMONTH(CY6,1)</f>
        <v/>
      </c>
      <c r="DA6" s="26">
        <f>EOMONTH(CZ6,1)</f>
        <v/>
      </c>
      <c r="DB6" s="26">
        <f>EOMONTH(DA6,1)</f>
        <v/>
      </c>
      <c r="DC6" s="26">
        <f>EOMONTH(DB6,1)</f>
        <v/>
      </c>
      <c r="DD6" s="26">
        <f>EOMONTH(DC6,1)</f>
        <v/>
      </c>
      <c r="DE6" s="26">
        <f>EOMONTH(DD6,1)</f>
        <v/>
      </c>
      <c r="DF6" s="26">
        <f>EOMONTH(DE6,1)</f>
        <v/>
      </c>
      <c r="DG6" s="26">
        <f>EOMONTH(DF6,1)</f>
        <v/>
      </c>
      <c r="DH6" s="26">
        <f>EOMONTH(DG6,1)</f>
        <v/>
      </c>
      <c r="DI6" s="26">
        <f>EOMONTH(DH6,1)</f>
        <v/>
      </c>
      <c r="DJ6" s="26">
        <f>EOMONTH(DI6,1)</f>
        <v/>
      </c>
      <c r="DK6" s="26">
        <f>EOMONTH(DJ6,1)</f>
        <v/>
      </c>
      <c r="DL6" s="26">
        <f>EOMONTH(DK6,1)</f>
        <v/>
      </c>
      <c r="DM6" s="26">
        <f>EOMONTH(DL6,1)</f>
        <v/>
      </c>
      <c r="DN6" s="26">
        <f>EOMONTH(DM6,1)</f>
        <v/>
      </c>
      <c r="DO6" s="26">
        <f>EOMONTH(DN6,1)</f>
        <v/>
      </c>
      <c r="DP6" s="26">
        <f>EOMONTH(DO6,1)</f>
        <v/>
      </c>
      <c r="DQ6" s="26">
        <f>EOMONTH(DP6,1)</f>
        <v/>
      </c>
      <c r="DR6" s="26">
        <f>EOMONTH(DQ6,1)</f>
        <v/>
      </c>
      <c r="DS6" s="26">
        <f>EOMONTH(DR6,1)</f>
        <v/>
      </c>
      <c r="DT6" s="26">
        <f>EOMONTH(DS6,1)</f>
        <v/>
      </c>
      <c r="DU6" s="26">
        <f>EOMONTH(DT6,1)</f>
        <v/>
      </c>
      <c r="DV6" s="26">
        <f>EOMONTH(DU6,1)</f>
        <v/>
      </c>
      <c r="DW6" s="26">
        <f>EOMONTH(DV6,1)</f>
        <v/>
      </c>
      <c r="DX6" s="26">
        <f>EOMONTH(DW6,1)</f>
        <v/>
      </c>
      <c r="DY6" s="26">
        <f>EOMONTH(DX6,1)</f>
        <v/>
      </c>
      <c r="DZ6" s="26">
        <f>EOMONTH(DY6,1)</f>
        <v/>
      </c>
      <c r="EA6" s="26">
        <f>EOMONTH(DZ6,1)</f>
        <v/>
      </c>
      <c r="EB6" s="26">
        <f>EOMONTH(EA6,1)</f>
        <v/>
      </c>
      <c r="EC6" s="26">
        <f>EOMONTH(EB6,1)</f>
        <v/>
      </c>
      <c r="ED6" s="26">
        <f>EOMONTH(EC6,1)</f>
        <v/>
      </c>
      <c r="EE6" s="26">
        <f>EOMONTH(ED6,1)</f>
        <v/>
      </c>
      <c r="EF6" s="26">
        <f>EOMONTH(EE6,1)</f>
        <v/>
      </c>
      <c r="EG6" s="26">
        <f>EOMONTH(EF6,1)</f>
        <v/>
      </c>
      <c r="EH6" s="26">
        <f>EOMONTH(EG6,1)</f>
        <v/>
      </c>
      <c r="EI6" s="26">
        <f>EOMONTH(EH6,1)</f>
        <v/>
      </c>
      <c r="EJ6" s="26">
        <f>EOMONTH(EI6,1)</f>
        <v/>
      </c>
      <c r="EK6" s="26">
        <f>EOMONTH(EJ6,1)</f>
        <v/>
      </c>
      <c r="EL6" s="26">
        <f>EOMONTH(EK6,1)</f>
        <v/>
      </c>
      <c r="EM6" s="26">
        <f>EOMONTH(EL6,1)</f>
        <v/>
      </c>
      <c r="EN6" s="26">
        <f>EOMONTH(EM6,1)</f>
        <v/>
      </c>
      <c r="EO6" s="26">
        <f>EOMONTH(EN6,1)</f>
        <v/>
      </c>
      <c r="EP6" s="26">
        <f>EOMONTH(EO6,1)</f>
        <v/>
      </c>
      <c r="EQ6" s="26">
        <f>EOMONTH(EP6,1)</f>
        <v/>
      </c>
      <c r="ER6" s="26">
        <f>EOMONTH(EQ6,1)</f>
        <v/>
      </c>
      <c r="ES6" s="26">
        <f>EOMONTH(ER6,1)</f>
        <v/>
      </c>
      <c r="ET6" s="26">
        <f>EOMONTH(ES6,1)</f>
        <v/>
      </c>
      <c r="EU6" s="26">
        <f>EOMONTH(ET6,1)</f>
        <v/>
      </c>
      <c r="EV6" s="26">
        <f>EOMONTH(EU6,1)</f>
        <v/>
      </c>
      <c r="EW6" s="26">
        <f>EOMONTH(EV6,1)</f>
        <v/>
      </c>
      <c r="EX6" s="26">
        <f>EOMONTH(EW6,1)</f>
        <v/>
      </c>
      <c r="EY6" s="26">
        <f>EOMONTH(EX6,1)</f>
        <v/>
      </c>
      <c r="EZ6" s="26">
        <f>EOMONTH(EY6,1)</f>
        <v/>
      </c>
      <c r="FA6" s="26">
        <f>EOMONTH(EZ6,1)</f>
        <v/>
      </c>
      <c r="FB6" s="26">
        <f>EOMONTH(FA6,1)</f>
        <v/>
      </c>
    </row>
    <row r="7">
      <c r="B7" s="21" t="inlineStr">
        <is>
          <t>Deal-Level Return</t>
        </is>
      </c>
      <c r="C7" s="45" t="inlineStr">
        <is>
          <t>Unlevered</t>
        </is>
      </c>
      <c r="D7" s="45" t="inlineStr">
        <is>
          <t>Levered</t>
        </is>
      </c>
      <c r="E7" s="23" t="inlineStr">
        <is>
          <t>Partnership-Level</t>
        </is>
      </c>
      <c r="F7" s="191">
        <f>Inputs!C86</f>
        <v/>
      </c>
      <c r="G7" s="150">
        <f>1-F7</f>
        <v/>
      </c>
      <c r="I7" s="28" t="inlineStr">
        <is>
          <t>Pro Forma</t>
        </is>
      </c>
      <c r="J7" s="29" t="n"/>
      <c r="L7" s="133" t="n"/>
      <c r="N7" s="28" t="n">
        <v>0</v>
      </c>
      <c r="O7" s="28">
        <f>N7+1</f>
        <v/>
      </c>
      <c r="P7" s="28">
        <f>O7+1</f>
        <v/>
      </c>
      <c r="Q7" s="28">
        <f>P7+1</f>
        <v/>
      </c>
      <c r="R7" s="28">
        <f>Q7+1</f>
        <v/>
      </c>
      <c r="S7" s="28">
        <f>R7+1</f>
        <v/>
      </c>
      <c r="T7" s="28">
        <f>S7+1</f>
        <v/>
      </c>
      <c r="U7" s="28">
        <f>T7+1</f>
        <v/>
      </c>
      <c r="V7" s="28">
        <f>U7+1</f>
        <v/>
      </c>
      <c r="W7" s="28">
        <f>V7+1</f>
        <v/>
      </c>
      <c r="X7" s="28">
        <f>W7+1</f>
        <v/>
      </c>
      <c r="Z7" s="29" t="n"/>
      <c r="AA7" s="29" t="n"/>
      <c r="AB7" s="29" t="n"/>
      <c r="AC7" s="29" t="n"/>
      <c r="AD7" s="29" t="n"/>
      <c r="AE7" s="29" t="n"/>
      <c r="AF7" s="29" t="n"/>
      <c r="AG7" s="29" t="n"/>
      <c r="AH7" s="29" t="n"/>
      <c r="AI7" s="29" t="n"/>
      <c r="AJ7" s="29" t="n"/>
      <c r="AK7" s="29" t="n"/>
      <c r="AL7" s="29" t="n"/>
      <c r="AM7" s="29" t="n"/>
      <c r="AN7" s="29" t="n"/>
      <c r="AO7" s="29" t="n"/>
      <c r="AP7" s="29" t="n"/>
      <c r="AQ7" s="29" t="n"/>
      <c r="AR7" s="29" t="n"/>
      <c r="AS7" s="29" t="n"/>
      <c r="AT7" s="29" t="n"/>
      <c r="AU7" s="29" t="n"/>
      <c r="AV7" s="29" t="n"/>
      <c r="AW7" s="29" t="n"/>
      <c r="AX7" s="29" t="n"/>
      <c r="AY7" s="29" t="n"/>
      <c r="AZ7" s="29" t="n"/>
      <c r="BA7" s="29" t="n"/>
      <c r="BB7" s="29" t="n"/>
      <c r="BC7" s="29" t="n"/>
      <c r="BD7" s="29" t="n"/>
      <c r="BE7" s="29" t="n"/>
      <c r="BF7" s="29" t="n"/>
      <c r="BG7" s="29" t="n"/>
      <c r="BH7" s="29" t="n"/>
      <c r="BI7" s="29" t="n"/>
      <c r="BJ7" s="29" t="n"/>
      <c r="BK7" s="29" t="n"/>
      <c r="BL7" s="29" t="n"/>
      <c r="BM7" s="29" t="n"/>
      <c r="BN7" s="29" t="n"/>
      <c r="BO7" s="29" t="n"/>
      <c r="BP7" s="29" t="n"/>
      <c r="BQ7" s="29" t="n"/>
      <c r="BR7" s="29" t="n"/>
      <c r="BS7" s="29" t="n"/>
      <c r="BT7" s="29" t="n"/>
      <c r="BU7" s="29" t="n"/>
      <c r="BV7" s="29" t="n"/>
      <c r="BW7" s="29" t="n"/>
      <c r="BX7" s="29" t="n"/>
      <c r="BY7" s="29" t="n"/>
      <c r="BZ7" s="29" t="n"/>
      <c r="CA7" s="29" t="n"/>
      <c r="CB7" s="29" t="n"/>
      <c r="CC7" s="29" t="n"/>
      <c r="CD7" s="29" t="n"/>
      <c r="CE7" s="29" t="n"/>
      <c r="CF7" s="29" t="n"/>
      <c r="CG7" s="29" t="n"/>
      <c r="CH7" s="29" t="n"/>
      <c r="CI7" s="29" t="n"/>
      <c r="CJ7" s="29" t="n"/>
      <c r="CK7" s="29" t="n"/>
      <c r="CL7" s="29" t="n"/>
      <c r="CM7" s="29" t="n"/>
      <c r="CN7" s="29" t="n"/>
      <c r="CO7" s="29" t="n"/>
      <c r="CP7" s="29" t="n"/>
      <c r="CQ7" s="29" t="n"/>
      <c r="CR7" s="29" t="n"/>
      <c r="CS7" s="29" t="n"/>
      <c r="CT7" s="29" t="n"/>
      <c r="CU7" s="29" t="n"/>
      <c r="CV7" s="29" t="n"/>
      <c r="CW7" s="29" t="n"/>
      <c r="CX7" s="29" t="n"/>
      <c r="CY7" s="29" t="n"/>
      <c r="CZ7" s="29" t="n"/>
      <c r="DA7" s="29" t="n"/>
      <c r="DB7" s="29" t="n"/>
      <c r="DC7" s="29" t="n"/>
      <c r="DD7" s="29" t="n"/>
      <c r="DE7" s="29" t="n"/>
      <c r="DF7" s="29" t="n"/>
      <c r="DG7" s="29" t="n"/>
      <c r="DH7" s="29" t="n"/>
      <c r="DI7" s="29" t="n"/>
      <c r="DJ7" s="29" t="n"/>
      <c r="DK7" s="29" t="n"/>
      <c r="DL7" s="29" t="n"/>
      <c r="DM7" s="29" t="n"/>
      <c r="DN7" s="29" t="n"/>
      <c r="DO7" s="29" t="n"/>
      <c r="DP7" s="29" t="n"/>
      <c r="DQ7" s="29" t="n"/>
      <c r="DR7" s="29" t="n"/>
      <c r="DS7" s="29" t="n"/>
      <c r="DT7" s="29" t="n"/>
      <c r="DU7" s="29" t="n"/>
      <c r="DV7" s="29" t="n"/>
      <c r="DW7" s="29" t="n"/>
      <c r="DX7" s="29" t="n"/>
      <c r="DY7" s="29" t="n"/>
      <c r="DZ7" s="29" t="n"/>
      <c r="EA7" s="29" t="n"/>
      <c r="EB7" s="29" t="n"/>
      <c r="EC7" s="29" t="n"/>
      <c r="ED7" s="29" t="n"/>
      <c r="EE7" s="29" t="n"/>
      <c r="EF7" s="29" t="n"/>
      <c r="EG7" s="29" t="n"/>
      <c r="EH7" s="29" t="n"/>
      <c r="EI7" s="29" t="n"/>
      <c r="EJ7" s="29" t="n"/>
      <c r="EK7" s="29" t="n"/>
      <c r="EL7" s="29" t="n"/>
      <c r="EM7" s="29" t="n"/>
      <c r="EN7" s="29" t="n"/>
      <c r="EO7" s="29" t="n"/>
      <c r="EP7" s="29" t="n"/>
      <c r="EQ7" s="29" t="n"/>
      <c r="ER7" s="29" t="n"/>
      <c r="ES7" s="29" t="n"/>
      <c r="ET7" s="29" t="n"/>
      <c r="EU7" s="29" t="n"/>
      <c r="EV7" s="29" t="n"/>
      <c r="EW7" s="29" t="n"/>
      <c r="EX7" s="29" t="n"/>
      <c r="EY7" s="29" t="n"/>
      <c r="EZ7" s="29" t="n"/>
      <c r="FA7" s="29" t="n"/>
      <c r="FB7" s="29" t="n"/>
    </row>
    <row r="8">
      <c r="B8" s="15" t="inlineStr">
        <is>
          <t>Net Profit</t>
        </is>
      </c>
      <c r="C8" s="24">
        <f>L98</f>
        <v/>
      </c>
      <c r="D8" s="24">
        <f>L115</f>
        <v/>
      </c>
      <c r="E8" s="25" t="inlineStr">
        <is>
          <t>Net Profit</t>
        </is>
      </c>
      <c r="F8" s="46">
        <f>L141</f>
        <v/>
      </c>
      <c r="G8" s="46">
        <f>L144</f>
        <v/>
      </c>
      <c r="I8" s="15" t="inlineStr">
        <is>
          <t>Growth Assumptions</t>
        </is>
      </c>
    </row>
    <row r="9">
      <c r="B9" s="15" t="inlineStr">
        <is>
          <t>Peak Equity</t>
        </is>
      </c>
      <c r="C9" s="24">
        <f>L99</f>
        <v/>
      </c>
      <c r="D9" s="24">
        <f>L116</f>
        <v/>
      </c>
      <c r="E9" s="25" t="inlineStr">
        <is>
          <t>Peak Equity</t>
        </is>
      </c>
      <c r="F9" s="46">
        <f>-SUMIF(Z141:FB141,"&lt;0",Z141:FB141)</f>
        <v/>
      </c>
      <c r="G9" s="46">
        <f>-SUMIF(Z144:FB144,"&lt;0",Z144:FB144)</f>
        <v/>
      </c>
      <c r="I9" s="9">
        <f>B90</f>
        <v/>
      </c>
      <c r="N9" s="31">
        <f>SUMIF($Z$3:$FB$3,N$7,$Z9:$FB9)</f>
        <v/>
      </c>
      <c r="O9" s="31">
        <f>SUMIF($Z$3:$FB$3,O$7,$Z9:$FB9)</f>
        <v/>
      </c>
      <c r="P9" s="31">
        <f>SUMIF($Z$3:$FB$3,P$7,$Z9:$FB9)</f>
        <v/>
      </c>
      <c r="Q9" s="31">
        <f>SUMIF($Z$3:$FB$3,Q$7,$Z9:$FB9)</f>
        <v/>
      </c>
      <c r="R9" s="31">
        <f>SUMIF($Z$3:$FB$3,R$7,$Z9:$FB9)</f>
        <v/>
      </c>
      <c r="S9" s="31">
        <f>SUMIF($Z$3:$FB$3,S$7,$Z9:$FB9)</f>
        <v/>
      </c>
      <c r="T9" s="31">
        <f>SUMIF($Z$3:$FB$3,T$7,$Z9:$FB9)</f>
        <v/>
      </c>
      <c r="U9" s="31">
        <f>SUMIF($Z$3:$FB$3,U$7,$Z9:$FB9)</f>
        <v/>
      </c>
      <c r="V9" s="31">
        <f>SUMIF($Z$3:$FB$3,V$7,$Z9:$FB9)</f>
        <v/>
      </c>
      <c r="W9" s="31">
        <f>SUMIF($Z$3:$FB$3,W$7,$Z9:$FB9)</f>
        <v/>
      </c>
      <c r="X9" s="31">
        <f>SUMIF($Z$3:$FB$3,X$7,$Z9:$FB9)</f>
        <v/>
      </c>
      <c r="Z9" s="31" t="n">
        <v>0</v>
      </c>
      <c r="AA9" s="31">
        <f>IFERROR(INDEX($C90:$G90,MATCH(YEAR(AA$6),$C$89:$G$89,0))/12,Z9)</f>
        <v/>
      </c>
      <c r="AB9" s="31">
        <f>IFERROR(INDEX($C90:$G90,MATCH(YEAR(AB$6),$C$89:$G$89,0))/12,AA9)</f>
        <v/>
      </c>
      <c r="AC9" s="31">
        <f>IFERROR(INDEX($C90:$G90,MATCH(YEAR(AC$6),$C$89:$G$89,0))/12,AB9)</f>
        <v/>
      </c>
      <c r="AD9" s="31">
        <f>IFERROR(INDEX($C90:$G90,MATCH(YEAR(AD$6),$C$89:$G$89,0))/12,AC9)</f>
        <v/>
      </c>
      <c r="AE9" s="31">
        <f>IFERROR(INDEX($C90:$G90,MATCH(YEAR(AE$6),$C$89:$G$89,0))/12,AD9)</f>
        <v/>
      </c>
      <c r="AF9" s="31">
        <f>IFERROR(INDEX($C90:$G90,MATCH(YEAR(AF$6),$C$89:$G$89,0))/12,AE9)</f>
        <v/>
      </c>
      <c r="AG9" s="31">
        <f>IFERROR(INDEX($C90:$G90,MATCH(YEAR(AG$6),$C$89:$G$89,0))/12,AF9)</f>
        <v/>
      </c>
      <c r="AH9" s="31">
        <f>IFERROR(INDEX($C90:$G90,MATCH(YEAR(AH$6),$C$89:$G$89,0))/12,AG9)</f>
        <v/>
      </c>
      <c r="AI9" s="31">
        <f>IFERROR(INDEX($C90:$G90,MATCH(YEAR(AI$6),$C$89:$G$89,0))/12,AH9)</f>
        <v/>
      </c>
      <c r="AJ9" s="31">
        <f>IFERROR(INDEX($C90:$G90,MATCH(YEAR(AJ$6),$C$89:$G$89,0))/12,AI9)</f>
        <v/>
      </c>
      <c r="AK9" s="31">
        <f>IFERROR(INDEX($C90:$G90,MATCH(YEAR(AK$6),$C$89:$G$89,0))/12,AJ9)</f>
        <v/>
      </c>
      <c r="AL9" s="31">
        <f>IFERROR(INDEX($C90:$G90,MATCH(YEAR(AL$6),$C$89:$G$89,0))/12,AK9)</f>
        <v/>
      </c>
      <c r="AM9" s="31">
        <f>IFERROR(INDEX($C90:$G90,MATCH(YEAR(AM$6),$C$89:$G$89,0))/12,AL9)</f>
        <v/>
      </c>
      <c r="AN9" s="31">
        <f>IFERROR(INDEX($C90:$G90,MATCH(YEAR(AN$6),$C$89:$G$89,0))/12,AM9)</f>
        <v/>
      </c>
      <c r="AO9" s="31">
        <f>IFERROR(INDEX($C90:$G90,MATCH(YEAR(AO$6),$C$89:$G$89,0))/12,AN9)</f>
        <v/>
      </c>
      <c r="AP9" s="31">
        <f>IFERROR(INDEX($C90:$G90,MATCH(YEAR(AP$6),$C$89:$G$89,0))/12,AO9)</f>
        <v/>
      </c>
      <c r="AQ9" s="31">
        <f>IFERROR(INDEX($C90:$G90,MATCH(YEAR(AQ$6),$C$89:$G$89,0))/12,AP9)</f>
        <v/>
      </c>
      <c r="AR9" s="31">
        <f>IFERROR(INDEX($C90:$G90,MATCH(YEAR(AR$6),$C$89:$G$89,0))/12,AQ9)</f>
        <v/>
      </c>
      <c r="AS9" s="31">
        <f>IFERROR(INDEX($C90:$G90,MATCH(YEAR(AS$6),$C$89:$G$89,0))/12,AR9)</f>
        <v/>
      </c>
      <c r="AT9" s="31">
        <f>IFERROR(INDEX($C90:$G90,MATCH(YEAR(AT$6),$C$89:$G$89,0))/12,AS9)</f>
        <v/>
      </c>
      <c r="AU9" s="31">
        <f>IFERROR(INDEX($C90:$G90,MATCH(YEAR(AU$6),$C$89:$G$89,0))/12,AT9)</f>
        <v/>
      </c>
      <c r="AV9" s="31">
        <f>IFERROR(INDEX($C90:$G90,MATCH(YEAR(AV$6),$C$89:$G$89,0))/12,AU9)</f>
        <v/>
      </c>
      <c r="AW9" s="31">
        <f>IFERROR(INDEX($C90:$G90,MATCH(YEAR(AW$6),$C$89:$G$89,0))/12,AV9)</f>
        <v/>
      </c>
      <c r="AX9" s="31">
        <f>IFERROR(INDEX($C90:$G90,MATCH(YEAR(AX$6),$C$89:$G$89,0))/12,AW9)</f>
        <v/>
      </c>
      <c r="AY9" s="31">
        <f>IFERROR(INDEX($C90:$G90,MATCH(YEAR(AY$6),$C$89:$G$89,0))/12,AX9)</f>
        <v/>
      </c>
      <c r="AZ9" s="31">
        <f>IFERROR(INDEX($C90:$G90,MATCH(YEAR(AZ$6),$C$89:$G$89,0))/12,AY9)</f>
        <v/>
      </c>
      <c r="BA9" s="31">
        <f>IFERROR(INDEX($C90:$G90,MATCH(YEAR(BA$6),$C$89:$G$89,0))/12,AZ9)</f>
        <v/>
      </c>
      <c r="BB9" s="31">
        <f>IFERROR(INDEX($C90:$G90,MATCH(YEAR(BB$6),$C$89:$G$89,0))/12,BA9)</f>
        <v/>
      </c>
      <c r="BC9" s="31">
        <f>IFERROR(INDEX($C90:$G90,MATCH(YEAR(BC$6),$C$89:$G$89,0))/12,BB9)</f>
        <v/>
      </c>
      <c r="BD9" s="31">
        <f>IFERROR(INDEX($C90:$G90,MATCH(YEAR(BD$6),$C$89:$G$89,0))/12,BC9)</f>
        <v/>
      </c>
      <c r="BE9" s="31">
        <f>IFERROR(INDEX($C90:$G90,MATCH(YEAR(BE$6),$C$89:$G$89,0))/12,BD9)</f>
        <v/>
      </c>
      <c r="BF9" s="31">
        <f>IFERROR(INDEX($C90:$G90,MATCH(YEAR(BF$6),$C$89:$G$89,0))/12,BE9)</f>
        <v/>
      </c>
      <c r="BG9" s="31">
        <f>IFERROR(INDEX($C90:$G90,MATCH(YEAR(BG$6),$C$89:$G$89,0))/12,BF9)</f>
        <v/>
      </c>
      <c r="BH9" s="31">
        <f>IFERROR(INDEX($C90:$G90,MATCH(YEAR(BH$6),$C$89:$G$89,0))/12,BG9)</f>
        <v/>
      </c>
      <c r="BI9" s="31">
        <f>IFERROR(INDEX($C90:$G90,MATCH(YEAR(BI$6),$C$89:$G$89,0))/12,BH9)</f>
        <v/>
      </c>
      <c r="BJ9" s="31">
        <f>IFERROR(INDEX($C90:$G90,MATCH(YEAR(BJ$6),$C$89:$G$89,0))/12,BI9)</f>
        <v/>
      </c>
      <c r="BK9" s="31">
        <f>IFERROR(INDEX($C90:$G90,MATCH(YEAR(BK$6),$C$89:$G$89,0))/12,BJ9)</f>
        <v/>
      </c>
      <c r="BL9" s="31">
        <f>IFERROR(INDEX($C90:$G90,MATCH(YEAR(BL$6),$C$89:$G$89,0))/12,BK9)</f>
        <v/>
      </c>
      <c r="BM9" s="31">
        <f>IFERROR(INDEX($C90:$G90,MATCH(YEAR(BM$6),$C$89:$G$89,0))/12,BL9)</f>
        <v/>
      </c>
      <c r="BN9" s="31">
        <f>IFERROR(INDEX($C90:$G90,MATCH(YEAR(BN$6),$C$89:$G$89,0))/12,BM9)</f>
        <v/>
      </c>
      <c r="BO9" s="31">
        <f>IFERROR(INDEX($C90:$G90,MATCH(YEAR(BO$6),$C$89:$G$89,0))/12,BN9)</f>
        <v/>
      </c>
      <c r="BP9" s="31">
        <f>IFERROR(INDEX($C90:$G90,MATCH(YEAR(BP$6),$C$89:$G$89,0))/12,BO9)</f>
        <v/>
      </c>
      <c r="BQ9" s="31">
        <f>IFERROR(INDEX($C90:$G90,MATCH(YEAR(BQ$6),$C$89:$G$89,0))/12,BP9)</f>
        <v/>
      </c>
      <c r="BR9" s="31">
        <f>IFERROR(INDEX($C90:$G90,MATCH(YEAR(BR$6),$C$89:$G$89,0))/12,BQ9)</f>
        <v/>
      </c>
      <c r="BS9" s="31">
        <f>IFERROR(INDEX($C90:$G90,MATCH(YEAR(BS$6),$C$89:$G$89,0))/12,BR9)</f>
        <v/>
      </c>
      <c r="BT9" s="31">
        <f>IFERROR(INDEX($C90:$G90,MATCH(YEAR(BT$6),$C$89:$G$89,0))/12,BS9)</f>
        <v/>
      </c>
      <c r="BU9" s="31">
        <f>IFERROR(INDEX($C90:$G90,MATCH(YEAR(BU$6),$C$89:$G$89,0))/12,BT9)</f>
        <v/>
      </c>
      <c r="BV9" s="31">
        <f>IFERROR(INDEX($C90:$G90,MATCH(YEAR(BV$6),$C$89:$G$89,0))/12,BU9)</f>
        <v/>
      </c>
      <c r="BW9" s="31">
        <f>IFERROR(INDEX($C90:$G90,MATCH(YEAR(BW$6),$C$89:$G$89,0))/12,BV9)</f>
        <v/>
      </c>
      <c r="BX9" s="31">
        <f>IFERROR(INDEX($C90:$G90,MATCH(YEAR(BX$6),$C$89:$G$89,0))/12,BW9)</f>
        <v/>
      </c>
      <c r="BY9" s="31">
        <f>IFERROR(INDEX($C90:$G90,MATCH(YEAR(BY$6),$C$89:$G$89,0))/12,BX9)</f>
        <v/>
      </c>
      <c r="BZ9" s="31">
        <f>IFERROR(INDEX($C90:$G90,MATCH(YEAR(BZ$6),$C$89:$G$89,0))/12,BY9)</f>
        <v/>
      </c>
      <c r="CA9" s="31">
        <f>IFERROR(INDEX($C90:$G90,MATCH(YEAR(CA$6),$C$89:$G$89,0))/12,BZ9)</f>
        <v/>
      </c>
      <c r="CB9" s="31">
        <f>IFERROR(INDEX($C90:$G90,MATCH(YEAR(CB$6),$C$89:$G$89,0))/12,CA9)</f>
        <v/>
      </c>
      <c r="CC9" s="31">
        <f>IFERROR(INDEX($C90:$G90,MATCH(YEAR(CC$6),$C$89:$G$89,0))/12,CB9)</f>
        <v/>
      </c>
      <c r="CD9" s="31">
        <f>IFERROR(INDEX($C90:$G90,MATCH(YEAR(CD$6),$C$89:$G$89,0))/12,CC9)</f>
        <v/>
      </c>
      <c r="CE9" s="31">
        <f>IFERROR(INDEX($C90:$G90,MATCH(YEAR(CE$6),$C$89:$G$89,0))/12,CD9)</f>
        <v/>
      </c>
      <c r="CF9" s="31">
        <f>IFERROR(INDEX($C90:$G90,MATCH(YEAR(CF$6),$C$89:$G$89,0))/12,CE9)</f>
        <v/>
      </c>
      <c r="CG9" s="31">
        <f>IFERROR(INDEX($C90:$G90,MATCH(YEAR(CG$6),$C$89:$G$89,0))/12,CF9)</f>
        <v/>
      </c>
      <c r="CH9" s="31">
        <f>IFERROR(INDEX($C90:$G90,MATCH(YEAR(CH$6),$C$89:$G$89,0))/12,CG9)</f>
        <v/>
      </c>
      <c r="CI9" s="31">
        <f>IFERROR(INDEX($C90:$G90,MATCH(YEAR(CI$6),$C$89:$G$89,0))/12,CH9)</f>
        <v/>
      </c>
      <c r="CJ9" s="31">
        <f>IFERROR(INDEX($C90:$G90,MATCH(YEAR(CJ$6),$C$89:$G$89,0))/12,CI9)</f>
        <v/>
      </c>
      <c r="CK9" s="31">
        <f>IFERROR(INDEX($C90:$G90,MATCH(YEAR(CK$6),$C$89:$G$89,0))/12,CJ9)</f>
        <v/>
      </c>
      <c r="CL9" s="31">
        <f>IFERROR(INDEX($C90:$G90,MATCH(YEAR(CL$6),$C$89:$G$89,0))/12,CK9)</f>
        <v/>
      </c>
      <c r="CM9" s="31">
        <f>IFERROR(INDEX($C90:$G90,MATCH(YEAR(CM$6),$C$89:$G$89,0))/12,CL9)</f>
        <v/>
      </c>
      <c r="CN9" s="31">
        <f>IFERROR(INDEX($C90:$G90,MATCH(YEAR(CN$6),$C$89:$G$89,0))/12,CM9)</f>
        <v/>
      </c>
      <c r="CO9" s="31">
        <f>IFERROR(INDEX($C90:$G90,MATCH(YEAR(CO$6),$C$89:$G$89,0))/12,CN9)</f>
        <v/>
      </c>
      <c r="CP9" s="31">
        <f>IFERROR(INDEX($C90:$G90,MATCH(YEAR(CP$6),$C$89:$G$89,0))/12,CO9)</f>
        <v/>
      </c>
      <c r="CQ9" s="31">
        <f>IFERROR(INDEX($C90:$G90,MATCH(YEAR(CQ$6),$C$89:$G$89,0))/12,CP9)</f>
        <v/>
      </c>
      <c r="CR9" s="31">
        <f>IFERROR(INDEX($C90:$G90,MATCH(YEAR(CR$6),$C$89:$G$89,0))/12,CQ9)</f>
        <v/>
      </c>
      <c r="CS9" s="31">
        <f>IFERROR(INDEX($C90:$G90,MATCH(YEAR(CS$6),$C$89:$G$89,0))/12,CR9)</f>
        <v/>
      </c>
      <c r="CT9" s="31">
        <f>IFERROR(INDEX($C90:$G90,MATCH(YEAR(CT$6),$C$89:$G$89,0))/12,CS9)</f>
        <v/>
      </c>
      <c r="CU9" s="31">
        <f>IFERROR(INDEX($C90:$G90,MATCH(YEAR(CU$6),$C$89:$G$89,0))/12,CT9)</f>
        <v/>
      </c>
      <c r="CV9" s="31">
        <f>IFERROR(INDEX($C90:$G90,MATCH(YEAR(CV$6),$C$89:$G$89,0))/12,CU9)</f>
        <v/>
      </c>
      <c r="CW9" s="31">
        <f>IFERROR(INDEX($C90:$G90,MATCH(YEAR(CW$6),$C$89:$G$89,0))/12,CV9)</f>
        <v/>
      </c>
      <c r="CX9" s="31">
        <f>IFERROR(INDEX($C90:$G90,MATCH(YEAR(CX$6),$C$89:$G$89,0))/12,CW9)</f>
        <v/>
      </c>
      <c r="CY9" s="31">
        <f>IFERROR(INDEX($C90:$G90,MATCH(YEAR(CY$6),$C$89:$G$89,0))/12,CX9)</f>
        <v/>
      </c>
      <c r="CZ9" s="31">
        <f>IFERROR(INDEX($C90:$G90,MATCH(YEAR(CZ$6),$C$89:$G$89,0))/12,CY9)</f>
        <v/>
      </c>
      <c r="DA9" s="31">
        <f>IFERROR(INDEX($C90:$G90,MATCH(YEAR(DA$6),$C$89:$G$89,0))/12,CZ9)</f>
        <v/>
      </c>
      <c r="DB9" s="31">
        <f>IFERROR(INDEX($C90:$G90,MATCH(YEAR(DB$6),$C$89:$G$89,0))/12,DA9)</f>
        <v/>
      </c>
      <c r="DC9" s="31">
        <f>IFERROR(INDEX($C90:$G90,MATCH(YEAR(DC$6),$C$89:$G$89,0))/12,DB9)</f>
        <v/>
      </c>
      <c r="DD9" s="31">
        <f>IFERROR(INDEX($C90:$G90,MATCH(YEAR(DD$6),$C$89:$G$89,0))/12,DC9)</f>
        <v/>
      </c>
      <c r="DE9" s="31">
        <f>IFERROR(INDEX($C90:$G90,MATCH(YEAR(DE$6),$C$89:$G$89,0))/12,DD9)</f>
        <v/>
      </c>
      <c r="DF9" s="31">
        <f>IFERROR(INDEX($C90:$G90,MATCH(YEAR(DF$6),$C$89:$G$89,0))/12,DE9)</f>
        <v/>
      </c>
      <c r="DG9" s="31">
        <f>IFERROR(INDEX($C90:$G90,MATCH(YEAR(DG$6),$C$89:$G$89,0))/12,DF9)</f>
        <v/>
      </c>
      <c r="DH9" s="31">
        <f>IFERROR(INDEX($C90:$G90,MATCH(YEAR(DH$6),$C$89:$G$89,0))/12,DG9)</f>
        <v/>
      </c>
      <c r="DI9" s="31">
        <f>IFERROR(INDEX($C90:$G90,MATCH(YEAR(DI$6),$C$89:$G$89,0))/12,DH9)</f>
        <v/>
      </c>
      <c r="DJ9" s="31">
        <f>IFERROR(INDEX($C90:$G90,MATCH(YEAR(DJ$6),$C$89:$G$89,0))/12,DI9)</f>
        <v/>
      </c>
      <c r="DK9" s="31">
        <f>IFERROR(INDEX($C90:$G90,MATCH(YEAR(DK$6),$C$89:$G$89,0))/12,DJ9)</f>
        <v/>
      </c>
      <c r="DL9" s="31">
        <f>IFERROR(INDEX($C90:$G90,MATCH(YEAR(DL$6),$C$89:$G$89,0))/12,DK9)</f>
        <v/>
      </c>
      <c r="DM9" s="31">
        <f>IFERROR(INDEX($C90:$G90,MATCH(YEAR(DM$6),$C$89:$G$89,0))/12,DL9)</f>
        <v/>
      </c>
      <c r="DN9" s="31">
        <f>IFERROR(INDEX($C90:$G90,MATCH(YEAR(DN$6),$C$89:$G$89,0))/12,DM9)</f>
        <v/>
      </c>
      <c r="DO9" s="31">
        <f>IFERROR(INDEX($C90:$G90,MATCH(YEAR(DO$6),$C$89:$G$89,0))/12,DN9)</f>
        <v/>
      </c>
      <c r="DP9" s="31">
        <f>IFERROR(INDEX($C90:$G90,MATCH(YEAR(DP$6),$C$89:$G$89,0))/12,DO9)</f>
        <v/>
      </c>
      <c r="DQ9" s="31">
        <f>IFERROR(INDEX($C90:$G90,MATCH(YEAR(DQ$6),$C$89:$G$89,0))/12,DP9)</f>
        <v/>
      </c>
      <c r="DR9" s="31">
        <f>IFERROR(INDEX($C90:$G90,MATCH(YEAR(DR$6),$C$89:$G$89,0))/12,DQ9)</f>
        <v/>
      </c>
      <c r="DS9" s="31">
        <f>IFERROR(INDEX($C90:$G90,MATCH(YEAR(DS$6),$C$89:$G$89,0))/12,DR9)</f>
        <v/>
      </c>
      <c r="DT9" s="31">
        <f>IFERROR(INDEX($C90:$G90,MATCH(YEAR(DT$6),$C$89:$G$89,0))/12,DS9)</f>
        <v/>
      </c>
      <c r="DU9" s="31">
        <f>IFERROR(INDEX($C90:$G90,MATCH(YEAR(DU$6),$C$89:$G$89,0))/12,DT9)</f>
        <v/>
      </c>
      <c r="DV9" s="31">
        <f>IFERROR(INDEX($C90:$G90,MATCH(YEAR(DV$6),$C$89:$G$89,0))/12,DU9)</f>
        <v/>
      </c>
      <c r="DW9" s="31">
        <f>IFERROR(INDEX($C90:$G90,MATCH(YEAR(DW$6),$C$89:$G$89,0))/12,DV9)</f>
        <v/>
      </c>
      <c r="DX9" s="31">
        <f>IFERROR(INDEX($C90:$G90,MATCH(YEAR(DX$6),$C$89:$G$89,0))/12,DW9)</f>
        <v/>
      </c>
      <c r="DY9" s="31">
        <f>IFERROR(INDEX($C90:$G90,MATCH(YEAR(DY$6),$C$89:$G$89,0))/12,DX9)</f>
        <v/>
      </c>
      <c r="DZ9" s="31">
        <f>IFERROR(INDEX($C90:$G90,MATCH(YEAR(DZ$6),$C$89:$G$89,0))/12,DY9)</f>
        <v/>
      </c>
      <c r="EA9" s="31">
        <f>IFERROR(INDEX($C90:$G90,MATCH(YEAR(EA$6),$C$89:$G$89,0))/12,DZ9)</f>
        <v/>
      </c>
      <c r="EB9" s="31">
        <f>IFERROR(INDEX($C90:$G90,MATCH(YEAR(EB$6),$C$89:$G$89,0))/12,EA9)</f>
        <v/>
      </c>
      <c r="EC9" s="31">
        <f>IFERROR(INDEX($C90:$G90,MATCH(YEAR(EC$6),$C$89:$G$89,0))/12,EB9)</f>
        <v/>
      </c>
      <c r="ED9" s="31">
        <f>IFERROR(INDEX($C90:$G90,MATCH(YEAR(ED$6),$C$89:$G$89,0))/12,EC9)</f>
        <v/>
      </c>
      <c r="EE9" s="31">
        <f>IFERROR(INDEX($C90:$G90,MATCH(YEAR(EE$6),$C$89:$G$89,0))/12,ED9)</f>
        <v/>
      </c>
      <c r="EF9" s="31">
        <f>IFERROR(INDEX($C90:$G90,MATCH(YEAR(EF$6),$C$89:$G$89,0))/12,EE9)</f>
        <v/>
      </c>
      <c r="EG9" s="31">
        <f>IFERROR(INDEX($C90:$G90,MATCH(YEAR(EG$6),$C$89:$G$89,0))/12,EF9)</f>
        <v/>
      </c>
      <c r="EH9" s="31">
        <f>IFERROR(INDEX($C90:$G90,MATCH(YEAR(EH$6),$C$89:$G$89,0))/12,EG9)</f>
        <v/>
      </c>
      <c r="EI9" s="31">
        <f>IFERROR(INDEX($C90:$G90,MATCH(YEAR(EI$6),$C$89:$G$89,0))/12,EH9)</f>
        <v/>
      </c>
      <c r="EJ9" s="31">
        <f>IFERROR(INDEX($C90:$G90,MATCH(YEAR(EJ$6),$C$89:$G$89,0))/12,EI9)</f>
        <v/>
      </c>
      <c r="EK9" s="31">
        <f>IFERROR(INDEX($C90:$G90,MATCH(YEAR(EK$6),$C$89:$G$89,0))/12,EJ9)</f>
        <v/>
      </c>
      <c r="EL9" s="31">
        <f>IFERROR(INDEX($C90:$G90,MATCH(YEAR(EL$6),$C$89:$G$89,0))/12,EK9)</f>
        <v/>
      </c>
      <c r="EM9" s="31">
        <f>IFERROR(INDEX($C90:$G90,MATCH(YEAR(EM$6),$C$89:$G$89,0))/12,EL9)</f>
        <v/>
      </c>
      <c r="EN9" s="31">
        <f>IFERROR(INDEX($C90:$G90,MATCH(YEAR(EN$6),$C$89:$G$89,0))/12,EM9)</f>
        <v/>
      </c>
      <c r="EO9" s="31">
        <f>IFERROR(INDEX($C90:$G90,MATCH(YEAR(EO$6),$C$89:$G$89,0))/12,EN9)</f>
        <v/>
      </c>
      <c r="EP9" s="31">
        <f>IFERROR(INDEX($C90:$G90,MATCH(YEAR(EP$6),$C$89:$G$89,0))/12,EO9)</f>
        <v/>
      </c>
      <c r="EQ9" s="31">
        <f>IFERROR(INDEX($C90:$G90,MATCH(YEAR(EQ$6),$C$89:$G$89,0))/12,EP9)</f>
        <v/>
      </c>
      <c r="ER9" s="31">
        <f>IFERROR(INDEX($C90:$G90,MATCH(YEAR(ER$6),$C$89:$G$89,0))/12,EQ9)</f>
        <v/>
      </c>
      <c r="ES9" s="31">
        <f>IFERROR(INDEX($C90:$G90,MATCH(YEAR(ES$6),$C$89:$G$89,0))/12,ER9)</f>
        <v/>
      </c>
      <c r="ET9" s="31">
        <f>IFERROR(INDEX($C90:$G90,MATCH(YEAR(ET$6),$C$89:$G$89,0))/12,ES9)</f>
        <v/>
      </c>
      <c r="EU9" s="31">
        <f>IFERROR(INDEX($C90:$G90,MATCH(YEAR(EU$6),$C$89:$G$89,0))/12,ET9)</f>
        <v/>
      </c>
      <c r="EV9" s="31">
        <f>IFERROR(INDEX($C90:$G90,MATCH(YEAR(EV$6),$C$89:$G$89,0))/12,EU9)</f>
        <v/>
      </c>
      <c r="EW9" s="31">
        <f>IFERROR(INDEX($C90:$G90,MATCH(YEAR(EW$6),$C$89:$G$89,0))/12,EV9)</f>
        <v/>
      </c>
      <c r="EX9" s="31">
        <f>IFERROR(INDEX($C90:$G90,MATCH(YEAR(EX$6),$C$89:$G$89,0))/12,EW9)</f>
        <v/>
      </c>
      <c r="EY9" s="31">
        <f>IFERROR(INDEX($C90:$G90,MATCH(YEAR(EY$6),$C$89:$G$89,0))/12,EX9)</f>
        <v/>
      </c>
      <c r="EZ9" s="31">
        <f>IFERROR(INDEX($C90:$G90,MATCH(YEAR(EZ$6),$C$89:$G$89,0))/12,EY9)</f>
        <v/>
      </c>
      <c r="FA9" s="31">
        <f>IFERROR(INDEX($C90:$G90,MATCH(YEAR(FA$6),$C$89:$G$89,0))/12,EZ9)</f>
        <v/>
      </c>
      <c r="FB9" s="31">
        <f>IFERROR(INDEX($C90:$G90,MATCH(YEAR(FB$6),$C$89:$G$89,0))/12,FA9)</f>
        <v/>
      </c>
    </row>
    <row r="10">
      <c r="B10" s="15" t="inlineStr">
        <is>
          <t>IRR</t>
        </is>
      </c>
      <c r="C10" s="27">
        <f>L100</f>
        <v/>
      </c>
      <c r="D10" s="27">
        <f>L117</f>
        <v/>
      </c>
      <c r="E10" s="25" t="inlineStr">
        <is>
          <t>IRR</t>
        </is>
      </c>
      <c r="F10" s="27">
        <f>L142</f>
        <v/>
      </c>
      <c r="G10" s="27">
        <f>L145</f>
        <v/>
      </c>
      <c r="I10" s="32" t="inlineStr">
        <is>
          <t>Compounded Rate</t>
        </is>
      </c>
      <c r="J10" s="32" t="n"/>
      <c r="K10" s="33" t="n"/>
      <c r="L10" s="134" t="n"/>
      <c r="M10" s="33" t="n"/>
      <c r="N10" s="34" t="n"/>
      <c r="O10" s="34" t="n"/>
      <c r="P10" s="34" t="n"/>
      <c r="Q10" s="34" t="n"/>
      <c r="R10" s="34" t="n"/>
      <c r="S10" s="34" t="n"/>
      <c r="T10" s="34" t="n"/>
      <c r="U10" s="34" t="n"/>
      <c r="V10" s="34" t="n"/>
      <c r="W10" s="34" t="n"/>
      <c r="X10" s="34" t="n"/>
      <c r="Y10" s="33" t="n"/>
      <c r="Z10" s="34" t="n">
        <v>1</v>
      </c>
      <c r="AA10" s="34">
        <f>Z10*(1+AA9)</f>
        <v/>
      </c>
      <c r="AB10" s="34">
        <f>AA10*(1+AB9)</f>
        <v/>
      </c>
      <c r="AC10" s="34">
        <f>AB10*(1+AC9)</f>
        <v/>
      </c>
      <c r="AD10" s="34">
        <f>AC10*(1+AD9)</f>
        <v/>
      </c>
      <c r="AE10" s="34">
        <f>AD10*(1+AE9)</f>
        <v/>
      </c>
      <c r="AF10" s="34">
        <f>AE10*(1+AF9)</f>
        <v/>
      </c>
      <c r="AG10" s="34">
        <f>AF10*(1+AG9)</f>
        <v/>
      </c>
      <c r="AH10" s="34">
        <f>AG10*(1+AH9)</f>
        <v/>
      </c>
      <c r="AI10" s="34">
        <f>AH10*(1+AI9)</f>
        <v/>
      </c>
      <c r="AJ10" s="34">
        <f>AI10*(1+AJ9)</f>
        <v/>
      </c>
      <c r="AK10" s="34">
        <f>AJ10*(1+AK9)</f>
        <v/>
      </c>
      <c r="AL10" s="34">
        <f>AK10*(1+AL9)</f>
        <v/>
      </c>
      <c r="AM10" s="34">
        <f>AL10*(1+AM9)</f>
        <v/>
      </c>
      <c r="AN10" s="34">
        <f>AM10*(1+AN9)</f>
        <v/>
      </c>
      <c r="AO10" s="34">
        <f>AN10*(1+AO9)</f>
        <v/>
      </c>
      <c r="AP10" s="34">
        <f>AO10*(1+AP9)</f>
        <v/>
      </c>
      <c r="AQ10" s="34">
        <f>AP10*(1+AQ9)</f>
        <v/>
      </c>
      <c r="AR10" s="34">
        <f>AQ10*(1+AR9)</f>
        <v/>
      </c>
      <c r="AS10" s="34">
        <f>AR10*(1+AS9)</f>
        <v/>
      </c>
      <c r="AT10" s="34">
        <f>AS10*(1+AT9)</f>
        <v/>
      </c>
      <c r="AU10" s="34">
        <f>AT10*(1+AU9)</f>
        <v/>
      </c>
      <c r="AV10" s="34">
        <f>AU10*(1+AV9)</f>
        <v/>
      </c>
      <c r="AW10" s="34">
        <f>AV10*(1+AW9)</f>
        <v/>
      </c>
      <c r="AX10" s="34">
        <f>AW10*(1+AX9)</f>
        <v/>
      </c>
      <c r="AY10" s="34">
        <f>AX10*(1+AY9)</f>
        <v/>
      </c>
      <c r="AZ10" s="34">
        <f>AY10*(1+AZ9)</f>
        <v/>
      </c>
      <c r="BA10" s="34">
        <f>AZ10*(1+BA9)</f>
        <v/>
      </c>
      <c r="BB10" s="34">
        <f>BA10*(1+BB9)</f>
        <v/>
      </c>
      <c r="BC10" s="34">
        <f>BB10*(1+BC9)</f>
        <v/>
      </c>
      <c r="BD10" s="34">
        <f>BC10*(1+BD9)</f>
        <v/>
      </c>
      <c r="BE10" s="34">
        <f>BD10*(1+BE9)</f>
        <v/>
      </c>
      <c r="BF10" s="34">
        <f>BE10*(1+BF9)</f>
        <v/>
      </c>
      <c r="BG10" s="34">
        <f>BF10*(1+BG9)</f>
        <v/>
      </c>
      <c r="BH10" s="34">
        <f>BG10*(1+BH9)</f>
        <v/>
      </c>
      <c r="BI10" s="34">
        <f>BH10*(1+BI9)</f>
        <v/>
      </c>
      <c r="BJ10" s="34">
        <f>BI10*(1+BJ9)</f>
        <v/>
      </c>
      <c r="BK10" s="34">
        <f>BJ10*(1+BK9)</f>
        <v/>
      </c>
      <c r="BL10" s="34">
        <f>BK10*(1+BL9)</f>
        <v/>
      </c>
      <c r="BM10" s="34">
        <f>BL10*(1+BM9)</f>
        <v/>
      </c>
      <c r="BN10" s="34">
        <f>BM10*(1+BN9)</f>
        <v/>
      </c>
      <c r="BO10" s="34">
        <f>BN10*(1+BO9)</f>
        <v/>
      </c>
      <c r="BP10" s="34">
        <f>BO10*(1+BP9)</f>
        <v/>
      </c>
      <c r="BQ10" s="34">
        <f>BP10*(1+BQ9)</f>
        <v/>
      </c>
      <c r="BR10" s="34">
        <f>BQ10*(1+BR9)</f>
        <v/>
      </c>
      <c r="BS10" s="34">
        <f>BR10*(1+BS9)</f>
        <v/>
      </c>
      <c r="BT10" s="34">
        <f>BS10*(1+BT9)</f>
        <v/>
      </c>
      <c r="BU10" s="34">
        <f>BT10*(1+BU9)</f>
        <v/>
      </c>
      <c r="BV10" s="34">
        <f>BU10*(1+BV9)</f>
        <v/>
      </c>
      <c r="BW10" s="34">
        <f>BV10*(1+BW9)</f>
        <v/>
      </c>
      <c r="BX10" s="34">
        <f>BW10*(1+BX9)</f>
        <v/>
      </c>
      <c r="BY10" s="34">
        <f>BX10*(1+BY9)</f>
        <v/>
      </c>
      <c r="BZ10" s="34">
        <f>BY10*(1+BZ9)</f>
        <v/>
      </c>
      <c r="CA10" s="34">
        <f>BZ10*(1+CA9)</f>
        <v/>
      </c>
      <c r="CB10" s="34">
        <f>CA10*(1+CB9)</f>
        <v/>
      </c>
      <c r="CC10" s="34">
        <f>CB10*(1+CC9)</f>
        <v/>
      </c>
      <c r="CD10" s="34">
        <f>CC10*(1+CD9)</f>
        <v/>
      </c>
      <c r="CE10" s="34">
        <f>CD10*(1+CE9)</f>
        <v/>
      </c>
      <c r="CF10" s="34">
        <f>CE10*(1+CF9)</f>
        <v/>
      </c>
      <c r="CG10" s="34">
        <f>CF10*(1+CG9)</f>
        <v/>
      </c>
      <c r="CH10" s="34">
        <f>CG10*(1+CH9)</f>
        <v/>
      </c>
      <c r="CI10" s="34">
        <f>CH10*(1+CI9)</f>
        <v/>
      </c>
      <c r="CJ10" s="34">
        <f>CI10*(1+CJ9)</f>
        <v/>
      </c>
      <c r="CK10" s="34">
        <f>CJ10*(1+CK9)</f>
        <v/>
      </c>
      <c r="CL10" s="34">
        <f>CK10*(1+CL9)</f>
        <v/>
      </c>
      <c r="CM10" s="34">
        <f>CL10*(1+CM9)</f>
        <v/>
      </c>
      <c r="CN10" s="34">
        <f>CM10*(1+CN9)</f>
        <v/>
      </c>
      <c r="CO10" s="34">
        <f>CN10*(1+CO9)</f>
        <v/>
      </c>
      <c r="CP10" s="34">
        <f>CO10*(1+CP9)</f>
        <v/>
      </c>
      <c r="CQ10" s="34">
        <f>CP10*(1+CQ9)</f>
        <v/>
      </c>
      <c r="CR10" s="34">
        <f>CQ10*(1+CR9)</f>
        <v/>
      </c>
      <c r="CS10" s="34">
        <f>CR10*(1+CS9)</f>
        <v/>
      </c>
      <c r="CT10" s="34">
        <f>CS10*(1+CT9)</f>
        <v/>
      </c>
      <c r="CU10" s="34">
        <f>CT10*(1+CU9)</f>
        <v/>
      </c>
      <c r="CV10" s="34">
        <f>CU10*(1+CV9)</f>
        <v/>
      </c>
      <c r="CW10" s="34">
        <f>CV10*(1+CW9)</f>
        <v/>
      </c>
      <c r="CX10" s="34">
        <f>CW10*(1+CX9)</f>
        <v/>
      </c>
      <c r="CY10" s="34">
        <f>CX10*(1+CY9)</f>
        <v/>
      </c>
      <c r="CZ10" s="34">
        <f>CY10*(1+CZ9)</f>
        <v/>
      </c>
      <c r="DA10" s="34">
        <f>CZ10*(1+DA9)</f>
        <v/>
      </c>
      <c r="DB10" s="34">
        <f>DA10*(1+DB9)</f>
        <v/>
      </c>
      <c r="DC10" s="34">
        <f>DB10*(1+DC9)</f>
        <v/>
      </c>
      <c r="DD10" s="34">
        <f>DC10*(1+DD9)</f>
        <v/>
      </c>
      <c r="DE10" s="34">
        <f>DD10*(1+DE9)</f>
        <v/>
      </c>
      <c r="DF10" s="34">
        <f>DE10*(1+DF9)</f>
        <v/>
      </c>
      <c r="DG10" s="34">
        <f>DF10*(1+DG9)</f>
        <v/>
      </c>
      <c r="DH10" s="34">
        <f>DG10*(1+DH9)</f>
        <v/>
      </c>
      <c r="DI10" s="34">
        <f>DH10*(1+DI9)</f>
        <v/>
      </c>
      <c r="DJ10" s="34">
        <f>DI10*(1+DJ9)</f>
        <v/>
      </c>
      <c r="DK10" s="34">
        <f>DJ10*(1+DK9)</f>
        <v/>
      </c>
      <c r="DL10" s="34">
        <f>DK10*(1+DL9)</f>
        <v/>
      </c>
      <c r="DM10" s="34">
        <f>DL10*(1+DM9)</f>
        <v/>
      </c>
      <c r="DN10" s="34">
        <f>DM10*(1+DN9)</f>
        <v/>
      </c>
      <c r="DO10" s="34">
        <f>DN10*(1+DO9)</f>
        <v/>
      </c>
      <c r="DP10" s="34">
        <f>DO10*(1+DP9)</f>
        <v/>
      </c>
      <c r="DQ10" s="34">
        <f>DP10*(1+DQ9)</f>
        <v/>
      </c>
      <c r="DR10" s="34">
        <f>DQ10*(1+DR9)</f>
        <v/>
      </c>
      <c r="DS10" s="34">
        <f>DR10*(1+DS9)</f>
        <v/>
      </c>
      <c r="DT10" s="34">
        <f>DS10*(1+DT9)</f>
        <v/>
      </c>
      <c r="DU10" s="34">
        <f>DT10*(1+DU9)</f>
        <v/>
      </c>
      <c r="DV10" s="34">
        <f>DU10*(1+DV9)</f>
        <v/>
      </c>
      <c r="DW10" s="34">
        <f>DV10*(1+DW9)</f>
        <v/>
      </c>
      <c r="DX10" s="34">
        <f>DW10*(1+DX9)</f>
        <v/>
      </c>
      <c r="DY10" s="34">
        <f>DX10*(1+DY9)</f>
        <v/>
      </c>
      <c r="DZ10" s="34">
        <f>DY10*(1+DZ9)</f>
        <v/>
      </c>
      <c r="EA10" s="34">
        <f>DZ10*(1+EA9)</f>
        <v/>
      </c>
      <c r="EB10" s="34">
        <f>EA10*(1+EB9)</f>
        <v/>
      </c>
      <c r="EC10" s="34">
        <f>EB10*(1+EC9)</f>
        <v/>
      </c>
      <c r="ED10" s="34">
        <f>EC10*(1+ED9)</f>
        <v/>
      </c>
      <c r="EE10" s="34">
        <f>ED10*(1+EE9)</f>
        <v/>
      </c>
      <c r="EF10" s="34">
        <f>EE10*(1+EF9)</f>
        <v/>
      </c>
      <c r="EG10" s="34">
        <f>EF10*(1+EG9)</f>
        <v/>
      </c>
      <c r="EH10" s="34">
        <f>EG10*(1+EH9)</f>
        <v/>
      </c>
      <c r="EI10" s="34">
        <f>EH10*(1+EI9)</f>
        <v/>
      </c>
      <c r="EJ10" s="34">
        <f>EI10*(1+EJ9)</f>
        <v/>
      </c>
      <c r="EK10" s="34">
        <f>EJ10*(1+EK9)</f>
        <v/>
      </c>
      <c r="EL10" s="34">
        <f>EK10*(1+EL9)</f>
        <v/>
      </c>
      <c r="EM10" s="34">
        <f>EL10*(1+EM9)</f>
        <v/>
      </c>
      <c r="EN10" s="34">
        <f>EM10*(1+EN9)</f>
        <v/>
      </c>
      <c r="EO10" s="34">
        <f>EN10*(1+EO9)</f>
        <v/>
      </c>
      <c r="EP10" s="34">
        <f>EO10*(1+EP9)</f>
        <v/>
      </c>
      <c r="EQ10" s="34">
        <f>EP10*(1+EQ9)</f>
        <v/>
      </c>
      <c r="ER10" s="34">
        <f>EQ10*(1+ER9)</f>
        <v/>
      </c>
      <c r="ES10" s="34">
        <f>ER10*(1+ES9)</f>
        <v/>
      </c>
      <c r="ET10" s="34">
        <f>ES10*(1+ET9)</f>
        <v/>
      </c>
      <c r="EU10" s="34">
        <f>ET10*(1+EU9)</f>
        <v/>
      </c>
      <c r="EV10" s="34">
        <f>EU10*(1+EV9)</f>
        <v/>
      </c>
      <c r="EW10" s="34">
        <f>EV10*(1+EW9)</f>
        <v/>
      </c>
      <c r="EX10" s="34">
        <f>EW10*(1+EX9)</f>
        <v/>
      </c>
      <c r="EY10" s="34">
        <f>EX10*(1+EY9)</f>
        <v/>
      </c>
      <c r="EZ10" s="34">
        <f>EY10*(1+EZ9)</f>
        <v/>
      </c>
      <c r="FA10" s="34">
        <f>EZ10*(1+FA9)</f>
        <v/>
      </c>
      <c r="FB10" s="34">
        <f>FA10*(1+FB9)</f>
        <v/>
      </c>
    </row>
    <row r="11">
      <c r="B11" s="15" t="inlineStr">
        <is>
          <t>Equity Multiple</t>
        </is>
      </c>
      <c r="C11" s="30">
        <f>L101</f>
        <v/>
      </c>
      <c r="D11" s="30">
        <f>L118</f>
        <v/>
      </c>
      <c r="E11" s="25" t="inlineStr">
        <is>
          <t>Equity Multiple</t>
        </is>
      </c>
      <c r="F11" s="185">
        <f>L143</f>
        <v/>
      </c>
      <c r="G11" s="185">
        <f>L146</f>
        <v/>
      </c>
      <c r="I11" s="9">
        <f>B91</f>
        <v/>
      </c>
      <c r="N11" s="31">
        <f>SUMIF($Z$3:$FB$3,N$7,$Z11:$FB11)</f>
        <v/>
      </c>
      <c r="O11" s="31">
        <f>SUMIF($Z$3:$FB$3,O$7,$Z11:$FB11)</f>
        <v/>
      </c>
      <c r="P11" s="31">
        <f>SUMIF($Z$3:$FB$3,P$7,$Z11:$FB11)</f>
        <v/>
      </c>
      <c r="Q11" s="31">
        <f>SUMIF($Z$3:$FB$3,Q$7,$Z11:$FB11)</f>
        <v/>
      </c>
      <c r="R11" s="31">
        <f>SUMIF($Z$3:$FB$3,R$7,$Z11:$FB11)</f>
        <v/>
      </c>
      <c r="S11" s="31">
        <f>SUMIF($Z$3:$FB$3,S$7,$Z11:$FB11)</f>
        <v/>
      </c>
      <c r="T11" s="31">
        <f>SUMIF($Z$3:$FB$3,T$7,$Z11:$FB11)</f>
        <v/>
      </c>
      <c r="U11" s="31">
        <f>SUMIF($Z$3:$FB$3,U$7,$Z11:$FB11)</f>
        <v/>
      </c>
      <c r="V11" s="31">
        <f>SUMIF($Z$3:$FB$3,V$7,$Z11:$FB11)</f>
        <v/>
      </c>
      <c r="W11" s="31">
        <f>SUMIF($Z$3:$FB$3,W$7,$Z11:$FB11)</f>
        <v/>
      </c>
      <c r="X11" s="31">
        <f>SUMIF($Z$3:$FB$3,X$7,$Z11:$FB11)</f>
        <v/>
      </c>
      <c r="Z11" s="31" t="n">
        <v>0</v>
      </c>
      <c r="AA11" s="31">
        <f>IFERROR(INDEX($C91:$G91,MATCH(YEAR(AA$6),$C$89:$G$89,0))/12,Z11)</f>
        <v/>
      </c>
      <c r="AB11" s="31">
        <f>IFERROR(INDEX($C91:$G91,MATCH(YEAR(AB$6),$C$89:$G$89,0))/12,AA11)</f>
        <v/>
      </c>
      <c r="AC11" s="31">
        <f>IFERROR(INDEX($C91:$G91,MATCH(YEAR(AC$6),$C$89:$G$89,0))/12,AB11)</f>
        <v/>
      </c>
      <c r="AD11" s="31">
        <f>IFERROR(INDEX($C91:$G91,MATCH(YEAR(AD$6),$C$89:$G$89,0))/12,AC11)</f>
        <v/>
      </c>
      <c r="AE11" s="31">
        <f>IFERROR(INDEX($C91:$G91,MATCH(YEAR(AE$6),$C$89:$G$89,0))/12,AD11)</f>
        <v/>
      </c>
      <c r="AF11" s="31">
        <f>IFERROR(INDEX($C91:$G91,MATCH(YEAR(AF$6),$C$89:$G$89,0))/12,AE11)</f>
        <v/>
      </c>
      <c r="AG11" s="31">
        <f>IFERROR(INDEX($C91:$G91,MATCH(YEAR(AG$6),$C$89:$G$89,0))/12,AF11)</f>
        <v/>
      </c>
      <c r="AH11" s="31">
        <f>IFERROR(INDEX($C91:$G91,MATCH(YEAR(AH$6),$C$89:$G$89,0))/12,AG11)</f>
        <v/>
      </c>
      <c r="AI11" s="31">
        <f>IFERROR(INDEX($C91:$G91,MATCH(YEAR(AI$6),$C$89:$G$89,0))/12,AH11)</f>
        <v/>
      </c>
      <c r="AJ11" s="31">
        <f>IFERROR(INDEX($C91:$G91,MATCH(YEAR(AJ$6),$C$89:$G$89,0))/12,AI11)</f>
        <v/>
      </c>
      <c r="AK11" s="31">
        <f>IFERROR(INDEX($C91:$G91,MATCH(YEAR(AK$6),$C$89:$G$89,0))/12,AJ11)</f>
        <v/>
      </c>
      <c r="AL11" s="31">
        <f>IFERROR(INDEX($C91:$G91,MATCH(YEAR(AL$6),$C$89:$G$89,0))/12,AK11)</f>
        <v/>
      </c>
      <c r="AM11" s="31">
        <f>IFERROR(INDEX($C91:$G91,MATCH(YEAR(AM$6),$C$89:$G$89,0))/12,AL11)</f>
        <v/>
      </c>
      <c r="AN11" s="31">
        <f>IFERROR(INDEX($C91:$G91,MATCH(YEAR(AN$6),$C$89:$G$89,0))/12,AM11)</f>
        <v/>
      </c>
      <c r="AO11" s="31">
        <f>IFERROR(INDEX($C91:$G91,MATCH(YEAR(AO$6),$C$89:$G$89,0))/12,AN11)</f>
        <v/>
      </c>
      <c r="AP11" s="31">
        <f>IFERROR(INDEX($C91:$G91,MATCH(YEAR(AP$6),$C$89:$G$89,0))/12,AO11)</f>
        <v/>
      </c>
      <c r="AQ11" s="31">
        <f>IFERROR(INDEX($C91:$G91,MATCH(YEAR(AQ$6),$C$89:$G$89,0))/12,AP11)</f>
        <v/>
      </c>
      <c r="AR11" s="31">
        <f>IFERROR(INDEX($C91:$G91,MATCH(YEAR(AR$6),$C$89:$G$89,0))/12,AQ11)</f>
        <v/>
      </c>
      <c r="AS11" s="31">
        <f>IFERROR(INDEX($C91:$G91,MATCH(YEAR(AS$6),$C$89:$G$89,0))/12,AR11)</f>
        <v/>
      </c>
      <c r="AT11" s="31">
        <f>IFERROR(INDEX($C91:$G91,MATCH(YEAR(AT$6),$C$89:$G$89,0))/12,AS11)</f>
        <v/>
      </c>
      <c r="AU11" s="31">
        <f>IFERROR(INDEX($C91:$G91,MATCH(YEAR(AU$6),$C$89:$G$89,0))/12,AT11)</f>
        <v/>
      </c>
      <c r="AV11" s="31">
        <f>IFERROR(INDEX($C91:$G91,MATCH(YEAR(AV$6),$C$89:$G$89,0))/12,AU11)</f>
        <v/>
      </c>
      <c r="AW11" s="31">
        <f>IFERROR(INDEX($C91:$G91,MATCH(YEAR(AW$6),$C$89:$G$89,0))/12,AV11)</f>
        <v/>
      </c>
      <c r="AX11" s="31">
        <f>IFERROR(INDEX($C91:$G91,MATCH(YEAR(AX$6),$C$89:$G$89,0))/12,AW11)</f>
        <v/>
      </c>
      <c r="AY11" s="31">
        <f>IFERROR(INDEX($C91:$G91,MATCH(YEAR(AY$6),$C$89:$G$89,0))/12,AX11)</f>
        <v/>
      </c>
      <c r="AZ11" s="31">
        <f>IFERROR(INDEX($C91:$G91,MATCH(YEAR(AZ$6),$C$89:$G$89,0))/12,AY11)</f>
        <v/>
      </c>
      <c r="BA11" s="31">
        <f>IFERROR(INDEX($C91:$G91,MATCH(YEAR(BA$6),$C$89:$G$89,0))/12,AZ11)</f>
        <v/>
      </c>
      <c r="BB11" s="31">
        <f>IFERROR(INDEX($C91:$G91,MATCH(YEAR(BB$6),$C$89:$G$89,0))/12,BA11)</f>
        <v/>
      </c>
      <c r="BC11" s="31">
        <f>IFERROR(INDEX($C91:$G91,MATCH(YEAR(BC$6),$C$89:$G$89,0))/12,BB11)</f>
        <v/>
      </c>
      <c r="BD11" s="31">
        <f>IFERROR(INDEX($C91:$G91,MATCH(YEAR(BD$6),$C$89:$G$89,0))/12,BC11)</f>
        <v/>
      </c>
      <c r="BE11" s="31">
        <f>IFERROR(INDEX($C91:$G91,MATCH(YEAR(BE$6),$C$89:$G$89,0))/12,BD11)</f>
        <v/>
      </c>
      <c r="BF11" s="31">
        <f>IFERROR(INDEX($C91:$G91,MATCH(YEAR(BF$6),$C$89:$G$89,0))/12,BE11)</f>
        <v/>
      </c>
      <c r="BG11" s="31">
        <f>IFERROR(INDEX($C91:$G91,MATCH(YEAR(BG$6),$C$89:$G$89,0))/12,BF11)</f>
        <v/>
      </c>
      <c r="BH11" s="31">
        <f>IFERROR(INDEX($C91:$G91,MATCH(YEAR(BH$6),$C$89:$G$89,0))/12,BG11)</f>
        <v/>
      </c>
      <c r="BI11" s="31">
        <f>IFERROR(INDEX($C91:$G91,MATCH(YEAR(BI$6),$C$89:$G$89,0))/12,BH11)</f>
        <v/>
      </c>
      <c r="BJ11" s="31">
        <f>IFERROR(INDEX($C91:$G91,MATCH(YEAR(BJ$6),$C$89:$G$89,0))/12,BI11)</f>
        <v/>
      </c>
      <c r="BK11" s="31">
        <f>IFERROR(INDEX($C91:$G91,MATCH(YEAR(BK$6),$C$89:$G$89,0))/12,BJ11)</f>
        <v/>
      </c>
      <c r="BL11" s="31">
        <f>IFERROR(INDEX($C91:$G91,MATCH(YEAR(BL$6),$C$89:$G$89,0))/12,BK11)</f>
        <v/>
      </c>
      <c r="BM11" s="31">
        <f>IFERROR(INDEX($C91:$G91,MATCH(YEAR(BM$6),$C$89:$G$89,0))/12,BL11)</f>
        <v/>
      </c>
      <c r="BN11" s="31">
        <f>IFERROR(INDEX($C91:$G91,MATCH(YEAR(BN$6),$C$89:$G$89,0))/12,BM11)</f>
        <v/>
      </c>
      <c r="BO11" s="31">
        <f>IFERROR(INDEX($C91:$G91,MATCH(YEAR(BO$6),$C$89:$G$89,0))/12,BN11)</f>
        <v/>
      </c>
      <c r="BP11" s="31">
        <f>IFERROR(INDEX($C91:$G91,MATCH(YEAR(BP$6),$C$89:$G$89,0))/12,BO11)</f>
        <v/>
      </c>
      <c r="BQ11" s="31">
        <f>IFERROR(INDEX($C91:$G91,MATCH(YEAR(BQ$6),$C$89:$G$89,0))/12,BP11)</f>
        <v/>
      </c>
      <c r="BR11" s="31">
        <f>IFERROR(INDEX($C91:$G91,MATCH(YEAR(BR$6),$C$89:$G$89,0))/12,BQ11)</f>
        <v/>
      </c>
      <c r="BS11" s="31">
        <f>IFERROR(INDEX($C91:$G91,MATCH(YEAR(BS$6),$C$89:$G$89,0))/12,BR11)</f>
        <v/>
      </c>
      <c r="BT11" s="31">
        <f>IFERROR(INDEX($C91:$G91,MATCH(YEAR(BT$6),$C$89:$G$89,0))/12,BS11)</f>
        <v/>
      </c>
      <c r="BU11" s="31">
        <f>IFERROR(INDEX($C91:$G91,MATCH(YEAR(BU$6),$C$89:$G$89,0))/12,BT11)</f>
        <v/>
      </c>
      <c r="BV11" s="31">
        <f>IFERROR(INDEX($C91:$G91,MATCH(YEAR(BV$6),$C$89:$G$89,0))/12,BU11)</f>
        <v/>
      </c>
      <c r="BW11" s="31">
        <f>IFERROR(INDEX($C91:$G91,MATCH(YEAR(BW$6),$C$89:$G$89,0))/12,BV11)</f>
        <v/>
      </c>
      <c r="BX11" s="31">
        <f>IFERROR(INDEX($C91:$G91,MATCH(YEAR(BX$6),$C$89:$G$89,0))/12,BW11)</f>
        <v/>
      </c>
      <c r="BY11" s="31">
        <f>IFERROR(INDEX($C91:$G91,MATCH(YEAR(BY$6),$C$89:$G$89,0))/12,BX11)</f>
        <v/>
      </c>
      <c r="BZ11" s="31">
        <f>IFERROR(INDEX($C91:$G91,MATCH(YEAR(BZ$6),$C$89:$G$89,0))/12,BY11)</f>
        <v/>
      </c>
      <c r="CA11" s="31">
        <f>IFERROR(INDEX($C91:$G91,MATCH(YEAR(CA$6),$C$89:$G$89,0))/12,BZ11)</f>
        <v/>
      </c>
      <c r="CB11" s="31">
        <f>IFERROR(INDEX($C91:$G91,MATCH(YEAR(CB$6),$C$89:$G$89,0))/12,CA11)</f>
        <v/>
      </c>
      <c r="CC11" s="31">
        <f>IFERROR(INDEX($C91:$G91,MATCH(YEAR(CC$6),$C$89:$G$89,0))/12,CB11)</f>
        <v/>
      </c>
      <c r="CD11" s="31">
        <f>IFERROR(INDEX($C91:$G91,MATCH(YEAR(CD$6),$C$89:$G$89,0))/12,CC11)</f>
        <v/>
      </c>
      <c r="CE11" s="31">
        <f>IFERROR(INDEX($C91:$G91,MATCH(YEAR(CE$6),$C$89:$G$89,0))/12,CD11)</f>
        <v/>
      </c>
      <c r="CF11" s="31">
        <f>IFERROR(INDEX($C91:$G91,MATCH(YEAR(CF$6),$C$89:$G$89,0))/12,CE11)</f>
        <v/>
      </c>
      <c r="CG11" s="31">
        <f>IFERROR(INDEX($C91:$G91,MATCH(YEAR(CG$6),$C$89:$G$89,0))/12,CF11)</f>
        <v/>
      </c>
      <c r="CH11" s="31">
        <f>IFERROR(INDEX($C91:$G91,MATCH(YEAR(CH$6),$C$89:$G$89,0))/12,CG11)</f>
        <v/>
      </c>
      <c r="CI11" s="31">
        <f>IFERROR(INDEX($C91:$G91,MATCH(YEAR(CI$6),$C$89:$G$89,0))/12,CH11)</f>
        <v/>
      </c>
      <c r="CJ11" s="31">
        <f>IFERROR(INDEX($C91:$G91,MATCH(YEAR(CJ$6),$C$89:$G$89,0))/12,CI11)</f>
        <v/>
      </c>
      <c r="CK11" s="31">
        <f>IFERROR(INDEX($C91:$G91,MATCH(YEAR(CK$6),$C$89:$G$89,0))/12,CJ11)</f>
        <v/>
      </c>
      <c r="CL11" s="31">
        <f>IFERROR(INDEX($C91:$G91,MATCH(YEAR(CL$6),$C$89:$G$89,0))/12,CK11)</f>
        <v/>
      </c>
      <c r="CM11" s="31">
        <f>IFERROR(INDEX($C91:$G91,MATCH(YEAR(CM$6),$C$89:$G$89,0))/12,CL11)</f>
        <v/>
      </c>
      <c r="CN11" s="31">
        <f>IFERROR(INDEX($C91:$G91,MATCH(YEAR(CN$6),$C$89:$G$89,0))/12,CM11)</f>
        <v/>
      </c>
      <c r="CO11" s="31">
        <f>IFERROR(INDEX($C91:$G91,MATCH(YEAR(CO$6),$C$89:$G$89,0))/12,CN11)</f>
        <v/>
      </c>
      <c r="CP11" s="31">
        <f>IFERROR(INDEX($C91:$G91,MATCH(YEAR(CP$6),$C$89:$G$89,0))/12,CO11)</f>
        <v/>
      </c>
      <c r="CQ11" s="31">
        <f>IFERROR(INDEX($C91:$G91,MATCH(YEAR(CQ$6),$C$89:$G$89,0))/12,CP11)</f>
        <v/>
      </c>
      <c r="CR11" s="31">
        <f>IFERROR(INDEX($C91:$G91,MATCH(YEAR(CR$6),$C$89:$G$89,0))/12,CQ11)</f>
        <v/>
      </c>
      <c r="CS11" s="31">
        <f>IFERROR(INDEX($C91:$G91,MATCH(YEAR(CS$6),$C$89:$G$89,0))/12,CR11)</f>
        <v/>
      </c>
      <c r="CT11" s="31">
        <f>IFERROR(INDEX($C91:$G91,MATCH(YEAR(CT$6),$C$89:$G$89,0))/12,CS11)</f>
        <v/>
      </c>
      <c r="CU11" s="31">
        <f>IFERROR(INDEX($C91:$G91,MATCH(YEAR(CU$6),$C$89:$G$89,0))/12,CT11)</f>
        <v/>
      </c>
      <c r="CV11" s="31">
        <f>IFERROR(INDEX($C91:$G91,MATCH(YEAR(CV$6),$C$89:$G$89,0))/12,CU11)</f>
        <v/>
      </c>
      <c r="CW11" s="31">
        <f>IFERROR(INDEX($C91:$G91,MATCH(YEAR(CW$6),$C$89:$G$89,0))/12,CV11)</f>
        <v/>
      </c>
      <c r="CX11" s="31">
        <f>IFERROR(INDEX($C91:$G91,MATCH(YEAR(CX$6),$C$89:$G$89,0))/12,CW11)</f>
        <v/>
      </c>
      <c r="CY11" s="31">
        <f>IFERROR(INDEX($C91:$G91,MATCH(YEAR(CY$6),$C$89:$G$89,0))/12,CX11)</f>
        <v/>
      </c>
      <c r="CZ11" s="31">
        <f>IFERROR(INDEX($C91:$G91,MATCH(YEAR(CZ$6),$C$89:$G$89,0))/12,CY11)</f>
        <v/>
      </c>
      <c r="DA11" s="31">
        <f>IFERROR(INDEX($C91:$G91,MATCH(YEAR(DA$6),$C$89:$G$89,0))/12,CZ11)</f>
        <v/>
      </c>
      <c r="DB11" s="31">
        <f>IFERROR(INDEX($C91:$G91,MATCH(YEAR(DB$6),$C$89:$G$89,0))/12,DA11)</f>
        <v/>
      </c>
      <c r="DC11" s="31">
        <f>IFERROR(INDEX($C91:$G91,MATCH(YEAR(DC$6),$C$89:$G$89,0))/12,DB11)</f>
        <v/>
      </c>
      <c r="DD11" s="31">
        <f>IFERROR(INDEX($C91:$G91,MATCH(YEAR(DD$6),$C$89:$G$89,0))/12,DC11)</f>
        <v/>
      </c>
      <c r="DE11" s="31">
        <f>IFERROR(INDEX($C91:$G91,MATCH(YEAR(DE$6),$C$89:$G$89,0))/12,DD11)</f>
        <v/>
      </c>
      <c r="DF11" s="31">
        <f>IFERROR(INDEX($C91:$G91,MATCH(YEAR(DF$6),$C$89:$G$89,0))/12,DE11)</f>
        <v/>
      </c>
      <c r="DG11" s="31">
        <f>IFERROR(INDEX($C91:$G91,MATCH(YEAR(DG$6),$C$89:$G$89,0))/12,DF11)</f>
        <v/>
      </c>
      <c r="DH11" s="31">
        <f>IFERROR(INDEX($C91:$G91,MATCH(YEAR(DH$6),$C$89:$G$89,0))/12,DG11)</f>
        <v/>
      </c>
      <c r="DI11" s="31">
        <f>IFERROR(INDEX($C91:$G91,MATCH(YEAR(DI$6),$C$89:$G$89,0))/12,DH11)</f>
        <v/>
      </c>
      <c r="DJ11" s="31">
        <f>IFERROR(INDEX($C91:$G91,MATCH(YEAR(DJ$6),$C$89:$G$89,0))/12,DI11)</f>
        <v/>
      </c>
      <c r="DK11" s="31">
        <f>IFERROR(INDEX($C91:$G91,MATCH(YEAR(DK$6),$C$89:$G$89,0))/12,DJ11)</f>
        <v/>
      </c>
      <c r="DL11" s="31">
        <f>IFERROR(INDEX($C91:$G91,MATCH(YEAR(DL$6),$C$89:$G$89,0))/12,DK11)</f>
        <v/>
      </c>
      <c r="DM11" s="31">
        <f>IFERROR(INDEX($C91:$G91,MATCH(YEAR(DM$6),$C$89:$G$89,0))/12,DL11)</f>
        <v/>
      </c>
      <c r="DN11" s="31">
        <f>IFERROR(INDEX($C91:$G91,MATCH(YEAR(DN$6),$C$89:$G$89,0))/12,DM11)</f>
        <v/>
      </c>
      <c r="DO11" s="31">
        <f>IFERROR(INDEX($C91:$G91,MATCH(YEAR(DO$6),$C$89:$G$89,0))/12,DN11)</f>
        <v/>
      </c>
      <c r="DP11" s="31">
        <f>IFERROR(INDEX($C91:$G91,MATCH(YEAR(DP$6),$C$89:$G$89,0))/12,DO11)</f>
        <v/>
      </c>
      <c r="DQ11" s="31">
        <f>IFERROR(INDEX($C91:$G91,MATCH(YEAR(DQ$6),$C$89:$G$89,0))/12,DP11)</f>
        <v/>
      </c>
      <c r="DR11" s="31">
        <f>IFERROR(INDEX($C91:$G91,MATCH(YEAR(DR$6),$C$89:$G$89,0))/12,DQ11)</f>
        <v/>
      </c>
      <c r="DS11" s="31">
        <f>IFERROR(INDEX($C91:$G91,MATCH(YEAR(DS$6),$C$89:$G$89,0))/12,DR11)</f>
        <v/>
      </c>
      <c r="DT11" s="31">
        <f>IFERROR(INDEX($C91:$G91,MATCH(YEAR(DT$6),$C$89:$G$89,0))/12,DS11)</f>
        <v/>
      </c>
      <c r="DU11" s="31">
        <f>IFERROR(INDEX($C91:$G91,MATCH(YEAR(DU$6),$C$89:$G$89,0))/12,DT11)</f>
        <v/>
      </c>
      <c r="DV11" s="31">
        <f>IFERROR(INDEX($C91:$G91,MATCH(YEAR(DV$6),$C$89:$G$89,0))/12,DU11)</f>
        <v/>
      </c>
      <c r="DW11" s="31">
        <f>IFERROR(INDEX($C91:$G91,MATCH(YEAR(DW$6),$C$89:$G$89,0))/12,DV11)</f>
        <v/>
      </c>
      <c r="DX11" s="31">
        <f>IFERROR(INDEX($C91:$G91,MATCH(YEAR(DX$6),$C$89:$G$89,0))/12,DW11)</f>
        <v/>
      </c>
      <c r="DY11" s="31">
        <f>IFERROR(INDEX($C91:$G91,MATCH(YEAR(DY$6),$C$89:$G$89,0))/12,DX11)</f>
        <v/>
      </c>
      <c r="DZ11" s="31">
        <f>IFERROR(INDEX($C91:$G91,MATCH(YEAR(DZ$6),$C$89:$G$89,0))/12,DY11)</f>
        <v/>
      </c>
      <c r="EA11" s="31">
        <f>IFERROR(INDEX($C91:$G91,MATCH(YEAR(EA$6),$C$89:$G$89,0))/12,DZ11)</f>
        <v/>
      </c>
      <c r="EB11" s="31">
        <f>IFERROR(INDEX($C91:$G91,MATCH(YEAR(EB$6),$C$89:$G$89,0))/12,EA11)</f>
        <v/>
      </c>
      <c r="EC11" s="31">
        <f>IFERROR(INDEX($C91:$G91,MATCH(YEAR(EC$6),$C$89:$G$89,0))/12,EB11)</f>
        <v/>
      </c>
      <c r="ED11" s="31">
        <f>IFERROR(INDEX($C91:$G91,MATCH(YEAR(ED$6),$C$89:$G$89,0))/12,EC11)</f>
        <v/>
      </c>
      <c r="EE11" s="31">
        <f>IFERROR(INDEX($C91:$G91,MATCH(YEAR(EE$6),$C$89:$G$89,0))/12,ED11)</f>
        <v/>
      </c>
      <c r="EF11" s="31">
        <f>IFERROR(INDEX($C91:$G91,MATCH(YEAR(EF$6),$C$89:$G$89,0))/12,EE11)</f>
        <v/>
      </c>
      <c r="EG11" s="31">
        <f>IFERROR(INDEX($C91:$G91,MATCH(YEAR(EG$6),$C$89:$G$89,0))/12,EF11)</f>
        <v/>
      </c>
      <c r="EH11" s="31">
        <f>IFERROR(INDEX($C91:$G91,MATCH(YEAR(EH$6),$C$89:$G$89,0))/12,EG11)</f>
        <v/>
      </c>
      <c r="EI11" s="31">
        <f>IFERROR(INDEX($C91:$G91,MATCH(YEAR(EI$6),$C$89:$G$89,0))/12,EH11)</f>
        <v/>
      </c>
      <c r="EJ11" s="31">
        <f>IFERROR(INDEX($C91:$G91,MATCH(YEAR(EJ$6),$C$89:$G$89,0))/12,EI11)</f>
        <v/>
      </c>
      <c r="EK11" s="31">
        <f>IFERROR(INDEX($C91:$G91,MATCH(YEAR(EK$6),$C$89:$G$89,0))/12,EJ11)</f>
        <v/>
      </c>
      <c r="EL11" s="31">
        <f>IFERROR(INDEX($C91:$G91,MATCH(YEAR(EL$6),$C$89:$G$89,0))/12,EK11)</f>
        <v/>
      </c>
      <c r="EM11" s="31">
        <f>IFERROR(INDEX($C91:$G91,MATCH(YEAR(EM$6),$C$89:$G$89,0))/12,EL11)</f>
        <v/>
      </c>
      <c r="EN11" s="31">
        <f>IFERROR(INDEX($C91:$G91,MATCH(YEAR(EN$6),$C$89:$G$89,0))/12,EM11)</f>
        <v/>
      </c>
      <c r="EO11" s="31">
        <f>IFERROR(INDEX($C91:$G91,MATCH(YEAR(EO$6),$C$89:$G$89,0))/12,EN11)</f>
        <v/>
      </c>
      <c r="EP11" s="31">
        <f>IFERROR(INDEX($C91:$G91,MATCH(YEAR(EP$6),$C$89:$G$89,0))/12,EO11)</f>
        <v/>
      </c>
      <c r="EQ11" s="31">
        <f>IFERROR(INDEX($C91:$G91,MATCH(YEAR(EQ$6),$C$89:$G$89,0))/12,EP11)</f>
        <v/>
      </c>
      <c r="ER11" s="31">
        <f>IFERROR(INDEX($C91:$G91,MATCH(YEAR(ER$6),$C$89:$G$89,0))/12,EQ11)</f>
        <v/>
      </c>
      <c r="ES11" s="31">
        <f>IFERROR(INDEX($C91:$G91,MATCH(YEAR(ES$6),$C$89:$G$89,0))/12,ER11)</f>
        <v/>
      </c>
      <c r="ET11" s="31">
        <f>IFERROR(INDEX($C91:$G91,MATCH(YEAR(ET$6),$C$89:$G$89,0))/12,ES11)</f>
        <v/>
      </c>
      <c r="EU11" s="31">
        <f>IFERROR(INDEX($C91:$G91,MATCH(YEAR(EU$6),$C$89:$G$89,0))/12,ET11)</f>
        <v/>
      </c>
      <c r="EV11" s="31">
        <f>IFERROR(INDEX($C91:$G91,MATCH(YEAR(EV$6),$C$89:$G$89,0))/12,EU11)</f>
        <v/>
      </c>
      <c r="EW11" s="31">
        <f>IFERROR(INDEX($C91:$G91,MATCH(YEAR(EW$6),$C$89:$G$89,0))/12,EV11)</f>
        <v/>
      </c>
      <c r="EX11" s="31">
        <f>IFERROR(INDEX($C91:$G91,MATCH(YEAR(EX$6),$C$89:$G$89,0))/12,EW11)</f>
        <v/>
      </c>
      <c r="EY11" s="31">
        <f>IFERROR(INDEX($C91:$G91,MATCH(YEAR(EY$6),$C$89:$G$89,0))/12,EX11)</f>
        <v/>
      </c>
      <c r="EZ11" s="31">
        <f>IFERROR(INDEX($C91:$G91,MATCH(YEAR(EZ$6),$C$89:$G$89,0))/12,EY11)</f>
        <v/>
      </c>
      <c r="FA11" s="31">
        <f>IFERROR(INDEX($C91:$G91,MATCH(YEAR(FA$6),$C$89:$G$89,0))/12,EZ11)</f>
        <v/>
      </c>
      <c r="FB11" s="31">
        <f>IFERROR(INDEX($C91:$G91,MATCH(YEAR(FB$6),$C$89:$G$89,0))/12,FA11)</f>
        <v/>
      </c>
    </row>
    <row r="12">
      <c r="B12" s="215" t="n"/>
      <c r="C12" s="13" t="n"/>
      <c r="D12" s="11" t="n"/>
      <c r="E12" s="15" t="n"/>
      <c r="F12" s="16" t="n"/>
      <c r="I12" s="32" t="inlineStr">
        <is>
          <t>Compounded Rate</t>
        </is>
      </c>
      <c r="J12" s="32" t="n"/>
      <c r="K12" s="33" t="n"/>
      <c r="L12" s="134" t="n"/>
      <c r="M12" s="33" t="n"/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33" t="n"/>
      <c r="Z12" s="34" t="n">
        <v>1</v>
      </c>
      <c r="AA12" s="34">
        <f>Z12*(1+AA11)</f>
        <v/>
      </c>
      <c r="AB12" s="34">
        <f>AA12*(1+AB11)</f>
        <v/>
      </c>
      <c r="AC12" s="34">
        <f>AB12*(1+AC11)</f>
        <v/>
      </c>
      <c r="AD12" s="34">
        <f>AC12*(1+AD11)</f>
        <v/>
      </c>
      <c r="AE12" s="34">
        <f>AD12*(1+AE11)</f>
        <v/>
      </c>
      <c r="AF12" s="34">
        <f>AE12*(1+AF11)</f>
        <v/>
      </c>
      <c r="AG12" s="34">
        <f>AF12*(1+AG11)</f>
        <v/>
      </c>
      <c r="AH12" s="34">
        <f>AG12*(1+AH11)</f>
        <v/>
      </c>
      <c r="AI12" s="34">
        <f>AH12*(1+AI11)</f>
        <v/>
      </c>
      <c r="AJ12" s="34">
        <f>AI12*(1+AJ11)</f>
        <v/>
      </c>
      <c r="AK12" s="34">
        <f>AJ12*(1+AK11)</f>
        <v/>
      </c>
      <c r="AL12" s="34">
        <f>AK12*(1+AL11)</f>
        <v/>
      </c>
      <c r="AM12" s="34">
        <f>AL12*(1+AM11)</f>
        <v/>
      </c>
      <c r="AN12" s="34">
        <f>AM12*(1+AN11)</f>
        <v/>
      </c>
      <c r="AO12" s="34">
        <f>AN12*(1+AO11)</f>
        <v/>
      </c>
      <c r="AP12" s="34">
        <f>AO12*(1+AP11)</f>
        <v/>
      </c>
      <c r="AQ12" s="34">
        <f>AP12*(1+AQ11)</f>
        <v/>
      </c>
      <c r="AR12" s="34">
        <f>AQ12*(1+AR11)</f>
        <v/>
      </c>
      <c r="AS12" s="34">
        <f>AR12*(1+AS11)</f>
        <v/>
      </c>
      <c r="AT12" s="34">
        <f>AS12*(1+AT11)</f>
        <v/>
      </c>
      <c r="AU12" s="34">
        <f>AT12*(1+AU11)</f>
        <v/>
      </c>
      <c r="AV12" s="34">
        <f>AU12*(1+AV11)</f>
        <v/>
      </c>
      <c r="AW12" s="34">
        <f>AV12*(1+AW11)</f>
        <v/>
      </c>
      <c r="AX12" s="34">
        <f>AW12*(1+AX11)</f>
        <v/>
      </c>
      <c r="AY12" s="34">
        <f>AX12*(1+AY11)</f>
        <v/>
      </c>
      <c r="AZ12" s="34">
        <f>AY12*(1+AZ11)</f>
        <v/>
      </c>
      <c r="BA12" s="34">
        <f>AZ12*(1+BA11)</f>
        <v/>
      </c>
      <c r="BB12" s="34">
        <f>BA12*(1+BB11)</f>
        <v/>
      </c>
      <c r="BC12" s="34">
        <f>BB12*(1+BC11)</f>
        <v/>
      </c>
      <c r="BD12" s="34">
        <f>BC12*(1+BD11)</f>
        <v/>
      </c>
      <c r="BE12" s="34">
        <f>BD12*(1+BE11)</f>
        <v/>
      </c>
      <c r="BF12" s="34">
        <f>BE12*(1+BF11)</f>
        <v/>
      </c>
      <c r="BG12" s="34">
        <f>BF12*(1+BG11)</f>
        <v/>
      </c>
      <c r="BH12" s="34">
        <f>BG12*(1+BH11)</f>
        <v/>
      </c>
      <c r="BI12" s="34">
        <f>BH12*(1+BI11)</f>
        <v/>
      </c>
      <c r="BJ12" s="34">
        <f>BI12*(1+BJ11)</f>
        <v/>
      </c>
      <c r="BK12" s="34">
        <f>BJ12*(1+BK11)</f>
        <v/>
      </c>
      <c r="BL12" s="34">
        <f>BK12*(1+BL11)</f>
        <v/>
      </c>
      <c r="BM12" s="34">
        <f>BL12*(1+BM11)</f>
        <v/>
      </c>
      <c r="BN12" s="34">
        <f>BM12*(1+BN11)</f>
        <v/>
      </c>
      <c r="BO12" s="34">
        <f>BN12*(1+BO11)</f>
        <v/>
      </c>
      <c r="BP12" s="34">
        <f>BO12*(1+BP11)</f>
        <v/>
      </c>
      <c r="BQ12" s="34">
        <f>BP12*(1+BQ11)</f>
        <v/>
      </c>
      <c r="BR12" s="34">
        <f>BQ12*(1+BR11)</f>
        <v/>
      </c>
      <c r="BS12" s="34">
        <f>BR12*(1+BS11)</f>
        <v/>
      </c>
      <c r="BT12" s="34">
        <f>BS12*(1+BT11)</f>
        <v/>
      </c>
      <c r="BU12" s="34">
        <f>BT12*(1+BU11)</f>
        <v/>
      </c>
      <c r="BV12" s="34">
        <f>BU12*(1+BV11)</f>
        <v/>
      </c>
      <c r="BW12" s="34">
        <f>BV12*(1+BW11)</f>
        <v/>
      </c>
      <c r="BX12" s="34">
        <f>BW12*(1+BX11)</f>
        <v/>
      </c>
      <c r="BY12" s="34">
        <f>BX12*(1+BY11)</f>
        <v/>
      </c>
      <c r="BZ12" s="34">
        <f>BY12*(1+BZ11)</f>
        <v/>
      </c>
      <c r="CA12" s="34">
        <f>BZ12*(1+CA11)</f>
        <v/>
      </c>
      <c r="CB12" s="34">
        <f>CA12*(1+CB11)</f>
        <v/>
      </c>
      <c r="CC12" s="34">
        <f>CB12*(1+CC11)</f>
        <v/>
      </c>
      <c r="CD12" s="34">
        <f>CC12*(1+CD11)</f>
        <v/>
      </c>
      <c r="CE12" s="34">
        <f>CD12*(1+CE11)</f>
        <v/>
      </c>
      <c r="CF12" s="34">
        <f>CE12*(1+CF11)</f>
        <v/>
      </c>
      <c r="CG12" s="34">
        <f>CF12*(1+CG11)</f>
        <v/>
      </c>
      <c r="CH12" s="34">
        <f>CG12*(1+CH11)</f>
        <v/>
      </c>
      <c r="CI12" s="34">
        <f>CH12*(1+CI11)</f>
        <v/>
      </c>
      <c r="CJ12" s="34">
        <f>CI12*(1+CJ11)</f>
        <v/>
      </c>
      <c r="CK12" s="34">
        <f>CJ12*(1+CK11)</f>
        <v/>
      </c>
      <c r="CL12" s="34">
        <f>CK12*(1+CL11)</f>
        <v/>
      </c>
      <c r="CM12" s="34">
        <f>CL12*(1+CM11)</f>
        <v/>
      </c>
      <c r="CN12" s="34">
        <f>CM12*(1+CN11)</f>
        <v/>
      </c>
      <c r="CO12" s="34">
        <f>CN12*(1+CO11)</f>
        <v/>
      </c>
      <c r="CP12" s="34">
        <f>CO12*(1+CP11)</f>
        <v/>
      </c>
      <c r="CQ12" s="34">
        <f>CP12*(1+CQ11)</f>
        <v/>
      </c>
      <c r="CR12" s="34">
        <f>CQ12*(1+CR11)</f>
        <v/>
      </c>
      <c r="CS12" s="34">
        <f>CR12*(1+CS11)</f>
        <v/>
      </c>
      <c r="CT12" s="34">
        <f>CS12*(1+CT11)</f>
        <v/>
      </c>
      <c r="CU12" s="34">
        <f>CT12*(1+CU11)</f>
        <v/>
      </c>
      <c r="CV12" s="34">
        <f>CU12*(1+CV11)</f>
        <v/>
      </c>
      <c r="CW12" s="34">
        <f>CV12*(1+CW11)</f>
        <v/>
      </c>
      <c r="CX12" s="34">
        <f>CW12*(1+CX11)</f>
        <v/>
      </c>
      <c r="CY12" s="34">
        <f>CX12*(1+CY11)</f>
        <v/>
      </c>
      <c r="CZ12" s="34">
        <f>CY12*(1+CZ11)</f>
        <v/>
      </c>
      <c r="DA12" s="34">
        <f>CZ12*(1+DA11)</f>
        <v/>
      </c>
      <c r="DB12" s="34">
        <f>DA12*(1+DB11)</f>
        <v/>
      </c>
      <c r="DC12" s="34">
        <f>DB12*(1+DC11)</f>
        <v/>
      </c>
      <c r="DD12" s="34">
        <f>DC12*(1+DD11)</f>
        <v/>
      </c>
      <c r="DE12" s="34">
        <f>DD12*(1+DE11)</f>
        <v/>
      </c>
      <c r="DF12" s="34">
        <f>DE12*(1+DF11)</f>
        <v/>
      </c>
      <c r="DG12" s="34">
        <f>DF12*(1+DG11)</f>
        <v/>
      </c>
      <c r="DH12" s="34">
        <f>DG12*(1+DH11)</f>
        <v/>
      </c>
      <c r="DI12" s="34">
        <f>DH12*(1+DI11)</f>
        <v/>
      </c>
      <c r="DJ12" s="34">
        <f>DI12*(1+DJ11)</f>
        <v/>
      </c>
      <c r="DK12" s="34">
        <f>DJ12*(1+DK11)</f>
        <v/>
      </c>
      <c r="DL12" s="34">
        <f>DK12*(1+DL11)</f>
        <v/>
      </c>
      <c r="DM12" s="34">
        <f>DL12*(1+DM11)</f>
        <v/>
      </c>
      <c r="DN12" s="34">
        <f>DM12*(1+DN11)</f>
        <v/>
      </c>
      <c r="DO12" s="34">
        <f>DN12*(1+DO11)</f>
        <v/>
      </c>
      <c r="DP12" s="34">
        <f>DO12*(1+DP11)</f>
        <v/>
      </c>
      <c r="DQ12" s="34">
        <f>DP12*(1+DQ11)</f>
        <v/>
      </c>
      <c r="DR12" s="34">
        <f>DQ12*(1+DR11)</f>
        <v/>
      </c>
      <c r="DS12" s="34">
        <f>DR12*(1+DS11)</f>
        <v/>
      </c>
      <c r="DT12" s="34">
        <f>DS12*(1+DT11)</f>
        <v/>
      </c>
      <c r="DU12" s="34">
        <f>DT12*(1+DU11)</f>
        <v/>
      </c>
      <c r="DV12" s="34">
        <f>DU12*(1+DV11)</f>
        <v/>
      </c>
      <c r="DW12" s="34">
        <f>DV12*(1+DW11)</f>
        <v/>
      </c>
      <c r="DX12" s="34">
        <f>DW12*(1+DX11)</f>
        <v/>
      </c>
      <c r="DY12" s="34">
        <f>DX12*(1+DY11)</f>
        <v/>
      </c>
      <c r="DZ12" s="34">
        <f>DY12*(1+DZ11)</f>
        <v/>
      </c>
      <c r="EA12" s="34">
        <f>DZ12*(1+EA11)</f>
        <v/>
      </c>
      <c r="EB12" s="34">
        <f>EA12*(1+EB11)</f>
        <v/>
      </c>
      <c r="EC12" s="34">
        <f>EB12*(1+EC11)</f>
        <v/>
      </c>
      <c r="ED12" s="34">
        <f>EC12*(1+ED11)</f>
        <v/>
      </c>
      <c r="EE12" s="34">
        <f>ED12*(1+EE11)</f>
        <v/>
      </c>
      <c r="EF12" s="34">
        <f>EE12*(1+EF11)</f>
        <v/>
      </c>
      <c r="EG12" s="34">
        <f>EF12*(1+EG11)</f>
        <v/>
      </c>
      <c r="EH12" s="34">
        <f>EG12*(1+EH11)</f>
        <v/>
      </c>
      <c r="EI12" s="34">
        <f>EH12*(1+EI11)</f>
        <v/>
      </c>
      <c r="EJ12" s="34">
        <f>EI12*(1+EJ11)</f>
        <v/>
      </c>
      <c r="EK12" s="34">
        <f>EJ12*(1+EK11)</f>
        <v/>
      </c>
      <c r="EL12" s="34">
        <f>EK12*(1+EL11)</f>
        <v/>
      </c>
      <c r="EM12" s="34">
        <f>EL12*(1+EM11)</f>
        <v/>
      </c>
      <c r="EN12" s="34">
        <f>EM12*(1+EN11)</f>
        <v/>
      </c>
      <c r="EO12" s="34">
        <f>EN12*(1+EO11)</f>
        <v/>
      </c>
      <c r="EP12" s="34">
        <f>EO12*(1+EP11)</f>
        <v/>
      </c>
      <c r="EQ12" s="34">
        <f>EP12*(1+EQ11)</f>
        <v/>
      </c>
      <c r="ER12" s="34">
        <f>EQ12*(1+ER11)</f>
        <v/>
      </c>
      <c r="ES12" s="34">
        <f>ER12*(1+ES11)</f>
        <v/>
      </c>
      <c r="ET12" s="34">
        <f>ES12*(1+ET11)</f>
        <v/>
      </c>
      <c r="EU12" s="34">
        <f>ET12*(1+EU11)</f>
        <v/>
      </c>
      <c r="EV12" s="34">
        <f>EU12*(1+EV11)</f>
        <v/>
      </c>
      <c r="EW12" s="34">
        <f>EV12*(1+EW11)</f>
        <v/>
      </c>
      <c r="EX12" s="34">
        <f>EW12*(1+EX11)</f>
        <v/>
      </c>
      <c r="EY12" s="34">
        <f>EX12*(1+EY11)</f>
        <v/>
      </c>
      <c r="EZ12" s="34">
        <f>EY12*(1+EZ11)</f>
        <v/>
      </c>
      <c r="FA12" s="34">
        <f>EZ12*(1+FA11)</f>
        <v/>
      </c>
      <c r="FB12" s="34">
        <f>FA12*(1+FB11)</f>
        <v/>
      </c>
    </row>
    <row r="13">
      <c r="B13" s="7" t="inlineStr">
        <is>
          <t>Timeline</t>
        </is>
      </c>
      <c r="C13" s="7" t="n"/>
      <c r="D13" s="7" t="n"/>
      <c r="E13" s="7" t="n"/>
      <c r="F13" s="7" t="n"/>
      <c r="G13" s="7" t="n"/>
      <c r="I13" s="9">
        <f>B92</f>
        <v/>
      </c>
      <c r="N13" s="31">
        <f>SUMIF($Z$3:$FB$3,N$7,$Z13:$FB13)</f>
        <v/>
      </c>
      <c r="O13" s="31">
        <f>SUMIF($Z$3:$FB$3,O$7,$Z13:$FB13)</f>
        <v/>
      </c>
      <c r="P13" s="31">
        <f>SUMIF($Z$3:$FB$3,P$7,$Z13:$FB13)</f>
        <v/>
      </c>
      <c r="Q13" s="31">
        <f>SUMIF($Z$3:$FB$3,Q$7,$Z13:$FB13)</f>
        <v/>
      </c>
      <c r="R13" s="31">
        <f>SUMIF($Z$3:$FB$3,R$7,$Z13:$FB13)</f>
        <v/>
      </c>
      <c r="S13" s="31">
        <f>SUMIF($Z$3:$FB$3,S$7,$Z13:$FB13)</f>
        <v/>
      </c>
      <c r="T13" s="31">
        <f>SUMIF($Z$3:$FB$3,T$7,$Z13:$FB13)</f>
        <v/>
      </c>
      <c r="U13" s="31">
        <f>SUMIF($Z$3:$FB$3,U$7,$Z13:$FB13)</f>
        <v/>
      </c>
      <c r="V13" s="31">
        <f>SUMIF($Z$3:$FB$3,V$7,$Z13:$FB13)</f>
        <v/>
      </c>
      <c r="W13" s="31">
        <f>SUMIF($Z$3:$FB$3,W$7,$Z13:$FB13)</f>
        <v/>
      </c>
      <c r="X13" s="31">
        <f>SUMIF($Z$3:$FB$3,X$7,$Z13:$FB13)</f>
        <v/>
      </c>
      <c r="Z13" s="31" t="n">
        <v>0</v>
      </c>
      <c r="AA13" s="31">
        <f>IFERROR(INDEX($C92:$G92,MATCH(YEAR(AA$6),$C$89:$G$89,0))/12,Z13)</f>
        <v/>
      </c>
      <c r="AB13" s="31">
        <f>IFERROR(INDEX($C92:$G92,MATCH(YEAR(AB$6),$C$89:$G$89,0))/12,AA13)</f>
        <v/>
      </c>
      <c r="AC13" s="31">
        <f>IFERROR(INDEX($C92:$G92,MATCH(YEAR(AC$6),$C$89:$G$89,0))/12,AB13)</f>
        <v/>
      </c>
      <c r="AD13" s="31">
        <f>IFERROR(INDEX($C92:$G92,MATCH(YEAR(AD$6),$C$89:$G$89,0))/12,AC13)</f>
        <v/>
      </c>
      <c r="AE13" s="31">
        <f>IFERROR(INDEX($C92:$G92,MATCH(YEAR(AE$6),$C$89:$G$89,0))/12,AD13)</f>
        <v/>
      </c>
      <c r="AF13" s="31">
        <f>IFERROR(INDEX($C92:$G92,MATCH(YEAR(AF$6),$C$89:$G$89,0))/12,AE13)</f>
        <v/>
      </c>
      <c r="AG13" s="31">
        <f>IFERROR(INDEX($C92:$G92,MATCH(YEAR(AG$6),$C$89:$G$89,0))/12,AF13)</f>
        <v/>
      </c>
      <c r="AH13" s="31">
        <f>IFERROR(INDEX($C92:$G92,MATCH(YEAR(AH$6),$C$89:$G$89,0))/12,AG13)</f>
        <v/>
      </c>
      <c r="AI13" s="31">
        <f>IFERROR(INDEX($C92:$G92,MATCH(YEAR(AI$6),$C$89:$G$89,0))/12,AH13)</f>
        <v/>
      </c>
      <c r="AJ13" s="31">
        <f>IFERROR(INDEX($C92:$G92,MATCH(YEAR(AJ$6),$C$89:$G$89,0))/12,AI13)</f>
        <v/>
      </c>
      <c r="AK13" s="31">
        <f>IFERROR(INDEX($C92:$G92,MATCH(YEAR(AK$6),$C$89:$G$89,0))/12,AJ13)</f>
        <v/>
      </c>
      <c r="AL13" s="31">
        <f>IFERROR(INDEX($C92:$G92,MATCH(YEAR(AL$6),$C$89:$G$89,0))/12,AK13)</f>
        <v/>
      </c>
      <c r="AM13" s="31">
        <f>IFERROR(INDEX($C92:$G92,MATCH(YEAR(AM$6),$C$89:$G$89,0))/12,AL13)</f>
        <v/>
      </c>
      <c r="AN13" s="31">
        <f>IFERROR(INDEX($C92:$G92,MATCH(YEAR(AN$6),$C$89:$G$89,0))/12,AM13)</f>
        <v/>
      </c>
      <c r="AO13" s="31">
        <f>IFERROR(INDEX($C92:$G92,MATCH(YEAR(AO$6),$C$89:$G$89,0))/12,AN13)</f>
        <v/>
      </c>
      <c r="AP13" s="31">
        <f>IFERROR(INDEX($C92:$G92,MATCH(YEAR(AP$6),$C$89:$G$89,0))/12,AO13)</f>
        <v/>
      </c>
      <c r="AQ13" s="31">
        <f>IFERROR(INDEX($C92:$G92,MATCH(YEAR(AQ$6),$C$89:$G$89,0))/12,AP13)</f>
        <v/>
      </c>
      <c r="AR13" s="31">
        <f>IFERROR(INDEX($C92:$G92,MATCH(YEAR(AR$6),$C$89:$G$89,0))/12,AQ13)</f>
        <v/>
      </c>
      <c r="AS13" s="31">
        <f>IFERROR(INDEX($C92:$G92,MATCH(YEAR(AS$6),$C$89:$G$89,0))/12,AR13)</f>
        <v/>
      </c>
      <c r="AT13" s="31">
        <f>IFERROR(INDEX($C92:$G92,MATCH(YEAR(AT$6),$C$89:$G$89,0))/12,AS13)</f>
        <v/>
      </c>
      <c r="AU13" s="31">
        <f>IFERROR(INDEX($C92:$G92,MATCH(YEAR(AU$6),$C$89:$G$89,0))/12,AT13)</f>
        <v/>
      </c>
      <c r="AV13" s="31">
        <f>IFERROR(INDEX($C92:$G92,MATCH(YEAR(AV$6),$C$89:$G$89,0))/12,AU13)</f>
        <v/>
      </c>
      <c r="AW13" s="31">
        <f>IFERROR(INDEX($C92:$G92,MATCH(YEAR(AW$6),$C$89:$G$89,0))/12,AV13)</f>
        <v/>
      </c>
      <c r="AX13" s="31">
        <f>IFERROR(INDEX($C92:$G92,MATCH(YEAR(AX$6),$C$89:$G$89,0))/12,AW13)</f>
        <v/>
      </c>
      <c r="AY13" s="31">
        <f>IFERROR(INDEX($C92:$G92,MATCH(YEAR(AY$6),$C$89:$G$89,0))/12,AX13)</f>
        <v/>
      </c>
      <c r="AZ13" s="31">
        <f>IFERROR(INDEX($C92:$G92,MATCH(YEAR(AZ$6),$C$89:$G$89,0))/12,AY13)</f>
        <v/>
      </c>
      <c r="BA13" s="31">
        <f>IFERROR(INDEX($C92:$G92,MATCH(YEAR(BA$6),$C$89:$G$89,0))/12,AZ13)</f>
        <v/>
      </c>
      <c r="BB13" s="31">
        <f>IFERROR(INDEX($C92:$G92,MATCH(YEAR(BB$6),$C$89:$G$89,0))/12,BA13)</f>
        <v/>
      </c>
      <c r="BC13" s="31">
        <f>IFERROR(INDEX($C92:$G92,MATCH(YEAR(BC$6),$C$89:$G$89,0))/12,BB13)</f>
        <v/>
      </c>
      <c r="BD13" s="31">
        <f>IFERROR(INDEX($C92:$G92,MATCH(YEAR(BD$6),$C$89:$G$89,0))/12,BC13)</f>
        <v/>
      </c>
      <c r="BE13" s="31">
        <f>IFERROR(INDEX($C92:$G92,MATCH(YEAR(BE$6),$C$89:$G$89,0))/12,BD13)</f>
        <v/>
      </c>
      <c r="BF13" s="31">
        <f>IFERROR(INDEX($C92:$G92,MATCH(YEAR(BF$6),$C$89:$G$89,0))/12,BE13)</f>
        <v/>
      </c>
      <c r="BG13" s="31">
        <f>IFERROR(INDEX($C92:$G92,MATCH(YEAR(BG$6),$C$89:$G$89,0))/12,BF13)</f>
        <v/>
      </c>
      <c r="BH13" s="31">
        <f>IFERROR(INDEX($C92:$G92,MATCH(YEAR(BH$6),$C$89:$G$89,0))/12,BG13)</f>
        <v/>
      </c>
      <c r="BI13" s="31">
        <f>IFERROR(INDEX($C92:$G92,MATCH(YEAR(BI$6),$C$89:$G$89,0))/12,BH13)</f>
        <v/>
      </c>
      <c r="BJ13" s="31">
        <f>IFERROR(INDEX($C92:$G92,MATCH(YEAR(BJ$6),$C$89:$G$89,0))/12,BI13)</f>
        <v/>
      </c>
      <c r="BK13" s="31">
        <f>IFERROR(INDEX($C92:$G92,MATCH(YEAR(BK$6),$C$89:$G$89,0))/12,BJ13)</f>
        <v/>
      </c>
      <c r="BL13" s="31">
        <f>IFERROR(INDEX($C92:$G92,MATCH(YEAR(BL$6),$C$89:$G$89,0))/12,BK13)</f>
        <v/>
      </c>
      <c r="BM13" s="31">
        <f>IFERROR(INDEX($C92:$G92,MATCH(YEAR(BM$6),$C$89:$G$89,0))/12,BL13)</f>
        <v/>
      </c>
      <c r="BN13" s="31">
        <f>IFERROR(INDEX($C92:$G92,MATCH(YEAR(BN$6),$C$89:$G$89,0))/12,BM13)</f>
        <v/>
      </c>
      <c r="BO13" s="31">
        <f>IFERROR(INDEX($C92:$G92,MATCH(YEAR(BO$6),$C$89:$G$89,0))/12,BN13)</f>
        <v/>
      </c>
      <c r="BP13" s="31">
        <f>IFERROR(INDEX($C92:$G92,MATCH(YEAR(BP$6),$C$89:$G$89,0))/12,BO13)</f>
        <v/>
      </c>
      <c r="BQ13" s="31">
        <f>IFERROR(INDEX($C92:$G92,MATCH(YEAR(BQ$6),$C$89:$G$89,0))/12,BP13)</f>
        <v/>
      </c>
      <c r="BR13" s="31">
        <f>IFERROR(INDEX($C92:$G92,MATCH(YEAR(BR$6),$C$89:$G$89,0))/12,BQ13)</f>
        <v/>
      </c>
      <c r="BS13" s="31">
        <f>IFERROR(INDEX($C92:$G92,MATCH(YEAR(BS$6),$C$89:$G$89,0))/12,BR13)</f>
        <v/>
      </c>
      <c r="BT13" s="31">
        <f>IFERROR(INDEX($C92:$G92,MATCH(YEAR(BT$6),$C$89:$G$89,0))/12,BS13)</f>
        <v/>
      </c>
      <c r="BU13" s="31">
        <f>IFERROR(INDEX($C92:$G92,MATCH(YEAR(BU$6),$C$89:$G$89,0))/12,BT13)</f>
        <v/>
      </c>
      <c r="BV13" s="31">
        <f>IFERROR(INDEX($C92:$G92,MATCH(YEAR(BV$6),$C$89:$G$89,0))/12,BU13)</f>
        <v/>
      </c>
      <c r="BW13" s="31">
        <f>IFERROR(INDEX($C92:$G92,MATCH(YEAR(BW$6),$C$89:$G$89,0))/12,BV13)</f>
        <v/>
      </c>
      <c r="BX13" s="31">
        <f>IFERROR(INDEX($C92:$G92,MATCH(YEAR(BX$6),$C$89:$G$89,0))/12,BW13)</f>
        <v/>
      </c>
      <c r="BY13" s="31">
        <f>IFERROR(INDEX($C92:$G92,MATCH(YEAR(BY$6),$C$89:$G$89,0))/12,BX13)</f>
        <v/>
      </c>
      <c r="BZ13" s="31">
        <f>IFERROR(INDEX($C92:$G92,MATCH(YEAR(BZ$6),$C$89:$G$89,0))/12,BY13)</f>
        <v/>
      </c>
      <c r="CA13" s="31">
        <f>IFERROR(INDEX($C92:$G92,MATCH(YEAR(CA$6),$C$89:$G$89,0))/12,BZ13)</f>
        <v/>
      </c>
      <c r="CB13" s="31">
        <f>IFERROR(INDEX($C92:$G92,MATCH(YEAR(CB$6),$C$89:$G$89,0))/12,CA13)</f>
        <v/>
      </c>
      <c r="CC13" s="31">
        <f>IFERROR(INDEX($C92:$G92,MATCH(YEAR(CC$6),$C$89:$G$89,0))/12,CB13)</f>
        <v/>
      </c>
      <c r="CD13" s="31">
        <f>IFERROR(INDEX($C92:$G92,MATCH(YEAR(CD$6),$C$89:$G$89,0))/12,CC13)</f>
        <v/>
      </c>
      <c r="CE13" s="31">
        <f>IFERROR(INDEX($C92:$G92,MATCH(YEAR(CE$6),$C$89:$G$89,0))/12,CD13)</f>
        <v/>
      </c>
      <c r="CF13" s="31">
        <f>IFERROR(INDEX($C92:$G92,MATCH(YEAR(CF$6),$C$89:$G$89,0))/12,CE13)</f>
        <v/>
      </c>
      <c r="CG13" s="31">
        <f>IFERROR(INDEX($C92:$G92,MATCH(YEAR(CG$6),$C$89:$G$89,0))/12,CF13)</f>
        <v/>
      </c>
      <c r="CH13" s="31">
        <f>IFERROR(INDEX($C92:$G92,MATCH(YEAR(CH$6),$C$89:$G$89,0))/12,CG13)</f>
        <v/>
      </c>
      <c r="CI13" s="31">
        <f>IFERROR(INDEX($C92:$G92,MATCH(YEAR(CI$6),$C$89:$G$89,0))/12,CH13)</f>
        <v/>
      </c>
      <c r="CJ13" s="31">
        <f>IFERROR(INDEX($C92:$G92,MATCH(YEAR(CJ$6),$C$89:$G$89,0))/12,CI13)</f>
        <v/>
      </c>
      <c r="CK13" s="31">
        <f>IFERROR(INDEX($C92:$G92,MATCH(YEAR(CK$6),$C$89:$G$89,0))/12,CJ13)</f>
        <v/>
      </c>
      <c r="CL13" s="31">
        <f>IFERROR(INDEX($C92:$G92,MATCH(YEAR(CL$6),$C$89:$G$89,0))/12,CK13)</f>
        <v/>
      </c>
      <c r="CM13" s="31">
        <f>IFERROR(INDEX($C92:$G92,MATCH(YEAR(CM$6),$C$89:$G$89,0))/12,CL13)</f>
        <v/>
      </c>
      <c r="CN13" s="31">
        <f>IFERROR(INDEX($C92:$G92,MATCH(YEAR(CN$6),$C$89:$G$89,0))/12,CM13)</f>
        <v/>
      </c>
      <c r="CO13" s="31">
        <f>IFERROR(INDEX($C92:$G92,MATCH(YEAR(CO$6),$C$89:$G$89,0))/12,CN13)</f>
        <v/>
      </c>
      <c r="CP13" s="31">
        <f>IFERROR(INDEX($C92:$G92,MATCH(YEAR(CP$6),$C$89:$G$89,0))/12,CO13)</f>
        <v/>
      </c>
      <c r="CQ13" s="31">
        <f>IFERROR(INDEX($C92:$G92,MATCH(YEAR(CQ$6),$C$89:$G$89,0))/12,CP13)</f>
        <v/>
      </c>
      <c r="CR13" s="31">
        <f>IFERROR(INDEX($C92:$G92,MATCH(YEAR(CR$6),$C$89:$G$89,0))/12,CQ13)</f>
        <v/>
      </c>
      <c r="CS13" s="31">
        <f>IFERROR(INDEX($C92:$G92,MATCH(YEAR(CS$6),$C$89:$G$89,0))/12,CR13)</f>
        <v/>
      </c>
      <c r="CT13" s="31">
        <f>IFERROR(INDEX($C92:$G92,MATCH(YEAR(CT$6),$C$89:$G$89,0))/12,CS13)</f>
        <v/>
      </c>
      <c r="CU13" s="31">
        <f>IFERROR(INDEX($C92:$G92,MATCH(YEAR(CU$6),$C$89:$G$89,0))/12,CT13)</f>
        <v/>
      </c>
      <c r="CV13" s="31">
        <f>IFERROR(INDEX($C92:$G92,MATCH(YEAR(CV$6),$C$89:$G$89,0))/12,CU13)</f>
        <v/>
      </c>
      <c r="CW13" s="31">
        <f>IFERROR(INDEX($C92:$G92,MATCH(YEAR(CW$6),$C$89:$G$89,0))/12,CV13)</f>
        <v/>
      </c>
      <c r="CX13" s="31">
        <f>IFERROR(INDEX($C92:$G92,MATCH(YEAR(CX$6),$C$89:$G$89,0))/12,CW13)</f>
        <v/>
      </c>
      <c r="CY13" s="31">
        <f>IFERROR(INDEX($C92:$G92,MATCH(YEAR(CY$6),$C$89:$G$89,0))/12,CX13)</f>
        <v/>
      </c>
      <c r="CZ13" s="31">
        <f>IFERROR(INDEX($C92:$G92,MATCH(YEAR(CZ$6),$C$89:$G$89,0))/12,CY13)</f>
        <v/>
      </c>
      <c r="DA13" s="31">
        <f>IFERROR(INDEX($C92:$G92,MATCH(YEAR(DA$6),$C$89:$G$89,0))/12,CZ13)</f>
        <v/>
      </c>
      <c r="DB13" s="31">
        <f>IFERROR(INDEX($C92:$G92,MATCH(YEAR(DB$6),$C$89:$G$89,0))/12,DA13)</f>
        <v/>
      </c>
      <c r="DC13" s="31">
        <f>IFERROR(INDEX($C92:$G92,MATCH(YEAR(DC$6),$C$89:$G$89,0))/12,DB13)</f>
        <v/>
      </c>
      <c r="DD13" s="31">
        <f>IFERROR(INDEX($C92:$G92,MATCH(YEAR(DD$6),$C$89:$G$89,0))/12,DC13)</f>
        <v/>
      </c>
      <c r="DE13" s="31">
        <f>IFERROR(INDEX($C92:$G92,MATCH(YEAR(DE$6),$C$89:$G$89,0))/12,DD13)</f>
        <v/>
      </c>
      <c r="DF13" s="31">
        <f>IFERROR(INDEX($C92:$G92,MATCH(YEAR(DF$6),$C$89:$G$89,0))/12,DE13)</f>
        <v/>
      </c>
      <c r="DG13" s="31">
        <f>IFERROR(INDEX($C92:$G92,MATCH(YEAR(DG$6),$C$89:$G$89,0))/12,DF13)</f>
        <v/>
      </c>
      <c r="DH13" s="31">
        <f>IFERROR(INDEX($C92:$G92,MATCH(YEAR(DH$6),$C$89:$G$89,0))/12,DG13)</f>
        <v/>
      </c>
      <c r="DI13" s="31">
        <f>IFERROR(INDEX($C92:$G92,MATCH(YEAR(DI$6),$C$89:$G$89,0))/12,DH13)</f>
        <v/>
      </c>
      <c r="DJ13" s="31">
        <f>IFERROR(INDEX($C92:$G92,MATCH(YEAR(DJ$6),$C$89:$G$89,0))/12,DI13)</f>
        <v/>
      </c>
      <c r="DK13" s="31">
        <f>IFERROR(INDEX($C92:$G92,MATCH(YEAR(DK$6),$C$89:$G$89,0))/12,DJ13)</f>
        <v/>
      </c>
      <c r="DL13" s="31">
        <f>IFERROR(INDEX($C92:$G92,MATCH(YEAR(DL$6),$C$89:$G$89,0))/12,DK13)</f>
        <v/>
      </c>
      <c r="DM13" s="31">
        <f>IFERROR(INDEX($C92:$G92,MATCH(YEAR(DM$6),$C$89:$G$89,0))/12,DL13)</f>
        <v/>
      </c>
      <c r="DN13" s="31">
        <f>IFERROR(INDEX($C92:$G92,MATCH(YEAR(DN$6),$C$89:$G$89,0))/12,DM13)</f>
        <v/>
      </c>
      <c r="DO13" s="31">
        <f>IFERROR(INDEX($C92:$G92,MATCH(YEAR(DO$6),$C$89:$G$89,0))/12,DN13)</f>
        <v/>
      </c>
      <c r="DP13" s="31">
        <f>IFERROR(INDEX($C92:$G92,MATCH(YEAR(DP$6),$C$89:$G$89,0))/12,DO13)</f>
        <v/>
      </c>
      <c r="DQ13" s="31">
        <f>IFERROR(INDEX($C92:$G92,MATCH(YEAR(DQ$6),$C$89:$G$89,0))/12,DP13)</f>
        <v/>
      </c>
      <c r="DR13" s="31">
        <f>IFERROR(INDEX($C92:$G92,MATCH(YEAR(DR$6),$C$89:$G$89,0))/12,DQ13)</f>
        <v/>
      </c>
      <c r="DS13" s="31">
        <f>IFERROR(INDEX($C92:$G92,MATCH(YEAR(DS$6),$C$89:$G$89,0))/12,DR13)</f>
        <v/>
      </c>
      <c r="DT13" s="31">
        <f>IFERROR(INDEX($C92:$G92,MATCH(YEAR(DT$6),$C$89:$G$89,0))/12,DS13)</f>
        <v/>
      </c>
      <c r="DU13" s="31">
        <f>IFERROR(INDEX($C92:$G92,MATCH(YEAR(DU$6),$C$89:$G$89,0))/12,DT13)</f>
        <v/>
      </c>
      <c r="DV13" s="31">
        <f>IFERROR(INDEX($C92:$G92,MATCH(YEAR(DV$6),$C$89:$G$89,0))/12,DU13)</f>
        <v/>
      </c>
      <c r="DW13" s="31">
        <f>IFERROR(INDEX($C92:$G92,MATCH(YEAR(DW$6),$C$89:$G$89,0))/12,DV13)</f>
        <v/>
      </c>
      <c r="DX13" s="31">
        <f>IFERROR(INDEX($C92:$G92,MATCH(YEAR(DX$6),$C$89:$G$89,0))/12,DW13)</f>
        <v/>
      </c>
      <c r="DY13" s="31">
        <f>IFERROR(INDEX($C92:$G92,MATCH(YEAR(DY$6),$C$89:$G$89,0))/12,DX13)</f>
        <v/>
      </c>
      <c r="DZ13" s="31">
        <f>IFERROR(INDEX($C92:$G92,MATCH(YEAR(DZ$6),$C$89:$G$89,0))/12,DY13)</f>
        <v/>
      </c>
      <c r="EA13" s="31">
        <f>IFERROR(INDEX($C92:$G92,MATCH(YEAR(EA$6),$C$89:$G$89,0))/12,DZ13)</f>
        <v/>
      </c>
      <c r="EB13" s="31">
        <f>IFERROR(INDEX($C92:$G92,MATCH(YEAR(EB$6),$C$89:$G$89,0))/12,EA13)</f>
        <v/>
      </c>
      <c r="EC13" s="31">
        <f>IFERROR(INDEX($C92:$G92,MATCH(YEAR(EC$6),$C$89:$G$89,0))/12,EB13)</f>
        <v/>
      </c>
      <c r="ED13" s="31">
        <f>IFERROR(INDEX($C92:$G92,MATCH(YEAR(ED$6),$C$89:$G$89,0))/12,EC13)</f>
        <v/>
      </c>
      <c r="EE13" s="31">
        <f>IFERROR(INDEX($C92:$G92,MATCH(YEAR(EE$6),$C$89:$G$89,0))/12,ED13)</f>
        <v/>
      </c>
      <c r="EF13" s="31">
        <f>IFERROR(INDEX($C92:$G92,MATCH(YEAR(EF$6),$C$89:$G$89,0))/12,EE13)</f>
        <v/>
      </c>
      <c r="EG13" s="31">
        <f>IFERROR(INDEX($C92:$G92,MATCH(YEAR(EG$6),$C$89:$G$89,0))/12,EF13)</f>
        <v/>
      </c>
      <c r="EH13" s="31">
        <f>IFERROR(INDEX($C92:$G92,MATCH(YEAR(EH$6),$C$89:$G$89,0))/12,EG13)</f>
        <v/>
      </c>
      <c r="EI13" s="31">
        <f>IFERROR(INDEX($C92:$G92,MATCH(YEAR(EI$6),$C$89:$G$89,0))/12,EH13)</f>
        <v/>
      </c>
      <c r="EJ13" s="31">
        <f>IFERROR(INDEX($C92:$G92,MATCH(YEAR(EJ$6),$C$89:$G$89,0))/12,EI13)</f>
        <v/>
      </c>
      <c r="EK13" s="31">
        <f>IFERROR(INDEX($C92:$G92,MATCH(YEAR(EK$6),$C$89:$G$89,0))/12,EJ13)</f>
        <v/>
      </c>
      <c r="EL13" s="31">
        <f>IFERROR(INDEX($C92:$G92,MATCH(YEAR(EL$6),$C$89:$G$89,0))/12,EK13)</f>
        <v/>
      </c>
      <c r="EM13" s="31">
        <f>IFERROR(INDEX($C92:$G92,MATCH(YEAR(EM$6),$C$89:$G$89,0))/12,EL13)</f>
        <v/>
      </c>
      <c r="EN13" s="31">
        <f>IFERROR(INDEX($C92:$G92,MATCH(YEAR(EN$6),$C$89:$G$89,0))/12,EM13)</f>
        <v/>
      </c>
      <c r="EO13" s="31">
        <f>IFERROR(INDEX($C92:$G92,MATCH(YEAR(EO$6),$C$89:$G$89,0))/12,EN13)</f>
        <v/>
      </c>
      <c r="EP13" s="31">
        <f>IFERROR(INDEX($C92:$G92,MATCH(YEAR(EP$6),$C$89:$G$89,0))/12,EO13)</f>
        <v/>
      </c>
      <c r="EQ13" s="31">
        <f>IFERROR(INDEX($C92:$G92,MATCH(YEAR(EQ$6),$C$89:$G$89,0))/12,EP13)</f>
        <v/>
      </c>
      <c r="ER13" s="31">
        <f>IFERROR(INDEX($C92:$G92,MATCH(YEAR(ER$6),$C$89:$G$89,0))/12,EQ13)</f>
        <v/>
      </c>
      <c r="ES13" s="31">
        <f>IFERROR(INDEX($C92:$G92,MATCH(YEAR(ES$6),$C$89:$G$89,0))/12,ER13)</f>
        <v/>
      </c>
      <c r="ET13" s="31">
        <f>IFERROR(INDEX($C92:$G92,MATCH(YEAR(ET$6),$C$89:$G$89,0))/12,ES13)</f>
        <v/>
      </c>
      <c r="EU13" s="31">
        <f>IFERROR(INDEX($C92:$G92,MATCH(YEAR(EU$6),$C$89:$G$89,0))/12,ET13)</f>
        <v/>
      </c>
      <c r="EV13" s="31">
        <f>IFERROR(INDEX($C92:$G92,MATCH(YEAR(EV$6),$C$89:$G$89,0))/12,EU13)</f>
        <v/>
      </c>
      <c r="EW13" s="31">
        <f>IFERROR(INDEX($C92:$G92,MATCH(YEAR(EW$6),$C$89:$G$89,0))/12,EV13)</f>
        <v/>
      </c>
      <c r="EX13" s="31">
        <f>IFERROR(INDEX($C92:$G92,MATCH(YEAR(EX$6),$C$89:$G$89,0))/12,EW13)</f>
        <v/>
      </c>
      <c r="EY13" s="31">
        <f>IFERROR(INDEX($C92:$G92,MATCH(YEAR(EY$6),$C$89:$G$89,0))/12,EX13)</f>
        <v/>
      </c>
      <c r="EZ13" s="31">
        <f>IFERROR(INDEX($C92:$G92,MATCH(YEAR(EZ$6),$C$89:$G$89,0))/12,EY13)</f>
        <v/>
      </c>
      <c r="FA13" s="31">
        <f>IFERROR(INDEX($C92:$G92,MATCH(YEAR(FA$6),$C$89:$G$89,0))/12,EZ13)</f>
        <v/>
      </c>
      <c r="FB13" s="31">
        <f>IFERROR(INDEX($C92:$G92,MATCH(YEAR(FB$6),$C$89:$G$89,0))/12,FA13)</f>
        <v/>
      </c>
    </row>
    <row r="14">
      <c r="B14" s="35" t="n"/>
      <c r="C14" s="36" t="inlineStr">
        <is>
          <t>BOP Mo</t>
        </is>
      </c>
      <c r="D14" s="22" t="inlineStr">
        <is>
          <t>BOP Date</t>
        </is>
      </c>
      <c r="E14" s="37" t="inlineStr">
        <is>
          <t>Duration</t>
        </is>
      </c>
      <c r="F14" s="22" t="inlineStr">
        <is>
          <t>EOP Date</t>
        </is>
      </c>
      <c r="G14" s="22" t="inlineStr">
        <is>
          <t>EOP Mo</t>
        </is>
      </c>
      <c r="I14" s="32" t="inlineStr">
        <is>
          <t>Compounded Rate</t>
        </is>
      </c>
      <c r="J14" s="32" t="n"/>
      <c r="K14" s="33" t="n"/>
      <c r="L14" s="134" t="n"/>
      <c r="M14" s="33" t="n"/>
      <c r="N14" s="34" t="n"/>
      <c r="O14" s="34" t="n"/>
      <c r="P14" s="34" t="n"/>
      <c r="Q14" s="34" t="n"/>
      <c r="R14" s="34" t="n"/>
      <c r="S14" s="34" t="n"/>
      <c r="T14" s="34" t="n"/>
      <c r="U14" s="34" t="n"/>
      <c r="V14" s="34" t="n"/>
      <c r="W14" s="34" t="n"/>
      <c r="X14" s="34" t="n"/>
      <c r="Y14" s="33" t="n"/>
      <c r="Z14" s="34" t="n">
        <v>1</v>
      </c>
      <c r="AA14" s="34">
        <f>Z14*(1+AA13)</f>
        <v/>
      </c>
      <c r="AB14" s="34">
        <f>AA14*(1+AB13)</f>
        <v/>
      </c>
      <c r="AC14" s="34">
        <f>AB14*(1+AC13)</f>
        <v/>
      </c>
      <c r="AD14" s="34">
        <f>AC14*(1+AD13)</f>
        <v/>
      </c>
      <c r="AE14" s="34">
        <f>AD14*(1+AE13)</f>
        <v/>
      </c>
      <c r="AF14" s="34">
        <f>AE14*(1+AF13)</f>
        <v/>
      </c>
      <c r="AG14" s="34">
        <f>AF14*(1+AG13)</f>
        <v/>
      </c>
      <c r="AH14" s="34">
        <f>AG14*(1+AH13)</f>
        <v/>
      </c>
      <c r="AI14" s="34">
        <f>AH14*(1+AI13)</f>
        <v/>
      </c>
      <c r="AJ14" s="34">
        <f>AI14*(1+AJ13)</f>
        <v/>
      </c>
      <c r="AK14" s="34">
        <f>AJ14*(1+AK13)</f>
        <v/>
      </c>
      <c r="AL14" s="34">
        <f>AK14*(1+AL13)</f>
        <v/>
      </c>
      <c r="AM14" s="34">
        <f>AL14*(1+AM13)</f>
        <v/>
      </c>
      <c r="AN14" s="34">
        <f>AM14*(1+AN13)</f>
        <v/>
      </c>
      <c r="AO14" s="34">
        <f>AN14*(1+AO13)</f>
        <v/>
      </c>
      <c r="AP14" s="34">
        <f>AO14*(1+AP13)</f>
        <v/>
      </c>
      <c r="AQ14" s="34">
        <f>AP14*(1+AQ13)</f>
        <v/>
      </c>
      <c r="AR14" s="34">
        <f>AQ14*(1+AR13)</f>
        <v/>
      </c>
      <c r="AS14" s="34">
        <f>AR14*(1+AS13)</f>
        <v/>
      </c>
      <c r="AT14" s="34">
        <f>AS14*(1+AT13)</f>
        <v/>
      </c>
      <c r="AU14" s="34">
        <f>AT14*(1+AU13)</f>
        <v/>
      </c>
      <c r="AV14" s="34">
        <f>AU14*(1+AV13)</f>
        <v/>
      </c>
      <c r="AW14" s="34">
        <f>AV14*(1+AW13)</f>
        <v/>
      </c>
      <c r="AX14" s="34">
        <f>AW14*(1+AX13)</f>
        <v/>
      </c>
      <c r="AY14" s="34">
        <f>AX14*(1+AY13)</f>
        <v/>
      </c>
      <c r="AZ14" s="34">
        <f>AY14*(1+AZ13)</f>
        <v/>
      </c>
      <c r="BA14" s="34">
        <f>AZ14*(1+BA13)</f>
        <v/>
      </c>
      <c r="BB14" s="34">
        <f>BA14*(1+BB13)</f>
        <v/>
      </c>
      <c r="BC14" s="34">
        <f>BB14*(1+BC13)</f>
        <v/>
      </c>
      <c r="BD14" s="34">
        <f>BC14*(1+BD13)</f>
        <v/>
      </c>
      <c r="BE14" s="34">
        <f>BD14*(1+BE13)</f>
        <v/>
      </c>
      <c r="BF14" s="34">
        <f>BE14*(1+BF13)</f>
        <v/>
      </c>
      <c r="BG14" s="34">
        <f>BF14*(1+BG13)</f>
        <v/>
      </c>
      <c r="BH14" s="34">
        <f>BG14*(1+BH13)</f>
        <v/>
      </c>
      <c r="BI14" s="34">
        <f>BH14*(1+BI13)</f>
        <v/>
      </c>
      <c r="BJ14" s="34">
        <f>BI14*(1+BJ13)</f>
        <v/>
      </c>
      <c r="BK14" s="34">
        <f>BJ14*(1+BK13)</f>
        <v/>
      </c>
      <c r="BL14" s="34">
        <f>BK14*(1+BL13)</f>
        <v/>
      </c>
      <c r="BM14" s="34">
        <f>BL14*(1+BM13)</f>
        <v/>
      </c>
      <c r="BN14" s="34">
        <f>BM14*(1+BN13)</f>
        <v/>
      </c>
      <c r="BO14" s="34">
        <f>BN14*(1+BO13)</f>
        <v/>
      </c>
      <c r="BP14" s="34">
        <f>BO14*(1+BP13)</f>
        <v/>
      </c>
      <c r="BQ14" s="34">
        <f>BP14*(1+BQ13)</f>
        <v/>
      </c>
      <c r="BR14" s="34">
        <f>BQ14*(1+BR13)</f>
        <v/>
      </c>
      <c r="BS14" s="34">
        <f>BR14*(1+BS13)</f>
        <v/>
      </c>
      <c r="BT14" s="34">
        <f>BS14*(1+BT13)</f>
        <v/>
      </c>
      <c r="BU14" s="34">
        <f>BT14*(1+BU13)</f>
        <v/>
      </c>
      <c r="BV14" s="34">
        <f>BU14*(1+BV13)</f>
        <v/>
      </c>
      <c r="BW14" s="34">
        <f>BV14*(1+BW13)</f>
        <v/>
      </c>
      <c r="BX14" s="34">
        <f>BW14*(1+BX13)</f>
        <v/>
      </c>
      <c r="BY14" s="34">
        <f>BX14*(1+BY13)</f>
        <v/>
      </c>
      <c r="BZ14" s="34">
        <f>BY14*(1+BZ13)</f>
        <v/>
      </c>
      <c r="CA14" s="34">
        <f>BZ14*(1+CA13)</f>
        <v/>
      </c>
      <c r="CB14" s="34">
        <f>CA14*(1+CB13)</f>
        <v/>
      </c>
      <c r="CC14" s="34">
        <f>CB14*(1+CC13)</f>
        <v/>
      </c>
      <c r="CD14" s="34">
        <f>CC14*(1+CD13)</f>
        <v/>
      </c>
      <c r="CE14" s="34">
        <f>CD14*(1+CE13)</f>
        <v/>
      </c>
      <c r="CF14" s="34">
        <f>CE14*(1+CF13)</f>
        <v/>
      </c>
      <c r="CG14" s="34">
        <f>CF14*(1+CG13)</f>
        <v/>
      </c>
      <c r="CH14" s="34">
        <f>CG14*(1+CH13)</f>
        <v/>
      </c>
      <c r="CI14" s="34">
        <f>CH14*(1+CI13)</f>
        <v/>
      </c>
      <c r="CJ14" s="34">
        <f>CI14*(1+CJ13)</f>
        <v/>
      </c>
      <c r="CK14" s="34">
        <f>CJ14*(1+CK13)</f>
        <v/>
      </c>
      <c r="CL14" s="34">
        <f>CK14*(1+CL13)</f>
        <v/>
      </c>
      <c r="CM14" s="34">
        <f>CL14*(1+CM13)</f>
        <v/>
      </c>
      <c r="CN14" s="34">
        <f>CM14*(1+CN13)</f>
        <v/>
      </c>
      <c r="CO14" s="34">
        <f>CN14*(1+CO13)</f>
        <v/>
      </c>
      <c r="CP14" s="34">
        <f>CO14*(1+CP13)</f>
        <v/>
      </c>
      <c r="CQ14" s="34">
        <f>CP14*(1+CQ13)</f>
        <v/>
      </c>
      <c r="CR14" s="34">
        <f>CQ14*(1+CR13)</f>
        <v/>
      </c>
      <c r="CS14" s="34">
        <f>CR14*(1+CS13)</f>
        <v/>
      </c>
      <c r="CT14" s="34">
        <f>CS14*(1+CT13)</f>
        <v/>
      </c>
      <c r="CU14" s="34">
        <f>CT14*(1+CU13)</f>
        <v/>
      </c>
      <c r="CV14" s="34">
        <f>CU14*(1+CV13)</f>
        <v/>
      </c>
      <c r="CW14" s="34">
        <f>CV14*(1+CW13)</f>
        <v/>
      </c>
      <c r="CX14" s="34">
        <f>CW14*(1+CX13)</f>
        <v/>
      </c>
      <c r="CY14" s="34">
        <f>CX14*(1+CY13)</f>
        <v/>
      </c>
      <c r="CZ14" s="34">
        <f>CY14*(1+CZ13)</f>
        <v/>
      </c>
      <c r="DA14" s="34">
        <f>CZ14*(1+DA13)</f>
        <v/>
      </c>
      <c r="DB14" s="34">
        <f>DA14*(1+DB13)</f>
        <v/>
      </c>
      <c r="DC14" s="34">
        <f>DB14*(1+DC13)</f>
        <v/>
      </c>
      <c r="DD14" s="34">
        <f>DC14*(1+DD13)</f>
        <v/>
      </c>
      <c r="DE14" s="34">
        <f>DD14*(1+DE13)</f>
        <v/>
      </c>
      <c r="DF14" s="34">
        <f>DE14*(1+DF13)</f>
        <v/>
      </c>
      <c r="DG14" s="34">
        <f>DF14*(1+DG13)</f>
        <v/>
      </c>
      <c r="DH14" s="34">
        <f>DG14*(1+DH13)</f>
        <v/>
      </c>
      <c r="DI14" s="34">
        <f>DH14*(1+DI13)</f>
        <v/>
      </c>
      <c r="DJ14" s="34">
        <f>DI14*(1+DJ13)</f>
        <v/>
      </c>
      <c r="DK14" s="34">
        <f>DJ14*(1+DK13)</f>
        <v/>
      </c>
      <c r="DL14" s="34">
        <f>DK14*(1+DL13)</f>
        <v/>
      </c>
      <c r="DM14" s="34">
        <f>DL14*(1+DM13)</f>
        <v/>
      </c>
      <c r="DN14" s="34">
        <f>DM14*(1+DN13)</f>
        <v/>
      </c>
      <c r="DO14" s="34">
        <f>DN14*(1+DO13)</f>
        <v/>
      </c>
      <c r="DP14" s="34">
        <f>DO14*(1+DP13)</f>
        <v/>
      </c>
      <c r="DQ14" s="34">
        <f>DP14*(1+DQ13)</f>
        <v/>
      </c>
      <c r="DR14" s="34">
        <f>DQ14*(1+DR13)</f>
        <v/>
      </c>
      <c r="DS14" s="34">
        <f>DR14*(1+DS13)</f>
        <v/>
      </c>
      <c r="DT14" s="34">
        <f>DS14*(1+DT13)</f>
        <v/>
      </c>
      <c r="DU14" s="34">
        <f>DT14*(1+DU13)</f>
        <v/>
      </c>
      <c r="DV14" s="34">
        <f>DU14*(1+DV13)</f>
        <v/>
      </c>
      <c r="DW14" s="34">
        <f>DV14*(1+DW13)</f>
        <v/>
      </c>
      <c r="DX14" s="34">
        <f>DW14*(1+DX13)</f>
        <v/>
      </c>
      <c r="DY14" s="34">
        <f>DX14*(1+DY13)</f>
        <v/>
      </c>
      <c r="DZ14" s="34">
        <f>DY14*(1+DZ13)</f>
        <v/>
      </c>
      <c r="EA14" s="34">
        <f>DZ14*(1+EA13)</f>
        <v/>
      </c>
      <c r="EB14" s="34">
        <f>EA14*(1+EB13)</f>
        <v/>
      </c>
      <c r="EC14" s="34">
        <f>EB14*(1+EC13)</f>
        <v/>
      </c>
      <c r="ED14" s="34">
        <f>EC14*(1+ED13)</f>
        <v/>
      </c>
      <c r="EE14" s="34">
        <f>ED14*(1+EE13)</f>
        <v/>
      </c>
      <c r="EF14" s="34">
        <f>EE14*(1+EF13)</f>
        <v/>
      </c>
      <c r="EG14" s="34">
        <f>EF14*(1+EG13)</f>
        <v/>
      </c>
      <c r="EH14" s="34">
        <f>EG14*(1+EH13)</f>
        <v/>
      </c>
      <c r="EI14" s="34">
        <f>EH14*(1+EI13)</f>
        <v/>
      </c>
      <c r="EJ14" s="34">
        <f>EI14*(1+EJ13)</f>
        <v/>
      </c>
      <c r="EK14" s="34">
        <f>EJ14*(1+EK13)</f>
        <v/>
      </c>
      <c r="EL14" s="34">
        <f>EK14*(1+EL13)</f>
        <v/>
      </c>
      <c r="EM14" s="34">
        <f>EL14*(1+EM13)</f>
        <v/>
      </c>
      <c r="EN14" s="34">
        <f>EM14*(1+EN13)</f>
        <v/>
      </c>
      <c r="EO14" s="34">
        <f>EN14*(1+EO13)</f>
        <v/>
      </c>
      <c r="EP14" s="34">
        <f>EO14*(1+EP13)</f>
        <v/>
      </c>
      <c r="EQ14" s="34">
        <f>EP14*(1+EQ13)</f>
        <v/>
      </c>
      <c r="ER14" s="34">
        <f>EQ14*(1+ER13)</f>
        <v/>
      </c>
      <c r="ES14" s="34">
        <f>ER14*(1+ES13)</f>
        <v/>
      </c>
      <c r="ET14" s="34">
        <f>ES14*(1+ET13)</f>
        <v/>
      </c>
      <c r="EU14" s="34">
        <f>ET14*(1+EU13)</f>
        <v/>
      </c>
      <c r="EV14" s="34">
        <f>EU14*(1+EV13)</f>
        <v/>
      </c>
      <c r="EW14" s="34">
        <f>EV14*(1+EW13)</f>
        <v/>
      </c>
      <c r="EX14" s="34">
        <f>EW14*(1+EX13)</f>
        <v/>
      </c>
      <c r="EY14" s="34">
        <f>EX14*(1+EY13)</f>
        <v/>
      </c>
      <c r="EZ14" s="34">
        <f>EY14*(1+EZ13)</f>
        <v/>
      </c>
      <c r="FA14" s="34">
        <f>EZ14*(1+FA13)</f>
        <v/>
      </c>
      <c r="FB14" s="34">
        <f>FA14*(1+FB13)</f>
        <v/>
      </c>
    </row>
    <row r="15">
      <c r="B15" s="11" t="inlineStr">
        <is>
          <t>Acquisition Date</t>
        </is>
      </c>
      <c r="C15" s="124" t="n">
        <v>0</v>
      </c>
      <c r="D15" s="38">
        <f>Inputs!C5</f>
        <v/>
      </c>
      <c r="E15" s="119">
        <f>Inputs!C6</f>
        <v/>
      </c>
      <c r="F15" s="178">
        <f>EOMONTH(D15,E15)</f>
        <v/>
      </c>
      <c r="G15" s="39">
        <f>INDEX($Z$4:$FB$4,MATCH(F15,$Z$6:$FB$6,0))</f>
        <v/>
      </c>
      <c r="I15" s="9">
        <f>B93</f>
        <v/>
      </c>
      <c r="N15" s="31">
        <f>SUMIF($Z$3:$FB$3,N$7,$Z15:$FB15)</f>
        <v/>
      </c>
      <c r="O15" s="31">
        <f>SUMIF($Z$3:$FB$3,O$7,$Z15:$FB15)</f>
        <v/>
      </c>
      <c r="P15" s="31">
        <f>SUMIF($Z$3:$FB$3,P$7,$Z15:$FB15)</f>
        <v/>
      </c>
      <c r="Q15" s="31">
        <f>SUMIF($Z$3:$FB$3,Q$7,$Z15:$FB15)</f>
        <v/>
      </c>
      <c r="R15" s="31">
        <f>SUMIF($Z$3:$FB$3,R$7,$Z15:$FB15)</f>
        <v/>
      </c>
      <c r="S15" s="31">
        <f>SUMIF($Z$3:$FB$3,S$7,$Z15:$FB15)</f>
        <v/>
      </c>
      <c r="T15" s="31">
        <f>SUMIF($Z$3:$FB$3,T$7,$Z15:$FB15)</f>
        <v/>
      </c>
      <c r="U15" s="31">
        <f>SUMIF($Z$3:$FB$3,U$7,$Z15:$FB15)</f>
        <v/>
      </c>
      <c r="V15" s="31">
        <f>SUMIF($Z$3:$FB$3,V$7,$Z15:$FB15)</f>
        <v/>
      </c>
      <c r="W15" s="31">
        <f>SUMIF($Z$3:$FB$3,W$7,$Z15:$FB15)</f>
        <v/>
      </c>
      <c r="X15" s="31">
        <f>SUMIF($Z$3:$FB$3,X$7,$Z15:$FB15)</f>
        <v/>
      </c>
      <c r="Z15" s="31" t="n">
        <v>0</v>
      </c>
      <c r="AA15" s="31">
        <f>IFERROR(INDEX($C93:$G93,MATCH(YEAR(AA$6),$C$89:$G$89,0))/12,Z15)</f>
        <v/>
      </c>
      <c r="AB15" s="31">
        <f>IFERROR(INDEX($C93:$G93,MATCH(YEAR(AB$6),$C$89:$G$89,0))/12,AA15)</f>
        <v/>
      </c>
      <c r="AC15" s="31">
        <f>IFERROR(INDEX($C93:$G93,MATCH(YEAR(AC$6),$C$89:$G$89,0))/12,AB15)</f>
        <v/>
      </c>
      <c r="AD15" s="31">
        <f>IFERROR(INDEX($C93:$G93,MATCH(YEAR(AD$6),$C$89:$G$89,0))/12,AC15)</f>
        <v/>
      </c>
      <c r="AE15" s="31">
        <f>IFERROR(INDEX($C93:$G93,MATCH(YEAR(AE$6),$C$89:$G$89,0))/12,AD15)</f>
        <v/>
      </c>
      <c r="AF15" s="31">
        <f>IFERROR(INDEX($C93:$G93,MATCH(YEAR(AF$6),$C$89:$G$89,0))/12,AE15)</f>
        <v/>
      </c>
      <c r="AG15" s="31">
        <f>IFERROR(INDEX($C93:$G93,MATCH(YEAR(AG$6),$C$89:$G$89,0))/12,AF15)</f>
        <v/>
      </c>
      <c r="AH15" s="31">
        <f>IFERROR(INDEX($C93:$G93,MATCH(YEAR(AH$6),$C$89:$G$89,0))/12,AG15)</f>
        <v/>
      </c>
      <c r="AI15" s="31">
        <f>IFERROR(INDEX($C93:$G93,MATCH(YEAR(AI$6),$C$89:$G$89,0))/12,AH15)</f>
        <v/>
      </c>
      <c r="AJ15" s="31">
        <f>IFERROR(INDEX($C93:$G93,MATCH(YEAR(AJ$6),$C$89:$G$89,0))/12,AI15)</f>
        <v/>
      </c>
      <c r="AK15" s="31">
        <f>IFERROR(INDEX($C93:$G93,MATCH(YEAR(AK$6),$C$89:$G$89,0))/12,AJ15)</f>
        <v/>
      </c>
      <c r="AL15" s="31">
        <f>IFERROR(INDEX($C93:$G93,MATCH(YEAR(AL$6),$C$89:$G$89,0))/12,AK15)</f>
        <v/>
      </c>
      <c r="AM15" s="31">
        <f>IFERROR(INDEX($C93:$G93,MATCH(YEAR(AM$6),$C$89:$G$89,0))/12,AL15)</f>
        <v/>
      </c>
      <c r="AN15" s="31">
        <f>IFERROR(INDEX($C93:$G93,MATCH(YEAR(AN$6),$C$89:$G$89,0))/12,AM15)</f>
        <v/>
      </c>
      <c r="AO15" s="31">
        <f>IFERROR(INDEX($C93:$G93,MATCH(YEAR(AO$6),$C$89:$G$89,0))/12,AN15)</f>
        <v/>
      </c>
      <c r="AP15" s="31">
        <f>IFERROR(INDEX($C93:$G93,MATCH(YEAR(AP$6),$C$89:$G$89,0))/12,AO15)</f>
        <v/>
      </c>
      <c r="AQ15" s="31">
        <f>IFERROR(INDEX($C93:$G93,MATCH(YEAR(AQ$6),$C$89:$G$89,0))/12,AP15)</f>
        <v/>
      </c>
      <c r="AR15" s="31">
        <f>IFERROR(INDEX($C93:$G93,MATCH(YEAR(AR$6),$C$89:$G$89,0))/12,AQ15)</f>
        <v/>
      </c>
      <c r="AS15" s="31">
        <f>IFERROR(INDEX($C93:$G93,MATCH(YEAR(AS$6),$C$89:$G$89,0))/12,AR15)</f>
        <v/>
      </c>
      <c r="AT15" s="31">
        <f>IFERROR(INDEX($C93:$G93,MATCH(YEAR(AT$6),$C$89:$G$89,0))/12,AS15)</f>
        <v/>
      </c>
      <c r="AU15" s="31">
        <f>IFERROR(INDEX($C93:$G93,MATCH(YEAR(AU$6),$C$89:$G$89,0))/12,AT15)</f>
        <v/>
      </c>
      <c r="AV15" s="31">
        <f>IFERROR(INDEX($C93:$G93,MATCH(YEAR(AV$6),$C$89:$G$89,0))/12,AU15)</f>
        <v/>
      </c>
      <c r="AW15" s="31">
        <f>IFERROR(INDEX($C93:$G93,MATCH(YEAR(AW$6),$C$89:$G$89,0))/12,AV15)</f>
        <v/>
      </c>
      <c r="AX15" s="31">
        <f>IFERROR(INDEX($C93:$G93,MATCH(YEAR(AX$6),$C$89:$G$89,0))/12,AW15)</f>
        <v/>
      </c>
      <c r="AY15" s="31">
        <f>IFERROR(INDEX($C93:$G93,MATCH(YEAR(AY$6),$C$89:$G$89,0))/12,AX15)</f>
        <v/>
      </c>
      <c r="AZ15" s="31">
        <f>IFERROR(INDEX($C93:$G93,MATCH(YEAR(AZ$6),$C$89:$G$89,0))/12,AY15)</f>
        <v/>
      </c>
      <c r="BA15" s="31">
        <f>IFERROR(INDEX($C93:$G93,MATCH(YEAR(BA$6),$C$89:$G$89,0))/12,AZ15)</f>
        <v/>
      </c>
      <c r="BB15" s="31">
        <f>IFERROR(INDEX($C93:$G93,MATCH(YEAR(BB$6),$C$89:$G$89,0))/12,BA15)</f>
        <v/>
      </c>
      <c r="BC15" s="31">
        <f>IFERROR(INDEX($C93:$G93,MATCH(YEAR(BC$6),$C$89:$G$89,0))/12,BB15)</f>
        <v/>
      </c>
      <c r="BD15" s="31">
        <f>IFERROR(INDEX($C93:$G93,MATCH(YEAR(BD$6),$C$89:$G$89,0))/12,BC15)</f>
        <v/>
      </c>
      <c r="BE15" s="31">
        <f>IFERROR(INDEX($C93:$G93,MATCH(YEAR(BE$6),$C$89:$G$89,0))/12,BD15)</f>
        <v/>
      </c>
      <c r="BF15" s="31">
        <f>IFERROR(INDEX($C93:$G93,MATCH(YEAR(BF$6),$C$89:$G$89,0))/12,BE15)</f>
        <v/>
      </c>
      <c r="BG15" s="31">
        <f>IFERROR(INDEX($C93:$G93,MATCH(YEAR(BG$6),$C$89:$G$89,0))/12,BF15)</f>
        <v/>
      </c>
      <c r="BH15" s="31">
        <f>IFERROR(INDEX($C93:$G93,MATCH(YEAR(BH$6),$C$89:$G$89,0))/12,BG15)</f>
        <v/>
      </c>
      <c r="BI15" s="31">
        <f>IFERROR(INDEX($C93:$G93,MATCH(YEAR(BI$6),$C$89:$G$89,0))/12,BH15)</f>
        <v/>
      </c>
      <c r="BJ15" s="31">
        <f>IFERROR(INDEX($C93:$G93,MATCH(YEAR(BJ$6),$C$89:$G$89,0))/12,BI15)</f>
        <v/>
      </c>
      <c r="BK15" s="31">
        <f>IFERROR(INDEX($C93:$G93,MATCH(YEAR(BK$6),$C$89:$G$89,0))/12,BJ15)</f>
        <v/>
      </c>
      <c r="BL15" s="31">
        <f>IFERROR(INDEX($C93:$G93,MATCH(YEAR(BL$6),$C$89:$G$89,0))/12,BK15)</f>
        <v/>
      </c>
      <c r="BM15" s="31">
        <f>IFERROR(INDEX($C93:$G93,MATCH(YEAR(BM$6),$C$89:$G$89,0))/12,BL15)</f>
        <v/>
      </c>
      <c r="BN15" s="31">
        <f>IFERROR(INDEX($C93:$G93,MATCH(YEAR(BN$6),$C$89:$G$89,0))/12,BM15)</f>
        <v/>
      </c>
      <c r="BO15" s="31">
        <f>IFERROR(INDEX($C93:$G93,MATCH(YEAR(BO$6),$C$89:$G$89,0))/12,BN15)</f>
        <v/>
      </c>
      <c r="BP15" s="31">
        <f>IFERROR(INDEX($C93:$G93,MATCH(YEAR(BP$6),$C$89:$G$89,0))/12,BO15)</f>
        <v/>
      </c>
      <c r="BQ15" s="31">
        <f>IFERROR(INDEX($C93:$G93,MATCH(YEAR(BQ$6),$C$89:$G$89,0))/12,BP15)</f>
        <v/>
      </c>
      <c r="BR15" s="31">
        <f>IFERROR(INDEX($C93:$G93,MATCH(YEAR(BR$6),$C$89:$G$89,0))/12,BQ15)</f>
        <v/>
      </c>
      <c r="BS15" s="31">
        <f>IFERROR(INDEX($C93:$G93,MATCH(YEAR(BS$6),$C$89:$G$89,0))/12,BR15)</f>
        <v/>
      </c>
      <c r="BT15" s="31">
        <f>IFERROR(INDEX($C93:$G93,MATCH(YEAR(BT$6),$C$89:$G$89,0))/12,BS15)</f>
        <v/>
      </c>
      <c r="BU15" s="31">
        <f>IFERROR(INDEX($C93:$G93,MATCH(YEAR(BU$6),$C$89:$G$89,0))/12,BT15)</f>
        <v/>
      </c>
      <c r="BV15" s="31">
        <f>IFERROR(INDEX($C93:$G93,MATCH(YEAR(BV$6),$C$89:$G$89,0))/12,BU15)</f>
        <v/>
      </c>
      <c r="BW15" s="31">
        <f>IFERROR(INDEX($C93:$G93,MATCH(YEAR(BW$6),$C$89:$G$89,0))/12,BV15)</f>
        <v/>
      </c>
      <c r="BX15" s="31">
        <f>IFERROR(INDEX($C93:$G93,MATCH(YEAR(BX$6),$C$89:$G$89,0))/12,BW15)</f>
        <v/>
      </c>
      <c r="BY15" s="31">
        <f>IFERROR(INDEX($C93:$G93,MATCH(YEAR(BY$6),$C$89:$G$89,0))/12,BX15)</f>
        <v/>
      </c>
      <c r="BZ15" s="31">
        <f>IFERROR(INDEX($C93:$G93,MATCH(YEAR(BZ$6),$C$89:$G$89,0))/12,BY15)</f>
        <v/>
      </c>
      <c r="CA15" s="31">
        <f>IFERROR(INDEX($C93:$G93,MATCH(YEAR(CA$6),$C$89:$G$89,0))/12,BZ15)</f>
        <v/>
      </c>
      <c r="CB15" s="31">
        <f>IFERROR(INDEX($C93:$G93,MATCH(YEAR(CB$6),$C$89:$G$89,0))/12,CA15)</f>
        <v/>
      </c>
      <c r="CC15" s="31">
        <f>IFERROR(INDEX($C93:$G93,MATCH(YEAR(CC$6),$C$89:$G$89,0))/12,CB15)</f>
        <v/>
      </c>
      <c r="CD15" s="31">
        <f>IFERROR(INDEX($C93:$G93,MATCH(YEAR(CD$6),$C$89:$G$89,0))/12,CC15)</f>
        <v/>
      </c>
      <c r="CE15" s="31">
        <f>IFERROR(INDEX($C93:$G93,MATCH(YEAR(CE$6),$C$89:$G$89,0))/12,CD15)</f>
        <v/>
      </c>
      <c r="CF15" s="31">
        <f>IFERROR(INDEX($C93:$G93,MATCH(YEAR(CF$6),$C$89:$G$89,0))/12,CE15)</f>
        <v/>
      </c>
      <c r="CG15" s="31">
        <f>IFERROR(INDEX($C93:$G93,MATCH(YEAR(CG$6),$C$89:$G$89,0))/12,CF15)</f>
        <v/>
      </c>
      <c r="CH15" s="31">
        <f>IFERROR(INDEX($C93:$G93,MATCH(YEAR(CH$6),$C$89:$G$89,0))/12,CG15)</f>
        <v/>
      </c>
      <c r="CI15" s="31">
        <f>IFERROR(INDEX($C93:$G93,MATCH(YEAR(CI$6),$C$89:$G$89,0))/12,CH15)</f>
        <v/>
      </c>
      <c r="CJ15" s="31">
        <f>IFERROR(INDEX($C93:$G93,MATCH(YEAR(CJ$6),$C$89:$G$89,0))/12,CI15)</f>
        <v/>
      </c>
      <c r="CK15" s="31">
        <f>IFERROR(INDEX($C93:$G93,MATCH(YEAR(CK$6),$C$89:$G$89,0))/12,CJ15)</f>
        <v/>
      </c>
      <c r="CL15" s="31">
        <f>IFERROR(INDEX($C93:$G93,MATCH(YEAR(CL$6),$C$89:$G$89,0))/12,CK15)</f>
        <v/>
      </c>
      <c r="CM15" s="31">
        <f>IFERROR(INDEX($C93:$G93,MATCH(YEAR(CM$6),$C$89:$G$89,0))/12,CL15)</f>
        <v/>
      </c>
      <c r="CN15" s="31">
        <f>IFERROR(INDEX($C93:$G93,MATCH(YEAR(CN$6),$C$89:$G$89,0))/12,CM15)</f>
        <v/>
      </c>
      <c r="CO15" s="31">
        <f>IFERROR(INDEX($C93:$G93,MATCH(YEAR(CO$6),$C$89:$G$89,0))/12,CN15)</f>
        <v/>
      </c>
      <c r="CP15" s="31">
        <f>IFERROR(INDEX($C93:$G93,MATCH(YEAR(CP$6),$C$89:$G$89,0))/12,CO15)</f>
        <v/>
      </c>
      <c r="CQ15" s="31">
        <f>IFERROR(INDEX($C93:$G93,MATCH(YEAR(CQ$6),$C$89:$G$89,0))/12,CP15)</f>
        <v/>
      </c>
      <c r="CR15" s="31">
        <f>IFERROR(INDEX($C93:$G93,MATCH(YEAR(CR$6),$C$89:$G$89,0))/12,CQ15)</f>
        <v/>
      </c>
      <c r="CS15" s="31">
        <f>IFERROR(INDEX($C93:$G93,MATCH(YEAR(CS$6),$C$89:$G$89,0))/12,CR15)</f>
        <v/>
      </c>
      <c r="CT15" s="31">
        <f>IFERROR(INDEX($C93:$G93,MATCH(YEAR(CT$6),$C$89:$G$89,0))/12,CS15)</f>
        <v/>
      </c>
      <c r="CU15" s="31">
        <f>IFERROR(INDEX($C93:$G93,MATCH(YEAR(CU$6),$C$89:$G$89,0))/12,CT15)</f>
        <v/>
      </c>
      <c r="CV15" s="31">
        <f>IFERROR(INDEX($C93:$G93,MATCH(YEAR(CV$6),$C$89:$G$89,0))/12,CU15)</f>
        <v/>
      </c>
      <c r="CW15" s="31">
        <f>IFERROR(INDEX($C93:$G93,MATCH(YEAR(CW$6),$C$89:$G$89,0))/12,CV15)</f>
        <v/>
      </c>
      <c r="CX15" s="31">
        <f>IFERROR(INDEX($C93:$G93,MATCH(YEAR(CX$6),$C$89:$G$89,0))/12,CW15)</f>
        <v/>
      </c>
      <c r="CY15" s="31">
        <f>IFERROR(INDEX($C93:$G93,MATCH(YEAR(CY$6),$C$89:$G$89,0))/12,CX15)</f>
        <v/>
      </c>
      <c r="CZ15" s="31">
        <f>IFERROR(INDEX($C93:$G93,MATCH(YEAR(CZ$6),$C$89:$G$89,0))/12,CY15)</f>
        <v/>
      </c>
      <c r="DA15" s="31">
        <f>IFERROR(INDEX($C93:$G93,MATCH(YEAR(DA$6),$C$89:$G$89,0))/12,CZ15)</f>
        <v/>
      </c>
      <c r="DB15" s="31">
        <f>IFERROR(INDEX($C93:$G93,MATCH(YEAR(DB$6),$C$89:$G$89,0))/12,DA15)</f>
        <v/>
      </c>
      <c r="DC15" s="31">
        <f>IFERROR(INDEX($C93:$G93,MATCH(YEAR(DC$6),$C$89:$G$89,0))/12,DB15)</f>
        <v/>
      </c>
      <c r="DD15" s="31">
        <f>IFERROR(INDEX($C93:$G93,MATCH(YEAR(DD$6),$C$89:$G$89,0))/12,DC15)</f>
        <v/>
      </c>
      <c r="DE15" s="31">
        <f>IFERROR(INDEX($C93:$G93,MATCH(YEAR(DE$6),$C$89:$G$89,0))/12,DD15)</f>
        <v/>
      </c>
      <c r="DF15" s="31">
        <f>IFERROR(INDEX($C93:$G93,MATCH(YEAR(DF$6),$C$89:$G$89,0))/12,DE15)</f>
        <v/>
      </c>
      <c r="DG15" s="31">
        <f>IFERROR(INDEX($C93:$G93,MATCH(YEAR(DG$6),$C$89:$G$89,0))/12,DF15)</f>
        <v/>
      </c>
      <c r="DH15" s="31">
        <f>IFERROR(INDEX($C93:$G93,MATCH(YEAR(DH$6),$C$89:$G$89,0))/12,DG15)</f>
        <v/>
      </c>
      <c r="DI15" s="31">
        <f>IFERROR(INDEX($C93:$G93,MATCH(YEAR(DI$6),$C$89:$G$89,0))/12,DH15)</f>
        <v/>
      </c>
      <c r="DJ15" s="31">
        <f>IFERROR(INDEX($C93:$G93,MATCH(YEAR(DJ$6),$C$89:$G$89,0))/12,DI15)</f>
        <v/>
      </c>
      <c r="DK15" s="31">
        <f>IFERROR(INDEX($C93:$G93,MATCH(YEAR(DK$6),$C$89:$G$89,0))/12,DJ15)</f>
        <v/>
      </c>
      <c r="DL15" s="31">
        <f>IFERROR(INDEX($C93:$G93,MATCH(YEAR(DL$6),$C$89:$G$89,0))/12,DK15)</f>
        <v/>
      </c>
      <c r="DM15" s="31">
        <f>IFERROR(INDEX($C93:$G93,MATCH(YEAR(DM$6),$C$89:$G$89,0))/12,DL15)</f>
        <v/>
      </c>
      <c r="DN15" s="31">
        <f>IFERROR(INDEX($C93:$G93,MATCH(YEAR(DN$6),$C$89:$G$89,0))/12,DM15)</f>
        <v/>
      </c>
      <c r="DO15" s="31">
        <f>IFERROR(INDEX($C93:$G93,MATCH(YEAR(DO$6),$C$89:$G$89,0))/12,DN15)</f>
        <v/>
      </c>
      <c r="DP15" s="31">
        <f>IFERROR(INDEX($C93:$G93,MATCH(YEAR(DP$6),$C$89:$G$89,0))/12,DO15)</f>
        <v/>
      </c>
      <c r="DQ15" s="31">
        <f>IFERROR(INDEX($C93:$G93,MATCH(YEAR(DQ$6),$C$89:$G$89,0))/12,DP15)</f>
        <v/>
      </c>
      <c r="DR15" s="31">
        <f>IFERROR(INDEX($C93:$G93,MATCH(YEAR(DR$6),$C$89:$G$89,0))/12,DQ15)</f>
        <v/>
      </c>
      <c r="DS15" s="31">
        <f>IFERROR(INDEX($C93:$G93,MATCH(YEAR(DS$6),$C$89:$G$89,0))/12,DR15)</f>
        <v/>
      </c>
      <c r="DT15" s="31">
        <f>IFERROR(INDEX($C93:$G93,MATCH(YEAR(DT$6),$C$89:$G$89,0))/12,DS15)</f>
        <v/>
      </c>
      <c r="DU15" s="31">
        <f>IFERROR(INDEX($C93:$G93,MATCH(YEAR(DU$6),$C$89:$G$89,0))/12,DT15)</f>
        <v/>
      </c>
      <c r="DV15" s="31">
        <f>IFERROR(INDEX($C93:$G93,MATCH(YEAR(DV$6),$C$89:$G$89,0))/12,DU15)</f>
        <v/>
      </c>
      <c r="DW15" s="31">
        <f>IFERROR(INDEX($C93:$G93,MATCH(YEAR(DW$6),$C$89:$G$89,0))/12,DV15)</f>
        <v/>
      </c>
      <c r="DX15" s="31">
        <f>IFERROR(INDEX($C93:$G93,MATCH(YEAR(DX$6),$C$89:$G$89,0))/12,DW15)</f>
        <v/>
      </c>
      <c r="DY15" s="31">
        <f>IFERROR(INDEX($C93:$G93,MATCH(YEAR(DY$6),$C$89:$G$89,0))/12,DX15)</f>
        <v/>
      </c>
      <c r="DZ15" s="31">
        <f>IFERROR(INDEX($C93:$G93,MATCH(YEAR(DZ$6),$C$89:$G$89,0))/12,DY15)</f>
        <v/>
      </c>
      <c r="EA15" s="31">
        <f>IFERROR(INDEX($C93:$G93,MATCH(YEAR(EA$6),$C$89:$G$89,0))/12,DZ15)</f>
        <v/>
      </c>
      <c r="EB15" s="31">
        <f>IFERROR(INDEX($C93:$G93,MATCH(YEAR(EB$6),$C$89:$G$89,0))/12,EA15)</f>
        <v/>
      </c>
      <c r="EC15" s="31">
        <f>IFERROR(INDEX($C93:$G93,MATCH(YEAR(EC$6),$C$89:$G$89,0))/12,EB15)</f>
        <v/>
      </c>
      <c r="ED15" s="31">
        <f>IFERROR(INDEX($C93:$G93,MATCH(YEAR(ED$6),$C$89:$G$89,0))/12,EC15)</f>
        <v/>
      </c>
      <c r="EE15" s="31">
        <f>IFERROR(INDEX($C93:$G93,MATCH(YEAR(EE$6),$C$89:$G$89,0))/12,ED15)</f>
        <v/>
      </c>
      <c r="EF15" s="31">
        <f>IFERROR(INDEX($C93:$G93,MATCH(YEAR(EF$6),$C$89:$G$89,0))/12,EE15)</f>
        <v/>
      </c>
      <c r="EG15" s="31">
        <f>IFERROR(INDEX($C93:$G93,MATCH(YEAR(EG$6),$C$89:$G$89,0))/12,EF15)</f>
        <v/>
      </c>
      <c r="EH15" s="31">
        <f>IFERROR(INDEX($C93:$G93,MATCH(YEAR(EH$6),$C$89:$G$89,0))/12,EG15)</f>
        <v/>
      </c>
      <c r="EI15" s="31">
        <f>IFERROR(INDEX($C93:$G93,MATCH(YEAR(EI$6),$C$89:$G$89,0))/12,EH15)</f>
        <v/>
      </c>
      <c r="EJ15" s="31">
        <f>IFERROR(INDEX($C93:$G93,MATCH(YEAR(EJ$6),$C$89:$G$89,0))/12,EI15)</f>
        <v/>
      </c>
      <c r="EK15" s="31">
        <f>IFERROR(INDEX($C93:$G93,MATCH(YEAR(EK$6),$C$89:$G$89,0))/12,EJ15)</f>
        <v/>
      </c>
      <c r="EL15" s="31">
        <f>IFERROR(INDEX($C93:$G93,MATCH(YEAR(EL$6),$C$89:$G$89,0))/12,EK15)</f>
        <v/>
      </c>
      <c r="EM15" s="31">
        <f>IFERROR(INDEX($C93:$G93,MATCH(YEAR(EM$6),$C$89:$G$89,0))/12,EL15)</f>
        <v/>
      </c>
      <c r="EN15" s="31">
        <f>IFERROR(INDEX($C93:$G93,MATCH(YEAR(EN$6),$C$89:$G$89,0))/12,EM15)</f>
        <v/>
      </c>
      <c r="EO15" s="31">
        <f>IFERROR(INDEX($C93:$G93,MATCH(YEAR(EO$6),$C$89:$G$89,0))/12,EN15)</f>
        <v/>
      </c>
      <c r="EP15" s="31">
        <f>IFERROR(INDEX($C93:$G93,MATCH(YEAR(EP$6),$C$89:$G$89,0))/12,EO15)</f>
        <v/>
      </c>
      <c r="EQ15" s="31">
        <f>IFERROR(INDEX($C93:$G93,MATCH(YEAR(EQ$6),$C$89:$G$89,0))/12,EP15)</f>
        <v/>
      </c>
      <c r="ER15" s="31">
        <f>IFERROR(INDEX($C93:$G93,MATCH(YEAR(ER$6),$C$89:$G$89,0))/12,EQ15)</f>
        <v/>
      </c>
      <c r="ES15" s="31">
        <f>IFERROR(INDEX($C93:$G93,MATCH(YEAR(ES$6),$C$89:$G$89,0))/12,ER15)</f>
        <v/>
      </c>
      <c r="ET15" s="31">
        <f>IFERROR(INDEX($C93:$G93,MATCH(YEAR(ET$6),$C$89:$G$89,0))/12,ES15)</f>
        <v/>
      </c>
      <c r="EU15" s="31">
        <f>IFERROR(INDEX($C93:$G93,MATCH(YEAR(EU$6),$C$89:$G$89,0))/12,ET15)</f>
        <v/>
      </c>
      <c r="EV15" s="31">
        <f>IFERROR(INDEX($C93:$G93,MATCH(YEAR(EV$6),$C$89:$G$89,0))/12,EU15)</f>
        <v/>
      </c>
      <c r="EW15" s="31">
        <f>IFERROR(INDEX($C93:$G93,MATCH(YEAR(EW$6),$C$89:$G$89,0))/12,EV15)</f>
        <v/>
      </c>
      <c r="EX15" s="31">
        <f>IFERROR(INDEX($C93:$G93,MATCH(YEAR(EX$6),$C$89:$G$89,0))/12,EW15)</f>
        <v/>
      </c>
      <c r="EY15" s="31">
        <f>IFERROR(INDEX($C93:$G93,MATCH(YEAR(EY$6),$C$89:$G$89,0))/12,EX15)</f>
        <v/>
      </c>
      <c r="EZ15" s="31">
        <f>IFERROR(INDEX($C93:$G93,MATCH(YEAR(EZ$6),$C$89:$G$89,0))/12,EY15)</f>
        <v/>
      </c>
      <c r="FA15" s="31">
        <f>IFERROR(INDEX($C93:$G93,MATCH(YEAR(FA$6),$C$89:$G$89,0))/12,EZ15)</f>
        <v/>
      </c>
      <c r="FB15" s="31">
        <f>IFERROR(INDEX($C93:$G93,MATCH(YEAR(FB$6),$C$89:$G$89,0))/12,FA15)</f>
        <v/>
      </c>
    </row>
    <row r="16">
      <c r="B16" s="11" t="inlineStr">
        <is>
          <t>Hold Period</t>
        </is>
      </c>
      <c r="C16" s="124">
        <f>INDEX($Z$4:$FB$4,MATCH(D16,$Z$6:$FB$6,0))</f>
        <v/>
      </c>
      <c r="D16" s="40">
        <f>EOMONTH(F15,0)</f>
        <v/>
      </c>
      <c r="E16" s="119">
        <f>Inputs!C7</f>
        <v/>
      </c>
      <c r="F16" s="178">
        <f>EOMONTH(D16,E16-1)</f>
        <v/>
      </c>
      <c r="G16" s="39">
        <f>INDEX($Z$4:$FB$4,MATCH(F16,$Z$6:$FB$6,0))</f>
        <v/>
      </c>
      <c r="I16" s="32" t="inlineStr">
        <is>
          <t>Compounded Rate</t>
        </is>
      </c>
      <c r="J16" s="32" t="n"/>
      <c r="K16" s="33" t="n"/>
      <c r="L16" s="134" t="n"/>
      <c r="M16" s="33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3" t="n"/>
      <c r="Z16" s="34" t="n">
        <v>1</v>
      </c>
      <c r="AA16" s="34">
        <f>Z16*(1+AA15)</f>
        <v/>
      </c>
      <c r="AB16" s="34">
        <f>AA16*(1+AB15)</f>
        <v/>
      </c>
      <c r="AC16" s="34">
        <f>AB16*(1+AC15)</f>
        <v/>
      </c>
      <c r="AD16" s="34">
        <f>AC16*(1+AD15)</f>
        <v/>
      </c>
      <c r="AE16" s="34">
        <f>AD16*(1+AE15)</f>
        <v/>
      </c>
      <c r="AF16" s="34">
        <f>AE16*(1+AF15)</f>
        <v/>
      </c>
      <c r="AG16" s="34">
        <f>AF16*(1+AG15)</f>
        <v/>
      </c>
      <c r="AH16" s="34">
        <f>AG16*(1+AH15)</f>
        <v/>
      </c>
      <c r="AI16" s="34">
        <f>AH16*(1+AI15)</f>
        <v/>
      </c>
      <c r="AJ16" s="34">
        <f>AI16*(1+AJ15)</f>
        <v/>
      </c>
      <c r="AK16" s="34">
        <f>AJ16*(1+AK15)</f>
        <v/>
      </c>
      <c r="AL16" s="34">
        <f>AK16*(1+AL15)</f>
        <v/>
      </c>
      <c r="AM16" s="34">
        <f>AL16*(1+AM15)</f>
        <v/>
      </c>
      <c r="AN16" s="34">
        <f>AM16*(1+AN15)</f>
        <v/>
      </c>
      <c r="AO16" s="34">
        <f>AN16*(1+AO15)</f>
        <v/>
      </c>
      <c r="AP16" s="34">
        <f>AO16*(1+AP15)</f>
        <v/>
      </c>
      <c r="AQ16" s="34">
        <f>AP16*(1+AQ15)</f>
        <v/>
      </c>
      <c r="AR16" s="34">
        <f>AQ16*(1+AR15)</f>
        <v/>
      </c>
      <c r="AS16" s="34">
        <f>AR16*(1+AS15)</f>
        <v/>
      </c>
      <c r="AT16" s="34">
        <f>AS16*(1+AT15)</f>
        <v/>
      </c>
      <c r="AU16" s="34">
        <f>AT16*(1+AU15)</f>
        <v/>
      </c>
      <c r="AV16" s="34">
        <f>AU16*(1+AV15)</f>
        <v/>
      </c>
      <c r="AW16" s="34">
        <f>AV16*(1+AW15)</f>
        <v/>
      </c>
      <c r="AX16" s="34">
        <f>AW16*(1+AX15)</f>
        <v/>
      </c>
      <c r="AY16" s="34">
        <f>AX16*(1+AY15)</f>
        <v/>
      </c>
      <c r="AZ16" s="34">
        <f>AY16*(1+AZ15)</f>
        <v/>
      </c>
      <c r="BA16" s="34">
        <f>AZ16*(1+BA15)</f>
        <v/>
      </c>
      <c r="BB16" s="34">
        <f>BA16*(1+BB15)</f>
        <v/>
      </c>
      <c r="BC16" s="34">
        <f>BB16*(1+BC15)</f>
        <v/>
      </c>
      <c r="BD16" s="34">
        <f>BC16*(1+BD15)</f>
        <v/>
      </c>
      <c r="BE16" s="34">
        <f>BD16*(1+BE15)</f>
        <v/>
      </c>
      <c r="BF16" s="34">
        <f>BE16*(1+BF15)</f>
        <v/>
      </c>
      <c r="BG16" s="34">
        <f>BF16*(1+BG15)</f>
        <v/>
      </c>
      <c r="BH16" s="34">
        <f>BG16*(1+BH15)</f>
        <v/>
      </c>
      <c r="BI16" s="34">
        <f>BH16*(1+BI15)</f>
        <v/>
      </c>
      <c r="BJ16" s="34">
        <f>BI16*(1+BJ15)</f>
        <v/>
      </c>
      <c r="BK16" s="34">
        <f>BJ16*(1+BK15)</f>
        <v/>
      </c>
      <c r="BL16" s="34">
        <f>BK16*(1+BL15)</f>
        <v/>
      </c>
      <c r="BM16" s="34">
        <f>BL16*(1+BM15)</f>
        <v/>
      </c>
      <c r="BN16" s="34">
        <f>BM16*(1+BN15)</f>
        <v/>
      </c>
      <c r="BO16" s="34">
        <f>BN16*(1+BO15)</f>
        <v/>
      </c>
      <c r="BP16" s="34">
        <f>BO16*(1+BP15)</f>
        <v/>
      </c>
      <c r="BQ16" s="34">
        <f>BP16*(1+BQ15)</f>
        <v/>
      </c>
      <c r="BR16" s="34">
        <f>BQ16*(1+BR15)</f>
        <v/>
      </c>
      <c r="BS16" s="34">
        <f>BR16*(1+BS15)</f>
        <v/>
      </c>
      <c r="BT16" s="34">
        <f>BS16*(1+BT15)</f>
        <v/>
      </c>
      <c r="BU16" s="34">
        <f>BT16*(1+BU15)</f>
        <v/>
      </c>
      <c r="BV16" s="34">
        <f>BU16*(1+BV15)</f>
        <v/>
      </c>
      <c r="BW16" s="34">
        <f>BV16*(1+BW15)</f>
        <v/>
      </c>
      <c r="BX16" s="34">
        <f>BW16*(1+BX15)</f>
        <v/>
      </c>
      <c r="BY16" s="34">
        <f>BX16*(1+BY15)</f>
        <v/>
      </c>
      <c r="BZ16" s="34">
        <f>BY16*(1+BZ15)</f>
        <v/>
      </c>
      <c r="CA16" s="34">
        <f>BZ16*(1+CA15)</f>
        <v/>
      </c>
      <c r="CB16" s="34">
        <f>CA16*(1+CB15)</f>
        <v/>
      </c>
      <c r="CC16" s="34">
        <f>CB16*(1+CC15)</f>
        <v/>
      </c>
      <c r="CD16" s="34">
        <f>CC16*(1+CD15)</f>
        <v/>
      </c>
      <c r="CE16" s="34">
        <f>CD16*(1+CE15)</f>
        <v/>
      </c>
      <c r="CF16" s="34">
        <f>CE16*(1+CF15)</f>
        <v/>
      </c>
      <c r="CG16" s="34">
        <f>CF16*(1+CG15)</f>
        <v/>
      </c>
      <c r="CH16" s="34">
        <f>CG16*(1+CH15)</f>
        <v/>
      </c>
      <c r="CI16" s="34">
        <f>CH16*(1+CI15)</f>
        <v/>
      </c>
      <c r="CJ16" s="34">
        <f>CI16*(1+CJ15)</f>
        <v/>
      </c>
      <c r="CK16" s="34">
        <f>CJ16*(1+CK15)</f>
        <v/>
      </c>
      <c r="CL16" s="34">
        <f>CK16*(1+CL15)</f>
        <v/>
      </c>
      <c r="CM16" s="34">
        <f>CL16*(1+CM15)</f>
        <v/>
      </c>
      <c r="CN16" s="34">
        <f>CM16*(1+CN15)</f>
        <v/>
      </c>
      <c r="CO16" s="34">
        <f>CN16*(1+CO15)</f>
        <v/>
      </c>
      <c r="CP16" s="34">
        <f>CO16*(1+CP15)</f>
        <v/>
      </c>
      <c r="CQ16" s="34">
        <f>CP16*(1+CQ15)</f>
        <v/>
      </c>
      <c r="CR16" s="34">
        <f>CQ16*(1+CR15)</f>
        <v/>
      </c>
      <c r="CS16" s="34">
        <f>CR16*(1+CS15)</f>
        <v/>
      </c>
      <c r="CT16" s="34">
        <f>CS16*(1+CT15)</f>
        <v/>
      </c>
      <c r="CU16" s="34">
        <f>CT16*(1+CU15)</f>
        <v/>
      </c>
      <c r="CV16" s="34">
        <f>CU16*(1+CV15)</f>
        <v/>
      </c>
      <c r="CW16" s="34">
        <f>CV16*(1+CW15)</f>
        <v/>
      </c>
      <c r="CX16" s="34">
        <f>CW16*(1+CX15)</f>
        <v/>
      </c>
      <c r="CY16" s="34">
        <f>CX16*(1+CY15)</f>
        <v/>
      </c>
      <c r="CZ16" s="34">
        <f>CY16*(1+CZ15)</f>
        <v/>
      </c>
      <c r="DA16" s="34">
        <f>CZ16*(1+DA15)</f>
        <v/>
      </c>
      <c r="DB16" s="34">
        <f>DA16*(1+DB15)</f>
        <v/>
      </c>
      <c r="DC16" s="34">
        <f>DB16*(1+DC15)</f>
        <v/>
      </c>
      <c r="DD16" s="34">
        <f>DC16*(1+DD15)</f>
        <v/>
      </c>
      <c r="DE16" s="34">
        <f>DD16*(1+DE15)</f>
        <v/>
      </c>
      <c r="DF16" s="34">
        <f>DE16*(1+DF15)</f>
        <v/>
      </c>
      <c r="DG16" s="34">
        <f>DF16*(1+DG15)</f>
        <v/>
      </c>
      <c r="DH16" s="34">
        <f>DG16*(1+DH15)</f>
        <v/>
      </c>
      <c r="DI16" s="34">
        <f>DH16*(1+DI15)</f>
        <v/>
      </c>
      <c r="DJ16" s="34">
        <f>DI16*(1+DJ15)</f>
        <v/>
      </c>
      <c r="DK16" s="34">
        <f>DJ16*(1+DK15)</f>
        <v/>
      </c>
      <c r="DL16" s="34">
        <f>DK16*(1+DL15)</f>
        <v/>
      </c>
      <c r="DM16" s="34">
        <f>DL16*(1+DM15)</f>
        <v/>
      </c>
      <c r="DN16" s="34">
        <f>DM16*(1+DN15)</f>
        <v/>
      </c>
      <c r="DO16" s="34">
        <f>DN16*(1+DO15)</f>
        <v/>
      </c>
      <c r="DP16" s="34">
        <f>DO16*(1+DP15)</f>
        <v/>
      </c>
      <c r="DQ16" s="34">
        <f>DP16*(1+DQ15)</f>
        <v/>
      </c>
      <c r="DR16" s="34">
        <f>DQ16*(1+DR15)</f>
        <v/>
      </c>
      <c r="DS16" s="34">
        <f>DR16*(1+DS15)</f>
        <v/>
      </c>
      <c r="DT16" s="34">
        <f>DS16*(1+DT15)</f>
        <v/>
      </c>
      <c r="DU16" s="34">
        <f>DT16*(1+DU15)</f>
        <v/>
      </c>
      <c r="DV16" s="34">
        <f>DU16*(1+DV15)</f>
        <v/>
      </c>
      <c r="DW16" s="34">
        <f>DV16*(1+DW15)</f>
        <v/>
      </c>
      <c r="DX16" s="34">
        <f>DW16*(1+DX15)</f>
        <v/>
      </c>
      <c r="DY16" s="34">
        <f>DX16*(1+DY15)</f>
        <v/>
      </c>
      <c r="DZ16" s="34">
        <f>DY16*(1+DZ15)</f>
        <v/>
      </c>
      <c r="EA16" s="34">
        <f>DZ16*(1+EA15)</f>
        <v/>
      </c>
      <c r="EB16" s="34">
        <f>EA16*(1+EB15)</f>
        <v/>
      </c>
      <c r="EC16" s="34">
        <f>EB16*(1+EC15)</f>
        <v/>
      </c>
      <c r="ED16" s="34">
        <f>EC16*(1+ED15)</f>
        <v/>
      </c>
      <c r="EE16" s="34">
        <f>ED16*(1+EE15)</f>
        <v/>
      </c>
      <c r="EF16" s="34">
        <f>EE16*(1+EF15)</f>
        <v/>
      </c>
      <c r="EG16" s="34">
        <f>EF16*(1+EG15)</f>
        <v/>
      </c>
      <c r="EH16" s="34">
        <f>EG16*(1+EH15)</f>
        <v/>
      </c>
      <c r="EI16" s="34">
        <f>EH16*(1+EI15)</f>
        <v/>
      </c>
      <c r="EJ16" s="34">
        <f>EI16*(1+EJ15)</f>
        <v/>
      </c>
      <c r="EK16" s="34">
        <f>EJ16*(1+EK15)</f>
        <v/>
      </c>
      <c r="EL16" s="34">
        <f>EK16*(1+EL15)</f>
        <v/>
      </c>
      <c r="EM16" s="34">
        <f>EL16*(1+EM15)</f>
        <v/>
      </c>
      <c r="EN16" s="34">
        <f>EM16*(1+EN15)</f>
        <v/>
      </c>
      <c r="EO16" s="34">
        <f>EN16*(1+EO15)</f>
        <v/>
      </c>
      <c r="EP16" s="34">
        <f>EO16*(1+EP15)</f>
        <v/>
      </c>
      <c r="EQ16" s="34">
        <f>EP16*(1+EQ15)</f>
        <v/>
      </c>
      <c r="ER16" s="34">
        <f>EQ16*(1+ER15)</f>
        <v/>
      </c>
      <c r="ES16" s="34">
        <f>ER16*(1+ES15)</f>
        <v/>
      </c>
      <c r="ET16" s="34">
        <f>ES16*(1+ET15)</f>
        <v/>
      </c>
      <c r="EU16" s="34">
        <f>ET16*(1+EU15)</f>
        <v/>
      </c>
      <c r="EV16" s="34">
        <f>EU16*(1+EV15)</f>
        <v/>
      </c>
      <c r="EW16" s="34">
        <f>EV16*(1+EW15)</f>
        <v/>
      </c>
      <c r="EX16" s="34">
        <f>EW16*(1+EX15)</f>
        <v/>
      </c>
      <c r="EY16" s="34">
        <f>EX16*(1+EY15)</f>
        <v/>
      </c>
      <c r="EZ16" s="34">
        <f>EY16*(1+EZ15)</f>
        <v/>
      </c>
      <c r="FA16" s="34">
        <f>EZ16*(1+FA15)</f>
        <v/>
      </c>
      <c r="FB16" s="34">
        <f>FA16*(1+FB15)</f>
        <v/>
      </c>
    </row>
    <row r="17">
      <c r="B17" s="11" t="inlineStr">
        <is>
          <t>Refinance</t>
        </is>
      </c>
      <c r="C17" s="125">
        <f>INDEX($Z$4:$FB$4,MATCH(D17,$Z$6:$FB$6,0))</f>
        <v/>
      </c>
      <c r="D17" s="40">
        <f>EOMONTH(F16,0)</f>
        <v/>
      </c>
      <c r="E17" s="119" t="n">
        <v>1</v>
      </c>
      <c r="F17" s="178">
        <f>EOMONTH(D17,E17-1)</f>
        <v/>
      </c>
      <c r="G17" s="39">
        <f>INDEX($Z$4:$FB$4,MATCH(F17,$Z$6:$FB$6,0))</f>
        <v/>
      </c>
      <c r="Z17" s="31" t="n"/>
    </row>
    <row r="18">
      <c r="B18" s="128">
        <f>Inputs!C83</f>
        <v/>
      </c>
      <c r="C18" s="126">
        <f>INDEX($Z$4:$FB$4,MATCH(D18,$Z$6:$FB$6,0))</f>
        <v/>
      </c>
      <c r="D18" s="41">
        <f>EOMONTH(F17,0)</f>
        <v/>
      </c>
      <c r="E18" s="42">
        <f>G18-C18</f>
        <v/>
      </c>
      <c r="F18" s="178">
        <f>EOMONTH(D15,B18*12-1)</f>
        <v/>
      </c>
      <c r="G18" s="39">
        <f>INDEX($Z$4:$FB$4,MATCH(F18,$Z$6:$FB$6,0))</f>
        <v/>
      </c>
      <c r="I18" s="15" t="inlineStr">
        <is>
          <t>Rent Analysis</t>
        </is>
      </c>
    </row>
    <row r="19">
      <c r="B19" s="15" t="n"/>
      <c r="C19" s="43" t="n"/>
      <c r="D19" s="127" t="n"/>
      <c r="E19" s="44" t="n"/>
      <c r="F19" s="44" t="n"/>
      <c r="G19" s="44" t="n"/>
      <c r="I19" s="9" t="inlineStr">
        <is>
          <t>Potential Gross MR Rent/Unit</t>
        </is>
      </c>
      <c r="Z19" s="46">
        <f>D75</f>
        <v/>
      </c>
      <c r="AA19" s="46">
        <f>Z19*(1+AA9)</f>
        <v/>
      </c>
      <c r="AB19" s="46">
        <f>AA19*(1+AB9)</f>
        <v/>
      </c>
      <c r="AC19" s="46">
        <f>AB19*(1+AC9)</f>
        <v/>
      </c>
      <c r="AD19" s="46">
        <f>AC19*(1+AD9)</f>
        <v/>
      </c>
      <c r="AE19" s="46">
        <f>AD19*(1+AE9)</f>
        <v/>
      </c>
      <c r="AF19" s="46">
        <f>AE19*(1+AF9)</f>
        <v/>
      </c>
      <c r="AG19" s="46">
        <f>AF19*(1+AG9)</f>
        <v/>
      </c>
      <c r="AH19" s="46">
        <f>AG19*(1+AH9)</f>
        <v/>
      </c>
      <c r="AI19" s="46">
        <f>AH19*(1+AI9)</f>
        <v/>
      </c>
      <c r="AJ19" s="46">
        <f>AI19*(1+AJ9)</f>
        <v/>
      </c>
      <c r="AK19" s="46">
        <f>AJ19*(1+AK9)</f>
        <v/>
      </c>
      <c r="AL19" s="46">
        <f>AK19*(1+AL9)</f>
        <v/>
      </c>
      <c r="AM19" s="46">
        <f>AL19*(1+AM9)</f>
        <v/>
      </c>
      <c r="AN19" s="46">
        <f>AM19*(1+AN9)</f>
        <v/>
      </c>
      <c r="AO19" s="46">
        <f>AN19*(1+AO9)</f>
        <v/>
      </c>
      <c r="AP19" s="46">
        <f>AO19*(1+AP9)</f>
        <v/>
      </c>
      <c r="AQ19" s="46">
        <f>AP19*(1+AQ9)</f>
        <v/>
      </c>
      <c r="AR19" s="46">
        <f>AQ19*(1+AR9)</f>
        <v/>
      </c>
      <c r="AS19" s="46">
        <f>AR19*(1+AS9)</f>
        <v/>
      </c>
      <c r="AT19" s="46">
        <f>AS19*(1+AT9)</f>
        <v/>
      </c>
      <c r="AU19" s="46">
        <f>AT19*(1+AU9)</f>
        <v/>
      </c>
      <c r="AV19" s="46">
        <f>AU19*(1+AV9)</f>
        <v/>
      </c>
      <c r="AW19" s="46">
        <f>AV19*(1+AW9)</f>
        <v/>
      </c>
      <c r="AX19" s="46">
        <f>AW19*(1+AX9)</f>
        <v/>
      </c>
      <c r="AY19" s="46">
        <f>AX19*(1+AY9)</f>
        <v/>
      </c>
      <c r="AZ19" s="46">
        <f>AY19*(1+AZ9)</f>
        <v/>
      </c>
      <c r="BA19" s="46">
        <f>AZ19*(1+BA9)</f>
        <v/>
      </c>
      <c r="BB19" s="46">
        <f>BA19*(1+BB9)</f>
        <v/>
      </c>
      <c r="BC19" s="46">
        <f>BB19*(1+BC9)</f>
        <v/>
      </c>
      <c r="BD19" s="46">
        <f>BC19*(1+BD9)</f>
        <v/>
      </c>
      <c r="BE19" s="46">
        <f>BD19*(1+BE9)</f>
        <v/>
      </c>
      <c r="BF19" s="46">
        <f>BE19*(1+BF9)</f>
        <v/>
      </c>
      <c r="BG19" s="46">
        <f>BF19*(1+BG9)</f>
        <v/>
      </c>
      <c r="BH19" s="46">
        <f>BG19*(1+BH9)</f>
        <v/>
      </c>
      <c r="BI19" s="46">
        <f>BH19*(1+BI9)</f>
        <v/>
      </c>
      <c r="BJ19" s="46">
        <f>BI19*(1+BJ9)</f>
        <v/>
      </c>
      <c r="BK19" s="46">
        <f>BJ19*(1+BK9)</f>
        <v/>
      </c>
      <c r="BL19" s="46">
        <f>BK19*(1+BL9)</f>
        <v/>
      </c>
      <c r="BM19" s="46">
        <f>BL19*(1+BM9)</f>
        <v/>
      </c>
      <c r="BN19" s="46">
        <f>BM19*(1+BN9)</f>
        <v/>
      </c>
      <c r="BO19" s="46">
        <f>BN19*(1+BO9)</f>
        <v/>
      </c>
      <c r="BP19" s="46">
        <f>BO19*(1+BP9)</f>
        <v/>
      </c>
      <c r="BQ19" s="46">
        <f>BP19*(1+BQ9)</f>
        <v/>
      </c>
      <c r="BR19" s="46">
        <f>BQ19*(1+BR9)</f>
        <v/>
      </c>
      <c r="BS19" s="46">
        <f>BR19*(1+BS9)</f>
        <v/>
      </c>
      <c r="BT19" s="46">
        <f>BS19*(1+BT9)</f>
        <v/>
      </c>
      <c r="BU19" s="46">
        <f>BT19*(1+BU9)</f>
        <v/>
      </c>
      <c r="BV19" s="46">
        <f>BU19*(1+BV9)</f>
        <v/>
      </c>
      <c r="BW19" s="46">
        <f>BV19*(1+BW9)</f>
        <v/>
      </c>
      <c r="BX19" s="46">
        <f>BW19*(1+BX9)</f>
        <v/>
      </c>
      <c r="BY19" s="46">
        <f>BX19*(1+BY9)</f>
        <v/>
      </c>
      <c r="BZ19" s="46">
        <f>BY19*(1+BZ9)</f>
        <v/>
      </c>
      <c r="CA19" s="46">
        <f>BZ19*(1+CA9)</f>
        <v/>
      </c>
      <c r="CB19" s="46">
        <f>CA19*(1+CB9)</f>
        <v/>
      </c>
      <c r="CC19" s="46">
        <f>CB19*(1+CC9)</f>
        <v/>
      </c>
      <c r="CD19" s="46">
        <f>CC19*(1+CD9)</f>
        <v/>
      </c>
      <c r="CE19" s="46">
        <f>CD19*(1+CE9)</f>
        <v/>
      </c>
      <c r="CF19" s="46">
        <f>CE19*(1+CF9)</f>
        <v/>
      </c>
      <c r="CG19" s="46">
        <f>CF19*(1+CG9)</f>
        <v/>
      </c>
      <c r="CH19" s="46">
        <f>CG19*(1+CH9)</f>
        <v/>
      </c>
      <c r="CI19" s="46">
        <f>CH19*(1+CI9)</f>
        <v/>
      </c>
      <c r="CJ19" s="46">
        <f>CI19*(1+CJ9)</f>
        <v/>
      </c>
      <c r="CK19" s="46">
        <f>CJ19*(1+CK9)</f>
        <v/>
      </c>
      <c r="CL19" s="46">
        <f>CK19*(1+CL9)</f>
        <v/>
      </c>
      <c r="CM19" s="46">
        <f>CL19*(1+CM9)</f>
        <v/>
      </c>
      <c r="CN19" s="46">
        <f>CM19*(1+CN9)</f>
        <v/>
      </c>
      <c r="CO19" s="46">
        <f>CN19*(1+CO9)</f>
        <v/>
      </c>
      <c r="CP19" s="46">
        <f>CO19*(1+CP9)</f>
        <v/>
      </c>
      <c r="CQ19" s="46">
        <f>CP19*(1+CQ9)</f>
        <v/>
      </c>
      <c r="CR19" s="46">
        <f>CQ19*(1+CR9)</f>
        <v/>
      </c>
      <c r="CS19" s="46">
        <f>CR19*(1+CS9)</f>
        <v/>
      </c>
      <c r="CT19" s="46">
        <f>CS19*(1+CT9)</f>
        <v/>
      </c>
      <c r="CU19" s="46">
        <f>CT19*(1+CU9)</f>
        <v/>
      </c>
      <c r="CV19" s="46">
        <f>CU19*(1+CV9)</f>
        <v/>
      </c>
      <c r="CW19" s="46">
        <f>CV19*(1+CW9)</f>
        <v/>
      </c>
      <c r="CX19" s="46">
        <f>CW19*(1+CX9)</f>
        <v/>
      </c>
      <c r="CY19" s="46">
        <f>CX19*(1+CY9)</f>
        <v/>
      </c>
      <c r="CZ19" s="46">
        <f>CY19*(1+CZ9)</f>
        <v/>
      </c>
      <c r="DA19" s="46">
        <f>CZ19*(1+DA9)</f>
        <v/>
      </c>
      <c r="DB19" s="46">
        <f>DA19*(1+DB9)</f>
        <v/>
      </c>
      <c r="DC19" s="46">
        <f>DB19*(1+DC9)</f>
        <v/>
      </c>
      <c r="DD19" s="46">
        <f>DC19*(1+DD9)</f>
        <v/>
      </c>
      <c r="DE19" s="46">
        <f>DD19*(1+DE9)</f>
        <v/>
      </c>
      <c r="DF19" s="46">
        <f>DE19*(1+DF9)</f>
        <v/>
      </c>
      <c r="DG19" s="46">
        <f>DF19*(1+DG9)</f>
        <v/>
      </c>
      <c r="DH19" s="46">
        <f>DG19*(1+DH9)</f>
        <v/>
      </c>
      <c r="DI19" s="46">
        <f>DH19*(1+DI9)</f>
        <v/>
      </c>
      <c r="DJ19" s="46">
        <f>DI19*(1+DJ9)</f>
        <v/>
      </c>
      <c r="DK19" s="46">
        <f>DJ19*(1+DK9)</f>
        <v/>
      </c>
      <c r="DL19" s="46">
        <f>DK19*(1+DL9)</f>
        <v/>
      </c>
      <c r="DM19" s="46">
        <f>DL19*(1+DM9)</f>
        <v/>
      </c>
      <c r="DN19" s="46">
        <f>DM19*(1+DN9)</f>
        <v/>
      </c>
      <c r="DO19" s="46">
        <f>DN19*(1+DO9)</f>
        <v/>
      </c>
      <c r="DP19" s="46">
        <f>DO19*(1+DP9)</f>
        <v/>
      </c>
      <c r="DQ19" s="46">
        <f>DP19*(1+DQ9)</f>
        <v/>
      </c>
      <c r="DR19" s="46">
        <f>DQ19*(1+DR9)</f>
        <v/>
      </c>
      <c r="DS19" s="46">
        <f>DR19*(1+DS9)</f>
        <v/>
      </c>
      <c r="DT19" s="46">
        <f>DS19*(1+DT9)</f>
        <v/>
      </c>
      <c r="DU19" s="46">
        <f>DT19*(1+DU9)</f>
        <v/>
      </c>
      <c r="DV19" s="46">
        <f>DU19*(1+DV9)</f>
        <v/>
      </c>
      <c r="DW19" s="46">
        <f>DV19*(1+DW9)</f>
        <v/>
      </c>
      <c r="DX19" s="46">
        <f>DW19*(1+DX9)</f>
        <v/>
      </c>
      <c r="DY19" s="46">
        <f>DX19*(1+DY9)</f>
        <v/>
      </c>
      <c r="DZ19" s="46">
        <f>DY19*(1+DZ9)</f>
        <v/>
      </c>
      <c r="EA19" s="46">
        <f>DZ19*(1+EA9)</f>
        <v/>
      </c>
      <c r="EB19" s="46">
        <f>EA19*(1+EB9)</f>
        <v/>
      </c>
      <c r="EC19" s="46">
        <f>EB19*(1+EC9)</f>
        <v/>
      </c>
      <c r="ED19" s="46">
        <f>EC19*(1+ED9)</f>
        <v/>
      </c>
      <c r="EE19" s="46">
        <f>ED19*(1+EE9)</f>
        <v/>
      </c>
      <c r="EF19" s="46">
        <f>EE19*(1+EF9)</f>
        <v/>
      </c>
      <c r="EG19" s="46">
        <f>EF19*(1+EG9)</f>
        <v/>
      </c>
      <c r="EH19" s="46">
        <f>EG19*(1+EH9)</f>
        <v/>
      </c>
      <c r="EI19" s="46">
        <f>EH19*(1+EI9)</f>
        <v/>
      </c>
      <c r="EJ19" s="46">
        <f>EI19*(1+EJ9)</f>
        <v/>
      </c>
      <c r="EK19" s="46">
        <f>EJ19*(1+EK9)</f>
        <v/>
      </c>
      <c r="EL19" s="46">
        <f>EK19*(1+EL9)</f>
        <v/>
      </c>
      <c r="EM19" s="46">
        <f>EL19*(1+EM9)</f>
        <v/>
      </c>
      <c r="EN19" s="46">
        <f>EM19*(1+EN9)</f>
        <v/>
      </c>
      <c r="EO19" s="46">
        <f>EN19*(1+EO9)</f>
        <v/>
      </c>
      <c r="EP19" s="46">
        <f>EO19*(1+EP9)</f>
        <v/>
      </c>
      <c r="EQ19" s="46">
        <f>EP19*(1+EQ9)</f>
        <v/>
      </c>
      <c r="ER19" s="46">
        <f>EQ19*(1+ER9)</f>
        <v/>
      </c>
      <c r="ES19" s="46">
        <f>ER19*(1+ES9)</f>
        <v/>
      </c>
      <c r="ET19" s="46">
        <f>ES19*(1+ET9)</f>
        <v/>
      </c>
      <c r="EU19" s="46">
        <f>ET19*(1+EU9)</f>
        <v/>
      </c>
      <c r="EV19" s="46">
        <f>EU19*(1+EV9)</f>
        <v/>
      </c>
      <c r="EW19" s="46">
        <f>EV19*(1+EW9)</f>
        <v/>
      </c>
      <c r="EX19" s="46">
        <f>EW19*(1+EX9)</f>
        <v/>
      </c>
      <c r="EY19" s="46">
        <f>EX19*(1+EY9)</f>
        <v/>
      </c>
      <c r="EZ19" s="46">
        <f>EY19*(1+EZ9)</f>
        <v/>
      </c>
      <c r="FA19" s="46">
        <f>EZ19*(1+FA9)</f>
        <v/>
      </c>
      <c r="FB19" s="46">
        <f>FA19*(1+FB9)</f>
        <v/>
      </c>
    </row>
    <row r="20">
      <c r="B20" s="17" t="inlineStr">
        <is>
          <t>Valuation Analysis</t>
        </is>
      </c>
      <c r="C20" s="17" t="n"/>
      <c r="D20" s="17" t="n"/>
      <c r="E20" s="17" t="n"/>
      <c r="F20" s="17" t="n"/>
      <c r="G20" s="17" t="n"/>
      <c r="AA20" s="24" t="n"/>
      <c r="AB20" s="24" t="n"/>
      <c r="AC20" s="24" t="n"/>
      <c r="AD20" s="24" t="n"/>
      <c r="AE20" s="24" t="n"/>
    </row>
    <row r="21">
      <c r="B21" s="21" t="inlineStr">
        <is>
          <t>Entry Valuation</t>
        </is>
      </c>
      <c r="C21" s="45" t="inlineStr">
        <is>
          <t>Asking/Listing Price</t>
        </is>
      </c>
      <c r="D21" s="45" t="inlineStr">
        <is>
          <t>Aequitas Valuation</t>
        </is>
      </c>
      <c r="E21" s="23" t="inlineStr">
        <is>
          <t>Residual Analysis</t>
        </is>
      </c>
      <c r="F21" s="45" t="inlineStr">
        <is>
          <t>Refinance</t>
        </is>
      </c>
      <c r="G21" s="45" t="inlineStr">
        <is>
          <t>Exit</t>
        </is>
      </c>
      <c r="I21" s="53" t="inlineStr">
        <is>
          <t>Gross Potential Rent</t>
        </is>
      </c>
    </row>
    <row r="22">
      <c r="B22" s="11" t="inlineStr">
        <is>
          <t>NOI (T-12)</t>
        </is>
      </c>
      <c r="C22" s="100">
        <f>Inputs!C8</f>
        <v/>
      </c>
      <c r="D22" s="46">
        <f>C22</f>
        <v/>
      </c>
      <c r="E22" s="47" t="inlineStr">
        <is>
          <t>NOI (T-12)</t>
        </is>
      </c>
      <c r="F22" s="48">
        <f>INDEX($Z$83:$FB$83,MATCH(C17,$Z$4:$FB$4,0))</f>
        <v/>
      </c>
      <c r="G22" s="48">
        <f>INDEX($Z$83:$FB$83,MATCH(G18,$Z$4:$FB$4,0))</f>
        <v/>
      </c>
      <c r="I22" s="24" t="inlineStr">
        <is>
          <t>Gross Potential Revenue</t>
        </is>
      </c>
      <c r="J22" s="24" t="n"/>
      <c r="K22" s="55" t="n"/>
      <c r="L22" s="24">
        <f>SUMIF($Z$4:$FB$4,"&lt;="&amp;$G$18,$Z22:$FB22)</f>
        <v/>
      </c>
      <c r="M22" s="55" t="n"/>
      <c r="N22" s="24">
        <f>SUMIF($Z$3:$FB$3,N$7,$Z22:$FB22)</f>
        <v/>
      </c>
      <c r="O22" s="24">
        <f>SUMIF($Z$3:$FB$3,O$7,$Z22:$FB22)</f>
        <v/>
      </c>
      <c r="P22" s="24">
        <f>SUMIF($Z$3:$FB$3,P$7,$Z22:$FB22)</f>
        <v/>
      </c>
      <c r="Q22" s="24">
        <f>SUMIF($Z$3:$FB$3,Q$7,$Z22:$FB22)</f>
        <v/>
      </c>
      <c r="R22" s="24">
        <f>SUMIF($Z$3:$FB$3,R$7,$Z22:$FB22)</f>
        <v/>
      </c>
      <c r="S22" s="24">
        <f>SUMIF($Z$3:$FB$3,S$7,$Z22:$FB22)</f>
        <v/>
      </c>
      <c r="T22" s="24">
        <f>SUMIF($Z$3:$FB$3,T$7,$Z22:$FB22)</f>
        <v/>
      </c>
      <c r="U22" s="24">
        <f>SUMIF($Z$3:$FB$3,U$7,$Z22:$FB22)</f>
        <v/>
      </c>
      <c r="V22" s="24">
        <f>SUMIF($Z$3:$FB$3,V$7,$Z22:$FB22)</f>
        <v/>
      </c>
      <c r="W22" s="24">
        <f>SUMIF($Z$3:$FB$3,W$7,$Z22:$FB22)</f>
        <v/>
      </c>
      <c r="X22" s="24">
        <f>SUMIF($Z$3:$FB$3,X$7,$Z22:$FB22)</f>
        <v/>
      </c>
      <c r="Y22" s="55" t="n"/>
      <c r="Z22" s="24" t="n">
        <v>0</v>
      </c>
      <c r="AA22" s="24">
        <f>AA19*$C$75</f>
        <v/>
      </c>
      <c r="AB22" s="24">
        <f>AB19*$C$75</f>
        <v/>
      </c>
      <c r="AC22" s="24">
        <f>AC19*$C$75</f>
        <v/>
      </c>
      <c r="AD22" s="24">
        <f>AD19*$C$75</f>
        <v/>
      </c>
      <c r="AE22" s="24">
        <f>AE19*$C$75</f>
        <v/>
      </c>
      <c r="AF22" s="24">
        <f>AF19*$C$75</f>
        <v/>
      </c>
      <c r="AG22" s="24">
        <f>AG19*$C$75</f>
        <v/>
      </c>
      <c r="AH22" s="24">
        <f>AH19*$C$75</f>
        <v/>
      </c>
      <c r="AI22" s="24">
        <f>AI19*$C$75</f>
        <v/>
      </c>
      <c r="AJ22" s="24">
        <f>AJ19*$C$75</f>
        <v/>
      </c>
      <c r="AK22" s="24">
        <f>AK19*$C$75</f>
        <v/>
      </c>
      <c r="AL22" s="24">
        <f>AL19*$C$75</f>
        <v/>
      </c>
      <c r="AM22" s="24">
        <f>AM19*$C$75</f>
        <v/>
      </c>
      <c r="AN22" s="24">
        <f>AN19*$C$75</f>
        <v/>
      </c>
      <c r="AO22" s="24">
        <f>AO19*$C$75</f>
        <v/>
      </c>
      <c r="AP22" s="24">
        <f>AP19*$C$75</f>
        <v/>
      </c>
      <c r="AQ22" s="24">
        <f>AQ19*$C$75</f>
        <v/>
      </c>
      <c r="AR22" s="24">
        <f>AR19*$C$75</f>
        <v/>
      </c>
      <c r="AS22" s="24">
        <f>AS19*$C$75</f>
        <v/>
      </c>
      <c r="AT22" s="24">
        <f>AT19*$C$75</f>
        <v/>
      </c>
      <c r="AU22" s="24">
        <f>AU19*$C$75</f>
        <v/>
      </c>
      <c r="AV22" s="24">
        <f>AV19*$C$75</f>
        <v/>
      </c>
      <c r="AW22" s="24">
        <f>AW19*$C$75</f>
        <v/>
      </c>
      <c r="AX22" s="24">
        <f>AX19*$C$75</f>
        <v/>
      </c>
      <c r="AY22" s="24">
        <f>AY19*$C$75</f>
        <v/>
      </c>
      <c r="AZ22" s="24">
        <f>AZ19*$C$75</f>
        <v/>
      </c>
      <c r="BA22" s="24">
        <f>BA19*$C$75</f>
        <v/>
      </c>
      <c r="BB22" s="24">
        <f>BB19*$C$75</f>
        <v/>
      </c>
      <c r="BC22" s="24">
        <f>BC19*$C$75</f>
        <v/>
      </c>
      <c r="BD22" s="24">
        <f>BD19*$C$75</f>
        <v/>
      </c>
      <c r="BE22" s="24">
        <f>BE19*$C$75</f>
        <v/>
      </c>
      <c r="BF22" s="24">
        <f>BF19*$C$75</f>
        <v/>
      </c>
      <c r="BG22" s="24">
        <f>BG19*$C$75</f>
        <v/>
      </c>
      <c r="BH22" s="24">
        <f>BH19*$C$75</f>
        <v/>
      </c>
      <c r="BI22" s="24">
        <f>BI19*$C$75</f>
        <v/>
      </c>
      <c r="BJ22" s="24">
        <f>BJ19*$C$75</f>
        <v/>
      </c>
      <c r="BK22" s="24">
        <f>BK19*$C$75</f>
        <v/>
      </c>
      <c r="BL22" s="24">
        <f>BL19*$C$75</f>
        <v/>
      </c>
      <c r="BM22" s="24">
        <f>BM19*$C$75</f>
        <v/>
      </c>
      <c r="BN22" s="24">
        <f>BN19*$C$75</f>
        <v/>
      </c>
      <c r="BO22" s="24">
        <f>BO19*$C$75</f>
        <v/>
      </c>
      <c r="BP22" s="24">
        <f>BP19*$C$75</f>
        <v/>
      </c>
      <c r="BQ22" s="24">
        <f>BQ19*$C$75</f>
        <v/>
      </c>
      <c r="BR22" s="24">
        <f>BR19*$C$75</f>
        <v/>
      </c>
      <c r="BS22" s="24">
        <f>BS19*$C$75</f>
        <v/>
      </c>
      <c r="BT22" s="24">
        <f>BT19*$C$75</f>
        <v/>
      </c>
      <c r="BU22" s="24">
        <f>BU19*$C$75</f>
        <v/>
      </c>
      <c r="BV22" s="24">
        <f>BV19*$C$75</f>
        <v/>
      </c>
      <c r="BW22" s="24">
        <f>BW19*$C$75</f>
        <v/>
      </c>
      <c r="BX22" s="24">
        <f>BX19*$C$75</f>
        <v/>
      </c>
      <c r="BY22" s="24">
        <f>BY19*$C$75</f>
        <v/>
      </c>
      <c r="BZ22" s="24">
        <f>BZ19*$C$75</f>
        <v/>
      </c>
      <c r="CA22" s="24">
        <f>CA19*$C$75</f>
        <v/>
      </c>
      <c r="CB22" s="24">
        <f>CB19*$C$75</f>
        <v/>
      </c>
      <c r="CC22" s="24">
        <f>CC19*$C$75</f>
        <v/>
      </c>
      <c r="CD22" s="24">
        <f>CD19*$C$75</f>
        <v/>
      </c>
      <c r="CE22" s="24">
        <f>CE19*$C$75</f>
        <v/>
      </c>
      <c r="CF22" s="24">
        <f>CF19*$C$75</f>
        <v/>
      </c>
      <c r="CG22" s="24">
        <f>CG19*$C$75</f>
        <v/>
      </c>
      <c r="CH22" s="24">
        <f>CH19*$C$75</f>
        <v/>
      </c>
      <c r="CI22" s="24">
        <f>CI19*$C$75</f>
        <v/>
      </c>
      <c r="CJ22" s="24">
        <f>CJ19*$C$75</f>
        <v/>
      </c>
      <c r="CK22" s="24">
        <f>CK19*$C$75</f>
        <v/>
      </c>
      <c r="CL22" s="24">
        <f>CL19*$C$75</f>
        <v/>
      </c>
      <c r="CM22" s="24">
        <f>CM19*$C$75</f>
        <v/>
      </c>
      <c r="CN22" s="24">
        <f>CN19*$C$75</f>
        <v/>
      </c>
      <c r="CO22" s="24">
        <f>CO19*$C$75</f>
        <v/>
      </c>
      <c r="CP22" s="24">
        <f>CP19*$C$75</f>
        <v/>
      </c>
      <c r="CQ22" s="24">
        <f>CQ19*$C$75</f>
        <v/>
      </c>
      <c r="CR22" s="24">
        <f>CR19*$C$75</f>
        <v/>
      </c>
      <c r="CS22" s="24">
        <f>CS19*$C$75</f>
        <v/>
      </c>
      <c r="CT22" s="24">
        <f>CT19*$C$75</f>
        <v/>
      </c>
      <c r="CU22" s="24">
        <f>CU19*$C$75</f>
        <v/>
      </c>
      <c r="CV22" s="24">
        <f>CV19*$C$75</f>
        <v/>
      </c>
      <c r="CW22" s="24">
        <f>CW19*$C$75</f>
        <v/>
      </c>
      <c r="CX22" s="24">
        <f>CX19*$C$75</f>
        <v/>
      </c>
      <c r="CY22" s="24">
        <f>CY19*$C$75</f>
        <v/>
      </c>
      <c r="CZ22" s="24">
        <f>CZ19*$C$75</f>
        <v/>
      </c>
      <c r="DA22" s="24">
        <f>DA19*$C$75</f>
        <v/>
      </c>
      <c r="DB22" s="24">
        <f>DB19*$C$75</f>
        <v/>
      </c>
      <c r="DC22" s="24">
        <f>DC19*$C$75</f>
        <v/>
      </c>
      <c r="DD22" s="24">
        <f>DD19*$C$75</f>
        <v/>
      </c>
      <c r="DE22" s="24">
        <f>DE19*$C$75</f>
        <v/>
      </c>
      <c r="DF22" s="24">
        <f>DF19*$C$75</f>
        <v/>
      </c>
      <c r="DG22" s="24">
        <f>DG19*$C$75</f>
        <v/>
      </c>
      <c r="DH22" s="24">
        <f>DH19*$C$75</f>
        <v/>
      </c>
      <c r="DI22" s="24">
        <f>DI19*$C$75</f>
        <v/>
      </c>
      <c r="DJ22" s="24">
        <f>DJ19*$C$75</f>
        <v/>
      </c>
      <c r="DK22" s="24">
        <f>DK19*$C$75</f>
        <v/>
      </c>
      <c r="DL22" s="24">
        <f>DL19*$C$75</f>
        <v/>
      </c>
      <c r="DM22" s="24">
        <f>DM19*$C$75</f>
        <v/>
      </c>
      <c r="DN22" s="24">
        <f>DN19*$C$75</f>
        <v/>
      </c>
      <c r="DO22" s="24">
        <f>DO19*$C$75</f>
        <v/>
      </c>
      <c r="DP22" s="24">
        <f>DP19*$C$75</f>
        <v/>
      </c>
      <c r="DQ22" s="24">
        <f>DQ19*$C$75</f>
        <v/>
      </c>
      <c r="DR22" s="24">
        <f>DR19*$C$75</f>
        <v/>
      </c>
      <c r="DS22" s="24">
        <f>DS19*$C$75</f>
        <v/>
      </c>
      <c r="DT22" s="24">
        <f>DT19*$C$75</f>
        <v/>
      </c>
      <c r="DU22" s="24">
        <f>DU19*$C$75</f>
        <v/>
      </c>
      <c r="DV22" s="24">
        <f>DV19*$C$75</f>
        <v/>
      </c>
      <c r="DW22" s="24">
        <f>DW19*$C$75</f>
        <v/>
      </c>
      <c r="DX22" s="24">
        <f>DX19*$C$75</f>
        <v/>
      </c>
      <c r="DY22" s="24">
        <f>DY19*$C$75</f>
        <v/>
      </c>
      <c r="DZ22" s="24">
        <f>DZ19*$C$75</f>
        <v/>
      </c>
      <c r="EA22" s="24">
        <f>EA19*$C$75</f>
        <v/>
      </c>
      <c r="EB22" s="24">
        <f>EB19*$C$75</f>
        <v/>
      </c>
      <c r="EC22" s="24">
        <f>EC19*$C$75</f>
        <v/>
      </c>
      <c r="ED22" s="24">
        <f>ED19*$C$75</f>
        <v/>
      </c>
      <c r="EE22" s="24">
        <f>EE19*$C$75</f>
        <v/>
      </c>
      <c r="EF22" s="24">
        <f>EF19*$C$75</f>
        <v/>
      </c>
      <c r="EG22" s="24">
        <f>EG19*$C$75</f>
        <v/>
      </c>
      <c r="EH22" s="24">
        <f>EH19*$C$75</f>
        <v/>
      </c>
      <c r="EI22" s="24">
        <f>EI19*$C$75</f>
        <v/>
      </c>
      <c r="EJ22" s="24">
        <f>EJ19*$C$75</f>
        <v/>
      </c>
      <c r="EK22" s="24">
        <f>EK19*$C$75</f>
        <v/>
      </c>
      <c r="EL22" s="24">
        <f>EL19*$C$75</f>
        <v/>
      </c>
      <c r="EM22" s="24">
        <f>EM19*$C$75</f>
        <v/>
      </c>
      <c r="EN22" s="24">
        <f>EN19*$C$75</f>
        <v/>
      </c>
      <c r="EO22" s="24">
        <f>EO19*$C$75</f>
        <v/>
      </c>
      <c r="EP22" s="24">
        <f>EP19*$C$75</f>
        <v/>
      </c>
      <c r="EQ22" s="24">
        <f>EQ19*$C$75</f>
        <v/>
      </c>
      <c r="ER22" s="24">
        <f>ER19*$C$75</f>
        <v/>
      </c>
      <c r="ES22" s="24">
        <f>ES19*$C$75</f>
        <v/>
      </c>
      <c r="ET22" s="24">
        <f>ET19*$C$75</f>
        <v/>
      </c>
      <c r="EU22" s="24">
        <f>EU19*$C$75</f>
        <v/>
      </c>
      <c r="EV22" s="24">
        <f>EV19*$C$75</f>
        <v/>
      </c>
      <c r="EW22" s="24">
        <f>EW19*$C$75</f>
        <v/>
      </c>
      <c r="EX22" s="24">
        <f>EX19*$C$75</f>
        <v/>
      </c>
      <c r="EY22" s="24">
        <f>EY19*$C$75</f>
        <v/>
      </c>
      <c r="EZ22" s="24">
        <f>EZ19*$C$75</f>
        <v/>
      </c>
      <c r="FA22" s="24">
        <f>FA19*$C$75</f>
        <v/>
      </c>
      <c r="FB22" s="24">
        <f>FB19*$C$75</f>
        <v/>
      </c>
    </row>
    <row r="23">
      <c r="B23" s="11" t="inlineStr">
        <is>
          <t>Cap Rate</t>
        </is>
      </c>
      <c r="C23" s="49">
        <f>C22/C24</f>
        <v/>
      </c>
      <c r="D23" s="50">
        <f>Inputs!C9</f>
        <v/>
      </c>
      <c r="E23" s="47" t="inlineStr">
        <is>
          <t>Cap Rate</t>
        </is>
      </c>
      <c r="F23" s="50">
        <f>C122</f>
        <v/>
      </c>
      <c r="G23" s="50">
        <f>F23</f>
        <v/>
      </c>
      <c r="H23" s="9" t="n"/>
      <c r="I23" s="24" t="inlineStr">
        <is>
          <t>Loss-to-Lease</t>
        </is>
      </c>
      <c r="J23" s="24" t="n"/>
      <c r="K23" s="55" t="n"/>
      <c r="L23" s="24">
        <f>SUMIF($Z$4:$FB$4,"&lt;="&amp;$G$18,$Z23:$FB23)</f>
        <v/>
      </c>
      <c r="M23" s="55" t="n"/>
      <c r="N23" s="24">
        <f>SUMIF($Z$3:$FB$3,N$7,$Z23:$FB23)</f>
        <v/>
      </c>
      <c r="O23" s="24">
        <f>SUMIF($Z$3:$FB$3,O$7,$Z23:$FB23)</f>
        <v/>
      </c>
      <c r="P23" s="24">
        <f>SUMIF($Z$3:$FB$3,P$7,$Z23:$FB23)</f>
        <v/>
      </c>
      <c r="Q23" s="24">
        <f>SUMIF($Z$3:$FB$3,Q$7,$Z23:$FB23)</f>
        <v/>
      </c>
      <c r="R23" s="24">
        <f>SUMIF($Z$3:$FB$3,R$7,$Z23:$FB23)</f>
        <v/>
      </c>
      <c r="S23" s="24">
        <f>SUMIF($Z$3:$FB$3,S$7,$Z23:$FB23)</f>
        <v/>
      </c>
      <c r="T23" s="24">
        <f>SUMIF($Z$3:$FB$3,T$7,$Z23:$FB23)</f>
        <v/>
      </c>
      <c r="U23" s="24">
        <f>SUMIF($Z$3:$FB$3,U$7,$Z23:$FB23)</f>
        <v/>
      </c>
      <c r="V23" s="24">
        <f>SUMIF($Z$3:$FB$3,V$7,$Z23:$FB23)</f>
        <v/>
      </c>
      <c r="W23" s="24">
        <f>SUMIF($Z$3:$FB$3,W$7,$Z23:$FB23)</f>
        <v/>
      </c>
      <c r="X23" s="24">
        <f>SUMIF($Z$3:$FB$3,X$7,$Z23:$FB23)</f>
        <v/>
      </c>
      <c r="Y23" s="55" t="n"/>
      <c r="Z23" s="56" t="n">
        <v>0</v>
      </c>
      <c r="AA23" s="56">
        <f>AA22*-IFERROR(INDEX($C$84:$G$84,MATCH(YEAR(AA6),$C$83:$G$83,0)),$G$84)</f>
        <v/>
      </c>
      <c r="AB23" s="56">
        <f>AB22*-IFERROR(INDEX($C$84:$G$84,MATCH(YEAR(AB6),$C$83:$G$83,0)),$G$84)</f>
        <v/>
      </c>
      <c r="AC23" s="56">
        <f>AC22*-IFERROR(INDEX($C$84:$G$84,MATCH(YEAR(AC6),$C$83:$G$83,0)),$G$84)</f>
        <v/>
      </c>
      <c r="AD23" s="56">
        <f>AD22*-IFERROR(INDEX($C$84:$G$84,MATCH(YEAR(AD6),$C$83:$G$83,0)),$G$84)</f>
        <v/>
      </c>
      <c r="AE23" s="56">
        <f>AE22*-IFERROR(INDEX($C$84:$G$84,MATCH(YEAR(AE6),$C$83:$G$83,0)),$G$84)</f>
        <v/>
      </c>
      <c r="AF23" s="56">
        <f>AF22*-IFERROR(INDEX($C$84:$G$84,MATCH(YEAR(AF6),$C$83:$G$83,0)),$G$84)</f>
        <v/>
      </c>
      <c r="AG23" s="56">
        <f>AG22*-IFERROR(INDEX($C$84:$G$84,MATCH(YEAR(AG6),$C$83:$G$83,0)),$G$84)</f>
        <v/>
      </c>
      <c r="AH23" s="56">
        <f>AH22*-IFERROR(INDEX($C$84:$G$84,MATCH(YEAR(AH6),$C$83:$G$83,0)),$G$84)</f>
        <v/>
      </c>
      <c r="AI23" s="56">
        <f>AI22*-IFERROR(INDEX($C$84:$G$84,MATCH(YEAR(AI6),$C$83:$G$83,0)),$G$84)</f>
        <v/>
      </c>
      <c r="AJ23" s="56">
        <f>AJ22*-IFERROR(INDEX($C$84:$G$84,MATCH(YEAR(AJ6),$C$83:$G$83,0)),$G$84)</f>
        <v/>
      </c>
      <c r="AK23" s="56">
        <f>AK22*-IFERROR(INDEX($C$84:$G$84,MATCH(YEAR(AK6),$C$83:$G$83,0)),$G$84)</f>
        <v/>
      </c>
      <c r="AL23" s="56">
        <f>AL22*-IFERROR(INDEX($C$84:$G$84,MATCH(YEAR(AL6),$C$83:$G$83,0)),$G$84)</f>
        <v/>
      </c>
      <c r="AM23" s="56">
        <f>AM22*-IFERROR(INDEX($C$84:$G$84,MATCH(YEAR(AM6),$C$83:$G$83,0)),$G$84)</f>
        <v/>
      </c>
      <c r="AN23" s="56">
        <f>AN22*-IFERROR(INDEX($C$84:$G$84,MATCH(YEAR(AN6),$C$83:$G$83,0)),$G$84)</f>
        <v/>
      </c>
      <c r="AO23" s="56">
        <f>AO22*-IFERROR(INDEX($C$84:$G$84,MATCH(YEAR(AO6),$C$83:$G$83,0)),$G$84)</f>
        <v/>
      </c>
      <c r="AP23" s="56">
        <f>AP22*-IFERROR(INDEX($C$84:$G$84,MATCH(YEAR(AP6),$C$83:$G$83,0)),$G$84)</f>
        <v/>
      </c>
      <c r="AQ23" s="56">
        <f>AQ22*-IFERROR(INDEX($C$84:$G$84,MATCH(YEAR(AQ6),$C$83:$G$83,0)),$G$84)</f>
        <v/>
      </c>
      <c r="AR23" s="56">
        <f>AR22*-IFERROR(INDEX($C$84:$G$84,MATCH(YEAR(AR6),$C$83:$G$83,0)),$G$84)</f>
        <v/>
      </c>
      <c r="AS23" s="56">
        <f>AS22*-IFERROR(INDEX($C$84:$G$84,MATCH(YEAR(AS6),$C$83:$G$83,0)),$G$84)</f>
        <v/>
      </c>
      <c r="AT23" s="56">
        <f>AT22*-IFERROR(INDEX($C$84:$G$84,MATCH(YEAR(AT6),$C$83:$G$83,0)),$G$84)</f>
        <v/>
      </c>
      <c r="AU23" s="56">
        <f>AU22*-IFERROR(INDEX($C$84:$G$84,MATCH(YEAR(AU6),$C$83:$G$83,0)),$G$84)</f>
        <v/>
      </c>
      <c r="AV23" s="56">
        <f>AV22*-IFERROR(INDEX($C$84:$G$84,MATCH(YEAR(AV6),$C$83:$G$83,0)),$G$84)</f>
        <v/>
      </c>
      <c r="AW23" s="56">
        <f>AW22*-IFERROR(INDEX($C$84:$G$84,MATCH(YEAR(AW6),$C$83:$G$83,0)),$G$84)</f>
        <v/>
      </c>
      <c r="AX23" s="56">
        <f>AX22*-IFERROR(INDEX($C$84:$G$84,MATCH(YEAR(AX6),$C$83:$G$83,0)),$G$84)</f>
        <v/>
      </c>
      <c r="AY23" s="56">
        <f>AY22*-IFERROR(INDEX($C$84:$G$84,MATCH(YEAR(AY6),$C$83:$G$83,0)),$G$84)</f>
        <v/>
      </c>
      <c r="AZ23" s="56">
        <f>AZ22*-IFERROR(INDEX($C$84:$G$84,MATCH(YEAR(AZ6),$C$83:$G$83,0)),$G$84)</f>
        <v/>
      </c>
      <c r="BA23" s="56">
        <f>BA22*-IFERROR(INDEX($C$84:$G$84,MATCH(YEAR(BA6),$C$83:$G$83,0)),$G$84)</f>
        <v/>
      </c>
      <c r="BB23" s="56">
        <f>BB22*-IFERROR(INDEX($C$84:$G$84,MATCH(YEAR(BB6),$C$83:$G$83,0)),$G$84)</f>
        <v/>
      </c>
      <c r="BC23" s="56">
        <f>BC22*-IFERROR(INDEX($C$84:$G$84,MATCH(YEAR(BC6),$C$83:$G$83,0)),$G$84)</f>
        <v/>
      </c>
      <c r="BD23" s="56">
        <f>BD22*-IFERROR(INDEX($C$84:$G$84,MATCH(YEAR(BD6),$C$83:$G$83,0)),$G$84)</f>
        <v/>
      </c>
      <c r="BE23" s="56">
        <f>BE22*-IFERROR(INDEX($C$84:$G$84,MATCH(YEAR(BE6),$C$83:$G$83,0)),$G$84)</f>
        <v/>
      </c>
      <c r="BF23" s="56">
        <f>BF22*-IFERROR(INDEX($C$84:$G$84,MATCH(YEAR(BF6),$C$83:$G$83,0)),$G$84)</f>
        <v/>
      </c>
      <c r="BG23" s="56">
        <f>BG22*-IFERROR(INDEX($C$84:$G$84,MATCH(YEAR(BG6),$C$83:$G$83,0)),$G$84)</f>
        <v/>
      </c>
      <c r="BH23" s="56">
        <f>BH22*-IFERROR(INDEX($C$84:$G$84,MATCH(YEAR(BH6),$C$83:$G$83,0)),$G$84)</f>
        <v/>
      </c>
      <c r="BI23" s="56">
        <f>BI22*-IFERROR(INDEX($C$84:$G$84,MATCH(YEAR(BI6),$C$83:$G$83,0)),$G$84)</f>
        <v/>
      </c>
      <c r="BJ23" s="56">
        <f>BJ22*-IFERROR(INDEX($C$84:$G$84,MATCH(YEAR(BJ6),$C$83:$G$83,0)),$G$84)</f>
        <v/>
      </c>
      <c r="BK23" s="56">
        <f>BK22*-IFERROR(INDEX($C$84:$G$84,MATCH(YEAR(BK6),$C$83:$G$83,0)),$G$84)</f>
        <v/>
      </c>
      <c r="BL23" s="56">
        <f>BL22*-IFERROR(INDEX($C$84:$G$84,MATCH(YEAR(BL6),$C$83:$G$83,0)),$G$84)</f>
        <v/>
      </c>
      <c r="BM23" s="56">
        <f>BM22*-IFERROR(INDEX($C$84:$G$84,MATCH(YEAR(BM6),$C$83:$G$83,0)),$G$84)</f>
        <v/>
      </c>
      <c r="BN23" s="56">
        <f>BN22*-IFERROR(INDEX($C$84:$G$84,MATCH(YEAR(BN6),$C$83:$G$83,0)),$G$84)</f>
        <v/>
      </c>
      <c r="BO23" s="56">
        <f>BO22*-IFERROR(INDEX($C$84:$G$84,MATCH(YEAR(BO6),$C$83:$G$83,0)),$G$84)</f>
        <v/>
      </c>
      <c r="BP23" s="56">
        <f>BP22*-IFERROR(INDEX($C$84:$G$84,MATCH(YEAR(BP6),$C$83:$G$83,0)),$G$84)</f>
        <v/>
      </c>
      <c r="BQ23" s="56">
        <f>BQ22*-IFERROR(INDEX($C$84:$G$84,MATCH(YEAR(BQ6),$C$83:$G$83,0)),$G$84)</f>
        <v/>
      </c>
      <c r="BR23" s="56">
        <f>BR22*-IFERROR(INDEX($C$84:$G$84,MATCH(YEAR(BR6),$C$83:$G$83,0)),$G$84)</f>
        <v/>
      </c>
      <c r="BS23" s="56">
        <f>BS22*-IFERROR(INDEX($C$84:$G$84,MATCH(YEAR(BS6),$C$83:$G$83,0)),$G$84)</f>
        <v/>
      </c>
      <c r="BT23" s="56">
        <f>BT22*-IFERROR(INDEX($C$84:$G$84,MATCH(YEAR(BT6),$C$83:$G$83,0)),$G$84)</f>
        <v/>
      </c>
      <c r="BU23" s="56">
        <f>BU22*-IFERROR(INDEX($C$84:$G$84,MATCH(YEAR(BU6),$C$83:$G$83,0)),$G$84)</f>
        <v/>
      </c>
      <c r="BV23" s="56">
        <f>BV22*-IFERROR(INDEX($C$84:$G$84,MATCH(YEAR(BV6),$C$83:$G$83,0)),$G$84)</f>
        <v/>
      </c>
      <c r="BW23" s="56">
        <f>BW22*-IFERROR(INDEX($C$84:$G$84,MATCH(YEAR(BW6),$C$83:$G$83,0)),$G$84)</f>
        <v/>
      </c>
      <c r="BX23" s="56">
        <f>BX22*-IFERROR(INDEX($C$84:$G$84,MATCH(YEAR(BX6),$C$83:$G$83,0)),$G$84)</f>
        <v/>
      </c>
      <c r="BY23" s="56">
        <f>BY22*-IFERROR(INDEX($C$84:$G$84,MATCH(YEAR(BY6),$C$83:$G$83,0)),$G$84)</f>
        <v/>
      </c>
      <c r="BZ23" s="56">
        <f>BZ22*-IFERROR(INDEX($C$84:$G$84,MATCH(YEAR(BZ6),$C$83:$G$83,0)),$G$84)</f>
        <v/>
      </c>
      <c r="CA23" s="56">
        <f>CA22*-IFERROR(INDEX($C$84:$G$84,MATCH(YEAR(CA6),$C$83:$G$83,0)),$G$84)</f>
        <v/>
      </c>
      <c r="CB23" s="56">
        <f>CB22*-IFERROR(INDEX($C$84:$G$84,MATCH(YEAR(CB6),$C$83:$G$83,0)),$G$84)</f>
        <v/>
      </c>
      <c r="CC23" s="56">
        <f>CC22*-IFERROR(INDEX($C$84:$G$84,MATCH(YEAR(CC6),$C$83:$G$83,0)),$G$84)</f>
        <v/>
      </c>
      <c r="CD23" s="56">
        <f>CD22*-IFERROR(INDEX($C$84:$G$84,MATCH(YEAR(CD6),$C$83:$G$83,0)),$G$84)</f>
        <v/>
      </c>
      <c r="CE23" s="56">
        <f>CE22*-IFERROR(INDEX($C$84:$G$84,MATCH(YEAR(CE6),$C$83:$G$83,0)),$G$84)</f>
        <v/>
      </c>
      <c r="CF23" s="56">
        <f>CF22*-IFERROR(INDEX($C$84:$G$84,MATCH(YEAR(CF6),$C$83:$G$83,0)),$G$84)</f>
        <v/>
      </c>
      <c r="CG23" s="56">
        <f>CG22*-IFERROR(INDEX($C$84:$G$84,MATCH(YEAR(CG6),$C$83:$G$83,0)),$G$84)</f>
        <v/>
      </c>
      <c r="CH23" s="56">
        <f>CH22*-IFERROR(INDEX($C$84:$G$84,MATCH(YEAR(CH6),$C$83:$G$83,0)),$G$84)</f>
        <v/>
      </c>
      <c r="CI23" s="56">
        <f>CI22*-IFERROR(INDEX($C$84:$G$84,MATCH(YEAR(CI6),$C$83:$G$83,0)),$G$84)</f>
        <v/>
      </c>
      <c r="CJ23" s="56">
        <f>CJ22*-IFERROR(INDEX($C$84:$G$84,MATCH(YEAR(CJ6),$C$83:$G$83,0)),$G$84)</f>
        <v/>
      </c>
      <c r="CK23" s="56">
        <f>CK22*-IFERROR(INDEX($C$84:$G$84,MATCH(YEAR(CK6),$C$83:$G$83,0)),$G$84)</f>
        <v/>
      </c>
      <c r="CL23" s="56">
        <f>CL22*-IFERROR(INDEX($C$84:$G$84,MATCH(YEAR(CL6),$C$83:$G$83,0)),$G$84)</f>
        <v/>
      </c>
      <c r="CM23" s="56">
        <f>CM22*-IFERROR(INDEX($C$84:$G$84,MATCH(YEAR(CM6),$C$83:$G$83,0)),$G$84)</f>
        <v/>
      </c>
      <c r="CN23" s="56">
        <f>CN22*-IFERROR(INDEX($C$84:$G$84,MATCH(YEAR(CN6),$C$83:$G$83,0)),$G$84)</f>
        <v/>
      </c>
      <c r="CO23" s="56">
        <f>CO22*-IFERROR(INDEX($C$84:$G$84,MATCH(YEAR(CO6),$C$83:$G$83,0)),$G$84)</f>
        <v/>
      </c>
      <c r="CP23" s="56">
        <f>CP22*-IFERROR(INDEX($C$84:$G$84,MATCH(YEAR(CP6),$C$83:$G$83,0)),$G$84)</f>
        <v/>
      </c>
      <c r="CQ23" s="56">
        <f>CQ22*-IFERROR(INDEX($C$84:$G$84,MATCH(YEAR(CQ6),$C$83:$G$83,0)),$G$84)</f>
        <v/>
      </c>
      <c r="CR23" s="56">
        <f>CR22*-IFERROR(INDEX($C$84:$G$84,MATCH(YEAR(CR6),$C$83:$G$83,0)),$G$84)</f>
        <v/>
      </c>
      <c r="CS23" s="56">
        <f>CS22*-IFERROR(INDEX($C$84:$G$84,MATCH(YEAR(CS6),$C$83:$G$83,0)),$G$84)</f>
        <v/>
      </c>
      <c r="CT23" s="56">
        <f>CT22*-IFERROR(INDEX($C$84:$G$84,MATCH(YEAR(CT6),$C$83:$G$83,0)),$G$84)</f>
        <v/>
      </c>
      <c r="CU23" s="56">
        <f>CU22*-IFERROR(INDEX($C$84:$G$84,MATCH(YEAR(CU6),$C$83:$G$83,0)),$G$84)</f>
        <v/>
      </c>
      <c r="CV23" s="56">
        <f>CV22*-IFERROR(INDEX($C$84:$G$84,MATCH(YEAR(CV6),$C$83:$G$83,0)),$G$84)</f>
        <v/>
      </c>
      <c r="CW23" s="56">
        <f>CW22*-IFERROR(INDEX($C$84:$G$84,MATCH(YEAR(CW6),$C$83:$G$83,0)),$G$84)</f>
        <v/>
      </c>
      <c r="CX23" s="56">
        <f>CX22*-IFERROR(INDEX($C$84:$G$84,MATCH(YEAR(CX6),$C$83:$G$83,0)),$G$84)</f>
        <v/>
      </c>
      <c r="CY23" s="56">
        <f>CY22*-IFERROR(INDEX($C$84:$G$84,MATCH(YEAR(CY6),$C$83:$G$83,0)),$G$84)</f>
        <v/>
      </c>
      <c r="CZ23" s="56">
        <f>CZ22*-IFERROR(INDEX($C$84:$G$84,MATCH(YEAR(CZ6),$C$83:$G$83,0)),$G$84)</f>
        <v/>
      </c>
      <c r="DA23" s="56">
        <f>DA22*-IFERROR(INDEX($C$84:$G$84,MATCH(YEAR(DA6),$C$83:$G$83,0)),$G$84)</f>
        <v/>
      </c>
      <c r="DB23" s="56">
        <f>DB22*-IFERROR(INDEX($C$84:$G$84,MATCH(YEAR(DB6),$C$83:$G$83,0)),$G$84)</f>
        <v/>
      </c>
      <c r="DC23" s="56">
        <f>DC22*-IFERROR(INDEX($C$84:$G$84,MATCH(YEAR(DC6),$C$83:$G$83,0)),$G$84)</f>
        <v/>
      </c>
      <c r="DD23" s="56">
        <f>DD22*-IFERROR(INDEX($C$84:$G$84,MATCH(YEAR(DD6),$C$83:$G$83,0)),$G$84)</f>
        <v/>
      </c>
      <c r="DE23" s="56">
        <f>DE22*-IFERROR(INDEX($C$84:$G$84,MATCH(YEAR(DE6),$C$83:$G$83,0)),$G$84)</f>
        <v/>
      </c>
      <c r="DF23" s="56">
        <f>DF22*-IFERROR(INDEX($C$84:$G$84,MATCH(YEAR(DF6),$C$83:$G$83,0)),$G$84)</f>
        <v/>
      </c>
      <c r="DG23" s="56">
        <f>DG22*-IFERROR(INDEX($C$84:$G$84,MATCH(YEAR(DG6),$C$83:$G$83,0)),$G$84)</f>
        <v/>
      </c>
      <c r="DH23" s="56">
        <f>DH22*-IFERROR(INDEX($C$84:$G$84,MATCH(YEAR(DH6),$C$83:$G$83,0)),$G$84)</f>
        <v/>
      </c>
      <c r="DI23" s="56">
        <f>DI22*-IFERROR(INDEX($C$84:$G$84,MATCH(YEAR(DI6),$C$83:$G$83,0)),$G$84)</f>
        <v/>
      </c>
      <c r="DJ23" s="56">
        <f>DJ22*-IFERROR(INDEX($C$84:$G$84,MATCH(YEAR(DJ6),$C$83:$G$83,0)),$G$84)</f>
        <v/>
      </c>
      <c r="DK23" s="56">
        <f>DK22*-IFERROR(INDEX($C$84:$G$84,MATCH(YEAR(DK6),$C$83:$G$83,0)),$G$84)</f>
        <v/>
      </c>
      <c r="DL23" s="56">
        <f>DL22*-IFERROR(INDEX($C$84:$G$84,MATCH(YEAR(DL6),$C$83:$G$83,0)),$G$84)</f>
        <v/>
      </c>
      <c r="DM23" s="56">
        <f>DM22*-IFERROR(INDEX($C$84:$G$84,MATCH(YEAR(DM6),$C$83:$G$83,0)),$G$84)</f>
        <v/>
      </c>
      <c r="DN23" s="56">
        <f>DN22*-IFERROR(INDEX($C$84:$G$84,MATCH(YEAR(DN6),$C$83:$G$83,0)),$G$84)</f>
        <v/>
      </c>
      <c r="DO23" s="56">
        <f>DO22*-IFERROR(INDEX($C$84:$G$84,MATCH(YEAR(DO6),$C$83:$G$83,0)),$G$84)</f>
        <v/>
      </c>
      <c r="DP23" s="56">
        <f>DP22*-IFERROR(INDEX($C$84:$G$84,MATCH(YEAR(DP6),$C$83:$G$83,0)),$G$84)</f>
        <v/>
      </c>
      <c r="DQ23" s="56">
        <f>DQ22*-IFERROR(INDEX($C$84:$G$84,MATCH(YEAR(DQ6),$C$83:$G$83,0)),$G$84)</f>
        <v/>
      </c>
      <c r="DR23" s="56">
        <f>DR22*-IFERROR(INDEX($C$84:$G$84,MATCH(YEAR(DR6),$C$83:$G$83,0)),$G$84)</f>
        <v/>
      </c>
      <c r="DS23" s="56">
        <f>DS22*-IFERROR(INDEX($C$84:$G$84,MATCH(YEAR(DS6),$C$83:$G$83,0)),$G$84)</f>
        <v/>
      </c>
      <c r="DT23" s="56">
        <f>DT22*-IFERROR(INDEX($C$84:$G$84,MATCH(YEAR(DT6),$C$83:$G$83,0)),$G$84)</f>
        <v/>
      </c>
      <c r="DU23" s="56">
        <f>DU22*-IFERROR(INDEX($C$84:$G$84,MATCH(YEAR(DU6),$C$83:$G$83,0)),$G$84)</f>
        <v/>
      </c>
      <c r="DV23" s="56">
        <f>DV22*-IFERROR(INDEX($C$84:$G$84,MATCH(YEAR(DV6),$C$83:$G$83,0)),$G$84)</f>
        <v/>
      </c>
      <c r="DW23" s="56">
        <f>DW22*-IFERROR(INDEX($C$84:$G$84,MATCH(YEAR(DW6),$C$83:$G$83,0)),$G$84)</f>
        <v/>
      </c>
      <c r="DX23" s="56">
        <f>DX22*-IFERROR(INDEX($C$84:$G$84,MATCH(YEAR(DX6),$C$83:$G$83,0)),$G$84)</f>
        <v/>
      </c>
      <c r="DY23" s="56">
        <f>DY22*-IFERROR(INDEX($C$84:$G$84,MATCH(YEAR(DY6),$C$83:$G$83,0)),$G$84)</f>
        <v/>
      </c>
      <c r="DZ23" s="56">
        <f>DZ22*-IFERROR(INDEX($C$84:$G$84,MATCH(YEAR(DZ6),$C$83:$G$83,0)),$G$84)</f>
        <v/>
      </c>
      <c r="EA23" s="56">
        <f>EA22*-IFERROR(INDEX($C$84:$G$84,MATCH(YEAR(EA6),$C$83:$G$83,0)),$G$84)</f>
        <v/>
      </c>
      <c r="EB23" s="56">
        <f>EB22*-IFERROR(INDEX($C$84:$G$84,MATCH(YEAR(EB6),$C$83:$G$83,0)),$G$84)</f>
        <v/>
      </c>
      <c r="EC23" s="56">
        <f>EC22*-IFERROR(INDEX($C$84:$G$84,MATCH(YEAR(EC6),$C$83:$G$83,0)),$G$84)</f>
        <v/>
      </c>
      <c r="ED23" s="56">
        <f>ED22*-IFERROR(INDEX($C$84:$G$84,MATCH(YEAR(ED6),$C$83:$G$83,0)),$G$84)</f>
        <v/>
      </c>
      <c r="EE23" s="56">
        <f>EE22*-IFERROR(INDEX($C$84:$G$84,MATCH(YEAR(EE6),$C$83:$G$83,0)),$G$84)</f>
        <v/>
      </c>
      <c r="EF23" s="56">
        <f>EF22*-IFERROR(INDEX($C$84:$G$84,MATCH(YEAR(EF6),$C$83:$G$83,0)),$G$84)</f>
        <v/>
      </c>
      <c r="EG23" s="56">
        <f>EG22*-IFERROR(INDEX($C$84:$G$84,MATCH(YEAR(EG6),$C$83:$G$83,0)),$G$84)</f>
        <v/>
      </c>
      <c r="EH23" s="56">
        <f>EH22*-IFERROR(INDEX($C$84:$G$84,MATCH(YEAR(EH6),$C$83:$G$83,0)),$G$84)</f>
        <v/>
      </c>
      <c r="EI23" s="56">
        <f>EI22*-IFERROR(INDEX($C$84:$G$84,MATCH(YEAR(EI6),$C$83:$G$83,0)),$G$84)</f>
        <v/>
      </c>
      <c r="EJ23" s="56">
        <f>EJ22*-IFERROR(INDEX($C$84:$G$84,MATCH(YEAR(EJ6),$C$83:$G$83,0)),$G$84)</f>
        <v/>
      </c>
      <c r="EK23" s="56">
        <f>EK22*-IFERROR(INDEX($C$84:$G$84,MATCH(YEAR(EK6),$C$83:$G$83,0)),$G$84)</f>
        <v/>
      </c>
      <c r="EL23" s="56">
        <f>EL22*-IFERROR(INDEX($C$84:$G$84,MATCH(YEAR(EL6),$C$83:$G$83,0)),$G$84)</f>
        <v/>
      </c>
      <c r="EM23" s="56">
        <f>EM22*-IFERROR(INDEX($C$84:$G$84,MATCH(YEAR(EM6),$C$83:$G$83,0)),$G$84)</f>
        <v/>
      </c>
      <c r="EN23" s="56">
        <f>EN22*-IFERROR(INDEX($C$84:$G$84,MATCH(YEAR(EN6),$C$83:$G$83,0)),$G$84)</f>
        <v/>
      </c>
      <c r="EO23" s="56">
        <f>EO22*-IFERROR(INDEX($C$84:$G$84,MATCH(YEAR(EO6),$C$83:$G$83,0)),$G$84)</f>
        <v/>
      </c>
      <c r="EP23" s="56">
        <f>EP22*-IFERROR(INDEX($C$84:$G$84,MATCH(YEAR(EP6),$C$83:$G$83,0)),$G$84)</f>
        <v/>
      </c>
      <c r="EQ23" s="56">
        <f>EQ22*-IFERROR(INDEX($C$84:$G$84,MATCH(YEAR(EQ6),$C$83:$G$83,0)),$G$84)</f>
        <v/>
      </c>
      <c r="ER23" s="56">
        <f>ER22*-IFERROR(INDEX($C$84:$G$84,MATCH(YEAR(ER6),$C$83:$G$83,0)),$G$84)</f>
        <v/>
      </c>
      <c r="ES23" s="56">
        <f>ES22*-IFERROR(INDEX($C$84:$G$84,MATCH(YEAR(ES6),$C$83:$G$83,0)),$G$84)</f>
        <v/>
      </c>
      <c r="ET23" s="56">
        <f>ET22*-IFERROR(INDEX($C$84:$G$84,MATCH(YEAR(ET6),$C$83:$G$83,0)),$G$84)</f>
        <v/>
      </c>
      <c r="EU23" s="56">
        <f>EU22*-IFERROR(INDEX($C$84:$G$84,MATCH(YEAR(EU6),$C$83:$G$83,0)),$G$84)</f>
        <v/>
      </c>
      <c r="EV23" s="56">
        <f>EV22*-IFERROR(INDEX($C$84:$G$84,MATCH(YEAR(EV6),$C$83:$G$83,0)),$G$84)</f>
        <v/>
      </c>
      <c r="EW23" s="56">
        <f>EW22*-IFERROR(INDEX($C$84:$G$84,MATCH(YEAR(EW6),$C$83:$G$83,0)),$G$84)</f>
        <v/>
      </c>
      <c r="EX23" s="56">
        <f>EX22*-IFERROR(INDEX($C$84:$G$84,MATCH(YEAR(EX6),$C$83:$G$83,0)),$G$84)</f>
        <v/>
      </c>
      <c r="EY23" s="56">
        <f>EY22*-IFERROR(INDEX($C$84:$G$84,MATCH(YEAR(EY6),$C$83:$G$83,0)),$G$84)</f>
        <v/>
      </c>
      <c r="EZ23" s="56">
        <f>EZ22*-IFERROR(INDEX($C$84:$G$84,MATCH(YEAR(EZ6),$C$83:$G$83,0)),$G$84)</f>
        <v/>
      </c>
      <c r="FA23" s="56">
        <f>FA22*-IFERROR(INDEX($C$84:$G$84,MATCH(YEAR(FA6),$C$83:$G$83,0)),$G$84)</f>
        <v/>
      </c>
      <c r="FB23" s="56">
        <f>FB22*-IFERROR(INDEX($C$84:$G$84,MATCH(YEAR(FB6),$C$83:$G$83,0)),$G$84)</f>
        <v/>
      </c>
    </row>
    <row r="24">
      <c r="B24" s="93" t="inlineStr">
        <is>
          <t>Gross Value</t>
        </is>
      </c>
      <c r="C24" s="151">
        <f>Inputs!C84</f>
        <v/>
      </c>
      <c r="D24" s="152">
        <f>D22/D23</f>
        <v/>
      </c>
      <c r="E24" s="153" t="inlineStr">
        <is>
          <t>Gross Value</t>
        </is>
      </c>
      <c r="F24" s="123">
        <f>F22/F23</f>
        <v/>
      </c>
      <c r="G24" s="123">
        <f>G22/G23</f>
        <v/>
      </c>
      <c r="H24" s="9" t="n"/>
      <c r="I24" s="57" t="inlineStr">
        <is>
          <t>Gross Potential Rent</t>
        </is>
      </c>
      <c r="J24" s="57" t="n"/>
      <c r="K24" s="58" t="n"/>
      <c r="L24" s="57">
        <f>SUMIF($Z$4:$FB$4,"&lt;="&amp;$G$18,$Z24:$FB24)</f>
        <v/>
      </c>
      <c r="M24" s="58" t="n"/>
      <c r="N24" s="57">
        <f>SUMIF($Z$3:$FB$3,N$7,$Z24:$FB24)</f>
        <v/>
      </c>
      <c r="O24" s="57">
        <f>SUMIF($Z$3:$FB$3,O$7,$Z24:$FB24)</f>
        <v/>
      </c>
      <c r="P24" s="57">
        <f>SUMIF($Z$3:$FB$3,P$7,$Z24:$FB24)</f>
        <v/>
      </c>
      <c r="Q24" s="57">
        <f>SUMIF($Z$3:$FB$3,Q$7,$Z24:$FB24)</f>
        <v/>
      </c>
      <c r="R24" s="57">
        <f>SUMIF($Z$3:$FB$3,R$7,$Z24:$FB24)</f>
        <v/>
      </c>
      <c r="S24" s="57">
        <f>SUMIF($Z$3:$FB$3,S$7,$Z24:$FB24)</f>
        <v/>
      </c>
      <c r="T24" s="57">
        <f>SUMIF($Z$3:$FB$3,T$7,$Z24:$FB24)</f>
        <v/>
      </c>
      <c r="U24" s="57">
        <f>SUMIF($Z$3:$FB$3,U$7,$Z24:$FB24)</f>
        <v/>
      </c>
      <c r="V24" s="57">
        <f>SUMIF($Z$3:$FB$3,V$7,$Z24:$FB24)</f>
        <v/>
      </c>
      <c r="W24" s="57">
        <f>SUMIF($Z$3:$FB$3,W$7,$Z24:$FB24)</f>
        <v/>
      </c>
      <c r="X24" s="57">
        <f>SUMIF($Z$3:$FB$3,X$7,$Z24:$FB24)</f>
        <v/>
      </c>
      <c r="Y24" s="58" t="n"/>
      <c r="Z24" s="57" t="n">
        <v>0</v>
      </c>
      <c r="AA24" s="57">
        <f>SUM(AA22:AA23)</f>
        <v/>
      </c>
      <c r="AB24" s="57">
        <f>SUM(AB22:AB23)</f>
        <v/>
      </c>
      <c r="AC24" s="57">
        <f>SUM(AC22:AC23)</f>
        <v/>
      </c>
      <c r="AD24" s="57">
        <f>SUM(AD22:AD23)</f>
        <v/>
      </c>
      <c r="AE24" s="57">
        <f>SUM(AE22:AE23)</f>
        <v/>
      </c>
      <c r="AF24" s="57">
        <f>SUM(AF22:AF23)</f>
        <v/>
      </c>
      <c r="AG24" s="57">
        <f>SUM(AG22:AG23)</f>
        <v/>
      </c>
      <c r="AH24" s="57">
        <f>SUM(AH22:AH23)</f>
        <v/>
      </c>
      <c r="AI24" s="57">
        <f>SUM(AI22:AI23)</f>
        <v/>
      </c>
      <c r="AJ24" s="57">
        <f>SUM(AJ22:AJ23)</f>
        <v/>
      </c>
      <c r="AK24" s="57">
        <f>SUM(AK22:AK23)</f>
        <v/>
      </c>
      <c r="AL24" s="57">
        <f>SUM(AL22:AL23)</f>
        <v/>
      </c>
      <c r="AM24" s="57">
        <f>SUM(AM22:AM23)</f>
        <v/>
      </c>
      <c r="AN24" s="57">
        <f>SUM(AN22:AN23)</f>
        <v/>
      </c>
      <c r="AO24" s="57">
        <f>SUM(AO22:AO23)</f>
        <v/>
      </c>
      <c r="AP24" s="57">
        <f>SUM(AP22:AP23)</f>
        <v/>
      </c>
      <c r="AQ24" s="57">
        <f>SUM(AQ22:AQ23)</f>
        <v/>
      </c>
      <c r="AR24" s="57">
        <f>SUM(AR22:AR23)</f>
        <v/>
      </c>
      <c r="AS24" s="57">
        <f>SUM(AS22:AS23)</f>
        <v/>
      </c>
      <c r="AT24" s="57">
        <f>SUM(AT22:AT23)</f>
        <v/>
      </c>
      <c r="AU24" s="57">
        <f>SUM(AU22:AU23)</f>
        <v/>
      </c>
      <c r="AV24" s="57">
        <f>SUM(AV22:AV23)</f>
        <v/>
      </c>
      <c r="AW24" s="57">
        <f>SUM(AW22:AW23)</f>
        <v/>
      </c>
      <c r="AX24" s="57">
        <f>SUM(AX22:AX23)</f>
        <v/>
      </c>
      <c r="AY24" s="57">
        <f>SUM(AY22:AY23)</f>
        <v/>
      </c>
      <c r="AZ24" s="57">
        <f>SUM(AZ22:AZ23)</f>
        <v/>
      </c>
      <c r="BA24" s="57">
        <f>SUM(BA22:BA23)</f>
        <v/>
      </c>
      <c r="BB24" s="57">
        <f>SUM(BB22:BB23)</f>
        <v/>
      </c>
      <c r="BC24" s="57">
        <f>SUM(BC22:BC23)</f>
        <v/>
      </c>
      <c r="BD24" s="57">
        <f>SUM(BD22:BD23)</f>
        <v/>
      </c>
      <c r="BE24" s="57">
        <f>SUM(BE22:BE23)</f>
        <v/>
      </c>
      <c r="BF24" s="57">
        <f>SUM(BF22:BF23)</f>
        <v/>
      </c>
      <c r="BG24" s="57">
        <f>SUM(BG22:BG23)</f>
        <v/>
      </c>
      <c r="BH24" s="57">
        <f>SUM(BH22:BH23)</f>
        <v/>
      </c>
      <c r="BI24" s="57">
        <f>SUM(BI22:BI23)</f>
        <v/>
      </c>
      <c r="BJ24" s="57">
        <f>SUM(BJ22:BJ23)</f>
        <v/>
      </c>
      <c r="BK24" s="57">
        <f>SUM(BK22:BK23)</f>
        <v/>
      </c>
      <c r="BL24" s="57">
        <f>SUM(BL22:BL23)</f>
        <v/>
      </c>
      <c r="BM24" s="57">
        <f>SUM(BM22:BM23)</f>
        <v/>
      </c>
      <c r="BN24" s="57">
        <f>SUM(BN22:BN23)</f>
        <v/>
      </c>
      <c r="BO24" s="57">
        <f>SUM(BO22:BO23)</f>
        <v/>
      </c>
      <c r="BP24" s="57">
        <f>SUM(BP22:BP23)</f>
        <v/>
      </c>
      <c r="BQ24" s="57">
        <f>SUM(BQ22:BQ23)</f>
        <v/>
      </c>
      <c r="BR24" s="57">
        <f>SUM(BR22:BR23)</f>
        <v/>
      </c>
      <c r="BS24" s="57">
        <f>SUM(BS22:BS23)</f>
        <v/>
      </c>
      <c r="BT24" s="57">
        <f>SUM(BT22:BT23)</f>
        <v/>
      </c>
      <c r="BU24" s="57">
        <f>SUM(BU22:BU23)</f>
        <v/>
      </c>
      <c r="BV24" s="57">
        <f>SUM(BV22:BV23)</f>
        <v/>
      </c>
      <c r="BW24" s="57">
        <f>SUM(BW22:BW23)</f>
        <v/>
      </c>
      <c r="BX24" s="57">
        <f>SUM(BX22:BX23)</f>
        <v/>
      </c>
      <c r="BY24" s="57">
        <f>SUM(BY22:BY23)</f>
        <v/>
      </c>
      <c r="BZ24" s="57">
        <f>SUM(BZ22:BZ23)</f>
        <v/>
      </c>
      <c r="CA24" s="57">
        <f>SUM(CA22:CA23)</f>
        <v/>
      </c>
      <c r="CB24" s="57">
        <f>SUM(CB22:CB23)</f>
        <v/>
      </c>
      <c r="CC24" s="57">
        <f>SUM(CC22:CC23)</f>
        <v/>
      </c>
      <c r="CD24" s="57">
        <f>SUM(CD22:CD23)</f>
        <v/>
      </c>
      <c r="CE24" s="57">
        <f>SUM(CE22:CE23)</f>
        <v/>
      </c>
      <c r="CF24" s="57">
        <f>SUM(CF22:CF23)</f>
        <v/>
      </c>
      <c r="CG24" s="57">
        <f>SUM(CG22:CG23)</f>
        <v/>
      </c>
      <c r="CH24" s="57">
        <f>SUM(CH22:CH23)</f>
        <v/>
      </c>
      <c r="CI24" s="57">
        <f>SUM(CI22:CI23)</f>
        <v/>
      </c>
      <c r="CJ24" s="57">
        <f>SUM(CJ22:CJ23)</f>
        <v/>
      </c>
      <c r="CK24" s="57">
        <f>SUM(CK22:CK23)</f>
        <v/>
      </c>
      <c r="CL24" s="57">
        <f>SUM(CL22:CL23)</f>
        <v/>
      </c>
      <c r="CM24" s="57">
        <f>SUM(CM22:CM23)</f>
        <v/>
      </c>
      <c r="CN24" s="57">
        <f>SUM(CN22:CN23)</f>
        <v/>
      </c>
      <c r="CO24" s="57">
        <f>SUM(CO22:CO23)</f>
        <v/>
      </c>
      <c r="CP24" s="57">
        <f>SUM(CP22:CP23)</f>
        <v/>
      </c>
      <c r="CQ24" s="57">
        <f>SUM(CQ22:CQ23)</f>
        <v/>
      </c>
      <c r="CR24" s="57">
        <f>SUM(CR22:CR23)</f>
        <v/>
      </c>
      <c r="CS24" s="57">
        <f>SUM(CS22:CS23)</f>
        <v/>
      </c>
      <c r="CT24" s="57">
        <f>SUM(CT22:CT23)</f>
        <v/>
      </c>
      <c r="CU24" s="57">
        <f>SUM(CU22:CU23)</f>
        <v/>
      </c>
      <c r="CV24" s="57">
        <f>SUM(CV22:CV23)</f>
        <v/>
      </c>
      <c r="CW24" s="57">
        <f>SUM(CW22:CW23)</f>
        <v/>
      </c>
      <c r="CX24" s="57">
        <f>SUM(CX22:CX23)</f>
        <v/>
      </c>
      <c r="CY24" s="57">
        <f>SUM(CY22:CY23)</f>
        <v/>
      </c>
      <c r="CZ24" s="57">
        <f>SUM(CZ22:CZ23)</f>
        <v/>
      </c>
      <c r="DA24" s="57">
        <f>SUM(DA22:DA23)</f>
        <v/>
      </c>
      <c r="DB24" s="57">
        <f>SUM(DB22:DB23)</f>
        <v/>
      </c>
      <c r="DC24" s="57">
        <f>SUM(DC22:DC23)</f>
        <v/>
      </c>
      <c r="DD24" s="57">
        <f>SUM(DD22:DD23)</f>
        <v/>
      </c>
      <c r="DE24" s="57">
        <f>SUM(DE22:DE23)</f>
        <v/>
      </c>
      <c r="DF24" s="57">
        <f>SUM(DF22:DF23)</f>
        <v/>
      </c>
      <c r="DG24" s="57">
        <f>SUM(DG22:DG23)</f>
        <v/>
      </c>
      <c r="DH24" s="57">
        <f>SUM(DH22:DH23)</f>
        <v/>
      </c>
      <c r="DI24" s="57">
        <f>SUM(DI22:DI23)</f>
        <v/>
      </c>
      <c r="DJ24" s="57">
        <f>SUM(DJ22:DJ23)</f>
        <v/>
      </c>
      <c r="DK24" s="57">
        <f>SUM(DK22:DK23)</f>
        <v/>
      </c>
      <c r="DL24" s="57">
        <f>SUM(DL22:DL23)</f>
        <v/>
      </c>
      <c r="DM24" s="57">
        <f>SUM(DM22:DM23)</f>
        <v/>
      </c>
      <c r="DN24" s="57">
        <f>SUM(DN22:DN23)</f>
        <v/>
      </c>
      <c r="DO24" s="57">
        <f>SUM(DO22:DO23)</f>
        <v/>
      </c>
      <c r="DP24" s="57">
        <f>SUM(DP22:DP23)</f>
        <v/>
      </c>
      <c r="DQ24" s="57">
        <f>SUM(DQ22:DQ23)</f>
        <v/>
      </c>
      <c r="DR24" s="57">
        <f>SUM(DR22:DR23)</f>
        <v/>
      </c>
      <c r="DS24" s="57">
        <f>SUM(DS22:DS23)</f>
        <v/>
      </c>
      <c r="DT24" s="57">
        <f>SUM(DT22:DT23)</f>
        <v/>
      </c>
      <c r="DU24" s="57">
        <f>SUM(DU22:DU23)</f>
        <v/>
      </c>
      <c r="DV24" s="57">
        <f>SUM(DV22:DV23)</f>
        <v/>
      </c>
      <c r="DW24" s="57">
        <f>SUM(DW22:DW23)</f>
        <v/>
      </c>
      <c r="DX24" s="57">
        <f>SUM(DX22:DX23)</f>
        <v/>
      </c>
      <c r="DY24" s="57">
        <f>SUM(DY22:DY23)</f>
        <v/>
      </c>
      <c r="DZ24" s="57">
        <f>SUM(DZ22:DZ23)</f>
        <v/>
      </c>
      <c r="EA24" s="57">
        <f>SUM(EA22:EA23)</f>
        <v/>
      </c>
      <c r="EB24" s="57">
        <f>SUM(EB22:EB23)</f>
        <v/>
      </c>
      <c r="EC24" s="57">
        <f>SUM(EC22:EC23)</f>
        <v/>
      </c>
      <c r="ED24" s="57">
        <f>SUM(ED22:ED23)</f>
        <v/>
      </c>
      <c r="EE24" s="57">
        <f>SUM(EE22:EE23)</f>
        <v/>
      </c>
      <c r="EF24" s="57">
        <f>SUM(EF22:EF23)</f>
        <v/>
      </c>
      <c r="EG24" s="57">
        <f>SUM(EG22:EG23)</f>
        <v/>
      </c>
      <c r="EH24" s="57">
        <f>SUM(EH22:EH23)</f>
        <v/>
      </c>
      <c r="EI24" s="57">
        <f>SUM(EI22:EI23)</f>
        <v/>
      </c>
      <c r="EJ24" s="57">
        <f>SUM(EJ22:EJ23)</f>
        <v/>
      </c>
      <c r="EK24" s="57">
        <f>SUM(EK22:EK23)</f>
        <v/>
      </c>
      <c r="EL24" s="57">
        <f>SUM(EL22:EL23)</f>
        <v/>
      </c>
      <c r="EM24" s="57">
        <f>SUM(EM22:EM23)</f>
        <v/>
      </c>
      <c r="EN24" s="57">
        <f>SUM(EN22:EN23)</f>
        <v/>
      </c>
      <c r="EO24" s="57">
        <f>SUM(EO22:EO23)</f>
        <v/>
      </c>
      <c r="EP24" s="57">
        <f>SUM(EP22:EP23)</f>
        <v/>
      </c>
      <c r="EQ24" s="57">
        <f>SUM(EQ22:EQ23)</f>
        <v/>
      </c>
      <c r="ER24" s="57">
        <f>SUM(ER22:ER23)</f>
        <v/>
      </c>
      <c r="ES24" s="57">
        <f>SUM(ES22:ES23)</f>
        <v/>
      </c>
      <c r="ET24" s="57">
        <f>SUM(ET22:ET23)</f>
        <v/>
      </c>
      <c r="EU24" s="57">
        <f>SUM(EU22:EU23)</f>
        <v/>
      </c>
      <c r="EV24" s="57">
        <f>SUM(EV22:EV23)</f>
        <v/>
      </c>
      <c r="EW24" s="57">
        <f>SUM(EW22:EW23)</f>
        <v/>
      </c>
      <c r="EX24" s="57">
        <f>SUM(EX22:EX23)</f>
        <v/>
      </c>
      <c r="EY24" s="57">
        <f>SUM(EY22:EY23)</f>
        <v/>
      </c>
      <c r="EZ24" s="57">
        <f>SUM(EZ22:EZ23)</f>
        <v/>
      </c>
      <c r="FA24" s="57">
        <f>SUM(FA22:FA23)</f>
        <v/>
      </c>
      <c r="FB24" s="57">
        <f>SUM(FB22:FB23)</f>
        <v/>
      </c>
    </row>
    <row r="25">
      <c r="B25" s="32" t="inlineStr">
        <is>
          <t>$/Unit</t>
        </is>
      </c>
      <c r="C25" s="122">
        <f>C24/$C$75</f>
        <v/>
      </c>
      <c r="D25" s="122">
        <f>D24/$C$75</f>
        <v/>
      </c>
      <c r="E25" s="129" t="inlineStr">
        <is>
          <t>$/Unit</t>
        </is>
      </c>
      <c r="F25" s="122">
        <f>F24/$C$75</f>
        <v/>
      </c>
      <c r="G25" s="122">
        <f>G24/$C$75</f>
        <v/>
      </c>
      <c r="H25" s="9" t="n"/>
      <c r="Z25" s="46" t="n"/>
      <c r="AA25" s="46" t="n"/>
      <c r="AB25" s="46" t="n"/>
      <c r="AC25" s="46" t="n"/>
      <c r="AD25" s="46" t="n"/>
      <c r="AE25" s="46" t="n"/>
      <c r="AF25" s="46" t="n"/>
      <c r="AG25" s="46" t="n"/>
      <c r="AH25" s="46" t="n"/>
      <c r="AI25" s="46" t="n"/>
      <c r="AJ25" s="46" t="n"/>
      <c r="AK25" s="46" t="n"/>
      <c r="AL25" s="46" t="n"/>
      <c r="AM25" s="46" t="n"/>
      <c r="AN25" s="46" t="n"/>
      <c r="AO25" s="46" t="n"/>
      <c r="AP25" s="46" t="n"/>
      <c r="AQ25" s="46" t="n"/>
      <c r="AR25" s="46" t="n"/>
      <c r="AS25" s="46" t="n"/>
      <c r="AT25" s="46" t="n"/>
      <c r="AU25" s="46" t="n"/>
      <c r="AV25" s="46" t="n"/>
      <c r="AW25" s="46" t="n"/>
      <c r="AX25" s="46" t="n"/>
      <c r="AY25" s="46" t="n"/>
      <c r="AZ25" s="46" t="n"/>
      <c r="BA25" s="46" t="n"/>
      <c r="BB25" s="46" t="n"/>
      <c r="BC25" s="46" t="n"/>
      <c r="BD25" s="46" t="n"/>
      <c r="BE25" s="46" t="n"/>
      <c r="BF25" s="46" t="n"/>
      <c r="BG25" s="46" t="n"/>
      <c r="BH25" s="46" t="n"/>
      <c r="BI25" s="46" t="n"/>
      <c r="BJ25" s="46" t="n"/>
      <c r="BK25" s="46" t="n"/>
      <c r="BL25" s="46" t="n"/>
      <c r="BM25" s="46" t="n"/>
      <c r="BN25" s="46" t="n"/>
      <c r="BO25" s="46" t="n"/>
      <c r="BP25" s="46" t="n"/>
      <c r="BQ25" s="46" t="n"/>
      <c r="BR25" s="46" t="n"/>
      <c r="BS25" s="46" t="n"/>
      <c r="BT25" s="46" t="n"/>
      <c r="BU25" s="46" t="n"/>
      <c r="BV25" s="46" t="n"/>
      <c r="BW25" s="46" t="n"/>
      <c r="BX25" s="46" t="n"/>
      <c r="BY25" s="46" t="n"/>
      <c r="BZ25" s="46" t="n"/>
      <c r="CA25" s="46" t="n"/>
      <c r="CB25" s="46" t="n"/>
      <c r="CC25" s="46" t="n"/>
      <c r="CD25" s="46" t="n"/>
      <c r="CE25" s="46" t="n"/>
      <c r="CF25" s="46" t="n"/>
      <c r="CG25" s="46" t="n"/>
      <c r="CH25" s="46" t="n"/>
      <c r="CI25" s="46" t="n"/>
      <c r="CJ25" s="46" t="n"/>
      <c r="CK25" s="46" t="n"/>
      <c r="CL25" s="46" t="n"/>
      <c r="CM25" s="46" t="n"/>
      <c r="CN25" s="46" t="n"/>
      <c r="CO25" s="46" t="n"/>
      <c r="CP25" s="46" t="n"/>
      <c r="CQ25" s="46" t="n"/>
      <c r="CR25" s="46" t="n"/>
      <c r="CS25" s="46" t="n"/>
      <c r="CT25" s="46" t="n"/>
      <c r="CU25" s="46" t="n"/>
      <c r="CV25" s="46" t="n"/>
      <c r="CW25" s="46" t="n"/>
      <c r="CX25" s="46" t="n"/>
      <c r="CY25" s="46" t="n"/>
      <c r="CZ25" s="46" t="n"/>
      <c r="DA25" s="46" t="n"/>
      <c r="DB25" s="46" t="n"/>
      <c r="DC25" s="46" t="n"/>
      <c r="DD25" s="46" t="n"/>
      <c r="DE25" s="46" t="n"/>
      <c r="DF25" s="46" t="n"/>
      <c r="DG25" s="46" t="n"/>
      <c r="DH25" s="46" t="n"/>
      <c r="DI25" s="46" t="n"/>
      <c r="DJ25" s="46" t="n"/>
      <c r="DK25" s="46" t="n"/>
      <c r="DL25" s="46" t="n"/>
      <c r="DM25" s="46" t="n"/>
      <c r="DN25" s="46" t="n"/>
      <c r="DO25" s="46" t="n"/>
      <c r="DP25" s="46" t="n"/>
      <c r="DQ25" s="46" t="n"/>
      <c r="DR25" s="46" t="n"/>
      <c r="DS25" s="46" t="n"/>
      <c r="DT25" s="46" t="n"/>
      <c r="DU25" s="46" t="n"/>
      <c r="DV25" s="46" t="n"/>
      <c r="DW25" s="46" t="n"/>
      <c r="DX25" s="46" t="n"/>
      <c r="DY25" s="46" t="n"/>
      <c r="DZ25" s="46" t="n"/>
      <c r="EA25" s="46" t="n"/>
      <c r="EB25" s="46" t="n"/>
      <c r="EC25" s="46" t="n"/>
      <c r="ED25" s="46" t="n"/>
      <c r="EE25" s="46" t="n"/>
      <c r="EF25" s="46" t="n"/>
      <c r="EG25" s="46" t="n"/>
      <c r="EH25" s="46" t="n"/>
      <c r="EI25" s="46" t="n"/>
      <c r="EJ25" s="46" t="n"/>
      <c r="EK25" s="46" t="n"/>
      <c r="EL25" s="46" t="n"/>
      <c r="EM25" s="46" t="n"/>
      <c r="EN25" s="46" t="n"/>
      <c r="EO25" s="46" t="n"/>
      <c r="EP25" s="46" t="n"/>
      <c r="EQ25" s="46" t="n"/>
      <c r="ER25" s="46" t="n"/>
      <c r="ES25" s="46" t="n"/>
      <c r="ET25" s="46" t="n"/>
      <c r="EU25" s="46" t="n"/>
      <c r="EV25" s="46" t="n"/>
      <c r="EW25" s="46" t="n"/>
      <c r="EX25" s="46" t="n"/>
      <c r="EY25" s="46" t="n"/>
      <c r="EZ25" s="46" t="n"/>
      <c r="FA25" s="46" t="n"/>
      <c r="FB25" s="46" t="n"/>
    </row>
    <row r="26">
      <c r="B26" s="158" t="n"/>
      <c r="C26" s="156" t="inlineStr">
        <is>
          <t>Delta</t>
        </is>
      </c>
      <c r="D26" s="157">
        <f>D24-C24</f>
        <v/>
      </c>
      <c r="E26" s="155">
        <f>Inputs!C10</f>
        <v/>
      </c>
      <c r="F26" s="130">
        <f>-$E26*F24</f>
        <v/>
      </c>
      <c r="G26" s="130">
        <f>-$E26*G24</f>
        <v/>
      </c>
      <c r="H26" s="9" t="n"/>
      <c r="I26" s="53" t="inlineStr">
        <is>
          <t>Other Income</t>
        </is>
      </c>
    </row>
    <row r="27">
      <c r="B27" s="44" t="n"/>
      <c r="C27" s="43" t="inlineStr">
        <is>
          <t>$/Unit</t>
        </is>
      </c>
      <c r="D27" s="44">
        <f>D25-C25</f>
        <v/>
      </c>
      <c r="E27" s="154" t="inlineStr">
        <is>
          <t>Net Sales Proceeds</t>
        </is>
      </c>
      <c r="F27" s="57">
        <f>SUM(F24,F26)</f>
        <v/>
      </c>
      <c r="G27" s="57">
        <f>SUM(G24,G26)</f>
        <v/>
      </c>
      <c r="H27" s="9" t="n"/>
      <c r="I27" s="9" t="inlineStr">
        <is>
          <t>RUBS</t>
        </is>
      </c>
      <c r="J27" s="60">
        <f>D78</f>
        <v/>
      </c>
      <c r="K27" s="186" t="n"/>
      <c r="L27" s="24">
        <f>SUMIF($Z$4:$FB$4,"&lt;="&amp;$G$18,$Z27:$FB27)</f>
        <v/>
      </c>
      <c r="M27" s="62" t="n"/>
      <c r="N27" s="61">
        <f>SUMIF($Z$3:$FB$3,N$7,$Z27:$FB27)</f>
        <v/>
      </c>
      <c r="O27" s="61">
        <f>SUMIF($Z$3:$FB$3,O$7,$Z27:$FB27)</f>
        <v/>
      </c>
      <c r="P27" s="61">
        <f>SUMIF($Z$3:$FB$3,P$7,$Z27:$FB27)</f>
        <v/>
      </c>
      <c r="Q27" s="61">
        <f>SUMIF($Z$3:$FB$3,Q$7,$Z27:$FB27)</f>
        <v/>
      </c>
      <c r="R27" s="61">
        <f>SUMIF($Z$3:$FB$3,R$7,$Z27:$FB27)</f>
        <v/>
      </c>
      <c r="S27" s="61">
        <f>SUMIF($Z$3:$FB$3,S$7,$Z27:$FB27)</f>
        <v/>
      </c>
      <c r="T27" s="61">
        <f>SUMIF($Z$3:$FB$3,T$7,$Z27:$FB27)</f>
        <v/>
      </c>
      <c r="U27" s="61">
        <f>SUMIF($Z$3:$FB$3,U$7,$Z27:$FB27)</f>
        <v/>
      </c>
      <c r="V27" s="61">
        <f>SUMIF($Z$3:$FB$3,V$7,$Z27:$FB27)</f>
        <v/>
      </c>
      <c r="W27" s="61">
        <f>SUMIF($Z$3:$FB$3,W$7,$Z27:$FB27)</f>
        <v/>
      </c>
      <c r="X27" s="61">
        <f>SUMIF($Z$3:$FB$3,X$7,$Z27:$FB27)</f>
        <v/>
      </c>
      <c r="Y27" s="62" t="n"/>
      <c r="Z27" s="24" t="n">
        <v>0</v>
      </c>
      <c r="AA27" s="24">
        <f>$J$27*AA53</f>
        <v/>
      </c>
      <c r="AB27" s="24">
        <f>$J$27*AB53</f>
        <v/>
      </c>
      <c r="AC27" s="24">
        <f>$J$27*AC53</f>
        <v/>
      </c>
      <c r="AD27" s="24">
        <f>$J$27*AD53</f>
        <v/>
      </c>
      <c r="AE27" s="24">
        <f>$J$27*AE53</f>
        <v/>
      </c>
      <c r="AF27" s="24">
        <f>$J$27*AF53</f>
        <v/>
      </c>
      <c r="AG27" s="24">
        <f>$J$27*AG53</f>
        <v/>
      </c>
      <c r="AH27" s="24">
        <f>$J$27*AH53</f>
        <v/>
      </c>
      <c r="AI27" s="24">
        <f>$J$27*AI53</f>
        <v/>
      </c>
      <c r="AJ27" s="24">
        <f>$J$27*AJ53</f>
        <v/>
      </c>
      <c r="AK27" s="24">
        <f>$J$27*AK53</f>
        <v/>
      </c>
      <c r="AL27" s="24">
        <f>$J$27*AL53</f>
        <v/>
      </c>
      <c r="AM27" s="24">
        <f>$J$27*AM53</f>
        <v/>
      </c>
      <c r="AN27" s="24">
        <f>$J$27*AN53</f>
        <v/>
      </c>
      <c r="AO27" s="24">
        <f>$J$27*AO53</f>
        <v/>
      </c>
      <c r="AP27" s="24">
        <f>$J$27*AP53</f>
        <v/>
      </c>
      <c r="AQ27" s="24">
        <f>$J$27*AQ53</f>
        <v/>
      </c>
      <c r="AR27" s="24">
        <f>$J$27*AR53</f>
        <v/>
      </c>
      <c r="AS27" s="24">
        <f>$J$27*AS53</f>
        <v/>
      </c>
      <c r="AT27" s="24">
        <f>$J$27*AT53</f>
        <v/>
      </c>
      <c r="AU27" s="24">
        <f>$J$27*AU53</f>
        <v/>
      </c>
      <c r="AV27" s="24">
        <f>$J$27*AV53</f>
        <v/>
      </c>
      <c r="AW27" s="24">
        <f>$J$27*AW53</f>
        <v/>
      </c>
      <c r="AX27" s="24">
        <f>$J$27*AX53</f>
        <v/>
      </c>
      <c r="AY27" s="24">
        <f>$J$27*AY53</f>
        <v/>
      </c>
      <c r="AZ27" s="24">
        <f>$J$27*AZ53</f>
        <v/>
      </c>
      <c r="BA27" s="24">
        <f>$J$27*BA53</f>
        <v/>
      </c>
      <c r="BB27" s="24">
        <f>$J$27*BB53</f>
        <v/>
      </c>
      <c r="BC27" s="24">
        <f>$J$27*BC53</f>
        <v/>
      </c>
      <c r="BD27" s="24">
        <f>$J$27*BD53</f>
        <v/>
      </c>
      <c r="BE27" s="24">
        <f>$J$27*BE53</f>
        <v/>
      </c>
      <c r="BF27" s="24">
        <f>$J$27*BF53</f>
        <v/>
      </c>
      <c r="BG27" s="24">
        <f>$J$27*BG53</f>
        <v/>
      </c>
      <c r="BH27" s="24">
        <f>$J$27*BH53</f>
        <v/>
      </c>
      <c r="BI27" s="24">
        <f>$J$27*BI53</f>
        <v/>
      </c>
      <c r="BJ27" s="24">
        <f>$J$27*BJ53</f>
        <v/>
      </c>
      <c r="BK27" s="24">
        <f>$J$27*BK53</f>
        <v/>
      </c>
      <c r="BL27" s="24">
        <f>$J$27*BL53</f>
        <v/>
      </c>
      <c r="BM27" s="24">
        <f>$J$27*BM53</f>
        <v/>
      </c>
      <c r="BN27" s="24">
        <f>$J$27*BN53</f>
        <v/>
      </c>
      <c r="BO27" s="24">
        <f>$J$27*BO53</f>
        <v/>
      </c>
      <c r="BP27" s="24">
        <f>$J$27*BP53</f>
        <v/>
      </c>
      <c r="BQ27" s="24">
        <f>$J$27*BQ53</f>
        <v/>
      </c>
      <c r="BR27" s="24">
        <f>$J$27*BR53</f>
        <v/>
      </c>
      <c r="BS27" s="24">
        <f>$J$27*BS53</f>
        <v/>
      </c>
      <c r="BT27" s="24">
        <f>$J$27*BT53</f>
        <v/>
      </c>
      <c r="BU27" s="24">
        <f>$J$27*BU53</f>
        <v/>
      </c>
      <c r="BV27" s="24">
        <f>$J$27*BV53</f>
        <v/>
      </c>
      <c r="BW27" s="24">
        <f>$J$27*BW53</f>
        <v/>
      </c>
      <c r="BX27" s="24">
        <f>$J$27*BX53</f>
        <v/>
      </c>
      <c r="BY27" s="24">
        <f>$J$27*BY53</f>
        <v/>
      </c>
      <c r="BZ27" s="24">
        <f>$J$27*BZ53</f>
        <v/>
      </c>
      <c r="CA27" s="24">
        <f>$J$27*CA53</f>
        <v/>
      </c>
      <c r="CB27" s="24">
        <f>$J$27*CB53</f>
        <v/>
      </c>
      <c r="CC27" s="24">
        <f>$J$27*CC53</f>
        <v/>
      </c>
      <c r="CD27" s="24">
        <f>$J$27*CD53</f>
        <v/>
      </c>
      <c r="CE27" s="24">
        <f>$J$27*CE53</f>
        <v/>
      </c>
      <c r="CF27" s="24">
        <f>$J$27*CF53</f>
        <v/>
      </c>
      <c r="CG27" s="24">
        <f>$J$27*CG53</f>
        <v/>
      </c>
      <c r="CH27" s="24">
        <f>$J$27*CH53</f>
        <v/>
      </c>
      <c r="CI27" s="24">
        <f>$J$27*CI53</f>
        <v/>
      </c>
      <c r="CJ27" s="24">
        <f>$J$27*CJ53</f>
        <v/>
      </c>
      <c r="CK27" s="24">
        <f>$J$27*CK53</f>
        <v/>
      </c>
      <c r="CL27" s="24">
        <f>$J$27*CL53</f>
        <v/>
      </c>
      <c r="CM27" s="24">
        <f>$J$27*CM53</f>
        <v/>
      </c>
      <c r="CN27" s="24">
        <f>$J$27*CN53</f>
        <v/>
      </c>
      <c r="CO27" s="24">
        <f>$J$27*CO53</f>
        <v/>
      </c>
      <c r="CP27" s="24">
        <f>$J$27*CP53</f>
        <v/>
      </c>
      <c r="CQ27" s="24">
        <f>$J$27*CQ53</f>
        <v/>
      </c>
      <c r="CR27" s="24">
        <f>$J$27*CR53</f>
        <v/>
      </c>
      <c r="CS27" s="24">
        <f>$J$27*CS53</f>
        <v/>
      </c>
      <c r="CT27" s="24">
        <f>$J$27*CT53</f>
        <v/>
      </c>
      <c r="CU27" s="24">
        <f>$J$27*CU53</f>
        <v/>
      </c>
      <c r="CV27" s="24">
        <f>$J$27*CV53</f>
        <v/>
      </c>
      <c r="CW27" s="24">
        <f>$J$27*CW53</f>
        <v/>
      </c>
      <c r="CX27" s="24">
        <f>$J$27*CX53</f>
        <v/>
      </c>
      <c r="CY27" s="24">
        <f>$J$27*CY53</f>
        <v/>
      </c>
      <c r="CZ27" s="24">
        <f>$J$27*CZ53</f>
        <v/>
      </c>
      <c r="DA27" s="24">
        <f>$J$27*DA53</f>
        <v/>
      </c>
      <c r="DB27" s="24">
        <f>$J$27*DB53</f>
        <v/>
      </c>
      <c r="DC27" s="24">
        <f>$J$27*DC53</f>
        <v/>
      </c>
      <c r="DD27" s="24">
        <f>$J$27*DD53</f>
        <v/>
      </c>
      <c r="DE27" s="24">
        <f>$J$27*DE53</f>
        <v/>
      </c>
      <c r="DF27" s="24">
        <f>$J$27*DF53</f>
        <v/>
      </c>
      <c r="DG27" s="24">
        <f>$J$27*DG53</f>
        <v/>
      </c>
      <c r="DH27" s="24">
        <f>$J$27*DH53</f>
        <v/>
      </c>
      <c r="DI27" s="24">
        <f>$J$27*DI53</f>
        <v/>
      </c>
      <c r="DJ27" s="24">
        <f>$J$27*DJ53</f>
        <v/>
      </c>
      <c r="DK27" s="24">
        <f>$J$27*DK53</f>
        <v/>
      </c>
      <c r="DL27" s="24">
        <f>$J$27*DL53</f>
        <v/>
      </c>
      <c r="DM27" s="24">
        <f>$J$27*DM53</f>
        <v/>
      </c>
      <c r="DN27" s="24">
        <f>$J$27*DN53</f>
        <v/>
      </c>
      <c r="DO27" s="24">
        <f>$J$27*DO53</f>
        <v/>
      </c>
      <c r="DP27" s="24">
        <f>$J$27*DP53</f>
        <v/>
      </c>
      <c r="DQ27" s="24">
        <f>$J$27*DQ53</f>
        <v/>
      </c>
      <c r="DR27" s="24">
        <f>$J$27*DR53</f>
        <v/>
      </c>
      <c r="DS27" s="24">
        <f>$J$27*DS53</f>
        <v/>
      </c>
      <c r="DT27" s="24">
        <f>$J$27*DT53</f>
        <v/>
      </c>
      <c r="DU27" s="24">
        <f>$J$27*DU53</f>
        <v/>
      </c>
      <c r="DV27" s="24">
        <f>$J$27*DV53</f>
        <v/>
      </c>
      <c r="DW27" s="24">
        <f>$J$27*DW53</f>
        <v/>
      </c>
      <c r="DX27" s="24">
        <f>$J$27*DX53</f>
        <v/>
      </c>
      <c r="DY27" s="24">
        <f>$J$27*DY53</f>
        <v/>
      </c>
      <c r="DZ27" s="24">
        <f>$J$27*DZ53</f>
        <v/>
      </c>
      <c r="EA27" s="24">
        <f>$J$27*EA53</f>
        <v/>
      </c>
      <c r="EB27" s="24">
        <f>$J$27*EB53</f>
        <v/>
      </c>
      <c r="EC27" s="24">
        <f>$J$27*EC53</f>
        <v/>
      </c>
      <c r="ED27" s="24">
        <f>$J$27*ED53</f>
        <v/>
      </c>
      <c r="EE27" s="24">
        <f>$J$27*EE53</f>
        <v/>
      </c>
      <c r="EF27" s="24">
        <f>$J$27*EF53</f>
        <v/>
      </c>
      <c r="EG27" s="24">
        <f>$J$27*EG53</f>
        <v/>
      </c>
      <c r="EH27" s="24">
        <f>$J$27*EH53</f>
        <v/>
      </c>
      <c r="EI27" s="24">
        <f>$J$27*EI53</f>
        <v/>
      </c>
      <c r="EJ27" s="24">
        <f>$J$27*EJ53</f>
        <v/>
      </c>
      <c r="EK27" s="24">
        <f>$J$27*EK53</f>
        <v/>
      </c>
      <c r="EL27" s="24">
        <f>$J$27*EL53</f>
        <v/>
      </c>
      <c r="EM27" s="24">
        <f>$J$27*EM53</f>
        <v/>
      </c>
      <c r="EN27" s="24">
        <f>$J$27*EN53</f>
        <v/>
      </c>
      <c r="EO27" s="24">
        <f>$J$27*EO53</f>
        <v/>
      </c>
      <c r="EP27" s="24">
        <f>$J$27*EP53</f>
        <v/>
      </c>
      <c r="EQ27" s="24">
        <f>$J$27*EQ53</f>
        <v/>
      </c>
      <c r="ER27" s="24">
        <f>$J$27*ER53</f>
        <v/>
      </c>
      <c r="ES27" s="24">
        <f>$J$27*ES53</f>
        <v/>
      </c>
      <c r="ET27" s="24">
        <f>$J$27*ET53</f>
        <v/>
      </c>
      <c r="EU27" s="24">
        <f>$J$27*EU53</f>
        <v/>
      </c>
      <c r="EV27" s="24">
        <f>$J$27*EV53</f>
        <v/>
      </c>
      <c r="EW27" s="24">
        <f>$J$27*EW53</f>
        <v/>
      </c>
      <c r="EX27" s="24">
        <f>$J$27*EX53</f>
        <v/>
      </c>
      <c r="EY27" s="24">
        <f>$J$27*EY53</f>
        <v/>
      </c>
      <c r="EZ27" s="24">
        <f>$J$27*EZ53</f>
        <v/>
      </c>
      <c r="FA27" s="24">
        <f>$J$27*FA53</f>
        <v/>
      </c>
      <c r="FB27" s="24">
        <f>$J$27*FB53</f>
        <v/>
      </c>
    </row>
    <row r="28">
      <c r="H28" s="9" t="n"/>
      <c r="I28" s="9" t="inlineStr">
        <is>
          <t xml:space="preserve">Parking Income </t>
        </is>
      </c>
      <c r="J28" s="46">
        <f>F79</f>
        <v/>
      </c>
      <c r="K28" s="63" t="n"/>
      <c r="L28" s="24">
        <f>SUMIF($Z$4:$FB$4,"&lt;="&amp;$G$18,$Z28:$FB28)</f>
        <v/>
      </c>
      <c r="M28" s="62" t="n"/>
      <c r="N28" s="61">
        <f>SUMIF($Z$3:$FB$3,N$7,$Z28:$FB28)</f>
        <v/>
      </c>
      <c r="O28" s="61">
        <f>SUMIF($Z$3:$FB$3,O$7,$Z28:$FB28)</f>
        <v/>
      </c>
      <c r="P28" s="61">
        <f>SUMIF($Z$3:$FB$3,P$7,$Z28:$FB28)</f>
        <v/>
      </c>
      <c r="Q28" s="61">
        <f>SUMIF($Z$3:$FB$3,Q$7,$Z28:$FB28)</f>
        <v/>
      </c>
      <c r="R28" s="61">
        <f>SUMIF($Z$3:$FB$3,R$7,$Z28:$FB28)</f>
        <v/>
      </c>
      <c r="S28" s="61">
        <f>SUMIF($Z$3:$FB$3,S$7,$Z28:$FB28)</f>
        <v/>
      </c>
      <c r="T28" s="61">
        <f>SUMIF($Z$3:$FB$3,T$7,$Z28:$FB28)</f>
        <v/>
      </c>
      <c r="U28" s="61">
        <f>SUMIF($Z$3:$FB$3,U$7,$Z28:$FB28)</f>
        <v/>
      </c>
      <c r="V28" s="61">
        <f>SUMIF($Z$3:$FB$3,V$7,$Z28:$FB28)</f>
        <v/>
      </c>
      <c r="W28" s="61">
        <f>SUMIF($Z$3:$FB$3,W$7,$Z28:$FB28)</f>
        <v/>
      </c>
      <c r="X28" s="61">
        <f>SUMIF($Z$3:$FB$3,X$7,$Z28:$FB28)</f>
        <v/>
      </c>
      <c r="Y28" s="62" t="n"/>
      <c r="Z28" s="24" t="n">
        <v>0</v>
      </c>
      <c r="AA28" s="24">
        <f>IFERROR($F$79*$E$79*AA12*(AA$4&gt;=1),0)</f>
        <v/>
      </c>
      <c r="AB28" s="24">
        <f>IFERROR($F$79*$E$79*AB12*(AB$4&gt;=1),0)</f>
        <v/>
      </c>
      <c r="AC28" s="24">
        <f>IFERROR($F$79*$E$79*AC12*(AC$4&gt;=1),0)</f>
        <v/>
      </c>
      <c r="AD28" s="24">
        <f>IFERROR($F$79*$E$79*AD12*(AD$4&gt;=1),0)</f>
        <v/>
      </c>
      <c r="AE28" s="24">
        <f>IFERROR($F$79*$E$79*AE12*(AE$4&gt;=1),0)</f>
        <v/>
      </c>
      <c r="AF28" s="24">
        <f>IFERROR($F$79*$E$79*AF12*(AF$4&gt;=1),0)</f>
        <v/>
      </c>
      <c r="AG28" s="24">
        <f>IFERROR($F$79*$E$79*AG12*(AG$4&gt;=1),0)</f>
        <v/>
      </c>
      <c r="AH28" s="24">
        <f>IFERROR($F$79*$E$79*AH12*(AH$4&gt;=1),0)</f>
        <v/>
      </c>
      <c r="AI28" s="24">
        <f>IFERROR($F$79*$E$79*AI12*(AI$4&gt;=1),0)</f>
        <v/>
      </c>
      <c r="AJ28" s="24">
        <f>IFERROR($F$79*$E$79*AJ12*(AJ$4&gt;=1),0)</f>
        <v/>
      </c>
      <c r="AK28" s="24">
        <f>IFERROR($F$79*$E$79*AK12*(AK$4&gt;=1),0)</f>
        <v/>
      </c>
      <c r="AL28" s="24">
        <f>IFERROR($F$79*$E$79*AL12*(AL$4&gt;=1),0)</f>
        <v/>
      </c>
      <c r="AM28" s="24">
        <f>IFERROR($F$79*$E$79*AM12*(AM$4&gt;=1),0)</f>
        <v/>
      </c>
      <c r="AN28" s="24">
        <f>IFERROR($F$79*$E$79*AN12*(AN$4&gt;=1),0)</f>
        <v/>
      </c>
      <c r="AO28" s="24">
        <f>IFERROR($F$79*$E$79*AO12*(AO$4&gt;=1),0)</f>
        <v/>
      </c>
      <c r="AP28" s="24">
        <f>IFERROR($F$79*$E$79*AP12*(AP$4&gt;=1),0)</f>
        <v/>
      </c>
      <c r="AQ28" s="24">
        <f>IFERROR($F$79*$E$79*AQ12*(AQ$4&gt;=1),0)</f>
        <v/>
      </c>
      <c r="AR28" s="24">
        <f>IFERROR($F$79*$E$79*AR12*(AR$4&gt;=1),0)</f>
        <v/>
      </c>
      <c r="AS28" s="24">
        <f>IFERROR($F$79*$E$79*AS12*(AS$4&gt;=1),0)</f>
        <v/>
      </c>
      <c r="AT28" s="24">
        <f>IFERROR($F$79*$E$79*AT12*(AT$4&gt;=1),0)</f>
        <v/>
      </c>
      <c r="AU28" s="24">
        <f>IFERROR($F$79*$E$79*AU12*(AU$4&gt;=1),0)</f>
        <v/>
      </c>
      <c r="AV28" s="24">
        <f>IFERROR($F$79*$E$79*AV12*(AV$4&gt;=1),0)</f>
        <v/>
      </c>
      <c r="AW28" s="24">
        <f>IFERROR($F$79*$E$79*AW12*(AW$4&gt;=1),0)</f>
        <v/>
      </c>
      <c r="AX28" s="24">
        <f>IFERROR($F$79*$E$79*AX12*(AX$4&gt;=1),0)</f>
        <v/>
      </c>
      <c r="AY28" s="24">
        <f>IFERROR($F$79*$E$79*AY12*(AY$4&gt;=1),0)</f>
        <v/>
      </c>
      <c r="AZ28" s="24">
        <f>IFERROR($F$79*$E$79*AZ12*(AZ$4&gt;=1),0)</f>
        <v/>
      </c>
      <c r="BA28" s="24">
        <f>IFERROR($F$79*$E$79*BA12*(BA$4&gt;=1),0)</f>
        <v/>
      </c>
      <c r="BB28" s="24">
        <f>IFERROR($F$79*$E$79*BB12*(BB$4&gt;=1),0)</f>
        <v/>
      </c>
      <c r="BC28" s="24">
        <f>IFERROR($F$79*$E$79*BC12*(BC$4&gt;=1),0)</f>
        <v/>
      </c>
      <c r="BD28" s="24">
        <f>IFERROR($F$79*$E$79*BD12*(BD$4&gt;=1),0)</f>
        <v/>
      </c>
      <c r="BE28" s="24">
        <f>IFERROR($F$79*$E$79*BE12*(BE$4&gt;=1),0)</f>
        <v/>
      </c>
      <c r="BF28" s="24">
        <f>IFERROR($F$79*$E$79*BF12*(BF$4&gt;=1),0)</f>
        <v/>
      </c>
      <c r="BG28" s="24">
        <f>IFERROR($F$79*$E$79*BG12*(BG$4&gt;=1),0)</f>
        <v/>
      </c>
      <c r="BH28" s="24">
        <f>IFERROR($F$79*$E$79*BH12*(BH$4&gt;=1),0)</f>
        <v/>
      </c>
      <c r="BI28" s="24">
        <f>IFERROR($F$79*$E$79*BI12*(BI$4&gt;=1),0)</f>
        <v/>
      </c>
      <c r="BJ28" s="24">
        <f>IFERROR($F$79*$E$79*BJ12*(BJ$4&gt;=1),0)</f>
        <v/>
      </c>
      <c r="BK28" s="24">
        <f>IFERROR($F$79*$E$79*BK12*(BK$4&gt;=1),0)</f>
        <v/>
      </c>
      <c r="BL28" s="24">
        <f>IFERROR($F$79*$E$79*BL12*(BL$4&gt;=1),0)</f>
        <v/>
      </c>
      <c r="BM28" s="24">
        <f>IFERROR($F$79*$E$79*BM12*(BM$4&gt;=1),0)</f>
        <v/>
      </c>
      <c r="BN28" s="24">
        <f>IFERROR($F$79*$E$79*BN12*(BN$4&gt;=1),0)</f>
        <v/>
      </c>
      <c r="BO28" s="24">
        <f>IFERROR($F$79*$E$79*BO12*(BO$4&gt;=1),0)</f>
        <v/>
      </c>
      <c r="BP28" s="24">
        <f>IFERROR($F$79*$E$79*BP12*(BP$4&gt;=1),0)</f>
        <v/>
      </c>
      <c r="BQ28" s="24">
        <f>IFERROR($F$79*$E$79*BQ12*(BQ$4&gt;=1),0)</f>
        <v/>
      </c>
      <c r="BR28" s="24">
        <f>IFERROR($F$79*$E$79*BR12*(BR$4&gt;=1),0)</f>
        <v/>
      </c>
      <c r="BS28" s="24">
        <f>IFERROR($F$79*$E$79*BS12*(BS$4&gt;=1),0)</f>
        <v/>
      </c>
      <c r="BT28" s="24">
        <f>IFERROR($F$79*$E$79*BT12*(BT$4&gt;=1),0)</f>
        <v/>
      </c>
      <c r="BU28" s="24">
        <f>IFERROR($F$79*$E$79*BU12*(BU$4&gt;=1),0)</f>
        <v/>
      </c>
      <c r="BV28" s="24">
        <f>IFERROR($F$79*$E$79*BV12*(BV$4&gt;=1),0)</f>
        <v/>
      </c>
      <c r="BW28" s="24">
        <f>IFERROR($F$79*$E$79*BW12*(BW$4&gt;=1),0)</f>
        <v/>
      </c>
      <c r="BX28" s="24">
        <f>IFERROR($F$79*$E$79*BX12*(BX$4&gt;=1),0)</f>
        <v/>
      </c>
      <c r="BY28" s="24">
        <f>IFERROR($F$79*$E$79*BY12*(BY$4&gt;=1),0)</f>
        <v/>
      </c>
      <c r="BZ28" s="24">
        <f>IFERROR($F$79*$E$79*BZ12*(BZ$4&gt;=1),0)</f>
        <v/>
      </c>
      <c r="CA28" s="24">
        <f>IFERROR($F$79*$E$79*CA12*(CA$4&gt;=1),0)</f>
        <v/>
      </c>
      <c r="CB28" s="24">
        <f>IFERROR($F$79*$E$79*CB12*(CB$4&gt;=1),0)</f>
        <v/>
      </c>
      <c r="CC28" s="24">
        <f>IFERROR($F$79*$E$79*CC12*(CC$4&gt;=1),0)</f>
        <v/>
      </c>
      <c r="CD28" s="24">
        <f>IFERROR($F$79*$E$79*CD12*(CD$4&gt;=1),0)</f>
        <v/>
      </c>
      <c r="CE28" s="24">
        <f>IFERROR($F$79*$E$79*CE12*(CE$4&gt;=1),0)</f>
        <v/>
      </c>
      <c r="CF28" s="24">
        <f>IFERROR($F$79*$E$79*CF12*(CF$4&gt;=1),0)</f>
        <v/>
      </c>
      <c r="CG28" s="24">
        <f>IFERROR($F$79*$E$79*CG12*(CG$4&gt;=1),0)</f>
        <v/>
      </c>
      <c r="CH28" s="24">
        <f>IFERROR($F$79*$E$79*CH12*(CH$4&gt;=1),0)</f>
        <v/>
      </c>
      <c r="CI28" s="24">
        <f>IFERROR($F$79*$E$79*CI12*(CI$4&gt;=1),0)</f>
        <v/>
      </c>
      <c r="CJ28" s="24">
        <f>IFERROR($F$79*$E$79*CJ12*(CJ$4&gt;=1),0)</f>
        <v/>
      </c>
      <c r="CK28" s="24">
        <f>IFERROR($F$79*$E$79*CK12*(CK$4&gt;=1),0)</f>
        <v/>
      </c>
      <c r="CL28" s="24">
        <f>IFERROR($F$79*$E$79*CL12*(CL$4&gt;=1),0)</f>
        <v/>
      </c>
      <c r="CM28" s="24">
        <f>IFERROR($F$79*$E$79*CM12*(CM$4&gt;=1),0)</f>
        <v/>
      </c>
      <c r="CN28" s="24">
        <f>IFERROR($F$79*$E$79*CN12*(CN$4&gt;=1),0)</f>
        <v/>
      </c>
      <c r="CO28" s="24">
        <f>IFERROR($F$79*$E$79*CO12*(CO$4&gt;=1),0)</f>
        <v/>
      </c>
      <c r="CP28" s="24">
        <f>IFERROR($F$79*$E$79*CP12*(CP$4&gt;=1),0)</f>
        <v/>
      </c>
      <c r="CQ28" s="24">
        <f>IFERROR($F$79*$E$79*CQ12*(CQ$4&gt;=1),0)</f>
        <v/>
      </c>
      <c r="CR28" s="24">
        <f>IFERROR($F$79*$E$79*CR12*(CR$4&gt;=1),0)</f>
        <v/>
      </c>
      <c r="CS28" s="24">
        <f>IFERROR($F$79*$E$79*CS12*(CS$4&gt;=1),0)</f>
        <v/>
      </c>
      <c r="CT28" s="24">
        <f>IFERROR($F$79*$E$79*CT12*(CT$4&gt;=1),0)</f>
        <v/>
      </c>
      <c r="CU28" s="24">
        <f>IFERROR($F$79*$E$79*CU12*(CU$4&gt;=1),0)</f>
        <v/>
      </c>
      <c r="CV28" s="24">
        <f>IFERROR($F$79*$E$79*CV12*(CV$4&gt;=1),0)</f>
        <v/>
      </c>
      <c r="CW28" s="24">
        <f>IFERROR($F$79*$E$79*CW12*(CW$4&gt;=1),0)</f>
        <v/>
      </c>
      <c r="CX28" s="24">
        <f>IFERROR($F$79*$E$79*CX12*(CX$4&gt;=1),0)</f>
        <v/>
      </c>
      <c r="CY28" s="24">
        <f>IFERROR($F$79*$E$79*CY12*(CY$4&gt;=1),0)</f>
        <v/>
      </c>
      <c r="CZ28" s="24">
        <f>IFERROR($F$79*$E$79*CZ12*(CZ$4&gt;=1),0)</f>
        <v/>
      </c>
      <c r="DA28" s="24">
        <f>IFERROR($F$79*$E$79*DA12*(DA$4&gt;=1),0)</f>
        <v/>
      </c>
      <c r="DB28" s="24">
        <f>IFERROR($F$79*$E$79*DB12*(DB$4&gt;=1),0)</f>
        <v/>
      </c>
      <c r="DC28" s="24">
        <f>IFERROR($F$79*$E$79*DC12*(DC$4&gt;=1),0)</f>
        <v/>
      </c>
      <c r="DD28" s="24">
        <f>IFERROR($F$79*$E$79*DD12*(DD$4&gt;=1),0)</f>
        <v/>
      </c>
      <c r="DE28" s="24">
        <f>IFERROR($F$79*$E$79*DE12*(DE$4&gt;=1),0)</f>
        <v/>
      </c>
      <c r="DF28" s="24">
        <f>IFERROR($F$79*$E$79*DF12*(DF$4&gt;=1),0)</f>
        <v/>
      </c>
      <c r="DG28" s="24">
        <f>IFERROR($F$79*$E$79*DG12*(DG$4&gt;=1),0)</f>
        <v/>
      </c>
      <c r="DH28" s="24">
        <f>IFERROR($F$79*$E$79*DH12*(DH$4&gt;=1),0)</f>
        <v/>
      </c>
      <c r="DI28" s="24">
        <f>IFERROR($F$79*$E$79*DI12*(DI$4&gt;=1),0)</f>
        <v/>
      </c>
      <c r="DJ28" s="24">
        <f>IFERROR($F$79*$E$79*DJ12*(DJ$4&gt;=1),0)</f>
        <v/>
      </c>
      <c r="DK28" s="24">
        <f>IFERROR($F$79*$E$79*DK12*(DK$4&gt;=1),0)</f>
        <v/>
      </c>
      <c r="DL28" s="24">
        <f>IFERROR($F$79*$E$79*DL12*(DL$4&gt;=1),0)</f>
        <v/>
      </c>
      <c r="DM28" s="24">
        <f>IFERROR($F$79*$E$79*DM12*(DM$4&gt;=1),0)</f>
        <v/>
      </c>
      <c r="DN28" s="24">
        <f>IFERROR($F$79*$E$79*DN12*(DN$4&gt;=1),0)</f>
        <v/>
      </c>
      <c r="DO28" s="24">
        <f>IFERROR($F$79*$E$79*DO12*(DO$4&gt;=1),0)</f>
        <v/>
      </c>
      <c r="DP28" s="24">
        <f>IFERROR($F$79*$E$79*DP12*(DP$4&gt;=1),0)</f>
        <v/>
      </c>
      <c r="DQ28" s="24">
        <f>IFERROR($F$79*$E$79*DQ12*(DQ$4&gt;=1),0)</f>
        <v/>
      </c>
      <c r="DR28" s="24">
        <f>IFERROR($F$79*$E$79*DR12*(DR$4&gt;=1),0)</f>
        <v/>
      </c>
      <c r="DS28" s="24">
        <f>IFERROR($F$79*$E$79*DS12*(DS$4&gt;=1),0)</f>
        <v/>
      </c>
      <c r="DT28" s="24">
        <f>IFERROR($F$79*$E$79*DT12*(DT$4&gt;=1),0)</f>
        <v/>
      </c>
      <c r="DU28" s="24">
        <f>IFERROR($F$79*$E$79*DU12*(DU$4&gt;=1),0)</f>
        <v/>
      </c>
      <c r="DV28" s="24">
        <f>IFERROR($F$79*$E$79*DV12*(DV$4&gt;=1),0)</f>
        <v/>
      </c>
      <c r="DW28" s="24">
        <f>IFERROR($F$79*$E$79*DW12*(DW$4&gt;=1),0)</f>
        <v/>
      </c>
      <c r="DX28" s="24">
        <f>IFERROR($F$79*$E$79*DX12*(DX$4&gt;=1),0)</f>
        <v/>
      </c>
      <c r="DY28" s="24">
        <f>IFERROR($F$79*$E$79*DY12*(DY$4&gt;=1),0)</f>
        <v/>
      </c>
      <c r="DZ28" s="24">
        <f>IFERROR($F$79*$E$79*DZ12*(DZ$4&gt;=1),0)</f>
        <v/>
      </c>
      <c r="EA28" s="24">
        <f>IFERROR($F$79*$E$79*EA12*(EA$4&gt;=1),0)</f>
        <v/>
      </c>
      <c r="EB28" s="24">
        <f>IFERROR($F$79*$E$79*EB12*(EB$4&gt;=1),0)</f>
        <v/>
      </c>
      <c r="EC28" s="24">
        <f>IFERROR($F$79*$E$79*EC12*(EC$4&gt;=1),0)</f>
        <v/>
      </c>
      <c r="ED28" s="24">
        <f>IFERROR($F$79*$E$79*ED12*(ED$4&gt;=1),0)</f>
        <v/>
      </c>
      <c r="EE28" s="24">
        <f>IFERROR($F$79*$E$79*EE12*(EE$4&gt;=1),0)</f>
        <v/>
      </c>
      <c r="EF28" s="24">
        <f>IFERROR($F$79*$E$79*EF12*(EF$4&gt;=1),0)</f>
        <v/>
      </c>
      <c r="EG28" s="24">
        <f>IFERROR($F$79*$E$79*EG12*(EG$4&gt;=1),0)</f>
        <v/>
      </c>
      <c r="EH28" s="24">
        <f>IFERROR($F$79*$E$79*EH12*(EH$4&gt;=1),0)</f>
        <v/>
      </c>
      <c r="EI28" s="24">
        <f>IFERROR($F$79*$E$79*EI12*(EI$4&gt;=1),0)</f>
        <v/>
      </c>
      <c r="EJ28" s="24">
        <f>IFERROR($F$79*$E$79*EJ12*(EJ$4&gt;=1),0)</f>
        <v/>
      </c>
      <c r="EK28" s="24">
        <f>IFERROR($F$79*$E$79*EK12*(EK$4&gt;=1),0)</f>
        <v/>
      </c>
      <c r="EL28" s="24">
        <f>IFERROR($F$79*$E$79*EL12*(EL$4&gt;=1),0)</f>
        <v/>
      </c>
      <c r="EM28" s="24">
        <f>IFERROR($F$79*$E$79*EM12*(EM$4&gt;=1),0)</f>
        <v/>
      </c>
      <c r="EN28" s="24">
        <f>IFERROR($F$79*$E$79*EN12*(EN$4&gt;=1),0)</f>
        <v/>
      </c>
      <c r="EO28" s="24">
        <f>IFERROR($F$79*$E$79*EO12*(EO$4&gt;=1),0)</f>
        <v/>
      </c>
      <c r="EP28" s="24">
        <f>IFERROR($F$79*$E$79*EP12*(EP$4&gt;=1),0)</f>
        <v/>
      </c>
      <c r="EQ28" s="24">
        <f>IFERROR($F$79*$E$79*EQ12*(EQ$4&gt;=1),0)</f>
        <v/>
      </c>
      <c r="ER28" s="24">
        <f>IFERROR($F$79*$E$79*ER12*(ER$4&gt;=1),0)</f>
        <v/>
      </c>
      <c r="ES28" s="24">
        <f>IFERROR($F$79*$E$79*ES12*(ES$4&gt;=1),0)</f>
        <v/>
      </c>
      <c r="ET28" s="24">
        <f>IFERROR($F$79*$E$79*ET12*(ET$4&gt;=1),0)</f>
        <v/>
      </c>
      <c r="EU28" s="24">
        <f>IFERROR($F$79*$E$79*EU12*(EU$4&gt;=1),0)</f>
        <v/>
      </c>
      <c r="EV28" s="24">
        <f>IFERROR($F$79*$E$79*EV12*(EV$4&gt;=1),0)</f>
        <v/>
      </c>
      <c r="EW28" s="24">
        <f>IFERROR($F$79*$E$79*EW12*(EW$4&gt;=1),0)</f>
        <v/>
      </c>
      <c r="EX28" s="24">
        <f>IFERROR($F$79*$E$79*EX12*(EX$4&gt;=1),0)</f>
        <v/>
      </c>
      <c r="EY28" s="24">
        <f>IFERROR($F$79*$E$79*EY12*(EY$4&gt;=1),0)</f>
        <v/>
      </c>
      <c r="EZ28" s="24">
        <f>IFERROR($F$79*$E$79*EZ12*(EZ$4&gt;=1),0)</f>
        <v/>
      </c>
      <c r="FA28" s="24">
        <f>IFERROR($F$79*$E$79*FA12*(FA$4&gt;=1),0)</f>
        <v/>
      </c>
      <c r="FB28" s="24">
        <f>IFERROR($F$79*$E$79*FB12*(FB$4&gt;=1),0)</f>
        <v/>
      </c>
    </row>
    <row r="29">
      <c r="B29" s="17" t="inlineStr">
        <is>
          <t>Sources &amp; Uses at Closing</t>
        </is>
      </c>
      <c r="C29" s="17" t="n"/>
      <c r="D29" s="17" t="n"/>
      <c r="E29" s="17" t="n"/>
      <c r="F29" s="17" t="n"/>
      <c r="G29" s="17" t="n"/>
      <c r="H29" s="9" t="n"/>
      <c r="I29" s="9" t="inlineStr">
        <is>
          <t>Other Income</t>
        </is>
      </c>
      <c r="J29" s="46">
        <f>F80</f>
        <v/>
      </c>
      <c r="K29" s="63" t="n"/>
      <c r="L29" s="135">
        <f>SUMIF($Z$4:$FB$4,"&lt;="&amp;$G$18,$Z29:$FB29)</f>
        <v/>
      </c>
      <c r="M29" s="62" t="n"/>
      <c r="N29" s="64">
        <f>SUMIF($Z$3:$FB$3,N$7,$Z29:$FB29)</f>
        <v/>
      </c>
      <c r="O29" s="64">
        <f>SUMIF($Z$3:$FB$3,O$7,$Z29:$FB29)</f>
        <v/>
      </c>
      <c r="P29" s="64">
        <f>SUMIF($Z$3:$FB$3,P$7,$Z29:$FB29)</f>
        <v/>
      </c>
      <c r="Q29" s="64">
        <f>SUMIF($Z$3:$FB$3,Q$7,$Z29:$FB29)</f>
        <v/>
      </c>
      <c r="R29" s="64">
        <f>SUMIF($Z$3:$FB$3,R$7,$Z29:$FB29)</f>
        <v/>
      </c>
      <c r="S29" s="64">
        <f>SUMIF($Z$3:$FB$3,S$7,$Z29:$FB29)</f>
        <v/>
      </c>
      <c r="T29" s="64">
        <f>SUMIF($Z$3:$FB$3,T$7,$Z29:$FB29)</f>
        <v/>
      </c>
      <c r="U29" s="64">
        <f>SUMIF($Z$3:$FB$3,U$7,$Z29:$FB29)</f>
        <v/>
      </c>
      <c r="V29" s="64">
        <f>SUMIF($Z$3:$FB$3,V$7,$Z29:$FB29)</f>
        <v/>
      </c>
      <c r="W29" s="64">
        <f>SUMIF($Z$3:$FB$3,W$7,$Z29:$FB29)</f>
        <v/>
      </c>
      <c r="X29" s="64">
        <f>SUMIF($Z$3:$FB$3,X$7,$Z29:$FB29)</f>
        <v/>
      </c>
      <c r="Y29" s="62" t="n"/>
      <c r="Z29" s="135" t="n">
        <v>0</v>
      </c>
      <c r="AA29" s="135">
        <f>IFERROR($F$80*$E$80*AA12*(AA$4&gt;=1),0)</f>
        <v/>
      </c>
      <c r="AB29" s="135">
        <f>IFERROR($F$80*$E$80*AB12*(AB$4&gt;=1),0)</f>
        <v/>
      </c>
      <c r="AC29" s="135">
        <f>IFERROR($F$80*$E$80*AC12*(AC$4&gt;=1),0)</f>
        <v/>
      </c>
      <c r="AD29" s="135">
        <f>IFERROR($F$80*$E$80*AD12*(AD$4&gt;=1),0)</f>
        <v/>
      </c>
      <c r="AE29" s="135">
        <f>IFERROR($F$80*$E$80*AE12*(AE$4&gt;=1),0)</f>
        <v/>
      </c>
      <c r="AF29" s="135">
        <f>IFERROR($F$80*$E$80*AF12*(AF$4&gt;=1),0)</f>
        <v/>
      </c>
      <c r="AG29" s="135">
        <f>IFERROR($F$80*$E$80*AG12*(AG$4&gt;=1),0)</f>
        <v/>
      </c>
      <c r="AH29" s="135">
        <f>IFERROR($F$80*$E$80*AH12*(AH$4&gt;=1),0)</f>
        <v/>
      </c>
      <c r="AI29" s="135">
        <f>IFERROR($F$80*$E$80*AI12*(AI$4&gt;=1),0)</f>
        <v/>
      </c>
      <c r="AJ29" s="135">
        <f>IFERROR($F$80*$E$80*AJ12*(AJ$4&gt;=1),0)</f>
        <v/>
      </c>
      <c r="AK29" s="135">
        <f>IFERROR($F$80*$E$80*AK12*(AK$4&gt;=1),0)</f>
        <v/>
      </c>
      <c r="AL29" s="135">
        <f>IFERROR($F$80*$E$80*AL12*(AL$4&gt;=1),0)</f>
        <v/>
      </c>
      <c r="AM29" s="135">
        <f>IFERROR($F$80*$E$80*AM12*(AM$4&gt;=1),0)</f>
        <v/>
      </c>
      <c r="AN29" s="135">
        <f>IFERROR($F$80*$E$80*AN12*(AN$4&gt;=1),0)</f>
        <v/>
      </c>
      <c r="AO29" s="135">
        <f>IFERROR($F$80*$E$80*AO12*(AO$4&gt;=1),0)</f>
        <v/>
      </c>
      <c r="AP29" s="135">
        <f>IFERROR($F$80*$E$80*AP12*(AP$4&gt;=1),0)</f>
        <v/>
      </c>
      <c r="AQ29" s="135">
        <f>IFERROR($F$80*$E$80*AQ12*(AQ$4&gt;=1),0)</f>
        <v/>
      </c>
      <c r="AR29" s="135">
        <f>IFERROR($F$80*$E$80*AR12*(AR$4&gt;=1),0)</f>
        <v/>
      </c>
      <c r="AS29" s="135">
        <f>IFERROR($F$80*$E$80*AS12*(AS$4&gt;=1),0)</f>
        <v/>
      </c>
      <c r="AT29" s="135">
        <f>IFERROR($F$80*$E$80*AT12*(AT$4&gt;=1),0)</f>
        <v/>
      </c>
      <c r="AU29" s="135">
        <f>IFERROR($F$80*$E$80*AU12*(AU$4&gt;=1),0)</f>
        <v/>
      </c>
      <c r="AV29" s="135">
        <f>IFERROR($F$80*$E$80*AV12*(AV$4&gt;=1),0)</f>
        <v/>
      </c>
      <c r="AW29" s="135">
        <f>IFERROR($F$80*$E$80*AW12*(AW$4&gt;=1),0)</f>
        <v/>
      </c>
      <c r="AX29" s="135">
        <f>IFERROR($F$80*$E$80*AX12*(AX$4&gt;=1),0)</f>
        <v/>
      </c>
      <c r="AY29" s="135">
        <f>IFERROR($F$80*$E$80*AY12*(AY$4&gt;=1),0)</f>
        <v/>
      </c>
      <c r="AZ29" s="135">
        <f>IFERROR($F$80*$E$80*AZ12*(AZ$4&gt;=1),0)</f>
        <v/>
      </c>
      <c r="BA29" s="135">
        <f>IFERROR($F$80*$E$80*BA12*(BA$4&gt;=1),0)</f>
        <v/>
      </c>
      <c r="BB29" s="135">
        <f>IFERROR($F$80*$E$80*BB12*(BB$4&gt;=1),0)</f>
        <v/>
      </c>
      <c r="BC29" s="135">
        <f>IFERROR($F$80*$E$80*BC12*(BC$4&gt;=1),0)</f>
        <v/>
      </c>
      <c r="BD29" s="135">
        <f>IFERROR($F$80*$E$80*BD12*(BD$4&gt;=1),0)</f>
        <v/>
      </c>
      <c r="BE29" s="135">
        <f>IFERROR($F$80*$E$80*BE12*(BE$4&gt;=1),0)</f>
        <v/>
      </c>
      <c r="BF29" s="135">
        <f>IFERROR($F$80*$E$80*BF12*(BF$4&gt;=1),0)</f>
        <v/>
      </c>
      <c r="BG29" s="135">
        <f>IFERROR($F$80*$E$80*BG12*(BG$4&gt;=1),0)</f>
        <v/>
      </c>
      <c r="BH29" s="135">
        <f>IFERROR($F$80*$E$80*BH12*(BH$4&gt;=1),0)</f>
        <v/>
      </c>
      <c r="BI29" s="135">
        <f>IFERROR($F$80*$E$80*BI12*(BI$4&gt;=1),0)</f>
        <v/>
      </c>
      <c r="BJ29" s="135">
        <f>IFERROR($F$80*$E$80*BJ12*(BJ$4&gt;=1),0)</f>
        <v/>
      </c>
      <c r="BK29" s="135">
        <f>IFERROR($F$80*$E$80*BK12*(BK$4&gt;=1),0)</f>
        <v/>
      </c>
      <c r="BL29" s="135">
        <f>IFERROR($F$80*$E$80*BL12*(BL$4&gt;=1),0)</f>
        <v/>
      </c>
      <c r="BM29" s="135">
        <f>IFERROR($F$80*$E$80*BM12*(BM$4&gt;=1),0)</f>
        <v/>
      </c>
      <c r="BN29" s="135">
        <f>IFERROR($F$80*$E$80*BN12*(BN$4&gt;=1),0)</f>
        <v/>
      </c>
      <c r="BO29" s="135">
        <f>IFERROR($F$80*$E$80*BO12*(BO$4&gt;=1),0)</f>
        <v/>
      </c>
      <c r="BP29" s="135">
        <f>IFERROR($F$80*$E$80*BP12*(BP$4&gt;=1),0)</f>
        <v/>
      </c>
      <c r="BQ29" s="135">
        <f>IFERROR($F$80*$E$80*BQ12*(BQ$4&gt;=1),0)</f>
        <v/>
      </c>
      <c r="BR29" s="135">
        <f>IFERROR($F$80*$E$80*BR12*(BR$4&gt;=1),0)</f>
        <v/>
      </c>
      <c r="BS29" s="135">
        <f>IFERROR($F$80*$E$80*BS12*(BS$4&gt;=1),0)</f>
        <v/>
      </c>
      <c r="BT29" s="135">
        <f>IFERROR($F$80*$E$80*BT12*(BT$4&gt;=1),0)</f>
        <v/>
      </c>
      <c r="BU29" s="135">
        <f>IFERROR($F$80*$E$80*BU12*(BU$4&gt;=1),0)</f>
        <v/>
      </c>
      <c r="BV29" s="135">
        <f>IFERROR($F$80*$E$80*BV12*(BV$4&gt;=1),0)</f>
        <v/>
      </c>
      <c r="BW29" s="135">
        <f>IFERROR($F$80*$E$80*BW12*(BW$4&gt;=1),0)</f>
        <v/>
      </c>
      <c r="BX29" s="135">
        <f>IFERROR($F$80*$E$80*BX12*(BX$4&gt;=1),0)</f>
        <v/>
      </c>
      <c r="BY29" s="135">
        <f>IFERROR($F$80*$E$80*BY12*(BY$4&gt;=1),0)</f>
        <v/>
      </c>
      <c r="BZ29" s="135">
        <f>IFERROR($F$80*$E$80*BZ12*(BZ$4&gt;=1),0)</f>
        <v/>
      </c>
      <c r="CA29" s="135">
        <f>IFERROR($F$80*$E$80*CA12*(CA$4&gt;=1),0)</f>
        <v/>
      </c>
      <c r="CB29" s="135">
        <f>IFERROR($F$80*$E$80*CB12*(CB$4&gt;=1),0)</f>
        <v/>
      </c>
      <c r="CC29" s="135">
        <f>IFERROR($F$80*$E$80*CC12*(CC$4&gt;=1),0)</f>
        <v/>
      </c>
      <c r="CD29" s="135">
        <f>IFERROR($F$80*$E$80*CD12*(CD$4&gt;=1),0)</f>
        <v/>
      </c>
      <c r="CE29" s="135">
        <f>IFERROR($F$80*$E$80*CE12*(CE$4&gt;=1),0)</f>
        <v/>
      </c>
      <c r="CF29" s="135">
        <f>IFERROR($F$80*$E$80*CF12*(CF$4&gt;=1),0)</f>
        <v/>
      </c>
      <c r="CG29" s="135">
        <f>IFERROR($F$80*$E$80*CG12*(CG$4&gt;=1),0)</f>
        <v/>
      </c>
      <c r="CH29" s="135">
        <f>IFERROR($F$80*$E$80*CH12*(CH$4&gt;=1),0)</f>
        <v/>
      </c>
      <c r="CI29" s="135">
        <f>IFERROR($F$80*$E$80*CI12*(CI$4&gt;=1),0)</f>
        <v/>
      </c>
      <c r="CJ29" s="135">
        <f>IFERROR($F$80*$E$80*CJ12*(CJ$4&gt;=1),0)</f>
        <v/>
      </c>
      <c r="CK29" s="135">
        <f>IFERROR($F$80*$E$80*CK12*(CK$4&gt;=1),0)</f>
        <v/>
      </c>
      <c r="CL29" s="135">
        <f>IFERROR($F$80*$E$80*CL12*(CL$4&gt;=1),0)</f>
        <v/>
      </c>
      <c r="CM29" s="135">
        <f>IFERROR($F$80*$E$80*CM12*(CM$4&gt;=1),0)</f>
        <v/>
      </c>
      <c r="CN29" s="135">
        <f>IFERROR($F$80*$E$80*CN12*(CN$4&gt;=1),0)</f>
        <v/>
      </c>
      <c r="CO29" s="135">
        <f>IFERROR($F$80*$E$80*CO12*(CO$4&gt;=1),0)</f>
        <v/>
      </c>
      <c r="CP29" s="135">
        <f>IFERROR($F$80*$E$80*CP12*(CP$4&gt;=1),0)</f>
        <v/>
      </c>
      <c r="CQ29" s="135">
        <f>IFERROR($F$80*$E$80*CQ12*(CQ$4&gt;=1),0)</f>
        <v/>
      </c>
      <c r="CR29" s="135">
        <f>IFERROR($F$80*$E$80*CR12*(CR$4&gt;=1),0)</f>
        <v/>
      </c>
      <c r="CS29" s="135">
        <f>IFERROR($F$80*$E$80*CS12*(CS$4&gt;=1),0)</f>
        <v/>
      </c>
      <c r="CT29" s="135">
        <f>IFERROR($F$80*$E$80*CT12*(CT$4&gt;=1),0)</f>
        <v/>
      </c>
      <c r="CU29" s="135">
        <f>IFERROR($F$80*$E$80*CU12*(CU$4&gt;=1),0)</f>
        <v/>
      </c>
      <c r="CV29" s="135">
        <f>IFERROR($F$80*$E$80*CV12*(CV$4&gt;=1),0)</f>
        <v/>
      </c>
      <c r="CW29" s="135">
        <f>IFERROR($F$80*$E$80*CW12*(CW$4&gt;=1),0)</f>
        <v/>
      </c>
      <c r="CX29" s="135">
        <f>IFERROR($F$80*$E$80*CX12*(CX$4&gt;=1),0)</f>
        <v/>
      </c>
      <c r="CY29" s="135">
        <f>IFERROR($F$80*$E$80*CY12*(CY$4&gt;=1),0)</f>
        <v/>
      </c>
      <c r="CZ29" s="135">
        <f>IFERROR($F$80*$E$80*CZ12*(CZ$4&gt;=1),0)</f>
        <v/>
      </c>
      <c r="DA29" s="135">
        <f>IFERROR($F$80*$E$80*DA12*(DA$4&gt;=1),0)</f>
        <v/>
      </c>
      <c r="DB29" s="135">
        <f>IFERROR($F$80*$E$80*DB12*(DB$4&gt;=1),0)</f>
        <v/>
      </c>
      <c r="DC29" s="135">
        <f>IFERROR($F$80*$E$80*DC12*(DC$4&gt;=1),0)</f>
        <v/>
      </c>
      <c r="DD29" s="135">
        <f>IFERROR($F$80*$E$80*DD12*(DD$4&gt;=1),0)</f>
        <v/>
      </c>
      <c r="DE29" s="135">
        <f>IFERROR($F$80*$E$80*DE12*(DE$4&gt;=1),0)</f>
        <v/>
      </c>
      <c r="DF29" s="135">
        <f>IFERROR($F$80*$E$80*DF12*(DF$4&gt;=1),0)</f>
        <v/>
      </c>
      <c r="DG29" s="135">
        <f>IFERROR($F$80*$E$80*DG12*(DG$4&gt;=1),0)</f>
        <v/>
      </c>
      <c r="DH29" s="135">
        <f>IFERROR($F$80*$E$80*DH12*(DH$4&gt;=1),0)</f>
        <v/>
      </c>
      <c r="DI29" s="135">
        <f>IFERROR($F$80*$E$80*DI12*(DI$4&gt;=1),0)</f>
        <v/>
      </c>
      <c r="DJ29" s="135">
        <f>IFERROR($F$80*$E$80*DJ12*(DJ$4&gt;=1),0)</f>
        <v/>
      </c>
      <c r="DK29" s="135">
        <f>IFERROR($F$80*$E$80*DK12*(DK$4&gt;=1),0)</f>
        <v/>
      </c>
      <c r="DL29" s="135">
        <f>IFERROR($F$80*$E$80*DL12*(DL$4&gt;=1),0)</f>
        <v/>
      </c>
      <c r="DM29" s="135">
        <f>IFERROR($F$80*$E$80*DM12*(DM$4&gt;=1),0)</f>
        <v/>
      </c>
      <c r="DN29" s="135">
        <f>IFERROR($F$80*$E$80*DN12*(DN$4&gt;=1),0)</f>
        <v/>
      </c>
      <c r="DO29" s="135">
        <f>IFERROR($F$80*$E$80*DO12*(DO$4&gt;=1),0)</f>
        <v/>
      </c>
      <c r="DP29" s="135">
        <f>IFERROR($F$80*$E$80*DP12*(DP$4&gt;=1),0)</f>
        <v/>
      </c>
      <c r="DQ29" s="135">
        <f>IFERROR($F$80*$E$80*DQ12*(DQ$4&gt;=1),0)</f>
        <v/>
      </c>
      <c r="DR29" s="135">
        <f>IFERROR($F$80*$E$80*DR12*(DR$4&gt;=1),0)</f>
        <v/>
      </c>
      <c r="DS29" s="135">
        <f>IFERROR($F$80*$E$80*DS12*(DS$4&gt;=1),0)</f>
        <v/>
      </c>
      <c r="DT29" s="135">
        <f>IFERROR($F$80*$E$80*DT12*(DT$4&gt;=1),0)</f>
        <v/>
      </c>
      <c r="DU29" s="135">
        <f>IFERROR($F$80*$E$80*DU12*(DU$4&gt;=1),0)</f>
        <v/>
      </c>
      <c r="DV29" s="135">
        <f>IFERROR($F$80*$E$80*DV12*(DV$4&gt;=1),0)</f>
        <v/>
      </c>
      <c r="DW29" s="135">
        <f>IFERROR($F$80*$E$80*DW12*(DW$4&gt;=1),0)</f>
        <v/>
      </c>
      <c r="DX29" s="135">
        <f>IFERROR($F$80*$E$80*DX12*(DX$4&gt;=1),0)</f>
        <v/>
      </c>
      <c r="DY29" s="135">
        <f>IFERROR($F$80*$E$80*DY12*(DY$4&gt;=1),0)</f>
        <v/>
      </c>
      <c r="DZ29" s="135">
        <f>IFERROR($F$80*$E$80*DZ12*(DZ$4&gt;=1),0)</f>
        <v/>
      </c>
      <c r="EA29" s="135">
        <f>IFERROR($F$80*$E$80*EA12*(EA$4&gt;=1),0)</f>
        <v/>
      </c>
      <c r="EB29" s="135">
        <f>IFERROR($F$80*$E$80*EB12*(EB$4&gt;=1),0)</f>
        <v/>
      </c>
      <c r="EC29" s="135">
        <f>IFERROR($F$80*$E$80*EC12*(EC$4&gt;=1),0)</f>
        <v/>
      </c>
      <c r="ED29" s="135">
        <f>IFERROR($F$80*$E$80*ED12*(ED$4&gt;=1),0)</f>
        <v/>
      </c>
      <c r="EE29" s="135">
        <f>IFERROR($F$80*$E$80*EE12*(EE$4&gt;=1),0)</f>
        <v/>
      </c>
      <c r="EF29" s="135">
        <f>IFERROR($F$80*$E$80*EF12*(EF$4&gt;=1),0)</f>
        <v/>
      </c>
      <c r="EG29" s="135">
        <f>IFERROR($F$80*$E$80*EG12*(EG$4&gt;=1),0)</f>
        <v/>
      </c>
      <c r="EH29" s="135">
        <f>IFERROR($F$80*$E$80*EH12*(EH$4&gt;=1),0)</f>
        <v/>
      </c>
      <c r="EI29" s="135">
        <f>IFERROR($F$80*$E$80*EI12*(EI$4&gt;=1),0)</f>
        <v/>
      </c>
      <c r="EJ29" s="135">
        <f>IFERROR($F$80*$E$80*EJ12*(EJ$4&gt;=1),0)</f>
        <v/>
      </c>
      <c r="EK29" s="135">
        <f>IFERROR($F$80*$E$80*EK12*(EK$4&gt;=1),0)</f>
        <v/>
      </c>
      <c r="EL29" s="135">
        <f>IFERROR($F$80*$E$80*EL12*(EL$4&gt;=1),0)</f>
        <v/>
      </c>
      <c r="EM29" s="135">
        <f>IFERROR($F$80*$E$80*EM12*(EM$4&gt;=1),0)</f>
        <v/>
      </c>
      <c r="EN29" s="135">
        <f>IFERROR($F$80*$E$80*EN12*(EN$4&gt;=1),0)</f>
        <v/>
      </c>
      <c r="EO29" s="135">
        <f>IFERROR($F$80*$E$80*EO12*(EO$4&gt;=1),0)</f>
        <v/>
      </c>
      <c r="EP29" s="135">
        <f>IFERROR($F$80*$E$80*EP12*(EP$4&gt;=1),0)</f>
        <v/>
      </c>
      <c r="EQ29" s="135">
        <f>IFERROR($F$80*$E$80*EQ12*(EQ$4&gt;=1),0)</f>
        <v/>
      </c>
      <c r="ER29" s="135">
        <f>IFERROR($F$80*$E$80*ER12*(ER$4&gt;=1),0)</f>
        <v/>
      </c>
      <c r="ES29" s="135">
        <f>IFERROR($F$80*$E$80*ES12*(ES$4&gt;=1),0)</f>
        <v/>
      </c>
      <c r="ET29" s="135">
        <f>IFERROR($F$80*$E$80*ET12*(ET$4&gt;=1),0)</f>
        <v/>
      </c>
      <c r="EU29" s="135">
        <f>IFERROR($F$80*$E$80*EU12*(EU$4&gt;=1),0)</f>
        <v/>
      </c>
      <c r="EV29" s="135">
        <f>IFERROR($F$80*$E$80*EV12*(EV$4&gt;=1),0)</f>
        <v/>
      </c>
      <c r="EW29" s="135">
        <f>IFERROR($F$80*$E$80*EW12*(EW$4&gt;=1),0)</f>
        <v/>
      </c>
      <c r="EX29" s="135">
        <f>IFERROR($F$80*$E$80*EX12*(EX$4&gt;=1),0)</f>
        <v/>
      </c>
      <c r="EY29" s="135">
        <f>IFERROR($F$80*$E$80*EY12*(EY$4&gt;=1),0)</f>
        <v/>
      </c>
      <c r="EZ29" s="135">
        <f>IFERROR($F$80*$E$80*EZ12*(EZ$4&gt;=1),0)</f>
        <v/>
      </c>
      <c r="FA29" s="135">
        <f>IFERROR($F$80*$E$80*FA12*(FA$4&gt;=1),0)</f>
        <v/>
      </c>
      <c r="FB29" s="135">
        <f>IFERROR($F$80*$E$80*FB12*(FB$4&gt;=1),0)</f>
        <v/>
      </c>
    </row>
    <row r="30">
      <c r="B30" s="36" t="inlineStr">
        <is>
          <t>Sources</t>
        </is>
      </c>
      <c r="C30" s="45" t="inlineStr">
        <is>
          <t>% Total</t>
        </is>
      </c>
      <c r="D30" s="45" t="inlineStr">
        <is>
          <t>Closing</t>
        </is>
      </c>
      <c r="E30" s="164" t="inlineStr">
        <is>
          <t>% Total</t>
        </is>
      </c>
      <c r="F30" s="45" t="inlineStr">
        <is>
          <t>Refinance</t>
        </is>
      </c>
      <c r="G30" s="164" t="inlineStr">
        <is>
          <t>At Exit</t>
        </is>
      </c>
      <c r="H30" s="9" t="n"/>
      <c r="I30" s="57" t="inlineStr">
        <is>
          <t>Total Other Income</t>
        </is>
      </c>
      <c r="J30" s="57" t="n"/>
      <c r="K30" s="58" t="n"/>
      <c r="L30" s="44">
        <f>SUMIF($Z$4:$FB$4,"&lt;="&amp;$G$18,$Z30:$FB30)</f>
        <v/>
      </c>
      <c r="M30" s="58" t="n"/>
      <c r="N30" s="44">
        <f>SUMIF($Z$3:$FB$3,N$7,$Z30:$FB30)</f>
        <v/>
      </c>
      <c r="O30" s="44">
        <f>SUMIF($Z$3:$FB$3,O$7,$Z30:$FB30)</f>
        <v/>
      </c>
      <c r="P30" s="44">
        <f>SUMIF($Z$3:$FB$3,P$7,$Z30:$FB30)</f>
        <v/>
      </c>
      <c r="Q30" s="44">
        <f>SUMIF($Z$3:$FB$3,Q$7,$Z30:$FB30)</f>
        <v/>
      </c>
      <c r="R30" s="44">
        <f>SUMIF($Z$3:$FB$3,R$7,$Z30:$FB30)</f>
        <v/>
      </c>
      <c r="S30" s="44">
        <f>SUMIF($Z$3:$FB$3,S$7,$Z30:$FB30)</f>
        <v/>
      </c>
      <c r="T30" s="44">
        <f>SUMIF($Z$3:$FB$3,T$7,$Z30:$FB30)</f>
        <v/>
      </c>
      <c r="U30" s="44">
        <f>SUMIF($Z$3:$FB$3,U$7,$Z30:$FB30)</f>
        <v/>
      </c>
      <c r="V30" s="44">
        <f>SUMIF($Z$3:$FB$3,V$7,$Z30:$FB30)</f>
        <v/>
      </c>
      <c r="W30" s="44">
        <f>SUMIF($Z$3:$FB$3,W$7,$Z30:$FB30)</f>
        <v/>
      </c>
      <c r="X30" s="44">
        <f>SUMIF($Z$3:$FB$3,X$7,$Z30:$FB30)</f>
        <v/>
      </c>
      <c r="Y30" s="58" t="n"/>
      <c r="Z30" s="44" t="n">
        <v>0</v>
      </c>
      <c r="AA30" s="44">
        <f>SUM(AA27:AA29)</f>
        <v/>
      </c>
      <c r="AB30" s="44">
        <f>SUM(AB27:AB29)</f>
        <v/>
      </c>
      <c r="AC30" s="44">
        <f>SUM(AC27:AC29)</f>
        <v/>
      </c>
      <c r="AD30" s="44">
        <f>SUM(AD27:AD29)</f>
        <v/>
      </c>
      <c r="AE30" s="44">
        <f>SUM(AE27:AE29)</f>
        <v/>
      </c>
      <c r="AF30" s="44">
        <f>SUM(AF27:AF29)</f>
        <v/>
      </c>
      <c r="AG30" s="44">
        <f>SUM(AG27:AG29)</f>
        <v/>
      </c>
      <c r="AH30" s="44">
        <f>SUM(AH27:AH29)</f>
        <v/>
      </c>
      <c r="AI30" s="44">
        <f>SUM(AI27:AI29)</f>
        <v/>
      </c>
      <c r="AJ30" s="44">
        <f>SUM(AJ27:AJ29)</f>
        <v/>
      </c>
      <c r="AK30" s="44">
        <f>SUM(AK27:AK29)</f>
        <v/>
      </c>
      <c r="AL30" s="44">
        <f>SUM(AL27:AL29)</f>
        <v/>
      </c>
      <c r="AM30" s="44">
        <f>SUM(AM27:AM29)</f>
        <v/>
      </c>
      <c r="AN30" s="44">
        <f>SUM(AN27:AN29)</f>
        <v/>
      </c>
      <c r="AO30" s="44">
        <f>SUM(AO27:AO29)</f>
        <v/>
      </c>
      <c r="AP30" s="44">
        <f>SUM(AP27:AP29)</f>
        <v/>
      </c>
      <c r="AQ30" s="44">
        <f>SUM(AQ27:AQ29)</f>
        <v/>
      </c>
      <c r="AR30" s="44">
        <f>SUM(AR27:AR29)</f>
        <v/>
      </c>
      <c r="AS30" s="44">
        <f>SUM(AS27:AS29)</f>
        <v/>
      </c>
      <c r="AT30" s="44">
        <f>SUM(AT27:AT29)</f>
        <v/>
      </c>
      <c r="AU30" s="44">
        <f>SUM(AU27:AU29)</f>
        <v/>
      </c>
      <c r="AV30" s="44">
        <f>SUM(AV27:AV29)</f>
        <v/>
      </c>
      <c r="AW30" s="44">
        <f>SUM(AW27:AW29)</f>
        <v/>
      </c>
      <c r="AX30" s="44">
        <f>SUM(AX27:AX29)</f>
        <v/>
      </c>
      <c r="AY30" s="44">
        <f>SUM(AY27:AY29)</f>
        <v/>
      </c>
      <c r="AZ30" s="44">
        <f>SUM(AZ27:AZ29)</f>
        <v/>
      </c>
      <c r="BA30" s="44">
        <f>SUM(BA27:BA29)</f>
        <v/>
      </c>
      <c r="BB30" s="44">
        <f>SUM(BB27:BB29)</f>
        <v/>
      </c>
      <c r="BC30" s="44">
        <f>SUM(BC27:BC29)</f>
        <v/>
      </c>
      <c r="BD30" s="44">
        <f>SUM(BD27:BD29)</f>
        <v/>
      </c>
      <c r="BE30" s="44">
        <f>SUM(BE27:BE29)</f>
        <v/>
      </c>
      <c r="BF30" s="44">
        <f>SUM(BF27:BF29)</f>
        <v/>
      </c>
      <c r="BG30" s="44">
        <f>SUM(BG27:BG29)</f>
        <v/>
      </c>
      <c r="BH30" s="44">
        <f>SUM(BH27:BH29)</f>
        <v/>
      </c>
      <c r="BI30" s="44">
        <f>SUM(BI27:BI29)</f>
        <v/>
      </c>
      <c r="BJ30" s="44">
        <f>SUM(BJ27:BJ29)</f>
        <v/>
      </c>
      <c r="BK30" s="44">
        <f>SUM(BK27:BK29)</f>
        <v/>
      </c>
      <c r="BL30" s="44">
        <f>SUM(BL27:BL29)</f>
        <v/>
      </c>
      <c r="BM30" s="44">
        <f>SUM(BM27:BM29)</f>
        <v/>
      </c>
      <c r="BN30" s="44">
        <f>SUM(BN27:BN29)</f>
        <v/>
      </c>
      <c r="BO30" s="44">
        <f>SUM(BO27:BO29)</f>
        <v/>
      </c>
      <c r="BP30" s="44">
        <f>SUM(BP27:BP29)</f>
        <v/>
      </c>
      <c r="BQ30" s="44">
        <f>SUM(BQ27:BQ29)</f>
        <v/>
      </c>
      <c r="BR30" s="44">
        <f>SUM(BR27:BR29)</f>
        <v/>
      </c>
      <c r="BS30" s="44">
        <f>SUM(BS27:BS29)</f>
        <v/>
      </c>
      <c r="BT30" s="44">
        <f>SUM(BT27:BT29)</f>
        <v/>
      </c>
      <c r="BU30" s="44">
        <f>SUM(BU27:BU29)</f>
        <v/>
      </c>
      <c r="BV30" s="44">
        <f>SUM(BV27:BV29)</f>
        <v/>
      </c>
      <c r="BW30" s="44">
        <f>SUM(BW27:BW29)</f>
        <v/>
      </c>
      <c r="BX30" s="44">
        <f>SUM(BX27:BX29)</f>
        <v/>
      </c>
      <c r="BY30" s="44">
        <f>SUM(BY27:BY29)</f>
        <v/>
      </c>
      <c r="BZ30" s="44">
        <f>SUM(BZ27:BZ29)</f>
        <v/>
      </c>
      <c r="CA30" s="44">
        <f>SUM(CA27:CA29)</f>
        <v/>
      </c>
      <c r="CB30" s="44">
        <f>SUM(CB27:CB29)</f>
        <v/>
      </c>
      <c r="CC30" s="44">
        <f>SUM(CC27:CC29)</f>
        <v/>
      </c>
      <c r="CD30" s="44">
        <f>SUM(CD27:CD29)</f>
        <v/>
      </c>
      <c r="CE30" s="44">
        <f>SUM(CE27:CE29)</f>
        <v/>
      </c>
      <c r="CF30" s="44">
        <f>SUM(CF27:CF29)</f>
        <v/>
      </c>
      <c r="CG30" s="44">
        <f>SUM(CG27:CG29)</f>
        <v/>
      </c>
      <c r="CH30" s="44">
        <f>SUM(CH27:CH29)</f>
        <v/>
      </c>
      <c r="CI30" s="44">
        <f>SUM(CI27:CI29)</f>
        <v/>
      </c>
      <c r="CJ30" s="44">
        <f>SUM(CJ27:CJ29)</f>
        <v/>
      </c>
      <c r="CK30" s="44">
        <f>SUM(CK27:CK29)</f>
        <v/>
      </c>
      <c r="CL30" s="44">
        <f>SUM(CL27:CL29)</f>
        <v/>
      </c>
      <c r="CM30" s="44">
        <f>SUM(CM27:CM29)</f>
        <v/>
      </c>
      <c r="CN30" s="44">
        <f>SUM(CN27:CN29)</f>
        <v/>
      </c>
      <c r="CO30" s="44">
        <f>SUM(CO27:CO29)</f>
        <v/>
      </c>
      <c r="CP30" s="44">
        <f>SUM(CP27:CP29)</f>
        <v/>
      </c>
      <c r="CQ30" s="44">
        <f>SUM(CQ27:CQ29)</f>
        <v/>
      </c>
      <c r="CR30" s="44">
        <f>SUM(CR27:CR29)</f>
        <v/>
      </c>
      <c r="CS30" s="44">
        <f>SUM(CS27:CS29)</f>
        <v/>
      </c>
      <c r="CT30" s="44">
        <f>SUM(CT27:CT29)</f>
        <v/>
      </c>
      <c r="CU30" s="44">
        <f>SUM(CU27:CU29)</f>
        <v/>
      </c>
      <c r="CV30" s="44">
        <f>SUM(CV27:CV29)</f>
        <v/>
      </c>
      <c r="CW30" s="44">
        <f>SUM(CW27:CW29)</f>
        <v/>
      </c>
      <c r="CX30" s="44">
        <f>SUM(CX27:CX29)</f>
        <v/>
      </c>
      <c r="CY30" s="44">
        <f>SUM(CY27:CY29)</f>
        <v/>
      </c>
      <c r="CZ30" s="44">
        <f>SUM(CZ27:CZ29)</f>
        <v/>
      </c>
      <c r="DA30" s="44">
        <f>SUM(DA27:DA29)</f>
        <v/>
      </c>
      <c r="DB30" s="44">
        <f>SUM(DB27:DB29)</f>
        <v/>
      </c>
      <c r="DC30" s="44">
        <f>SUM(DC27:DC29)</f>
        <v/>
      </c>
      <c r="DD30" s="44">
        <f>SUM(DD27:DD29)</f>
        <v/>
      </c>
      <c r="DE30" s="44">
        <f>SUM(DE27:DE29)</f>
        <v/>
      </c>
      <c r="DF30" s="44">
        <f>SUM(DF27:DF29)</f>
        <v/>
      </c>
      <c r="DG30" s="44">
        <f>SUM(DG27:DG29)</f>
        <v/>
      </c>
      <c r="DH30" s="44">
        <f>SUM(DH27:DH29)</f>
        <v/>
      </c>
      <c r="DI30" s="44">
        <f>SUM(DI27:DI29)</f>
        <v/>
      </c>
      <c r="DJ30" s="44">
        <f>SUM(DJ27:DJ29)</f>
        <v/>
      </c>
      <c r="DK30" s="44">
        <f>SUM(DK27:DK29)</f>
        <v/>
      </c>
      <c r="DL30" s="44">
        <f>SUM(DL27:DL29)</f>
        <v/>
      </c>
      <c r="DM30" s="44">
        <f>SUM(DM27:DM29)</f>
        <v/>
      </c>
      <c r="DN30" s="44">
        <f>SUM(DN27:DN29)</f>
        <v/>
      </c>
      <c r="DO30" s="44">
        <f>SUM(DO27:DO29)</f>
        <v/>
      </c>
      <c r="DP30" s="44">
        <f>SUM(DP27:DP29)</f>
        <v/>
      </c>
      <c r="DQ30" s="44">
        <f>SUM(DQ27:DQ29)</f>
        <v/>
      </c>
      <c r="DR30" s="44">
        <f>SUM(DR27:DR29)</f>
        <v/>
      </c>
      <c r="DS30" s="44">
        <f>SUM(DS27:DS29)</f>
        <v/>
      </c>
      <c r="DT30" s="44">
        <f>SUM(DT27:DT29)</f>
        <v/>
      </c>
      <c r="DU30" s="44">
        <f>SUM(DU27:DU29)</f>
        <v/>
      </c>
      <c r="DV30" s="44">
        <f>SUM(DV27:DV29)</f>
        <v/>
      </c>
      <c r="DW30" s="44">
        <f>SUM(DW27:DW29)</f>
        <v/>
      </c>
      <c r="DX30" s="44">
        <f>SUM(DX27:DX29)</f>
        <v/>
      </c>
      <c r="DY30" s="44">
        <f>SUM(DY27:DY29)</f>
        <v/>
      </c>
      <c r="DZ30" s="44">
        <f>SUM(DZ27:DZ29)</f>
        <v/>
      </c>
      <c r="EA30" s="44">
        <f>SUM(EA27:EA29)</f>
        <v/>
      </c>
      <c r="EB30" s="44">
        <f>SUM(EB27:EB29)</f>
        <v/>
      </c>
      <c r="EC30" s="44">
        <f>SUM(EC27:EC29)</f>
        <v/>
      </c>
      <c r="ED30" s="44">
        <f>SUM(ED27:ED29)</f>
        <v/>
      </c>
      <c r="EE30" s="44">
        <f>SUM(EE27:EE29)</f>
        <v/>
      </c>
      <c r="EF30" s="44">
        <f>SUM(EF27:EF29)</f>
        <v/>
      </c>
      <c r="EG30" s="44">
        <f>SUM(EG27:EG29)</f>
        <v/>
      </c>
      <c r="EH30" s="44">
        <f>SUM(EH27:EH29)</f>
        <v/>
      </c>
      <c r="EI30" s="44">
        <f>SUM(EI27:EI29)</f>
        <v/>
      </c>
      <c r="EJ30" s="44">
        <f>SUM(EJ27:EJ29)</f>
        <v/>
      </c>
      <c r="EK30" s="44">
        <f>SUM(EK27:EK29)</f>
        <v/>
      </c>
      <c r="EL30" s="44">
        <f>SUM(EL27:EL29)</f>
        <v/>
      </c>
      <c r="EM30" s="44">
        <f>SUM(EM27:EM29)</f>
        <v/>
      </c>
      <c r="EN30" s="44">
        <f>SUM(EN27:EN29)</f>
        <v/>
      </c>
      <c r="EO30" s="44">
        <f>SUM(EO27:EO29)</f>
        <v/>
      </c>
      <c r="EP30" s="44">
        <f>SUM(EP27:EP29)</f>
        <v/>
      </c>
      <c r="EQ30" s="44">
        <f>SUM(EQ27:EQ29)</f>
        <v/>
      </c>
      <c r="ER30" s="44">
        <f>SUM(ER27:ER29)</f>
        <v/>
      </c>
      <c r="ES30" s="44">
        <f>SUM(ES27:ES29)</f>
        <v/>
      </c>
      <c r="ET30" s="44">
        <f>SUM(ET27:ET29)</f>
        <v/>
      </c>
      <c r="EU30" s="44">
        <f>SUM(EU27:EU29)</f>
        <v/>
      </c>
      <c r="EV30" s="44">
        <f>SUM(EV27:EV29)</f>
        <v/>
      </c>
      <c r="EW30" s="44">
        <f>SUM(EW27:EW29)</f>
        <v/>
      </c>
      <c r="EX30" s="44">
        <f>SUM(EX27:EX29)</f>
        <v/>
      </c>
      <c r="EY30" s="44">
        <f>SUM(EY27:EY29)</f>
        <v/>
      </c>
      <c r="EZ30" s="44">
        <f>SUM(EZ27:EZ29)</f>
        <v/>
      </c>
      <c r="FA30" s="44">
        <f>SUM(FA27:FA29)</f>
        <v/>
      </c>
      <c r="FB30" s="44">
        <f>SUM(FB27:FB29)</f>
        <v/>
      </c>
    </row>
    <row r="31">
      <c r="B31" s="9" t="inlineStr">
        <is>
          <t>GP Equity</t>
        </is>
      </c>
      <c r="C31" s="147">
        <f>D31/$D$34</f>
        <v/>
      </c>
      <c r="D31" s="103">
        <f>(D41-D46)*G7</f>
        <v/>
      </c>
      <c r="E31" s="165">
        <f>F31/$F$34</f>
        <v/>
      </c>
      <c r="F31" s="103">
        <f>(F34-F33)*G7</f>
        <v/>
      </c>
      <c r="G31" s="168">
        <f>(G34-G33)*G7</f>
        <v/>
      </c>
      <c r="H31" s="9" t="n"/>
    </row>
    <row r="32">
      <c r="B32" s="9" t="inlineStr">
        <is>
          <t>Aequitas Equity</t>
        </is>
      </c>
      <c r="C32" s="148">
        <f>D32/$D$34</f>
        <v/>
      </c>
      <c r="D32" s="48">
        <f>(D41-D46)*F7</f>
        <v/>
      </c>
      <c r="E32" s="166">
        <f>F32/$F$34</f>
        <v/>
      </c>
      <c r="F32" s="48">
        <f>(F34-F33)*F7</f>
        <v/>
      </c>
      <c r="G32" s="169">
        <f>(G34-G33)*F7</f>
        <v/>
      </c>
      <c r="H32" s="9" t="n"/>
      <c r="I32" s="9" t="inlineStr">
        <is>
          <t>Vacancy Loss</t>
        </is>
      </c>
      <c r="L32" s="24">
        <f>SUMIF($Z$4:$FB$4,"&lt;="&amp;$G$18,$Z32:$FB32)</f>
        <v/>
      </c>
      <c r="M32" s="68" t="n"/>
      <c r="N32" s="67">
        <f>SUMIF($Z$3:$FB$3,N$7,$Z32:$FB32)</f>
        <v/>
      </c>
      <c r="O32" s="67">
        <f>SUMIF($Z$3:$FB$3,O$7,$Z32:$FB32)</f>
        <v/>
      </c>
      <c r="P32" s="67">
        <f>SUMIF($Z$3:$FB$3,P$7,$Z32:$FB32)</f>
        <v/>
      </c>
      <c r="Q32" s="67">
        <f>SUMIF($Z$3:$FB$3,Q$7,$Z32:$FB32)</f>
        <v/>
      </c>
      <c r="R32" s="67">
        <f>SUMIF($Z$3:$FB$3,R$7,$Z32:$FB32)</f>
        <v/>
      </c>
      <c r="S32" s="67">
        <f>SUMIF($Z$3:$FB$3,S$7,$Z32:$FB32)</f>
        <v/>
      </c>
      <c r="T32" s="67">
        <f>SUMIF($Z$3:$FB$3,T$7,$Z32:$FB32)</f>
        <v/>
      </c>
      <c r="U32" s="67">
        <f>SUMIF($Z$3:$FB$3,U$7,$Z32:$FB32)</f>
        <v/>
      </c>
      <c r="V32" s="67">
        <f>SUMIF($Z$3:$FB$3,V$7,$Z32:$FB32)</f>
        <v/>
      </c>
      <c r="W32" s="67">
        <f>SUMIF($Z$3:$FB$3,W$7,$Z32:$FB32)</f>
        <v/>
      </c>
      <c r="X32" s="67">
        <f>SUMIF($Z$3:$FB$3,X$7,$Z32:$FB32)</f>
        <v/>
      </c>
      <c r="Y32" s="68" t="n"/>
      <c r="Z32" s="179" t="n">
        <v>0</v>
      </c>
      <c r="AA32" s="179">
        <f>-IFERROR(INDEX($C85:$G85,MATCH(YEAR(AA$6),$C$83:$G$83,0)),$G$85)*(SUM(AA$24,AA$30))</f>
        <v/>
      </c>
      <c r="AB32" s="179">
        <f>-IFERROR(INDEX($C85:$G85,MATCH(YEAR(AB$6),$C$83:$G$83,0)),$G$85)*(SUM(AB$24,AB$30))</f>
        <v/>
      </c>
      <c r="AC32" s="179">
        <f>-IFERROR(INDEX($C85:$G85,MATCH(YEAR(AC$6),$C$83:$G$83,0)),$G$85)*(SUM(AC$24,AC$30))</f>
        <v/>
      </c>
      <c r="AD32" s="179">
        <f>-IFERROR(INDEX($C85:$G85,MATCH(YEAR(AD$6),$C$83:$G$83,0)),$G$85)*(SUM(AD$24,AD$30))</f>
        <v/>
      </c>
      <c r="AE32" s="179">
        <f>-IFERROR(INDEX($C85:$G85,MATCH(YEAR(AE$6),$C$83:$G$83,0)),$G$85)*(SUM(AE$24,AE$30))</f>
        <v/>
      </c>
      <c r="AF32" s="179">
        <f>-IFERROR(INDEX($C85:$G85,MATCH(YEAR(AF$6),$C$83:$G$83,0)),$G$85)*(SUM(AF$24,AF$30))</f>
        <v/>
      </c>
      <c r="AG32" s="179">
        <f>-IFERROR(INDEX($C85:$G85,MATCH(YEAR(AG$6),$C$83:$G$83,0)),$G$85)*(SUM(AG$24,AG$30))</f>
        <v/>
      </c>
      <c r="AH32" s="179">
        <f>-IFERROR(INDEX($C85:$G85,MATCH(YEAR(AH$6),$C$83:$G$83,0)),$G$85)*(SUM(AH$24,AH$30))</f>
        <v/>
      </c>
      <c r="AI32" s="179">
        <f>-IFERROR(INDEX($C85:$G85,MATCH(YEAR(AI$6),$C$83:$G$83,0)),$G$85)*(SUM(AI$24,AI$30))</f>
        <v/>
      </c>
      <c r="AJ32" s="179">
        <f>-IFERROR(INDEX($C85:$G85,MATCH(YEAR(AJ$6),$C$83:$G$83,0)),$G$85)*(SUM(AJ$24,AJ$30))</f>
        <v/>
      </c>
      <c r="AK32" s="179">
        <f>-IFERROR(INDEX($C85:$G85,MATCH(YEAR(AK$6),$C$83:$G$83,0)),$G$85)*(SUM(AK$24,AK$30))</f>
        <v/>
      </c>
      <c r="AL32" s="179">
        <f>-IFERROR(INDEX($C85:$G85,MATCH(YEAR(AL$6),$C$83:$G$83,0)),$G$85)*(SUM(AL$24,AL$30))</f>
        <v/>
      </c>
      <c r="AM32" s="179">
        <f>-IFERROR(INDEX($C85:$G85,MATCH(YEAR(AM$6),$C$83:$G$83,0)),$G$85)*(SUM(AM$24,AM$30))</f>
        <v/>
      </c>
      <c r="AN32" s="179">
        <f>-IFERROR(INDEX($C85:$G85,MATCH(YEAR(AN$6),$C$83:$G$83,0)),$G$85)*(SUM(AN$24,AN$30))</f>
        <v/>
      </c>
      <c r="AO32" s="179">
        <f>-IFERROR(INDEX($C85:$G85,MATCH(YEAR(AO$6),$C$83:$G$83,0)),$G$85)*(SUM(AO$24,AO$30))</f>
        <v/>
      </c>
      <c r="AP32" s="179">
        <f>-IFERROR(INDEX($C85:$G85,MATCH(YEAR(AP$6),$C$83:$G$83,0)),$G$85)*(SUM(AP$24,AP$30))</f>
        <v/>
      </c>
      <c r="AQ32" s="179">
        <f>-IFERROR(INDEX($C85:$G85,MATCH(YEAR(AQ$6),$C$83:$G$83,0)),$G$85)*(SUM(AQ$24,AQ$30))</f>
        <v/>
      </c>
      <c r="AR32" s="179">
        <f>-IFERROR(INDEX($C85:$G85,MATCH(YEAR(AR$6),$C$83:$G$83,0)),$G$85)*(SUM(AR$24,AR$30))</f>
        <v/>
      </c>
      <c r="AS32" s="179">
        <f>-IFERROR(INDEX($C85:$G85,MATCH(YEAR(AS$6),$C$83:$G$83,0)),$G$85)*(SUM(AS$24,AS$30))</f>
        <v/>
      </c>
      <c r="AT32" s="179">
        <f>-IFERROR(INDEX($C85:$G85,MATCH(YEAR(AT$6),$C$83:$G$83,0)),$G$85)*(SUM(AT$24,AT$30))</f>
        <v/>
      </c>
      <c r="AU32" s="179">
        <f>-IFERROR(INDEX($C85:$G85,MATCH(YEAR(AU$6),$C$83:$G$83,0)),$G$85)*(SUM(AU$24,AU$30))</f>
        <v/>
      </c>
      <c r="AV32" s="179">
        <f>-IFERROR(INDEX($C85:$G85,MATCH(YEAR(AV$6),$C$83:$G$83,0)),$G$85)*(SUM(AV$24,AV$30))</f>
        <v/>
      </c>
      <c r="AW32" s="179">
        <f>-IFERROR(INDEX($C85:$G85,MATCH(YEAR(AW$6),$C$83:$G$83,0)),$G$85)*(SUM(AW$24,AW$30))</f>
        <v/>
      </c>
      <c r="AX32" s="179">
        <f>-IFERROR(INDEX($C85:$G85,MATCH(YEAR(AX$6),$C$83:$G$83,0)),$G$85)*(SUM(AX$24,AX$30))</f>
        <v/>
      </c>
      <c r="AY32" s="179">
        <f>-IFERROR(INDEX($C85:$G85,MATCH(YEAR(AY$6),$C$83:$G$83,0)),$G$85)*(SUM(AY$24,AY$30))</f>
        <v/>
      </c>
      <c r="AZ32" s="179">
        <f>-IFERROR(INDEX($C85:$G85,MATCH(YEAR(AZ$6),$C$83:$G$83,0)),$G$85)*(SUM(AZ$24,AZ$30))</f>
        <v/>
      </c>
      <c r="BA32" s="179">
        <f>-IFERROR(INDEX($C85:$G85,MATCH(YEAR(BA$6),$C$83:$G$83,0)),$G$85)*(SUM(BA$24,BA$30))</f>
        <v/>
      </c>
      <c r="BB32" s="179">
        <f>-IFERROR(INDEX($C85:$G85,MATCH(YEAR(BB$6),$C$83:$G$83,0)),$G$85)*(SUM(BB$24,BB$30))</f>
        <v/>
      </c>
      <c r="BC32" s="179">
        <f>-IFERROR(INDEX($C85:$G85,MATCH(YEAR(BC$6),$C$83:$G$83,0)),$G$85)*(SUM(BC$24,BC$30))</f>
        <v/>
      </c>
      <c r="BD32" s="179">
        <f>-IFERROR(INDEX($C85:$G85,MATCH(YEAR(BD$6),$C$83:$G$83,0)),$G$85)*(SUM(BD$24,BD$30))</f>
        <v/>
      </c>
      <c r="BE32" s="179">
        <f>-IFERROR(INDEX($C85:$G85,MATCH(YEAR(BE$6),$C$83:$G$83,0)),$G$85)*(SUM(BE$24,BE$30))</f>
        <v/>
      </c>
      <c r="BF32" s="179">
        <f>-IFERROR(INDEX($C85:$G85,MATCH(YEAR(BF$6),$C$83:$G$83,0)),$G$85)*(SUM(BF$24,BF$30))</f>
        <v/>
      </c>
      <c r="BG32" s="179">
        <f>-IFERROR(INDEX($C85:$G85,MATCH(YEAR(BG$6),$C$83:$G$83,0)),$G$85)*(SUM(BG$24,BG$30))</f>
        <v/>
      </c>
      <c r="BH32" s="179">
        <f>-IFERROR(INDEX($C85:$G85,MATCH(YEAR(BH$6),$C$83:$G$83,0)),$G$85)*(SUM(BH$24,BH$30))</f>
        <v/>
      </c>
      <c r="BI32" s="179">
        <f>-IFERROR(INDEX($C85:$G85,MATCH(YEAR(BI$6),$C$83:$G$83,0)),$G$85)*(SUM(BI$24,BI$30))</f>
        <v/>
      </c>
      <c r="BJ32" s="179">
        <f>-IFERROR(INDEX($C85:$G85,MATCH(YEAR(BJ$6),$C$83:$G$83,0)),$G$85)*(SUM(BJ$24,BJ$30))</f>
        <v/>
      </c>
      <c r="BK32" s="179">
        <f>-IFERROR(INDEX($C85:$G85,MATCH(YEAR(BK$6),$C$83:$G$83,0)),$G$85)*(SUM(BK$24,BK$30))</f>
        <v/>
      </c>
      <c r="BL32" s="179">
        <f>-IFERROR(INDEX($C85:$G85,MATCH(YEAR(BL$6),$C$83:$G$83,0)),$G$85)*(SUM(BL$24,BL$30))</f>
        <v/>
      </c>
      <c r="BM32" s="179">
        <f>-IFERROR(INDEX($C85:$G85,MATCH(YEAR(BM$6),$C$83:$G$83,0)),$G$85)*(SUM(BM$24,BM$30))</f>
        <v/>
      </c>
      <c r="BN32" s="179">
        <f>-IFERROR(INDEX($C85:$G85,MATCH(YEAR(BN$6),$C$83:$G$83,0)),$G$85)*(SUM(BN$24,BN$30))</f>
        <v/>
      </c>
      <c r="BO32" s="179">
        <f>-IFERROR(INDEX($C85:$G85,MATCH(YEAR(BO$6),$C$83:$G$83,0)),$G$85)*(SUM(BO$24,BO$30))</f>
        <v/>
      </c>
      <c r="BP32" s="179">
        <f>-IFERROR(INDEX($C85:$G85,MATCH(YEAR(BP$6),$C$83:$G$83,0)),$G$85)*(SUM(BP$24,BP$30))</f>
        <v/>
      </c>
      <c r="BQ32" s="179">
        <f>-IFERROR(INDEX($C85:$G85,MATCH(YEAR(BQ$6),$C$83:$G$83,0)),$G$85)*(SUM(BQ$24,BQ$30))</f>
        <v/>
      </c>
      <c r="BR32" s="179">
        <f>-IFERROR(INDEX($C85:$G85,MATCH(YEAR(BR$6),$C$83:$G$83,0)),$G$85)*(SUM(BR$24,BR$30))</f>
        <v/>
      </c>
      <c r="BS32" s="179">
        <f>-IFERROR(INDEX($C85:$G85,MATCH(YEAR(BS$6),$C$83:$G$83,0)),$G$85)*(SUM(BS$24,BS$30))</f>
        <v/>
      </c>
      <c r="BT32" s="179">
        <f>-IFERROR(INDEX($C85:$G85,MATCH(YEAR(BT$6),$C$83:$G$83,0)),$G$85)*(SUM(BT$24,BT$30))</f>
        <v/>
      </c>
      <c r="BU32" s="179">
        <f>-IFERROR(INDEX($C85:$G85,MATCH(YEAR(BU$6),$C$83:$G$83,0)),$G$85)*(SUM(BU$24,BU$30))</f>
        <v/>
      </c>
      <c r="BV32" s="179">
        <f>-IFERROR(INDEX($C85:$G85,MATCH(YEAR(BV$6),$C$83:$G$83,0)),$G$85)*(SUM(BV$24,BV$30))</f>
        <v/>
      </c>
      <c r="BW32" s="179">
        <f>-IFERROR(INDEX($C85:$G85,MATCH(YEAR(BW$6),$C$83:$G$83,0)),$G$85)*(SUM(BW$24,BW$30))</f>
        <v/>
      </c>
      <c r="BX32" s="179">
        <f>-IFERROR(INDEX($C85:$G85,MATCH(YEAR(BX$6),$C$83:$G$83,0)),$G$85)*(SUM(BX$24,BX$30))</f>
        <v/>
      </c>
      <c r="BY32" s="179">
        <f>-IFERROR(INDEX($C85:$G85,MATCH(YEAR(BY$6),$C$83:$G$83,0)),$G$85)*(SUM(BY$24,BY$30))</f>
        <v/>
      </c>
      <c r="BZ32" s="179">
        <f>-IFERROR(INDEX($C85:$G85,MATCH(YEAR(BZ$6),$C$83:$G$83,0)),$G$85)*(SUM(BZ$24,BZ$30))</f>
        <v/>
      </c>
      <c r="CA32" s="179">
        <f>-IFERROR(INDEX($C85:$G85,MATCH(YEAR(CA$6),$C$83:$G$83,0)),$G$85)*(SUM(CA$24,CA$30))</f>
        <v/>
      </c>
      <c r="CB32" s="179">
        <f>-IFERROR(INDEX($C85:$G85,MATCH(YEAR(CB$6),$C$83:$G$83,0)),$G$85)*(SUM(CB$24,CB$30))</f>
        <v/>
      </c>
      <c r="CC32" s="179">
        <f>-IFERROR(INDEX($C85:$G85,MATCH(YEAR(CC$6),$C$83:$G$83,0)),$G$85)*(SUM(CC$24,CC$30))</f>
        <v/>
      </c>
      <c r="CD32" s="179">
        <f>-IFERROR(INDEX($C85:$G85,MATCH(YEAR(CD$6),$C$83:$G$83,0)),$G$85)*(SUM(CD$24,CD$30))</f>
        <v/>
      </c>
      <c r="CE32" s="179">
        <f>-IFERROR(INDEX($C85:$G85,MATCH(YEAR(CE$6),$C$83:$G$83,0)),$G$85)*(SUM(CE$24,CE$30))</f>
        <v/>
      </c>
      <c r="CF32" s="179">
        <f>-IFERROR(INDEX($C85:$G85,MATCH(YEAR(CF$6),$C$83:$G$83,0)),$G$85)*(SUM(CF$24,CF$30))</f>
        <v/>
      </c>
      <c r="CG32" s="179">
        <f>-IFERROR(INDEX($C85:$G85,MATCH(YEAR(CG$6),$C$83:$G$83,0)),$G$85)*(SUM(CG$24,CG$30))</f>
        <v/>
      </c>
      <c r="CH32" s="179">
        <f>-IFERROR(INDEX($C85:$G85,MATCH(YEAR(CH$6),$C$83:$G$83,0)),$G$85)*(SUM(CH$24,CH$30))</f>
        <v/>
      </c>
      <c r="CI32" s="179">
        <f>-IFERROR(INDEX($C85:$G85,MATCH(YEAR(CI$6),$C$83:$G$83,0)),$G$85)*(SUM(CI$24,CI$30))</f>
        <v/>
      </c>
      <c r="CJ32" s="179">
        <f>-IFERROR(INDEX($C85:$G85,MATCH(YEAR(CJ$6),$C$83:$G$83,0)),$G$85)*(SUM(CJ$24,CJ$30))</f>
        <v/>
      </c>
      <c r="CK32" s="179">
        <f>-IFERROR(INDEX($C85:$G85,MATCH(YEAR(CK$6),$C$83:$G$83,0)),$G$85)*(SUM(CK$24,CK$30))</f>
        <v/>
      </c>
      <c r="CL32" s="179">
        <f>-IFERROR(INDEX($C85:$G85,MATCH(YEAR(CL$6),$C$83:$G$83,0)),$G$85)*(SUM(CL$24,CL$30))</f>
        <v/>
      </c>
      <c r="CM32" s="179">
        <f>-IFERROR(INDEX($C85:$G85,MATCH(YEAR(CM$6),$C$83:$G$83,0)),$G$85)*(SUM(CM$24,CM$30))</f>
        <v/>
      </c>
      <c r="CN32" s="179">
        <f>-IFERROR(INDEX($C85:$G85,MATCH(YEAR(CN$6),$C$83:$G$83,0)),$G$85)*(SUM(CN$24,CN$30))</f>
        <v/>
      </c>
      <c r="CO32" s="179">
        <f>-IFERROR(INDEX($C85:$G85,MATCH(YEAR(CO$6),$C$83:$G$83,0)),$G$85)*(SUM(CO$24,CO$30))</f>
        <v/>
      </c>
      <c r="CP32" s="179">
        <f>-IFERROR(INDEX($C85:$G85,MATCH(YEAR(CP$6),$C$83:$G$83,0)),$G$85)*(SUM(CP$24,CP$30))</f>
        <v/>
      </c>
      <c r="CQ32" s="179">
        <f>-IFERROR(INDEX($C85:$G85,MATCH(YEAR(CQ$6),$C$83:$G$83,0)),$G$85)*(SUM(CQ$24,CQ$30))</f>
        <v/>
      </c>
      <c r="CR32" s="179">
        <f>-IFERROR(INDEX($C85:$G85,MATCH(YEAR(CR$6),$C$83:$G$83,0)),$G$85)*(SUM(CR$24,CR$30))</f>
        <v/>
      </c>
      <c r="CS32" s="179">
        <f>-IFERROR(INDEX($C85:$G85,MATCH(YEAR(CS$6),$C$83:$G$83,0)),$G$85)*(SUM(CS$24,CS$30))</f>
        <v/>
      </c>
      <c r="CT32" s="179">
        <f>-IFERROR(INDEX($C85:$G85,MATCH(YEAR(CT$6),$C$83:$G$83,0)),$G$85)*(SUM(CT$24,CT$30))</f>
        <v/>
      </c>
      <c r="CU32" s="179">
        <f>-IFERROR(INDEX($C85:$G85,MATCH(YEAR(CU$6),$C$83:$G$83,0)),$G$85)*(SUM(CU$24,CU$30))</f>
        <v/>
      </c>
      <c r="CV32" s="179">
        <f>-IFERROR(INDEX($C85:$G85,MATCH(YEAR(CV$6),$C$83:$G$83,0)),$G$85)*(SUM(CV$24,CV$30))</f>
        <v/>
      </c>
      <c r="CW32" s="179">
        <f>-IFERROR(INDEX($C85:$G85,MATCH(YEAR(CW$6),$C$83:$G$83,0)),$G$85)*(SUM(CW$24,CW$30))</f>
        <v/>
      </c>
      <c r="CX32" s="179">
        <f>-IFERROR(INDEX($C85:$G85,MATCH(YEAR(CX$6),$C$83:$G$83,0)),$G$85)*(SUM(CX$24,CX$30))</f>
        <v/>
      </c>
      <c r="CY32" s="179">
        <f>-IFERROR(INDEX($C85:$G85,MATCH(YEAR(CY$6),$C$83:$G$83,0)),$G$85)*(SUM(CY$24,CY$30))</f>
        <v/>
      </c>
      <c r="CZ32" s="179">
        <f>-IFERROR(INDEX($C85:$G85,MATCH(YEAR(CZ$6),$C$83:$G$83,0)),$G$85)*(SUM(CZ$24,CZ$30))</f>
        <v/>
      </c>
      <c r="DA32" s="179">
        <f>-IFERROR(INDEX($C85:$G85,MATCH(YEAR(DA$6),$C$83:$G$83,0)),$G$85)*(SUM(DA$24,DA$30))</f>
        <v/>
      </c>
      <c r="DB32" s="179">
        <f>-IFERROR(INDEX($C85:$G85,MATCH(YEAR(DB$6),$C$83:$G$83,0)),$G$85)*(SUM(DB$24,DB$30))</f>
        <v/>
      </c>
      <c r="DC32" s="179">
        <f>-IFERROR(INDEX($C85:$G85,MATCH(YEAR(DC$6),$C$83:$G$83,0)),$G$85)*(SUM(DC$24,DC$30))</f>
        <v/>
      </c>
      <c r="DD32" s="179">
        <f>-IFERROR(INDEX($C85:$G85,MATCH(YEAR(DD$6),$C$83:$G$83,0)),$G$85)*(SUM(DD$24,DD$30))</f>
        <v/>
      </c>
      <c r="DE32" s="179">
        <f>-IFERROR(INDEX($C85:$G85,MATCH(YEAR(DE$6),$C$83:$G$83,0)),$G$85)*(SUM(DE$24,DE$30))</f>
        <v/>
      </c>
      <c r="DF32" s="179">
        <f>-IFERROR(INDEX($C85:$G85,MATCH(YEAR(DF$6),$C$83:$G$83,0)),$G$85)*(SUM(DF$24,DF$30))</f>
        <v/>
      </c>
      <c r="DG32" s="179">
        <f>-IFERROR(INDEX($C85:$G85,MATCH(YEAR(DG$6),$C$83:$G$83,0)),$G$85)*(SUM(DG$24,DG$30))</f>
        <v/>
      </c>
      <c r="DH32" s="179">
        <f>-IFERROR(INDEX($C85:$G85,MATCH(YEAR(DH$6),$C$83:$G$83,0)),$G$85)*(SUM(DH$24,DH$30))</f>
        <v/>
      </c>
      <c r="DI32" s="179">
        <f>-IFERROR(INDEX($C85:$G85,MATCH(YEAR(DI$6),$C$83:$G$83,0)),$G$85)*(SUM(DI$24,DI$30))</f>
        <v/>
      </c>
      <c r="DJ32" s="179">
        <f>-IFERROR(INDEX($C85:$G85,MATCH(YEAR(DJ$6),$C$83:$G$83,0)),$G$85)*(SUM(DJ$24,DJ$30))</f>
        <v/>
      </c>
      <c r="DK32" s="179">
        <f>-IFERROR(INDEX($C85:$G85,MATCH(YEAR(DK$6),$C$83:$G$83,0)),$G$85)*(SUM(DK$24,DK$30))</f>
        <v/>
      </c>
      <c r="DL32" s="179">
        <f>-IFERROR(INDEX($C85:$G85,MATCH(YEAR(DL$6),$C$83:$G$83,0)),$G$85)*(SUM(DL$24,DL$30))</f>
        <v/>
      </c>
      <c r="DM32" s="179">
        <f>-IFERROR(INDEX($C85:$G85,MATCH(YEAR(DM$6),$C$83:$G$83,0)),$G$85)*(SUM(DM$24,DM$30))</f>
        <v/>
      </c>
      <c r="DN32" s="179">
        <f>-IFERROR(INDEX($C85:$G85,MATCH(YEAR(DN$6),$C$83:$G$83,0)),$G$85)*(SUM(DN$24,DN$30))</f>
        <v/>
      </c>
      <c r="DO32" s="179">
        <f>-IFERROR(INDEX($C85:$G85,MATCH(YEAR(DO$6),$C$83:$G$83,0)),$G$85)*(SUM(DO$24,DO$30))</f>
        <v/>
      </c>
      <c r="DP32" s="179">
        <f>-IFERROR(INDEX($C85:$G85,MATCH(YEAR(DP$6),$C$83:$G$83,0)),$G$85)*(SUM(DP$24,DP$30))</f>
        <v/>
      </c>
      <c r="DQ32" s="179">
        <f>-IFERROR(INDEX($C85:$G85,MATCH(YEAR(DQ$6),$C$83:$G$83,0)),$G$85)*(SUM(DQ$24,DQ$30))</f>
        <v/>
      </c>
      <c r="DR32" s="179">
        <f>-IFERROR(INDEX($C85:$G85,MATCH(YEAR(DR$6),$C$83:$G$83,0)),$G$85)*(SUM(DR$24,DR$30))</f>
        <v/>
      </c>
      <c r="DS32" s="179">
        <f>-IFERROR(INDEX($C85:$G85,MATCH(YEAR(DS$6),$C$83:$G$83,0)),$G$85)*(SUM(DS$24,DS$30))</f>
        <v/>
      </c>
      <c r="DT32" s="179">
        <f>-IFERROR(INDEX($C85:$G85,MATCH(YEAR(DT$6),$C$83:$G$83,0)),$G$85)*(SUM(DT$24,DT$30))</f>
        <v/>
      </c>
      <c r="DU32" s="179">
        <f>-IFERROR(INDEX($C85:$G85,MATCH(YEAR(DU$6),$C$83:$G$83,0)),$G$85)*(SUM(DU$24,DU$30))</f>
        <v/>
      </c>
      <c r="DV32" s="179">
        <f>-IFERROR(INDEX($C85:$G85,MATCH(YEAR(DV$6),$C$83:$G$83,0)),$G$85)*(SUM(DV$24,DV$30))</f>
        <v/>
      </c>
      <c r="DW32" s="179">
        <f>-IFERROR(INDEX($C85:$G85,MATCH(YEAR(DW$6),$C$83:$G$83,0)),$G$85)*(SUM(DW$24,DW$30))</f>
        <v/>
      </c>
      <c r="DX32" s="179">
        <f>-IFERROR(INDEX($C85:$G85,MATCH(YEAR(DX$6),$C$83:$G$83,0)),$G$85)*(SUM(DX$24,DX$30))</f>
        <v/>
      </c>
      <c r="DY32" s="179">
        <f>-IFERROR(INDEX($C85:$G85,MATCH(YEAR(DY$6),$C$83:$G$83,0)),$G$85)*(SUM(DY$24,DY$30))</f>
        <v/>
      </c>
      <c r="DZ32" s="179">
        <f>-IFERROR(INDEX($C85:$G85,MATCH(YEAR(DZ$6),$C$83:$G$83,0)),$G$85)*(SUM(DZ$24,DZ$30))</f>
        <v/>
      </c>
      <c r="EA32" s="179">
        <f>-IFERROR(INDEX($C85:$G85,MATCH(YEAR(EA$6),$C$83:$G$83,0)),$G$85)*(SUM(EA$24,EA$30))</f>
        <v/>
      </c>
      <c r="EB32" s="179">
        <f>-IFERROR(INDEX($C85:$G85,MATCH(YEAR(EB$6),$C$83:$G$83,0)),$G$85)*(SUM(EB$24,EB$30))</f>
        <v/>
      </c>
      <c r="EC32" s="179">
        <f>-IFERROR(INDEX($C85:$G85,MATCH(YEAR(EC$6),$C$83:$G$83,0)),$G$85)*(SUM(EC$24,EC$30))</f>
        <v/>
      </c>
      <c r="ED32" s="179">
        <f>-IFERROR(INDEX($C85:$G85,MATCH(YEAR(ED$6),$C$83:$G$83,0)),$G$85)*(SUM(ED$24,ED$30))</f>
        <v/>
      </c>
      <c r="EE32" s="179">
        <f>-IFERROR(INDEX($C85:$G85,MATCH(YEAR(EE$6),$C$83:$G$83,0)),$G$85)*(SUM(EE$24,EE$30))</f>
        <v/>
      </c>
      <c r="EF32" s="179">
        <f>-IFERROR(INDEX($C85:$G85,MATCH(YEAR(EF$6),$C$83:$G$83,0)),$G$85)*(SUM(EF$24,EF$30))</f>
        <v/>
      </c>
      <c r="EG32" s="179">
        <f>-IFERROR(INDEX($C85:$G85,MATCH(YEAR(EG$6),$C$83:$G$83,0)),$G$85)*(SUM(EG$24,EG$30))</f>
        <v/>
      </c>
      <c r="EH32" s="179">
        <f>-IFERROR(INDEX($C85:$G85,MATCH(YEAR(EH$6),$C$83:$G$83,0)),$G$85)*(SUM(EH$24,EH$30))</f>
        <v/>
      </c>
      <c r="EI32" s="179">
        <f>-IFERROR(INDEX($C85:$G85,MATCH(YEAR(EI$6),$C$83:$G$83,0)),$G$85)*(SUM(EI$24,EI$30))</f>
        <v/>
      </c>
      <c r="EJ32" s="179">
        <f>-IFERROR(INDEX($C85:$G85,MATCH(YEAR(EJ$6),$C$83:$G$83,0)),$G$85)*(SUM(EJ$24,EJ$30))</f>
        <v/>
      </c>
      <c r="EK32" s="179">
        <f>-IFERROR(INDEX($C85:$G85,MATCH(YEAR(EK$6),$C$83:$G$83,0)),$G$85)*(SUM(EK$24,EK$30))</f>
        <v/>
      </c>
      <c r="EL32" s="179">
        <f>-IFERROR(INDEX($C85:$G85,MATCH(YEAR(EL$6),$C$83:$G$83,0)),$G$85)*(SUM(EL$24,EL$30))</f>
        <v/>
      </c>
      <c r="EM32" s="179">
        <f>-IFERROR(INDEX($C85:$G85,MATCH(YEAR(EM$6),$C$83:$G$83,0)),$G$85)*(SUM(EM$24,EM$30))</f>
        <v/>
      </c>
      <c r="EN32" s="179">
        <f>-IFERROR(INDEX($C85:$G85,MATCH(YEAR(EN$6),$C$83:$G$83,0)),$G$85)*(SUM(EN$24,EN$30))</f>
        <v/>
      </c>
      <c r="EO32" s="179">
        <f>-IFERROR(INDEX($C85:$G85,MATCH(YEAR(EO$6),$C$83:$G$83,0)),$G$85)*(SUM(EO$24,EO$30))</f>
        <v/>
      </c>
      <c r="EP32" s="179">
        <f>-IFERROR(INDEX($C85:$G85,MATCH(YEAR(EP$6),$C$83:$G$83,0)),$G$85)*(SUM(EP$24,EP$30))</f>
        <v/>
      </c>
      <c r="EQ32" s="179">
        <f>-IFERROR(INDEX($C85:$G85,MATCH(YEAR(EQ$6),$C$83:$G$83,0)),$G$85)*(SUM(EQ$24,EQ$30))</f>
        <v/>
      </c>
      <c r="ER32" s="179">
        <f>-IFERROR(INDEX($C85:$G85,MATCH(YEAR(ER$6),$C$83:$G$83,0)),$G$85)*(SUM(ER$24,ER$30))</f>
        <v/>
      </c>
      <c r="ES32" s="179">
        <f>-IFERROR(INDEX($C85:$G85,MATCH(YEAR(ES$6),$C$83:$G$83,0)),$G$85)*(SUM(ES$24,ES$30))</f>
        <v/>
      </c>
      <c r="ET32" s="179">
        <f>-IFERROR(INDEX($C85:$G85,MATCH(YEAR(ET$6),$C$83:$G$83,0)),$G$85)*(SUM(ET$24,ET$30))</f>
        <v/>
      </c>
      <c r="EU32" s="179">
        <f>-IFERROR(INDEX($C85:$G85,MATCH(YEAR(EU$6),$C$83:$G$83,0)),$G$85)*(SUM(EU$24,EU$30))</f>
        <v/>
      </c>
      <c r="EV32" s="179">
        <f>-IFERROR(INDEX($C85:$G85,MATCH(YEAR(EV$6),$C$83:$G$83,0)),$G$85)*(SUM(EV$24,EV$30))</f>
        <v/>
      </c>
      <c r="EW32" s="179">
        <f>-IFERROR(INDEX($C85:$G85,MATCH(YEAR(EW$6),$C$83:$G$83,0)),$G$85)*(SUM(EW$24,EW$30))</f>
        <v/>
      </c>
      <c r="EX32" s="179">
        <f>-IFERROR(INDEX($C85:$G85,MATCH(YEAR(EX$6),$C$83:$G$83,0)),$G$85)*(SUM(EX$24,EX$30))</f>
        <v/>
      </c>
      <c r="EY32" s="179">
        <f>-IFERROR(INDEX($C85:$G85,MATCH(YEAR(EY$6),$C$83:$G$83,0)),$G$85)*(SUM(EY$24,EY$30))</f>
        <v/>
      </c>
      <c r="EZ32" s="179">
        <f>-IFERROR(INDEX($C85:$G85,MATCH(YEAR(EZ$6),$C$83:$G$83,0)),$G$85)*(SUM(EZ$24,EZ$30))</f>
        <v/>
      </c>
      <c r="FA32" s="179">
        <f>-IFERROR(INDEX($C85:$G85,MATCH(YEAR(FA$6),$C$83:$G$83,0)),$G$85)*(SUM(FA$24,FA$30))</f>
        <v/>
      </c>
      <c r="FB32" s="179">
        <f>-IFERROR(INDEX($C85:$G85,MATCH(YEAR(FB$6),$C$83:$G$83,0)),$G$85)*(SUM(FB$24,FB$30))</f>
        <v/>
      </c>
    </row>
    <row r="33">
      <c r="B33" s="9" t="inlineStr">
        <is>
          <t>Debt</t>
        </is>
      </c>
      <c r="C33" s="147">
        <f>D33/$D$34</f>
        <v/>
      </c>
      <c r="D33" s="46">
        <f>D46</f>
        <v/>
      </c>
      <c r="E33" s="165">
        <f>F33/$F$34</f>
        <v/>
      </c>
      <c r="F33" s="46">
        <f>G46</f>
        <v/>
      </c>
      <c r="G33" s="170">
        <f>INDEX($Z$164:$FB$164,MATCH(G18,$Z$4:$FB$4,0))</f>
        <v/>
      </c>
      <c r="I33" s="9" t="inlineStr">
        <is>
          <t>Bad Debt</t>
        </is>
      </c>
      <c r="J33" s="70">
        <f>C86</f>
        <v/>
      </c>
      <c r="K33" s="187" t="n"/>
      <c r="L33" s="24">
        <f>SUMIF($Z$4:$FB$4,"&lt;="&amp;$G$18,$Z33:$FB33)</f>
        <v/>
      </c>
      <c r="M33" s="62" t="n"/>
      <c r="N33" s="61">
        <f>SUMIF($Z$3:$FB$3,N$7,$Z33:$FB33)</f>
        <v/>
      </c>
      <c r="O33" s="61">
        <f>SUMIF($Z$3:$FB$3,O$7,$Z33:$FB33)</f>
        <v/>
      </c>
      <c r="P33" s="61">
        <f>SUMIF($Z$3:$FB$3,P$7,$Z33:$FB33)</f>
        <v/>
      </c>
      <c r="Q33" s="61">
        <f>SUMIF($Z$3:$FB$3,Q$7,$Z33:$FB33)</f>
        <v/>
      </c>
      <c r="R33" s="61">
        <f>SUMIF($Z$3:$FB$3,R$7,$Z33:$FB33)</f>
        <v/>
      </c>
      <c r="S33" s="61">
        <f>SUMIF($Z$3:$FB$3,S$7,$Z33:$FB33)</f>
        <v/>
      </c>
      <c r="T33" s="61">
        <f>SUMIF($Z$3:$FB$3,T$7,$Z33:$FB33)</f>
        <v/>
      </c>
      <c r="U33" s="61">
        <f>SUMIF($Z$3:$FB$3,U$7,$Z33:$FB33)</f>
        <v/>
      </c>
      <c r="V33" s="61">
        <f>SUMIF($Z$3:$FB$3,V$7,$Z33:$FB33)</f>
        <v/>
      </c>
      <c r="W33" s="61">
        <f>SUMIF($Z$3:$FB$3,W$7,$Z33:$FB33)</f>
        <v/>
      </c>
      <c r="X33" s="61">
        <f>SUMIF($Z$3:$FB$3,X$7,$Z33:$FB33)</f>
        <v/>
      </c>
      <c r="Y33" s="62" t="n"/>
      <c r="Z33" s="24" t="n">
        <v>0</v>
      </c>
      <c r="AA33" s="179">
        <f>-IFERROR(INDEX($C86:$G86,MATCH(YEAR(AA$6),$C$83:$G$83,0)),$G$86)*(SUM(AA$24,AA$30))</f>
        <v/>
      </c>
      <c r="AB33" s="179">
        <f>-IFERROR(INDEX($C86:$G86,MATCH(YEAR(AB$6),$C$83:$G$83,0)),$G$86)*(SUM(AB$24,AB$30))</f>
        <v/>
      </c>
      <c r="AC33" s="179">
        <f>-IFERROR(INDEX($C86:$G86,MATCH(YEAR(AC$6),$C$83:$G$83,0)),$G$86)*(SUM(AC$24,AC$30))</f>
        <v/>
      </c>
      <c r="AD33" s="179">
        <f>-IFERROR(INDEX($C86:$G86,MATCH(YEAR(AD$6),$C$83:$G$83,0)),$G$86)*(SUM(AD$24,AD$30))</f>
        <v/>
      </c>
      <c r="AE33" s="179">
        <f>-IFERROR(INDEX($C86:$G86,MATCH(YEAR(AE$6),$C$83:$G$83,0)),$G$86)*(SUM(AE$24,AE$30))</f>
        <v/>
      </c>
      <c r="AF33" s="179">
        <f>-IFERROR(INDEX($C86:$G86,MATCH(YEAR(AF$6),$C$83:$G$83,0)),$G$86)*(SUM(AF$24,AF$30))</f>
        <v/>
      </c>
      <c r="AG33" s="179">
        <f>-IFERROR(INDEX($C86:$G86,MATCH(YEAR(AG$6),$C$83:$G$83,0)),$G$86)*(SUM(AG$24,AG$30))</f>
        <v/>
      </c>
      <c r="AH33" s="179">
        <f>-IFERROR(INDEX($C86:$G86,MATCH(YEAR(AH$6),$C$83:$G$83,0)),$G$86)*(SUM(AH$24,AH$30))</f>
        <v/>
      </c>
      <c r="AI33" s="179">
        <f>-IFERROR(INDEX($C86:$G86,MATCH(YEAR(AI$6),$C$83:$G$83,0)),$G$86)*(SUM(AI$24,AI$30))</f>
        <v/>
      </c>
      <c r="AJ33" s="179">
        <f>-IFERROR(INDEX($C86:$G86,MATCH(YEAR(AJ$6),$C$83:$G$83,0)),$G$86)*(SUM(AJ$24,AJ$30))</f>
        <v/>
      </c>
      <c r="AK33" s="179">
        <f>-IFERROR(INDEX($C86:$G86,MATCH(YEAR(AK$6),$C$83:$G$83,0)),$G$86)*(SUM(AK$24,AK$30))</f>
        <v/>
      </c>
      <c r="AL33" s="179">
        <f>-IFERROR(INDEX($C86:$G86,MATCH(YEAR(AL$6),$C$83:$G$83,0)),$G$86)*(SUM(AL$24,AL$30))</f>
        <v/>
      </c>
      <c r="AM33" s="179">
        <f>-IFERROR(INDEX($C86:$G86,MATCH(YEAR(AM$6),$C$83:$G$83,0)),$G$86)*(SUM(AM$24,AM$30))</f>
        <v/>
      </c>
      <c r="AN33" s="179">
        <f>-IFERROR(INDEX($C86:$G86,MATCH(YEAR(AN$6),$C$83:$G$83,0)),$G$86)*(SUM(AN$24,AN$30))</f>
        <v/>
      </c>
      <c r="AO33" s="179">
        <f>-IFERROR(INDEX($C86:$G86,MATCH(YEAR(AO$6),$C$83:$G$83,0)),$G$86)*(SUM(AO$24,AO$30))</f>
        <v/>
      </c>
      <c r="AP33" s="179">
        <f>-IFERROR(INDEX($C86:$G86,MATCH(YEAR(AP$6),$C$83:$G$83,0)),$G$86)*(SUM(AP$24,AP$30))</f>
        <v/>
      </c>
      <c r="AQ33" s="179">
        <f>-IFERROR(INDEX($C86:$G86,MATCH(YEAR(AQ$6),$C$83:$G$83,0)),$G$86)*(SUM(AQ$24,AQ$30))</f>
        <v/>
      </c>
      <c r="AR33" s="179">
        <f>-IFERROR(INDEX($C86:$G86,MATCH(YEAR(AR$6),$C$83:$G$83,0)),$G$86)*(SUM(AR$24,AR$30))</f>
        <v/>
      </c>
      <c r="AS33" s="179">
        <f>-IFERROR(INDEX($C86:$G86,MATCH(YEAR(AS$6),$C$83:$G$83,0)),$G$86)*(SUM(AS$24,AS$30))</f>
        <v/>
      </c>
      <c r="AT33" s="179">
        <f>-IFERROR(INDEX($C86:$G86,MATCH(YEAR(AT$6),$C$83:$G$83,0)),$G$86)*(SUM(AT$24,AT$30))</f>
        <v/>
      </c>
      <c r="AU33" s="179">
        <f>-IFERROR(INDEX($C86:$G86,MATCH(YEAR(AU$6),$C$83:$G$83,0)),$G$86)*(SUM(AU$24,AU$30))</f>
        <v/>
      </c>
      <c r="AV33" s="179">
        <f>-IFERROR(INDEX($C86:$G86,MATCH(YEAR(AV$6),$C$83:$G$83,0)),$G$86)*(SUM(AV$24,AV$30))</f>
        <v/>
      </c>
      <c r="AW33" s="179">
        <f>-IFERROR(INDEX($C86:$G86,MATCH(YEAR(AW$6),$C$83:$G$83,0)),$G$86)*(SUM(AW$24,AW$30))</f>
        <v/>
      </c>
      <c r="AX33" s="179">
        <f>-IFERROR(INDEX($C86:$G86,MATCH(YEAR(AX$6),$C$83:$G$83,0)),$G$86)*(SUM(AX$24,AX$30))</f>
        <v/>
      </c>
      <c r="AY33" s="179">
        <f>-IFERROR(INDEX($C86:$G86,MATCH(YEAR(AY$6),$C$83:$G$83,0)),$G$86)*(SUM(AY$24,AY$30))</f>
        <v/>
      </c>
      <c r="AZ33" s="179">
        <f>-IFERROR(INDEX($C86:$G86,MATCH(YEAR(AZ$6),$C$83:$G$83,0)),$G$86)*(SUM(AZ$24,AZ$30))</f>
        <v/>
      </c>
      <c r="BA33" s="179">
        <f>-IFERROR(INDEX($C86:$G86,MATCH(YEAR(BA$6),$C$83:$G$83,0)),$G$86)*(SUM(BA$24,BA$30))</f>
        <v/>
      </c>
      <c r="BB33" s="179">
        <f>-IFERROR(INDEX($C86:$G86,MATCH(YEAR(BB$6),$C$83:$G$83,0)),$G$86)*(SUM(BB$24,BB$30))</f>
        <v/>
      </c>
      <c r="BC33" s="179">
        <f>-IFERROR(INDEX($C86:$G86,MATCH(YEAR(BC$6),$C$83:$G$83,0)),$G$86)*(SUM(BC$24,BC$30))</f>
        <v/>
      </c>
      <c r="BD33" s="179">
        <f>-IFERROR(INDEX($C86:$G86,MATCH(YEAR(BD$6),$C$83:$G$83,0)),$G$86)*(SUM(BD$24,BD$30))</f>
        <v/>
      </c>
      <c r="BE33" s="179">
        <f>-IFERROR(INDEX($C86:$G86,MATCH(YEAR(BE$6),$C$83:$G$83,0)),$G$86)*(SUM(BE$24,BE$30))</f>
        <v/>
      </c>
      <c r="BF33" s="179">
        <f>-IFERROR(INDEX($C86:$G86,MATCH(YEAR(BF$6),$C$83:$G$83,0)),$G$86)*(SUM(BF$24,BF$30))</f>
        <v/>
      </c>
      <c r="BG33" s="179">
        <f>-IFERROR(INDEX($C86:$G86,MATCH(YEAR(BG$6),$C$83:$G$83,0)),$G$86)*(SUM(BG$24,BG$30))</f>
        <v/>
      </c>
      <c r="BH33" s="179">
        <f>-IFERROR(INDEX($C86:$G86,MATCH(YEAR(BH$6),$C$83:$G$83,0)),$G$86)*(SUM(BH$24,BH$30))</f>
        <v/>
      </c>
      <c r="BI33" s="179">
        <f>-IFERROR(INDEX($C86:$G86,MATCH(YEAR(BI$6),$C$83:$G$83,0)),$G$86)*(SUM(BI$24,BI$30))</f>
        <v/>
      </c>
      <c r="BJ33" s="179">
        <f>-IFERROR(INDEX($C86:$G86,MATCH(YEAR(BJ$6),$C$83:$G$83,0)),$G$86)*(SUM(BJ$24,BJ$30))</f>
        <v/>
      </c>
      <c r="BK33" s="179">
        <f>-IFERROR(INDEX($C86:$G86,MATCH(YEAR(BK$6),$C$83:$G$83,0)),$G$86)*(SUM(BK$24,BK$30))</f>
        <v/>
      </c>
      <c r="BL33" s="179">
        <f>-IFERROR(INDEX($C86:$G86,MATCH(YEAR(BL$6),$C$83:$G$83,0)),$G$86)*(SUM(BL$24,BL$30))</f>
        <v/>
      </c>
      <c r="BM33" s="179">
        <f>-IFERROR(INDEX($C86:$G86,MATCH(YEAR(BM$6),$C$83:$G$83,0)),$G$86)*(SUM(BM$24,BM$30))</f>
        <v/>
      </c>
      <c r="BN33" s="179">
        <f>-IFERROR(INDEX($C86:$G86,MATCH(YEAR(BN$6),$C$83:$G$83,0)),$G$86)*(SUM(BN$24,BN$30))</f>
        <v/>
      </c>
      <c r="BO33" s="179">
        <f>-IFERROR(INDEX($C86:$G86,MATCH(YEAR(BO$6),$C$83:$G$83,0)),$G$86)*(SUM(BO$24,BO$30))</f>
        <v/>
      </c>
      <c r="BP33" s="179">
        <f>-IFERROR(INDEX($C86:$G86,MATCH(YEAR(BP$6),$C$83:$G$83,0)),$G$86)*(SUM(BP$24,BP$30))</f>
        <v/>
      </c>
      <c r="BQ33" s="179">
        <f>-IFERROR(INDEX($C86:$G86,MATCH(YEAR(BQ$6),$C$83:$G$83,0)),$G$86)*(SUM(BQ$24,BQ$30))</f>
        <v/>
      </c>
      <c r="BR33" s="179">
        <f>-IFERROR(INDEX($C86:$G86,MATCH(YEAR(BR$6),$C$83:$G$83,0)),$G$86)*(SUM(BR$24,BR$30))</f>
        <v/>
      </c>
      <c r="BS33" s="179">
        <f>-IFERROR(INDEX($C86:$G86,MATCH(YEAR(BS$6),$C$83:$G$83,0)),$G$86)*(SUM(BS$24,BS$30))</f>
        <v/>
      </c>
      <c r="BT33" s="179">
        <f>-IFERROR(INDEX($C86:$G86,MATCH(YEAR(BT$6),$C$83:$G$83,0)),$G$86)*(SUM(BT$24,BT$30))</f>
        <v/>
      </c>
      <c r="BU33" s="179">
        <f>-IFERROR(INDEX($C86:$G86,MATCH(YEAR(BU$6),$C$83:$G$83,0)),$G$86)*(SUM(BU$24,BU$30))</f>
        <v/>
      </c>
      <c r="BV33" s="179">
        <f>-IFERROR(INDEX($C86:$G86,MATCH(YEAR(BV$6),$C$83:$G$83,0)),$G$86)*(SUM(BV$24,BV$30))</f>
        <v/>
      </c>
      <c r="BW33" s="179">
        <f>-IFERROR(INDEX($C86:$G86,MATCH(YEAR(BW$6),$C$83:$G$83,0)),$G$86)*(SUM(BW$24,BW$30))</f>
        <v/>
      </c>
      <c r="BX33" s="179">
        <f>-IFERROR(INDEX($C86:$G86,MATCH(YEAR(BX$6),$C$83:$G$83,0)),$G$86)*(SUM(BX$24,BX$30))</f>
        <v/>
      </c>
      <c r="BY33" s="179">
        <f>-IFERROR(INDEX($C86:$G86,MATCH(YEAR(BY$6),$C$83:$G$83,0)),$G$86)*(SUM(BY$24,BY$30))</f>
        <v/>
      </c>
      <c r="BZ33" s="179">
        <f>-IFERROR(INDEX($C86:$G86,MATCH(YEAR(BZ$6),$C$83:$G$83,0)),$G$86)*(SUM(BZ$24,BZ$30))</f>
        <v/>
      </c>
      <c r="CA33" s="179">
        <f>-IFERROR(INDEX($C86:$G86,MATCH(YEAR(CA$6),$C$83:$G$83,0)),$G$86)*(SUM(CA$24,CA$30))</f>
        <v/>
      </c>
      <c r="CB33" s="179">
        <f>-IFERROR(INDEX($C86:$G86,MATCH(YEAR(CB$6),$C$83:$G$83,0)),$G$86)*(SUM(CB$24,CB$30))</f>
        <v/>
      </c>
      <c r="CC33" s="179">
        <f>-IFERROR(INDEX($C86:$G86,MATCH(YEAR(CC$6),$C$83:$G$83,0)),$G$86)*(SUM(CC$24,CC$30))</f>
        <v/>
      </c>
      <c r="CD33" s="179">
        <f>-IFERROR(INDEX($C86:$G86,MATCH(YEAR(CD$6),$C$83:$G$83,0)),$G$86)*(SUM(CD$24,CD$30))</f>
        <v/>
      </c>
      <c r="CE33" s="179">
        <f>-IFERROR(INDEX($C86:$G86,MATCH(YEAR(CE$6),$C$83:$G$83,0)),$G$86)*(SUM(CE$24,CE$30))</f>
        <v/>
      </c>
      <c r="CF33" s="179">
        <f>-IFERROR(INDEX($C86:$G86,MATCH(YEAR(CF$6),$C$83:$G$83,0)),$G$86)*(SUM(CF$24,CF$30))</f>
        <v/>
      </c>
      <c r="CG33" s="179">
        <f>-IFERROR(INDEX($C86:$G86,MATCH(YEAR(CG$6),$C$83:$G$83,0)),$G$86)*(SUM(CG$24,CG$30))</f>
        <v/>
      </c>
      <c r="CH33" s="179">
        <f>-IFERROR(INDEX($C86:$G86,MATCH(YEAR(CH$6),$C$83:$G$83,0)),$G$86)*(SUM(CH$24,CH$30))</f>
        <v/>
      </c>
      <c r="CI33" s="179">
        <f>-IFERROR(INDEX($C86:$G86,MATCH(YEAR(CI$6),$C$83:$G$83,0)),$G$86)*(SUM(CI$24,CI$30))</f>
        <v/>
      </c>
      <c r="CJ33" s="179">
        <f>-IFERROR(INDEX($C86:$G86,MATCH(YEAR(CJ$6),$C$83:$G$83,0)),$G$86)*(SUM(CJ$24,CJ$30))</f>
        <v/>
      </c>
      <c r="CK33" s="179">
        <f>-IFERROR(INDEX($C86:$G86,MATCH(YEAR(CK$6),$C$83:$G$83,0)),$G$86)*(SUM(CK$24,CK$30))</f>
        <v/>
      </c>
      <c r="CL33" s="179">
        <f>-IFERROR(INDEX($C86:$G86,MATCH(YEAR(CL$6),$C$83:$G$83,0)),$G$86)*(SUM(CL$24,CL$30))</f>
        <v/>
      </c>
      <c r="CM33" s="179">
        <f>-IFERROR(INDEX($C86:$G86,MATCH(YEAR(CM$6),$C$83:$G$83,0)),$G$86)*(SUM(CM$24,CM$30))</f>
        <v/>
      </c>
      <c r="CN33" s="179">
        <f>-IFERROR(INDEX($C86:$G86,MATCH(YEAR(CN$6),$C$83:$G$83,0)),$G$86)*(SUM(CN$24,CN$30))</f>
        <v/>
      </c>
      <c r="CO33" s="179">
        <f>-IFERROR(INDEX($C86:$G86,MATCH(YEAR(CO$6),$C$83:$G$83,0)),$G$86)*(SUM(CO$24,CO$30))</f>
        <v/>
      </c>
      <c r="CP33" s="179">
        <f>-IFERROR(INDEX($C86:$G86,MATCH(YEAR(CP$6),$C$83:$G$83,0)),$G$86)*(SUM(CP$24,CP$30))</f>
        <v/>
      </c>
      <c r="CQ33" s="179">
        <f>-IFERROR(INDEX($C86:$G86,MATCH(YEAR(CQ$6),$C$83:$G$83,0)),$G$86)*(SUM(CQ$24,CQ$30))</f>
        <v/>
      </c>
      <c r="CR33" s="179">
        <f>-IFERROR(INDEX($C86:$G86,MATCH(YEAR(CR$6),$C$83:$G$83,0)),$G$86)*(SUM(CR$24,CR$30))</f>
        <v/>
      </c>
      <c r="CS33" s="179">
        <f>-IFERROR(INDEX($C86:$G86,MATCH(YEAR(CS$6),$C$83:$G$83,0)),$G$86)*(SUM(CS$24,CS$30))</f>
        <v/>
      </c>
      <c r="CT33" s="179">
        <f>-IFERROR(INDEX($C86:$G86,MATCH(YEAR(CT$6),$C$83:$G$83,0)),$G$86)*(SUM(CT$24,CT$30))</f>
        <v/>
      </c>
      <c r="CU33" s="179">
        <f>-IFERROR(INDEX($C86:$G86,MATCH(YEAR(CU$6),$C$83:$G$83,0)),$G$86)*(SUM(CU$24,CU$30))</f>
        <v/>
      </c>
      <c r="CV33" s="179">
        <f>-IFERROR(INDEX($C86:$G86,MATCH(YEAR(CV$6),$C$83:$G$83,0)),$G$86)*(SUM(CV$24,CV$30))</f>
        <v/>
      </c>
      <c r="CW33" s="179">
        <f>-IFERROR(INDEX($C86:$G86,MATCH(YEAR(CW$6),$C$83:$G$83,0)),$G$86)*(SUM(CW$24,CW$30))</f>
        <v/>
      </c>
      <c r="CX33" s="179">
        <f>-IFERROR(INDEX($C86:$G86,MATCH(YEAR(CX$6),$C$83:$G$83,0)),$G$86)*(SUM(CX$24,CX$30))</f>
        <v/>
      </c>
      <c r="CY33" s="179">
        <f>-IFERROR(INDEX($C86:$G86,MATCH(YEAR(CY$6),$C$83:$G$83,0)),$G$86)*(SUM(CY$24,CY$30))</f>
        <v/>
      </c>
      <c r="CZ33" s="179">
        <f>-IFERROR(INDEX($C86:$G86,MATCH(YEAR(CZ$6),$C$83:$G$83,0)),$G$86)*(SUM(CZ$24,CZ$30))</f>
        <v/>
      </c>
      <c r="DA33" s="179">
        <f>-IFERROR(INDEX($C86:$G86,MATCH(YEAR(DA$6),$C$83:$G$83,0)),$G$86)*(SUM(DA$24,DA$30))</f>
        <v/>
      </c>
      <c r="DB33" s="179">
        <f>-IFERROR(INDEX($C86:$G86,MATCH(YEAR(DB$6),$C$83:$G$83,0)),$G$86)*(SUM(DB$24,DB$30))</f>
        <v/>
      </c>
      <c r="DC33" s="179">
        <f>-IFERROR(INDEX($C86:$G86,MATCH(YEAR(DC$6),$C$83:$G$83,0)),$G$86)*(SUM(DC$24,DC$30))</f>
        <v/>
      </c>
      <c r="DD33" s="179">
        <f>-IFERROR(INDEX($C86:$G86,MATCH(YEAR(DD$6),$C$83:$G$83,0)),$G$86)*(SUM(DD$24,DD$30))</f>
        <v/>
      </c>
      <c r="DE33" s="179">
        <f>-IFERROR(INDEX($C86:$G86,MATCH(YEAR(DE$6),$C$83:$G$83,0)),$G$86)*(SUM(DE$24,DE$30))</f>
        <v/>
      </c>
      <c r="DF33" s="179">
        <f>-IFERROR(INDEX($C86:$G86,MATCH(YEAR(DF$6),$C$83:$G$83,0)),$G$86)*(SUM(DF$24,DF$30))</f>
        <v/>
      </c>
      <c r="DG33" s="179">
        <f>-IFERROR(INDEX($C86:$G86,MATCH(YEAR(DG$6),$C$83:$G$83,0)),$G$86)*(SUM(DG$24,DG$30))</f>
        <v/>
      </c>
      <c r="DH33" s="179">
        <f>-IFERROR(INDEX($C86:$G86,MATCH(YEAR(DH$6),$C$83:$G$83,0)),$G$86)*(SUM(DH$24,DH$30))</f>
        <v/>
      </c>
      <c r="DI33" s="179">
        <f>-IFERROR(INDEX($C86:$G86,MATCH(YEAR(DI$6),$C$83:$G$83,0)),$G$86)*(SUM(DI$24,DI$30))</f>
        <v/>
      </c>
      <c r="DJ33" s="179">
        <f>-IFERROR(INDEX($C86:$G86,MATCH(YEAR(DJ$6),$C$83:$G$83,0)),$G$86)*(SUM(DJ$24,DJ$30))</f>
        <v/>
      </c>
      <c r="DK33" s="179">
        <f>-IFERROR(INDEX($C86:$G86,MATCH(YEAR(DK$6),$C$83:$G$83,0)),$G$86)*(SUM(DK$24,DK$30))</f>
        <v/>
      </c>
      <c r="DL33" s="179">
        <f>-IFERROR(INDEX($C86:$G86,MATCH(YEAR(DL$6),$C$83:$G$83,0)),$G$86)*(SUM(DL$24,DL$30))</f>
        <v/>
      </c>
      <c r="DM33" s="179">
        <f>-IFERROR(INDEX($C86:$G86,MATCH(YEAR(DM$6),$C$83:$G$83,0)),$G$86)*(SUM(DM$24,DM$30))</f>
        <v/>
      </c>
      <c r="DN33" s="179">
        <f>-IFERROR(INDEX($C86:$G86,MATCH(YEAR(DN$6),$C$83:$G$83,0)),$G$86)*(SUM(DN$24,DN$30))</f>
        <v/>
      </c>
      <c r="DO33" s="179">
        <f>-IFERROR(INDEX($C86:$G86,MATCH(YEAR(DO$6),$C$83:$G$83,0)),$G$86)*(SUM(DO$24,DO$30))</f>
        <v/>
      </c>
      <c r="DP33" s="179">
        <f>-IFERROR(INDEX($C86:$G86,MATCH(YEAR(DP$6),$C$83:$G$83,0)),$G$86)*(SUM(DP$24,DP$30))</f>
        <v/>
      </c>
      <c r="DQ33" s="179">
        <f>-IFERROR(INDEX($C86:$G86,MATCH(YEAR(DQ$6),$C$83:$G$83,0)),$G$86)*(SUM(DQ$24,DQ$30))</f>
        <v/>
      </c>
      <c r="DR33" s="179">
        <f>-IFERROR(INDEX($C86:$G86,MATCH(YEAR(DR$6),$C$83:$G$83,0)),$G$86)*(SUM(DR$24,DR$30))</f>
        <v/>
      </c>
      <c r="DS33" s="179">
        <f>-IFERROR(INDEX($C86:$G86,MATCH(YEAR(DS$6),$C$83:$G$83,0)),$G$86)*(SUM(DS$24,DS$30))</f>
        <v/>
      </c>
      <c r="DT33" s="179">
        <f>-IFERROR(INDEX($C86:$G86,MATCH(YEAR(DT$6),$C$83:$G$83,0)),$G$86)*(SUM(DT$24,DT$30))</f>
        <v/>
      </c>
      <c r="DU33" s="179">
        <f>-IFERROR(INDEX($C86:$G86,MATCH(YEAR(DU$6),$C$83:$G$83,0)),$G$86)*(SUM(DU$24,DU$30))</f>
        <v/>
      </c>
      <c r="DV33" s="179">
        <f>-IFERROR(INDEX($C86:$G86,MATCH(YEAR(DV$6),$C$83:$G$83,0)),$G$86)*(SUM(DV$24,DV$30))</f>
        <v/>
      </c>
      <c r="DW33" s="179">
        <f>-IFERROR(INDEX($C86:$G86,MATCH(YEAR(DW$6),$C$83:$G$83,0)),$G$86)*(SUM(DW$24,DW$30))</f>
        <v/>
      </c>
      <c r="DX33" s="179">
        <f>-IFERROR(INDEX($C86:$G86,MATCH(YEAR(DX$6),$C$83:$G$83,0)),$G$86)*(SUM(DX$24,DX$30))</f>
        <v/>
      </c>
      <c r="DY33" s="179">
        <f>-IFERROR(INDEX($C86:$G86,MATCH(YEAR(DY$6),$C$83:$G$83,0)),$G$86)*(SUM(DY$24,DY$30))</f>
        <v/>
      </c>
      <c r="DZ33" s="179">
        <f>-IFERROR(INDEX($C86:$G86,MATCH(YEAR(DZ$6),$C$83:$G$83,0)),$G$86)*(SUM(DZ$24,DZ$30))</f>
        <v/>
      </c>
      <c r="EA33" s="179">
        <f>-IFERROR(INDEX($C86:$G86,MATCH(YEAR(EA$6),$C$83:$G$83,0)),$G$86)*(SUM(EA$24,EA$30))</f>
        <v/>
      </c>
      <c r="EB33" s="179">
        <f>-IFERROR(INDEX($C86:$G86,MATCH(YEAR(EB$6),$C$83:$G$83,0)),$G$86)*(SUM(EB$24,EB$30))</f>
        <v/>
      </c>
      <c r="EC33" s="179">
        <f>-IFERROR(INDEX($C86:$G86,MATCH(YEAR(EC$6),$C$83:$G$83,0)),$G$86)*(SUM(EC$24,EC$30))</f>
        <v/>
      </c>
      <c r="ED33" s="179">
        <f>-IFERROR(INDEX($C86:$G86,MATCH(YEAR(ED$6),$C$83:$G$83,0)),$G$86)*(SUM(ED$24,ED$30))</f>
        <v/>
      </c>
      <c r="EE33" s="179">
        <f>-IFERROR(INDEX($C86:$G86,MATCH(YEAR(EE$6),$C$83:$G$83,0)),$G$86)*(SUM(EE$24,EE$30))</f>
        <v/>
      </c>
      <c r="EF33" s="179">
        <f>-IFERROR(INDEX($C86:$G86,MATCH(YEAR(EF$6),$C$83:$G$83,0)),$G$86)*(SUM(EF$24,EF$30))</f>
        <v/>
      </c>
      <c r="EG33" s="179">
        <f>-IFERROR(INDEX($C86:$G86,MATCH(YEAR(EG$6),$C$83:$G$83,0)),$G$86)*(SUM(EG$24,EG$30))</f>
        <v/>
      </c>
      <c r="EH33" s="179">
        <f>-IFERROR(INDEX($C86:$G86,MATCH(YEAR(EH$6),$C$83:$G$83,0)),$G$86)*(SUM(EH$24,EH$30))</f>
        <v/>
      </c>
      <c r="EI33" s="179">
        <f>-IFERROR(INDEX($C86:$G86,MATCH(YEAR(EI$6),$C$83:$G$83,0)),$G$86)*(SUM(EI$24,EI$30))</f>
        <v/>
      </c>
      <c r="EJ33" s="179">
        <f>-IFERROR(INDEX($C86:$G86,MATCH(YEAR(EJ$6),$C$83:$G$83,0)),$G$86)*(SUM(EJ$24,EJ$30))</f>
        <v/>
      </c>
      <c r="EK33" s="179">
        <f>-IFERROR(INDEX($C86:$G86,MATCH(YEAR(EK$6),$C$83:$G$83,0)),$G$86)*(SUM(EK$24,EK$30))</f>
        <v/>
      </c>
      <c r="EL33" s="179">
        <f>-IFERROR(INDEX($C86:$G86,MATCH(YEAR(EL$6),$C$83:$G$83,0)),$G$86)*(SUM(EL$24,EL$30))</f>
        <v/>
      </c>
      <c r="EM33" s="179">
        <f>-IFERROR(INDEX($C86:$G86,MATCH(YEAR(EM$6),$C$83:$G$83,0)),$G$86)*(SUM(EM$24,EM$30))</f>
        <v/>
      </c>
      <c r="EN33" s="179">
        <f>-IFERROR(INDEX($C86:$G86,MATCH(YEAR(EN$6),$C$83:$G$83,0)),$G$86)*(SUM(EN$24,EN$30))</f>
        <v/>
      </c>
      <c r="EO33" s="179">
        <f>-IFERROR(INDEX($C86:$G86,MATCH(YEAR(EO$6),$C$83:$G$83,0)),$G$86)*(SUM(EO$24,EO$30))</f>
        <v/>
      </c>
      <c r="EP33" s="179">
        <f>-IFERROR(INDEX($C86:$G86,MATCH(YEAR(EP$6),$C$83:$G$83,0)),$G$86)*(SUM(EP$24,EP$30))</f>
        <v/>
      </c>
      <c r="EQ33" s="179">
        <f>-IFERROR(INDEX($C86:$G86,MATCH(YEAR(EQ$6),$C$83:$G$83,0)),$G$86)*(SUM(EQ$24,EQ$30))</f>
        <v/>
      </c>
      <c r="ER33" s="179">
        <f>-IFERROR(INDEX($C86:$G86,MATCH(YEAR(ER$6),$C$83:$G$83,0)),$G$86)*(SUM(ER$24,ER$30))</f>
        <v/>
      </c>
      <c r="ES33" s="179">
        <f>-IFERROR(INDEX($C86:$G86,MATCH(YEAR(ES$6),$C$83:$G$83,0)),$G$86)*(SUM(ES$24,ES$30))</f>
        <v/>
      </c>
      <c r="ET33" s="179">
        <f>-IFERROR(INDEX($C86:$G86,MATCH(YEAR(ET$6),$C$83:$G$83,0)),$G$86)*(SUM(ET$24,ET$30))</f>
        <v/>
      </c>
      <c r="EU33" s="179">
        <f>-IFERROR(INDEX($C86:$G86,MATCH(YEAR(EU$6),$C$83:$G$83,0)),$G$86)*(SUM(EU$24,EU$30))</f>
        <v/>
      </c>
      <c r="EV33" s="179">
        <f>-IFERROR(INDEX($C86:$G86,MATCH(YEAR(EV$6),$C$83:$G$83,0)),$G$86)*(SUM(EV$24,EV$30))</f>
        <v/>
      </c>
      <c r="EW33" s="179">
        <f>-IFERROR(INDEX($C86:$G86,MATCH(YEAR(EW$6),$C$83:$G$83,0)),$G$86)*(SUM(EW$24,EW$30))</f>
        <v/>
      </c>
      <c r="EX33" s="179">
        <f>-IFERROR(INDEX($C86:$G86,MATCH(YEAR(EX$6),$C$83:$G$83,0)),$G$86)*(SUM(EX$24,EX$30))</f>
        <v/>
      </c>
      <c r="EY33" s="179">
        <f>-IFERROR(INDEX($C86:$G86,MATCH(YEAR(EY$6),$C$83:$G$83,0)),$G$86)*(SUM(EY$24,EY$30))</f>
        <v/>
      </c>
      <c r="EZ33" s="179">
        <f>-IFERROR(INDEX($C86:$G86,MATCH(YEAR(EZ$6),$C$83:$G$83,0)),$G$86)*(SUM(EZ$24,EZ$30))</f>
        <v/>
      </c>
      <c r="FA33" s="179">
        <f>-IFERROR(INDEX($C86:$G86,MATCH(YEAR(FA$6),$C$83:$G$83,0)),$G$86)*(SUM(FA$24,FA$30))</f>
        <v/>
      </c>
      <c r="FB33" s="179">
        <f>-IFERROR(INDEX($C86:$G86,MATCH(YEAR(FB$6),$C$83:$G$83,0)),$G$86)*(SUM(FB$24,FB$30))</f>
        <v/>
      </c>
    </row>
    <row r="34">
      <c r="B34" s="120" t="inlineStr">
        <is>
          <t>Total</t>
        </is>
      </c>
      <c r="C34" s="149">
        <f>D34/$D$34</f>
        <v/>
      </c>
      <c r="D34" s="57">
        <f>SUM(D31:D33)</f>
        <v/>
      </c>
      <c r="E34" s="167">
        <f>F34/$F$34</f>
        <v/>
      </c>
      <c r="F34" s="57">
        <f>F24</f>
        <v/>
      </c>
      <c r="G34" s="171">
        <f>G24</f>
        <v/>
      </c>
      <c r="I34" s="9" t="inlineStr">
        <is>
          <t>Concessions</t>
        </is>
      </c>
      <c r="J34" s="70">
        <f>C87</f>
        <v/>
      </c>
      <c r="K34" s="187" t="n"/>
      <c r="L34" s="24">
        <f>SUMIF($Z$4:$FB$4,"&lt;="&amp;$G$18,$Z34:$FB34)</f>
        <v/>
      </c>
      <c r="M34" s="62" t="n"/>
      <c r="N34" s="61">
        <f>SUMIF($Z$3:$FB$3,N$7,$Z34:$FB34)</f>
        <v/>
      </c>
      <c r="O34" s="61">
        <f>SUMIF($Z$3:$FB$3,O$7,$Z34:$FB34)</f>
        <v/>
      </c>
      <c r="P34" s="61">
        <f>SUMIF($Z$3:$FB$3,P$7,$Z34:$FB34)</f>
        <v/>
      </c>
      <c r="Q34" s="61">
        <f>SUMIF($Z$3:$FB$3,Q$7,$Z34:$FB34)</f>
        <v/>
      </c>
      <c r="R34" s="61">
        <f>SUMIF($Z$3:$FB$3,R$7,$Z34:$FB34)</f>
        <v/>
      </c>
      <c r="S34" s="61">
        <f>SUMIF($Z$3:$FB$3,S$7,$Z34:$FB34)</f>
        <v/>
      </c>
      <c r="T34" s="61">
        <f>SUMIF($Z$3:$FB$3,T$7,$Z34:$FB34)</f>
        <v/>
      </c>
      <c r="U34" s="61">
        <f>SUMIF($Z$3:$FB$3,U$7,$Z34:$FB34)</f>
        <v/>
      </c>
      <c r="V34" s="61">
        <f>SUMIF($Z$3:$FB$3,V$7,$Z34:$FB34)</f>
        <v/>
      </c>
      <c r="W34" s="61">
        <f>SUMIF($Z$3:$FB$3,W$7,$Z34:$FB34)</f>
        <v/>
      </c>
      <c r="X34" s="61">
        <f>SUMIF($Z$3:$FB$3,X$7,$Z34:$FB34)</f>
        <v/>
      </c>
      <c r="Y34" s="62" t="n"/>
      <c r="Z34" s="24" t="n">
        <v>0</v>
      </c>
      <c r="AA34" s="179">
        <f>-IFERROR(INDEX($C87:$G87,MATCH(YEAR(AA$6),$C$83:$G$83,0)),$G$87)*(SUM(AA$24,AA$30))</f>
        <v/>
      </c>
      <c r="AB34" s="179">
        <f>-IFERROR(INDEX($C87:$G87,MATCH(YEAR(AB$6),$C$83:$G$83,0)),$G$87)*(SUM(AB$24,AB$30))</f>
        <v/>
      </c>
      <c r="AC34" s="179">
        <f>-IFERROR(INDEX($C87:$G87,MATCH(YEAR(AC$6),$C$83:$G$83,0)),$G$87)*(SUM(AC$24,AC$30))</f>
        <v/>
      </c>
      <c r="AD34" s="179">
        <f>-IFERROR(INDEX($C87:$G87,MATCH(YEAR(AD$6),$C$83:$G$83,0)),$G$87)*(SUM(AD$24,AD$30))</f>
        <v/>
      </c>
      <c r="AE34" s="179">
        <f>-IFERROR(INDEX($C87:$G87,MATCH(YEAR(AE$6),$C$83:$G$83,0)),$G$87)*(SUM(AE$24,AE$30))</f>
        <v/>
      </c>
      <c r="AF34" s="179">
        <f>-IFERROR(INDEX($C87:$G87,MATCH(YEAR(AF$6),$C$83:$G$83,0)),$G$87)*(SUM(AF$24,AF$30))</f>
        <v/>
      </c>
      <c r="AG34" s="179">
        <f>-IFERROR(INDEX($C87:$G87,MATCH(YEAR(AG$6),$C$83:$G$83,0)),$G$87)*(SUM(AG$24,AG$30))</f>
        <v/>
      </c>
      <c r="AH34" s="179">
        <f>-IFERROR(INDEX($C87:$G87,MATCH(YEAR(AH$6),$C$83:$G$83,0)),$G$87)*(SUM(AH$24,AH$30))</f>
        <v/>
      </c>
      <c r="AI34" s="179">
        <f>-IFERROR(INDEX($C87:$G87,MATCH(YEAR(AI$6),$C$83:$G$83,0)),$G$87)*(SUM(AI$24,AI$30))</f>
        <v/>
      </c>
      <c r="AJ34" s="179">
        <f>-IFERROR(INDEX($C87:$G87,MATCH(YEAR(AJ$6),$C$83:$G$83,0)),$G$87)*(SUM(AJ$24,AJ$30))</f>
        <v/>
      </c>
      <c r="AK34" s="179">
        <f>-IFERROR(INDEX($C87:$G87,MATCH(YEAR(AK$6),$C$83:$G$83,0)),$G$87)*(SUM(AK$24,AK$30))</f>
        <v/>
      </c>
      <c r="AL34" s="179">
        <f>-IFERROR(INDEX($C87:$G87,MATCH(YEAR(AL$6),$C$83:$G$83,0)),$G$87)*(SUM(AL$24,AL$30))</f>
        <v/>
      </c>
      <c r="AM34" s="179">
        <f>-IFERROR(INDEX($C87:$G87,MATCH(YEAR(AM$6),$C$83:$G$83,0)),$G$87)*(SUM(AM$24,AM$30))</f>
        <v/>
      </c>
      <c r="AN34" s="179">
        <f>-IFERROR(INDEX($C87:$G87,MATCH(YEAR(AN$6),$C$83:$G$83,0)),$G$87)*(SUM(AN$24,AN$30))</f>
        <v/>
      </c>
      <c r="AO34" s="179">
        <f>-IFERROR(INDEX($C87:$G87,MATCH(YEAR(AO$6),$C$83:$G$83,0)),$G$87)*(SUM(AO$24,AO$30))</f>
        <v/>
      </c>
      <c r="AP34" s="179">
        <f>-IFERROR(INDEX($C87:$G87,MATCH(YEAR(AP$6),$C$83:$G$83,0)),$G$87)*(SUM(AP$24,AP$30))</f>
        <v/>
      </c>
      <c r="AQ34" s="179">
        <f>-IFERROR(INDEX($C87:$G87,MATCH(YEAR(AQ$6),$C$83:$G$83,0)),$G$87)*(SUM(AQ$24,AQ$30))</f>
        <v/>
      </c>
      <c r="AR34" s="179">
        <f>-IFERROR(INDEX($C87:$G87,MATCH(YEAR(AR$6),$C$83:$G$83,0)),$G$87)*(SUM(AR$24,AR$30))</f>
        <v/>
      </c>
      <c r="AS34" s="179">
        <f>-IFERROR(INDEX($C87:$G87,MATCH(YEAR(AS$6),$C$83:$G$83,0)),$G$87)*(SUM(AS$24,AS$30))</f>
        <v/>
      </c>
      <c r="AT34" s="179">
        <f>-IFERROR(INDEX($C87:$G87,MATCH(YEAR(AT$6),$C$83:$G$83,0)),$G$87)*(SUM(AT$24,AT$30))</f>
        <v/>
      </c>
      <c r="AU34" s="179">
        <f>-IFERROR(INDEX($C87:$G87,MATCH(YEAR(AU$6),$C$83:$G$83,0)),$G$87)*(SUM(AU$24,AU$30))</f>
        <v/>
      </c>
      <c r="AV34" s="179">
        <f>-IFERROR(INDEX($C87:$G87,MATCH(YEAR(AV$6),$C$83:$G$83,0)),$G$87)*(SUM(AV$24,AV$30))</f>
        <v/>
      </c>
      <c r="AW34" s="179">
        <f>-IFERROR(INDEX($C87:$G87,MATCH(YEAR(AW$6),$C$83:$G$83,0)),$G$87)*(SUM(AW$24,AW$30))</f>
        <v/>
      </c>
      <c r="AX34" s="179">
        <f>-IFERROR(INDEX($C87:$G87,MATCH(YEAR(AX$6),$C$83:$G$83,0)),$G$87)*(SUM(AX$24,AX$30))</f>
        <v/>
      </c>
      <c r="AY34" s="179">
        <f>-IFERROR(INDEX($C87:$G87,MATCH(YEAR(AY$6),$C$83:$G$83,0)),$G$87)*(SUM(AY$24,AY$30))</f>
        <v/>
      </c>
      <c r="AZ34" s="179">
        <f>-IFERROR(INDEX($C87:$G87,MATCH(YEAR(AZ$6),$C$83:$G$83,0)),$G$87)*(SUM(AZ$24,AZ$30))</f>
        <v/>
      </c>
      <c r="BA34" s="179">
        <f>-IFERROR(INDEX($C87:$G87,MATCH(YEAR(BA$6),$C$83:$G$83,0)),$G$87)*(SUM(BA$24,BA$30))</f>
        <v/>
      </c>
      <c r="BB34" s="179">
        <f>-IFERROR(INDEX($C87:$G87,MATCH(YEAR(BB$6),$C$83:$G$83,0)),$G$87)*(SUM(BB$24,BB$30))</f>
        <v/>
      </c>
      <c r="BC34" s="179">
        <f>-IFERROR(INDEX($C87:$G87,MATCH(YEAR(BC$6),$C$83:$G$83,0)),$G$87)*(SUM(BC$24,BC$30))</f>
        <v/>
      </c>
      <c r="BD34" s="179">
        <f>-IFERROR(INDEX($C87:$G87,MATCH(YEAR(BD$6),$C$83:$G$83,0)),$G$87)*(SUM(BD$24,BD$30))</f>
        <v/>
      </c>
      <c r="BE34" s="179">
        <f>-IFERROR(INDEX($C87:$G87,MATCH(YEAR(BE$6),$C$83:$G$83,0)),$G$87)*(SUM(BE$24,BE$30))</f>
        <v/>
      </c>
      <c r="BF34" s="179">
        <f>-IFERROR(INDEX($C87:$G87,MATCH(YEAR(BF$6),$C$83:$G$83,0)),$G$87)*(SUM(BF$24,BF$30))</f>
        <v/>
      </c>
      <c r="BG34" s="179">
        <f>-IFERROR(INDEX($C87:$G87,MATCH(YEAR(BG$6),$C$83:$G$83,0)),$G$87)*(SUM(BG$24,BG$30))</f>
        <v/>
      </c>
      <c r="BH34" s="179">
        <f>-IFERROR(INDEX($C87:$G87,MATCH(YEAR(BH$6),$C$83:$G$83,0)),$G$87)*(SUM(BH$24,BH$30))</f>
        <v/>
      </c>
      <c r="BI34" s="179">
        <f>-IFERROR(INDEX($C87:$G87,MATCH(YEAR(BI$6),$C$83:$G$83,0)),$G$87)*(SUM(BI$24,BI$30))</f>
        <v/>
      </c>
      <c r="BJ34" s="179">
        <f>-IFERROR(INDEX($C87:$G87,MATCH(YEAR(BJ$6),$C$83:$G$83,0)),$G$87)*(SUM(BJ$24,BJ$30))</f>
        <v/>
      </c>
      <c r="BK34" s="179">
        <f>-IFERROR(INDEX($C87:$G87,MATCH(YEAR(BK$6),$C$83:$G$83,0)),$G$87)*(SUM(BK$24,BK$30))</f>
        <v/>
      </c>
      <c r="BL34" s="179">
        <f>-IFERROR(INDEX($C87:$G87,MATCH(YEAR(BL$6),$C$83:$G$83,0)),$G$87)*(SUM(BL$24,BL$30))</f>
        <v/>
      </c>
      <c r="BM34" s="179">
        <f>-IFERROR(INDEX($C87:$G87,MATCH(YEAR(BM$6),$C$83:$G$83,0)),$G$87)*(SUM(BM$24,BM$30))</f>
        <v/>
      </c>
      <c r="BN34" s="179">
        <f>-IFERROR(INDEX($C87:$G87,MATCH(YEAR(BN$6),$C$83:$G$83,0)),$G$87)*(SUM(BN$24,BN$30))</f>
        <v/>
      </c>
      <c r="BO34" s="179">
        <f>-IFERROR(INDEX($C87:$G87,MATCH(YEAR(BO$6),$C$83:$G$83,0)),$G$87)*(SUM(BO$24,BO$30))</f>
        <v/>
      </c>
      <c r="BP34" s="179">
        <f>-IFERROR(INDEX($C87:$G87,MATCH(YEAR(BP$6),$C$83:$G$83,0)),$G$87)*(SUM(BP$24,BP$30))</f>
        <v/>
      </c>
      <c r="BQ34" s="179">
        <f>-IFERROR(INDEX($C87:$G87,MATCH(YEAR(BQ$6),$C$83:$G$83,0)),$G$87)*(SUM(BQ$24,BQ$30))</f>
        <v/>
      </c>
      <c r="BR34" s="179">
        <f>-IFERROR(INDEX($C87:$G87,MATCH(YEAR(BR$6),$C$83:$G$83,0)),$G$87)*(SUM(BR$24,BR$30))</f>
        <v/>
      </c>
      <c r="BS34" s="179">
        <f>-IFERROR(INDEX($C87:$G87,MATCH(YEAR(BS$6),$C$83:$G$83,0)),$G$87)*(SUM(BS$24,BS$30))</f>
        <v/>
      </c>
      <c r="BT34" s="179">
        <f>-IFERROR(INDEX($C87:$G87,MATCH(YEAR(BT$6),$C$83:$G$83,0)),$G$87)*(SUM(BT$24,BT$30))</f>
        <v/>
      </c>
      <c r="BU34" s="179">
        <f>-IFERROR(INDEX($C87:$G87,MATCH(YEAR(BU$6),$C$83:$G$83,0)),$G$87)*(SUM(BU$24,BU$30))</f>
        <v/>
      </c>
      <c r="BV34" s="179">
        <f>-IFERROR(INDEX($C87:$G87,MATCH(YEAR(BV$6),$C$83:$G$83,0)),$G$87)*(SUM(BV$24,BV$30))</f>
        <v/>
      </c>
      <c r="BW34" s="179">
        <f>-IFERROR(INDEX($C87:$G87,MATCH(YEAR(BW$6),$C$83:$G$83,0)),$G$87)*(SUM(BW$24,BW$30))</f>
        <v/>
      </c>
      <c r="BX34" s="179">
        <f>-IFERROR(INDEX($C87:$G87,MATCH(YEAR(BX$6),$C$83:$G$83,0)),$G$87)*(SUM(BX$24,BX$30))</f>
        <v/>
      </c>
      <c r="BY34" s="179">
        <f>-IFERROR(INDEX($C87:$G87,MATCH(YEAR(BY$6),$C$83:$G$83,0)),$G$87)*(SUM(BY$24,BY$30))</f>
        <v/>
      </c>
      <c r="BZ34" s="179">
        <f>-IFERROR(INDEX($C87:$G87,MATCH(YEAR(BZ$6),$C$83:$G$83,0)),$G$87)*(SUM(BZ$24,BZ$30))</f>
        <v/>
      </c>
      <c r="CA34" s="179">
        <f>-IFERROR(INDEX($C87:$G87,MATCH(YEAR(CA$6),$C$83:$G$83,0)),$G$87)*(SUM(CA$24,CA$30))</f>
        <v/>
      </c>
      <c r="CB34" s="179">
        <f>-IFERROR(INDEX($C87:$G87,MATCH(YEAR(CB$6),$C$83:$G$83,0)),$G$87)*(SUM(CB$24,CB$30))</f>
        <v/>
      </c>
      <c r="CC34" s="179">
        <f>-IFERROR(INDEX($C87:$G87,MATCH(YEAR(CC$6),$C$83:$G$83,0)),$G$87)*(SUM(CC$24,CC$30))</f>
        <v/>
      </c>
      <c r="CD34" s="179">
        <f>-IFERROR(INDEX($C87:$G87,MATCH(YEAR(CD$6),$C$83:$G$83,0)),$G$87)*(SUM(CD$24,CD$30))</f>
        <v/>
      </c>
      <c r="CE34" s="179">
        <f>-IFERROR(INDEX($C87:$G87,MATCH(YEAR(CE$6),$C$83:$G$83,0)),$G$87)*(SUM(CE$24,CE$30))</f>
        <v/>
      </c>
      <c r="CF34" s="179">
        <f>-IFERROR(INDEX($C87:$G87,MATCH(YEAR(CF$6),$C$83:$G$83,0)),$G$87)*(SUM(CF$24,CF$30))</f>
        <v/>
      </c>
      <c r="CG34" s="179">
        <f>-IFERROR(INDEX($C87:$G87,MATCH(YEAR(CG$6),$C$83:$G$83,0)),$G$87)*(SUM(CG$24,CG$30))</f>
        <v/>
      </c>
      <c r="CH34" s="179">
        <f>-IFERROR(INDEX($C87:$G87,MATCH(YEAR(CH$6),$C$83:$G$83,0)),$G$87)*(SUM(CH$24,CH$30))</f>
        <v/>
      </c>
      <c r="CI34" s="179">
        <f>-IFERROR(INDEX($C87:$G87,MATCH(YEAR(CI$6),$C$83:$G$83,0)),$G$87)*(SUM(CI$24,CI$30))</f>
        <v/>
      </c>
      <c r="CJ34" s="179">
        <f>-IFERROR(INDEX($C87:$G87,MATCH(YEAR(CJ$6),$C$83:$G$83,0)),$G$87)*(SUM(CJ$24,CJ$30))</f>
        <v/>
      </c>
      <c r="CK34" s="179">
        <f>-IFERROR(INDEX($C87:$G87,MATCH(YEAR(CK$6),$C$83:$G$83,0)),$G$87)*(SUM(CK$24,CK$30))</f>
        <v/>
      </c>
      <c r="CL34" s="179">
        <f>-IFERROR(INDEX($C87:$G87,MATCH(YEAR(CL$6),$C$83:$G$83,0)),$G$87)*(SUM(CL$24,CL$30))</f>
        <v/>
      </c>
      <c r="CM34" s="179">
        <f>-IFERROR(INDEX($C87:$G87,MATCH(YEAR(CM$6),$C$83:$G$83,0)),$G$87)*(SUM(CM$24,CM$30))</f>
        <v/>
      </c>
      <c r="CN34" s="179">
        <f>-IFERROR(INDEX($C87:$G87,MATCH(YEAR(CN$6),$C$83:$G$83,0)),$G$87)*(SUM(CN$24,CN$30))</f>
        <v/>
      </c>
      <c r="CO34" s="179">
        <f>-IFERROR(INDEX($C87:$G87,MATCH(YEAR(CO$6),$C$83:$G$83,0)),$G$87)*(SUM(CO$24,CO$30))</f>
        <v/>
      </c>
      <c r="CP34" s="179">
        <f>-IFERROR(INDEX($C87:$G87,MATCH(YEAR(CP$6),$C$83:$G$83,0)),$G$87)*(SUM(CP$24,CP$30))</f>
        <v/>
      </c>
      <c r="CQ34" s="179">
        <f>-IFERROR(INDEX($C87:$G87,MATCH(YEAR(CQ$6),$C$83:$G$83,0)),$G$87)*(SUM(CQ$24,CQ$30))</f>
        <v/>
      </c>
      <c r="CR34" s="179">
        <f>-IFERROR(INDEX($C87:$G87,MATCH(YEAR(CR$6),$C$83:$G$83,0)),$G$87)*(SUM(CR$24,CR$30))</f>
        <v/>
      </c>
      <c r="CS34" s="179">
        <f>-IFERROR(INDEX($C87:$G87,MATCH(YEAR(CS$6),$C$83:$G$83,0)),$G$87)*(SUM(CS$24,CS$30))</f>
        <v/>
      </c>
      <c r="CT34" s="179">
        <f>-IFERROR(INDEX($C87:$G87,MATCH(YEAR(CT$6),$C$83:$G$83,0)),$G$87)*(SUM(CT$24,CT$30))</f>
        <v/>
      </c>
      <c r="CU34" s="179">
        <f>-IFERROR(INDEX($C87:$G87,MATCH(YEAR(CU$6),$C$83:$G$83,0)),$G$87)*(SUM(CU$24,CU$30))</f>
        <v/>
      </c>
      <c r="CV34" s="179">
        <f>-IFERROR(INDEX($C87:$G87,MATCH(YEAR(CV$6),$C$83:$G$83,0)),$G$87)*(SUM(CV$24,CV$30))</f>
        <v/>
      </c>
      <c r="CW34" s="179">
        <f>-IFERROR(INDEX($C87:$G87,MATCH(YEAR(CW$6),$C$83:$G$83,0)),$G$87)*(SUM(CW$24,CW$30))</f>
        <v/>
      </c>
      <c r="CX34" s="179">
        <f>-IFERROR(INDEX($C87:$G87,MATCH(YEAR(CX$6),$C$83:$G$83,0)),$G$87)*(SUM(CX$24,CX$30))</f>
        <v/>
      </c>
      <c r="CY34" s="179">
        <f>-IFERROR(INDEX($C87:$G87,MATCH(YEAR(CY$6),$C$83:$G$83,0)),$G$87)*(SUM(CY$24,CY$30))</f>
        <v/>
      </c>
      <c r="CZ34" s="179">
        <f>-IFERROR(INDEX($C87:$G87,MATCH(YEAR(CZ$6),$C$83:$G$83,0)),$G$87)*(SUM(CZ$24,CZ$30))</f>
        <v/>
      </c>
      <c r="DA34" s="179">
        <f>-IFERROR(INDEX($C87:$G87,MATCH(YEAR(DA$6),$C$83:$G$83,0)),$G$87)*(SUM(DA$24,DA$30))</f>
        <v/>
      </c>
      <c r="DB34" s="179">
        <f>-IFERROR(INDEX($C87:$G87,MATCH(YEAR(DB$6),$C$83:$G$83,0)),$G$87)*(SUM(DB$24,DB$30))</f>
        <v/>
      </c>
      <c r="DC34" s="179">
        <f>-IFERROR(INDEX($C87:$G87,MATCH(YEAR(DC$6),$C$83:$G$83,0)),$G$87)*(SUM(DC$24,DC$30))</f>
        <v/>
      </c>
      <c r="DD34" s="179">
        <f>-IFERROR(INDEX($C87:$G87,MATCH(YEAR(DD$6),$C$83:$G$83,0)),$G$87)*(SUM(DD$24,DD$30))</f>
        <v/>
      </c>
      <c r="DE34" s="179">
        <f>-IFERROR(INDEX($C87:$G87,MATCH(YEAR(DE$6),$C$83:$G$83,0)),$G$87)*(SUM(DE$24,DE$30))</f>
        <v/>
      </c>
      <c r="DF34" s="179">
        <f>-IFERROR(INDEX($C87:$G87,MATCH(YEAR(DF$6),$C$83:$G$83,0)),$G$87)*(SUM(DF$24,DF$30))</f>
        <v/>
      </c>
      <c r="DG34" s="179">
        <f>-IFERROR(INDEX($C87:$G87,MATCH(YEAR(DG$6),$C$83:$G$83,0)),$G$87)*(SUM(DG$24,DG$30))</f>
        <v/>
      </c>
      <c r="DH34" s="179">
        <f>-IFERROR(INDEX($C87:$G87,MATCH(YEAR(DH$6),$C$83:$G$83,0)),$G$87)*(SUM(DH$24,DH$30))</f>
        <v/>
      </c>
      <c r="DI34" s="179">
        <f>-IFERROR(INDEX($C87:$G87,MATCH(YEAR(DI$6),$C$83:$G$83,0)),$G$87)*(SUM(DI$24,DI$30))</f>
        <v/>
      </c>
      <c r="DJ34" s="179">
        <f>-IFERROR(INDEX($C87:$G87,MATCH(YEAR(DJ$6),$C$83:$G$83,0)),$G$87)*(SUM(DJ$24,DJ$30))</f>
        <v/>
      </c>
      <c r="DK34" s="179">
        <f>-IFERROR(INDEX($C87:$G87,MATCH(YEAR(DK$6),$C$83:$G$83,0)),$G$87)*(SUM(DK$24,DK$30))</f>
        <v/>
      </c>
      <c r="DL34" s="179">
        <f>-IFERROR(INDEX($C87:$G87,MATCH(YEAR(DL$6),$C$83:$G$83,0)),$G$87)*(SUM(DL$24,DL$30))</f>
        <v/>
      </c>
      <c r="DM34" s="179">
        <f>-IFERROR(INDEX($C87:$G87,MATCH(YEAR(DM$6),$C$83:$G$83,0)),$G$87)*(SUM(DM$24,DM$30))</f>
        <v/>
      </c>
      <c r="DN34" s="179">
        <f>-IFERROR(INDEX($C87:$G87,MATCH(YEAR(DN$6),$C$83:$G$83,0)),$G$87)*(SUM(DN$24,DN$30))</f>
        <v/>
      </c>
      <c r="DO34" s="179">
        <f>-IFERROR(INDEX($C87:$G87,MATCH(YEAR(DO$6),$C$83:$G$83,0)),$G$87)*(SUM(DO$24,DO$30))</f>
        <v/>
      </c>
      <c r="DP34" s="179">
        <f>-IFERROR(INDEX($C87:$G87,MATCH(YEAR(DP$6),$C$83:$G$83,0)),$G$87)*(SUM(DP$24,DP$30))</f>
        <v/>
      </c>
      <c r="DQ34" s="179">
        <f>-IFERROR(INDEX($C87:$G87,MATCH(YEAR(DQ$6),$C$83:$G$83,0)),$G$87)*(SUM(DQ$24,DQ$30))</f>
        <v/>
      </c>
      <c r="DR34" s="179">
        <f>-IFERROR(INDEX($C87:$G87,MATCH(YEAR(DR$6),$C$83:$G$83,0)),$G$87)*(SUM(DR$24,DR$30))</f>
        <v/>
      </c>
      <c r="DS34" s="179">
        <f>-IFERROR(INDEX($C87:$G87,MATCH(YEAR(DS$6),$C$83:$G$83,0)),$G$87)*(SUM(DS$24,DS$30))</f>
        <v/>
      </c>
      <c r="DT34" s="179">
        <f>-IFERROR(INDEX($C87:$G87,MATCH(YEAR(DT$6),$C$83:$G$83,0)),$G$87)*(SUM(DT$24,DT$30))</f>
        <v/>
      </c>
      <c r="DU34" s="179">
        <f>-IFERROR(INDEX($C87:$G87,MATCH(YEAR(DU$6),$C$83:$G$83,0)),$G$87)*(SUM(DU$24,DU$30))</f>
        <v/>
      </c>
      <c r="DV34" s="179">
        <f>-IFERROR(INDEX($C87:$G87,MATCH(YEAR(DV$6),$C$83:$G$83,0)),$G$87)*(SUM(DV$24,DV$30))</f>
        <v/>
      </c>
      <c r="DW34" s="179">
        <f>-IFERROR(INDEX($C87:$G87,MATCH(YEAR(DW$6),$C$83:$G$83,0)),$G$87)*(SUM(DW$24,DW$30))</f>
        <v/>
      </c>
      <c r="DX34" s="179">
        <f>-IFERROR(INDEX($C87:$G87,MATCH(YEAR(DX$6),$C$83:$G$83,0)),$G$87)*(SUM(DX$24,DX$30))</f>
        <v/>
      </c>
      <c r="DY34" s="179">
        <f>-IFERROR(INDEX($C87:$G87,MATCH(YEAR(DY$6),$C$83:$G$83,0)),$G$87)*(SUM(DY$24,DY$30))</f>
        <v/>
      </c>
      <c r="DZ34" s="179">
        <f>-IFERROR(INDEX($C87:$G87,MATCH(YEAR(DZ$6),$C$83:$G$83,0)),$G$87)*(SUM(DZ$24,DZ$30))</f>
        <v/>
      </c>
      <c r="EA34" s="179">
        <f>-IFERROR(INDEX($C87:$G87,MATCH(YEAR(EA$6),$C$83:$G$83,0)),$G$87)*(SUM(EA$24,EA$30))</f>
        <v/>
      </c>
      <c r="EB34" s="179">
        <f>-IFERROR(INDEX($C87:$G87,MATCH(YEAR(EB$6),$C$83:$G$83,0)),$G$87)*(SUM(EB$24,EB$30))</f>
        <v/>
      </c>
      <c r="EC34" s="179">
        <f>-IFERROR(INDEX($C87:$G87,MATCH(YEAR(EC$6),$C$83:$G$83,0)),$G$87)*(SUM(EC$24,EC$30))</f>
        <v/>
      </c>
      <c r="ED34" s="179">
        <f>-IFERROR(INDEX($C87:$G87,MATCH(YEAR(ED$6),$C$83:$G$83,0)),$G$87)*(SUM(ED$24,ED$30))</f>
        <v/>
      </c>
      <c r="EE34" s="179">
        <f>-IFERROR(INDEX($C87:$G87,MATCH(YEAR(EE$6),$C$83:$G$83,0)),$G$87)*(SUM(EE$24,EE$30))</f>
        <v/>
      </c>
      <c r="EF34" s="179">
        <f>-IFERROR(INDEX($C87:$G87,MATCH(YEAR(EF$6),$C$83:$G$83,0)),$G$87)*(SUM(EF$24,EF$30))</f>
        <v/>
      </c>
      <c r="EG34" s="179">
        <f>-IFERROR(INDEX($C87:$G87,MATCH(YEAR(EG$6),$C$83:$G$83,0)),$G$87)*(SUM(EG$24,EG$30))</f>
        <v/>
      </c>
      <c r="EH34" s="179">
        <f>-IFERROR(INDEX($C87:$G87,MATCH(YEAR(EH$6),$C$83:$G$83,0)),$G$87)*(SUM(EH$24,EH$30))</f>
        <v/>
      </c>
      <c r="EI34" s="179">
        <f>-IFERROR(INDEX($C87:$G87,MATCH(YEAR(EI$6),$C$83:$G$83,0)),$G$87)*(SUM(EI$24,EI$30))</f>
        <v/>
      </c>
      <c r="EJ34" s="179">
        <f>-IFERROR(INDEX($C87:$G87,MATCH(YEAR(EJ$6),$C$83:$G$83,0)),$G$87)*(SUM(EJ$24,EJ$30))</f>
        <v/>
      </c>
      <c r="EK34" s="179">
        <f>-IFERROR(INDEX($C87:$G87,MATCH(YEAR(EK$6),$C$83:$G$83,0)),$G$87)*(SUM(EK$24,EK$30))</f>
        <v/>
      </c>
      <c r="EL34" s="179">
        <f>-IFERROR(INDEX($C87:$G87,MATCH(YEAR(EL$6),$C$83:$G$83,0)),$G$87)*(SUM(EL$24,EL$30))</f>
        <v/>
      </c>
      <c r="EM34" s="179">
        <f>-IFERROR(INDEX($C87:$G87,MATCH(YEAR(EM$6),$C$83:$G$83,0)),$G$87)*(SUM(EM$24,EM$30))</f>
        <v/>
      </c>
      <c r="EN34" s="179">
        <f>-IFERROR(INDEX($C87:$G87,MATCH(YEAR(EN$6),$C$83:$G$83,0)),$G$87)*(SUM(EN$24,EN$30))</f>
        <v/>
      </c>
      <c r="EO34" s="179">
        <f>-IFERROR(INDEX($C87:$G87,MATCH(YEAR(EO$6),$C$83:$G$83,0)),$G$87)*(SUM(EO$24,EO$30))</f>
        <v/>
      </c>
      <c r="EP34" s="179">
        <f>-IFERROR(INDEX($C87:$G87,MATCH(YEAR(EP$6),$C$83:$G$83,0)),$G$87)*(SUM(EP$24,EP$30))</f>
        <v/>
      </c>
      <c r="EQ34" s="179">
        <f>-IFERROR(INDEX($C87:$G87,MATCH(YEAR(EQ$6),$C$83:$G$83,0)),$G$87)*(SUM(EQ$24,EQ$30))</f>
        <v/>
      </c>
      <c r="ER34" s="179">
        <f>-IFERROR(INDEX($C87:$G87,MATCH(YEAR(ER$6),$C$83:$G$83,0)),$G$87)*(SUM(ER$24,ER$30))</f>
        <v/>
      </c>
      <c r="ES34" s="179">
        <f>-IFERROR(INDEX($C87:$G87,MATCH(YEAR(ES$6),$C$83:$G$83,0)),$G$87)*(SUM(ES$24,ES$30))</f>
        <v/>
      </c>
      <c r="ET34" s="179">
        <f>-IFERROR(INDEX($C87:$G87,MATCH(YEAR(ET$6),$C$83:$G$83,0)),$G$87)*(SUM(ET$24,ET$30))</f>
        <v/>
      </c>
      <c r="EU34" s="179">
        <f>-IFERROR(INDEX($C87:$G87,MATCH(YEAR(EU$6),$C$83:$G$83,0)),$G$87)*(SUM(EU$24,EU$30))</f>
        <v/>
      </c>
      <c r="EV34" s="179">
        <f>-IFERROR(INDEX($C87:$G87,MATCH(YEAR(EV$6),$C$83:$G$83,0)),$G$87)*(SUM(EV$24,EV$30))</f>
        <v/>
      </c>
      <c r="EW34" s="179">
        <f>-IFERROR(INDEX($C87:$G87,MATCH(YEAR(EW$6),$C$83:$G$83,0)),$G$87)*(SUM(EW$24,EW$30))</f>
        <v/>
      </c>
      <c r="EX34" s="179">
        <f>-IFERROR(INDEX($C87:$G87,MATCH(YEAR(EX$6),$C$83:$G$83,0)),$G$87)*(SUM(EX$24,EX$30))</f>
        <v/>
      </c>
      <c r="EY34" s="179">
        <f>-IFERROR(INDEX($C87:$G87,MATCH(YEAR(EY$6),$C$83:$G$83,0)),$G$87)*(SUM(EY$24,EY$30))</f>
        <v/>
      </c>
      <c r="EZ34" s="179">
        <f>-IFERROR(INDEX($C87:$G87,MATCH(YEAR(EZ$6),$C$83:$G$83,0)),$G$87)*(SUM(EZ$24,EZ$30))</f>
        <v/>
      </c>
      <c r="FA34" s="179">
        <f>-IFERROR(INDEX($C87:$G87,MATCH(YEAR(FA$6),$C$83:$G$83,0)),$G$87)*(SUM(FA$24,FA$30))</f>
        <v/>
      </c>
      <c r="FB34" s="179">
        <f>-IFERROR(INDEX($C87:$G87,MATCH(YEAR(FB$6),$C$83:$G$83,0)),$G$87)*(SUM(FB$24,FB$30))</f>
        <v/>
      </c>
    </row>
    <row r="35">
      <c r="B35" s="15" t="n"/>
      <c r="C35" s="15" t="n"/>
      <c r="D35" s="15" t="n"/>
      <c r="E35" s="44" t="n"/>
      <c r="F35" s="15" t="n"/>
      <c r="I35" s="9" t="inlineStr">
        <is>
          <t>Model Unit Loss</t>
        </is>
      </c>
      <c r="L35" s="135">
        <f>SUMIF($Z$4:$FB$4,"&lt;="&amp;$G$18,$Z35:$FB35)</f>
        <v/>
      </c>
      <c r="M35" s="62" t="n"/>
      <c r="N35" s="64">
        <f>SUMIF($Z$3:$FB$3,N$7,$Z35:$FB35)</f>
        <v/>
      </c>
      <c r="O35" s="64">
        <f>SUMIF($Z$3:$FB$3,O$7,$Z35:$FB35)</f>
        <v/>
      </c>
      <c r="P35" s="64">
        <f>SUMIF($Z$3:$FB$3,P$7,$Z35:$FB35)</f>
        <v/>
      </c>
      <c r="Q35" s="64">
        <f>SUMIF($Z$3:$FB$3,Q$7,$Z35:$FB35)</f>
        <v/>
      </c>
      <c r="R35" s="64">
        <f>SUMIF($Z$3:$FB$3,R$7,$Z35:$FB35)</f>
        <v/>
      </c>
      <c r="S35" s="64">
        <f>SUMIF($Z$3:$FB$3,S$7,$Z35:$FB35)</f>
        <v/>
      </c>
      <c r="T35" s="64">
        <f>SUMIF($Z$3:$FB$3,T$7,$Z35:$FB35)</f>
        <v/>
      </c>
      <c r="U35" s="64">
        <f>SUMIF($Z$3:$FB$3,U$7,$Z35:$FB35)</f>
        <v/>
      </c>
      <c r="V35" s="64">
        <f>SUMIF($Z$3:$FB$3,V$7,$Z35:$FB35)</f>
        <v/>
      </c>
      <c r="W35" s="64">
        <f>SUMIF($Z$3:$FB$3,W$7,$Z35:$FB35)</f>
        <v/>
      </c>
      <c r="X35" s="64">
        <f>SUMIF($Z$3:$FB$3,X$7,$Z35:$FB35)</f>
        <v/>
      </c>
      <c r="Y35" s="62" t="n"/>
      <c r="Z35" s="135">
        <f>(-IFERROR(INDEX($C88:$G88,MATCH(YEAR(Z$6),$C$83:$G$83,0)),$G$88)*Z19)*(Z4&gt;=1)</f>
        <v/>
      </c>
      <c r="AA35" s="135">
        <f>(-IFERROR(INDEX($C88:$G88,MATCH(YEAR(AA$6),$C$83:$G$83,0)),$G$88)*AA19)*(AA4&gt;=1)</f>
        <v/>
      </c>
      <c r="AB35" s="135">
        <f>(-IFERROR(INDEX($C88:$G88,MATCH(YEAR(AB$6),$C$83:$G$83,0)),$G$88)*AB19)*(AB4&gt;=1)</f>
        <v/>
      </c>
      <c r="AC35" s="135">
        <f>(-IFERROR(INDEX($C88:$G88,MATCH(YEAR(AC$6),$C$83:$G$83,0)),$G$88)*AC19)*(AC4&gt;=1)</f>
        <v/>
      </c>
      <c r="AD35" s="135">
        <f>(-IFERROR(INDEX($C88:$G88,MATCH(YEAR(AD$6),$C$83:$G$83,0)),$G$88)*AD19)*(AD4&gt;=1)</f>
        <v/>
      </c>
      <c r="AE35" s="135">
        <f>(-IFERROR(INDEX($C88:$G88,MATCH(YEAR(AE$6),$C$83:$G$83,0)),$G$88)*AE19)*(AE4&gt;=1)</f>
        <v/>
      </c>
      <c r="AF35" s="135">
        <f>(-IFERROR(INDEX($C88:$G88,MATCH(YEAR(AF$6),$C$83:$G$83,0)),$G$88)*AF19)*(AF4&gt;=1)</f>
        <v/>
      </c>
      <c r="AG35" s="135">
        <f>(-IFERROR(INDEX($C88:$G88,MATCH(YEAR(AG$6),$C$83:$G$83,0)),$G$88)*AG19)*(AG4&gt;=1)</f>
        <v/>
      </c>
      <c r="AH35" s="135">
        <f>(-IFERROR(INDEX($C88:$G88,MATCH(YEAR(AH$6),$C$83:$G$83,0)),$G$88)*AH19)*(AH4&gt;=1)</f>
        <v/>
      </c>
      <c r="AI35" s="135">
        <f>(-IFERROR(INDEX($C88:$G88,MATCH(YEAR(AI$6),$C$83:$G$83,0)),$G$88)*AI19)*(AI4&gt;=1)</f>
        <v/>
      </c>
      <c r="AJ35" s="135">
        <f>(-IFERROR(INDEX($C88:$G88,MATCH(YEAR(AJ$6),$C$83:$G$83,0)),$G$88)*AJ19)*(AJ4&gt;=1)</f>
        <v/>
      </c>
      <c r="AK35" s="135">
        <f>(-IFERROR(INDEX($C88:$G88,MATCH(YEAR(AK$6),$C$83:$G$83,0)),$G$88)*AK19)*(AK4&gt;=1)</f>
        <v/>
      </c>
      <c r="AL35" s="135">
        <f>(-IFERROR(INDEX($C88:$G88,MATCH(YEAR(AL$6),$C$83:$G$83,0)),$G$88)*AL19)*(AL4&gt;=1)</f>
        <v/>
      </c>
      <c r="AM35" s="135">
        <f>(-IFERROR(INDEX($C88:$G88,MATCH(YEAR(AM$6),$C$83:$G$83,0)),$G$88)*AM19)*(AM4&gt;=1)</f>
        <v/>
      </c>
      <c r="AN35" s="135">
        <f>(-IFERROR(INDEX($C88:$G88,MATCH(YEAR(AN$6),$C$83:$G$83,0)),$G$88)*AN19)*(AN4&gt;=1)</f>
        <v/>
      </c>
      <c r="AO35" s="135">
        <f>(-IFERROR(INDEX($C88:$G88,MATCH(YEAR(AO$6),$C$83:$G$83,0)),$G$88)*AO19)*(AO4&gt;=1)</f>
        <v/>
      </c>
      <c r="AP35" s="135">
        <f>(-IFERROR(INDEX($C88:$G88,MATCH(YEAR(AP$6),$C$83:$G$83,0)),$G$88)*AP19)*(AP4&gt;=1)</f>
        <v/>
      </c>
      <c r="AQ35" s="135">
        <f>(-IFERROR(INDEX($C88:$G88,MATCH(YEAR(AQ$6),$C$83:$G$83,0)),$G$88)*AQ19)*(AQ4&gt;=1)</f>
        <v/>
      </c>
      <c r="AR35" s="135">
        <f>(-IFERROR(INDEX($C88:$G88,MATCH(YEAR(AR$6),$C$83:$G$83,0)),$G$88)*AR19)*(AR4&gt;=1)</f>
        <v/>
      </c>
      <c r="AS35" s="135">
        <f>(-IFERROR(INDEX($C88:$G88,MATCH(YEAR(AS$6),$C$83:$G$83,0)),$G$88)*AS19)*(AS4&gt;=1)</f>
        <v/>
      </c>
      <c r="AT35" s="135">
        <f>(-IFERROR(INDEX($C88:$G88,MATCH(YEAR(AT$6),$C$83:$G$83,0)),$G$88)*AT19)*(AT4&gt;=1)</f>
        <v/>
      </c>
      <c r="AU35" s="135">
        <f>(-IFERROR(INDEX($C88:$G88,MATCH(YEAR(AU$6),$C$83:$G$83,0)),$G$88)*AU19)*(AU4&gt;=1)</f>
        <v/>
      </c>
      <c r="AV35" s="135">
        <f>(-IFERROR(INDEX($C88:$G88,MATCH(YEAR(AV$6),$C$83:$G$83,0)),$G$88)*AV19)*(AV4&gt;=1)</f>
        <v/>
      </c>
      <c r="AW35" s="135">
        <f>(-IFERROR(INDEX($C88:$G88,MATCH(YEAR(AW$6),$C$83:$G$83,0)),$G$88)*AW19)*(AW4&gt;=1)</f>
        <v/>
      </c>
      <c r="AX35" s="135">
        <f>(-IFERROR(INDEX($C88:$G88,MATCH(YEAR(AX$6),$C$83:$G$83,0)),$G$88)*AX19)*(AX4&gt;=1)</f>
        <v/>
      </c>
      <c r="AY35" s="135">
        <f>(-IFERROR(INDEX($C88:$G88,MATCH(YEAR(AY$6),$C$83:$G$83,0)),$G$88)*AY19)*(AY4&gt;=1)</f>
        <v/>
      </c>
      <c r="AZ35" s="135">
        <f>(-IFERROR(INDEX($C88:$G88,MATCH(YEAR(AZ$6),$C$83:$G$83,0)),$G$88)*AZ19)*(AZ4&gt;=1)</f>
        <v/>
      </c>
      <c r="BA35" s="135">
        <f>(-IFERROR(INDEX($C88:$G88,MATCH(YEAR(BA$6),$C$83:$G$83,0)),$G$88)*BA19)*(BA4&gt;=1)</f>
        <v/>
      </c>
      <c r="BB35" s="135">
        <f>(-IFERROR(INDEX($C88:$G88,MATCH(YEAR(BB$6),$C$83:$G$83,0)),$G$88)*BB19)*(BB4&gt;=1)</f>
        <v/>
      </c>
      <c r="BC35" s="135">
        <f>(-IFERROR(INDEX($C88:$G88,MATCH(YEAR(BC$6),$C$83:$G$83,0)),$G$88)*BC19)*(BC4&gt;=1)</f>
        <v/>
      </c>
      <c r="BD35" s="135">
        <f>(-IFERROR(INDEX($C88:$G88,MATCH(YEAR(BD$6),$C$83:$G$83,0)),$G$88)*BD19)*(BD4&gt;=1)</f>
        <v/>
      </c>
      <c r="BE35" s="135">
        <f>(-IFERROR(INDEX($C88:$G88,MATCH(YEAR(BE$6),$C$83:$G$83,0)),$G$88)*BE19)*(BE4&gt;=1)</f>
        <v/>
      </c>
      <c r="BF35" s="135">
        <f>(-IFERROR(INDEX($C88:$G88,MATCH(YEAR(BF$6),$C$83:$G$83,0)),$G$88)*BF19)*(BF4&gt;=1)</f>
        <v/>
      </c>
      <c r="BG35" s="135">
        <f>(-IFERROR(INDEX($C88:$G88,MATCH(YEAR(BG$6),$C$83:$G$83,0)),$G$88)*BG19)*(BG4&gt;=1)</f>
        <v/>
      </c>
      <c r="BH35" s="135">
        <f>(-IFERROR(INDEX($C88:$G88,MATCH(YEAR(BH$6),$C$83:$G$83,0)),$G$88)*BH19)*(BH4&gt;=1)</f>
        <v/>
      </c>
      <c r="BI35" s="135">
        <f>(-IFERROR(INDEX($C88:$G88,MATCH(YEAR(BI$6),$C$83:$G$83,0)),$G$88)*BI19)*(BI4&gt;=1)</f>
        <v/>
      </c>
      <c r="BJ35" s="135">
        <f>(-IFERROR(INDEX($C88:$G88,MATCH(YEAR(BJ$6),$C$83:$G$83,0)),$G$88)*BJ19)*(BJ4&gt;=1)</f>
        <v/>
      </c>
      <c r="BK35" s="135">
        <f>(-IFERROR(INDEX($C88:$G88,MATCH(YEAR(BK$6),$C$83:$G$83,0)),$G$88)*BK19)*(BK4&gt;=1)</f>
        <v/>
      </c>
      <c r="BL35" s="135">
        <f>(-IFERROR(INDEX($C88:$G88,MATCH(YEAR(BL$6),$C$83:$G$83,0)),$G$88)*BL19)*(BL4&gt;=1)</f>
        <v/>
      </c>
      <c r="BM35" s="135">
        <f>(-IFERROR(INDEX($C88:$G88,MATCH(YEAR(BM$6),$C$83:$G$83,0)),$G$88)*BM19)*(BM4&gt;=1)</f>
        <v/>
      </c>
      <c r="BN35" s="135">
        <f>(-IFERROR(INDEX($C88:$G88,MATCH(YEAR(BN$6),$C$83:$G$83,0)),$G$88)*BN19)*(BN4&gt;=1)</f>
        <v/>
      </c>
      <c r="BO35" s="135">
        <f>(-IFERROR(INDEX($C88:$G88,MATCH(YEAR(BO$6),$C$83:$G$83,0)),$G$88)*BO19)*(BO4&gt;=1)</f>
        <v/>
      </c>
      <c r="BP35" s="135">
        <f>(-IFERROR(INDEX($C88:$G88,MATCH(YEAR(BP$6),$C$83:$G$83,0)),$G$88)*BP19)*(BP4&gt;=1)</f>
        <v/>
      </c>
      <c r="BQ35" s="135">
        <f>(-IFERROR(INDEX($C88:$G88,MATCH(YEAR(BQ$6),$C$83:$G$83,0)),$G$88)*BQ19)*(BQ4&gt;=1)</f>
        <v/>
      </c>
      <c r="BR35" s="135">
        <f>(-IFERROR(INDEX($C88:$G88,MATCH(YEAR(BR$6),$C$83:$G$83,0)),$G$88)*BR19)*(BR4&gt;=1)</f>
        <v/>
      </c>
      <c r="BS35" s="135">
        <f>(-IFERROR(INDEX($C88:$G88,MATCH(YEAR(BS$6),$C$83:$G$83,0)),$G$88)*BS19)*(BS4&gt;=1)</f>
        <v/>
      </c>
      <c r="BT35" s="135">
        <f>(-IFERROR(INDEX($C88:$G88,MATCH(YEAR(BT$6),$C$83:$G$83,0)),$G$88)*BT19)*(BT4&gt;=1)</f>
        <v/>
      </c>
      <c r="BU35" s="135">
        <f>(-IFERROR(INDEX($C88:$G88,MATCH(YEAR(BU$6),$C$83:$G$83,0)),$G$88)*BU19)*(BU4&gt;=1)</f>
        <v/>
      </c>
      <c r="BV35" s="135">
        <f>(-IFERROR(INDEX($C88:$G88,MATCH(YEAR(BV$6),$C$83:$G$83,0)),$G$88)*BV19)*(BV4&gt;=1)</f>
        <v/>
      </c>
      <c r="BW35" s="135">
        <f>(-IFERROR(INDEX($C88:$G88,MATCH(YEAR(BW$6),$C$83:$G$83,0)),$G$88)*BW19)*(BW4&gt;=1)</f>
        <v/>
      </c>
      <c r="BX35" s="135">
        <f>(-IFERROR(INDEX($C88:$G88,MATCH(YEAR(BX$6),$C$83:$G$83,0)),$G$88)*BX19)*(BX4&gt;=1)</f>
        <v/>
      </c>
      <c r="BY35" s="135">
        <f>(-IFERROR(INDEX($C88:$G88,MATCH(YEAR(BY$6),$C$83:$G$83,0)),$G$88)*BY19)*(BY4&gt;=1)</f>
        <v/>
      </c>
      <c r="BZ35" s="135">
        <f>(-IFERROR(INDEX($C88:$G88,MATCH(YEAR(BZ$6),$C$83:$G$83,0)),$G$88)*BZ19)*(BZ4&gt;=1)</f>
        <v/>
      </c>
      <c r="CA35" s="135">
        <f>(-IFERROR(INDEX($C88:$G88,MATCH(YEAR(CA$6),$C$83:$G$83,0)),$G$88)*CA19)*(CA4&gt;=1)</f>
        <v/>
      </c>
      <c r="CB35" s="135">
        <f>(-IFERROR(INDEX($C88:$G88,MATCH(YEAR(CB$6),$C$83:$G$83,0)),$G$88)*CB19)*(CB4&gt;=1)</f>
        <v/>
      </c>
      <c r="CC35" s="135">
        <f>(-IFERROR(INDEX($C88:$G88,MATCH(YEAR(CC$6),$C$83:$G$83,0)),$G$88)*CC19)*(CC4&gt;=1)</f>
        <v/>
      </c>
      <c r="CD35" s="135">
        <f>(-IFERROR(INDEX($C88:$G88,MATCH(YEAR(CD$6),$C$83:$G$83,0)),$G$88)*CD19)*(CD4&gt;=1)</f>
        <v/>
      </c>
      <c r="CE35" s="135">
        <f>(-IFERROR(INDEX($C88:$G88,MATCH(YEAR(CE$6),$C$83:$G$83,0)),$G$88)*CE19)*(CE4&gt;=1)</f>
        <v/>
      </c>
      <c r="CF35" s="135">
        <f>(-IFERROR(INDEX($C88:$G88,MATCH(YEAR(CF$6),$C$83:$G$83,0)),$G$88)*CF19)*(CF4&gt;=1)</f>
        <v/>
      </c>
      <c r="CG35" s="135">
        <f>(-IFERROR(INDEX($C88:$G88,MATCH(YEAR(CG$6),$C$83:$G$83,0)),$G$88)*CG19)*(CG4&gt;=1)</f>
        <v/>
      </c>
      <c r="CH35" s="135">
        <f>(-IFERROR(INDEX($C88:$G88,MATCH(YEAR(CH$6),$C$83:$G$83,0)),$G$88)*CH19)*(CH4&gt;=1)</f>
        <v/>
      </c>
      <c r="CI35" s="135">
        <f>(-IFERROR(INDEX($C88:$G88,MATCH(YEAR(CI$6),$C$83:$G$83,0)),$G$88)*CI19)*(CI4&gt;=1)</f>
        <v/>
      </c>
      <c r="CJ35" s="135">
        <f>(-IFERROR(INDEX($C88:$G88,MATCH(YEAR(CJ$6),$C$83:$G$83,0)),$G$88)*CJ19)*(CJ4&gt;=1)</f>
        <v/>
      </c>
      <c r="CK35" s="135">
        <f>(-IFERROR(INDEX($C88:$G88,MATCH(YEAR(CK$6),$C$83:$G$83,0)),$G$88)*CK19)*(CK4&gt;=1)</f>
        <v/>
      </c>
      <c r="CL35" s="135">
        <f>(-IFERROR(INDEX($C88:$G88,MATCH(YEAR(CL$6),$C$83:$G$83,0)),$G$88)*CL19)*(CL4&gt;=1)</f>
        <v/>
      </c>
      <c r="CM35" s="135">
        <f>(-IFERROR(INDEX($C88:$G88,MATCH(YEAR(CM$6),$C$83:$G$83,0)),$G$88)*CM19)*(CM4&gt;=1)</f>
        <v/>
      </c>
      <c r="CN35" s="135">
        <f>(-IFERROR(INDEX($C88:$G88,MATCH(YEAR(CN$6),$C$83:$G$83,0)),$G$88)*CN19)*(CN4&gt;=1)</f>
        <v/>
      </c>
      <c r="CO35" s="135">
        <f>(-IFERROR(INDEX($C88:$G88,MATCH(YEAR(CO$6),$C$83:$G$83,0)),$G$88)*CO19)*(CO4&gt;=1)</f>
        <v/>
      </c>
      <c r="CP35" s="135">
        <f>(-IFERROR(INDEX($C88:$G88,MATCH(YEAR(CP$6),$C$83:$G$83,0)),$G$88)*CP19)*(CP4&gt;=1)</f>
        <v/>
      </c>
      <c r="CQ35" s="135">
        <f>(-IFERROR(INDEX($C88:$G88,MATCH(YEAR(CQ$6),$C$83:$G$83,0)),$G$88)*CQ19)*(CQ4&gt;=1)</f>
        <v/>
      </c>
      <c r="CR35" s="135">
        <f>(-IFERROR(INDEX($C88:$G88,MATCH(YEAR(CR$6),$C$83:$G$83,0)),$G$88)*CR19)*(CR4&gt;=1)</f>
        <v/>
      </c>
      <c r="CS35" s="135">
        <f>(-IFERROR(INDEX($C88:$G88,MATCH(YEAR(CS$6),$C$83:$G$83,0)),$G$88)*CS19)*(CS4&gt;=1)</f>
        <v/>
      </c>
      <c r="CT35" s="135">
        <f>(-IFERROR(INDEX($C88:$G88,MATCH(YEAR(CT$6),$C$83:$G$83,0)),$G$88)*CT19)*(CT4&gt;=1)</f>
        <v/>
      </c>
      <c r="CU35" s="135">
        <f>(-IFERROR(INDEX($C88:$G88,MATCH(YEAR(CU$6),$C$83:$G$83,0)),$G$88)*CU19)*(CU4&gt;=1)</f>
        <v/>
      </c>
      <c r="CV35" s="135">
        <f>(-IFERROR(INDEX($C88:$G88,MATCH(YEAR(CV$6),$C$83:$G$83,0)),$G$88)*CV19)*(CV4&gt;=1)</f>
        <v/>
      </c>
      <c r="CW35" s="135">
        <f>(-IFERROR(INDEX($C88:$G88,MATCH(YEAR(CW$6),$C$83:$G$83,0)),$G$88)*CW19)*(CW4&gt;=1)</f>
        <v/>
      </c>
      <c r="CX35" s="135">
        <f>(-IFERROR(INDEX($C88:$G88,MATCH(YEAR(CX$6),$C$83:$G$83,0)),$G$88)*CX19)*(CX4&gt;=1)</f>
        <v/>
      </c>
      <c r="CY35" s="135">
        <f>(-IFERROR(INDEX($C88:$G88,MATCH(YEAR(CY$6),$C$83:$G$83,0)),$G$88)*CY19)*(CY4&gt;=1)</f>
        <v/>
      </c>
      <c r="CZ35" s="135">
        <f>(-IFERROR(INDEX($C88:$G88,MATCH(YEAR(CZ$6),$C$83:$G$83,0)),$G$88)*CZ19)*(CZ4&gt;=1)</f>
        <v/>
      </c>
      <c r="DA35" s="135">
        <f>(-IFERROR(INDEX($C88:$G88,MATCH(YEAR(DA$6),$C$83:$G$83,0)),$G$88)*DA19)*(DA4&gt;=1)</f>
        <v/>
      </c>
      <c r="DB35" s="135">
        <f>(-IFERROR(INDEX($C88:$G88,MATCH(YEAR(DB$6),$C$83:$G$83,0)),$G$88)*DB19)*(DB4&gt;=1)</f>
        <v/>
      </c>
      <c r="DC35" s="135">
        <f>(-IFERROR(INDEX($C88:$G88,MATCH(YEAR(DC$6),$C$83:$G$83,0)),$G$88)*DC19)*(DC4&gt;=1)</f>
        <v/>
      </c>
      <c r="DD35" s="135">
        <f>(-IFERROR(INDEX($C88:$G88,MATCH(YEAR(DD$6),$C$83:$G$83,0)),$G$88)*DD19)*(DD4&gt;=1)</f>
        <v/>
      </c>
      <c r="DE35" s="135">
        <f>(-IFERROR(INDEX($C88:$G88,MATCH(YEAR(DE$6),$C$83:$G$83,0)),$G$88)*DE19)*(DE4&gt;=1)</f>
        <v/>
      </c>
      <c r="DF35" s="135">
        <f>(-IFERROR(INDEX($C88:$G88,MATCH(YEAR(DF$6),$C$83:$G$83,0)),$G$88)*DF19)*(DF4&gt;=1)</f>
        <v/>
      </c>
      <c r="DG35" s="135">
        <f>(-IFERROR(INDEX($C88:$G88,MATCH(YEAR(DG$6),$C$83:$G$83,0)),$G$88)*DG19)*(DG4&gt;=1)</f>
        <v/>
      </c>
      <c r="DH35" s="135">
        <f>(-IFERROR(INDEX($C88:$G88,MATCH(YEAR(DH$6),$C$83:$G$83,0)),$G$88)*DH19)*(DH4&gt;=1)</f>
        <v/>
      </c>
      <c r="DI35" s="135">
        <f>(-IFERROR(INDEX($C88:$G88,MATCH(YEAR(DI$6),$C$83:$G$83,0)),$G$88)*DI19)*(DI4&gt;=1)</f>
        <v/>
      </c>
      <c r="DJ35" s="135">
        <f>(-IFERROR(INDEX($C88:$G88,MATCH(YEAR(DJ$6),$C$83:$G$83,0)),$G$88)*DJ19)*(DJ4&gt;=1)</f>
        <v/>
      </c>
      <c r="DK35" s="135">
        <f>(-IFERROR(INDEX($C88:$G88,MATCH(YEAR(DK$6),$C$83:$G$83,0)),$G$88)*DK19)*(DK4&gt;=1)</f>
        <v/>
      </c>
      <c r="DL35" s="135">
        <f>(-IFERROR(INDEX($C88:$G88,MATCH(YEAR(DL$6),$C$83:$G$83,0)),$G$88)*DL19)*(DL4&gt;=1)</f>
        <v/>
      </c>
      <c r="DM35" s="135">
        <f>(-IFERROR(INDEX($C88:$G88,MATCH(YEAR(DM$6),$C$83:$G$83,0)),$G$88)*DM19)*(DM4&gt;=1)</f>
        <v/>
      </c>
      <c r="DN35" s="135">
        <f>(-IFERROR(INDEX($C88:$G88,MATCH(YEAR(DN$6),$C$83:$G$83,0)),$G$88)*DN19)*(DN4&gt;=1)</f>
        <v/>
      </c>
      <c r="DO35" s="135">
        <f>(-IFERROR(INDEX($C88:$G88,MATCH(YEAR(DO$6),$C$83:$G$83,0)),$G$88)*DO19)*(DO4&gt;=1)</f>
        <v/>
      </c>
      <c r="DP35" s="135">
        <f>(-IFERROR(INDEX($C88:$G88,MATCH(YEAR(DP$6),$C$83:$G$83,0)),$G$88)*DP19)*(DP4&gt;=1)</f>
        <v/>
      </c>
      <c r="DQ35" s="135">
        <f>(-IFERROR(INDEX($C88:$G88,MATCH(YEAR(DQ$6),$C$83:$G$83,0)),$G$88)*DQ19)*(DQ4&gt;=1)</f>
        <v/>
      </c>
      <c r="DR35" s="135">
        <f>(-IFERROR(INDEX($C88:$G88,MATCH(YEAR(DR$6),$C$83:$G$83,0)),$G$88)*DR19)*(DR4&gt;=1)</f>
        <v/>
      </c>
      <c r="DS35" s="135">
        <f>(-IFERROR(INDEX($C88:$G88,MATCH(YEAR(DS$6),$C$83:$G$83,0)),$G$88)*DS19)*(DS4&gt;=1)</f>
        <v/>
      </c>
      <c r="DT35" s="135">
        <f>(-IFERROR(INDEX($C88:$G88,MATCH(YEAR(DT$6),$C$83:$G$83,0)),$G$88)*DT19)*(DT4&gt;=1)</f>
        <v/>
      </c>
      <c r="DU35" s="135">
        <f>(-IFERROR(INDEX($C88:$G88,MATCH(YEAR(DU$6),$C$83:$G$83,0)),$G$88)*DU19)*(DU4&gt;=1)</f>
        <v/>
      </c>
      <c r="DV35" s="135">
        <f>(-IFERROR(INDEX($C88:$G88,MATCH(YEAR(DV$6),$C$83:$G$83,0)),$G$88)*DV19)*(DV4&gt;=1)</f>
        <v/>
      </c>
      <c r="DW35" s="135">
        <f>(-IFERROR(INDEX($C88:$G88,MATCH(YEAR(DW$6),$C$83:$G$83,0)),$G$88)*DW19)*(DW4&gt;=1)</f>
        <v/>
      </c>
      <c r="DX35" s="135">
        <f>(-IFERROR(INDEX($C88:$G88,MATCH(YEAR(DX$6),$C$83:$G$83,0)),$G$88)*DX19)*(DX4&gt;=1)</f>
        <v/>
      </c>
      <c r="DY35" s="135">
        <f>(-IFERROR(INDEX($C88:$G88,MATCH(YEAR(DY$6),$C$83:$G$83,0)),$G$88)*DY19)*(DY4&gt;=1)</f>
        <v/>
      </c>
      <c r="DZ35" s="135">
        <f>(-IFERROR(INDEX($C88:$G88,MATCH(YEAR(DZ$6),$C$83:$G$83,0)),$G$88)*DZ19)*(DZ4&gt;=1)</f>
        <v/>
      </c>
      <c r="EA35" s="135">
        <f>(-IFERROR(INDEX($C88:$G88,MATCH(YEAR(EA$6),$C$83:$G$83,0)),$G$88)*EA19)*(EA4&gt;=1)</f>
        <v/>
      </c>
      <c r="EB35" s="135">
        <f>(-IFERROR(INDEX($C88:$G88,MATCH(YEAR(EB$6),$C$83:$G$83,0)),$G$88)*EB19)*(EB4&gt;=1)</f>
        <v/>
      </c>
      <c r="EC35" s="135">
        <f>(-IFERROR(INDEX($C88:$G88,MATCH(YEAR(EC$6),$C$83:$G$83,0)),$G$88)*EC19)*(EC4&gt;=1)</f>
        <v/>
      </c>
      <c r="ED35" s="135">
        <f>(-IFERROR(INDEX($C88:$G88,MATCH(YEAR(ED$6),$C$83:$G$83,0)),$G$88)*ED19)*(ED4&gt;=1)</f>
        <v/>
      </c>
      <c r="EE35" s="135">
        <f>(-IFERROR(INDEX($C88:$G88,MATCH(YEAR(EE$6),$C$83:$G$83,0)),$G$88)*EE19)*(EE4&gt;=1)</f>
        <v/>
      </c>
      <c r="EF35" s="135">
        <f>(-IFERROR(INDEX($C88:$G88,MATCH(YEAR(EF$6),$C$83:$G$83,0)),$G$88)*EF19)*(EF4&gt;=1)</f>
        <v/>
      </c>
      <c r="EG35" s="135">
        <f>(-IFERROR(INDEX($C88:$G88,MATCH(YEAR(EG$6),$C$83:$G$83,0)),$G$88)*EG19)*(EG4&gt;=1)</f>
        <v/>
      </c>
      <c r="EH35" s="135">
        <f>(-IFERROR(INDEX($C88:$G88,MATCH(YEAR(EH$6),$C$83:$G$83,0)),$G$88)*EH19)*(EH4&gt;=1)</f>
        <v/>
      </c>
      <c r="EI35" s="135">
        <f>(-IFERROR(INDEX($C88:$G88,MATCH(YEAR(EI$6),$C$83:$G$83,0)),$G$88)*EI19)*(EI4&gt;=1)</f>
        <v/>
      </c>
      <c r="EJ35" s="135">
        <f>(-IFERROR(INDEX($C88:$G88,MATCH(YEAR(EJ$6),$C$83:$G$83,0)),$G$88)*EJ19)*(EJ4&gt;=1)</f>
        <v/>
      </c>
      <c r="EK35" s="135">
        <f>(-IFERROR(INDEX($C88:$G88,MATCH(YEAR(EK$6),$C$83:$G$83,0)),$G$88)*EK19)*(EK4&gt;=1)</f>
        <v/>
      </c>
      <c r="EL35" s="135">
        <f>(-IFERROR(INDEX($C88:$G88,MATCH(YEAR(EL$6),$C$83:$G$83,0)),$G$88)*EL19)*(EL4&gt;=1)</f>
        <v/>
      </c>
      <c r="EM35" s="135">
        <f>(-IFERROR(INDEX($C88:$G88,MATCH(YEAR(EM$6),$C$83:$G$83,0)),$G$88)*EM19)*(EM4&gt;=1)</f>
        <v/>
      </c>
      <c r="EN35" s="135">
        <f>(-IFERROR(INDEX($C88:$G88,MATCH(YEAR(EN$6),$C$83:$G$83,0)),$G$88)*EN19)*(EN4&gt;=1)</f>
        <v/>
      </c>
      <c r="EO35" s="135">
        <f>(-IFERROR(INDEX($C88:$G88,MATCH(YEAR(EO$6),$C$83:$G$83,0)),$G$88)*EO19)*(EO4&gt;=1)</f>
        <v/>
      </c>
      <c r="EP35" s="135">
        <f>(-IFERROR(INDEX($C88:$G88,MATCH(YEAR(EP$6),$C$83:$G$83,0)),$G$88)*EP19)*(EP4&gt;=1)</f>
        <v/>
      </c>
      <c r="EQ35" s="135">
        <f>(-IFERROR(INDEX($C88:$G88,MATCH(YEAR(EQ$6),$C$83:$G$83,0)),$G$88)*EQ19)*(EQ4&gt;=1)</f>
        <v/>
      </c>
      <c r="ER35" s="135">
        <f>(-IFERROR(INDEX($C88:$G88,MATCH(YEAR(ER$6),$C$83:$G$83,0)),$G$88)*ER19)*(ER4&gt;=1)</f>
        <v/>
      </c>
      <c r="ES35" s="135">
        <f>(-IFERROR(INDEX($C88:$G88,MATCH(YEAR(ES$6),$C$83:$G$83,0)),$G$88)*ES19)*(ES4&gt;=1)</f>
        <v/>
      </c>
      <c r="ET35" s="135">
        <f>(-IFERROR(INDEX($C88:$G88,MATCH(YEAR(ET$6),$C$83:$G$83,0)),$G$88)*ET19)*(ET4&gt;=1)</f>
        <v/>
      </c>
      <c r="EU35" s="135">
        <f>(-IFERROR(INDEX($C88:$G88,MATCH(YEAR(EU$6),$C$83:$G$83,0)),$G$88)*EU19)*(EU4&gt;=1)</f>
        <v/>
      </c>
      <c r="EV35" s="135">
        <f>(-IFERROR(INDEX($C88:$G88,MATCH(YEAR(EV$6),$C$83:$G$83,0)),$G$88)*EV19)*(EV4&gt;=1)</f>
        <v/>
      </c>
      <c r="EW35" s="135">
        <f>(-IFERROR(INDEX($C88:$G88,MATCH(YEAR(EW$6),$C$83:$G$83,0)),$G$88)*EW19)*(EW4&gt;=1)</f>
        <v/>
      </c>
      <c r="EX35" s="135">
        <f>(-IFERROR(INDEX($C88:$G88,MATCH(YEAR(EX$6),$C$83:$G$83,0)),$G$88)*EX19)*(EX4&gt;=1)</f>
        <v/>
      </c>
      <c r="EY35" s="135">
        <f>(-IFERROR(INDEX($C88:$G88,MATCH(YEAR(EY$6),$C$83:$G$83,0)),$G$88)*EY19)*(EY4&gt;=1)</f>
        <v/>
      </c>
      <c r="EZ35" s="135">
        <f>(-IFERROR(INDEX($C88:$G88,MATCH(YEAR(EZ$6),$C$83:$G$83,0)),$G$88)*EZ19)*(EZ4&gt;=1)</f>
        <v/>
      </c>
      <c r="FA35" s="135">
        <f>(-IFERROR(INDEX($C88:$G88,MATCH(YEAR(FA$6),$C$83:$G$83,0)),$G$88)*FA19)*(FA4&gt;=1)</f>
        <v/>
      </c>
      <c r="FB35" s="135">
        <f>(-IFERROR(INDEX($C88:$G88,MATCH(YEAR(FB$6),$C$83:$G$83,0)),$G$88)*FB19)*(FB4&gt;=1)</f>
        <v/>
      </c>
    </row>
    <row r="36">
      <c r="B36" s="36" t="inlineStr">
        <is>
          <t>Uses</t>
        </is>
      </c>
      <c r="C36" s="45" t="inlineStr">
        <is>
          <t>$/Unit</t>
        </is>
      </c>
      <c r="D36" s="45" t="inlineStr">
        <is>
          <t>Total</t>
        </is>
      </c>
      <c r="E36" s="164" t="inlineStr">
        <is>
          <t>At Closing</t>
        </is>
      </c>
      <c r="F36" s="45" t="inlineStr">
        <is>
          <t>Start Month</t>
        </is>
      </c>
      <c r="G36" s="45" t="inlineStr">
        <is>
          <t>Duration</t>
        </is>
      </c>
      <c r="I36" s="57" t="inlineStr">
        <is>
          <t xml:space="preserve">Total Vacancy &amp; Collection </t>
        </is>
      </c>
      <c r="J36" s="57" t="n"/>
      <c r="K36" s="58" t="n"/>
      <c r="L36" s="44">
        <f>SUMIF($Z$4:$FB$4,"&lt;="&amp;$G$18,$Z36:$FB36)</f>
        <v/>
      </c>
      <c r="M36" s="58" t="n"/>
      <c r="N36" s="44">
        <f>SUMIF($Z$3:$FB$3,N$7,$Z36:$FB36)</f>
        <v/>
      </c>
      <c r="O36" s="44">
        <f>SUMIF($Z$3:$FB$3,O$7,$Z36:$FB36)</f>
        <v/>
      </c>
      <c r="P36" s="44">
        <f>SUMIF($Z$3:$FB$3,P$7,$Z36:$FB36)</f>
        <v/>
      </c>
      <c r="Q36" s="44">
        <f>SUMIF($Z$3:$FB$3,Q$7,$Z36:$FB36)</f>
        <v/>
      </c>
      <c r="R36" s="44">
        <f>SUMIF($Z$3:$FB$3,R$7,$Z36:$FB36)</f>
        <v/>
      </c>
      <c r="S36" s="44">
        <f>SUMIF($Z$3:$FB$3,S$7,$Z36:$FB36)</f>
        <v/>
      </c>
      <c r="T36" s="44">
        <f>SUMIF($Z$3:$FB$3,T$7,$Z36:$FB36)</f>
        <v/>
      </c>
      <c r="U36" s="44">
        <f>SUMIF($Z$3:$FB$3,U$7,$Z36:$FB36)</f>
        <v/>
      </c>
      <c r="V36" s="44">
        <f>SUMIF($Z$3:$FB$3,V$7,$Z36:$FB36)</f>
        <v/>
      </c>
      <c r="W36" s="44">
        <f>SUMIF($Z$3:$FB$3,W$7,$Z36:$FB36)</f>
        <v/>
      </c>
      <c r="X36" s="44">
        <f>SUMIF($Z$3:$FB$3,X$7,$Z36:$FB36)</f>
        <v/>
      </c>
      <c r="Y36" s="58" t="n"/>
      <c r="Z36" s="44">
        <f>SUM(Z32:Z35)</f>
        <v/>
      </c>
      <c r="AA36" s="44">
        <f>SUM(AA32:AA35)</f>
        <v/>
      </c>
      <c r="AB36" s="44">
        <f>SUM(AB32:AB35)</f>
        <v/>
      </c>
      <c r="AC36" s="44">
        <f>SUM(AC32:AC35)</f>
        <v/>
      </c>
      <c r="AD36" s="44">
        <f>SUM(AD32:AD35)</f>
        <v/>
      </c>
      <c r="AE36" s="44">
        <f>SUM(AE32:AE35)</f>
        <v/>
      </c>
      <c r="AF36" s="44">
        <f>SUM(AF32:AF35)</f>
        <v/>
      </c>
      <c r="AG36" s="44">
        <f>SUM(AG32:AG35)</f>
        <v/>
      </c>
      <c r="AH36" s="44">
        <f>SUM(AH32:AH35)</f>
        <v/>
      </c>
      <c r="AI36" s="44">
        <f>SUM(AI32:AI35)</f>
        <v/>
      </c>
      <c r="AJ36" s="44">
        <f>SUM(AJ32:AJ35)</f>
        <v/>
      </c>
      <c r="AK36" s="44">
        <f>SUM(AK32:AK35)</f>
        <v/>
      </c>
      <c r="AL36" s="44">
        <f>SUM(AL32:AL35)</f>
        <v/>
      </c>
      <c r="AM36" s="44">
        <f>SUM(AM32:AM35)</f>
        <v/>
      </c>
      <c r="AN36" s="44">
        <f>SUM(AN32:AN35)</f>
        <v/>
      </c>
      <c r="AO36" s="44">
        <f>SUM(AO32:AO35)</f>
        <v/>
      </c>
      <c r="AP36" s="44">
        <f>SUM(AP32:AP35)</f>
        <v/>
      </c>
      <c r="AQ36" s="44">
        <f>SUM(AQ32:AQ35)</f>
        <v/>
      </c>
      <c r="AR36" s="44">
        <f>SUM(AR32:AR35)</f>
        <v/>
      </c>
      <c r="AS36" s="44">
        <f>SUM(AS32:AS35)</f>
        <v/>
      </c>
      <c r="AT36" s="44">
        <f>SUM(AT32:AT35)</f>
        <v/>
      </c>
      <c r="AU36" s="44">
        <f>SUM(AU32:AU35)</f>
        <v/>
      </c>
      <c r="AV36" s="44">
        <f>SUM(AV32:AV35)</f>
        <v/>
      </c>
      <c r="AW36" s="44">
        <f>SUM(AW32:AW35)</f>
        <v/>
      </c>
      <c r="AX36" s="44">
        <f>SUM(AX32:AX35)</f>
        <v/>
      </c>
      <c r="AY36" s="44">
        <f>SUM(AY32:AY35)</f>
        <v/>
      </c>
      <c r="AZ36" s="44">
        <f>SUM(AZ32:AZ35)</f>
        <v/>
      </c>
      <c r="BA36" s="44">
        <f>SUM(BA32:BA35)</f>
        <v/>
      </c>
      <c r="BB36" s="44">
        <f>SUM(BB32:BB35)</f>
        <v/>
      </c>
      <c r="BC36" s="44">
        <f>SUM(BC32:BC35)</f>
        <v/>
      </c>
      <c r="BD36" s="44">
        <f>SUM(BD32:BD35)</f>
        <v/>
      </c>
      <c r="BE36" s="44">
        <f>SUM(BE32:BE35)</f>
        <v/>
      </c>
      <c r="BF36" s="44">
        <f>SUM(BF32:BF35)</f>
        <v/>
      </c>
      <c r="BG36" s="44">
        <f>SUM(BG32:BG35)</f>
        <v/>
      </c>
      <c r="BH36" s="44">
        <f>SUM(BH32:BH35)</f>
        <v/>
      </c>
      <c r="BI36" s="44">
        <f>SUM(BI32:BI35)</f>
        <v/>
      </c>
      <c r="BJ36" s="44">
        <f>SUM(BJ32:BJ35)</f>
        <v/>
      </c>
      <c r="BK36" s="44">
        <f>SUM(BK32:BK35)</f>
        <v/>
      </c>
      <c r="BL36" s="44">
        <f>SUM(BL32:BL35)</f>
        <v/>
      </c>
      <c r="BM36" s="44">
        <f>SUM(BM32:BM35)</f>
        <v/>
      </c>
      <c r="BN36" s="44">
        <f>SUM(BN32:BN35)</f>
        <v/>
      </c>
      <c r="BO36" s="44">
        <f>SUM(BO32:BO35)</f>
        <v/>
      </c>
      <c r="BP36" s="44">
        <f>SUM(BP32:BP35)</f>
        <v/>
      </c>
      <c r="BQ36" s="44">
        <f>SUM(BQ32:BQ35)</f>
        <v/>
      </c>
      <c r="BR36" s="44">
        <f>SUM(BR32:BR35)</f>
        <v/>
      </c>
      <c r="BS36" s="44">
        <f>SUM(BS32:BS35)</f>
        <v/>
      </c>
      <c r="BT36" s="44">
        <f>SUM(BT32:BT35)</f>
        <v/>
      </c>
      <c r="BU36" s="44">
        <f>SUM(BU32:BU35)</f>
        <v/>
      </c>
      <c r="BV36" s="44">
        <f>SUM(BV32:BV35)</f>
        <v/>
      </c>
      <c r="BW36" s="44">
        <f>SUM(BW32:BW35)</f>
        <v/>
      </c>
      <c r="BX36" s="44">
        <f>SUM(BX32:BX35)</f>
        <v/>
      </c>
      <c r="BY36" s="44">
        <f>SUM(BY32:BY35)</f>
        <v/>
      </c>
      <c r="BZ36" s="44">
        <f>SUM(BZ32:BZ35)</f>
        <v/>
      </c>
      <c r="CA36" s="44">
        <f>SUM(CA32:CA35)</f>
        <v/>
      </c>
      <c r="CB36" s="44">
        <f>SUM(CB32:CB35)</f>
        <v/>
      </c>
      <c r="CC36" s="44">
        <f>SUM(CC32:CC35)</f>
        <v/>
      </c>
      <c r="CD36" s="44">
        <f>SUM(CD32:CD35)</f>
        <v/>
      </c>
      <c r="CE36" s="44">
        <f>SUM(CE32:CE35)</f>
        <v/>
      </c>
      <c r="CF36" s="44">
        <f>SUM(CF32:CF35)</f>
        <v/>
      </c>
      <c r="CG36" s="44">
        <f>SUM(CG32:CG35)</f>
        <v/>
      </c>
      <c r="CH36" s="44">
        <f>SUM(CH32:CH35)</f>
        <v/>
      </c>
      <c r="CI36" s="44">
        <f>SUM(CI32:CI35)</f>
        <v/>
      </c>
      <c r="CJ36" s="44">
        <f>SUM(CJ32:CJ35)</f>
        <v/>
      </c>
      <c r="CK36" s="44">
        <f>SUM(CK32:CK35)</f>
        <v/>
      </c>
      <c r="CL36" s="44">
        <f>SUM(CL32:CL35)</f>
        <v/>
      </c>
      <c r="CM36" s="44">
        <f>SUM(CM32:CM35)</f>
        <v/>
      </c>
      <c r="CN36" s="44">
        <f>SUM(CN32:CN35)</f>
        <v/>
      </c>
      <c r="CO36" s="44">
        <f>SUM(CO32:CO35)</f>
        <v/>
      </c>
      <c r="CP36" s="44">
        <f>SUM(CP32:CP35)</f>
        <v/>
      </c>
      <c r="CQ36" s="44">
        <f>SUM(CQ32:CQ35)</f>
        <v/>
      </c>
      <c r="CR36" s="44">
        <f>SUM(CR32:CR35)</f>
        <v/>
      </c>
      <c r="CS36" s="44">
        <f>SUM(CS32:CS35)</f>
        <v/>
      </c>
      <c r="CT36" s="44">
        <f>SUM(CT32:CT35)</f>
        <v/>
      </c>
      <c r="CU36" s="44">
        <f>SUM(CU32:CU35)</f>
        <v/>
      </c>
      <c r="CV36" s="44">
        <f>SUM(CV32:CV35)</f>
        <v/>
      </c>
      <c r="CW36" s="44">
        <f>SUM(CW32:CW35)</f>
        <v/>
      </c>
      <c r="CX36" s="44">
        <f>SUM(CX32:CX35)</f>
        <v/>
      </c>
      <c r="CY36" s="44">
        <f>SUM(CY32:CY35)</f>
        <v/>
      </c>
      <c r="CZ36" s="44">
        <f>SUM(CZ32:CZ35)</f>
        <v/>
      </c>
      <c r="DA36" s="44">
        <f>SUM(DA32:DA35)</f>
        <v/>
      </c>
      <c r="DB36" s="44">
        <f>SUM(DB32:DB35)</f>
        <v/>
      </c>
      <c r="DC36" s="44">
        <f>SUM(DC32:DC35)</f>
        <v/>
      </c>
      <c r="DD36" s="44">
        <f>SUM(DD32:DD35)</f>
        <v/>
      </c>
      <c r="DE36" s="44">
        <f>SUM(DE32:DE35)</f>
        <v/>
      </c>
      <c r="DF36" s="44">
        <f>SUM(DF32:DF35)</f>
        <v/>
      </c>
      <c r="DG36" s="44">
        <f>SUM(DG32:DG35)</f>
        <v/>
      </c>
      <c r="DH36" s="44">
        <f>SUM(DH32:DH35)</f>
        <v/>
      </c>
      <c r="DI36" s="44">
        <f>SUM(DI32:DI35)</f>
        <v/>
      </c>
      <c r="DJ36" s="44">
        <f>SUM(DJ32:DJ35)</f>
        <v/>
      </c>
      <c r="DK36" s="44">
        <f>SUM(DK32:DK35)</f>
        <v/>
      </c>
      <c r="DL36" s="44">
        <f>SUM(DL32:DL35)</f>
        <v/>
      </c>
      <c r="DM36" s="44">
        <f>SUM(DM32:DM35)</f>
        <v/>
      </c>
      <c r="DN36" s="44">
        <f>SUM(DN32:DN35)</f>
        <v/>
      </c>
      <c r="DO36" s="44">
        <f>SUM(DO32:DO35)</f>
        <v/>
      </c>
      <c r="DP36" s="44">
        <f>SUM(DP32:DP35)</f>
        <v/>
      </c>
      <c r="DQ36" s="44">
        <f>SUM(DQ32:DQ35)</f>
        <v/>
      </c>
      <c r="DR36" s="44">
        <f>SUM(DR32:DR35)</f>
        <v/>
      </c>
      <c r="DS36" s="44">
        <f>SUM(DS32:DS35)</f>
        <v/>
      </c>
      <c r="DT36" s="44">
        <f>SUM(DT32:DT35)</f>
        <v/>
      </c>
      <c r="DU36" s="44">
        <f>SUM(DU32:DU35)</f>
        <v/>
      </c>
      <c r="DV36" s="44">
        <f>SUM(DV32:DV35)</f>
        <v/>
      </c>
      <c r="DW36" s="44">
        <f>SUM(DW32:DW35)</f>
        <v/>
      </c>
      <c r="DX36" s="44">
        <f>SUM(DX32:DX35)</f>
        <v/>
      </c>
      <c r="DY36" s="44">
        <f>SUM(DY32:DY35)</f>
        <v/>
      </c>
      <c r="DZ36" s="44">
        <f>SUM(DZ32:DZ35)</f>
        <v/>
      </c>
      <c r="EA36" s="44">
        <f>SUM(EA32:EA35)</f>
        <v/>
      </c>
      <c r="EB36" s="44">
        <f>SUM(EB32:EB35)</f>
        <v/>
      </c>
      <c r="EC36" s="44">
        <f>SUM(EC32:EC35)</f>
        <v/>
      </c>
      <c r="ED36" s="44">
        <f>SUM(ED32:ED35)</f>
        <v/>
      </c>
      <c r="EE36" s="44">
        <f>SUM(EE32:EE35)</f>
        <v/>
      </c>
      <c r="EF36" s="44">
        <f>SUM(EF32:EF35)</f>
        <v/>
      </c>
      <c r="EG36" s="44">
        <f>SUM(EG32:EG35)</f>
        <v/>
      </c>
      <c r="EH36" s="44">
        <f>SUM(EH32:EH35)</f>
        <v/>
      </c>
      <c r="EI36" s="44">
        <f>SUM(EI32:EI35)</f>
        <v/>
      </c>
      <c r="EJ36" s="44">
        <f>SUM(EJ32:EJ35)</f>
        <v/>
      </c>
      <c r="EK36" s="44">
        <f>SUM(EK32:EK35)</f>
        <v/>
      </c>
      <c r="EL36" s="44">
        <f>SUM(EL32:EL35)</f>
        <v/>
      </c>
      <c r="EM36" s="44">
        <f>SUM(EM32:EM35)</f>
        <v/>
      </c>
      <c r="EN36" s="44">
        <f>SUM(EN32:EN35)</f>
        <v/>
      </c>
      <c r="EO36" s="44">
        <f>SUM(EO32:EO35)</f>
        <v/>
      </c>
      <c r="EP36" s="44">
        <f>SUM(EP32:EP35)</f>
        <v/>
      </c>
      <c r="EQ36" s="44">
        <f>SUM(EQ32:EQ35)</f>
        <v/>
      </c>
      <c r="ER36" s="44">
        <f>SUM(ER32:ER35)</f>
        <v/>
      </c>
      <c r="ES36" s="44">
        <f>SUM(ES32:ES35)</f>
        <v/>
      </c>
      <c r="ET36" s="44">
        <f>SUM(ET32:ET35)</f>
        <v/>
      </c>
      <c r="EU36" s="44">
        <f>SUM(EU32:EU35)</f>
        <v/>
      </c>
      <c r="EV36" s="44">
        <f>SUM(EV32:EV35)</f>
        <v/>
      </c>
      <c r="EW36" s="44">
        <f>SUM(EW32:EW35)</f>
        <v/>
      </c>
      <c r="EX36" s="44">
        <f>SUM(EX32:EX35)</f>
        <v/>
      </c>
      <c r="EY36" s="44">
        <f>SUM(EY32:EY35)</f>
        <v/>
      </c>
      <c r="EZ36" s="44">
        <f>SUM(EZ32:EZ35)</f>
        <v/>
      </c>
      <c r="FA36" s="44">
        <f>SUM(FA32:FA35)</f>
        <v/>
      </c>
      <c r="FB36" s="44">
        <f>SUM(FB32:FB35)</f>
        <v/>
      </c>
    </row>
    <row r="37">
      <c r="B37" s="9" t="inlineStr">
        <is>
          <t>Acquisition Price</t>
        </is>
      </c>
      <c r="C37" s="46">
        <f>D37/$C$75</f>
        <v/>
      </c>
      <c r="D37" s="46">
        <f>D24</f>
        <v/>
      </c>
      <c r="E37" s="172">
        <f>Inputs!C12</f>
        <v/>
      </c>
      <c r="F37" s="244">
        <f>Inputs!C16</f>
        <v/>
      </c>
      <c r="G37" s="222">
        <f>Inputs!C20</f>
        <v/>
      </c>
    </row>
    <row r="38">
      <c r="B38" s="218">
        <f>Inputs!C11</f>
        <v/>
      </c>
      <c r="C38" s="46">
        <f>D38/$C$75</f>
        <v/>
      </c>
      <c r="D38" s="46">
        <f>B38*D37</f>
        <v/>
      </c>
      <c r="E38" s="172">
        <f>Inputs!C13</f>
        <v/>
      </c>
      <c r="F38" s="244">
        <f>Inputs!C17</f>
        <v/>
      </c>
      <c r="G38" s="222">
        <f>Inputs!C21</f>
        <v/>
      </c>
      <c r="I38" s="71" t="inlineStr">
        <is>
          <t>Effective Gross Income</t>
        </is>
      </c>
      <c r="J38" s="72" t="n"/>
      <c r="K38" s="63" t="n"/>
      <c r="L38" s="71">
        <f>SUMIF($Z$4:$FB$4,"&lt;="&amp;$G$18,$Z38:$FB38)</f>
        <v/>
      </c>
      <c r="M38" s="58" t="n"/>
      <c r="N38" s="71">
        <f>SUMIF($Z$3:$FB$3,N$7,$Z38:$FB38)</f>
        <v/>
      </c>
      <c r="O38" s="71">
        <f>SUMIF($Z$3:$FB$3,O$7,$Z38:$FB38)</f>
        <v/>
      </c>
      <c r="P38" s="71">
        <f>SUMIF($Z$3:$FB$3,P$7,$Z38:$FB38)</f>
        <v/>
      </c>
      <c r="Q38" s="71">
        <f>SUMIF($Z$3:$FB$3,Q$7,$Z38:$FB38)</f>
        <v/>
      </c>
      <c r="R38" s="71">
        <f>SUMIF($Z$3:$FB$3,R$7,$Z38:$FB38)</f>
        <v/>
      </c>
      <c r="S38" s="71">
        <f>SUMIF($Z$3:$FB$3,S$7,$Z38:$FB38)</f>
        <v/>
      </c>
      <c r="T38" s="71">
        <f>SUMIF($Z$3:$FB$3,T$7,$Z38:$FB38)</f>
        <v/>
      </c>
      <c r="U38" s="71">
        <f>SUMIF($Z$3:$FB$3,U$7,$Z38:$FB38)</f>
        <v/>
      </c>
      <c r="V38" s="71">
        <f>SUMIF($Z$3:$FB$3,V$7,$Z38:$FB38)</f>
        <v/>
      </c>
      <c r="W38" s="71">
        <f>SUMIF($Z$3:$FB$3,W$7,$Z38:$FB38)</f>
        <v/>
      </c>
      <c r="X38" s="71">
        <f>SUMIF($Z$3:$FB$3,X$7,$Z38:$FB38)</f>
        <v/>
      </c>
      <c r="Y38" s="58" t="n"/>
      <c r="Z38" s="71">
        <f>SUM(Z24,Z30,Z36)</f>
        <v/>
      </c>
      <c r="AA38" s="71">
        <f>SUM(AA24,AA30,AA36)</f>
        <v/>
      </c>
      <c r="AB38" s="71">
        <f>SUM(AB24,AB30,AB36)</f>
        <v/>
      </c>
      <c r="AC38" s="71">
        <f>SUM(AC24,AC30,AC36)</f>
        <v/>
      </c>
      <c r="AD38" s="71">
        <f>SUM(AD24,AD30,AD36)</f>
        <v/>
      </c>
      <c r="AE38" s="71">
        <f>SUM(AE24,AE30,AE36)</f>
        <v/>
      </c>
      <c r="AF38" s="71">
        <f>SUM(AF24,AF30,AF36)</f>
        <v/>
      </c>
      <c r="AG38" s="71">
        <f>SUM(AG24,AG30,AG36)</f>
        <v/>
      </c>
      <c r="AH38" s="71">
        <f>SUM(AH24,AH30,AH36)</f>
        <v/>
      </c>
      <c r="AI38" s="71">
        <f>SUM(AI24,AI30,AI36)</f>
        <v/>
      </c>
      <c r="AJ38" s="71">
        <f>SUM(AJ24,AJ30,AJ36)</f>
        <v/>
      </c>
      <c r="AK38" s="71">
        <f>SUM(AK24,AK30,AK36)</f>
        <v/>
      </c>
      <c r="AL38" s="71">
        <f>SUM(AL24,AL30,AL36)</f>
        <v/>
      </c>
      <c r="AM38" s="71">
        <f>SUM(AM24,AM30,AM36)</f>
        <v/>
      </c>
      <c r="AN38" s="71">
        <f>SUM(AN24,AN30,AN36)</f>
        <v/>
      </c>
      <c r="AO38" s="71">
        <f>SUM(AO24,AO30,AO36)</f>
        <v/>
      </c>
      <c r="AP38" s="71">
        <f>SUM(AP24,AP30,AP36)</f>
        <v/>
      </c>
      <c r="AQ38" s="71">
        <f>SUM(AQ24,AQ30,AQ36)</f>
        <v/>
      </c>
      <c r="AR38" s="71">
        <f>SUM(AR24,AR30,AR36)</f>
        <v/>
      </c>
      <c r="AS38" s="71">
        <f>SUM(AS24,AS30,AS36)</f>
        <v/>
      </c>
      <c r="AT38" s="71">
        <f>SUM(AT24,AT30,AT36)</f>
        <v/>
      </c>
      <c r="AU38" s="71">
        <f>SUM(AU24,AU30,AU36)</f>
        <v/>
      </c>
      <c r="AV38" s="71">
        <f>SUM(AV24,AV30,AV36)</f>
        <v/>
      </c>
      <c r="AW38" s="71">
        <f>SUM(AW24,AW30,AW36)</f>
        <v/>
      </c>
      <c r="AX38" s="71">
        <f>SUM(AX24,AX30,AX36)</f>
        <v/>
      </c>
      <c r="AY38" s="71">
        <f>SUM(AY24,AY30,AY36)</f>
        <v/>
      </c>
      <c r="AZ38" s="71">
        <f>SUM(AZ24,AZ30,AZ36)</f>
        <v/>
      </c>
      <c r="BA38" s="71">
        <f>SUM(BA24,BA30,BA36)</f>
        <v/>
      </c>
      <c r="BB38" s="71">
        <f>SUM(BB24,BB30,BB36)</f>
        <v/>
      </c>
      <c r="BC38" s="71">
        <f>SUM(BC24,BC30,BC36)</f>
        <v/>
      </c>
      <c r="BD38" s="71">
        <f>SUM(BD24,BD30,BD36)</f>
        <v/>
      </c>
      <c r="BE38" s="71">
        <f>SUM(BE24,BE30,BE36)</f>
        <v/>
      </c>
      <c r="BF38" s="71">
        <f>SUM(BF24,BF30,BF36)</f>
        <v/>
      </c>
      <c r="BG38" s="71">
        <f>SUM(BG24,BG30,BG36)</f>
        <v/>
      </c>
      <c r="BH38" s="71">
        <f>SUM(BH24,BH30,BH36)</f>
        <v/>
      </c>
      <c r="BI38" s="71">
        <f>SUM(BI24,BI30,BI36)</f>
        <v/>
      </c>
      <c r="BJ38" s="71">
        <f>SUM(BJ24,BJ30,BJ36)</f>
        <v/>
      </c>
      <c r="BK38" s="71">
        <f>SUM(BK24,BK30,BK36)</f>
        <v/>
      </c>
      <c r="BL38" s="71">
        <f>SUM(BL24,BL30,BL36)</f>
        <v/>
      </c>
      <c r="BM38" s="71">
        <f>SUM(BM24,BM30,BM36)</f>
        <v/>
      </c>
      <c r="BN38" s="71">
        <f>SUM(BN24,BN30,BN36)</f>
        <v/>
      </c>
      <c r="BO38" s="71">
        <f>SUM(BO24,BO30,BO36)</f>
        <v/>
      </c>
      <c r="BP38" s="71">
        <f>SUM(BP24,BP30,BP36)</f>
        <v/>
      </c>
      <c r="BQ38" s="71">
        <f>SUM(BQ24,BQ30,BQ36)</f>
        <v/>
      </c>
      <c r="BR38" s="71">
        <f>SUM(BR24,BR30,BR36)</f>
        <v/>
      </c>
      <c r="BS38" s="71">
        <f>SUM(BS24,BS30,BS36)</f>
        <v/>
      </c>
      <c r="BT38" s="71">
        <f>SUM(BT24,BT30,BT36)</f>
        <v/>
      </c>
      <c r="BU38" s="71">
        <f>SUM(BU24,BU30,BU36)</f>
        <v/>
      </c>
      <c r="BV38" s="71">
        <f>SUM(BV24,BV30,BV36)</f>
        <v/>
      </c>
      <c r="BW38" s="71">
        <f>SUM(BW24,BW30,BW36)</f>
        <v/>
      </c>
      <c r="BX38" s="71">
        <f>SUM(BX24,BX30,BX36)</f>
        <v/>
      </c>
      <c r="BY38" s="71">
        <f>SUM(BY24,BY30,BY36)</f>
        <v/>
      </c>
      <c r="BZ38" s="71">
        <f>SUM(BZ24,BZ30,BZ36)</f>
        <v/>
      </c>
      <c r="CA38" s="71">
        <f>SUM(CA24,CA30,CA36)</f>
        <v/>
      </c>
      <c r="CB38" s="71">
        <f>SUM(CB24,CB30,CB36)</f>
        <v/>
      </c>
      <c r="CC38" s="71">
        <f>SUM(CC24,CC30,CC36)</f>
        <v/>
      </c>
      <c r="CD38" s="71">
        <f>SUM(CD24,CD30,CD36)</f>
        <v/>
      </c>
      <c r="CE38" s="71">
        <f>SUM(CE24,CE30,CE36)</f>
        <v/>
      </c>
      <c r="CF38" s="71">
        <f>SUM(CF24,CF30,CF36)</f>
        <v/>
      </c>
      <c r="CG38" s="71">
        <f>SUM(CG24,CG30,CG36)</f>
        <v/>
      </c>
      <c r="CH38" s="71">
        <f>SUM(CH24,CH30,CH36)</f>
        <v/>
      </c>
      <c r="CI38" s="71">
        <f>SUM(CI24,CI30,CI36)</f>
        <v/>
      </c>
      <c r="CJ38" s="71">
        <f>SUM(CJ24,CJ30,CJ36)</f>
        <v/>
      </c>
      <c r="CK38" s="71">
        <f>SUM(CK24,CK30,CK36)</f>
        <v/>
      </c>
      <c r="CL38" s="71">
        <f>SUM(CL24,CL30,CL36)</f>
        <v/>
      </c>
      <c r="CM38" s="71">
        <f>SUM(CM24,CM30,CM36)</f>
        <v/>
      </c>
      <c r="CN38" s="71">
        <f>SUM(CN24,CN30,CN36)</f>
        <v/>
      </c>
      <c r="CO38" s="71">
        <f>SUM(CO24,CO30,CO36)</f>
        <v/>
      </c>
      <c r="CP38" s="71">
        <f>SUM(CP24,CP30,CP36)</f>
        <v/>
      </c>
      <c r="CQ38" s="71">
        <f>SUM(CQ24,CQ30,CQ36)</f>
        <v/>
      </c>
      <c r="CR38" s="71">
        <f>SUM(CR24,CR30,CR36)</f>
        <v/>
      </c>
      <c r="CS38" s="71">
        <f>SUM(CS24,CS30,CS36)</f>
        <v/>
      </c>
      <c r="CT38" s="71">
        <f>SUM(CT24,CT30,CT36)</f>
        <v/>
      </c>
      <c r="CU38" s="71">
        <f>SUM(CU24,CU30,CU36)</f>
        <v/>
      </c>
      <c r="CV38" s="71">
        <f>SUM(CV24,CV30,CV36)</f>
        <v/>
      </c>
      <c r="CW38" s="71">
        <f>SUM(CW24,CW30,CW36)</f>
        <v/>
      </c>
      <c r="CX38" s="71">
        <f>SUM(CX24,CX30,CX36)</f>
        <v/>
      </c>
      <c r="CY38" s="71">
        <f>SUM(CY24,CY30,CY36)</f>
        <v/>
      </c>
      <c r="CZ38" s="71">
        <f>SUM(CZ24,CZ30,CZ36)</f>
        <v/>
      </c>
      <c r="DA38" s="71">
        <f>SUM(DA24,DA30,DA36)</f>
        <v/>
      </c>
      <c r="DB38" s="71">
        <f>SUM(DB24,DB30,DB36)</f>
        <v/>
      </c>
      <c r="DC38" s="71">
        <f>SUM(DC24,DC30,DC36)</f>
        <v/>
      </c>
      <c r="DD38" s="71">
        <f>SUM(DD24,DD30,DD36)</f>
        <v/>
      </c>
      <c r="DE38" s="71">
        <f>SUM(DE24,DE30,DE36)</f>
        <v/>
      </c>
      <c r="DF38" s="71">
        <f>SUM(DF24,DF30,DF36)</f>
        <v/>
      </c>
      <c r="DG38" s="71">
        <f>SUM(DG24,DG30,DG36)</f>
        <v/>
      </c>
      <c r="DH38" s="71">
        <f>SUM(DH24,DH30,DH36)</f>
        <v/>
      </c>
      <c r="DI38" s="71">
        <f>SUM(DI24,DI30,DI36)</f>
        <v/>
      </c>
      <c r="DJ38" s="71">
        <f>SUM(DJ24,DJ30,DJ36)</f>
        <v/>
      </c>
      <c r="DK38" s="71">
        <f>SUM(DK24,DK30,DK36)</f>
        <v/>
      </c>
      <c r="DL38" s="71">
        <f>SUM(DL24,DL30,DL36)</f>
        <v/>
      </c>
      <c r="DM38" s="71">
        <f>SUM(DM24,DM30,DM36)</f>
        <v/>
      </c>
      <c r="DN38" s="71">
        <f>SUM(DN24,DN30,DN36)</f>
        <v/>
      </c>
      <c r="DO38" s="71">
        <f>SUM(DO24,DO30,DO36)</f>
        <v/>
      </c>
      <c r="DP38" s="71">
        <f>SUM(DP24,DP30,DP36)</f>
        <v/>
      </c>
      <c r="DQ38" s="71">
        <f>SUM(DQ24,DQ30,DQ36)</f>
        <v/>
      </c>
      <c r="DR38" s="71">
        <f>SUM(DR24,DR30,DR36)</f>
        <v/>
      </c>
      <c r="DS38" s="71">
        <f>SUM(DS24,DS30,DS36)</f>
        <v/>
      </c>
      <c r="DT38" s="71">
        <f>SUM(DT24,DT30,DT36)</f>
        <v/>
      </c>
      <c r="DU38" s="71">
        <f>SUM(DU24,DU30,DU36)</f>
        <v/>
      </c>
      <c r="DV38" s="71">
        <f>SUM(DV24,DV30,DV36)</f>
        <v/>
      </c>
      <c r="DW38" s="71">
        <f>SUM(DW24,DW30,DW36)</f>
        <v/>
      </c>
      <c r="DX38" s="71">
        <f>SUM(DX24,DX30,DX36)</f>
        <v/>
      </c>
      <c r="DY38" s="71">
        <f>SUM(DY24,DY30,DY36)</f>
        <v/>
      </c>
      <c r="DZ38" s="71">
        <f>SUM(DZ24,DZ30,DZ36)</f>
        <v/>
      </c>
      <c r="EA38" s="71">
        <f>SUM(EA24,EA30,EA36)</f>
        <v/>
      </c>
      <c r="EB38" s="71">
        <f>SUM(EB24,EB30,EB36)</f>
        <v/>
      </c>
      <c r="EC38" s="71">
        <f>SUM(EC24,EC30,EC36)</f>
        <v/>
      </c>
      <c r="ED38" s="71">
        <f>SUM(ED24,ED30,ED36)</f>
        <v/>
      </c>
      <c r="EE38" s="71">
        <f>SUM(EE24,EE30,EE36)</f>
        <v/>
      </c>
      <c r="EF38" s="71">
        <f>SUM(EF24,EF30,EF36)</f>
        <v/>
      </c>
      <c r="EG38" s="71">
        <f>SUM(EG24,EG30,EG36)</f>
        <v/>
      </c>
      <c r="EH38" s="71">
        <f>SUM(EH24,EH30,EH36)</f>
        <v/>
      </c>
      <c r="EI38" s="71">
        <f>SUM(EI24,EI30,EI36)</f>
        <v/>
      </c>
      <c r="EJ38" s="71">
        <f>SUM(EJ24,EJ30,EJ36)</f>
        <v/>
      </c>
      <c r="EK38" s="71">
        <f>SUM(EK24,EK30,EK36)</f>
        <v/>
      </c>
      <c r="EL38" s="71">
        <f>SUM(EL24,EL30,EL36)</f>
        <v/>
      </c>
      <c r="EM38" s="71">
        <f>SUM(EM24,EM30,EM36)</f>
        <v/>
      </c>
      <c r="EN38" s="71">
        <f>SUM(EN24,EN30,EN36)</f>
        <v/>
      </c>
      <c r="EO38" s="71">
        <f>SUM(EO24,EO30,EO36)</f>
        <v/>
      </c>
      <c r="EP38" s="71">
        <f>SUM(EP24,EP30,EP36)</f>
        <v/>
      </c>
      <c r="EQ38" s="71">
        <f>SUM(EQ24,EQ30,EQ36)</f>
        <v/>
      </c>
      <c r="ER38" s="71">
        <f>SUM(ER24,ER30,ER36)</f>
        <v/>
      </c>
      <c r="ES38" s="71">
        <f>SUM(ES24,ES30,ES36)</f>
        <v/>
      </c>
      <c r="ET38" s="71">
        <f>SUM(ET24,ET30,ET36)</f>
        <v/>
      </c>
      <c r="EU38" s="71">
        <f>SUM(EU24,EU30,EU36)</f>
        <v/>
      </c>
      <c r="EV38" s="71">
        <f>SUM(EV24,EV30,EV36)</f>
        <v/>
      </c>
      <c r="EW38" s="71">
        <f>SUM(EW24,EW30,EW36)</f>
        <v/>
      </c>
      <c r="EX38" s="71">
        <f>SUM(EX24,EX30,EX36)</f>
        <v/>
      </c>
      <c r="EY38" s="71">
        <f>SUM(EY24,EY30,EY36)</f>
        <v/>
      </c>
      <c r="EZ38" s="71">
        <f>SUM(EZ24,EZ30,EZ36)</f>
        <v/>
      </c>
      <c r="FA38" s="71">
        <f>SUM(FA24,FA30,FA36)</f>
        <v/>
      </c>
      <c r="FB38" s="71">
        <f>SUM(FB24,FB30,FB36)</f>
        <v/>
      </c>
    </row>
    <row r="39">
      <c r="B39" s="146" t="inlineStr">
        <is>
          <t>Working Capital/Reserve</t>
        </is>
      </c>
      <c r="C39" s="46">
        <f>D39/$C$75</f>
        <v/>
      </c>
      <c r="D39" s="46">
        <f>Inputs!C85</f>
        <v/>
      </c>
      <c r="E39" s="172">
        <f>Inputs!C14</f>
        <v/>
      </c>
      <c r="F39" s="244">
        <f>Inputs!C18</f>
        <v/>
      </c>
      <c r="G39" s="222">
        <f>Inputs!C22</f>
        <v/>
      </c>
      <c r="Z39" s="69" t="n"/>
      <c r="AA39" s="69" t="n"/>
      <c r="AB39" s="69" t="n"/>
      <c r="AC39" s="69" t="n"/>
      <c r="AD39" s="69" t="n"/>
      <c r="AE39" s="69" t="n"/>
      <c r="AF39" s="69" t="n"/>
      <c r="AG39" s="69" t="n"/>
      <c r="AH39" s="69" t="n"/>
      <c r="AI39" s="69" t="n"/>
      <c r="AJ39" s="69" t="n"/>
      <c r="AK39" s="69" t="n"/>
      <c r="AL39" s="69" t="n"/>
      <c r="AM39" s="69" t="n"/>
      <c r="AN39" s="69" t="n"/>
      <c r="AO39" s="69" t="n"/>
      <c r="AP39" s="69" t="n"/>
      <c r="AQ39" s="69" t="n"/>
      <c r="AR39" s="69" t="n"/>
      <c r="AS39" s="69" t="n"/>
      <c r="AT39" s="69" t="n"/>
      <c r="AU39" s="69" t="n"/>
      <c r="AV39" s="69" t="n"/>
      <c r="AW39" s="69" t="n"/>
      <c r="AX39" s="69" t="n"/>
      <c r="AY39" s="69" t="n"/>
      <c r="AZ39" s="69" t="n"/>
      <c r="BA39" s="69" t="n"/>
      <c r="BB39" s="69" t="n"/>
      <c r="BC39" s="69" t="n"/>
      <c r="BD39" s="69" t="n"/>
      <c r="BE39" s="69" t="n"/>
      <c r="BF39" s="69" t="n"/>
      <c r="BG39" s="69" t="n"/>
      <c r="BH39" s="69" t="n"/>
      <c r="BI39" s="69" t="n"/>
      <c r="BJ39" s="69" t="n"/>
      <c r="BK39" s="69" t="n"/>
      <c r="BL39" s="69" t="n"/>
      <c r="BM39" s="69" t="n"/>
      <c r="BN39" s="69" t="n"/>
      <c r="BO39" s="69" t="n"/>
      <c r="BP39" s="69" t="n"/>
      <c r="BQ39" s="69" t="n"/>
      <c r="BR39" s="69" t="n"/>
      <c r="BS39" s="69" t="n"/>
      <c r="BT39" s="69" t="n"/>
      <c r="BU39" s="69" t="n"/>
      <c r="BV39" s="69" t="n"/>
      <c r="BW39" s="69" t="n"/>
      <c r="BX39" s="69" t="n"/>
      <c r="BY39" s="69" t="n"/>
      <c r="BZ39" s="69" t="n"/>
      <c r="CA39" s="69" t="n"/>
      <c r="CB39" s="69" t="n"/>
      <c r="CC39" s="69" t="n"/>
      <c r="CD39" s="69" t="n"/>
      <c r="CE39" s="69" t="n"/>
      <c r="CF39" s="69" t="n"/>
      <c r="CG39" s="69" t="n"/>
      <c r="CH39" s="69" t="n"/>
      <c r="CI39" s="69" t="n"/>
      <c r="CJ39" s="69" t="n"/>
      <c r="CK39" s="69" t="n"/>
      <c r="CL39" s="69" t="n"/>
      <c r="CM39" s="69" t="n"/>
      <c r="CN39" s="69" t="n"/>
      <c r="CO39" s="69" t="n"/>
      <c r="CP39" s="69" t="n"/>
      <c r="CQ39" s="69" t="n"/>
      <c r="CR39" s="69" t="n"/>
      <c r="CS39" s="69" t="n"/>
      <c r="CT39" s="69" t="n"/>
      <c r="CU39" s="69" t="n"/>
      <c r="CV39" s="69" t="n"/>
      <c r="CW39" s="69" t="n"/>
      <c r="CX39" s="69" t="n"/>
      <c r="CY39" s="69" t="n"/>
      <c r="CZ39" s="69" t="n"/>
      <c r="DA39" s="69" t="n"/>
      <c r="DB39" s="69" t="n"/>
      <c r="DC39" s="69" t="n"/>
      <c r="DD39" s="69" t="n"/>
      <c r="DE39" s="69" t="n"/>
      <c r="DF39" s="69" t="n"/>
      <c r="DG39" s="69" t="n"/>
      <c r="DH39" s="69" t="n"/>
      <c r="DI39" s="69" t="n"/>
      <c r="DJ39" s="69" t="n"/>
      <c r="DK39" s="69" t="n"/>
      <c r="DL39" s="69" t="n"/>
      <c r="DM39" s="69" t="n"/>
      <c r="DN39" s="69" t="n"/>
      <c r="DO39" s="69" t="n"/>
      <c r="DP39" s="69" t="n"/>
      <c r="DQ39" s="69" t="n"/>
      <c r="DR39" s="69" t="n"/>
      <c r="DS39" s="69" t="n"/>
      <c r="DT39" s="69" t="n"/>
      <c r="DU39" s="69" t="n"/>
      <c r="DV39" s="69" t="n"/>
      <c r="DW39" s="69" t="n"/>
      <c r="DX39" s="69" t="n"/>
      <c r="DY39" s="69" t="n"/>
      <c r="DZ39" s="69" t="n"/>
      <c r="EA39" s="69" t="n"/>
      <c r="EB39" s="69" t="n"/>
      <c r="EC39" s="69" t="n"/>
      <c r="ED39" s="69" t="n"/>
      <c r="EE39" s="69" t="n"/>
      <c r="EF39" s="69" t="n"/>
      <c r="EG39" s="69" t="n"/>
      <c r="EH39" s="69" t="n"/>
      <c r="EI39" s="69" t="n"/>
      <c r="EJ39" s="69" t="n"/>
      <c r="EK39" s="69" t="n"/>
      <c r="EL39" s="69" t="n"/>
      <c r="EM39" s="69" t="n"/>
      <c r="EN39" s="69" t="n"/>
      <c r="EO39" s="69" t="n"/>
      <c r="EP39" s="69" t="n"/>
      <c r="EQ39" s="69" t="n"/>
      <c r="ER39" s="69" t="n"/>
      <c r="ES39" s="69" t="n"/>
      <c r="ET39" s="69" t="n"/>
      <c r="EU39" s="69" t="n"/>
      <c r="EV39" s="69" t="n"/>
      <c r="EW39" s="69" t="n"/>
      <c r="EX39" s="69" t="n"/>
      <c r="EY39" s="69" t="n"/>
      <c r="EZ39" s="69" t="n"/>
      <c r="FA39" s="69" t="n"/>
      <c r="FB39" s="69" t="n"/>
    </row>
    <row r="40">
      <c r="B40" s="65" t="inlineStr">
        <is>
          <t>Financing Costs</t>
        </is>
      </c>
      <c r="C40" s="66">
        <f>D40/$C$75</f>
        <v/>
      </c>
      <c r="D40" s="66">
        <f>D49</f>
        <v/>
      </c>
      <c r="E40" s="172">
        <f>Inputs!C15</f>
        <v/>
      </c>
      <c r="F40" s="244">
        <f>Inputs!C19</f>
        <v/>
      </c>
      <c r="G40" s="222">
        <f>Inputs!C23</f>
        <v/>
      </c>
      <c r="I40" s="53" t="inlineStr">
        <is>
          <t>Operating Expenses</t>
        </is>
      </c>
      <c r="J40" s="53" t="n"/>
      <c r="K40" s="188" t="n"/>
    </row>
    <row r="41">
      <c r="B41" s="15" t="inlineStr">
        <is>
          <t>Total</t>
        </is>
      </c>
      <c r="C41" s="44">
        <f>D41/$C$75</f>
        <v/>
      </c>
      <c r="D41" s="44">
        <f>SUM(D37:D40)</f>
        <v/>
      </c>
      <c r="E41" s="173" t="n"/>
      <c r="I41" s="15" t="inlineStr">
        <is>
          <t>Controllable Expenses</t>
        </is>
      </c>
      <c r="J41" s="73" t="inlineStr">
        <is>
          <t>$/Unit/Yr</t>
        </is>
      </c>
      <c r="K41" s="74" t="n"/>
      <c r="L41" s="137" t="inlineStr">
        <is>
          <t>Total</t>
        </is>
      </c>
      <c r="M41" s="74" t="n"/>
      <c r="N41" s="73" t="n"/>
      <c r="O41" s="73" t="n"/>
      <c r="P41" s="73" t="n"/>
      <c r="Q41" s="73" t="n"/>
      <c r="R41" s="73" t="n"/>
      <c r="S41" s="73" t="n"/>
      <c r="T41" s="73" t="n"/>
      <c r="U41" s="73" t="n"/>
      <c r="V41" s="73" t="n"/>
      <c r="W41" s="73" t="n"/>
      <c r="X41" s="73" t="n"/>
      <c r="Y41" s="74" t="n"/>
      <c r="AB41" s="24" t="n"/>
      <c r="AC41" s="24" t="n"/>
      <c r="AD41" s="24" t="n"/>
      <c r="AE41" s="24" t="n"/>
      <c r="AF41" s="24" t="n"/>
      <c r="AG41" s="24" t="n"/>
      <c r="AH41" s="24" t="n"/>
      <c r="AI41" s="24" t="n"/>
      <c r="AJ41" s="24" t="n"/>
      <c r="AK41" s="24" t="n"/>
      <c r="AL41" s="24" t="n"/>
      <c r="AM41" s="24" t="n"/>
      <c r="AN41" s="24" t="n"/>
      <c r="AO41" s="24" t="n"/>
      <c r="AP41" s="24" t="n"/>
      <c r="AQ41" s="24" t="n"/>
      <c r="AR41" s="24" t="n"/>
      <c r="AS41" s="24" t="n"/>
      <c r="AT41" s="24" t="n"/>
      <c r="AU41" s="24" t="n"/>
      <c r="AV41" s="24" t="n"/>
      <c r="AW41" s="24" t="n"/>
      <c r="AX41" s="24" t="n"/>
      <c r="AY41" s="24" t="n"/>
      <c r="AZ41" s="24" t="n"/>
      <c r="BA41" s="24" t="n"/>
      <c r="BB41" s="24" t="n"/>
      <c r="BC41" s="24" t="n"/>
      <c r="BD41" s="24" t="n"/>
      <c r="BE41" s="24" t="n"/>
      <c r="BF41" s="24" t="n"/>
      <c r="BG41" s="24" t="n"/>
      <c r="BH41" s="24" t="n"/>
      <c r="BI41" s="24" t="n"/>
      <c r="BJ41" s="24" t="n"/>
      <c r="BK41" s="24" t="n"/>
      <c r="BL41" s="24" t="n"/>
      <c r="BM41" s="24" t="n"/>
      <c r="BN41" s="24" t="n"/>
      <c r="BO41" s="24" t="n"/>
      <c r="BP41" s="24" t="n"/>
      <c r="BQ41" s="24" t="n"/>
      <c r="BR41" s="24" t="n"/>
      <c r="BS41" s="24" t="n"/>
      <c r="BT41" s="24" t="n"/>
      <c r="BU41" s="24" t="n"/>
      <c r="BV41" s="24" t="n"/>
      <c r="BW41" s="24" t="n"/>
      <c r="BX41" s="24" t="n"/>
      <c r="BY41" s="24" t="n"/>
      <c r="BZ41" s="24" t="n"/>
      <c r="CA41" s="24" t="n"/>
      <c r="CB41" s="24" t="n"/>
      <c r="CC41" s="24" t="n"/>
      <c r="CD41" s="24" t="n"/>
      <c r="CE41" s="24" t="n"/>
      <c r="CF41" s="24" t="n"/>
      <c r="CG41" s="24" t="n"/>
      <c r="CH41" s="24" t="n"/>
      <c r="CI41" s="24" t="n"/>
      <c r="CJ41" s="24" t="n"/>
      <c r="CK41" s="24" t="n"/>
      <c r="CL41" s="24" t="n"/>
      <c r="CM41" s="24" t="n"/>
      <c r="CN41" s="24" t="n"/>
      <c r="CO41" s="24" t="n"/>
      <c r="CP41" s="24" t="n"/>
      <c r="CQ41" s="24" t="n"/>
      <c r="CR41" s="24" t="n"/>
      <c r="CS41" s="24" t="n"/>
      <c r="CT41" s="24" t="n"/>
      <c r="CU41" s="24" t="n"/>
      <c r="CV41" s="24" t="n"/>
      <c r="CW41" s="24" t="n"/>
      <c r="CX41" s="24" t="n"/>
      <c r="CY41" s="24" t="n"/>
      <c r="CZ41" s="24" t="n"/>
      <c r="DA41" s="24" t="n"/>
      <c r="DB41" s="24" t="n"/>
      <c r="DC41" s="24" t="n"/>
      <c r="DD41" s="24" t="n"/>
      <c r="DE41" s="24" t="n"/>
      <c r="DF41" s="24" t="n"/>
      <c r="DG41" s="24" t="n"/>
      <c r="DH41" s="24" t="n"/>
      <c r="DI41" s="24" t="n"/>
      <c r="DJ41" s="24" t="n"/>
      <c r="DK41" s="24" t="n"/>
      <c r="DL41" s="24" t="n"/>
      <c r="DM41" s="24" t="n"/>
      <c r="DN41" s="24" t="n"/>
      <c r="DO41" s="24" t="n"/>
      <c r="DP41" s="24" t="n"/>
      <c r="DQ41" s="24" t="n"/>
      <c r="DR41" s="24" t="n"/>
      <c r="DS41" s="24" t="n"/>
      <c r="DT41" s="24" t="n"/>
      <c r="DU41" s="24" t="n"/>
      <c r="DV41" s="24" t="n"/>
      <c r="DW41" s="24" t="n"/>
      <c r="DX41" s="24" t="n"/>
      <c r="DY41" s="24" t="n"/>
      <c r="DZ41" s="24" t="n"/>
      <c r="EA41" s="24" t="n"/>
      <c r="EB41" s="24" t="n"/>
      <c r="EC41" s="24" t="n"/>
      <c r="ED41" s="24" t="n"/>
      <c r="EE41" s="24" t="n"/>
      <c r="EF41" s="24" t="n"/>
      <c r="EG41" s="24" t="n"/>
      <c r="EH41" s="24" t="n"/>
      <c r="EI41" s="24" t="n"/>
      <c r="EJ41" s="24" t="n"/>
      <c r="EK41" s="24" t="n"/>
      <c r="EL41" s="24" t="n"/>
      <c r="EM41" s="24" t="n"/>
      <c r="EN41" s="24" t="n"/>
      <c r="EO41" s="24" t="n"/>
      <c r="EP41" s="24" t="n"/>
      <c r="EQ41" s="24" t="n"/>
      <c r="ER41" s="24" t="n"/>
      <c r="ES41" s="24" t="n"/>
      <c r="ET41" s="24" t="n"/>
      <c r="EU41" s="24" t="n"/>
      <c r="EV41" s="24" t="n"/>
      <c r="EW41" s="24" t="n"/>
      <c r="EX41" s="24" t="n"/>
      <c r="EY41" s="24" t="n"/>
      <c r="EZ41" s="24" t="n"/>
      <c r="FA41" s="24" t="n"/>
      <c r="FB41" s="24" t="n"/>
    </row>
    <row r="42">
      <c r="B42" s="15" t="n"/>
      <c r="C42" s="15" t="n"/>
      <c r="D42" s="182" t="n"/>
      <c r="E42" s="44" t="n"/>
      <c r="F42" s="15" t="n"/>
      <c r="I42" s="9" t="inlineStr">
        <is>
          <t>Payroll</t>
        </is>
      </c>
      <c r="J42" s="100">
        <f>Inputs!C72</f>
        <v/>
      </c>
      <c r="K42" s="62" t="n"/>
      <c r="L42" s="24">
        <f>SUMIF($Z$4:$FB$4,"&lt;="&amp;$G$18,$Z42:$FB42)</f>
        <v/>
      </c>
      <c r="M42" s="62" t="n"/>
      <c r="N42" s="61">
        <f>SUMIF($Z$3:$FB$3,N$7,$Z42:$FB42)</f>
        <v/>
      </c>
      <c r="O42" s="61">
        <f>SUMIF($Z$3:$FB$3,O$7,$Z42:$FB42)</f>
        <v/>
      </c>
      <c r="P42" s="61">
        <f>SUMIF($Z$3:$FB$3,P$7,$Z42:$FB42)</f>
        <v/>
      </c>
      <c r="Q42" s="61">
        <f>SUMIF($Z$3:$FB$3,Q$7,$Z42:$FB42)</f>
        <v/>
      </c>
      <c r="R42" s="61">
        <f>SUMIF($Z$3:$FB$3,R$7,$Z42:$FB42)</f>
        <v/>
      </c>
      <c r="S42" s="61">
        <f>SUMIF($Z$3:$FB$3,S$7,$Z42:$FB42)</f>
        <v/>
      </c>
      <c r="T42" s="61">
        <f>SUMIF($Z$3:$FB$3,T$7,$Z42:$FB42)</f>
        <v/>
      </c>
      <c r="U42" s="61">
        <f>SUMIF($Z$3:$FB$3,U$7,$Z42:$FB42)</f>
        <v/>
      </c>
      <c r="V42" s="61">
        <f>SUMIF($Z$3:$FB$3,V$7,$Z42:$FB42)</f>
        <v/>
      </c>
      <c r="W42" s="61">
        <f>SUMIF($Z$3:$FB$3,W$7,$Z42:$FB42)</f>
        <v/>
      </c>
      <c r="X42" s="61">
        <f>SUMIF($Z$3:$FB$3,X$7,$Z42:$FB42)</f>
        <v/>
      </c>
      <c r="Y42" s="62" t="n"/>
      <c r="Z42" s="24" t="n">
        <v>0</v>
      </c>
      <c r="AA42" s="24">
        <f>$J42/12*AA$14*$C$75</f>
        <v/>
      </c>
      <c r="AB42" s="24">
        <f>$J42/12*AB$14*$C$75</f>
        <v/>
      </c>
      <c r="AC42" s="24">
        <f>$J42/12*AC$14*$C$75</f>
        <v/>
      </c>
      <c r="AD42" s="24">
        <f>$J42/12*AD$14*$C$75</f>
        <v/>
      </c>
      <c r="AE42" s="24">
        <f>$J42/12*AE$14*$C$75</f>
        <v/>
      </c>
      <c r="AF42" s="24">
        <f>$J42/12*AF$14*$C$75</f>
        <v/>
      </c>
      <c r="AG42" s="24">
        <f>$J42/12*AG$14*$C$75</f>
        <v/>
      </c>
      <c r="AH42" s="24">
        <f>$J42/12*AH$14*$C$75</f>
        <v/>
      </c>
      <c r="AI42" s="24">
        <f>$J42/12*AI$14*$C$75</f>
        <v/>
      </c>
      <c r="AJ42" s="24">
        <f>$J42/12*AJ$14*$C$75</f>
        <v/>
      </c>
      <c r="AK42" s="24">
        <f>$J42/12*AK$14*$C$75</f>
        <v/>
      </c>
      <c r="AL42" s="24">
        <f>$J42/12*AL$14*$C$75</f>
        <v/>
      </c>
      <c r="AM42" s="24">
        <f>$J42/12*AM$14*$C$75</f>
        <v/>
      </c>
      <c r="AN42" s="24">
        <f>$J42/12*AN$14*$C$75</f>
        <v/>
      </c>
      <c r="AO42" s="24">
        <f>$J42/12*AO$14*$C$75</f>
        <v/>
      </c>
      <c r="AP42" s="24">
        <f>$J42/12*AP$14*$C$75</f>
        <v/>
      </c>
      <c r="AQ42" s="24">
        <f>$J42/12*AQ$14*$C$75</f>
        <v/>
      </c>
      <c r="AR42" s="24">
        <f>$J42/12*AR$14*$C$75</f>
        <v/>
      </c>
      <c r="AS42" s="24">
        <f>$J42/12*AS$14*$C$75</f>
        <v/>
      </c>
      <c r="AT42" s="24">
        <f>$J42/12*AT$14*$C$75</f>
        <v/>
      </c>
      <c r="AU42" s="24">
        <f>$J42/12*AU$14*$C$75</f>
        <v/>
      </c>
      <c r="AV42" s="24">
        <f>$J42/12*AV$14*$C$75</f>
        <v/>
      </c>
      <c r="AW42" s="24">
        <f>$J42/12*AW$14*$C$75</f>
        <v/>
      </c>
      <c r="AX42" s="24">
        <f>$J42/12*AX$14*$C$75</f>
        <v/>
      </c>
      <c r="AY42" s="24">
        <f>$J42/12*AY$14*$C$75</f>
        <v/>
      </c>
      <c r="AZ42" s="24">
        <f>$J42/12*AZ$14*$C$75</f>
        <v/>
      </c>
      <c r="BA42" s="24">
        <f>$J42/12*BA$14*$C$75</f>
        <v/>
      </c>
      <c r="BB42" s="24">
        <f>$J42/12*BB$14*$C$75</f>
        <v/>
      </c>
      <c r="BC42" s="24">
        <f>$J42/12*BC$14*$C$75</f>
        <v/>
      </c>
      <c r="BD42" s="24">
        <f>$J42/12*BD$14*$C$75</f>
        <v/>
      </c>
      <c r="BE42" s="24">
        <f>$J42/12*BE$14*$C$75</f>
        <v/>
      </c>
      <c r="BF42" s="24">
        <f>$J42/12*BF$14*$C$75</f>
        <v/>
      </c>
      <c r="BG42" s="24">
        <f>$J42/12*BG$14*$C$75</f>
        <v/>
      </c>
      <c r="BH42" s="24">
        <f>$J42/12*BH$14*$C$75</f>
        <v/>
      </c>
      <c r="BI42" s="24">
        <f>$J42/12*BI$14*$C$75</f>
        <v/>
      </c>
      <c r="BJ42" s="24">
        <f>$J42/12*BJ$14*$C$75</f>
        <v/>
      </c>
      <c r="BK42" s="24">
        <f>$J42/12*BK$14*$C$75</f>
        <v/>
      </c>
      <c r="BL42" s="24">
        <f>$J42/12*BL$14*$C$75</f>
        <v/>
      </c>
      <c r="BM42" s="24">
        <f>$J42/12*BM$14*$C$75</f>
        <v/>
      </c>
      <c r="BN42" s="24">
        <f>$J42/12*BN$14*$C$75</f>
        <v/>
      </c>
      <c r="BO42" s="24">
        <f>$J42/12*BO$14*$C$75</f>
        <v/>
      </c>
      <c r="BP42" s="24">
        <f>$J42/12*BP$14*$C$75</f>
        <v/>
      </c>
      <c r="BQ42" s="24">
        <f>$J42/12*BQ$14*$C$75</f>
        <v/>
      </c>
      <c r="BR42" s="24">
        <f>$J42/12*BR$14*$C$75</f>
        <v/>
      </c>
      <c r="BS42" s="24">
        <f>$J42/12*BS$14*$C$75</f>
        <v/>
      </c>
      <c r="BT42" s="24">
        <f>$J42/12*BT$14*$C$75</f>
        <v/>
      </c>
      <c r="BU42" s="24">
        <f>$J42/12*BU$14*$C$75</f>
        <v/>
      </c>
      <c r="BV42" s="24">
        <f>$J42/12*BV$14*$C$75</f>
        <v/>
      </c>
      <c r="BW42" s="24">
        <f>$J42/12*BW$14*$C$75</f>
        <v/>
      </c>
      <c r="BX42" s="24">
        <f>$J42/12*BX$14*$C$75</f>
        <v/>
      </c>
      <c r="BY42" s="24">
        <f>$J42/12*BY$14*$C$75</f>
        <v/>
      </c>
      <c r="BZ42" s="24">
        <f>$J42/12*BZ$14*$C$75</f>
        <v/>
      </c>
      <c r="CA42" s="24">
        <f>$J42/12*CA$14*$C$75</f>
        <v/>
      </c>
      <c r="CB42" s="24">
        <f>$J42/12*CB$14*$C$75</f>
        <v/>
      </c>
      <c r="CC42" s="24">
        <f>$J42/12*CC$14*$C$75</f>
        <v/>
      </c>
      <c r="CD42" s="24">
        <f>$J42/12*CD$14*$C$75</f>
        <v/>
      </c>
      <c r="CE42" s="24">
        <f>$J42/12*CE$14*$C$75</f>
        <v/>
      </c>
      <c r="CF42" s="24">
        <f>$J42/12*CF$14*$C$75</f>
        <v/>
      </c>
      <c r="CG42" s="24">
        <f>$J42/12*CG$14*$C$75</f>
        <v/>
      </c>
      <c r="CH42" s="24">
        <f>$J42/12*CH$14*$C$75</f>
        <v/>
      </c>
      <c r="CI42" s="24">
        <f>$J42/12*CI$14*$C$75</f>
        <v/>
      </c>
      <c r="CJ42" s="24">
        <f>$J42/12*CJ$14*$C$75</f>
        <v/>
      </c>
      <c r="CK42" s="24">
        <f>$J42/12*CK$14*$C$75</f>
        <v/>
      </c>
      <c r="CL42" s="24">
        <f>$J42/12*CL$14*$C$75</f>
        <v/>
      </c>
      <c r="CM42" s="24">
        <f>$J42/12*CM$14*$C$75</f>
        <v/>
      </c>
      <c r="CN42" s="24">
        <f>$J42/12*CN$14*$C$75</f>
        <v/>
      </c>
      <c r="CO42" s="24">
        <f>$J42/12*CO$14*$C$75</f>
        <v/>
      </c>
      <c r="CP42" s="24">
        <f>$J42/12*CP$14*$C$75</f>
        <v/>
      </c>
      <c r="CQ42" s="24">
        <f>$J42/12*CQ$14*$C$75</f>
        <v/>
      </c>
      <c r="CR42" s="24">
        <f>$J42/12*CR$14*$C$75</f>
        <v/>
      </c>
      <c r="CS42" s="24">
        <f>$J42/12*CS$14*$C$75</f>
        <v/>
      </c>
      <c r="CT42" s="24">
        <f>$J42/12*CT$14*$C$75</f>
        <v/>
      </c>
      <c r="CU42" s="24">
        <f>$J42/12*CU$14*$C$75</f>
        <v/>
      </c>
      <c r="CV42" s="24">
        <f>$J42/12*CV$14*$C$75</f>
        <v/>
      </c>
      <c r="CW42" s="24">
        <f>$J42/12*CW$14*$C$75</f>
        <v/>
      </c>
      <c r="CX42" s="24">
        <f>$J42/12*CX$14*$C$75</f>
        <v/>
      </c>
      <c r="CY42" s="24">
        <f>$J42/12*CY$14*$C$75</f>
        <v/>
      </c>
      <c r="CZ42" s="24">
        <f>$J42/12*CZ$14*$C$75</f>
        <v/>
      </c>
      <c r="DA42" s="24">
        <f>$J42/12*DA$14*$C$75</f>
        <v/>
      </c>
      <c r="DB42" s="24">
        <f>$J42/12*DB$14*$C$75</f>
        <v/>
      </c>
      <c r="DC42" s="24">
        <f>$J42/12*DC$14*$C$75</f>
        <v/>
      </c>
      <c r="DD42" s="24">
        <f>$J42/12*DD$14*$C$75</f>
        <v/>
      </c>
      <c r="DE42" s="24">
        <f>$J42/12*DE$14*$C$75</f>
        <v/>
      </c>
      <c r="DF42" s="24">
        <f>$J42/12*DF$14*$C$75</f>
        <v/>
      </c>
      <c r="DG42" s="24">
        <f>$J42/12*DG$14*$C$75</f>
        <v/>
      </c>
      <c r="DH42" s="24">
        <f>$J42/12*DH$14*$C$75</f>
        <v/>
      </c>
      <c r="DI42" s="24">
        <f>$J42/12*DI$14*$C$75</f>
        <v/>
      </c>
      <c r="DJ42" s="24">
        <f>$J42/12*DJ$14*$C$75</f>
        <v/>
      </c>
      <c r="DK42" s="24">
        <f>$J42/12*DK$14*$C$75</f>
        <v/>
      </c>
      <c r="DL42" s="24">
        <f>$J42/12*DL$14*$C$75</f>
        <v/>
      </c>
      <c r="DM42" s="24">
        <f>$J42/12*DM$14*$C$75</f>
        <v/>
      </c>
      <c r="DN42" s="24">
        <f>$J42/12*DN$14*$C$75</f>
        <v/>
      </c>
      <c r="DO42" s="24">
        <f>$J42/12*DO$14*$C$75</f>
        <v/>
      </c>
      <c r="DP42" s="24">
        <f>$J42/12*DP$14*$C$75</f>
        <v/>
      </c>
      <c r="DQ42" s="24">
        <f>$J42/12*DQ$14*$C$75</f>
        <v/>
      </c>
      <c r="DR42" s="24">
        <f>$J42/12*DR$14*$C$75</f>
        <v/>
      </c>
      <c r="DS42" s="24">
        <f>$J42/12*DS$14*$C$75</f>
        <v/>
      </c>
      <c r="DT42" s="24">
        <f>$J42/12*DT$14*$C$75</f>
        <v/>
      </c>
      <c r="DU42" s="24">
        <f>$J42/12*DU$14*$C$75</f>
        <v/>
      </c>
      <c r="DV42" s="24">
        <f>$J42/12*DV$14*$C$75</f>
        <v/>
      </c>
      <c r="DW42" s="24">
        <f>$J42/12*DW$14*$C$75</f>
        <v/>
      </c>
      <c r="DX42" s="24">
        <f>$J42/12*DX$14*$C$75</f>
        <v/>
      </c>
      <c r="DY42" s="24">
        <f>$J42/12*DY$14*$C$75</f>
        <v/>
      </c>
      <c r="DZ42" s="24">
        <f>$J42/12*DZ$14*$C$75</f>
        <v/>
      </c>
      <c r="EA42" s="24">
        <f>$J42/12*EA$14*$C$75</f>
        <v/>
      </c>
      <c r="EB42" s="24">
        <f>$J42/12*EB$14*$C$75</f>
        <v/>
      </c>
      <c r="EC42" s="24">
        <f>$J42/12*EC$14*$C$75</f>
        <v/>
      </c>
      <c r="ED42" s="24">
        <f>$J42/12*ED$14*$C$75</f>
        <v/>
      </c>
      <c r="EE42" s="24">
        <f>$J42/12*EE$14*$C$75</f>
        <v/>
      </c>
      <c r="EF42" s="24">
        <f>$J42/12*EF$14*$C$75</f>
        <v/>
      </c>
      <c r="EG42" s="24">
        <f>$J42/12*EG$14*$C$75</f>
        <v/>
      </c>
      <c r="EH42" s="24">
        <f>$J42/12*EH$14*$C$75</f>
        <v/>
      </c>
      <c r="EI42" s="24">
        <f>$J42/12*EI$14*$C$75</f>
        <v/>
      </c>
      <c r="EJ42" s="24">
        <f>$J42/12*EJ$14*$C$75</f>
        <v/>
      </c>
      <c r="EK42" s="24">
        <f>$J42/12*EK$14*$C$75</f>
        <v/>
      </c>
      <c r="EL42" s="24">
        <f>$J42/12*EL$14*$C$75</f>
        <v/>
      </c>
      <c r="EM42" s="24">
        <f>$J42/12*EM$14*$C$75</f>
        <v/>
      </c>
      <c r="EN42" s="24">
        <f>$J42/12*EN$14*$C$75</f>
        <v/>
      </c>
      <c r="EO42" s="24">
        <f>$J42/12*EO$14*$C$75</f>
        <v/>
      </c>
      <c r="EP42" s="24">
        <f>$J42/12*EP$14*$C$75</f>
        <v/>
      </c>
      <c r="EQ42" s="24">
        <f>$J42/12*EQ$14*$C$75</f>
        <v/>
      </c>
      <c r="ER42" s="24">
        <f>$J42/12*ER$14*$C$75</f>
        <v/>
      </c>
      <c r="ES42" s="24">
        <f>$J42/12*ES$14*$C$75</f>
        <v/>
      </c>
      <c r="ET42" s="24">
        <f>$J42/12*ET$14*$C$75</f>
        <v/>
      </c>
      <c r="EU42" s="24">
        <f>$J42/12*EU$14*$C$75</f>
        <v/>
      </c>
      <c r="EV42" s="24">
        <f>$J42/12*EV$14*$C$75</f>
        <v/>
      </c>
      <c r="EW42" s="24">
        <f>$J42/12*EW$14*$C$75</f>
        <v/>
      </c>
      <c r="EX42" s="24">
        <f>$J42/12*EX$14*$C$75</f>
        <v/>
      </c>
      <c r="EY42" s="24">
        <f>$J42/12*EY$14*$C$75</f>
        <v/>
      </c>
      <c r="EZ42" s="24">
        <f>$J42/12*EZ$14*$C$75</f>
        <v/>
      </c>
      <c r="FA42" s="24">
        <f>$J42/12*FA$14*$C$75</f>
        <v/>
      </c>
      <c r="FB42" s="24">
        <f>$J42/12*FB$14*$C$75</f>
        <v/>
      </c>
    </row>
    <row r="43">
      <c r="B43" s="7" t="inlineStr">
        <is>
          <t>Financing Assumptions</t>
        </is>
      </c>
      <c r="C43" s="7" t="n"/>
      <c r="D43" s="7" t="n"/>
      <c r="E43" s="7" t="n"/>
      <c r="F43" s="7" t="n"/>
      <c r="G43" s="7" t="n"/>
      <c r="I43" s="9" t="inlineStr">
        <is>
          <t>Admin</t>
        </is>
      </c>
      <c r="J43" s="100">
        <f>Inputs!C73</f>
        <v/>
      </c>
      <c r="K43" s="62" t="n"/>
      <c r="L43" s="24">
        <f>SUMIF($Z$4:$FB$4,"&lt;="&amp;$G$18,$Z43:$FB43)</f>
        <v/>
      </c>
      <c r="M43" s="62" t="n"/>
      <c r="N43" s="61">
        <f>SUMIF($Z$3:$FB$3,N$7,$Z43:$FB43)</f>
        <v/>
      </c>
      <c r="O43" s="61">
        <f>SUMIF($Z$3:$FB$3,O$7,$Z43:$FB43)</f>
        <v/>
      </c>
      <c r="P43" s="61">
        <f>SUMIF($Z$3:$FB$3,P$7,$Z43:$FB43)</f>
        <v/>
      </c>
      <c r="Q43" s="61">
        <f>SUMIF($Z$3:$FB$3,Q$7,$Z43:$FB43)</f>
        <v/>
      </c>
      <c r="R43" s="61">
        <f>SUMIF($Z$3:$FB$3,R$7,$Z43:$FB43)</f>
        <v/>
      </c>
      <c r="S43" s="61">
        <f>SUMIF($Z$3:$FB$3,S$7,$Z43:$FB43)</f>
        <v/>
      </c>
      <c r="T43" s="61">
        <f>SUMIF($Z$3:$FB$3,T$7,$Z43:$FB43)</f>
        <v/>
      </c>
      <c r="U43" s="61">
        <f>SUMIF($Z$3:$FB$3,U$7,$Z43:$FB43)</f>
        <v/>
      </c>
      <c r="V43" s="61">
        <f>SUMIF($Z$3:$FB$3,V$7,$Z43:$FB43)</f>
        <v/>
      </c>
      <c r="W43" s="61">
        <f>SUMIF($Z$3:$FB$3,W$7,$Z43:$FB43)</f>
        <v/>
      </c>
      <c r="X43" s="61">
        <f>SUMIF($Z$3:$FB$3,X$7,$Z43:$FB43)</f>
        <v/>
      </c>
      <c r="Y43" s="62" t="n"/>
      <c r="Z43" s="24" t="n">
        <v>0</v>
      </c>
      <c r="AA43" s="24">
        <f>$J43/12*AA$14*$C$75</f>
        <v/>
      </c>
      <c r="AB43" s="24">
        <f>$J43/12*AB$14*$C$75</f>
        <v/>
      </c>
      <c r="AC43" s="24">
        <f>$J43/12*AC$14*$C$75</f>
        <v/>
      </c>
      <c r="AD43" s="24">
        <f>$J43/12*AD$14*$C$75</f>
        <v/>
      </c>
      <c r="AE43" s="24">
        <f>$J43/12*AE$14*$C$75</f>
        <v/>
      </c>
      <c r="AF43" s="24">
        <f>$J43/12*AF$14*$C$75</f>
        <v/>
      </c>
      <c r="AG43" s="24">
        <f>$J43/12*AG$14*$C$75</f>
        <v/>
      </c>
      <c r="AH43" s="24">
        <f>$J43/12*AH$14*$C$75</f>
        <v/>
      </c>
      <c r="AI43" s="24">
        <f>$J43/12*AI$14*$C$75</f>
        <v/>
      </c>
      <c r="AJ43" s="24">
        <f>$J43/12*AJ$14*$C$75</f>
        <v/>
      </c>
      <c r="AK43" s="24">
        <f>$J43/12*AK$14*$C$75</f>
        <v/>
      </c>
      <c r="AL43" s="24">
        <f>$J43/12*AL$14*$C$75</f>
        <v/>
      </c>
      <c r="AM43" s="24">
        <f>$J43/12*AM$14*$C$75</f>
        <v/>
      </c>
      <c r="AN43" s="24">
        <f>$J43/12*AN$14*$C$75</f>
        <v/>
      </c>
      <c r="AO43" s="24">
        <f>$J43/12*AO$14*$C$75</f>
        <v/>
      </c>
      <c r="AP43" s="24">
        <f>$J43/12*AP$14*$C$75</f>
        <v/>
      </c>
      <c r="AQ43" s="24">
        <f>$J43/12*AQ$14*$C$75</f>
        <v/>
      </c>
      <c r="AR43" s="24">
        <f>$J43/12*AR$14*$C$75</f>
        <v/>
      </c>
      <c r="AS43" s="24">
        <f>$J43/12*AS$14*$C$75</f>
        <v/>
      </c>
      <c r="AT43" s="24">
        <f>$J43/12*AT$14*$C$75</f>
        <v/>
      </c>
      <c r="AU43" s="24">
        <f>$J43/12*AU$14*$C$75</f>
        <v/>
      </c>
      <c r="AV43" s="24">
        <f>$J43/12*AV$14*$C$75</f>
        <v/>
      </c>
      <c r="AW43" s="24">
        <f>$J43/12*AW$14*$C$75</f>
        <v/>
      </c>
      <c r="AX43" s="24">
        <f>$J43/12*AX$14*$C$75</f>
        <v/>
      </c>
      <c r="AY43" s="24">
        <f>$J43/12*AY$14*$C$75</f>
        <v/>
      </c>
      <c r="AZ43" s="24">
        <f>$J43/12*AZ$14*$C$75</f>
        <v/>
      </c>
      <c r="BA43" s="24">
        <f>$J43/12*BA$14*$C$75</f>
        <v/>
      </c>
      <c r="BB43" s="24">
        <f>$J43/12*BB$14*$C$75</f>
        <v/>
      </c>
      <c r="BC43" s="24">
        <f>$J43/12*BC$14*$C$75</f>
        <v/>
      </c>
      <c r="BD43" s="24">
        <f>$J43/12*BD$14*$C$75</f>
        <v/>
      </c>
      <c r="BE43" s="24">
        <f>$J43/12*BE$14*$C$75</f>
        <v/>
      </c>
      <c r="BF43" s="24">
        <f>$J43/12*BF$14*$C$75</f>
        <v/>
      </c>
      <c r="BG43" s="24">
        <f>$J43/12*BG$14*$C$75</f>
        <v/>
      </c>
      <c r="BH43" s="24">
        <f>$J43/12*BH$14*$C$75</f>
        <v/>
      </c>
      <c r="BI43" s="24">
        <f>$J43/12*BI$14*$C$75</f>
        <v/>
      </c>
      <c r="BJ43" s="24">
        <f>$J43/12*BJ$14*$C$75</f>
        <v/>
      </c>
      <c r="BK43" s="24">
        <f>$J43/12*BK$14*$C$75</f>
        <v/>
      </c>
      <c r="BL43" s="24">
        <f>$J43/12*BL$14*$C$75</f>
        <v/>
      </c>
      <c r="BM43" s="24">
        <f>$J43/12*BM$14*$C$75</f>
        <v/>
      </c>
      <c r="BN43" s="24">
        <f>$J43/12*BN$14*$C$75</f>
        <v/>
      </c>
      <c r="BO43" s="24">
        <f>$J43/12*BO$14*$C$75</f>
        <v/>
      </c>
      <c r="BP43" s="24">
        <f>$J43/12*BP$14*$C$75</f>
        <v/>
      </c>
      <c r="BQ43" s="24">
        <f>$J43/12*BQ$14*$C$75</f>
        <v/>
      </c>
      <c r="BR43" s="24">
        <f>$J43/12*BR$14*$C$75</f>
        <v/>
      </c>
      <c r="BS43" s="24">
        <f>$J43/12*BS$14*$C$75</f>
        <v/>
      </c>
      <c r="BT43" s="24">
        <f>$J43/12*BT$14*$C$75</f>
        <v/>
      </c>
      <c r="BU43" s="24">
        <f>$J43/12*BU$14*$C$75</f>
        <v/>
      </c>
      <c r="BV43" s="24">
        <f>$J43/12*BV$14*$C$75</f>
        <v/>
      </c>
      <c r="BW43" s="24">
        <f>$J43/12*BW$14*$C$75</f>
        <v/>
      </c>
      <c r="BX43" s="24">
        <f>$J43/12*BX$14*$C$75</f>
        <v/>
      </c>
      <c r="BY43" s="24">
        <f>$J43/12*BY$14*$C$75</f>
        <v/>
      </c>
      <c r="BZ43" s="24">
        <f>$J43/12*BZ$14*$C$75</f>
        <v/>
      </c>
      <c r="CA43" s="24">
        <f>$J43/12*CA$14*$C$75</f>
        <v/>
      </c>
      <c r="CB43" s="24">
        <f>$J43/12*CB$14*$C$75</f>
        <v/>
      </c>
      <c r="CC43" s="24">
        <f>$J43/12*CC$14*$C$75</f>
        <v/>
      </c>
      <c r="CD43" s="24">
        <f>$J43/12*CD$14*$C$75</f>
        <v/>
      </c>
      <c r="CE43" s="24">
        <f>$J43/12*CE$14*$C$75</f>
        <v/>
      </c>
      <c r="CF43" s="24">
        <f>$J43/12*CF$14*$C$75</f>
        <v/>
      </c>
      <c r="CG43" s="24">
        <f>$J43/12*CG$14*$C$75</f>
        <v/>
      </c>
      <c r="CH43" s="24">
        <f>$J43/12*CH$14*$C$75</f>
        <v/>
      </c>
      <c r="CI43" s="24">
        <f>$J43/12*CI$14*$C$75</f>
        <v/>
      </c>
      <c r="CJ43" s="24">
        <f>$J43/12*CJ$14*$C$75</f>
        <v/>
      </c>
      <c r="CK43" s="24">
        <f>$J43/12*CK$14*$C$75</f>
        <v/>
      </c>
      <c r="CL43" s="24">
        <f>$J43/12*CL$14*$C$75</f>
        <v/>
      </c>
      <c r="CM43" s="24">
        <f>$J43/12*CM$14*$C$75</f>
        <v/>
      </c>
      <c r="CN43" s="24">
        <f>$J43/12*CN$14*$C$75</f>
        <v/>
      </c>
      <c r="CO43" s="24">
        <f>$J43/12*CO$14*$C$75</f>
        <v/>
      </c>
      <c r="CP43" s="24">
        <f>$J43/12*CP$14*$C$75</f>
        <v/>
      </c>
      <c r="CQ43" s="24">
        <f>$J43/12*CQ$14*$C$75</f>
        <v/>
      </c>
      <c r="CR43" s="24">
        <f>$J43/12*CR$14*$C$75</f>
        <v/>
      </c>
      <c r="CS43" s="24">
        <f>$J43/12*CS$14*$C$75</f>
        <v/>
      </c>
      <c r="CT43" s="24">
        <f>$J43/12*CT$14*$C$75</f>
        <v/>
      </c>
      <c r="CU43" s="24">
        <f>$J43/12*CU$14*$C$75</f>
        <v/>
      </c>
      <c r="CV43" s="24">
        <f>$J43/12*CV$14*$C$75</f>
        <v/>
      </c>
      <c r="CW43" s="24">
        <f>$J43/12*CW$14*$C$75</f>
        <v/>
      </c>
      <c r="CX43" s="24">
        <f>$J43/12*CX$14*$C$75</f>
        <v/>
      </c>
      <c r="CY43" s="24">
        <f>$J43/12*CY$14*$C$75</f>
        <v/>
      </c>
      <c r="CZ43" s="24">
        <f>$J43/12*CZ$14*$C$75</f>
        <v/>
      </c>
      <c r="DA43" s="24">
        <f>$J43/12*DA$14*$C$75</f>
        <v/>
      </c>
      <c r="DB43" s="24">
        <f>$J43/12*DB$14*$C$75</f>
        <v/>
      </c>
      <c r="DC43" s="24">
        <f>$J43/12*DC$14*$C$75</f>
        <v/>
      </c>
      <c r="DD43" s="24">
        <f>$J43/12*DD$14*$C$75</f>
        <v/>
      </c>
      <c r="DE43" s="24">
        <f>$J43/12*DE$14*$C$75</f>
        <v/>
      </c>
      <c r="DF43" s="24">
        <f>$J43/12*DF$14*$C$75</f>
        <v/>
      </c>
      <c r="DG43" s="24">
        <f>$J43/12*DG$14*$C$75</f>
        <v/>
      </c>
      <c r="DH43" s="24">
        <f>$J43/12*DH$14*$C$75</f>
        <v/>
      </c>
      <c r="DI43" s="24">
        <f>$J43/12*DI$14*$C$75</f>
        <v/>
      </c>
      <c r="DJ43" s="24">
        <f>$J43/12*DJ$14*$C$75</f>
        <v/>
      </c>
      <c r="DK43" s="24">
        <f>$J43/12*DK$14*$C$75</f>
        <v/>
      </c>
      <c r="DL43" s="24">
        <f>$J43/12*DL$14*$C$75</f>
        <v/>
      </c>
      <c r="DM43" s="24">
        <f>$J43/12*DM$14*$C$75</f>
        <v/>
      </c>
      <c r="DN43" s="24">
        <f>$J43/12*DN$14*$C$75</f>
        <v/>
      </c>
      <c r="DO43" s="24">
        <f>$J43/12*DO$14*$C$75</f>
        <v/>
      </c>
      <c r="DP43" s="24">
        <f>$J43/12*DP$14*$C$75</f>
        <v/>
      </c>
      <c r="DQ43" s="24">
        <f>$J43/12*DQ$14*$C$75</f>
        <v/>
      </c>
      <c r="DR43" s="24">
        <f>$J43/12*DR$14*$C$75</f>
        <v/>
      </c>
      <c r="DS43" s="24">
        <f>$J43/12*DS$14*$C$75</f>
        <v/>
      </c>
      <c r="DT43" s="24">
        <f>$J43/12*DT$14*$C$75</f>
        <v/>
      </c>
      <c r="DU43" s="24">
        <f>$J43/12*DU$14*$C$75</f>
        <v/>
      </c>
      <c r="DV43" s="24">
        <f>$J43/12*DV$14*$C$75</f>
        <v/>
      </c>
      <c r="DW43" s="24">
        <f>$J43/12*DW$14*$C$75</f>
        <v/>
      </c>
      <c r="DX43" s="24">
        <f>$J43/12*DX$14*$C$75</f>
        <v/>
      </c>
      <c r="DY43" s="24">
        <f>$J43/12*DY$14*$C$75</f>
        <v/>
      </c>
      <c r="DZ43" s="24">
        <f>$J43/12*DZ$14*$C$75</f>
        <v/>
      </c>
      <c r="EA43" s="24">
        <f>$J43/12*EA$14*$C$75</f>
        <v/>
      </c>
      <c r="EB43" s="24">
        <f>$J43/12*EB$14*$C$75</f>
        <v/>
      </c>
      <c r="EC43" s="24">
        <f>$J43/12*EC$14*$C$75</f>
        <v/>
      </c>
      <c r="ED43" s="24">
        <f>$J43/12*ED$14*$C$75</f>
        <v/>
      </c>
      <c r="EE43" s="24">
        <f>$J43/12*EE$14*$C$75</f>
        <v/>
      </c>
      <c r="EF43" s="24">
        <f>$J43/12*EF$14*$C$75</f>
        <v/>
      </c>
      <c r="EG43" s="24">
        <f>$J43/12*EG$14*$C$75</f>
        <v/>
      </c>
      <c r="EH43" s="24">
        <f>$J43/12*EH$14*$C$75</f>
        <v/>
      </c>
      <c r="EI43" s="24">
        <f>$J43/12*EI$14*$C$75</f>
        <v/>
      </c>
      <c r="EJ43" s="24">
        <f>$J43/12*EJ$14*$C$75</f>
        <v/>
      </c>
      <c r="EK43" s="24">
        <f>$J43/12*EK$14*$C$75</f>
        <v/>
      </c>
      <c r="EL43" s="24">
        <f>$J43/12*EL$14*$C$75</f>
        <v/>
      </c>
      <c r="EM43" s="24">
        <f>$J43/12*EM$14*$C$75</f>
        <v/>
      </c>
      <c r="EN43" s="24">
        <f>$J43/12*EN$14*$C$75</f>
        <v/>
      </c>
      <c r="EO43" s="24">
        <f>$J43/12*EO$14*$C$75</f>
        <v/>
      </c>
      <c r="EP43" s="24">
        <f>$J43/12*EP$14*$C$75</f>
        <v/>
      </c>
      <c r="EQ43" s="24">
        <f>$J43/12*EQ$14*$C$75</f>
        <v/>
      </c>
      <c r="ER43" s="24">
        <f>$J43/12*ER$14*$C$75</f>
        <v/>
      </c>
      <c r="ES43" s="24">
        <f>$J43/12*ES$14*$C$75</f>
        <v/>
      </c>
      <c r="ET43" s="24">
        <f>$J43/12*ET$14*$C$75</f>
        <v/>
      </c>
      <c r="EU43" s="24">
        <f>$J43/12*EU$14*$C$75</f>
        <v/>
      </c>
      <c r="EV43" s="24">
        <f>$J43/12*EV$14*$C$75</f>
        <v/>
      </c>
      <c r="EW43" s="24">
        <f>$J43/12*EW$14*$C$75</f>
        <v/>
      </c>
      <c r="EX43" s="24">
        <f>$J43/12*EX$14*$C$75</f>
        <v/>
      </c>
      <c r="EY43" s="24">
        <f>$J43/12*EY$14*$C$75</f>
        <v/>
      </c>
      <c r="EZ43" s="24">
        <f>$J43/12*EZ$14*$C$75</f>
        <v/>
      </c>
      <c r="FA43" s="24">
        <f>$J43/12*FA$14*$C$75</f>
        <v/>
      </c>
      <c r="FB43" s="24">
        <f>$J43/12*FB$14*$C$75</f>
        <v/>
      </c>
    </row>
    <row r="44">
      <c r="B44" s="35" t="inlineStr">
        <is>
          <t>Senior Financing</t>
        </is>
      </c>
      <c r="C44" s="36" t="inlineStr">
        <is>
          <t>Senior Financing</t>
        </is>
      </c>
      <c r="D44" s="36" t="n"/>
      <c r="E44" s="75" t="n"/>
      <c r="F44" s="36" t="inlineStr">
        <is>
          <t>Refinance</t>
        </is>
      </c>
      <c r="G44" s="36" t="n"/>
      <c r="I44" s="9" t="inlineStr">
        <is>
          <t>Marketing</t>
        </is>
      </c>
      <c r="J44" s="100">
        <f>Inputs!C74</f>
        <v/>
      </c>
      <c r="K44" s="62" t="n"/>
      <c r="L44" s="24">
        <f>SUMIF($Z$4:$FB$4,"&lt;="&amp;$G$18,$Z44:$FB44)</f>
        <v/>
      </c>
      <c r="M44" s="62" t="n"/>
      <c r="N44" s="61">
        <f>SUMIF($Z$3:$FB$3,N$7,$Z44:$FB44)</f>
        <v/>
      </c>
      <c r="O44" s="61">
        <f>SUMIF($Z$3:$FB$3,O$7,$Z44:$FB44)</f>
        <v/>
      </c>
      <c r="P44" s="61">
        <f>SUMIF($Z$3:$FB$3,P$7,$Z44:$FB44)</f>
        <v/>
      </c>
      <c r="Q44" s="61">
        <f>SUMIF($Z$3:$FB$3,Q$7,$Z44:$FB44)</f>
        <v/>
      </c>
      <c r="R44" s="61">
        <f>SUMIF($Z$3:$FB$3,R$7,$Z44:$FB44)</f>
        <v/>
      </c>
      <c r="S44" s="61">
        <f>SUMIF($Z$3:$FB$3,S$7,$Z44:$FB44)</f>
        <v/>
      </c>
      <c r="T44" s="61">
        <f>SUMIF($Z$3:$FB$3,T$7,$Z44:$FB44)</f>
        <v/>
      </c>
      <c r="U44" s="61">
        <f>SUMIF($Z$3:$FB$3,U$7,$Z44:$FB44)</f>
        <v/>
      </c>
      <c r="V44" s="61">
        <f>SUMIF($Z$3:$FB$3,V$7,$Z44:$FB44)</f>
        <v/>
      </c>
      <c r="W44" s="61">
        <f>SUMIF($Z$3:$FB$3,W$7,$Z44:$FB44)</f>
        <v/>
      </c>
      <c r="X44" s="61">
        <f>SUMIF($Z$3:$FB$3,X$7,$Z44:$FB44)</f>
        <v/>
      </c>
      <c r="Y44" s="62" t="n"/>
      <c r="Z44" s="24" t="n">
        <v>0</v>
      </c>
      <c r="AA44" s="24">
        <f>$J44/12*AA$14*$C$75</f>
        <v/>
      </c>
      <c r="AB44" s="24">
        <f>$J44/12*AB$14*$C$75</f>
        <v/>
      </c>
      <c r="AC44" s="24">
        <f>$J44/12*AC$14*$C$75</f>
        <v/>
      </c>
      <c r="AD44" s="24">
        <f>$J44/12*AD$14*$C$75</f>
        <v/>
      </c>
      <c r="AE44" s="24">
        <f>$J44/12*AE$14*$C$75</f>
        <v/>
      </c>
      <c r="AF44" s="24">
        <f>$J44/12*AF$14*$C$75</f>
        <v/>
      </c>
      <c r="AG44" s="24">
        <f>$J44/12*AG$14*$C$75</f>
        <v/>
      </c>
      <c r="AH44" s="24">
        <f>$J44/12*AH$14*$C$75</f>
        <v/>
      </c>
      <c r="AI44" s="24">
        <f>$J44/12*AI$14*$C$75</f>
        <v/>
      </c>
      <c r="AJ44" s="24">
        <f>$J44/12*AJ$14*$C$75</f>
        <v/>
      </c>
      <c r="AK44" s="24">
        <f>$J44/12*AK$14*$C$75</f>
        <v/>
      </c>
      <c r="AL44" s="24">
        <f>$J44/12*AL$14*$C$75</f>
        <v/>
      </c>
      <c r="AM44" s="24">
        <f>$J44/12*AM$14*$C$75</f>
        <v/>
      </c>
      <c r="AN44" s="24">
        <f>$J44/12*AN$14*$C$75</f>
        <v/>
      </c>
      <c r="AO44" s="24">
        <f>$J44/12*AO$14*$C$75</f>
        <v/>
      </c>
      <c r="AP44" s="24">
        <f>$J44/12*AP$14*$C$75</f>
        <v/>
      </c>
      <c r="AQ44" s="24">
        <f>$J44/12*AQ$14*$C$75</f>
        <v/>
      </c>
      <c r="AR44" s="24">
        <f>$J44/12*AR$14*$C$75</f>
        <v/>
      </c>
      <c r="AS44" s="24">
        <f>$J44/12*AS$14*$C$75</f>
        <v/>
      </c>
      <c r="AT44" s="24">
        <f>$J44/12*AT$14*$C$75</f>
        <v/>
      </c>
      <c r="AU44" s="24">
        <f>$J44/12*AU$14*$C$75</f>
        <v/>
      </c>
      <c r="AV44" s="24">
        <f>$J44/12*AV$14*$C$75</f>
        <v/>
      </c>
      <c r="AW44" s="24">
        <f>$J44/12*AW$14*$C$75</f>
        <v/>
      </c>
      <c r="AX44" s="24">
        <f>$J44/12*AX$14*$C$75</f>
        <v/>
      </c>
      <c r="AY44" s="24">
        <f>$J44/12*AY$14*$C$75</f>
        <v/>
      </c>
      <c r="AZ44" s="24">
        <f>$J44/12*AZ$14*$C$75</f>
        <v/>
      </c>
      <c r="BA44" s="24">
        <f>$J44/12*BA$14*$C$75</f>
        <v/>
      </c>
      <c r="BB44" s="24">
        <f>$J44/12*BB$14*$C$75</f>
        <v/>
      </c>
      <c r="BC44" s="24">
        <f>$J44/12*BC$14*$C$75</f>
        <v/>
      </c>
      <c r="BD44" s="24">
        <f>$J44/12*BD$14*$C$75</f>
        <v/>
      </c>
      <c r="BE44" s="24">
        <f>$J44/12*BE$14*$C$75</f>
        <v/>
      </c>
      <c r="BF44" s="24">
        <f>$J44/12*BF$14*$C$75</f>
        <v/>
      </c>
      <c r="BG44" s="24">
        <f>$J44/12*BG$14*$C$75</f>
        <v/>
      </c>
      <c r="BH44" s="24">
        <f>$J44/12*BH$14*$C$75</f>
        <v/>
      </c>
      <c r="BI44" s="24">
        <f>$J44/12*BI$14*$C$75</f>
        <v/>
      </c>
      <c r="BJ44" s="24">
        <f>$J44/12*BJ$14*$C$75</f>
        <v/>
      </c>
      <c r="BK44" s="24">
        <f>$J44/12*BK$14*$C$75</f>
        <v/>
      </c>
      <c r="BL44" s="24">
        <f>$J44/12*BL$14*$C$75</f>
        <v/>
      </c>
      <c r="BM44" s="24">
        <f>$J44/12*BM$14*$C$75</f>
        <v/>
      </c>
      <c r="BN44" s="24">
        <f>$J44/12*BN$14*$C$75</f>
        <v/>
      </c>
      <c r="BO44" s="24">
        <f>$J44/12*BO$14*$C$75</f>
        <v/>
      </c>
      <c r="BP44" s="24">
        <f>$J44/12*BP$14*$C$75</f>
        <v/>
      </c>
      <c r="BQ44" s="24">
        <f>$J44/12*BQ$14*$C$75</f>
        <v/>
      </c>
      <c r="BR44" s="24">
        <f>$J44/12*BR$14*$C$75</f>
        <v/>
      </c>
      <c r="BS44" s="24">
        <f>$J44/12*BS$14*$C$75</f>
        <v/>
      </c>
      <c r="BT44" s="24">
        <f>$J44/12*BT$14*$C$75</f>
        <v/>
      </c>
      <c r="BU44" s="24">
        <f>$J44/12*BU$14*$C$75</f>
        <v/>
      </c>
      <c r="BV44" s="24">
        <f>$J44/12*BV$14*$C$75</f>
        <v/>
      </c>
      <c r="BW44" s="24">
        <f>$J44/12*BW$14*$C$75</f>
        <v/>
      </c>
      <c r="BX44" s="24">
        <f>$J44/12*BX$14*$C$75</f>
        <v/>
      </c>
      <c r="BY44" s="24">
        <f>$J44/12*BY$14*$C$75</f>
        <v/>
      </c>
      <c r="BZ44" s="24">
        <f>$J44/12*BZ$14*$C$75</f>
        <v/>
      </c>
      <c r="CA44" s="24">
        <f>$J44/12*CA$14*$C$75</f>
        <v/>
      </c>
      <c r="CB44" s="24">
        <f>$J44/12*CB$14*$C$75</f>
        <v/>
      </c>
      <c r="CC44" s="24">
        <f>$J44/12*CC$14*$C$75</f>
        <v/>
      </c>
      <c r="CD44" s="24">
        <f>$J44/12*CD$14*$C$75</f>
        <v/>
      </c>
      <c r="CE44" s="24">
        <f>$J44/12*CE$14*$C$75</f>
        <v/>
      </c>
      <c r="CF44" s="24">
        <f>$J44/12*CF$14*$C$75</f>
        <v/>
      </c>
      <c r="CG44" s="24">
        <f>$J44/12*CG$14*$C$75</f>
        <v/>
      </c>
      <c r="CH44" s="24">
        <f>$J44/12*CH$14*$C$75</f>
        <v/>
      </c>
      <c r="CI44" s="24">
        <f>$J44/12*CI$14*$C$75</f>
        <v/>
      </c>
      <c r="CJ44" s="24">
        <f>$J44/12*CJ$14*$C$75</f>
        <v/>
      </c>
      <c r="CK44" s="24">
        <f>$J44/12*CK$14*$C$75</f>
        <v/>
      </c>
      <c r="CL44" s="24">
        <f>$J44/12*CL$14*$C$75</f>
        <v/>
      </c>
      <c r="CM44" s="24">
        <f>$J44/12*CM$14*$C$75</f>
        <v/>
      </c>
      <c r="CN44" s="24">
        <f>$J44/12*CN$14*$C$75</f>
        <v/>
      </c>
      <c r="CO44" s="24">
        <f>$J44/12*CO$14*$C$75</f>
        <v/>
      </c>
      <c r="CP44" s="24">
        <f>$J44/12*CP$14*$C$75</f>
        <v/>
      </c>
      <c r="CQ44" s="24">
        <f>$J44/12*CQ$14*$C$75</f>
        <v/>
      </c>
      <c r="CR44" s="24">
        <f>$J44/12*CR$14*$C$75</f>
        <v/>
      </c>
      <c r="CS44" s="24">
        <f>$J44/12*CS$14*$C$75</f>
        <v/>
      </c>
      <c r="CT44" s="24">
        <f>$J44/12*CT$14*$C$75</f>
        <v/>
      </c>
      <c r="CU44" s="24">
        <f>$J44/12*CU$14*$C$75</f>
        <v/>
      </c>
      <c r="CV44" s="24">
        <f>$J44/12*CV$14*$C$75</f>
        <v/>
      </c>
      <c r="CW44" s="24">
        <f>$J44/12*CW$14*$C$75</f>
        <v/>
      </c>
      <c r="CX44" s="24">
        <f>$J44/12*CX$14*$C$75</f>
        <v/>
      </c>
      <c r="CY44" s="24">
        <f>$J44/12*CY$14*$C$75</f>
        <v/>
      </c>
      <c r="CZ44" s="24">
        <f>$J44/12*CZ$14*$C$75</f>
        <v/>
      </c>
      <c r="DA44" s="24">
        <f>$J44/12*DA$14*$C$75</f>
        <v/>
      </c>
      <c r="DB44" s="24">
        <f>$J44/12*DB$14*$C$75</f>
        <v/>
      </c>
      <c r="DC44" s="24">
        <f>$J44/12*DC$14*$C$75</f>
        <v/>
      </c>
      <c r="DD44" s="24">
        <f>$J44/12*DD$14*$C$75</f>
        <v/>
      </c>
      <c r="DE44" s="24">
        <f>$J44/12*DE$14*$C$75</f>
        <v/>
      </c>
      <c r="DF44" s="24">
        <f>$J44/12*DF$14*$C$75</f>
        <v/>
      </c>
      <c r="DG44" s="24">
        <f>$J44/12*DG$14*$C$75</f>
        <v/>
      </c>
      <c r="DH44" s="24">
        <f>$J44/12*DH$14*$C$75</f>
        <v/>
      </c>
      <c r="DI44" s="24">
        <f>$J44/12*DI$14*$C$75</f>
        <v/>
      </c>
      <c r="DJ44" s="24">
        <f>$J44/12*DJ$14*$C$75</f>
        <v/>
      </c>
      <c r="DK44" s="24">
        <f>$J44/12*DK$14*$C$75</f>
        <v/>
      </c>
      <c r="DL44" s="24">
        <f>$J44/12*DL$14*$C$75</f>
        <v/>
      </c>
      <c r="DM44" s="24">
        <f>$J44/12*DM$14*$C$75</f>
        <v/>
      </c>
      <c r="DN44" s="24">
        <f>$J44/12*DN$14*$C$75</f>
        <v/>
      </c>
      <c r="DO44" s="24">
        <f>$J44/12*DO$14*$C$75</f>
        <v/>
      </c>
      <c r="DP44" s="24">
        <f>$J44/12*DP$14*$C$75</f>
        <v/>
      </c>
      <c r="DQ44" s="24">
        <f>$J44/12*DQ$14*$C$75</f>
        <v/>
      </c>
      <c r="DR44" s="24">
        <f>$J44/12*DR$14*$C$75</f>
        <v/>
      </c>
      <c r="DS44" s="24">
        <f>$J44/12*DS$14*$C$75</f>
        <v/>
      </c>
      <c r="DT44" s="24">
        <f>$J44/12*DT$14*$C$75</f>
        <v/>
      </c>
      <c r="DU44" s="24">
        <f>$J44/12*DU$14*$C$75</f>
        <v/>
      </c>
      <c r="DV44" s="24">
        <f>$J44/12*DV$14*$C$75</f>
        <v/>
      </c>
      <c r="DW44" s="24">
        <f>$J44/12*DW$14*$C$75</f>
        <v/>
      </c>
      <c r="DX44" s="24">
        <f>$J44/12*DX$14*$C$75</f>
        <v/>
      </c>
      <c r="DY44" s="24">
        <f>$J44/12*DY$14*$C$75</f>
        <v/>
      </c>
      <c r="DZ44" s="24">
        <f>$J44/12*DZ$14*$C$75</f>
        <v/>
      </c>
      <c r="EA44" s="24">
        <f>$J44/12*EA$14*$C$75</f>
        <v/>
      </c>
      <c r="EB44" s="24">
        <f>$J44/12*EB$14*$C$75</f>
        <v/>
      </c>
      <c r="EC44" s="24">
        <f>$J44/12*EC$14*$C$75</f>
        <v/>
      </c>
      <c r="ED44" s="24">
        <f>$J44/12*ED$14*$C$75</f>
        <v/>
      </c>
      <c r="EE44" s="24">
        <f>$J44/12*EE$14*$C$75</f>
        <v/>
      </c>
      <c r="EF44" s="24">
        <f>$J44/12*EF$14*$C$75</f>
        <v/>
      </c>
      <c r="EG44" s="24">
        <f>$J44/12*EG$14*$C$75</f>
        <v/>
      </c>
      <c r="EH44" s="24">
        <f>$J44/12*EH$14*$C$75</f>
        <v/>
      </c>
      <c r="EI44" s="24">
        <f>$J44/12*EI$14*$C$75</f>
        <v/>
      </c>
      <c r="EJ44" s="24">
        <f>$J44/12*EJ$14*$C$75</f>
        <v/>
      </c>
      <c r="EK44" s="24">
        <f>$J44/12*EK$14*$C$75</f>
        <v/>
      </c>
      <c r="EL44" s="24">
        <f>$J44/12*EL$14*$C$75</f>
        <v/>
      </c>
      <c r="EM44" s="24">
        <f>$J44/12*EM$14*$C$75</f>
        <v/>
      </c>
      <c r="EN44" s="24">
        <f>$J44/12*EN$14*$C$75</f>
        <v/>
      </c>
      <c r="EO44" s="24">
        <f>$J44/12*EO$14*$C$75</f>
        <v/>
      </c>
      <c r="EP44" s="24">
        <f>$J44/12*EP$14*$C$75</f>
        <v/>
      </c>
      <c r="EQ44" s="24">
        <f>$J44/12*EQ$14*$C$75</f>
        <v/>
      </c>
      <c r="ER44" s="24">
        <f>$J44/12*ER$14*$C$75</f>
        <v/>
      </c>
      <c r="ES44" s="24">
        <f>$J44/12*ES$14*$C$75</f>
        <v/>
      </c>
      <c r="ET44" s="24">
        <f>$J44/12*ET$14*$C$75</f>
        <v/>
      </c>
      <c r="EU44" s="24">
        <f>$J44/12*EU$14*$C$75</f>
        <v/>
      </c>
      <c r="EV44" s="24">
        <f>$J44/12*EV$14*$C$75</f>
        <v/>
      </c>
      <c r="EW44" s="24">
        <f>$J44/12*EW$14*$C$75</f>
        <v/>
      </c>
      <c r="EX44" s="24">
        <f>$J44/12*EX$14*$C$75</f>
        <v/>
      </c>
      <c r="EY44" s="24">
        <f>$J44/12*EY$14*$C$75</f>
        <v/>
      </c>
      <c r="EZ44" s="24">
        <f>$J44/12*EZ$14*$C$75</f>
        <v/>
      </c>
      <c r="FA44" s="24">
        <f>$J44/12*FA$14*$C$75</f>
        <v/>
      </c>
      <c r="FB44" s="24">
        <f>$J44/12*FB$14*$C$75</f>
        <v/>
      </c>
    </row>
    <row r="45">
      <c r="B45" s="76" t="inlineStr">
        <is>
          <t>Lender</t>
        </is>
      </c>
      <c r="C45" s="77" t="n"/>
      <c r="D45" s="192" t="inlineStr">
        <is>
          <t>TBD</t>
        </is>
      </c>
      <c r="E45" s="78" t="inlineStr">
        <is>
          <t>Lender</t>
        </is>
      </c>
      <c r="F45" s="193" t="n"/>
      <c r="G45" s="192" t="inlineStr">
        <is>
          <t>TBD</t>
        </is>
      </c>
      <c r="I45" s="9" t="inlineStr">
        <is>
          <t>R&amp;M</t>
        </is>
      </c>
      <c r="J45" s="100">
        <f>Inputs!C75</f>
        <v/>
      </c>
      <c r="K45" s="62" t="n"/>
      <c r="L45" s="24">
        <f>SUMIF($Z$4:$FB$4,"&lt;="&amp;$G$18,$Z45:$FB45)</f>
        <v/>
      </c>
      <c r="M45" s="62" t="n"/>
      <c r="N45" s="61">
        <f>SUMIF($Z$3:$FB$3,N$7,$Z45:$FB45)</f>
        <v/>
      </c>
      <c r="O45" s="61">
        <f>SUMIF($Z$3:$FB$3,O$7,$Z45:$FB45)</f>
        <v/>
      </c>
      <c r="P45" s="61">
        <f>SUMIF($Z$3:$FB$3,P$7,$Z45:$FB45)</f>
        <v/>
      </c>
      <c r="Q45" s="61">
        <f>SUMIF($Z$3:$FB$3,Q$7,$Z45:$FB45)</f>
        <v/>
      </c>
      <c r="R45" s="61">
        <f>SUMIF($Z$3:$FB$3,R$7,$Z45:$FB45)</f>
        <v/>
      </c>
      <c r="S45" s="61">
        <f>SUMIF($Z$3:$FB$3,S$7,$Z45:$FB45)</f>
        <v/>
      </c>
      <c r="T45" s="61">
        <f>SUMIF($Z$3:$FB$3,T$7,$Z45:$FB45)</f>
        <v/>
      </c>
      <c r="U45" s="61">
        <f>SUMIF($Z$3:$FB$3,U$7,$Z45:$FB45)</f>
        <v/>
      </c>
      <c r="V45" s="61">
        <f>SUMIF($Z$3:$FB$3,V$7,$Z45:$FB45)</f>
        <v/>
      </c>
      <c r="W45" s="61">
        <f>SUMIF($Z$3:$FB$3,W$7,$Z45:$FB45)</f>
        <v/>
      </c>
      <c r="X45" s="61">
        <f>SUMIF($Z$3:$FB$3,X$7,$Z45:$FB45)</f>
        <v/>
      </c>
      <c r="Y45" s="62" t="n"/>
      <c r="Z45" s="24" t="n">
        <v>0</v>
      </c>
      <c r="AA45" s="24">
        <f>$J45/12*AA$14*$C$75</f>
        <v/>
      </c>
      <c r="AB45" s="24">
        <f>$J45/12*AB$14*$C$75</f>
        <v/>
      </c>
      <c r="AC45" s="24">
        <f>$J45/12*AC$14*$C$75</f>
        <v/>
      </c>
      <c r="AD45" s="24">
        <f>$J45/12*AD$14*$C$75</f>
        <v/>
      </c>
      <c r="AE45" s="24">
        <f>$J45/12*AE$14*$C$75</f>
        <v/>
      </c>
      <c r="AF45" s="24">
        <f>$J45/12*AF$14*$C$75</f>
        <v/>
      </c>
      <c r="AG45" s="24">
        <f>$J45/12*AG$14*$C$75</f>
        <v/>
      </c>
      <c r="AH45" s="24">
        <f>$J45/12*AH$14*$C$75</f>
        <v/>
      </c>
      <c r="AI45" s="24">
        <f>$J45/12*AI$14*$C$75</f>
        <v/>
      </c>
      <c r="AJ45" s="24">
        <f>$J45/12*AJ$14*$C$75</f>
        <v/>
      </c>
      <c r="AK45" s="24">
        <f>$J45/12*AK$14*$C$75</f>
        <v/>
      </c>
      <c r="AL45" s="24">
        <f>$J45/12*AL$14*$C$75</f>
        <v/>
      </c>
      <c r="AM45" s="24">
        <f>$J45/12*AM$14*$C$75</f>
        <v/>
      </c>
      <c r="AN45" s="24">
        <f>$J45/12*AN$14*$C$75</f>
        <v/>
      </c>
      <c r="AO45" s="24">
        <f>$J45/12*AO$14*$C$75</f>
        <v/>
      </c>
      <c r="AP45" s="24">
        <f>$J45/12*AP$14*$C$75</f>
        <v/>
      </c>
      <c r="AQ45" s="24">
        <f>$J45/12*AQ$14*$C$75</f>
        <v/>
      </c>
      <c r="AR45" s="24">
        <f>$J45/12*AR$14*$C$75</f>
        <v/>
      </c>
      <c r="AS45" s="24">
        <f>$J45/12*AS$14*$C$75</f>
        <v/>
      </c>
      <c r="AT45" s="24">
        <f>$J45/12*AT$14*$C$75</f>
        <v/>
      </c>
      <c r="AU45" s="24">
        <f>$J45/12*AU$14*$C$75</f>
        <v/>
      </c>
      <c r="AV45" s="24">
        <f>$J45/12*AV$14*$C$75</f>
        <v/>
      </c>
      <c r="AW45" s="24">
        <f>$J45/12*AW$14*$C$75</f>
        <v/>
      </c>
      <c r="AX45" s="24">
        <f>$J45/12*AX$14*$C$75</f>
        <v/>
      </c>
      <c r="AY45" s="24">
        <f>$J45/12*AY$14*$C$75</f>
        <v/>
      </c>
      <c r="AZ45" s="24">
        <f>$J45/12*AZ$14*$C$75</f>
        <v/>
      </c>
      <c r="BA45" s="24">
        <f>$J45/12*BA$14*$C$75</f>
        <v/>
      </c>
      <c r="BB45" s="24">
        <f>$J45/12*BB$14*$C$75</f>
        <v/>
      </c>
      <c r="BC45" s="24">
        <f>$J45/12*BC$14*$C$75</f>
        <v/>
      </c>
      <c r="BD45" s="24">
        <f>$J45/12*BD$14*$C$75</f>
        <v/>
      </c>
      <c r="BE45" s="24">
        <f>$J45/12*BE$14*$C$75</f>
        <v/>
      </c>
      <c r="BF45" s="24">
        <f>$J45/12*BF$14*$C$75</f>
        <v/>
      </c>
      <c r="BG45" s="24">
        <f>$J45/12*BG$14*$C$75</f>
        <v/>
      </c>
      <c r="BH45" s="24">
        <f>$J45/12*BH$14*$C$75</f>
        <v/>
      </c>
      <c r="BI45" s="24">
        <f>$J45/12*BI$14*$C$75</f>
        <v/>
      </c>
      <c r="BJ45" s="24">
        <f>$J45/12*BJ$14*$C$75</f>
        <v/>
      </c>
      <c r="BK45" s="24">
        <f>$J45/12*BK$14*$C$75</f>
        <v/>
      </c>
      <c r="BL45" s="24">
        <f>$J45/12*BL$14*$C$75</f>
        <v/>
      </c>
      <c r="BM45" s="24">
        <f>$J45/12*BM$14*$C$75</f>
        <v/>
      </c>
      <c r="BN45" s="24">
        <f>$J45/12*BN$14*$C$75</f>
        <v/>
      </c>
      <c r="BO45" s="24">
        <f>$J45/12*BO$14*$C$75</f>
        <v/>
      </c>
      <c r="BP45" s="24">
        <f>$J45/12*BP$14*$C$75</f>
        <v/>
      </c>
      <c r="BQ45" s="24">
        <f>$J45/12*BQ$14*$C$75</f>
        <v/>
      </c>
      <c r="BR45" s="24">
        <f>$J45/12*BR$14*$C$75</f>
        <v/>
      </c>
      <c r="BS45" s="24">
        <f>$J45/12*BS$14*$C$75</f>
        <v/>
      </c>
      <c r="BT45" s="24">
        <f>$J45/12*BT$14*$C$75</f>
        <v/>
      </c>
      <c r="BU45" s="24">
        <f>$J45/12*BU$14*$C$75</f>
        <v/>
      </c>
      <c r="BV45" s="24">
        <f>$J45/12*BV$14*$C$75</f>
        <v/>
      </c>
      <c r="BW45" s="24">
        <f>$J45/12*BW$14*$C$75</f>
        <v/>
      </c>
      <c r="BX45" s="24">
        <f>$J45/12*BX$14*$C$75</f>
        <v/>
      </c>
      <c r="BY45" s="24">
        <f>$J45/12*BY$14*$C$75</f>
        <v/>
      </c>
      <c r="BZ45" s="24">
        <f>$J45/12*BZ$14*$C$75</f>
        <v/>
      </c>
      <c r="CA45" s="24">
        <f>$J45/12*CA$14*$C$75</f>
        <v/>
      </c>
      <c r="CB45" s="24">
        <f>$J45/12*CB$14*$C$75</f>
        <v/>
      </c>
      <c r="CC45" s="24">
        <f>$J45/12*CC$14*$C$75</f>
        <v/>
      </c>
      <c r="CD45" s="24">
        <f>$J45/12*CD$14*$C$75</f>
        <v/>
      </c>
      <c r="CE45" s="24">
        <f>$J45/12*CE$14*$C$75</f>
        <v/>
      </c>
      <c r="CF45" s="24">
        <f>$J45/12*CF$14*$C$75</f>
        <v/>
      </c>
      <c r="CG45" s="24">
        <f>$J45/12*CG$14*$C$75</f>
        <v/>
      </c>
      <c r="CH45" s="24">
        <f>$J45/12*CH$14*$C$75</f>
        <v/>
      </c>
      <c r="CI45" s="24">
        <f>$J45/12*CI$14*$C$75</f>
        <v/>
      </c>
      <c r="CJ45" s="24">
        <f>$J45/12*CJ$14*$C$75</f>
        <v/>
      </c>
      <c r="CK45" s="24">
        <f>$J45/12*CK$14*$C$75</f>
        <v/>
      </c>
      <c r="CL45" s="24">
        <f>$J45/12*CL$14*$C$75</f>
        <v/>
      </c>
      <c r="CM45" s="24">
        <f>$J45/12*CM$14*$C$75</f>
        <v/>
      </c>
      <c r="CN45" s="24">
        <f>$J45/12*CN$14*$C$75</f>
        <v/>
      </c>
      <c r="CO45" s="24">
        <f>$J45/12*CO$14*$C$75</f>
        <v/>
      </c>
      <c r="CP45" s="24">
        <f>$J45/12*CP$14*$C$75</f>
        <v/>
      </c>
      <c r="CQ45" s="24">
        <f>$J45/12*CQ$14*$C$75</f>
        <v/>
      </c>
      <c r="CR45" s="24">
        <f>$J45/12*CR$14*$C$75</f>
        <v/>
      </c>
      <c r="CS45" s="24">
        <f>$J45/12*CS$14*$C$75</f>
        <v/>
      </c>
      <c r="CT45" s="24">
        <f>$J45/12*CT$14*$C$75</f>
        <v/>
      </c>
      <c r="CU45" s="24">
        <f>$J45/12*CU$14*$C$75</f>
        <v/>
      </c>
      <c r="CV45" s="24">
        <f>$J45/12*CV$14*$C$75</f>
        <v/>
      </c>
      <c r="CW45" s="24">
        <f>$J45/12*CW$14*$C$75</f>
        <v/>
      </c>
      <c r="CX45" s="24">
        <f>$J45/12*CX$14*$C$75</f>
        <v/>
      </c>
      <c r="CY45" s="24">
        <f>$J45/12*CY$14*$C$75</f>
        <v/>
      </c>
      <c r="CZ45" s="24">
        <f>$J45/12*CZ$14*$C$75</f>
        <v/>
      </c>
      <c r="DA45" s="24">
        <f>$J45/12*DA$14*$C$75</f>
        <v/>
      </c>
      <c r="DB45" s="24">
        <f>$J45/12*DB$14*$C$75</f>
        <v/>
      </c>
      <c r="DC45" s="24">
        <f>$J45/12*DC$14*$C$75</f>
        <v/>
      </c>
      <c r="DD45" s="24">
        <f>$J45/12*DD$14*$C$75</f>
        <v/>
      </c>
      <c r="DE45" s="24">
        <f>$J45/12*DE$14*$C$75</f>
        <v/>
      </c>
      <c r="DF45" s="24">
        <f>$J45/12*DF$14*$C$75</f>
        <v/>
      </c>
      <c r="DG45" s="24">
        <f>$J45/12*DG$14*$C$75</f>
        <v/>
      </c>
      <c r="DH45" s="24">
        <f>$J45/12*DH$14*$C$75</f>
        <v/>
      </c>
      <c r="DI45" s="24">
        <f>$J45/12*DI$14*$C$75</f>
        <v/>
      </c>
      <c r="DJ45" s="24">
        <f>$J45/12*DJ$14*$C$75</f>
        <v/>
      </c>
      <c r="DK45" s="24">
        <f>$J45/12*DK$14*$C$75</f>
        <v/>
      </c>
      <c r="DL45" s="24">
        <f>$J45/12*DL$14*$C$75</f>
        <v/>
      </c>
      <c r="DM45" s="24">
        <f>$J45/12*DM$14*$C$75</f>
        <v/>
      </c>
      <c r="DN45" s="24">
        <f>$J45/12*DN$14*$C$75</f>
        <v/>
      </c>
      <c r="DO45" s="24">
        <f>$J45/12*DO$14*$C$75</f>
        <v/>
      </c>
      <c r="DP45" s="24">
        <f>$J45/12*DP$14*$C$75</f>
        <v/>
      </c>
      <c r="DQ45" s="24">
        <f>$J45/12*DQ$14*$C$75</f>
        <v/>
      </c>
      <c r="DR45" s="24">
        <f>$J45/12*DR$14*$C$75</f>
        <v/>
      </c>
      <c r="DS45" s="24">
        <f>$J45/12*DS$14*$C$75</f>
        <v/>
      </c>
      <c r="DT45" s="24">
        <f>$J45/12*DT$14*$C$75</f>
        <v/>
      </c>
      <c r="DU45" s="24">
        <f>$J45/12*DU$14*$C$75</f>
        <v/>
      </c>
      <c r="DV45" s="24">
        <f>$J45/12*DV$14*$C$75</f>
        <v/>
      </c>
      <c r="DW45" s="24">
        <f>$J45/12*DW$14*$C$75</f>
        <v/>
      </c>
      <c r="DX45" s="24">
        <f>$J45/12*DX$14*$C$75</f>
        <v/>
      </c>
      <c r="DY45" s="24">
        <f>$J45/12*DY$14*$C$75</f>
        <v/>
      </c>
      <c r="DZ45" s="24">
        <f>$J45/12*DZ$14*$C$75</f>
        <v/>
      </c>
      <c r="EA45" s="24">
        <f>$J45/12*EA$14*$C$75</f>
        <v/>
      </c>
      <c r="EB45" s="24">
        <f>$J45/12*EB$14*$C$75</f>
        <v/>
      </c>
      <c r="EC45" s="24">
        <f>$J45/12*EC$14*$C$75</f>
        <v/>
      </c>
      <c r="ED45" s="24">
        <f>$J45/12*ED$14*$C$75</f>
        <v/>
      </c>
      <c r="EE45" s="24">
        <f>$J45/12*EE$14*$C$75</f>
        <v/>
      </c>
      <c r="EF45" s="24">
        <f>$J45/12*EF$14*$C$75</f>
        <v/>
      </c>
      <c r="EG45" s="24">
        <f>$J45/12*EG$14*$C$75</f>
        <v/>
      </c>
      <c r="EH45" s="24">
        <f>$J45/12*EH$14*$C$75</f>
        <v/>
      </c>
      <c r="EI45" s="24">
        <f>$J45/12*EI$14*$C$75</f>
        <v/>
      </c>
      <c r="EJ45" s="24">
        <f>$J45/12*EJ$14*$C$75</f>
        <v/>
      </c>
      <c r="EK45" s="24">
        <f>$J45/12*EK$14*$C$75</f>
        <v/>
      </c>
      <c r="EL45" s="24">
        <f>$J45/12*EL$14*$C$75</f>
        <v/>
      </c>
      <c r="EM45" s="24">
        <f>$J45/12*EM$14*$C$75</f>
        <v/>
      </c>
      <c r="EN45" s="24">
        <f>$J45/12*EN$14*$C$75</f>
        <v/>
      </c>
      <c r="EO45" s="24">
        <f>$J45/12*EO$14*$C$75</f>
        <v/>
      </c>
      <c r="EP45" s="24">
        <f>$J45/12*EP$14*$C$75</f>
        <v/>
      </c>
      <c r="EQ45" s="24">
        <f>$J45/12*EQ$14*$C$75</f>
        <v/>
      </c>
      <c r="ER45" s="24">
        <f>$J45/12*ER$14*$C$75</f>
        <v/>
      </c>
      <c r="ES45" s="24">
        <f>$J45/12*ES$14*$C$75</f>
        <v/>
      </c>
      <c r="ET45" s="24">
        <f>$J45/12*ET$14*$C$75</f>
        <v/>
      </c>
      <c r="EU45" s="24">
        <f>$J45/12*EU$14*$C$75</f>
        <v/>
      </c>
      <c r="EV45" s="24">
        <f>$J45/12*EV$14*$C$75</f>
        <v/>
      </c>
      <c r="EW45" s="24">
        <f>$J45/12*EW$14*$C$75</f>
        <v/>
      </c>
      <c r="EX45" s="24">
        <f>$J45/12*EX$14*$C$75</f>
        <v/>
      </c>
      <c r="EY45" s="24">
        <f>$J45/12*EY$14*$C$75</f>
        <v/>
      </c>
      <c r="EZ45" s="24">
        <f>$J45/12*EZ$14*$C$75</f>
        <v/>
      </c>
      <c r="FA45" s="24">
        <f>$J45/12*FA$14*$C$75</f>
        <v/>
      </c>
      <c r="FB45" s="24">
        <f>$J45/12*FB$14*$C$75</f>
        <v/>
      </c>
    </row>
    <row r="46">
      <c r="B46" s="76" t="inlineStr">
        <is>
          <t>Loan Proceeds</t>
        </is>
      </c>
      <c r="C46" s="194">
        <f>D46/D41</f>
        <v/>
      </c>
      <c r="D46" s="79">
        <f>Inputs!C67</f>
        <v/>
      </c>
      <c r="E46" s="78" t="inlineStr">
        <is>
          <t>Loan Proceeds</t>
        </is>
      </c>
      <c r="F46" s="195" t="inlineStr">
        <is>
          <t>DSCR</t>
        </is>
      </c>
      <c r="G46" s="196">
        <f>INDEX($G$52:$G$54,MATCH(F46,$E$52:$E$54,0))</f>
        <v/>
      </c>
      <c r="I46" s="9" t="inlineStr">
        <is>
          <t>Contract Service</t>
        </is>
      </c>
      <c r="J46" s="100">
        <f>Inputs!C76</f>
        <v/>
      </c>
      <c r="K46" s="62" t="n"/>
      <c r="L46" s="24">
        <f>SUMIF($Z$4:$FB$4,"&lt;="&amp;$G$18,$Z46:$FB46)</f>
        <v/>
      </c>
      <c r="M46" s="62" t="n"/>
      <c r="N46" s="61">
        <f>SUMIF($Z$3:$FB$3,N$7,$Z46:$FB46)</f>
        <v/>
      </c>
      <c r="O46" s="61">
        <f>SUMIF($Z$3:$FB$3,O$7,$Z46:$FB46)</f>
        <v/>
      </c>
      <c r="P46" s="61">
        <f>SUMIF($Z$3:$FB$3,P$7,$Z46:$FB46)</f>
        <v/>
      </c>
      <c r="Q46" s="61">
        <f>SUMIF($Z$3:$FB$3,Q$7,$Z46:$FB46)</f>
        <v/>
      </c>
      <c r="R46" s="61">
        <f>SUMIF($Z$3:$FB$3,R$7,$Z46:$FB46)</f>
        <v/>
      </c>
      <c r="S46" s="61">
        <f>SUMIF($Z$3:$FB$3,S$7,$Z46:$FB46)</f>
        <v/>
      </c>
      <c r="T46" s="61">
        <f>SUMIF($Z$3:$FB$3,T$7,$Z46:$FB46)</f>
        <v/>
      </c>
      <c r="U46" s="61">
        <f>SUMIF($Z$3:$FB$3,U$7,$Z46:$FB46)</f>
        <v/>
      </c>
      <c r="V46" s="61">
        <f>SUMIF($Z$3:$FB$3,V$7,$Z46:$FB46)</f>
        <v/>
      </c>
      <c r="W46" s="61">
        <f>SUMIF($Z$3:$FB$3,W$7,$Z46:$FB46)</f>
        <v/>
      </c>
      <c r="X46" s="61">
        <f>SUMIF($Z$3:$FB$3,X$7,$Z46:$FB46)</f>
        <v/>
      </c>
      <c r="Y46" s="62" t="n"/>
      <c r="Z46" s="24" t="n">
        <v>0</v>
      </c>
      <c r="AA46" s="24">
        <f>$J46/12*AA$14*$C$75</f>
        <v/>
      </c>
      <c r="AB46" s="24">
        <f>$J46/12*AB$14*$C$75</f>
        <v/>
      </c>
      <c r="AC46" s="24">
        <f>$J46/12*AC$14*$C$75</f>
        <v/>
      </c>
      <c r="AD46" s="24">
        <f>$J46/12*AD$14*$C$75</f>
        <v/>
      </c>
      <c r="AE46" s="24">
        <f>$J46/12*AE$14*$C$75</f>
        <v/>
      </c>
      <c r="AF46" s="24">
        <f>$J46/12*AF$14*$C$75</f>
        <v/>
      </c>
      <c r="AG46" s="24">
        <f>$J46/12*AG$14*$C$75</f>
        <v/>
      </c>
      <c r="AH46" s="24">
        <f>$J46/12*AH$14*$C$75</f>
        <v/>
      </c>
      <c r="AI46" s="24">
        <f>$J46/12*AI$14*$C$75</f>
        <v/>
      </c>
      <c r="AJ46" s="24">
        <f>$J46/12*AJ$14*$C$75</f>
        <v/>
      </c>
      <c r="AK46" s="24">
        <f>$J46/12*AK$14*$C$75</f>
        <v/>
      </c>
      <c r="AL46" s="24">
        <f>$J46/12*AL$14*$C$75</f>
        <v/>
      </c>
      <c r="AM46" s="24">
        <f>$J46/12*AM$14*$C$75</f>
        <v/>
      </c>
      <c r="AN46" s="24">
        <f>$J46/12*AN$14*$C$75</f>
        <v/>
      </c>
      <c r="AO46" s="24">
        <f>$J46/12*AO$14*$C$75</f>
        <v/>
      </c>
      <c r="AP46" s="24">
        <f>$J46/12*AP$14*$C$75</f>
        <v/>
      </c>
      <c r="AQ46" s="24">
        <f>$J46/12*AQ$14*$C$75</f>
        <v/>
      </c>
      <c r="AR46" s="24">
        <f>$J46/12*AR$14*$C$75</f>
        <v/>
      </c>
      <c r="AS46" s="24">
        <f>$J46/12*AS$14*$C$75</f>
        <v/>
      </c>
      <c r="AT46" s="24">
        <f>$J46/12*AT$14*$C$75</f>
        <v/>
      </c>
      <c r="AU46" s="24">
        <f>$J46/12*AU$14*$C$75</f>
        <v/>
      </c>
      <c r="AV46" s="24">
        <f>$J46/12*AV$14*$C$75</f>
        <v/>
      </c>
      <c r="AW46" s="24">
        <f>$J46/12*AW$14*$C$75</f>
        <v/>
      </c>
      <c r="AX46" s="24">
        <f>$J46/12*AX$14*$C$75</f>
        <v/>
      </c>
      <c r="AY46" s="24">
        <f>$J46/12*AY$14*$C$75</f>
        <v/>
      </c>
      <c r="AZ46" s="24">
        <f>$J46/12*AZ$14*$C$75</f>
        <v/>
      </c>
      <c r="BA46" s="24">
        <f>$J46/12*BA$14*$C$75</f>
        <v/>
      </c>
      <c r="BB46" s="24">
        <f>$J46/12*BB$14*$C$75</f>
        <v/>
      </c>
      <c r="BC46" s="24">
        <f>$J46/12*BC$14*$C$75</f>
        <v/>
      </c>
      <c r="BD46" s="24">
        <f>$J46/12*BD$14*$C$75</f>
        <v/>
      </c>
      <c r="BE46" s="24">
        <f>$J46/12*BE$14*$C$75</f>
        <v/>
      </c>
      <c r="BF46" s="24">
        <f>$J46/12*BF$14*$C$75</f>
        <v/>
      </c>
      <c r="BG46" s="24">
        <f>$J46/12*BG$14*$C$75</f>
        <v/>
      </c>
      <c r="BH46" s="24">
        <f>$J46/12*BH$14*$C$75</f>
        <v/>
      </c>
      <c r="BI46" s="24">
        <f>$J46/12*BI$14*$C$75</f>
        <v/>
      </c>
      <c r="BJ46" s="24">
        <f>$J46/12*BJ$14*$C$75</f>
        <v/>
      </c>
      <c r="BK46" s="24">
        <f>$J46/12*BK$14*$C$75</f>
        <v/>
      </c>
      <c r="BL46" s="24">
        <f>$J46/12*BL$14*$C$75</f>
        <v/>
      </c>
      <c r="BM46" s="24">
        <f>$J46/12*BM$14*$C$75</f>
        <v/>
      </c>
      <c r="BN46" s="24">
        <f>$J46/12*BN$14*$C$75</f>
        <v/>
      </c>
      <c r="BO46" s="24">
        <f>$J46/12*BO$14*$C$75</f>
        <v/>
      </c>
      <c r="BP46" s="24">
        <f>$J46/12*BP$14*$C$75</f>
        <v/>
      </c>
      <c r="BQ46" s="24">
        <f>$J46/12*BQ$14*$C$75</f>
        <v/>
      </c>
      <c r="BR46" s="24">
        <f>$J46/12*BR$14*$C$75</f>
        <v/>
      </c>
      <c r="BS46" s="24">
        <f>$J46/12*BS$14*$C$75</f>
        <v/>
      </c>
      <c r="BT46" s="24">
        <f>$J46/12*BT$14*$C$75</f>
        <v/>
      </c>
      <c r="BU46" s="24">
        <f>$J46/12*BU$14*$C$75</f>
        <v/>
      </c>
      <c r="BV46" s="24">
        <f>$J46/12*BV$14*$C$75</f>
        <v/>
      </c>
      <c r="BW46" s="24">
        <f>$J46/12*BW$14*$C$75</f>
        <v/>
      </c>
      <c r="BX46" s="24">
        <f>$J46/12*BX$14*$C$75</f>
        <v/>
      </c>
      <c r="BY46" s="24">
        <f>$J46/12*BY$14*$C$75</f>
        <v/>
      </c>
      <c r="BZ46" s="24">
        <f>$J46/12*BZ$14*$C$75</f>
        <v/>
      </c>
      <c r="CA46" s="24">
        <f>$J46/12*CA$14*$C$75</f>
        <v/>
      </c>
      <c r="CB46" s="24">
        <f>$J46/12*CB$14*$C$75</f>
        <v/>
      </c>
      <c r="CC46" s="24">
        <f>$J46/12*CC$14*$C$75</f>
        <v/>
      </c>
      <c r="CD46" s="24">
        <f>$J46/12*CD$14*$C$75</f>
        <v/>
      </c>
      <c r="CE46" s="24">
        <f>$J46/12*CE$14*$C$75</f>
        <v/>
      </c>
      <c r="CF46" s="24">
        <f>$J46/12*CF$14*$C$75</f>
        <v/>
      </c>
      <c r="CG46" s="24">
        <f>$J46/12*CG$14*$C$75</f>
        <v/>
      </c>
      <c r="CH46" s="24">
        <f>$J46/12*CH$14*$C$75</f>
        <v/>
      </c>
      <c r="CI46" s="24">
        <f>$J46/12*CI$14*$C$75</f>
        <v/>
      </c>
      <c r="CJ46" s="24">
        <f>$J46/12*CJ$14*$C$75</f>
        <v/>
      </c>
      <c r="CK46" s="24">
        <f>$J46/12*CK$14*$C$75</f>
        <v/>
      </c>
      <c r="CL46" s="24">
        <f>$J46/12*CL$14*$C$75</f>
        <v/>
      </c>
      <c r="CM46" s="24">
        <f>$J46/12*CM$14*$C$75</f>
        <v/>
      </c>
      <c r="CN46" s="24">
        <f>$J46/12*CN$14*$C$75</f>
        <v/>
      </c>
      <c r="CO46" s="24">
        <f>$J46/12*CO$14*$C$75</f>
        <v/>
      </c>
      <c r="CP46" s="24">
        <f>$J46/12*CP$14*$C$75</f>
        <v/>
      </c>
      <c r="CQ46" s="24">
        <f>$J46/12*CQ$14*$C$75</f>
        <v/>
      </c>
      <c r="CR46" s="24">
        <f>$J46/12*CR$14*$C$75</f>
        <v/>
      </c>
      <c r="CS46" s="24">
        <f>$J46/12*CS$14*$C$75</f>
        <v/>
      </c>
      <c r="CT46" s="24">
        <f>$J46/12*CT$14*$C$75</f>
        <v/>
      </c>
      <c r="CU46" s="24">
        <f>$J46/12*CU$14*$C$75</f>
        <v/>
      </c>
      <c r="CV46" s="24">
        <f>$J46/12*CV$14*$C$75</f>
        <v/>
      </c>
      <c r="CW46" s="24">
        <f>$J46/12*CW$14*$C$75</f>
        <v/>
      </c>
      <c r="CX46" s="24">
        <f>$J46/12*CX$14*$C$75</f>
        <v/>
      </c>
      <c r="CY46" s="24">
        <f>$J46/12*CY$14*$C$75</f>
        <v/>
      </c>
      <c r="CZ46" s="24">
        <f>$J46/12*CZ$14*$C$75</f>
        <v/>
      </c>
      <c r="DA46" s="24">
        <f>$J46/12*DA$14*$C$75</f>
        <v/>
      </c>
      <c r="DB46" s="24">
        <f>$J46/12*DB$14*$C$75</f>
        <v/>
      </c>
      <c r="DC46" s="24">
        <f>$J46/12*DC$14*$C$75</f>
        <v/>
      </c>
      <c r="DD46" s="24">
        <f>$J46/12*DD$14*$C$75</f>
        <v/>
      </c>
      <c r="DE46" s="24">
        <f>$J46/12*DE$14*$C$75</f>
        <v/>
      </c>
      <c r="DF46" s="24">
        <f>$J46/12*DF$14*$C$75</f>
        <v/>
      </c>
      <c r="DG46" s="24">
        <f>$J46/12*DG$14*$C$75</f>
        <v/>
      </c>
      <c r="DH46" s="24">
        <f>$J46/12*DH$14*$C$75</f>
        <v/>
      </c>
      <c r="DI46" s="24">
        <f>$J46/12*DI$14*$C$75</f>
        <v/>
      </c>
      <c r="DJ46" s="24">
        <f>$J46/12*DJ$14*$C$75</f>
        <v/>
      </c>
      <c r="DK46" s="24">
        <f>$J46/12*DK$14*$C$75</f>
        <v/>
      </c>
      <c r="DL46" s="24">
        <f>$J46/12*DL$14*$C$75</f>
        <v/>
      </c>
      <c r="DM46" s="24">
        <f>$J46/12*DM$14*$C$75</f>
        <v/>
      </c>
      <c r="DN46" s="24">
        <f>$J46/12*DN$14*$C$75</f>
        <v/>
      </c>
      <c r="DO46" s="24">
        <f>$J46/12*DO$14*$C$75</f>
        <v/>
      </c>
      <c r="DP46" s="24">
        <f>$J46/12*DP$14*$C$75</f>
        <v/>
      </c>
      <c r="DQ46" s="24">
        <f>$J46/12*DQ$14*$C$75</f>
        <v/>
      </c>
      <c r="DR46" s="24">
        <f>$J46/12*DR$14*$C$75</f>
        <v/>
      </c>
      <c r="DS46" s="24">
        <f>$J46/12*DS$14*$C$75</f>
        <v/>
      </c>
      <c r="DT46" s="24">
        <f>$J46/12*DT$14*$C$75</f>
        <v/>
      </c>
      <c r="DU46" s="24">
        <f>$J46/12*DU$14*$C$75</f>
        <v/>
      </c>
      <c r="DV46" s="24">
        <f>$J46/12*DV$14*$C$75</f>
        <v/>
      </c>
      <c r="DW46" s="24">
        <f>$J46/12*DW$14*$C$75</f>
        <v/>
      </c>
      <c r="DX46" s="24">
        <f>$J46/12*DX$14*$C$75</f>
        <v/>
      </c>
      <c r="DY46" s="24">
        <f>$J46/12*DY$14*$C$75</f>
        <v/>
      </c>
      <c r="DZ46" s="24">
        <f>$J46/12*DZ$14*$C$75</f>
        <v/>
      </c>
      <c r="EA46" s="24">
        <f>$J46/12*EA$14*$C$75</f>
        <v/>
      </c>
      <c r="EB46" s="24">
        <f>$J46/12*EB$14*$C$75</f>
        <v/>
      </c>
      <c r="EC46" s="24">
        <f>$J46/12*EC$14*$C$75</f>
        <v/>
      </c>
      <c r="ED46" s="24">
        <f>$J46/12*ED$14*$C$75</f>
        <v/>
      </c>
      <c r="EE46" s="24">
        <f>$J46/12*EE$14*$C$75</f>
        <v/>
      </c>
      <c r="EF46" s="24">
        <f>$J46/12*EF$14*$C$75</f>
        <v/>
      </c>
      <c r="EG46" s="24">
        <f>$J46/12*EG$14*$C$75</f>
        <v/>
      </c>
      <c r="EH46" s="24">
        <f>$J46/12*EH$14*$C$75</f>
        <v/>
      </c>
      <c r="EI46" s="24">
        <f>$J46/12*EI$14*$C$75</f>
        <v/>
      </c>
      <c r="EJ46" s="24">
        <f>$J46/12*EJ$14*$C$75</f>
        <v/>
      </c>
      <c r="EK46" s="24">
        <f>$J46/12*EK$14*$C$75</f>
        <v/>
      </c>
      <c r="EL46" s="24">
        <f>$J46/12*EL$14*$C$75</f>
        <v/>
      </c>
      <c r="EM46" s="24">
        <f>$J46/12*EM$14*$C$75</f>
        <v/>
      </c>
      <c r="EN46" s="24">
        <f>$J46/12*EN$14*$C$75</f>
        <v/>
      </c>
      <c r="EO46" s="24">
        <f>$J46/12*EO$14*$C$75</f>
        <v/>
      </c>
      <c r="EP46" s="24">
        <f>$J46/12*EP$14*$C$75</f>
        <v/>
      </c>
      <c r="EQ46" s="24">
        <f>$J46/12*EQ$14*$C$75</f>
        <v/>
      </c>
      <c r="ER46" s="24">
        <f>$J46/12*ER$14*$C$75</f>
        <v/>
      </c>
      <c r="ES46" s="24">
        <f>$J46/12*ES$14*$C$75</f>
        <v/>
      </c>
      <c r="ET46" s="24">
        <f>$J46/12*ET$14*$C$75</f>
        <v/>
      </c>
      <c r="EU46" s="24">
        <f>$J46/12*EU$14*$C$75</f>
        <v/>
      </c>
      <c r="EV46" s="24">
        <f>$J46/12*EV$14*$C$75</f>
        <v/>
      </c>
      <c r="EW46" s="24">
        <f>$J46/12*EW$14*$C$75</f>
        <v/>
      </c>
      <c r="EX46" s="24">
        <f>$J46/12*EX$14*$C$75</f>
        <v/>
      </c>
      <c r="EY46" s="24">
        <f>$J46/12*EY$14*$C$75</f>
        <v/>
      </c>
      <c r="EZ46" s="24">
        <f>$J46/12*EZ$14*$C$75</f>
        <v/>
      </c>
      <c r="FA46" s="24">
        <f>$J46/12*FA$14*$C$75</f>
        <v/>
      </c>
      <c r="FB46" s="24">
        <f>$J46/12*FB$14*$C$75</f>
        <v/>
      </c>
    </row>
    <row r="47">
      <c r="B47" s="76" t="inlineStr">
        <is>
          <t>Term</t>
        </is>
      </c>
      <c r="C47" s="197">
        <f>E16</f>
        <v/>
      </c>
      <c r="D47" s="80">
        <f>EOMONTH(D15,C47-1)</f>
        <v/>
      </c>
      <c r="E47" s="78" t="inlineStr">
        <is>
          <t>Term</t>
        </is>
      </c>
      <c r="F47" s="81">
        <f>Inputs!C69</f>
        <v/>
      </c>
      <c r="G47" s="80">
        <f>EOMONTH(D47,F47-1)</f>
        <v/>
      </c>
      <c r="I47" s="9" t="inlineStr">
        <is>
          <t>Turnover</t>
        </is>
      </c>
      <c r="J47" s="100">
        <f>Inputs!C77</f>
        <v/>
      </c>
      <c r="K47" s="62" t="n"/>
      <c r="L47" s="24">
        <f>SUMIF($Z$4:$FB$4,"&lt;="&amp;$G$18,$Z47:$FB47)</f>
        <v/>
      </c>
      <c r="M47" s="62" t="n"/>
      <c r="N47" s="61">
        <f>SUMIF($Z$3:$FB$3,N$7,$Z47:$FB47)</f>
        <v/>
      </c>
      <c r="O47" s="61">
        <f>SUMIF($Z$3:$FB$3,O$7,$Z47:$FB47)</f>
        <v/>
      </c>
      <c r="P47" s="61">
        <f>SUMIF($Z$3:$FB$3,P$7,$Z47:$FB47)</f>
        <v/>
      </c>
      <c r="Q47" s="61">
        <f>SUMIF($Z$3:$FB$3,Q$7,$Z47:$FB47)</f>
        <v/>
      </c>
      <c r="R47" s="61">
        <f>SUMIF($Z$3:$FB$3,R$7,$Z47:$FB47)</f>
        <v/>
      </c>
      <c r="S47" s="61">
        <f>SUMIF($Z$3:$FB$3,S$7,$Z47:$FB47)</f>
        <v/>
      </c>
      <c r="T47" s="61">
        <f>SUMIF($Z$3:$FB$3,T$7,$Z47:$FB47)</f>
        <v/>
      </c>
      <c r="U47" s="61">
        <f>SUMIF($Z$3:$FB$3,U$7,$Z47:$FB47)</f>
        <v/>
      </c>
      <c r="V47" s="61">
        <f>SUMIF($Z$3:$FB$3,V$7,$Z47:$FB47)</f>
        <v/>
      </c>
      <c r="W47" s="61">
        <f>SUMIF($Z$3:$FB$3,W$7,$Z47:$FB47)</f>
        <v/>
      </c>
      <c r="X47" s="61">
        <f>SUMIF($Z$3:$FB$3,X$7,$Z47:$FB47)</f>
        <v/>
      </c>
      <c r="Y47" s="62" t="n"/>
      <c r="Z47" s="24" t="n">
        <v>0</v>
      </c>
      <c r="AA47" s="24">
        <f>$J47/12*AA$14*$C$75</f>
        <v/>
      </c>
      <c r="AB47" s="24">
        <f>$J47/12*AB$14*$C$75</f>
        <v/>
      </c>
      <c r="AC47" s="24">
        <f>$J47/12*AC$14*$C$75</f>
        <v/>
      </c>
      <c r="AD47" s="24">
        <f>$J47/12*AD$14*$C$75</f>
        <v/>
      </c>
      <c r="AE47" s="24">
        <f>$J47/12*AE$14*$C$75</f>
        <v/>
      </c>
      <c r="AF47" s="24">
        <f>$J47/12*AF$14*$C$75</f>
        <v/>
      </c>
      <c r="AG47" s="24">
        <f>$J47/12*AG$14*$C$75</f>
        <v/>
      </c>
      <c r="AH47" s="24">
        <f>$J47/12*AH$14*$C$75</f>
        <v/>
      </c>
      <c r="AI47" s="24">
        <f>$J47/12*AI$14*$C$75</f>
        <v/>
      </c>
      <c r="AJ47" s="24">
        <f>$J47/12*AJ$14*$C$75</f>
        <v/>
      </c>
      <c r="AK47" s="24">
        <f>$J47/12*AK$14*$C$75</f>
        <v/>
      </c>
      <c r="AL47" s="24">
        <f>$J47/12*AL$14*$C$75</f>
        <v/>
      </c>
      <c r="AM47" s="24">
        <f>$J47/12*AM$14*$C$75</f>
        <v/>
      </c>
      <c r="AN47" s="24">
        <f>$J47/12*AN$14*$C$75</f>
        <v/>
      </c>
      <c r="AO47" s="24">
        <f>$J47/12*AO$14*$C$75</f>
        <v/>
      </c>
      <c r="AP47" s="24">
        <f>$J47/12*AP$14*$C$75</f>
        <v/>
      </c>
      <c r="AQ47" s="24">
        <f>$J47/12*AQ$14*$C$75</f>
        <v/>
      </c>
      <c r="AR47" s="24">
        <f>$J47/12*AR$14*$C$75</f>
        <v/>
      </c>
      <c r="AS47" s="24">
        <f>$J47/12*AS$14*$C$75</f>
        <v/>
      </c>
      <c r="AT47" s="24">
        <f>$J47/12*AT$14*$C$75</f>
        <v/>
      </c>
      <c r="AU47" s="24">
        <f>$J47/12*AU$14*$C$75</f>
        <v/>
      </c>
      <c r="AV47" s="24">
        <f>$J47/12*AV$14*$C$75</f>
        <v/>
      </c>
      <c r="AW47" s="24">
        <f>$J47/12*AW$14*$C$75</f>
        <v/>
      </c>
      <c r="AX47" s="24">
        <f>$J47/12*AX$14*$C$75</f>
        <v/>
      </c>
      <c r="AY47" s="24">
        <f>$J47/12*AY$14*$C$75</f>
        <v/>
      </c>
      <c r="AZ47" s="24">
        <f>$J47/12*AZ$14*$C$75</f>
        <v/>
      </c>
      <c r="BA47" s="24">
        <f>$J47/12*BA$14*$C$75</f>
        <v/>
      </c>
      <c r="BB47" s="24">
        <f>$J47/12*BB$14*$C$75</f>
        <v/>
      </c>
      <c r="BC47" s="24">
        <f>$J47/12*BC$14*$C$75</f>
        <v/>
      </c>
      <c r="BD47" s="24">
        <f>$J47/12*BD$14*$C$75</f>
        <v/>
      </c>
      <c r="BE47" s="24">
        <f>$J47/12*BE$14*$C$75</f>
        <v/>
      </c>
      <c r="BF47" s="24">
        <f>$J47/12*BF$14*$C$75</f>
        <v/>
      </c>
      <c r="BG47" s="24">
        <f>$J47/12*BG$14*$C$75</f>
        <v/>
      </c>
      <c r="BH47" s="24">
        <f>$J47/12*BH$14*$C$75</f>
        <v/>
      </c>
      <c r="BI47" s="24">
        <f>$J47/12*BI$14*$C$75</f>
        <v/>
      </c>
      <c r="BJ47" s="24">
        <f>$J47/12*BJ$14*$C$75</f>
        <v/>
      </c>
      <c r="BK47" s="24">
        <f>$J47/12*BK$14*$C$75</f>
        <v/>
      </c>
      <c r="BL47" s="24">
        <f>$J47/12*BL$14*$C$75</f>
        <v/>
      </c>
      <c r="BM47" s="24">
        <f>$J47/12*BM$14*$C$75</f>
        <v/>
      </c>
      <c r="BN47" s="24">
        <f>$J47/12*BN$14*$C$75</f>
        <v/>
      </c>
      <c r="BO47" s="24">
        <f>$J47/12*BO$14*$C$75</f>
        <v/>
      </c>
      <c r="BP47" s="24">
        <f>$J47/12*BP$14*$C$75</f>
        <v/>
      </c>
      <c r="BQ47" s="24">
        <f>$J47/12*BQ$14*$C$75</f>
        <v/>
      </c>
      <c r="BR47" s="24">
        <f>$J47/12*BR$14*$C$75</f>
        <v/>
      </c>
      <c r="BS47" s="24">
        <f>$J47/12*BS$14*$C$75</f>
        <v/>
      </c>
      <c r="BT47" s="24">
        <f>$J47/12*BT$14*$C$75</f>
        <v/>
      </c>
      <c r="BU47" s="24">
        <f>$J47/12*BU$14*$C$75</f>
        <v/>
      </c>
      <c r="BV47" s="24">
        <f>$J47/12*BV$14*$C$75</f>
        <v/>
      </c>
      <c r="BW47" s="24">
        <f>$J47/12*BW$14*$C$75</f>
        <v/>
      </c>
      <c r="BX47" s="24">
        <f>$J47/12*BX$14*$C$75</f>
        <v/>
      </c>
      <c r="BY47" s="24">
        <f>$J47/12*BY$14*$C$75</f>
        <v/>
      </c>
      <c r="BZ47" s="24">
        <f>$J47/12*BZ$14*$C$75</f>
        <v/>
      </c>
      <c r="CA47" s="24">
        <f>$J47/12*CA$14*$C$75</f>
        <v/>
      </c>
      <c r="CB47" s="24">
        <f>$J47/12*CB$14*$C$75</f>
        <v/>
      </c>
      <c r="CC47" s="24">
        <f>$J47/12*CC$14*$C$75</f>
        <v/>
      </c>
      <c r="CD47" s="24">
        <f>$J47/12*CD$14*$C$75</f>
        <v/>
      </c>
      <c r="CE47" s="24">
        <f>$J47/12*CE$14*$C$75</f>
        <v/>
      </c>
      <c r="CF47" s="24">
        <f>$J47/12*CF$14*$C$75</f>
        <v/>
      </c>
      <c r="CG47" s="24">
        <f>$J47/12*CG$14*$C$75</f>
        <v/>
      </c>
      <c r="CH47" s="24">
        <f>$J47/12*CH$14*$C$75</f>
        <v/>
      </c>
      <c r="CI47" s="24">
        <f>$J47/12*CI$14*$C$75</f>
        <v/>
      </c>
      <c r="CJ47" s="24">
        <f>$J47/12*CJ$14*$C$75</f>
        <v/>
      </c>
      <c r="CK47" s="24">
        <f>$J47/12*CK$14*$C$75</f>
        <v/>
      </c>
      <c r="CL47" s="24">
        <f>$J47/12*CL$14*$C$75</f>
        <v/>
      </c>
      <c r="CM47" s="24">
        <f>$J47/12*CM$14*$C$75</f>
        <v/>
      </c>
      <c r="CN47" s="24">
        <f>$J47/12*CN$14*$C$75</f>
        <v/>
      </c>
      <c r="CO47" s="24">
        <f>$J47/12*CO$14*$C$75</f>
        <v/>
      </c>
      <c r="CP47" s="24">
        <f>$J47/12*CP$14*$C$75</f>
        <v/>
      </c>
      <c r="CQ47" s="24">
        <f>$J47/12*CQ$14*$C$75</f>
        <v/>
      </c>
      <c r="CR47" s="24">
        <f>$J47/12*CR$14*$C$75</f>
        <v/>
      </c>
      <c r="CS47" s="24">
        <f>$J47/12*CS$14*$C$75</f>
        <v/>
      </c>
      <c r="CT47" s="24">
        <f>$J47/12*CT$14*$C$75</f>
        <v/>
      </c>
      <c r="CU47" s="24">
        <f>$J47/12*CU$14*$C$75</f>
        <v/>
      </c>
      <c r="CV47" s="24">
        <f>$J47/12*CV$14*$C$75</f>
        <v/>
      </c>
      <c r="CW47" s="24">
        <f>$J47/12*CW$14*$C$75</f>
        <v/>
      </c>
      <c r="CX47" s="24">
        <f>$J47/12*CX$14*$C$75</f>
        <v/>
      </c>
      <c r="CY47" s="24">
        <f>$J47/12*CY$14*$C$75</f>
        <v/>
      </c>
      <c r="CZ47" s="24">
        <f>$J47/12*CZ$14*$C$75</f>
        <v/>
      </c>
      <c r="DA47" s="24">
        <f>$J47/12*DA$14*$C$75</f>
        <v/>
      </c>
      <c r="DB47" s="24">
        <f>$J47/12*DB$14*$C$75</f>
        <v/>
      </c>
      <c r="DC47" s="24">
        <f>$J47/12*DC$14*$C$75</f>
        <v/>
      </c>
      <c r="DD47" s="24">
        <f>$J47/12*DD$14*$C$75</f>
        <v/>
      </c>
      <c r="DE47" s="24">
        <f>$J47/12*DE$14*$C$75</f>
        <v/>
      </c>
      <c r="DF47" s="24">
        <f>$J47/12*DF$14*$C$75</f>
        <v/>
      </c>
      <c r="DG47" s="24">
        <f>$J47/12*DG$14*$C$75</f>
        <v/>
      </c>
      <c r="DH47" s="24">
        <f>$J47/12*DH$14*$C$75</f>
        <v/>
      </c>
      <c r="DI47" s="24">
        <f>$J47/12*DI$14*$C$75</f>
        <v/>
      </c>
      <c r="DJ47" s="24">
        <f>$J47/12*DJ$14*$C$75</f>
        <v/>
      </c>
      <c r="DK47" s="24">
        <f>$J47/12*DK$14*$C$75</f>
        <v/>
      </c>
      <c r="DL47" s="24">
        <f>$J47/12*DL$14*$C$75</f>
        <v/>
      </c>
      <c r="DM47" s="24">
        <f>$J47/12*DM$14*$C$75</f>
        <v/>
      </c>
      <c r="DN47" s="24">
        <f>$J47/12*DN$14*$C$75</f>
        <v/>
      </c>
      <c r="DO47" s="24">
        <f>$J47/12*DO$14*$C$75</f>
        <v/>
      </c>
      <c r="DP47" s="24">
        <f>$J47/12*DP$14*$C$75</f>
        <v/>
      </c>
      <c r="DQ47" s="24">
        <f>$J47/12*DQ$14*$C$75</f>
        <v/>
      </c>
      <c r="DR47" s="24">
        <f>$J47/12*DR$14*$C$75</f>
        <v/>
      </c>
      <c r="DS47" s="24">
        <f>$J47/12*DS$14*$C$75</f>
        <v/>
      </c>
      <c r="DT47" s="24">
        <f>$J47/12*DT$14*$C$75</f>
        <v/>
      </c>
      <c r="DU47" s="24">
        <f>$J47/12*DU$14*$C$75</f>
        <v/>
      </c>
      <c r="DV47" s="24">
        <f>$J47/12*DV$14*$C$75</f>
        <v/>
      </c>
      <c r="DW47" s="24">
        <f>$J47/12*DW$14*$C$75</f>
        <v/>
      </c>
      <c r="DX47" s="24">
        <f>$J47/12*DX$14*$C$75</f>
        <v/>
      </c>
      <c r="DY47" s="24">
        <f>$J47/12*DY$14*$C$75</f>
        <v/>
      </c>
      <c r="DZ47" s="24">
        <f>$J47/12*DZ$14*$C$75</f>
        <v/>
      </c>
      <c r="EA47" s="24">
        <f>$J47/12*EA$14*$C$75</f>
        <v/>
      </c>
      <c r="EB47" s="24">
        <f>$J47/12*EB$14*$C$75</f>
        <v/>
      </c>
      <c r="EC47" s="24">
        <f>$J47/12*EC$14*$C$75</f>
        <v/>
      </c>
      <c r="ED47" s="24">
        <f>$J47/12*ED$14*$C$75</f>
        <v/>
      </c>
      <c r="EE47" s="24">
        <f>$J47/12*EE$14*$C$75</f>
        <v/>
      </c>
      <c r="EF47" s="24">
        <f>$J47/12*EF$14*$C$75</f>
        <v/>
      </c>
      <c r="EG47" s="24">
        <f>$J47/12*EG$14*$C$75</f>
        <v/>
      </c>
      <c r="EH47" s="24">
        <f>$J47/12*EH$14*$C$75</f>
        <v/>
      </c>
      <c r="EI47" s="24">
        <f>$J47/12*EI$14*$C$75</f>
        <v/>
      </c>
      <c r="EJ47" s="24">
        <f>$J47/12*EJ$14*$C$75</f>
        <v/>
      </c>
      <c r="EK47" s="24">
        <f>$J47/12*EK$14*$C$75</f>
        <v/>
      </c>
      <c r="EL47" s="24">
        <f>$J47/12*EL$14*$C$75</f>
        <v/>
      </c>
      <c r="EM47" s="24">
        <f>$J47/12*EM$14*$C$75</f>
        <v/>
      </c>
      <c r="EN47" s="24">
        <f>$J47/12*EN$14*$C$75</f>
        <v/>
      </c>
      <c r="EO47" s="24">
        <f>$J47/12*EO$14*$C$75</f>
        <v/>
      </c>
      <c r="EP47" s="24">
        <f>$J47/12*EP$14*$C$75</f>
        <v/>
      </c>
      <c r="EQ47" s="24">
        <f>$J47/12*EQ$14*$C$75</f>
        <v/>
      </c>
      <c r="ER47" s="24">
        <f>$J47/12*ER$14*$C$75</f>
        <v/>
      </c>
      <c r="ES47" s="24">
        <f>$J47/12*ES$14*$C$75</f>
        <v/>
      </c>
      <c r="ET47" s="24">
        <f>$J47/12*ET$14*$C$75</f>
        <v/>
      </c>
      <c r="EU47" s="24">
        <f>$J47/12*EU$14*$C$75</f>
        <v/>
      </c>
      <c r="EV47" s="24">
        <f>$J47/12*EV$14*$C$75</f>
        <v/>
      </c>
      <c r="EW47" s="24">
        <f>$J47/12*EW$14*$C$75</f>
        <v/>
      </c>
      <c r="EX47" s="24">
        <f>$J47/12*EX$14*$C$75</f>
        <v/>
      </c>
      <c r="EY47" s="24">
        <f>$J47/12*EY$14*$C$75</f>
        <v/>
      </c>
      <c r="EZ47" s="24">
        <f>$J47/12*EZ$14*$C$75</f>
        <v/>
      </c>
      <c r="FA47" s="24">
        <f>$J47/12*FA$14*$C$75</f>
        <v/>
      </c>
      <c r="FB47" s="24">
        <f>$J47/12*FB$14*$C$75</f>
        <v/>
      </c>
    </row>
    <row r="48">
      <c r="B48" s="76" t="inlineStr">
        <is>
          <t>Interest Rate</t>
        </is>
      </c>
      <c r="C48" s="198" t="inlineStr">
        <is>
          <t>Fixed</t>
        </is>
      </c>
      <c r="D48" s="199">
        <f>Inputs!C68</f>
        <v/>
      </c>
      <c r="E48" s="78" t="inlineStr">
        <is>
          <t>Interest Rate</t>
        </is>
      </c>
      <c r="F48" s="198" t="inlineStr">
        <is>
          <t>Fixed</t>
        </is>
      </c>
      <c r="G48" s="200">
        <f>C118</f>
        <v/>
      </c>
      <c r="I48" s="65" t="inlineStr">
        <is>
          <t>Other</t>
        </is>
      </c>
      <c r="J48" s="88">
        <f>Inputs!C78</f>
        <v/>
      </c>
      <c r="K48" s="62" t="n"/>
      <c r="L48" s="135">
        <f>SUMIF($Z$4:$FB$4,"&lt;="&amp;$G$18,$Z48:$FB48)</f>
        <v/>
      </c>
      <c r="M48" s="62" t="n"/>
      <c r="N48" s="64">
        <f>SUMIF($Z$3:$FB$3,N$7,$Z48:$FB48)</f>
        <v/>
      </c>
      <c r="O48" s="64">
        <f>SUMIF($Z$3:$FB$3,O$7,$Z48:$FB48)</f>
        <v/>
      </c>
      <c r="P48" s="64">
        <f>SUMIF($Z$3:$FB$3,P$7,$Z48:$FB48)</f>
        <v/>
      </c>
      <c r="Q48" s="64">
        <f>SUMIF($Z$3:$FB$3,Q$7,$Z48:$FB48)</f>
        <v/>
      </c>
      <c r="R48" s="64">
        <f>SUMIF($Z$3:$FB$3,R$7,$Z48:$FB48)</f>
        <v/>
      </c>
      <c r="S48" s="64">
        <f>SUMIF($Z$3:$FB$3,S$7,$Z48:$FB48)</f>
        <v/>
      </c>
      <c r="T48" s="64">
        <f>SUMIF($Z$3:$FB$3,T$7,$Z48:$FB48)</f>
        <v/>
      </c>
      <c r="U48" s="64">
        <f>SUMIF($Z$3:$FB$3,U$7,$Z48:$FB48)</f>
        <v/>
      </c>
      <c r="V48" s="64">
        <f>SUMIF($Z$3:$FB$3,V$7,$Z48:$FB48)</f>
        <v/>
      </c>
      <c r="W48" s="64">
        <f>SUMIF($Z$3:$FB$3,W$7,$Z48:$FB48)</f>
        <v/>
      </c>
      <c r="X48" s="64">
        <f>SUMIF($Z$3:$FB$3,X$7,$Z48:$FB48)</f>
        <v/>
      </c>
      <c r="Y48" s="62" t="n"/>
      <c r="Z48" s="135" t="n">
        <v>0</v>
      </c>
      <c r="AA48" s="135">
        <f>$J48/12*AA$14*$C$75</f>
        <v/>
      </c>
      <c r="AB48" s="135">
        <f>$J48/12*AB$14*$C$75</f>
        <v/>
      </c>
      <c r="AC48" s="135">
        <f>$J48/12*AC$14*$C$75</f>
        <v/>
      </c>
      <c r="AD48" s="135">
        <f>$J48/12*AD$14*$C$75</f>
        <v/>
      </c>
      <c r="AE48" s="135">
        <f>$J48/12*AE$14*$C$75</f>
        <v/>
      </c>
      <c r="AF48" s="135">
        <f>$J48/12*AF$14*$C$75</f>
        <v/>
      </c>
      <c r="AG48" s="135">
        <f>$J48/12*AG$14*$C$75</f>
        <v/>
      </c>
      <c r="AH48" s="135">
        <f>$J48/12*AH$14*$C$75</f>
        <v/>
      </c>
      <c r="AI48" s="135">
        <f>$J48/12*AI$14*$C$75</f>
        <v/>
      </c>
      <c r="AJ48" s="135">
        <f>$J48/12*AJ$14*$C$75</f>
        <v/>
      </c>
      <c r="AK48" s="135">
        <f>$J48/12*AK$14*$C$75</f>
        <v/>
      </c>
      <c r="AL48" s="135">
        <f>$J48/12*AL$14*$C$75</f>
        <v/>
      </c>
      <c r="AM48" s="135">
        <f>$J48/12*AM$14*$C$75</f>
        <v/>
      </c>
      <c r="AN48" s="135">
        <f>$J48/12*AN$14*$C$75</f>
        <v/>
      </c>
      <c r="AO48" s="135">
        <f>$J48/12*AO$14*$C$75</f>
        <v/>
      </c>
      <c r="AP48" s="135">
        <f>$J48/12*AP$14*$C$75</f>
        <v/>
      </c>
      <c r="AQ48" s="135">
        <f>$J48/12*AQ$14*$C$75</f>
        <v/>
      </c>
      <c r="AR48" s="135">
        <f>$J48/12*AR$14*$C$75</f>
        <v/>
      </c>
      <c r="AS48" s="135">
        <f>$J48/12*AS$14*$C$75</f>
        <v/>
      </c>
      <c r="AT48" s="135">
        <f>$J48/12*AT$14*$C$75</f>
        <v/>
      </c>
      <c r="AU48" s="135">
        <f>$J48/12*AU$14*$C$75</f>
        <v/>
      </c>
      <c r="AV48" s="135">
        <f>$J48/12*AV$14*$C$75</f>
        <v/>
      </c>
      <c r="AW48" s="135">
        <f>$J48/12*AW$14*$C$75</f>
        <v/>
      </c>
      <c r="AX48" s="135">
        <f>$J48/12*AX$14*$C$75</f>
        <v/>
      </c>
      <c r="AY48" s="135">
        <f>$J48/12*AY$14*$C$75</f>
        <v/>
      </c>
      <c r="AZ48" s="135">
        <f>$J48/12*AZ$14*$C$75</f>
        <v/>
      </c>
      <c r="BA48" s="135">
        <f>$J48/12*BA$14*$C$75</f>
        <v/>
      </c>
      <c r="BB48" s="135">
        <f>$J48/12*BB$14*$C$75</f>
        <v/>
      </c>
      <c r="BC48" s="135">
        <f>$J48/12*BC$14*$C$75</f>
        <v/>
      </c>
      <c r="BD48" s="135">
        <f>$J48/12*BD$14*$C$75</f>
        <v/>
      </c>
      <c r="BE48" s="135">
        <f>$J48/12*BE$14*$C$75</f>
        <v/>
      </c>
      <c r="BF48" s="135">
        <f>$J48/12*BF$14*$C$75</f>
        <v/>
      </c>
      <c r="BG48" s="135">
        <f>$J48/12*BG$14*$C$75</f>
        <v/>
      </c>
      <c r="BH48" s="135">
        <f>$J48/12*BH$14*$C$75</f>
        <v/>
      </c>
      <c r="BI48" s="135">
        <f>$J48/12*BI$14*$C$75</f>
        <v/>
      </c>
      <c r="BJ48" s="135">
        <f>$J48/12*BJ$14*$C$75</f>
        <v/>
      </c>
      <c r="BK48" s="135">
        <f>$J48/12*BK$14*$C$75</f>
        <v/>
      </c>
      <c r="BL48" s="135">
        <f>$J48/12*BL$14*$C$75</f>
        <v/>
      </c>
      <c r="BM48" s="135">
        <f>$J48/12*BM$14*$C$75</f>
        <v/>
      </c>
      <c r="BN48" s="135">
        <f>$J48/12*BN$14*$C$75</f>
        <v/>
      </c>
      <c r="BO48" s="135">
        <f>$J48/12*BO$14*$C$75</f>
        <v/>
      </c>
      <c r="BP48" s="135">
        <f>$J48/12*BP$14*$C$75</f>
        <v/>
      </c>
      <c r="BQ48" s="135">
        <f>$J48/12*BQ$14*$C$75</f>
        <v/>
      </c>
      <c r="BR48" s="135">
        <f>$J48/12*BR$14*$C$75</f>
        <v/>
      </c>
      <c r="BS48" s="135">
        <f>$J48/12*BS$14*$C$75</f>
        <v/>
      </c>
      <c r="BT48" s="135">
        <f>$J48/12*BT$14*$C$75</f>
        <v/>
      </c>
      <c r="BU48" s="135">
        <f>$J48/12*BU$14*$C$75</f>
        <v/>
      </c>
      <c r="BV48" s="135">
        <f>$J48/12*BV$14*$C$75</f>
        <v/>
      </c>
      <c r="BW48" s="135">
        <f>$J48/12*BW$14*$C$75</f>
        <v/>
      </c>
      <c r="BX48" s="135">
        <f>$J48/12*BX$14*$C$75</f>
        <v/>
      </c>
      <c r="BY48" s="135">
        <f>$J48/12*BY$14*$C$75</f>
        <v/>
      </c>
      <c r="BZ48" s="135">
        <f>$J48/12*BZ$14*$C$75</f>
        <v/>
      </c>
      <c r="CA48" s="135">
        <f>$J48/12*CA$14*$C$75</f>
        <v/>
      </c>
      <c r="CB48" s="135">
        <f>$J48/12*CB$14*$C$75</f>
        <v/>
      </c>
      <c r="CC48" s="135">
        <f>$J48/12*CC$14*$C$75</f>
        <v/>
      </c>
      <c r="CD48" s="135">
        <f>$J48/12*CD$14*$C$75</f>
        <v/>
      </c>
      <c r="CE48" s="135">
        <f>$J48/12*CE$14*$C$75</f>
        <v/>
      </c>
      <c r="CF48" s="135">
        <f>$J48/12*CF$14*$C$75</f>
        <v/>
      </c>
      <c r="CG48" s="135">
        <f>$J48/12*CG$14*$C$75</f>
        <v/>
      </c>
      <c r="CH48" s="135">
        <f>$J48/12*CH$14*$C$75</f>
        <v/>
      </c>
      <c r="CI48" s="135">
        <f>$J48/12*CI$14*$C$75</f>
        <v/>
      </c>
      <c r="CJ48" s="135">
        <f>$J48/12*CJ$14*$C$75</f>
        <v/>
      </c>
      <c r="CK48" s="135">
        <f>$J48/12*CK$14*$C$75</f>
        <v/>
      </c>
      <c r="CL48" s="135">
        <f>$J48/12*CL$14*$C$75</f>
        <v/>
      </c>
      <c r="CM48" s="135">
        <f>$J48/12*CM$14*$C$75</f>
        <v/>
      </c>
      <c r="CN48" s="135">
        <f>$J48/12*CN$14*$C$75</f>
        <v/>
      </c>
      <c r="CO48" s="135">
        <f>$J48/12*CO$14*$C$75</f>
        <v/>
      </c>
      <c r="CP48" s="135">
        <f>$J48/12*CP$14*$C$75</f>
        <v/>
      </c>
      <c r="CQ48" s="135">
        <f>$J48/12*CQ$14*$C$75</f>
        <v/>
      </c>
      <c r="CR48" s="135">
        <f>$J48/12*CR$14*$C$75</f>
        <v/>
      </c>
      <c r="CS48" s="135">
        <f>$J48/12*CS$14*$C$75</f>
        <v/>
      </c>
      <c r="CT48" s="135">
        <f>$J48/12*CT$14*$C$75</f>
        <v/>
      </c>
      <c r="CU48" s="135">
        <f>$J48/12*CU$14*$C$75</f>
        <v/>
      </c>
      <c r="CV48" s="135">
        <f>$J48/12*CV$14*$C$75</f>
        <v/>
      </c>
      <c r="CW48" s="135">
        <f>$J48/12*CW$14*$C$75</f>
        <v/>
      </c>
      <c r="CX48" s="135">
        <f>$J48/12*CX$14*$C$75</f>
        <v/>
      </c>
      <c r="CY48" s="135">
        <f>$J48/12*CY$14*$C$75</f>
        <v/>
      </c>
      <c r="CZ48" s="135">
        <f>$J48/12*CZ$14*$C$75</f>
        <v/>
      </c>
      <c r="DA48" s="135">
        <f>$J48/12*DA$14*$C$75</f>
        <v/>
      </c>
      <c r="DB48" s="135">
        <f>$J48/12*DB$14*$C$75</f>
        <v/>
      </c>
      <c r="DC48" s="135">
        <f>$J48/12*DC$14*$C$75</f>
        <v/>
      </c>
      <c r="DD48" s="135">
        <f>$J48/12*DD$14*$C$75</f>
        <v/>
      </c>
      <c r="DE48" s="135">
        <f>$J48/12*DE$14*$C$75</f>
        <v/>
      </c>
      <c r="DF48" s="135">
        <f>$J48/12*DF$14*$C$75</f>
        <v/>
      </c>
      <c r="DG48" s="135">
        <f>$J48/12*DG$14*$C$75</f>
        <v/>
      </c>
      <c r="DH48" s="135">
        <f>$J48/12*DH$14*$C$75</f>
        <v/>
      </c>
      <c r="DI48" s="135">
        <f>$J48/12*DI$14*$C$75</f>
        <v/>
      </c>
      <c r="DJ48" s="135">
        <f>$J48/12*DJ$14*$C$75</f>
        <v/>
      </c>
      <c r="DK48" s="135">
        <f>$J48/12*DK$14*$C$75</f>
        <v/>
      </c>
      <c r="DL48" s="135">
        <f>$J48/12*DL$14*$C$75</f>
        <v/>
      </c>
      <c r="DM48" s="135">
        <f>$J48/12*DM$14*$C$75</f>
        <v/>
      </c>
      <c r="DN48" s="135">
        <f>$J48/12*DN$14*$C$75</f>
        <v/>
      </c>
      <c r="DO48" s="135">
        <f>$J48/12*DO$14*$C$75</f>
        <v/>
      </c>
      <c r="DP48" s="135">
        <f>$J48/12*DP$14*$C$75</f>
        <v/>
      </c>
      <c r="DQ48" s="135">
        <f>$J48/12*DQ$14*$C$75</f>
        <v/>
      </c>
      <c r="DR48" s="135">
        <f>$J48/12*DR$14*$C$75</f>
        <v/>
      </c>
      <c r="DS48" s="135">
        <f>$J48/12*DS$14*$C$75</f>
        <v/>
      </c>
      <c r="DT48" s="135">
        <f>$J48/12*DT$14*$C$75</f>
        <v/>
      </c>
      <c r="DU48" s="135">
        <f>$J48/12*DU$14*$C$75</f>
        <v/>
      </c>
      <c r="DV48" s="135">
        <f>$J48/12*DV$14*$C$75</f>
        <v/>
      </c>
      <c r="DW48" s="135">
        <f>$J48/12*DW$14*$C$75</f>
        <v/>
      </c>
      <c r="DX48" s="135">
        <f>$J48/12*DX$14*$C$75</f>
        <v/>
      </c>
      <c r="DY48" s="135">
        <f>$J48/12*DY$14*$C$75</f>
        <v/>
      </c>
      <c r="DZ48" s="135">
        <f>$J48/12*DZ$14*$C$75</f>
        <v/>
      </c>
      <c r="EA48" s="135">
        <f>$J48/12*EA$14*$C$75</f>
        <v/>
      </c>
      <c r="EB48" s="135">
        <f>$J48/12*EB$14*$C$75</f>
        <v/>
      </c>
      <c r="EC48" s="135">
        <f>$J48/12*EC$14*$C$75</f>
        <v/>
      </c>
      <c r="ED48" s="135">
        <f>$J48/12*ED$14*$C$75</f>
        <v/>
      </c>
      <c r="EE48" s="135">
        <f>$J48/12*EE$14*$C$75</f>
        <v/>
      </c>
      <c r="EF48" s="135">
        <f>$J48/12*EF$14*$C$75</f>
        <v/>
      </c>
      <c r="EG48" s="135">
        <f>$J48/12*EG$14*$C$75</f>
        <v/>
      </c>
      <c r="EH48" s="135">
        <f>$J48/12*EH$14*$C$75</f>
        <v/>
      </c>
      <c r="EI48" s="135">
        <f>$J48/12*EI$14*$C$75</f>
        <v/>
      </c>
      <c r="EJ48" s="135">
        <f>$J48/12*EJ$14*$C$75</f>
        <v/>
      </c>
      <c r="EK48" s="135">
        <f>$J48/12*EK$14*$C$75</f>
        <v/>
      </c>
      <c r="EL48" s="135">
        <f>$J48/12*EL$14*$C$75</f>
        <v/>
      </c>
      <c r="EM48" s="135">
        <f>$J48/12*EM$14*$C$75</f>
        <v/>
      </c>
      <c r="EN48" s="135">
        <f>$J48/12*EN$14*$C$75</f>
        <v/>
      </c>
      <c r="EO48" s="135">
        <f>$J48/12*EO$14*$C$75</f>
        <v/>
      </c>
      <c r="EP48" s="135">
        <f>$J48/12*EP$14*$C$75</f>
        <v/>
      </c>
      <c r="EQ48" s="135">
        <f>$J48/12*EQ$14*$C$75</f>
        <v/>
      </c>
      <c r="ER48" s="135">
        <f>$J48/12*ER$14*$C$75</f>
        <v/>
      </c>
      <c r="ES48" s="135">
        <f>$J48/12*ES$14*$C$75</f>
        <v/>
      </c>
      <c r="ET48" s="135">
        <f>$J48/12*ET$14*$C$75</f>
        <v/>
      </c>
      <c r="EU48" s="135">
        <f>$J48/12*EU$14*$C$75</f>
        <v/>
      </c>
      <c r="EV48" s="135">
        <f>$J48/12*EV$14*$C$75</f>
        <v/>
      </c>
      <c r="EW48" s="135">
        <f>$J48/12*EW$14*$C$75</f>
        <v/>
      </c>
      <c r="EX48" s="135">
        <f>$J48/12*EX$14*$C$75</f>
        <v/>
      </c>
      <c r="EY48" s="135">
        <f>$J48/12*EY$14*$C$75</f>
        <v/>
      </c>
      <c r="EZ48" s="135">
        <f>$J48/12*EZ$14*$C$75</f>
        <v/>
      </c>
      <c r="FA48" s="135">
        <f>$J48/12*FA$14*$C$75</f>
        <v/>
      </c>
      <c r="FB48" s="135">
        <f>$J48/12*FB$14*$C$75</f>
        <v/>
      </c>
    </row>
    <row r="49">
      <c r="B49" s="159" t="inlineStr">
        <is>
          <t>Financing Costs</t>
        </is>
      </c>
      <c r="C49" s="201">
        <f>Inputs!C79</f>
        <v/>
      </c>
      <c r="D49" s="202">
        <f>C49*D46</f>
        <v/>
      </c>
      <c r="E49" s="160" t="inlineStr">
        <is>
          <t>Financing Costs</t>
        </is>
      </c>
      <c r="F49" s="203">
        <f>Inputs!C70</f>
        <v/>
      </c>
      <c r="G49" s="161">
        <f>F49*G46</f>
        <v/>
      </c>
      <c r="I49" s="57" t="inlineStr">
        <is>
          <t>Total Controllable Opex</t>
        </is>
      </c>
      <c r="J49" s="82" t="n"/>
      <c r="K49" s="189" t="n"/>
      <c r="L49" s="57">
        <f>SUMIF($Z$4:$FB$4,"&lt;="&amp;$G$18,$Z49:$FB49)</f>
        <v/>
      </c>
      <c r="M49" s="58" t="n"/>
      <c r="N49" s="57">
        <f>SUMIF($Z$3:$FB$3,N$7,$Z49:$FB49)</f>
        <v/>
      </c>
      <c r="O49" s="57">
        <f>SUMIF($Z$3:$FB$3,O$7,$Z49:$FB49)</f>
        <v/>
      </c>
      <c r="P49" s="57">
        <f>SUMIF($Z$3:$FB$3,P$7,$Z49:$FB49)</f>
        <v/>
      </c>
      <c r="Q49" s="57">
        <f>SUMIF($Z$3:$FB$3,Q$7,$Z49:$FB49)</f>
        <v/>
      </c>
      <c r="R49" s="57">
        <f>SUMIF($Z$3:$FB$3,R$7,$Z49:$FB49)</f>
        <v/>
      </c>
      <c r="S49" s="57">
        <f>SUMIF($Z$3:$FB$3,S$7,$Z49:$FB49)</f>
        <v/>
      </c>
      <c r="T49" s="57">
        <f>SUMIF($Z$3:$FB$3,T$7,$Z49:$FB49)</f>
        <v/>
      </c>
      <c r="U49" s="57">
        <f>SUMIF($Z$3:$FB$3,U$7,$Z49:$FB49)</f>
        <v/>
      </c>
      <c r="V49" s="57">
        <f>SUMIF($Z$3:$FB$3,V$7,$Z49:$FB49)</f>
        <v/>
      </c>
      <c r="W49" s="57">
        <f>SUMIF($Z$3:$FB$3,W$7,$Z49:$FB49)</f>
        <v/>
      </c>
      <c r="X49" s="57">
        <f>SUMIF($Z$3:$FB$3,X$7,$Z49:$FB49)</f>
        <v/>
      </c>
      <c r="Y49" s="58" t="n"/>
      <c r="Z49" s="57">
        <f>SUM(Z42:Z48)</f>
        <v/>
      </c>
      <c r="AA49" s="57">
        <f>SUM(AA42:AA48)</f>
        <v/>
      </c>
      <c r="AB49" s="57">
        <f>SUM(AB42:AB48)</f>
        <v/>
      </c>
      <c r="AC49" s="57">
        <f>SUM(AC42:AC48)</f>
        <v/>
      </c>
      <c r="AD49" s="57">
        <f>SUM(AD42:AD48)</f>
        <v/>
      </c>
      <c r="AE49" s="57">
        <f>SUM(AE42:AE48)</f>
        <v/>
      </c>
      <c r="AF49" s="57">
        <f>SUM(AF42:AF48)</f>
        <v/>
      </c>
      <c r="AG49" s="57">
        <f>SUM(AG42:AG48)</f>
        <v/>
      </c>
      <c r="AH49" s="57">
        <f>SUM(AH42:AH48)</f>
        <v/>
      </c>
      <c r="AI49" s="57">
        <f>SUM(AI42:AI48)</f>
        <v/>
      </c>
      <c r="AJ49" s="57">
        <f>SUM(AJ42:AJ48)</f>
        <v/>
      </c>
      <c r="AK49" s="57">
        <f>SUM(AK42:AK48)</f>
        <v/>
      </c>
      <c r="AL49" s="57">
        <f>SUM(AL42:AL48)</f>
        <v/>
      </c>
      <c r="AM49" s="57">
        <f>SUM(AM42:AM48)</f>
        <v/>
      </c>
      <c r="AN49" s="57">
        <f>SUM(AN42:AN48)</f>
        <v/>
      </c>
      <c r="AO49" s="57">
        <f>SUM(AO42:AO48)</f>
        <v/>
      </c>
      <c r="AP49" s="57">
        <f>SUM(AP42:AP48)</f>
        <v/>
      </c>
      <c r="AQ49" s="57">
        <f>SUM(AQ42:AQ48)</f>
        <v/>
      </c>
      <c r="AR49" s="57">
        <f>SUM(AR42:AR48)</f>
        <v/>
      </c>
      <c r="AS49" s="57">
        <f>SUM(AS42:AS48)</f>
        <v/>
      </c>
      <c r="AT49" s="57">
        <f>SUM(AT42:AT48)</f>
        <v/>
      </c>
      <c r="AU49" s="57">
        <f>SUM(AU42:AU48)</f>
        <v/>
      </c>
      <c r="AV49" s="57">
        <f>SUM(AV42:AV48)</f>
        <v/>
      </c>
      <c r="AW49" s="57">
        <f>SUM(AW42:AW48)</f>
        <v/>
      </c>
      <c r="AX49" s="57">
        <f>SUM(AX42:AX48)</f>
        <v/>
      </c>
      <c r="AY49" s="57">
        <f>SUM(AY42:AY48)</f>
        <v/>
      </c>
      <c r="AZ49" s="57">
        <f>SUM(AZ42:AZ48)</f>
        <v/>
      </c>
      <c r="BA49" s="57">
        <f>SUM(BA42:BA48)</f>
        <v/>
      </c>
      <c r="BB49" s="57">
        <f>SUM(BB42:BB48)</f>
        <v/>
      </c>
      <c r="BC49" s="57">
        <f>SUM(BC42:BC48)</f>
        <v/>
      </c>
      <c r="BD49" s="57">
        <f>SUM(BD42:BD48)</f>
        <v/>
      </c>
      <c r="BE49" s="57">
        <f>SUM(BE42:BE48)</f>
        <v/>
      </c>
      <c r="BF49" s="57">
        <f>SUM(BF42:BF48)</f>
        <v/>
      </c>
      <c r="BG49" s="57">
        <f>SUM(BG42:BG48)</f>
        <v/>
      </c>
      <c r="BH49" s="57">
        <f>SUM(BH42:BH48)</f>
        <v/>
      </c>
      <c r="BI49" s="57">
        <f>SUM(BI42:BI48)</f>
        <v/>
      </c>
      <c r="BJ49" s="57">
        <f>SUM(BJ42:BJ48)</f>
        <v/>
      </c>
      <c r="BK49" s="57">
        <f>SUM(BK42:BK48)</f>
        <v/>
      </c>
      <c r="BL49" s="57">
        <f>SUM(BL42:BL48)</f>
        <v/>
      </c>
      <c r="BM49" s="57">
        <f>SUM(BM42:BM48)</f>
        <v/>
      </c>
      <c r="BN49" s="57">
        <f>SUM(BN42:BN48)</f>
        <v/>
      </c>
      <c r="BO49" s="57">
        <f>SUM(BO42:BO48)</f>
        <v/>
      </c>
      <c r="BP49" s="57">
        <f>SUM(BP42:BP48)</f>
        <v/>
      </c>
      <c r="BQ49" s="57">
        <f>SUM(BQ42:BQ48)</f>
        <v/>
      </c>
      <c r="BR49" s="57">
        <f>SUM(BR42:BR48)</f>
        <v/>
      </c>
      <c r="BS49" s="57">
        <f>SUM(BS42:BS48)</f>
        <v/>
      </c>
      <c r="BT49" s="57">
        <f>SUM(BT42:BT48)</f>
        <v/>
      </c>
      <c r="BU49" s="57">
        <f>SUM(BU42:BU48)</f>
        <v/>
      </c>
      <c r="BV49" s="57">
        <f>SUM(BV42:BV48)</f>
        <v/>
      </c>
      <c r="BW49" s="57">
        <f>SUM(BW42:BW48)</f>
        <v/>
      </c>
      <c r="BX49" s="57">
        <f>SUM(BX42:BX48)</f>
        <v/>
      </c>
      <c r="BY49" s="57">
        <f>SUM(BY42:BY48)</f>
        <v/>
      </c>
      <c r="BZ49" s="57">
        <f>SUM(BZ42:BZ48)</f>
        <v/>
      </c>
      <c r="CA49" s="57">
        <f>SUM(CA42:CA48)</f>
        <v/>
      </c>
      <c r="CB49" s="57">
        <f>SUM(CB42:CB48)</f>
        <v/>
      </c>
      <c r="CC49" s="57">
        <f>SUM(CC42:CC48)</f>
        <v/>
      </c>
      <c r="CD49" s="57">
        <f>SUM(CD42:CD48)</f>
        <v/>
      </c>
      <c r="CE49" s="57">
        <f>SUM(CE42:CE48)</f>
        <v/>
      </c>
      <c r="CF49" s="57">
        <f>SUM(CF42:CF48)</f>
        <v/>
      </c>
      <c r="CG49" s="57">
        <f>SUM(CG42:CG48)</f>
        <v/>
      </c>
      <c r="CH49" s="57">
        <f>SUM(CH42:CH48)</f>
        <v/>
      </c>
      <c r="CI49" s="57">
        <f>SUM(CI42:CI48)</f>
        <v/>
      </c>
      <c r="CJ49" s="57">
        <f>SUM(CJ42:CJ48)</f>
        <v/>
      </c>
      <c r="CK49" s="57">
        <f>SUM(CK42:CK48)</f>
        <v/>
      </c>
      <c r="CL49" s="57">
        <f>SUM(CL42:CL48)</f>
        <v/>
      </c>
      <c r="CM49" s="57">
        <f>SUM(CM42:CM48)</f>
        <v/>
      </c>
      <c r="CN49" s="57">
        <f>SUM(CN42:CN48)</f>
        <v/>
      </c>
      <c r="CO49" s="57">
        <f>SUM(CO42:CO48)</f>
        <v/>
      </c>
      <c r="CP49" s="57">
        <f>SUM(CP42:CP48)</f>
        <v/>
      </c>
      <c r="CQ49" s="57">
        <f>SUM(CQ42:CQ48)</f>
        <v/>
      </c>
      <c r="CR49" s="57">
        <f>SUM(CR42:CR48)</f>
        <v/>
      </c>
      <c r="CS49" s="57">
        <f>SUM(CS42:CS48)</f>
        <v/>
      </c>
      <c r="CT49" s="57">
        <f>SUM(CT42:CT48)</f>
        <v/>
      </c>
      <c r="CU49" s="57">
        <f>SUM(CU42:CU48)</f>
        <v/>
      </c>
      <c r="CV49" s="57">
        <f>SUM(CV42:CV48)</f>
        <v/>
      </c>
      <c r="CW49" s="57">
        <f>SUM(CW42:CW48)</f>
        <v/>
      </c>
      <c r="CX49" s="57">
        <f>SUM(CX42:CX48)</f>
        <v/>
      </c>
      <c r="CY49" s="57">
        <f>SUM(CY42:CY48)</f>
        <v/>
      </c>
      <c r="CZ49" s="57">
        <f>SUM(CZ42:CZ48)</f>
        <v/>
      </c>
      <c r="DA49" s="57">
        <f>SUM(DA42:DA48)</f>
        <v/>
      </c>
      <c r="DB49" s="57">
        <f>SUM(DB42:DB48)</f>
        <v/>
      </c>
      <c r="DC49" s="57">
        <f>SUM(DC42:DC48)</f>
        <v/>
      </c>
      <c r="DD49" s="57">
        <f>SUM(DD42:DD48)</f>
        <v/>
      </c>
      <c r="DE49" s="57">
        <f>SUM(DE42:DE48)</f>
        <v/>
      </c>
      <c r="DF49" s="57">
        <f>SUM(DF42:DF48)</f>
        <v/>
      </c>
      <c r="DG49" s="57">
        <f>SUM(DG42:DG48)</f>
        <v/>
      </c>
      <c r="DH49" s="57">
        <f>SUM(DH42:DH48)</f>
        <v/>
      </c>
      <c r="DI49" s="57">
        <f>SUM(DI42:DI48)</f>
        <v/>
      </c>
      <c r="DJ49" s="57">
        <f>SUM(DJ42:DJ48)</f>
        <v/>
      </c>
      <c r="DK49" s="57">
        <f>SUM(DK42:DK48)</f>
        <v/>
      </c>
      <c r="DL49" s="57">
        <f>SUM(DL42:DL48)</f>
        <v/>
      </c>
      <c r="DM49" s="57">
        <f>SUM(DM42:DM48)</f>
        <v/>
      </c>
      <c r="DN49" s="57">
        <f>SUM(DN42:DN48)</f>
        <v/>
      </c>
      <c r="DO49" s="57">
        <f>SUM(DO42:DO48)</f>
        <v/>
      </c>
      <c r="DP49" s="57">
        <f>SUM(DP42:DP48)</f>
        <v/>
      </c>
      <c r="DQ49" s="57">
        <f>SUM(DQ42:DQ48)</f>
        <v/>
      </c>
      <c r="DR49" s="57">
        <f>SUM(DR42:DR48)</f>
        <v/>
      </c>
      <c r="DS49" s="57">
        <f>SUM(DS42:DS48)</f>
        <v/>
      </c>
      <c r="DT49" s="57">
        <f>SUM(DT42:DT48)</f>
        <v/>
      </c>
      <c r="DU49" s="57">
        <f>SUM(DU42:DU48)</f>
        <v/>
      </c>
      <c r="DV49" s="57">
        <f>SUM(DV42:DV48)</f>
        <v/>
      </c>
      <c r="DW49" s="57">
        <f>SUM(DW42:DW48)</f>
        <v/>
      </c>
      <c r="DX49" s="57">
        <f>SUM(DX42:DX48)</f>
        <v/>
      </c>
      <c r="DY49" s="57">
        <f>SUM(DY42:DY48)</f>
        <v/>
      </c>
      <c r="DZ49" s="57">
        <f>SUM(DZ42:DZ48)</f>
        <v/>
      </c>
      <c r="EA49" s="57">
        <f>SUM(EA42:EA48)</f>
        <v/>
      </c>
      <c r="EB49" s="57">
        <f>SUM(EB42:EB48)</f>
        <v/>
      </c>
      <c r="EC49" s="57">
        <f>SUM(EC42:EC48)</f>
        <v/>
      </c>
      <c r="ED49" s="57">
        <f>SUM(ED42:ED48)</f>
        <v/>
      </c>
      <c r="EE49" s="57">
        <f>SUM(EE42:EE48)</f>
        <v/>
      </c>
      <c r="EF49" s="57">
        <f>SUM(EF42:EF48)</f>
        <v/>
      </c>
      <c r="EG49" s="57">
        <f>SUM(EG42:EG48)</f>
        <v/>
      </c>
      <c r="EH49" s="57">
        <f>SUM(EH42:EH48)</f>
        <v/>
      </c>
      <c r="EI49" s="57">
        <f>SUM(EI42:EI48)</f>
        <v/>
      </c>
      <c r="EJ49" s="57">
        <f>SUM(EJ42:EJ48)</f>
        <v/>
      </c>
      <c r="EK49" s="57">
        <f>SUM(EK42:EK48)</f>
        <v/>
      </c>
      <c r="EL49" s="57">
        <f>SUM(EL42:EL48)</f>
        <v/>
      </c>
      <c r="EM49" s="57">
        <f>SUM(EM42:EM48)</f>
        <v/>
      </c>
      <c r="EN49" s="57">
        <f>SUM(EN42:EN48)</f>
        <v/>
      </c>
      <c r="EO49" s="57">
        <f>SUM(EO42:EO48)</f>
        <v/>
      </c>
      <c r="EP49" s="57">
        <f>SUM(EP42:EP48)</f>
        <v/>
      </c>
      <c r="EQ49" s="57">
        <f>SUM(EQ42:EQ48)</f>
        <v/>
      </c>
      <c r="ER49" s="57">
        <f>SUM(ER42:ER48)</f>
        <v/>
      </c>
      <c r="ES49" s="57">
        <f>SUM(ES42:ES48)</f>
        <v/>
      </c>
      <c r="ET49" s="57">
        <f>SUM(ET42:ET48)</f>
        <v/>
      </c>
      <c r="EU49" s="57">
        <f>SUM(EU42:EU48)</f>
        <v/>
      </c>
      <c r="EV49" s="57">
        <f>SUM(EV42:EV48)</f>
        <v/>
      </c>
      <c r="EW49" s="57">
        <f>SUM(EW42:EW48)</f>
        <v/>
      </c>
      <c r="EX49" s="57">
        <f>SUM(EX42:EX48)</f>
        <v/>
      </c>
      <c r="EY49" s="57">
        <f>SUM(EY42:EY48)</f>
        <v/>
      </c>
      <c r="EZ49" s="57">
        <f>SUM(EZ42:EZ48)</f>
        <v/>
      </c>
      <c r="FA49" s="57">
        <f>SUM(FA42:FA48)</f>
        <v/>
      </c>
      <c r="FB49" s="57">
        <f>SUM(FB42:FB48)</f>
        <v/>
      </c>
    </row>
    <row r="50">
      <c r="A50" s="15" t="n"/>
      <c r="B50" s="76" t="inlineStr">
        <is>
          <t>IO Periods/Amortization</t>
        </is>
      </c>
      <c r="C50" s="81">
        <f>Inputs!C80</f>
        <v/>
      </c>
      <c r="D50" s="79">
        <f>PMT(D48/12,360,-D46,0,)</f>
        <v/>
      </c>
      <c r="E50" s="78" t="inlineStr">
        <is>
          <t>IO Periods/Amortization</t>
        </is>
      </c>
      <c r="F50" s="81">
        <f>Inputs!C71</f>
        <v/>
      </c>
      <c r="G50" s="79">
        <f>PMT(G48/12,360,-G46,0,)</f>
        <v/>
      </c>
      <c r="H50" s="13" t="n"/>
      <c r="I50" s="53" t="n"/>
      <c r="J50" s="53" t="n"/>
      <c r="K50" s="188" t="n"/>
    </row>
    <row r="51">
      <c r="A51" s="15" t="n"/>
      <c r="B51" s="35" t="inlineStr">
        <is>
          <t>Debt Metrics</t>
        </is>
      </c>
      <c r="C51" s="35" t="n"/>
      <c r="D51" s="83" t="n"/>
      <c r="E51" s="75" t="inlineStr">
        <is>
          <t>Debt Metrics</t>
        </is>
      </c>
      <c r="F51" s="35" t="n"/>
      <c r="G51" s="35" t="n"/>
      <c r="I51" s="15" t="inlineStr">
        <is>
          <t>Non-controllable Expenses</t>
        </is>
      </c>
      <c r="J51" s="73">
        <f>J41</f>
        <v/>
      </c>
      <c r="K51" s="74" t="n"/>
      <c r="L51" s="137" t="inlineStr">
        <is>
          <t>Total</t>
        </is>
      </c>
      <c r="M51" s="74" t="n"/>
      <c r="N51" s="73" t="n"/>
      <c r="O51" s="73" t="n"/>
      <c r="P51" s="73" t="n"/>
      <c r="Q51" s="73" t="n"/>
      <c r="R51" s="73" t="n"/>
      <c r="S51" s="73" t="n"/>
      <c r="T51" s="73" t="n"/>
      <c r="U51" s="73" t="n"/>
      <c r="V51" s="73" t="n"/>
      <c r="W51" s="73" t="n"/>
      <c r="X51" s="73" t="n"/>
      <c r="Y51" s="74" t="n"/>
    </row>
    <row r="52" customFormat="1" s="15">
      <c r="A52" s="32" t="n"/>
      <c r="B52" s="76" t="inlineStr">
        <is>
          <t>DSCR</t>
        </is>
      </c>
      <c r="C52" s="9" t="n"/>
      <c r="D52" s="84">
        <f>C22/(PMT(6%/12,360,-D46,0)*12)</f>
        <v/>
      </c>
      <c r="E52" s="78" t="inlineStr">
        <is>
          <t>DSCR</t>
        </is>
      </c>
      <c r="F52" s="204" t="n">
        <v>1.25</v>
      </c>
      <c r="G52" s="46">
        <f>PV(G48/12,F47,-F22/12/F52)</f>
        <v/>
      </c>
      <c r="H52" s="33" t="n"/>
      <c r="I52" s="9" t="inlineStr">
        <is>
          <t>Insurance</t>
        </is>
      </c>
      <c r="J52" s="100">
        <f>Inputs!C60</f>
        <v/>
      </c>
      <c r="K52" s="62" t="n"/>
      <c r="L52" s="24">
        <f>SUMIF($Z$4:$FB$4,"&lt;="&amp;$G$18,$Z52:$FB52)</f>
        <v/>
      </c>
      <c r="M52" s="62" t="n"/>
      <c r="N52" s="61">
        <f>SUMIF($Z$3:$FB$3,N$7,$Z52:$FB52)</f>
        <v/>
      </c>
      <c r="O52" s="61">
        <f>SUMIF($Z$3:$FB$3,O$7,$Z52:$FB52)</f>
        <v/>
      </c>
      <c r="P52" s="61">
        <f>SUMIF($Z$3:$FB$3,P$7,$Z52:$FB52)</f>
        <v/>
      </c>
      <c r="Q52" s="61">
        <f>SUMIF($Z$3:$FB$3,Q$7,$Z52:$FB52)</f>
        <v/>
      </c>
      <c r="R52" s="61">
        <f>SUMIF($Z$3:$FB$3,R$7,$Z52:$FB52)</f>
        <v/>
      </c>
      <c r="S52" s="61">
        <f>SUMIF($Z$3:$FB$3,S$7,$Z52:$FB52)</f>
        <v/>
      </c>
      <c r="T52" s="61">
        <f>SUMIF($Z$3:$FB$3,T$7,$Z52:$FB52)</f>
        <v/>
      </c>
      <c r="U52" s="61">
        <f>SUMIF($Z$3:$FB$3,U$7,$Z52:$FB52)</f>
        <v/>
      </c>
      <c r="V52" s="61">
        <f>SUMIF($Z$3:$FB$3,V$7,$Z52:$FB52)</f>
        <v/>
      </c>
      <c r="W52" s="61">
        <f>SUMIF($Z$3:$FB$3,W$7,$Z52:$FB52)</f>
        <v/>
      </c>
      <c r="X52" s="61">
        <f>SUMIF($Z$3:$FB$3,X$7,$Z52:$FB52)</f>
        <v/>
      </c>
      <c r="Y52" s="62" t="n"/>
      <c r="Z52" s="24" t="n">
        <v>0</v>
      </c>
      <c r="AA52" s="24">
        <f>$J52/12*AA$14*$C$75</f>
        <v/>
      </c>
      <c r="AB52" s="24">
        <f>$J52/12*AB$14*$C$75</f>
        <v/>
      </c>
      <c r="AC52" s="24">
        <f>$J52/12*AC$14*$C$75</f>
        <v/>
      </c>
      <c r="AD52" s="24">
        <f>$J52/12*AD$14*$C$75</f>
        <v/>
      </c>
      <c r="AE52" s="24">
        <f>$J52/12*AE$14*$C$75</f>
        <v/>
      </c>
      <c r="AF52" s="24">
        <f>$J52/12*AF$14*$C$75</f>
        <v/>
      </c>
      <c r="AG52" s="24">
        <f>$J52/12*AG$14*$C$75</f>
        <v/>
      </c>
      <c r="AH52" s="24">
        <f>$J52/12*AH$14*$C$75</f>
        <v/>
      </c>
      <c r="AI52" s="24">
        <f>$J52/12*AI$14*$C$75</f>
        <v/>
      </c>
      <c r="AJ52" s="24">
        <f>$J52/12*AJ$14*$C$75</f>
        <v/>
      </c>
      <c r="AK52" s="24">
        <f>$J52/12*AK$14*$C$75</f>
        <v/>
      </c>
      <c r="AL52" s="24">
        <f>$J52/12*AL$14*$C$75</f>
        <v/>
      </c>
      <c r="AM52" s="24">
        <f>$J52/12*AM$14*$C$75</f>
        <v/>
      </c>
      <c r="AN52" s="24">
        <f>$J52/12*AN$14*$C$75</f>
        <v/>
      </c>
      <c r="AO52" s="24">
        <f>$J52/12*AO$14*$C$75</f>
        <v/>
      </c>
      <c r="AP52" s="24">
        <f>$J52/12*AP$14*$C$75</f>
        <v/>
      </c>
      <c r="AQ52" s="24">
        <f>$J52/12*AQ$14*$C$75</f>
        <v/>
      </c>
      <c r="AR52" s="24">
        <f>$J52/12*AR$14*$C$75</f>
        <v/>
      </c>
      <c r="AS52" s="24">
        <f>$J52/12*AS$14*$C$75</f>
        <v/>
      </c>
      <c r="AT52" s="24">
        <f>$J52/12*AT$14*$C$75</f>
        <v/>
      </c>
      <c r="AU52" s="24">
        <f>$J52/12*AU$14*$C$75</f>
        <v/>
      </c>
      <c r="AV52" s="24">
        <f>$J52/12*AV$14*$C$75</f>
        <v/>
      </c>
      <c r="AW52" s="24">
        <f>$J52/12*AW$14*$C$75</f>
        <v/>
      </c>
      <c r="AX52" s="24">
        <f>$J52/12*AX$14*$C$75</f>
        <v/>
      </c>
      <c r="AY52" s="24">
        <f>$J52/12*AY$14*$C$75</f>
        <v/>
      </c>
      <c r="AZ52" s="24">
        <f>$J52/12*AZ$14*$C$75</f>
        <v/>
      </c>
      <c r="BA52" s="24">
        <f>$J52/12*BA$14*$C$75</f>
        <v/>
      </c>
      <c r="BB52" s="24">
        <f>$J52/12*BB$14*$C$75</f>
        <v/>
      </c>
      <c r="BC52" s="24">
        <f>$J52/12*BC$14*$C$75</f>
        <v/>
      </c>
      <c r="BD52" s="24">
        <f>$J52/12*BD$14*$C$75</f>
        <v/>
      </c>
      <c r="BE52" s="24">
        <f>$J52/12*BE$14*$C$75</f>
        <v/>
      </c>
      <c r="BF52" s="24">
        <f>$J52/12*BF$14*$C$75</f>
        <v/>
      </c>
      <c r="BG52" s="24">
        <f>$J52/12*BG$14*$C$75</f>
        <v/>
      </c>
      <c r="BH52" s="24">
        <f>$J52/12*BH$14*$C$75</f>
        <v/>
      </c>
      <c r="BI52" s="24">
        <f>$J52/12*BI$14*$C$75</f>
        <v/>
      </c>
      <c r="BJ52" s="24">
        <f>$J52/12*BJ$14*$C$75</f>
        <v/>
      </c>
      <c r="BK52" s="24">
        <f>$J52/12*BK$14*$C$75</f>
        <v/>
      </c>
      <c r="BL52" s="24">
        <f>$J52/12*BL$14*$C$75</f>
        <v/>
      </c>
      <c r="BM52" s="24">
        <f>$J52/12*BM$14*$C$75</f>
        <v/>
      </c>
      <c r="BN52" s="24">
        <f>$J52/12*BN$14*$C$75</f>
        <v/>
      </c>
      <c r="BO52" s="24">
        <f>$J52/12*BO$14*$C$75</f>
        <v/>
      </c>
      <c r="BP52" s="24">
        <f>$J52/12*BP$14*$C$75</f>
        <v/>
      </c>
      <c r="BQ52" s="24">
        <f>$J52/12*BQ$14*$C$75</f>
        <v/>
      </c>
      <c r="BR52" s="24">
        <f>$J52/12*BR$14*$C$75</f>
        <v/>
      </c>
      <c r="BS52" s="24">
        <f>$J52/12*BS$14*$C$75</f>
        <v/>
      </c>
      <c r="BT52" s="24">
        <f>$J52/12*BT$14*$C$75</f>
        <v/>
      </c>
      <c r="BU52" s="24">
        <f>$J52/12*BU$14*$C$75</f>
        <v/>
      </c>
      <c r="BV52" s="24">
        <f>$J52/12*BV$14*$C$75</f>
        <v/>
      </c>
      <c r="BW52" s="24">
        <f>$J52/12*BW$14*$C$75</f>
        <v/>
      </c>
      <c r="BX52" s="24">
        <f>$J52/12*BX$14*$C$75</f>
        <v/>
      </c>
      <c r="BY52" s="24">
        <f>$J52/12*BY$14*$C$75</f>
        <v/>
      </c>
      <c r="BZ52" s="24">
        <f>$J52/12*BZ$14*$C$75</f>
        <v/>
      </c>
      <c r="CA52" s="24">
        <f>$J52/12*CA$14*$C$75</f>
        <v/>
      </c>
      <c r="CB52" s="24">
        <f>$J52/12*CB$14*$C$75</f>
        <v/>
      </c>
      <c r="CC52" s="24">
        <f>$J52/12*CC$14*$C$75</f>
        <v/>
      </c>
      <c r="CD52" s="24">
        <f>$J52/12*CD$14*$C$75</f>
        <v/>
      </c>
      <c r="CE52" s="24">
        <f>$J52/12*CE$14*$C$75</f>
        <v/>
      </c>
      <c r="CF52" s="24">
        <f>$J52/12*CF$14*$C$75</f>
        <v/>
      </c>
      <c r="CG52" s="24">
        <f>$J52/12*CG$14*$C$75</f>
        <v/>
      </c>
      <c r="CH52" s="24">
        <f>$J52/12*CH$14*$C$75</f>
        <v/>
      </c>
      <c r="CI52" s="24">
        <f>$J52/12*CI$14*$C$75</f>
        <v/>
      </c>
      <c r="CJ52" s="24">
        <f>$J52/12*CJ$14*$C$75</f>
        <v/>
      </c>
      <c r="CK52" s="24">
        <f>$J52/12*CK$14*$C$75</f>
        <v/>
      </c>
      <c r="CL52" s="24">
        <f>$J52/12*CL$14*$C$75</f>
        <v/>
      </c>
      <c r="CM52" s="24">
        <f>$J52/12*CM$14*$C$75</f>
        <v/>
      </c>
      <c r="CN52" s="24">
        <f>$J52/12*CN$14*$C$75</f>
        <v/>
      </c>
      <c r="CO52" s="24">
        <f>$J52/12*CO$14*$C$75</f>
        <v/>
      </c>
      <c r="CP52" s="24">
        <f>$J52/12*CP$14*$C$75</f>
        <v/>
      </c>
      <c r="CQ52" s="24">
        <f>$J52/12*CQ$14*$C$75</f>
        <v/>
      </c>
      <c r="CR52" s="24">
        <f>$J52/12*CR$14*$C$75</f>
        <v/>
      </c>
      <c r="CS52" s="24">
        <f>$J52/12*CS$14*$C$75</f>
        <v/>
      </c>
      <c r="CT52" s="24">
        <f>$J52/12*CT$14*$C$75</f>
        <v/>
      </c>
      <c r="CU52" s="24">
        <f>$J52/12*CU$14*$C$75</f>
        <v/>
      </c>
      <c r="CV52" s="24">
        <f>$J52/12*CV$14*$C$75</f>
        <v/>
      </c>
      <c r="CW52" s="24">
        <f>$J52/12*CW$14*$C$75</f>
        <v/>
      </c>
      <c r="CX52" s="24">
        <f>$J52/12*CX$14*$C$75</f>
        <v/>
      </c>
      <c r="CY52" s="24">
        <f>$J52/12*CY$14*$C$75</f>
        <v/>
      </c>
      <c r="CZ52" s="24">
        <f>$J52/12*CZ$14*$C$75</f>
        <v/>
      </c>
      <c r="DA52" s="24">
        <f>$J52/12*DA$14*$C$75</f>
        <v/>
      </c>
      <c r="DB52" s="24">
        <f>$J52/12*DB$14*$C$75</f>
        <v/>
      </c>
      <c r="DC52" s="24">
        <f>$J52/12*DC$14*$C$75</f>
        <v/>
      </c>
      <c r="DD52" s="24">
        <f>$J52/12*DD$14*$C$75</f>
        <v/>
      </c>
      <c r="DE52" s="24">
        <f>$J52/12*DE$14*$C$75</f>
        <v/>
      </c>
      <c r="DF52" s="24">
        <f>$J52/12*DF$14*$C$75</f>
        <v/>
      </c>
      <c r="DG52" s="24">
        <f>$J52/12*DG$14*$C$75</f>
        <v/>
      </c>
      <c r="DH52" s="24">
        <f>$J52/12*DH$14*$C$75</f>
        <v/>
      </c>
      <c r="DI52" s="24">
        <f>$J52/12*DI$14*$C$75</f>
        <v/>
      </c>
      <c r="DJ52" s="24">
        <f>$J52/12*DJ$14*$C$75</f>
        <v/>
      </c>
      <c r="DK52" s="24">
        <f>$J52/12*DK$14*$C$75</f>
        <v/>
      </c>
      <c r="DL52" s="24">
        <f>$J52/12*DL$14*$C$75</f>
        <v/>
      </c>
      <c r="DM52" s="24">
        <f>$J52/12*DM$14*$C$75</f>
        <v/>
      </c>
      <c r="DN52" s="24">
        <f>$J52/12*DN$14*$C$75</f>
        <v/>
      </c>
      <c r="DO52" s="24">
        <f>$J52/12*DO$14*$C$75</f>
        <v/>
      </c>
      <c r="DP52" s="24">
        <f>$J52/12*DP$14*$C$75</f>
        <v/>
      </c>
      <c r="DQ52" s="24">
        <f>$J52/12*DQ$14*$C$75</f>
        <v/>
      </c>
      <c r="DR52" s="24">
        <f>$J52/12*DR$14*$C$75</f>
        <v/>
      </c>
      <c r="DS52" s="24">
        <f>$J52/12*DS$14*$C$75</f>
        <v/>
      </c>
      <c r="DT52" s="24">
        <f>$J52/12*DT$14*$C$75</f>
        <v/>
      </c>
      <c r="DU52" s="24">
        <f>$J52/12*DU$14*$C$75</f>
        <v/>
      </c>
      <c r="DV52" s="24">
        <f>$J52/12*DV$14*$C$75</f>
        <v/>
      </c>
      <c r="DW52" s="24">
        <f>$J52/12*DW$14*$C$75</f>
        <v/>
      </c>
      <c r="DX52" s="24">
        <f>$J52/12*DX$14*$C$75</f>
        <v/>
      </c>
      <c r="DY52" s="24">
        <f>$J52/12*DY$14*$C$75</f>
        <v/>
      </c>
      <c r="DZ52" s="24">
        <f>$J52/12*DZ$14*$C$75</f>
        <v/>
      </c>
      <c r="EA52" s="24">
        <f>$J52/12*EA$14*$C$75</f>
        <v/>
      </c>
      <c r="EB52" s="24">
        <f>$J52/12*EB$14*$C$75</f>
        <v/>
      </c>
      <c r="EC52" s="24">
        <f>$J52/12*EC$14*$C$75</f>
        <v/>
      </c>
      <c r="ED52" s="24">
        <f>$J52/12*ED$14*$C$75</f>
        <v/>
      </c>
      <c r="EE52" s="24">
        <f>$J52/12*EE$14*$C$75</f>
        <v/>
      </c>
      <c r="EF52" s="24">
        <f>$J52/12*EF$14*$C$75</f>
        <v/>
      </c>
      <c r="EG52" s="24">
        <f>$J52/12*EG$14*$C$75</f>
        <v/>
      </c>
      <c r="EH52" s="24">
        <f>$J52/12*EH$14*$C$75</f>
        <v/>
      </c>
      <c r="EI52" s="24">
        <f>$J52/12*EI$14*$C$75</f>
        <v/>
      </c>
      <c r="EJ52" s="24">
        <f>$J52/12*EJ$14*$C$75</f>
        <v/>
      </c>
      <c r="EK52" s="24">
        <f>$J52/12*EK$14*$C$75</f>
        <v/>
      </c>
      <c r="EL52" s="24">
        <f>$J52/12*EL$14*$C$75</f>
        <v/>
      </c>
      <c r="EM52" s="24">
        <f>$J52/12*EM$14*$C$75</f>
        <v/>
      </c>
      <c r="EN52" s="24">
        <f>$J52/12*EN$14*$C$75</f>
        <v/>
      </c>
      <c r="EO52" s="24">
        <f>$J52/12*EO$14*$C$75</f>
        <v/>
      </c>
      <c r="EP52" s="24">
        <f>$J52/12*EP$14*$C$75</f>
        <v/>
      </c>
      <c r="EQ52" s="24">
        <f>$J52/12*EQ$14*$C$75</f>
        <v/>
      </c>
      <c r="ER52" s="24">
        <f>$J52/12*ER$14*$C$75</f>
        <v/>
      </c>
      <c r="ES52" s="24">
        <f>$J52/12*ES$14*$C$75</f>
        <v/>
      </c>
      <c r="ET52" s="24">
        <f>$J52/12*ET$14*$C$75</f>
        <v/>
      </c>
      <c r="EU52" s="24">
        <f>$J52/12*EU$14*$C$75</f>
        <v/>
      </c>
      <c r="EV52" s="24">
        <f>$J52/12*EV$14*$C$75</f>
        <v/>
      </c>
      <c r="EW52" s="24">
        <f>$J52/12*EW$14*$C$75</f>
        <v/>
      </c>
      <c r="EX52" s="24">
        <f>$J52/12*EX$14*$C$75</f>
        <v/>
      </c>
      <c r="EY52" s="24">
        <f>$J52/12*EY$14*$C$75</f>
        <v/>
      </c>
      <c r="EZ52" s="24">
        <f>$J52/12*EZ$14*$C$75</f>
        <v/>
      </c>
      <c r="FA52" s="24">
        <f>$J52/12*FA$14*$C$75</f>
        <v/>
      </c>
      <c r="FB52" s="24">
        <f>$J52/12*FB$14*$C$75</f>
        <v/>
      </c>
    </row>
    <row r="53" customFormat="1" s="15">
      <c r="A53" s="9" t="n"/>
      <c r="B53" s="76" t="inlineStr">
        <is>
          <t>DY</t>
        </is>
      </c>
      <c r="C53" s="85" t="n"/>
      <c r="D53" s="86">
        <f>C22/D46</f>
        <v/>
      </c>
      <c r="E53" s="78" t="inlineStr">
        <is>
          <t>DY</t>
        </is>
      </c>
      <c r="F53" s="205" t="n">
        <v>0.09</v>
      </c>
      <c r="G53" s="46">
        <f>F22/F53</f>
        <v/>
      </c>
      <c r="H53" s="11" t="n"/>
      <c r="I53" s="9" t="inlineStr">
        <is>
          <t>Utilities</t>
        </is>
      </c>
      <c r="J53" s="100">
        <f>Inputs!C61</f>
        <v/>
      </c>
      <c r="K53" s="62" t="n"/>
      <c r="L53" s="24">
        <f>SUMIF($Z$4:$FB$4,"&lt;="&amp;$G$18,$Z53:$FB53)</f>
        <v/>
      </c>
      <c r="M53" s="62" t="n"/>
      <c r="N53" s="61">
        <f>SUMIF($Z$3:$FB$3,N$7,$Z53:$FB53)</f>
        <v/>
      </c>
      <c r="O53" s="61">
        <f>SUMIF($Z$3:$FB$3,O$7,$Z53:$FB53)</f>
        <v/>
      </c>
      <c r="P53" s="61">
        <f>SUMIF($Z$3:$FB$3,P$7,$Z53:$FB53)</f>
        <v/>
      </c>
      <c r="Q53" s="61">
        <f>SUMIF($Z$3:$FB$3,Q$7,$Z53:$FB53)</f>
        <v/>
      </c>
      <c r="R53" s="61">
        <f>SUMIF($Z$3:$FB$3,R$7,$Z53:$FB53)</f>
        <v/>
      </c>
      <c r="S53" s="61">
        <f>SUMIF($Z$3:$FB$3,S$7,$Z53:$FB53)</f>
        <v/>
      </c>
      <c r="T53" s="61">
        <f>SUMIF($Z$3:$FB$3,T$7,$Z53:$FB53)</f>
        <v/>
      </c>
      <c r="U53" s="61">
        <f>SUMIF($Z$3:$FB$3,U$7,$Z53:$FB53)</f>
        <v/>
      </c>
      <c r="V53" s="61">
        <f>SUMIF($Z$3:$FB$3,V$7,$Z53:$FB53)</f>
        <v/>
      </c>
      <c r="W53" s="61">
        <f>SUMIF($Z$3:$FB$3,W$7,$Z53:$FB53)</f>
        <v/>
      </c>
      <c r="X53" s="61">
        <f>SUMIF($Z$3:$FB$3,X$7,$Z53:$FB53)</f>
        <v/>
      </c>
      <c r="Y53" s="62" t="n"/>
      <c r="Z53" s="24" t="n">
        <v>0</v>
      </c>
      <c r="AA53" s="24">
        <f>$J53/12*AA$14*$C$75</f>
        <v/>
      </c>
      <c r="AB53" s="24">
        <f>$J53/12*AB$14*$C$75</f>
        <v/>
      </c>
      <c r="AC53" s="24">
        <f>$J53/12*AC$14*$C$75</f>
        <v/>
      </c>
      <c r="AD53" s="24">
        <f>$J53/12*AD$14*$C$75</f>
        <v/>
      </c>
      <c r="AE53" s="24">
        <f>$J53/12*AE$14*$C$75</f>
        <v/>
      </c>
      <c r="AF53" s="24">
        <f>$J53/12*AF$14*$C$75</f>
        <v/>
      </c>
      <c r="AG53" s="24">
        <f>$J53/12*AG$14*$C$75</f>
        <v/>
      </c>
      <c r="AH53" s="24">
        <f>$J53/12*AH$14*$C$75</f>
        <v/>
      </c>
      <c r="AI53" s="24">
        <f>$J53/12*AI$14*$C$75</f>
        <v/>
      </c>
      <c r="AJ53" s="24">
        <f>$J53/12*AJ$14*$C$75</f>
        <v/>
      </c>
      <c r="AK53" s="24">
        <f>$J53/12*AK$14*$C$75</f>
        <v/>
      </c>
      <c r="AL53" s="24">
        <f>$J53/12*AL$14*$C$75</f>
        <v/>
      </c>
      <c r="AM53" s="24">
        <f>$J53/12*AM$14*$C$75</f>
        <v/>
      </c>
      <c r="AN53" s="24">
        <f>$J53/12*AN$14*$C$75</f>
        <v/>
      </c>
      <c r="AO53" s="24">
        <f>$J53/12*AO$14*$C$75</f>
        <v/>
      </c>
      <c r="AP53" s="24">
        <f>$J53/12*AP$14*$C$75</f>
        <v/>
      </c>
      <c r="AQ53" s="24">
        <f>$J53/12*AQ$14*$C$75</f>
        <v/>
      </c>
      <c r="AR53" s="24">
        <f>$J53/12*AR$14*$C$75</f>
        <v/>
      </c>
      <c r="AS53" s="24">
        <f>$J53/12*AS$14*$C$75</f>
        <v/>
      </c>
      <c r="AT53" s="24">
        <f>$J53/12*AT$14*$C$75</f>
        <v/>
      </c>
      <c r="AU53" s="24">
        <f>$J53/12*AU$14*$C$75</f>
        <v/>
      </c>
      <c r="AV53" s="24">
        <f>$J53/12*AV$14*$C$75</f>
        <v/>
      </c>
      <c r="AW53" s="24">
        <f>$J53/12*AW$14*$C$75</f>
        <v/>
      </c>
      <c r="AX53" s="24">
        <f>$J53/12*AX$14*$C$75</f>
        <v/>
      </c>
      <c r="AY53" s="24">
        <f>$J53/12*AY$14*$C$75</f>
        <v/>
      </c>
      <c r="AZ53" s="24">
        <f>$J53/12*AZ$14*$C$75</f>
        <v/>
      </c>
      <c r="BA53" s="24">
        <f>$J53/12*BA$14*$C$75</f>
        <v/>
      </c>
      <c r="BB53" s="24">
        <f>$J53/12*BB$14*$C$75</f>
        <v/>
      </c>
      <c r="BC53" s="24">
        <f>$J53/12*BC$14*$C$75</f>
        <v/>
      </c>
      <c r="BD53" s="24">
        <f>$J53/12*BD$14*$C$75</f>
        <v/>
      </c>
      <c r="BE53" s="24">
        <f>$J53/12*BE$14*$C$75</f>
        <v/>
      </c>
      <c r="BF53" s="24">
        <f>$J53/12*BF$14*$C$75</f>
        <v/>
      </c>
      <c r="BG53" s="24">
        <f>$J53/12*BG$14*$C$75</f>
        <v/>
      </c>
      <c r="BH53" s="24">
        <f>$J53/12*BH$14*$C$75</f>
        <v/>
      </c>
      <c r="BI53" s="24">
        <f>$J53/12*BI$14*$C$75</f>
        <v/>
      </c>
      <c r="BJ53" s="24">
        <f>$J53/12*BJ$14*$C$75</f>
        <v/>
      </c>
      <c r="BK53" s="24">
        <f>$J53/12*BK$14*$C$75</f>
        <v/>
      </c>
      <c r="BL53" s="24">
        <f>$J53/12*BL$14*$C$75</f>
        <v/>
      </c>
      <c r="BM53" s="24">
        <f>$J53/12*BM$14*$C$75</f>
        <v/>
      </c>
      <c r="BN53" s="24">
        <f>$J53/12*BN$14*$C$75</f>
        <v/>
      </c>
      <c r="BO53" s="24">
        <f>$J53/12*BO$14*$C$75</f>
        <v/>
      </c>
      <c r="BP53" s="24">
        <f>$J53/12*BP$14*$C$75</f>
        <v/>
      </c>
      <c r="BQ53" s="24">
        <f>$J53/12*BQ$14*$C$75</f>
        <v/>
      </c>
      <c r="BR53" s="24">
        <f>$J53/12*BR$14*$C$75</f>
        <v/>
      </c>
      <c r="BS53" s="24">
        <f>$J53/12*BS$14*$C$75</f>
        <v/>
      </c>
      <c r="BT53" s="24">
        <f>$J53/12*BT$14*$C$75</f>
        <v/>
      </c>
      <c r="BU53" s="24">
        <f>$J53/12*BU$14*$C$75</f>
        <v/>
      </c>
      <c r="BV53" s="24">
        <f>$J53/12*BV$14*$C$75</f>
        <v/>
      </c>
      <c r="BW53" s="24">
        <f>$J53/12*BW$14*$C$75</f>
        <v/>
      </c>
      <c r="BX53" s="24">
        <f>$J53/12*BX$14*$C$75</f>
        <v/>
      </c>
      <c r="BY53" s="24">
        <f>$J53/12*BY$14*$C$75</f>
        <v/>
      </c>
      <c r="BZ53" s="24">
        <f>$J53/12*BZ$14*$C$75</f>
        <v/>
      </c>
      <c r="CA53" s="24">
        <f>$J53/12*CA$14*$C$75</f>
        <v/>
      </c>
      <c r="CB53" s="24">
        <f>$J53/12*CB$14*$C$75</f>
        <v/>
      </c>
      <c r="CC53" s="24">
        <f>$J53/12*CC$14*$C$75</f>
        <v/>
      </c>
      <c r="CD53" s="24">
        <f>$J53/12*CD$14*$C$75</f>
        <v/>
      </c>
      <c r="CE53" s="24">
        <f>$J53/12*CE$14*$C$75</f>
        <v/>
      </c>
      <c r="CF53" s="24">
        <f>$J53/12*CF$14*$C$75</f>
        <v/>
      </c>
      <c r="CG53" s="24">
        <f>$J53/12*CG$14*$C$75</f>
        <v/>
      </c>
      <c r="CH53" s="24">
        <f>$J53/12*CH$14*$C$75</f>
        <v/>
      </c>
      <c r="CI53" s="24">
        <f>$J53/12*CI$14*$C$75</f>
        <v/>
      </c>
      <c r="CJ53" s="24">
        <f>$J53/12*CJ$14*$C$75</f>
        <v/>
      </c>
      <c r="CK53" s="24">
        <f>$J53/12*CK$14*$C$75</f>
        <v/>
      </c>
      <c r="CL53" s="24">
        <f>$J53/12*CL$14*$C$75</f>
        <v/>
      </c>
      <c r="CM53" s="24">
        <f>$J53/12*CM$14*$C$75</f>
        <v/>
      </c>
      <c r="CN53" s="24">
        <f>$J53/12*CN$14*$C$75</f>
        <v/>
      </c>
      <c r="CO53" s="24">
        <f>$J53/12*CO$14*$C$75</f>
        <v/>
      </c>
      <c r="CP53" s="24">
        <f>$J53/12*CP$14*$C$75</f>
        <v/>
      </c>
      <c r="CQ53" s="24">
        <f>$J53/12*CQ$14*$C$75</f>
        <v/>
      </c>
      <c r="CR53" s="24">
        <f>$J53/12*CR$14*$C$75</f>
        <v/>
      </c>
      <c r="CS53" s="24">
        <f>$J53/12*CS$14*$C$75</f>
        <v/>
      </c>
      <c r="CT53" s="24">
        <f>$J53/12*CT$14*$C$75</f>
        <v/>
      </c>
      <c r="CU53" s="24">
        <f>$J53/12*CU$14*$C$75</f>
        <v/>
      </c>
      <c r="CV53" s="24">
        <f>$J53/12*CV$14*$C$75</f>
        <v/>
      </c>
      <c r="CW53" s="24">
        <f>$J53/12*CW$14*$C$75</f>
        <v/>
      </c>
      <c r="CX53" s="24">
        <f>$J53/12*CX$14*$C$75</f>
        <v/>
      </c>
      <c r="CY53" s="24">
        <f>$J53/12*CY$14*$C$75</f>
        <v/>
      </c>
      <c r="CZ53" s="24">
        <f>$J53/12*CZ$14*$C$75</f>
        <v/>
      </c>
      <c r="DA53" s="24">
        <f>$J53/12*DA$14*$C$75</f>
        <v/>
      </c>
      <c r="DB53" s="24">
        <f>$J53/12*DB$14*$C$75</f>
        <v/>
      </c>
      <c r="DC53" s="24">
        <f>$J53/12*DC$14*$C$75</f>
        <v/>
      </c>
      <c r="DD53" s="24">
        <f>$J53/12*DD$14*$C$75</f>
        <v/>
      </c>
      <c r="DE53" s="24">
        <f>$J53/12*DE$14*$C$75</f>
        <v/>
      </c>
      <c r="DF53" s="24">
        <f>$J53/12*DF$14*$C$75</f>
        <v/>
      </c>
      <c r="DG53" s="24">
        <f>$J53/12*DG$14*$C$75</f>
        <v/>
      </c>
      <c r="DH53" s="24">
        <f>$J53/12*DH$14*$C$75</f>
        <v/>
      </c>
      <c r="DI53" s="24">
        <f>$J53/12*DI$14*$C$75</f>
        <v/>
      </c>
      <c r="DJ53" s="24">
        <f>$J53/12*DJ$14*$C$75</f>
        <v/>
      </c>
      <c r="DK53" s="24">
        <f>$J53/12*DK$14*$C$75</f>
        <v/>
      </c>
      <c r="DL53" s="24">
        <f>$J53/12*DL$14*$C$75</f>
        <v/>
      </c>
      <c r="DM53" s="24">
        <f>$J53/12*DM$14*$C$75</f>
        <v/>
      </c>
      <c r="DN53" s="24">
        <f>$J53/12*DN$14*$C$75</f>
        <v/>
      </c>
      <c r="DO53" s="24">
        <f>$J53/12*DO$14*$C$75</f>
        <v/>
      </c>
      <c r="DP53" s="24">
        <f>$J53/12*DP$14*$C$75</f>
        <v/>
      </c>
      <c r="DQ53" s="24">
        <f>$J53/12*DQ$14*$C$75</f>
        <v/>
      </c>
      <c r="DR53" s="24">
        <f>$J53/12*DR$14*$C$75</f>
        <v/>
      </c>
      <c r="DS53" s="24">
        <f>$J53/12*DS$14*$C$75</f>
        <v/>
      </c>
      <c r="DT53" s="24">
        <f>$J53/12*DT$14*$C$75</f>
        <v/>
      </c>
      <c r="DU53" s="24">
        <f>$J53/12*DU$14*$C$75</f>
        <v/>
      </c>
      <c r="DV53" s="24">
        <f>$J53/12*DV$14*$C$75</f>
        <v/>
      </c>
      <c r="DW53" s="24">
        <f>$J53/12*DW$14*$C$75</f>
        <v/>
      </c>
      <c r="DX53" s="24">
        <f>$J53/12*DX$14*$C$75</f>
        <v/>
      </c>
      <c r="DY53" s="24">
        <f>$J53/12*DY$14*$C$75</f>
        <v/>
      </c>
      <c r="DZ53" s="24">
        <f>$J53/12*DZ$14*$C$75</f>
        <v/>
      </c>
      <c r="EA53" s="24">
        <f>$J53/12*EA$14*$C$75</f>
        <v/>
      </c>
      <c r="EB53" s="24">
        <f>$J53/12*EB$14*$C$75</f>
        <v/>
      </c>
      <c r="EC53" s="24">
        <f>$J53/12*EC$14*$C$75</f>
        <v/>
      </c>
      <c r="ED53" s="24">
        <f>$J53/12*ED$14*$C$75</f>
        <v/>
      </c>
      <c r="EE53" s="24">
        <f>$J53/12*EE$14*$C$75</f>
        <v/>
      </c>
      <c r="EF53" s="24">
        <f>$J53/12*EF$14*$C$75</f>
        <v/>
      </c>
      <c r="EG53" s="24">
        <f>$J53/12*EG$14*$C$75</f>
        <v/>
      </c>
      <c r="EH53" s="24">
        <f>$J53/12*EH$14*$C$75</f>
        <v/>
      </c>
      <c r="EI53" s="24">
        <f>$J53/12*EI$14*$C$75</f>
        <v/>
      </c>
      <c r="EJ53" s="24">
        <f>$J53/12*EJ$14*$C$75</f>
        <v/>
      </c>
      <c r="EK53" s="24">
        <f>$J53/12*EK$14*$C$75</f>
        <v/>
      </c>
      <c r="EL53" s="24">
        <f>$J53/12*EL$14*$C$75</f>
        <v/>
      </c>
      <c r="EM53" s="24">
        <f>$J53/12*EM$14*$C$75</f>
        <v/>
      </c>
      <c r="EN53" s="24">
        <f>$J53/12*EN$14*$C$75</f>
        <v/>
      </c>
      <c r="EO53" s="24">
        <f>$J53/12*EO$14*$C$75</f>
        <v/>
      </c>
      <c r="EP53" s="24">
        <f>$J53/12*EP$14*$C$75</f>
        <v/>
      </c>
      <c r="EQ53" s="24">
        <f>$J53/12*EQ$14*$C$75</f>
        <v/>
      </c>
      <c r="ER53" s="24">
        <f>$J53/12*ER$14*$C$75</f>
        <v/>
      </c>
      <c r="ES53" s="24">
        <f>$J53/12*ES$14*$C$75</f>
        <v/>
      </c>
      <c r="ET53" s="24">
        <f>$J53/12*ET$14*$C$75</f>
        <v/>
      </c>
      <c r="EU53" s="24">
        <f>$J53/12*EU$14*$C$75</f>
        <v/>
      </c>
      <c r="EV53" s="24">
        <f>$J53/12*EV$14*$C$75</f>
        <v/>
      </c>
      <c r="EW53" s="24">
        <f>$J53/12*EW$14*$C$75</f>
        <v/>
      </c>
      <c r="EX53" s="24">
        <f>$J53/12*EX$14*$C$75</f>
        <v/>
      </c>
      <c r="EY53" s="24">
        <f>$J53/12*EY$14*$C$75</f>
        <v/>
      </c>
      <c r="EZ53" s="24">
        <f>$J53/12*EZ$14*$C$75</f>
        <v/>
      </c>
      <c r="FA53" s="24">
        <f>$J53/12*FA$14*$C$75</f>
        <v/>
      </c>
      <c r="FB53" s="24">
        <f>$J53/12*FB$14*$C$75</f>
        <v/>
      </c>
    </row>
    <row r="54" customFormat="1" s="15">
      <c r="A54" s="32" t="n"/>
      <c r="B54" s="9" t="n"/>
      <c r="C54" s="9" t="n"/>
      <c r="D54" s="9" t="n"/>
      <c r="E54" s="54" t="inlineStr">
        <is>
          <t>LTV</t>
        </is>
      </c>
      <c r="F54" s="206" t="n">
        <v>0.65</v>
      </c>
      <c r="G54" s="46">
        <f>F54*F24</f>
        <v/>
      </c>
      <c r="H54" s="33" t="n"/>
      <c r="I54" s="87">
        <f>Inputs!C62</f>
        <v/>
      </c>
      <c r="J54" s="100">
        <f>SUM(AA54:AL54)/C75</f>
        <v/>
      </c>
      <c r="K54" s="62" t="n"/>
      <c r="L54" s="24">
        <f>SUMIF($Z$4:$FB$4,"&lt;="&amp;$G$18,$Z54:$FB54)</f>
        <v/>
      </c>
      <c r="M54" s="62" t="n"/>
      <c r="N54" s="61">
        <f>SUMIF($Z$3:$FB$3,N$7,$Z54:$FB54)</f>
        <v/>
      </c>
      <c r="O54" s="61">
        <f>SUMIF($Z$3:$FB$3,O$7,$Z54:$FB54)</f>
        <v/>
      </c>
      <c r="P54" s="61">
        <f>SUMIF($Z$3:$FB$3,P$7,$Z54:$FB54)</f>
        <v/>
      </c>
      <c r="Q54" s="61">
        <f>SUMIF($Z$3:$FB$3,Q$7,$Z54:$FB54)</f>
        <v/>
      </c>
      <c r="R54" s="61">
        <f>SUMIF($Z$3:$FB$3,R$7,$Z54:$FB54)</f>
        <v/>
      </c>
      <c r="S54" s="61">
        <f>SUMIF($Z$3:$FB$3,S$7,$Z54:$FB54)</f>
        <v/>
      </c>
      <c r="T54" s="61">
        <f>SUMIF($Z$3:$FB$3,T$7,$Z54:$FB54)</f>
        <v/>
      </c>
      <c r="U54" s="61">
        <f>SUMIF($Z$3:$FB$3,U$7,$Z54:$FB54)</f>
        <v/>
      </c>
      <c r="V54" s="61">
        <f>SUMIF($Z$3:$FB$3,V$7,$Z54:$FB54)</f>
        <v/>
      </c>
      <c r="W54" s="61">
        <f>SUMIF($Z$3:$FB$3,W$7,$Z54:$FB54)</f>
        <v/>
      </c>
      <c r="X54" s="61">
        <f>SUMIF($Z$3:$FB$3,X$7,$Z54:$FB54)</f>
        <v/>
      </c>
      <c r="Y54" s="62" t="n"/>
      <c r="Z54" s="24">
        <f>($I$54*Z38)</f>
        <v/>
      </c>
      <c r="AA54" s="24">
        <f>($I$54*AA38)</f>
        <v/>
      </c>
      <c r="AB54" s="24">
        <f>($I$54*AB38)</f>
        <v/>
      </c>
      <c r="AC54" s="24">
        <f>($I$54*AC38)</f>
        <v/>
      </c>
      <c r="AD54" s="24">
        <f>($I$54*AD38)</f>
        <v/>
      </c>
      <c r="AE54" s="24">
        <f>($I$54*AE38)</f>
        <v/>
      </c>
      <c r="AF54" s="24">
        <f>($I$54*AF38)</f>
        <v/>
      </c>
      <c r="AG54" s="24">
        <f>($I$54*AG38)</f>
        <v/>
      </c>
      <c r="AH54" s="24">
        <f>($I$54*AH38)</f>
        <v/>
      </c>
      <c r="AI54" s="24">
        <f>($I$54*AI38)</f>
        <v/>
      </c>
      <c r="AJ54" s="24">
        <f>($I$54*AJ38)</f>
        <v/>
      </c>
      <c r="AK54" s="24">
        <f>($I$54*AK38)</f>
        <v/>
      </c>
      <c r="AL54" s="24">
        <f>($I$54*AL38)</f>
        <v/>
      </c>
      <c r="AM54" s="24">
        <f>($I$54*AM38)</f>
        <v/>
      </c>
      <c r="AN54" s="24">
        <f>($I$54*AN38)</f>
        <v/>
      </c>
      <c r="AO54" s="24">
        <f>($I$54*AO38)</f>
        <v/>
      </c>
      <c r="AP54" s="24">
        <f>($I$54*AP38)</f>
        <v/>
      </c>
      <c r="AQ54" s="24">
        <f>($I$54*AQ38)</f>
        <v/>
      </c>
      <c r="AR54" s="24">
        <f>($I$54*AR38)</f>
        <v/>
      </c>
      <c r="AS54" s="24">
        <f>($I$54*AS38)</f>
        <v/>
      </c>
      <c r="AT54" s="24">
        <f>($I$54*AT38)</f>
        <v/>
      </c>
      <c r="AU54" s="24">
        <f>($I$54*AU38)</f>
        <v/>
      </c>
      <c r="AV54" s="24">
        <f>($I$54*AV38)</f>
        <v/>
      </c>
      <c r="AW54" s="24">
        <f>($I$54*AW38)</f>
        <v/>
      </c>
      <c r="AX54" s="24">
        <f>($I$54*AX38)</f>
        <v/>
      </c>
      <c r="AY54" s="24">
        <f>($I$54*AY38)</f>
        <v/>
      </c>
      <c r="AZ54" s="24">
        <f>($I$54*AZ38)</f>
        <v/>
      </c>
      <c r="BA54" s="24">
        <f>($I$54*BA38)</f>
        <v/>
      </c>
      <c r="BB54" s="24">
        <f>($I$54*BB38)</f>
        <v/>
      </c>
      <c r="BC54" s="24">
        <f>($I$54*BC38)</f>
        <v/>
      </c>
      <c r="BD54" s="24">
        <f>($I$54*BD38)</f>
        <v/>
      </c>
      <c r="BE54" s="24">
        <f>($I$54*BE38)</f>
        <v/>
      </c>
      <c r="BF54" s="24">
        <f>($I$54*BF38)</f>
        <v/>
      </c>
      <c r="BG54" s="24">
        <f>($I$54*BG38)</f>
        <v/>
      </c>
      <c r="BH54" s="24">
        <f>($I$54*BH38)</f>
        <v/>
      </c>
      <c r="BI54" s="24">
        <f>($I$54*BI38)</f>
        <v/>
      </c>
      <c r="BJ54" s="24">
        <f>($I$54*BJ38)</f>
        <v/>
      </c>
      <c r="BK54" s="24">
        <f>($I$54*BK38)</f>
        <v/>
      </c>
      <c r="BL54" s="24">
        <f>($I$54*BL38)</f>
        <v/>
      </c>
      <c r="BM54" s="24">
        <f>($I$54*BM38)</f>
        <v/>
      </c>
      <c r="BN54" s="24">
        <f>($I$54*BN38)</f>
        <v/>
      </c>
      <c r="BO54" s="24">
        <f>($I$54*BO38)</f>
        <v/>
      </c>
      <c r="BP54" s="24">
        <f>($I$54*BP38)</f>
        <v/>
      </c>
      <c r="BQ54" s="24">
        <f>($I$54*BQ38)</f>
        <v/>
      </c>
      <c r="BR54" s="24">
        <f>($I$54*BR38)</f>
        <v/>
      </c>
      <c r="BS54" s="24">
        <f>($I$54*BS38)</f>
        <v/>
      </c>
      <c r="BT54" s="24">
        <f>($I$54*BT38)</f>
        <v/>
      </c>
      <c r="BU54" s="24">
        <f>($I$54*BU38)</f>
        <v/>
      </c>
      <c r="BV54" s="24">
        <f>($I$54*BV38)</f>
        <v/>
      </c>
      <c r="BW54" s="24">
        <f>($I$54*BW38)</f>
        <v/>
      </c>
      <c r="BX54" s="24">
        <f>($I$54*BX38)</f>
        <v/>
      </c>
      <c r="BY54" s="24">
        <f>($I$54*BY38)</f>
        <v/>
      </c>
      <c r="BZ54" s="24">
        <f>($I$54*BZ38)</f>
        <v/>
      </c>
      <c r="CA54" s="24">
        <f>($I$54*CA38)</f>
        <v/>
      </c>
      <c r="CB54" s="24">
        <f>($I$54*CB38)</f>
        <v/>
      </c>
      <c r="CC54" s="24">
        <f>($I$54*CC38)</f>
        <v/>
      </c>
      <c r="CD54" s="24">
        <f>($I$54*CD38)</f>
        <v/>
      </c>
      <c r="CE54" s="24">
        <f>($I$54*CE38)</f>
        <v/>
      </c>
      <c r="CF54" s="24">
        <f>($I$54*CF38)</f>
        <v/>
      </c>
      <c r="CG54" s="24">
        <f>($I$54*CG38)</f>
        <v/>
      </c>
      <c r="CH54" s="24">
        <f>($I$54*CH38)</f>
        <v/>
      </c>
      <c r="CI54" s="24">
        <f>($I$54*CI38)</f>
        <v/>
      </c>
      <c r="CJ54" s="24">
        <f>($I$54*CJ38)</f>
        <v/>
      </c>
      <c r="CK54" s="24">
        <f>($I$54*CK38)</f>
        <v/>
      </c>
      <c r="CL54" s="24">
        <f>($I$54*CL38)</f>
        <v/>
      </c>
      <c r="CM54" s="24">
        <f>($I$54*CM38)</f>
        <v/>
      </c>
      <c r="CN54" s="24">
        <f>($I$54*CN38)</f>
        <v/>
      </c>
      <c r="CO54" s="24">
        <f>($I$54*CO38)</f>
        <v/>
      </c>
      <c r="CP54" s="24">
        <f>($I$54*CP38)</f>
        <v/>
      </c>
      <c r="CQ54" s="24">
        <f>($I$54*CQ38)</f>
        <v/>
      </c>
      <c r="CR54" s="24">
        <f>($I$54*CR38)</f>
        <v/>
      </c>
      <c r="CS54" s="24">
        <f>($I$54*CS38)</f>
        <v/>
      </c>
      <c r="CT54" s="24">
        <f>($I$54*CT38)</f>
        <v/>
      </c>
      <c r="CU54" s="24">
        <f>($I$54*CU38)</f>
        <v/>
      </c>
      <c r="CV54" s="24">
        <f>($I$54*CV38)</f>
        <v/>
      </c>
      <c r="CW54" s="24">
        <f>($I$54*CW38)</f>
        <v/>
      </c>
      <c r="CX54" s="24">
        <f>($I$54*CX38)</f>
        <v/>
      </c>
      <c r="CY54" s="24">
        <f>($I$54*CY38)</f>
        <v/>
      </c>
      <c r="CZ54" s="24">
        <f>($I$54*CZ38)</f>
        <v/>
      </c>
      <c r="DA54" s="24">
        <f>($I$54*DA38)</f>
        <v/>
      </c>
      <c r="DB54" s="24">
        <f>($I$54*DB38)</f>
        <v/>
      </c>
      <c r="DC54" s="24">
        <f>($I$54*DC38)</f>
        <v/>
      </c>
      <c r="DD54" s="24">
        <f>($I$54*DD38)</f>
        <v/>
      </c>
      <c r="DE54" s="24">
        <f>($I$54*DE38)</f>
        <v/>
      </c>
      <c r="DF54" s="24">
        <f>($I$54*DF38)</f>
        <v/>
      </c>
      <c r="DG54" s="24">
        <f>($I$54*DG38)</f>
        <v/>
      </c>
      <c r="DH54" s="24">
        <f>($I$54*DH38)</f>
        <v/>
      </c>
      <c r="DI54" s="24">
        <f>($I$54*DI38)</f>
        <v/>
      </c>
      <c r="DJ54" s="24">
        <f>($I$54*DJ38)</f>
        <v/>
      </c>
      <c r="DK54" s="24">
        <f>($I$54*DK38)</f>
        <v/>
      </c>
      <c r="DL54" s="24">
        <f>($I$54*DL38)</f>
        <v/>
      </c>
      <c r="DM54" s="24">
        <f>($I$54*DM38)</f>
        <v/>
      </c>
      <c r="DN54" s="24">
        <f>($I$54*DN38)</f>
        <v/>
      </c>
      <c r="DO54" s="24">
        <f>($I$54*DO38)</f>
        <v/>
      </c>
      <c r="DP54" s="24">
        <f>($I$54*DP38)</f>
        <v/>
      </c>
      <c r="DQ54" s="24">
        <f>($I$54*DQ38)</f>
        <v/>
      </c>
      <c r="DR54" s="24">
        <f>($I$54*DR38)</f>
        <v/>
      </c>
      <c r="DS54" s="24">
        <f>($I$54*DS38)</f>
        <v/>
      </c>
      <c r="DT54" s="24">
        <f>($I$54*DT38)</f>
        <v/>
      </c>
      <c r="DU54" s="24">
        <f>($I$54*DU38)</f>
        <v/>
      </c>
      <c r="DV54" s="24">
        <f>($I$54*DV38)</f>
        <v/>
      </c>
      <c r="DW54" s="24">
        <f>($I$54*DW38)</f>
        <v/>
      </c>
      <c r="DX54" s="24">
        <f>($I$54*DX38)</f>
        <v/>
      </c>
      <c r="DY54" s="24">
        <f>($I$54*DY38)</f>
        <v/>
      </c>
      <c r="DZ54" s="24">
        <f>($I$54*DZ38)</f>
        <v/>
      </c>
      <c r="EA54" s="24">
        <f>($I$54*EA38)</f>
        <v/>
      </c>
      <c r="EB54" s="24">
        <f>($I$54*EB38)</f>
        <v/>
      </c>
      <c r="EC54" s="24">
        <f>($I$54*EC38)</f>
        <v/>
      </c>
      <c r="ED54" s="24">
        <f>($I$54*ED38)</f>
        <v/>
      </c>
      <c r="EE54" s="24">
        <f>($I$54*EE38)</f>
        <v/>
      </c>
      <c r="EF54" s="24">
        <f>($I$54*EF38)</f>
        <v/>
      </c>
      <c r="EG54" s="24">
        <f>($I$54*EG38)</f>
        <v/>
      </c>
      <c r="EH54" s="24">
        <f>($I$54*EH38)</f>
        <v/>
      </c>
      <c r="EI54" s="24">
        <f>($I$54*EI38)</f>
        <v/>
      </c>
      <c r="EJ54" s="24">
        <f>($I$54*EJ38)</f>
        <v/>
      </c>
      <c r="EK54" s="24">
        <f>($I$54*EK38)</f>
        <v/>
      </c>
      <c r="EL54" s="24">
        <f>($I$54*EL38)</f>
        <v/>
      </c>
      <c r="EM54" s="24">
        <f>($I$54*EM38)</f>
        <v/>
      </c>
      <c r="EN54" s="24">
        <f>($I$54*EN38)</f>
        <v/>
      </c>
      <c r="EO54" s="24">
        <f>($I$54*EO38)</f>
        <v/>
      </c>
      <c r="EP54" s="24">
        <f>($I$54*EP38)</f>
        <v/>
      </c>
      <c r="EQ54" s="24">
        <f>($I$54*EQ38)</f>
        <v/>
      </c>
      <c r="ER54" s="24">
        <f>($I$54*ER38)</f>
        <v/>
      </c>
      <c r="ES54" s="24">
        <f>($I$54*ES38)</f>
        <v/>
      </c>
      <c r="ET54" s="24">
        <f>($I$54*ET38)</f>
        <v/>
      </c>
      <c r="EU54" s="24">
        <f>($I$54*EU38)</f>
        <v/>
      </c>
      <c r="EV54" s="24">
        <f>($I$54*EV38)</f>
        <v/>
      </c>
      <c r="EW54" s="24">
        <f>($I$54*EW38)</f>
        <v/>
      </c>
      <c r="EX54" s="24">
        <f>($I$54*EX38)</f>
        <v/>
      </c>
      <c r="EY54" s="24">
        <f>($I$54*EY38)</f>
        <v/>
      </c>
      <c r="EZ54" s="24">
        <f>($I$54*EZ38)</f>
        <v/>
      </c>
      <c r="FA54" s="24">
        <f>($I$54*FA38)</f>
        <v/>
      </c>
      <c r="FB54" s="24">
        <f>($I$54*FB38)</f>
        <v/>
      </c>
    </row>
    <row r="55" customFormat="1" s="15">
      <c r="A55" s="9" t="n"/>
      <c r="B55" s="174" t="b">
        <v>0</v>
      </c>
      <c r="C55" s="9" t="n"/>
      <c r="D55" s="9" t="n"/>
      <c r="E55" s="9" t="n"/>
      <c r="F55" s="9" t="n"/>
      <c r="G55" s="216">
        <f>G46-D46</f>
        <v/>
      </c>
      <c r="H55" s="11" t="n"/>
      <c r="I55" s="65" t="inlineStr">
        <is>
          <t>Property Tax</t>
        </is>
      </c>
      <c r="J55" s="88">
        <f>Inputs!C63</f>
        <v/>
      </c>
      <c r="K55" s="63" t="n"/>
      <c r="L55" s="135">
        <f>SUMIF($Z$4:$FB$4,"&lt;="&amp;$G$18,$Z55:$FB55)</f>
        <v/>
      </c>
      <c r="M55" s="62" t="n"/>
      <c r="N55" s="64">
        <f>SUMIF($Z$3:$FB$3,N$7,$Z55:$FB55)</f>
        <v/>
      </c>
      <c r="O55" s="64">
        <f>SUMIF($Z$3:$FB$3,O$7,$Z55:$FB55)</f>
        <v/>
      </c>
      <c r="P55" s="64">
        <f>SUMIF($Z$3:$FB$3,P$7,$Z55:$FB55)</f>
        <v/>
      </c>
      <c r="Q55" s="64">
        <f>SUMIF($Z$3:$FB$3,Q$7,$Z55:$FB55)</f>
        <v/>
      </c>
      <c r="R55" s="64">
        <f>SUMIF($Z$3:$FB$3,R$7,$Z55:$FB55)</f>
        <v/>
      </c>
      <c r="S55" s="64">
        <f>SUMIF($Z$3:$FB$3,S$7,$Z55:$FB55)</f>
        <v/>
      </c>
      <c r="T55" s="64">
        <f>SUMIF($Z$3:$FB$3,T$7,$Z55:$FB55)</f>
        <v/>
      </c>
      <c r="U55" s="64">
        <f>SUMIF($Z$3:$FB$3,U$7,$Z55:$FB55)</f>
        <v/>
      </c>
      <c r="V55" s="64">
        <f>SUMIF($Z$3:$FB$3,V$7,$Z55:$FB55)</f>
        <v/>
      </c>
      <c r="W55" s="64">
        <f>SUMIF($Z$3:$FB$3,W$7,$Z55:$FB55)</f>
        <v/>
      </c>
      <c r="X55" s="64">
        <f>SUMIF($Z$3:$FB$3,X$7,$Z55:$FB55)</f>
        <v/>
      </c>
      <c r="Y55" s="62" t="n"/>
      <c r="Z55" s="135" t="n">
        <v>0</v>
      </c>
      <c r="AA55" s="135">
        <f>$J55/12*AA$14*$C$75</f>
        <v/>
      </c>
      <c r="AB55" s="135">
        <f>$J55/12*AB$14*$C$75</f>
        <v/>
      </c>
      <c r="AC55" s="135">
        <f>$J55/12*AC$14*$C$75</f>
        <v/>
      </c>
      <c r="AD55" s="135">
        <f>$J55/12*AD$14*$C$75</f>
        <v/>
      </c>
      <c r="AE55" s="135">
        <f>$J55/12*AE$14*$C$75</f>
        <v/>
      </c>
      <c r="AF55" s="135">
        <f>$J55/12*AF$14*$C$75</f>
        <v/>
      </c>
      <c r="AG55" s="135">
        <f>$J55/12*AG$14*$C$75</f>
        <v/>
      </c>
      <c r="AH55" s="135">
        <f>$J55/12*AH$14*$C$75</f>
        <v/>
      </c>
      <c r="AI55" s="135">
        <f>$J55/12*AI$14*$C$75</f>
        <v/>
      </c>
      <c r="AJ55" s="135">
        <f>$J55/12*AJ$14*$C$75</f>
        <v/>
      </c>
      <c r="AK55" s="135">
        <f>$J55/12*AK$14*$C$75</f>
        <v/>
      </c>
      <c r="AL55" s="135">
        <f>$J55/12*AL$14*$C$75</f>
        <v/>
      </c>
      <c r="AM55" s="135">
        <f>$J55/12*AM$14*$C$75</f>
        <v/>
      </c>
      <c r="AN55" s="135">
        <f>$J55/12*AN$14*$C$75</f>
        <v/>
      </c>
      <c r="AO55" s="135">
        <f>$J55/12*AO$14*$C$75</f>
        <v/>
      </c>
      <c r="AP55" s="135">
        <f>$J55/12*AP$14*$C$75</f>
        <v/>
      </c>
      <c r="AQ55" s="135">
        <f>$J55/12*AQ$14*$C$75</f>
        <v/>
      </c>
      <c r="AR55" s="135">
        <f>$J55/12*AR$14*$C$75</f>
        <v/>
      </c>
      <c r="AS55" s="135">
        <f>$J55/12*AS$14*$C$75</f>
        <v/>
      </c>
      <c r="AT55" s="135">
        <f>$J55/12*AT$14*$C$75</f>
        <v/>
      </c>
      <c r="AU55" s="135">
        <f>$J55/12*AU$14*$C$75</f>
        <v/>
      </c>
      <c r="AV55" s="135">
        <f>$J55/12*AV$14*$C$75</f>
        <v/>
      </c>
      <c r="AW55" s="135">
        <f>$J55/12*AW$14*$C$75</f>
        <v/>
      </c>
      <c r="AX55" s="135">
        <f>$J55/12*AX$14*$C$75</f>
        <v/>
      </c>
      <c r="AY55" s="135">
        <f>$J55/12*AY$14*$C$75</f>
        <v/>
      </c>
      <c r="AZ55" s="135">
        <f>$J55/12*AZ$14*$C$75</f>
        <v/>
      </c>
      <c r="BA55" s="135">
        <f>$J55/12*BA$14*$C$75</f>
        <v/>
      </c>
      <c r="BB55" s="135">
        <f>$J55/12*BB$14*$C$75</f>
        <v/>
      </c>
      <c r="BC55" s="135">
        <f>$J55/12*BC$14*$C$75</f>
        <v/>
      </c>
      <c r="BD55" s="135">
        <f>$J55/12*BD$14*$C$75</f>
        <v/>
      </c>
      <c r="BE55" s="135">
        <f>$J55/12*BE$14*$C$75</f>
        <v/>
      </c>
      <c r="BF55" s="135">
        <f>$J55/12*BF$14*$C$75</f>
        <v/>
      </c>
      <c r="BG55" s="135">
        <f>$J55/12*BG$14*$C$75</f>
        <v/>
      </c>
      <c r="BH55" s="135">
        <f>$J55/12*BH$14*$C$75</f>
        <v/>
      </c>
      <c r="BI55" s="135">
        <f>$J55/12*BI$14*$C$75</f>
        <v/>
      </c>
      <c r="BJ55" s="135">
        <f>$J55/12*BJ$14*$C$75</f>
        <v/>
      </c>
      <c r="BK55" s="135">
        <f>$J55/12*BK$14*$C$75</f>
        <v/>
      </c>
      <c r="BL55" s="135">
        <f>$J55/12*BL$14*$C$75</f>
        <v/>
      </c>
      <c r="BM55" s="135">
        <f>$J55/12*BM$14*$C$75</f>
        <v/>
      </c>
      <c r="BN55" s="135">
        <f>$J55/12*BN$14*$C$75</f>
        <v/>
      </c>
      <c r="BO55" s="135">
        <f>$J55/12*BO$14*$C$75</f>
        <v/>
      </c>
      <c r="BP55" s="135">
        <f>$J55/12*BP$14*$C$75</f>
        <v/>
      </c>
      <c r="BQ55" s="135">
        <f>$J55/12*BQ$14*$C$75</f>
        <v/>
      </c>
      <c r="BR55" s="135">
        <f>$J55/12*BR$14*$C$75</f>
        <v/>
      </c>
      <c r="BS55" s="135">
        <f>$J55/12*BS$14*$C$75</f>
        <v/>
      </c>
      <c r="BT55" s="135">
        <f>$J55/12*BT$14*$C$75</f>
        <v/>
      </c>
      <c r="BU55" s="135">
        <f>$J55/12*BU$14*$C$75</f>
        <v/>
      </c>
      <c r="BV55" s="135">
        <f>$J55/12*BV$14*$C$75</f>
        <v/>
      </c>
      <c r="BW55" s="135">
        <f>$J55/12*BW$14*$C$75</f>
        <v/>
      </c>
      <c r="BX55" s="135">
        <f>$J55/12*BX$14*$C$75</f>
        <v/>
      </c>
      <c r="BY55" s="135">
        <f>$J55/12*BY$14*$C$75</f>
        <v/>
      </c>
      <c r="BZ55" s="135">
        <f>$J55/12*BZ$14*$C$75</f>
        <v/>
      </c>
      <c r="CA55" s="135">
        <f>$J55/12*CA$14*$C$75</f>
        <v/>
      </c>
      <c r="CB55" s="135">
        <f>$J55/12*CB$14*$C$75</f>
        <v/>
      </c>
      <c r="CC55" s="135">
        <f>$J55/12*CC$14*$C$75</f>
        <v/>
      </c>
      <c r="CD55" s="135">
        <f>$J55/12*CD$14*$C$75</f>
        <v/>
      </c>
      <c r="CE55" s="135">
        <f>$J55/12*CE$14*$C$75</f>
        <v/>
      </c>
      <c r="CF55" s="135">
        <f>$J55/12*CF$14*$C$75</f>
        <v/>
      </c>
      <c r="CG55" s="135">
        <f>$J55/12*CG$14*$C$75</f>
        <v/>
      </c>
      <c r="CH55" s="135">
        <f>$J55/12*CH$14*$C$75</f>
        <v/>
      </c>
      <c r="CI55" s="135">
        <f>$J55/12*CI$14*$C$75</f>
        <v/>
      </c>
      <c r="CJ55" s="135">
        <f>$J55/12*CJ$14*$C$75</f>
        <v/>
      </c>
      <c r="CK55" s="135">
        <f>$J55/12*CK$14*$C$75</f>
        <v/>
      </c>
      <c r="CL55" s="135">
        <f>$J55/12*CL$14*$C$75</f>
        <v/>
      </c>
      <c r="CM55" s="135">
        <f>$J55/12*CM$14*$C$75</f>
        <v/>
      </c>
      <c r="CN55" s="135">
        <f>$J55/12*CN$14*$C$75</f>
        <v/>
      </c>
      <c r="CO55" s="135">
        <f>$J55/12*CO$14*$C$75</f>
        <v/>
      </c>
      <c r="CP55" s="135">
        <f>$J55/12*CP$14*$C$75</f>
        <v/>
      </c>
      <c r="CQ55" s="135">
        <f>$J55/12*CQ$14*$C$75</f>
        <v/>
      </c>
      <c r="CR55" s="135">
        <f>$J55/12*CR$14*$C$75</f>
        <v/>
      </c>
      <c r="CS55" s="135">
        <f>$J55/12*CS$14*$C$75</f>
        <v/>
      </c>
      <c r="CT55" s="135">
        <f>$J55/12*CT$14*$C$75</f>
        <v/>
      </c>
      <c r="CU55" s="135">
        <f>$J55/12*CU$14*$C$75</f>
        <v/>
      </c>
      <c r="CV55" s="135">
        <f>$J55/12*CV$14*$C$75</f>
        <v/>
      </c>
      <c r="CW55" s="135">
        <f>$J55/12*CW$14*$C$75</f>
        <v/>
      </c>
      <c r="CX55" s="135">
        <f>$J55/12*CX$14*$C$75</f>
        <v/>
      </c>
      <c r="CY55" s="135">
        <f>$J55/12*CY$14*$C$75</f>
        <v/>
      </c>
      <c r="CZ55" s="135">
        <f>$J55/12*CZ$14*$C$75</f>
        <v/>
      </c>
      <c r="DA55" s="135">
        <f>$J55/12*DA$14*$C$75</f>
        <v/>
      </c>
      <c r="DB55" s="135">
        <f>$J55/12*DB$14*$C$75</f>
        <v/>
      </c>
      <c r="DC55" s="135">
        <f>$J55/12*DC$14*$C$75</f>
        <v/>
      </c>
      <c r="DD55" s="135">
        <f>$J55/12*DD$14*$C$75</f>
        <v/>
      </c>
      <c r="DE55" s="135">
        <f>$J55/12*DE$14*$C$75</f>
        <v/>
      </c>
      <c r="DF55" s="135">
        <f>$J55/12*DF$14*$C$75</f>
        <v/>
      </c>
      <c r="DG55" s="135">
        <f>$J55/12*DG$14*$C$75</f>
        <v/>
      </c>
      <c r="DH55" s="135">
        <f>$J55/12*DH$14*$C$75</f>
        <v/>
      </c>
      <c r="DI55" s="135">
        <f>$J55/12*DI$14*$C$75</f>
        <v/>
      </c>
      <c r="DJ55" s="135">
        <f>$J55/12*DJ$14*$C$75</f>
        <v/>
      </c>
      <c r="DK55" s="135">
        <f>$J55/12*DK$14*$C$75</f>
        <v/>
      </c>
      <c r="DL55" s="135">
        <f>$J55/12*DL$14*$C$75</f>
        <v/>
      </c>
      <c r="DM55" s="135">
        <f>$J55/12*DM$14*$C$75</f>
        <v/>
      </c>
      <c r="DN55" s="135">
        <f>$J55/12*DN$14*$C$75</f>
        <v/>
      </c>
      <c r="DO55" s="135">
        <f>$J55/12*DO$14*$C$75</f>
        <v/>
      </c>
      <c r="DP55" s="135">
        <f>$J55/12*DP$14*$C$75</f>
        <v/>
      </c>
      <c r="DQ55" s="135">
        <f>$J55/12*DQ$14*$C$75</f>
        <v/>
      </c>
      <c r="DR55" s="135">
        <f>$J55/12*DR$14*$C$75</f>
        <v/>
      </c>
      <c r="DS55" s="135">
        <f>$J55/12*DS$14*$C$75</f>
        <v/>
      </c>
      <c r="DT55" s="135">
        <f>$J55/12*DT$14*$C$75</f>
        <v/>
      </c>
      <c r="DU55" s="135">
        <f>$J55/12*DU$14*$C$75</f>
        <v/>
      </c>
      <c r="DV55" s="135">
        <f>$J55/12*DV$14*$C$75</f>
        <v/>
      </c>
      <c r="DW55" s="135">
        <f>$J55/12*DW$14*$C$75</f>
        <v/>
      </c>
      <c r="DX55" s="135">
        <f>$J55/12*DX$14*$C$75</f>
        <v/>
      </c>
      <c r="DY55" s="135">
        <f>$J55/12*DY$14*$C$75</f>
        <v/>
      </c>
      <c r="DZ55" s="135">
        <f>$J55/12*DZ$14*$C$75</f>
        <v/>
      </c>
      <c r="EA55" s="135">
        <f>$J55/12*EA$14*$C$75</f>
        <v/>
      </c>
      <c r="EB55" s="135">
        <f>$J55/12*EB$14*$C$75</f>
        <v/>
      </c>
      <c r="EC55" s="135">
        <f>$J55/12*EC$14*$C$75</f>
        <v/>
      </c>
      <c r="ED55" s="135">
        <f>$J55/12*ED$14*$C$75</f>
        <v/>
      </c>
      <c r="EE55" s="135">
        <f>$J55/12*EE$14*$C$75</f>
        <v/>
      </c>
      <c r="EF55" s="135">
        <f>$J55/12*EF$14*$C$75</f>
        <v/>
      </c>
      <c r="EG55" s="135">
        <f>$J55/12*EG$14*$C$75</f>
        <v/>
      </c>
      <c r="EH55" s="135">
        <f>$J55/12*EH$14*$C$75</f>
        <v/>
      </c>
      <c r="EI55" s="135">
        <f>$J55/12*EI$14*$C$75</f>
        <v/>
      </c>
      <c r="EJ55" s="135">
        <f>$J55/12*EJ$14*$C$75</f>
        <v/>
      </c>
      <c r="EK55" s="135">
        <f>$J55/12*EK$14*$C$75</f>
        <v/>
      </c>
      <c r="EL55" s="135">
        <f>$J55/12*EL$14*$C$75</f>
        <v/>
      </c>
      <c r="EM55" s="135">
        <f>$J55/12*EM$14*$C$75</f>
        <v/>
      </c>
      <c r="EN55" s="135">
        <f>$J55/12*EN$14*$C$75</f>
        <v/>
      </c>
      <c r="EO55" s="135">
        <f>$J55/12*EO$14*$C$75</f>
        <v/>
      </c>
      <c r="EP55" s="135">
        <f>$J55/12*EP$14*$C$75</f>
        <v/>
      </c>
      <c r="EQ55" s="135">
        <f>$J55/12*EQ$14*$C$75</f>
        <v/>
      </c>
      <c r="ER55" s="135">
        <f>$J55/12*ER$14*$C$75</f>
        <v/>
      </c>
      <c r="ES55" s="135">
        <f>$J55/12*ES$14*$C$75</f>
        <v/>
      </c>
      <c r="ET55" s="135">
        <f>$J55/12*ET$14*$C$75</f>
        <v/>
      </c>
      <c r="EU55" s="135">
        <f>$J55/12*EU$14*$C$75</f>
        <v/>
      </c>
      <c r="EV55" s="135">
        <f>$J55/12*EV$14*$C$75</f>
        <v/>
      </c>
      <c r="EW55" s="135">
        <f>$J55/12*EW$14*$C$75</f>
        <v/>
      </c>
      <c r="EX55" s="135">
        <f>$J55/12*EX$14*$C$75</f>
        <v/>
      </c>
      <c r="EY55" s="135">
        <f>$J55/12*EY$14*$C$75</f>
        <v/>
      </c>
      <c r="EZ55" s="135">
        <f>$J55/12*EZ$14*$C$75</f>
        <v/>
      </c>
      <c r="FA55" s="135">
        <f>$J55/12*FA$14*$C$75</f>
        <v/>
      </c>
      <c r="FB55" s="135">
        <f>$J55/12*FB$14*$C$75</f>
        <v/>
      </c>
    </row>
    <row r="56">
      <c r="A56" s="32" t="n"/>
      <c r="B56" s="15" t="n"/>
      <c r="C56" s="15" t="n"/>
      <c r="D56" s="15" t="n"/>
      <c r="E56" s="15" t="n"/>
      <c r="F56" s="15" t="n"/>
      <c r="H56" s="33" t="n"/>
      <c r="I56" s="44" t="inlineStr">
        <is>
          <t>Total Non-controllable Opex</t>
        </is>
      </c>
      <c r="J56" s="89" t="n"/>
      <c r="K56" s="189" t="n"/>
      <c r="L56" s="44">
        <f>SUMIF($Z$4:$FB$4,"&lt;="&amp;$G$18,$Z56:$FB56)</f>
        <v/>
      </c>
      <c r="M56" s="58" t="n"/>
      <c r="N56" s="44">
        <f>SUMIF($Z$3:$FB$3,N$7,$Z56:$FB56)</f>
        <v/>
      </c>
      <c r="O56" s="44">
        <f>SUMIF($Z$3:$FB$3,O$7,$Z56:$FB56)</f>
        <v/>
      </c>
      <c r="P56" s="44">
        <f>SUMIF($Z$3:$FB$3,P$7,$Z56:$FB56)</f>
        <v/>
      </c>
      <c r="Q56" s="44">
        <f>SUMIF($Z$3:$FB$3,Q$7,$Z56:$FB56)</f>
        <v/>
      </c>
      <c r="R56" s="44">
        <f>SUMIF($Z$3:$FB$3,R$7,$Z56:$FB56)</f>
        <v/>
      </c>
      <c r="S56" s="44">
        <f>SUMIF($Z$3:$FB$3,S$7,$Z56:$FB56)</f>
        <v/>
      </c>
      <c r="T56" s="44">
        <f>SUMIF($Z$3:$FB$3,T$7,$Z56:$FB56)</f>
        <v/>
      </c>
      <c r="U56" s="44">
        <f>SUMIF($Z$3:$FB$3,U$7,$Z56:$FB56)</f>
        <v/>
      </c>
      <c r="V56" s="44">
        <f>SUMIF($Z$3:$FB$3,V$7,$Z56:$FB56)</f>
        <v/>
      </c>
      <c r="W56" s="44">
        <f>SUMIF($Z$3:$FB$3,W$7,$Z56:$FB56)</f>
        <v/>
      </c>
      <c r="X56" s="44">
        <f>SUMIF($Z$3:$FB$3,X$7,$Z56:$FB56)</f>
        <v/>
      </c>
      <c r="Y56" s="58" t="n"/>
      <c r="Z56" s="57">
        <f>SUM(Z52:Z55)</f>
        <v/>
      </c>
      <c r="AA56" s="44">
        <f>SUM(AA52:AA55)</f>
        <v/>
      </c>
      <c r="AB56" s="44">
        <f>SUM(AB52:AB55)</f>
        <v/>
      </c>
      <c r="AC56" s="44">
        <f>SUM(AC52:AC55)</f>
        <v/>
      </c>
      <c r="AD56" s="44">
        <f>SUM(AD52:AD55)</f>
        <v/>
      </c>
      <c r="AE56" s="44">
        <f>SUM(AE52:AE55)</f>
        <v/>
      </c>
      <c r="AF56" s="44">
        <f>SUM(AF52:AF55)</f>
        <v/>
      </c>
      <c r="AG56" s="44">
        <f>SUM(AG52:AG55)</f>
        <v/>
      </c>
      <c r="AH56" s="44">
        <f>SUM(AH52:AH55)</f>
        <v/>
      </c>
      <c r="AI56" s="44">
        <f>SUM(AI52:AI55)</f>
        <v/>
      </c>
      <c r="AJ56" s="44">
        <f>SUM(AJ52:AJ55)</f>
        <v/>
      </c>
      <c r="AK56" s="44">
        <f>SUM(AK52:AK55)</f>
        <v/>
      </c>
      <c r="AL56" s="44">
        <f>SUM(AL52:AL55)</f>
        <v/>
      </c>
      <c r="AM56" s="44">
        <f>SUM(AM52:AM55)</f>
        <v/>
      </c>
      <c r="AN56" s="44">
        <f>SUM(AN52:AN55)</f>
        <v/>
      </c>
      <c r="AO56" s="44">
        <f>SUM(AO52:AO55)</f>
        <v/>
      </c>
      <c r="AP56" s="44">
        <f>SUM(AP52:AP55)</f>
        <v/>
      </c>
      <c r="AQ56" s="44">
        <f>SUM(AQ52:AQ55)</f>
        <v/>
      </c>
      <c r="AR56" s="44">
        <f>SUM(AR52:AR55)</f>
        <v/>
      </c>
      <c r="AS56" s="44">
        <f>SUM(AS52:AS55)</f>
        <v/>
      </c>
      <c r="AT56" s="44">
        <f>SUM(AT52:AT55)</f>
        <v/>
      </c>
      <c r="AU56" s="44">
        <f>SUM(AU52:AU55)</f>
        <v/>
      </c>
      <c r="AV56" s="44">
        <f>SUM(AV52:AV55)</f>
        <v/>
      </c>
      <c r="AW56" s="44">
        <f>SUM(AW52:AW55)</f>
        <v/>
      </c>
      <c r="AX56" s="44">
        <f>SUM(AX52:AX55)</f>
        <v/>
      </c>
      <c r="AY56" s="44">
        <f>SUM(AY52:AY55)</f>
        <v/>
      </c>
      <c r="AZ56" s="44">
        <f>SUM(AZ52:AZ55)</f>
        <v/>
      </c>
      <c r="BA56" s="44">
        <f>SUM(BA52:BA55)</f>
        <v/>
      </c>
      <c r="BB56" s="44">
        <f>SUM(BB52:BB55)</f>
        <v/>
      </c>
      <c r="BC56" s="44">
        <f>SUM(BC52:BC55)</f>
        <v/>
      </c>
      <c r="BD56" s="44">
        <f>SUM(BD52:BD55)</f>
        <v/>
      </c>
      <c r="BE56" s="44">
        <f>SUM(BE52:BE55)</f>
        <v/>
      </c>
      <c r="BF56" s="44">
        <f>SUM(BF52:BF55)</f>
        <v/>
      </c>
      <c r="BG56" s="44">
        <f>SUM(BG52:BG55)</f>
        <v/>
      </c>
      <c r="BH56" s="44">
        <f>SUM(BH52:BH55)</f>
        <v/>
      </c>
      <c r="BI56" s="44">
        <f>SUM(BI52:BI55)</f>
        <v/>
      </c>
      <c r="BJ56" s="44">
        <f>SUM(BJ52:BJ55)</f>
        <v/>
      </c>
      <c r="BK56" s="44">
        <f>SUM(BK52:BK55)</f>
        <v/>
      </c>
      <c r="BL56" s="44">
        <f>SUM(BL52:BL55)</f>
        <v/>
      </c>
      <c r="BM56" s="44">
        <f>SUM(BM52:BM55)</f>
        <v/>
      </c>
      <c r="BN56" s="44">
        <f>SUM(BN52:BN55)</f>
        <v/>
      </c>
      <c r="BO56" s="44">
        <f>SUM(BO52:BO55)</f>
        <v/>
      </c>
      <c r="BP56" s="44">
        <f>SUM(BP52:BP55)</f>
        <v/>
      </c>
      <c r="BQ56" s="44">
        <f>SUM(BQ52:BQ55)</f>
        <v/>
      </c>
      <c r="BR56" s="44">
        <f>SUM(BR52:BR55)</f>
        <v/>
      </c>
      <c r="BS56" s="44">
        <f>SUM(BS52:BS55)</f>
        <v/>
      </c>
      <c r="BT56" s="44">
        <f>SUM(BT52:BT55)</f>
        <v/>
      </c>
      <c r="BU56" s="44">
        <f>SUM(BU52:BU55)</f>
        <v/>
      </c>
      <c r="BV56" s="44">
        <f>SUM(BV52:BV55)</f>
        <v/>
      </c>
      <c r="BW56" s="44">
        <f>SUM(BW52:BW55)</f>
        <v/>
      </c>
      <c r="BX56" s="44">
        <f>SUM(BX52:BX55)</f>
        <v/>
      </c>
      <c r="BY56" s="44">
        <f>SUM(BY52:BY55)</f>
        <v/>
      </c>
      <c r="BZ56" s="44">
        <f>SUM(BZ52:BZ55)</f>
        <v/>
      </c>
      <c r="CA56" s="44">
        <f>SUM(CA52:CA55)</f>
        <v/>
      </c>
      <c r="CB56" s="44">
        <f>SUM(CB52:CB55)</f>
        <v/>
      </c>
      <c r="CC56" s="44">
        <f>SUM(CC52:CC55)</f>
        <v/>
      </c>
      <c r="CD56" s="44">
        <f>SUM(CD52:CD55)</f>
        <v/>
      </c>
      <c r="CE56" s="44">
        <f>SUM(CE52:CE55)</f>
        <v/>
      </c>
      <c r="CF56" s="44">
        <f>SUM(CF52:CF55)</f>
        <v/>
      </c>
      <c r="CG56" s="44">
        <f>SUM(CG52:CG55)</f>
        <v/>
      </c>
      <c r="CH56" s="44">
        <f>SUM(CH52:CH55)</f>
        <v/>
      </c>
      <c r="CI56" s="44">
        <f>SUM(CI52:CI55)</f>
        <v/>
      </c>
      <c r="CJ56" s="44">
        <f>SUM(CJ52:CJ55)</f>
        <v/>
      </c>
      <c r="CK56" s="44">
        <f>SUM(CK52:CK55)</f>
        <v/>
      </c>
      <c r="CL56" s="44">
        <f>SUM(CL52:CL55)</f>
        <v/>
      </c>
      <c r="CM56" s="44">
        <f>SUM(CM52:CM55)</f>
        <v/>
      </c>
      <c r="CN56" s="44">
        <f>SUM(CN52:CN55)</f>
        <v/>
      </c>
      <c r="CO56" s="44">
        <f>SUM(CO52:CO55)</f>
        <v/>
      </c>
      <c r="CP56" s="44">
        <f>SUM(CP52:CP55)</f>
        <v/>
      </c>
      <c r="CQ56" s="44">
        <f>SUM(CQ52:CQ55)</f>
        <v/>
      </c>
      <c r="CR56" s="44">
        <f>SUM(CR52:CR55)</f>
        <v/>
      </c>
      <c r="CS56" s="44">
        <f>SUM(CS52:CS55)</f>
        <v/>
      </c>
      <c r="CT56" s="44">
        <f>SUM(CT52:CT55)</f>
        <v/>
      </c>
      <c r="CU56" s="44">
        <f>SUM(CU52:CU55)</f>
        <v/>
      </c>
      <c r="CV56" s="44">
        <f>SUM(CV52:CV55)</f>
        <v/>
      </c>
      <c r="CW56" s="44">
        <f>SUM(CW52:CW55)</f>
        <v/>
      </c>
      <c r="CX56" s="44">
        <f>SUM(CX52:CX55)</f>
        <v/>
      </c>
      <c r="CY56" s="44">
        <f>SUM(CY52:CY55)</f>
        <v/>
      </c>
      <c r="CZ56" s="44">
        <f>SUM(CZ52:CZ55)</f>
        <v/>
      </c>
      <c r="DA56" s="44">
        <f>SUM(DA52:DA55)</f>
        <v/>
      </c>
      <c r="DB56" s="44">
        <f>SUM(DB52:DB55)</f>
        <v/>
      </c>
      <c r="DC56" s="44">
        <f>SUM(DC52:DC55)</f>
        <v/>
      </c>
      <c r="DD56" s="44">
        <f>SUM(DD52:DD55)</f>
        <v/>
      </c>
      <c r="DE56" s="44">
        <f>SUM(DE52:DE55)</f>
        <v/>
      </c>
      <c r="DF56" s="44">
        <f>SUM(DF52:DF55)</f>
        <v/>
      </c>
      <c r="DG56" s="44">
        <f>SUM(DG52:DG55)</f>
        <v/>
      </c>
      <c r="DH56" s="44">
        <f>SUM(DH52:DH55)</f>
        <v/>
      </c>
      <c r="DI56" s="44">
        <f>SUM(DI52:DI55)</f>
        <v/>
      </c>
      <c r="DJ56" s="44">
        <f>SUM(DJ52:DJ55)</f>
        <v/>
      </c>
      <c r="DK56" s="44">
        <f>SUM(DK52:DK55)</f>
        <v/>
      </c>
      <c r="DL56" s="44">
        <f>SUM(DL52:DL55)</f>
        <v/>
      </c>
      <c r="DM56" s="44">
        <f>SUM(DM52:DM55)</f>
        <v/>
      </c>
      <c r="DN56" s="44">
        <f>SUM(DN52:DN55)</f>
        <v/>
      </c>
      <c r="DO56" s="44">
        <f>SUM(DO52:DO55)</f>
        <v/>
      </c>
      <c r="DP56" s="44">
        <f>SUM(DP52:DP55)</f>
        <v/>
      </c>
      <c r="DQ56" s="44">
        <f>SUM(DQ52:DQ55)</f>
        <v/>
      </c>
      <c r="DR56" s="44">
        <f>SUM(DR52:DR55)</f>
        <v/>
      </c>
      <c r="DS56" s="44">
        <f>SUM(DS52:DS55)</f>
        <v/>
      </c>
      <c r="DT56" s="44">
        <f>SUM(DT52:DT55)</f>
        <v/>
      </c>
      <c r="DU56" s="44">
        <f>SUM(DU52:DU55)</f>
        <v/>
      </c>
      <c r="DV56" s="44">
        <f>SUM(DV52:DV55)</f>
        <v/>
      </c>
      <c r="DW56" s="44">
        <f>SUM(DW52:DW55)</f>
        <v/>
      </c>
      <c r="DX56" s="44">
        <f>SUM(DX52:DX55)</f>
        <v/>
      </c>
      <c r="DY56" s="44">
        <f>SUM(DY52:DY55)</f>
        <v/>
      </c>
      <c r="DZ56" s="44">
        <f>SUM(DZ52:DZ55)</f>
        <v/>
      </c>
      <c r="EA56" s="44">
        <f>SUM(EA52:EA55)</f>
        <v/>
      </c>
      <c r="EB56" s="44">
        <f>SUM(EB52:EB55)</f>
        <v/>
      </c>
      <c r="EC56" s="44">
        <f>SUM(EC52:EC55)</f>
        <v/>
      </c>
      <c r="ED56" s="44">
        <f>SUM(ED52:ED55)</f>
        <v/>
      </c>
      <c r="EE56" s="44">
        <f>SUM(EE52:EE55)</f>
        <v/>
      </c>
      <c r="EF56" s="44">
        <f>SUM(EF52:EF55)</f>
        <v/>
      </c>
      <c r="EG56" s="44">
        <f>SUM(EG52:EG55)</f>
        <v/>
      </c>
      <c r="EH56" s="44">
        <f>SUM(EH52:EH55)</f>
        <v/>
      </c>
      <c r="EI56" s="44">
        <f>SUM(EI52:EI55)</f>
        <v/>
      </c>
      <c r="EJ56" s="44">
        <f>SUM(EJ52:EJ55)</f>
        <v/>
      </c>
      <c r="EK56" s="44">
        <f>SUM(EK52:EK55)</f>
        <v/>
      </c>
      <c r="EL56" s="44">
        <f>SUM(EL52:EL55)</f>
        <v/>
      </c>
      <c r="EM56" s="44">
        <f>SUM(EM52:EM55)</f>
        <v/>
      </c>
      <c r="EN56" s="44">
        <f>SUM(EN52:EN55)</f>
        <v/>
      </c>
      <c r="EO56" s="44">
        <f>SUM(EO52:EO55)</f>
        <v/>
      </c>
      <c r="EP56" s="44">
        <f>SUM(EP52:EP55)</f>
        <v/>
      </c>
      <c r="EQ56" s="44">
        <f>SUM(EQ52:EQ55)</f>
        <v/>
      </c>
      <c r="ER56" s="44">
        <f>SUM(ER52:ER55)</f>
        <v/>
      </c>
      <c r="ES56" s="44">
        <f>SUM(ES52:ES55)</f>
        <v/>
      </c>
      <c r="ET56" s="44">
        <f>SUM(ET52:ET55)</f>
        <v/>
      </c>
      <c r="EU56" s="44">
        <f>SUM(EU52:EU55)</f>
        <v/>
      </c>
      <c r="EV56" s="44">
        <f>SUM(EV52:EV55)</f>
        <v/>
      </c>
      <c r="EW56" s="44">
        <f>SUM(EW52:EW55)</f>
        <v/>
      </c>
      <c r="EX56" s="44">
        <f>SUM(EX52:EX55)</f>
        <v/>
      </c>
      <c r="EY56" s="44">
        <f>SUM(EY52:EY55)</f>
        <v/>
      </c>
      <c r="EZ56" s="44">
        <f>SUM(EZ52:EZ55)</f>
        <v/>
      </c>
      <c r="FA56" s="44">
        <f>SUM(FA52:FA55)</f>
        <v/>
      </c>
      <c r="FB56" s="44">
        <f>SUM(FB52:FB55)</f>
        <v/>
      </c>
    </row>
    <row r="57">
      <c r="B57" s="7" t="inlineStr">
        <is>
          <t>Pro Forma</t>
        </is>
      </c>
      <c r="C57" s="7" t="n"/>
      <c r="D57" s="7" t="n"/>
      <c r="E57" s="7" t="n"/>
      <c r="F57" s="7" t="n"/>
      <c r="G57" s="7" t="n"/>
      <c r="M57" s="62" t="n"/>
      <c r="N57" s="61" t="n"/>
      <c r="O57" s="61" t="n"/>
      <c r="P57" s="61" t="n"/>
      <c r="Q57" s="61" t="n"/>
      <c r="R57" s="61" t="n"/>
      <c r="S57" s="61" t="n"/>
      <c r="T57" s="61" t="n"/>
      <c r="U57" s="61" t="n"/>
      <c r="V57" s="61" t="n"/>
      <c r="W57" s="61" t="n"/>
      <c r="X57" s="61" t="n"/>
      <c r="Y57" s="62" t="n"/>
      <c r="Z57" s="61" t="n"/>
      <c r="AA57" s="61" t="n"/>
      <c r="AB57" s="61" t="n"/>
      <c r="AC57" s="61" t="n"/>
      <c r="AD57" s="61" t="n"/>
      <c r="AE57" s="61" t="n"/>
      <c r="AF57" s="61" t="n"/>
      <c r="AG57" s="61" t="n"/>
      <c r="AH57" s="61" t="n"/>
      <c r="AI57" s="61" t="n"/>
      <c r="AJ57" s="61" t="n"/>
      <c r="AK57" s="61" t="n"/>
      <c r="AL57" s="61" t="n"/>
      <c r="AM57" s="61" t="n"/>
      <c r="AN57" s="61" t="n"/>
      <c r="AO57" s="61" t="n"/>
      <c r="AP57" s="61" t="n"/>
      <c r="AQ57" s="61" t="n"/>
      <c r="AR57" s="61" t="n"/>
      <c r="AS57" s="61" t="n"/>
      <c r="AT57" s="61" t="n"/>
      <c r="AU57" s="61" t="n"/>
      <c r="AV57" s="61" t="n"/>
      <c r="AW57" s="61" t="n"/>
      <c r="AX57" s="61" t="n"/>
      <c r="AY57" s="61" t="n"/>
      <c r="AZ57" s="61" t="n"/>
      <c r="BA57" s="61" t="n"/>
      <c r="BB57" s="61" t="n"/>
      <c r="BC57" s="61" t="n"/>
      <c r="BD57" s="61" t="n"/>
      <c r="BE57" s="61" t="n"/>
      <c r="BF57" s="61" t="n"/>
      <c r="BG57" s="61" t="n"/>
      <c r="BH57" s="61" t="n"/>
      <c r="BI57" s="61" t="n"/>
      <c r="BJ57" s="61" t="n"/>
      <c r="BK57" s="61" t="n"/>
      <c r="BL57" s="61" t="n"/>
      <c r="BM57" s="61" t="n"/>
      <c r="BN57" s="61" t="n"/>
      <c r="BO57" s="61" t="n"/>
      <c r="BP57" s="61" t="n"/>
      <c r="BQ57" s="61" t="n"/>
      <c r="BR57" s="61" t="n"/>
      <c r="BS57" s="61" t="n"/>
      <c r="BT57" s="61" t="n"/>
      <c r="BU57" s="61" t="n"/>
      <c r="BV57" s="61" t="n"/>
      <c r="BW57" s="61" t="n"/>
      <c r="BX57" s="61" t="n"/>
      <c r="BY57" s="61" t="n"/>
      <c r="BZ57" s="61" t="n"/>
      <c r="CA57" s="61" t="n"/>
      <c r="CB57" s="61" t="n"/>
      <c r="CC57" s="61" t="n"/>
      <c r="CD57" s="61" t="n"/>
      <c r="CE57" s="61" t="n"/>
      <c r="CF57" s="61" t="n"/>
      <c r="CG57" s="61" t="n"/>
      <c r="CH57" s="61" t="n"/>
      <c r="CI57" s="61" t="n"/>
      <c r="CJ57" s="61" t="n"/>
      <c r="CK57" s="61" t="n"/>
      <c r="CL57" s="61" t="n"/>
      <c r="CM57" s="61" t="n"/>
      <c r="CN57" s="61" t="n"/>
      <c r="CO57" s="61" t="n"/>
      <c r="CP57" s="61" t="n"/>
      <c r="CQ57" s="61" t="n"/>
      <c r="CR57" s="61" t="n"/>
      <c r="CS57" s="61" t="n"/>
      <c r="CT57" s="61" t="n"/>
      <c r="CU57" s="61" t="n"/>
      <c r="CV57" s="61" t="n"/>
      <c r="CW57" s="61" t="n"/>
      <c r="CX57" s="61" t="n"/>
      <c r="CY57" s="61" t="n"/>
      <c r="CZ57" s="61" t="n"/>
      <c r="DA57" s="61" t="n"/>
      <c r="DB57" s="61" t="n"/>
      <c r="DC57" s="61" t="n"/>
      <c r="DD57" s="61" t="n"/>
      <c r="DE57" s="61" t="n"/>
      <c r="DF57" s="61" t="n"/>
      <c r="DG57" s="61" t="n"/>
      <c r="DH57" s="61" t="n"/>
      <c r="DI57" s="61" t="n"/>
      <c r="DJ57" s="61" t="n"/>
      <c r="DK57" s="61" t="n"/>
      <c r="DL57" s="61" t="n"/>
      <c r="DM57" s="61" t="n"/>
      <c r="DN57" s="61" t="n"/>
      <c r="DO57" s="61" t="n"/>
      <c r="DP57" s="61" t="n"/>
      <c r="DQ57" s="61" t="n"/>
      <c r="DR57" s="61" t="n"/>
      <c r="DS57" s="61" t="n"/>
      <c r="DT57" s="61" t="n"/>
      <c r="DU57" s="61" t="n"/>
      <c r="DV57" s="61" t="n"/>
      <c r="DW57" s="61" t="n"/>
      <c r="DX57" s="61" t="n"/>
      <c r="DY57" s="61" t="n"/>
      <c r="DZ57" s="61" t="n"/>
      <c r="EA57" s="61" t="n"/>
      <c r="EB57" s="61" t="n"/>
      <c r="EC57" s="61" t="n"/>
      <c r="ED57" s="61" t="n"/>
      <c r="EE57" s="61" t="n"/>
      <c r="EF57" s="61" t="n"/>
      <c r="EG57" s="61" t="n"/>
      <c r="EH57" s="61" t="n"/>
      <c r="EI57" s="61" t="n"/>
      <c r="EJ57" s="61" t="n"/>
      <c r="EK57" s="61" t="n"/>
      <c r="EL57" s="61" t="n"/>
      <c r="EM57" s="61" t="n"/>
      <c r="EN57" s="61" t="n"/>
      <c r="EO57" s="61" t="n"/>
      <c r="EP57" s="61" t="n"/>
      <c r="EQ57" s="61" t="n"/>
      <c r="ER57" s="61" t="n"/>
      <c r="ES57" s="61" t="n"/>
      <c r="ET57" s="61" t="n"/>
      <c r="EU57" s="61" t="n"/>
      <c r="EV57" s="61" t="n"/>
      <c r="EW57" s="61" t="n"/>
      <c r="EX57" s="61" t="n"/>
      <c r="EY57" s="61" t="n"/>
      <c r="EZ57" s="61" t="n"/>
      <c r="FA57" s="61" t="n"/>
      <c r="FB57" s="61" t="n"/>
    </row>
    <row r="58">
      <c r="B58" s="35" t="b">
        <v>1</v>
      </c>
      <c r="C58" s="45" t="inlineStr">
        <is>
          <t>Unit Count</t>
        </is>
      </c>
      <c r="D58" s="45" t="inlineStr">
        <is>
          <t>Rent/Unit</t>
        </is>
      </c>
      <c r="E58" s="45" t="inlineStr">
        <is>
          <t>Average Size</t>
        </is>
      </c>
      <c r="F58" s="45" t="inlineStr">
        <is>
          <t>Rent PSF</t>
        </is>
      </c>
      <c r="G58" s="45" t="inlineStr">
        <is>
          <t>Annual Total</t>
        </is>
      </c>
      <c r="I58" s="71" t="inlineStr">
        <is>
          <t>Total Opex</t>
        </is>
      </c>
      <c r="J58" s="71" t="n"/>
      <c r="K58" s="58" t="n"/>
      <c r="L58" s="71">
        <f>SUMIF($Z$4:$FB$4,"&lt;="&amp;$G$18,$Z58:$FB58)</f>
        <v/>
      </c>
      <c r="M58" s="58" t="n"/>
      <c r="N58" s="71">
        <f>SUMIF($Z$3:$FB$3,N$7,$Z58:$FB58)</f>
        <v/>
      </c>
      <c r="O58" s="71">
        <f>SUMIF($Z$3:$FB$3,O$7,$Z58:$FB58)</f>
        <v/>
      </c>
      <c r="P58" s="71">
        <f>SUMIF($Z$3:$FB$3,P$7,$Z58:$FB58)</f>
        <v/>
      </c>
      <c r="Q58" s="71">
        <f>SUMIF($Z$3:$FB$3,Q$7,$Z58:$FB58)</f>
        <v/>
      </c>
      <c r="R58" s="71">
        <f>SUMIF($Z$3:$FB$3,R$7,$Z58:$FB58)</f>
        <v/>
      </c>
      <c r="S58" s="71">
        <f>SUMIF($Z$3:$FB$3,S$7,$Z58:$FB58)</f>
        <v/>
      </c>
      <c r="T58" s="71">
        <f>SUMIF($Z$3:$FB$3,T$7,$Z58:$FB58)</f>
        <v/>
      </c>
      <c r="U58" s="71">
        <f>SUMIF($Z$3:$FB$3,U$7,$Z58:$FB58)</f>
        <v/>
      </c>
      <c r="V58" s="71">
        <f>SUMIF($Z$3:$FB$3,V$7,$Z58:$FB58)</f>
        <v/>
      </c>
      <c r="W58" s="71">
        <f>SUMIF($Z$3:$FB$3,W$7,$Z58:$FB58)</f>
        <v/>
      </c>
      <c r="X58" s="71">
        <f>SUMIF($Z$3:$FB$3,X$7,$Z58:$FB58)</f>
        <v/>
      </c>
      <c r="Y58" s="58" t="n"/>
      <c r="Z58" s="71">
        <f>SUM(Z49,Z56)</f>
        <v/>
      </c>
      <c r="AA58" s="71">
        <f>SUM(AA49,AA56)</f>
        <v/>
      </c>
      <c r="AB58" s="71">
        <f>SUM(AB49,AB56)</f>
        <v/>
      </c>
      <c r="AC58" s="71">
        <f>SUM(AC49,AC56)</f>
        <v/>
      </c>
      <c r="AD58" s="71">
        <f>SUM(AD49,AD56)</f>
        <v/>
      </c>
      <c r="AE58" s="71">
        <f>SUM(AE49,AE56)</f>
        <v/>
      </c>
      <c r="AF58" s="71">
        <f>SUM(AF49,AF56)</f>
        <v/>
      </c>
      <c r="AG58" s="71">
        <f>SUM(AG49,AG56)</f>
        <v/>
      </c>
      <c r="AH58" s="71">
        <f>SUM(AH49,AH56)</f>
        <v/>
      </c>
      <c r="AI58" s="71">
        <f>SUM(AI49,AI56)</f>
        <v/>
      </c>
      <c r="AJ58" s="71">
        <f>SUM(AJ49,AJ56)</f>
        <v/>
      </c>
      <c r="AK58" s="71">
        <f>SUM(AK49,AK56)</f>
        <v/>
      </c>
      <c r="AL58" s="71">
        <f>SUM(AL49,AL56)</f>
        <v/>
      </c>
      <c r="AM58" s="71">
        <f>SUM(AM49,AM56)</f>
        <v/>
      </c>
      <c r="AN58" s="71">
        <f>SUM(AN49,AN56)</f>
        <v/>
      </c>
      <c r="AO58" s="71">
        <f>SUM(AO49,AO56)</f>
        <v/>
      </c>
      <c r="AP58" s="71">
        <f>SUM(AP49,AP56)</f>
        <v/>
      </c>
      <c r="AQ58" s="71">
        <f>SUM(AQ49,AQ56)</f>
        <v/>
      </c>
      <c r="AR58" s="71">
        <f>SUM(AR49,AR56)</f>
        <v/>
      </c>
      <c r="AS58" s="71">
        <f>SUM(AS49,AS56)</f>
        <v/>
      </c>
      <c r="AT58" s="71">
        <f>SUM(AT49,AT56)</f>
        <v/>
      </c>
      <c r="AU58" s="71">
        <f>SUM(AU49,AU56)</f>
        <v/>
      </c>
      <c r="AV58" s="71">
        <f>SUM(AV49,AV56)</f>
        <v/>
      </c>
      <c r="AW58" s="71">
        <f>SUM(AW49,AW56)</f>
        <v/>
      </c>
      <c r="AX58" s="71">
        <f>SUM(AX49,AX56)</f>
        <v/>
      </c>
      <c r="AY58" s="71">
        <f>SUM(AY49,AY56)</f>
        <v/>
      </c>
      <c r="AZ58" s="71">
        <f>SUM(AZ49,AZ56)</f>
        <v/>
      </c>
      <c r="BA58" s="71">
        <f>SUM(BA49,BA56)</f>
        <v/>
      </c>
      <c r="BB58" s="71">
        <f>SUM(BB49,BB56)</f>
        <v/>
      </c>
      <c r="BC58" s="71">
        <f>SUM(BC49,BC56)</f>
        <v/>
      </c>
      <c r="BD58" s="71">
        <f>SUM(BD49,BD56)</f>
        <v/>
      </c>
      <c r="BE58" s="71">
        <f>SUM(BE49,BE56)</f>
        <v/>
      </c>
      <c r="BF58" s="71">
        <f>SUM(BF49,BF56)</f>
        <v/>
      </c>
      <c r="BG58" s="71">
        <f>SUM(BG49,BG56)</f>
        <v/>
      </c>
      <c r="BH58" s="71">
        <f>SUM(BH49,BH56)</f>
        <v/>
      </c>
      <c r="BI58" s="71">
        <f>SUM(BI49,BI56)</f>
        <v/>
      </c>
      <c r="BJ58" s="71">
        <f>SUM(BJ49,BJ56)</f>
        <v/>
      </c>
      <c r="BK58" s="71">
        <f>SUM(BK49,BK56)</f>
        <v/>
      </c>
      <c r="BL58" s="71">
        <f>SUM(BL49,BL56)</f>
        <v/>
      </c>
      <c r="BM58" s="71">
        <f>SUM(BM49,BM56)</f>
        <v/>
      </c>
      <c r="BN58" s="71">
        <f>SUM(BN49,BN56)</f>
        <v/>
      </c>
      <c r="BO58" s="71">
        <f>SUM(BO49,BO56)</f>
        <v/>
      </c>
      <c r="BP58" s="71">
        <f>SUM(BP49,BP56)</f>
        <v/>
      </c>
      <c r="BQ58" s="71">
        <f>SUM(BQ49,BQ56)</f>
        <v/>
      </c>
      <c r="BR58" s="71">
        <f>SUM(BR49,BR56)</f>
        <v/>
      </c>
      <c r="BS58" s="71">
        <f>SUM(BS49,BS56)</f>
        <v/>
      </c>
      <c r="BT58" s="71">
        <f>SUM(BT49,BT56)</f>
        <v/>
      </c>
      <c r="BU58" s="71">
        <f>SUM(BU49,BU56)</f>
        <v/>
      </c>
      <c r="BV58" s="71">
        <f>SUM(BV49,BV56)</f>
        <v/>
      </c>
      <c r="BW58" s="71">
        <f>SUM(BW49,BW56)</f>
        <v/>
      </c>
      <c r="BX58" s="71">
        <f>SUM(BX49,BX56)</f>
        <v/>
      </c>
      <c r="BY58" s="71">
        <f>SUM(BY49,BY56)</f>
        <v/>
      </c>
      <c r="BZ58" s="71">
        <f>SUM(BZ49,BZ56)</f>
        <v/>
      </c>
      <c r="CA58" s="71">
        <f>SUM(CA49,CA56)</f>
        <v/>
      </c>
      <c r="CB58" s="71">
        <f>SUM(CB49,CB56)</f>
        <v/>
      </c>
      <c r="CC58" s="71">
        <f>SUM(CC49,CC56)</f>
        <v/>
      </c>
      <c r="CD58" s="71">
        <f>SUM(CD49,CD56)</f>
        <v/>
      </c>
      <c r="CE58" s="71">
        <f>SUM(CE49,CE56)</f>
        <v/>
      </c>
      <c r="CF58" s="71">
        <f>SUM(CF49,CF56)</f>
        <v/>
      </c>
      <c r="CG58" s="71">
        <f>SUM(CG49,CG56)</f>
        <v/>
      </c>
      <c r="CH58" s="71">
        <f>SUM(CH49,CH56)</f>
        <v/>
      </c>
      <c r="CI58" s="71">
        <f>SUM(CI49,CI56)</f>
        <v/>
      </c>
      <c r="CJ58" s="71">
        <f>SUM(CJ49,CJ56)</f>
        <v/>
      </c>
      <c r="CK58" s="71">
        <f>SUM(CK49,CK56)</f>
        <v/>
      </c>
      <c r="CL58" s="71">
        <f>SUM(CL49,CL56)</f>
        <v/>
      </c>
      <c r="CM58" s="71">
        <f>SUM(CM49,CM56)</f>
        <v/>
      </c>
      <c r="CN58" s="71">
        <f>SUM(CN49,CN56)</f>
        <v/>
      </c>
      <c r="CO58" s="71">
        <f>SUM(CO49,CO56)</f>
        <v/>
      </c>
      <c r="CP58" s="71">
        <f>SUM(CP49,CP56)</f>
        <v/>
      </c>
      <c r="CQ58" s="71">
        <f>SUM(CQ49,CQ56)</f>
        <v/>
      </c>
      <c r="CR58" s="71">
        <f>SUM(CR49,CR56)</f>
        <v/>
      </c>
      <c r="CS58" s="71">
        <f>SUM(CS49,CS56)</f>
        <v/>
      </c>
      <c r="CT58" s="71">
        <f>SUM(CT49,CT56)</f>
        <v/>
      </c>
      <c r="CU58" s="71">
        <f>SUM(CU49,CU56)</f>
        <v/>
      </c>
      <c r="CV58" s="71">
        <f>SUM(CV49,CV56)</f>
        <v/>
      </c>
      <c r="CW58" s="71">
        <f>SUM(CW49,CW56)</f>
        <v/>
      </c>
      <c r="CX58" s="71">
        <f>SUM(CX49,CX56)</f>
        <v/>
      </c>
      <c r="CY58" s="71">
        <f>SUM(CY49,CY56)</f>
        <v/>
      </c>
      <c r="CZ58" s="71">
        <f>SUM(CZ49,CZ56)</f>
        <v/>
      </c>
      <c r="DA58" s="71">
        <f>SUM(DA49,DA56)</f>
        <v/>
      </c>
      <c r="DB58" s="71">
        <f>SUM(DB49,DB56)</f>
        <v/>
      </c>
      <c r="DC58" s="71">
        <f>SUM(DC49,DC56)</f>
        <v/>
      </c>
      <c r="DD58" s="71">
        <f>SUM(DD49,DD56)</f>
        <v/>
      </c>
      <c r="DE58" s="71">
        <f>SUM(DE49,DE56)</f>
        <v/>
      </c>
      <c r="DF58" s="71">
        <f>SUM(DF49,DF56)</f>
        <v/>
      </c>
      <c r="DG58" s="71">
        <f>SUM(DG49,DG56)</f>
        <v/>
      </c>
      <c r="DH58" s="71">
        <f>SUM(DH49,DH56)</f>
        <v/>
      </c>
      <c r="DI58" s="71">
        <f>SUM(DI49,DI56)</f>
        <v/>
      </c>
      <c r="DJ58" s="71">
        <f>SUM(DJ49,DJ56)</f>
        <v/>
      </c>
      <c r="DK58" s="71">
        <f>SUM(DK49,DK56)</f>
        <v/>
      </c>
      <c r="DL58" s="71">
        <f>SUM(DL49,DL56)</f>
        <v/>
      </c>
      <c r="DM58" s="71">
        <f>SUM(DM49,DM56)</f>
        <v/>
      </c>
      <c r="DN58" s="71">
        <f>SUM(DN49,DN56)</f>
        <v/>
      </c>
      <c r="DO58" s="71">
        <f>SUM(DO49,DO56)</f>
        <v/>
      </c>
      <c r="DP58" s="71">
        <f>SUM(DP49,DP56)</f>
        <v/>
      </c>
      <c r="DQ58" s="71">
        <f>SUM(DQ49,DQ56)</f>
        <v/>
      </c>
      <c r="DR58" s="71">
        <f>SUM(DR49,DR56)</f>
        <v/>
      </c>
      <c r="DS58" s="71">
        <f>SUM(DS49,DS56)</f>
        <v/>
      </c>
      <c r="DT58" s="71">
        <f>SUM(DT49,DT56)</f>
        <v/>
      </c>
      <c r="DU58" s="71">
        <f>SUM(DU49,DU56)</f>
        <v/>
      </c>
      <c r="DV58" s="71">
        <f>SUM(DV49,DV56)</f>
        <v/>
      </c>
      <c r="DW58" s="71">
        <f>SUM(DW49,DW56)</f>
        <v/>
      </c>
      <c r="DX58" s="71">
        <f>SUM(DX49,DX56)</f>
        <v/>
      </c>
      <c r="DY58" s="71">
        <f>SUM(DY49,DY56)</f>
        <v/>
      </c>
      <c r="DZ58" s="71">
        <f>SUM(DZ49,DZ56)</f>
        <v/>
      </c>
      <c r="EA58" s="71">
        <f>SUM(EA49,EA56)</f>
        <v/>
      </c>
      <c r="EB58" s="71">
        <f>SUM(EB49,EB56)</f>
        <v/>
      </c>
      <c r="EC58" s="71">
        <f>SUM(EC49,EC56)</f>
        <v/>
      </c>
      <c r="ED58" s="71">
        <f>SUM(ED49,ED56)</f>
        <v/>
      </c>
      <c r="EE58" s="71">
        <f>SUM(EE49,EE56)</f>
        <v/>
      </c>
      <c r="EF58" s="71">
        <f>SUM(EF49,EF56)</f>
        <v/>
      </c>
      <c r="EG58" s="71">
        <f>SUM(EG49,EG56)</f>
        <v/>
      </c>
      <c r="EH58" s="71">
        <f>SUM(EH49,EH56)</f>
        <v/>
      </c>
      <c r="EI58" s="71">
        <f>SUM(EI49,EI56)</f>
        <v/>
      </c>
      <c r="EJ58" s="71">
        <f>SUM(EJ49,EJ56)</f>
        <v/>
      </c>
      <c r="EK58" s="71">
        <f>SUM(EK49,EK56)</f>
        <v/>
      </c>
      <c r="EL58" s="71">
        <f>SUM(EL49,EL56)</f>
        <v/>
      </c>
      <c r="EM58" s="71">
        <f>SUM(EM49,EM56)</f>
        <v/>
      </c>
      <c r="EN58" s="71">
        <f>SUM(EN49,EN56)</f>
        <v/>
      </c>
      <c r="EO58" s="71">
        <f>SUM(EO49,EO56)</f>
        <v/>
      </c>
      <c r="EP58" s="71">
        <f>SUM(EP49,EP56)</f>
        <v/>
      </c>
      <c r="EQ58" s="71">
        <f>SUM(EQ49,EQ56)</f>
        <v/>
      </c>
      <c r="ER58" s="71">
        <f>SUM(ER49,ER56)</f>
        <v/>
      </c>
      <c r="ES58" s="71">
        <f>SUM(ES49,ES56)</f>
        <v/>
      </c>
      <c r="ET58" s="71">
        <f>SUM(ET49,ET56)</f>
        <v/>
      </c>
      <c r="EU58" s="71">
        <f>SUM(EU49,EU56)</f>
        <v/>
      </c>
      <c r="EV58" s="71">
        <f>SUM(EV49,EV56)</f>
        <v/>
      </c>
      <c r="EW58" s="71">
        <f>SUM(EW49,EW56)</f>
        <v/>
      </c>
      <c r="EX58" s="71">
        <f>SUM(EX49,EX56)</f>
        <v/>
      </c>
      <c r="EY58" s="71">
        <f>SUM(EY49,EY56)</f>
        <v/>
      </c>
      <c r="EZ58" s="71">
        <f>SUM(EZ49,EZ56)</f>
        <v/>
      </c>
      <c r="FA58" s="71">
        <f>SUM(FA49,FA56)</f>
        <v/>
      </c>
      <c r="FB58" s="71">
        <f>SUM(FB49,FB56)</f>
        <v/>
      </c>
    </row>
    <row r="59" customFormat="1" s="32">
      <c r="A59" s="9" t="n"/>
      <c r="B59" s="11">
        <f>Inputs!B96</f>
        <v/>
      </c>
      <c r="C59" s="195">
        <f>Inputs!C96</f>
        <v/>
      </c>
      <c r="D59" s="175">
        <f>Inputs!D96</f>
        <v/>
      </c>
      <c r="E59" s="207">
        <f>Inputs!E96</f>
        <v/>
      </c>
      <c r="F59" s="90">
        <f>IFERROR(+D59/E59,0)</f>
        <v/>
      </c>
      <c r="G59" s="175">
        <f>D59*C59*12</f>
        <v/>
      </c>
      <c r="H59" s="11" t="n"/>
      <c r="I59" s="32" t="inlineStr">
        <is>
          <t>Opex Margin</t>
        </is>
      </c>
      <c r="K59" s="33" t="n"/>
      <c r="L59" s="134" t="n"/>
      <c r="M59" s="33" t="n"/>
      <c r="Y59" s="33" t="n"/>
      <c r="Z59" s="91">
        <f>IFERROR(Z58/SUM(Z24,Z30),0)</f>
        <v/>
      </c>
      <c r="AA59" s="92">
        <f>IFERROR(AA58/SUM(AA24,AA30),0)</f>
        <v/>
      </c>
      <c r="AB59" s="92">
        <f>IFERROR(AB58/SUM(AB24,AB30),0)</f>
        <v/>
      </c>
      <c r="AC59" s="92">
        <f>IFERROR(AC58/SUM(AC24,AC30),0)</f>
        <v/>
      </c>
      <c r="AD59" s="92">
        <f>IFERROR(AD58/SUM(AD24,AD30),0)</f>
        <v/>
      </c>
      <c r="AE59" s="92">
        <f>IFERROR(AE58/SUM(AE24,AE30),0)</f>
        <v/>
      </c>
      <c r="AF59" s="92">
        <f>IFERROR(AF58/SUM(AF24,AF30),0)</f>
        <v/>
      </c>
      <c r="AG59" s="92">
        <f>IFERROR(AG58/SUM(AG24,AG30),0)</f>
        <v/>
      </c>
      <c r="AH59" s="92">
        <f>IFERROR(AH58/SUM(AH24,AH30),0)</f>
        <v/>
      </c>
      <c r="AI59" s="92">
        <f>IFERROR(AI58/SUM(AI24,AI30),0)</f>
        <v/>
      </c>
      <c r="AJ59" s="92">
        <f>IFERROR(AJ58/SUM(AJ24,AJ30),0)</f>
        <v/>
      </c>
      <c r="AK59" s="92">
        <f>IFERROR(AK58/SUM(AK24,AK30),0)</f>
        <v/>
      </c>
      <c r="AL59" s="92">
        <f>IFERROR(AL58/SUM(AL24,AL30),0)</f>
        <v/>
      </c>
      <c r="AM59" s="92">
        <f>IFERROR(AM58/SUM(AM24,AM30),0)</f>
        <v/>
      </c>
      <c r="AN59" s="92">
        <f>IFERROR(AN58/SUM(AN24,AN30),0)</f>
        <v/>
      </c>
      <c r="AO59" s="92">
        <f>IFERROR(AO58/SUM(AO24,AO30),0)</f>
        <v/>
      </c>
      <c r="AP59" s="92">
        <f>IFERROR(AP58/SUM(AP24,AP30),0)</f>
        <v/>
      </c>
      <c r="AQ59" s="92">
        <f>IFERROR(AQ58/SUM(AQ24,AQ30),0)</f>
        <v/>
      </c>
      <c r="AR59" s="92">
        <f>IFERROR(AR58/SUM(AR24,AR30),0)</f>
        <v/>
      </c>
      <c r="AS59" s="92">
        <f>IFERROR(AS58/SUM(AS24,AS30),0)</f>
        <v/>
      </c>
      <c r="AT59" s="92">
        <f>IFERROR(AT58/SUM(AT24,AT30),0)</f>
        <v/>
      </c>
      <c r="AU59" s="92">
        <f>IFERROR(AU58/SUM(AU24,AU30),0)</f>
        <v/>
      </c>
      <c r="AV59" s="92">
        <f>IFERROR(AV58/SUM(AV24,AV30),0)</f>
        <v/>
      </c>
      <c r="AW59" s="92">
        <f>IFERROR(AW58/SUM(AW24,AW30),0)</f>
        <v/>
      </c>
      <c r="AX59" s="92">
        <f>IFERROR(AX58/SUM(AX24,AX30),0)</f>
        <v/>
      </c>
      <c r="AY59" s="92">
        <f>IFERROR(AY58/SUM(AY24,AY30),0)</f>
        <v/>
      </c>
      <c r="AZ59" s="92">
        <f>IFERROR(AZ58/SUM(AZ24,AZ30),0)</f>
        <v/>
      </c>
      <c r="BA59" s="92">
        <f>IFERROR(BA58/SUM(BA24,BA30),0)</f>
        <v/>
      </c>
      <c r="BB59" s="92">
        <f>IFERROR(BB58/SUM(BB24,BB30),0)</f>
        <v/>
      </c>
      <c r="BC59" s="92">
        <f>IFERROR(BC58/SUM(BC24,BC30),0)</f>
        <v/>
      </c>
      <c r="BD59" s="92">
        <f>IFERROR(BD58/SUM(BD24,BD30),0)</f>
        <v/>
      </c>
      <c r="BE59" s="92">
        <f>IFERROR(BE58/SUM(BE24,BE30),0)</f>
        <v/>
      </c>
      <c r="BF59" s="92">
        <f>IFERROR(BF58/SUM(BF24,BF30),0)</f>
        <v/>
      </c>
      <c r="BG59" s="92">
        <f>IFERROR(BG58/SUM(BG24,BG30),0)</f>
        <v/>
      </c>
      <c r="BH59" s="92">
        <f>IFERROR(BH58/SUM(BH24,BH30),0)</f>
        <v/>
      </c>
      <c r="BI59" s="92">
        <f>IFERROR(BI58/SUM(BI24,BI30),0)</f>
        <v/>
      </c>
      <c r="BJ59" s="92">
        <f>IFERROR(BJ58/SUM(BJ24,BJ30),0)</f>
        <v/>
      </c>
      <c r="BK59" s="92">
        <f>IFERROR(BK58/SUM(BK24,BK30),0)</f>
        <v/>
      </c>
      <c r="BL59" s="92">
        <f>IFERROR(BL58/SUM(BL24,BL30),0)</f>
        <v/>
      </c>
      <c r="BM59" s="92">
        <f>IFERROR(BM58/SUM(BM24,BM30),0)</f>
        <v/>
      </c>
      <c r="BN59" s="92">
        <f>IFERROR(BN58/SUM(BN24,BN30),0)</f>
        <v/>
      </c>
      <c r="BO59" s="92">
        <f>IFERROR(BO58/SUM(BO24,BO30),0)</f>
        <v/>
      </c>
      <c r="BP59" s="92">
        <f>IFERROR(BP58/SUM(BP24,BP30),0)</f>
        <v/>
      </c>
      <c r="BQ59" s="92">
        <f>IFERROR(BQ58/SUM(BQ24,BQ30),0)</f>
        <v/>
      </c>
      <c r="BR59" s="92">
        <f>IFERROR(BR58/SUM(BR24,BR30),0)</f>
        <v/>
      </c>
      <c r="BS59" s="92">
        <f>IFERROR(BS58/SUM(BS24,BS30),0)</f>
        <v/>
      </c>
      <c r="BT59" s="92">
        <f>IFERROR(BT58/SUM(BT24,BT30),0)</f>
        <v/>
      </c>
      <c r="BU59" s="92">
        <f>IFERROR(BU58/SUM(BU24,BU30),0)</f>
        <v/>
      </c>
      <c r="BV59" s="92">
        <f>IFERROR(BV58/SUM(BV24,BV30),0)</f>
        <v/>
      </c>
      <c r="BW59" s="92">
        <f>IFERROR(BW58/SUM(BW24,BW30),0)</f>
        <v/>
      </c>
      <c r="BX59" s="92">
        <f>IFERROR(BX58/SUM(BX24,BX30),0)</f>
        <v/>
      </c>
      <c r="BY59" s="92">
        <f>IFERROR(BY58/SUM(BY24,BY30),0)</f>
        <v/>
      </c>
      <c r="BZ59" s="92">
        <f>IFERROR(BZ58/SUM(BZ24,BZ30),0)</f>
        <v/>
      </c>
      <c r="CA59" s="92">
        <f>IFERROR(CA58/SUM(CA24,CA30),0)</f>
        <v/>
      </c>
      <c r="CB59" s="92">
        <f>IFERROR(CB58/SUM(CB24,CB30),0)</f>
        <v/>
      </c>
      <c r="CC59" s="92">
        <f>IFERROR(CC58/SUM(CC24,CC30),0)</f>
        <v/>
      </c>
      <c r="CD59" s="92">
        <f>IFERROR(CD58/SUM(CD24,CD30),0)</f>
        <v/>
      </c>
      <c r="CE59" s="92">
        <f>IFERROR(CE58/SUM(CE24,CE30),0)</f>
        <v/>
      </c>
      <c r="CF59" s="92">
        <f>IFERROR(CF58/SUM(CF24,CF30),0)</f>
        <v/>
      </c>
      <c r="CG59" s="92">
        <f>IFERROR(CG58/SUM(CG24,CG30),0)</f>
        <v/>
      </c>
      <c r="CH59" s="92">
        <f>IFERROR(CH58/SUM(CH24,CH30),0)</f>
        <v/>
      </c>
      <c r="CI59" s="92">
        <f>IFERROR(CI58/SUM(CI24,CI30),0)</f>
        <v/>
      </c>
      <c r="CJ59" s="92">
        <f>IFERROR(CJ58/SUM(CJ24,CJ30),0)</f>
        <v/>
      </c>
      <c r="CK59" s="92">
        <f>IFERROR(CK58/SUM(CK24,CK30),0)</f>
        <v/>
      </c>
      <c r="CL59" s="92">
        <f>IFERROR(CL58/SUM(CL24,CL30),0)</f>
        <v/>
      </c>
      <c r="CM59" s="92">
        <f>IFERROR(CM58/SUM(CM24,CM30),0)</f>
        <v/>
      </c>
      <c r="CN59" s="92">
        <f>IFERROR(CN58/SUM(CN24,CN30),0)</f>
        <v/>
      </c>
      <c r="CO59" s="92">
        <f>IFERROR(CO58/SUM(CO24,CO30),0)</f>
        <v/>
      </c>
      <c r="CP59" s="92">
        <f>IFERROR(CP58/SUM(CP24,CP30),0)</f>
        <v/>
      </c>
      <c r="CQ59" s="92">
        <f>IFERROR(CQ58/SUM(CQ24,CQ30),0)</f>
        <v/>
      </c>
      <c r="CR59" s="92">
        <f>IFERROR(CR58/SUM(CR24,CR30),0)</f>
        <v/>
      </c>
      <c r="CS59" s="92">
        <f>IFERROR(CS58/SUM(CS24,CS30),0)</f>
        <v/>
      </c>
      <c r="CT59" s="92">
        <f>IFERROR(CT58/SUM(CT24,CT30),0)</f>
        <v/>
      </c>
      <c r="CU59" s="92">
        <f>IFERROR(CU58/SUM(CU24,CU30),0)</f>
        <v/>
      </c>
      <c r="CV59" s="92">
        <f>IFERROR(CV58/SUM(CV24,CV30),0)</f>
        <v/>
      </c>
      <c r="CW59" s="92">
        <f>IFERROR(CW58/SUM(CW24,CW30),0)</f>
        <v/>
      </c>
      <c r="CX59" s="92">
        <f>IFERROR(CX58/SUM(CX24,CX30),0)</f>
        <v/>
      </c>
      <c r="CY59" s="92">
        <f>IFERROR(CY58/SUM(CY24,CY30),0)</f>
        <v/>
      </c>
      <c r="CZ59" s="92">
        <f>IFERROR(CZ58/SUM(CZ24,CZ30),0)</f>
        <v/>
      </c>
      <c r="DA59" s="92">
        <f>IFERROR(DA58/SUM(DA24,DA30),0)</f>
        <v/>
      </c>
      <c r="DB59" s="92">
        <f>IFERROR(DB58/SUM(DB24,DB30),0)</f>
        <v/>
      </c>
      <c r="DC59" s="92">
        <f>IFERROR(DC58/SUM(DC24,DC30),0)</f>
        <v/>
      </c>
      <c r="DD59" s="92">
        <f>IFERROR(DD58/SUM(DD24,DD30),0)</f>
        <v/>
      </c>
      <c r="DE59" s="92">
        <f>IFERROR(DE58/SUM(DE24,DE30),0)</f>
        <v/>
      </c>
      <c r="DF59" s="92">
        <f>IFERROR(DF58/SUM(DF24,DF30),0)</f>
        <v/>
      </c>
      <c r="DG59" s="92">
        <f>IFERROR(DG58/SUM(DG24,DG30),0)</f>
        <v/>
      </c>
      <c r="DH59" s="92">
        <f>IFERROR(DH58/SUM(DH24,DH30),0)</f>
        <v/>
      </c>
      <c r="DI59" s="92">
        <f>IFERROR(DI58/SUM(DI24,DI30),0)</f>
        <v/>
      </c>
      <c r="DJ59" s="92">
        <f>IFERROR(DJ58/SUM(DJ24,DJ30),0)</f>
        <v/>
      </c>
      <c r="DK59" s="92">
        <f>IFERROR(DK58/SUM(DK24,DK30),0)</f>
        <v/>
      </c>
      <c r="DL59" s="92">
        <f>IFERROR(DL58/SUM(DL24,DL30),0)</f>
        <v/>
      </c>
      <c r="DM59" s="92">
        <f>IFERROR(DM58/SUM(DM24,DM30),0)</f>
        <v/>
      </c>
      <c r="DN59" s="92">
        <f>IFERROR(DN58/SUM(DN24,DN30),0)</f>
        <v/>
      </c>
      <c r="DO59" s="92">
        <f>IFERROR(DO58/SUM(DO24,DO30),0)</f>
        <v/>
      </c>
      <c r="DP59" s="92">
        <f>IFERROR(DP58/SUM(DP24,DP30),0)</f>
        <v/>
      </c>
      <c r="DQ59" s="92">
        <f>IFERROR(DQ58/SUM(DQ24,DQ30),0)</f>
        <v/>
      </c>
      <c r="DR59" s="92">
        <f>IFERROR(DR58/SUM(DR24,DR30),0)</f>
        <v/>
      </c>
      <c r="DS59" s="92">
        <f>IFERROR(DS58/SUM(DS24,DS30),0)</f>
        <v/>
      </c>
      <c r="DT59" s="92">
        <f>IFERROR(DT58/SUM(DT24,DT30),0)</f>
        <v/>
      </c>
      <c r="DU59" s="92">
        <f>IFERROR(DU58/SUM(DU24,DU30),0)</f>
        <v/>
      </c>
      <c r="DV59" s="92">
        <f>IFERROR(DV58/SUM(DV24,DV30),0)</f>
        <v/>
      </c>
      <c r="DW59" s="92">
        <f>IFERROR(DW58/SUM(DW24,DW30),0)</f>
        <v/>
      </c>
      <c r="DX59" s="92">
        <f>IFERROR(DX58/SUM(DX24,DX30),0)</f>
        <v/>
      </c>
      <c r="DY59" s="92">
        <f>IFERROR(DY58/SUM(DY24,DY30),0)</f>
        <v/>
      </c>
      <c r="DZ59" s="92">
        <f>IFERROR(DZ58/SUM(DZ24,DZ30),0)</f>
        <v/>
      </c>
      <c r="EA59" s="92">
        <f>IFERROR(EA58/SUM(EA24,EA30),0)</f>
        <v/>
      </c>
      <c r="EB59" s="92">
        <f>IFERROR(EB58/SUM(EB24,EB30),0)</f>
        <v/>
      </c>
      <c r="EC59" s="92">
        <f>IFERROR(EC58/SUM(EC24,EC30),0)</f>
        <v/>
      </c>
      <c r="ED59" s="92">
        <f>IFERROR(ED58/SUM(ED24,ED30),0)</f>
        <v/>
      </c>
      <c r="EE59" s="92">
        <f>IFERROR(EE58/SUM(EE24,EE30),0)</f>
        <v/>
      </c>
      <c r="EF59" s="92">
        <f>IFERROR(EF58/SUM(EF24,EF30),0)</f>
        <v/>
      </c>
      <c r="EG59" s="92">
        <f>IFERROR(EG58/SUM(EG24,EG30),0)</f>
        <v/>
      </c>
      <c r="EH59" s="92">
        <f>IFERROR(EH58/SUM(EH24,EH30),0)</f>
        <v/>
      </c>
      <c r="EI59" s="92">
        <f>IFERROR(EI58/SUM(EI24,EI30),0)</f>
        <v/>
      </c>
      <c r="EJ59" s="92">
        <f>IFERROR(EJ58/SUM(EJ24,EJ30),0)</f>
        <v/>
      </c>
      <c r="EK59" s="92">
        <f>IFERROR(EK58/SUM(EK24,EK30),0)</f>
        <v/>
      </c>
      <c r="EL59" s="92">
        <f>IFERROR(EL58/SUM(EL24,EL30),0)</f>
        <v/>
      </c>
      <c r="EM59" s="92">
        <f>IFERROR(EM58/SUM(EM24,EM30),0)</f>
        <v/>
      </c>
      <c r="EN59" s="92">
        <f>IFERROR(EN58/SUM(EN24,EN30),0)</f>
        <v/>
      </c>
      <c r="EO59" s="92">
        <f>IFERROR(EO58/SUM(EO24,EO30),0)</f>
        <v/>
      </c>
      <c r="EP59" s="92">
        <f>IFERROR(EP58/SUM(EP24,EP30),0)</f>
        <v/>
      </c>
      <c r="EQ59" s="92">
        <f>IFERROR(EQ58/SUM(EQ24,EQ30),0)</f>
        <v/>
      </c>
      <c r="ER59" s="92">
        <f>IFERROR(ER58/SUM(ER24,ER30),0)</f>
        <v/>
      </c>
      <c r="ES59" s="92">
        <f>IFERROR(ES58/SUM(ES24,ES30),0)</f>
        <v/>
      </c>
      <c r="ET59" s="92">
        <f>IFERROR(ET58/SUM(ET24,ET30),0)</f>
        <v/>
      </c>
      <c r="EU59" s="92">
        <f>IFERROR(EU58/SUM(EU24,EU30),0)</f>
        <v/>
      </c>
      <c r="EV59" s="92">
        <f>IFERROR(EV58/SUM(EV24,EV30),0)</f>
        <v/>
      </c>
      <c r="EW59" s="92">
        <f>IFERROR(EW58/SUM(EW24,EW30),0)</f>
        <v/>
      </c>
      <c r="EX59" s="92">
        <f>IFERROR(EX58/SUM(EX24,EX30),0)</f>
        <v/>
      </c>
      <c r="EY59" s="92">
        <f>IFERROR(EY58/SUM(EY24,EY30),0)</f>
        <v/>
      </c>
      <c r="EZ59" s="92">
        <f>IFERROR(EZ58/SUM(EZ24,EZ30),0)</f>
        <v/>
      </c>
      <c r="FA59" s="92">
        <f>IFERROR(FA58/SUM(FA24,FA30),0)</f>
        <v/>
      </c>
      <c r="FB59" s="92">
        <f>IFERROR(FB58/SUM(FB24,FB30),0)</f>
        <v/>
      </c>
    </row>
    <row r="60">
      <c r="B60" s="11">
        <f>Inputs!B97</f>
        <v/>
      </c>
      <c r="C60" s="195">
        <f>Inputs!C97</f>
        <v/>
      </c>
      <c r="D60" s="175">
        <f>Inputs!D97</f>
        <v/>
      </c>
      <c r="E60" s="207">
        <f>Inputs!E97</f>
        <v/>
      </c>
      <c r="F60" s="90">
        <f>IFERROR(+D60/E60,0)</f>
        <v/>
      </c>
      <c r="G60" s="175">
        <f>D60*C60*12</f>
        <v/>
      </c>
      <c r="AA60" s="61" t="n"/>
      <c r="AB60" s="61" t="n"/>
      <c r="AC60" s="61" t="n"/>
      <c r="AD60" s="61" t="n"/>
      <c r="AE60" s="61" t="n"/>
      <c r="AF60" s="61" t="n"/>
      <c r="AG60" s="61" t="n"/>
      <c r="AH60" s="61" t="n"/>
      <c r="AI60" s="61" t="n"/>
      <c r="AJ60" s="61" t="n"/>
      <c r="AK60" s="61" t="n"/>
      <c r="AL60" s="61" t="n"/>
      <c r="AM60" s="61" t="n"/>
      <c r="AN60" s="61" t="n"/>
      <c r="AO60" s="61" t="n"/>
      <c r="AP60" s="61" t="n"/>
      <c r="AQ60" s="61" t="n"/>
      <c r="AR60" s="61" t="n"/>
      <c r="AS60" s="61" t="n"/>
      <c r="AT60" s="61" t="n"/>
      <c r="AU60" s="61" t="n"/>
      <c r="AV60" s="61" t="n"/>
      <c r="AW60" s="61" t="n"/>
      <c r="AX60" s="61" t="n"/>
      <c r="AY60" s="61" t="n"/>
      <c r="AZ60" s="61" t="n"/>
      <c r="BA60" s="61" t="n"/>
      <c r="BB60" s="61" t="n"/>
      <c r="BC60" s="61" t="n"/>
      <c r="BD60" s="61" t="n"/>
      <c r="BE60" s="61" t="n"/>
      <c r="BF60" s="61" t="n"/>
      <c r="BG60" s="61" t="n"/>
      <c r="BH60" s="61" t="n"/>
      <c r="BI60" s="61" t="n"/>
      <c r="BJ60" s="61" t="n"/>
      <c r="BK60" s="61" t="n"/>
      <c r="BL60" s="61" t="n"/>
      <c r="BM60" s="61" t="n"/>
      <c r="BN60" s="61" t="n"/>
      <c r="BO60" s="61" t="n"/>
      <c r="BP60" s="61" t="n"/>
      <c r="BQ60" s="61" t="n"/>
      <c r="BR60" s="61" t="n"/>
      <c r="BS60" s="61" t="n"/>
      <c r="BT60" s="61" t="n"/>
      <c r="BU60" s="61" t="n"/>
      <c r="BV60" s="61" t="n"/>
      <c r="BW60" s="61" t="n"/>
      <c r="BX60" s="61" t="n"/>
      <c r="BY60" s="61" t="n"/>
      <c r="BZ60" s="61" t="n"/>
      <c r="CA60" s="61" t="n"/>
      <c r="CB60" s="61" t="n"/>
      <c r="CC60" s="61" t="n"/>
      <c r="CD60" s="61" t="n"/>
      <c r="CE60" s="61" t="n"/>
      <c r="CF60" s="61" t="n"/>
      <c r="CG60" s="61" t="n"/>
      <c r="CH60" s="61" t="n"/>
      <c r="CI60" s="61" t="n"/>
      <c r="CJ60" s="61" t="n"/>
      <c r="CK60" s="61" t="n"/>
      <c r="CL60" s="61" t="n"/>
      <c r="CM60" s="61" t="n"/>
      <c r="CN60" s="61" t="n"/>
      <c r="CO60" s="61" t="n"/>
      <c r="CP60" s="61" t="n"/>
      <c r="CQ60" s="61" t="n"/>
      <c r="CR60" s="61" t="n"/>
      <c r="CS60" s="61" t="n"/>
      <c r="CT60" s="61" t="n"/>
      <c r="CU60" s="61" t="n"/>
      <c r="CV60" s="61" t="n"/>
      <c r="CW60" s="61" t="n"/>
      <c r="CX60" s="61" t="n"/>
      <c r="CY60" s="61" t="n"/>
      <c r="CZ60" s="61" t="n"/>
      <c r="DA60" s="61" t="n"/>
      <c r="DB60" s="61" t="n"/>
      <c r="DC60" s="61" t="n"/>
      <c r="DD60" s="61" t="n"/>
      <c r="DE60" s="61" t="n"/>
      <c r="DF60" s="61" t="n"/>
      <c r="DG60" s="61" t="n"/>
      <c r="DH60" s="61" t="n"/>
      <c r="DI60" s="61" t="n"/>
      <c r="DJ60" s="61" t="n"/>
      <c r="DK60" s="61" t="n"/>
      <c r="DL60" s="61" t="n"/>
      <c r="DM60" s="61" t="n"/>
      <c r="DN60" s="61" t="n"/>
      <c r="DO60" s="61" t="n"/>
      <c r="DP60" s="61" t="n"/>
      <c r="DQ60" s="61" t="n"/>
      <c r="DR60" s="61" t="n"/>
      <c r="DS60" s="61" t="n"/>
      <c r="DT60" s="61" t="n"/>
      <c r="DU60" s="61" t="n"/>
      <c r="DV60" s="61" t="n"/>
      <c r="DW60" s="61" t="n"/>
      <c r="DX60" s="61" t="n"/>
      <c r="DY60" s="61" t="n"/>
      <c r="DZ60" s="61" t="n"/>
      <c r="EA60" s="61" t="n"/>
      <c r="EB60" s="61" t="n"/>
      <c r="EC60" s="61" t="n"/>
      <c r="ED60" s="61" t="n"/>
      <c r="EE60" s="61" t="n"/>
      <c r="EF60" s="61" t="n"/>
      <c r="EG60" s="61" t="n"/>
      <c r="EH60" s="61" t="n"/>
      <c r="EI60" s="61" t="n"/>
      <c r="EJ60" s="61" t="n"/>
      <c r="EK60" s="61" t="n"/>
      <c r="EL60" s="61" t="n"/>
      <c r="EM60" s="61" t="n"/>
      <c r="EN60" s="61" t="n"/>
      <c r="EO60" s="61" t="n"/>
      <c r="EP60" s="61" t="n"/>
      <c r="EQ60" s="61" t="n"/>
      <c r="ER60" s="61" t="n"/>
      <c r="ES60" s="61" t="n"/>
      <c r="ET60" s="61" t="n"/>
      <c r="EU60" s="61" t="n"/>
      <c r="EV60" s="61" t="n"/>
      <c r="EW60" s="61" t="n"/>
      <c r="EX60" s="61" t="n"/>
      <c r="EY60" s="61" t="n"/>
      <c r="EZ60" s="61" t="n"/>
      <c r="FA60" s="61" t="n"/>
      <c r="FB60" s="61" t="n"/>
    </row>
    <row r="61">
      <c r="B61" s="11">
        <f>Inputs!B98</f>
        <v/>
      </c>
      <c r="C61" s="195">
        <f>Inputs!C98</f>
        <v/>
      </c>
      <c r="D61" s="175">
        <f>Inputs!D98</f>
        <v/>
      </c>
      <c r="E61" s="207">
        <f>Inputs!E98</f>
        <v/>
      </c>
      <c r="F61" s="90">
        <f>IFERROR(+D61/E61,0)</f>
        <v/>
      </c>
      <c r="G61" s="175">
        <f>D61*C61*12</f>
        <v/>
      </c>
      <c r="AA61" s="61" t="n"/>
      <c r="AB61" s="61" t="n"/>
      <c r="AC61" s="61" t="n"/>
      <c r="AD61" s="61" t="n"/>
      <c r="AE61" s="61" t="n"/>
      <c r="AF61" s="61" t="n"/>
      <c r="AG61" s="61" t="n"/>
      <c r="AH61" s="61" t="n"/>
      <c r="AI61" s="61" t="n"/>
      <c r="AJ61" s="61" t="n"/>
      <c r="AK61" s="61" t="n"/>
      <c r="AL61" s="61" t="n"/>
      <c r="AM61" s="61" t="n"/>
      <c r="AN61" s="61" t="n"/>
      <c r="AO61" s="61" t="n"/>
      <c r="AP61" s="61" t="n"/>
      <c r="AQ61" s="61" t="n"/>
      <c r="AR61" s="61" t="n"/>
      <c r="AS61" s="61" t="n"/>
      <c r="AT61" s="61" t="n"/>
      <c r="AU61" s="61" t="n"/>
      <c r="AV61" s="61" t="n"/>
      <c r="AW61" s="61" t="n"/>
      <c r="AX61" s="61" t="n"/>
      <c r="AY61" s="61" t="n"/>
      <c r="AZ61" s="61" t="n"/>
      <c r="BA61" s="61" t="n"/>
      <c r="BB61" s="61" t="n"/>
      <c r="BC61" s="61" t="n"/>
      <c r="BD61" s="61" t="n"/>
      <c r="BE61" s="61" t="n"/>
      <c r="BF61" s="61" t="n"/>
      <c r="BG61" s="61" t="n"/>
      <c r="BH61" s="61" t="n"/>
      <c r="BI61" s="61" t="n"/>
      <c r="BJ61" s="61" t="n"/>
      <c r="BK61" s="61" t="n"/>
      <c r="BL61" s="61" t="n"/>
      <c r="BM61" s="61" t="n"/>
      <c r="BN61" s="61" t="n"/>
      <c r="BO61" s="61" t="n"/>
      <c r="BP61" s="61" t="n"/>
      <c r="BQ61" s="61" t="n"/>
      <c r="BR61" s="61" t="n"/>
      <c r="BS61" s="61" t="n"/>
      <c r="BT61" s="61" t="n"/>
      <c r="BU61" s="61" t="n"/>
      <c r="BV61" s="61" t="n"/>
      <c r="BW61" s="61" t="n"/>
      <c r="BX61" s="61" t="n"/>
      <c r="BY61" s="61" t="n"/>
      <c r="BZ61" s="61" t="n"/>
      <c r="CA61" s="61" t="n"/>
      <c r="CB61" s="61" t="n"/>
      <c r="CC61" s="61" t="n"/>
      <c r="CD61" s="61" t="n"/>
      <c r="CE61" s="61" t="n"/>
      <c r="CF61" s="61" t="n"/>
      <c r="CG61" s="61" t="n"/>
      <c r="CH61" s="61" t="n"/>
      <c r="CI61" s="61" t="n"/>
      <c r="CJ61" s="61" t="n"/>
      <c r="CK61" s="61" t="n"/>
      <c r="CL61" s="61" t="n"/>
      <c r="CM61" s="61" t="n"/>
      <c r="CN61" s="61" t="n"/>
      <c r="CO61" s="61" t="n"/>
      <c r="CP61" s="61" t="n"/>
      <c r="CQ61" s="61" t="n"/>
      <c r="CR61" s="61" t="n"/>
      <c r="CS61" s="61" t="n"/>
      <c r="CT61" s="61" t="n"/>
      <c r="CU61" s="61" t="n"/>
      <c r="CV61" s="61" t="n"/>
      <c r="CW61" s="61" t="n"/>
      <c r="CX61" s="61" t="n"/>
      <c r="CY61" s="61" t="n"/>
      <c r="CZ61" s="61" t="n"/>
      <c r="DA61" s="61" t="n"/>
      <c r="DB61" s="61" t="n"/>
      <c r="DC61" s="61" t="n"/>
      <c r="DD61" s="61" t="n"/>
      <c r="DE61" s="61" t="n"/>
      <c r="DF61" s="61" t="n"/>
      <c r="DG61" s="61" t="n"/>
      <c r="DH61" s="61" t="n"/>
      <c r="DI61" s="61" t="n"/>
      <c r="DJ61" s="61" t="n"/>
      <c r="DK61" s="61" t="n"/>
      <c r="DL61" s="61" t="n"/>
      <c r="DM61" s="61" t="n"/>
      <c r="DN61" s="61" t="n"/>
      <c r="DO61" s="61" t="n"/>
      <c r="DP61" s="61" t="n"/>
      <c r="DQ61" s="61" t="n"/>
      <c r="DR61" s="61" t="n"/>
      <c r="DS61" s="61" t="n"/>
      <c r="DT61" s="61" t="n"/>
      <c r="DU61" s="61" t="n"/>
      <c r="DV61" s="61" t="n"/>
      <c r="DW61" s="61" t="n"/>
      <c r="DX61" s="61" t="n"/>
      <c r="DY61" s="61" t="n"/>
      <c r="DZ61" s="61" t="n"/>
      <c r="EA61" s="61" t="n"/>
      <c r="EB61" s="61" t="n"/>
      <c r="EC61" s="61" t="n"/>
      <c r="ED61" s="61" t="n"/>
      <c r="EE61" s="61" t="n"/>
      <c r="EF61" s="61" t="n"/>
      <c r="EG61" s="61" t="n"/>
      <c r="EH61" s="61" t="n"/>
      <c r="EI61" s="61" t="n"/>
      <c r="EJ61" s="61" t="n"/>
      <c r="EK61" s="61" t="n"/>
      <c r="EL61" s="61" t="n"/>
      <c r="EM61" s="61" t="n"/>
      <c r="EN61" s="61" t="n"/>
      <c r="EO61" s="61" t="n"/>
      <c r="EP61" s="61" t="n"/>
      <c r="EQ61" s="61" t="n"/>
      <c r="ER61" s="61" t="n"/>
      <c r="ES61" s="61" t="n"/>
      <c r="ET61" s="61" t="n"/>
      <c r="EU61" s="61" t="n"/>
      <c r="EV61" s="61" t="n"/>
      <c r="EW61" s="61" t="n"/>
      <c r="EX61" s="61" t="n"/>
      <c r="EY61" s="61" t="n"/>
      <c r="EZ61" s="61" t="n"/>
      <c r="FA61" s="61" t="n"/>
      <c r="FB61" s="61" t="n"/>
    </row>
    <row r="62">
      <c r="B62" s="11">
        <f>Inputs!B99</f>
        <v/>
      </c>
      <c r="C62" s="195">
        <f>Inputs!C99</f>
        <v/>
      </c>
      <c r="D62" s="175">
        <f>Inputs!D99</f>
        <v/>
      </c>
      <c r="E62" s="207">
        <f>Inputs!E99</f>
        <v/>
      </c>
      <c r="F62" s="90">
        <f>IFERROR(+D62/E62,0)</f>
        <v/>
      </c>
      <c r="G62" s="175">
        <f>D62*C62*12</f>
        <v/>
      </c>
      <c r="AA62" s="61" t="n"/>
      <c r="AB62" s="61" t="n"/>
      <c r="AC62" s="61" t="n"/>
      <c r="AD62" s="61" t="n"/>
      <c r="AE62" s="61" t="n"/>
      <c r="AF62" s="61" t="n"/>
      <c r="AG62" s="61" t="n"/>
      <c r="AH62" s="61" t="n"/>
      <c r="AI62" s="61" t="n"/>
      <c r="AJ62" s="61" t="n"/>
      <c r="AK62" s="61" t="n"/>
      <c r="AL62" s="61" t="n"/>
      <c r="AM62" s="61" t="n"/>
      <c r="AN62" s="61" t="n"/>
      <c r="AO62" s="61" t="n"/>
      <c r="AP62" s="61" t="n"/>
      <c r="AQ62" s="61" t="n"/>
      <c r="AR62" s="61" t="n"/>
      <c r="AS62" s="61" t="n"/>
      <c r="AT62" s="61" t="n"/>
      <c r="AU62" s="61" t="n"/>
      <c r="AV62" s="61" t="n"/>
      <c r="AW62" s="61" t="n"/>
      <c r="AX62" s="61" t="n"/>
      <c r="AY62" s="61" t="n"/>
      <c r="AZ62" s="61" t="n"/>
      <c r="BA62" s="61" t="n"/>
      <c r="BB62" s="61" t="n"/>
      <c r="BC62" s="61" t="n"/>
      <c r="BD62" s="61" t="n"/>
      <c r="BE62" s="61" t="n"/>
      <c r="BF62" s="61" t="n"/>
      <c r="BG62" s="61" t="n"/>
      <c r="BH62" s="61" t="n"/>
      <c r="BI62" s="61" t="n"/>
      <c r="BJ62" s="61" t="n"/>
      <c r="BK62" s="61" t="n"/>
      <c r="BL62" s="61" t="n"/>
      <c r="BM62" s="61" t="n"/>
      <c r="BN62" s="61" t="n"/>
      <c r="BO62" s="61" t="n"/>
      <c r="BP62" s="61" t="n"/>
      <c r="BQ62" s="61" t="n"/>
      <c r="BR62" s="61" t="n"/>
      <c r="BS62" s="61" t="n"/>
      <c r="BT62" s="61" t="n"/>
      <c r="BU62" s="61" t="n"/>
      <c r="BV62" s="61" t="n"/>
      <c r="BW62" s="61" t="n"/>
      <c r="BX62" s="61" t="n"/>
      <c r="BY62" s="61" t="n"/>
      <c r="BZ62" s="61" t="n"/>
      <c r="CA62" s="61" t="n"/>
      <c r="CB62" s="61" t="n"/>
      <c r="CC62" s="61" t="n"/>
      <c r="CD62" s="61" t="n"/>
      <c r="CE62" s="61" t="n"/>
      <c r="CF62" s="61" t="n"/>
      <c r="CG62" s="61" t="n"/>
      <c r="CH62" s="61" t="n"/>
      <c r="CI62" s="61" t="n"/>
      <c r="CJ62" s="61" t="n"/>
      <c r="CK62" s="61" t="n"/>
      <c r="CL62" s="61" t="n"/>
      <c r="CM62" s="61" t="n"/>
      <c r="CN62" s="61" t="n"/>
      <c r="CO62" s="61" t="n"/>
      <c r="CP62" s="61" t="n"/>
      <c r="CQ62" s="61" t="n"/>
      <c r="CR62" s="61" t="n"/>
      <c r="CS62" s="61" t="n"/>
      <c r="CT62" s="61" t="n"/>
      <c r="CU62" s="61" t="n"/>
      <c r="CV62" s="61" t="n"/>
      <c r="CW62" s="61" t="n"/>
      <c r="CX62" s="61" t="n"/>
      <c r="CY62" s="61" t="n"/>
      <c r="CZ62" s="61" t="n"/>
      <c r="DA62" s="61" t="n"/>
      <c r="DB62" s="61" t="n"/>
      <c r="DC62" s="61" t="n"/>
      <c r="DD62" s="61" t="n"/>
      <c r="DE62" s="61" t="n"/>
      <c r="DF62" s="61" t="n"/>
      <c r="DG62" s="61" t="n"/>
      <c r="DH62" s="61" t="n"/>
      <c r="DI62" s="61" t="n"/>
      <c r="DJ62" s="61" t="n"/>
      <c r="DK62" s="61" t="n"/>
      <c r="DL62" s="61" t="n"/>
      <c r="DM62" s="61" t="n"/>
      <c r="DN62" s="61" t="n"/>
      <c r="DO62" s="61" t="n"/>
      <c r="DP62" s="61" t="n"/>
      <c r="DQ62" s="61" t="n"/>
      <c r="DR62" s="61" t="n"/>
      <c r="DS62" s="61" t="n"/>
      <c r="DT62" s="61" t="n"/>
      <c r="DU62" s="61" t="n"/>
      <c r="DV62" s="61" t="n"/>
      <c r="DW62" s="61" t="n"/>
      <c r="DX62" s="61" t="n"/>
      <c r="DY62" s="61" t="n"/>
      <c r="DZ62" s="61" t="n"/>
      <c r="EA62" s="61" t="n"/>
      <c r="EB62" s="61" t="n"/>
      <c r="EC62" s="61" t="n"/>
      <c r="ED62" s="61" t="n"/>
      <c r="EE62" s="61" t="n"/>
      <c r="EF62" s="61" t="n"/>
      <c r="EG62" s="61" t="n"/>
      <c r="EH62" s="61" t="n"/>
      <c r="EI62" s="61" t="n"/>
      <c r="EJ62" s="61" t="n"/>
      <c r="EK62" s="61" t="n"/>
      <c r="EL62" s="61" t="n"/>
      <c r="EM62" s="61" t="n"/>
      <c r="EN62" s="61" t="n"/>
      <c r="EO62" s="61" t="n"/>
      <c r="EP62" s="61" t="n"/>
      <c r="EQ62" s="61" t="n"/>
      <c r="ER62" s="61" t="n"/>
      <c r="ES62" s="61" t="n"/>
      <c r="ET62" s="61" t="n"/>
      <c r="EU62" s="61" t="n"/>
      <c r="EV62" s="61" t="n"/>
      <c r="EW62" s="61" t="n"/>
      <c r="EX62" s="61" t="n"/>
      <c r="EY62" s="61" t="n"/>
      <c r="EZ62" s="61" t="n"/>
      <c r="FA62" s="61" t="n"/>
      <c r="FB62" s="61" t="n"/>
    </row>
    <row r="63">
      <c r="B63" s="11">
        <f>Inputs!B100</f>
        <v/>
      </c>
      <c r="C63" s="195">
        <f>Inputs!C100</f>
        <v/>
      </c>
      <c r="D63" s="175">
        <f>Inputs!D100</f>
        <v/>
      </c>
      <c r="E63" s="207">
        <f>Inputs!E100</f>
        <v/>
      </c>
      <c r="F63" s="90">
        <f>IFERROR(+D63/E63,0)</f>
        <v/>
      </c>
      <c r="G63" s="175">
        <f>D63*C63*12</f>
        <v/>
      </c>
      <c r="AA63" s="61" t="n"/>
      <c r="AB63" s="61" t="n"/>
      <c r="AC63" s="61" t="n"/>
      <c r="AD63" s="61" t="n"/>
      <c r="AE63" s="61" t="n"/>
      <c r="AF63" s="61" t="n"/>
      <c r="AG63" s="61" t="n"/>
      <c r="AH63" s="61" t="n"/>
      <c r="AI63" s="61" t="n"/>
      <c r="AJ63" s="61" t="n"/>
      <c r="AK63" s="61" t="n"/>
      <c r="AL63" s="61" t="n"/>
      <c r="AM63" s="61" t="n"/>
      <c r="AN63" s="61" t="n"/>
      <c r="AO63" s="61" t="n"/>
      <c r="AP63" s="61" t="n"/>
      <c r="AQ63" s="61" t="n"/>
      <c r="AR63" s="61" t="n"/>
      <c r="AS63" s="61" t="n"/>
      <c r="AT63" s="61" t="n"/>
      <c r="AU63" s="61" t="n"/>
      <c r="AV63" s="61" t="n"/>
      <c r="AW63" s="61" t="n"/>
      <c r="AX63" s="61" t="n"/>
      <c r="AY63" s="61" t="n"/>
      <c r="AZ63" s="61" t="n"/>
      <c r="BA63" s="61" t="n"/>
      <c r="BB63" s="61" t="n"/>
      <c r="BC63" s="61" t="n"/>
      <c r="BD63" s="61" t="n"/>
      <c r="BE63" s="61" t="n"/>
      <c r="BF63" s="61" t="n"/>
      <c r="BG63" s="61" t="n"/>
      <c r="BH63" s="61" t="n"/>
      <c r="BI63" s="61" t="n"/>
      <c r="BJ63" s="61" t="n"/>
      <c r="BK63" s="61" t="n"/>
      <c r="BL63" s="61" t="n"/>
      <c r="BM63" s="61" t="n"/>
      <c r="BN63" s="61" t="n"/>
      <c r="BO63" s="61" t="n"/>
      <c r="BP63" s="61" t="n"/>
      <c r="BQ63" s="61" t="n"/>
      <c r="BR63" s="61" t="n"/>
      <c r="BS63" s="61" t="n"/>
      <c r="BT63" s="61" t="n"/>
      <c r="BU63" s="61" t="n"/>
      <c r="BV63" s="61" t="n"/>
      <c r="BW63" s="61" t="n"/>
      <c r="BX63" s="61" t="n"/>
      <c r="BY63" s="61" t="n"/>
      <c r="BZ63" s="61" t="n"/>
      <c r="CA63" s="61" t="n"/>
      <c r="CB63" s="61" t="n"/>
      <c r="CC63" s="61" t="n"/>
      <c r="CD63" s="61" t="n"/>
      <c r="CE63" s="61" t="n"/>
      <c r="CF63" s="61" t="n"/>
      <c r="CG63" s="61" t="n"/>
      <c r="CH63" s="61" t="n"/>
      <c r="CI63" s="61" t="n"/>
      <c r="CJ63" s="61" t="n"/>
      <c r="CK63" s="61" t="n"/>
      <c r="CL63" s="61" t="n"/>
      <c r="CM63" s="61" t="n"/>
      <c r="CN63" s="61" t="n"/>
      <c r="CO63" s="61" t="n"/>
      <c r="CP63" s="61" t="n"/>
      <c r="CQ63" s="61" t="n"/>
      <c r="CR63" s="61" t="n"/>
      <c r="CS63" s="61" t="n"/>
      <c r="CT63" s="61" t="n"/>
      <c r="CU63" s="61" t="n"/>
      <c r="CV63" s="61" t="n"/>
      <c r="CW63" s="61" t="n"/>
      <c r="CX63" s="61" t="n"/>
      <c r="CY63" s="61" t="n"/>
      <c r="CZ63" s="61" t="n"/>
      <c r="DA63" s="61" t="n"/>
      <c r="DB63" s="61" t="n"/>
      <c r="DC63" s="61" t="n"/>
      <c r="DD63" s="61" t="n"/>
      <c r="DE63" s="61" t="n"/>
      <c r="DF63" s="61" t="n"/>
      <c r="DG63" s="61" t="n"/>
      <c r="DH63" s="61" t="n"/>
      <c r="DI63" s="61" t="n"/>
      <c r="DJ63" s="61" t="n"/>
      <c r="DK63" s="61" t="n"/>
      <c r="DL63" s="61" t="n"/>
      <c r="DM63" s="61" t="n"/>
      <c r="DN63" s="61" t="n"/>
      <c r="DO63" s="61" t="n"/>
      <c r="DP63" s="61" t="n"/>
      <c r="DQ63" s="61" t="n"/>
      <c r="DR63" s="61" t="n"/>
      <c r="DS63" s="61" t="n"/>
      <c r="DT63" s="61" t="n"/>
      <c r="DU63" s="61" t="n"/>
      <c r="DV63" s="61" t="n"/>
      <c r="DW63" s="61" t="n"/>
      <c r="DX63" s="61" t="n"/>
      <c r="DY63" s="61" t="n"/>
      <c r="DZ63" s="61" t="n"/>
      <c r="EA63" s="61" t="n"/>
      <c r="EB63" s="61" t="n"/>
      <c r="EC63" s="61" t="n"/>
      <c r="ED63" s="61" t="n"/>
      <c r="EE63" s="61" t="n"/>
      <c r="EF63" s="61" t="n"/>
      <c r="EG63" s="61" t="n"/>
      <c r="EH63" s="61" t="n"/>
      <c r="EI63" s="61" t="n"/>
      <c r="EJ63" s="61" t="n"/>
      <c r="EK63" s="61" t="n"/>
      <c r="EL63" s="61" t="n"/>
      <c r="EM63" s="61" t="n"/>
      <c r="EN63" s="61" t="n"/>
      <c r="EO63" s="61" t="n"/>
      <c r="EP63" s="61" t="n"/>
      <c r="EQ63" s="61" t="n"/>
      <c r="ER63" s="61" t="n"/>
      <c r="ES63" s="61" t="n"/>
      <c r="ET63" s="61" t="n"/>
      <c r="EU63" s="61" t="n"/>
      <c r="EV63" s="61" t="n"/>
      <c r="EW63" s="61" t="n"/>
      <c r="EX63" s="61" t="n"/>
      <c r="EY63" s="61" t="n"/>
      <c r="EZ63" s="61" t="n"/>
      <c r="FA63" s="61" t="n"/>
      <c r="FB63" s="61" t="n"/>
    </row>
    <row r="64">
      <c r="B64" s="11">
        <f>Inputs!B101</f>
        <v/>
      </c>
      <c r="C64" s="195">
        <f>Inputs!C101</f>
        <v/>
      </c>
      <c r="D64" s="175">
        <f>Inputs!D101</f>
        <v/>
      </c>
      <c r="E64" s="207">
        <f>Inputs!E101</f>
        <v/>
      </c>
      <c r="F64" s="90">
        <f>IFERROR(+D64/E64,0)</f>
        <v/>
      </c>
      <c r="G64" s="175">
        <f>D64*C64*12</f>
        <v/>
      </c>
      <c r="AA64" s="61" t="n"/>
      <c r="AB64" s="61" t="n"/>
      <c r="AC64" s="61" t="n"/>
      <c r="AD64" s="61" t="n"/>
      <c r="AE64" s="61" t="n"/>
      <c r="AF64" s="61" t="n"/>
      <c r="AG64" s="61" t="n"/>
      <c r="AH64" s="61" t="n"/>
      <c r="AI64" s="61" t="n"/>
      <c r="AJ64" s="61" t="n"/>
      <c r="AK64" s="61" t="n"/>
      <c r="AL64" s="61" t="n"/>
      <c r="AM64" s="61" t="n"/>
      <c r="AN64" s="61" t="n"/>
      <c r="AO64" s="61" t="n"/>
      <c r="AP64" s="61" t="n"/>
      <c r="AQ64" s="61" t="n"/>
      <c r="AR64" s="61" t="n"/>
      <c r="AS64" s="61" t="n"/>
      <c r="AT64" s="61" t="n"/>
      <c r="AU64" s="61" t="n"/>
      <c r="AV64" s="61" t="n"/>
      <c r="AW64" s="61" t="n"/>
      <c r="AX64" s="61" t="n"/>
      <c r="AY64" s="61" t="n"/>
      <c r="AZ64" s="61" t="n"/>
      <c r="BA64" s="61" t="n"/>
      <c r="BB64" s="61" t="n"/>
      <c r="BC64" s="61" t="n"/>
      <c r="BD64" s="61" t="n"/>
      <c r="BE64" s="61" t="n"/>
      <c r="BF64" s="61" t="n"/>
      <c r="BG64" s="61" t="n"/>
      <c r="BH64" s="61" t="n"/>
      <c r="BI64" s="61" t="n"/>
      <c r="BJ64" s="61" t="n"/>
      <c r="BK64" s="61" t="n"/>
      <c r="BL64" s="61" t="n"/>
      <c r="BM64" s="61" t="n"/>
      <c r="BN64" s="61" t="n"/>
      <c r="BO64" s="61" t="n"/>
      <c r="BP64" s="61" t="n"/>
      <c r="BQ64" s="61" t="n"/>
      <c r="BR64" s="61" t="n"/>
      <c r="BS64" s="61" t="n"/>
      <c r="BT64" s="61" t="n"/>
      <c r="BU64" s="61" t="n"/>
      <c r="BV64" s="61" t="n"/>
      <c r="BW64" s="61" t="n"/>
      <c r="BX64" s="61" t="n"/>
      <c r="BY64" s="61" t="n"/>
      <c r="BZ64" s="61" t="n"/>
      <c r="CA64" s="61" t="n"/>
      <c r="CB64" s="61" t="n"/>
      <c r="CC64" s="61" t="n"/>
      <c r="CD64" s="61" t="n"/>
      <c r="CE64" s="61" t="n"/>
      <c r="CF64" s="61" t="n"/>
      <c r="CG64" s="61" t="n"/>
      <c r="CH64" s="61" t="n"/>
      <c r="CI64" s="61" t="n"/>
      <c r="CJ64" s="61" t="n"/>
      <c r="CK64" s="61" t="n"/>
      <c r="CL64" s="61" t="n"/>
      <c r="CM64" s="61" t="n"/>
      <c r="CN64" s="61" t="n"/>
      <c r="CO64" s="61" t="n"/>
      <c r="CP64" s="61" t="n"/>
      <c r="CQ64" s="61" t="n"/>
      <c r="CR64" s="61" t="n"/>
      <c r="CS64" s="61" t="n"/>
      <c r="CT64" s="61" t="n"/>
      <c r="CU64" s="61" t="n"/>
      <c r="CV64" s="61" t="n"/>
      <c r="CW64" s="61" t="n"/>
      <c r="CX64" s="61" t="n"/>
      <c r="CY64" s="61" t="n"/>
      <c r="CZ64" s="61" t="n"/>
      <c r="DA64" s="61" t="n"/>
      <c r="DB64" s="61" t="n"/>
      <c r="DC64" s="61" t="n"/>
      <c r="DD64" s="61" t="n"/>
      <c r="DE64" s="61" t="n"/>
      <c r="DF64" s="61" t="n"/>
      <c r="DG64" s="61" t="n"/>
      <c r="DH64" s="61" t="n"/>
      <c r="DI64" s="61" t="n"/>
      <c r="DJ64" s="61" t="n"/>
      <c r="DK64" s="61" t="n"/>
      <c r="DL64" s="61" t="n"/>
      <c r="DM64" s="61" t="n"/>
      <c r="DN64" s="61" t="n"/>
      <c r="DO64" s="61" t="n"/>
      <c r="DP64" s="61" t="n"/>
      <c r="DQ64" s="61" t="n"/>
      <c r="DR64" s="61" t="n"/>
      <c r="DS64" s="61" t="n"/>
      <c r="DT64" s="61" t="n"/>
      <c r="DU64" s="61" t="n"/>
      <c r="DV64" s="61" t="n"/>
      <c r="DW64" s="61" t="n"/>
      <c r="DX64" s="61" t="n"/>
      <c r="DY64" s="61" t="n"/>
      <c r="DZ64" s="61" t="n"/>
      <c r="EA64" s="61" t="n"/>
      <c r="EB64" s="61" t="n"/>
      <c r="EC64" s="61" t="n"/>
      <c r="ED64" s="61" t="n"/>
      <c r="EE64" s="61" t="n"/>
      <c r="EF64" s="61" t="n"/>
      <c r="EG64" s="61" t="n"/>
      <c r="EH64" s="61" t="n"/>
      <c r="EI64" s="61" t="n"/>
      <c r="EJ64" s="61" t="n"/>
      <c r="EK64" s="61" t="n"/>
      <c r="EL64" s="61" t="n"/>
      <c r="EM64" s="61" t="n"/>
      <c r="EN64" s="61" t="n"/>
      <c r="EO64" s="61" t="n"/>
      <c r="EP64" s="61" t="n"/>
      <c r="EQ64" s="61" t="n"/>
      <c r="ER64" s="61" t="n"/>
      <c r="ES64" s="61" t="n"/>
      <c r="ET64" s="61" t="n"/>
      <c r="EU64" s="61" t="n"/>
      <c r="EV64" s="61" t="n"/>
      <c r="EW64" s="61" t="n"/>
      <c r="EX64" s="61" t="n"/>
      <c r="EY64" s="61" t="n"/>
      <c r="EZ64" s="61" t="n"/>
      <c r="FA64" s="61" t="n"/>
      <c r="FB64" s="61" t="n"/>
    </row>
    <row r="65">
      <c r="B65" s="11">
        <f>Inputs!B102</f>
        <v/>
      </c>
      <c r="C65" s="195">
        <f>Inputs!C102</f>
        <v/>
      </c>
      <c r="D65" s="175">
        <f>Inputs!D102</f>
        <v/>
      </c>
      <c r="E65" s="207">
        <f>Inputs!E102</f>
        <v/>
      </c>
      <c r="F65" s="90">
        <f>IFERROR(+D65/E65,0)</f>
        <v/>
      </c>
      <c r="G65" s="175">
        <f>D65*C65*12</f>
        <v/>
      </c>
      <c r="AA65" s="61" t="n"/>
      <c r="AB65" s="61" t="n"/>
      <c r="AC65" s="61" t="n"/>
      <c r="AD65" s="61" t="n"/>
      <c r="AE65" s="61" t="n"/>
      <c r="AF65" s="61" t="n"/>
      <c r="AG65" s="61" t="n"/>
      <c r="AH65" s="61" t="n"/>
      <c r="AI65" s="61" t="n"/>
      <c r="AJ65" s="61" t="n"/>
      <c r="AK65" s="61" t="n"/>
      <c r="AL65" s="61" t="n"/>
      <c r="AM65" s="61" t="n"/>
      <c r="AN65" s="61" t="n"/>
      <c r="AO65" s="61" t="n"/>
      <c r="AP65" s="61" t="n"/>
      <c r="AQ65" s="61" t="n"/>
      <c r="AR65" s="61" t="n"/>
      <c r="AS65" s="61" t="n"/>
      <c r="AT65" s="61" t="n"/>
      <c r="AU65" s="61" t="n"/>
      <c r="AV65" s="61" t="n"/>
      <c r="AW65" s="61" t="n"/>
      <c r="AX65" s="61" t="n"/>
      <c r="AY65" s="61" t="n"/>
      <c r="AZ65" s="61" t="n"/>
      <c r="BA65" s="61" t="n"/>
      <c r="BB65" s="61" t="n"/>
      <c r="BC65" s="61" t="n"/>
      <c r="BD65" s="61" t="n"/>
      <c r="BE65" s="61" t="n"/>
      <c r="BF65" s="61" t="n"/>
      <c r="BG65" s="61" t="n"/>
      <c r="BH65" s="61" t="n"/>
      <c r="BI65" s="61" t="n"/>
      <c r="BJ65" s="61" t="n"/>
      <c r="BK65" s="61" t="n"/>
      <c r="BL65" s="61" t="n"/>
      <c r="BM65" s="61" t="n"/>
      <c r="BN65" s="61" t="n"/>
      <c r="BO65" s="61" t="n"/>
      <c r="BP65" s="61" t="n"/>
      <c r="BQ65" s="61" t="n"/>
      <c r="BR65" s="61" t="n"/>
      <c r="BS65" s="61" t="n"/>
      <c r="BT65" s="61" t="n"/>
      <c r="BU65" s="61" t="n"/>
      <c r="BV65" s="61" t="n"/>
      <c r="BW65" s="61" t="n"/>
      <c r="BX65" s="61" t="n"/>
      <c r="BY65" s="61" t="n"/>
      <c r="BZ65" s="61" t="n"/>
      <c r="CA65" s="61" t="n"/>
      <c r="CB65" s="61" t="n"/>
      <c r="CC65" s="61" t="n"/>
      <c r="CD65" s="61" t="n"/>
      <c r="CE65" s="61" t="n"/>
      <c r="CF65" s="61" t="n"/>
      <c r="CG65" s="61" t="n"/>
      <c r="CH65" s="61" t="n"/>
      <c r="CI65" s="61" t="n"/>
      <c r="CJ65" s="61" t="n"/>
      <c r="CK65" s="61" t="n"/>
      <c r="CL65" s="61" t="n"/>
      <c r="CM65" s="61" t="n"/>
      <c r="CN65" s="61" t="n"/>
      <c r="CO65" s="61" t="n"/>
      <c r="CP65" s="61" t="n"/>
      <c r="CQ65" s="61" t="n"/>
      <c r="CR65" s="61" t="n"/>
      <c r="CS65" s="61" t="n"/>
      <c r="CT65" s="61" t="n"/>
      <c r="CU65" s="61" t="n"/>
      <c r="CV65" s="61" t="n"/>
      <c r="CW65" s="61" t="n"/>
      <c r="CX65" s="61" t="n"/>
      <c r="CY65" s="61" t="n"/>
      <c r="CZ65" s="61" t="n"/>
      <c r="DA65" s="61" t="n"/>
      <c r="DB65" s="61" t="n"/>
      <c r="DC65" s="61" t="n"/>
      <c r="DD65" s="61" t="n"/>
      <c r="DE65" s="61" t="n"/>
      <c r="DF65" s="61" t="n"/>
      <c r="DG65" s="61" t="n"/>
      <c r="DH65" s="61" t="n"/>
      <c r="DI65" s="61" t="n"/>
      <c r="DJ65" s="61" t="n"/>
      <c r="DK65" s="61" t="n"/>
      <c r="DL65" s="61" t="n"/>
      <c r="DM65" s="61" t="n"/>
      <c r="DN65" s="61" t="n"/>
      <c r="DO65" s="61" t="n"/>
      <c r="DP65" s="61" t="n"/>
      <c r="DQ65" s="61" t="n"/>
      <c r="DR65" s="61" t="n"/>
      <c r="DS65" s="61" t="n"/>
      <c r="DT65" s="61" t="n"/>
      <c r="DU65" s="61" t="n"/>
      <c r="DV65" s="61" t="n"/>
      <c r="DW65" s="61" t="n"/>
      <c r="DX65" s="61" t="n"/>
      <c r="DY65" s="61" t="n"/>
      <c r="DZ65" s="61" t="n"/>
      <c r="EA65" s="61" t="n"/>
      <c r="EB65" s="61" t="n"/>
      <c r="EC65" s="61" t="n"/>
      <c r="ED65" s="61" t="n"/>
      <c r="EE65" s="61" t="n"/>
      <c r="EF65" s="61" t="n"/>
      <c r="EG65" s="61" t="n"/>
      <c r="EH65" s="61" t="n"/>
      <c r="EI65" s="61" t="n"/>
      <c r="EJ65" s="61" t="n"/>
      <c r="EK65" s="61" t="n"/>
      <c r="EL65" s="61" t="n"/>
      <c r="EM65" s="61" t="n"/>
      <c r="EN65" s="61" t="n"/>
      <c r="EO65" s="61" t="n"/>
      <c r="EP65" s="61" t="n"/>
      <c r="EQ65" s="61" t="n"/>
      <c r="ER65" s="61" t="n"/>
      <c r="ES65" s="61" t="n"/>
      <c r="ET65" s="61" t="n"/>
      <c r="EU65" s="61" t="n"/>
      <c r="EV65" s="61" t="n"/>
      <c r="EW65" s="61" t="n"/>
      <c r="EX65" s="61" t="n"/>
      <c r="EY65" s="61" t="n"/>
      <c r="EZ65" s="61" t="n"/>
      <c r="FA65" s="61" t="n"/>
      <c r="FB65" s="61" t="n"/>
    </row>
    <row r="66">
      <c r="B66" s="11">
        <f>Inputs!B103</f>
        <v/>
      </c>
      <c r="C66" s="195">
        <f>Inputs!C103</f>
        <v/>
      </c>
      <c r="D66" s="175">
        <f>Inputs!D103</f>
        <v/>
      </c>
      <c r="E66" s="207">
        <f>Inputs!E103</f>
        <v/>
      </c>
      <c r="F66" s="90">
        <f>IFERROR(+D66/E66,0)</f>
        <v/>
      </c>
      <c r="G66" s="175">
        <f>D66*C66*12</f>
        <v/>
      </c>
      <c r="AA66" s="61" t="n"/>
      <c r="AB66" s="61" t="n"/>
      <c r="AC66" s="61" t="n"/>
      <c r="AD66" s="61" t="n"/>
      <c r="AE66" s="61" t="n"/>
      <c r="AF66" s="61" t="n"/>
      <c r="AG66" s="61" t="n"/>
      <c r="AH66" s="61" t="n"/>
      <c r="AI66" s="61" t="n"/>
      <c r="AJ66" s="61" t="n"/>
      <c r="AK66" s="61" t="n"/>
      <c r="AL66" s="61" t="n"/>
      <c r="AM66" s="61" t="n"/>
      <c r="AN66" s="61" t="n"/>
      <c r="AO66" s="61" t="n"/>
      <c r="AP66" s="61" t="n"/>
      <c r="AQ66" s="61" t="n"/>
      <c r="AR66" s="61" t="n"/>
      <c r="AS66" s="61" t="n"/>
      <c r="AT66" s="61" t="n"/>
      <c r="AU66" s="61" t="n"/>
      <c r="AV66" s="61" t="n"/>
      <c r="AW66" s="61" t="n"/>
      <c r="AX66" s="61" t="n"/>
      <c r="AY66" s="61" t="n"/>
      <c r="AZ66" s="61" t="n"/>
      <c r="BA66" s="61" t="n"/>
      <c r="BB66" s="61" t="n"/>
      <c r="BC66" s="61" t="n"/>
      <c r="BD66" s="61" t="n"/>
      <c r="BE66" s="61" t="n"/>
      <c r="BF66" s="61" t="n"/>
      <c r="BG66" s="61" t="n"/>
      <c r="BH66" s="61" t="n"/>
      <c r="BI66" s="61" t="n"/>
      <c r="BJ66" s="61" t="n"/>
      <c r="BK66" s="61" t="n"/>
      <c r="BL66" s="61" t="n"/>
      <c r="BM66" s="61" t="n"/>
      <c r="BN66" s="61" t="n"/>
      <c r="BO66" s="61" t="n"/>
      <c r="BP66" s="61" t="n"/>
      <c r="BQ66" s="61" t="n"/>
      <c r="BR66" s="61" t="n"/>
      <c r="BS66" s="61" t="n"/>
      <c r="BT66" s="61" t="n"/>
      <c r="BU66" s="61" t="n"/>
      <c r="BV66" s="61" t="n"/>
      <c r="BW66" s="61" t="n"/>
      <c r="BX66" s="61" t="n"/>
      <c r="BY66" s="61" t="n"/>
      <c r="BZ66" s="61" t="n"/>
      <c r="CA66" s="61" t="n"/>
      <c r="CB66" s="61" t="n"/>
      <c r="CC66" s="61" t="n"/>
      <c r="CD66" s="61" t="n"/>
      <c r="CE66" s="61" t="n"/>
      <c r="CF66" s="61" t="n"/>
      <c r="CG66" s="61" t="n"/>
      <c r="CH66" s="61" t="n"/>
      <c r="CI66" s="61" t="n"/>
      <c r="CJ66" s="61" t="n"/>
      <c r="CK66" s="61" t="n"/>
      <c r="CL66" s="61" t="n"/>
      <c r="CM66" s="61" t="n"/>
      <c r="CN66" s="61" t="n"/>
      <c r="CO66" s="61" t="n"/>
      <c r="CP66" s="61" t="n"/>
      <c r="CQ66" s="61" t="n"/>
      <c r="CR66" s="61" t="n"/>
      <c r="CS66" s="61" t="n"/>
      <c r="CT66" s="61" t="n"/>
      <c r="CU66" s="61" t="n"/>
      <c r="CV66" s="61" t="n"/>
      <c r="CW66" s="61" t="n"/>
      <c r="CX66" s="61" t="n"/>
      <c r="CY66" s="61" t="n"/>
      <c r="CZ66" s="61" t="n"/>
      <c r="DA66" s="61" t="n"/>
      <c r="DB66" s="61" t="n"/>
      <c r="DC66" s="61" t="n"/>
      <c r="DD66" s="61" t="n"/>
      <c r="DE66" s="61" t="n"/>
      <c r="DF66" s="61" t="n"/>
      <c r="DG66" s="61" t="n"/>
      <c r="DH66" s="61" t="n"/>
      <c r="DI66" s="61" t="n"/>
      <c r="DJ66" s="61" t="n"/>
      <c r="DK66" s="61" t="n"/>
      <c r="DL66" s="61" t="n"/>
      <c r="DM66" s="61" t="n"/>
      <c r="DN66" s="61" t="n"/>
      <c r="DO66" s="61" t="n"/>
      <c r="DP66" s="61" t="n"/>
      <c r="DQ66" s="61" t="n"/>
      <c r="DR66" s="61" t="n"/>
      <c r="DS66" s="61" t="n"/>
      <c r="DT66" s="61" t="n"/>
      <c r="DU66" s="61" t="n"/>
      <c r="DV66" s="61" t="n"/>
      <c r="DW66" s="61" t="n"/>
      <c r="DX66" s="61" t="n"/>
      <c r="DY66" s="61" t="n"/>
      <c r="DZ66" s="61" t="n"/>
      <c r="EA66" s="61" t="n"/>
      <c r="EB66" s="61" t="n"/>
      <c r="EC66" s="61" t="n"/>
      <c r="ED66" s="61" t="n"/>
      <c r="EE66" s="61" t="n"/>
      <c r="EF66" s="61" t="n"/>
      <c r="EG66" s="61" t="n"/>
      <c r="EH66" s="61" t="n"/>
      <c r="EI66" s="61" t="n"/>
      <c r="EJ66" s="61" t="n"/>
      <c r="EK66" s="61" t="n"/>
      <c r="EL66" s="61" t="n"/>
      <c r="EM66" s="61" t="n"/>
      <c r="EN66" s="61" t="n"/>
      <c r="EO66" s="61" t="n"/>
      <c r="EP66" s="61" t="n"/>
      <c r="EQ66" s="61" t="n"/>
      <c r="ER66" s="61" t="n"/>
      <c r="ES66" s="61" t="n"/>
      <c r="ET66" s="61" t="n"/>
      <c r="EU66" s="61" t="n"/>
      <c r="EV66" s="61" t="n"/>
      <c r="EW66" s="61" t="n"/>
      <c r="EX66" s="61" t="n"/>
      <c r="EY66" s="61" t="n"/>
      <c r="EZ66" s="61" t="n"/>
      <c r="FA66" s="61" t="n"/>
      <c r="FB66" s="61" t="n"/>
    </row>
    <row r="67">
      <c r="B67" s="11">
        <f>Inputs!B104</f>
        <v/>
      </c>
      <c r="C67" s="195">
        <f>Inputs!C104</f>
        <v/>
      </c>
      <c r="D67" s="175">
        <f>Inputs!D104</f>
        <v/>
      </c>
      <c r="E67" s="207">
        <f>Inputs!E104</f>
        <v/>
      </c>
      <c r="F67" s="90">
        <f>IFERROR(+D67/E67,0)</f>
        <v/>
      </c>
      <c r="G67" s="175">
        <f>D67*C67*12</f>
        <v/>
      </c>
      <c r="AA67" s="61" t="n"/>
      <c r="AB67" s="61" t="n"/>
      <c r="AC67" s="61" t="n"/>
      <c r="AD67" s="61" t="n"/>
      <c r="AE67" s="61" t="n"/>
      <c r="AF67" s="61" t="n"/>
      <c r="AG67" s="61" t="n"/>
      <c r="AH67" s="61" t="n"/>
      <c r="AI67" s="61" t="n"/>
      <c r="AJ67" s="61" t="n"/>
      <c r="AK67" s="61" t="n"/>
      <c r="AL67" s="61" t="n"/>
      <c r="AM67" s="61" t="n"/>
      <c r="AN67" s="61" t="n"/>
      <c r="AO67" s="61" t="n"/>
      <c r="AP67" s="61" t="n"/>
      <c r="AQ67" s="61" t="n"/>
      <c r="AR67" s="61" t="n"/>
      <c r="AS67" s="61" t="n"/>
      <c r="AT67" s="61" t="n"/>
      <c r="AU67" s="61" t="n"/>
      <c r="AV67" s="61" t="n"/>
      <c r="AW67" s="61" t="n"/>
      <c r="AX67" s="61" t="n"/>
      <c r="AY67" s="61" t="n"/>
      <c r="AZ67" s="61" t="n"/>
      <c r="BA67" s="61" t="n"/>
      <c r="BB67" s="61" t="n"/>
      <c r="BC67" s="61" t="n"/>
      <c r="BD67" s="61" t="n"/>
      <c r="BE67" s="61" t="n"/>
      <c r="BF67" s="61" t="n"/>
      <c r="BG67" s="61" t="n"/>
      <c r="BH67" s="61" t="n"/>
      <c r="BI67" s="61" t="n"/>
      <c r="BJ67" s="61" t="n"/>
      <c r="BK67" s="61" t="n"/>
      <c r="BL67" s="61" t="n"/>
      <c r="BM67" s="61" t="n"/>
      <c r="BN67" s="61" t="n"/>
      <c r="BO67" s="61" t="n"/>
      <c r="BP67" s="61" t="n"/>
      <c r="BQ67" s="61" t="n"/>
      <c r="BR67" s="61" t="n"/>
      <c r="BS67" s="61" t="n"/>
      <c r="BT67" s="61" t="n"/>
      <c r="BU67" s="61" t="n"/>
      <c r="BV67" s="61" t="n"/>
      <c r="BW67" s="61" t="n"/>
      <c r="BX67" s="61" t="n"/>
      <c r="BY67" s="61" t="n"/>
      <c r="BZ67" s="61" t="n"/>
      <c r="CA67" s="61" t="n"/>
      <c r="CB67" s="61" t="n"/>
      <c r="CC67" s="61" t="n"/>
      <c r="CD67" s="61" t="n"/>
      <c r="CE67" s="61" t="n"/>
      <c r="CF67" s="61" t="n"/>
      <c r="CG67" s="61" t="n"/>
      <c r="CH67" s="61" t="n"/>
      <c r="CI67" s="61" t="n"/>
      <c r="CJ67" s="61" t="n"/>
      <c r="CK67" s="61" t="n"/>
      <c r="CL67" s="61" t="n"/>
      <c r="CM67" s="61" t="n"/>
      <c r="CN67" s="61" t="n"/>
      <c r="CO67" s="61" t="n"/>
      <c r="CP67" s="61" t="n"/>
      <c r="CQ67" s="61" t="n"/>
      <c r="CR67" s="61" t="n"/>
      <c r="CS67" s="61" t="n"/>
      <c r="CT67" s="61" t="n"/>
      <c r="CU67" s="61" t="n"/>
      <c r="CV67" s="61" t="n"/>
      <c r="CW67" s="61" t="n"/>
      <c r="CX67" s="61" t="n"/>
      <c r="CY67" s="61" t="n"/>
      <c r="CZ67" s="61" t="n"/>
      <c r="DA67" s="61" t="n"/>
      <c r="DB67" s="61" t="n"/>
      <c r="DC67" s="61" t="n"/>
      <c r="DD67" s="61" t="n"/>
      <c r="DE67" s="61" t="n"/>
      <c r="DF67" s="61" t="n"/>
      <c r="DG67" s="61" t="n"/>
      <c r="DH67" s="61" t="n"/>
      <c r="DI67" s="61" t="n"/>
      <c r="DJ67" s="61" t="n"/>
      <c r="DK67" s="61" t="n"/>
      <c r="DL67" s="61" t="n"/>
      <c r="DM67" s="61" t="n"/>
      <c r="DN67" s="61" t="n"/>
      <c r="DO67" s="61" t="n"/>
      <c r="DP67" s="61" t="n"/>
      <c r="DQ67" s="61" t="n"/>
      <c r="DR67" s="61" t="n"/>
      <c r="DS67" s="61" t="n"/>
      <c r="DT67" s="61" t="n"/>
      <c r="DU67" s="61" t="n"/>
      <c r="DV67" s="61" t="n"/>
      <c r="DW67" s="61" t="n"/>
      <c r="DX67" s="61" t="n"/>
      <c r="DY67" s="61" t="n"/>
      <c r="DZ67" s="61" t="n"/>
      <c r="EA67" s="61" t="n"/>
      <c r="EB67" s="61" t="n"/>
      <c r="EC67" s="61" t="n"/>
      <c r="ED67" s="61" t="n"/>
      <c r="EE67" s="61" t="n"/>
      <c r="EF67" s="61" t="n"/>
      <c r="EG67" s="61" t="n"/>
      <c r="EH67" s="61" t="n"/>
      <c r="EI67" s="61" t="n"/>
      <c r="EJ67" s="61" t="n"/>
      <c r="EK67" s="61" t="n"/>
      <c r="EL67" s="61" t="n"/>
      <c r="EM67" s="61" t="n"/>
      <c r="EN67" s="61" t="n"/>
      <c r="EO67" s="61" t="n"/>
      <c r="EP67" s="61" t="n"/>
      <c r="EQ67" s="61" t="n"/>
      <c r="ER67" s="61" t="n"/>
      <c r="ES67" s="61" t="n"/>
      <c r="ET67" s="61" t="n"/>
      <c r="EU67" s="61" t="n"/>
      <c r="EV67" s="61" t="n"/>
      <c r="EW67" s="61" t="n"/>
      <c r="EX67" s="61" t="n"/>
      <c r="EY67" s="61" t="n"/>
      <c r="EZ67" s="61" t="n"/>
      <c r="FA67" s="61" t="n"/>
      <c r="FB67" s="61" t="n"/>
    </row>
    <row r="68">
      <c r="B68" s="11">
        <f>Inputs!B105</f>
        <v/>
      </c>
      <c r="C68" s="195">
        <f>Inputs!C105</f>
        <v/>
      </c>
      <c r="D68" s="175">
        <f>Inputs!D105</f>
        <v/>
      </c>
      <c r="E68" s="207">
        <f>Inputs!E105</f>
        <v/>
      </c>
      <c r="F68" s="90">
        <f>IFERROR(+D68/E68,0)</f>
        <v/>
      </c>
      <c r="G68" s="175">
        <f>D68*C68*12</f>
        <v/>
      </c>
      <c r="AA68" s="61" t="n"/>
      <c r="AB68" s="61" t="n"/>
      <c r="AC68" s="61" t="n"/>
      <c r="AD68" s="61" t="n"/>
      <c r="AE68" s="61" t="n"/>
      <c r="AF68" s="61" t="n"/>
      <c r="AG68" s="61" t="n"/>
      <c r="AH68" s="61" t="n"/>
      <c r="AI68" s="61" t="n"/>
      <c r="AJ68" s="61" t="n"/>
      <c r="AK68" s="61" t="n"/>
      <c r="AL68" s="61" t="n"/>
      <c r="AM68" s="61" t="n"/>
      <c r="AN68" s="61" t="n"/>
      <c r="AO68" s="61" t="n"/>
      <c r="AP68" s="61" t="n"/>
      <c r="AQ68" s="61" t="n"/>
      <c r="AR68" s="61" t="n"/>
      <c r="AS68" s="61" t="n"/>
      <c r="AT68" s="61" t="n"/>
      <c r="AU68" s="61" t="n"/>
      <c r="AV68" s="61" t="n"/>
      <c r="AW68" s="61" t="n"/>
      <c r="AX68" s="61" t="n"/>
      <c r="AY68" s="61" t="n"/>
      <c r="AZ68" s="61" t="n"/>
      <c r="BA68" s="61" t="n"/>
      <c r="BB68" s="61" t="n"/>
      <c r="BC68" s="61" t="n"/>
      <c r="BD68" s="61" t="n"/>
      <c r="BE68" s="61" t="n"/>
      <c r="BF68" s="61" t="n"/>
      <c r="BG68" s="61" t="n"/>
      <c r="BH68" s="61" t="n"/>
      <c r="BI68" s="61" t="n"/>
      <c r="BJ68" s="61" t="n"/>
      <c r="BK68" s="61" t="n"/>
      <c r="BL68" s="61" t="n"/>
      <c r="BM68" s="61" t="n"/>
      <c r="BN68" s="61" t="n"/>
      <c r="BO68" s="61" t="n"/>
      <c r="BP68" s="61" t="n"/>
      <c r="BQ68" s="61" t="n"/>
      <c r="BR68" s="61" t="n"/>
      <c r="BS68" s="61" t="n"/>
      <c r="BT68" s="61" t="n"/>
      <c r="BU68" s="61" t="n"/>
      <c r="BV68" s="61" t="n"/>
      <c r="BW68" s="61" t="n"/>
      <c r="BX68" s="61" t="n"/>
      <c r="BY68" s="61" t="n"/>
      <c r="BZ68" s="61" t="n"/>
      <c r="CA68" s="61" t="n"/>
      <c r="CB68" s="61" t="n"/>
      <c r="CC68" s="61" t="n"/>
      <c r="CD68" s="61" t="n"/>
      <c r="CE68" s="61" t="n"/>
      <c r="CF68" s="61" t="n"/>
      <c r="CG68" s="61" t="n"/>
      <c r="CH68" s="61" t="n"/>
      <c r="CI68" s="61" t="n"/>
      <c r="CJ68" s="61" t="n"/>
      <c r="CK68" s="61" t="n"/>
      <c r="CL68" s="61" t="n"/>
      <c r="CM68" s="61" t="n"/>
      <c r="CN68" s="61" t="n"/>
      <c r="CO68" s="61" t="n"/>
      <c r="CP68" s="61" t="n"/>
      <c r="CQ68" s="61" t="n"/>
      <c r="CR68" s="61" t="n"/>
      <c r="CS68" s="61" t="n"/>
      <c r="CT68" s="61" t="n"/>
      <c r="CU68" s="61" t="n"/>
      <c r="CV68" s="61" t="n"/>
      <c r="CW68" s="61" t="n"/>
      <c r="CX68" s="61" t="n"/>
      <c r="CY68" s="61" t="n"/>
      <c r="CZ68" s="61" t="n"/>
      <c r="DA68" s="61" t="n"/>
      <c r="DB68" s="61" t="n"/>
      <c r="DC68" s="61" t="n"/>
      <c r="DD68" s="61" t="n"/>
      <c r="DE68" s="61" t="n"/>
      <c r="DF68" s="61" t="n"/>
      <c r="DG68" s="61" t="n"/>
      <c r="DH68" s="61" t="n"/>
      <c r="DI68" s="61" t="n"/>
      <c r="DJ68" s="61" t="n"/>
      <c r="DK68" s="61" t="n"/>
      <c r="DL68" s="61" t="n"/>
      <c r="DM68" s="61" t="n"/>
      <c r="DN68" s="61" t="n"/>
      <c r="DO68" s="61" t="n"/>
      <c r="DP68" s="61" t="n"/>
      <c r="DQ68" s="61" t="n"/>
      <c r="DR68" s="61" t="n"/>
      <c r="DS68" s="61" t="n"/>
      <c r="DT68" s="61" t="n"/>
      <c r="DU68" s="61" t="n"/>
      <c r="DV68" s="61" t="n"/>
      <c r="DW68" s="61" t="n"/>
      <c r="DX68" s="61" t="n"/>
      <c r="DY68" s="61" t="n"/>
      <c r="DZ68" s="61" t="n"/>
      <c r="EA68" s="61" t="n"/>
      <c r="EB68" s="61" t="n"/>
      <c r="EC68" s="61" t="n"/>
      <c r="ED68" s="61" t="n"/>
      <c r="EE68" s="61" t="n"/>
      <c r="EF68" s="61" t="n"/>
      <c r="EG68" s="61" t="n"/>
      <c r="EH68" s="61" t="n"/>
      <c r="EI68" s="61" t="n"/>
      <c r="EJ68" s="61" t="n"/>
      <c r="EK68" s="61" t="n"/>
      <c r="EL68" s="61" t="n"/>
      <c r="EM68" s="61" t="n"/>
      <c r="EN68" s="61" t="n"/>
      <c r="EO68" s="61" t="n"/>
      <c r="EP68" s="61" t="n"/>
      <c r="EQ68" s="61" t="n"/>
      <c r="ER68" s="61" t="n"/>
      <c r="ES68" s="61" t="n"/>
      <c r="ET68" s="61" t="n"/>
      <c r="EU68" s="61" t="n"/>
      <c r="EV68" s="61" t="n"/>
      <c r="EW68" s="61" t="n"/>
      <c r="EX68" s="61" t="n"/>
      <c r="EY68" s="61" t="n"/>
      <c r="EZ68" s="61" t="n"/>
      <c r="FA68" s="61" t="n"/>
      <c r="FB68" s="61" t="n"/>
    </row>
    <row r="69">
      <c r="B69" s="11">
        <f>Inputs!B106</f>
        <v/>
      </c>
      <c r="C69" s="195">
        <f>Inputs!C106</f>
        <v/>
      </c>
      <c r="D69" s="175">
        <f>Inputs!D106</f>
        <v/>
      </c>
      <c r="E69" s="207">
        <f>Inputs!E106</f>
        <v/>
      </c>
      <c r="F69" s="90">
        <f>IFERROR(+D69/E69,0)</f>
        <v/>
      </c>
      <c r="G69" s="175">
        <f>D69*C69*12</f>
        <v/>
      </c>
      <c r="AA69" s="61" t="n"/>
      <c r="AB69" s="61" t="n"/>
      <c r="AC69" s="61" t="n"/>
      <c r="AD69" s="61" t="n"/>
      <c r="AE69" s="61" t="n"/>
      <c r="AF69" s="61" t="n"/>
      <c r="AG69" s="61" t="n"/>
      <c r="AH69" s="61" t="n"/>
      <c r="AI69" s="61" t="n"/>
      <c r="AJ69" s="61" t="n"/>
      <c r="AK69" s="61" t="n"/>
      <c r="AL69" s="61" t="n"/>
      <c r="AM69" s="61" t="n"/>
      <c r="AN69" s="61" t="n"/>
      <c r="AO69" s="61" t="n"/>
      <c r="AP69" s="61" t="n"/>
      <c r="AQ69" s="61" t="n"/>
      <c r="AR69" s="61" t="n"/>
      <c r="AS69" s="61" t="n"/>
      <c r="AT69" s="61" t="n"/>
      <c r="AU69" s="61" t="n"/>
      <c r="AV69" s="61" t="n"/>
      <c r="AW69" s="61" t="n"/>
      <c r="AX69" s="61" t="n"/>
      <c r="AY69" s="61" t="n"/>
      <c r="AZ69" s="61" t="n"/>
      <c r="BA69" s="61" t="n"/>
      <c r="BB69" s="61" t="n"/>
      <c r="BC69" s="61" t="n"/>
      <c r="BD69" s="61" t="n"/>
      <c r="BE69" s="61" t="n"/>
      <c r="BF69" s="61" t="n"/>
      <c r="BG69" s="61" t="n"/>
      <c r="BH69" s="61" t="n"/>
      <c r="BI69" s="61" t="n"/>
      <c r="BJ69" s="61" t="n"/>
      <c r="BK69" s="61" t="n"/>
      <c r="BL69" s="61" t="n"/>
      <c r="BM69" s="61" t="n"/>
      <c r="BN69" s="61" t="n"/>
      <c r="BO69" s="61" t="n"/>
      <c r="BP69" s="61" t="n"/>
      <c r="BQ69" s="61" t="n"/>
      <c r="BR69" s="61" t="n"/>
      <c r="BS69" s="61" t="n"/>
      <c r="BT69" s="61" t="n"/>
      <c r="BU69" s="61" t="n"/>
      <c r="BV69" s="61" t="n"/>
      <c r="BW69" s="61" t="n"/>
      <c r="BX69" s="61" t="n"/>
      <c r="BY69" s="61" t="n"/>
      <c r="BZ69" s="61" t="n"/>
      <c r="CA69" s="61" t="n"/>
      <c r="CB69" s="61" t="n"/>
      <c r="CC69" s="61" t="n"/>
      <c r="CD69" s="61" t="n"/>
      <c r="CE69" s="61" t="n"/>
      <c r="CF69" s="61" t="n"/>
      <c r="CG69" s="61" t="n"/>
      <c r="CH69" s="61" t="n"/>
      <c r="CI69" s="61" t="n"/>
      <c r="CJ69" s="61" t="n"/>
      <c r="CK69" s="61" t="n"/>
      <c r="CL69" s="61" t="n"/>
      <c r="CM69" s="61" t="n"/>
      <c r="CN69" s="61" t="n"/>
      <c r="CO69" s="61" t="n"/>
      <c r="CP69" s="61" t="n"/>
      <c r="CQ69" s="61" t="n"/>
      <c r="CR69" s="61" t="n"/>
      <c r="CS69" s="61" t="n"/>
      <c r="CT69" s="61" t="n"/>
      <c r="CU69" s="61" t="n"/>
      <c r="CV69" s="61" t="n"/>
      <c r="CW69" s="61" t="n"/>
      <c r="CX69" s="61" t="n"/>
      <c r="CY69" s="61" t="n"/>
      <c r="CZ69" s="61" t="n"/>
      <c r="DA69" s="61" t="n"/>
      <c r="DB69" s="61" t="n"/>
      <c r="DC69" s="61" t="n"/>
      <c r="DD69" s="61" t="n"/>
      <c r="DE69" s="61" t="n"/>
      <c r="DF69" s="61" t="n"/>
      <c r="DG69" s="61" t="n"/>
      <c r="DH69" s="61" t="n"/>
      <c r="DI69" s="61" t="n"/>
      <c r="DJ69" s="61" t="n"/>
      <c r="DK69" s="61" t="n"/>
      <c r="DL69" s="61" t="n"/>
      <c r="DM69" s="61" t="n"/>
      <c r="DN69" s="61" t="n"/>
      <c r="DO69" s="61" t="n"/>
      <c r="DP69" s="61" t="n"/>
      <c r="DQ69" s="61" t="n"/>
      <c r="DR69" s="61" t="n"/>
      <c r="DS69" s="61" t="n"/>
      <c r="DT69" s="61" t="n"/>
      <c r="DU69" s="61" t="n"/>
      <c r="DV69" s="61" t="n"/>
      <c r="DW69" s="61" t="n"/>
      <c r="DX69" s="61" t="n"/>
      <c r="DY69" s="61" t="n"/>
      <c r="DZ69" s="61" t="n"/>
      <c r="EA69" s="61" t="n"/>
      <c r="EB69" s="61" t="n"/>
      <c r="EC69" s="61" t="n"/>
      <c r="ED69" s="61" t="n"/>
      <c r="EE69" s="61" t="n"/>
      <c r="EF69" s="61" t="n"/>
      <c r="EG69" s="61" t="n"/>
      <c r="EH69" s="61" t="n"/>
      <c r="EI69" s="61" t="n"/>
      <c r="EJ69" s="61" t="n"/>
      <c r="EK69" s="61" t="n"/>
      <c r="EL69" s="61" t="n"/>
      <c r="EM69" s="61" t="n"/>
      <c r="EN69" s="61" t="n"/>
      <c r="EO69" s="61" t="n"/>
      <c r="EP69" s="61" t="n"/>
      <c r="EQ69" s="61" t="n"/>
      <c r="ER69" s="61" t="n"/>
      <c r="ES69" s="61" t="n"/>
      <c r="ET69" s="61" t="n"/>
      <c r="EU69" s="61" t="n"/>
      <c r="EV69" s="61" t="n"/>
      <c r="EW69" s="61" t="n"/>
      <c r="EX69" s="61" t="n"/>
      <c r="EY69" s="61" t="n"/>
      <c r="EZ69" s="61" t="n"/>
      <c r="FA69" s="61" t="n"/>
      <c r="FB69" s="61" t="n"/>
    </row>
    <row r="70">
      <c r="B70" s="11">
        <f>Inputs!B107</f>
        <v/>
      </c>
      <c r="C70" s="195">
        <f>Inputs!C107</f>
        <v/>
      </c>
      <c r="D70" s="175">
        <f>Inputs!D107</f>
        <v/>
      </c>
      <c r="E70" s="207">
        <f>Inputs!E107</f>
        <v/>
      </c>
      <c r="F70" s="90">
        <f>IFERROR(+D70/E70,0)</f>
        <v/>
      </c>
      <c r="G70" s="175">
        <f>D70*C70*12</f>
        <v/>
      </c>
      <c r="AA70" s="61" t="n"/>
      <c r="AB70" s="61" t="n"/>
      <c r="AC70" s="61" t="n"/>
      <c r="AD70" s="61" t="n"/>
      <c r="AE70" s="61" t="n"/>
      <c r="AF70" s="61" t="n"/>
      <c r="AG70" s="61" t="n"/>
      <c r="AH70" s="61" t="n"/>
      <c r="AI70" s="61" t="n"/>
      <c r="AJ70" s="61" t="n"/>
      <c r="AK70" s="61" t="n"/>
      <c r="AL70" s="61" t="n"/>
      <c r="AM70" s="61" t="n"/>
      <c r="AN70" s="61" t="n"/>
      <c r="AO70" s="61" t="n"/>
      <c r="AP70" s="61" t="n"/>
      <c r="AQ70" s="61" t="n"/>
      <c r="AR70" s="61" t="n"/>
      <c r="AS70" s="61" t="n"/>
      <c r="AT70" s="61" t="n"/>
      <c r="AU70" s="61" t="n"/>
      <c r="AV70" s="61" t="n"/>
      <c r="AW70" s="61" t="n"/>
      <c r="AX70" s="61" t="n"/>
      <c r="AY70" s="61" t="n"/>
      <c r="AZ70" s="61" t="n"/>
      <c r="BA70" s="61" t="n"/>
      <c r="BB70" s="61" t="n"/>
      <c r="BC70" s="61" t="n"/>
      <c r="BD70" s="61" t="n"/>
      <c r="BE70" s="61" t="n"/>
      <c r="BF70" s="61" t="n"/>
      <c r="BG70" s="61" t="n"/>
      <c r="BH70" s="61" t="n"/>
      <c r="BI70" s="61" t="n"/>
      <c r="BJ70" s="61" t="n"/>
      <c r="BK70" s="61" t="n"/>
      <c r="BL70" s="61" t="n"/>
      <c r="BM70" s="61" t="n"/>
      <c r="BN70" s="61" t="n"/>
      <c r="BO70" s="61" t="n"/>
      <c r="BP70" s="61" t="n"/>
      <c r="BQ70" s="61" t="n"/>
      <c r="BR70" s="61" t="n"/>
      <c r="BS70" s="61" t="n"/>
      <c r="BT70" s="61" t="n"/>
      <c r="BU70" s="61" t="n"/>
      <c r="BV70" s="61" t="n"/>
      <c r="BW70" s="61" t="n"/>
      <c r="BX70" s="61" t="n"/>
      <c r="BY70" s="61" t="n"/>
      <c r="BZ70" s="61" t="n"/>
      <c r="CA70" s="61" t="n"/>
      <c r="CB70" s="61" t="n"/>
      <c r="CC70" s="61" t="n"/>
      <c r="CD70" s="61" t="n"/>
      <c r="CE70" s="61" t="n"/>
      <c r="CF70" s="61" t="n"/>
      <c r="CG70" s="61" t="n"/>
      <c r="CH70" s="61" t="n"/>
      <c r="CI70" s="61" t="n"/>
      <c r="CJ70" s="61" t="n"/>
      <c r="CK70" s="61" t="n"/>
      <c r="CL70" s="61" t="n"/>
      <c r="CM70" s="61" t="n"/>
      <c r="CN70" s="61" t="n"/>
      <c r="CO70" s="61" t="n"/>
      <c r="CP70" s="61" t="n"/>
      <c r="CQ70" s="61" t="n"/>
      <c r="CR70" s="61" t="n"/>
      <c r="CS70" s="61" t="n"/>
      <c r="CT70" s="61" t="n"/>
      <c r="CU70" s="61" t="n"/>
      <c r="CV70" s="61" t="n"/>
      <c r="CW70" s="61" t="n"/>
      <c r="CX70" s="61" t="n"/>
      <c r="CY70" s="61" t="n"/>
      <c r="CZ70" s="61" t="n"/>
      <c r="DA70" s="61" t="n"/>
      <c r="DB70" s="61" t="n"/>
      <c r="DC70" s="61" t="n"/>
      <c r="DD70" s="61" t="n"/>
      <c r="DE70" s="61" t="n"/>
      <c r="DF70" s="61" t="n"/>
      <c r="DG70" s="61" t="n"/>
      <c r="DH70" s="61" t="n"/>
      <c r="DI70" s="61" t="n"/>
      <c r="DJ70" s="61" t="n"/>
      <c r="DK70" s="61" t="n"/>
      <c r="DL70" s="61" t="n"/>
      <c r="DM70" s="61" t="n"/>
      <c r="DN70" s="61" t="n"/>
      <c r="DO70" s="61" t="n"/>
      <c r="DP70" s="61" t="n"/>
      <c r="DQ70" s="61" t="n"/>
      <c r="DR70" s="61" t="n"/>
      <c r="DS70" s="61" t="n"/>
      <c r="DT70" s="61" t="n"/>
      <c r="DU70" s="61" t="n"/>
      <c r="DV70" s="61" t="n"/>
      <c r="DW70" s="61" t="n"/>
      <c r="DX70" s="61" t="n"/>
      <c r="DY70" s="61" t="n"/>
      <c r="DZ70" s="61" t="n"/>
      <c r="EA70" s="61" t="n"/>
      <c r="EB70" s="61" t="n"/>
      <c r="EC70" s="61" t="n"/>
      <c r="ED70" s="61" t="n"/>
      <c r="EE70" s="61" t="n"/>
      <c r="EF70" s="61" t="n"/>
      <c r="EG70" s="61" t="n"/>
      <c r="EH70" s="61" t="n"/>
      <c r="EI70" s="61" t="n"/>
      <c r="EJ70" s="61" t="n"/>
      <c r="EK70" s="61" t="n"/>
      <c r="EL70" s="61" t="n"/>
      <c r="EM70" s="61" t="n"/>
      <c r="EN70" s="61" t="n"/>
      <c r="EO70" s="61" t="n"/>
      <c r="EP70" s="61" t="n"/>
      <c r="EQ70" s="61" t="n"/>
      <c r="ER70" s="61" t="n"/>
      <c r="ES70" s="61" t="n"/>
      <c r="ET70" s="61" t="n"/>
      <c r="EU70" s="61" t="n"/>
      <c r="EV70" s="61" t="n"/>
      <c r="EW70" s="61" t="n"/>
      <c r="EX70" s="61" t="n"/>
      <c r="EY70" s="61" t="n"/>
      <c r="EZ70" s="61" t="n"/>
      <c r="FA70" s="61" t="n"/>
      <c r="FB70" s="61" t="n"/>
    </row>
    <row r="71">
      <c r="B71" s="11">
        <f>Inputs!B108</f>
        <v/>
      </c>
      <c r="C71" s="195">
        <f>Inputs!C108</f>
        <v/>
      </c>
      <c r="D71" s="175">
        <f>Inputs!D108</f>
        <v/>
      </c>
      <c r="E71" s="207">
        <f>Inputs!E108</f>
        <v/>
      </c>
      <c r="F71" s="90">
        <f>IFERROR(+D71/E71,0)</f>
        <v/>
      </c>
      <c r="G71" s="175">
        <f>D71*C71*12</f>
        <v/>
      </c>
      <c r="AA71" s="61" t="n"/>
      <c r="AB71" s="61" t="n"/>
      <c r="AC71" s="61" t="n"/>
      <c r="AD71" s="61" t="n"/>
      <c r="AE71" s="61" t="n"/>
      <c r="AF71" s="61" t="n"/>
      <c r="AG71" s="61" t="n"/>
      <c r="AH71" s="61" t="n"/>
      <c r="AI71" s="61" t="n"/>
      <c r="AJ71" s="61" t="n"/>
      <c r="AK71" s="61" t="n"/>
      <c r="AL71" s="61" t="n"/>
      <c r="AM71" s="61" t="n"/>
      <c r="AN71" s="61" t="n"/>
      <c r="AO71" s="61" t="n"/>
      <c r="AP71" s="61" t="n"/>
      <c r="AQ71" s="61" t="n"/>
      <c r="AR71" s="61" t="n"/>
      <c r="AS71" s="61" t="n"/>
      <c r="AT71" s="61" t="n"/>
      <c r="AU71" s="61" t="n"/>
      <c r="AV71" s="61" t="n"/>
      <c r="AW71" s="61" t="n"/>
      <c r="AX71" s="61" t="n"/>
      <c r="AY71" s="61" t="n"/>
      <c r="AZ71" s="61" t="n"/>
      <c r="BA71" s="61" t="n"/>
      <c r="BB71" s="61" t="n"/>
      <c r="BC71" s="61" t="n"/>
      <c r="BD71" s="61" t="n"/>
      <c r="BE71" s="61" t="n"/>
      <c r="BF71" s="61" t="n"/>
      <c r="BG71" s="61" t="n"/>
      <c r="BH71" s="61" t="n"/>
      <c r="BI71" s="61" t="n"/>
      <c r="BJ71" s="61" t="n"/>
      <c r="BK71" s="61" t="n"/>
      <c r="BL71" s="61" t="n"/>
      <c r="BM71" s="61" t="n"/>
      <c r="BN71" s="61" t="n"/>
      <c r="BO71" s="61" t="n"/>
      <c r="BP71" s="61" t="n"/>
      <c r="BQ71" s="61" t="n"/>
      <c r="BR71" s="61" t="n"/>
      <c r="BS71" s="61" t="n"/>
      <c r="BT71" s="61" t="n"/>
      <c r="BU71" s="61" t="n"/>
      <c r="BV71" s="61" t="n"/>
      <c r="BW71" s="61" t="n"/>
      <c r="BX71" s="61" t="n"/>
      <c r="BY71" s="61" t="n"/>
      <c r="BZ71" s="61" t="n"/>
      <c r="CA71" s="61" t="n"/>
      <c r="CB71" s="61" t="n"/>
      <c r="CC71" s="61" t="n"/>
      <c r="CD71" s="61" t="n"/>
      <c r="CE71" s="61" t="n"/>
      <c r="CF71" s="61" t="n"/>
      <c r="CG71" s="61" t="n"/>
      <c r="CH71" s="61" t="n"/>
      <c r="CI71" s="61" t="n"/>
      <c r="CJ71" s="61" t="n"/>
      <c r="CK71" s="61" t="n"/>
      <c r="CL71" s="61" t="n"/>
      <c r="CM71" s="61" t="n"/>
      <c r="CN71" s="61" t="n"/>
      <c r="CO71" s="61" t="n"/>
      <c r="CP71" s="61" t="n"/>
      <c r="CQ71" s="61" t="n"/>
      <c r="CR71" s="61" t="n"/>
      <c r="CS71" s="61" t="n"/>
      <c r="CT71" s="61" t="n"/>
      <c r="CU71" s="61" t="n"/>
      <c r="CV71" s="61" t="n"/>
      <c r="CW71" s="61" t="n"/>
      <c r="CX71" s="61" t="n"/>
      <c r="CY71" s="61" t="n"/>
      <c r="CZ71" s="61" t="n"/>
      <c r="DA71" s="61" t="n"/>
      <c r="DB71" s="61" t="n"/>
      <c r="DC71" s="61" t="n"/>
      <c r="DD71" s="61" t="n"/>
      <c r="DE71" s="61" t="n"/>
      <c r="DF71" s="61" t="n"/>
      <c r="DG71" s="61" t="n"/>
      <c r="DH71" s="61" t="n"/>
      <c r="DI71" s="61" t="n"/>
      <c r="DJ71" s="61" t="n"/>
      <c r="DK71" s="61" t="n"/>
      <c r="DL71" s="61" t="n"/>
      <c r="DM71" s="61" t="n"/>
      <c r="DN71" s="61" t="n"/>
      <c r="DO71" s="61" t="n"/>
      <c r="DP71" s="61" t="n"/>
      <c r="DQ71" s="61" t="n"/>
      <c r="DR71" s="61" t="n"/>
      <c r="DS71" s="61" t="n"/>
      <c r="DT71" s="61" t="n"/>
      <c r="DU71" s="61" t="n"/>
      <c r="DV71" s="61" t="n"/>
      <c r="DW71" s="61" t="n"/>
      <c r="DX71" s="61" t="n"/>
      <c r="DY71" s="61" t="n"/>
      <c r="DZ71" s="61" t="n"/>
      <c r="EA71" s="61" t="n"/>
      <c r="EB71" s="61" t="n"/>
      <c r="EC71" s="61" t="n"/>
      <c r="ED71" s="61" t="n"/>
      <c r="EE71" s="61" t="n"/>
      <c r="EF71" s="61" t="n"/>
      <c r="EG71" s="61" t="n"/>
      <c r="EH71" s="61" t="n"/>
      <c r="EI71" s="61" t="n"/>
      <c r="EJ71" s="61" t="n"/>
      <c r="EK71" s="61" t="n"/>
      <c r="EL71" s="61" t="n"/>
      <c r="EM71" s="61" t="n"/>
      <c r="EN71" s="61" t="n"/>
      <c r="EO71" s="61" t="n"/>
      <c r="EP71" s="61" t="n"/>
      <c r="EQ71" s="61" t="n"/>
      <c r="ER71" s="61" t="n"/>
      <c r="ES71" s="61" t="n"/>
      <c r="ET71" s="61" t="n"/>
      <c r="EU71" s="61" t="n"/>
      <c r="EV71" s="61" t="n"/>
      <c r="EW71" s="61" t="n"/>
      <c r="EX71" s="61" t="n"/>
      <c r="EY71" s="61" t="n"/>
      <c r="EZ71" s="61" t="n"/>
      <c r="FA71" s="61" t="n"/>
      <c r="FB71" s="61" t="n"/>
    </row>
    <row r="72">
      <c r="B72" s="11">
        <f>Inputs!B109</f>
        <v/>
      </c>
      <c r="C72" s="195">
        <f>Inputs!C109</f>
        <v/>
      </c>
      <c r="D72" s="175">
        <f>Inputs!D109</f>
        <v/>
      </c>
      <c r="E72" s="207">
        <f>Inputs!E109</f>
        <v/>
      </c>
      <c r="F72" s="90">
        <f>IFERROR(+D72/E72,0)</f>
        <v/>
      </c>
      <c r="G72" s="175">
        <f>D72*C72*12</f>
        <v/>
      </c>
      <c r="AA72" s="61" t="n"/>
      <c r="AB72" s="61" t="n"/>
      <c r="AC72" s="61" t="n"/>
      <c r="AD72" s="61" t="n"/>
      <c r="AE72" s="61" t="n"/>
      <c r="AF72" s="61" t="n"/>
      <c r="AG72" s="61" t="n"/>
      <c r="AH72" s="61" t="n"/>
      <c r="AI72" s="61" t="n"/>
      <c r="AJ72" s="61" t="n"/>
      <c r="AK72" s="61" t="n"/>
      <c r="AL72" s="61" t="n"/>
      <c r="AM72" s="61" t="n"/>
      <c r="AN72" s="61" t="n"/>
      <c r="AO72" s="61" t="n"/>
      <c r="AP72" s="61" t="n"/>
      <c r="AQ72" s="61" t="n"/>
      <c r="AR72" s="61" t="n"/>
      <c r="AS72" s="61" t="n"/>
      <c r="AT72" s="61" t="n"/>
      <c r="AU72" s="61" t="n"/>
      <c r="AV72" s="61" t="n"/>
      <c r="AW72" s="61" t="n"/>
      <c r="AX72" s="61" t="n"/>
      <c r="AY72" s="61" t="n"/>
      <c r="AZ72" s="61" t="n"/>
      <c r="BA72" s="61" t="n"/>
      <c r="BB72" s="61" t="n"/>
      <c r="BC72" s="61" t="n"/>
      <c r="BD72" s="61" t="n"/>
      <c r="BE72" s="61" t="n"/>
      <c r="BF72" s="61" t="n"/>
      <c r="BG72" s="61" t="n"/>
      <c r="BH72" s="61" t="n"/>
      <c r="BI72" s="61" t="n"/>
      <c r="BJ72" s="61" t="n"/>
      <c r="BK72" s="61" t="n"/>
      <c r="BL72" s="61" t="n"/>
      <c r="BM72" s="61" t="n"/>
      <c r="BN72" s="61" t="n"/>
      <c r="BO72" s="61" t="n"/>
      <c r="BP72" s="61" t="n"/>
      <c r="BQ72" s="61" t="n"/>
      <c r="BR72" s="61" t="n"/>
      <c r="BS72" s="61" t="n"/>
      <c r="BT72" s="61" t="n"/>
      <c r="BU72" s="61" t="n"/>
      <c r="BV72" s="61" t="n"/>
      <c r="BW72" s="61" t="n"/>
      <c r="BX72" s="61" t="n"/>
      <c r="BY72" s="61" t="n"/>
      <c r="BZ72" s="61" t="n"/>
      <c r="CA72" s="61" t="n"/>
      <c r="CB72" s="61" t="n"/>
      <c r="CC72" s="61" t="n"/>
      <c r="CD72" s="61" t="n"/>
      <c r="CE72" s="61" t="n"/>
      <c r="CF72" s="61" t="n"/>
      <c r="CG72" s="61" t="n"/>
      <c r="CH72" s="61" t="n"/>
      <c r="CI72" s="61" t="n"/>
      <c r="CJ72" s="61" t="n"/>
      <c r="CK72" s="61" t="n"/>
      <c r="CL72" s="61" t="n"/>
      <c r="CM72" s="61" t="n"/>
      <c r="CN72" s="61" t="n"/>
      <c r="CO72" s="61" t="n"/>
      <c r="CP72" s="61" t="n"/>
      <c r="CQ72" s="61" t="n"/>
      <c r="CR72" s="61" t="n"/>
      <c r="CS72" s="61" t="n"/>
      <c r="CT72" s="61" t="n"/>
      <c r="CU72" s="61" t="n"/>
      <c r="CV72" s="61" t="n"/>
      <c r="CW72" s="61" t="n"/>
      <c r="CX72" s="61" t="n"/>
      <c r="CY72" s="61" t="n"/>
      <c r="CZ72" s="61" t="n"/>
      <c r="DA72" s="61" t="n"/>
      <c r="DB72" s="61" t="n"/>
      <c r="DC72" s="61" t="n"/>
      <c r="DD72" s="61" t="n"/>
      <c r="DE72" s="61" t="n"/>
      <c r="DF72" s="61" t="n"/>
      <c r="DG72" s="61" t="n"/>
      <c r="DH72" s="61" t="n"/>
      <c r="DI72" s="61" t="n"/>
      <c r="DJ72" s="61" t="n"/>
      <c r="DK72" s="61" t="n"/>
      <c r="DL72" s="61" t="n"/>
      <c r="DM72" s="61" t="n"/>
      <c r="DN72" s="61" t="n"/>
      <c r="DO72" s="61" t="n"/>
      <c r="DP72" s="61" t="n"/>
      <c r="DQ72" s="61" t="n"/>
      <c r="DR72" s="61" t="n"/>
      <c r="DS72" s="61" t="n"/>
      <c r="DT72" s="61" t="n"/>
      <c r="DU72" s="61" t="n"/>
      <c r="DV72" s="61" t="n"/>
      <c r="DW72" s="61" t="n"/>
      <c r="DX72" s="61" t="n"/>
      <c r="DY72" s="61" t="n"/>
      <c r="DZ72" s="61" t="n"/>
      <c r="EA72" s="61" t="n"/>
      <c r="EB72" s="61" t="n"/>
      <c r="EC72" s="61" t="n"/>
      <c r="ED72" s="61" t="n"/>
      <c r="EE72" s="61" t="n"/>
      <c r="EF72" s="61" t="n"/>
      <c r="EG72" s="61" t="n"/>
      <c r="EH72" s="61" t="n"/>
      <c r="EI72" s="61" t="n"/>
      <c r="EJ72" s="61" t="n"/>
      <c r="EK72" s="61" t="n"/>
      <c r="EL72" s="61" t="n"/>
      <c r="EM72" s="61" t="n"/>
      <c r="EN72" s="61" t="n"/>
      <c r="EO72" s="61" t="n"/>
      <c r="EP72" s="61" t="n"/>
      <c r="EQ72" s="61" t="n"/>
      <c r="ER72" s="61" t="n"/>
      <c r="ES72" s="61" t="n"/>
      <c r="ET72" s="61" t="n"/>
      <c r="EU72" s="61" t="n"/>
      <c r="EV72" s="61" t="n"/>
      <c r="EW72" s="61" t="n"/>
      <c r="EX72" s="61" t="n"/>
      <c r="EY72" s="61" t="n"/>
      <c r="EZ72" s="61" t="n"/>
      <c r="FA72" s="61" t="n"/>
      <c r="FB72" s="61" t="n"/>
    </row>
    <row r="73" customFormat="1" s="32">
      <c r="A73" s="9" t="n"/>
      <c r="B73" s="11">
        <f>Inputs!B110</f>
        <v/>
      </c>
      <c r="C73" s="195">
        <f>Inputs!C110</f>
        <v/>
      </c>
      <c r="D73" s="175">
        <f>Inputs!D110</f>
        <v/>
      </c>
      <c r="E73" s="207">
        <f>Inputs!E110</f>
        <v/>
      </c>
      <c r="F73" s="90">
        <f>IFERROR(+D73/E73,0)</f>
        <v/>
      </c>
      <c r="G73" s="175">
        <f>D73*C73*12</f>
        <v/>
      </c>
      <c r="H73" s="11" t="n"/>
      <c r="I73" s="71" t="inlineStr">
        <is>
          <t>Resi NOI</t>
        </is>
      </c>
      <c r="J73" s="71" t="n"/>
      <c r="K73" s="58" t="n"/>
      <c r="L73" s="71">
        <f>SUMIF($Z$4:$FB$4,"&lt;="&amp;$G$18,$Z73:$FB73)</f>
        <v/>
      </c>
      <c r="M73" s="58" t="n"/>
      <c r="N73" s="71">
        <f>SUMIF($Z$3:$FB$3,N$7,$Z73:$FB73)</f>
        <v/>
      </c>
      <c r="O73" s="71">
        <f>SUMIF($Z$3:$FB$3,O$7,$Z73:$FB73)</f>
        <v/>
      </c>
      <c r="P73" s="71">
        <f>SUMIF($Z$3:$FB$3,P$7,$Z73:$FB73)</f>
        <v/>
      </c>
      <c r="Q73" s="71">
        <f>SUMIF($Z$3:$FB$3,Q$7,$Z73:$FB73)</f>
        <v/>
      </c>
      <c r="R73" s="71">
        <f>SUMIF($Z$3:$FB$3,R$7,$Z73:$FB73)</f>
        <v/>
      </c>
      <c r="S73" s="71">
        <f>SUMIF($Z$3:$FB$3,S$7,$Z73:$FB73)</f>
        <v/>
      </c>
      <c r="T73" s="71">
        <f>SUMIF($Z$3:$FB$3,T$7,$Z73:$FB73)</f>
        <v/>
      </c>
      <c r="U73" s="71">
        <f>SUMIF($Z$3:$FB$3,U$7,$Z73:$FB73)</f>
        <v/>
      </c>
      <c r="V73" s="71">
        <f>SUMIF($Z$3:$FB$3,V$7,$Z73:$FB73)</f>
        <v/>
      </c>
      <c r="W73" s="71">
        <f>SUMIF($Z$3:$FB$3,W$7,$Z73:$FB73)</f>
        <v/>
      </c>
      <c r="X73" s="71">
        <f>SUMIF($Z$3:$FB$3,X$7,$Z73:$FB73)</f>
        <v/>
      </c>
      <c r="Y73" s="58" t="n"/>
      <c r="Z73" s="71">
        <f>Z38-Z58</f>
        <v/>
      </c>
      <c r="AA73" s="71">
        <f>AA38-AA58</f>
        <v/>
      </c>
      <c r="AB73" s="71">
        <f>AB38-AB58</f>
        <v/>
      </c>
      <c r="AC73" s="71">
        <f>AC38-AC58</f>
        <v/>
      </c>
      <c r="AD73" s="71">
        <f>AD38-AD58</f>
        <v/>
      </c>
      <c r="AE73" s="71">
        <f>AE38-AE58</f>
        <v/>
      </c>
      <c r="AF73" s="71">
        <f>AF38-AF58</f>
        <v/>
      </c>
      <c r="AG73" s="71">
        <f>AG38-AG58</f>
        <v/>
      </c>
      <c r="AH73" s="71">
        <f>AH38-AH58</f>
        <v/>
      </c>
      <c r="AI73" s="71">
        <f>AI38-AI58</f>
        <v/>
      </c>
      <c r="AJ73" s="71">
        <f>AJ38-AJ58</f>
        <v/>
      </c>
      <c r="AK73" s="71">
        <f>AK38-AK58</f>
        <v/>
      </c>
      <c r="AL73" s="71">
        <f>AL38-AL58</f>
        <v/>
      </c>
      <c r="AM73" s="71">
        <f>AM38-AM58</f>
        <v/>
      </c>
      <c r="AN73" s="71">
        <f>AN38-AN58</f>
        <v/>
      </c>
      <c r="AO73" s="71">
        <f>AO38-AO58</f>
        <v/>
      </c>
      <c r="AP73" s="71">
        <f>AP38-AP58</f>
        <v/>
      </c>
      <c r="AQ73" s="71">
        <f>AQ38-AQ58</f>
        <v/>
      </c>
      <c r="AR73" s="71">
        <f>AR38-AR58</f>
        <v/>
      </c>
      <c r="AS73" s="71">
        <f>AS38-AS58</f>
        <v/>
      </c>
      <c r="AT73" s="71">
        <f>AT38-AT58</f>
        <v/>
      </c>
      <c r="AU73" s="71">
        <f>AU38-AU58</f>
        <v/>
      </c>
      <c r="AV73" s="71">
        <f>AV38-AV58</f>
        <v/>
      </c>
      <c r="AW73" s="71">
        <f>AW38-AW58</f>
        <v/>
      </c>
      <c r="AX73" s="71">
        <f>AX38-AX58</f>
        <v/>
      </c>
      <c r="AY73" s="71">
        <f>AY38-AY58</f>
        <v/>
      </c>
      <c r="AZ73" s="71">
        <f>AZ38-AZ58</f>
        <v/>
      </c>
      <c r="BA73" s="71">
        <f>BA38-BA58</f>
        <v/>
      </c>
      <c r="BB73" s="71">
        <f>BB38-BB58</f>
        <v/>
      </c>
      <c r="BC73" s="71">
        <f>BC38-BC58</f>
        <v/>
      </c>
      <c r="BD73" s="71">
        <f>BD38-BD58</f>
        <v/>
      </c>
      <c r="BE73" s="71">
        <f>BE38-BE58</f>
        <v/>
      </c>
      <c r="BF73" s="71">
        <f>BF38-BF58</f>
        <v/>
      </c>
      <c r="BG73" s="71">
        <f>BG38-BG58</f>
        <v/>
      </c>
      <c r="BH73" s="71">
        <f>BH38-BH58</f>
        <v/>
      </c>
      <c r="BI73" s="71">
        <f>BI38-BI58</f>
        <v/>
      </c>
      <c r="BJ73" s="71">
        <f>BJ38-BJ58</f>
        <v/>
      </c>
      <c r="BK73" s="71">
        <f>BK38-BK58</f>
        <v/>
      </c>
      <c r="BL73" s="71">
        <f>BL38-BL58</f>
        <v/>
      </c>
      <c r="BM73" s="71">
        <f>BM38-BM58</f>
        <v/>
      </c>
      <c r="BN73" s="71">
        <f>BN38-BN58</f>
        <v/>
      </c>
      <c r="BO73" s="71">
        <f>BO38-BO58</f>
        <v/>
      </c>
      <c r="BP73" s="71">
        <f>BP38-BP58</f>
        <v/>
      </c>
      <c r="BQ73" s="71">
        <f>BQ38-BQ58</f>
        <v/>
      </c>
      <c r="BR73" s="71">
        <f>BR38-BR58</f>
        <v/>
      </c>
      <c r="BS73" s="71">
        <f>BS38-BS58</f>
        <v/>
      </c>
      <c r="BT73" s="71">
        <f>BT38-BT58</f>
        <v/>
      </c>
      <c r="BU73" s="71">
        <f>BU38-BU58</f>
        <v/>
      </c>
      <c r="BV73" s="71">
        <f>BV38-BV58</f>
        <v/>
      </c>
      <c r="BW73" s="71">
        <f>BW38-BW58</f>
        <v/>
      </c>
      <c r="BX73" s="71">
        <f>BX38-BX58</f>
        <v/>
      </c>
      <c r="BY73" s="71">
        <f>BY38-BY58</f>
        <v/>
      </c>
      <c r="BZ73" s="71">
        <f>BZ38-BZ58</f>
        <v/>
      </c>
      <c r="CA73" s="71">
        <f>CA38-CA58</f>
        <v/>
      </c>
      <c r="CB73" s="71">
        <f>CB38-CB58</f>
        <v/>
      </c>
      <c r="CC73" s="71">
        <f>CC38-CC58</f>
        <v/>
      </c>
      <c r="CD73" s="71">
        <f>CD38-CD58</f>
        <v/>
      </c>
      <c r="CE73" s="71">
        <f>CE38-CE58</f>
        <v/>
      </c>
      <c r="CF73" s="71">
        <f>CF38-CF58</f>
        <v/>
      </c>
      <c r="CG73" s="71">
        <f>CG38-CG58</f>
        <v/>
      </c>
      <c r="CH73" s="71">
        <f>CH38-CH58</f>
        <v/>
      </c>
      <c r="CI73" s="71">
        <f>CI38-CI58</f>
        <v/>
      </c>
      <c r="CJ73" s="71">
        <f>CJ38-CJ58</f>
        <v/>
      </c>
      <c r="CK73" s="71">
        <f>CK38-CK58</f>
        <v/>
      </c>
      <c r="CL73" s="71">
        <f>CL38-CL58</f>
        <v/>
      </c>
      <c r="CM73" s="71">
        <f>CM38-CM58</f>
        <v/>
      </c>
      <c r="CN73" s="71">
        <f>CN38-CN58</f>
        <v/>
      </c>
      <c r="CO73" s="71">
        <f>CO38-CO58</f>
        <v/>
      </c>
      <c r="CP73" s="71">
        <f>CP38-CP58</f>
        <v/>
      </c>
      <c r="CQ73" s="71">
        <f>CQ38-CQ58</f>
        <v/>
      </c>
      <c r="CR73" s="71">
        <f>CR38-CR58</f>
        <v/>
      </c>
      <c r="CS73" s="71">
        <f>CS38-CS58</f>
        <v/>
      </c>
      <c r="CT73" s="71">
        <f>CT38-CT58</f>
        <v/>
      </c>
      <c r="CU73" s="71">
        <f>CU38-CU58</f>
        <v/>
      </c>
      <c r="CV73" s="71">
        <f>CV38-CV58</f>
        <v/>
      </c>
      <c r="CW73" s="71">
        <f>CW38-CW58</f>
        <v/>
      </c>
      <c r="CX73" s="71">
        <f>CX38-CX58</f>
        <v/>
      </c>
      <c r="CY73" s="71">
        <f>CY38-CY58</f>
        <v/>
      </c>
      <c r="CZ73" s="71">
        <f>CZ38-CZ58</f>
        <v/>
      </c>
      <c r="DA73" s="71">
        <f>DA38-DA58</f>
        <v/>
      </c>
      <c r="DB73" s="71">
        <f>DB38-DB58</f>
        <v/>
      </c>
      <c r="DC73" s="71">
        <f>DC38-DC58</f>
        <v/>
      </c>
      <c r="DD73" s="71">
        <f>DD38-DD58</f>
        <v/>
      </c>
      <c r="DE73" s="71">
        <f>DE38-DE58</f>
        <v/>
      </c>
      <c r="DF73" s="71">
        <f>DF38-DF58</f>
        <v/>
      </c>
      <c r="DG73" s="71">
        <f>DG38-DG58</f>
        <v/>
      </c>
      <c r="DH73" s="71">
        <f>DH38-DH58</f>
        <v/>
      </c>
      <c r="DI73" s="71">
        <f>DI38-DI58</f>
        <v/>
      </c>
      <c r="DJ73" s="71">
        <f>DJ38-DJ58</f>
        <v/>
      </c>
      <c r="DK73" s="71">
        <f>DK38-DK58</f>
        <v/>
      </c>
      <c r="DL73" s="71">
        <f>DL38-DL58</f>
        <v/>
      </c>
      <c r="DM73" s="71">
        <f>DM38-DM58</f>
        <v/>
      </c>
      <c r="DN73" s="71">
        <f>DN38-DN58</f>
        <v/>
      </c>
      <c r="DO73" s="71">
        <f>DO38-DO58</f>
        <v/>
      </c>
      <c r="DP73" s="71">
        <f>DP38-DP58</f>
        <v/>
      </c>
      <c r="DQ73" s="71">
        <f>DQ38-DQ58</f>
        <v/>
      </c>
      <c r="DR73" s="71">
        <f>DR38-DR58</f>
        <v/>
      </c>
      <c r="DS73" s="71">
        <f>DS38-DS58</f>
        <v/>
      </c>
      <c r="DT73" s="71">
        <f>DT38-DT58</f>
        <v/>
      </c>
      <c r="DU73" s="71">
        <f>DU38-DU58</f>
        <v/>
      </c>
      <c r="DV73" s="71">
        <f>DV38-DV58</f>
        <v/>
      </c>
      <c r="DW73" s="71">
        <f>DW38-DW58</f>
        <v/>
      </c>
      <c r="DX73" s="71">
        <f>DX38-DX58</f>
        <v/>
      </c>
      <c r="DY73" s="71">
        <f>DY38-DY58</f>
        <v/>
      </c>
      <c r="DZ73" s="71">
        <f>DZ38-DZ58</f>
        <v/>
      </c>
      <c r="EA73" s="71">
        <f>EA38-EA58</f>
        <v/>
      </c>
      <c r="EB73" s="71">
        <f>EB38-EB58</f>
        <v/>
      </c>
      <c r="EC73" s="71">
        <f>EC38-EC58</f>
        <v/>
      </c>
      <c r="ED73" s="71">
        <f>ED38-ED58</f>
        <v/>
      </c>
      <c r="EE73" s="71">
        <f>EE38-EE58</f>
        <v/>
      </c>
      <c r="EF73" s="71">
        <f>EF38-EF58</f>
        <v/>
      </c>
      <c r="EG73" s="71">
        <f>EG38-EG58</f>
        <v/>
      </c>
      <c r="EH73" s="71">
        <f>EH38-EH58</f>
        <v/>
      </c>
      <c r="EI73" s="71">
        <f>EI38-EI58</f>
        <v/>
      </c>
      <c r="EJ73" s="71">
        <f>EJ38-EJ58</f>
        <v/>
      </c>
      <c r="EK73" s="71">
        <f>EK38-EK58</f>
        <v/>
      </c>
      <c r="EL73" s="71">
        <f>EL38-EL58</f>
        <v/>
      </c>
      <c r="EM73" s="71">
        <f>EM38-EM58</f>
        <v/>
      </c>
      <c r="EN73" s="71">
        <f>EN38-EN58</f>
        <v/>
      </c>
      <c r="EO73" s="71">
        <f>EO38-EO58</f>
        <v/>
      </c>
      <c r="EP73" s="71">
        <f>EP38-EP58</f>
        <v/>
      </c>
      <c r="EQ73" s="71">
        <f>EQ38-EQ58</f>
        <v/>
      </c>
      <c r="ER73" s="71">
        <f>ER38-ER58</f>
        <v/>
      </c>
      <c r="ES73" s="71">
        <f>ES38-ES58</f>
        <v/>
      </c>
      <c r="ET73" s="71">
        <f>ET38-ET58</f>
        <v/>
      </c>
      <c r="EU73" s="71">
        <f>EU38-EU58</f>
        <v/>
      </c>
      <c r="EV73" s="71">
        <f>EV38-EV58</f>
        <v/>
      </c>
      <c r="EW73" s="71">
        <f>EW38-EW58</f>
        <v/>
      </c>
      <c r="EX73" s="71">
        <f>EX38-EX58</f>
        <v/>
      </c>
      <c r="EY73" s="71">
        <f>EY38-EY58</f>
        <v/>
      </c>
      <c r="EZ73" s="71">
        <f>EZ38-EZ58</f>
        <v/>
      </c>
      <c r="FA73" s="71">
        <f>FA38-FA58</f>
        <v/>
      </c>
      <c r="FB73" s="71">
        <f>FB38-FB58</f>
        <v/>
      </c>
    </row>
    <row r="74">
      <c r="A74" s="24" t="n"/>
      <c r="B74" s="11">
        <f>Inputs!B111</f>
        <v/>
      </c>
      <c r="C74" s="195">
        <f>Inputs!C111</f>
        <v/>
      </c>
      <c r="D74" s="175">
        <f>Inputs!D111</f>
        <v/>
      </c>
      <c r="E74" s="207">
        <f>Inputs!E111</f>
        <v/>
      </c>
      <c r="F74" s="90">
        <f>IFERROR(+D74/E74,0)</f>
        <v/>
      </c>
      <c r="G74" s="175">
        <f>D74*C74*12</f>
        <v/>
      </c>
      <c r="H74" s="55" t="n"/>
      <c r="L74" s="138" t="n"/>
      <c r="Z74" s="61" t="n"/>
      <c r="AA74" s="61" t="n"/>
      <c r="AB74" s="61" t="n"/>
      <c r="AC74" s="61" t="n"/>
      <c r="AD74" s="61" t="n"/>
      <c r="AE74" s="61" t="n"/>
      <c r="AF74" s="61" t="n"/>
      <c r="AG74" s="61" t="n"/>
      <c r="AH74" s="61" t="n"/>
      <c r="AI74" s="61" t="n"/>
      <c r="AJ74" s="61" t="n"/>
      <c r="AK74" s="61" t="n"/>
      <c r="AL74" s="61" t="n"/>
      <c r="AM74" s="61" t="n"/>
      <c r="AN74" s="61" t="n"/>
      <c r="AO74" s="61" t="n"/>
      <c r="AP74" s="61" t="n"/>
      <c r="AQ74" s="61" t="n"/>
      <c r="AR74" s="61" t="n"/>
      <c r="AS74" s="61" t="n"/>
      <c r="AT74" s="61" t="n"/>
      <c r="AU74" s="61" t="n"/>
      <c r="AV74" s="61" t="n"/>
      <c r="AW74" s="61" t="n"/>
      <c r="AX74" s="61" t="n"/>
      <c r="AY74" s="61" t="n"/>
      <c r="AZ74" s="61" t="n"/>
      <c r="BA74" s="61" t="n"/>
      <c r="BB74" s="61" t="n"/>
      <c r="BC74" s="61" t="n"/>
      <c r="BD74" s="61" t="n"/>
      <c r="BE74" s="61" t="n"/>
      <c r="BF74" s="61" t="n"/>
      <c r="BG74" s="61" t="n"/>
      <c r="BH74" s="61" t="n"/>
      <c r="BI74" s="61" t="n"/>
      <c r="BJ74" s="61" t="n"/>
      <c r="BK74" s="61" t="n"/>
      <c r="BL74" s="61" t="n"/>
      <c r="BM74" s="61" t="n"/>
      <c r="BN74" s="61" t="n"/>
      <c r="BO74" s="61" t="n"/>
      <c r="BP74" s="61" t="n"/>
      <c r="BQ74" s="61" t="n"/>
      <c r="BR74" s="61" t="n"/>
      <c r="BS74" s="61" t="n"/>
      <c r="BT74" s="61" t="n"/>
      <c r="BU74" s="61" t="n"/>
      <c r="BV74" s="61" t="n"/>
      <c r="BW74" s="61" t="n"/>
      <c r="BX74" s="61" t="n"/>
      <c r="BY74" s="61" t="n"/>
      <c r="BZ74" s="61" t="n"/>
      <c r="CA74" s="61" t="n"/>
      <c r="CB74" s="61" t="n"/>
      <c r="CC74" s="61" t="n"/>
      <c r="CD74" s="61" t="n"/>
      <c r="CE74" s="61" t="n"/>
      <c r="CF74" s="61" t="n"/>
      <c r="CG74" s="61" t="n"/>
      <c r="CH74" s="61" t="n"/>
      <c r="CI74" s="61" t="n"/>
      <c r="CJ74" s="61" t="n"/>
      <c r="CK74" s="61" t="n"/>
      <c r="CL74" s="61" t="n"/>
      <c r="CM74" s="61" t="n"/>
      <c r="CN74" s="61" t="n"/>
      <c r="CO74" s="61" t="n"/>
      <c r="CP74" s="61" t="n"/>
      <c r="CQ74" s="61" t="n"/>
      <c r="CR74" s="61" t="n"/>
      <c r="CS74" s="61" t="n"/>
      <c r="CT74" s="61" t="n"/>
      <c r="CU74" s="61" t="n"/>
      <c r="CV74" s="61" t="n"/>
      <c r="CW74" s="61" t="n"/>
      <c r="CX74" s="61" t="n"/>
      <c r="CY74" s="61" t="n"/>
      <c r="CZ74" s="61" t="n"/>
      <c r="DA74" s="61" t="n"/>
      <c r="DB74" s="61" t="n"/>
      <c r="DC74" s="61" t="n"/>
      <c r="DD74" s="61" t="n"/>
      <c r="DE74" s="61" t="n"/>
      <c r="DF74" s="61" t="n"/>
      <c r="DG74" s="61" t="n"/>
      <c r="DH74" s="61" t="n"/>
      <c r="DI74" s="61" t="n"/>
      <c r="DJ74" s="61" t="n"/>
      <c r="DK74" s="61" t="n"/>
      <c r="DL74" s="61" t="n"/>
      <c r="DM74" s="61" t="n"/>
      <c r="DN74" s="61" t="n"/>
      <c r="DO74" s="61" t="n"/>
      <c r="DP74" s="61" t="n"/>
      <c r="DQ74" s="61" t="n"/>
      <c r="DR74" s="61" t="n"/>
      <c r="DS74" s="61" t="n"/>
      <c r="DT74" s="61" t="n"/>
      <c r="DU74" s="61" t="n"/>
      <c r="DV74" s="61" t="n"/>
      <c r="DW74" s="61" t="n"/>
      <c r="DX74" s="61" t="n"/>
      <c r="DY74" s="61" t="n"/>
      <c r="DZ74" s="61" t="n"/>
      <c r="EA74" s="61" t="n"/>
      <c r="EB74" s="61" t="n"/>
      <c r="EC74" s="61" t="n"/>
      <c r="ED74" s="61" t="n"/>
      <c r="EE74" s="61" t="n"/>
      <c r="EF74" s="61" t="n"/>
      <c r="EG74" s="61" t="n"/>
      <c r="EH74" s="61" t="n"/>
      <c r="EI74" s="61" t="n"/>
      <c r="EJ74" s="61" t="n"/>
      <c r="EK74" s="61" t="n"/>
      <c r="EL74" s="61" t="n"/>
      <c r="EM74" s="61" t="n"/>
      <c r="EN74" s="61" t="n"/>
      <c r="EO74" s="61" t="n"/>
      <c r="EP74" s="61" t="n"/>
      <c r="EQ74" s="61" t="n"/>
      <c r="ER74" s="61" t="n"/>
      <c r="ES74" s="61" t="n"/>
      <c r="ET74" s="61" t="n"/>
      <c r="EU74" s="61" t="n"/>
      <c r="EV74" s="61" t="n"/>
      <c r="EW74" s="61" t="n"/>
      <c r="EX74" s="61" t="n"/>
      <c r="EY74" s="61" t="n"/>
      <c r="EZ74" s="61" t="n"/>
      <c r="FA74" s="61" t="n"/>
      <c r="FB74" s="61" t="n"/>
    </row>
    <row r="75" customFormat="1" s="32">
      <c r="A75" s="24" t="n"/>
      <c r="B75" s="93" t="inlineStr">
        <is>
          <t>Total/Avg</t>
        </is>
      </c>
      <c r="C75" s="94">
        <f>SUM(C59:C74)</f>
        <v/>
      </c>
      <c r="D75" s="95">
        <f>SUMPRODUCT(D59:D74,$C$59:$C$74)/$C$75</f>
        <v/>
      </c>
      <c r="E75" s="94">
        <f>SUMPRODUCT(E59:E74,$C$59:$C$74)/$C$75</f>
        <v/>
      </c>
      <c r="F75" s="96">
        <f>SUMPRODUCT(F59:F74,$C$59:$C$74)/$C$75</f>
        <v/>
      </c>
      <c r="G75" s="95">
        <f>D75*C75*12</f>
        <v/>
      </c>
      <c r="H75" s="55" t="n"/>
      <c r="I75" s="15" t="inlineStr">
        <is>
          <t>Capital Expenditures</t>
        </is>
      </c>
      <c r="J75" s="73">
        <f>J51</f>
        <v/>
      </c>
      <c r="K75" s="74" t="n"/>
      <c r="L75" s="137" t="n"/>
      <c r="M75" s="74" t="n"/>
      <c r="N75" s="73" t="n"/>
      <c r="O75" s="73" t="n"/>
      <c r="P75" s="73" t="n"/>
      <c r="Q75" s="73" t="n"/>
      <c r="R75" s="73" t="n"/>
      <c r="S75" s="73" t="n"/>
      <c r="T75" s="73" t="n"/>
      <c r="U75" s="73" t="n"/>
      <c r="V75" s="73" t="n"/>
      <c r="W75" s="73" t="n"/>
      <c r="X75" s="73" t="n"/>
      <c r="Y75" s="74" t="n"/>
      <c r="Z75" s="61" t="n"/>
      <c r="AA75" s="61" t="n"/>
      <c r="AB75" s="61" t="n"/>
      <c r="AC75" s="61" t="n"/>
      <c r="AD75" s="61" t="n"/>
      <c r="AE75" s="61" t="n"/>
      <c r="AF75" s="61" t="n"/>
      <c r="AG75" s="61" t="n"/>
      <c r="AH75" s="61" t="n"/>
      <c r="AI75" s="61" t="n"/>
      <c r="AJ75" s="61" t="n"/>
      <c r="AK75" s="61" t="n"/>
      <c r="AL75" s="61" t="n"/>
      <c r="AM75" s="61" t="n"/>
      <c r="AN75" s="61" t="n"/>
      <c r="AO75" s="61" t="n"/>
      <c r="AP75" s="61" t="n"/>
      <c r="AQ75" s="61" t="n"/>
      <c r="AR75" s="61" t="n"/>
      <c r="AS75" s="61" t="n"/>
      <c r="AT75" s="61" t="n"/>
      <c r="AU75" s="61" t="n"/>
      <c r="AV75" s="61" t="n"/>
      <c r="AW75" s="61" t="n"/>
      <c r="AX75" s="61" t="n"/>
      <c r="AY75" s="61" t="n"/>
      <c r="AZ75" s="61" t="n"/>
      <c r="BA75" s="61" t="n"/>
      <c r="BB75" s="61" t="n"/>
      <c r="BC75" s="61" t="n"/>
      <c r="BD75" s="61" t="n"/>
      <c r="BE75" s="61" t="n"/>
      <c r="BF75" s="61" t="n"/>
      <c r="BG75" s="61" t="n"/>
      <c r="BH75" s="61" t="n"/>
      <c r="BI75" s="61" t="n"/>
      <c r="BJ75" s="61" t="n"/>
      <c r="BK75" s="61" t="n"/>
      <c r="BL75" s="61" t="n"/>
      <c r="BM75" s="61" t="n"/>
      <c r="BN75" s="61" t="n"/>
      <c r="BO75" s="61" t="n"/>
      <c r="BP75" s="61" t="n"/>
      <c r="BQ75" s="61" t="n"/>
      <c r="BR75" s="61" t="n"/>
      <c r="BS75" s="61" t="n"/>
      <c r="BT75" s="61" t="n"/>
      <c r="BU75" s="61" t="n"/>
      <c r="BV75" s="61" t="n"/>
      <c r="BW75" s="61" t="n"/>
      <c r="BX75" s="61" t="n"/>
      <c r="BY75" s="61" t="n"/>
      <c r="BZ75" s="61" t="n"/>
      <c r="CA75" s="61" t="n"/>
      <c r="CB75" s="61" t="n"/>
      <c r="CC75" s="61" t="n"/>
      <c r="CD75" s="61" t="n"/>
      <c r="CE75" s="61" t="n"/>
      <c r="CF75" s="61" t="n"/>
      <c r="CG75" s="61" t="n"/>
      <c r="CH75" s="61" t="n"/>
      <c r="CI75" s="61" t="n"/>
      <c r="CJ75" s="61" t="n"/>
      <c r="CK75" s="61" t="n"/>
      <c r="CL75" s="61" t="n"/>
      <c r="CM75" s="61" t="n"/>
      <c r="CN75" s="61" t="n"/>
      <c r="CO75" s="61" t="n"/>
      <c r="CP75" s="61" t="n"/>
      <c r="CQ75" s="61" t="n"/>
      <c r="CR75" s="61" t="n"/>
      <c r="CS75" s="61" t="n"/>
      <c r="CT75" s="61" t="n"/>
      <c r="CU75" s="61" t="n"/>
      <c r="CV75" s="61" t="n"/>
      <c r="CW75" s="61" t="n"/>
      <c r="CX75" s="61" t="n"/>
      <c r="CY75" s="61" t="n"/>
      <c r="CZ75" s="61" t="n"/>
      <c r="DA75" s="61" t="n"/>
      <c r="DB75" s="61" t="n"/>
      <c r="DC75" s="61" t="n"/>
      <c r="DD75" s="61" t="n"/>
      <c r="DE75" s="61" t="n"/>
      <c r="DF75" s="61" t="n"/>
      <c r="DG75" s="61" t="n"/>
      <c r="DH75" s="61" t="n"/>
      <c r="DI75" s="61" t="n"/>
      <c r="DJ75" s="61" t="n"/>
      <c r="DK75" s="61" t="n"/>
      <c r="DL75" s="61" t="n"/>
      <c r="DM75" s="61" t="n"/>
      <c r="DN75" s="61" t="n"/>
      <c r="DO75" s="61" t="n"/>
      <c r="DP75" s="61" t="n"/>
      <c r="DQ75" s="61" t="n"/>
      <c r="DR75" s="61" t="n"/>
      <c r="DS75" s="61" t="n"/>
      <c r="DT75" s="61" t="n"/>
      <c r="DU75" s="61" t="n"/>
      <c r="DV75" s="61" t="n"/>
      <c r="DW75" s="61" t="n"/>
      <c r="DX75" s="61" t="n"/>
      <c r="DY75" s="61" t="n"/>
      <c r="DZ75" s="61" t="n"/>
      <c r="EA75" s="61" t="n"/>
      <c r="EB75" s="61" t="n"/>
      <c r="EC75" s="61" t="n"/>
      <c r="ED75" s="61" t="n"/>
      <c r="EE75" s="61" t="n"/>
      <c r="EF75" s="61" t="n"/>
      <c r="EG75" s="61" t="n"/>
      <c r="EH75" s="61" t="n"/>
      <c r="EI75" s="61" t="n"/>
      <c r="EJ75" s="61" t="n"/>
      <c r="EK75" s="61" t="n"/>
      <c r="EL75" s="61" t="n"/>
      <c r="EM75" s="61" t="n"/>
      <c r="EN75" s="61" t="n"/>
      <c r="EO75" s="61" t="n"/>
      <c r="EP75" s="61" t="n"/>
      <c r="EQ75" s="61" t="n"/>
      <c r="ER75" s="61" t="n"/>
      <c r="ES75" s="61" t="n"/>
      <c r="ET75" s="61" t="n"/>
      <c r="EU75" s="61" t="n"/>
      <c r="EV75" s="61" t="n"/>
      <c r="EW75" s="61" t="n"/>
      <c r="EX75" s="61" t="n"/>
      <c r="EY75" s="61" t="n"/>
      <c r="EZ75" s="61" t="n"/>
      <c r="FA75" s="61" t="n"/>
      <c r="FB75" s="61" t="n"/>
    </row>
    <row r="76">
      <c r="A76" s="44" t="n"/>
      <c r="B76" s="13" t="n"/>
      <c r="C76" s="13" t="n"/>
      <c r="D76" s="97" t="n"/>
      <c r="E76" s="97" t="n"/>
      <c r="F76" s="98" t="n"/>
      <c r="G76" s="99" t="n"/>
      <c r="H76" s="58" t="n"/>
      <c r="I76" s="9" t="inlineStr">
        <is>
          <t>Capital Expenditures</t>
        </is>
      </c>
      <c r="J76" s="100">
        <f>C121</f>
        <v/>
      </c>
      <c r="K76" s="63" t="n"/>
      <c r="L76" s="24">
        <f>SUMIF($Z$4:$FB$4,"&lt;="&amp;$G$18,$Z76:$FB76)</f>
        <v/>
      </c>
      <c r="M76" s="62" t="n"/>
      <c r="N76" s="61">
        <f>SUMIF($Z$3:$FB$3,N$7,$Z76:$FB76)</f>
        <v/>
      </c>
      <c r="O76" s="61">
        <f>SUMIF($Z$3:$FB$3,O$7,$Z76:$FB76)</f>
        <v/>
      </c>
      <c r="P76" s="61">
        <f>SUMIF($Z$3:$FB$3,P$7,$Z76:$FB76)</f>
        <v/>
      </c>
      <c r="Q76" s="61">
        <f>SUMIF($Z$3:$FB$3,Q$7,$Z76:$FB76)</f>
        <v/>
      </c>
      <c r="R76" s="61">
        <f>SUMIF($Z$3:$FB$3,R$7,$Z76:$FB76)</f>
        <v/>
      </c>
      <c r="S76" s="61">
        <f>SUMIF($Z$3:$FB$3,S$7,$Z76:$FB76)</f>
        <v/>
      </c>
      <c r="T76" s="61">
        <f>SUMIF($Z$3:$FB$3,T$7,$Z76:$FB76)</f>
        <v/>
      </c>
      <c r="U76" s="61">
        <f>SUMIF($Z$3:$FB$3,U$7,$Z76:$FB76)</f>
        <v/>
      </c>
      <c r="V76" s="61">
        <f>SUMIF($Z$3:$FB$3,V$7,$Z76:$FB76)</f>
        <v/>
      </c>
      <c r="W76" s="61">
        <f>SUMIF($Z$3:$FB$3,W$7,$Z76:$FB76)</f>
        <v/>
      </c>
      <c r="X76" s="61">
        <f>SUMIF($Z$3:$FB$3,X$7,$Z76:$FB76)</f>
        <v/>
      </c>
      <c r="Y76" s="62" t="n"/>
      <c r="Z76" s="180" t="n">
        <v>0</v>
      </c>
      <c r="AA76" s="180">
        <f>$J76/12*AA$14*$C$75</f>
        <v/>
      </c>
      <c r="AB76" s="180">
        <f>$J76/12*AB$14*$C$75</f>
        <v/>
      </c>
      <c r="AC76" s="180">
        <f>$J76/12*AC$14*$C$75</f>
        <v/>
      </c>
      <c r="AD76" s="180">
        <f>$J76/12*AD$14*$C$75</f>
        <v/>
      </c>
      <c r="AE76" s="180">
        <f>$J76/12*AE$14*$C$75</f>
        <v/>
      </c>
      <c r="AF76" s="180">
        <f>$J76/12*AF$14*$C$75</f>
        <v/>
      </c>
      <c r="AG76" s="180">
        <f>$J76/12*AG$14*$C$75</f>
        <v/>
      </c>
      <c r="AH76" s="180">
        <f>$J76/12*AH$14*$C$75</f>
        <v/>
      </c>
      <c r="AI76" s="180">
        <f>$J76/12*AI$14*$C$75</f>
        <v/>
      </c>
      <c r="AJ76" s="180">
        <f>$J76/12*AJ$14*$C$75</f>
        <v/>
      </c>
      <c r="AK76" s="180">
        <f>$J76/12*AK$14*$C$75</f>
        <v/>
      </c>
      <c r="AL76" s="180">
        <f>$J76/12*AL$14*$C$75</f>
        <v/>
      </c>
      <c r="AM76" s="180">
        <f>$J76/12*AM$14*$C$75</f>
        <v/>
      </c>
      <c r="AN76" s="180">
        <f>$J76/12*AN$14*$C$75</f>
        <v/>
      </c>
      <c r="AO76" s="180">
        <f>$J76/12*AO$14*$C$75</f>
        <v/>
      </c>
      <c r="AP76" s="180">
        <f>$J76/12*AP$14*$C$75</f>
        <v/>
      </c>
      <c r="AQ76" s="180">
        <f>$J76/12*AQ$14*$C$75</f>
        <v/>
      </c>
      <c r="AR76" s="180">
        <f>$J76/12*AR$14*$C$75</f>
        <v/>
      </c>
      <c r="AS76" s="180">
        <f>$J76/12*AS$14*$C$75</f>
        <v/>
      </c>
      <c r="AT76" s="180">
        <f>$J76/12*AT$14*$C$75</f>
        <v/>
      </c>
      <c r="AU76" s="180">
        <f>$J76/12*AU$14*$C$75</f>
        <v/>
      </c>
      <c r="AV76" s="180">
        <f>$J76/12*AV$14*$C$75</f>
        <v/>
      </c>
      <c r="AW76" s="180">
        <f>$J76/12*AW$14*$C$75</f>
        <v/>
      </c>
      <c r="AX76" s="180">
        <f>$J76/12*AX$14*$C$75</f>
        <v/>
      </c>
      <c r="AY76" s="180">
        <f>$J76/12*AY$14*$C$75</f>
        <v/>
      </c>
      <c r="AZ76" s="180">
        <f>$J76/12*AZ$14*$C$75</f>
        <v/>
      </c>
      <c r="BA76" s="180">
        <f>$J76/12*BA$14*$C$75</f>
        <v/>
      </c>
      <c r="BB76" s="180">
        <f>$J76/12*BB$14*$C$75</f>
        <v/>
      </c>
      <c r="BC76" s="180">
        <f>$J76/12*BC$14*$C$75</f>
        <v/>
      </c>
      <c r="BD76" s="180">
        <f>$J76/12*BD$14*$C$75</f>
        <v/>
      </c>
      <c r="BE76" s="180">
        <f>$J76/12*BE$14*$C$75</f>
        <v/>
      </c>
      <c r="BF76" s="180">
        <f>$J76/12*BF$14*$C$75</f>
        <v/>
      </c>
      <c r="BG76" s="180">
        <f>$J76/12*BG$14*$C$75</f>
        <v/>
      </c>
      <c r="BH76" s="180">
        <f>$J76/12*BH$14*$C$75</f>
        <v/>
      </c>
      <c r="BI76" s="180">
        <f>$J76/12*BI$14*$C$75</f>
        <v/>
      </c>
      <c r="BJ76" s="180">
        <f>$J76/12*BJ$14*$C$75</f>
        <v/>
      </c>
      <c r="BK76" s="180">
        <f>$J76/12*BK$14*$C$75</f>
        <v/>
      </c>
      <c r="BL76" s="180">
        <f>$J76/12*BL$14*$C$75</f>
        <v/>
      </c>
      <c r="BM76" s="180">
        <f>$J76/12*BM$14*$C$75</f>
        <v/>
      </c>
      <c r="BN76" s="180">
        <f>$J76/12*BN$14*$C$75</f>
        <v/>
      </c>
      <c r="BO76" s="180">
        <f>$J76/12*BO$14*$C$75</f>
        <v/>
      </c>
      <c r="BP76" s="180">
        <f>$J76/12*BP$14*$C$75</f>
        <v/>
      </c>
      <c r="BQ76" s="180">
        <f>$J76/12*BQ$14*$C$75</f>
        <v/>
      </c>
      <c r="BR76" s="180">
        <f>$J76/12*BR$14*$C$75</f>
        <v/>
      </c>
      <c r="BS76" s="180">
        <f>$J76/12*BS$14*$C$75</f>
        <v/>
      </c>
      <c r="BT76" s="180">
        <f>$J76/12*BT$14*$C$75</f>
        <v/>
      </c>
      <c r="BU76" s="180">
        <f>$J76/12*BU$14*$C$75</f>
        <v/>
      </c>
      <c r="BV76" s="180">
        <f>$J76/12*BV$14*$C$75</f>
        <v/>
      </c>
      <c r="BW76" s="180">
        <f>$J76/12*BW$14*$C$75</f>
        <v/>
      </c>
      <c r="BX76" s="180">
        <f>$J76/12*BX$14*$C$75</f>
        <v/>
      </c>
      <c r="BY76" s="180">
        <f>$J76/12*BY$14*$C$75</f>
        <v/>
      </c>
      <c r="BZ76" s="180">
        <f>$J76/12*BZ$14*$C$75</f>
        <v/>
      </c>
      <c r="CA76" s="180">
        <f>$J76/12*CA$14*$C$75</f>
        <v/>
      </c>
      <c r="CB76" s="180">
        <f>$J76/12*CB$14*$C$75</f>
        <v/>
      </c>
      <c r="CC76" s="180">
        <f>$J76/12*CC$14*$C$75</f>
        <v/>
      </c>
      <c r="CD76" s="180">
        <f>$J76/12*CD$14*$C$75</f>
        <v/>
      </c>
      <c r="CE76" s="180">
        <f>$J76/12*CE$14*$C$75</f>
        <v/>
      </c>
      <c r="CF76" s="180">
        <f>$J76/12*CF$14*$C$75</f>
        <v/>
      </c>
      <c r="CG76" s="180">
        <f>$J76/12*CG$14*$C$75</f>
        <v/>
      </c>
      <c r="CH76" s="180">
        <f>$J76/12*CH$14*$C$75</f>
        <v/>
      </c>
      <c r="CI76" s="180">
        <f>$J76/12*CI$14*$C$75</f>
        <v/>
      </c>
      <c r="CJ76" s="180">
        <f>$J76/12*CJ$14*$C$75</f>
        <v/>
      </c>
      <c r="CK76" s="180">
        <f>$J76/12*CK$14*$C$75</f>
        <v/>
      </c>
      <c r="CL76" s="180">
        <f>$J76/12*CL$14*$C$75</f>
        <v/>
      </c>
      <c r="CM76" s="180">
        <f>$J76/12*CM$14*$C$75</f>
        <v/>
      </c>
      <c r="CN76" s="180">
        <f>$J76/12*CN$14*$C$75</f>
        <v/>
      </c>
      <c r="CO76" s="180">
        <f>$J76/12*CO$14*$C$75</f>
        <v/>
      </c>
      <c r="CP76" s="180">
        <f>$J76/12*CP$14*$C$75</f>
        <v/>
      </c>
      <c r="CQ76" s="180">
        <f>$J76/12*CQ$14*$C$75</f>
        <v/>
      </c>
      <c r="CR76" s="180">
        <f>$J76/12*CR$14*$C$75</f>
        <v/>
      </c>
      <c r="CS76" s="180">
        <f>$J76/12*CS$14*$C$75</f>
        <v/>
      </c>
      <c r="CT76" s="180">
        <f>$J76/12*CT$14*$C$75</f>
        <v/>
      </c>
      <c r="CU76" s="180">
        <f>$J76/12*CU$14*$C$75</f>
        <v/>
      </c>
      <c r="CV76" s="180">
        <f>$J76/12*CV$14*$C$75</f>
        <v/>
      </c>
      <c r="CW76" s="180">
        <f>$J76/12*CW$14*$C$75</f>
        <v/>
      </c>
      <c r="CX76" s="180">
        <f>$J76/12*CX$14*$C$75</f>
        <v/>
      </c>
      <c r="CY76" s="180">
        <f>$J76/12*CY$14*$C$75</f>
        <v/>
      </c>
      <c r="CZ76" s="180">
        <f>$J76/12*CZ$14*$C$75</f>
        <v/>
      </c>
      <c r="DA76" s="180">
        <f>$J76/12*DA$14*$C$75</f>
        <v/>
      </c>
      <c r="DB76" s="180">
        <f>$J76/12*DB$14*$C$75</f>
        <v/>
      </c>
      <c r="DC76" s="180">
        <f>$J76/12*DC$14*$C$75</f>
        <v/>
      </c>
      <c r="DD76" s="180">
        <f>$J76/12*DD$14*$C$75</f>
        <v/>
      </c>
      <c r="DE76" s="180">
        <f>$J76/12*DE$14*$C$75</f>
        <v/>
      </c>
      <c r="DF76" s="180">
        <f>$J76/12*DF$14*$C$75</f>
        <v/>
      </c>
      <c r="DG76" s="180">
        <f>$J76/12*DG$14*$C$75</f>
        <v/>
      </c>
      <c r="DH76" s="180">
        <f>$J76/12*DH$14*$C$75</f>
        <v/>
      </c>
      <c r="DI76" s="180">
        <f>$J76/12*DI$14*$C$75</f>
        <v/>
      </c>
      <c r="DJ76" s="180">
        <f>$J76/12*DJ$14*$C$75</f>
        <v/>
      </c>
      <c r="DK76" s="180">
        <f>$J76/12*DK$14*$C$75</f>
        <v/>
      </c>
      <c r="DL76" s="180">
        <f>$J76/12*DL$14*$C$75</f>
        <v/>
      </c>
      <c r="DM76" s="180">
        <f>$J76/12*DM$14*$C$75</f>
        <v/>
      </c>
      <c r="DN76" s="180">
        <f>$J76/12*DN$14*$C$75</f>
        <v/>
      </c>
      <c r="DO76" s="180">
        <f>$J76/12*DO$14*$C$75</f>
        <v/>
      </c>
      <c r="DP76" s="180">
        <f>$J76/12*DP$14*$C$75</f>
        <v/>
      </c>
      <c r="DQ76" s="180">
        <f>$J76/12*DQ$14*$C$75</f>
        <v/>
      </c>
      <c r="DR76" s="180">
        <f>$J76/12*DR$14*$C$75</f>
        <v/>
      </c>
      <c r="DS76" s="180">
        <f>$J76/12*DS$14*$C$75</f>
        <v/>
      </c>
      <c r="DT76" s="180">
        <f>$J76/12*DT$14*$C$75</f>
        <v/>
      </c>
      <c r="DU76" s="180">
        <f>$J76/12*DU$14*$C$75</f>
        <v/>
      </c>
      <c r="DV76" s="180">
        <f>$J76/12*DV$14*$C$75</f>
        <v/>
      </c>
      <c r="DW76" s="180">
        <f>$J76/12*DW$14*$C$75</f>
        <v/>
      </c>
      <c r="DX76" s="180">
        <f>$J76/12*DX$14*$C$75</f>
        <v/>
      </c>
      <c r="DY76" s="180">
        <f>$J76/12*DY$14*$C$75</f>
        <v/>
      </c>
      <c r="DZ76" s="180">
        <f>$J76/12*DZ$14*$C$75</f>
        <v/>
      </c>
      <c r="EA76" s="180">
        <f>$J76/12*EA$14*$C$75</f>
        <v/>
      </c>
      <c r="EB76" s="180">
        <f>$J76/12*EB$14*$C$75</f>
        <v/>
      </c>
      <c r="EC76" s="180">
        <f>$J76/12*EC$14*$C$75</f>
        <v/>
      </c>
      <c r="ED76" s="180">
        <f>$J76/12*ED$14*$C$75</f>
        <v/>
      </c>
      <c r="EE76" s="180">
        <f>$J76/12*EE$14*$C$75</f>
        <v/>
      </c>
      <c r="EF76" s="180">
        <f>$J76/12*EF$14*$C$75</f>
        <v/>
      </c>
      <c r="EG76" s="180">
        <f>$J76/12*EG$14*$C$75</f>
        <v/>
      </c>
      <c r="EH76" s="180">
        <f>$J76/12*EH$14*$C$75</f>
        <v/>
      </c>
      <c r="EI76" s="180">
        <f>$J76/12*EI$14*$C$75</f>
        <v/>
      </c>
      <c r="EJ76" s="180">
        <f>$J76/12*EJ$14*$C$75</f>
        <v/>
      </c>
      <c r="EK76" s="180">
        <f>$J76/12*EK$14*$C$75</f>
        <v/>
      </c>
      <c r="EL76" s="180">
        <f>$J76/12*EL$14*$C$75</f>
        <v/>
      </c>
      <c r="EM76" s="180">
        <f>$J76/12*EM$14*$C$75</f>
        <v/>
      </c>
      <c r="EN76" s="180">
        <f>$J76/12*EN$14*$C$75</f>
        <v/>
      </c>
      <c r="EO76" s="180">
        <f>$J76/12*EO$14*$C$75</f>
        <v/>
      </c>
      <c r="EP76" s="180">
        <f>$J76/12*EP$14*$C$75</f>
        <v/>
      </c>
      <c r="EQ76" s="180">
        <f>$J76/12*EQ$14*$C$75</f>
        <v/>
      </c>
      <c r="ER76" s="180">
        <f>$J76/12*ER$14*$C$75</f>
        <v/>
      </c>
      <c r="ES76" s="180">
        <f>$J76/12*ES$14*$C$75</f>
        <v/>
      </c>
      <c r="ET76" s="180">
        <f>$J76/12*ET$14*$C$75</f>
        <v/>
      </c>
      <c r="EU76" s="180">
        <f>$J76/12*EU$14*$C$75</f>
        <v/>
      </c>
      <c r="EV76" s="180">
        <f>$J76/12*EV$14*$C$75</f>
        <v/>
      </c>
      <c r="EW76" s="180">
        <f>$J76/12*EW$14*$C$75</f>
        <v/>
      </c>
      <c r="EX76" s="180">
        <f>$J76/12*EX$14*$C$75</f>
        <v/>
      </c>
      <c r="EY76" s="180">
        <f>$J76/12*EY$14*$C$75</f>
        <v/>
      </c>
      <c r="EZ76" s="180">
        <f>$J76/12*EZ$14*$C$75</f>
        <v/>
      </c>
      <c r="FA76" s="180">
        <f>$J76/12*FA$14*$C$75</f>
        <v/>
      </c>
      <c r="FB76" s="180">
        <f>$J76/12*FB$14*$C$75</f>
        <v/>
      </c>
    </row>
    <row r="77" customFormat="1" s="32">
      <c r="A77" s="9" t="n"/>
      <c r="B77" s="35" t="inlineStr">
        <is>
          <t>Other Income</t>
        </is>
      </c>
      <c r="C77" s="35" t="n"/>
      <c r="D77" s="45" t="inlineStr">
        <is>
          <t>%</t>
        </is>
      </c>
      <c r="E77" s="45" t="inlineStr">
        <is>
          <t>Count</t>
        </is>
      </c>
      <c r="F77" s="45" t="inlineStr">
        <is>
          <t>$ / Unit / Mo</t>
        </is>
      </c>
      <c r="G77" s="45" t="inlineStr">
        <is>
          <t>Annual Total</t>
        </is>
      </c>
      <c r="H77" s="11" t="n"/>
      <c r="I77" s="57" t="inlineStr">
        <is>
          <t>Total Capex</t>
        </is>
      </c>
      <c r="J77" s="57" t="n"/>
      <c r="K77" s="58" t="n"/>
      <c r="L77" s="101">
        <f>SUMIF($Z$4:$FB$4,"&lt;="&amp;$G$18,$Z77:$FB77)</f>
        <v/>
      </c>
      <c r="M77" s="102" t="n"/>
      <c r="N77" s="101">
        <f>SUMIF($Z$3:$FB$3,N$7,$Z77:$FB77)</f>
        <v/>
      </c>
      <c r="O77" s="101">
        <f>SUMIF($Z$3:$FB$3,O$7,$Z77:$FB77)</f>
        <v/>
      </c>
      <c r="P77" s="101">
        <f>SUMIF($Z$3:$FB$3,P$7,$Z77:$FB77)</f>
        <v/>
      </c>
      <c r="Q77" s="101">
        <f>SUMIF($Z$3:$FB$3,Q$7,$Z77:$FB77)</f>
        <v/>
      </c>
      <c r="R77" s="101">
        <f>SUMIF($Z$3:$FB$3,R$7,$Z77:$FB77)</f>
        <v/>
      </c>
      <c r="S77" s="101">
        <f>SUMIF($Z$3:$FB$3,S$7,$Z77:$FB77)</f>
        <v/>
      </c>
      <c r="T77" s="101">
        <f>SUMIF($Z$3:$FB$3,T$7,$Z77:$FB77)</f>
        <v/>
      </c>
      <c r="U77" s="101">
        <f>SUMIF($Z$3:$FB$3,U$7,$Z77:$FB77)</f>
        <v/>
      </c>
      <c r="V77" s="101">
        <f>SUMIF($Z$3:$FB$3,V$7,$Z77:$FB77)</f>
        <v/>
      </c>
      <c r="W77" s="101">
        <f>SUMIF($Z$3:$FB$3,W$7,$Z77:$FB77)</f>
        <v/>
      </c>
      <c r="X77" s="101">
        <f>SUMIF($Z$3:$FB$3,X$7,$Z77:$FB77)</f>
        <v/>
      </c>
      <c r="Y77" s="102" t="n"/>
      <c r="Z77" s="101" t="n">
        <v>0</v>
      </c>
      <c r="AA77" s="101">
        <f>SUM(AA76:AA76)</f>
        <v/>
      </c>
      <c r="AB77" s="101">
        <f>SUM(AB76:AB76)</f>
        <v/>
      </c>
      <c r="AC77" s="101">
        <f>SUM(AC76:AC76)</f>
        <v/>
      </c>
      <c r="AD77" s="101">
        <f>SUM(AD76:AD76)</f>
        <v/>
      </c>
      <c r="AE77" s="101">
        <f>SUM(AE76:AE76)</f>
        <v/>
      </c>
      <c r="AF77" s="101">
        <f>SUM(AF76:AF76)</f>
        <v/>
      </c>
      <c r="AG77" s="101">
        <f>SUM(AG76:AG76)</f>
        <v/>
      </c>
      <c r="AH77" s="101">
        <f>SUM(AH76:AH76)</f>
        <v/>
      </c>
      <c r="AI77" s="101">
        <f>SUM(AI76:AI76)</f>
        <v/>
      </c>
      <c r="AJ77" s="101">
        <f>SUM(AJ76:AJ76)</f>
        <v/>
      </c>
      <c r="AK77" s="101">
        <f>SUM(AK76:AK76)</f>
        <v/>
      </c>
      <c r="AL77" s="101">
        <f>SUM(AL76:AL76)</f>
        <v/>
      </c>
      <c r="AM77" s="101">
        <f>SUM(AM76:AM76)</f>
        <v/>
      </c>
      <c r="AN77" s="101">
        <f>SUM(AN76:AN76)</f>
        <v/>
      </c>
      <c r="AO77" s="101">
        <f>SUM(AO76:AO76)</f>
        <v/>
      </c>
      <c r="AP77" s="101">
        <f>SUM(AP76:AP76)</f>
        <v/>
      </c>
      <c r="AQ77" s="101">
        <f>SUM(AQ76:AQ76)</f>
        <v/>
      </c>
      <c r="AR77" s="101">
        <f>SUM(AR76:AR76)</f>
        <v/>
      </c>
      <c r="AS77" s="101">
        <f>SUM(AS76:AS76)</f>
        <v/>
      </c>
      <c r="AT77" s="101">
        <f>SUM(AT76:AT76)</f>
        <v/>
      </c>
      <c r="AU77" s="101">
        <f>SUM(AU76:AU76)</f>
        <v/>
      </c>
      <c r="AV77" s="101">
        <f>SUM(AV76:AV76)</f>
        <v/>
      </c>
      <c r="AW77" s="101">
        <f>SUM(AW76:AW76)</f>
        <v/>
      </c>
      <c r="AX77" s="101">
        <f>SUM(AX76:AX76)</f>
        <v/>
      </c>
      <c r="AY77" s="101">
        <f>SUM(AY76:AY76)</f>
        <v/>
      </c>
      <c r="AZ77" s="101">
        <f>SUM(AZ76:AZ76)</f>
        <v/>
      </c>
      <c r="BA77" s="101">
        <f>SUM(BA76:BA76)</f>
        <v/>
      </c>
      <c r="BB77" s="101">
        <f>SUM(BB76:BB76)</f>
        <v/>
      </c>
      <c r="BC77" s="101">
        <f>SUM(BC76:BC76)</f>
        <v/>
      </c>
      <c r="BD77" s="101">
        <f>SUM(BD76:BD76)</f>
        <v/>
      </c>
      <c r="BE77" s="101">
        <f>SUM(BE76:BE76)</f>
        <v/>
      </c>
      <c r="BF77" s="101">
        <f>SUM(BF76:BF76)</f>
        <v/>
      </c>
      <c r="BG77" s="101">
        <f>SUM(BG76:BG76)</f>
        <v/>
      </c>
      <c r="BH77" s="101">
        <f>SUM(BH76:BH76)</f>
        <v/>
      </c>
      <c r="BI77" s="101">
        <f>SUM(BI76:BI76)</f>
        <v/>
      </c>
      <c r="BJ77" s="101">
        <f>SUM(BJ76:BJ76)</f>
        <v/>
      </c>
      <c r="BK77" s="101">
        <f>SUM(BK76:BK76)</f>
        <v/>
      </c>
      <c r="BL77" s="101">
        <f>SUM(BL76:BL76)</f>
        <v/>
      </c>
      <c r="BM77" s="101">
        <f>SUM(BM76:BM76)</f>
        <v/>
      </c>
      <c r="BN77" s="101">
        <f>SUM(BN76:BN76)</f>
        <v/>
      </c>
      <c r="BO77" s="101">
        <f>SUM(BO76:BO76)</f>
        <v/>
      </c>
      <c r="BP77" s="101">
        <f>SUM(BP76:BP76)</f>
        <v/>
      </c>
      <c r="BQ77" s="101">
        <f>SUM(BQ76:BQ76)</f>
        <v/>
      </c>
      <c r="BR77" s="101">
        <f>SUM(BR76:BR76)</f>
        <v/>
      </c>
      <c r="BS77" s="101">
        <f>SUM(BS76:BS76)</f>
        <v/>
      </c>
      <c r="BT77" s="101">
        <f>SUM(BT76:BT76)</f>
        <v/>
      </c>
      <c r="BU77" s="101">
        <f>SUM(BU76:BU76)</f>
        <v/>
      </c>
      <c r="BV77" s="101">
        <f>SUM(BV76:BV76)</f>
        <v/>
      </c>
      <c r="BW77" s="101">
        <f>SUM(BW76:BW76)</f>
        <v/>
      </c>
      <c r="BX77" s="101">
        <f>SUM(BX76:BX76)</f>
        <v/>
      </c>
      <c r="BY77" s="101">
        <f>SUM(BY76:BY76)</f>
        <v/>
      </c>
      <c r="BZ77" s="101">
        <f>SUM(BZ76:BZ76)</f>
        <v/>
      </c>
      <c r="CA77" s="101">
        <f>SUM(CA76:CA76)</f>
        <v/>
      </c>
      <c r="CB77" s="101">
        <f>SUM(CB76:CB76)</f>
        <v/>
      </c>
      <c r="CC77" s="101">
        <f>SUM(CC76:CC76)</f>
        <v/>
      </c>
      <c r="CD77" s="101">
        <f>SUM(CD76:CD76)</f>
        <v/>
      </c>
      <c r="CE77" s="101">
        <f>SUM(CE76:CE76)</f>
        <v/>
      </c>
      <c r="CF77" s="101">
        <f>SUM(CF76:CF76)</f>
        <v/>
      </c>
      <c r="CG77" s="101">
        <f>SUM(CG76:CG76)</f>
        <v/>
      </c>
      <c r="CH77" s="101">
        <f>SUM(CH76:CH76)</f>
        <v/>
      </c>
      <c r="CI77" s="101">
        <f>SUM(CI76:CI76)</f>
        <v/>
      </c>
      <c r="CJ77" s="101">
        <f>SUM(CJ76:CJ76)</f>
        <v/>
      </c>
      <c r="CK77" s="101">
        <f>SUM(CK76:CK76)</f>
        <v/>
      </c>
      <c r="CL77" s="101">
        <f>SUM(CL76:CL76)</f>
        <v/>
      </c>
      <c r="CM77" s="101">
        <f>SUM(CM76:CM76)</f>
        <v/>
      </c>
      <c r="CN77" s="101">
        <f>SUM(CN76:CN76)</f>
        <v/>
      </c>
      <c r="CO77" s="101">
        <f>SUM(CO76:CO76)</f>
        <v/>
      </c>
      <c r="CP77" s="101">
        <f>SUM(CP76:CP76)</f>
        <v/>
      </c>
      <c r="CQ77" s="101">
        <f>SUM(CQ76:CQ76)</f>
        <v/>
      </c>
      <c r="CR77" s="101">
        <f>SUM(CR76:CR76)</f>
        <v/>
      </c>
      <c r="CS77" s="101">
        <f>SUM(CS76:CS76)</f>
        <v/>
      </c>
      <c r="CT77" s="101">
        <f>SUM(CT76:CT76)</f>
        <v/>
      </c>
      <c r="CU77" s="101">
        <f>SUM(CU76:CU76)</f>
        <v/>
      </c>
      <c r="CV77" s="101">
        <f>SUM(CV76:CV76)</f>
        <v/>
      </c>
      <c r="CW77" s="101">
        <f>SUM(CW76:CW76)</f>
        <v/>
      </c>
      <c r="CX77" s="101">
        <f>SUM(CX76:CX76)</f>
        <v/>
      </c>
      <c r="CY77" s="101">
        <f>SUM(CY76:CY76)</f>
        <v/>
      </c>
      <c r="CZ77" s="101">
        <f>SUM(CZ76:CZ76)</f>
        <v/>
      </c>
      <c r="DA77" s="101">
        <f>SUM(DA76:DA76)</f>
        <v/>
      </c>
      <c r="DB77" s="101">
        <f>SUM(DB76:DB76)</f>
        <v/>
      </c>
      <c r="DC77" s="101">
        <f>SUM(DC76:DC76)</f>
        <v/>
      </c>
      <c r="DD77" s="101">
        <f>SUM(DD76:DD76)</f>
        <v/>
      </c>
      <c r="DE77" s="101">
        <f>SUM(DE76:DE76)</f>
        <v/>
      </c>
      <c r="DF77" s="101">
        <f>SUM(DF76:DF76)</f>
        <v/>
      </c>
      <c r="DG77" s="101">
        <f>SUM(DG76:DG76)</f>
        <v/>
      </c>
      <c r="DH77" s="101">
        <f>SUM(DH76:DH76)</f>
        <v/>
      </c>
      <c r="DI77" s="101">
        <f>SUM(DI76:DI76)</f>
        <v/>
      </c>
      <c r="DJ77" s="101">
        <f>SUM(DJ76:DJ76)</f>
        <v/>
      </c>
      <c r="DK77" s="101">
        <f>SUM(DK76:DK76)</f>
        <v/>
      </c>
      <c r="DL77" s="101">
        <f>SUM(DL76:DL76)</f>
        <v/>
      </c>
      <c r="DM77" s="101">
        <f>SUM(DM76:DM76)</f>
        <v/>
      </c>
      <c r="DN77" s="101">
        <f>SUM(DN76:DN76)</f>
        <v/>
      </c>
      <c r="DO77" s="101">
        <f>SUM(DO76:DO76)</f>
        <v/>
      </c>
      <c r="DP77" s="101">
        <f>SUM(DP76:DP76)</f>
        <v/>
      </c>
      <c r="DQ77" s="101">
        <f>SUM(DQ76:DQ76)</f>
        <v/>
      </c>
      <c r="DR77" s="101">
        <f>SUM(DR76:DR76)</f>
        <v/>
      </c>
      <c r="DS77" s="101">
        <f>SUM(DS76:DS76)</f>
        <v/>
      </c>
      <c r="DT77" s="101">
        <f>SUM(DT76:DT76)</f>
        <v/>
      </c>
      <c r="DU77" s="101">
        <f>SUM(DU76:DU76)</f>
        <v/>
      </c>
      <c r="DV77" s="101">
        <f>SUM(DV76:DV76)</f>
        <v/>
      </c>
      <c r="DW77" s="101">
        <f>SUM(DW76:DW76)</f>
        <v/>
      </c>
      <c r="DX77" s="101">
        <f>SUM(DX76:DX76)</f>
        <v/>
      </c>
      <c r="DY77" s="101">
        <f>SUM(DY76:DY76)</f>
        <v/>
      </c>
      <c r="DZ77" s="101">
        <f>SUM(DZ76:DZ76)</f>
        <v/>
      </c>
      <c r="EA77" s="101">
        <f>SUM(EA76:EA76)</f>
        <v/>
      </c>
      <c r="EB77" s="101">
        <f>SUM(EB76:EB76)</f>
        <v/>
      </c>
      <c r="EC77" s="101">
        <f>SUM(EC76:EC76)</f>
        <v/>
      </c>
      <c r="ED77" s="101">
        <f>SUM(ED76:ED76)</f>
        <v/>
      </c>
      <c r="EE77" s="101">
        <f>SUM(EE76:EE76)</f>
        <v/>
      </c>
      <c r="EF77" s="101">
        <f>SUM(EF76:EF76)</f>
        <v/>
      </c>
      <c r="EG77" s="101">
        <f>SUM(EG76:EG76)</f>
        <v/>
      </c>
      <c r="EH77" s="101">
        <f>SUM(EH76:EH76)</f>
        <v/>
      </c>
      <c r="EI77" s="101">
        <f>SUM(EI76:EI76)</f>
        <v/>
      </c>
      <c r="EJ77" s="101">
        <f>SUM(EJ76:EJ76)</f>
        <v/>
      </c>
      <c r="EK77" s="101">
        <f>SUM(EK76:EK76)</f>
        <v/>
      </c>
      <c r="EL77" s="101">
        <f>SUM(EL76:EL76)</f>
        <v/>
      </c>
      <c r="EM77" s="101">
        <f>SUM(EM76:EM76)</f>
        <v/>
      </c>
      <c r="EN77" s="101">
        <f>SUM(EN76:EN76)</f>
        <v/>
      </c>
      <c r="EO77" s="101">
        <f>SUM(EO76:EO76)</f>
        <v/>
      </c>
      <c r="EP77" s="101">
        <f>SUM(EP76:EP76)</f>
        <v/>
      </c>
      <c r="EQ77" s="101">
        <f>SUM(EQ76:EQ76)</f>
        <v/>
      </c>
      <c r="ER77" s="101">
        <f>SUM(ER76:ER76)</f>
        <v/>
      </c>
      <c r="ES77" s="101">
        <f>SUM(ES76:ES76)</f>
        <v/>
      </c>
      <c r="ET77" s="101">
        <f>SUM(ET76:ET76)</f>
        <v/>
      </c>
      <c r="EU77" s="101">
        <f>SUM(EU76:EU76)</f>
        <v/>
      </c>
      <c r="EV77" s="101">
        <f>SUM(EV76:EV76)</f>
        <v/>
      </c>
      <c r="EW77" s="101">
        <f>SUM(EW76:EW76)</f>
        <v/>
      </c>
      <c r="EX77" s="101">
        <f>SUM(EX76:EX76)</f>
        <v/>
      </c>
      <c r="EY77" s="101">
        <f>SUM(EY76:EY76)</f>
        <v/>
      </c>
      <c r="EZ77" s="101">
        <f>SUM(EZ76:EZ76)</f>
        <v/>
      </c>
      <c r="FA77" s="101">
        <f>SUM(FA76:FA76)</f>
        <v/>
      </c>
      <c r="FB77" s="101">
        <f>SUM(FB76:FB76)</f>
        <v/>
      </c>
    </row>
    <row r="78">
      <c r="B78" s="11" t="inlineStr">
        <is>
          <t>RUBS</t>
        </is>
      </c>
      <c r="C78" s="11" t="n"/>
      <c r="D78" s="206">
        <f>Inputs!C87</f>
        <v/>
      </c>
      <c r="E78" s="208">
        <f>$C$75</f>
        <v/>
      </c>
      <c r="F78" s="48">
        <f>IFERROR(G78/E78/12,0)</f>
        <v/>
      </c>
      <c r="G78" s="48">
        <f>J53*C75*D78</f>
        <v/>
      </c>
      <c r="M78" s="62" t="n"/>
      <c r="N78" s="61" t="n"/>
      <c r="O78" s="61" t="n"/>
      <c r="P78" s="61" t="n"/>
      <c r="Q78" s="61" t="n"/>
      <c r="R78" s="61" t="n"/>
      <c r="S78" s="61" t="n"/>
      <c r="T78" s="61" t="n"/>
      <c r="U78" s="61" t="n"/>
      <c r="V78" s="61" t="n"/>
      <c r="W78" s="61" t="n"/>
      <c r="X78" s="61" t="n"/>
      <c r="Y78" s="62" t="n"/>
    </row>
    <row r="79">
      <c r="B79" s="11" t="inlineStr">
        <is>
          <t>Parking</t>
        </is>
      </c>
      <c r="C79" s="11" t="n"/>
      <c r="D79" s="209" t="n"/>
      <c r="E79" s="210">
        <f>$C$75</f>
        <v/>
      </c>
      <c r="F79" s="211">
        <f>Inputs!C88</f>
        <v/>
      </c>
      <c r="G79" s="103">
        <f>F79*E79*12</f>
        <v/>
      </c>
      <c r="I79" s="71" t="inlineStr">
        <is>
          <t>NOI After Cap Reserve</t>
        </is>
      </c>
      <c r="J79" s="72" t="n"/>
      <c r="K79" s="63" t="n"/>
      <c r="L79" s="71">
        <f>SUMIF($Z$4:$FB$4,"&lt;="&amp;$G$18,$Z79:$FB79)</f>
        <v/>
      </c>
      <c r="M79" s="58" t="n"/>
      <c r="N79" s="71">
        <f>SUMIF($Z$3:$FB$3,N$7,$Z79:$FB79)</f>
        <v/>
      </c>
      <c r="O79" s="71">
        <f>SUMIF($Z$3:$FB$3,O$7,$Z79:$FB79)</f>
        <v/>
      </c>
      <c r="P79" s="71">
        <f>SUMIF($Z$3:$FB$3,P$7,$Z79:$FB79)</f>
        <v/>
      </c>
      <c r="Q79" s="71">
        <f>SUMIF($Z$3:$FB$3,Q$7,$Z79:$FB79)</f>
        <v/>
      </c>
      <c r="R79" s="71">
        <f>SUMIF($Z$3:$FB$3,R$7,$Z79:$FB79)</f>
        <v/>
      </c>
      <c r="S79" s="71">
        <f>SUMIF($Z$3:$FB$3,S$7,$Z79:$FB79)</f>
        <v/>
      </c>
      <c r="T79" s="71">
        <f>SUMIF($Z$3:$FB$3,T$7,$Z79:$FB79)</f>
        <v/>
      </c>
      <c r="U79" s="71">
        <f>SUMIF($Z$3:$FB$3,U$7,$Z79:$FB79)</f>
        <v/>
      </c>
      <c r="V79" s="71">
        <f>SUMIF($Z$3:$FB$3,V$7,$Z79:$FB79)</f>
        <v/>
      </c>
      <c r="W79" s="71">
        <f>SUMIF($Z$3:$FB$3,W$7,$Z79:$FB79)</f>
        <v/>
      </c>
      <c r="X79" s="71">
        <f>SUMIF($Z$3:$FB$3,X$7,$Z79:$FB79)</f>
        <v/>
      </c>
      <c r="Y79" s="58" t="n"/>
      <c r="Z79" s="71">
        <f>(Z73-Z77)*(Z4&lt;=$G$18)</f>
        <v/>
      </c>
      <c r="AA79" s="71">
        <f>(AA73-AA77)*(AA4&lt;=$G$18)</f>
        <v/>
      </c>
      <c r="AB79" s="71">
        <f>(AB73-AB77)*(AB4&lt;=$G$18)</f>
        <v/>
      </c>
      <c r="AC79" s="71">
        <f>(AC73-AC77)*(AC4&lt;=$G$18)</f>
        <v/>
      </c>
      <c r="AD79" s="71">
        <f>(AD73-AD77)*(AD4&lt;=$G$18)</f>
        <v/>
      </c>
      <c r="AE79" s="71">
        <f>(AE73-AE77)*(AE4&lt;=$G$18)</f>
        <v/>
      </c>
      <c r="AF79" s="71">
        <f>(AF73-AF77)*(AF4&lt;=$G$18)</f>
        <v/>
      </c>
      <c r="AG79" s="71">
        <f>(AG73-AG77)*(AG4&lt;=$G$18)</f>
        <v/>
      </c>
      <c r="AH79" s="71">
        <f>(AH73-AH77)*(AH4&lt;=$G$18)</f>
        <v/>
      </c>
      <c r="AI79" s="71">
        <f>(AI73-AI77)*(AI4&lt;=$G$18)</f>
        <v/>
      </c>
      <c r="AJ79" s="71">
        <f>(AJ73-AJ77)*(AJ4&lt;=$G$18)</f>
        <v/>
      </c>
      <c r="AK79" s="71">
        <f>(AK73-AK77)*(AK4&lt;=$G$18)</f>
        <v/>
      </c>
      <c r="AL79" s="71">
        <f>(AL73-AL77)*(AL4&lt;=$G$18)</f>
        <v/>
      </c>
      <c r="AM79" s="71">
        <f>(AM73-AM77)*(AM4&lt;=$G$18)</f>
        <v/>
      </c>
      <c r="AN79" s="71">
        <f>(AN73-AN77)*(AN4&lt;=$G$18)</f>
        <v/>
      </c>
      <c r="AO79" s="71">
        <f>(AO73-AO77)*(AO4&lt;=$G$18)</f>
        <v/>
      </c>
      <c r="AP79" s="71">
        <f>(AP73-AP77)*(AP4&lt;=$G$18)</f>
        <v/>
      </c>
      <c r="AQ79" s="71">
        <f>(AQ73-AQ77)*(AQ4&lt;=$G$18)</f>
        <v/>
      </c>
      <c r="AR79" s="71">
        <f>(AR73-AR77)*(AR4&lt;=$G$18)</f>
        <v/>
      </c>
      <c r="AS79" s="71">
        <f>(AS73-AS77)*(AS4&lt;=$G$18)</f>
        <v/>
      </c>
      <c r="AT79" s="71">
        <f>(AT73-AT77)*(AT4&lt;=$G$18)</f>
        <v/>
      </c>
      <c r="AU79" s="71">
        <f>(AU73-AU77)*(AU4&lt;=$G$18)</f>
        <v/>
      </c>
      <c r="AV79" s="71">
        <f>(AV73-AV77)*(AV4&lt;=$G$18)</f>
        <v/>
      </c>
      <c r="AW79" s="71">
        <f>(AW73-AW77)*(AW4&lt;=$G$18)</f>
        <v/>
      </c>
      <c r="AX79" s="71">
        <f>(AX73-AX77)*(AX4&lt;=$G$18)</f>
        <v/>
      </c>
      <c r="AY79" s="71">
        <f>(AY73-AY77)*(AY4&lt;=$G$18)</f>
        <v/>
      </c>
      <c r="AZ79" s="71">
        <f>(AZ73-AZ77)*(AZ4&lt;=$G$18)</f>
        <v/>
      </c>
      <c r="BA79" s="71">
        <f>(BA73-BA77)*(BA4&lt;=$G$18)</f>
        <v/>
      </c>
      <c r="BB79" s="71">
        <f>(BB73-BB77)*(BB4&lt;=$G$18)</f>
        <v/>
      </c>
      <c r="BC79" s="71">
        <f>(BC73-BC77)*(BC4&lt;=$G$18)</f>
        <v/>
      </c>
      <c r="BD79" s="71">
        <f>(BD73-BD77)*(BD4&lt;=$G$18)</f>
        <v/>
      </c>
      <c r="BE79" s="71">
        <f>(BE73-BE77)*(BE4&lt;=$G$18)</f>
        <v/>
      </c>
      <c r="BF79" s="71">
        <f>(BF73-BF77)*(BF4&lt;=$G$18)</f>
        <v/>
      </c>
      <c r="BG79" s="71">
        <f>(BG73-BG77)*(BG4&lt;=$G$18)</f>
        <v/>
      </c>
      <c r="BH79" s="71">
        <f>(BH73-BH77)*(BH4&lt;=$G$18)</f>
        <v/>
      </c>
      <c r="BI79" s="71">
        <f>(BI73-BI77)*(BI4&lt;=$G$18)</f>
        <v/>
      </c>
      <c r="BJ79" s="71">
        <f>(BJ73-BJ77)*(BJ4&lt;=$G$18)</f>
        <v/>
      </c>
      <c r="BK79" s="71">
        <f>(BK73-BK77)*(BK4&lt;=$G$18)</f>
        <v/>
      </c>
      <c r="BL79" s="71">
        <f>(BL73-BL77)*(BL4&lt;=$G$18)</f>
        <v/>
      </c>
      <c r="BM79" s="71">
        <f>(BM73-BM77)*(BM4&lt;=$G$18)</f>
        <v/>
      </c>
      <c r="BN79" s="71">
        <f>(BN73-BN77)*(BN4&lt;=$G$18)</f>
        <v/>
      </c>
      <c r="BO79" s="71">
        <f>(BO73-BO77)*(BO4&lt;=$G$18)</f>
        <v/>
      </c>
      <c r="BP79" s="71">
        <f>(BP73-BP77)*(BP4&lt;=$G$18)</f>
        <v/>
      </c>
      <c r="BQ79" s="71">
        <f>(BQ73-BQ77)*(BQ4&lt;=$G$18)</f>
        <v/>
      </c>
      <c r="BR79" s="71">
        <f>(BR73-BR77)*(BR4&lt;=$G$18)</f>
        <v/>
      </c>
      <c r="BS79" s="71">
        <f>(BS73-BS77)*(BS4&lt;=$G$18)</f>
        <v/>
      </c>
      <c r="BT79" s="71">
        <f>(BT73-BT77)*(BT4&lt;=$G$18)</f>
        <v/>
      </c>
      <c r="BU79" s="71">
        <f>(BU73-BU77)*(BU4&lt;=$G$18)</f>
        <v/>
      </c>
      <c r="BV79" s="71">
        <f>(BV73-BV77)*(BV4&lt;=$G$18)</f>
        <v/>
      </c>
      <c r="BW79" s="71">
        <f>(BW73-BW77)*(BW4&lt;=$G$18)</f>
        <v/>
      </c>
      <c r="BX79" s="71">
        <f>(BX73-BX77)*(BX4&lt;=$G$18)</f>
        <v/>
      </c>
      <c r="BY79" s="71">
        <f>(BY73-BY77)*(BY4&lt;=$G$18)</f>
        <v/>
      </c>
      <c r="BZ79" s="71">
        <f>(BZ73-BZ77)*(BZ4&lt;=$G$18)</f>
        <v/>
      </c>
      <c r="CA79" s="71">
        <f>(CA73-CA77)*(CA4&lt;=$G$18)</f>
        <v/>
      </c>
      <c r="CB79" s="71">
        <f>(CB73-CB77)*(CB4&lt;=$G$18)</f>
        <v/>
      </c>
      <c r="CC79" s="71">
        <f>(CC73-CC77)*(CC4&lt;=$G$18)</f>
        <v/>
      </c>
      <c r="CD79" s="71">
        <f>(CD73-CD77)*(CD4&lt;=$G$18)</f>
        <v/>
      </c>
      <c r="CE79" s="71">
        <f>(CE73-CE77)*(CE4&lt;=$G$18)</f>
        <v/>
      </c>
      <c r="CF79" s="71">
        <f>(CF73-CF77)*(CF4&lt;=$G$18)</f>
        <v/>
      </c>
      <c r="CG79" s="71">
        <f>(CG73-CG77)*(CG4&lt;=$G$18)</f>
        <v/>
      </c>
      <c r="CH79" s="71">
        <f>(CH73-CH77)*(CH4&lt;=$G$18)</f>
        <v/>
      </c>
      <c r="CI79" s="71">
        <f>(CI73-CI77)*(CI4&lt;=$G$18)</f>
        <v/>
      </c>
      <c r="CJ79" s="71">
        <f>(CJ73-CJ77)*(CJ4&lt;=$G$18)</f>
        <v/>
      </c>
      <c r="CK79" s="71">
        <f>(CK73-CK77)*(CK4&lt;=$G$18)</f>
        <v/>
      </c>
      <c r="CL79" s="71">
        <f>(CL73-CL77)*(CL4&lt;=$G$18)</f>
        <v/>
      </c>
      <c r="CM79" s="71">
        <f>(CM73-CM77)*(CM4&lt;=$G$18)</f>
        <v/>
      </c>
      <c r="CN79" s="71">
        <f>(CN73-CN77)*(CN4&lt;=$G$18)</f>
        <v/>
      </c>
      <c r="CO79" s="71">
        <f>(CO73-CO77)*(CO4&lt;=$G$18)</f>
        <v/>
      </c>
      <c r="CP79" s="71">
        <f>(CP73-CP77)*(CP4&lt;=$G$18)</f>
        <v/>
      </c>
      <c r="CQ79" s="71">
        <f>(CQ73-CQ77)*(CQ4&lt;=$G$18)</f>
        <v/>
      </c>
      <c r="CR79" s="71">
        <f>(CR73-CR77)*(CR4&lt;=$G$18)</f>
        <v/>
      </c>
      <c r="CS79" s="71">
        <f>(CS73-CS77)*(CS4&lt;=$G$18)</f>
        <v/>
      </c>
      <c r="CT79" s="71">
        <f>(CT73-CT77)*(CT4&lt;=$G$18)</f>
        <v/>
      </c>
      <c r="CU79" s="71">
        <f>(CU73-CU77)*(CU4&lt;=$G$18)</f>
        <v/>
      </c>
      <c r="CV79" s="71">
        <f>(CV73-CV77)*(CV4&lt;=$G$18)</f>
        <v/>
      </c>
      <c r="CW79" s="71">
        <f>(CW73-CW77)*(CW4&lt;=$G$18)</f>
        <v/>
      </c>
      <c r="CX79" s="71">
        <f>(CX73-CX77)*(CX4&lt;=$G$18)</f>
        <v/>
      </c>
      <c r="CY79" s="71">
        <f>(CY73-CY77)*(CY4&lt;=$G$18)</f>
        <v/>
      </c>
      <c r="CZ79" s="71">
        <f>(CZ73-CZ77)*(CZ4&lt;=$G$18)</f>
        <v/>
      </c>
      <c r="DA79" s="71">
        <f>(DA73-DA77)*(DA4&lt;=$G$18)</f>
        <v/>
      </c>
      <c r="DB79" s="71">
        <f>(DB73-DB77)*(DB4&lt;=$G$18)</f>
        <v/>
      </c>
      <c r="DC79" s="71">
        <f>(DC73-DC77)*(DC4&lt;=$G$18)</f>
        <v/>
      </c>
      <c r="DD79" s="71">
        <f>(DD73-DD77)*(DD4&lt;=$G$18)</f>
        <v/>
      </c>
      <c r="DE79" s="71">
        <f>(DE73-DE77)*(DE4&lt;=$G$18)</f>
        <v/>
      </c>
      <c r="DF79" s="71">
        <f>(DF73-DF77)*(DF4&lt;=$G$18)</f>
        <v/>
      </c>
      <c r="DG79" s="71">
        <f>(DG73-DG77)*(DG4&lt;=$G$18)</f>
        <v/>
      </c>
      <c r="DH79" s="71">
        <f>(DH73-DH77)*(DH4&lt;=$G$18)</f>
        <v/>
      </c>
      <c r="DI79" s="71">
        <f>(DI73-DI77)*(DI4&lt;=$G$18)</f>
        <v/>
      </c>
      <c r="DJ79" s="71">
        <f>(DJ73-DJ77)*(DJ4&lt;=$G$18)</f>
        <v/>
      </c>
      <c r="DK79" s="71">
        <f>(DK73-DK77)*(DK4&lt;=$G$18)</f>
        <v/>
      </c>
      <c r="DL79" s="71">
        <f>(DL73-DL77)*(DL4&lt;=$G$18)</f>
        <v/>
      </c>
      <c r="DM79" s="71">
        <f>(DM73-DM77)*(DM4&lt;=$G$18)</f>
        <v/>
      </c>
      <c r="DN79" s="71">
        <f>(DN73-DN77)*(DN4&lt;=$G$18)</f>
        <v/>
      </c>
      <c r="DO79" s="71">
        <f>(DO73-DO77)*(DO4&lt;=$G$18)</f>
        <v/>
      </c>
      <c r="DP79" s="71">
        <f>(DP73-DP77)*(DP4&lt;=$G$18)</f>
        <v/>
      </c>
      <c r="DQ79" s="71">
        <f>(DQ73-DQ77)*(DQ4&lt;=$G$18)</f>
        <v/>
      </c>
      <c r="DR79" s="71">
        <f>(DR73-DR77)*(DR4&lt;=$G$18)</f>
        <v/>
      </c>
      <c r="DS79" s="71">
        <f>(DS73-DS77)*(DS4&lt;=$G$18)</f>
        <v/>
      </c>
      <c r="DT79" s="71">
        <f>(DT73-DT77)*(DT4&lt;=$G$18)</f>
        <v/>
      </c>
      <c r="DU79" s="71">
        <f>(DU73-DU77)*(DU4&lt;=$G$18)</f>
        <v/>
      </c>
      <c r="DV79" s="71">
        <f>(DV73-DV77)*(DV4&lt;=$G$18)</f>
        <v/>
      </c>
      <c r="DW79" s="71">
        <f>(DW73-DW77)*(DW4&lt;=$G$18)</f>
        <v/>
      </c>
      <c r="DX79" s="71">
        <f>(DX73-DX77)*(DX4&lt;=$G$18)</f>
        <v/>
      </c>
      <c r="DY79" s="71">
        <f>(DY73-DY77)*(DY4&lt;=$G$18)</f>
        <v/>
      </c>
      <c r="DZ79" s="71">
        <f>(DZ73-DZ77)*(DZ4&lt;=$G$18)</f>
        <v/>
      </c>
      <c r="EA79" s="71">
        <f>(EA73-EA77)*(EA4&lt;=$G$18)</f>
        <v/>
      </c>
      <c r="EB79" s="71">
        <f>(EB73-EB77)*(EB4&lt;=$G$18)</f>
        <v/>
      </c>
      <c r="EC79" s="71">
        <f>(EC73-EC77)*(EC4&lt;=$G$18)</f>
        <v/>
      </c>
      <c r="ED79" s="71">
        <f>(ED73-ED77)*(ED4&lt;=$G$18)</f>
        <v/>
      </c>
      <c r="EE79" s="71">
        <f>(EE73-EE77)*(EE4&lt;=$G$18)</f>
        <v/>
      </c>
      <c r="EF79" s="71">
        <f>(EF73-EF77)*(EF4&lt;=$G$18)</f>
        <v/>
      </c>
      <c r="EG79" s="71">
        <f>(EG73-EG77)*(EG4&lt;=$G$18)</f>
        <v/>
      </c>
      <c r="EH79" s="71">
        <f>(EH73-EH77)*(EH4&lt;=$G$18)</f>
        <v/>
      </c>
      <c r="EI79" s="71">
        <f>(EI73-EI77)*(EI4&lt;=$G$18)</f>
        <v/>
      </c>
      <c r="EJ79" s="71">
        <f>(EJ73-EJ77)*(EJ4&lt;=$G$18)</f>
        <v/>
      </c>
      <c r="EK79" s="71">
        <f>(EK73-EK77)*(EK4&lt;=$G$18)</f>
        <v/>
      </c>
      <c r="EL79" s="71">
        <f>(EL73-EL77)*(EL4&lt;=$G$18)</f>
        <v/>
      </c>
      <c r="EM79" s="71">
        <f>(EM73-EM77)*(EM4&lt;=$G$18)</f>
        <v/>
      </c>
      <c r="EN79" s="71">
        <f>(EN73-EN77)*(EN4&lt;=$G$18)</f>
        <v/>
      </c>
      <c r="EO79" s="71">
        <f>(EO73-EO77)*(EO4&lt;=$G$18)</f>
        <v/>
      </c>
      <c r="EP79" s="71">
        <f>(EP73-EP77)*(EP4&lt;=$G$18)</f>
        <v/>
      </c>
      <c r="EQ79" s="71">
        <f>(EQ73-EQ77)*(EQ4&lt;=$G$18)</f>
        <v/>
      </c>
      <c r="ER79" s="71">
        <f>(ER73-ER77)*(ER4&lt;=$G$18)</f>
        <v/>
      </c>
      <c r="ES79" s="71">
        <f>(ES73-ES77)*(ES4&lt;=$G$18)</f>
        <v/>
      </c>
      <c r="ET79" s="71">
        <f>(ET73-ET77)*(ET4&lt;=$G$18)</f>
        <v/>
      </c>
      <c r="EU79" s="71">
        <f>(EU73-EU77)*(EU4&lt;=$G$18)</f>
        <v/>
      </c>
      <c r="EV79" s="71">
        <f>(EV73-EV77)*(EV4&lt;=$G$18)</f>
        <v/>
      </c>
      <c r="EW79" s="71">
        <f>(EW73-EW77)*(EW4&lt;=$G$18)</f>
        <v/>
      </c>
      <c r="EX79" s="71">
        <f>(EX73-EX77)*(EX4&lt;=$G$18)</f>
        <v/>
      </c>
      <c r="EY79" s="71">
        <f>(EY73-EY77)*(EY4&lt;=$G$18)</f>
        <v/>
      </c>
      <c r="EZ79" s="71">
        <f>(EZ73-EZ77)*(EZ4&lt;=$G$18)</f>
        <v/>
      </c>
      <c r="FA79" s="71">
        <f>(FA73-FA77)*(FA4&lt;=$G$18)</f>
        <v/>
      </c>
      <c r="FB79" s="71">
        <f>(FB73-FB77)*(FB4&lt;=$G$18)</f>
        <v/>
      </c>
    </row>
    <row r="80">
      <c r="B80" s="104" t="inlineStr">
        <is>
          <t>Other</t>
        </is>
      </c>
      <c r="C80" s="104" t="n"/>
      <c r="D80" s="177">
        <f>G80/$G$75</f>
        <v/>
      </c>
      <c r="E80" s="207">
        <f>$C$75</f>
        <v/>
      </c>
      <c r="F80" s="175">
        <f>Inputs!C89</f>
        <v/>
      </c>
      <c r="G80" s="105">
        <f>E80*F80*12</f>
        <v/>
      </c>
      <c r="I80" s="15" t="n"/>
      <c r="N80" s="31">
        <f>IFERROR(N79/N38,0)</f>
        <v/>
      </c>
      <c r="O80" s="31">
        <f>IFERROR(O79/O38,0)</f>
        <v/>
      </c>
      <c r="P80" s="31">
        <f>IFERROR(P79/P38,0)</f>
        <v/>
      </c>
      <c r="Q80" s="31">
        <f>IFERROR(Q79/Q38,0)</f>
        <v/>
      </c>
      <c r="R80" s="31">
        <f>IFERROR(R79/R38,0)</f>
        <v/>
      </c>
      <c r="S80" s="31">
        <f>IFERROR(S79/S38,0)</f>
        <v/>
      </c>
      <c r="T80" s="31">
        <f>IFERROR(T79/T38,0)</f>
        <v/>
      </c>
      <c r="U80" s="31">
        <f>IFERROR(U79/U38,0)</f>
        <v/>
      </c>
      <c r="V80" s="31">
        <f>IFERROR(V79/V38,0)</f>
        <v/>
      </c>
      <c r="W80" s="31">
        <f>IFERROR(W79/W38,0)</f>
        <v/>
      </c>
      <c r="X80" s="31">
        <f>IFERROR(X79/X38,0)</f>
        <v/>
      </c>
    </row>
    <row r="81">
      <c r="B81" s="93" t="inlineStr">
        <is>
          <t>Total Other Income</t>
        </is>
      </c>
      <c r="C81" s="93" t="n"/>
      <c r="D81" s="176">
        <f>G81/$G$75</f>
        <v/>
      </c>
      <c r="E81" s="93" t="n"/>
      <c r="F81" s="162" t="n"/>
      <c r="G81" s="163">
        <f>SUM(G78:G80)</f>
        <v/>
      </c>
      <c r="I81" s="9" t="inlineStr">
        <is>
          <t>Operating Shortfall</t>
        </is>
      </c>
      <c r="L81" s="46">
        <f>SUMIF($Z$4:$FB$4,"&lt;="&amp;$G$18,$Z81:$FB81)</f>
        <v/>
      </c>
      <c r="M81" s="62" t="n"/>
      <c r="N81" s="61">
        <f>SUMIF($Z$3:$FB$3,N$7,$Z81:$FB81)</f>
        <v/>
      </c>
      <c r="O81" s="61">
        <f>SUMIF($Z$3:$FB$3,O$7,$Z81:$FB81)</f>
        <v/>
      </c>
      <c r="P81" s="61">
        <f>SUMIF($Z$3:$FB$3,P$7,$Z81:$FB81)</f>
        <v/>
      </c>
      <c r="Q81" s="61">
        <f>SUMIF($Z$3:$FB$3,Q$7,$Z81:$FB81)</f>
        <v/>
      </c>
      <c r="R81" s="61">
        <f>SUMIF($Z$3:$FB$3,R$7,$Z81:$FB81)</f>
        <v/>
      </c>
      <c r="S81" s="61">
        <f>SUMIF($Z$3:$FB$3,S$7,$Z81:$FB81)</f>
        <v/>
      </c>
      <c r="T81" s="61">
        <f>SUMIF($Z$3:$FB$3,T$7,$Z81:$FB81)</f>
        <v/>
      </c>
      <c r="U81" s="61">
        <f>SUMIF($Z$3:$FB$3,U$7,$Z81:$FB81)</f>
        <v/>
      </c>
      <c r="V81" s="61">
        <f>SUMIF($Z$3:$FB$3,V$7,$Z81:$FB81)</f>
        <v/>
      </c>
      <c r="W81" s="61">
        <f>SUMIF($Z$3:$FB$3,W$7,$Z81:$FB81)</f>
        <v/>
      </c>
      <c r="X81" s="61">
        <f>SUMIF($Z$3:$FB$3,X$7,$Z81:$FB81)</f>
        <v/>
      </c>
      <c r="Y81" s="62" t="n"/>
      <c r="Z81" s="24">
        <f>IF(Z6&lt;=$F$18,MIN(Z79,0),0)</f>
        <v/>
      </c>
      <c r="AA81" s="24">
        <f>AA79*(AA79&lt;0)</f>
        <v/>
      </c>
      <c r="AB81" s="24">
        <f>AB79*(AB79&lt;0)</f>
        <v/>
      </c>
      <c r="AC81" s="24">
        <f>AC79*(AC79&lt;0)</f>
        <v/>
      </c>
      <c r="AD81" s="24">
        <f>AD79*(AD79&lt;0)</f>
        <v/>
      </c>
      <c r="AE81" s="24">
        <f>AE79*(AE79&lt;0)</f>
        <v/>
      </c>
      <c r="AF81" s="24">
        <f>AF79*(AF79&lt;0)</f>
        <v/>
      </c>
      <c r="AG81" s="24">
        <f>AG79*(AG79&lt;0)</f>
        <v/>
      </c>
      <c r="AH81" s="24">
        <f>AH79*(AH79&lt;0)</f>
        <v/>
      </c>
      <c r="AI81" s="24">
        <f>AI79*(AI79&lt;0)</f>
        <v/>
      </c>
      <c r="AJ81" s="24">
        <f>AJ79*(AJ79&lt;0)</f>
        <v/>
      </c>
      <c r="AK81" s="24">
        <f>AK79*(AK79&lt;0)</f>
        <v/>
      </c>
      <c r="AL81" s="24">
        <f>AL79*(AL79&lt;0)</f>
        <v/>
      </c>
      <c r="AM81" s="24">
        <f>AM79*(AM79&lt;0)</f>
        <v/>
      </c>
      <c r="AN81" s="24">
        <f>AN79*(AN79&lt;0)</f>
        <v/>
      </c>
      <c r="AO81" s="24">
        <f>AO79*(AO79&lt;0)</f>
        <v/>
      </c>
      <c r="AP81" s="24">
        <f>AP79*(AP79&lt;0)</f>
        <v/>
      </c>
      <c r="AQ81" s="24">
        <f>AQ79*(AQ79&lt;0)</f>
        <v/>
      </c>
      <c r="AR81" s="24">
        <f>AR79*(AR79&lt;0)</f>
        <v/>
      </c>
      <c r="AS81" s="24">
        <f>AS79*(AS79&lt;0)</f>
        <v/>
      </c>
      <c r="AT81" s="24">
        <f>AT79*(AT79&lt;0)</f>
        <v/>
      </c>
      <c r="AU81" s="24">
        <f>AU79*(AU79&lt;0)</f>
        <v/>
      </c>
      <c r="AV81" s="24">
        <f>AV79*(AV79&lt;0)</f>
        <v/>
      </c>
      <c r="AW81" s="24">
        <f>AW79*(AW79&lt;0)</f>
        <v/>
      </c>
      <c r="AX81" s="24">
        <f>AX79*(AX79&lt;0)</f>
        <v/>
      </c>
      <c r="AY81" s="24">
        <f>AY79*(AY79&lt;0)</f>
        <v/>
      </c>
      <c r="AZ81" s="24">
        <f>AZ79*(AZ79&lt;0)</f>
        <v/>
      </c>
      <c r="BA81" s="24">
        <f>BA79*(BA79&lt;0)</f>
        <v/>
      </c>
      <c r="BB81" s="24">
        <f>BB79*(BB79&lt;0)</f>
        <v/>
      </c>
      <c r="BC81" s="24">
        <f>BC79*(BC79&lt;0)</f>
        <v/>
      </c>
      <c r="BD81" s="24">
        <f>BD79*(BD79&lt;0)</f>
        <v/>
      </c>
      <c r="BE81" s="24">
        <f>BE79*(BE79&lt;0)</f>
        <v/>
      </c>
      <c r="BF81" s="24">
        <f>BF79*(BF79&lt;0)</f>
        <v/>
      </c>
      <c r="BG81" s="24">
        <f>BG79*(BG79&lt;0)</f>
        <v/>
      </c>
      <c r="BH81" s="24">
        <f>BH79*(BH79&lt;0)</f>
        <v/>
      </c>
      <c r="BI81" s="24">
        <f>BI79*(BI79&lt;0)</f>
        <v/>
      </c>
      <c r="BJ81" s="24">
        <f>BJ79*(BJ79&lt;0)</f>
        <v/>
      </c>
      <c r="BK81" s="24">
        <f>BK79*(BK79&lt;0)</f>
        <v/>
      </c>
      <c r="BL81" s="24">
        <f>BL79*(BL79&lt;0)</f>
        <v/>
      </c>
      <c r="BM81" s="24">
        <f>BM79*(BM79&lt;0)</f>
        <v/>
      </c>
      <c r="BN81" s="24">
        <f>BN79*(BN79&lt;0)</f>
        <v/>
      </c>
      <c r="BO81" s="24">
        <f>BO79*(BO79&lt;0)</f>
        <v/>
      </c>
      <c r="BP81" s="24">
        <f>BP79*(BP79&lt;0)</f>
        <v/>
      </c>
      <c r="BQ81" s="24">
        <f>BQ79*(BQ79&lt;0)</f>
        <v/>
      </c>
      <c r="BR81" s="24">
        <f>BR79*(BR79&lt;0)</f>
        <v/>
      </c>
      <c r="BS81" s="24">
        <f>BS79*(BS79&lt;0)</f>
        <v/>
      </c>
      <c r="BT81" s="24">
        <f>BT79*(BT79&lt;0)</f>
        <v/>
      </c>
      <c r="BU81" s="24">
        <f>BU79*(BU79&lt;0)</f>
        <v/>
      </c>
      <c r="BV81" s="24">
        <f>BV79*(BV79&lt;0)</f>
        <v/>
      </c>
      <c r="BW81" s="24">
        <f>BW79*(BW79&lt;0)</f>
        <v/>
      </c>
      <c r="BX81" s="24">
        <f>BX79*(BX79&lt;0)</f>
        <v/>
      </c>
      <c r="BY81" s="24">
        <f>BY79*(BY79&lt;0)</f>
        <v/>
      </c>
      <c r="BZ81" s="24">
        <f>BZ79*(BZ79&lt;0)</f>
        <v/>
      </c>
      <c r="CA81" s="24">
        <f>CA79*(CA79&lt;0)</f>
        <v/>
      </c>
      <c r="CB81" s="24">
        <f>CB79*(CB79&lt;0)</f>
        <v/>
      </c>
      <c r="CC81" s="24">
        <f>CC79*(CC79&lt;0)</f>
        <v/>
      </c>
      <c r="CD81" s="24">
        <f>CD79*(CD79&lt;0)</f>
        <v/>
      </c>
      <c r="CE81" s="24">
        <f>CE79*(CE79&lt;0)</f>
        <v/>
      </c>
      <c r="CF81" s="24">
        <f>CF79*(CF79&lt;0)</f>
        <v/>
      </c>
      <c r="CG81" s="24">
        <f>CG79*(CG79&lt;0)</f>
        <v/>
      </c>
      <c r="CH81" s="24">
        <f>CH79*(CH79&lt;0)</f>
        <v/>
      </c>
      <c r="CI81" s="24">
        <f>CI79*(CI79&lt;0)</f>
        <v/>
      </c>
      <c r="CJ81" s="24">
        <f>CJ79*(CJ79&lt;0)</f>
        <v/>
      </c>
      <c r="CK81" s="24">
        <f>CK79*(CK79&lt;0)</f>
        <v/>
      </c>
      <c r="CL81" s="24">
        <f>CL79*(CL79&lt;0)</f>
        <v/>
      </c>
      <c r="CM81" s="24">
        <f>CM79*(CM79&lt;0)</f>
        <v/>
      </c>
      <c r="CN81" s="24">
        <f>CN79*(CN79&lt;0)</f>
        <v/>
      </c>
      <c r="CO81" s="24">
        <f>CO79*(CO79&lt;0)</f>
        <v/>
      </c>
      <c r="CP81" s="24">
        <f>CP79*(CP79&lt;0)</f>
        <v/>
      </c>
      <c r="CQ81" s="24">
        <f>CQ79*(CQ79&lt;0)</f>
        <v/>
      </c>
      <c r="CR81" s="24">
        <f>CR79*(CR79&lt;0)</f>
        <v/>
      </c>
      <c r="CS81" s="24">
        <f>CS79*(CS79&lt;0)</f>
        <v/>
      </c>
      <c r="CT81" s="24">
        <f>CT79*(CT79&lt;0)</f>
        <v/>
      </c>
      <c r="CU81" s="24">
        <f>CU79*(CU79&lt;0)</f>
        <v/>
      </c>
      <c r="CV81" s="24">
        <f>CV79*(CV79&lt;0)</f>
        <v/>
      </c>
      <c r="CW81" s="24">
        <f>CW79*(CW79&lt;0)</f>
        <v/>
      </c>
      <c r="CX81" s="24">
        <f>CX79*(CX79&lt;0)</f>
        <v/>
      </c>
      <c r="CY81" s="24">
        <f>CY79*(CY79&lt;0)</f>
        <v/>
      </c>
      <c r="CZ81" s="24">
        <f>CZ79*(CZ79&lt;0)</f>
        <v/>
      </c>
      <c r="DA81" s="24">
        <f>DA79*(DA79&lt;0)</f>
        <v/>
      </c>
      <c r="DB81" s="24">
        <f>DB79*(DB79&lt;0)</f>
        <v/>
      </c>
      <c r="DC81" s="24">
        <f>DC79*(DC79&lt;0)</f>
        <v/>
      </c>
      <c r="DD81" s="24">
        <f>DD79*(DD79&lt;0)</f>
        <v/>
      </c>
      <c r="DE81" s="24">
        <f>DE79*(DE79&lt;0)</f>
        <v/>
      </c>
      <c r="DF81" s="24">
        <f>DF79*(DF79&lt;0)</f>
        <v/>
      </c>
      <c r="DG81" s="24">
        <f>DG79*(DG79&lt;0)</f>
        <v/>
      </c>
      <c r="DH81" s="24">
        <f>DH79*(DH79&lt;0)</f>
        <v/>
      </c>
      <c r="DI81" s="24">
        <f>DI79*(DI79&lt;0)</f>
        <v/>
      </c>
      <c r="DJ81" s="24">
        <f>DJ79*(DJ79&lt;0)</f>
        <v/>
      </c>
      <c r="DK81" s="24">
        <f>DK79*(DK79&lt;0)</f>
        <v/>
      </c>
      <c r="DL81" s="24">
        <f>DL79*(DL79&lt;0)</f>
        <v/>
      </c>
      <c r="DM81" s="24">
        <f>DM79*(DM79&lt;0)</f>
        <v/>
      </c>
      <c r="DN81" s="24">
        <f>DN79*(DN79&lt;0)</f>
        <v/>
      </c>
      <c r="DO81" s="24">
        <f>DO79*(DO79&lt;0)</f>
        <v/>
      </c>
      <c r="DP81" s="24">
        <f>DP79*(DP79&lt;0)</f>
        <v/>
      </c>
      <c r="DQ81" s="24">
        <f>DQ79*(DQ79&lt;0)</f>
        <v/>
      </c>
      <c r="DR81" s="24">
        <f>DR79*(DR79&lt;0)</f>
        <v/>
      </c>
      <c r="DS81" s="24">
        <f>DS79*(DS79&lt;0)</f>
        <v/>
      </c>
      <c r="DT81" s="24">
        <f>DT79*(DT79&lt;0)</f>
        <v/>
      </c>
      <c r="DU81" s="24">
        <f>DU79*(DU79&lt;0)</f>
        <v/>
      </c>
      <c r="DV81" s="24">
        <f>DV79*(DV79&lt;0)</f>
        <v/>
      </c>
      <c r="DW81" s="24">
        <f>DW79*(DW79&lt;0)</f>
        <v/>
      </c>
      <c r="DX81" s="24">
        <f>DX79*(DX79&lt;0)</f>
        <v/>
      </c>
      <c r="DY81" s="24">
        <f>DY79*(DY79&lt;0)</f>
        <v/>
      </c>
      <c r="DZ81" s="24">
        <f>DZ79*(DZ79&lt;0)</f>
        <v/>
      </c>
      <c r="EA81" s="24">
        <f>EA79*(EA79&lt;0)</f>
        <v/>
      </c>
      <c r="EB81" s="24">
        <f>EB79*(EB79&lt;0)</f>
        <v/>
      </c>
      <c r="EC81" s="24">
        <f>EC79*(EC79&lt;0)</f>
        <v/>
      </c>
      <c r="ED81" s="24">
        <f>ED79*(ED79&lt;0)</f>
        <v/>
      </c>
      <c r="EE81" s="24">
        <f>EE79*(EE79&lt;0)</f>
        <v/>
      </c>
      <c r="EF81" s="24">
        <f>EF79*(EF79&lt;0)</f>
        <v/>
      </c>
      <c r="EG81" s="24">
        <f>EG79*(EG79&lt;0)</f>
        <v/>
      </c>
      <c r="EH81" s="24">
        <f>EH79*(EH79&lt;0)</f>
        <v/>
      </c>
      <c r="EI81" s="24">
        <f>EI79*(EI79&lt;0)</f>
        <v/>
      </c>
      <c r="EJ81" s="24">
        <f>EJ79*(EJ79&lt;0)</f>
        <v/>
      </c>
      <c r="EK81" s="24">
        <f>EK79*(EK79&lt;0)</f>
        <v/>
      </c>
      <c r="EL81" s="24">
        <f>EL79*(EL79&lt;0)</f>
        <v/>
      </c>
      <c r="EM81" s="24">
        <f>EM79*(EM79&lt;0)</f>
        <v/>
      </c>
      <c r="EN81" s="24">
        <f>EN79*(EN79&lt;0)</f>
        <v/>
      </c>
      <c r="EO81" s="24">
        <f>EO79*(EO79&lt;0)</f>
        <v/>
      </c>
      <c r="EP81" s="24">
        <f>EP79*(EP79&lt;0)</f>
        <v/>
      </c>
      <c r="EQ81" s="24">
        <f>EQ79*(EQ79&lt;0)</f>
        <v/>
      </c>
      <c r="ER81" s="24">
        <f>ER79*(ER79&lt;0)</f>
        <v/>
      </c>
      <c r="ES81" s="24">
        <f>ES79*(ES79&lt;0)</f>
        <v/>
      </c>
      <c r="ET81" s="24">
        <f>ET79*(ET79&lt;0)</f>
        <v/>
      </c>
      <c r="EU81" s="24">
        <f>EU79*(EU79&lt;0)</f>
        <v/>
      </c>
      <c r="EV81" s="24">
        <f>EV79*(EV79&lt;0)</f>
        <v/>
      </c>
      <c r="EW81" s="24">
        <f>EW79*(EW79&lt;0)</f>
        <v/>
      </c>
      <c r="EX81" s="24">
        <f>EX79*(EX79&lt;0)</f>
        <v/>
      </c>
      <c r="EY81" s="24">
        <f>EY79*(EY79&lt;0)</f>
        <v/>
      </c>
      <c r="EZ81" s="24">
        <f>EZ79*(EZ79&lt;0)</f>
        <v/>
      </c>
      <c r="FA81" s="24">
        <f>FA79*(FA79&lt;0)</f>
        <v/>
      </c>
      <c r="FB81" s="24">
        <f>FB79*(FB79&lt;0)</f>
        <v/>
      </c>
    </row>
    <row r="82">
      <c r="A82" s="46" t="n"/>
      <c r="B82" s="11" t="n"/>
      <c r="C82" s="11" t="n"/>
      <c r="D82" s="11" t="n"/>
      <c r="E82" s="11" t="n"/>
      <c r="F82" s="11" t="n"/>
      <c r="G82" s="11" t="n"/>
      <c r="H82" s="63" t="n"/>
      <c r="I82" s="15" t="n"/>
    </row>
    <row r="83" customFormat="1" s="24">
      <c r="A83" s="9" t="n"/>
      <c r="B83" s="35" t="inlineStr">
        <is>
          <t>Income Adjustments</t>
        </is>
      </c>
      <c r="C83" s="45">
        <f>IF(MONTH(D15)=12,YEAR(D15)+1,YEAR(D15))</f>
        <v/>
      </c>
      <c r="D83" s="45">
        <f>C83+1</f>
        <v/>
      </c>
      <c r="E83" s="45">
        <f>D83+1</f>
        <v/>
      </c>
      <c r="F83" s="45">
        <f>E83+1</f>
        <v/>
      </c>
      <c r="G83" s="106">
        <f>F83+1</f>
        <v/>
      </c>
      <c r="H83" s="11" t="n"/>
      <c r="I83" s="9" t="inlineStr">
        <is>
          <t>TTM NOI</t>
        </is>
      </c>
      <c r="J83" s="9" t="n"/>
      <c r="K83" s="11" t="n"/>
      <c r="L83" s="24">
        <f>INDEX($Z$83:$FB$83,MATCH(G18,$Z$4:$FB$4,0))</f>
        <v/>
      </c>
      <c r="M83" s="62" t="n"/>
      <c r="N83" s="61">
        <f>SUMIF($Z$3:$FB$3,N$7,$Z83:$FB83)</f>
        <v/>
      </c>
      <c r="O83" s="61">
        <f>SUMIF($Z$3:$FB$3,O$7,$Z83:$FB83)</f>
        <v/>
      </c>
      <c r="P83" s="61">
        <f>SUMIF($Z$3:$FB$3,P$7,$Z83:$FB83)</f>
        <v/>
      </c>
      <c r="Q83" s="61">
        <f>SUMIF($Z$3:$FB$3,Q$7,$Z83:$FB83)</f>
        <v/>
      </c>
      <c r="R83" s="61">
        <f>SUMIF($Z$3:$FB$3,R$7,$Z83:$FB83)</f>
        <v/>
      </c>
      <c r="S83" s="61">
        <f>SUMIF($Z$3:$FB$3,S$7,$Z83:$FB83)</f>
        <v/>
      </c>
      <c r="T83" s="61">
        <f>SUMIF($Z$3:$FB$3,T$7,$Z83:$FB83)</f>
        <v/>
      </c>
      <c r="U83" s="61">
        <f>SUMIF($Z$3:$FB$3,U$7,$Z83:$FB83)</f>
        <v/>
      </c>
      <c r="V83" s="61">
        <f>SUMIF($Z$3:$FB$3,V$7,$Z83:$FB83)</f>
        <v/>
      </c>
      <c r="W83" s="61">
        <f>SUMIF($Z$3:$FB$3,W$7,$Z83:$FB83)</f>
        <v/>
      </c>
      <c r="X83" s="61">
        <f>SUMIF($Z$3:$FB$3,X$7,$Z83:$FB83)</f>
        <v/>
      </c>
      <c r="Y83" s="62" t="n"/>
      <c r="Z83" s="24">
        <f>IF(Z$4&gt;12,SUM(OFFSET(Z79,,,,-12)),0)</f>
        <v/>
      </c>
      <c r="AA83" s="24">
        <f>IF(AA$4&gt;12,SUM(OFFSET(AA79,,,,-12)),0)</f>
        <v/>
      </c>
      <c r="AB83" s="24">
        <f>IF(AB$4&gt;12,SUM(OFFSET(AB79,,,,-12)),0)</f>
        <v/>
      </c>
      <c r="AC83" s="24">
        <f>IF(AC$4&gt;12,SUM(OFFSET(AC79,,,,-12)),0)</f>
        <v/>
      </c>
      <c r="AD83" s="24">
        <f>IF(AD$4&gt;12,SUM(OFFSET(AD79,,,,-12)),0)</f>
        <v/>
      </c>
      <c r="AE83" s="24">
        <f>IF(AE$4&gt;12,SUM(OFFSET(AE79,,,,-12)),0)</f>
        <v/>
      </c>
      <c r="AF83" s="24">
        <f>IF(AF$4&gt;12,SUM(OFFSET(AF79,,,,-12)),0)</f>
        <v/>
      </c>
      <c r="AG83" s="24">
        <f>IF(AG$4&gt;12,SUM(OFFSET(AG79,,,,-12)),0)</f>
        <v/>
      </c>
      <c r="AH83" s="24">
        <f>IF(AH$4&gt;12,SUM(OFFSET(AH79,,,,-12)),0)</f>
        <v/>
      </c>
      <c r="AI83" s="24">
        <f>IF(AI$4&gt;12,SUM(OFFSET(AI79,,,,-12)),0)</f>
        <v/>
      </c>
      <c r="AJ83" s="24">
        <f>IF(AJ$4&gt;12,SUM(OFFSET(AJ79,,,,-12)),0)</f>
        <v/>
      </c>
      <c r="AK83" s="24">
        <f>IF(AK$4&gt;12,SUM(OFFSET(AK79,,,,-12)),0)</f>
        <v/>
      </c>
      <c r="AL83" s="24">
        <f>IF(AL$4&gt;12,SUM(OFFSET(AL79,,,,-12)),0)</f>
        <v/>
      </c>
      <c r="AM83" s="24">
        <f>IF(AM$4&gt;12,SUM(OFFSET(AM79,,,,-12)),0)</f>
        <v/>
      </c>
      <c r="AN83" s="24">
        <f>IF(AN$4&gt;12,SUM(OFFSET(AN79,,,,-12)),0)</f>
        <v/>
      </c>
      <c r="AO83" s="24">
        <f>IF(AO$4&gt;12,SUM(OFFSET(AO79,,,,-12)),0)</f>
        <v/>
      </c>
      <c r="AP83" s="24">
        <f>IF(AP$4&gt;12,SUM(OFFSET(AP79,,,,-12)),0)</f>
        <v/>
      </c>
      <c r="AQ83" s="24">
        <f>IF(AQ$4&gt;12,SUM(OFFSET(AQ79,,,,-12)),0)</f>
        <v/>
      </c>
      <c r="AR83" s="24">
        <f>IF(AR$4&gt;12,SUM(OFFSET(AR79,,,,-12)),0)</f>
        <v/>
      </c>
      <c r="AS83" s="24">
        <f>IF(AS$4&gt;12,SUM(OFFSET(AS79,,,,-12)),0)</f>
        <v/>
      </c>
      <c r="AT83" s="24">
        <f>IF(AT$4&gt;12,SUM(OFFSET(AT79,,,,-12)),0)</f>
        <v/>
      </c>
      <c r="AU83" s="24">
        <f>IF(AU$4&gt;12,SUM(OFFSET(AU79,,,,-12)),0)</f>
        <v/>
      </c>
      <c r="AV83" s="24">
        <f>IF(AV$4&gt;12,SUM(OFFSET(AV79,,,,-12)),0)</f>
        <v/>
      </c>
      <c r="AW83" s="24">
        <f>IF(AW$4&gt;12,SUM(OFFSET(AW79,,,,-12)),0)</f>
        <v/>
      </c>
      <c r="AX83" s="24">
        <f>IF(AX$4&gt;12,SUM(OFFSET(AX79,,,,-12)),0)</f>
        <v/>
      </c>
      <c r="AY83" s="24">
        <f>IF(AY$4&gt;12,SUM(OFFSET(AY79,,,,-12)),0)</f>
        <v/>
      </c>
      <c r="AZ83" s="24">
        <f>IF(AZ$4&gt;12,SUM(OFFSET(AZ79,,,,-12)),0)</f>
        <v/>
      </c>
      <c r="BA83" s="24">
        <f>IF(BA$4&gt;12,SUM(OFFSET(BA79,,,,-12)),0)</f>
        <v/>
      </c>
      <c r="BB83" s="24">
        <f>IF(BB$4&gt;12,SUM(OFFSET(BB79,,,,-12)),0)</f>
        <v/>
      </c>
      <c r="BC83" s="24">
        <f>IF(BC$4&gt;12,SUM(OFFSET(BC79,,,,-12)),0)</f>
        <v/>
      </c>
      <c r="BD83" s="24">
        <f>IF(BD$4&gt;12,SUM(OFFSET(BD79,,,,-12)),0)</f>
        <v/>
      </c>
      <c r="BE83" s="24">
        <f>IF(BE$4&gt;12,SUM(OFFSET(BE79,,,,-12)),0)</f>
        <v/>
      </c>
      <c r="BF83" s="24">
        <f>IF(BF$4&gt;12,SUM(OFFSET(BF79,,,,-12)),0)</f>
        <v/>
      </c>
      <c r="BG83" s="24">
        <f>IF(BG$4&gt;12,SUM(OFFSET(BG79,,,,-12)),0)</f>
        <v/>
      </c>
      <c r="BH83" s="24">
        <f>IF(BH$4&gt;12,SUM(OFFSET(BH79,,,,-12)),0)</f>
        <v/>
      </c>
      <c r="BI83" s="24">
        <f>IF(BI$4&gt;12,SUM(OFFSET(BI79,,,,-12)),0)</f>
        <v/>
      </c>
      <c r="BJ83" s="24">
        <f>IF(BJ$4&gt;12,SUM(OFFSET(BJ79,,,,-12)),0)</f>
        <v/>
      </c>
      <c r="BK83" s="24">
        <f>IF(BK$4&gt;12,SUM(OFFSET(BK79,,,,-12)),0)</f>
        <v/>
      </c>
      <c r="BL83" s="24">
        <f>IF(BL$4&gt;12,SUM(OFFSET(BL79,,,,-12)),0)</f>
        <v/>
      </c>
      <c r="BM83" s="24">
        <f>IF(BM$4&gt;12,SUM(OFFSET(BM79,,,,-12)),0)</f>
        <v/>
      </c>
      <c r="BN83" s="24">
        <f>IF(BN$4&gt;12,SUM(OFFSET(BN79,,,,-12)),0)</f>
        <v/>
      </c>
      <c r="BO83" s="24">
        <f>IF(BO$4&gt;12,SUM(OFFSET(BO79,,,,-12)),0)</f>
        <v/>
      </c>
      <c r="BP83" s="24">
        <f>IF(BP$4&gt;12,SUM(OFFSET(BP79,,,,-12)),0)</f>
        <v/>
      </c>
      <c r="BQ83" s="24">
        <f>IF(BQ$4&gt;12,SUM(OFFSET(BQ79,,,,-12)),0)</f>
        <v/>
      </c>
      <c r="BR83" s="24">
        <f>IF(BR$4&gt;12,SUM(OFFSET(BR79,,,,-12)),0)</f>
        <v/>
      </c>
      <c r="BS83" s="24">
        <f>IF(BS$4&gt;12,SUM(OFFSET(BS79,,,,-12)),0)</f>
        <v/>
      </c>
      <c r="BT83" s="24">
        <f>IF(BT$4&gt;12,SUM(OFFSET(BT79,,,,-12)),0)</f>
        <v/>
      </c>
      <c r="BU83" s="24">
        <f>IF(BU$4&gt;12,SUM(OFFSET(BU79,,,,-12)),0)</f>
        <v/>
      </c>
      <c r="BV83" s="24">
        <f>IF(BV$4&gt;12,SUM(OFFSET(BV79,,,,-12)),0)</f>
        <v/>
      </c>
      <c r="BW83" s="24">
        <f>IF(BW$4&gt;12,SUM(OFFSET(BW79,,,,-12)),0)</f>
        <v/>
      </c>
      <c r="BX83" s="24">
        <f>IF(BX$4&gt;12,SUM(OFFSET(BX79,,,,-12)),0)</f>
        <v/>
      </c>
      <c r="BY83" s="24">
        <f>IF(BY$4&gt;12,SUM(OFFSET(BY79,,,,-12)),0)</f>
        <v/>
      </c>
      <c r="BZ83" s="24">
        <f>IF(BZ$4&gt;12,SUM(OFFSET(BZ79,,,,-12)),0)</f>
        <v/>
      </c>
      <c r="CA83" s="24">
        <f>IF(CA$4&gt;12,SUM(OFFSET(CA79,,,,-12)),0)</f>
        <v/>
      </c>
      <c r="CB83" s="24">
        <f>IF(CB$4&gt;12,SUM(OFFSET(CB79,,,,-12)),0)</f>
        <v/>
      </c>
      <c r="CC83" s="24">
        <f>IF(CC$4&gt;12,SUM(OFFSET(CC79,,,,-12)),0)</f>
        <v/>
      </c>
      <c r="CD83" s="24">
        <f>IF(CD$4&gt;12,SUM(OFFSET(CD79,,,,-12)),0)</f>
        <v/>
      </c>
      <c r="CE83" s="24">
        <f>IF(CE$4&gt;12,SUM(OFFSET(CE79,,,,-12)),0)</f>
        <v/>
      </c>
      <c r="CF83" s="24">
        <f>IF(CF$4&gt;12,SUM(OFFSET(CF79,,,,-12)),0)</f>
        <v/>
      </c>
      <c r="CG83" s="24">
        <f>IF(CG$4&gt;12,SUM(OFFSET(CG79,,,,-12)),0)</f>
        <v/>
      </c>
      <c r="CH83" s="24">
        <f>IF(CH$4&gt;12,SUM(OFFSET(CH79,,,,-12)),0)</f>
        <v/>
      </c>
      <c r="CI83" s="24">
        <f>IF(CI$4&gt;12,SUM(OFFSET(CI79,,,,-12)),0)</f>
        <v/>
      </c>
      <c r="CJ83" s="24">
        <f>IF(CJ$4&gt;12,SUM(OFFSET(CJ79,,,,-12)),0)</f>
        <v/>
      </c>
      <c r="CK83" s="24">
        <f>IF(CK$4&gt;12,SUM(OFFSET(CK79,,,,-12)),0)</f>
        <v/>
      </c>
      <c r="CL83" s="24">
        <f>IF(CL$4&gt;12,SUM(OFFSET(CL79,,,,-12)),0)</f>
        <v/>
      </c>
      <c r="CM83" s="24">
        <f>IF(CM$4&gt;12,SUM(OFFSET(CM79,,,,-12)),0)</f>
        <v/>
      </c>
      <c r="CN83" s="24">
        <f>IF(CN$4&gt;12,SUM(OFFSET(CN79,,,,-12)),0)</f>
        <v/>
      </c>
      <c r="CO83" s="24">
        <f>IF(CO$4&gt;12,SUM(OFFSET(CO79,,,,-12)),0)</f>
        <v/>
      </c>
      <c r="CP83" s="24">
        <f>IF(CP$4&gt;12,SUM(OFFSET(CP79,,,,-12)),0)</f>
        <v/>
      </c>
      <c r="CQ83" s="24">
        <f>IF(CQ$4&gt;12,SUM(OFFSET(CQ79,,,,-12)),0)</f>
        <v/>
      </c>
      <c r="CR83" s="24">
        <f>IF(CR$4&gt;12,SUM(OFFSET(CR79,,,,-12)),0)</f>
        <v/>
      </c>
      <c r="CS83" s="24">
        <f>IF(CS$4&gt;12,SUM(OFFSET(CS79,,,,-12)),0)</f>
        <v/>
      </c>
      <c r="CT83" s="24">
        <f>IF(CT$4&gt;12,SUM(OFFSET(CT79,,,,-12)),0)</f>
        <v/>
      </c>
      <c r="CU83" s="24">
        <f>IF(CU$4&gt;12,SUM(OFFSET(CU79,,,,-12)),0)</f>
        <v/>
      </c>
      <c r="CV83" s="24">
        <f>IF(CV$4&gt;12,SUM(OFFSET(CV79,,,,-12)),0)</f>
        <v/>
      </c>
      <c r="CW83" s="24">
        <f>IF(CW$4&gt;12,SUM(OFFSET(CW79,,,,-12)),0)</f>
        <v/>
      </c>
      <c r="CX83" s="24">
        <f>IF(CX$4&gt;12,SUM(OFFSET(CX79,,,,-12)),0)</f>
        <v/>
      </c>
      <c r="CY83" s="24">
        <f>IF(CY$4&gt;12,SUM(OFFSET(CY79,,,,-12)),0)</f>
        <v/>
      </c>
      <c r="CZ83" s="24">
        <f>IF(CZ$4&gt;12,SUM(OFFSET(CZ79,,,,-12)),0)</f>
        <v/>
      </c>
      <c r="DA83" s="24">
        <f>IF(DA$4&gt;12,SUM(OFFSET(DA79,,,,-12)),0)</f>
        <v/>
      </c>
      <c r="DB83" s="24">
        <f>IF(DB$4&gt;12,SUM(OFFSET(DB79,,,,-12)),0)</f>
        <v/>
      </c>
      <c r="DC83" s="24">
        <f>IF(DC$4&gt;12,SUM(OFFSET(DC79,,,,-12)),0)</f>
        <v/>
      </c>
      <c r="DD83" s="24">
        <f>IF(DD$4&gt;12,SUM(OFFSET(DD79,,,,-12)),0)</f>
        <v/>
      </c>
      <c r="DE83" s="24">
        <f>IF(DE$4&gt;12,SUM(OFFSET(DE79,,,,-12)),0)</f>
        <v/>
      </c>
      <c r="DF83" s="24">
        <f>IF(DF$4&gt;12,SUM(OFFSET(DF79,,,,-12)),0)</f>
        <v/>
      </c>
      <c r="DG83" s="24">
        <f>IF(DG$4&gt;12,SUM(OFFSET(DG79,,,,-12)),0)</f>
        <v/>
      </c>
      <c r="DH83" s="24">
        <f>IF(DH$4&gt;12,SUM(OFFSET(DH79,,,,-12)),0)</f>
        <v/>
      </c>
      <c r="DI83" s="24">
        <f>IF(DI$4&gt;12,SUM(OFFSET(DI79,,,,-12)),0)</f>
        <v/>
      </c>
      <c r="DJ83" s="24">
        <f>IF(DJ$4&gt;12,SUM(OFFSET(DJ79,,,,-12)),0)</f>
        <v/>
      </c>
      <c r="DK83" s="24">
        <f>IF(DK$4&gt;12,SUM(OFFSET(DK79,,,,-12)),0)</f>
        <v/>
      </c>
      <c r="DL83" s="24">
        <f>IF(DL$4&gt;12,SUM(OFFSET(DL79,,,,-12)),0)</f>
        <v/>
      </c>
      <c r="DM83" s="24">
        <f>IF(DM$4&gt;12,SUM(OFFSET(DM79,,,,-12)),0)</f>
        <v/>
      </c>
      <c r="DN83" s="24">
        <f>IF(DN$4&gt;12,SUM(OFFSET(DN79,,,,-12)),0)</f>
        <v/>
      </c>
      <c r="DO83" s="24">
        <f>IF(DO$4&gt;12,SUM(OFFSET(DO79,,,,-12)),0)</f>
        <v/>
      </c>
      <c r="DP83" s="24">
        <f>IF(DP$4&gt;12,SUM(OFFSET(DP79,,,,-12)),0)</f>
        <v/>
      </c>
      <c r="DQ83" s="24">
        <f>IF(DQ$4&gt;12,SUM(OFFSET(DQ79,,,,-12)),0)</f>
        <v/>
      </c>
      <c r="DR83" s="24">
        <f>IF(DR$4&gt;12,SUM(OFFSET(DR79,,,,-12)),0)</f>
        <v/>
      </c>
      <c r="DS83" s="24">
        <f>IF(DS$4&gt;12,SUM(OFFSET(DS79,,,,-12)),0)</f>
        <v/>
      </c>
      <c r="DT83" s="24">
        <f>IF(DT$4&gt;12,SUM(OFFSET(DT79,,,,-12)),0)</f>
        <v/>
      </c>
      <c r="DU83" s="24">
        <f>IF(DU$4&gt;12,SUM(OFFSET(DU79,,,,-12)),0)</f>
        <v/>
      </c>
      <c r="DV83" s="24">
        <f>IF(DV$4&gt;12,SUM(OFFSET(DV79,,,,-12)),0)</f>
        <v/>
      </c>
      <c r="DW83" s="24">
        <f>IF(DW$4&gt;12,SUM(OFFSET(DW79,,,,-12)),0)</f>
        <v/>
      </c>
      <c r="DX83" s="24">
        <f>IF(DX$4&gt;12,SUM(OFFSET(DX79,,,,-12)),0)</f>
        <v/>
      </c>
      <c r="DY83" s="24">
        <f>IF(DY$4&gt;12,SUM(OFFSET(DY79,,,,-12)),0)</f>
        <v/>
      </c>
      <c r="DZ83" s="24">
        <f>IF(DZ$4&gt;12,SUM(OFFSET(DZ79,,,,-12)),0)</f>
        <v/>
      </c>
      <c r="EA83" s="24">
        <f>IF(EA$4&gt;12,SUM(OFFSET(EA79,,,,-12)),0)</f>
        <v/>
      </c>
      <c r="EB83" s="24">
        <f>IF(EB$4&gt;12,SUM(OFFSET(EB79,,,,-12)),0)</f>
        <v/>
      </c>
      <c r="EC83" s="24">
        <f>IF(EC$4&gt;12,SUM(OFFSET(EC79,,,,-12)),0)</f>
        <v/>
      </c>
      <c r="ED83" s="24">
        <f>IF(ED$4&gt;12,SUM(OFFSET(ED79,,,,-12)),0)</f>
        <v/>
      </c>
      <c r="EE83" s="24">
        <f>IF(EE$4&gt;12,SUM(OFFSET(EE79,,,,-12)),0)</f>
        <v/>
      </c>
      <c r="EF83" s="24">
        <f>IF(EF$4&gt;12,SUM(OFFSET(EF79,,,,-12)),0)</f>
        <v/>
      </c>
      <c r="EG83" s="24">
        <f>IF(EG$4&gt;12,SUM(OFFSET(EG79,,,,-12)),0)</f>
        <v/>
      </c>
      <c r="EH83" s="24">
        <f>IF(EH$4&gt;12,SUM(OFFSET(EH79,,,,-12)),0)</f>
        <v/>
      </c>
      <c r="EI83" s="24">
        <f>IF(EI$4&gt;12,SUM(OFFSET(EI79,,,,-12)),0)</f>
        <v/>
      </c>
      <c r="EJ83" s="24">
        <f>IF(EJ$4&gt;12,SUM(OFFSET(EJ79,,,,-12)),0)</f>
        <v/>
      </c>
      <c r="EK83" s="24">
        <f>IF(EK$4&gt;12,SUM(OFFSET(EK79,,,,-12)),0)</f>
        <v/>
      </c>
      <c r="EL83" s="24">
        <f>IF(EL$4&gt;12,SUM(OFFSET(EL79,,,,-12)),0)</f>
        <v/>
      </c>
      <c r="EM83" s="24">
        <f>IF(EM$4&gt;12,SUM(OFFSET(EM79,,,,-12)),0)</f>
        <v/>
      </c>
      <c r="EN83" s="24">
        <f>IF(EN$4&gt;12,SUM(OFFSET(EN79,,,,-12)),0)</f>
        <v/>
      </c>
      <c r="EO83" s="24">
        <f>IF(EO$4&gt;12,SUM(OFFSET(EO79,,,,-12)),0)</f>
        <v/>
      </c>
      <c r="EP83" s="24">
        <f>IF(EP$4&gt;12,SUM(OFFSET(EP79,,,,-12)),0)</f>
        <v/>
      </c>
      <c r="EQ83" s="24">
        <f>IF(EQ$4&gt;12,SUM(OFFSET(EQ79,,,,-12)),0)</f>
        <v/>
      </c>
      <c r="ER83" s="24">
        <f>IF(ER$4&gt;12,SUM(OFFSET(ER79,,,,-12)),0)</f>
        <v/>
      </c>
      <c r="ES83" s="24">
        <f>IF(ES$4&gt;12,SUM(OFFSET(ES79,,,,-12)),0)</f>
        <v/>
      </c>
      <c r="ET83" s="24">
        <f>IF(ET$4&gt;12,SUM(OFFSET(ET79,,,,-12)),0)</f>
        <v/>
      </c>
      <c r="EU83" s="24">
        <f>IF(EU$4&gt;12,SUM(OFFSET(EU79,,,,-12)),0)</f>
        <v/>
      </c>
      <c r="EV83" s="24">
        <f>IF(EV$4&gt;12,SUM(OFFSET(EV79,,,,-12)),0)</f>
        <v/>
      </c>
      <c r="EW83" s="24">
        <f>IF(EW$4&gt;12,SUM(OFFSET(EW79,,,,-12)),0)</f>
        <v/>
      </c>
      <c r="EX83" s="24">
        <f>IF(EX$4&gt;12,SUM(OFFSET(EX79,,,,-12)),0)</f>
        <v/>
      </c>
      <c r="EY83" s="24">
        <f>IF(EY$4&gt;12,SUM(OFFSET(EY79,,,,-12)),0)</f>
        <v/>
      </c>
      <c r="EZ83" s="24">
        <f>IF(EZ$4&gt;12,SUM(OFFSET(EZ79,,,,-12)),0)</f>
        <v/>
      </c>
      <c r="FA83" s="24">
        <f>IF(FA$4&gt;12,SUM(OFFSET(FA79,,,,-12)),0)</f>
        <v/>
      </c>
      <c r="FB83" s="24">
        <f>IF(FB$4&gt;12,SUM(OFFSET(FB79,,,,-12)),0)</f>
        <v/>
      </c>
    </row>
    <row r="84" customFormat="1" s="24">
      <c r="A84" s="9" t="n"/>
      <c r="B84" s="11" t="inlineStr">
        <is>
          <t>Loss to Lease</t>
        </is>
      </c>
      <c r="C84" s="108">
        <f>Inputs!C24</f>
        <v/>
      </c>
      <c r="D84" s="108">
        <f>Inputs!C29</f>
        <v/>
      </c>
      <c r="E84" s="108">
        <f>Inputs!C34</f>
        <v/>
      </c>
      <c r="F84" s="108">
        <f>Inputs!C39</f>
        <v/>
      </c>
      <c r="G84" s="108">
        <f>Inputs!C44</f>
        <v/>
      </c>
      <c r="H84" s="11" t="n"/>
      <c r="I84" s="9" t="inlineStr">
        <is>
          <t>Cap Rate</t>
        </is>
      </c>
      <c r="J84" s="9" t="n"/>
      <c r="K84" s="11" t="n"/>
      <c r="L84" s="145">
        <f>SUMIF($Z$4:$FB$4,"&lt;="&amp;$G$18,$Z84:$FB84)</f>
        <v/>
      </c>
      <c r="M84" s="109" t="n"/>
      <c r="N84" s="31">
        <f>SUMIF($Z$3:$FB$3,N$7,$Z84:$FB84)</f>
        <v/>
      </c>
      <c r="O84" s="31">
        <f>SUMIF($Z$3:$FB$3,O$7,$Z84:$FB84)</f>
        <v/>
      </c>
      <c r="P84" s="31">
        <f>SUMIF($Z$3:$FB$3,P$7,$Z84:$FB84)</f>
        <v/>
      </c>
      <c r="Q84" s="31">
        <f>SUMIF($Z$3:$FB$3,Q$7,$Z84:$FB84)</f>
        <v/>
      </c>
      <c r="R84" s="31">
        <f>SUMIF($Z$3:$FB$3,R$7,$Z84:$FB84)</f>
        <v/>
      </c>
      <c r="S84" s="31">
        <f>SUMIF($Z$3:$FB$3,S$7,$Z84:$FB84)</f>
        <v/>
      </c>
      <c r="T84" s="31">
        <f>SUMIF($Z$3:$FB$3,T$7,$Z84:$FB84)</f>
        <v/>
      </c>
      <c r="U84" s="31">
        <f>SUMIF($Z$3:$FB$3,U$7,$Z84:$FB84)</f>
        <v/>
      </c>
      <c r="V84" s="31">
        <f>SUMIF($Z$3:$FB$3,V$7,$Z84:$FB84)</f>
        <v/>
      </c>
      <c r="W84" s="31">
        <f>SUMIF($Z$3:$FB$3,W$7,$Z84:$FB84)</f>
        <v/>
      </c>
      <c r="X84" s="31">
        <f>SUMIF($Z$3:$FB$3,X$7,$Z84:$FB84)</f>
        <v/>
      </c>
      <c r="Y84" s="109" t="n"/>
      <c r="Z84" s="31">
        <f>(Z4=$G$18)*$G$23</f>
        <v/>
      </c>
      <c r="AA84" s="31">
        <f>(AA4=$G$18)*$G$23</f>
        <v/>
      </c>
      <c r="AB84" s="31">
        <f>(AB4=$G$18)*$G$23</f>
        <v/>
      </c>
      <c r="AC84" s="31">
        <f>(AC4=$G$18)*$G$23</f>
        <v/>
      </c>
      <c r="AD84" s="31">
        <f>(AD4=$G$18)*$G$23</f>
        <v/>
      </c>
      <c r="AE84" s="31">
        <f>(AE4=$G$18)*$G$23</f>
        <v/>
      </c>
      <c r="AF84" s="31">
        <f>(AF4=$G$18)*$G$23</f>
        <v/>
      </c>
      <c r="AG84" s="31">
        <f>(AG4=$G$18)*$G$23</f>
        <v/>
      </c>
      <c r="AH84" s="31">
        <f>(AH4=$G$18)*$G$23</f>
        <v/>
      </c>
      <c r="AI84" s="31">
        <f>(AI4=$G$18)*$G$23</f>
        <v/>
      </c>
      <c r="AJ84" s="31">
        <f>(AJ4=$G$18)*$G$23</f>
        <v/>
      </c>
      <c r="AK84" s="31">
        <f>(AK4=$G$18)*$G$23</f>
        <v/>
      </c>
      <c r="AL84" s="31">
        <f>(AL4=$G$18)*$G$23</f>
        <v/>
      </c>
      <c r="AM84" s="31">
        <f>(AM4=$G$18)*$G$23</f>
        <v/>
      </c>
      <c r="AN84" s="31">
        <f>(AN4=$G$18)*$G$23</f>
        <v/>
      </c>
      <c r="AO84" s="31">
        <f>(AO4=$G$18)*$G$23</f>
        <v/>
      </c>
      <c r="AP84" s="31">
        <f>(AP4=$G$18)*$G$23</f>
        <v/>
      </c>
      <c r="AQ84" s="31">
        <f>(AQ4=$G$18)*$G$23</f>
        <v/>
      </c>
      <c r="AR84" s="31">
        <f>(AR4=$G$18)*$G$23</f>
        <v/>
      </c>
      <c r="AS84" s="31">
        <f>(AS4=$G$18)*$G$23</f>
        <v/>
      </c>
      <c r="AT84" s="31">
        <f>(AT4=$G$18)*$G$23</f>
        <v/>
      </c>
      <c r="AU84" s="31">
        <f>(AU4=$G$18)*$G$23</f>
        <v/>
      </c>
      <c r="AV84" s="31">
        <f>(AV4=$G$18)*$G$23</f>
        <v/>
      </c>
      <c r="AW84" s="31">
        <f>(AW4=$G$18)*$G$23</f>
        <v/>
      </c>
      <c r="AX84" s="31">
        <f>(AX4=$G$18)*$G$23</f>
        <v/>
      </c>
      <c r="AY84" s="31">
        <f>(AY4=$G$18)*$G$23</f>
        <v/>
      </c>
      <c r="AZ84" s="31">
        <f>(AZ4=$G$18)*$G$23</f>
        <v/>
      </c>
      <c r="BA84" s="31">
        <f>(BA4=$G$18)*$G$23</f>
        <v/>
      </c>
      <c r="BB84" s="31">
        <f>(BB4=$G$18)*$G$23</f>
        <v/>
      </c>
      <c r="BC84" s="31">
        <f>(BC4=$G$18)*$G$23</f>
        <v/>
      </c>
      <c r="BD84" s="31">
        <f>(BD4=$G$18)*$G$23</f>
        <v/>
      </c>
      <c r="BE84" s="31">
        <f>(BE4=$G$18)*$G$23</f>
        <v/>
      </c>
      <c r="BF84" s="31">
        <f>(BF4=$G$18)*$G$23</f>
        <v/>
      </c>
      <c r="BG84" s="31">
        <f>(BG4=$G$18)*$G$23</f>
        <v/>
      </c>
      <c r="BH84" s="31">
        <f>(BH4=$G$18)*$G$23</f>
        <v/>
      </c>
      <c r="BI84" s="31">
        <f>(BI4=$G$18)*$G$23</f>
        <v/>
      </c>
      <c r="BJ84" s="31">
        <f>(BJ4=$G$18)*$G$23</f>
        <v/>
      </c>
      <c r="BK84" s="31">
        <f>(BK4=$G$18)*$G$23</f>
        <v/>
      </c>
      <c r="BL84" s="31">
        <f>(BL4=$G$18)*$G$23</f>
        <v/>
      </c>
      <c r="BM84" s="31">
        <f>(BM4=$G$18)*$G$23</f>
        <v/>
      </c>
      <c r="BN84" s="31">
        <f>(BN4=$G$18)*$G$23</f>
        <v/>
      </c>
      <c r="BO84" s="31">
        <f>(BO4=$G$18)*$G$23</f>
        <v/>
      </c>
      <c r="BP84" s="31">
        <f>(BP4=$G$18)*$G$23</f>
        <v/>
      </c>
      <c r="BQ84" s="31">
        <f>(BQ4=$G$18)*$G$23</f>
        <v/>
      </c>
      <c r="BR84" s="31">
        <f>(BR4=$G$18)*$G$23</f>
        <v/>
      </c>
      <c r="BS84" s="31">
        <f>(BS4=$G$18)*$G$23</f>
        <v/>
      </c>
      <c r="BT84" s="31">
        <f>(BT4=$G$18)*$G$23</f>
        <v/>
      </c>
      <c r="BU84" s="31">
        <f>(BU4=$G$18)*$G$23</f>
        <v/>
      </c>
      <c r="BV84" s="31">
        <f>(BV4=$G$18)*$G$23</f>
        <v/>
      </c>
      <c r="BW84" s="31">
        <f>(BW4=$G$18)*$G$23</f>
        <v/>
      </c>
      <c r="BX84" s="31">
        <f>(BX4=$G$18)*$G$23</f>
        <v/>
      </c>
      <c r="BY84" s="31">
        <f>(BY4=$G$18)*$G$23</f>
        <v/>
      </c>
      <c r="BZ84" s="31">
        <f>(BZ4=$G$18)*$G$23</f>
        <v/>
      </c>
      <c r="CA84" s="31">
        <f>(CA4=$G$18)*$G$23</f>
        <v/>
      </c>
      <c r="CB84" s="31">
        <f>(CB4=$G$18)*$G$23</f>
        <v/>
      </c>
      <c r="CC84" s="31">
        <f>(CC4=$G$18)*$G$23</f>
        <v/>
      </c>
      <c r="CD84" s="31">
        <f>(CD4=$G$18)*$G$23</f>
        <v/>
      </c>
      <c r="CE84" s="31">
        <f>(CE4=$G$18)*$G$23</f>
        <v/>
      </c>
      <c r="CF84" s="31">
        <f>(CF4=$G$18)*$G$23</f>
        <v/>
      </c>
      <c r="CG84" s="31">
        <f>(CG4=$G$18)*$G$23</f>
        <v/>
      </c>
      <c r="CH84" s="31">
        <f>(CH4=$G$18)*$G$23</f>
        <v/>
      </c>
      <c r="CI84" s="31">
        <f>(CI4=$G$18)*$G$23</f>
        <v/>
      </c>
      <c r="CJ84" s="31">
        <f>(CJ4=$G$18)*$G$23</f>
        <v/>
      </c>
      <c r="CK84" s="31">
        <f>(CK4=$G$18)*$G$23</f>
        <v/>
      </c>
      <c r="CL84" s="31">
        <f>(CL4=$G$18)*$G$23</f>
        <v/>
      </c>
      <c r="CM84" s="31">
        <f>(CM4=$G$18)*$G$23</f>
        <v/>
      </c>
      <c r="CN84" s="31">
        <f>(CN4=$G$18)*$G$23</f>
        <v/>
      </c>
      <c r="CO84" s="31">
        <f>(CO4=$G$18)*$G$23</f>
        <v/>
      </c>
      <c r="CP84" s="31">
        <f>(CP4=$G$18)*$G$23</f>
        <v/>
      </c>
      <c r="CQ84" s="31">
        <f>(CQ4=$G$18)*$G$23</f>
        <v/>
      </c>
      <c r="CR84" s="31">
        <f>(CR4=$G$18)*$G$23</f>
        <v/>
      </c>
      <c r="CS84" s="31">
        <f>(CS4=$G$18)*$G$23</f>
        <v/>
      </c>
      <c r="CT84" s="31">
        <f>(CT4=$G$18)*$G$23</f>
        <v/>
      </c>
      <c r="CU84" s="31">
        <f>(CU4=$G$18)*$G$23</f>
        <v/>
      </c>
      <c r="CV84" s="31">
        <f>(CV4=$G$18)*$G$23</f>
        <v/>
      </c>
      <c r="CW84" s="31">
        <f>(CW4=$G$18)*$G$23</f>
        <v/>
      </c>
      <c r="CX84" s="31">
        <f>(CX4=$G$18)*$G$23</f>
        <v/>
      </c>
      <c r="CY84" s="31">
        <f>(CY4=$G$18)*$G$23</f>
        <v/>
      </c>
      <c r="CZ84" s="31">
        <f>(CZ4=$G$18)*$G$23</f>
        <v/>
      </c>
      <c r="DA84" s="31">
        <f>(DA4=$G$18)*$G$23</f>
        <v/>
      </c>
      <c r="DB84" s="31">
        <f>(DB4=$G$18)*$G$23</f>
        <v/>
      </c>
      <c r="DC84" s="31">
        <f>(DC4=$G$18)*$G$23</f>
        <v/>
      </c>
      <c r="DD84" s="31">
        <f>(DD4=$G$18)*$G$23</f>
        <v/>
      </c>
      <c r="DE84" s="31">
        <f>(DE4=$G$18)*$G$23</f>
        <v/>
      </c>
      <c r="DF84" s="31">
        <f>(DF4=$G$18)*$G$23</f>
        <v/>
      </c>
      <c r="DG84" s="31">
        <f>(DG4=$G$18)*$G$23</f>
        <v/>
      </c>
      <c r="DH84" s="31">
        <f>(DH4=$G$18)*$G$23</f>
        <v/>
      </c>
      <c r="DI84" s="31">
        <f>(DI4=$G$18)*$G$23</f>
        <v/>
      </c>
      <c r="DJ84" s="31">
        <f>(DJ4=$G$18)*$G$23</f>
        <v/>
      </c>
      <c r="DK84" s="31">
        <f>(DK4=$G$18)*$G$23</f>
        <v/>
      </c>
      <c r="DL84" s="31">
        <f>(DL4=$G$18)*$G$23</f>
        <v/>
      </c>
      <c r="DM84" s="31">
        <f>(DM4=$G$18)*$G$23</f>
        <v/>
      </c>
      <c r="DN84" s="31">
        <f>(DN4=$G$18)*$G$23</f>
        <v/>
      </c>
      <c r="DO84" s="31">
        <f>(DO4=$G$18)*$G$23</f>
        <v/>
      </c>
      <c r="DP84" s="31">
        <f>(DP4=$G$18)*$G$23</f>
        <v/>
      </c>
      <c r="DQ84" s="31">
        <f>(DQ4=$G$18)*$G$23</f>
        <v/>
      </c>
      <c r="DR84" s="31">
        <f>(DR4=$G$18)*$G$23</f>
        <v/>
      </c>
      <c r="DS84" s="31">
        <f>(DS4=$G$18)*$G$23</f>
        <v/>
      </c>
      <c r="DT84" s="31">
        <f>(DT4=$G$18)*$G$23</f>
        <v/>
      </c>
      <c r="DU84" s="31">
        <f>(DU4=$G$18)*$G$23</f>
        <v/>
      </c>
      <c r="DV84" s="31">
        <f>(DV4=$G$18)*$G$23</f>
        <v/>
      </c>
      <c r="DW84" s="31">
        <f>(DW4=$G$18)*$G$23</f>
        <v/>
      </c>
      <c r="DX84" s="31">
        <f>(DX4=$G$18)*$G$23</f>
        <v/>
      </c>
      <c r="DY84" s="31">
        <f>(DY4=$G$18)*$G$23</f>
        <v/>
      </c>
      <c r="DZ84" s="31">
        <f>(DZ4=$G$18)*$G$23</f>
        <v/>
      </c>
      <c r="EA84" s="31">
        <f>(EA4=$G$18)*$G$23</f>
        <v/>
      </c>
      <c r="EB84" s="31">
        <f>(EB4=$G$18)*$G$23</f>
        <v/>
      </c>
      <c r="EC84" s="31">
        <f>(EC4=$G$18)*$G$23</f>
        <v/>
      </c>
      <c r="ED84" s="31">
        <f>(ED4=$G$18)*$G$23</f>
        <v/>
      </c>
      <c r="EE84" s="31">
        <f>(EE4=$G$18)*$G$23</f>
        <v/>
      </c>
      <c r="EF84" s="31">
        <f>(EF4=$G$18)*$G$23</f>
        <v/>
      </c>
      <c r="EG84" s="31">
        <f>(EG4=$G$18)*$G$23</f>
        <v/>
      </c>
      <c r="EH84" s="31">
        <f>(EH4=$G$18)*$G$23</f>
        <v/>
      </c>
      <c r="EI84" s="31">
        <f>(EI4=$G$18)*$G$23</f>
        <v/>
      </c>
      <c r="EJ84" s="31">
        <f>(EJ4=$G$18)*$G$23</f>
        <v/>
      </c>
      <c r="EK84" s="31">
        <f>(EK4=$G$18)*$G$23</f>
        <v/>
      </c>
      <c r="EL84" s="31">
        <f>(EL4=$G$18)*$G$23</f>
        <v/>
      </c>
      <c r="EM84" s="31">
        <f>(EM4=$G$18)*$G$23</f>
        <v/>
      </c>
      <c r="EN84" s="31">
        <f>(EN4=$G$18)*$G$23</f>
        <v/>
      </c>
      <c r="EO84" s="31">
        <f>(EO4=$G$18)*$G$23</f>
        <v/>
      </c>
      <c r="EP84" s="31">
        <f>(EP4=$G$18)*$G$23</f>
        <v/>
      </c>
      <c r="EQ84" s="31">
        <f>(EQ4=$G$18)*$G$23</f>
        <v/>
      </c>
      <c r="ER84" s="31">
        <f>(ER4=$G$18)*$G$23</f>
        <v/>
      </c>
      <c r="ES84" s="31">
        <f>(ES4=$G$18)*$G$23</f>
        <v/>
      </c>
      <c r="ET84" s="31">
        <f>(ET4=$G$18)*$G$23</f>
        <v/>
      </c>
      <c r="EU84" s="31">
        <f>(EU4=$G$18)*$G$23</f>
        <v/>
      </c>
      <c r="EV84" s="31">
        <f>(EV4=$G$18)*$G$23</f>
        <v/>
      </c>
      <c r="EW84" s="31">
        <f>(EW4=$G$18)*$G$23</f>
        <v/>
      </c>
      <c r="EX84" s="31">
        <f>(EX4=$G$18)*$G$23</f>
        <v/>
      </c>
      <c r="EY84" s="31">
        <f>(EY4=$G$18)*$G$23</f>
        <v/>
      </c>
      <c r="EZ84" s="31">
        <f>(EZ4=$G$18)*$G$23</f>
        <v/>
      </c>
      <c r="FA84" s="31">
        <f>(FA4=$G$18)*$G$23</f>
        <v/>
      </c>
      <c r="FB84" s="31">
        <f>(FB4=$G$18)*$G$23</f>
        <v/>
      </c>
    </row>
    <row r="85" customFormat="1" s="44">
      <c r="A85" s="9" t="n"/>
      <c r="B85" s="11" t="inlineStr">
        <is>
          <t>Vacancy Loss</t>
        </is>
      </c>
      <c r="C85" s="108">
        <f>Inputs!C25</f>
        <v/>
      </c>
      <c r="D85" s="108">
        <f>Inputs!C30</f>
        <v/>
      </c>
      <c r="E85" s="108">
        <f>Inputs!C35</f>
        <v/>
      </c>
      <c r="F85" s="108">
        <f>Inputs!C40</f>
        <v/>
      </c>
      <c r="G85" s="108">
        <f>Inputs!C45</f>
        <v/>
      </c>
      <c r="H85" s="11" t="n"/>
      <c r="I85" s="57" t="inlineStr">
        <is>
          <t>Gross Sales Proceeds</t>
        </is>
      </c>
      <c r="J85" s="57" t="n"/>
      <c r="K85" s="58" t="n"/>
      <c r="L85" s="57">
        <f>SUMIF($Z$4:$FB$4,"&lt;="&amp;$G$18,$Z85:$FB85)</f>
        <v/>
      </c>
      <c r="M85" s="58" t="n"/>
      <c r="N85" s="57">
        <f>SUMIF($Z$3:$FB$3,N$7,$Z85:$FB85)</f>
        <v/>
      </c>
      <c r="O85" s="57">
        <f>SUMIF($Z$3:$FB$3,O$7,$Z85:$FB85)</f>
        <v/>
      </c>
      <c r="P85" s="57">
        <f>SUMIF($Z$3:$FB$3,P$7,$Z85:$FB85)</f>
        <v/>
      </c>
      <c r="Q85" s="57">
        <f>SUMIF($Z$3:$FB$3,Q$7,$Z85:$FB85)</f>
        <v/>
      </c>
      <c r="R85" s="57">
        <f>SUMIF($Z$3:$FB$3,R$7,$Z85:$FB85)</f>
        <v/>
      </c>
      <c r="S85" s="57">
        <f>SUMIF($Z$3:$FB$3,S$7,$Z85:$FB85)</f>
        <v/>
      </c>
      <c r="T85" s="57">
        <f>SUMIF($Z$3:$FB$3,T$7,$Z85:$FB85)</f>
        <v/>
      </c>
      <c r="U85" s="57">
        <f>SUMIF($Z$3:$FB$3,U$7,$Z85:$FB85)</f>
        <v/>
      </c>
      <c r="V85" s="57">
        <f>SUMIF($Z$3:$FB$3,V$7,$Z85:$FB85)</f>
        <v/>
      </c>
      <c r="W85" s="57">
        <f>SUMIF($Z$3:$FB$3,W$7,$Z85:$FB85)</f>
        <v/>
      </c>
      <c r="X85" s="57">
        <f>SUMIF($Z$3:$FB$3,X$7,$Z85:$FB85)</f>
        <v/>
      </c>
      <c r="Y85" s="58" t="n"/>
      <c r="Z85" s="57">
        <f>IFERROR(Z83/Z84,0)</f>
        <v/>
      </c>
      <c r="AA85" s="57">
        <f>IFERROR(AA83/AA84,0)</f>
        <v/>
      </c>
      <c r="AB85" s="57">
        <f>IFERROR(AB83/AB84,0)</f>
        <v/>
      </c>
      <c r="AC85" s="57">
        <f>IFERROR(AC83/AC84,0)</f>
        <v/>
      </c>
      <c r="AD85" s="57">
        <f>IFERROR(AD83/AD84,0)</f>
        <v/>
      </c>
      <c r="AE85" s="57">
        <f>IFERROR(AE83/AE84,0)</f>
        <v/>
      </c>
      <c r="AF85" s="57">
        <f>IFERROR(AF83/AF84,0)</f>
        <v/>
      </c>
      <c r="AG85" s="57">
        <f>IFERROR(AG83/AG84,0)</f>
        <v/>
      </c>
      <c r="AH85" s="57">
        <f>IFERROR(AH83/AH84,0)</f>
        <v/>
      </c>
      <c r="AI85" s="57">
        <f>IFERROR(AI83/AI84,0)</f>
        <v/>
      </c>
      <c r="AJ85" s="57">
        <f>IFERROR(AJ83/AJ84,0)</f>
        <v/>
      </c>
      <c r="AK85" s="57">
        <f>IFERROR(AK83/AK84,0)</f>
        <v/>
      </c>
      <c r="AL85" s="57">
        <f>IFERROR(AL83/AL84,0)</f>
        <v/>
      </c>
      <c r="AM85" s="57">
        <f>IFERROR(AM83/AM84,0)</f>
        <v/>
      </c>
      <c r="AN85" s="57">
        <f>IFERROR(AN83/AN84,0)</f>
        <v/>
      </c>
      <c r="AO85" s="57">
        <f>IFERROR(AO83/AO84,0)</f>
        <v/>
      </c>
      <c r="AP85" s="57">
        <f>IFERROR(AP83/AP84,0)</f>
        <v/>
      </c>
      <c r="AQ85" s="57">
        <f>IFERROR(AQ83/AQ84,0)</f>
        <v/>
      </c>
      <c r="AR85" s="57">
        <f>IFERROR(AR83/AR84,0)</f>
        <v/>
      </c>
      <c r="AS85" s="57">
        <f>IFERROR(AS83/AS84,0)</f>
        <v/>
      </c>
      <c r="AT85" s="57">
        <f>IFERROR(AT83/AT84,0)</f>
        <v/>
      </c>
      <c r="AU85" s="57">
        <f>IFERROR(AU83/AU84,0)</f>
        <v/>
      </c>
      <c r="AV85" s="57">
        <f>IFERROR(AV83/AV84,0)</f>
        <v/>
      </c>
      <c r="AW85" s="57">
        <f>IFERROR(AW83/AW84,0)</f>
        <v/>
      </c>
      <c r="AX85" s="57">
        <f>IFERROR(AX83/AX84,0)</f>
        <v/>
      </c>
      <c r="AY85" s="57">
        <f>IFERROR(AY83/AY84,0)</f>
        <v/>
      </c>
      <c r="AZ85" s="57">
        <f>IFERROR(AZ83/AZ84,0)</f>
        <v/>
      </c>
      <c r="BA85" s="57">
        <f>IFERROR(BA83/BA84,0)</f>
        <v/>
      </c>
      <c r="BB85" s="57">
        <f>IFERROR(BB83/BB84,0)</f>
        <v/>
      </c>
      <c r="BC85" s="57">
        <f>IFERROR(BC83/BC84,0)</f>
        <v/>
      </c>
      <c r="BD85" s="57">
        <f>IFERROR(BD83/BD84,0)</f>
        <v/>
      </c>
      <c r="BE85" s="57">
        <f>IFERROR(BE83/BE84,0)</f>
        <v/>
      </c>
      <c r="BF85" s="57">
        <f>IFERROR(BF83/BF84,0)</f>
        <v/>
      </c>
      <c r="BG85" s="57">
        <f>IFERROR(BG83/BG84,0)</f>
        <v/>
      </c>
      <c r="BH85" s="57">
        <f>IFERROR(BH83/BH84,0)</f>
        <v/>
      </c>
      <c r="BI85" s="57">
        <f>IFERROR(BI83/BI84,0)</f>
        <v/>
      </c>
      <c r="BJ85" s="57">
        <f>IFERROR(BJ83/BJ84,0)</f>
        <v/>
      </c>
      <c r="BK85" s="57">
        <f>IFERROR(BK83/BK84,0)</f>
        <v/>
      </c>
      <c r="BL85" s="57">
        <f>IFERROR(BL83/BL84,0)</f>
        <v/>
      </c>
      <c r="BM85" s="57">
        <f>IFERROR(BM83/BM84,0)</f>
        <v/>
      </c>
      <c r="BN85" s="57">
        <f>IFERROR(BN83/BN84,0)</f>
        <v/>
      </c>
      <c r="BO85" s="57">
        <f>IFERROR(BO83/BO84,0)</f>
        <v/>
      </c>
      <c r="BP85" s="57">
        <f>IFERROR(BP83/BP84,0)</f>
        <v/>
      </c>
      <c r="BQ85" s="57">
        <f>IFERROR(BQ83/BQ84,0)</f>
        <v/>
      </c>
      <c r="BR85" s="57">
        <f>IFERROR(BR83/BR84,0)</f>
        <v/>
      </c>
      <c r="BS85" s="57">
        <f>IFERROR(BS83/BS84,0)</f>
        <v/>
      </c>
      <c r="BT85" s="57">
        <f>IFERROR(BT83/BT84,0)</f>
        <v/>
      </c>
      <c r="BU85" s="57">
        <f>IFERROR(BU83/BU84,0)</f>
        <v/>
      </c>
      <c r="BV85" s="57">
        <f>IFERROR(BV83/BV84,0)</f>
        <v/>
      </c>
      <c r="BW85" s="57">
        <f>IFERROR(BW83/BW84,0)</f>
        <v/>
      </c>
      <c r="BX85" s="57">
        <f>IFERROR(BX83/BX84,0)</f>
        <v/>
      </c>
      <c r="BY85" s="57">
        <f>IFERROR(BY83/BY84,0)</f>
        <v/>
      </c>
      <c r="BZ85" s="57">
        <f>IFERROR(BZ83/BZ84,0)</f>
        <v/>
      </c>
      <c r="CA85" s="57">
        <f>IFERROR(CA83/CA84,0)</f>
        <v/>
      </c>
      <c r="CB85" s="57">
        <f>IFERROR(CB83/CB84,0)</f>
        <v/>
      </c>
      <c r="CC85" s="57">
        <f>IFERROR(CC83/CC84,0)</f>
        <v/>
      </c>
      <c r="CD85" s="57">
        <f>IFERROR(CD83/CD84,0)</f>
        <v/>
      </c>
      <c r="CE85" s="57">
        <f>IFERROR(CE83/CE84,0)</f>
        <v/>
      </c>
      <c r="CF85" s="57">
        <f>IFERROR(CF83/CF84,0)</f>
        <v/>
      </c>
      <c r="CG85" s="57">
        <f>IFERROR(CG83/CG84,0)</f>
        <v/>
      </c>
      <c r="CH85" s="57">
        <f>IFERROR(CH83/CH84,0)</f>
        <v/>
      </c>
      <c r="CI85" s="57">
        <f>IFERROR(CI83/CI84,0)</f>
        <v/>
      </c>
      <c r="CJ85" s="57">
        <f>IFERROR(CJ83/CJ84,0)</f>
        <v/>
      </c>
      <c r="CK85" s="57">
        <f>IFERROR(CK83/CK84,0)</f>
        <v/>
      </c>
      <c r="CL85" s="57">
        <f>IFERROR(CL83/CL84,0)</f>
        <v/>
      </c>
      <c r="CM85" s="57">
        <f>IFERROR(CM83/CM84,0)</f>
        <v/>
      </c>
      <c r="CN85" s="57">
        <f>IFERROR(CN83/CN84,0)</f>
        <v/>
      </c>
      <c r="CO85" s="57">
        <f>IFERROR(CO83/CO84,0)</f>
        <v/>
      </c>
      <c r="CP85" s="57">
        <f>IFERROR(CP83/CP84,0)</f>
        <v/>
      </c>
      <c r="CQ85" s="57">
        <f>IFERROR(CQ83/CQ84,0)</f>
        <v/>
      </c>
      <c r="CR85" s="57">
        <f>IFERROR(CR83/CR84,0)</f>
        <v/>
      </c>
      <c r="CS85" s="57">
        <f>IFERROR(CS83/CS84,0)</f>
        <v/>
      </c>
      <c r="CT85" s="57">
        <f>IFERROR(CT83/CT84,0)</f>
        <v/>
      </c>
      <c r="CU85" s="57">
        <f>IFERROR(CU83/CU84,0)</f>
        <v/>
      </c>
      <c r="CV85" s="57">
        <f>IFERROR(CV83/CV84,0)</f>
        <v/>
      </c>
      <c r="CW85" s="57">
        <f>IFERROR(CW83/CW84,0)</f>
        <v/>
      </c>
      <c r="CX85" s="57">
        <f>IFERROR(CX83/CX84,0)</f>
        <v/>
      </c>
      <c r="CY85" s="57">
        <f>IFERROR(CY83/CY84,0)</f>
        <v/>
      </c>
      <c r="CZ85" s="57">
        <f>IFERROR(CZ83/CZ84,0)</f>
        <v/>
      </c>
      <c r="DA85" s="57">
        <f>IFERROR(DA83/DA84,0)</f>
        <v/>
      </c>
      <c r="DB85" s="57">
        <f>IFERROR(DB83/DB84,0)</f>
        <v/>
      </c>
      <c r="DC85" s="57">
        <f>IFERROR(DC83/DC84,0)</f>
        <v/>
      </c>
      <c r="DD85" s="57">
        <f>IFERROR(DD83/DD84,0)</f>
        <v/>
      </c>
      <c r="DE85" s="57">
        <f>IFERROR(DE83/DE84,0)</f>
        <v/>
      </c>
      <c r="DF85" s="57">
        <f>IFERROR(DF83/DF84,0)</f>
        <v/>
      </c>
      <c r="DG85" s="57">
        <f>IFERROR(DG83/DG84,0)</f>
        <v/>
      </c>
      <c r="DH85" s="57">
        <f>IFERROR(DH83/DH84,0)</f>
        <v/>
      </c>
      <c r="DI85" s="57">
        <f>IFERROR(DI83/DI84,0)</f>
        <v/>
      </c>
      <c r="DJ85" s="57">
        <f>IFERROR(DJ83/DJ84,0)</f>
        <v/>
      </c>
      <c r="DK85" s="57">
        <f>IFERROR(DK83/DK84,0)</f>
        <v/>
      </c>
      <c r="DL85" s="57">
        <f>IFERROR(DL83/DL84,0)</f>
        <v/>
      </c>
      <c r="DM85" s="57">
        <f>IFERROR(DM83/DM84,0)</f>
        <v/>
      </c>
      <c r="DN85" s="57">
        <f>IFERROR(DN83/DN84,0)</f>
        <v/>
      </c>
      <c r="DO85" s="57">
        <f>IFERROR(DO83/DO84,0)</f>
        <v/>
      </c>
      <c r="DP85" s="57">
        <f>IFERROR(DP83/DP84,0)</f>
        <v/>
      </c>
      <c r="DQ85" s="57">
        <f>IFERROR(DQ83/DQ84,0)</f>
        <v/>
      </c>
      <c r="DR85" s="57">
        <f>IFERROR(DR83/DR84,0)</f>
        <v/>
      </c>
      <c r="DS85" s="57">
        <f>IFERROR(DS83/DS84,0)</f>
        <v/>
      </c>
      <c r="DT85" s="57">
        <f>IFERROR(DT83/DT84,0)</f>
        <v/>
      </c>
      <c r="DU85" s="57">
        <f>IFERROR(DU83/DU84,0)</f>
        <v/>
      </c>
      <c r="DV85" s="57">
        <f>IFERROR(DV83/DV84,0)</f>
        <v/>
      </c>
      <c r="DW85" s="57">
        <f>IFERROR(DW83/DW84,0)</f>
        <v/>
      </c>
      <c r="DX85" s="57">
        <f>IFERROR(DX83/DX84,0)</f>
        <v/>
      </c>
      <c r="DY85" s="57">
        <f>IFERROR(DY83/DY84,0)</f>
        <v/>
      </c>
      <c r="DZ85" s="57">
        <f>IFERROR(DZ83/DZ84,0)</f>
        <v/>
      </c>
      <c r="EA85" s="57">
        <f>IFERROR(EA83/EA84,0)</f>
        <v/>
      </c>
      <c r="EB85" s="57">
        <f>IFERROR(EB83/EB84,0)</f>
        <v/>
      </c>
      <c r="EC85" s="57">
        <f>IFERROR(EC83/EC84,0)</f>
        <v/>
      </c>
      <c r="ED85" s="57">
        <f>IFERROR(ED83/ED84,0)</f>
        <v/>
      </c>
      <c r="EE85" s="57">
        <f>IFERROR(EE83/EE84,0)</f>
        <v/>
      </c>
      <c r="EF85" s="57">
        <f>IFERROR(EF83/EF84,0)</f>
        <v/>
      </c>
      <c r="EG85" s="57">
        <f>IFERROR(EG83/EG84,0)</f>
        <v/>
      </c>
      <c r="EH85" s="57">
        <f>IFERROR(EH83/EH84,0)</f>
        <v/>
      </c>
      <c r="EI85" s="57">
        <f>IFERROR(EI83/EI84,0)</f>
        <v/>
      </c>
      <c r="EJ85" s="57">
        <f>IFERROR(EJ83/EJ84,0)</f>
        <v/>
      </c>
      <c r="EK85" s="57">
        <f>IFERROR(EK83/EK84,0)</f>
        <v/>
      </c>
      <c r="EL85" s="57">
        <f>IFERROR(EL83/EL84,0)</f>
        <v/>
      </c>
      <c r="EM85" s="57">
        <f>IFERROR(EM83/EM84,0)</f>
        <v/>
      </c>
      <c r="EN85" s="57">
        <f>IFERROR(EN83/EN84,0)</f>
        <v/>
      </c>
      <c r="EO85" s="57">
        <f>IFERROR(EO83/EO84,0)</f>
        <v/>
      </c>
      <c r="EP85" s="57">
        <f>IFERROR(EP83/EP84,0)</f>
        <v/>
      </c>
      <c r="EQ85" s="57">
        <f>IFERROR(EQ83/EQ84,0)</f>
        <v/>
      </c>
      <c r="ER85" s="57">
        <f>IFERROR(ER83/ER84,0)</f>
        <v/>
      </c>
      <c r="ES85" s="57">
        <f>IFERROR(ES83/ES84,0)</f>
        <v/>
      </c>
      <c r="ET85" s="57">
        <f>IFERROR(ET83/ET84,0)</f>
        <v/>
      </c>
      <c r="EU85" s="57">
        <f>IFERROR(EU83/EU84,0)</f>
        <v/>
      </c>
      <c r="EV85" s="57">
        <f>IFERROR(EV83/EV84,0)</f>
        <v/>
      </c>
      <c r="EW85" s="57">
        <f>IFERROR(EW83/EW84,0)</f>
        <v/>
      </c>
      <c r="EX85" s="57">
        <f>IFERROR(EX83/EX84,0)</f>
        <v/>
      </c>
      <c r="EY85" s="57">
        <f>IFERROR(EY83/EY84,0)</f>
        <v/>
      </c>
      <c r="EZ85" s="57">
        <f>IFERROR(EZ83/EZ84,0)</f>
        <v/>
      </c>
      <c r="FA85" s="57">
        <f>IFERROR(FA83/FA84,0)</f>
        <v/>
      </c>
      <c r="FB85" s="57">
        <f>IFERROR(FB83/FB84,0)</f>
        <v/>
      </c>
    </row>
    <row r="86">
      <c r="B86" s="11" t="inlineStr">
        <is>
          <t>Bad Debt</t>
        </is>
      </c>
      <c r="C86" s="108">
        <f>Inputs!C26</f>
        <v/>
      </c>
      <c r="D86" s="108">
        <f>Inputs!C31</f>
        <v/>
      </c>
      <c r="E86" s="108">
        <f>Inputs!C36</f>
        <v/>
      </c>
      <c r="F86" s="108">
        <f>Inputs!C41</f>
        <v/>
      </c>
      <c r="G86" s="108">
        <f>Inputs!C46</f>
        <v/>
      </c>
      <c r="I86" s="32" t="inlineStr">
        <is>
          <t>$/Unit</t>
        </is>
      </c>
      <c r="J86" s="32" t="n"/>
      <c r="K86" s="33" t="n"/>
      <c r="L86" s="134">
        <f>SUMIF($Z$4:$FB$4,"&lt;="&amp;$G$18,$Z86:$FB86)</f>
        <v/>
      </c>
      <c r="M86" s="111" t="n"/>
      <c r="N86" s="110" t="n"/>
      <c r="O86" s="110" t="n"/>
      <c r="P86" s="110" t="n"/>
      <c r="Q86" s="110" t="n"/>
      <c r="R86" s="110" t="n"/>
      <c r="S86" s="110" t="n"/>
      <c r="T86" s="110" t="n"/>
      <c r="U86" s="110" t="n"/>
      <c r="V86" s="110" t="n"/>
      <c r="W86" s="110" t="n"/>
      <c r="X86" s="110" t="n"/>
      <c r="Y86" s="111" t="n"/>
      <c r="Z86" s="140">
        <f>Z85/$C$75</f>
        <v/>
      </c>
      <c r="AA86" s="140">
        <f>AA85/$C$75</f>
        <v/>
      </c>
      <c r="AB86" s="140">
        <f>AB85/$C$75</f>
        <v/>
      </c>
      <c r="AC86" s="140">
        <f>AC85/$C$75</f>
        <v/>
      </c>
      <c r="AD86" s="140">
        <f>AD85/$C$75</f>
        <v/>
      </c>
      <c r="AE86" s="140">
        <f>AE85/$C$75</f>
        <v/>
      </c>
      <c r="AF86" s="140">
        <f>AF85/$C$75</f>
        <v/>
      </c>
      <c r="AG86" s="140">
        <f>AG85/$C$75</f>
        <v/>
      </c>
      <c r="AH86" s="140">
        <f>AH85/$C$75</f>
        <v/>
      </c>
      <c r="AI86" s="140">
        <f>AI85/$C$75</f>
        <v/>
      </c>
      <c r="AJ86" s="140">
        <f>AJ85/$C$75</f>
        <v/>
      </c>
      <c r="AK86" s="140">
        <f>AK85/$C$75</f>
        <v/>
      </c>
      <c r="AL86" s="140">
        <f>AL85/$C$75</f>
        <v/>
      </c>
      <c r="AM86" s="140">
        <f>AM85/$C$75</f>
        <v/>
      </c>
      <c r="AN86" s="140">
        <f>AN85/$C$75</f>
        <v/>
      </c>
      <c r="AO86" s="140">
        <f>AO85/$C$75</f>
        <v/>
      </c>
      <c r="AP86" s="140">
        <f>AP85/$C$75</f>
        <v/>
      </c>
      <c r="AQ86" s="140">
        <f>AQ85/$C$75</f>
        <v/>
      </c>
      <c r="AR86" s="140">
        <f>AR85/$C$75</f>
        <v/>
      </c>
      <c r="AS86" s="140">
        <f>AS85/$C$75</f>
        <v/>
      </c>
      <c r="AT86" s="140">
        <f>AT85/$C$75</f>
        <v/>
      </c>
      <c r="AU86" s="140">
        <f>AU85/$C$75</f>
        <v/>
      </c>
      <c r="AV86" s="140">
        <f>AV85/$C$75</f>
        <v/>
      </c>
      <c r="AW86" s="140">
        <f>AW85/$C$75</f>
        <v/>
      </c>
      <c r="AX86" s="140">
        <f>AX85/$C$75</f>
        <v/>
      </c>
      <c r="AY86" s="140">
        <f>AY85/$C$75</f>
        <v/>
      </c>
      <c r="AZ86" s="140">
        <f>AZ85/$C$75</f>
        <v/>
      </c>
      <c r="BA86" s="140">
        <f>BA85/$C$75</f>
        <v/>
      </c>
      <c r="BB86" s="140">
        <f>BB85/$C$75</f>
        <v/>
      </c>
      <c r="BC86" s="140">
        <f>BC85/$C$75</f>
        <v/>
      </c>
      <c r="BD86" s="140">
        <f>BD85/$C$75</f>
        <v/>
      </c>
      <c r="BE86" s="140">
        <f>BE85/$C$75</f>
        <v/>
      </c>
      <c r="BF86" s="140">
        <f>BF85/$C$75</f>
        <v/>
      </c>
      <c r="BG86" s="140">
        <f>BG85/$C$75</f>
        <v/>
      </c>
      <c r="BH86" s="140">
        <f>BH85/$C$75</f>
        <v/>
      </c>
      <c r="BI86" s="140">
        <f>BI85/$C$75</f>
        <v/>
      </c>
      <c r="BJ86" s="140">
        <f>BJ85/$C$75</f>
        <v/>
      </c>
      <c r="BK86" s="140">
        <f>BK85/$C$75</f>
        <v/>
      </c>
      <c r="BL86" s="140">
        <f>BL85/$C$75</f>
        <v/>
      </c>
      <c r="BM86" s="140">
        <f>BM85/$C$75</f>
        <v/>
      </c>
      <c r="BN86" s="140">
        <f>BN85/$C$75</f>
        <v/>
      </c>
      <c r="BO86" s="140">
        <f>BO85/$C$75</f>
        <v/>
      </c>
      <c r="BP86" s="140">
        <f>BP85/$C$75</f>
        <v/>
      </c>
      <c r="BQ86" s="140">
        <f>BQ85/$C$75</f>
        <v/>
      </c>
      <c r="BR86" s="140">
        <f>BR85/$C$75</f>
        <v/>
      </c>
      <c r="BS86" s="140">
        <f>BS85/$C$75</f>
        <v/>
      </c>
      <c r="BT86" s="140">
        <f>BT85/$C$75</f>
        <v/>
      </c>
      <c r="BU86" s="140">
        <f>BU85/$C$75</f>
        <v/>
      </c>
      <c r="BV86" s="140">
        <f>BV85/$C$75</f>
        <v/>
      </c>
      <c r="BW86" s="140">
        <f>BW85/$C$75</f>
        <v/>
      </c>
      <c r="BX86" s="140">
        <f>BX85/$C$75</f>
        <v/>
      </c>
      <c r="BY86" s="140">
        <f>BY85/$C$75</f>
        <v/>
      </c>
      <c r="BZ86" s="140">
        <f>BZ85/$C$75</f>
        <v/>
      </c>
      <c r="CA86" s="140">
        <f>CA85/$C$75</f>
        <v/>
      </c>
      <c r="CB86" s="140">
        <f>CB85/$C$75</f>
        <v/>
      </c>
      <c r="CC86" s="140">
        <f>CC85/$C$75</f>
        <v/>
      </c>
      <c r="CD86" s="140">
        <f>CD85/$C$75</f>
        <v/>
      </c>
      <c r="CE86" s="140">
        <f>CE85/$C$75</f>
        <v/>
      </c>
      <c r="CF86" s="140">
        <f>CF85/$C$75</f>
        <v/>
      </c>
      <c r="CG86" s="140">
        <f>CG85/$C$75</f>
        <v/>
      </c>
      <c r="CH86" s="140">
        <f>CH85/$C$75</f>
        <v/>
      </c>
      <c r="CI86" s="140">
        <f>CI85/$C$75</f>
        <v/>
      </c>
      <c r="CJ86" s="140">
        <f>CJ85/$C$75</f>
        <v/>
      </c>
      <c r="CK86" s="140">
        <f>CK85/$C$75</f>
        <v/>
      </c>
      <c r="CL86" s="140">
        <f>CL85/$C$75</f>
        <v/>
      </c>
      <c r="CM86" s="140">
        <f>CM85/$C$75</f>
        <v/>
      </c>
      <c r="CN86" s="140">
        <f>CN85/$C$75</f>
        <v/>
      </c>
      <c r="CO86" s="140">
        <f>CO85/$C$75</f>
        <v/>
      </c>
      <c r="CP86" s="140">
        <f>CP85/$C$75</f>
        <v/>
      </c>
      <c r="CQ86" s="140">
        <f>CQ85/$C$75</f>
        <v/>
      </c>
      <c r="CR86" s="140">
        <f>CR85/$C$75</f>
        <v/>
      </c>
      <c r="CS86" s="140">
        <f>CS85/$C$75</f>
        <v/>
      </c>
      <c r="CT86" s="140">
        <f>CT85/$C$75</f>
        <v/>
      </c>
      <c r="CU86" s="140">
        <f>CU85/$C$75</f>
        <v/>
      </c>
      <c r="CV86" s="140">
        <f>CV85/$C$75</f>
        <v/>
      </c>
      <c r="CW86" s="140">
        <f>CW85/$C$75</f>
        <v/>
      </c>
      <c r="CX86" s="140">
        <f>CX85/$C$75</f>
        <v/>
      </c>
      <c r="CY86" s="140">
        <f>CY85/$C$75</f>
        <v/>
      </c>
      <c r="CZ86" s="140">
        <f>CZ85/$C$75</f>
        <v/>
      </c>
      <c r="DA86" s="140">
        <f>DA85/$C$75</f>
        <v/>
      </c>
      <c r="DB86" s="140">
        <f>DB85/$C$75</f>
        <v/>
      </c>
      <c r="DC86" s="140">
        <f>DC85/$C$75</f>
        <v/>
      </c>
      <c r="DD86" s="140">
        <f>DD85/$C$75</f>
        <v/>
      </c>
      <c r="DE86" s="140">
        <f>DE85/$C$75</f>
        <v/>
      </c>
      <c r="DF86" s="140">
        <f>DF85/$C$75</f>
        <v/>
      </c>
      <c r="DG86" s="140">
        <f>DG85/$C$75</f>
        <v/>
      </c>
      <c r="DH86" s="140">
        <f>DH85/$C$75</f>
        <v/>
      </c>
      <c r="DI86" s="140">
        <f>DI85/$C$75</f>
        <v/>
      </c>
      <c r="DJ86" s="140">
        <f>DJ85/$C$75</f>
        <v/>
      </c>
      <c r="DK86" s="140">
        <f>DK85/$C$75</f>
        <v/>
      </c>
      <c r="DL86" s="140">
        <f>DL85/$C$75</f>
        <v/>
      </c>
      <c r="DM86" s="140">
        <f>DM85/$C$75</f>
        <v/>
      </c>
      <c r="DN86" s="140">
        <f>DN85/$C$75</f>
        <v/>
      </c>
      <c r="DO86" s="140">
        <f>DO85/$C$75</f>
        <v/>
      </c>
      <c r="DP86" s="140">
        <f>DP85/$C$75</f>
        <v/>
      </c>
      <c r="DQ86" s="140">
        <f>DQ85/$C$75</f>
        <v/>
      </c>
      <c r="DR86" s="140">
        <f>DR85/$C$75</f>
        <v/>
      </c>
      <c r="DS86" s="140">
        <f>DS85/$C$75</f>
        <v/>
      </c>
      <c r="DT86" s="140">
        <f>DT85/$C$75</f>
        <v/>
      </c>
      <c r="DU86" s="140">
        <f>DU85/$C$75</f>
        <v/>
      </c>
      <c r="DV86" s="140">
        <f>DV85/$C$75</f>
        <v/>
      </c>
      <c r="DW86" s="140">
        <f>DW85/$C$75</f>
        <v/>
      </c>
      <c r="DX86" s="140">
        <f>DX85/$C$75</f>
        <v/>
      </c>
      <c r="DY86" s="140">
        <f>DY85/$C$75</f>
        <v/>
      </c>
      <c r="DZ86" s="140">
        <f>DZ85/$C$75</f>
        <v/>
      </c>
      <c r="EA86" s="140">
        <f>EA85/$C$75</f>
        <v/>
      </c>
      <c r="EB86" s="140">
        <f>EB85/$C$75</f>
        <v/>
      </c>
      <c r="EC86" s="140">
        <f>EC85/$C$75</f>
        <v/>
      </c>
      <c r="ED86" s="140">
        <f>ED85/$C$75</f>
        <v/>
      </c>
      <c r="EE86" s="140">
        <f>EE85/$C$75</f>
        <v/>
      </c>
      <c r="EF86" s="140">
        <f>EF85/$C$75</f>
        <v/>
      </c>
      <c r="EG86" s="140">
        <f>EG85/$C$75</f>
        <v/>
      </c>
      <c r="EH86" s="140">
        <f>EH85/$C$75</f>
        <v/>
      </c>
      <c r="EI86" s="140">
        <f>EI85/$C$75</f>
        <v/>
      </c>
      <c r="EJ86" s="140">
        <f>EJ85/$C$75</f>
        <v/>
      </c>
      <c r="EK86" s="140">
        <f>EK85/$C$75</f>
        <v/>
      </c>
      <c r="EL86" s="140">
        <f>EL85/$C$75</f>
        <v/>
      </c>
      <c r="EM86" s="140">
        <f>EM85/$C$75</f>
        <v/>
      </c>
      <c r="EN86" s="140">
        <f>EN85/$C$75</f>
        <v/>
      </c>
      <c r="EO86" s="140">
        <f>EO85/$C$75</f>
        <v/>
      </c>
      <c r="EP86" s="140">
        <f>EP85/$C$75</f>
        <v/>
      </c>
      <c r="EQ86" s="140">
        <f>EQ85/$C$75</f>
        <v/>
      </c>
      <c r="ER86" s="140">
        <f>ER85/$C$75</f>
        <v/>
      </c>
      <c r="ES86" s="140">
        <f>ES85/$C$75</f>
        <v/>
      </c>
      <c r="ET86" s="140">
        <f>ET85/$C$75</f>
        <v/>
      </c>
      <c r="EU86" s="140">
        <f>EU85/$C$75</f>
        <v/>
      </c>
      <c r="EV86" s="140">
        <f>EV85/$C$75</f>
        <v/>
      </c>
      <c r="EW86" s="140">
        <f>EW85/$C$75</f>
        <v/>
      </c>
      <c r="EX86" s="140">
        <f>EX85/$C$75</f>
        <v/>
      </c>
      <c r="EY86" s="140">
        <f>EY85/$C$75</f>
        <v/>
      </c>
      <c r="EZ86" s="140">
        <f>EZ85/$C$75</f>
        <v/>
      </c>
      <c r="FA86" s="140">
        <f>FA85/$C$75</f>
        <v/>
      </c>
      <c r="FB86" s="140">
        <f>FB85/$C$75</f>
        <v/>
      </c>
    </row>
    <row r="87">
      <c r="B87" s="11" t="inlineStr">
        <is>
          <t>Concessions</t>
        </is>
      </c>
      <c r="C87" s="108">
        <f>Inputs!C27</f>
        <v/>
      </c>
      <c r="D87" s="108">
        <f>Inputs!C32</f>
        <v/>
      </c>
      <c r="E87" s="108">
        <f>Inputs!C37</f>
        <v/>
      </c>
      <c r="F87" s="108">
        <f>Inputs!C42</f>
        <v/>
      </c>
      <c r="G87" s="108">
        <f>Inputs!C47</f>
        <v/>
      </c>
      <c r="L87" s="136" t="n"/>
      <c r="M87" s="112" t="n"/>
      <c r="N87" s="107" t="n"/>
      <c r="O87" s="107" t="n"/>
      <c r="P87" s="107" t="n"/>
      <c r="Q87" s="107" t="n"/>
      <c r="R87" s="107" t="n"/>
      <c r="S87" s="107" t="n"/>
      <c r="T87" s="107" t="n"/>
      <c r="U87" s="107" t="n"/>
      <c r="V87" s="107" t="n"/>
      <c r="W87" s="107" t="n"/>
      <c r="X87" s="107" t="n"/>
      <c r="Y87" s="112" t="n"/>
      <c r="Z87" s="107" t="n"/>
      <c r="AA87" s="107" t="n"/>
      <c r="AB87" s="107" t="n"/>
      <c r="AC87" s="107" t="n"/>
      <c r="AD87" s="107" t="n"/>
      <c r="AE87" s="107" t="n"/>
      <c r="AF87" s="107" t="n"/>
      <c r="AG87" s="107" t="n"/>
      <c r="AH87" s="107" t="n"/>
      <c r="AI87" s="107" t="n"/>
      <c r="AJ87" s="107" t="n"/>
      <c r="AK87" s="107" t="n"/>
      <c r="AL87" s="107" t="n"/>
      <c r="AM87" s="107" t="n"/>
      <c r="AN87" s="107" t="n"/>
      <c r="AO87" s="107" t="n"/>
      <c r="AP87" s="107" t="n"/>
      <c r="AQ87" s="107" t="n"/>
      <c r="AR87" s="107" t="n"/>
      <c r="AS87" s="107" t="n"/>
      <c r="AT87" s="107" t="n"/>
      <c r="AU87" s="107" t="n"/>
      <c r="AV87" s="107" t="n"/>
      <c r="AW87" s="107" t="n"/>
      <c r="AX87" s="107" t="n"/>
      <c r="AY87" s="107" t="n"/>
      <c r="AZ87" s="107" t="n"/>
      <c r="BA87" s="107" t="n"/>
      <c r="BB87" s="107" t="n"/>
      <c r="BC87" s="107" t="n"/>
      <c r="BD87" s="107" t="n"/>
      <c r="BE87" s="107" t="n"/>
      <c r="BF87" s="107" t="n"/>
      <c r="BG87" s="107" t="n"/>
      <c r="BH87" s="107" t="n"/>
      <c r="BI87" s="107" t="n"/>
      <c r="BJ87" s="107" t="n"/>
      <c r="BK87" s="107" t="n"/>
      <c r="BL87" s="107" t="n"/>
      <c r="BM87" s="107" t="n"/>
      <c r="BN87" s="107" t="n"/>
      <c r="BO87" s="107" t="n"/>
      <c r="BP87" s="107" t="n"/>
      <c r="BQ87" s="107" t="n"/>
      <c r="BR87" s="107" t="n"/>
      <c r="BS87" s="107" t="n"/>
      <c r="BT87" s="107" t="n"/>
      <c r="BU87" s="107" t="n"/>
      <c r="BV87" s="107" t="n"/>
      <c r="BW87" s="107" t="n"/>
      <c r="BX87" s="107" t="n"/>
      <c r="BY87" s="107" t="n"/>
      <c r="BZ87" s="107" t="n"/>
      <c r="CA87" s="107" t="n"/>
      <c r="CB87" s="107" t="n"/>
      <c r="CC87" s="107" t="n"/>
      <c r="CD87" s="107" t="n"/>
      <c r="CE87" s="107" t="n"/>
      <c r="CF87" s="107" t="n"/>
      <c r="CG87" s="107" t="n"/>
      <c r="CH87" s="107" t="n"/>
      <c r="CI87" s="107" t="n"/>
      <c r="CJ87" s="107" t="n"/>
      <c r="CK87" s="107" t="n"/>
      <c r="CL87" s="107" t="n"/>
      <c r="CM87" s="107" t="n"/>
      <c r="CN87" s="107" t="n"/>
      <c r="CO87" s="107" t="n"/>
      <c r="CP87" s="107" t="n"/>
      <c r="CQ87" s="107" t="n"/>
      <c r="CR87" s="107" t="n"/>
      <c r="CS87" s="107" t="n"/>
      <c r="CT87" s="107" t="n"/>
      <c r="CU87" s="107" t="n"/>
      <c r="CV87" s="107" t="n"/>
      <c r="CW87" s="107" t="n"/>
      <c r="CX87" s="107" t="n"/>
      <c r="CY87" s="107" t="n"/>
      <c r="CZ87" s="107" t="n"/>
      <c r="DA87" s="107" t="n"/>
      <c r="DB87" s="107" t="n"/>
      <c r="DC87" s="107" t="n"/>
      <c r="DD87" s="107" t="n"/>
      <c r="DE87" s="107" t="n"/>
      <c r="DF87" s="107" t="n"/>
      <c r="DG87" s="107" t="n"/>
      <c r="DH87" s="107" t="n"/>
      <c r="DI87" s="107" t="n"/>
      <c r="DJ87" s="107" t="n"/>
      <c r="DK87" s="107" t="n"/>
      <c r="DL87" s="107" t="n"/>
      <c r="DM87" s="107" t="n"/>
      <c r="DN87" s="107" t="n"/>
      <c r="DO87" s="107" t="n"/>
      <c r="DP87" s="107" t="n"/>
      <c r="DQ87" s="107" t="n"/>
      <c r="DR87" s="107" t="n"/>
      <c r="DS87" s="107" t="n"/>
      <c r="DT87" s="107" t="n"/>
      <c r="DU87" s="107" t="n"/>
      <c r="DV87" s="107" t="n"/>
      <c r="DW87" s="107" t="n"/>
      <c r="DX87" s="107" t="n"/>
      <c r="DY87" s="107" t="n"/>
      <c r="DZ87" s="107" t="n"/>
      <c r="EA87" s="107" t="n"/>
      <c r="EB87" s="107" t="n"/>
      <c r="EC87" s="107" t="n"/>
      <c r="ED87" s="107" t="n"/>
      <c r="EE87" s="107" t="n"/>
      <c r="EF87" s="107" t="n"/>
      <c r="EG87" s="107" t="n"/>
      <c r="EH87" s="107" t="n"/>
      <c r="EI87" s="107" t="n"/>
      <c r="EJ87" s="107" t="n"/>
      <c r="EK87" s="107" t="n"/>
      <c r="EL87" s="107" t="n"/>
      <c r="EM87" s="107" t="n"/>
      <c r="EN87" s="107" t="n"/>
      <c r="EO87" s="107" t="n"/>
      <c r="EP87" s="107" t="n"/>
      <c r="EQ87" s="107" t="n"/>
      <c r="ER87" s="107" t="n"/>
      <c r="ES87" s="107" t="n"/>
      <c r="ET87" s="107" t="n"/>
      <c r="EU87" s="107" t="n"/>
      <c r="EV87" s="107" t="n"/>
      <c r="EW87" s="107" t="n"/>
      <c r="EX87" s="107" t="n"/>
      <c r="EY87" s="107" t="n"/>
      <c r="EZ87" s="107" t="n"/>
      <c r="FA87" s="107" t="n"/>
      <c r="FB87" s="107" t="n"/>
    </row>
    <row r="88">
      <c r="A88" s="46" t="n"/>
      <c r="B88" s="11" t="inlineStr">
        <is>
          <t>Model Units</t>
        </is>
      </c>
      <c r="C88" s="108">
        <f>Inputs!C28</f>
        <v/>
      </c>
      <c r="D88" s="108">
        <f>Inputs!C33</f>
        <v/>
      </c>
      <c r="E88" s="108">
        <f>Inputs!C38</f>
        <v/>
      </c>
      <c r="F88" s="108">
        <f>Inputs!C43</f>
        <v/>
      </c>
      <c r="G88" s="108">
        <f>Inputs!C48</f>
        <v/>
      </c>
      <c r="H88" s="63" t="n"/>
      <c r="I88" s="65" t="inlineStr">
        <is>
          <t>Sales Costs</t>
        </is>
      </c>
      <c r="J88" s="65" t="n"/>
      <c r="L88" s="135">
        <f>SUMIF($Z$4:$FB$4,"&lt;="&amp;$G$18,$Z88:$FB88)</f>
        <v/>
      </c>
      <c r="M88" s="112" t="n"/>
      <c r="N88" s="113">
        <f>SUMIF($Z$3:$FB$3,N$7,$Z88:$FB88)</f>
        <v/>
      </c>
      <c r="O88" s="113">
        <f>SUMIF($Z$3:$FB$3,O$7,$Z88:$FB88)</f>
        <v/>
      </c>
      <c r="P88" s="113">
        <f>SUMIF($Z$3:$FB$3,P$7,$Z88:$FB88)</f>
        <v/>
      </c>
      <c r="Q88" s="113">
        <f>SUMIF($Z$3:$FB$3,Q$7,$Z88:$FB88)</f>
        <v/>
      </c>
      <c r="R88" s="113">
        <f>SUMIF($Z$3:$FB$3,R$7,$Z88:$FB88)</f>
        <v/>
      </c>
      <c r="S88" s="113">
        <f>SUMIF($Z$3:$FB$3,S$7,$Z88:$FB88)</f>
        <v/>
      </c>
      <c r="T88" s="113">
        <f>SUMIF($Z$3:$FB$3,T$7,$Z88:$FB88)</f>
        <v/>
      </c>
      <c r="U88" s="113">
        <f>SUMIF($Z$3:$FB$3,U$7,$Z88:$FB88)</f>
        <v/>
      </c>
      <c r="V88" s="113">
        <f>SUMIF($Z$3:$FB$3,V$7,$Z88:$FB88)</f>
        <v/>
      </c>
      <c r="W88" s="113">
        <f>SUMIF($Z$3:$FB$3,W$7,$Z88:$FB88)</f>
        <v/>
      </c>
      <c r="X88" s="113">
        <f>SUMIF($Z$3:$FB$3,X$7,$Z88:$FB88)</f>
        <v/>
      </c>
      <c r="Y88" s="112" t="n"/>
      <c r="Z88" s="181">
        <f>Z85*-$E$26</f>
        <v/>
      </c>
      <c r="AA88" s="181">
        <f>AA85*-$E$26</f>
        <v/>
      </c>
      <c r="AB88" s="181">
        <f>AB85*-$E$26</f>
        <v/>
      </c>
      <c r="AC88" s="181">
        <f>AC85*-$E$26</f>
        <v/>
      </c>
      <c r="AD88" s="181">
        <f>AD85*-$E$26</f>
        <v/>
      </c>
      <c r="AE88" s="181">
        <f>AE85*-$E$26</f>
        <v/>
      </c>
      <c r="AF88" s="181">
        <f>AF85*-$E$26</f>
        <v/>
      </c>
      <c r="AG88" s="181">
        <f>AG85*-$E$26</f>
        <v/>
      </c>
      <c r="AH88" s="181">
        <f>AH85*-$E$26</f>
        <v/>
      </c>
      <c r="AI88" s="181">
        <f>AI85*-$E$26</f>
        <v/>
      </c>
      <c r="AJ88" s="181">
        <f>AJ85*-$E$26</f>
        <v/>
      </c>
      <c r="AK88" s="181">
        <f>AK85*-$E$26</f>
        <v/>
      </c>
      <c r="AL88" s="181">
        <f>AL85*-$E$26</f>
        <v/>
      </c>
      <c r="AM88" s="181">
        <f>AM85*-$E$26</f>
        <v/>
      </c>
      <c r="AN88" s="181">
        <f>AN85*-$E$26</f>
        <v/>
      </c>
      <c r="AO88" s="181">
        <f>AO85*-$E$26</f>
        <v/>
      </c>
      <c r="AP88" s="181">
        <f>AP85*-$E$26</f>
        <v/>
      </c>
      <c r="AQ88" s="181">
        <f>AQ85*-$E$26</f>
        <v/>
      </c>
      <c r="AR88" s="181">
        <f>AR85*-$E$26</f>
        <v/>
      </c>
      <c r="AS88" s="181">
        <f>AS85*-$E$26</f>
        <v/>
      </c>
      <c r="AT88" s="181">
        <f>AT85*-$E$26</f>
        <v/>
      </c>
      <c r="AU88" s="181">
        <f>AU85*-$E$26</f>
        <v/>
      </c>
      <c r="AV88" s="181">
        <f>AV85*-$E$26</f>
        <v/>
      </c>
      <c r="AW88" s="181">
        <f>AW85*-$E$26</f>
        <v/>
      </c>
      <c r="AX88" s="181">
        <f>AX85*-$E$26</f>
        <v/>
      </c>
      <c r="AY88" s="181">
        <f>AY85*-$E$26</f>
        <v/>
      </c>
      <c r="AZ88" s="181">
        <f>AZ85*-$E$26</f>
        <v/>
      </c>
      <c r="BA88" s="181">
        <f>BA85*-$E$26</f>
        <v/>
      </c>
      <c r="BB88" s="181">
        <f>BB85*-$E$26</f>
        <v/>
      </c>
      <c r="BC88" s="181">
        <f>BC85*-$E$26</f>
        <v/>
      </c>
      <c r="BD88" s="181">
        <f>BD85*-$E$26</f>
        <v/>
      </c>
      <c r="BE88" s="181">
        <f>BE85*-$E$26</f>
        <v/>
      </c>
      <c r="BF88" s="181">
        <f>BF85*-$E$26</f>
        <v/>
      </c>
      <c r="BG88" s="181">
        <f>BG85*-$E$26</f>
        <v/>
      </c>
      <c r="BH88" s="181">
        <f>BH85*-$E$26</f>
        <v/>
      </c>
      <c r="BI88" s="181">
        <f>BI85*-$E$26</f>
        <v/>
      </c>
      <c r="BJ88" s="181">
        <f>BJ85*-$E$26</f>
        <v/>
      </c>
      <c r="BK88" s="181">
        <f>BK85*-$E$26</f>
        <v/>
      </c>
      <c r="BL88" s="181">
        <f>BL85*-$E$26</f>
        <v/>
      </c>
      <c r="BM88" s="181">
        <f>BM85*-$E$26</f>
        <v/>
      </c>
      <c r="BN88" s="181">
        <f>BN85*-$E$26</f>
        <v/>
      </c>
      <c r="BO88" s="181">
        <f>BO85*-$E$26</f>
        <v/>
      </c>
      <c r="BP88" s="181">
        <f>BP85*-$E$26</f>
        <v/>
      </c>
      <c r="BQ88" s="181">
        <f>BQ85*-$E$26</f>
        <v/>
      </c>
      <c r="BR88" s="181">
        <f>BR85*-$E$26</f>
        <v/>
      </c>
      <c r="BS88" s="181">
        <f>BS85*-$E$26</f>
        <v/>
      </c>
      <c r="BT88" s="181">
        <f>BT85*-$E$26</f>
        <v/>
      </c>
      <c r="BU88" s="181">
        <f>BU85*-$E$26</f>
        <v/>
      </c>
      <c r="BV88" s="181">
        <f>BV85*-$E$26</f>
        <v/>
      </c>
      <c r="BW88" s="181">
        <f>BW85*-$E$26</f>
        <v/>
      </c>
      <c r="BX88" s="181">
        <f>BX85*-$E$26</f>
        <v/>
      </c>
      <c r="BY88" s="181">
        <f>BY85*-$E$26</f>
        <v/>
      </c>
      <c r="BZ88" s="181">
        <f>BZ85*-$E$26</f>
        <v/>
      </c>
      <c r="CA88" s="181">
        <f>CA85*-$E$26</f>
        <v/>
      </c>
      <c r="CB88" s="181">
        <f>CB85*-$E$26</f>
        <v/>
      </c>
      <c r="CC88" s="181">
        <f>CC85*-$E$26</f>
        <v/>
      </c>
      <c r="CD88" s="181">
        <f>CD85*-$E$26</f>
        <v/>
      </c>
      <c r="CE88" s="181">
        <f>CE85*-$E$26</f>
        <v/>
      </c>
      <c r="CF88" s="181">
        <f>CF85*-$E$26</f>
        <v/>
      </c>
      <c r="CG88" s="181">
        <f>CG85*-$E$26</f>
        <v/>
      </c>
      <c r="CH88" s="181">
        <f>CH85*-$E$26</f>
        <v/>
      </c>
      <c r="CI88" s="181">
        <f>CI85*-$E$26</f>
        <v/>
      </c>
      <c r="CJ88" s="181">
        <f>CJ85*-$E$26</f>
        <v/>
      </c>
      <c r="CK88" s="181">
        <f>CK85*-$E$26</f>
        <v/>
      </c>
      <c r="CL88" s="181">
        <f>CL85*-$E$26</f>
        <v/>
      </c>
      <c r="CM88" s="181">
        <f>CM85*-$E$26</f>
        <v/>
      </c>
      <c r="CN88" s="181">
        <f>CN85*-$E$26</f>
        <v/>
      </c>
      <c r="CO88" s="181">
        <f>CO85*-$E$26</f>
        <v/>
      </c>
      <c r="CP88" s="181">
        <f>CP85*-$E$26</f>
        <v/>
      </c>
      <c r="CQ88" s="181">
        <f>CQ85*-$E$26</f>
        <v/>
      </c>
      <c r="CR88" s="181">
        <f>CR85*-$E$26</f>
        <v/>
      </c>
      <c r="CS88" s="181">
        <f>CS85*-$E$26</f>
        <v/>
      </c>
      <c r="CT88" s="181">
        <f>CT85*-$E$26</f>
        <v/>
      </c>
      <c r="CU88" s="181">
        <f>CU85*-$E$26</f>
        <v/>
      </c>
      <c r="CV88" s="181">
        <f>CV85*-$E$26</f>
        <v/>
      </c>
      <c r="CW88" s="181">
        <f>CW85*-$E$26</f>
        <v/>
      </c>
      <c r="CX88" s="181">
        <f>CX85*-$E$26</f>
        <v/>
      </c>
      <c r="CY88" s="181">
        <f>CY85*-$E$26</f>
        <v/>
      </c>
      <c r="CZ88" s="181">
        <f>CZ85*-$E$26</f>
        <v/>
      </c>
      <c r="DA88" s="181">
        <f>DA85*-$E$26</f>
        <v/>
      </c>
      <c r="DB88" s="181">
        <f>DB85*-$E$26</f>
        <v/>
      </c>
      <c r="DC88" s="181">
        <f>DC85*-$E$26</f>
        <v/>
      </c>
      <c r="DD88" s="181">
        <f>DD85*-$E$26</f>
        <v/>
      </c>
      <c r="DE88" s="181">
        <f>DE85*-$E$26</f>
        <v/>
      </c>
      <c r="DF88" s="181">
        <f>DF85*-$E$26</f>
        <v/>
      </c>
      <c r="DG88" s="181">
        <f>DG85*-$E$26</f>
        <v/>
      </c>
      <c r="DH88" s="181">
        <f>DH85*-$E$26</f>
        <v/>
      </c>
      <c r="DI88" s="181">
        <f>DI85*-$E$26</f>
        <v/>
      </c>
      <c r="DJ88" s="181">
        <f>DJ85*-$E$26</f>
        <v/>
      </c>
      <c r="DK88" s="181">
        <f>DK85*-$E$26</f>
        <v/>
      </c>
      <c r="DL88" s="181">
        <f>DL85*-$E$26</f>
        <v/>
      </c>
      <c r="DM88" s="181">
        <f>DM85*-$E$26</f>
        <v/>
      </c>
      <c r="DN88" s="181">
        <f>DN85*-$E$26</f>
        <v/>
      </c>
      <c r="DO88" s="181">
        <f>DO85*-$E$26</f>
        <v/>
      </c>
      <c r="DP88" s="181">
        <f>DP85*-$E$26</f>
        <v/>
      </c>
      <c r="DQ88" s="181">
        <f>DQ85*-$E$26</f>
        <v/>
      </c>
      <c r="DR88" s="181">
        <f>DR85*-$E$26</f>
        <v/>
      </c>
      <c r="DS88" s="181">
        <f>DS85*-$E$26</f>
        <v/>
      </c>
      <c r="DT88" s="181">
        <f>DT85*-$E$26</f>
        <v/>
      </c>
      <c r="DU88" s="181">
        <f>DU85*-$E$26</f>
        <v/>
      </c>
      <c r="DV88" s="181">
        <f>DV85*-$E$26</f>
        <v/>
      </c>
      <c r="DW88" s="181">
        <f>DW85*-$E$26</f>
        <v/>
      </c>
      <c r="DX88" s="181">
        <f>DX85*-$E$26</f>
        <v/>
      </c>
      <c r="DY88" s="181">
        <f>DY85*-$E$26</f>
        <v/>
      </c>
      <c r="DZ88" s="181">
        <f>DZ85*-$E$26</f>
        <v/>
      </c>
      <c r="EA88" s="181">
        <f>EA85*-$E$26</f>
        <v/>
      </c>
      <c r="EB88" s="181">
        <f>EB85*-$E$26</f>
        <v/>
      </c>
      <c r="EC88" s="181">
        <f>EC85*-$E$26</f>
        <v/>
      </c>
      <c r="ED88" s="181">
        <f>ED85*-$E$26</f>
        <v/>
      </c>
      <c r="EE88" s="181">
        <f>EE85*-$E$26</f>
        <v/>
      </c>
      <c r="EF88" s="181">
        <f>EF85*-$E$26</f>
        <v/>
      </c>
      <c r="EG88" s="181">
        <f>EG85*-$E$26</f>
        <v/>
      </c>
      <c r="EH88" s="181">
        <f>EH85*-$E$26</f>
        <v/>
      </c>
      <c r="EI88" s="181">
        <f>EI85*-$E$26</f>
        <v/>
      </c>
      <c r="EJ88" s="181">
        <f>EJ85*-$E$26</f>
        <v/>
      </c>
      <c r="EK88" s="181">
        <f>EK85*-$E$26</f>
        <v/>
      </c>
      <c r="EL88" s="181">
        <f>EL85*-$E$26</f>
        <v/>
      </c>
      <c r="EM88" s="181">
        <f>EM85*-$E$26</f>
        <v/>
      </c>
      <c r="EN88" s="181">
        <f>EN85*-$E$26</f>
        <v/>
      </c>
      <c r="EO88" s="181">
        <f>EO85*-$E$26</f>
        <v/>
      </c>
      <c r="EP88" s="181">
        <f>EP85*-$E$26</f>
        <v/>
      </c>
      <c r="EQ88" s="181">
        <f>EQ85*-$E$26</f>
        <v/>
      </c>
      <c r="ER88" s="181">
        <f>ER85*-$E$26</f>
        <v/>
      </c>
      <c r="ES88" s="181">
        <f>ES85*-$E$26</f>
        <v/>
      </c>
      <c r="ET88" s="181">
        <f>ET85*-$E$26</f>
        <v/>
      </c>
      <c r="EU88" s="181">
        <f>EU85*-$E$26</f>
        <v/>
      </c>
      <c r="EV88" s="181">
        <f>EV85*-$E$26</f>
        <v/>
      </c>
      <c r="EW88" s="181">
        <f>EW85*-$E$26</f>
        <v/>
      </c>
      <c r="EX88" s="181">
        <f>EX85*-$E$26</f>
        <v/>
      </c>
      <c r="EY88" s="181">
        <f>EY85*-$E$26</f>
        <v/>
      </c>
      <c r="EZ88" s="181">
        <f>EZ85*-$E$26</f>
        <v/>
      </c>
      <c r="FA88" s="181">
        <f>FA85*-$E$26</f>
        <v/>
      </c>
      <c r="FB88" s="181">
        <f>FB85*-$E$26</f>
        <v/>
      </c>
    </row>
    <row r="89">
      <c r="B89" s="21" t="inlineStr">
        <is>
          <t>Growth Assumptions</t>
        </is>
      </c>
      <c r="C89" s="45">
        <f>IF(MONTH(D15)=12,YEAR(D15)+1,YEAR(D15))</f>
        <v/>
      </c>
      <c r="D89" s="45">
        <f>C89+1</f>
        <v/>
      </c>
      <c r="E89" s="45">
        <f>D89+1</f>
        <v/>
      </c>
      <c r="F89" s="45">
        <f>E89+1</f>
        <v/>
      </c>
      <c r="G89" s="106">
        <f>F89+1</f>
        <v/>
      </c>
      <c r="I89" s="71" t="inlineStr">
        <is>
          <t>Net Sales Proceeds</t>
        </is>
      </c>
      <c r="J89" s="72" t="n"/>
      <c r="K89" s="63" t="n"/>
      <c r="L89" s="71">
        <f>SUMIF($Z$4:$FB$4,"&lt;="&amp;$G$18,$Z89:$FB89)</f>
        <v/>
      </c>
      <c r="M89" s="58" t="n"/>
      <c r="N89" s="71">
        <f>SUMIF($Z$3:$FB$3,N$7,$Z89:$FB89)</f>
        <v/>
      </c>
      <c r="O89" s="71">
        <f>SUMIF($Z$3:$FB$3,O$7,$Z89:$FB89)</f>
        <v/>
      </c>
      <c r="P89" s="71">
        <f>SUMIF($Z$3:$FB$3,P$7,$Z89:$FB89)</f>
        <v/>
      </c>
      <c r="Q89" s="71">
        <f>SUMIF($Z$3:$FB$3,Q$7,$Z89:$FB89)</f>
        <v/>
      </c>
      <c r="R89" s="71">
        <f>SUMIF($Z$3:$FB$3,R$7,$Z89:$FB89)</f>
        <v/>
      </c>
      <c r="S89" s="71">
        <f>SUMIF($Z$3:$FB$3,S$7,$Z89:$FB89)</f>
        <v/>
      </c>
      <c r="T89" s="71">
        <f>SUMIF($Z$3:$FB$3,T$7,$Z89:$FB89)</f>
        <v/>
      </c>
      <c r="U89" s="71">
        <f>SUMIF($Z$3:$FB$3,U$7,$Z89:$FB89)</f>
        <v/>
      </c>
      <c r="V89" s="71">
        <f>SUMIF($Z$3:$FB$3,V$7,$Z89:$FB89)</f>
        <v/>
      </c>
      <c r="W89" s="71">
        <f>SUMIF($Z$3:$FB$3,W$7,$Z89:$FB89)</f>
        <v/>
      </c>
      <c r="X89" s="71">
        <f>SUMIF($Z$3:$FB$3,X$7,$Z89:$FB89)</f>
        <v/>
      </c>
      <c r="Y89" s="58" t="n"/>
      <c r="Z89" s="71">
        <f>SUM(Z85,Z88)</f>
        <v/>
      </c>
      <c r="AA89" s="71">
        <f>SUM(AA85,AA88)</f>
        <v/>
      </c>
      <c r="AB89" s="71">
        <f>SUM(AB85,AB88)</f>
        <v/>
      </c>
      <c r="AC89" s="71">
        <f>SUM(AC85,AC88)</f>
        <v/>
      </c>
      <c r="AD89" s="71">
        <f>SUM(AD85,AD88)</f>
        <v/>
      </c>
      <c r="AE89" s="71">
        <f>SUM(AE85,AE88)</f>
        <v/>
      </c>
      <c r="AF89" s="71">
        <f>SUM(AF85,AF88)</f>
        <v/>
      </c>
      <c r="AG89" s="71">
        <f>SUM(AG85,AG88)</f>
        <v/>
      </c>
      <c r="AH89" s="71">
        <f>SUM(AH85,AH88)</f>
        <v/>
      </c>
      <c r="AI89" s="71">
        <f>SUM(AI85,AI88)</f>
        <v/>
      </c>
      <c r="AJ89" s="71">
        <f>SUM(AJ85,AJ88)</f>
        <v/>
      </c>
      <c r="AK89" s="71">
        <f>SUM(AK85,AK88)</f>
        <v/>
      </c>
      <c r="AL89" s="71">
        <f>SUM(AL85,AL88)</f>
        <v/>
      </c>
      <c r="AM89" s="71">
        <f>SUM(AM85,AM88)</f>
        <v/>
      </c>
      <c r="AN89" s="71">
        <f>SUM(AN85,AN88)</f>
        <v/>
      </c>
      <c r="AO89" s="71">
        <f>SUM(AO85,AO88)</f>
        <v/>
      </c>
      <c r="AP89" s="71">
        <f>SUM(AP85,AP88)</f>
        <v/>
      </c>
      <c r="AQ89" s="71">
        <f>SUM(AQ85,AQ88)</f>
        <v/>
      </c>
      <c r="AR89" s="71">
        <f>SUM(AR85,AR88)</f>
        <v/>
      </c>
      <c r="AS89" s="71">
        <f>SUM(AS85,AS88)</f>
        <v/>
      </c>
      <c r="AT89" s="71">
        <f>SUM(AT85,AT88)</f>
        <v/>
      </c>
      <c r="AU89" s="71">
        <f>SUM(AU85,AU88)</f>
        <v/>
      </c>
      <c r="AV89" s="71">
        <f>SUM(AV85,AV88)</f>
        <v/>
      </c>
      <c r="AW89" s="71">
        <f>SUM(AW85,AW88)</f>
        <v/>
      </c>
      <c r="AX89" s="71">
        <f>SUM(AX85,AX88)</f>
        <v/>
      </c>
      <c r="AY89" s="71">
        <f>SUM(AY85,AY88)</f>
        <v/>
      </c>
      <c r="AZ89" s="71">
        <f>SUM(AZ85,AZ88)</f>
        <v/>
      </c>
      <c r="BA89" s="71">
        <f>SUM(BA85,BA88)</f>
        <v/>
      </c>
      <c r="BB89" s="71">
        <f>SUM(BB85,BB88)</f>
        <v/>
      </c>
      <c r="BC89" s="71">
        <f>SUM(BC85,BC88)</f>
        <v/>
      </c>
      <c r="BD89" s="71">
        <f>SUM(BD85,BD88)</f>
        <v/>
      </c>
      <c r="BE89" s="71">
        <f>SUM(BE85,BE88)</f>
        <v/>
      </c>
      <c r="BF89" s="71">
        <f>SUM(BF85,BF88)</f>
        <v/>
      </c>
      <c r="BG89" s="71">
        <f>SUM(BG85,BG88)</f>
        <v/>
      </c>
      <c r="BH89" s="71">
        <f>SUM(BH85,BH88)</f>
        <v/>
      </c>
      <c r="BI89" s="71">
        <f>SUM(BI85,BI88)</f>
        <v/>
      </c>
      <c r="BJ89" s="71">
        <f>SUM(BJ85,BJ88)</f>
        <v/>
      </c>
      <c r="BK89" s="71">
        <f>SUM(BK85,BK88)</f>
        <v/>
      </c>
      <c r="BL89" s="71">
        <f>SUM(BL85,BL88)</f>
        <v/>
      </c>
      <c r="BM89" s="71">
        <f>SUM(BM85,BM88)</f>
        <v/>
      </c>
      <c r="BN89" s="71">
        <f>SUM(BN85,BN88)</f>
        <v/>
      </c>
      <c r="BO89" s="71">
        <f>SUM(BO85,BO88)</f>
        <v/>
      </c>
      <c r="BP89" s="71">
        <f>SUM(BP85,BP88)</f>
        <v/>
      </c>
      <c r="BQ89" s="71">
        <f>SUM(BQ85,BQ88)</f>
        <v/>
      </c>
      <c r="BR89" s="71">
        <f>SUM(BR85,BR88)</f>
        <v/>
      </c>
      <c r="BS89" s="71">
        <f>SUM(BS85,BS88)</f>
        <v/>
      </c>
      <c r="BT89" s="71">
        <f>SUM(BT85,BT88)</f>
        <v/>
      </c>
      <c r="BU89" s="71">
        <f>SUM(BU85,BU88)</f>
        <v/>
      </c>
      <c r="BV89" s="71">
        <f>SUM(BV85,BV88)</f>
        <v/>
      </c>
      <c r="BW89" s="71">
        <f>SUM(BW85,BW88)</f>
        <v/>
      </c>
      <c r="BX89" s="71">
        <f>SUM(BX85,BX88)</f>
        <v/>
      </c>
      <c r="BY89" s="71">
        <f>SUM(BY85,BY88)</f>
        <v/>
      </c>
      <c r="BZ89" s="71">
        <f>SUM(BZ85,BZ88)</f>
        <v/>
      </c>
      <c r="CA89" s="71">
        <f>SUM(CA85,CA88)</f>
        <v/>
      </c>
      <c r="CB89" s="71">
        <f>SUM(CB85,CB88)</f>
        <v/>
      </c>
      <c r="CC89" s="71">
        <f>SUM(CC85,CC88)</f>
        <v/>
      </c>
      <c r="CD89" s="71">
        <f>SUM(CD85,CD88)</f>
        <v/>
      </c>
      <c r="CE89" s="71">
        <f>SUM(CE85,CE88)</f>
        <v/>
      </c>
      <c r="CF89" s="71">
        <f>SUM(CF85,CF88)</f>
        <v/>
      </c>
      <c r="CG89" s="71">
        <f>SUM(CG85,CG88)</f>
        <v/>
      </c>
      <c r="CH89" s="71">
        <f>SUM(CH85,CH88)</f>
        <v/>
      </c>
      <c r="CI89" s="71">
        <f>SUM(CI85,CI88)</f>
        <v/>
      </c>
      <c r="CJ89" s="71">
        <f>SUM(CJ85,CJ88)</f>
        <v/>
      </c>
      <c r="CK89" s="71">
        <f>SUM(CK85,CK88)</f>
        <v/>
      </c>
      <c r="CL89" s="71">
        <f>SUM(CL85,CL88)</f>
        <v/>
      </c>
      <c r="CM89" s="71">
        <f>SUM(CM85,CM88)</f>
        <v/>
      </c>
      <c r="CN89" s="71">
        <f>SUM(CN85,CN88)</f>
        <v/>
      </c>
      <c r="CO89" s="71">
        <f>SUM(CO85,CO88)</f>
        <v/>
      </c>
      <c r="CP89" s="71">
        <f>SUM(CP85,CP88)</f>
        <v/>
      </c>
      <c r="CQ89" s="71">
        <f>SUM(CQ85,CQ88)</f>
        <v/>
      </c>
      <c r="CR89" s="71">
        <f>SUM(CR85,CR88)</f>
        <v/>
      </c>
      <c r="CS89" s="71">
        <f>SUM(CS85,CS88)</f>
        <v/>
      </c>
      <c r="CT89" s="71">
        <f>SUM(CT85,CT88)</f>
        <v/>
      </c>
      <c r="CU89" s="71">
        <f>SUM(CU85,CU88)</f>
        <v/>
      </c>
      <c r="CV89" s="71">
        <f>SUM(CV85,CV88)</f>
        <v/>
      </c>
      <c r="CW89" s="71">
        <f>SUM(CW85,CW88)</f>
        <v/>
      </c>
      <c r="CX89" s="71">
        <f>SUM(CX85,CX88)</f>
        <v/>
      </c>
      <c r="CY89" s="71">
        <f>SUM(CY85,CY88)</f>
        <v/>
      </c>
      <c r="CZ89" s="71">
        <f>SUM(CZ85,CZ88)</f>
        <v/>
      </c>
      <c r="DA89" s="71">
        <f>SUM(DA85,DA88)</f>
        <v/>
      </c>
      <c r="DB89" s="71">
        <f>SUM(DB85,DB88)</f>
        <v/>
      </c>
      <c r="DC89" s="71">
        <f>SUM(DC85,DC88)</f>
        <v/>
      </c>
      <c r="DD89" s="71">
        <f>SUM(DD85,DD88)</f>
        <v/>
      </c>
      <c r="DE89" s="71">
        <f>SUM(DE85,DE88)</f>
        <v/>
      </c>
      <c r="DF89" s="71">
        <f>SUM(DF85,DF88)</f>
        <v/>
      </c>
      <c r="DG89" s="71">
        <f>SUM(DG85,DG88)</f>
        <v/>
      </c>
      <c r="DH89" s="71">
        <f>SUM(DH85,DH88)</f>
        <v/>
      </c>
      <c r="DI89" s="71">
        <f>SUM(DI85,DI88)</f>
        <v/>
      </c>
      <c r="DJ89" s="71">
        <f>SUM(DJ85,DJ88)</f>
        <v/>
      </c>
      <c r="DK89" s="71">
        <f>SUM(DK85,DK88)</f>
        <v/>
      </c>
      <c r="DL89" s="71">
        <f>SUM(DL85,DL88)</f>
        <v/>
      </c>
      <c r="DM89" s="71">
        <f>SUM(DM85,DM88)</f>
        <v/>
      </c>
      <c r="DN89" s="71">
        <f>SUM(DN85,DN88)</f>
        <v/>
      </c>
      <c r="DO89" s="71">
        <f>SUM(DO85,DO88)</f>
        <v/>
      </c>
      <c r="DP89" s="71">
        <f>SUM(DP85,DP88)</f>
        <v/>
      </c>
      <c r="DQ89" s="71">
        <f>SUM(DQ85,DQ88)</f>
        <v/>
      </c>
      <c r="DR89" s="71">
        <f>SUM(DR85,DR88)</f>
        <v/>
      </c>
      <c r="DS89" s="71">
        <f>SUM(DS85,DS88)</f>
        <v/>
      </c>
      <c r="DT89" s="71">
        <f>SUM(DT85,DT88)</f>
        <v/>
      </c>
      <c r="DU89" s="71">
        <f>SUM(DU85,DU88)</f>
        <v/>
      </c>
      <c r="DV89" s="71">
        <f>SUM(DV85,DV88)</f>
        <v/>
      </c>
      <c r="DW89" s="71">
        <f>SUM(DW85,DW88)</f>
        <v/>
      </c>
      <c r="DX89" s="71">
        <f>SUM(DX85,DX88)</f>
        <v/>
      </c>
      <c r="DY89" s="71">
        <f>SUM(DY85,DY88)</f>
        <v/>
      </c>
      <c r="DZ89" s="71">
        <f>SUM(DZ85,DZ88)</f>
        <v/>
      </c>
      <c r="EA89" s="71">
        <f>SUM(EA85,EA88)</f>
        <v/>
      </c>
      <c r="EB89" s="71">
        <f>SUM(EB85,EB88)</f>
        <v/>
      </c>
      <c r="EC89" s="71">
        <f>SUM(EC85,EC88)</f>
        <v/>
      </c>
      <c r="ED89" s="71">
        <f>SUM(ED85,ED88)</f>
        <v/>
      </c>
      <c r="EE89" s="71">
        <f>SUM(EE85,EE88)</f>
        <v/>
      </c>
      <c r="EF89" s="71">
        <f>SUM(EF85,EF88)</f>
        <v/>
      </c>
      <c r="EG89" s="71">
        <f>SUM(EG85,EG88)</f>
        <v/>
      </c>
      <c r="EH89" s="71">
        <f>SUM(EH85,EH88)</f>
        <v/>
      </c>
      <c r="EI89" s="71">
        <f>SUM(EI85,EI88)</f>
        <v/>
      </c>
      <c r="EJ89" s="71">
        <f>SUM(EJ85,EJ88)</f>
        <v/>
      </c>
      <c r="EK89" s="71">
        <f>SUM(EK85,EK88)</f>
        <v/>
      </c>
      <c r="EL89" s="71">
        <f>SUM(EL85,EL88)</f>
        <v/>
      </c>
      <c r="EM89" s="71">
        <f>SUM(EM85,EM88)</f>
        <v/>
      </c>
      <c r="EN89" s="71">
        <f>SUM(EN85,EN88)</f>
        <v/>
      </c>
      <c r="EO89" s="71">
        <f>SUM(EO85,EO88)</f>
        <v/>
      </c>
      <c r="EP89" s="71">
        <f>SUM(EP85,EP88)</f>
        <v/>
      </c>
      <c r="EQ89" s="71">
        <f>SUM(EQ85,EQ88)</f>
        <v/>
      </c>
      <c r="ER89" s="71">
        <f>SUM(ER85,ER88)</f>
        <v/>
      </c>
      <c r="ES89" s="71">
        <f>SUM(ES85,ES88)</f>
        <v/>
      </c>
      <c r="ET89" s="71">
        <f>SUM(ET85,ET88)</f>
        <v/>
      </c>
      <c r="EU89" s="71">
        <f>SUM(EU85,EU88)</f>
        <v/>
      </c>
      <c r="EV89" s="71">
        <f>SUM(EV85,EV88)</f>
        <v/>
      </c>
      <c r="EW89" s="71">
        <f>SUM(EW85,EW88)</f>
        <v/>
      </c>
      <c r="EX89" s="71">
        <f>SUM(EX85,EX88)</f>
        <v/>
      </c>
      <c r="EY89" s="71">
        <f>SUM(EY85,EY88)</f>
        <v/>
      </c>
      <c r="EZ89" s="71">
        <f>SUM(EZ85,EZ88)</f>
        <v/>
      </c>
      <c r="FA89" s="71">
        <f>SUM(FA85,FA88)</f>
        <v/>
      </c>
      <c r="FB89" s="71">
        <f>SUM(FB85,FB88)</f>
        <v/>
      </c>
    </row>
    <row r="90">
      <c r="A90" s="63" t="n"/>
      <c r="B90" s="11" t="inlineStr">
        <is>
          <t>Market Rent</t>
        </is>
      </c>
      <c r="C90" s="108">
        <f>C119</f>
        <v/>
      </c>
      <c r="D90" s="108">
        <f>C90</f>
        <v/>
      </c>
      <c r="E90" s="108">
        <f>D90</f>
        <v/>
      </c>
      <c r="F90" s="108">
        <f>E90</f>
        <v/>
      </c>
      <c r="G90" s="108">
        <f>F90</f>
        <v/>
      </c>
      <c r="H90" s="63" t="n"/>
    </row>
    <row r="91" customFormat="1" s="46">
      <c r="A91" s="9" t="n"/>
      <c r="B91" s="11" t="inlineStr">
        <is>
          <t>Other Income</t>
        </is>
      </c>
      <c r="C91" s="108">
        <f>C90</f>
        <v/>
      </c>
      <c r="D91" s="108">
        <f>C91</f>
        <v/>
      </c>
      <c r="E91" s="108">
        <f>D91</f>
        <v/>
      </c>
      <c r="F91" s="108">
        <f>E91</f>
        <v/>
      </c>
      <c r="G91" s="108">
        <f>F91</f>
        <v/>
      </c>
      <c r="H91" s="11" t="n"/>
      <c r="I91" s="35" t="inlineStr">
        <is>
          <t>Unlevered Cash Flow</t>
        </is>
      </c>
      <c r="J91" s="114" t="n"/>
      <c r="K91" s="11" t="n"/>
      <c r="L91" s="139" t="n"/>
      <c r="M91" s="11" t="n"/>
      <c r="N91" s="114" t="n"/>
      <c r="O91" s="114" t="n"/>
      <c r="P91" s="114" t="n"/>
      <c r="Q91" s="114" t="n"/>
      <c r="R91" s="114" t="n"/>
      <c r="S91" s="114" t="n"/>
      <c r="T91" s="114" t="n"/>
      <c r="U91" s="114" t="n"/>
      <c r="V91" s="114" t="n"/>
      <c r="W91" s="114" t="n"/>
      <c r="X91" s="114" t="n"/>
      <c r="Y91" s="11" t="n"/>
      <c r="Z91" s="114" t="n"/>
      <c r="AA91" s="114" t="n"/>
      <c r="AB91" s="114" t="n"/>
      <c r="AC91" s="114" t="n"/>
      <c r="AD91" s="114" t="n"/>
      <c r="AE91" s="114" t="n"/>
      <c r="AF91" s="114" t="n"/>
      <c r="AG91" s="114" t="n"/>
      <c r="AH91" s="114" t="n"/>
      <c r="AI91" s="114" t="n"/>
      <c r="AJ91" s="114" t="n"/>
      <c r="AK91" s="114" t="n"/>
      <c r="AL91" s="114" t="n"/>
      <c r="AM91" s="114" t="n"/>
      <c r="AN91" s="114" t="n"/>
      <c r="AO91" s="114" t="n"/>
      <c r="AP91" s="114" t="n"/>
      <c r="AQ91" s="114" t="n"/>
      <c r="AR91" s="114" t="n"/>
      <c r="AS91" s="114" t="n"/>
      <c r="AT91" s="114" t="n"/>
      <c r="AU91" s="114" t="n"/>
      <c r="AV91" s="114" t="n"/>
      <c r="AW91" s="114" t="n"/>
      <c r="AX91" s="114" t="n"/>
      <c r="AY91" s="114" t="n"/>
      <c r="AZ91" s="114" t="n"/>
      <c r="BA91" s="114" t="n"/>
      <c r="BB91" s="114" t="n"/>
      <c r="BC91" s="114" t="n"/>
      <c r="BD91" s="114" t="n"/>
      <c r="BE91" s="114" t="n"/>
      <c r="BF91" s="114" t="n"/>
      <c r="BG91" s="114" t="n"/>
      <c r="BH91" s="114" t="n"/>
      <c r="BI91" s="114" t="n"/>
      <c r="BJ91" s="114" t="n"/>
      <c r="BK91" s="114" t="n"/>
      <c r="BL91" s="114" t="n"/>
      <c r="BM91" s="114" t="n"/>
      <c r="BN91" s="114" t="n"/>
      <c r="BO91" s="114" t="n"/>
      <c r="BP91" s="114" t="n"/>
      <c r="BQ91" s="114" t="n"/>
      <c r="BR91" s="114" t="n"/>
      <c r="BS91" s="114" t="n"/>
      <c r="BT91" s="114" t="n"/>
      <c r="BU91" s="114" t="n"/>
      <c r="BV91" s="114" t="n"/>
      <c r="BW91" s="114" t="n"/>
      <c r="BX91" s="114" t="n"/>
      <c r="BY91" s="114" t="n"/>
      <c r="BZ91" s="114" t="n"/>
      <c r="CA91" s="114" t="n"/>
      <c r="CB91" s="114" t="n"/>
      <c r="CC91" s="114" t="n"/>
      <c r="CD91" s="114" t="n"/>
      <c r="CE91" s="114" t="n"/>
      <c r="CF91" s="114" t="n"/>
      <c r="CG91" s="114" t="n"/>
      <c r="CH91" s="114" t="n"/>
      <c r="CI91" s="114" t="n"/>
      <c r="CJ91" s="114" t="n"/>
      <c r="CK91" s="114" t="n"/>
      <c r="CL91" s="114" t="n"/>
      <c r="CM91" s="114" t="n"/>
      <c r="CN91" s="114" t="n"/>
      <c r="CO91" s="114" t="n"/>
      <c r="CP91" s="114" t="n"/>
      <c r="CQ91" s="114" t="n"/>
      <c r="CR91" s="114" t="n"/>
      <c r="CS91" s="114" t="n"/>
      <c r="CT91" s="114" t="n"/>
      <c r="CU91" s="114" t="n"/>
      <c r="CV91" s="114" t="n"/>
      <c r="CW91" s="114" t="n"/>
      <c r="CX91" s="114" t="n"/>
      <c r="CY91" s="114" t="n"/>
      <c r="CZ91" s="114" t="n"/>
      <c r="DA91" s="114" t="n"/>
      <c r="DB91" s="114" t="n"/>
      <c r="DC91" s="114" t="n"/>
      <c r="DD91" s="114" t="n"/>
      <c r="DE91" s="114" t="n"/>
      <c r="DF91" s="114" t="n"/>
      <c r="DG91" s="114" t="n"/>
      <c r="DH91" s="114" t="n"/>
      <c r="DI91" s="114" t="n"/>
      <c r="DJ91" s="114" t="n"/>
      <c r="DK91" s="114" t="n"/>
      <c r="DL91" s="114" t="n"/>
      <c r="DM91" s="114" t="n"/>
      <c r="DN91" s="114" t="n"/>
      <c r="DO91" s="114" t="n"/>
      <c r="DP91" s="114" t="n"/>
      <c r="DQ91" s="114" t="n"/>
      <c r="DR91" s="114" t="n"/>
      <c r="DS91" s="114" t="n"/>
      <c r="DT91" s="114" t="n"/>
      <c r="DU91" s="114" t="n"/>
      <c r="DV91" s="114" t="n"/>
      <c r="DW91" s="114" t="n"/>
      <c r="DX91" s="114" t="n"/>
      <c r="DY91" s="114" t="n"/>
      <c r="DZ91" s="114" t="n"/>
      <c r="EA91" s="114" t="n"/>
      <c r="EB91" s="114" t="n"/>
      <c r="EC91" s="114" t="n"/>
      <c r="ED91" s="114" t="n"/>
      <c r="EE91" s="114" t="n"/>
      <c r="EF91" s="114" t="n"/>
      <c r="EG91" s="114" t="n"/>
      <c r="EH91" s="114" t="n"/>
      <c r="EI91" s="114" t="n"/>
      <c r="EJ91" s="114" t="n"/>
      <c r="EK91" s="114" t="n"/>
      <c r="EL91" s="114" t="n"/>
      <c r="EM91" s="114" t="n"/>
      <c r="EN91" s="114" t="n"/>
      <c r="EO91" s="114" t="n"/>
      <c r="EP91" s="114" t="n"/>
      <c r="EQ91" s="114" t="n"/>
      <c r="ER91" s="114" t="n"/>
      <c r="ES91" s="114" t="n"/>
      <c r="ET91" s="114" t="n"/>
      <c r="EU91" s="114" t="n"/>
      <c r="EV91" s="114" t="n"/>
      <c r="EW91" s="114" t="n"/>
      <c r="EX91" s="114" t="n"/>
      <c r="EY91" s="114" t="n"/>
      <c r="EZ91" s="114" t="n"/>
      <c r="FA91" s="114" t="n"/>
      <c r="FB91" s="114" t="n"/>
    </row>
    <row r="92">
      <c r="B92" s="11" t="inlineStr">
        <is>
          <t>Operating Expenses</t>
        </is>
      </c>
      <c r="C92" s="108">
        <f>C120</f>
        <v/>
      </c>
      <c r="D92" s="108">
        <f>C92</f>
        <v/>
      </c>
      <c r="E92" s="108">
        <f>D92</f>
        <v/>
      </c>
      <c r="F92" s="108">
        <f>E92</f>
        <v/>
      </c>
      <c r="G92" s="108">
        <f>F92</f>
        <v/>
      </c>
      <c r="I92" s="11" t="inlineStr">
        <is>
          <t>NOI</t>
        </is>
      </c>
      <c r="J92" s="11" t="n"/>
      <c r="L92" s="24">
        <f>SUMIF($Z$4:$FB$4,"&lt;="&amp;$G$18,$Z92:$FB92)</f>
        <v/>
      </c>
      <c r="N92" s="55">
        <f>SUMIF($Z$3:$FB$3,N$7,$Z92:$FB92)</f>
        <v/>
      </c>
      <c r="O92" s="55">
        <f>SUMIF($Z$3:$FB$3,O$7,$Z92:$FB92)</f>
        <v/>
      </c>
      <c r="P92" s="55">
        <f>SUMIF($Z$3:$FB$3,P$7,$Z92:$FB92)</f>
        <v/>
      </c>
      <c r="Q92" s="55">
        <f>SUMIF($Z$3:$FB$3,Q$7,$Z92:$FB92)</f>
        <v/>
      </c>
      <c r="R92" s="55">
        <f>SUMIF($Z$3:$FB$3,R$7,$Z92:$FB92)</f>
        <v/>
      </c>
      <c r="S92" s="55">
        <f>SUMIF($Z$3:$FB$3,S$7,$Z92:$FB92)</f>
        <v/>
      </c>
      <c r="T92" s="55">
        <f>SUMIF($Z$3:$FB$3,T$7,$Z92:$FB92)</f>
        <v/>
      </c>
      <c r="U92" s="55">
        <f>SUMIF($Z$3:$FB$3,U$7,$Z92:$FB92)</f>
        <v/>
      </c>
      <c r="V92" s="55">
        <f>SUMIF($Z$3:$FB$3,V$7,$Z92:$FB92)</f>
        <v/>
      </c>
      <c r="W92" s="55">
        <f>SUMIF($Z$3:$FB$3,W$7,$Z92:$FB92)</f>
        <v/>
      </c>
      <c r="X92" s="55">
        <f>SUMIF($Z$3:$FB$3,X$7,$Z92:$FB92)</f>
        <v/>
      </c>
      <c r="Z92" s="55">
        <f>Z79*(Z4&lt;=$G$18)</f>
        <v/>
      </c>
      <c r="AA92" s="55">
        <f>AA79*(AA4&lt;=$G$18)</f>
        <v/>
      </c>
      <c r="AB92" s="55">
        <f>AB79*(AB4&lt;=$G$18)</f>
        <v/>
      </c>
      <c r="AC92" s="55">
        <f>AC79*(AC4&lt;=$G$18)</f>
        <v/>
      </c>
      <c r="AD92" s="55">
        <f>AD79*(AD4&lt;=$G$18)</f>
        <v/>
      </c>
      <c r="AE92" s="55">
        <f>AE79*(AE4&lt;=$G$18)</f>
        <v/>
      </c>
      <c r="AF92" s="55">
        <f>AF79*(AF4&lt;=$G$18)</f>
        <v/>
      </c>
      <c r="AG92" s="55">
        <f>AG79*(AG4&lt;=$G$18)</f>
        <v/>
      </c>
      <c r="AH92" s="55">
        <f>AH79*(AH4&lt;=$G$18)</f>
        <v/>
      </c>
      <c r="AI92" s="55">
        <f>AI79*(AI4&lt;=$G$18)</f>
        <v/>
      </c>
      <c r="AJ92" s="55">
        <f>AJ79*(AJ4&lt;=$G$18)</f>
        <v/>
      </c>
      <c r="AK92" s="55">
        <f>AK79*(AK4&lt;=$G$18)</f>
        <v/>
      </c>
      <c r="AL92" s="55">
        <f>AL79*(AL4&lt;=$G$18)</f>
        <v/>
      </c>
      <c r="AM92" s="55">
        <f>AM79*(AM4&lt;=$G$18)</f>
        <v/>
      </c>
      <c r="AN92" s="55">
        <f>AN79*(AN4&lt;=$G$18)</f>
        <v/>
      </c>
      <c r="AO92" s="55">
        <f>AO79*(AO4&lt;=$G$18)</f>
        <v/>
      </c>
      <c r="AP92" s="55">
        <f>AP79*(AP4&lt;=$G$18)</f>
        <v/>
      </c>
      <c r="AQ92" s="55">
        <f>AQ79*(AQ4&lt;=$G$18)</f>
        <v/>
      </c>
      <c r="AR92" s="55">
        <f>AR79*(AR4&lt;=$G$18)</f>
        <v/>
      </c>
      <c r="AS92" s="55">
        <f>AS79*(AS4&lt;=$G$18)</f>
        <v/>
      </c>
      <c r="AT92" s="55">
        <f>AT79*(AT4&lt;=$G$18)</f>
        <v/>
      </c>
      <c r="AU92" s="55">
        <f>AU79*(AU4&lt;=$G$18)</f>
        <v/>
      </c>
      <c r="AV92" s="55">
        <f>AV79*(AV4&lt;=$G$18)</f>
        <v/>
      </c>
      <c r="AW92" s="55">
        <f>AW79*(AW4&lt;=$G$18)</f>
        <v/>
      </c>
      <c r="AX92" s="55">
        <f>AX79*(AX4&lt;=$G$18)</f>
        <v/>
      </c>
      <c r="AY92" s="55">
        <f>AY79*(AY4&lt;=$G$18)</f>
        <v/>
      </c>
      <c r="AZ92" s="55">
        <f>AZ79*(AZ4&lt;=$G$18)</f>
        <v/>
      </c>
      <c r="BA92" s="55">
        <f>BA79*(BA4&lt;=$G$18)</f>
        <v/>
      </c>
      <c r="BB92" s="55">
        <f>BB79*(BB4&lt;=$G$18)</f>
        <v/>
      </c>
      <c r="BC92" s="55">
        <f>BC79*(BC4&lt;=$G$18)</f>
        <v/>
      </c>
      <c r="BD92" s="55">
        <f>BD79*(BD4&lt;=$G$18)</f>
        <v/>
      </c>
      <c r="BE92" s="55">
        <f>BE79*(BE4&lt;=$G$18)</f>
        <v/>
      </c>
      <c r="BF92" s="55">
        <f>BF79*(BF4&lt;=$G$18)</f>
        <v/>
      </c>
      <c r="BG92" s="55">
        <f>BG79*(BG4&lt;=$G$18)</f>
        <v/>
      </c>
      <c r="BH92" s="55">
        <f>BH79*(BH4&lt;=$G$18)</f>
        <v/>
      </c>
      <c r="BI92" s="55">
        <f>BI79*(BI4&lt;=$G$18)</f>
        <v/>
      </c>
      <c r="BJ92" s="55">
        <f>BJ79*(BJ4&lt;=$G$18)</f>
        <v/>
      </c>
      <c r="BK92" s="55">
        <f>BK79*(BK4&lt;=$G$18)</f>
        <v/>
      </c>
      <c r="BL92" s="55">
        <f>BL79*(BL4&lt;=$G$18)</f>
        <v/>
      </c>
      <c r="BM92" s="55">
        <f>BM79*(BM4&lt;=$G$18)</f>
        <v/>
      </c>
      <c r="BN92" s="55">
        <f>BN79*(BN4&lt;=$G$18)</f>
        <v/>
      </c>
      <c r="BO92" s="55">
        <f>BO79*(BO4&lt;=$G$18)</f>
        <v/>
      </c>
      <c r="BP92" s="55">
        <f>BP79*(BP4&lt;=$G$18)</f>
        <v/>
      </c>
      <c r="BQ92" s="55">
        <f>BQ79*(BQ4&lt;=$G$18)</f>
        <v/>
      </c>
      <c r="BR92" s="55">
        <f>BR79*(BR4&lt;=$G$18)</f>
        <v/>
      </c>
      <c r="BS92" s="55">
        <f>BS79*(BS4&lt;=$G$18)</f>
        <v/>
      </c>
      <c r="BT92" s="55">
        <f>BT79*(BT4&lt;=$G$18)</f>
        <v/>
      </c>
      <c r="BU92" s="55">
        <f>BU79*(BU4&lt;=$G$18)</f>
        <v/>
      </c>
      <c r="BV92" s="55">
        <f>BV79*(BV4&lt;=$G$18)</f>
        <v/>
      </c>
      <c r="BW92" s="55">
        <f>BW79*(BW4&lt;=$G$18)</f>
        <v/>
      </c>
      <c r="BX92" s="55">
        <f>BX79*(BX4&lt;=$G$18)</f>
        <v/>
      </c>
      <c r="BY92" s="55">
        <f>BY79*(BY4&lt;=$G$18)</f>
        <v/>
      </c>
      <c r="BZ92" s="55">
        <f>BZ79*(BZ4&lt;=$G$18)</f>
        <v/>
      </c>
      <c r="CA92" s="55">
        <f>CA79*(CA4&lt;=$G$18)</f>
        <v/>
      </c>
      <c r="CB92" s="55">
        <f>CB79*(CB4&lt;=$G$18)</f>
        <v/>
      </c>
      <c r="CC92" s="55">
        <f>CC79*(CC4&lt;=$G$18)</f>
        <v/>
      </c>
      <c r="CD92" s="55">
        <f>CD79*(CD4&lt;=$G$18)</f>
        <v/>
      </c>
      <c r="CE92" s="55">
        <f>CE79*(CE4&lt;=$G$18)</f>
        <v/>
      </c>
      <c r="CF92" s="55">
        <f>CF79*(CF4&lt;=$G$18)</f>
        <v/>
      </c>
      <c r="CG92" s="55">
        <f>CG79*(CG4&lt;=$G$18)</f>
        <v/>
      </c>
      <c r="CH92" s="55">
        <f>CH79*(CH4&lt;=$G$18)</f>
        <v/>
      </c>
      <c r="CI92" s="55">
        <f>CI79*(CI4&lt;=$G$18)</f>
        <v/>
      </c>
      <c r="CJ92" s="55">
        <f>CJ79*(CJ4&lt;=$G$18)</f>
        <v/>
      </c>
      <c r="CK92" s="55">
        <f>CK79*(CK4&lt;=$G$18)</f>
        <v/>
      </c>
      <c r="CL92" s="55">
        <f>CL79*(CL4&lt;=$G$18)</f>
        <v/>
      </c>
      <c r="CM92" s="55">
        <f>CM79*(CM4&lt;=$G$18)</f>
        <v/>
      </c>
      <c r="CN92" s="55">
        <f>CN79*(CN4&lt;=$G$18)</f>
        <v/>
      </c>
      <c r="CO92" s="55">
        <f>CO79*(CO4&lt;=$G$18)</f>
        <v/>
      </c>
      <c r="CP92" s="55">
        <f>CP79*(CP4&lt;=$G$18)</f>
        <v/>
      </c>
      <c r="CQ92" s="55">
        <f>CQ79*(CQ4&lt;=$G$18)</f>
        <v/>
      </c>
      <c r="CR92" s="55">
        <f>CR79*(CR4&lt;=$G$18)</f>
        <v/>
      </c>
      <c r="CS92" s="55">
        <f>CS79*(CS4&lt;=$G$18)</f>
        <v/>
      </c>
      <c r="CT92" s="55">
        <f>CT79*(CT4&lt;=$G$18)</f>
        <v/>
      </c>
      <c r="CU92" s="55">
        <f>CU79*(CU4&lt;=$G$18)</f>
        <v/>
      </c>
      <c r="CV92" s="55">
        <f>CV79*(CV4&lt;=$G$18)</f>
        <v/>
      </c>
      <c r="CW92" s="55">
        <f>CW79*(CW4&lt;=$G$18)</f>
        <v/>
      </c>
      <c r="CX92" s="55">
        <f>CX79*(CX4&lt;=$G$18)</f>
        <v/>
      </c>
      <c r="CY92" s="55">
        <f>CY79*(CY4&lt;=$G$18)</f>
        <v/>
      </c>
      <c r="CZ92" s="55">
        <f>CZ79*(CZ4&lt;=$G$18)</f>
        <v/>
      </c>
      <c r="DA92" s="55">
        <f>DA79*(DA4&lt;=$G$18)</f>
        <v/>
      </c>
      <c r="DB92" s="55">
        <f>DB79*(DB4&lt;=$G$18)</f>
        <v/>
      </c>
      <c r="DC92" s="55">
        <f>DC79*(DC4&lt;=$G$18)</f>
        <v/>
      </c>
      <c r="DD92" s="55">
        <f>DD79*(DD4&lt;=$G$18)</f>
        <v/>
      </c>
      <c r="DE92" s="55">
        <f>DE79*(DE4&lt;=$G$18)</f>
        <v/>
      </c>
      <c r="DF92" s="55">
        <f>DF79*(DF4&lt;=$G$18)</f>
        <v/>
      </c>
      <c r="DG92" s="55">
        <f>DG79*(DG4&lt;=$G$18)</f>
        <v/>
      </c>
      <c r="DH92" s="55">
        <f>DH79*(DH4&lt;=$G$18)</f>
        <v/>
      </c>
      <c r="DI92" s="55">
        <f>DI79*(DI4&lt;=$G$18)</f>
        <v/>
      </c>
      <c r="DJ92" s="55">
        <f>DJ79*(DJ4&lt;=$G$18)</f>
        <v/>
      </c>
      <c r="DK92" s="55">
        <f>DK79*(DK4&lt;=$G$18)</f>
        <v/>
      </c>
      <c r="DL92" s="55">
        <f>DL79*(DL4&lt;=$G$18)</f>
        <v/>
      </c>
      <c r="DM92" s="55">
        <f>DM79*(DM4&lt;=$G$18)</f>
        <v/>
      </c>
      <c r="DN92" s="55">
        <f>DN79*(DN4&lt;=$G$18)</f>
        <v/>
      </c>
      <c r="DO92" s="55">
        <f>DO79*(DO4&lt;=$G$18)</f>
        <v/>
      </c>
      <c r="DP92" s="55">
        <f>DP79*(DP4&lt;=$G$18)</f>
        <v/>
      </c>
      <c r="DQ92" s="55">
        <f>DQ79*(DQ4&lt;=$G$18)</f>
        <v/>
      </c>
      <c r="DR92" s="55">
        <f>DR79*(DR4&lt;=$G$18)</f>
        <v/>
      </c>
      <c r="DS92" s="55">
        <f>DS79*(DS4&lt;=$G$18)</f>
        <v/>
      </c>
      <c r="DT92" s="55">
        <f>DT79*(DT4&lt;=$G$18)</f>
        <v/>
      </c>
      <c r="DU92" s="55">
        <f>DU79*(DU4&lt;=$G$18)</f>
        <v/>
      </c>
      <c r="DV92" s="55">
        <f>DV79*(DV4&lt;=$G$18)</f>
        <v/>
      </c>
      <c r="DW92" s="55">
        <f>DW79*(DW4&lt;=$G$18)</f>
        <v/>
      </c>
      <c r="DX92" s="55">
        <f>DX79*(DX4&lt;=$G$18)</f>
        <v/>
      </c>
      <c r="DY92" s="55">
        <f>DY79*(DY4&lt;=$G$18)</f>
        <v/>
      </c>
      <c r="DZ92" s="55">
        <f>DZ79*(DZ4&lt;=$G$18)</f>
        <v/>
      </c>
      <c r="EA92" s="55">
        <f>EA79*(EA4&lt;=$G$18)</f>
        <v/>
      </c>
      <c r="EB92" s="55">
        <f>EB79*(EB4&lt;=$G$18)</f>
        <v/>
      </c>
      <c r="EC92" s="55">
        <f>EC79*(EC4&lt;=$G$18)</f>
        <v/>
      </c>
      <c r="ED92" s="55">
        <f>ED79*(ED4&lt;=$G$18)</f>
        <v/>
      </c>
      <c r="EE92" s="55">
        <f>EE79*(EE4&lt;=$G$18)</f>
        <v/>
      </c>
      <c r="EF92" s="55">
        <f>EF79*(EF4&lt;=$G$18)</f>
        <v/>
      </c>
      <c r="EG92" s="55">
        <f>EG79*(EG4&lt;=$G$18)</f>
        <v/>
      </c>
      <c r="EH92" s="55">
        <f>EH79*(EH4&lt;=$G$18)</f>
        <v/>
      </c>
      <c r="EI92" s="55">
        <f>EI79*(EI4&lt;=$G$18)</f>
        <v/>
      </c>
      <c r="EJ92" s="55">
        <f>EJ79*(EJ4&lt;=$G$18)</f>
        <v/>
      </c>
      <c r="EK92" s="55">
        <f>EK79*(EK4&lt;=$G$18)</f>
        <v/>
      </c>
      <c r="EL92" s="55">
        <f>EL79*(EL4&lt;=$G$18)</f>
        <v/>
      </c>
      <c r="EM92" s="55">
        <f>EM79*(EM4&lt;=$G$18)</f>
        <v/>
      </c>
      <c r="EN92" s="55">
        <f>EN79*(EN4&lt;=$G$18)</f>
        <v/>
      </c>
      <c r="EO92" s="55">
        <f>EO79*(EO4&lt;=$G$18)</f>
        <v/>
      </c>
      <c r="EP92" s="55">
        <f>EP79*(EP4&lt;=$G$18)</f>
        <v/>
      </c>
      <c r="EQ92" s="55">
        <f>EQ79*(EQ4&lt;=$G$18)</f>
        <v/>
      </c>
      <c r="ER92" s="55">
        <f>ER79*(ER4&lt;=$G$18)</f>
        <v/>
      </c>
      <c r="ES92" s="55">
        <f>ES79*(ES4&lt;=$G$18)</f>
        <v/>
      </c>
      <c r="ET92" s="55">
        <f>ET79*(ET4&lt;=$G$18)</f>
        <v/>
      </c>
      <c r="EU92" s="55">
        <f>EU79*(EU4&lt;=$G$18)</f>
        <v/>
      </c>
      <c r="EV92" s="55">
        <f>EV79*(EV4&lt;=$G$18)</f>
        <v/>
      </c>
      <c r="EW92" s="55">
        <f>EW79*(EW4&lt;=$G$18)</f>
        <v/>
      </c>
      <c r="EX92" s="55">
        <f>EX79*(EX4&lt;=$G$18)</f>
        <v/>
      </c>
      <c r="EY92" s="55">
        <f>EY79*(EY4&lt;=$G$18)</f>
        <v/>
      </c>
      <c r="EZ92" s="55">
        <f>EZ79*(EZ4&lt;=$G$18)</f>
        <v/>
      </c>
      <c r="FA92" s="55">
        <f>FA79*(FA4&lt;=$G$18)</f>
        <v/>
      </c>
      <c r="FB92" s="55">
        <f>FB79*(FB4&lt;=$G$18)</f>
        <v/>
      </c>
    </row>
    <row r="93">
      <c r="B93" s="11" t="inlineStr">
        <is>
          <t>Property Taxes</t>
        </is>
      </c>
      <c r="C93" s="108">
        <f>C92</f>
        <v/>
      </c>
      <c r="D93" s="108">
        <f>C93</f>
        <v/>
      </c>
      <c r="E93" s="108">
        <f>D93</f>
        <v/>
      </c>
      <c r="F93" s="108">
        <f>E93</f>
        <v/>
      </c>
      <c r="G93" s="108">
        <f>F93</f>
        <v/>
      </c>
      <c r="I93" s="11" t="inlineStr">
        <is>
          <t>Net Sales Proceeds</t>
        </is>
      </c>
      <c r="J93" s="11" t="n"/>
      <c r="L93" s="24">
        <f>SUMIF($Z$4:$FB$4,"&lt;="&amp;$G$18,$Z93:$FB93)</f>
        <v/>
      </c>
      <c r="N93" s="55">
        <f>SUMIF($Z$3:$FB$3,N$7,$Z93:$FB93)</f>
        <v/>
      </c>
      <c r="O93" s="55">
        <f>SUMIF($Z$3:$FB$3,O$7,$Z93:$FB93)</f>
        <v/>
      </c>
      <c r="P93" s="55">
        <f>SUMIF($Z$3:$FB$3,P$7,$Z93:$FB93)</f>
        <v/>
      </c>
      <c r="Q93" s="55">
        <f>SUMIF($Z$3:$FB$3,Q$7,$Z93:$FB93)</f>
        <v/>
      </c>
      <c r="R93" s="55">
        <f>SUMIF($Z$3:$FB$3,R$7,$Z93:$FB93)</f>
        <v/>
      </c>
      <c r="S93" s="55">
        <f>SUMIF($Z$3:$FB$3,S$7,$Z93:$FB93)</f>
        <v/>
      </c>
      <c r="T93" s="55">
        <f>SUMIF($Z$3:$FB$3,T$7,$Z93:$FB93)</f>
        <v/>
      </c>
      <c r="U93" s="55">
        <f>SUMIF($Z$3:$FB$3,U$7,$Z93:$FB93)</f>
        <v/>
      </c>
      <c r="V93" s="55">
        <f>SUMIF($Z$3:$FB$3,V$7,$Z93:$FB93)</f>
        <v/>
      </c>
      <c r="W93" s="55">
        <f>SUMIF($Z$3:$FB$3,W$7,$Z93:$FB93)</f>
        <v/>
      </c>
      <c r="X93" s="55">
        <f>SUMIF($Z$3:$FB$3,X$7,$Z93:$FB93)</f>
        <v/>
      </c>
      <c r="Z93" s="55">
        <f>Z89</f>
        <v/>
      </c>
      <c r="AA93" s="55">
        <f>AA89</f>
        <v/>
      </c>
      <c r="AB93" s="55">
        <f>AB89</f>
        <v/>
      </c>
      <c r="AC93" s="55">
        <f>AC89</f>
        <v/>
      </c>
      <c r="AD93" s="55">
        <f>AD89</f>
        <v/>
      </c>
      <c r="AE93" s="55">
        <f>AE89</f>
        <v/>
      </c>
      <c r="AF93" s="55">
        <f>AF89</f>
        <v/>
      </c>
      <c r="AG93" s="55">
        <f>AG89</f>
        <v/>
      </c>
      <c r="AH93" s="55">
        <f>AH89</f>
        <v/>
      </c>
      <c r="AI93" s="55">
        <f>AI89</f>
        <v/>
      </c>
      <c r="AJ93" s="55">
        <f>AJ89</f>
        <v/>
      </c>
      <c r="AK93" s="55">
        <f>AK89</f>
        <v/>
      </c>
      <c r="AL93" s="55">
        <f>AL89</f>
        <v/>
      </c>
      <c r="AM93" s="55">
        <f>AM89</f>
        <v/>
      </c>
      <c r="AN93" s="55">
        <f>AN89</f>
        <v/>
      </c>
      <c r="AO93" s="55">
        <f>AO89</f>
        <v/>
      </c>
      <c r="AP93" s="55">
        <f>AP89</f>
        <v/>
      </c>
      <c r="AQ93" s="55">
        <f>AQ89</f>
        <v/>
      </c>
      <c r="AR93" s="55">
        <f>AR89</f>
        <v/>
      </c>
      <c r="AS93" s="55">
        <f>AS89</f>
        <v/>
      </c>
      <c r="AT93" s="55">
        <f>AT89</f>
        <v/>
      </c>
      <c r="AU93" s="55">
        <f>AU89</f>
        <v/>
      </c>
      <c r="AV93" s="55">
        <f>AV89</f>
        <v/>
      </c>
      <c r="AW93" s="55">
        <f>AW89</f>
        <v/>
      </c>
      <c r="AX93" s="55">
        <f>AX89</f>
        <v/>
      </c>
      <c r="AY93" s="55">
        <f>AY89</f>
        <v/>
      </c>
      <c r="AZ93" s="55">
        <f>AZ89</f>
        <v/>
      </c>
      <c r="BA93" s="55">
        <f>BA89</f>
        <v/>
      </c>
      <c r="BB93" s="55">
        <f>BB89</f>
        <v/>
      </c>
      <c r="BC93" s="55">
        <f>BC89</f>
        <v/>
      </c>
      <c r="BD93" s="55">
        <f>BD89</f>
        <v/>
      </c>
      <c r="BE93" s="55">
        <f>BE89</f>
        <v/>
      </c>
      <c r="BF93" s="55">
        <f>BF89</f>
        <v/>
      </c>
      <c r="BG93" s="55">
        <f>BG89</f>
        <v/>
      </c>
      <c r="BH93" s="55">
        <f>BH89</f>
        <v/>
      </c>
      <c r="BI93" s="55">
        <f>BI89</f>
        <v/>
      </c>
      <c r="BJ93" s="55">
        <f>BJ89</f>
        <v/>
      </c>
      <c r="BK93" s="55">
        <f>BK89</f>
        <v/>
      </c>
      <c r="BL93" s="55">
        <f>BL89</f>
        <v/>
      </c>
      <c r="BM93" s="55">
        <f>BM89</f>
        <v/>
      </c>
      <c r="BN93" s="55">
        <f>BN89</f>
        <v/>
      </c>
      <c r="BO93" s="55">
        <f>BO89</f>
        <v/>
      </c>
      <c r="BP93" s="55">
        <f>BP89</f>
        <v/>
      </c>
      <c r="BQ93" s="55">
        <f>BQ89</f>
        <v/>
      </c>
      <c r="BR93" s="55">
        <f>BR89</f>
        <v/>
      </c>
      <c r="BS93" s="55">
        <f>BS89</f>
        <v/>
      </c>
      <c r="BT93" s="55">
        <f>BT89</f>
        <v/>
      </c>
      <c r="BU93" s="55">
        <f>BU89</f>
        <v/>
      </c>
      <c r="BV93" s="55">
        <f>BV89</f>
        <v/>
      </c>
      <c r="BW93" s="55">
        <f>BW89</f>
        <v/>
      </c>
      <c r="BX93" s="55">
        <f>BX89</f>
        <v/>
      </c>
      <c r="BY93" s="55">
        <f>BY89</f>
        <v/>
      </c>
      <c r="BZ93" s="55">
        <f>BZ89</f>
        <v/>
      </c>
      <c r="CA93" s="55">
        <f>CA89</f>
        <v/>
      </c>
      <c r="CB93" s="55">
        <f>CB89</f>
        <v/>
      </c>
      <c r="CC93" s="55">
        <f>CC89</f>
        <v/>
      </c>
      <c r="CD93" s="55">
        <f>CD89</f>
        <v/>
      </c>
      <c r="CE93" s="55">
        <f>CE89</f>
        <v/>
      </c>
      <c r="CF93" s="55">
        <f>CF89</f>
        <v/>
      </c>
      <c r="CG93" s="55">
        <f>CG89</f>
        <v/>
      </c>
      <c r="CH93" s="55">
        <f>CH89</f>
        <v/>
      </c>
      <c r="CI93" s="55">
        <f>CI89</f>
        <v/>
      </c>
      <c r="CJ93" s="55">
        <f>CJ89</f>
        <v/>
      </c>
      <c r="CK93" s="55">
        <f>CK89</f>
        <v/>
      </c>
      <c r="CL93" s="55">
        <f>CL89</f>
        <v/>
      </c>
      <c r="CM93" s="55">
        <f>CM89</f>
        <v/>
      </c>
      <c r="CN93" s="55">
        <f>CN89</f>
        <v/>
      </c>
      <c r="CO93" s="55">
        <f>CO89</f>
        <v/>
      </c>
      <c r="CP93" s="55">
        <f>CP89</f>
        <v/>
      </c>
      <c r="CQ93" s="55">
        <f>CQ89</f>
        <v/>
      </c>
      <c r="CR93" s="55">
        <f>CR89</f>
        <v/>
      </c>
      <c r="CS93" s="55">
        <f>CS89</f>
        <v/>
      </c>
      <c r="CT93" s="55">
        <f>CT89</f>
        <v/>
      </c>
      <c r="CU93" s="55">
        <f>CU89</f>
        <v/>
      </c>
      <c r="CV93" s="55">
        <f>CV89</f>
        <v/>
      </c>
      <c r="CW93" s="55">
        <f>CW89</f>
        <v/>
      </c>
      <c r="CX93" s="55">
        <f>CX89</f>
        <v/>
      </c>
      <c r="CY93" s="55">
        <f>CY89</f>
        <v/>
      </c>
      <c r="CZ93" s="55">
        <f>CZ89</f>
        <v/>
      </c>
      <c r="DA93" s="55">
        <f>DA89</f>
        <v/>
      </c>
      <c r="DB93" s="55">
        <f>DB89</f>
        <v/>
      </c>
      <c r="DC93" s="55">
        <f>DC89</f>
        <v/>
      </c>
      <c r="DD93" s="55">
        <f>DD89</f>
        <v/>
      </c>
      <c r="DE93" s="55">
        <f>DE89</f>
        <v/>
      </c>
      <c r="DF93" s="55">
        <f>DF89</f>
        <v/>
      </c>
      <c r="DG93" s="55">
        <f>DG89</f>
        <v/>
      </c>
      <c r="DH93" s="55">
        <f>DH89</f>
        <v/>
      </c>
      <c r="DI93" s="55">
        <f>DI89</f>
        <v/>
      </c>
      <c r="DJ93" s="55">
        <f>DJ89</f>
        <v/>
      </c>
      <c r="DK93" s="55">
        <f>DK89</f>
        <v/>
      </c>
      <c r="DL93" s="55">
        <f>DL89</f>
        <v/>
      </c>
      <c r="DM93" s="55">
        <f>DM89</f>
        <v/>
      </c>
      <c r="DN93" s="55">
        <f>DN89</f>
        <v/>
      </c>
      <c r="DO93" s="55">
        <f>DO89</f>
        <v/>
      </c>
      <c r="DP93" s="55">
        <f>DP89</f>
        <v/>
      </c>
      <c r="DQ93" s="55">
        <f>DQ89</f>
        <v/>
      </c>
      <c r="DR93" s="55">
        <f>DR89</f>
        <v/>
      </c>
      <c r="DS93" s="55">
        <f>DS89</f>
        <v/>
      </c>
      <c r="DT93" s="55">
        <f>DT89</f>
        <v/>
      </c>
      <c r="DU93" s="55">
        <f>DU89</f>
        <v/>
      </c>
      <c r="DV93" s="55">
        <f>DV89</f>
        <v/>
      </c>
      <c r="DW93" s="55">
        <f>DW89</f>
        <v/>
      </c>
      <c r="DX93" s="55">
        <f>DX89</f>
        <v/>
      </c>
      <c r="DY93" s="55">
        <f>DY89</f>
        <v/>
      </c>
      <c r="DZ93" s="55">
        <f>DZ89</f>
        <v/>
      </c>
      <c r="EA93" s="55">
        <f>EA89</f>
        <v/>
      </c>
      <c r="EB93" s="55">
        <f>EB89</f>
        <v/>
      </c>
      <c r="EC93" s="55">
        <f>EC89</f>
        <v/>
      </c>
      <c r="ED93" s="55">
        <f>ED89</f>
        <v/>
      </c>
      <c r="EE93" s="55">
        <f>EE89</f>
        <v/>
      </c>
      <c r="EF93" s="55">
        <f>EF89</f>
        <v/>
      </c>
      <c r="EG93" s="55">
        <f>EG89</f>
        <v/>
      </c>
      <c r="EH93" s="55">
        <f>EH89</f>
        <v/>
      </c>
      <c r="EI93" s="55">
        <f>EI89</f>
        <v/>
      </c>
      <c r="EJ93" s="55">
        <f>EJ89</f>
        <v/>
      </c>
      <c r="EK93" s="55">
        <f>EK89</f>
        <v/>
      </c>
      <c r="EL93" s="55">
        <f>EL89</f>
        <v/>
      </c>
      <c r="EM93" s="55">
        <f>EM89</f>
        <v/>
      </c>
      <c r="EN93" s="55">
        <f>EN89</f>
        <v/>
      </c>
      <c r="EO93" s="55">
        <f>EO89</f>
        <v/>
      </c>
      <c r="EP93" s="55">
        <f>EP89</f>
        <v/>
      </c>
      <c r="EQ93" s="55">
        <f>EQ89</f>
        <v/>
      </c>
      <c r="ER93" s="55">
        <f>ER89</f>
        <v/>
      </c>
      <c r="ES93" s="55">
        <f>ES89</f>
        <v/>
      </c>
      <c r="ET93" s="55">
        <f>ET89</f>
        <v/>
      </c>
      <c r="EU93" s="55">
        <f>EU89</f>
        <v/>
      </c>
      <c r="EV93" s="55">
        <f>EV89</f>
        <v/>
      </c>
      <c r="EW93" s="55">
        <f>EW89</f>
        <v/>
      </c>
      <c r="EX93" s="55">
        <f>EX89</f>
        <v/>
      </c>
      <c r="EY93" s="55">
        <f>EY89</f>
        <v/>
      </c>
      <c r="EZ93" s="55">
        <f>EZ89</f>
        <v/>
      </c>
      <c r="FA93" s="55">
        <f>FA89</f>
        <v/>
      </c>
      <c r="FB93" s="55">
        <f>FB89</f>
        <v/>
      </c>
    </row>
    <row r="94">
      <c r="I94" s="9">
        <f>B37</f>
        <v/>
      </c>
      <c r="L94" s="24">
        <f>SUMIF($Z$4:$FB$4,"&lt;="&amp;$G$18,$Z94:$FB94)</f>
        <v/>
      </c>
      <c r="N94" s="24">
        <f>SUMIF($Z$3:$FB$3,N$7,$Z94:$FB94)</f>
        <v/>
      </c>
      <c r="O94" s="24">
        <f>SUMIF($Z$3:$FB$3,O$7,$Z94:$FB94)</f>
        <v/>
      </c>
      <c r="P94" s="24">
        <f>SUMIF($Z$3:$FB$3,P$7,$Z94:$FB94)</f>
        <v/>
      </c>
      <c r="Q94" s="24">
        <f>SUMIF($Z$3:$FB$3,Q$7,$Z94:$FB94)</f>
        <v/>
      </c>
      <c r="R94" s="24">
        <f>SUMIF($Z$3:$FB$3,R$7,$Z94:$FB94)</f>
        <v/>
      </c>
      <c r="S94" s="24">
        <f>SUMIF($Z$3:$FB$3,S$7,$Z94:$FB94)</f>
        <v/>
      </c>
      <c r="T94" s="24">
        <f>SUMIF($Z$3:$FB$3,T$7,$Z94:$FB94)</f>
        <v/>
      </c>
      <c r="U94" s="24">
        <f>SUMIF($Z$3:$FB$3,U$7,$Z94:$FB94)</f>
        <v/>
      </c>
      <c r="V94" s="24">
        <f>SUMIF($Z$3:$FB$3,V$7,$Z94:$FB94)</f>
        <v/>
      </c>
      <c r="W94" s="24">
        <f>SUMIF($Z$3:$FB$3,W$7,$Z94:$FB94)</f>
        <v/>
      </c>
      <c r="X94" s="24">
        <f>SUMIF($Z$3:$FB$3,X$7,$Z94:$FB94)</f>
        <v/>
      </c>
      <c r="Z94" s="24">
        <f>IF(Z$4=0,-$D37*$E37,-($D37*(1-$E37))/$G37*(Z$4&gt;=$F37)*(Z$4&lt;=($F37+$G37-1)))</f>
        <v/>
      </c>
      <c r="AA94" s="24">
        <f>IF(AA$4=0,-$D37*$E37,-($D37*(1-$E37))/$G37*(AA$4&gt;=$F37)*(AA$4&lt;=($F37+$G37-1)))</f>
        <v/>
      </c>
      <c r="AB94" s="24">
        <f>IF(AB$4=0,-$D37*$E37,-($D37*(1-$E37))/$G37*(AB$4&gt;=$F37)*(AB$4&lt;=($F37+$G37-1)))</f>
        <v/>
      </c>
      <c r="AC94" s="24">
        <f>IF(AC$4=0,-$D37*$E37,-($D37*(1-$E37))/$G37*(AC$4&gt;=$F37)*(AC$4&lt;=($F37+$G37-1)))</f>
        <v/>
      </c>
      <c r="AD94" s="24">
        <f>IF(AD$4=0,-$D37*$E37,-($D37*(1-$E37))/$G37*(AD$4&gt;=$F37)*(AD$4&lt;=($F37+$G37-1)))</f>
        <v/>
      </c>
      <c r="AE94" s="24">
        <f>IF(AE$4=0,-$D37*$E37,-($D37*(1-$E37))/$G37*(AE$4&gt;=$F37)*(AE$4&lt;=($F37+$G37-1)))</f>
        <v/>
      </c>
      <c r="AF94" s="24">
        <f>IF(AF$4=0,-$D37*$E37,-($D37*(1-$E37))/$G37*(AF$4&gt;=$F37)*(AF$4&lt;=($F37+$G37-1)))</f>
        <v/>
      </c>
      <c r="AG94" s="24">
        <f>IF(AG$4=0,-$D37*$E37,-($D37*(1-$E37))/$G37*(AG$4&gt;=$F37)*(AG$4&lt;=($F37+$G37-1)))</f>
        <v/>
      </c>
      <c r="AH94" s="24">
        <f>IF(AH$4=0,-$D37*$E37,-($D37*(1-$E37))/$G37*(AH$4&gt;=$F37)*(AH$4&lt;=($F37+$G37-1)))</f>
        <v/>
      </c>
      <c r="AI94" s="24">
        <f>IF(AI$4=0,-$D37*$E37,-($D37*(1-$E37))/$G37*(AI$4&gt;=$F37)*(AI$4&lt;=($F37+$G37-1)))</f>
        <v/>
      </c>
      <c r="AJ94" s="24">
        <f>IF(AJ$4=0,-$D37*$E37,-($D37*(1-$E37))/$G37*(AJ$4&gt;=$F37)*(AJ$4&lt;=($F37+$G37-1)))</f>
        <v/>
      </c>
      <c r="AK94" s="24">
        <f>IF(AK$4=0,-$D37*$E37,-($D37*(1-$E37))/$G37*(AK$4&gt;=$F37)*(AK$4&lt;=($F37+$G37-1)))</f>
        <v/>
      </c>
      <c r="AL94" s="24">
        <f>IF(AL$4=0,-$D37*$E37,-($D37*(1-$E37))/$G37*(AL$4&gt;=$F37)*(AL$4&lt;=($F37+$G37-1)))</f>
        <v/>
      </c>
      <c r="AM94" s="24">
        <f>IF(AM$4=0,-$D37*$E37,-($D37*(1-$E37))/$G37*(AM$4&gt;=$F37)*(AM$4&lt;=($F37+$G37-1)))</f>
        <v/>
      </c>
      <c r="AN94" s="24">
        <f>IF(AN$4=0,-$D37*$E37,-($D37*(1-$E37))/$G37*(AN$4&gt;=$F37)*(AN$4&lt;=($F37+$G37-1)))</f>
        <v/>
      </c>
      <c r="AO94" s="24">
        <f>IF(AO$4=0,-$D37*$E37,-($D37*(1-$E37))/$G37*(AO$4&gt;=$F37)*(AO$4&lt;=($F37+$G37-1)))</f>
        <v/>
      </c>
      <c r="AP94" s="24">
        <f>IF(AP$4=0,-$D37*$E37,-($D37*(1-$E37))/$G37*(AP$4&gt;=$F37)*(AP$4&lt;=($F37+$G37-1)))</f>
        <v/>
      </c>
      <c r="AQ94" s="24">
        <f>IF(AQ$4=0,-$D37*$E37,-($D37*(1-$E37))/$G37*(AQ$4&gt;=$F37)*(AQ$4&lt;=($F37+$G37-1)))</f>
        <v/>
      </c>
      <c r="AR94" s="24">
        <f>IF(AR$4=0,-$D37*$E37,-($D37*(1-$E37))/$G37*(AR$4&gt;=$F37)*(AR$4&lt;=($F37+$G37-1)))</f>
        <v/>
      </c>
      <c r="AS94" s="24">
        <f>IF(AS$4=0,-$D37*$E37,-($D37*(1-$E37))/$G37*(AS$4&gt;=$F37)*(AS$4&lt;=($F37+$G37-1)))</f>
        <v/>
      </c>
      <c r="AT94" s="24">
        <f>IF(AT$4=0,-$D37*$E37,-($D37*(1-$E37))/$G37*(AT$4&gt;=$F37)*(AT$4&lt;=($F37+$G37-1)))</f>
        <v/>
      </c>
      <c r="AU94" s="24">
        <f>IF(AU$4=0,-$D37*$E37,-($D37*(1-$E37))/$G37*(AU$4&gt;=$F37)*(AU$4&lt;=($F37+$G37-1)))</f>
        <v/>
      </c>
      <c r="AV94" s="24">
        <f>IF(AV$4=0,-$D37*$E37,-($D37*(1-$E37))/$G37*(AV$4&gt;=$F37)*(AV$4&lt;=($F37+$G37-1)))</f>
        <v/>
      </c>
      <c r="AW94" s="24">
        <f>IF(AW$4=0,-$D37*$E37,-($D37*(1-$E37))/$G37*(AW$4&gt;=$F37)*(AW$4&lt;=($F37+$G37-1)))</f>
        <v/>
      </c>
      <c r="AX94" s="24">
        <f>IF(AX$4=0,-$D37*$E37,-($D37*(1-$E37))/$G37*(AX$4&gt;=$F37)*(AX$4&lt;=($F37+$G37-1)))</f>
        <v/>
      </c>
      <c r="AY94" s="24">
        <f>IF(AY$4=0,-$D37*$E37,-($D37*(1-$E37))/$G37*(AY$4&gt;=$F37)*(AY$4&lt;=($F37+$G37-1)))</f>
        <v/>
      </c>
      <c r="AZ94" s="24">
        <f>IF(AZ$4=0,-$D37*$E37,-($D37*(1-$E37))/$G37*(AZ$4&gt;=$F37)*(AZ$4&lt;=($F37+$G37-1)))</f>
        <v/>
      </c>
      <c r="BA94" s="24">
        <f>IF(BA$4=0,-$D37*$E37,-($D37*(1-$E37))/$G37*(BA$4&gt;=$F37)*(BA$4&lt;=($F37+$G37-1)))</f>
        <v/>
      </c>
      <c r="BB94" s="24">
        <f>IF(BB$4=0,-$D37*$E37,-($D37*(1-$E37))/$G37*(BB$4&gt;=$F37)*(BB$4&lt;=($F37+$G37-1)))</f>
        <v/>
      </c>
      <c r="BC94" s="24">
        <f>IF(BC$4=0,-$D37*$E37,-($D37*(1-$E37))/$G37*(BC$4&gt;=$F37)*(BC$4&lt;=($F37+$G37-1)))</f>
        <v/>
      </c>
      <c r="BD94" s="24">
        <f>IF(BD$4=0,-$D37*$E37,-($D37*(1-$E37))/$G37*(BD$4&gt;=$F37)*(BD$4&lt;=($F37+$G37-1)))</f>
        <v/>
      </c>
      <c r="BE94" s="24">
        <f>IF(BE$4=0,-$D37*$E37,-($D37*(1-$E37))/$G37*(BE$4&gt;=$F37)*(BE$4&lt;=($F37+$G37-1)))</f>
        <v/>
      </c>
      <c r="BF94" s="24">
        <f>IF(BF$4=0,-$D37*$E37,-($D37*(1-$E37))/$G37*(BF$4&gt;=$F37)*(BF$4&lt;=($F37+$G37-1)))</f>
        <v/>
      </c>
      <c r="BG94" s="24">
        <f>IF(BG$4=0,-$D37*$E37,-($D37*(1-$E37))/$G37*(BG$4&gt;=$F37)*(BG$4&lt;=($F37+$G37-1)))</f>
        <v/>
      </c>
      <c r="BH94" s="24">
        <f>IF(BH$4=0,-$D37*$E37,-($D37*(1-$E37))/$G37*(BH$4&gt;=$F37)*(BH$4&lt;=($F37+$G37-1)))</f>
        <v/>
      </c>
      <c r="BI94" s="24">
        <f>IF(BI$4=0,-$D37*$E37,-($D37*(1-$E37))/$G37*(BI$4&gt;=$F37)*(BI$4&lt;=($F37+$G37-1)))</f>
        <v/>
      </c>
      <c r="BJ94" s="24">
        <f>IF(BJ$4=0,-$D37*$E37,-($D37*(1-$E37))/$G37*(BJ$4&gt;=$F37)*(BJ$4&lt;=($F37+$G37-1)))</f>
        <v/>
      </c>
      <c r="BK94" s="24">
        <f>IF(BK$4=0,-$D37*$E37,-($D37*(1-$E37))/$G37*(BK$4&gt;=$F37)*(BK$4&lt;=($F37+$G37-1)))</f>
        <v/>
      </c>
      <c r="BL94" s="24">
        <f>IF(BL$4=0,-$D37*$E37,-($D37*(1-$E37))/$G37*(BL$4&gt;=$F37)*(BL$4&lt;=($F37+$G37-1)))</f>
        <v/>
      </c>
      <c r="BM94" s="24">
        <f>IF(BM$4=0,-$D37*$E37,-($D37*(1-$E37))/$G37*(BM$4&gt;=$F37)*(BM$4&lt;=($F37+$G37-1)))</f>
        <v/>
      </c>
      <c r="BN94" s="24">
        <f>IF(BN$4=0,-$D37*$E37,-($D37*(1-$E37))/$G37*(BN$4&gt;=$F37)*(BN$4&lt;=($F37+$G37-1)))</f>
        <v/>
      </c>
      <c r="BO94" s="24">
        <f>IF(BO$4=0,-$D37*$E37,-($D37*(1-$E37))/$G37*(BO$4&gt;=$F37)*(BO$4&lt;=($F37+$G37-1)))</f>
        <v/>
      </c>
      <c r="BP94" s="24">
        <f>IF(BP$4=0,-$D37*$E37,-($D37*(1-$E37))/$G37*(BP$4&gt;=$F37)*(BP$4&lt;=($F37+$G37-1)))</f>
        <v/>
      </c>
      <c r="BQ94" s="24">
        <f>IF(BQ$4=0,-$D37*$E37,-($D37*(1-$E37))/$G37*(BQ$4&gt;=$F37)*(BQ$4&lt;=($F37+$G37-1)))</f>
        <v/>
      </c>
      <c r="BR94" s="24">
        <f>IF(BR$4=0,-$D37*$E37,-($D37*(1-$E37))/$G37*(BR$4&gt;=$F37)*(BR$4&lt;=($F37+$G37-1)))</f>
        <v/>
      </c>
      <c r="BS94" s="24">
        <f>IF(BS$4=0,-$D37*$E37,-($D37*(1-$E37))/$G37*(BS$4&gt;=$F37)*(BS$4&lt;=($F37+$G37-1)))</f>
        <v/>
      </c>
      <c r="BT94" s="24">
        <f>IF(BT$4=0,-$D37*$E37,-($D37*(1-$E37))/$G37*(BT$4&gt;=$F37)*(BT$4&lt;=($F37+$G37-1)))</f>
        <v/>
      </c>
      <c r="BU94" s="24">
        <f>IF(BU$4=0,-$D37*$E37,-($D37*(1-$E37))/$G37*(BU$4&gt;=$F37)*(BU$4&lt;=($F37+$G37-1)))</f>
        <v/>
      </c>
      <c r="BV94" s="24">
        <f>IF(BV$4=0,-$D37*$E37,-($D37*(1-$E37))/$G37*(BV$4&gt;=$F37)*(BV$4&lt;=($F37+$G37-1)))</f>
        <v/>
      </c>
      <c r="BW94" s="24">
        <f>IF(BW$4=0,-$D37*$E37,-($D37*(1-$E37))/$G37*(BW$4&gt;=$F37)*(BW$4&lt;=($F37+$G37-1)))</f>
        <v/>
      </c>
      <c r="BX94" s="24">
        <f>IF(BX$4=0,-$D37*$E37,-($D37*(1-$E37))/$G37*(BX$4&gt;=$F37)*(BX$4&lt;=($F37+$G37-1)))</f>
        <v/>
      </c>
      <c r="BY94" s="24">
        <f>IF(BY$4=0,-$D37*$E37,-($D37*(1-$E37))/$G37*(BY$4&gt;=$F37)*(BY$4&lt;=($F37+$G37-1)))</f>
        <v/>
      </c>
      <c r="BZ94" s="24">
        <f>IF(BZ$4=0,-$D37*$E37,-($D37*(1-$E37))/$G37*(BZ$4&gt;=$F37)*(BZ$4&lt;=($F37+$G37-1)))</f>
        <v/>
      </c>
      <c r="CA94" s="24">
        <f>IF(CA$4=0,-$D37*$E37,-($D37*(1-$E37))/$G37*(CA$4&gt;=$F37)*(CA$4&lt;=($F37+$G37-1)))</f>
        <v/>
      </c>
      <c r="CB94" s="24">
        <f>IF(CB$4=0,-$D37*$E37,-($D37*(1-$E37))/$G37*(CB$4&gt;=$F37)*(CB$4&lt;=($F37+$G37-1)))</f>
        <v/>
      </c>
      <c r="CC94" s="24">
        <f>IF(CC$4=0,-$D37*$E37,-($D37*(1-$E37))/$G37*(CC$4&gt;=$F37)*(CC$4&lt;=($F37+$G37-1)))</f>
        <v/>
      </c>
      <c r="CD94" s="24">
        <f>IF(CD$4=0,-$D37*$E37,-($D37*(1-$E37))/$G37*(CD$4&gt;=$F37)*(CD$4&lt;=($F37+$G37-1)))</f>
        <v/>
      </c>
      <c r="CE94" s="24">
        <f>IF(CE$4=0,-$D37*$E37,-($D37*(1-$E37))/$G37*(CE$4&gt;=$F37)*(CE$4&lt;=($F37+$G37-1)))</f>
        <v/>
      </c>
      <c r="CF94" s="24">
        <f>IF(CF$4=0,-$D37*$E37,-($D37*(1-$E37))/$G37*(CF$4&gt;=$F37)*(CF$4&lt;=($F37+$G37-1)))</f>
        <v/>
      </c>
      <c r="CG94" s="24">
        <f>IF(CG$4=0,-$D37*$E37,-($D37*(1-$E37))/$G37*(CG$4&gt;=$F37)*(CG$4&lt;=($F37+$G37-1)))</f>
        <v/>
      </c>
      <c r="CH94" s="24">
        <f>IF(CH$4=0,-$D37*$E37,-($D37*(1-$E37))/$G37*(CH$4&gt;=$F37)*(CH$4&lt;=($F37+$G37-1)))</f>
        <v/>
      </c>
      <c r="CI94" s="24">
        <f>IF(CI$4=0,-$D37*$E37,-($D37*(1-$E37))/$G37*(CI$4&gt;=$F37)*(CI$4&lt;=($F37+$G37-1)))</f>
        <v/>
      </c>
      <c r="CJ94" s="24">
        <f>IF(CJ$4=0,-$D37*$E37,-($D37*(1-$E37))/$G37*(CJ$4&gt;=$F37)*(CJ$4&lt;=($F37+$G37-1)))</f>
        <v/>
      </c>
      <c r="CK94" s="24">
        <f>IF(CK$4=0,-$D37*$E37,-($D37*(1-$E37))/$G37*(CK$4&gt;=$F37)*(CK$4&lt;=($F37+$G37-1)))</f>
        <v/>
      </c>
      <c r="CL94" s="24">
        <f>IF(CL$4=0,-$D37*$E37,-($D37*(1-$E37))/$G37*(CL$4&gt;=$F37)*(CL$4&lt;=($F37+$G37-1)))</f>
        <v/>
      </c>
      <c r="CM94" s="24">
        <f>IF(CM$4=0,-$D37*$E37,-($D37*(1-$E37))/$G37*(CM$4&gt;=$F37)*(CM$4&lt;=($F37+$G37-1)))</f>
        <v/>
      </c>
      <c r="CN94" s="24">
        <f>IF(CN$4=0,-$D37*$E37,-($D37*(1-$E37))/$G37*(CN$4&gt;=$F37)*(CN$4&lt;=($F37+$G37-1)))</f>
        <v/>
      </c>
      <c r="CO94" s="24">
        <f>IF(CO$4=0,-$D37*$E37,-($D37*(1-$E37))/$G37*(CO$4&gt;=$F37)*(CO$4&lt;=($F37+$G37-1)))</f>
        <v/>
      </c>
      <c r="CP94" s="24">
        <f>IF(CP$4=0,-$D37*$E37,-($D37*(1-$E37))/$G37*(CP$4&gt;=$F37)*(CP$4&lt;=($F37+$G37-1)))</f>
        <v/>
      </c>
      <c r="CQ94" s="24">
        <f>IF(CQ$4=0,-$D37*$E37,-($D37*(1-$E37))/$G37*(CQ$4&gt;=$F37)*(CQ$4&lt;=($F37+$G37-1)))</f>
        <v/>
      </c>
      <c r="CR94" s="24">
        <f>IF(CR$4=0,-$D37*$E37,-($D37*(1-$E37))/$G37*(CR$4&gt;=$F37)*(CR$4&lt;=($F37+$G37-1)))</f>
        <v/>
      </c>
      <c r="CS94" s="24">
        <f>IF(CS$4=0,-$D37*$E37,-($D37*(1-$E37))/$G37*(CS$4&gt;=$F37)*(CS$4&lt;=($F37+$G37-1)))</f>
        <v/>
      </c>
      <c r="CT94" s="24">
        <f>IF(CT$4=0,-$D37*$E37,-($D37*(1-$E37))/$G37*(CT$4&gt;=$F37)*(CT$4&lt;=($F37+$G37-1)))</f>
        <v/>
      </c>
      <c r="CU94" s="24">
        <f>IF(CU$4=0,-$D37*$E37,-($D37*(1-$E37))/$G37*(CU$4&gt;=$F37)*(CU$4&lt;=($F37+$G37-1)))</f>
        <v/>
      </c>
      <c r="CV94" s="24">
        <f>IF(CV$4=0,-$D37*$E37,-($D37*(1-$E37))/$G37*(CV$4&gt;=$F37)*(CV$4&lt;=($F37+$G37-1)))</f>
        <v/>
      </c>
      <c r="CW94" s="24">
        <f>IF(CW$4=0,-$D37*$E37,-($D37*(1-$E37))/$G37*(CW$4&gt;=$F37)*(CW$4&lt;=($F37+$G37-1)))</f>
        <v/>
      </c>
      <c r="CX94" s="24">
        <f>IF(CX$4=0,-$D37*$E37,-($D37*(1-$E37))/$G37*(CX$4&gt;=$F37)*(CX$4&lt;=($F37+$G37-1)))</f>
        <v/>
      </c>
      <c r="CY94" s="24">
        <f>IF(CY$4=0,-$D37*$E37,-($D37*(1-$E37))/$G37*(CY$4&gt;=$F37)*(CY$4&lt;=($F37+$G37-1)))</f>
        <v/>
      </c>
      <c r="CZ94" s="24">
        <f>IF(CZ$4=0,-$D37*$E37,-($D37*(1-$E37))/$G37*(CZ$4&gt;=$F37)*(CZ$4&lt;=($F37+$G37-1)))</f>
        <v/>
      </c>
      <c r="DA94" s="24">
        <f>IF(DA$4=0,-$D37*$E37,-($D37*(1-$E37))/$G37*(DA$4&gt;=$F37)*(DA$4&lt;=($F37+$G37-1)))</f>
        <v/>
      </c>
      <c r="DB94" s="24">
        <f>IF(DB$4=0,-$D37*$E37,-($D37*(1-$E37))/$G37*(DB$4&gt;=$F37)*(DB$4&lt;=($F37+$G37-1)))</f>
        <v/>
      </c>
      <c r="DC94" s="24">
        <f>IF(DC$4=0,-$D37*$E37,-($D37*(1-$E37))/$G37*(DC$4&gt;=$F37)*(DC$4&lt;=($F37+$G37-1)))</f>
        <v/>
      </c>
      <c r="DD94" s="24">
        <f>IF(DD$4=0,-$D37*$E37,-($D37*(1-$E37))/$G37*(DD$4&gt;=$F37)*(DD$4&lt;=($F37+$G37-1)))</f>
        <v/>
      </c>
      <c r="DE94" s="24">
        <f>IF(DE$4=0,-$D37*$E37,-($D37*(1-$E37))/$G37*(DE$4&gt;=$F37)*(DE$4&lt;=($F37+$G37-1)))</f>
        <v/>
      </c>
      <c r="DF94" s="24">
        <f>IF(DF$4=0,-$D37*$E37,-($D37*(1-$E37))/$G37*(DF$4&gt;=$F37)*(DF$4&lt;=($F37+$G37-1)))</f>
        <v/>
      </c>
      <c r="DG94" s="24">
        <f>IF(DG$4=0,-$D37*$E37,-($D37*(1-$E37))/$G37*(DG$4&gt;=$F37)*(DG$4&lt;=($F37+$G37-1)))</f>
        <v/>
      </c>
      <c r="DH94" s="24">
        <f>IF(DH$4=0,-$D37*$E37,-($D37*(1-$E37))/$G37*(DH$4&gt;=$F37)*(DH$4&lt;=($F37+$G37-1)))</f>
        <v/>
      </c>
      <c r="DI94" s="24">
        <f>IF(DI$4=0,-$D37*$E37,-($D37*(1-$E37))/$G37*(DI$4&gt;=$F37)*(DI$4&lt;=($F37+$G37-1)))</f>
        <v/>
      </c>
      <c r="DJ94" s="24">
        <f>IF(DJ$4=0,-$D37*$E37,-($D37*(1-$E37))/$G37*(DJ$4&gt;=$F37)*(DJ$4&lt;=($F37+$G37-1)))</f>
        <v/>
      </c>
      <c r="DK94" s="24">
        <f>IF(DK$4=0,-$D37*$E37,-($D37*(1-$E37))/$G37*(DK$4&gt;=$F37)*(DK$4&lt;=($F37+$G37-1)))</f>
        <v/>
      </c>
      <c r="DL94" s="24">
        <f>IF(DL$4=0,-$D37*$E37,-($D37*(1-$E37))/$G37*(DL$4&gt;=$F37)*(DL$4&lt;=($F37+$G37-1)))</f>
        <v/>
      </c>
      <c r="DM94" s="24">
        <f>IF(DM$4=0,-$D37*$E37,-($D37*(1-$E37))/$G37*(DM$4&gt;=$F37)*(DM$4&lt;=($F37+$G37-1)))</f>
        <v/>
      </c>
      <c r="DN94" s="24">
        <f>IF(DN$4=0,-$D37*$E37,-($D37*(1-$E37))/$G37*(DN$4&gt;=$F37)*(DN$4&lt;=($F37+$G37-1)))</f>
        <v/>
      </c>
      <c r="DO94" s="24">
        <f>IF(DO$4=0,-$D37*$E37,-($D37*(1-$E37))/$G37*(DO$4&gt;=$F37)*(DO$4&lt;=($F37+$G37-1)))</f>
        <v/>
      </c>
      <c r="DP94" s="24">
        <f>IF(DP$4=0,-$D37*$E37,-($D37*(1-$E37))/$G37*(DP$4&gt;=$F37)*(DP$4&lt;=($F37+$G37-1)))</f>
        <v/>
      </c>
      <c r="DQ94" s="24">
        <f>IF(DQ$4=0,-$D37*$E37,-($D37*(1-$E37))/$G37*(DQ$4&gt;=$F37)*(DQ$4&lt;=($F37+$G37-1)))</f>
        <v/>
      </c>
      <c r="DR94" s="24">
        <f>IF(DR$4=0,-$D37*$E37,-($D37*(1-$E37))/$G37*(DR$4&gt;=$F37)*(DR$4&lt;=($F37+$G37-1)))</f>
        <v/>
      </c>
      <c r="DS94" s="24">
        <f>IF(DS$4=0,-$D37*$E37,-($D37*(1-$E37))/$G37*(DS$4&gt;=$F37)*(DS$4&lt;=($F37+$G37-1)))</f>
        <v/>
      </c>
      <c r="DT94" s="24">
        <f>IF(DT$4=0,-$D37*$E37,-($D37*(1-$E37))/$G37*(DT$4&gt;=$F37)*(DT$4&lt;=($F37+$G37-1)))</f>
        <v/>
      </c>
      <c r="DU94" s="24">
        <f>IF(DU$4=0,-$D37*$E37,-($D37*(1-$E37))/$G37*(DU$4&gt;=$F37)*(DU$4&lt;=($F37+$G37-1)))</f>
        <v/>
      </c>
      <c r="DV94" s="24">
        <f>IF(DV$4=0,-$D37*$E37,-($D37*(1-$E37))/$G37*(DV$4&gt;=$F37)*(DV$4&lt;=($F37+$G37-1)))</f>
        <v/>
      </c>
      <c r="DW94" s="24">
        <f>IF(DW$4=0,-$D37*$E37,-($D37*(1-$E37))/$G37*(DW$4&gt;=$F37)*(DW$4&lt;=($F37+$G37-1)))</f>
        <v/>
      </c>
      <c r="DX94" s="24">
        <f>IF(DX$4=0,-$D37*$E37,-($D37*(1-$E37))/$G37*(DX$4&gt;=$F37)*(DX$4&lt;=($F37+$G37-1)))</f>
        <v/>
      </c>
      <c r="DY94" s="24">
        <f>IF(DY$4=0,-$D37*$E37,-($D37*(1-$E37))/$G37*(DY$4&gt;=$F37)*(DY$4&lt;=($F37+$G37-1)))</f>
        <v/>
      </c>
      <c r="DZ94" s="24">
        <f>IF(DZ$4=0,-$D37*$E37,-($D37*(1-$E37))/$G37*(DZ$4&gt;=$F37)*(DZ$4&lt;=($F37+$G37-1)))</f>
        <v/>
      </c>
      <c r="EA94" s="24">
        <f>IF(EA$4=0,-$D37*$E37,-($D37*(1-$E37))/$G37*(EA$4&gt;=$F37)*(EA$4&lt;=($F37+$G37-1)))</f>
        <v/>
      </c>
      <c r="EB94" s="24">
        <f>IF(EB$4=0,-$D37*$E37,-($D37*(1-$E37))/$G37*(EB$4&gt;=$F37)*(EB$4&lt;=($F37+$G37-1)))</f>
        <v/>
      </c>
      <c r="EC94" s="24">
        <f>IF(EC$4=0,-$D37*$E37,-($D37*(1-$E37))/$G37*(EC$4&gt;=$F37)*(EC$4&lt;=($F37+$G37-1)))</f>
        <v/>
      </c>
      <c r="ED94" s="24">
        <f>IF(ED$4=0,-$D37*$E37,-($D37*(1-$E37))/$G37*(ED$4&gt;=$F37)*(ED$4&lt;=($F37+$G37-1)))</f>
        <v/>
      </c>
      <c r="EE94" s="24">
        <f>IF(EE$4=0,-$D37*$E37,-($D37*(1-$E37))/$G37*(EE$4&gt;=$F37)*(EE$4&lt;=($F37+$G37-1)))</f>
        <v/>
      </c>
      <c r="EF94" s="24">
        <f>IF(EF$4=0,-$D37*$E37,-($D37*(1-$E37))/$G37*(EF$4&gt;=$F37)*(EF$4&lt;=($F37+$G37-1)))</f>
        <v/>
      </c>
      <c r="EG94" s="24">
        <f>IF(EG$4=0,-$D37*$E37,-($D37*(1-$E37))/$G37*(EG$4&gt;=$F37)*(EG$4&lt;=($F37+$G37-1)))</f>
        <v/>
      </c>
      <c r="EH94" s="24">
        <f>IF(EH$4=0,-$D37*$E37,-($D37*(1-$E37))/$G37*(EH$4&gt;=$F37)*(EH$4&lt;=($F37+$G37-1)))</f>
        <v/>
      </c>
      <c r="EI94" s="24">
        <f>IF(EI$4=0,-$D37*$E37,-($D37*(1-$E37))/$G37*(EI$4&gt;=$F37)*(EI$4&lt;=($F37+$G37-1)))</f>
        <v/>
      </c>
      <c r="EJ94" s="24">
        <f>IF(EJ$4=0,-$D37*$E37,-($D37*(1-$E37))/$G37*(EJ$4&gt;=$F37)*(EJ$4&lt;=($F37+$G37-1)))</f>
        <v/>
      </c>
      <c r="EK94" s="24">
        <f>IF(EK$4=0,-$D37*$E37,-($D37*(1-$E37))/$G37*(EK$4&gt;=$F37)*(EK$4&lt;=($F37+$G37-1)))</f>
        <v/>
      </c>
      <c r="EL94" s="24">
        <f>IF(EL$4=0,-$D37*$E37,-($D37*(1-$E37))/$G37*(EL$4&gt;=$F37)*(EL$4&lt;=($F37+$G37-1)))</f>
        <v/>
      </c>
      <c r="EM94" s="24">
        <f>IF(EM$4=0,-$D37*$E37,-($D37*(1-$E37))/$G37*(EM$4&gt;=$F37)*(EM$4&lt;=($F37+$G37-1)))</f>
        <v/>
      </c>
      <c r="EN94" s="24">
        <f>IF(EN$4=0,-$D37*$E37,-($D37*(1-$E37))/$G37*(EN$4&gt;=$F37)*(EN$4&lt;=($F37+$G37-1)))</f>
        <v/>
      </c>
      <c r="EO94" s="24">
        <f>IF(EO$4=0,-$D37*$E37,-($D37*(1-$E37))/$G37*(EO$4&gt;=$F37)*(EO$4&lt;=($F37+$G37-1)))</f>
        <v/>
      </c>
      <c r="EP94" s="24">
        <f>IF(EP$4=0,-$D37*$E37,-($D37*(1-$E37))/$G37*(EP$4&gt;=$F37)*(EP$4&lt;=($F37+$G37-1)))</f>
        <v/>
      </c>
      <c r="EQ94" s="24">
        <f>IF(EQ$4=0,-$D37*$E37,-($D37*(1-$E37))/$G37*(EQ$4&gt;=$F37)*(EQ$4&lt;=($F37+$G37-1)))</f>
        <v/>
      </c>
      <c r="ER94" s="24">
        <f>IF(ER$4=0,-$D37*$E37,-($D37*(1-$E37))/$G37*(ER$4&gt;=$F37)*(ER$4&lt;=($F37+$G37-1)))</f>
        <v/>
      </c>
      <c r="ES94" s="24">
        <f>IF(ES$4=0,-$D37*$E37,-($D37*(1-$E37))/$G37*(ES$4&gt;=$F37)*(ES$4&lt;=($F37+$G37-1)))</f>
        <v/>
      </c>
      <c r="ET94" s="24">
        <f>IF(ET$4=0,-$D37*$E37,-($D37*(1-$E37))/$G37*(ET$4&gt;=$F37)*(ET$4&lt;=($F37+$G37-1)))</f>
        <v/>
      </c>
      <c r="EU94" s="24">
        <f>IF(EU$4=0,-$D37*$E37,-($D37*(1-$E37))/$G37*(EU$4&gt;=$F37)*(EU$4&lt;=($F37+$G37-1)))</f>
        <v/>
      </c>
      <c r="EV94" s="24">
        <f>IF(EV$4=0,-$D37*$E37,-($D37*(1-$E37))/$G37*(EV$4&gt;=$F37)*(EV$4&lt;=($F37+$G37-1)))</f>
        <v/>
      </c>
      <c r="EW94" s="24">
        <f>IF(EW$4=0,-$D37*$E37,-($D37*(1-$E37))/$G37*(EW$4&gt;=$F37)*(EW$4&lt;=($F37+$G37-1)))</f>
        <v/>
      </c>
      <c r="EX94" s="24">
        <f>IF(EX$4=0,-$D37*$E37,-($D37*(1-$E37))/$G37*(EX$4&gt;=$F37)*(EX$4&lt;=($F37+$G37-1)))</f>
        <v/>
      </c>
      <c r="EY94" s="24">
        <f>IF(EY$4=0,-$D37*$E37,-($D37*(1-$E37))/$G37*(EY$4&gt;=$F37)*(EY$4&lt;=($F37+$G37-1)))</f>
        <v/>
      </c>
      <c r="EZ94" s="24">
        <f>IF(EZ$4=0,-$D37*$E37,-($D37*(1-$E37))/$G37*(EZ$4&gt;=$F37)*(EZ$4&lt;=($F37+$G37-1)))</f>
        <v/>
      </c>
      <c r="FA94" s="24">
        <f>IF(FA$4=0,-$D37*$E37,-($D37*(1-$E37))/$G37*(FA$4&gt;=$F37)*(FA$4&lt;=($F37+$G37-1)))</f>
        <v/>
      </c>
      <c r="FB94" s="24">
        <f>IF(FB$4=0,-$D37*$E37,-($D37*(1-$E37))/$G37*(FB$4&gt;=$F37)*(FB$4&lt;=($F37+$G37-1)))</f>
        <v/>
      </c>
    </row>
    <row r="95">
      <c r="B95" s="7" t="inlineStr">
        <is>
          <t>Property Taxes</t>
        </is>
      </c>
      <c r="C95" s="7" t="n"/>
      <c r="D95" s="7" t="n"/>
      <c r="E95" s="7" t="n"/>
      <c r="F95" s="7" t="n"/>
      <c r="G95" s="7" t="n"/>
      <c r="I95" s="9" t="inlineStr">
        <is>
          <t>Closing Costs</t>
        </is>
      </c>
      <c r="L95" s="24">
        <f>SUMIF($Z$4:$FB$4,"&lt;="&amp;$G$18,$Z95:$FB95)</f>
        <v/>
      </c>
      <c r="N95" s="24">
        <f>SUMIF($Z$3:$FB$3,N$7,$Z95:$FB95)</f>
        <v/>
      </c>
      <c r="O95" s="24">
        <f>SUMIF($Z$3:$FB$3,O$7,$Z95:$FB95)</f>
        <v/>
      </c>
      <c r="P95" s="24">
        <f>SUMIF($Z$3:$FB$3,P$7,$Z95:$FB95)</f>
        <v/>
      </c>
      <c r="Q95" s="24">
        <f>SUMIF($Z$3:$FB$3,Q$7,$Z95:$FB95)</f>
        <v/>
      </c>
      <c r="R95" s="24">
        <f>SUMIF($Z$3:$FB$3,R$7,$Z95:$FB95)</f>
        <v/>
      </c>
      <c r="S95" s="24">
        <f>SUMIF($Z$3:$FB$3,S$7,$Z95:$FB95)</f>
        <v/>
      </c>
      <c r="T95" s="24">
        <f>SUMIF($Z$3:$FB$3,T$7,$Z95:$FB95)</f>
        <v/>
      </c>
      <c r="U95" s="24">
        <f>SUMIF($Z$3:$FB$3,U$7,$Z95:$FB95)</f>
        <v/>
      </c>
      <c r="V95" s="24">
        <f>SUMIF($Z$3:$FB$3,V$7,$Z95:$FB95)</f>
        <v/>
      </c>
      <c r="W95" s="24">
        <f>SUMIF($Z$3:$FB$3,W$7,$Z95:$FB95)</f>
        <v/>
      </c>
      <c r="X95" s="24">
        <f>SUMIF($Z$3:$FB$3,X$7,$Z95:$FB95)</f>
        <v/>
      </c>
      <c r="Z95" s="24">
        <f>IF(Z$4=0,-$D38*$E38,-($D38*(1-$E38))/$G38*(Z$4&gt;=$F38)*(Z$4&lt;=($F38+$G38-1)))</f>
        <v/>
      </c>
      <c r="AA95" s="24">
        <f>IF(AA$4=0,-$D38*$E38,-($D38*(1-$E38))/$G38*(AA$4&gt;=$F38)*(AA$4&lt;=($F38+$G38-1)))</f>
        <v/>
      </c>
      <c r="AB95" s="24">
        <f>IF(AB$4=0,-$D38*$E38,-($D38*(1-$E38))/$G38*(AB$4&gt;=$F38)*(AB$4&lt;=($F38+$G38-1)))</f>
        <v/>
      </c>
      <c r="AC95" s="24">
        <f>IF(AC$4=0,-$D38*$E38,-($D38*(1-$E38))/$G38*(AC$4&gt;=$F38)*(AC$4&lt;=($F38+$G38-1)))</f>
        <v/>
      </c>
      <c r="AD95" s="24">
        <f>IF(AD$4=0,-$D38*$E38,-($D38*(1-$E38))/$G38*(AD$4&gt;=$F38)*(AD$4&lt;=($F38+$G38-1)))</f>
        <v/>
      </c>
      <c r="AE95" s="24">
        <f>IF(AE$4=0,-$D38*$E38,-($D38*(1-$E38))/$G38*(AE$4&gt;=$F38)*(AE$4&lt;=($F38+$G38-1)))</f>
        <v/>
      </c>
      <c r="AF95" s="24">
        <f>IF(AF$4=0,-$D38*$E38,-($D38*(1-$E38))/$G38*(AF$4&gt;=$F38)*(AF$4&lt;=($F38+$G38-1)))</f>
        <v/>
      </c>
      <c r="AG95" s="24">
        <f>IF(AG$4=0,-$D38*$E38,-($D38*(1-$E38))/$G38*(AG$4&gt;=$F38)*(AG$4&lt;=($F38+$G38-1)))</f>
        <v/>
      </c>
      <c r="AH95" s="24">
        <f>IF(AH$4=0,-$D38*$E38,-($D38*(1-$E38))/$G38*(AH$4&gt;=$F38)*(AH$4&lt;=($F38+$G38-1)))</f>
        <v/>
      </c>
      <c r="AI95" s="24">
        <f>IF(AI$4=0,-$D38*$E38,-($D38*(1-$E38))/$G38*(AI$4&gt;=$F38)*(AI$4&lt;=($F38+$G38-1)))</f>
        <v/>
      </c>
      <c r="AJ95" s="24">
        <f>IF(AJ$4=0,-$D38*$E38,-($D38*(1-$E38))/$G38*(AJ$4&gt;=$F38)*(AJ$4&lt;=($F38+$G38-1)))</f>
        <v/>
      </c>
      <c r="AK95" s="24">
        <f>IF(AK$4=0,-$D38*$E38,-($D38*(1-$E38))/$G38*(AK$4&gt;=$F38)*(AK$4&lt;=($F38+$G38-1)))</f>
        <v/>
      </c>
      <c r="AL95" s="24">
        <f>IF(AL$4=0,-$D38*$E38,-($D38*(1-$E38))/$G38*(AL$4&gt;=$F38)*(AL$4&lt;=($F38+$G38-1)))</f>
        <v/>
      </c>
      <c r="AM95" s="24">
        <f>IF(AM$4=0,-$D38*$E38,-($D38*(1-$E38))/$G38*(AM$4&gt;=$F38)*(AM$4&lt;=($F38+$G38-1)))</f>
        <v/>
      </c>
      <c r="AN95" s="24">
        <f>IF(AN$4=0,-$D38*$E38,-($D38*(1-$E38))/$G38*(AN$4&gt;=$F38)*(AN$4&lt;=($F38+$G38-1)))</f>
        <v/>
      </c>
      <c r="AO95" s="24">
        <f>IF(AO$4=0,-$D38*$E38,-($D38*(1-$E38))/$G38*(AO$4&gt;=$F38)*(AO$4&lt;=($F38+$G38-1)))</f>
        <v/>
      </c>
      <c r="AP95" s="24">
        <f>IF(AP$4=0,-$D38*$E38,-($D38*(1-$E38))/$G38*(AP$4&gt;=$F38)*(AP$4&lt;=($F38+$G38-1)))</f>
        <v/>
      </c>
      <c r="AQ95" s="24">
        <f>IF(AQ$4=0,-$D38*$E38,-($D38*(1-$E38))/$G38*(AQ$4&gt;=$F38)*(AQ$4&lt;=($F38+$G38-1)))</f>
        <v/>
      </c>
      <c r="AR95" s="24">
        <f>IF(AR$4=0,-$D38*$E38,-($D38*(1-$E38))/$G38*(AR$4&gt;=$F38)*(AR$4&lt;=($F38+$G38-1)))</f>
        <v/>
      </c>
      <c r="AS95" s="24">
        <f>IF(AS$4=0,-$D38*$E38,-($D38*(1-$E38))/$G38*(AS$4&gt;=$F38)*(AS$4&lt;=($F38+$G38-1)))</f>
        <v/>
      </c>
      <c r="AT95" s="24">
        <f>IF(AT$4=0,-$D38*$E38,-($D38*(1-$E38))/$G38*(AT$4&gt;=$F38)*(AT$4&lt;=($F38+$G38-1)))</f>
        <v/>
      </c>
      <c r="AU95" s="24">
        <f>IF(AU$4=0,-$D38*$E38,-($D38*(1-$E38))/$G38*(AU$4&gt;=$F38)*(AU$4&lt;=($F38+$G38-1)))</f>
        <v/>
      </c>
      <c r="AV95" s="24">
        <f>IF(AV$4=0,-$D38*$E38,-($D38*(1-$E38))/$G38*(AV$4&gt;=$F38)*(AV$4&lt;=($F38+$G38-1)))</f>
        <v/>
      </c>
      <c r="AW95" s="24">
        <f>IF(AW$4=0,-$D38*$E38,-($D38*(1-$E38))/$G38*(AW$4&gt;=$F38)*(AW$4&lt;=($F38+$G38-1)))</f>
        <v/>
      </c>
      <c r="AX95" s="24">
        <f>IF(AX$4=0,-$D38*$E38,-($D38*(1-$E38))/$G38*(AX$4&gt;=$F38)*(AX$4&lt;=($F38+$G38-1)))</f>
        <v/>
      </c>
      <c r="AY95" s="24">
        <f>IF(AY$4=0,-$D38*$E38,-($D38*(1-$E38))/$G38*(AY$4&gt;=$F38)*(AY$4&lt;=($F38+$G38-1)))</f>
        <v/>
      </c>
      <c r="AZ95" s="24">
        <f>IF(AZ$4=0,-$D38*$E38,-($D38*(1-$E38))/$G38*(AZ$4&gt;=$F38)*(AZ$4&lt;=($F38+$G38-1)))</f>
        <v/>
      </c>
      <c r="BA95" s="24">
        <f>IF(BA$4=0,-$D38*$E38,-($D38*(1-$E38))/$G38*(BA$4&gt;=$F38)*(BA$4&lt;=($F38+$G38-1)))</f>
        <v/>
      </c>
      <c r="BB95" s="24">
        <f>IF(BB$4=0,-$D38*$E38,-($D38*(1-$E38))/$G38*(BB$4&gt;=$F38)*(BB$4&lt;=($F38+$G38-1)))</f>
        <v/>
      </c>
      <c r="BC95" s="24">
        <f>IF(BC$4=0,-$D38*$E38,-($D38*(1-$E38))/$G38*(BC$4&gt;=$F38)*(BC$4&lt;=($F38+$G38-1)))</f>
        <v/>
      </c>
      <c r="BD95" s="24">
        <f>IF(BD$4=0,-$D38*$E38,-($D38*(1-$E38))/$G38*(BD$4&gt;=$F38)*(BD$4&lt;=($F38+$G38-1)))</f>
        <v/>
      </c>
      <c r="BE95" s="24">
        <f>IF(BE$4=0,-$D38*$E38,-($D38*(1-$E38))/$G38*(BE$4&gt;=$F38)*(BE$4&lt;=($F38+$G38-1)))</f>
        <v/>
      </c>
      <c r="BF95" s="24">
        <f>IF(BF$4=0,-$D38*$E38,-($D38*(1-$E38))/$G38*(BF$4&gt;=$F38)*(BF$4&lt;=($F38+$G38-1)))</f>
        <v/>
      </c>
      <c r="BG95" s="24">
        <f>IF(BG$4=0,-$D38*$E38,-($D38*(1-$E38))/$G38*(BG$4&gt;=$F38)*(BG$4&lt;=($F38+$G38-1)))</f>
        <v/>
      </c>
      <c r="BH95" s="24">
        <f>IF(BH$4=0,-$D38*$E38,-($D38*(1-$E38))/$G38*(BH$4&gt;=$F38)*(BH$4&lt;=($F38+$G38-1)))</f>
        <v/>
      </c>
      <c r="BI95" s="24">
        <f>IF(BI$4=0,-$D38*$E38,-($D38*(1-$E38))/$G38*(BI$4&gt;=$F38)*(BI$4&lt;=($F38+$G38-1)))</f>
        <v/>
      </c>
      <c r="BJ95" s="24">
        <f>IF(BJ$4=0,-$D38*$E38,-($D38*(1-$E38))/$G38*(BJ$4&gt;=$F38)*(BJ$4&lt;=($F38+$G38-1)))</f>
        <v/>
      </c>
      <c r="BK95" s="24">
        <f>IF(BK$4=0,-$D38*$E38,-($D38*(1-$E38))/$G38*(BK$4&gt;=$F38)*(BK$4&lt;=($F38+$G38-1)))</f>
        <v/>
      </c>
      <c r="BL95" s="24">
        <f>IF(BL$4=0,-$D38*$E38,-($D38*(1-$E38))/$G38*(BL$4&gt;=$F38)*(BL$4&lt;=($F38+$G38-1)))</f>
        <v/>
      </c>
      <c r="BM95" s="24">
        <f>IF(BM$4=0,-$D38*$E38,-($D38*(1-$E38))/$G38*(BM$4&gt;=$F38)*(BM$4&lt;=($F38+$G38-1)))</f>
        <v/>
      </c>
      <c r="BN95" s="24">
        <f>IF(BN$4=0,-$D38*$E38,-($D38*(1-$E38))/$G38*(BN$4&gt;=$F38)*(BN$4&lt;=($F38+$G38-1)))</f>
        <v/>
      </c>
      <c r="BO95" s="24">
        <f>IF(BO$4=0,-$D38*$E38,-($D38*(1-$E38))/$G38*(BO$4&gt;=$F38)*(BO$4&lt;=($F38+$G38-1)))</f>
        <v/>
      </c>
      <c r="BP95" s="24">
        <f>IF(BP$4=0,-$D38*$E38,-($D38*(1-$E38))/$G38*(BP$4&gt;=$F38)*(BP$4&lt;=($F38+$G38-1)))</f>
        <v/>
      </c>
      <c r="BQ95" s="24">
        <f>IF(BQ$4=0,-$D38*$E38,-($D38*(1-$E38))/$G38*(BQ$4&gt;=$F38)*(BQ$4&lt;=($F38+$G38-1)))</f>
        <v/>
      </c>
      <c r="BR95" s="24">
        <f>IF(BR$4=0,-$D38*$E38,-($D38*(1-$E38))/$G38*(BR$4&gt;=$F38)*(BR$4&lt;=($F38+$G38-1)))</f>
        <v/>
      </c>
      <c r="BS95" s="24">
        <f>IF(BS$4=0,-$D38*$E38,-($D38*(1-$E38))/$G38*(BS$4&gt;=$F38)*(BS$4&lt;=($F38+$G38-1)))</f>
        <v/>
      </c>
      <c r="BT95" s="24">
        <f>IF(BT$4=0,-$D38*$E38,-($D38*(1-$E38))/$G38*(BT$4&gt;=$F38)*(BT$4&lt;=($F38+$G38-1)))</f>
        <v/>
      </c>
      <c r="BU95" s="24">
        <f>IF(BU$4=0,-$D38*$E38,-($D38*(1-$E38))/$G38*(BU$4&gt;=$F38)*(BU$4&lt;=($F38+$G38-1)))</f>
        <v/>
      </c>
      <c r="BV95" s="24">
        <f>IF(BV$4=0,-$D38*$E38,-($D38*(1-$E38))/$G38*(BV$4&gt;=$F38)*(BV$4&lt;=($F38+$G38-1)))</f>
        <v/>
      </c>
      <c r="BW95" s="24">
        <f>IF(BW$4=0,-$D38*$E38,-($D38*(1-$E38))/$G38*(BW$4&gt;=$F38)*(BW$4&lt;=($F38+$G38-1)))</f>
        <v/>
      </c>
      <c r="BX95" s="24">
        <f>IF(BX$4=0,-$D38*$E38,-($D38*(1-$E38))/$G38*(BX$4&gt;=$F38)*(BX$4&lt;=($F38+$G38-1)))</f>
        <v/>
      </c>
      <c r="BY95" s="24">
        <f>IF(BY$4=0,-$D38*$E38,-($D38*(1-$E38))/$G38*(BY$4&gt;=$F38)*(BY$4&lt;=($F38+$G38-1)))</f>
        <v/>
      </c>
      <c r="BZ95" s="24">
        <f>IF(BZ$4=0,-$D38*$E38,-($D38*(1-$E38))/$G38*(BZ$4&gt;=$F38)*(BZ$4&lt;=($F38+$G38-1)))</f>
        <v/>
      </c>
      <c r="CA95" s="24">
        <f>IF(CA$4=0,-$D38*$E38,-($D38*(1-$E38))/$G38*(CA$4&gt;=$F38)*(CA$4&lt;=($F38+$G38-1)))</f>
        <v/>
      </c>
      <c r="CB95" s="24">
        <f>IF(CB$4=0,-$D38*$E38,-($D38*(1-$E38))/$G38*(CB$4&gt;=$F38)*(CB$4&lt;=($F38+$G38-1)))</f>
        <v/>
      </c>
      <c r="CC95" s="24">
        <f>IF(CC$4=0,-$D38*$E38,-($D38*(1-$E38))/$G38*(CC$4&gt;=$F38)*(CC$4&lt;=($F38+$G38-1)))</f>
        <v/>
      </c>
      <c r="CD95" s="24">
        <f>IF(CD$4=0,-$D38*$E38,-($D38*(1-$E38))/$G38*(CD$4&gt;=$F38)*(CD$4&lt;=($F38+$G38-1)))</f>
        <v/>
      </c>
      <c r="CE95" s="24">
        <f>IF(CE$4=0,-$D38*$E38,-($D38*(1-$E38))/$G38*(CE$4&gt;=$F38)*(CE$4&lt;=($F38+$G38-1)))</f>
        <v/>
      </c>
      <c r="CF95" s="24">
        <f>IF(CF$4=0,-$D38*$E38,-($D38*(1-$E38))/$G38*(CF$4&gt;=$F38)*(CF$4&lt;=($F38+$G38-1)))</f>
        <v/>
      </c>
      <c r="CG95" s="24">
        <f>IF(CG$4=0,-$D38*$E38,-($D38*(1-$E38))/$G38*(CG$4&gt;=$F38)*(CG$4&lt;=($F38+$G38-1)))</f>
        <v/>
      </c>
      <c r="CH95" s="24">
        <f>IF(CH$4=0,-$D38*$E38,-($D38*(1-$E38))/$G38*(CH$4&gt;=$F38)*(CH$4&lt;=($F38+$G38-1)))</f>
        <v/>
      </c>
      <c r="CI95" s="24">
        <f>IF(CI$4=0,-$D38*$E38,-($D38*(1-$E38))/$G38*(CI$4&gt;=$F38)*(CI$4&lt;=($F38+$G38-1)))</f>
        <v/>
      </c>
      <c r="CJ95" s="24">
        <f>IF(CJ$4=0,-$D38*$E38,-($D38*(1-$E38))/$G38*(CJ$4&gt;=$F38)*(CJ$4&lt;=($F38+$G38-1)))</f>
        <v/>
      </c>
      <c r="CK95" s="24">
        <f>IF(CK$4=0,-$D38*$E38,-($D38*(1-$E38))/$G38*(CK$4&gt;=$F38)*(CK$4&lt;=($F38+$G38-1)))</f>
        <v/>
      </c>
      <c r="CL95" s="24">
        <f>IF(CL$4=0,-$D38*$E38,-($D38*(1-$E38))/$G38*(CL$4&gt;=$F38)*(CL$4&lt;=($F38+$G38-1)))</f>
        <v/>
      </c>
      <c r="CM95" s="24">
        <f>IF(CM$4=0,-$D38*$E38,-($D38*(1-$E38))/$G38*(CM$4&gt;=$F38)*(CM$4&lt;=($F38+$G38-1)))</f>
        <v/>
      </c>
      <c r="CN95" s="24">
        <f>IF(CN$4=0,-$D38*$E38,-($D38*(1-$E38))/$G38*(CN$4&gt;=$F38)*(CN$4&lt;=($F38+$G38-1)))</f>
        <v/>
      </c>
      <c r="CO95" s="24">
        <f>IF(CO$4=0,-$D38*$E38,-($D38*(1-$E38))/$G38*(CO$4&gt;=$F38)*(CO$4&lt;=($F38+$G38-1)))</f>
        <v/>
      </c>
      <c r="CP95" s="24">
        <f>IF(CP$4=0,-$D38*$E38,-($D38*(1-$E38))/$G38*(CP$4&gt;=$F38)*(CP$4&lt;=($F38+$G38-1)))</f>
        <v/>
      </c>
      <c r="CQ95" s="24">
        <f>IF(CQ$4=0,-$D38*$E38,-($D38*(1-$E38))/$G38*(CQ$4&gt;=$F38)*(CQ$4&lt;=($F38+$G38-1)))</f>
        <v/>
      </c>
      <c r="CR95" s="24">
        <f>IF(CR$4=0,-$D38*$E38,-($D38*(1-$E38))/$G38*(CR$4&gt;=$F38)*(CR$4&lt;=($F38+$G38-1)))</f>
        <v/>
      </c>
      <c r="CS95" s="24">
        <f>IF(CS$4=0,-$D38*$E38,-($D38*(1-$E38))/$G38*(CS$4&gt;=$F38)*(CS$4&lt;=($F38+$G38-1)))</f>
        <v/>
      </c>
      <c r="CT95" s="24">
        <f>IF(CT$4=0,-$D38*$E38,-($D38*(1-$E38))/$G38*(CT$4&gt;=$F38)*(CT$4&lt;=($F38+$G38-1)))</f>
        <v/>
      </c>
      <c r="CU95" s="24">
        <f>IF(CU$4=0,-$D38*$E38,-($D38*(1-$E38))/$G38*(CU$4&gt;=$F38)*(CU$4&lt;=($F38+$G38-1)))</f>
        <v/>
      </c>
      <c r="CV95" s="24">
        <f>IF(CV$4=0,-$D38*$E38,-($D38*(1-$E38))/$G38*(CV$4&gt;=$F38)*(CV$4&lt;=($F38+$G38-1)))</f>
        <v/>
      </c>
      <c r="CW95" s="24">
        <f>IF(CW$4=0,-$D38*$E38,-($D38*(1-$E38))/$G38*(CW$4&gt;=$F38)*(CW$4&lt;=($F38+$G38-1)))</f>
        <v/>
      </c>
      <c r="CX95" s="24">
        <f>IF(CX$4=0,-$D38*$E38,-($D38*(1-$E38))/$G38*(CX$4&gt;=$F38)*(CX$4&lt;=($F38+$G38-1)))</f>
        <v/>
      </c>
      <c r="CY95" s="24">
        <f>IF(CY$4=0,-$D38*$E38,-($D38*(1-$E38))/$G38*(CY$4&gt;=$F38)*(CY$4&lt;=($F38+$G38-1)))</f>
        <v/>
      </c>
      <c r="CZ95" s="24">
        <f>IF(CZ$4=0,-$D38*$E38,-($D38*(1-$E38))/$G38*(CZ$4&gt;=$F38)*(CZ$4&lt;=($F38+$G38-1)))</f>
        <v/>
      </c>
      <c r="DA95" s="24">
        <f>IF(DA$4=0,-$D38*$E38,-($D38*(1-$E38))/$G38*(DA$4&gt;=$F38)*(DA$4&lt;=($F38+$G38-1)))</f>
        <v/>
      </c>
      <c r="DB95" s="24">
        <f>IF(DB$4=0,-$D38*$E38,-($D38*(1-$E38))/$G38*(DB$4&gt;=$F38)*(DB$4&lt;=($F38+$G38-1)))</f>
        <v/>
      </c>
      <c r="DC95" s="24">
        <f>IF(DC$4=0,-$D38*$E38,-($D38*(1-$E38))/$G38*(DC$4&gt;=$F38)*(DC$4&lt;=($F38+$G38-1)))</f>
        <v/>
      </c>
      <c r="DD95" s="24">
        <f>IF(DD$4=0,-$D38*$E38,-($D38*(1-$E38))/$G38*(DD$4&gt;=$F38)*(DD$4&lt;=($F38+$G38-1)))</f>
        <v/>
      </c>
      <c r="DE95" s="24">
        <f>IF(DE$4=0,-$D38*$E38,-($D38*(1-$E38))/$G38*(DE$4&gt;=$F38)*(DE$4&lt;=($F38+$G38-1)))</f>
        <v/>
      </c>
      <c r="DF95" s="24">
        <f>IF(DF$4=0,-$D38*$E38,-($D38*(1-$E38))/$G38*(DF$4&gt;=$F38)*(DF$4&lt;=($F38+$G38-1)))</f>
        <v/>
      </c>
      <c r="DG95" s="24">
        <f>IF(DG$4=0,-$D38*$E38,-($D38*(1-$E38))/$G38*(DG$4&gt;=$F38)*(DG$4&lt;=($F38+$G38-1)))</f>
        <v/>
      </c>
      <c r="DH95" s="24">
        <f>IF(DH$4=0,-$D38*$E38,-($D38*(1-$E38))/$G38*(DH$4&gt;=$F38)*(DH$4&lt;=($F38+$G38-1)))</f>
        <v/>
      </c>
      <c r="DI95" s="24">
        <f>IF(DI$4=0,-$D38*$E38,-($D38*(1-$E38))/$G38*(DI$4&gt;=$F38)*(DI$4&lt;=($F38+$G38-1)))</f>
        <v/>
      </c>
      <c r="DJ95" s="24">
        <f>IF(DJ$4=0,-$D38*$E38,-($D38*(1-$E38))/$G38*(DJ$4&gt;=$F38)*(DJ$4&lt;=($F38+$G38-1)))</f>
        <v/>
      </c>
      <c r="DK95" s="24">
        <f>IF(DK$4=0,-$D38*$E38,-($D38*(1-$E38))/$G38*(DK$4&gt;=$F38)*(DK$4&lt;=($F38+$G38-1)))</f>
        <v/>
      </c>
      <c r="DL95" s="24">
        <f>IF(DL$4=0,-$D38*$E38,-($D38*(1-$E38))/$G38*(DL$4&gt;=$F38)*(DL$4&lt;=($F38+$G38-1)))</f>
        <v/>
      </c>
      <c r="DM95" s="24">
        <f>IF(DM$4=0,-$D38*$E38,-($D38*(1-$E38))/$G38*(DM$4&gt;=$F38)*(DM$4&lt;=($F38+$G38-1)))</f>
        <v/>
      </c>
      <c r="DN95" s="24">
        <f>IF(DN$4=0,-$D38*$E38,-($D38*(1-$E38))/$G38*(DN$4&gt;=$F38)*(DN$4&lt;=($F38+$G38-1)))</f>
        <v/>
      </c>
      <c r="DO95" s="24">
        <f>IF(DO$4=0,-$D38*$E38,-($D38*(1-$E38))/$G38*(DO$4&gt;=$F38)*(DO$4&lt;=($F38+$G38-1)))</f>
        <v/>
      </c>
      <c r="DP95" s="24">
        <f>IF(DP$4=0,-$D38*$E38,-($D38*(1-$E38))/$G38*(DP$4&gt;=$F38)*(DP$4&lt;=($F38+$G38-1)))</f>
        <v/>
      </c>
      <c r="DQ95" s="24">
        <f>IF(DQ$4=0,-$D38*$E38,-($D38*(1-$E38))/$G38*(DQ$4&gt;=$F38)*(DQ$4&lt;=($F38+$G38-1)))</f>
        <v/>
      </c>
      <c r="DR95" s="24">
        <f>IF(DR$4=0,-$D38*$E38,-($D38*(1-$E38))/$G38*(DR$4&gt;=$F38)*(DR$4&lt;=($F38+$G38-1)))</f>
        <v/>
      </c>
      <c r="DS95" s="24">
        <f>IF(DS$4=0,-$D38*$E38,-($D38*(1-$E38))/$G38*(DS$4&gt;=$F38)*(DS$4&lt;=($F38+$G38-1)))</f>
        <v/>
      </c>
      <c r="DT95" s="24">
        <f>IF(DT$4=0,-$D38*$E38,-($D38*(1-$E38))/$G38*(DT$4&gt;=$F38)*(DT$4&lt;=($F38+$G38-1)))</f>
        <v/>
      </c>
      <c r="DU95" s="24">
        <f>IF(DU$4=0,-$D38*$E38,-($D38*(1-$E38))/$G38*(DU$4&gt;=$F38)*(DU$4&lt;=($F38+$G38-1)))</f>
        <v/>
      </c>
      <c r="DV95" s="24">
        <f>IF(DV$4=0,-$D38*$E38,-($D38*(1-$E38))/$G38*(DV$4&gt;=$F38)*(DV$4&lt;=($F38+$G38-1)))</f>
        <v/>
      </c>
      <c r="DW95" s="24">
        <f>IF(DW$4=0,-$D38*$E38,-($D38*(1-$E38))/$G38*(DW$4&gt;=$F38)*(DW$4&lt;=($F38+$G38-1)))</f>
        <v/>
      </c>
      <c r="DX95" s="24">
        <f>IF(DX$4=0,-$D38*$E38,-($D38*(1-$E38))/$G38*(DX$4&gt;=$F38)*(DX$4&lt;=($F38+$G38-1)))</f>
        <v/>
      </c>
      <c r="DY95" s="24">
        <f>IF(DY$4=0,-$D38*$E38,-($D38*(1-$E38))/$G38*(DY$4&gt;=$F38)*(DY$4&lt;=($F38+$G38-1)))</f>
        <v/>
      </c>
      <c r="DZ95" s="24">
        <f>IF(DZ$4=0,-$D38*$E38,-($D38*(1-$E38))/$G38*(DZ$4&gt;=$F38)*(DZ$4&lt;=($F38+$G38-1)))</f>
        <v/>
      </c>
      <c r="EA95" s="24">
        <f>IF(EA$4=0,-$D38*$E38,-($D38*(1-$E38))/$G38*(EA$4&gt;=$F38)*(EA$4&lt;=($F38+$G38-1)))</f>
        <v/>
      </c>
      <c r="EB95" s="24">
        <f>IF(EB$4=0,-$D38*$E38,-($D38*(1-$E38))/$G38*(EB$4&gt;=$F38)*(EB$4&lt;=($F38+$G38-1)))</f>
        <v/>
      </c>
      <c r="EC95" s="24">
        <f>IF(EC$4=0,-$D38*$E38,-($D38*(1-$E38))/$G38*(EC$4&gt;=$F38)*(EC$4&lt;=($F38+$G38-1)))</f>
        <v/>
      </c>
      <c r="ED95" s="24">
        <f>IF(ED$4=0,-$D38*$E38,-($D38*(1-$E38))/$G38*(ED$4&gt;=$F38)*(ED$4&lt;=($F38+$G38-1)))</f>
        <v/>
      </c>
      <c r="EE95" s="24">
        <f>IF(EE$4=0,-$D38*$E38,-($D38*(1-$E38))/$G38*(EE$4&gt;=$F38)*(EE$4&lt;=($F38+$G38-1)))</f>
        <v/>
      </c>
      <c r="EF95" s="24">
        <f>IF(EF$4=0,-$D38*$E38,-($D38*(1-$E38))/$G38*(EF$4&gt;=$F38)*(EF$4&lt;=($F38+$G38-1)))</f>
        <v/>
      </c>
      <c r="EG95" s="24">
        <f>IF(EG$4=0,-$D38*$E38,-($D38*(1-$E38))/$G38*(EG$4&gt;=$F38)*(EG$4&lt;=($F38+$G38-1)))</f>
        <v/>
      </c>
      <c r="EH95" s="24">
        <f>IF(EH$4=0,-$D38*$E38,-($D38*(1-$E38))/$G38*(EH$4&gt;=$F38)*(EH$4&lt;=($F38+$G38-1)))</f>
        <v/>
      </c>
      <c r="EI95" s="24">
        <f>IF(EI$4=0,-$D38*$E38,-($D38*(1-$E38))/$G38*(EI$4&gt;=$F38)*(EI$4&lt;=($F38+$G38-1)))</f>
        <v/>
      </c>
      <c r="EJ95" s="24">
        <f>IF(EJ$4=0,-$D38*$E38,-($D38*(1-$E38))/$G38*(EJ$4&gt;=$F38)*(EJ$4&lt;=($F38+$G38-1)))</f>
        <v/>
      </c>
      <c r="EK95" s="24">
        <f>IF(EK$4=0,-$D38*$E38,-($D38*(1-$E38))/$G38*(EK$4&gt;=$F38)*(EK$4&lt;=($F38+$G38-1)))</f>
        <v/>
      </c>
      <c r="EL95" s="24">
        <f>IF(EL$4=0,-$D38*$E38,-($D38*(1-$E38))/$G38*(EL$4&gt;=$F38)*(EL$4&lt;=($F38+$G38-1)))</f>
        <v/>
      </c>
      <c r="EM95" s="24">
        <f>IF(EM$4=0,-$D38*$E38,-($D38*(1-$E38))/$G38*(EM$4&gt;=$F38)*(EM$4&lt;=($F38+$G38-1)))</f>
        <v/>
      </c>
      <c r="EN95" s="24">
        <f>IF(EN$4=0,-$D38*$E38,-($D38*(1-$E38))/$G38*(EN$4&gt;=$F38)*(EN$4&lt;=($F38+$G38-1)))</f>
        <v/>
      </c>
      <c r="EO95" s="24">
        <f>IF(EO$4=0,-$D38*$E38,-($D38*(1-$E38))/$G38*(EO$4&gt;=$F38)*(EO$4&lt;=($F38+$G38-1)))</f>
        <v/>
      </c>
      <c r="EP95" s="24">
        <f>IF(EP$4=0,-$D38*$E38,-($D38*(1-$E38))/$G38*(EP$4&gt;=$F38)*(EP$4&lt;=($F38+$G38-1)))</f>
        <v/>
      </c>
      <c r="EQ95" s="24">
        <f>IF(EQ$4=0,-$D38*$E38,-($D38*(1-$E38))/$G38*(EQ$4&gt;=$F38)*(EQ$4&lt;=($F38+$G38-1)))</f>
        <v/>
      </c>
      <c r="ER95" s="24">
        <f>IF(ER$4=0,-$D38*$E38,-($D38*(1-$E38))/$G38*(ER$4&gt;=$F38)*(ER$4&lt;=($F38+$G38-1)))</f>
        <v/>
      </c>
      <c r="ES95" s="24">
        <f>IF(ES$4=0,-$D38*$E38,-($D38*(1-$E38))/$G38*(ES$4&gt;=$F38)*(ES$4&lt;=($F38+$G38-1)))</f>
        <v/>
      </c>
      <c r="ET95" s="24">
        <f>IF(ET$4=0,-$D38*$E38,-($D38*(1-$E38))/$G38*(ET$4&gt;=$F38)*(ET$4&lt;=($F38+$G38-1)))</f>
        <v/>
      </c>
      <c r="EU95" s="24">
        <f>IF(EU$4=0,-$D38*$E38,-($D38*(1-$E38))/$G38*(EU$4&gt;=$F38)*(EU$4&lt;=($F38+$G38-1)))</f>
        <v/>
      </c>
      <c r="EV95" s="24">
        <f>IF(EV$4=0,-$D38*$E38,-($D38*(1-$E38))/$G38*(EV$4&gt;=$F38)*(EV$4&lt;=($F38+$G38-1)))</f>
        <v/>
      </c>
      <c r="EW95" s="24">
        <f>IF(EW$4=0,-$D38*$E38,-($D38*(1-$E38))/$G38*(EW$4&gt;=$F38)*(EW$4&lt;=($F38+$G38-1)))</f>
        <v/>
      </c>
      <c r="EX95" s="24">
        <f>IF(EX$4=0,-$D38*$E38,-($D38*(1-$E38))/$G38*(EX$4&gt;=$F38)*(EX$4&lt;=($F38+$G38-1)))</f>
        <v/>
      </c>
      <c r="EY95" s="24">
        <f>IF(EY$4=0,-$D38*$E38,-($D38*(1-$E38))/$G38*(EY$4&gt;=$F38)*(EY$4&lt;=($F38+$G38-1)))</f>
        <v/>
      </c>
      <c r="EZ95" s="24">
        <f>IF(EZ$4=0,-$D38*$E38,-($D38*(1-$E38))/$G38*(EZ$4&gt;=$F38)*(EZ$4&lt;=($F38+$G38-1)))</f>
        <v/>
      </c>
      <c r="FA95" s="24">
        <f>IF(FA$4=0,-$D38*$E38,-($D38*(1-$E38))/$G38*(FA$4&gt;=$F38)*(FA$4&lt;=($F38+$G38-1)))</f>
        <v/>
      </c>
      <c r="FB95" s="24">
        <f>IF(FB$4=0,-$D38*$E38,-($D38*(1-$E38))/$G38*(FB$4&gt;=$F38)*(FB$4&lt;=($F38+$G38-1)))</f>
        <v/>
      </c>
    </row>
    <row r="96">
      <c r="B96" s="35" t="n"/>
      <c r="C96" s="22" t="n"/>
      <c r="D96" s="22" t="inlineStr">
        <is>
          <t>Current</t>
        </is>
      </c>
      <c r="E96" s="22" t="inlineStr">
        <is>
          <t>Next Buyer</t>
        </is>
      </c>
      <c r="F96" s="59" t="inlineStr">
        <is>
          <t>Note</t>
        </is>
      </c>
      <c r="G96" s="36" t="n"/>
      <c r="I96" s="9" t="inlineStr">
        <is>
          <t>Other Cost</t>
        </is>
      </c>
      <c r="L96" s="24">
        <f>SUMIF($Z$4:$FB$4,"&lt;="&amp;$G$18,$Z96:$FB96)</f>
        <v/>
      </c>
      <c r="N96" s="24">
        <f>SUMIF($Z$3:$FB$3,N$7,$Z96:$FB96)</f>
        <v/>
      </c>
      <c r="O96" s="24">
        <f>SUMIF($Z$3:$FB$3,O$7,$Z96:$FB96)</f>
        <v/>
      </c>
      <c r="P96" s="24">
        <f>SUMIF($Z$3:$FB$3,P$7,$Z96:$FB96)</f>
        <v/>
      </c>
      <c r="Q96" s="24">
        <f>SUMIF($Z$3:$FB$3,Q$7,$Z96:$FB96)</f>
        <v/>
      </c>
      <c r="R96" s="24">
        <f>SUMIF($Z$3:$FB$3,R$7,$Z96:$FB96)</f>
        <v/>
      </c>
      <c r="S96" s="24">
        <f>SUMIF($Z$3:$FB$3,S$7,$Z96:$FB96)</f>
        <v/>
      </c>
      <c r="T96" s="24">
        <f>SUMIF($Z$3:$FB$3,T$7,$Z96:$FB96)</f>
        <v/>
      </c>
      <c r="U96" s="24">
        <f>SUMIF($Z$3:$FB$3,U$7,$Z96:$FB96)</f>
        <v/>
      </c>
      <c r="V96" s="24">
        <f>SUMIF($Z$3:$FB$3,V$7,$Z96:$FB96)</f>
        <v/>
      </c>
      <c r="W96" s="24">
        <f>SUMIF($Z$3:$FB$3,W$7,$Z96:$FB96)</f>
        <v/>
      </c>
      <c r="X96" s="24">
        <f>SUMIF($Z$3:$FB$3,X$7,$Z96:$FB96)</f>
        <v/>
      </c>
      <c r="Z96" s="24">
        <f>IF(Z$4=0,-$D39*$E39,-($D39*(1-$E39))/$G39*(Z$4&gt;=$F39)*(Z$4&lt;=($F39+$G39-1)))</f>
        <v/>
      </c>
      <c r="AA96" s="24">
        <f>IF(AA$4=0,-$D39*$E39,-($D39*(1-$E39))/$G39*(AA$4&gt;=$F39)*(AA$4&lt;=($F39+$G39-1)))</f>
        <v/>
      </c>
      <c r="AB96" s="24">
        <f>IF(AB$4=0,-$D39*$E39,-($D39*(1-$E39))/$G39*(AB$4&gt;=$F39)*(AB$4&lt;=($F39+$G39-1)))</f>
        <v/>
      </c>
      <c r="AC96" s="24">
        <f>IF(AC$4=0,-$D39*$E39,-($D39*(1-$E39))/$G39*(AC$4&gt;=$F39)*(AC$4&lt;=($F39+$G39-1)))</f>
        <v/>
      </c>
      <c r="AD96" s="24">
        <f>IF(AD$4=0,-$D39*$E39,-($D39*(1-$E39))/$G39*(AD$4&gt;=$F39)*(AD$4&lt;=($F39+$G39-1)))</f>
        <v/>
      </c>
      <c r="AE96" s="24">
        <f>IF(AE$4=0,-$D39*$E39,-($D39*(1-$E39))/$G39*(AE$4&gt;=$F39)*(AE$4&lt;=($F39+$G39-1)))</f>
        <v/>
      </c>
      <c r="AF96" s="24">
        <f>IF(AF$4=0,-$D39*$E39,-($D39*(1-$E39))/$G39*(AF$4&gt;=$F39)*(AF$4&lt;=($F39+$G39-1)))</f>
        <v/>
      </c>
      <c r="AG96" s="24">
        <f>IF(AG$4=0,-$D39*$E39,-($D39*(1-$E39))/$G39*(AG$4&gt;=$F39)*(AG$4&lt;=($F39+$G39-1)))</f>
        <v/>
      </c>
      <c r="AH96" s="24">
        <f>IF(AH$4=0,-$D39*$E39,-($D39*(1-$E39))/$G39*(AH$4&gt;=$F39)*(AH$4&lt;=($F39+$G39-1)))</f>
        <v/>
      </c>
      <c r="AI96" s="24">
        <f>IF(AI$4=0,-$D39*$E39,-($D39*(1-$E39))/$G39*(AI$4&gt;=$F39)*(AI$4&lt;=($F39+$G39-1)))</f>
        <v/>
      </c>
      <c r="AJ96" s="24">
        <f>IF(AJ$4=0,-$D39*$E39,-($D39*(1-$E39))/$G39*(AJ$4&gt;=$F39)*(AJ$4&lt;=($F39+$G39-1)))</f>
        <v/>
      </c>
      <c r="AK96" s="24">
        <f>IF(AK$4=0,-$D39*$E39,-($D39*(1-$E39))/$G39*(AK$4&gt;=$F39)*(AK$4&lt;=($F39+$G39-1)))</f>
        <v/>
      </c>
      <c r="AL96" s="24">
        <f>IF(AL$4=0,-$D39*$E39,-($D39*(1-$E39))/$G39*(AL$4&gt;=$F39)*(AL$4&lt;=($F39+$G39-1)))</f>
        <v/>
      </c>
      <c r="AM96" s="24">
        <f>IF(AM$4=0,-$D39*$E39,-($D39*(1-$E39))/$G39*(AM$4&gt;=$F39)*(AM$4&lt;=($F39+$G39-1)))</f>
        <v/>
      </c>
      <c r="AN96" s="24">
        <f>IF(AN$4=0,-$D39*$E39,-($D39*(1-$E39))/$G39*(AN$4&gt;=$F39)*(AN$4&lt;=($F39+$G39-1)))</f>
        <v/>
      </c>
      <c r="AO96" s="24">
        <f>IF(AO$4=0,-$D39*$E39,-($D39*(1-$E39))/$G39*(AO$4&gt;=$F39)*(AO$4&lt;=($F39+$G39-1)))</f>
        <v/>
      </c>
      <c r="AP96" s="24">
        <f>IF(AP$4=0,-$D39*$E39,-($D39*(1-$E39))/$G39*(AP$4&gt;=$F39)*(AP$4&lt;=($F39+$G39-1)))</f>
        <v/>
      </c>
      <c r="AQ96" s="24">
        <f>IF(AQ$4=0,-$D39*$E39,-($D39*(1-$E39))/$G39*(AQ$4&gt;=$F39)*(AQ$4&lt;=($F39+$G39-1)))</f>
        <v/>
      </c>
      <c r="AR96" s="24">
        <f>IF(AR$4=0,-$D39*$E39,-($D39*(1-$E39))/$G39*(AR$4&gt;=$F39)*(AR$4&lt;=($F39+$G39-1)))</f>
        <v/>
      </c>
      <c r="AS96" s="24">
        <f>IF(AS$4=0,-$D39*$E39,-($D39*(1-$E39))/$G39*(AS$4&gt;=$F39)*(AS$4&lt;=($F39+$G39-1)))</f>
        <v/>
      </c>
      <c r="AT96" s="24">
        <f>IF(AT$4=0,-$D39*$E39,-($D39*(1-$E39))/$G39*(AT$4&gt;=$F39)*(AT$4&lt;=($F39+$G39-1)))</f>
        <v/>
      </c>
      <c r="AU96" s="24">
        <f>IF(AU$4=0,-$D39*$E39,-($D39*(1-$E39))/$G39*(AU$4&gt;=$F39)*(AU$4&lt;=($F39+$G39-1)))</f>
        <v/>
      </c>
      <c r="AV96" s="24">
        <f>IF(AV$4=0,-$D39*$E39,-($D39*(1-$E39))/$G39*(AV$4&gt;=$F39)*(AV$4&lt;=($F39+$G39-1)))</f>
        <v/>
      </c>
      <c r="AW96" s="24">
        <f>IF(AW$4=0,-$D39*$E39,-($D39*(1-$E39))/$G39*(AW$4&gt;=$F39)*(AW$4&lt;=($F39+$G39-1)))</f>
        <v/>
      </c>
      <c r="AX96" s="24">
        <f>IF(AX$4=0,-$D39*$E39,-($D39*(1-$E39))/$G39*(AX$4&gt;=$F39)*(AX$4&lt;=($F39+$G39-1)))</f>
        <v/>
      </c>
      <c r="AY96" s="24">
        <f>IF(AY$4=0,-$D39*$E39,-($D39*(1-$E39))/$G39*(AY$4&gt;=$F39)*(AY$4&lt;=($F39+$G39-1)))</f>
        <v/>
      </c>
      <c r="AZ96" s="24">
        <f>IF(AZ$4=0,-$D39*$E39,-($D39*(1-$E39))/$G39*(AZ$4&gt;=$F39)*(AZ$4&lt;=($F39+$G39-1)))</f>
        <v/>
      </c>
      <c r="BA96" s="24">
        <f>IF(BA$4=0,-$D39*$E39,-($D39*(1-$E39))/$G39*(BA$4&gt;=$F39)*(BA$4&lt;=($F39+$G39-1)))</f>
        <v/>
      </c>
      <c r="BB96" s="24">
        <f>IF(BB$4=0,-$D39*$E39,-($D39*(1-$E39))/$G39*(BB$4&gt;=$F39)*(BB$4&lt;=($F39+$G39-1)))</f>
        <v/>
      </c>
      <c r="BC96" s="24">
        <f>IF(BC$4=0,-$D39*$E39,-($D39*(1-$E39))/$G39*(BC$4&gt;=$F39)*(BC$4&lt;=($F39+$G39-1)))</f>
        <v/>
      </c>
      <c r="BD96" s="24">
        <f>IF(BD$4=0,-$D39*$E39,-($D39*(1-$E39))/$G39*(BD$4&gt;=$F39)*(BD$4&lt;=($F39+$G39-1)))</f>
        <v/>
      </c>
      <c r="BE96" s="24">
        <f>IF(BE$4=0,-$D39*$E39,-($D39*(1-$E39))/$G39*(BE$4&gt;=$F39)*(BE$4&lt;=($F39+$G39-1)))</f>
        <v/>
      </c>
      <c r="BF96" s="24">
        <f>IF(BF$4=0,-$D39*$E39,-($D39*(1-$E39))/$G39*(BF$4&gt;=$F39)*(BF$4&lt;=($F39+$G39-1)))</f>
        <v/>
      </c>
      <c r="BG96" s="24">
        <f>IF(BG$4=0,-$D39*$E39,-($D39*(1-$E39))/$G39*(BG$4&gt;=$F39)*(BG$4&lt;=($F39+$G39-1)))</f>
        <v/>
      </c>
      <c r="BH96" s="24">
        <f>IF(BH$4=0,-$D39*$E39,-($D39*(1-$E39))/$G39*(BH$4&gt;=$F39)*(BH$4&lt;=($F39+$G39-1)))</f>
        <v/>
      </c>
      <c r="BI96" s="24">
        <f>IF(BI$4=0,-$D39*$E39,-($D39*(1-$E39))/$G39*(BI$4&gt;=$F39)*(BI$4&lt;=($F39+$G39-1)))</f>
        <v/>
      </c>
      <c r="BJ96" s="24">
        <f>IF(BJ$4=0,-$D39*$E39,-($D39*(1-$E39))/$G39*(BJ$4&gt;=$F39)*(BJ$4&lt;=($F39+$G39-1)))</f>
        <v/>
      </c>
      <c r="BK96" s="24">
        <f>IF(BK$4=0,-$D39*$E39,-($D39*(1-$E39))/$G39*(BK$4&gt;=$F39)*(BK$4&lt;=($F39+$G39-1)))</f>
        <v/>
      </c>
      <c r="BL96" s="24">
        <f>IF(BL$4=0,-$D39*$E39,-($D39*(1-$E39))/$G39*(BL$4&gt;=$F39)*(BL$4&lt;=($F39+$G39-1)))</f>
        <v/>
      </c>
      <c r="BM96" s="24">
        <f>IF(BM$4=0,-$D39*$E39,-($D39*(1-$E39))/$G39*(BM$4&gt;=$F39)*(BM$4&lt;=($F39+$G39-1)))</f>
        <v/>
      </c>
      <c r="BN96" s="24">
        <f>IF(BN$4=0,-$D39*$E39,-($D39*(1-$E39))/$G39*(BN$4&gt;=$F39)*(BN$4&lt;=($F39+$G39-1)))</f>
        <v/>
      </c>
      <c r="BO96" s="24">
        <f>IF(BO$4=0,-$D39*$E39,-($D39*(1-$E39))/$G39*(BO$4&gt;=$F39)*(BO$4&lt;=($F39+$G39-1)))</f>
        <v/>
      </c>
      <c r="BP96" s="24">
        <f>IF(BP$4=0,-$D39*$E39,-($D39*(1-$E39))/$G39*(BP$4&gt;=$F39)*(BP$4&lt;=($F39+$G39-1)))</f>
        <v/>
      </c>
      <c r="BQ96" s="24">
        <f>IF(BQ$4=0,-$D39*$E39,-($D39*(1-$E39))/$G39*(BQ$4&gt;=$F39)*(BQ$4&lt;=($F39+$G39-1)))</f>
        <v/>
      </c>
      <c r="BR96" s="24">
        <f>IF(BR$4=0,-$D39*$E39,-($D39*(1-$E39))/$G39*(BR$4&gt;=$F39)*(BR$4&lt;=($F39+$G39-1)))</f>
        <v/>
      </c>
      <c r="BS96" s="24">
        <f>IF(BS$4=0,-$D39*$E39,-($D39*(1-$E39))/$G39*(BS$4&gt;=$F39)*(BS$4&lt;=($F39+$G39-1)))</f>
        <v/>
      </c>
      <c r="BT96" s="24">
        <f>IF(BT$4=0,-$D39*$E39,-($D39*(1-$E39))/$G39*(BT$4&gt;=$F39)*(BT$4&lt;=($F39+$G39-1)))</f>
        <v/>
      </c>
      <c r="BU96" s="24">
        <f>IF(BU$4=0,-$D39*$E39,-($D39*(1-$E39))/$G39*(BU$4&gt;=$F39)*(BU$4&lt;=($F39+$G39-1)))</f>
        <v/>
      </c>
      <c r="BV96" s="24">
        <f>IF(BV$4=0,-$D39*$E39,-($D39*(1-$E39))/$G39*(BV$4&gt;=$F39)*(BV$4&lt;=($F39+$G39-1)))</f>
        <v/>
      </c>
      <c r="BW96" s="24">
        <f>IF(BW$4=0,-$D39*$E39,-($D39*(1-$E39))/$G39*(BW$4&gt;=$F39)*(BW$4&lt;=($F39+$G39-1)))</f>
        <v/>
      </c>
      <c r="BX96" s="24">
        <f>IF(BX$4=0,-$D39*$E39,-($D39*(1-$E39))/$G39*(BX$4&gt;=$F39)*(BX$4&lt;=($F39+$G39-1)))</f>
        <v/>
      </c>
      <c r="BY96" s="24">
        <f>IF(BY$4=0,-$D39*$E39,-($D39*(1-$E39))/$G39*(BY$4&gt;=$F39)*(BY$4&lt;=($F39+$G39-1)))</f>
        <v/>
      </c>
      <c r="BZ96" s="24">
        <f>IF(BZ$4=0,-$D39*$E39,-($D39*(1-$E39))/$G39*(BZ$4&gt;=$F39)*(BZ$4&lt;=($F39+$G39-1)))</f>
        <v/>
      </c>
      <c r="CA96" s="24">
        <f>IF(CA$4=0,-$D39*$E39,-($D39*(1-$E39))/$G39*(CA$4&gt;=$F39)*(CA$4&lt;=($F39+$G39-1)))</f>
        <v/>
      </c>
      <c r="CB96" s="24">
        <f>IF(CB$4=0,-$D39*$E39,-($D39*(1-$E39))/$G39*(CB$4&gt;=$F39)*(CB$4&lt;=($F39+$G39-1)))</f>
        <v/>
      </c>
      <c r="CC96" s="24">
        <f>IF(CC$4=0,-$D39*$E39,-($D39*(1-$E39))/$G39*(CC$4&gt;=$F39)*(CC$4&lt;=($F39+$G39-1)))</f>
        <v/>
      </c>
      <c r="CD96" s="24">
        <f>IF(CD$4=0,-$D39*$E39,-($D39*(1-$E39))/$G39*(CD$4&gt;=$F39)*(CD$4&lt;=($F39+$G39-1)))</f>
        <v/>
      </c>
      <c r="CE96" s="24">
        <f>IF(CE$4=0,-$D39*$E39,-($D39*(1-$E39))/$G39*(CE$4&gt;=$F39)*(CE$4&lt;=($F39+$G39-1)))</f>
        <v/>
      </c>
      <c r="CF96" s="24">
        <f>IF(CF$4=0,-$D39*$E39,-($D39*(1-$E39))/$G39*(CF$4&gt;=$F39)*(CF$4&lt;=($F39+$G39-1)))</f>
        <v/>
      </c>
      <c r="CG96" s="24">
        <f>IF(CG$4=0,-$D39*$E39,-($D39*(1-$E39))/$G39*(CG$4&gt;=$F39)*(CG$4&lt;=($F39+$G39-1)))</f>
        <v/>
      </c>
      <c r="CH96" s="24">
        <f>IF(CH$4=0,-$D39*$E39,-($D39*(1-$E39))/$G39*(CH$4&gt;=$F39)*(CH$4&lt;=($F39+$G39-1)))</f>
        <v/>
      </c>
      <c r="CI96" s="24">
        <f>IF(CI$4=0,-$D39*$E39,-($D39*(1-$E39))/$G39*(CI$4&gt;=$F39)*(CI$4&lt;=($F39+$G39-1)))</f>
        <v/>
      </c>
      <c r="CJ96" s="24">
        <f>IF(CJ$4=0,-$D39*$E39,-($D39*(1-$E39))/$G39*(CJ$4&gt;=$F39)*(CJ$4&lt;=($F39+$G39-1)))</f>
        <v/>
      </c>
      <c r="CK96" s="24">
        <f>IF(CK$4=0,-$D39*$E39,-($D39*(1-$E39))/$G39*(CK$4&gt;=$F39)*(CK$4&lt;=($F39+$G39-1)))</f>
        <v/>
      </c>
      <c r="CL96" s="24">
        <f>IF(CL$4=0,-$D39*$E39,-($D39*(1-$E39))/$G39*(CL$4&gt;=$F39)*(CL$4&lt;=($F39+$G39-1)))</f>
        <v/>
      </c>
      <c r="CM96" s="24">
        <f>IF(CM$4=0,-$D39*$E39,-($D39*(1-$E39))/$G39*(CM$4&gt;=$F39)*(CM$4&lt;=($F39+$G39-1)))</f>
        <v/>
      </c>
      <c r="CN96" s="24">
        <f>IF(CN$4=0,-$D39*$E39,-($D39*(1-$E39))/$G39*(CN$4&gt;=$F39)*(CN$4&lt;=($F39+$G39-1)))</f>
        <v/>
      </c>
      <c r="CO96" s="24">
        <f>IF(CO$4=0,-$D39*$E39,-($D39*(1-$E39))/$G39*(CO$4&gt;=$F39)*(CO$4&lt;=($F39+$G39-1)))</f>
        <v/>
      </c>
      <c r="CP96" s="24">
        <f>IF(CP$4=0,-$D39*$E39,-($D39*(1-$E39))/$G39*(CP$4&gt;=$F39)*(CP$4&lt;=($F39+$G39-1)))</f>
        <v/>
      </c>
      <c r="CQ96" s="24">
        <f>IF(CQ$4=0,-$D39*$E39,-($D39*(1-$E39))/$G39*(CQ$4&gt;=$F39)*(CQ$4&lt;=($F39+$G39-1)))</f>
        <v/>
      </c>
      <c r="CR96" s="24">
        <f>IF(CR$4=0,-$D39*$E39,-($D39*(1-$E39))/$G39*(CR$4&gt;=$F39)*(CR$4&lt;=($F39+$G39-1)))</f>
        <v/>
      </c>
      <c r="CS96" s="24">
        <f>IF(CS$4=0,-$D39*$E39,-($D39*(1-$E39))/$G39*(CS$4&gt;=$F39)*(CS$4&lt;=($F39+$G39-1)))</f>
        <v/>
      </c>
      <c r="CT96" s="24">
        <f>IF(CT$4=0,-$D39*$E39,-($D39*(1-$E39))/$G39*(CT$4&gt;=$F39)*(CT$4&lt;=($F39+$G39-1)))</f>
        <v/>
      </c>
      <c r="CU96" s="24">
        <f>IF(CU$4=0,-$D39*$E39,-($D39*(1-$E39))/$G39*(CU$4&gt;=$F39)*(CU$4&lt;=($F39+$G39-1)))</f>
        <v/>
      </c>
      <c r="CV96" s="24">
        <f>IF(CV$4=0,-$D39*$E39,-($D39*(1-$E39))/$G39*(CV$4&gt;=$F39)*(CV$4&lt;=($F39+$G39-1)))</f>
        <v/>
      </c>
      <c r="CW96" s="24">
        <f>IF(CW$4=0,-$D39*$E39,-($D39*(1-$E39))/$G39*(CW$4&gt;=$F39)*(CW$4&lt;=($F39+$G39-1)))</f>
        <v/>
      </c>
      <c r="CX96" s="24">
        <f>IF(CX$4=0,-$D39*$E39,-($D39*(1-$E39))/$G39*(CX$4&gt;=$F39)*(CX$4&lt;=($F39+$G39-1)))</f>
        <v/>
      </c>
      <c r="CY96" s="24">
        <f>IF(CY$4=0,-$D39*$E39,-($D39*(1-$E39))/$G39*(CY$4&gt;=$F39)*(CY$4&lt;=($F39+$G39-1)))</f>
        <v/>
      </c>
      <c r="CZ96" s="24">
        <f>IF(CZ$4=0,-$D39*$E39,-($D39*(1-$E39))/$G39*(CZ$4&gt;=$F39)*(CZ$4&lt;=($F39+$G39-1)))</f>
        <v/>
      </c>
      <c r="DA96" s="24">
        <f>IF(DA$4=0,-$D39*$E39,-($D39*(1-$E39))/$G39*(DA$4&gt;=$F39)*(DA$4&lt;=($F39+$G39-1)))</f>
        <v/>
      </c>
      <c r="DB96" s="24">
        <f>IF(DB$4=0,-$D39*$E39,-($D39*(1-$E39))/$G39*(DB$4&gt;=$F39)*(DB$4&lt;=($F39+$G39-1)))</f>
        <v/>
      </c>
      <c r="DC96" s="24">
        <f>IF(DC$4=0,-$D39*$E39,-($D39*(1-$E39))/$G39*(DC$4&gt;=$F39)*(DC$4&lt;=($F39+$G39-1)))</f>
        <v/>
      </c>
      <c r="DD96" s="24">
        <f>IF(DD$4=0,-$D39*$E39,-($D39*(1-$E39))/$G39*(DD$4&gt;=$F39)*(DD$4&lt;=($F39+$G39-1)))</f>
        <v/>
      </c>
      <c r="DE96" s="24">
        <f>IF(DE$4=0,-$D39*$E39,-($D39*(1-$E39))/$G39*(DE$4&gt;=$F39)*(DE$4&lt;=($F39+$G39-1)))</f>
        <v/>
      </c>
      <c r="DF96" s="24">
        <f>IF(DF$4=0,-$D39*$E39,-($D39*(1-$E39))/$G39*(DF$4&gt;=$F39)*(DF$4&lt;=($F39+$G39-1)))</f>
        <v/>
      </c>
      <c r="DG96" s="24">
        <f>IF(DG$4=0,-$D39*$E39,-($D39*(1-$E39))/$G39*(DG$4&gt;=$F39)*(DG$4&lt;=($F39+$G39-1)))</f>
        <v/>
      </c>
      <c r="DH96" s="24">
        <f>IF(DH$4=0,-$D39*$E39,-($D39*(1-$E39))/$G39*(DH$4&gt;=$F39)*(DH$4&lt;=($F39+$G39-1)))</f>
        <v/>
      </c>
      <c r="DI96" s="24">
        <f>IF(DI$4=0,-$D39*$E39,-($D39*(1-$E39))/$G39*(DI$4&gt;=$F39)*(DI$4&lt;=($F39+$G39-1)))</f>
        <v/>
      </c>
      <c r="DJ96" s="24">
        <f>IF(DJ$4=0,-$D39*$E39,-($D39*(1-$E39))/$G39*(DJ$4&gt;=$F39)*(DJ$4&lt;=($F39+$G39-1)))</f>
        <v/>
      </c>
      <c r="DK96" s="24">
        <f>IF(DK$4=0,-$D39*$E39,-($D39*(1-$E39))/$G39*(DK$4&gt;=$F39)*(DK$4&lt;=($F39+$G39-1)))</f>
        <v/>
      </c>
      <c r="DL96" s="24">
        <f>IF(DL$4=0,-$D39*$E39,-($D39*(1-$E39))/$G39*(DL$4&gt;=$F39)*(DL$4&lt;=($F39+$G39-1)))</f>
        <v/>
      </c>
      <c r="DM96" s="24">
        <f>IF(DM$4=0,-$D39*$E39,-($D39*(1-$E39))/$G39*(DM$4&gt;=$F39)*(DM$4&lt;=($F39+$G39-1)))</f>
        <v/>
      </c>
      <c r="DN96" s="24">
        <f>IF(DN$4=0,-$D39*$E39,-($D39*(1-$E39))/$G39*(DN$4&gt;=$F39)*(DN$4&lt;=($F39+$G39-1)))</f>
        <v/>
      </c>
      <c r="DO96" s="24">
        <f>IF(DO$4=0,-$D39*$E39,-($D39*(1-$E39))/$G39*(DO$4&gt;=$F39)*(DO$4&lt;=($F39+$G39-1)))</f>
        <v/>
      </c>
      <c r="DP96" s="24">
        <f>IF(DP$4=0,-$D39*$E39,-($D39*(1-$E39))/$G39*(DP$4&gt;=$F39)*(DP$4&lt;=($F39+$G39-1)))</f>
        <v/>
      </c>
      <c r="DQ96" s="24">
        <f>IF(DQ$4=0,-$D39*$E39,-($D39*(1-$E39))/$G39*(DQ$4&gt;=$F39)*(DQ$4&lt;=($F39+$G39-1)))</f>
        <v/>
      </c>
      <c r="DR96" s="24">
        <f>IF(DR$4=0,-$D39*$E39,-($D39*(1-$E39))/$G39*(DR$4&gt;=$F39)*(DR$4&lt;=($F39+$G39-1)))</f>
        <v/>
      </c>
      <c r="DS96" s="24">
        <f>IF(DS$4=0,-$D39*$E39,-($D39*(1-$E39))/$G39*(DS$4&gt;=$F39)*(DS$4&lt;=($F39+$G39-1)))</f>
        <v/>
      </c>
      <c r="DT96" s="24">
        <f>IF(DT$4=0,-$D39*$E39,-($D39*(1-$E39))/$G39*(DT$4&gt;=$F39)*(DT$4&lt;=($F39+$G39-1)))</f>
        <v/>
      </c>
      <c r="DU96" s="24">
        <f>IF(DU$4=0,-$D39*$E39,-($D39*(1-$E39))/$G39*(DU$4&gt;=$F39)*(DU$4&lt;=($F39+$G39-1)))</f>
        <v/>
      </c>
      <c r="DV96" s="24">
        <f>IF(DV$4=0,-$D39*$E39,-($D39*(1-$E39))/$G39*(DV$4&gt;=$F39)*(DV$4&lt;=($F39+$G39-1)))</f>
        <v/>
      </c>
      <c r="DW96" s="24">
        <f>IF(DW$4=0,-$D39*$E39,-($D39*(1-$E39))/$G39*(DW$4&gt;=$F39)*(DW$4&lt;=($F39+$G39-1)))</f>
        <v/>
      </c>
      <c r="DX96" s="24">
        <f>IF(DX$4=0,-$D39*$E39,-($D39*(1-$E39))/$G39*(DX$4&gt;=$F39)*(DX$4&lt;=($F39+$G39-1)))</f>
        <v/>
      </c>
      <c r="DY96" s="24">
        <f>IF(DY$4=0,-$D39*$E39,-($D39*(1-$E39))/$G39*(DY$4&gt;=$F39)*(DY$4&lt;=($F39+$G39-1)))</f>
        <v/>
      </c>
      <c r="DZ96" s="24">
        <f>IF(DZ$4=0,-$D39*$E39,-($D39*(1-$E39))/$G39*(DZ$4&gt;=$F39)*(DZ$4&lt;=($F39+$G39-1)))</f>
        <v/>
      </c>
      <c r="EA96" s="24">
        <f>IF(EA$4=0,-$D39*$E39,-($D39*(1-$E39))/$G39*(EA$4&gt;=$F39)*(EA$4&lt;=($F39+$G39-1)))</f>
        <v/>
      </c>
      <c r="EB96" s="24">
        <f>IF(EB$4=0,-$D39*$E39,-($D39*(1-$E39))/$G39*(EB$4&gt;=$F39)*(EB$4&lt;=($F39+$G39-1)))</f>
        <v/>
      </c>
      <c r="EC96" s="24">
        <f>IF(EC$4=0,-$D39*$E39,-($D39*(1-$E39))/$G39*(EC$4&gt;=$F39)*(EC$4&lt;=($F39+$G39-1)))</f>
        <v/>
      </c>
      <c r="ED96" s="24">
        <f>IF(ED$4=0,-$D39*$E39,-($D39*(1-$E39))/$G39*(ED$4&gt;=$F39)*(ED$4&lt;=($F39+$G39-1)))</f>
        <v/>
      </c>
      <c r="EE96" s="24">
        <f>IF(EE$4=0,-$D39*$E39,-($D39*(1-$E39))/$G39*(EE$4&gt;=$F39)*(EE$4&lt;=($F39+$G39-1)))</f>
        <v/>
      </c>
      <c r="EF96" s="24">
        <f>IF(EF$4=0,-$D39*$E39,-($D39*(1-$E39))/$G39*(EF$4&gt;=$F39)*(EF$4&lt;=($F39+$G39-1)))</f>
        <v/>
      </c>
      <c r="EG96" s="24">
        <f>IF(EG$4=0,-$D39*$E39,-($D39*(1-$E39))/$G39*(EG$4&gt;=$F39)*(EG$4&lt;=($F39+$G39-1)))</f>
        <v/>
      </c>
      <c r="EH96" s="24">
        <f>IF(EH$4=0,-$D39*$E39,-($D39*(1-$E39))/$G39*(EH$4&gt;=$F39)*(EH$4&lt;=($F39+$G39-1)))</f>
        <v/>
      </c>
      <c r="EI96" s="24">
        <f>IF(EI$4=0,-$D39*$E39,-($D39*(1-$E39))/$G39*(EI$4&gt;=$F39)*(EI$4&lt;=($F39+$G39-1)))</f>
        <v/>
      </c>
      <c r="EJ96" s="24">
        <f>IF(EJ$4=0,-$D39*$E39,-($D39*(1-$E39))/$G39*(EJ$4&gt;=$F39)*(EJ$4&lt;=($F39+$G39-1)))</f>
        <v/>
      </c>
      <c r="EK96" s="24">
        <f>IF(EK$4=0,-$D39*$E39,-($D39*(1-$E39))/$G39*(EK$4&gt;=$F39)*(EK$4&lt;=($F39+$G39-1)))</f>
        <v/>
      </c>
      <c r="EL96" s="24">
        <f>IF(EL$4=0,-$D39*$E39,-($D39*(1-$E39))/$G39*(EL$4&gt;=$F39)*(EL$4&lt;=($F39+$G39-1)))</f>
        <v/>
      </c>
      <c r="EM96" s="24">
        <f>IF(EM$4=0,-$D39*$E39,-($D39*(1-$E39))/$G39*(EM$4&gt;=$F39)*(EM$4&lt;=($F39+$G39-1)))</f>
        <v/>
      </c>
      <c r="EN96" s="24">
        <f>IF(EN$4=0,-$D39*$E39,-($D39*(1-$E39))/$G39*(EN$4&gt;=$F39)*(EN$4&lt;=($F39+$G39-1)))</f>
        <v/>
      </c>
      <c r="EO96" s="24">
        <f>IF(EO$4=0,-$D39*$E39,-($D39*(1-$E39))/$G39*(EO$4&gt;=$F39)*(EO$4&lt;=($F39+$G39-1)))</f>
        <v/>
      </c>
      <c r="EP96" s="24">
        <f>IF(EP$4=0,-$D39*$E39,-($D39*(1-$E39))/$G39*(EP$4&gt;=$F39)*(EP$4&lt;=($F39+$G39-1)))</f>
        <v/>
      </c>
      <c r="EQ96" s="24">
        <f>IF(EQ$4=0,-$D39*$E39,-($D39*(1-$E39))/$G39*(EQ$4&gt;=$F39)*(EQ$4&lt;=($F39+$G39-1)))</f>
        <v/>
      </c>
      <c r="ER96" s="24">
        <f>IF(ER$4=0,-$D39*$E39,-($D39*(1-$E39))/$G39*(ER$4&gt;=$F39)*(ER$4&lt;=($F39+$G39-1)))</f>
        <v/>
      </c>
      <c r="ES96" s="24">
        <f>IF(ES$4=0,-$D39*$E39,-($D39*(1-$E39))/$G39*(ES$4&gt;=$F39)*(ES$4&lt;=($F39+$G39-1)))</f>
        <v/>
      </c>
      <c r="ET96" s="24">
        <f>IF(ET$4=0,-$D39*$E39,-($D39*(1-$E39))/$G39*(ET$4&gt;=$F39)*(ET$4&lt;=($F39+$G39-1)))</f>
        <v/>
      </c>
      <c r="EU96" s="24">
        <f>IF(EU$4=0,-$D39*$E39,-($D39*(1-$E39))/$G39*(EU$4&gt;=$F39)*(EU$4&lt;=($F39+$G39-1)))</f>
        <v/>
      </c>
      <c r="EV96" s="24">
        <f>IF(EV$4=0,-$D39*$E39,-($D39*(1-$E39))/$G39*(EV$4&gt;=$F39)*(EV$4&lt;=($F39+$G39-1)))</f>
        <v/>
      </c>
      <c r="EW96" s="24">
        <f>IF(EW$4=0,-$D39*$E39,-($D39*(1-$E39))/$G39*(EW$4&gt;=$F39)*(EW$4&lt;=($F39+$G39-1)))</f>
        <v/>
      </c>
      <c r="EX96" s="24">
        <f>IF(EX$4=0,-$D39*$E39,-($D39*(1-$E39))/$G39*(EX$4&gt;=$F39)*(EX$4&lt;=($F39+$G39-1)))</f>
        <v/>
      </c>
      <c r="EY96" s="24">
        <f>IF(EY$4=0,-$D39*$E39,-($D39*(1-$E39))/$G39*(EY$4&gt;=$F39)*(EY$4&lt;=($F39+$G39-1)))</f>
        <v/>
      </c>
      <c r="EZ96" s="24">
        <f>IF(EZ$4=0,-$D39*$E39,-($D39*(1-$E39))/$G39*(EZ$4&gt;=$F39)*(EZ$4&lt;=($F39+$G39-1)))</f>
        <v/>
      </c>
      <c r="FA96" s="24">
        <f>IF(FA$4=0,-$D39*$E39,-($D39*(1-$E39))/$G39*(FA$4&gt;=$F39)*(FA$4&lt;=($F39+$G39-1)))</f>
        <v/>
      </c>
      <c r="FB96" s="24">
        <f>IF(FB$4=0,-$D39*$E39,-($D39*(1-$E39))/$G39*(FB$4&gt;=$F39)*(FB$4&lt;=($F39+$G39-1)))</f>
        <v/>
      </c>
    </row>
    <row r="97" customFormat="1" s="46">
      <c r="A97" s="9" t="n"/>
      <c r="B97" s="11" t="inlineStr">
        <is>
          <t>Assessed Value</t>
        </is>
      </c>
      <c r="C97" s="9" t="n"/>
      <c r="D97" s="115">
        <f>Inputs!C49</f>
        <v/>
      </c>
      <c r="E97" s="115">
        <f>Inputs!C52</f>
        <v/>
      </c>
      <c r="F97" s="54" t="n"/>
      <c r="G97" s="9" t="n"/>
      <c r="H97" s="11" t="n"/>
      <c r="I97" s="120" t="inlineStr">
        <is>
          <t>Unlevered Cash Flow</t>
        </is>
      </c>
      <c r="J97" s="120" t="n"/>
      <c r="K97" s="13" t="n"/>
      <c r="L97" s="57">
        <f>SUMIF($Z$4:$FB$4,"&lt;="&amp;$G$18,$Z97:$FB97)</f>
        <v/>
      </c>
      <c r="M97" s="13" t="n"/>
      <c r="N97" s="57">
        <f>SUMIF($Z$3:$FB$3,N$7,$Z97:$FB97)</f>
        <v/>
      </c>
      <c r="O97" s="57">
        <f>SUMIF($Z$3:$FB$3,O$7,$Z97:$FB97)</f>
        <v/>
      </c>
      <c r="P97" s="57">
        <f>SUMIF($Z$3:$FB$3,P$7,$Z97:$FB97)</f>
        <v/>
      </c>
      <c r="Q97" s="57">
        <f>SUMIF($Z$3:$FB$3,Q$7,$Z97:$FB97)</f>
        <v/>
      </c>
      <c r="R97" s="57">
        <f>SUMIF($Z$3:$FB$3,R$7,$Z97:$FB97)</f>
        <v/>
      </c>
      <c r="S97" s="57">
        <f>SUMIF($Z$3:$FB$3,S$7,$Z97:$FB97)</f>
        <v/>
      </c>
      <c r="T97" s="57">
        <f>SUMIF($Z$3:$FB$3,T$7,$Z97:$FB97)</f>
        <v/>
      </c>
      <c r="U97" s="57">
        <f>SUMIF($Z$3:$FB$3,U$7,$Z97:$FB97)</f>
        <v/>
      </c>
      <c r="V97" s="57">
        <f>SUMIF($Z$3:$FB$3,V$7,$Z97:$FB97)</f>
        <v/>
      </c>
      <c r="W97" s="57">
        <f>SUMIF($Z$3:$FB$3,W$7,$Z97:$FB97)</f>
        <v/>
      </c>
      <c r="X97" s="57">
        <f>SUMIF($Z$3:$FB$3,X$7,$Z97:$FB97)</f>
        <v/>
      </c>
      <c r="Y97" s="13" t="n"/>
      <c r="Z97" s="57">
        <f>SUM(Z92:Z96)</f>
        <v/>
      </c>
      <c r="AA97" s="57">
        <f>SUM(AA92:AA96)</f>
        <v/>
      </c>
      <c r="AB97" s="57">
        <f>SUM(AB92:AB96)</f>
        <v/>
      </c>
      <c r="AC97" s="57">
        <f>SUM(AC92:AC96)</f>
        <v/>
      </c>
      <c r="AD97" s="57">
        <f>SUM(AD92:AD96)</f>
        <v/>
      </c>
      <c r="AE97" s="57">
        <f>SUM(AE92:AE96)</f>
        <v/>
      </c>
      <c r="AF97" s="57">
        <f>SUM(AF92:AF96)</f>
        <v/>
      </c>
      <c r="AG97" s="57">
        <f>SUM(AG92:AG96)</f>
        <v/>
      </c>
      <c r="AH97" s="57">
        <f>SUM(AH92:AH96)</f>
        <v/>
      </c>
      <c r="AI97" s="57">
        <f>SUM(AI92:AI96)</f>
        <v/>
      </c>
      <c r="AJ97" s="57">
        <f>SUM(AJ92:AJ96)</f>
        <v/>
      </c>
      <c r="AK97" s="57">
        <f>SUM(AK92:AK96)</f>
        <v/>
      </c>
      <c r="AL97" s="57">
        <f>SUM(AL92:AL96)</f>
        <v/>
      </c>
      <c r="AM97" s="57">
        <f>SUM(AM92:AM96)</f>
        <v/>
      </c>
      <c r="AN97" s="57">
        <f>SUM(AN92:AN96)</f>
        <v/>
      </c>
      <c r="AO97" s="57">
        <f>SUM(AO92:AO96)</f>
        <v/>
      </c>
      <c r="AP97" s="57">
        <f>SUM(AP92:AP96)</f>
        <v/>
      </c>
      <c r="AQ97" s="57">
        <f>SUM(AQ92:AQ96)</f>
        <v/>
      </c>
      <c r="AR97" s="57">
        <f>SUM(AR92:AR96)</f>
        <v/>
      </c>
      <c r="AS97" s="57">
        <f>SUM(AS92:AS96)</f>
        <v/>
      </c>
      <c r="AT97" s="57">
        <f>SUM(AT92:AT96)</f>
        <v/>
      </c>
      <c r="AU97" s="57">
        <f>SUM(AU92:AU96)</f>
        <v/>
      </c>
      <c r="AV97" s="57">
        <f>SUM(AV92:AV96)</f>
        <v/>
      </c>
      <c r="AW97" s="57">
        <f>SUM(AW92:AW96)</f>
        <v/>
      </c>
      <c r="AX97" s="57">
        <f>SUM(AX92:AX96)</f>
        <v/>
      </c>
      <c r="AY97" s="57">
        <f>SUM(AY92:AY96)</f>
        <v/>
      </c>
      <c r="AZ97" s="57">
        <f>SUM(AZ92:AZ96)</f>
        <v/>
      </c>
      <c r="BA97" s="57">
        <f>SUM(BA92:BA96)</f>
        <v/>
      </c>
      <c r="BB97" s="57">
        <f>SUM(BB92:BB96)</f>
        <v/>
      </c>
      <c r="BC97" s="57">
        <f>SUM(BC92:BC96)</f>
        <v/>
      </c>
      <c r="BD97" s="57">
        <f>SUM(BD92:BD96)</f>
        <v/>
      </c>
      <c r="BE97" s="57">
        <f>SUM(BE92:BE96)</f>
        <v/>
      </c>
      <c r="BF97" s="57">
        <f>SUM(BF92:BF96)</f>
        <v/>
      </c>
      <c r="BG97" s="57">
        <f>SUM(BG92:BG96)</f>
        <v/>
      </c>
      <c r="BH97" s="57">
        <f>SUM(BH92:BH96)</f>
        <v/>
      </c>
      <c r="BI97" s="57">
        <f>SUM(BI92:BI96)</f>
        <v/>
      </c>
      <c r="BJ97" s="57">
        <f>SUM(BJ92:BJ96)</f>
        <v/>
      </c>
      <c r="BK97" s="57">
        <f>SUM(BK92:BK96)</f>
        <v/>
      </c>
      <c r="BL97" s="57">
        <f>SUM(BL92:BL96)</f>
        <v/>
      </c>
      <c r="BM97" s="57">
        <f>SUM(BM92:BM96)</f>
        <v/>
      </c>
      <c r="BN97" s="57">
        <f>SUM(BN92:BN96)</f>
        <v/>
      </c>
      <c r="BO97" s="57">
        <f>SUM(BO92:BO96)</f>
        <v/>
      </c>
      <c r="BP97" s="57">
        <f>SUM(BP92:BP96)</f>
        <v/>
      </c>
      <c r="BQ97" s="57">
        <f>SUM(BQ92:BQ96)</f>
        <v/>
      </c>
      <c r="BR97" s="57">
        <f>SUM(BR92:BR96)</f>
        <v/>
      </c>
      <c r="BS97" s="57">
        <f>SUM(BS92:BS96)</f>
        <v/>
      </c>
      <c r="BT97" s="57">
        <f>SUM(BT92:BT96)</f>
        <v/>
      </c>
      <c r="BU97" s="57">
        <f>SUM(BU92:BU96)</f>
        <v/>
      </c>
      <c r="BV97" s="57">
        <f>SUM(BV92:BV96)</f>
        <v/>
      </c>
      <c r="BW97" s="57">
        <f>SUM(BW92:BW96)</f>
        <v/>
      </c>
      <c r="BX97" s="57">
        <f>SUM(BX92:BX96)</f>
        <v/>
      </c>
      <c r="BY97" s="57">
        <f>SUM(BY92:BY96)</f>
        <v/>
      </c>
      <c r="BZ97" s="57">
        <f>SUM(BZ92:BZ96)</f>
        <v/>
      </c>
      <c r="CA97" s="57">
        <f>SUM(CA92:CA96)</f>
        <v/>
      </c>
      <c r="CB97" s="57">
        <f>SUM(CB92:CB96)</f>
        <v/>
      </c>
      <c r="CC97" s="57">
        <f>SUM(CC92:CC96)</f>
        <v/>
      </c>
      <c r="CD97" s="57">
        <f>SUM(CD92:CD96)</f>
        <v/>
      </c>
      <c r="CE97" s="57">
        <f>SUM(CE92:CE96)</f>
        <v/>
      </c>
      <c r="CF97" s="57">
        <f>SUM(CF92:CF96)</f>
        <v/>
      </c>
      <c r="CG97" s="57">
        <f>SUM(CG92:CG96)</f>
        <v/>
      </c>
      <c r="CH97" s="57">
        <f>SUM(CH92:CH96)</f>
        <v/>
      </c>
      <c r="CI97" s="57">
        <f>SUM(CI92:CI96)</f>
        <v/>
      </c>
      <c r="CJ97" s="57">
        <f>SUM(CJ92:CJ96)</f>
        <v/>
      </c>
      <c r="CK97" s="57">
        <f>SUM(CK92:CK96)</f>
        <v/>
      </c>
      <c r="CL97" s="57">
        <f>SUM(CL92:CL96)</f>
        <v/>
      </c>
      <c r="CM97" s="57">
        <f>SUM(CM92:CM96)</f>
        <v/>
      </c>
      <c r="CN97" s="57">
        <f>SUM(CN92:CN96)</f>
        <v/>
      </c>
      <c r="CO97" s="57">
        <f>SUM(CO92:CO96)</f>
        <v/>
      </c>
      <c r="CP97" s="57">
        <f>SUM(CP92:CP96)</f>
        <v/>
      </c>
      <c r="CQ97" s="57">
        <f>SUM(CQ92:CQ96)</f>
        <v/>
      </c>
      <c r="CR97" s="57">
        <f>SUM(CR92:CR96)</f>
        <v/>
      </c>
      <c r="CS97" s="57">
        <f>SUM(CS92:CS96)</f>
        <v/>
      </c>
      <c r="CT97" s="57">
        <f>SUM(CT92:CT96)</f>
        <v/>
      </c>
      <c r="CU97" s="57">
        <f>SUM(CU92:CU96)</f>
        <v/>
      </c>
      <c r="CV97" s="57">
        <f>SUM(CV92:CV96)</f>
        <v/>
      </c>
      <c r="CW97" s="57">
        <f>SUM(CW92:CW96)</f>
        <v/>
      </c>
      <c r="CX97" s="57">
        <f>SUM(CX92:CX96)</f>
        <v/>
      </c>
      <c r="CY97" s="57">
        <f>SUM(CY92:CY96)</f>
        <v/>
      </c>
      <c r="CZ97" s="57">
        <f>SUM(CZ92:CZ96)</f>
        <v/>
      </c>
      <c r="DA97" s="57">
        <f>SUM(DA92:DA96)</f>
        <v/>
      </c>
      <c r="DB97" s="57">
        <f>SUM(DB92:DB96)</f>
        <v/>
      </c>
      <c r="DC97" s="57">
        <f>SUM(DC92:DC96)</f>
        <v/>
      </c>
      <c r="DD97" s="57">
        <f>SUM(DD92:DD96)</f>
        <v/>
      </c>
      <c r="DE97" s="57">
        <f>SUM(DE92:DE96)</f>
        <v/>
      </c>
      <c r="DF97" s="57">
        <f>SUM(DF92:DF96)</f>
        <v/>
      </c>
      <c r="DG97" s="57">
        <f>SUM(DG92:DG96)</f>
        <v/>
      </c>
      <c r="DH97" s="57">
        <f>SUM(DH92:DH96)</f>
        <v/>
      </c>
      <c r="DI97" s="57">
        <f>SUM(DI92:DI96)</f>
        <v/>
      </c>
      <c r="DJ97" s="57">
        <f>SUM(DJ92:DJ96)</f>
        <v/>
      </c>
      <c r="DK97" s="57">
        <f>SUM(DK92:DK96)</f>
        <v/>
      </c>
      <c r="DL97" s="57">
        <f>SUM(DL92:DL96)</f>
        <v/>
      </c>
      <c r="DM97" s="57">
        <f>SUM(DM92:DM96)</f>
        <v/>
      </c>
      <c r="DN97" s="57">
        <f>SUM(DN92:DN96)</f>
        <v/>
      </c>
      <c r="DO97" s="57">
        <f>SUM(DO92:DO96)</f>
        <v/>
      </c>
      <c r="DP97" s="57">
        <f>SUM(DP92:DP96)</f>
        <v/>
      </c>
      <c r="DQ97" s="57">
        <f>SUM(DQ92:DQ96)</f>
        <v/>
      </c>
      <c r="DR97" s="57">
        <f>SUM(DR92:DR96)</f>
        <v/>
      </c>
      <c r="DS97" s="57">
        <f>SUM(DS92:DS96)</f>
        <v/>
      </c>
      <c r="DT97" s="57">
        <f>SUM(DT92:DT96)</f>
        <v/>
      </c>
      <c r="DU97" s="57">
        <f>SUM(DU92:DU96)</f>
        <v/>
      </c>
      <c r="DV97" s="57">
        <f>SUM(DV92:DV96)</f>
        <v/>
      </c>
      <c r="DW97" s="57">
        <f>SUM(DW92:DW96)</f>
        <v/>
      </c>
      <c r="DX97" s="57">
        <f>SUM(DX92:DX96)</f>
        <v/>
      </c>
      <c r="DY97" s="57">
        <f>SUM(DY92:DY96)</f>
        <v/>
      </c>
      <c r="DZ97" s="57">
        <f>SUM(DZ92:DZ96)</f>
        <v/>
      </c>
      <c r="EA97" s="57">
        <f>SUM(EA92:EA96)</f>
        <v/>
      </c>
      <c r="EB97" s="57">
        <f>SUM(EB92:EB96)</f>
        <v/>
      </c>
      <c r="EC97" s="57">
        <f>SUM(EC92:EC96)</f>
        <v/>
      </c>
      <c r="ED97" s="57">
        <f>SUM(ED92:ED96)</f>
        <v/>
      </c>
      <c r="EE97" s="57">
        <f>SUM(EE92:EE96)</f>
        <v/>
      </c>
      <c r="EF97" s="57">
        <f>SUM(EF92:EF96)</f>
        <v/>
      </c>
      <c r="EG97" s="57">
        <f>SUM(EG92:EG96)</f>
        <v/>
      </c>
      <c r="EH97" s="57">
        <f>SUM(EH92:EH96)</f>
        <v/>
      </c>
      <c r="EI97" s="57">
        <f>SUM(EI92:EI96)</f>
        <v/>
      </c>
      <c r="EJ97" s="57">
        <f>SUM(EJ92:EJ96)</f>
        <v/>
      </c>
      <c r="EK97" s="57">
        <f>SUM(EK92:EK96)</f>
        <v/>
      </c>
      <c r="EL97" s="57">
        <f>SUM(EL92:EL96)</f>
        <v/>
      </c>
      <c r="EM97" s="57">
        <f>SUM(EM92:EM96)</f>
        <v/>
      </c>
      <c r="EN97" s="57">
        <f>SUM(EN92:EN96)</f>
        <v/>
      </c>
      <c r="EO97" s="57">
        <f>SUM(EO92:EO96)</f>
        <v/>
      </c>
      <c r="EP97" s="57">
        <f>SUM(EP92:EP96)</f>
        <v/>
      </c>
      <c r="EQ97" s="57">
        <f>SUM(EQ92:EQ96)</f>
        <v/>
      </c>
      <c r="ER97" s="57">
        <f>SUM(ER92:ER96)</f>
        <v/>
      </c>
      <c r="ES97" s="57">
        <f>SUM(ES92:ES96)</f>
        <v/>
      </c>
      <c r="ET97" s="57">
        <f>SUM(ET92:ET96)</f>
        <v/>
      </c>
      <c r="EU97" s="57">
        <f>SUM(EU92:EU96)</f>
        <v/>
      </c>
      <c r="EV97" s="57">
        <f>SUM(EV92:EV96)</f>
        <v/>
      </c>
      <c r="EW97" s="57">
        <f>SUM(EW92:EW96)</f>
        <v/>
      </c>
      <c r="EX97" s="57">
        <f>SUM(EX92:EX96)</f>
        <v/>
      </c>
      <c r="EY97" s="57">
        <f>SUM(EY92:EY96)</f>
        <v/>
      </c>
      <c r="EZ97" s="57">
        <f>SUM(EZ92:EZ96)</f>
        <v/>
      </c>
      <c r="FA97" s="57">
        <f>SUM(FA92:FA96)</f>
        <v/>
      </c>
      <c r="FB97" s="57">
        <f>SUM(FB92:FB96)</f>
        <v/>
      </c>
    </row>
    <row r="98">
      <c r="B98" s="11" t="inlineStr">
        <is>
          <t>Assessed Value/Unit</t>
        </is>
      </c>
      <c r="D98" s="115">
        <f>Inputs!C50</f>
        <v/>
      </c>
      <c r="E98" s="115">
        <f>Inputs!C53</f>
        <v/>
      </c>
      <c r="F98" s="54" t="n"/>
      <c r="J98" s="14" t="inlineStr">
        <is>
          <t>Net Profit</t>
        </is>
      </c>
      <c r="L98" s="46">
        <f>L97</f>
        <v/>
      </c>
    </row>
    <row r="99" customFormat="1" s="63">
      <c r="A99" s="9" t="n"/>
      <c r="B99" s="11" t="inlineStr">
        <is>
          <t>Assessment %</t>
        </is>
      </c>
      <c r="C99" s="9" t="n"/>
      <c r="D99" s="245">
        <f>Inputs!C51</f>
        <v/>
      </c>
      <c r="E99" s="245">
        <f>Inputs!C54</f>
        <v/>
      </c>
      <c r="F99" s="54" t="n"/>
      <c r="G99" s="9" t="n"/>
      <c r="H99" s="11" t="n"/>
      <c r="I99" s="9" t="n"/>
      <c r="J99" s="14" t="inlineStr">
        <is>
          <t>Peak Equity</t>
        </is>
      </c>
      <c r="K99" s="11" t="n"/>
      <c r="L99" s="46">
        <f>SUMIF(Z97:FB97,"&lt;0",Z97:FB97)</f>
        <v/>
      </c>
      <c r="M99" s="11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11" t="n"/>
      <c r="Z99" s="46">
        <f>IF(Z$4=0,-$D37*$E37,($D37-$Z94)/$G37)*(Z$4&gt;=$F$37)*(Z$4&lt;=($F37+$G37-1))</f>
        <v/>
      </c>
      <c r="AA99" s="46">
        <f>IF(AA$4=0,-$D37*$E37,($D37-$Z94)/$G37)*(AA$4&gt;=$F$37)*(AA$4&lt;=($F37+$G37-1))</f>
        <v/>
      </c>
      <c r="AB99" s="46">
        <f>IF(AB$4=0,-$D37*$E37,($D37-$Z94)/$G37)*(AB$4&gt;=$F$37)*(AB$4&lt;=($F37+$G37-1))</f>
        <v/>
      </c>
      <c r="AC99" s="46">
        <f>IF(AC$4=0,-$D37*$E37,($D37-$Z94)/$G37)*(AC$4&gt;=$F$37)*(AC$4&lt;=($F37+$G37-1))</f>
        <v/>
      </c>
      <c r="AD99" s="9" t="n"/>
      <c r="AE99" s="9" t="n"/>
      <c r="AF99" s="9" t="n"/>
      <c r="AG99" s="9" t="n"/>
      <c r="AH99" s="9" t="n"/>
      <c r="AI99" s="9" t="n"/>
      <c r="AJ99" s="9" t="n"/>
      <c r="AK99" s="9" t="n"/>
      <c r="AL99" s="9" t="n"/>
      <c r="AM99" s="9" t="n"/>
      <c r="AN99" s="9" t="n"/>
      <c r="AO99" s="9" t="n"/>
      <c r="AP99" s="9" t="n"/>
      <c r="AQ99" s="9" t="n"/>
      <c r="AR99" s="9" t="n"/>
      <c r="AS99" s="9" t="n"/>
      <c r="AT99" s="9" t="n"/>
      <c r="AU99" s="9" t="n"/>
      <c r="AV99" s="9" t="n"/>
      <c r="AW99" s="9" t="n"/>
      <c r="AX99" s="9" t="n"/>
      <c r="AY99" s="9" t="n"/>
      <c r="AZ99" s="9" t="n"/>
      <c r="BA99" s="9" t="n"/>
      <c r="BB99" s="9" t="n"/>
      <c r="BC99" s="9" t="n"/>
      <c r="BD99" s="9" t="n"/>
      <c r="BE99" s="9" t="n"/>
      <c r="BF99" s="9" t="n"/>
      <c r="BG99" s="9" t="n"/>
      <c r="BH99" s="9" t="n"/>
      <c r="BI99" s="9" t="n"/>
      <c r="BJ99" s="9" t="n"/>
      <c r="BK99" s="9" t="n"/>
      <c r="BL99" s="9" t="n"/>
      <c r="BM99" s="9" t="n"/>
      <c r="BN99" s="9" t="n"/>
      <c r="BO99" s="9" t="n"/>
      <c r="BP99" s="9" t="n"/>
      <c r="BQ99" s="9" t="n"/>
      <c r="BR99" s="9" t="n"/>
      <c r="BS99" s="9" t="n"/>
      <c r="BT99" s="9" t="n"/>
      <c r="BU99" s="9" t="n"/>
      <c r="BV99" s="9" t="n"/>
      <c r="BW99" s="9" t="n"/>
      <c r="BX99" s="9" t="n"/>
      <c r="BY99" s="9" t="n"/>
      <c r="BZ99" s="9" t="n"/>
      <c r="CA99" s="9" t="n"/>
      <c r="CB99" s="9" t="n"/>
      <c r="CC99" s="9" t="n"/>
      <c r="CD99" s="9" t="n"/>
      <c r="CE99" s="9" t="n"/>
      <c r="CF99" s="9" t="n"/>
      <c r="CG99" s="9" t="n"/>
      <c r="CH99" s="9" t="n"/>
      <c r="CI99" s="9" t="n"/>
      <c r="CJ99" s="9" t="n"/>
      <c r="CK99" s="9" t="n"/>
      <c r="CL99" s="9" t="n"/>
      <c r="CM99" s="9" t="n"/>
      <c r="CN99" s="9" t="n"/>
      <c r="CO99" s="9" t="n"/>
      <c r="CP99" s="9" t="n"/>
      <c r="CQ99" s="9" t="n"/>
      <c r="CR99" s="9" t="n"/>
      <c r="CS99" s="9" t="n"/>
      <c r="CT99" s="9" t="n"/>
      <c r="CU99" s="9" t="n"/>
      <c r="CV99" s="9" t="n"/>
      <c r="CW99" s="9" t="n"/>
      <c r="CX99" s="9" t="n"/>
      <c r="CY99" s="9" t="n"/>
      <c r="CZ99" s="9" t="n"/>
      <c r="DA99" s="9" t="n"/>
      <c r="DB99" s="9" t="n"/>
      <c r="DC99" s="9" t="n"/>
      <c r="DD99" s="9" t="n"/>
      <c r="DE99" s="9" t="n"/>
      <c r="DF99" s="9" t="n"/>
      <c r="DG99" s="9" t="n"/>
      <c r="DH99" s="9" t="n"/>
      <c r="DI99" s="9" t="n"/>
      <c r="DJ99" s="9" t="n"/>
      <c r="DK99" s="9" t="n"/>
      <c r="DL99" s="9" t="n"/>
      <c r="DM99" s="9" t="n"/>
      <c r="DN99" s="9" t="n"/>
      <c r="DO99" s="9" t="n"/>
      <c r="DP99" s="9" t="n"/>
      <c r="DQ99" s="9" t="n"/>
      <c r="DR99" s="9" t="n"/>
      <c r="DS99" s="9" t="n"/>
      <c r="DT99" s="9" t="n"/>
      <c r="DU99" s="9" t="n"/>
      <c r="DV99" s="9" t="n"/>
      <c r="DW99" s="9" t="n"/>
      <c r="DX99" s="9" t="n"/>
      <c r="DY99" s="9" t="n"/>
      <c r="DZ99" s="9" t="n"/>
      <c r="EA99" s="9" t="n"/>
      <c r="EB99" s="9" t="n"/>
      <c r="EC99" s="9" t="n"/>
      <c r="ED99" s="9" t="n"/>
      <c r="EE99" s="9" t="n"/>
      <c r="EF99" s="9" t="n"/>
      <c r="EG99" s="9" t="n"/>
      <c r="EH99" s="9" t="n"/>
      <c r="EI99" s="9" t="n"/>
      <c r="EJ99" s="9" t="n"/>
      <c r="EK99" s="9" t="n"/>
      <c r="EL99" s="9" t="n"/>
      <c r="EM99" s="9" t="n"/>
      <c r="EN99" s="9" t="n"/>
      <c r="EO99" s="9" t="n"/>
      <c r="EP99" s="9" t="n"/>
      <c r="EQ99" s="9" t="n"/>
      <c r="ER99" s="9" t="n"/>
      <c r="ES99" s="9" t="n"/>
      <c r="ET99" s="9" t="n"/>
      <c r="EU99" s="9" t="n"/>
      <c r="EV99" s="9" t="n"/>
      <c r="EW99" s="9" t="n"/>
      <c r="EX99" s="9" t="n"/>
      <c r="EY99" s="9" t="n"/>
      <c r="EZ99" s="9" t="n"/>
      <c r="FA99" s="9" t="n"/>
      <c r="FB99" s="9" t="n"/>
    </row>
    <row r="100">
      <c r="B100" s="11" t="inlineStr">
        <is>
          <t>Millage Rate</t>
        </is>
      </c>
      <c r="C100" s="11" t="n"/>
      <c r="D100" s="116">
        <f>Inputs!C91</f>
        <v/>
      </c>
      <c r="E100" s="116">
        <f>Inputs!C91</f>
        <v/>
      </c>
      <c r="F100" s="54" t="n"/>
      <c r="J100" s="14" t="inlineStr">
        <is>
          <t>IRR</t>
        </is>
      </c>
      <c r="L100" s="31">
        <f>(1+IRR(Z97:FB97,0))^12-1</f>
        <v/>
      </c>
    </row>
    <row r="101">
      <c r="A101" s="46" t="n"/>
      <c r="B101" s="11" t="inlineStr">
        <is>
          <t>Special Assessment</t>
        </is>
      </c>
      <c r="C101" s="11" t="n"/>
      <c r="D101" s="117">
        <f>Inputs!C92</f>
        <v/>
      </c>
      <c r="E101" s="117">
        <f>Inputs!C92</f>
        <v/>
      </c>
      <c r="F101" s="54" t="n"/>
      <c r="J101" s="14" t="inlineStr">
        <is>
          <t>Equity Multiple</t>
        </is>
      </c>
      <c r="L101" s="84">
        <f>(L98-L99)/-L99</f>
        <v/>
      </c>
    </row>
    <row r="102">
      <c r="B102" s="13" t="inlineStr">
        <is>
          <t>Total Property Tax</t>
        </is>
      </c>
      <c r="C102" s="13" t="n"/>
      <c r="D102" s="99">
        <f>D97*D100</f>
        <v/>
      </c>
      <c r="E102" s="99">
        <f>E97*E100</f>
        <v/>
      </c>
      <c r="F102" s="54" t="n"/>
    </row>
    <row r="103">
      <c r="B103" s="13" t="inlineStr">
        <is>
          <t>Total Property Tax/Unit</t>
        </is>
      </c>
      <c r="C103" s="11" t="n"/>
      <c r="D103" s="99">
        <f>D102/$C$75</f>
        <v/>
      </c>
      <c r="E103" s="99">
        <f>E102/$C$75</f>
        <v/>
      </c>
      <c r="F103" s="54" t="n"/>
      <c r="I103" s="35" t="inlineStr">
        <is>
          <t>Levered Cash Flow</t>
        </is>
      </c>
      <c r="J103" s="114" t="n"/>
      <c r="L103" s="139" t="n"/>
      <c r="N103" s="114" t="n"/>
      <c r="O103" s="114" t="n"/>
      <c r="P103" s="114" t="n"/>
      <c r="Q103" s="114" t="n"/>
      <c r="R103" s="114" t="n"/>
      <c r="S103" s="114" t="n"/>
      <c r="T103" s="114" t="n"/>
      <c r="U103" s="114" t="n"/>
      <c r="V103" s="114" t="n"/>
      <c r="W103" s="114" t="n"/>
      <c r="X103" s="114" t="n"/>
      <c r="Z103" s="114" t="n"/>
      <c r="AA103" s="114" t="n"/>
      <c r="AB103" s="114" t="n"/>
      <c r="AC103" s="114" t="n"/>
      <c r="AD103" s="114" t="n"/>
      <c r="AE103" s="114" t="n"/>
      <c r="AF103" s="114" t="n"/>
      <c r="AG103" s="114" t="n"/>
      <c r="AH103" s="114" t="n"/>
      <c r="AI103" s="114" t="n"/>
      <c r="AJ103" s="114" t="n"/>
      <c r="AK103" s="114" t="n"/>
      <c r="AL103" s="114" t="n"/>
      <c r="AM103" s="114" t="n"/>
      <c r="AN103" s="114" t="n"/>
      <c r="AO103" s="114" t="n"/>
      <c r="AP103" s="114" t="n"/>
      <c r="AQ103" s="114" t="n"/>
      <c r="AR103" s="114" t="n"/>
      <c r="AS103" s="114" t="n"/>
      <c r="AT103" s="114" t="n"/>
      <c r="AU103" s="114" t="n"/>
      <c r="AV103" s="114" t="n"/>
      <c r="AW103" s="114" t="n"/>
      <c r="AX103" s="114" t="n"/>
      <c r="AY103" s="114" t="n"/>
      <c r="AZ103" s="114" t="n"/>
      <c r="BA103" s="114" t="n"/>
      <c r="BB103" s="114" t="n"/>
      <c r="BC103" s="114" t="n"/>
      <c r="BD103" s="114" t="n"/>
      <c r="BE103" s="114" t="n"/>
      <c r="BF103" s="114" t="n"/>
      <c r="BG103" s="114" t="n"/>
      <c r="BH103" s="114" t="n"/>
      <c r="BI103" s="114" t="n"/>
      <c r="BJ103" s="114" t="n"/>
      <c r="BK103" s="114" t="n"/>
      <c r="BL103" s="114" t="n"/>
      <c r="BM103" s="114" t="n"/>
      <c r="BN103" s="114" t="n"/>
      <c r="BO103" s="114" t="n"/>
      <c r="BP103" s="114" t="n"/>
      <c r="BQ103" s="114" t="n"/>
      <c r="BR103" s="114" t="n"/>
      <c r="BS103" s="114" t="n"/>
      <c r="BT103" s="114" t="n"/>
      <c r="BU103" s="114" t="n"/>
      <c r="BV103" s="114" t="n"/>
      <c r="BW103" s="114" t="n"/>
      <c r="BX103" s="114" t="n"/>
      <c r="BY103" s="114" t="n"/>
      <c r="BZ103" s="114" t="n"/>
      <c r="CA103" s="114" t="n"/>
      <c r="CB103" s="114" t="n"/>
      <c r="CC103" s="114" t="n"/>
      <c r="CD103" s="114" t="n"/>
      <c r="CE103" s="114" t="n"/>
      <c r="CF103" s="114" t="n"/>
      <c r="CG103" s="114" t="n"/>
      <c r="CH103" s="114" t="n"/>
      <c r="CI103" s="114" t="n"/>
      <c r="CJ103" s="114" t="n"/>
      <c r="CK103" s="114" t="n"/>
      <c r="CL103" s="114" t="n"/>
      <c r="CM103" s="114" t="n"/>
      <c r="CN103" s="114" t="n"/>
      <c r="CO103" s="114" t="n"/>
      <c r="CP103" s="114" t="n"/>
      <c r="CQ103" s="114" t="n"/>
      <c r="CR103" s="114" t="n"/>
      <c r="CS103" s="114" t="n"/>
      <c r="CT103" s="114" t="n"/>
      <c r="CU103" s="114" t="n"/>
      <c r="CV103" s="114" t="n"/>
      <c r="CW103" s="114" t="n"/>
      <c r="CX103" s="114" t="n"/>
      <c r="CY103" s="114" t="n"/>
      <c r="CZ103" s="114" t="n"/>
      <c r="DA103" s="114" t="n"/>
      <c r="DB103" s="114" t="n"/>
      <c r="DC103" s="114" t="n"/>
      <c r="DD103" s="114" t="n"/>
      <c r="DE103" s="114" t="n"/>
      <c r="DF103" s="114" t="n"/>
      <c r="DG103" s="114" t="n"/>
      <c r="DH103" s="114" t="n"/>
      <c r="DI103" s="114" t="n"/>
      <c r="DJ103" s="114" t="n"/>
      <c r="DK103" s="114" t="n"/>
      <c r="DL103" s="114" t="n"/>
      <c r="DM103" s="114" t="n"/>
      <c r="DN103" s="114" t="n"/>
      <c r="DO103" s="114" t="n"/>
      <c r="DP103" s="114" t="n"/>
      <c r="DQ103" s="114" t="n"/>
      <c r="DR103" s="114" t="n"/>
      <c r="DS103" s="114" t="n"/>
      <c r="DT103" s="114" t="n"/>
      <c r="DU103" s="114" t="n"/>
      <c r="DV103" s="114" t="n"/>
      <c r="DW103" s="114" t="n"/>
      <c r="DX103" s="114" t="n"/>
      <c r="DY103" s="114" t="n"/>
      <c r="DZ103" s="114" t="n"/>
      <c r="EA103" s="114" t="n"/>
      <c r="EB103" s="114" t="n"/>
      <c r="EC103" s="114" t="n"/>
      <c r="ED103" s="114" t="n"/>
      <c r="EE103" s="114" t="n"/>
      <c r="EF103" s="114" t="n"/>
      <c r="EG103" s="114" t="n"/>
      <c r="EH103" s="114" t="n"/>
      <c r="EI103" s="114" t="n"/>
      <c r="EJ103" s="114" t="n"/>
      <c r="EK103" s="114" t="n"/>
      <c r="EL103" s="114" t="n"/>
      <c r="EM103" s="114" t="n"/>
      <c r="EN103" s="114" t="n"/>
      <c r="EO103" s="114" t="n"/>
      <c r="EP103" s="114" t="n"/>
      <c r="EQ103" s="114" t="n"/>
      <c r="ER103" s="114" t="n"/>
      <c r="ES103" s="114" t="n"/>
      <c r="ET103" s="114" t="n"/>
      <c r="EU103" s="114" t="n"/>
      <c r="EV103" s="114" t="n"/>
      <c r="EW103" s="114" t="n"/>
      <c r="EX103" s="114" t="n"/>
      <c r="EY103" s="114" t="n"/>
      <c r="EZ103" s="114" t="n"/>
      <c r="FA103" s="114" t="n"/>
      <c r="FB103" s="114" t="n"/>
    </row>
    <row r="104">
      <c r="I104" s="9" t="inlineStr">
        <is>
          <t>Unlevered Cash Flow</t>
        </is>
      </c>
      <c r="L104" s="24">
        <f>SUMIF($Z$4:$FB$4,"&lt;="&amp;$G$18,$Z104:$FB104)</f>
        <v/>
      </c>
      <c r="M104" s="55" t="n"/>
      <c r="N104" s="24">
        <f>SUMIF($Z$3:$FB$3,N$7,$Z104:$FB104)</f>
        <v/>
      </c>
      <c r="O104" s="24">
        <f>SUMIF($Z$3:$FB$3,O$7,$Z104:$FB104)</f>
        <v/>
      </c>
      <c r="P104" s="24">
        <f>SUMIF($Z$3:$FB$3,P$7,$Z104:$FB104)</f>
        <v/>
      </c>
      <c r="Q104" s="24">
        <f>SUMIF($Z$3:$FB$3,Q$7,$Z104:$FB104)</f>
        <v/>
      </c>
      <c r="R104" s="24">
        <f>SUMIF($Z$3:$FB$3,R$7,$Z104:$FB104)</f>
        <v/>
      </c>
      <c r="S104" s="24">
        <f>SUMIF($Z$3:$FB$3,S$7,$Z104:$FB104)</f>
        <v/>
      </c>
      <c r="T104" s="24">
        <f>SUMIF($Z$3:$FB$3,T$7,$Z104:$FB104)</f>
        <v/>
      </c>
      <c r="U104" s="24">
        <f>SUMIF($Z$3:$FB$3,U$7,$Z104:$FB104)</f>
        <v/>
      </c>
      <c r="V104" s="24">
        <f>SUMIF($Z$3:$FB$3,V$7,$Z104:$FB104)</f>
        <v/>
      </c>
      <c r="W104" s="24">
        <f>SUMIF($Z$3:$FB$3,W$7,$Z104:$FB104)</f>
        <v/>
      </c>
      <c r="X104" s="24">
        <f>SUMIF($Z$3:$FB$3,X$7,$Z104:$FB104)</f>
        <v/>
      </c>
      <c r="Y104" s="55" t="n"/>
      <c r="Z104" s="24">
        <f>Z97</f>
        <v/>
      </c>
      <c r="AA104" s="24">
        <f>AA97</f>
        <v/>
      </c>
      <c r="AB104" s="24">
        <f>AB97</f>
        <v/>
      </c>
      <c r="AC104" s="24">
        <f>AC97</f>
        <v/>
      </c>
      <c r="AD104" s="24">
        <f>AD97</f>
        <v/>
      </c>
      <c r="AE104" s="24">
        <f>AE97</f>
        <v/>
      </c>
      <c r="AF104" s="24">
        <f>AF97</f>
        <v/>
      </c>
      <c r="AG104" s="24">
        <f>AG97</f>
        <v/>
      </c>
      <c r="AH104" s="24">
        <f>AH97</f>
        <v/>
      </c>
      <c r="AI104" s="24">
        <f>AI97</f>
        <v/>
      </c>
      <c r="AJ104" s="24">
        <f>AJ97</f>
        <v/>
      </c>
      <c r="AK104" s="24">
        <f>AK97</f>
        <v/>
      </c>
      <c r="AL104" s="24">
        <f>AL97</f>
        <v/>
      </c>
      <c r="AM104" s="24">
        <f>AM97</f>
        <v/>
      </c>
      <c r="AN104" s="24">
        <f>AN97</f>
        <v/>
      </c>
      <c r="AO104" s="24">
        <f>AO97</f>
        <v/>
      </c>
      <c r="AP104" s="24">
        <f>AP97</f>
        <v/>
      </c>
      <c r="AQ104" s="24">
        <f>AQ97</f>
        <v/>
      </c>
      <c r="AR104" s="24">
        <f>AR97</f>
        <v/>
      </c>
      <c r="AS104" s="24">
        <f>AS97</f>
        <v/>
      </c>
      <c r="AT104" s="24">
        <f>AT97</f>
        <v/>
      </c>
      <c r="AU104" s="24">
        <f>AU97</f>
        <v/>
      </c>
      <c r="AV104" s="24">
        <f>AV97</f>
        <v/>
      </c>
      <c r="AW104" s="24">
        <f>AW97</f>
        <v/>
      </c>
      <c r="AX104" s="24">
        <f>AX97</f>
        <v/>
      </c>
      <c r="AY104" s="24">
        <f>AY97</f>
        <v/>
      </c>
      <c r="AZ104" s="24">
        <f>AZ97</f>
        <v/>
      </c>
      <c r="BA104" s="24">
        <f>BA97</f>
        <v/>
      </c>
      <c r="BB104" s="24">
        <f>BB97</f>
        <v/>
      </c>
      <c r="BC104" s="24">
        <f>BC97</f>
        <v/>
      </c>
      <c r="BD104" s="24">
        <f>BD97</f>
        <v/>
      </c>
      <c r="BE104" s="24">
        <f>BE97</f>
        <v/>
      </c>
      <c r="BF104" s="24">
        <f>BF97</f>
        <v/>
      </c>
      <c r="BG104" s="24">
        <f>BG97</f>
        <v/>
      </c>
      <c r="BH104" s="24">
        <f>BH97</f>
        <v/>
      </c>
      <c r="BI104" s="24">
        <f>BI97</f>
        <v/>
      </c>
      <c r="BJ104" s="24">
        <f>BJ97</f>
        <v/>
      </c>
      <c r="BK104" s="24">
        <f>BK97</f>
        <v/>
      </c>
      <c r="BL104" s="24">
        <f>BL97</f>
        <v/>
      </c>
      <c r="BM104" s="24">
        <f>BM97</f>
        <v/>
      </c>
      <c r="BN104" s="24">
        <f>BN97</f>
        <v/>
      </c>
      <c r="BO104" s="24">
        <f>BO97</f>
        <v/>
      </c>
      <c r="BP104" s="24">
        <f>BP97</f>
        <v/>
      </c>
      <c r="BQ104" s="24">
        <f>BQ97</f>
        <v/>
      </c>
      <c r="BR104" s="24">
        <f>BR97</f>
        <v/>
      </c>
      <c r="BS104" s="24">
        <f>BS97</f>
        <v/>
      </c>
      <c r="BT104" s="24">
        <f>BT97</f>
        <v/>
      </c>
      <c r="BU104" s="24">
        <f>BU97</f>
        <v/>
      </c>
      <c r="BV104" s="24">
        <f>BV97</f>
        <v/>
      </c>
      <c r="BW104" s="24">
        <f>BW97</f>
        <v/>
      </c>
      <c r="BX104" s="24">
        <f>BX97</f>
        <v/>
      </c>
      <c r="BY104" s="24">
        <f>BY97</f>
        <v/>
      </c>
      <c r="BZ104" s="24">
        <f>BZ97</f>
        <v/>
      </c>
      <c r="CA104" s="24">
        <f>CA97</f>
        <v/>
      </c>
      <c r="CB104" s="24">
        <f>CB97</f>
        <v/>
      </c>
      <c r="CC104" s="24">
        <f>CC97</f>
        <v/>
      </c>
      <c r="CD104" s="24">
        <f>CD97</f>
        <v/>
      </c>
      <c r="CE104" s="24">
        <f>CE97</f>
        <v/>
      </c>
      <c r="CF104" s="24">
        <f>CF97</f>
        <v/>
      </c>
      <c r="CG104" s="24">
        <f>CG97</f>
        <v/>
      </c>
      <c r="CH104" s="24">
        <f>CH97</f>
        <v/>
      </c>
      <c r="CI104" s="24">
        <f>CI97</f>
        <v/>
      </c>
      <c r="CJ104" s="24">
        <f>CJ97</f>
        <v/>
      </c>
      <c r="CK104" s="24">
        <f>CK97</f>
        <v/>
      </c>
      <c r="CL104" s="24">
        <f>CL97</f>
        <v/>
      </c>
      <c r="CM104" s="24">
        <f>CM97</f>
        <v/>
      </c>
      <c r="CN104" s="24">
        <f>CN97</f>
        <v/>
      </c>
      <c r="CO104" s="24">
        <f>CO97</f>
        <v/>
      </c>
      <c r="CP104" s="24">
        <f>CP97</f>
        <v/>
      </c>
      <c r="CQ104" s="24">
        <f>CQ97</f>
        <v/>
      </c>
      <c r="CR104" s="24">
        <f>CR97</f>
        <v/>
      </c>
      <c r="CS104" s="24">
        <f>CS97</f>
        <v/>
      </c>
      <c r="CT104" s="24">
        <f>CT97</f>
        <v/>
      </c>
      <c r="CU104" s="24">
        <f>CU97</f>
        <v/>
      </c>
      <c r="CV104" s="24">
        <f>CV97</f>
        <v/>
      </c>
      <c r="CW104" s="24">
        <f>CW97</f>
        <v/>
      </c>
      <c r="CX104" s="24">
        <f>CX97</f>
        <v/>
      </c>
      <c r="CY104" s="24">
        <f>CY97</f>
        <v/>
      </c>
      <c r="CZ104" s="24">
        <f>CZ97</f>
        <v/>
      </c>
      <c r="DA104" s="24">
        <f>DA97</f>
        <v/>
      </c>
      <c r="DB104" s="24">
        <f>DB97</f>
        <v/>
      </c>
      <c r="DC104" s="24">
        <f>DC97</f>
        <v/>
      </c>
      <c r="DD104" s="24">
        <f>DD97</f>
        <v/>
      </c>
      <c r="DE104" s="24">
        <f>DE97</f>
        <v/>
      </c>
      <c r="DF104" s="24">
        <f>DF97</f>
        <v/>
      </c>
      <c r="DG104" s="24">
        <f>DG97</f>
        <v/>
      </c>
      <c r="DH104" s="24">
        <f>DH97</f>
        <v/>
      </c>
      <c r="DI104" s="24">
        <f>DI97</f>
        <v/>
      </c>
      <c r="DJ104" s="24">
        <f>DJ97</f>
        <v/>
      </c>
      <c r="DK104" s="24">
        <f>DK97</f>
        <v/>
      </c>
      <c r="DL104" s="24">
        <f>DL97</f>
        <v/>
      </c>
      <c r="DM104" s="24">
        <f>DM97</f>
        <v/>
      </c>
      <c r="DN104" s="24">
        <f>DN97</f>
        <v/>
      </c>
      <c r="DO104" s="24">
        <f>DO97</f>
        <v/>
      </c>
      <c r="DP104" s="24">
        <f>DP97</f>
        <v/>
      </c>
      <c r="DQ104" s="24">
        <f>DQ97</f>
        <v/>
      </c>
      <c r="DR104" s="24">
        <f>DR97</f>
        <v/>
      </c>
      <c r="DS104" s="24">
        <f>DS97</f>
        <v/>
      </c>
      <c r="DT104" s="24">
        <f>DT97</f>
        <v/>
      </c>
      <c r="DU104" s="24">
        <f>DU97</f>
        <v/>
      </c>
      <c r="DV104" s="24">
        <f>DV97</f>
        <v/>
      </c>
      <c r="DW104" s="24">
        <f>DW97</f>
        <v/>
      </c>
      <c r="DX104" s="24">
        <f>DX97</f>
        <v/>
      </c>
      <c r="DY104" s="24">
        <f>DY97</f>
        <v/>
      </c>
      <c r="DZ104" s="24">
        <f>DZ97</f>
        <v/>
      </c>
      <c r="EA104" s="24">
        <f>EA97</f>
        <v/>
      </c>
      <c r="EB104" s="24">
        <f>EB97</f>
        <v/>
      </c>
      <c r="EC104" s="24">
        <f>EC97</f>
        <v/>
      </c>
      <c r="ED104" s="24">
        <f>ED97</f>
        <v/>
      </c>
      <c r="EE104" s="24">
        <f>EE97</f>
        <v/>
      </c>
      <c r="EF104" s="24">
        <f>EF97</f>
        <v/>
      </c>
      <c r="EG104" s="24">
        <f>EG97</f>
        <v/>
      </c>
      <c r="EH104" s="24">
        <f>EH97</f>
        <v/>
      </c>
      <c r="EI104" s="24">
        <f>EI97</f>
        <v/>
      </c>
      <c r="EJ104" s="24">
        <f>EJ97</f>
        <v/>
      </c>
      <c r="EK104" s="24">
        <f>EK97</f>
        <v/>
      </c>
      <c r="EL104" s="24">
        <f>EL97</f>
        <v/>
      </c>
      <c r="EM104" s="24">
        <f>EM97</f>
        <v/>
      </c>
      <c r="EN104" s="24">
        <f>EN97</f>
        <v/>
      </c>
      <c r="EO104" s="24">
        <f>EO97</f>
        <v/>
      </c>
      <c r="EP104" s="24">
        <f>EP97</f>
        <v/>
      </c>
      <c r="EQ104" s="24">
        <f>EQ97</f>
        <v/>
      </c>
      <c r="ER104" s="24">
        <f>ER97</f>
        <v/>
      </c>
      <c r="ES104" s="24">
        <f>ES97</f>
        <v/>
      </c>
      <c r="ET104" s="24">
        <f>ET97</f>
        <v/>
      </c>
      <c r="EU104" s="24">
        <f>EU97</f>
        <v/>
      </c>
      <c r="EV104" s="24">
        <f>EV97</f>
        <v/>
      </c>
      <c r="EW104" s="24">
        <f>EW97</f>
        <v/>
      </c>
      <c r="EX104" s="24">
        <f>EX97</f>
        <v/>
      </c>
      <c r="EY104" s="24">
        <f>EY97</f>
        <v/>
      </c>
      <c r="EZ104" s="24">
        <f>EZ97</f>
        <v/>
      </c>
      <c r="FA104" s="24">
        <f>FA97</f>
        <v/>
      </c>
      <c r="FB104" s="24">
        <f>FB97</f>
        <v/>
      </c>
    </row>
    <row r="105">
      <c r="B105" s="234" t="n"/>
      <c r="C105" s="235" t="n"/>
      <c r="D105" s="235" t="n"/>
      <c r="E105" s="235" t="n"/>
      <c r="F105" s="235" t="n"/>
      <c r="G105" s="235" t="n"/>
      <c r="I105" s="141" t="inlineStr">
        <is>
          <t>Senior Loan Financing Costs</t>
        </is>
      </c>
      <c r="J105" s="141" t="n"/>
      <c r="L105" s="142">
        <f>SUMIF($Z$4:$FB$4,"&lt;="&amp;$G$18,$Z105:$FB105)</f>
        <v/>
      </c>
      <c r="M105" s="55" t="n"/>
      <c r="N105" s="142">
        <f>SUMIF($Z$3:$FB$3,N$7,$Z105:$FB105)</f>
        <v/>
      </c>
      <c r="O105" s="142">
        <f>SUMIF($Z$3:$FB$3,O$7,$Z105:$FB105)</f>
        <v/>
      </c>
      <c r="P105" s="142">
        <f>SUMIF($Z$3:$FB$3,P$7,$Z105:$FB105)</f>
        <v/>
      </c>
      <c r="Q105" s="142">
        <f>SUMIF($Z$3:$FB$3,Q$7,$Z105:$FB105)</f>
        <v/>
      </c>
      <c r="R105" s="142">
        <f>SUMIF($Z$3:$FB$3,R$7,$Z105:$FB105)</f>
        <v/>
      </c>
      <c r="S105" s="142">
        <f>SUMIF($Z$3:$FB$3,S$7,$Z105:$FB105)</f>
        <v/>
      </c>
      <c r="T105" s="142">
        <f>SUMIF($Z$3:$FB$3,T$7,$Z105:$FB105)</f>
        <v/>
      </c>
      <c r="U105" s="142">
        <f>SUMIF($Z$3:$FB$3,U$7,$Z105:$FB105)</f>
        <v/>
      </c>
      <c r="V105" s="142">
        <f>SUMIF($Z$3:$FB$3,V$7,$Z105:$FB105)</f>
        <v/>
      </c>
      <c r="W105" s="142">
        <f>SUMIF($Z$3:$FB$3,W$7,$Z105:$FB105)</f>
        <v/>
      </c>
      <c r="X105" s="142">
        <f>SUMIF($Z$3:$FB$3,X$7,$Z105:$FB105)</f>
        <v/>
      </c>
      <c r="Y105" s="55" t="n"/>
      <c r="Z105" s="142">
        <f>(Z4=0)*-$D$49</f>
        <v/>
      </c>
      <c r="AA105" s="142">
        <f>(AA4=0)*-$D$49</f>
        <v/>
      </c>
      <c r="AB105" s="142">
        <f>(AB4=0)*-$D$49</f>
        <v/>
      </c>
      <c r="AC105" s="142">
        <f>(AC4=0)*-$D$49</f>
        <v/>
      </c>
      <c r="AD105" s="142">
        <f>(AD4=0)*-$D$49</f>
        <v/>
      </c>
      <c r="AE105" s="142">
        <f>(AE4=0)*-$D$49</f>
        <v/>
      </c>
      <c r="AF105" s="142">
        <f>(AF4=0)*-$D$49</f>
        <v/>
      </c>
      <c r="AG105" s="142">
        <f>(AG4=0)*-$D$49</f>
        <v/>
      </c>
      <c r="AH105" s="142">
        <f>(AH4=0)*-$D$49</f>
        <v/>
      </c>
      <c r="AI105" s="142">
        <f>(AI4=0)*-$D$49</f>
        <v/>
      </c>
      <c r="AJ105" s="142">
        <f>(AJ4=0)*-$D$49</f>
        <v/>
      </c>
      <c r="AK105" s="142">
        <f>(AK4=0)*-$D$49</f>
        <v/>
      </c>
      <c r="AL105" s="142">
        <f>(AL4=0)*-$D$49</f>
        <v/>
      </c>
      <c r="AM105" s="142">
        <f>(AM4=0)*-$D$49</f>
        <v/>
      </c>
      <c r="AN105" s="142">
        <f>(AN4=0)*-$D$49</f>
        <v/>
      </c>
      <c r="AO105" s="142">
        <f>(AO4=0)*-$D$49</f>
        <v/>
      </c>
      <c r="AP105" s="142">
        <f>(AP4=0)*-$D$49</f>
        <v/>
      </c>
      <c r="AQ105" s="142">
        <f>(AQ4=0)*-$D$49</f>
        <v/>
      </c>
      <c r="AR105" s="142">
        <f>(AR4=0)*-$D$49</f>
        <v/>
      </c>
      <c r="AS105" s="142">
        <f>(AS4=0)*-$D$49</f>
        <v/>
      </c>
      <c r="AT105" s="142">
        <f>(AT4=0)*-$D$49</f>
        <v/>
      </c>
      <c r="AU105" s="142">
        <f>(AU4=0)*-$D$49</f>
        <v/>
      </c>
      <c r="AV105" s="142">
        <f>(AV4=0)*-$D$49</f>
        <v/>
      </c>
      <c r="AW105" s="142">
        <f>(AW4=0)*-$D$49</f>
        <v/>
      </c>
      <c r="AX105" s="142">
        <f>(AX4=0)*-$D$49</f>
        <v/>
      </c>
      <c r="AY105" s="142">
        <f>(AY4=0)*-$D$49</f>
        <v/>
      </c>
      <c r="AZ105" s="142">
        <f>(AZ4=0)*-$D$49</f>
        <v/>
      </c>
      <c r="BA105" s="142">
        <f>(BA4=0)*-$D$49</f>
        <v/>
      </c>
      <c r="BB105" s="142">
        <f>(BB4=0)*-$D$49</f>
        <v/>
      </c>
      <c r="BC105" s="142">
        <f>(BC4=0)*-$D$49</f>
        <v/>
      </c>
      <c r="BD105" s="142">
        <f>(BD4=0)*-$D$49</f>
        <v/>
      </c>
      <c r="BE105" s="142">
        <f>(BE4=0)*-$D$49</f>
        <v/>
      </c>
      <c r="BF105" s="142">
        <f>(BF4=0)*-$D$49</f>
        <v/>
      </c>
      <c r="BG105" s="142">
        <f>(BG4=0)*-$D$49</f>
        <v/>
      </c>
      <c r="BH105" s="142">
        <f>(BH4=0)*-$D$49</f>
        <v/>
      </c>
      <c r="BI105" s="142">
        <f>(BI4=0)*-$D$49</f>
        <v/>
      </c>
      <c r="BJ105" s="142">
        <f>(BJ4=0)*-$D$49</f>
        <v/>
      </c>
      <c r="BK105" s="142">
        <f>(BK4=0)*-$D$49</f>
        <v/>
      </c>
      <c r="BL105" s="142">
        <f>(BL4=0)*-$D$49</f>
        <v/>
      </c>
      <c r="BM105" s="142">
        <f>(BM4=0)*-$D$49</f>
        <v/>
      </c>
      <c r="BN105" s="142">
        <f>(BN4=0)*-$D$49</f>
        <v/>
      </c>
      <c r="BO105" s="142">
        <f>(BO4=0)*-$D$49</f>
        <v/>
      </c>
      <c r="BP105" s="142">
        <f>(BP4=0)*-$D$49</f>
        <v/>
      </c>
      <c r="BQ105" s="142">
        <f>(BQ4=0)*-$D$49</f>
        <v/>
      </c>
      <c r="BR105" s="142">
        <f>(BR4=0)*-$D$49</f>
        <v/>
      </c>
      <c r="BS105" s="142">
        <f>(BS4=0)*-$D$49</f>
        <v/>
      </c>
      <c r="BT105" s="142">
        <f>(BT4=0)*-$D$49</f>
        <v/>
      </c>
      <c r="BU105" s="142">
        <f>(BU4=0)*-$D$49</f>
        <v/>
      </c>
      <c r="BV105" s="142">
        <f>(BV4=0)*-$D$49</f>
        <v/>
      </c>
      <c r="BW105" s="142">
        <f>(BW4=0)*-$D$49</f>
        <v/>
      </c>
      <c r="BX105" s="142">
        <f>(BX4=0)*-$D$49</f>
        <v/>
      </c>
      <c r="BY105" s="142">
        <f>(BY4=0)*-$D$49</f>
        <v/>
      </c>
      <c r="BZ105" s="142">
        <f>(BZ4=0)*-$D$49</f>
        <v/>
      </c>
      <c r="CA105" s="142">
        <f>(CA4=0)*-$D$49</f>
        <v/>
      </c>
      <c r="CB105" s="142">
        <f>(CB4=0)*-$D$49</f>
        <v/>
      </c>
      <c r="CC105" s="142">
        <f>(CC4=0)*-$D$49</f>
        <v/>
      </c>
      <c r="CD105" s="142">
        <f>(CD4=0)*-$D$49</f>
        <v/>
      </c>
      <c r="CE105" s="142">
        <f>(CE4=0)*-$D$49</f>
        <v/>
      </c>
      <c r="CF105" s="142">
        <f>(CF4=0)*-$D$49</f>
        <v/>
      </c>
      <c r="CG105" s="142">
        <f>(CG4=0)*-$D$49</f>
        <v/>
      </c>
      <c r="CH105" s="142">
        <f>(CH4=0)*-$D$49</f>
        <v/>
      </c>
      <c r="CI105" s="142">
        <f>(CI4=0)*-$D$49</f>
        <v/>
      </c>
      <c r="CJ105" s="142">
        <f>(CJ4=0)*-$D$49</f>
        <v/>
      </c>
      <c r="CK105" s="142">
        <f>(CK4=0)*-$D$49</f>
        <v/>
      </c>
      <c r="CL105" s="142">
        <f>(CL4=0)*-$D$49</f>
        <v/>
      </c>
      <c r="CM105" s="142">
        <f>(CM4=0)*-$D$49</f>
        <v/>
      </c>
      <c r="CN105" s="142">
        <f>(CN4=0)*-$D$49</f>
        <v/>
      </c>
      <c r="CO105" s="142">
        <f>(CO4=0)*-$D$49</f>
        <v/>
      </c>
      <c r="CP105" s="142">
        <f>(CP4=0)*-$D$49</f>
        <v/>
      </c>
      <c r="CQ105" s="142">
        <f>(CQ4=0)*-$D$49</f>
        <v/>
      </c>
      <c r="CR105" s="142">
        <f>(CR4=0)*-$D$49</f>
        <v/>
      </c>
      <c r="CS105" s="142">
        <f>(CS4=0)*-$D$49</f>
        <v/>
      </c>
      <c r="CT105" s="142">
        <f>(CT4=0)*-$D$49</f>
        <v/>
      </c>
      <c r="CU105" s="142">
        <f>(CU4=0)*-$D$49</f>
        <v/>
      </c>
      <c r="CV105" s="142">
        <f>(CV4=0)*-$D$49</f>
        <v/>
      </c>
      <c r="CW105" s="142">
        <f>(CW4=0)*-$D$49</f>
        <v/>
      </c>
      <c r="CX105" s="142">
        <f>(CX4=0)*-$D$49</f>
        <v/>
      </c>
      <c r="CY105" s="142">
        <f>(CY4=0)*-$D$49</f>
        <v/>
      </c>
      <c r="CZ105" s="142">
        <f>(CZ4=0)*-$D$49</f>
        <v/>
      </c>
      <c r="DA105" s="142">
        <f>(DA4=0)*-$D$49</f>
        <v/>
      </c>
      <c r="DB105" s="142">
        <f>(DB4=0)*-$D$49</f>
        <v/>
      </c>
      <c r="DC105" s="142">
        <f>(DC4=0)*-$D$49</f>
        <v/>
      </c>
      <c r="DD105" s="142">
        <f>(DD4=0)*-$D$49</f>
        <v/>
      </c>
      <c r="DE105" s="142">
        <f>(DE4=0)*-$D$49</f>
        <v/>
      </c>
      <c r="DF105" s="142">
        <f>(DF4=0)*-$D$49</f>
        <v/>
      </c>
      <c r="DG105" s="142">
        <f>(DG4=0)*-$D$49</f>
        <v/>
      </c>
      <c r="DH105" s="142">
        <f>(DH4=0)*-$D$49</f>
        <v/>
      </c>
      <c r="DI105" s="142">
        <f>(DI4=0)*-$D$49</f>
        <v/>
      </c>
      <c r="DJ105" s="142">
        <f>(DJ4=0)*-$D$49</f>
        <v/>
      </c>
      <c r="DK105" s="142">
        <f>(DK4=0)*-$D$49</f>
        <v/>
      </c>
      <c r="DL105" s="142">
        <f>(DL4=0)*-$D$49</f>
        <v/>
      </c>
      <c r="DM105" s="142">
        <f>(DM4=0)*-$D$49</f>
        <v/>
      </c>
      <c r="DN105" s="142">
        <f>(DN4=0)*-$D$49</f>
        <v/>
      </c>
      <c r="DO105" s="142">
        <f>(DO4=0)*-$D$49</f>
        <v/>
      </c>
      <c r="DP105" s="142">
        <f>(DP4=0)*-$D$49</f>
        <v/>
      </c>
      <c r="DQ105" s="142">
        <f>(DQ4=0)*-$D$49</f>
        <v/>
      </c>
      <c r="DR105" s="142">
        <f>(DR4=0)*-$D$49</f>
        <v/>
      </c>
      <c r="DS105" s="142">
        <f>(DS4=0)*-$D$49</f>
        <v/>
      </c>
      <c r="DT105" s="142">
        <f>(DT4=0)*-$D$49</f>
        <v/>
      </c>
      <c r="DU105" s="142">
        <f>(DU4=0)*-$D$49</f>
        <v/>
      </c>
      <c r="DV105" s="142">
        <f>(DV4=0)*-$D$49</f>
        <v/>
      </c>
      <c r="DW105" s="142">
        <f>(DW4=0)*-$D$49</f>
        <v/>
      </c>
      <c r="DX105" s="142">
        <f>(DX4=0)*-$D$49</f>
        <v/>
      </c>
      <c r="DY105" s="142">
        <f>(DY4=0)*-$D$49</f>
        <v/>
      </c>
      <c r="DZ105" s="142">
        <f>(DZ4=0)*-$D$49</f>
        <v/>
      </c>
      <c r="EA105" s="142">
        <f>(EA4=0)*-$D$49</f>
        <v/>
      </c>
      <c r="EB105" s="142">
        <f>(EB4=0)*-$D$49</f>
        <v/>
      </c>
      <c r="EC105" s="142">
        <f>(EC4=0)*-$D$49</f>
        <v/>
      </c>
      <c r="ED105" s="142">
        <f>(ED4=0)*-$D$49</f>
        <v/>
      </c>
      <c r="EE105" s="142">
        <f>(EE4=0)*-$D$49</f>
        <v/>
      </c>
      <c r="EF105" s="142">
        <f>(EF4=0)*-$D$49</f>
        <v/>
      </c>
      <c r="EG105" s="142">
        <f>(EG4=0)*-$D$49</f>
        <v/>
      </c>
      <c r="EH105" s="142">
        <f>(EH4=0)*-$D$49</f>
        <v/>
      </c>
      <c r="EI105" s="142">
        <f>(EI4=0)*-$D$49</f>
        <v/>
      </c>
      <c r="EJ105" s="142">
        <f>(EJ4=0)*-$D$49</f>
        <v/>
      </c>
      <c r="EK105" s="142">
        <f>(EK4=0)*-$D$49</f>
        <v/>
      </c>
      <c r="EL105" s="142">
        <f>(EL4=0)*-$D$49</f>
        <v/>
      </c>
      <c r="EM105" s="142">
        <f>(EM4=0)*-$D$49</f>
        <v/>
      </c>
      <c r="EN105" s="142">
        <f>(EN4=0)*-$D$49</f>
        <v/>
      </c>
      <c r="EO105" s="142">
        <f>(EO4=0)*-$D$49</f>
        <v/>
      </c>
      <c r="EP105" s="142">
        <f>(EP4=0)*-$D$49</f>
        <v/>
      </c>
      <c r="EQ105" s="142">
        <f>(EQ4=0)*-$D$49</f>
        <v/>
      </c>
      <c r="ER105" s="142">
        <f>(ER4=0)*-$D$49</f>
        <v/>
      </c>
      <c r="ES105" s="142">
        <f>(ES4=0)*-$D$49</f>
        <v/>
      </c>
      <c r="ET105" s="142">
        <f>(ET4=0)*-$D$49</f>
        <v/>
      </c>
      <c r="EU105" s="142">
        <f>(EU4=0)*-$D$49</f>
        <v/>
      </c>
      <c r="EV105" s="142">
        <f>(EV4=0)*-$D$49</f>
        <v/>
      </c>
      <c r="EW105" s="142">
        <f>(EW4=0)*-$D$49</f>
        <v/>
      </c>
      <c r="EX105" s="142">
        <f>(EX4=0)*-$D$49</f>
        <v/>
      </c>
      <c r="EY105" s="142">
        <f>(EY4=0)*-$D$49</f>
        <v/>
      </c>
      <c r="EZ105" s="142">
        <f>(EZ4=0)*-$D$49</f>
        <v/>
      </c>
      <c r="FA105" s="142">
        <f>(FA4=0)*-$D$49</f>
        <v/>
      </c>
      <c r="FB105" s="142">
        <f>(FB4=0)*-$D$49</f>
        <v/>
      </c>
    </row>
    <row r="106">
      <c r="B106" s="10" t="n"/>
      <c r="C106" s="236" t="n"/>
      <c r="D106" s="236" t="n"/>
      <c r="E106" s="236" t="n"/>
      <c r="F106" s="236" t="n"/>
      <c r="G106" s="236" t="n"/>
      <c r="H106" s="58" t="n"/>
      <c r="I106" s="9" t="inlineStr">
        <is>
          <t>Senior Loan Proceeds</t>
        </is>
      </c>
      <c r="L106" s="24">
        <f>SUMIF($Z$4:$FB$4,"&lt;="&amp;$G$18,$Z106:$FB106)</f>
        <v/>
      </c>
      <c r="M106" s="55" t="n"/>
      <c r="N106" s="24">
        <f>SUMIF($Z$3:$FB$3,N$7,$Z106:$FB106)</f>
        <v/>
      </c>
      <c r="O106" s="24">
        <f>SUMIF($Z$3:$FB$3,O$7,$Z106:$FB106)</f>
        <v/>
      </c>
      <c r="P106" s="24">
        <f>SUMIF($Z$3:$FB$3,P$7,$Z106:$FB106)</f>
        <v/>
      </c>
      <c r="Q106" s="24">
        <f>SUMIF($Z$3:$FB$3,Q$7,$Z106:$FB106)</f>
        <v/>
      </c>
      <c r="R106" s="24">
        <f>SUMIF($Z$3:$FB$3,R$7,$Z106:$FB106)</f>
        <v/>
      </c>
      <c r="S106" s="24">
        <f>SUMIF($Z$3:$FB$3,S$7,$Z106:$FB106)</f>
        <v/>
      </c>
      <c r="T106" s="24">
        <f>SUMIF($Z$3:$FB$3,T$7,$Z106:$FB106)</f>
        <v/>
      </c>
      <c r="U106" s="24">
        <f>SUMIF($Z$3:$FB$3,U$7,$Z106:$FB106)</f>
        <v/>
      </c>
      <c r="V106" s="24">
        <f>SUMIF($Z$3:$FB$3,V$7,$Z106:$FB106)</f>
        <v/>
      </c>
      <c r="W106" s="24">
        <f>SUMIF($Z$3:$FB$3,W$7,$Z106:$FB106)</f>
        <v/>
      </c>
      <c r="X106" s="24">
        <f>SUMIF($Z$3:$FB$3,X$7,$Z106:$FB106)</f>
        <v/>
      </c>
      <c r="Y106" s="55" t="n"/>
      <c r="Z106" s="24">
        <f>Z156</f>
        <v/>
      </c>
      <c r="AA106" s="24">
        <f>AA156</f>
        <v/>
      </c>
      <c r="AB106" s="24">
        <f>AB156</f>
        <v/>
      </c>
      <c r="AC106" s="24">
        <f>AC156</f>
        <v/>
      </c>
      <c r="AD106" s="24">
        <f>AD156</f>
        <v/>
      </c>
      <c r="AE106" s="24">
        <f>AE156</f>
        <v/>
      </c>
      <c r="AF106" s="24">
        <f>AF156</f>
        <v/>
      </c>
      <c r="AG106" s="24">
        <f>AG156</f>
        <v/>
      </c>
      <c r="AH106" s="24">
        <f>AH156</f>
        <v/>
      </c>
      <c r="AI106" s="24">
        <f>AI156</f>
        <v/>
      </c>
      <c r="AJ106" s="24">
        <f>AJ156</f>
        <v/>
      </c>
      <c r="AK106" s="24">
        <f>AK156</f>
        <v/>
      </c>
      <c r="AL106" s="24">
        <f>AL156</f>
        <v/>
      </c>
      <c r="AM106" s="24">
        <f>AM156</f>
        <v/>
      </c>
      <c r="AN106" s="24">
        <f>AN156</f>
        <v/>
      </c>
      <c r="AO106" s="24">
        <f>AO156</f>
        <v/>
      </c>
      <c r="AP106" s="24">
        <f>AP156</f>
        <v/>
      </c>
      <c r="AQ106" s="24">
        <f>AQ156</f>
        <v/>
      </c>
      <c r="AR106" s="24">
        <f>AR156</f>
        <v/>
      </c>
      <c r="AS106" s="24">
        <f>AS156</f>
        <v/>
      </c>
      <c r="AT106" s="24">
        <f>AT156</f>
        <v/>
      </c>
      <c r="AU106" s="24">
        <f>AU156</f>
        <v/>
      </c>
      <c r="AV106" s="24">
        <f>AV156</f>
        <v/>
      </c>
      <c r="AW106" s="24">
        <f>AW156</f>
        <v/>
      </c>
      <c r="AX106" s="24">
        <f>AX156</f>
        <v/>
      </c>
      <c r="AY106" s="24">
        <f>AY156</f>
        <v/>
      </c>
      <c r="AZ106" s="24">
        <f>AZ156</f>
        <v/>
      </c>
      <c r="BA106" s="24">
        <f>BA156</f>
        <v/>
      </c>
      <c r="BB106" s="24">
        <f>BB156</f>
        <v/>
      </c>
      <c r="BC106" s="24">
        <f>BC156</f>
        <v/>
      </c>
      <c r="BD106" s="24">
        <f>BD156</f>
        <v/>
      </c>
      <c r="BE106" s="24">
        <f>BE156</f>
        <v/>
      </c>
      <c r="BF106" s="24">
        <f>BF156</f>
        <v/>
      </c>
      <c r="BG106" s="24">
        <f>BG156</f>
        <v/>
      </c>
      <c r="BH106" s="24">
        <f>BH156</f>
        <v/>
      </c>
      <c r="BI106" s="24">
        <f>BI156</f>
        <v/>
      </c>
      <c r="BJ106" s="24">
        <f>BJ156</f>
        <v/>
      </c>
      <c r="BK106" s="24">
        <f>BK156</f>
        <v/>
      </c>
      <c r="BL106" s="24">
        <f>BL156</f>
        <v/>
      </c>
      <c r="BM106" s="24">
        <f>BM156</f>
        <v/>
      </c>
      <c r="BN106" s="24">
        <f>BN156</f>
        <v/>
      </c>
      <c r="BO106" s="24">
        <f>BO156</f>
        <v/>
      </c>
      <c r="BP106" s="24">
        <f>BP156</f>
        <v/>
      </c>
      <c r="BQ106" s="24">
        <f>BQ156</f>
        <v/>
      </c>
      <c r="BR106" s="24">
        <f>BR156</f>
        <v/>
      </c>
      <c r="BS106" s="24">
        <f>BS156</f>
        <v/>
      </c>
      <c r="BT106" s="24">
        <f>BT156</f>
        <v/>
      </c>
      <c r="BU106" s="24">
        <f>BU156</f>
        <v/>
      </c>
      <c r="BV106" s="24">
        <f>BV156</f>
        <v/>
      </c>
      <c r="BW106" s="24">
        <f>BW156</f>
        <v/>
      </c>
      <c r="BX106" s="24">
        <f>BX156</f>
        <v/>
      </c>
      <c r="BY106" s="24">
        <f>BY156</f>
        <v/>
      </c>
      <c r="BZ106" s="24">
        <f>BZ156</f>
        <v/>
      </c>
      <c r="CA106" s="24">
        <f>CA156</f>
        <v/>
      </c>
      <c r="CB106" s="24">
        <f>CB156</f>
        <v/>
      </c>
      <c r="CC106" s="24">
        <f>CC156</f>
        <v/>
      </c>
      <c r="CD106" s="24">
        <f>CD156</f>
        <v/>
      </c>
      <c r="CE106" s="24">
        <f>CE156</f>
        <v/>
      </c>
      <c r="CF106" s="24">
        <f>CF156</f>
        <v/>
      </c>
      <c r="CG106" s="24">
        <f>CG156</f>
        <v/>
      </c>
      <c r="CH106" s="24">
        <f>CH156</f>
        <v/>
      </c>
      <c r="CI106" s="24">
        <f>CI156</f>
        <v/>
      </c>
      <c r="CJ106" s="24">
        <f>CJ156</f>
        <v/>
      </c>
      <c r="CK106" s="24">
        <f>CK156</f>
        <v/>
      </c>
      <c r="CL106" s="24">
        <f>CL156</f>
        <v/>
      </c>
      <c r="CM106" s="24">
        <f>CM156</f>
        <v/>
      </c>
      <c r="CN106" s="24">
        <f>CN156</f>
        <v/>
      </c>
      <c r="CO106" s="24">
        <f>CO156</f>
        <v/>
      </c>
      <c r="CP106" s="24">
        <f>CP156</f>
        <v/>
      </c>
      <c r="CQ106" s="24">
        <f>CQ156</f>
        <v/>
      </c>
      <c r="CR106" s="24">
        <f>CR156</f>
        <v/>
      </c>
      <c r="CS106" s="24">
        <f>CS156</f>
        <v/>
      </c>
      <c r="CT106" s="24">
        <f>CT156</f>
        <v/>
      </c>
      <c r="CU106" s="24">
        <f>CU156</f>
        <v/>
      </c>
      <c r="CV106" s="24">
        <f>CV156</f>
        <v/>
      </c>
      <c r="CW106" s="24">
        <f>CW156</f>
        <v/>
      </c>
      <c r="CX106" s="24">
        <f>CX156</f>
        <v/>
      </c>
      <c r="CY106" s="24">
        <f>CY156</f>
        <v/>
      </c>
      <c r="CZ106" s="24">
        <f>CZ156</f>
        <v/>
      </c>
      <c r="DA106" s="24">
        <f>DA156</f>
        <v/>
      </c>
      <c r="DB106" s="24">
        <f>DB156</f>
        <v/>
      </c>
      <c r="DC106" s="24">
        <f>DC156</f>
        <v/>
      </c>
      <c r="DD106" s="24">
        <f>DD156</f>
        <v/>
      </c>
      <c r="DE106" s="24">
        <f>DE156</f>
        <v/>
      </c>
      <c r="DF106" s="24">
        <f>DF156</f>
        <v/>
      </c>
      <c r="DG106" s="24">
        <f>DG156</f>
        <v/>
      </c>
      <c r="DH106" s="24">
        <f>DH156</f>
        <v/>
      </c>
      <c r="DI106" s="24">
        <f>DI156</f>
        <v/>
      </c>
      <c r="DJ106" s="24">
        <f>DJ156</f>
        <v/>
      </c>
      <c r="DK106" s="24">
        <f>DK156</f>
        <v/>
      </c>
      <c r="DL106" s="24">
        <f>DL156</f>
        <v/>
      </c>
      <c r="DM106" s="24">
        <f>DM156</f>
        <v/>
      </c>
      <c r="DN106" s="24">
        <f>DN156</f>
        <v/>
      </c>
      <c r="DO106" s="24">
        <f>DO156</f>
        <v/>
      </c>
      <c r="DP106" s="24">
        <f>DP156</f>
        <v/>
      </c>
      <c r="DQ106" s="24">
        <f>DQ156</f>
        <v/>
      </c>
      <c r="DR106" s="24">
        <f>DR156</f>
        <v/>
      </c>
      <c r="DS106" s="24">
        <f>DS156</f>
        <v/>
      </c>
      <c r="DT106" s="24">
        <f>DT156</f>
        <v/>
      </c>
      <c r="DU106" s="24">
        <f>DU156</f>
        <v/>
      </c>
      <c r="DV106" s="24">
        <f>DV156</f>
        <v/>
      </c>
      <c r="DW106" s="24">
        <f>DW156</f>
        <v/>
      </c>
      <c r="DX106" s="24">
        <f>DX156</f>
        <v/>
      </c>
      <c r="DY106" s="24">
        <f>DY156</f>
        <v/>
      </c>
      <c r="DZ106" s="24">
        <f>DZ156</f>
        <v/>
      </c>
      <c r="EA106" s="24">
        <f>EA156</f>
        <v/>
      </c>
      <c r="EB106" s="24">
        <f>EB156</f>
        <v/>
      </c>
      <c r="EC106" s="24">
        <f>EC156</f>
        <v/>
      </c>
      <c r="ED106" s="24">
        <f>ED156</f>
        <v/>
      </c>
      <c r="EE106" s="24">
        <f>EE156</f>
        <v/>
      </c>
      <c r="EF106" s="24">
        <f>EF156</f>
        <v/>
      </c>
      <c r="EG106" s="24">
        <f>EG156</f>
        <v/>
      </c>
      <c r="EH106" s="24">
        <f>EH156</f>
        <v/>
      </c>
      <c r="EI106" s="24">
        <f>EI156</f>
        <v/>
      </c>
      <c r="EJ106" s="24">
        <f>EJ156</f>
        <v/>
      </c>
      <c r="EK106" s="24">
        <f>EK156</f>
        <v/>
      </c>
      <c r="EL106" s="24">
        <f>EL156</f>
        <v/>
      </c>
      <c r="EM106" s="24">
        <f>EM156</f>
        <v/>
      </c>
      <c r="EN106" s="24">
        <f>EN156</f>
        <v/>
      </c>
      <c r="EO106" s="24">
        <f>EO156</f>
        <v/>
      </c>
      <c r="EP106" s="24">
        <f>EP156</f>
        <v/>
      </c>
      <c r="EQ106" s="24">
        <f>EQ156</f>
        <v/>
      </c>
      <c r="ER106" s="24">
        <f>ER156</f>
        <v/>
      </c>
      <c r="ES106" s="24">
        <f>ES156</f>
        <v/>
      </c>
      <c r="ET106" s="24">
        <f>ET156</f>
        <v/>
      </c>
      <c r="EU106" s="24">
        <f>EU156</f>
        <v/>
      </c>
      <c r="EV106" s="24">
        <f>EV156</f>
        <v/>
      </c>
      <c r="EW106" s="24">
        <f>EW156</f>
        <v/>
      </c>
      <c r="EX106" s="24">
        <f>EX156</f>
        <v/>
      </c>
      <c r="EY106" s="24">
        <f>EY156</f>
        <v/>
      </c>
      <c r="EZ106" s="24">
        <f>EZ156</f>
        <v/>
      </c>
      <c r="FA106" s="24">
        <f>FA156</f>
        <v/>
      </c>
      <c r="FB106" s="24">
        <f>FB156</f>
        <v/>
      </c>
    </row>
    <row r="107">
      <c r="B107" s="39" t="n"/>
      <c r="C107" s="39" t="n"/>
      <c r="D107" s="39" t="n"/>
      <c r="E107" s="39" t="n"/>
      <c r="F107" s="39" t="n"/>
      <c r="G107" s="39" t="n"/>
      <c r="H107" s="33" t="n"/>
      <c r="I107" s="9" t="inlineStr">
        <is>
          <t>Senior Loan Debt Service</t>
        </is>
      </c>
      <c r="L107" s="24">
        <f>SUMIF($Z$4:$FB$4,"&lt;="&amp;$G$18,$Z107:$FB107)</f>
        <v/>
      </c>
      <c r="M107" s="55" t="n"/>
      <c r="N107" s="24">
        <f>SUMIF($Z$3:$FB$3,N$7,$Z107:$FB107)</f>
        <v/>
      </c>
      <c r="O107" s="24">
        <f>SUMIF($Z$3:$FB$3,O$7,$Z107:$FB107)</f>
        <v/>
      </c>
      <c r="P107" s="24">
        <f>SUMIF($Z$3:$FB$3,P$7,$Z107:$FB107)</f>
        <v/>
      </c>
      <c r="Q107" s="24">
        <f>SUMIF($Z$3:$FB$3,Q$7,$Z107:$FB107)</f>
        <v/>
      </c>
      <c r="R107" s="24">
        <f>SUMIF($Z$3:$FB$3,R$7,$Z107:$FB107)</f>
        <v/>
      </c>
      <c r="S107" s="24">
        <f>SUMIF($Z$3:$FB$3,S$7,$Z107:$FB107)</f>
        <v/>
      </c>
      <c r="T107" s="24">
        <f>SUMIF($Z$3:$FB$3,T$7,$Z107:$FB107)</f>
        <v/>
      </c>
      <c r="U107" s="24">
        <f>SUMIF($Z$3:$FB$3,U$7,$Z107:$FB107)</f>
        <v/>
      </c>
      <c r="V107" s="24">
        <f>SUMIF($Z$3:$FB$3,V$7,$Z107:$FB107)</f>
        <v/>
      </c>
      <c r="W107" s="24">
        <f>SUMIF($Z$3:$FB$3,W$7,$Z107:$FB107)</f>
        <v/>
      </c>
      <c r="X107" s="24">
        <f>SUMIF($Z$3:$FB$3,X$7,$Z107:$FB107)</f>
        <v/>
      </c>
      <c r="Y107" s="55" t="n"/>
      <c r="Z107" s="24">
        <f>SUM(Z158:Z159)</f>
        <v/>
      </c>
      <c r="AA107" s="24">
        <f>SUM(AA158:AA159)</f>
        <v/>
      </c>
      <c r="AB107" s="24">
        <f>SUM(AB158:AB159)</f>
        <v/>
      </c>
      <c r="AC107" s="24">
        <f>SUM(AC158:AC159)</f>
        <v/>
      </c>
      <c r="AD107" s="24">
        <f>SUM(AD158:AD159)</f>
        <v/>
      </c>
      <c r="AE107" s="24">
        <f>SUM(AE158:AE159)</f>
        <v/>
      </c>
      <c r="AF107" s="24">
        <f>SUM(AF158:AF159)</f>
        <v/>
      </c>
      <c r="AG107" s="24">
        <f>SUM(AG158:AG159)</f>
        <v/>
      </c>
      <c r="AH107" s="24">
        <f>SUM(AH158:AH159)</f>
        <v/>
      </c>
      <c r="AI107" s="24">
        <f>SUM(AI158:AI159)</f>
        <v/>
      </c>
      <c r="AJ107" s="24">
        <f>SUM(AJ158:AJ159)</f>
        <v/>
      </c>
      <c r="AK107" s="24">
        <f>SUM(AK158:AK159)</f>
        <v/>
      </c>
      <c r="AL107" s="24">
        <f>SUM(AL158:AL159)</f>
        <v/>
      </c>
      <c r="AM107" s="24">
        <f>SUM(AM158:AM159)</f>
        <v/>
      </c>
      <c r="AN107" s="24">
        <f>SUM(AN158:AN159)</f>
        <v/>
      </c>
      <c r="AO107" s="24">
        <f>SUM(AO158:AO159)</f>
        <v/>
      </c>
      <c r="AP107" s="24">
        <f>SUM(AP158:AP159)</f>
        <v/>
      </c>
      <c r="AQ107" s="24">
        <f>SUM(AQ158:AQ159)</f>
        <v/>
      </c>
      <c r="AR107" s="24">
        <f>SUM(AR158:AR159)</f>
        <v/>
      </c>
      <c r="AS107" s="24">
        <f>SUM(AS158:AS159)</f>
        <v/>
      </c>
      <c r="AT107" s="24">
        <f>SUM(AT158:AT159)</f>
        <v/>
      </c>
      <c r="AU107" s="24">
        <f>SUM(AU158:AU159)</f>
        <v/>
      </c>
      <c r="AV107" s="24">
        <f>SUM(AV158:AV159)</f>
        <v/>
      </c>
      <c r="AW107" s="24">
        <f>SUM(AW158:AW159)</f>
        <v/>
      </c>
      <c r="AX107" s="24">
        <f>SUM(AX158:AX159)</f>
        <v/>
      </c>
      <c r="AY107" s="24">
        <f>SUM(AY158:AY159)</f>
        <v/>
      </c>
      <c r="AZ107" s="24">
        <f>SUM(AZ158:AZ159)</f>
        <v/>
      </c>
      <c r="BA107" s="24">
        <f>SUM(BA158:BA159)</f>
        <v/>
      </c>
      <c r="BB107" s="24">
        <f>SUM(BB158:BB159)</f>
        <v/>
      </c>
      <c r="BC107" s="24">
        <f>SUM(BC158:BC159)</f>
        <v/>
      </c>
      <c r="BD107" s="24">
        <f>SUM(BD158:BD159)</f>
        <v/>
      </c>
      <c r="BE107" s="24">
        <f>SUM(BE158:BE159)</f>
        <v/>
      </c>
      <c r="BF107" s="24">
        <f>SUM(BF158:BF159)</f>
        <v/>
      </c>
      <c r="BG107" s="24">
        <f>SUM(BG158:BG159)</f>
        <v/>
      </c>
      <c r="BH107" s="24">
        <f>SUM(BH158:BH159)</f>
        <v/>
      </c>
      <c r="BI107" s="24">
        <f>SUM(BI158:BI159)</f>
        <v/>
      </c>
      <c r="BJ107" s="24">
        <f>SUM(BJ158:BJ159)</f>
        <v/>
      </c>
      <c r="BK107" s="24">
        <f>SUM(BK158:BK159)</f>
        <v/>
      </c>
      <c r="BL107" s="24">
        <f>SUM(BL158:BL159)</f>
        <v/>
      </c>
      <c r="BM107" s="24">
        <f>SUM(BM158:BM159)</f>
        <v/>
      </c>
      <c r="BN107" s="24">
        <f>SUM(BN158:BN159)</f>
        <v/>
      </c>
      <c r="BO107" s="24">
        <f>SUM(BO158:BO159)</f>
        <v/>
      </c>
      <c r="BP107" s="24">
        <f>SUM(BP158:BP159)</f>
        <v/>
      </c>
      <c r="BQ107" s="24">
        <f>SUM(BQ158:BQ159)</f>
        <v/>
      </c>
      <c r="BR107" s="24">
        <f>SUM(BR158:BR159)</f>
        <v/>
      </c>
      <c r="BS107" s="24">
        <f>SUM(BS158:BS159)</f>
        <v/>
      </c>
      <c r="BT107" s="24">
        <f>SUM(BT158:BT159)</f>
        <v/>
      </c>
      <c r="BU107" s="24">
        <f>SUM(BU158:BU159)</f>
        <v/>
      </c>
      <c r="BV107" s="24">
        <f>SUM(BV158:BV159)</f>
        <v/>
      </c>
      <c r="BW107" s="24">
        <f>SUM(BW158:BW159)</f>
        <v/>
      </c>
      <c r="BX107" s="24">
        <f>SUM(BX158:BX159)</f>
        <v/>
      </c>
      <c r="BY107" s="24">
        <f>SUM(BY158:BY159)</f>
        <v/>
      </c>
      <c r="BZ107" s="24">
        <f>SUM(BZ158:BZ159)</f>
        <v/>
      </c>
      <c r="CA107" s="24">
        <f>SUM(CA158:CA159)</f>
        <v/>
      </c>
      <c r="CB107" s="24">
        <f>SUM(CB158:CB159)</f>
        <v/>
      </c>
      <c r="CC107" s="24">
        <f>SUM(CC158:CC159)</f>
        <v/>
      </c>
      <c r="CD107" s="24">
        <f>SUM(CD158:CD159)</f>
        <v/>
      </c>
      <c r="CE107" s="24">
        <f>SUM(CE158:CE159)</f>
        <v/>
      </c>
      <c r="CF107" s="24">
        <f>SUM(CF158:CF159)</f>
        <v/>
      </c>
      <c r="CG107" s="24">
        <f>SUM(CG158:CG159)</f>
        <v/>
      </c>
      <c r="CH107" s="24">
        <f>SUM(CH158:CH159)</f>
        <v/>
      </c>
      <c r="CI107" s="24">
        <f>SUM(CI158:CI159)</f>
        <v/>
      </c>
      <c r="CJ107" s="24">
        <f>SUM(CJ158:CJ159)</f>
        <v/>
      </c>
      <c r="CK107" s="24">
        <f>SUM(CK158:CK159)</f>
        <v/>
      </c>
      <c r="CL107" s="24">
        <f>SUM(CL158:CL159)</f>
        <v/>
      </c>
      <c r="CM107" s="24">
        <f>SUM(CM158:CM159)</f>
        <v/>
      </c>
      <c r="CN107" s="24">
        <f>SUM(CN158:CN159)</f>
        <v/>
      </c>
      <c r="CO107" s="24">
        <f>SUM(CO158:CO159)</f>
        <v/>
      </c>
      <c r="CP107" s="24">
        <f>SUM(CP158:CP159)</f>
        <v/>
      </c>
      <c r="CQ107" s="24">
        <f>SUM(CQ158:CQ159)</f>
        <v/>
      </c>
      <c r="CR107" s="24">
        <f>SUM(CR158:CR159)</f>
        <v/>
      </c>
      <c r="CS107" s="24">
        <f>SUM(CS158:CS159)</f>
        <v/>
      </c>
      <c r="CT107" s="24">
        <f>SUM(CT158:CT159)</f>
        <v/>
      </c>
      <c r="CU107" s="24">
        <f>SUM(CU158:CU159)</f>
        <v/>
      </c>
      <c r="CV107" s="24">
        <f>SUM(CV158:CV159)</f>
        <v/>
      </c>
      <c r="CW107" s="24">
        <f>SUM(CW158:CW159)</f>
        <v/>
      </c>
      <c r="CX107" s="24">
        <f>SUM(CX158:CX159)</f>
        <v/>
      </c>
      <c r="CY107" s="24">
        <f>SUM(CY158:CY159)</f>
        <v/>
      </c>
      <c r="CZ107" s="24">
        <f>SUM(CZ158:CZ159)</f>
        <v/>
      </c>
      <c r="DA107" s="24">
        <f>SUM(DA158:DA159)</f>
        <v/>
      </c>
      <c r="DB107" s="24">
        <f>SUM(DB158:DB159)</f>
        <v/>
      </c>
      <c r="DC107" s="24">
        <f>SUM(DC158:DC159)</f>
        <v/>
      </c>
      <c r="DD107" s="24">
        <f>SUM(DD158:DD159)</f>
        <v/>
      </c>
      <c r="DE107" s="24">
        <f>SUM(DE158:DE159)</f>
        <v/>
      </c>
      <c r="DF107" s="24">
        <f>SUM(DF158:DF159)</f>
        <v/>
      </c>
      <c r="DG107" s="24">
        <f>SUM(DG158:DG159)</f>
        <v/>
      </c>
      <c r="DH107" s="24">
        <f>SUM(DH158:DH159)</f>
        <v/>
      </c>
      <c r="DI107" s="24">
        <f>SUM(DI158:DI159)</f>
        <v/>
      </c>
      <c r="DJ107" s="24">
        <f>SUM(DJ158:DJ159)</f>
        <v/>
      </c>
      <c r="DK107" s="24">
        <f>SUM(DK158:DK159)</f>
        <v/>
      </c>
      <c r="DL107" s="24">
        <f>SUM(DL158:DL159)</f>
        <v/>
      </c>
      <c r="DM107" s="24">
        <f>SUM(DM158:DM159)</f>
        <v/>
      </c>
      <c r="DN107" s="24">
        <f>SUM(DN158:DN159)</f>
        <v/>
      </c>
      <c r="DO107" s="24">
        <f>SUM(DO158:DO159)</f>
        <v/>
      </c>
      <c r="DP107" s="24">
        <f>SUM(DP158:DP159)</f>
        <v/>
      </c>
      <c r="DQ107" s="24">
        <f>SUM(DQ158:DQ159)</f>
        <v/>
      </c>
      <c r="DR107" s="24">
        <f>SUM(DR158:DR159)</f>
        <v/>
      </c>
      <c r="DS107" s="24">
        <f>SUM(DS158:DS159)</f>
        <v/>
      </c>
      <c r="DT107" s="24">
        <f>SUM(DT158:DT159)</f>
        <v/>
      </c>
      <c r="DU107" s="24">
        <f>SUM(DU158:DU159)</f>
        <v/>
      </c>
      <c r="DV107" s="24">
        <f>SUM(DV158:DV159)</f>
        <v/>
      </c>
      <c r="DW107" s="24">
        <f>SUM(DW158:DW159)</f>
        <v/>
      </c>
      <c r="DX107" s="24">
        <f>SUM(DX158:DX159)</f>
        <v/>
      </c>
      <c r="DY107" s="24">
        <f>SUM(DY158:DY159)</f>
        <v/>
      </c>
      <c r="DZ107" s="24">
        <f>SUM(DZ158:DZ159)</f>
        <v/>
      </c>
      <c r="EA107" s="24">
        <f>SUM(EA158:EA159)</f>
        <v/>
      </c>
      <c r="EB107" s="24">
        <f>SUM(EB158:EB159)</f>
        <v/>
      </c>
      <c r="EC107" s="24">
        <f>SUM(EC158:EC159)</f>
        <v/>
      </c>
      <c r="ED107" s="24">
        <f>SUM(ED158:ED159)</f>
        <v/>
      </c>
      <c r="EE107" s="24">
        <f>SUM(EE158:EE159)</f>
        <v/>
      </c>
      <c r="EF107" s="24">
        <f>SUM(EF158:EF159)</f>
        <v/>
      </c>
      <c r="EG107" s="24">
        <f>SUM(EG158:EG159)</f>
        <v/>
      </c>
      <c r="EH107" s="24">
        <f>SUM(EH158:EH159)</f>
        <v/>
      </c>
      <c r="EI107" s="24">
        <f>SUM(EI158:EI159)</f>
        <v/>
      </c>
      <c r="EJ107" s="24">
        <f>SUM(EJ158:EJ159)</f>
        <v/>
      </c>
      <c r="EK107" s="24">
        <f>SUM(EK158:EK159)</f>
        <v/>
      </c>
      <c r="EL107" s="24">
        <f>SUM(EL158:EL159)</f>
        <v/>
      </c>
      <c r="EM107" s="24">
        <f>SUM(EM158:EM159)</f>
        <v/>
      </c>
      <c r="EN107" s="24">
        <f>SUM(EN158:EN159)</f>
        <v/>
      </c>
      <c r="EO107" s="24">
        <f>SUM(EO158:EO159)</f>
        <v/>
      </c>
      <c r="EP107" s="24">
        <f>SUM(EP158:EP159)</f>
        <v/>
      </c>
      <c r="EQ107" s="24">
        <f>SUM(EQ158:EQ159)</f>
        <v/>
      </c>
      <c r="ER107" s="24">
        <f>SUM(ER158:ER159)</f>
        <v/>
      </c>
      <c r="ES107" s="24">
        <f>SUM(ES158:ES159)</f>
        <v/>
      </c>
      <c r="ET107" s="24">
        <f>SUM(ET158:ET159)</f>
        <v/>
      </c>
      <c r="EU107" s="24">
        <f>SUM(EU158:EU159)</f>
        <v/>
      </c>
      <c r="EV107" s="24">
        <f>SUM(EV158:EV159)</f>
        <v/>
      </c>
      <c r="EW107" s="24">
        <f>SUM(EW158:EW159)</f>
        <v/>
      </c>
      <c r="EX107" s="24">
        <f>SUM(EX158:EX159)</f>
        <v/>
      </c>
      <c r="EY107" s="24">
        <f>SUM(EY158:EY159)</f>
        <v/>
      </c>
      <c r="EZ107" s="24">
        <f>SUM(EZ158:EZ159)</f>
        <v/>
      </c>
      <c r="FA107" s="24">
        <f>SUM(FA158:FA159)</f>
        <v/>
      </c>
      <c r="FB107" s="24">
        <f>SUM(FB158:FB159)</f>
        <v/>
      </c>
    </row>
    <row r="108">
      <c r="A108" s="44" t="n"/>
      <c r="B108" s="10" t="n"/>
      <c r="C108" s="236" t="n"/>
      <c r="D108" s="236" t="n"/>
      <c r="E108" s="236" t="n"/>
      <c r="F108" s="236" t="n"/>
      <c r="G108" s="236" t="n"/>
      <c r="I108" s="143" t="inlineStr">
        <is>
          <t>Senior Loan Payoff</t>
        </is>
      </c>
      <c r="J108" s="143" t="n"/>
      <c r="L108" s="144">
        <f>SUMIF($Z$4:$FB$4,"&lt;="&amp;$G$18,$Z108:$FB108)</f>
        <v/>
      </c>
      <c r="M108" s="55" t="n"/>
      <c r="N108" s="144">
        <f>SUMIF($Z$3:$FB$3,N$7,$Z108:$FB108)</f>
        <v/>
      </c>
      <c r="O108" s="144">
        <f>SUMIF($Z$3:$FB$3,O$7,$Z108:$FB108)</f>
        <v/>
      </c>
      <c r="P108" s="144">
        <f>SUMIF($Z$3:$FB$3,P$7,$Z108:$FB108)</f>
        <v/>
      </c>
      <c r="Q108" s="144">
        <f>SUMIF($Z$3:$FB$3,Q$7,$Z108:$FB108)</f>
        <v/>
      </c>
      <c r="R108" s="144">
        <f>SUMIF($Z$3:$FB$3,R$7,$Z108:$FB108)</f>
        <v/>
      </c>
      <c r="S108" s="144">
        <f>SUMIF($Z$3:$FB$3,S$7,$Z108:$FB108)</f>
        <v/>
      </c>
      <c r="T108" s="144">
        <f>SUMIF($Z$3:$FB$3,T$7,$Z108:$FB108)</f>
        <v/>
      </c>
      <c r="U108" s="144">
        <f>SUMIF($Z$3:$FB$3,U$7,$Z108:$FB108)</f>
        <v/>
      </c>
      <c r="V108" s="144">
        <f>SUMIF($Z$3:$FB$3,V$7,$Z108:$FB108)</f>
        <v/>
      </c>
      <c r="W108" s="144">
        <f>SUMIF($Z$3:$FB$3,W$7,$Z108:$FB108)</f>
        <v/>
      </c>
      <c r="X108" s="144">
        <f>SUMIF($Z$3:$FB$3,X$7,$Z108:$FB108)</f>
        <v/>
      </c>
      <c r="Y108" s="55" t="n"/>
      <c r="Z108" s="144">
        <f>Z160</f>
        <v/>
      </c>
      <c r="AA108" s="144">
        <f>AA160</f>
        <v/>
      </c>
      <c r="AB108" s="144">
        <f>AB160</f>
        <v/>
      </c>
      <c r="AC108" s="144">
        <f>AC160</f>
        <v/>
      </c>
      <c r="AD108" s="144">
        <f>AD160</f>
        <v/>
      </c>
      <c r="AE108" s="144">
        <f>AE160</f>
        <v/>
      </c>
      <c r="AF108" s="144">
        <f>AF160</f>
        <v/>
      </c>
      <c r="AG108" s="144">
        <f>AG160</f>
        <v/>
      </c>
      <c r="AH108" s="144">
        <f>AH160</f>
        <v/>
      </c>
      <c r="AI108" s="144">
        <f>AI160</f>
        <v/>
      </c>
      <c r="AJ108" s="144">
        <f>AJ160</f>
        <v/>
      </c>
      <c r="AK108" s="144">
        <f>AK160</f>
        <v/>
      </c>
      <c r="AL108" s="144">
        <f>AL160</f>
        <v/>
      </c>
      <c r="AM108" s="144">
        <f>AM160</f>
        <v/>
      </c>
      <c r="AN108" s="144">
        <f>AN160</f>
        <v/>
      </c>
      <c r="AO108" s="144">
        <f>AO160</f>
        <v/>
      </c>
      <c r="AP108" s="144">
        <f>AP160</f>
        <v/>
      </c>
      <c r="AQ108" s="144">
        <f>AQ160</f>
        <v/>
      </c>
      <c r="AR108" s="144">
        <f>AR160</f>
        <v/>
      </c>
      <c r="AS108" s="144">
        <f>AS160</f>
        <v/>
      </c>
      <c r="AT108" s="144">
        <f>AT160</f>
        <v/>
      </c>
      <c r="AU108" s="144">
        <f>AU160</f>
        <v/>
      </c>
      <c r="AV108" s="144">
        <f>AV160</f>
        <v/>
      </c>
      <c r="AW108" s="144">
        <f>AW160</f>
        <v/>
      </c>
      <c r="AX108" s="144">
        <f>AX160</f>
        <v/>
      </c>
      <c r="AY108" s="144">
        <f>AY160</f>
        <v/>
      </c>
      <c r="AZ108" s="144">
        <f>AZ160</f>
        <v/>
      </c>
      <c r="BA108" s="144">
        <f>BA160</f>
        <v/>
      </c>
      <c r="BB108" s="144">
        <f>BB160</f>
        <v/>
      </c>
      <c r="BC108" s="144">
        <f>BC160</f>
        <v/>
      </c>
      <c r="BD108" s="144">
        <f>BD160</f>
        <v/>
      </c>
      <c r="BE108" s="144">
        <f>BE160</f>
        <v/>
      </c>
      <c r="BF108" s="144">
        <f>BF160</f>
        <v/>
      </c>
      <c r="BG108" s="144">
        <f>BG160</f>
        <v/>
      </c>
      <c r="BH108" s="144">
        <f>BH160</f>
        <v/>
      </c>
      <c r="BI108" s="144">
        <f>BI160</f>
        <v/>
      </c>
      <c r="BJ108" s="144">
        <f>BJ160</f>
        <v/>
      </c>
      <c r="BK108" s="144">
        <f>BK160</f>
        <v/>
      </c>
      <c r="BL108" s="144">
        <f>BL160</f>
        <v/>
      </c>
      <c r="BM108" s="144">
        <f>BM160</f>
        <v/>
      </c>
      <c r="BN108" s="144">
        <f>BN160</f>
        <v/>
      </c>
      <c r="BO108" s="144">
        <f>BO160</f>
        <v/>
      </c>
      <c r="BP108" s="144">
        <f>BP160</f>
        <v/>
      </c>
      <c r="BQ108" s="144">
        <f>BQ160</f>
        <v/>
      </c>
      <c r="BR108" s="144">
        <f>BR160</f>
        <v/>
      </c>
      <c r="BS108" s="144">
        <f>BS160</f>
        <v/>
      </c>
      <c r="BT108" s="144">
        <f>BT160</f>
        <v/>
      </c>
      <c r="BU108" s="144">
        <f>BU160</f>
        <v/>
      </c>
      <c r="BV108" s="144">
        <f>BV160</f>
        <v/>
      </c>
      <c r="BW108" s="144">
        <f>BW160</f>
        <v/>
      </c>
      <c r="BX108" s="144">
        <f>BX160</f>
        <v/>
      </c>
      <c r="BY108" s="144">
        <f>BY160</f>
        <v/>
      </c>
      <c r="BZ108" s="144">
        <f>BZ160</f>
        <v/>
      </c>
      <c r="CA108" s="144">
        <f>CA160</f>
        <v/>
      </c>
      <c r="CB108" s="144">
        <f>CB160</f>
        <v/>
      </c>
      <c r="CC108" s="144">
        <f>CC160</f>
        <v/>
      </c>
      <c r="CD108" s="144">
        <f>CD160</f>
        <v/>
      </c>
      <c r="CE108" s="144">
        <f>CE160</f>
        <v/>
      </c>
      <c r="CF108" s="144">
        <f>CF160</f>
        <v/>
      </c>
      <c r="CG108" s="144">
        <f>CG160</f>
        <v/>
      </c>
      <c r="CH108" s="144">
        <f>CH160</f>
        <v/>
      </c>
      <c r="CI108" s="144">
        <f>CI160</f>
        <v/>
      </c>
      <c r="CJ108" s="144">
        <f>CJ160</f>
        <v/>
      </c>
      <c r="CK108" s="144">
        <f>CK160</f>
        <v/>
      </c>
      <c r="CL108" s="144">
        <f>CL160</f>
        <v/>
      </c>
      <c r="CM108" s="144">
        <f>CM160</f>
        <v/>
      </c>
      <c r="CN108" s="144">
        <f>CN160</f>
        <v/>
      </c>
      <c r="CO108" s="144">
        <f>CO160</f>
        <v/>
      </c>
      <c r="CP108" s="144">
        <f>CP160</f>
        <v/>
      </c>
      <c r="CQ108" s="144">
        <f>CQ160</f>
        <v/>
      </c>
      <c r="CR108" s="144">
        <f>CR160</f>
        <v/>
      </c>
      <c r="CS108" s="144">
        <f>CS160</f>
        <v/>
      </c>
      <c r="CT108" s="144">
        <f>CT160</f>
        <v/>
      </c>
      <c r="CU108" s="144">
        <f>CU160</f>
        <v/>
      </c>
      <c r="CV108" s="144">
        <f>CV160</f>
        <v/>
      </c>
      <c r="CW108" s="144">
        <f>CW160</f>
        <v/>
      </c>
      <c r="CX108" s="144">
        <f>CX160</f>
        <v/>
      </c>
      <c r="CY108" s="144">
        <f>CY160</f>
        <v/>
      </c>
      <c r="CZ108" s="144">
        <f>CZ160</f>
        <v/>
      </c>
      <c r="DA108" s="144">
        <f>DA160</f>
        <v/>
      </c>
      <c r="DB108" s="144">
        <f>DB160</f>
        <v/>
      </c>
      <c r="DC108" s="144">
        <f>DC160</f>
        <v/>
      </c>
      <c r="DD108" s="144">
        <f>DD160</f>
        <v/>
      </c>
      <c r="DE108" s="144">
        <f>DE160</f>
        <v/>
      </c>
      <c r="DF108" s="144">
        <f>DF160</f>
        <v/>
      </c>
      <c r="DG108" s="144">
        <f>DG160</f>
        <v/>
      </c>
      <c r="DH108" s="144">
        <f>DH160</f>
        <v/>
      </c>
      <c r="DI108" s="144">
        <f>DI160</f>
        <v/>
      </c>
      <c r="DJ108" s="144">
        <f>DJ160</f>
        <v/>
      </c>
      <c r="DK108" s="144">
        <f>DK160</f>
        <v/>
      </c>
      <c r="DL108" s="144">
        <f>DL160</f>
        <v/>
      </c>
      <c r="DM108" s="144">
        <f>DM160</f>
        <v/>
      </c>
      <c r="DN108" s="144">
        <f>DN160</f>
        <v/>
      </c>
      <c r="DO108" s="144">
        <f>DO160</f>
        <v/>
      </c>
      <c r="DP108" s="144">
        <f>DP160</f>
        <v/>
      </c>
      <c r="DQ108" s="144">
        <f>DQ160</f>
        <v/>
      </c>
      <c r="DR108" s="144">
        <f>DR160</f>
        <v/>
      </c>
      <c r="DS108" s="144">
        <f>DS160</f>
        <v/>
      </c>
      <c r="DT108" s="144">
        <f>DT160</f>
        <v/>
      </c>
      <c r="DU108" s="144">
        <f>DU160</f>
        <v/>
      </c>
      <c r="DV108" s="144">
        <f>DV160</f>
        <v/>
      </c>
      <c r="DW108" s="144">
        <f>DW160</f>
        <v/>
      </c>
      <c r="DX108" s="144">
        <f>DX160</f>
        <v/>
      </c>
      <c r="DY108" s="144">
        <f>DY160</f>
        <v/>
      </c>
      <c r="DZ108" s="144">
        <f>DZ160</f>
        <v/>
      </c>
      <c r="EA108" s="144">
        <f>EA160</f>
        <v/>
      </c>
      <c r="EB108" s="144">
        <f>EB160</f>
        <v/>
      </c>
      <c r="EC108" s="144">
        <f>EC160</f>
        <v/>
      </c>
      <c r="ED108" s="144">
        <f>ED160</f>
        <v/>
      </c>
      <c r="EE108" s="144">
        <f>EE160</f>
        <v/>
      </c>
      <c r="EF108" s="144">
        <f>EF160</f>
        <v/>
      </c>
      <c r="EG108" s="144">
        <f>EG160</f>
        <v/>
      </c>
      <c r="EH108" s="144">
        <f>EH160</f>
        <v/>
      </c>
      <c r="EI108" s="144">
        <f>EI160</f>
        <v/>
      </c>
      <c r="EJ108" s="144">
        <f>EJ160</f>
        <v/>
      </c>
      <c r="EK108" s="144">
        <f>EK160</f>
        <v/>
      </c>
      <c r="EL108" s="144">
        <f>EL160</f>
        <v/>
      </c>
      <c r="EM108" s="144">
        <f>EM160</f>
        <v/>
      </c>
      <c r="EN108" s="144">
        <f>EN160</f>
        <v/>
      </c>
      <c r="EO108" s="144">
        <f>EO160</f>
        <v/>
      </c>
      <c r="EP108" s="144">
        <f>EP160</f>
        <v/>
      </c>
      <c r="EQ108" s="144">
        <f>EQ160</f>
        <v/>
      </c>
      <c r="ER108" s="144">
        <f>ER160</f>
        <v/>
      </c>
      <c r="ES108" s="144">
        <f>ES160</f>
        <v/>
      </c>
      <c r="ET108" s="144">
        <f>ET160</f>
        <v/>
      </c>
      <c r="EU108" s="144">
        <f>EU160</f>
        <v/>
      </c>
      <c r="EV108" s="144">
        <f>EV160</f>
        <v/>
      </c>
      <c r="EW108" s="144">
        <f>EW160</f>
        <v/>
      </c>
      <c r="EX108" s="144">
        <f>EX160</f>
        <v/>
      </c>
      <c r="EY108" s="144">
        <f>EY160</f>
        <v/>
      </c>
      <c r="EZ108" s="144">
        <f>EZ160</f>
        <v/>
      </c>
      <c r="FA108" s="144">
        <f>FA160</f>
        <v/>
      </c>
      <c r="FB108" s="144">
        <f>FB160</f>
        <v/>
      </c>
    </row>
    <row r="109">
      <c r="B109" s="39" t="n"/>
      <c r="C109" s="39" t="n"/>
      <c r="D109" s="39" t="n"/>
      <c r="E109" s="39" t="n"/>
      <c r="F109" s="39" t="n"/>
      <c r="G109" s="39" t="n"/>
      <c r="I109" s="9" t="inlineStr">
        <is>
          <t>Refi Financing Costs</t>
        </is>
      </c>
      <c r="L109" s="24">
        <f>SUMIF($Z$4:$FB$4,"&lt;="&amp;$G$18,$Z109:$FB109)</f>
        <v/>
      </c>
      <c r="M109" s="55" t="n"/>
      <c r="N109" s="24">
        <f>SUMIF($Z$3:$FB$3,N$7,$Z109:$FB109)</f>
        <v/>
      </c>
      <c r="O109" s="24">
        <f>SUMIF($Z$3:$FB$3,O$7,$Z109:$FB109)</f>
        <v/>
      </c>
      <c r="P109" s="24">
        <f>SUMIF($Z$3:$FB$3,P$7,$Z109:$FB109)</f>
        <v/>
      </c>
      <c r="Q109" s="24">
        <f>SUMIF($Z$3:$FB$3,Q$7,$Z109:$FB109)</f>
        <v/>
      </c>
      <c r="R109" s="24">
        <f>SUMIF($Z$3:$FB$3,R$7,$Z109:$FB109)</f>
        <v/>
      </c>
      <c r="S109" s="24">
        <f>SUMIF($Z$3:$FB$3,S$7,$Z109:$FB109)</f>
        <v/>
      </c>
      <c r="T109" s="24">
        <f>SUMIF($Z$3:$FB$3,T$7,$Z109:$FB109)</f>
        <v/>
      </c>
      <c r="U109" s="24">
        <f>SUMIF($Z$3:$FB$3,U$7,$Z109:$FB109)</f>
        <v/>
      </c>
      <c r="V109" s="24">
        <f>SUMIF($Z$3:$FB$3,V$7,$Z109:$FB109)</f>
        <v/>
      </c>
      <c r="W109" s="24">
        <f>SUMIF($Z$3:$FB$3,W$7,$Z109:$FB109)</f>
        <v/>
      </c>
      <c r="X109" s="24">
        <f>SUMIF($Z$3:$FB$3,X$7,$Z109:$FB109)</f>
        <v/>
      </c>
      <c r="Y109" s="55" t="n"/>
      <c r="Z109" s="24">
        <f>IF(Z6=$D$47,-$G$49,0)</f>
        <v/>
      </c>
      <c r="AA109" s="24">
        <f>IF(AA6=$D$47,-$G$49,0)</f>
        <v/>
      </c>
      <c r="AB109" s="24">
        <f>IF(AB6=$D$47,-$G$49,0)</f>
        <v/>
      </c>
      <c r="AC109" s="24">
        <f>IF(AC6=$D$47,-$G$49,0)</f>
        <v/>
      </c>
      <c r="AD109" s="24">
        <f>IF(AD6=$D$47,-$G$49,0)</f>
        <v/>
      </c>
      <c r="AE109" s="24">
        <f>IF(AE6=$D$47,-$G$49,0)</f>
        <v/>
      </c>
      <c r="AF109" s="24">
        <f>IF(AF6=$D$47,-$G$49,0)</f>
        <v/>
      </c>
      <c r="AG109" s="24">
        <f>IF(AG6=$D$47,-$G$49,0)</f>
        <v/>
      </c>
      <c r="AH109" s="24">
        <f>IF(AH6=$D$47,-$G$49,0)</f>
        <v/>
      </c>
      <c r="AI109" s="24">
        <f>IF(AI6=$D$47,-$G$49,0)</f>
        <v/>
      </c>
      <c r="AJ109" s="24">
        <f>IF(AJ6=$D$47,-$G$49,0)</f>
        <v/>
      </c>
      <c r="AK109" s="24">
        <f>IF(AK6=$D$47,-$G$49,0)</f>
        <v/>
      </c>
      <c r="AL109" s="24">
        <f>IF(AL6=$D$47,-$G$49,0)</f>
        <v/>
      </c>
      <c r="AM109" s="24">
        <f>IF(AM6=$D$47,-$G$49,0)</f>
        <v/>
      </c>
      <c r="AN109" s="24">
        <f>IF(AN6=$D$47,-$G$49,0)</f>
        <v/>
      </c>
      <c r="AO109" s="24">
        <f>IF(AO6=$D$47,-$G$49,0)</f>
        <v/>
      </c>
      <c r="AP109" s="24">
        <f>IF(AP6=$D$47,-$G$49,0)</f>
        <v/>
      </c>
      <c r="AQ109" s="24">
        <f>IF(AQ6=$D$47,-$G$49,0)</f>
        <v/>
      </c>
      <c r="AR109" s="24">
        <f>IF(AR6=$D$47,-$G$49,0)</f>
        <v/>
      </c>
      <c r="AS109" s="24">
        <f>IF(AS6=$D$47,-$G$49,0)</f>
        <v/>
      </c>
      <c r="AT109" s="24">
        <f>IF(AT6=$D$47,-$G$49,0)</f>
        <v/>
      </c>
      <c r="AU109" s="24">
        <f>IF(AU6=$D$47,-$G$49,0)</f>
        <v/>
      </c>
      <c r="AV109" s="24">
        <f>IF(AV6=$D$47,-$G$49,0)</f>
        <v/>
      </c>
      <c r="AW109" s="24">
        <f>IF(AW6=$D$47,-$G$49,0)</f>
        <v/>
      </c>
      <c r="AX109" s="24">
        <f>IF(AX6=$D$47,-$G$49,0)</f>
        <v/>
      </c>
      <c r="AY109" s="24">
        <f>IF(AY6=$D$47,-$G$49,0)</f>
        <v/>
      </c>
      <c r="AZ109" s="24">
        <f>IF(AZ6=$D$47,-$G$49,0)</f>
        <v/>
      </c>
      <c r="BA109" s="24">
        <f>IF(BA6=$D$47,-$G$49,0)</f>
        <v/>
      </c>
      <c r="BB109" s="24">
        <f>IF(BB6=$D$47,-$G$49,0)</f>
        <v/>
      </c>
      <c r="BC109" s="24">
        <f>IF(BC6=$D$47,-$G$49,0)</f>
        <v/>
      </c>
      <c r="BD109" s="24">
        <f>IF(BD6=$D$47,-$G$49,0)</f>
        <v/>
      </c>
      <c r="BE109" s="24">
        <f>IF(BE6=$D$47,-$G$49,0)</f>
        <v/>
      </c>
      <c r="BF109" s="24">
        <f>IF(BF6=$D$47,-$G$49,0)</f>
        <v/>
      </c>
      <c r="BG109" s="24">
        <f>IF(BG6=$D$47,-$G$49,0)</f>
        <v/>
      </c>
      <c r="BH109" s="24">
        <f>IF(BH6=$D$47,-$G$49,0)</f>
        <v/>
      </c>
      <c r="BI109" s="24">
        <f>IF(BI6=$D$47,-$G$49,0)</f>
        <v/>
      </c>
      <c r="BJ109" s="24">
        <f>IF(BJ6=$D$47,-$G$49,0)</f>
        <v/>
      </c>
      <c r="BK109" s="24">
        <f>IF(BK6=$D$47,-$G$49,0)</f>
        <v/>
      </c>
      <c r="BL109" s="24">
        <f>IF(BL6=$D$47,-$G$49,0)</f>
        <v/>
      </c>
      <c r="BM109" s="24">
        <f>IF(BM6=$D$47,-$G$49,0)</f>
        <v/>
      </c>
      <c r="BN109" s="24">
        <f>IF(BN6=$D$47,-$G$49,0)</f>
        <v/>
      </c>
      <c r="BO109" s="24">
        <f>IF(BO6=$D$47,-$G$49,0)</f>
        <v/>
      </c>
      <c r="BP109" s="24">
        <f>IF(BP6=$D$47,-$G$49,0)</f>
        <v/>
      </c>
      <c r="BQ109" s="24">
        <f>IF(BQ6=$D$47,-$G$49,0)</f>
        <v/>
      </c>
      <c r="BR109" s="24">
        <f>IF(BR6=$D$47,-$G$49,0)</f>
        <v/>
      </c>
      <c r="BS109" s="24">
        <f>IF(BS6=$D$47,-$G$49,0)</f>
        <v/>
      </c>
      <c r="BT109" s="24">
        <f>IF(BT6=$D$47,-$G$49,0)</f>
        <v/>
      </c>
      <c r="BU109" s="24">
        <f>IF(BU6=$D$47,-$G$49,0)</f>
        <v/>
      </c>
      <c r="BV109" s="24">
        <f>IF(BV6=$D$47,-$G$49,0)</f>
        <v/>
      </c>
      <c r="BW109" s="24">
        <f>IF(BW6=$D$47,-$G$49,0)</f>
        <v/>
      </c>
      <c r="BX109" s="24">
        <f>IF(BX6=$D$47,-$G$49,0)</f>
        <v/>
      </c>
      <c r="BY109" s="24">
        <f>IF(BY6=$D$47,-$G$49,0)</f>
        <v/>
      </c>
      <c r="BZ109" s="24">
        <f>IF(BZ6=$D$47,-$G$49,0)</f>
        <v/>
      </c>
      <c r="CA109" s="24">
        <f>IF(CA6=$D$47,-$G$49,0)</f>
        <v/>
      </c>
      <c r="CB109" s="24">
        <f>IF(CB6=$D$47,-$G$49,0)</f>
        <v/>
      </c>
      <c r="CC109" s="24">
        <f>IF(CC6=$D$47,-$G$49,0)</f>
        <v/>
      </c>
      <c r="CD109" s="24">
        <f>IF(CD6=$D$47,-$G$49,0)</f>
        <v/>
      </c>
      <c r="CE109" s="24">
        <f>IF(CE6=$D$47,-$G$49,0)</f>
        <v/>
      </c>
      <c r="CF109" s="24">
        <f>IF(CF6=$D$47,-$G$49,0)</f>
        <v/>
      </c>
      <c r="CG109" s="24">
        <f>IF(CG6=$D$47,-$G$49,0)</f>
        <v/>
      </c>
      <c r="CH109" s="24">
        <f>IF(CH6=$D$47,-$G$49,0)</f>
        <v/>
      </c>
      <c r="CI109" s="24">
        <f>IF(CI6=$D$47,-$G$49,0)</f>
        <v/>
      </c>
      <c r="CJ109" s="24">
        <f>IF(CJ6=$D$47,-$G$49,0)</f>
        <v/>
      </c>
      <c r="CK109" s="24">
        <f>IF(CK6=$D$47,-$G$49,0)</f>
        <v/>
      </c>
      <c r="CL109" s="24">
        <f>IF(CL6=$D$47,-$G$49,0)</f>
        <v/>
      </c>
      <c r="CM109" s="24">
        <f>IF(CM6=$D$47,-$G$49,0)</f>
        <v/>
      </c>
      <c r="CN109" s="24">
        <f>IF(CN6=$D$47,-$G$49,0)</f>
        <v/>
      </c>
      <c r="CO109" s="24">
        <f>IF(CO6=$D$47,-$G$49,0)</f>
        <v/>
      </c>
      <c r="CP109" s="24">
        <f>IF(CP6=$D$47,-$G$49,0)</f>
        <v/>
      </c>
      <c r="CQ109" s="24">
        <f>IF(CQ6=$D$47,-$G$49,0)</f>
        <v/>
      </c>
      <c r="CR109" s="24">
        <f>IF(CR6=$D$47,-$G$49,0)</f>
        <v/>
      </c>
      <c r="CS109" s="24">
        <f>IF(CS6=$D$47,-$G$49,0)</f>
        <v/>
      </c>
      <c r="CT109" s="24">
        <f>IF(CT6=$D$47,-$G$49,0)</f>
        <v/>
      </c>
      <c r="CU109" s="24">
        <f>IF(CU6=$D$47,-$G$49,0)</f>
        <v/>
      </c>
      <c r="CV109" s="24">
        <f>IF(CV6=$D$47,-$G$49,0)</f>
        <v/>
      </c>
      <c r="CW109" s="24">
        <f>IF(CW6=$D$47,-$G$49,0)</f>
        <v/>
      </c>
      <c r="CX109" s="24">
        <f>IF(CX6=$D$47,-$G$49,0)</f>
        <v/>
      </c>
      <c r="CY109" s="24">
        <f>IF(CY6=$D$47,-$G$49,0)</f>
        <v/>
      </c>
      <c r="CZ109" s="24">
        <f>IF(CZ6=$D$47,-$G$49,0)</f>
        <v/>
      </c>
      <c r="DA109" s="24">
        <f>IF(DA6=$D$47,-$G$49,0)</f>
        <v/>
      </c>
      <c r="DB109" s="24">
        <f>IF(DB6=$D$47,-$G$49,0)</f>
        <v/>
      </c>
      <c r="DC109" s="24">
        <f>IF(DC6=$D$47,-$G$49,0)</f>
        <v/>
      </c>
      <c r="DD109" s="24">
        <f>IF(DD6=$D$47,-$G$49,0)</f>
        <v/>
      </c>
      <c r="DE109" s="24">
        <f>IF(DE6=$D$47,-$G$49,0)</f>
        <v/>
      </c>
      <c r="DF109" s="24">
        <f>IF(DF6=$D$47,-$G$49,0)</f>
        <v/>
      </c>
      <c r="DG109" s="24">
        <f>IF(DG6=$D$47,-$G$49,0)</f>
        <v/>
      </c>
      <c r="DH109" s="24">
        <f>IF(DH6=$D$47,-$G$49,0)</f>
        <v/>
      </c>
      <c r="DI109" s="24">
        <f>IF(DI6=$D$47,-$G$49,0)</f>
        <v/>
      </c>
      <c r="DJ109" s="24">
        <f>IF(DJ6=$D$47,-$G$49,0)</f>
        <v/>
      </c>
      <c r="DK109" s="24">
        <f>IF(DK6=$D$47,-$G$49,0)</f>
        <v/>
      </c>
      <c r="DL109" s="24">
        <f>IF(DL6=$D$47,-$G$49,0)</f>
        <v/>
      </c>
      <c r="DM109" s="24">
        <f>IF(DM6=$D$47,-$G$49,0)</f>
        <v/>
      </c>
      <c r="DN109" s="24">
        <f>IF(DN6=$D$47,-$G$49,0)</f>
        <v/>
      </c>
      <c r="DO109" s="24">
        <f>IF(DO6=$D$47,-$G$49,0)</f>
        <v/>
      </c>
      <c r="DP109" s="24">
        <f>IF(DP6=$D$47,-$G$49,0)</f>
        <v/>
      </c>
      <c r="DQ109" s="24">
        <f>IF(DQ6=$D$47,-$G$49,0)</f>
        <v/>
      </c>
      <c r="DR109" s="24">
        <f>IF(DR6=$D$47,-$G$49,0)</f>
        <v/>
      </c>
      <c r="DS109" s="24">
        <f>IF(DS6=$D$47,-$G$49,0)</f>
        <v/>
      </c>
      <c r="DT109" s="24">
        <f>IF(DT6=$D$47,-$G$49,0)</f>
        <v/>
      </c>
      <c r="DU109" s="24">
        <f>IF(DU6=$D$47,-$G$49,0)</f>
        <v/>
      </c>
      <c r="DV109" s="24">
        <f>IF(DV6=$D$47,-$G$49,0)</f>
        <v/>
      </c>
      <c r="DW109" s="24">
        <f>IF(DW6=$D$47,-$G$49,0)</f>
        <v/>
      </c>
      <c r="DX109" s="24">
        <f>IF(DX6=$D$47,-$G$49,0)</f>
        <v/>
      </c>
      <c r="DY109" s="24">
        <f>IF(DY6=$D$47,-$G$49,0)</f>
        <v/>
      </c>
      <c r="DZ109" s="24">
        <f>IF(DZ6=$D$47,-$G$49,0)</f>
        <v/>
      </c>
      <c r="EA109" s="24">
        <f>IF(EA6=$D$47,-$G$49,0)</f>
        <v/>
      </c>
      <c r="EB109" s="24">
        <f>IF(EB6=$D$47,-$G$49,0)</f>
        <v/>
      </c>
      <c r="EC109" s="24">
        <f>IF(EC6=$D$47,-$G$49,0)</f>
        <v/>
      </c>
      <c r="ED109" s="24">
        <f>IF(ED6=$D$47,-$G$49,0)</f>
        <v/>
      </c>
      <c r="EE109" s="24">
        <f>IF(EE6=$D$47,-$G$49,0)</f>
        <v/>
      </c>
      <c r="EF109" s="24">
        <f>IF(EF6=$D$47,-$G$49,0)</f>
        <v/>
      </c>
      <c r="EG109" s="24">
        <f>IF(EG6=$D$47,-$G$49,0)</f>
        <v/>
      </c>
      <c r="EH109" s="24">
        <f>IF(EH6=$D$47,-$G$49,0)</f>
        <v/>
      </c>
      <c r="EI109" s="24">
        <f>IF(EI6=$D$47,-$G$49,0)</f>
        <v/>
      </c>
      <c r="EJ109" s="24">
        <f>IF(EJ6=$D$47,-$G$49,0)</f>
        <v/>
      </c>
      <c r="EK109" s="24">
        <f>IF(EK6=$D$47,-$G$49,0)</f>
        <v/>
      </c>
      <c r="EL109" s="24">
        <f>IF(EL6=$D$47,-$G$49,0)</f>
        <v/>
      </c>
      <c r="EM109" s="24">
        <f>IF(EM6=$D$47,-$G$49,0)</f>
        <v/>
      </c>
      <c r="EN109" s="24">
        <f>IF(EN6=$D$47,-$G$49,0)</f>
        <v/>
      </c>
      <c r="EO109" s="24">
        <f>IF(EO6=$D$47,-$G$49,0)</f>
        <v/>
      </c>
      <c r="EP109" s="24">
        <f>IF(EP6=$D$47,-$G$49,0)</f>
        <v/>
      </c>
      <c r="EQ109" s="24">
        <f>IF(EQ6=$D$47,-$G$49,0)</f>
        <v/>
      </c>
      <c r="ER109" s="24">
        <f>IF(ER6=$D$47,-$G$49,0)</f>
        <v/>
      </c>
      <c r="ES109" s="24">
        <f>IF(ES6=$D$47,-$G$49,0)</f>
        <v/>
      </c>
      <c r="ET109" s="24">
        <f>IF(ET6=$D$47,-$G$49,0)</f>
        <v/>
      </c>
      <c r="EU109" s="24">
        <f>IF(EU6=$D$47,-$G$49,0)</f>
        <v/>
      </c>
      <c r="EV109" s="24">
        <f>IF(EV6=$D$47,-$G$49,0)</f>
        <v/>
      </c>
      <c r="EW109" s="24">
        <f>IF(EW6=$D$47,-$G$49,0)</f>
        <v/>
      </c>
      <c r="EX109" s="24">
        <f>IF(EX6=$D$47,-$G$49,0)</f>
        <v/>
      </c>
      <c r="EY109" s="24">
        <f>IF(EY6=$D$47,-$G$49,0)</f>
        <v/>
      </c>
      <c r="EZ109" s="24">
        <f>IF(EZ6=$D$47,-$G$49,0)</f>
        <v/>
      </c>
      <c r="FA109" s="24">
        <f>IF(FA6=$D$47,-$G$49,0)</f>
        <v/>
      </c>
      <c r="FB109" s="24">
        <f>IF(FB6=$D$47,-$G$49,0)</f>
        <v/>
      </c>
    </row>
    <row r="110" customFormat="1" s="46">
      <c r="A110" s="63" t="n"/>
      <c r="B110" s="10" t="n"/>
      <c r="C110" s="236" t="n"/>
      <c r="D110" s="236" t="n"/>
      <c r="E110" s="236" t="n"/>
      <c r="F110" s="236" t="n"/>
      <c r="G110" s="236" t="n"/>
      <c r="H110" s="63" t="n"/>
      <c r="I110" s="9" t="inlineStr">
        <is>
          <t>Refi Proceeds</t>
        </is>
      </c>
      <c r="J110" s="9" t="n"/>
      <c r="K110" s="11" t="n"/>
      <c r="L110" s="24">
        <f>SUMIF($Z$4:$FB$4,"&lt;="&amp;$G$18,$Z110:$FB110)</f>
        <v/>
      </c>
      <c r="M110" s="55" t="n"/>
      <c r="N110" s="24">
        <f>SUMIF($Z$3:$FB$3,N$7,$Z110:$FB110)</f>
        <v/>
      </c>
      <c r="O110" s="24">
        <f>SUMIF($Z$3:$FB$3,O$7,$Z110:$FB110)</f>
        <v/>
      </c>
      <c r="P110" s="24">
        <f>SUMIF($Z$3:$FB$3,P$7,$Z110:$FB110)</f>
        <v/>
      </c>
      <c r="Q110" s="24">
        <f>SUMIF($Z$3:$FB$3,Q$7,$Z110:$FB110)</f>
        <v/>
      </c>
      <c r="R110" s="24">
        <f>SUMIF($Z$3:$FB$3,R$7,$Z110:$FB110)</f>
        <v/>
      </c>
      <c r="S110" s="24">
        <f>SUMIF($Z$3:$FB$3,S$7,$Z110:$FB110)</f>
        <v/>
      </c>
      <c r="T110" s="24">
        <f>SUMIF($Z$3:$FB$3,T$7,$Z110:$FB110)</f>
        <v/>
      </c>
      <c r="U110" s="24">
        <f>SUMIF($Z$3:$FB$3,U$7,$Z110:$FB110)</f>
        <v/>
      </c>
      <c r="V110" s="24">
        <f>SUMIF($Z$3:$FB$3,V$7,$Z110:$FB110)</f>
        <v/>
      </c>
      <c r="W110" s="24">
        <f>SUMIF($Z$3:$FB$3,W$7,$Z110:$FB110)</f>
        <v/>
      </c>
      <c r="X110" s="24">
        <f>SUMIF($Z$3:$FB$3,X$7,$Z110:$FB110)</f>
        <v/>
      </c>
      <c r="Y110" s="55" t="n"/>
      <c r="Z110" s="24">
        <f>IF(Z6=$D$47,Z165,0)</f>
        <v/>
      </c>
      <c r="AA110" s="24">
        <f>IF(AA6=$D$47,AA165,0)</f>
        <v/>
      </c>
      <c r="AB110" s="24">
        <f>IF(AB6=$D$47,AB165,0)</f>
        <v/>
      </c>
      <c r="AC110" s="24">
        <f>IF(AC6=$D$47,AC165,0)</f>
        <v/>
      </c>
      <c r="AD110" s="24">
        <f>IF(AD6=$D$47,AD165,0)</f>
        <v/>
      </c>
      <c r="AE110" s="24">
        <f>IF(AE6=$D$47,AE165,0)</f>
        <v/>
      </c>
      <c r="AF110" s="24">
        <f>IF(AF6=$D$47,AF165,0)</f>
        <v/>
      </c>
      <c r="AG110" s="24">
        <f>IF(AG6=$D$47,AG165,0)</f>
        <v/>
      </c>
      <c r="AH110" s="24">
        <f>IF(AH6=$D$47,AH165,0)</f>
        <v/>
      </c>
      <c r="AI110" s="24">
        <f>IF(AI6=$D$47,AI165,0)</f>
        <v/>
      </c>
      <c r="AJ110" s="24">
        <f>IF(AJ6=$D$47,AJ165,0)</f>
        <v/>
      </c>
      <c r="AK110" s="24">
        <f>IF(AK6=$D$47,AK165,0)</f>
        <v/>
      </c>
      <c r="AL110" s="24">
        <f>IF(AL6=$D$47,AL165,0)</f>
        <v/>
      </c>
      <c r="AM110" s="24">
        <f>IF(AM6=$D$47,AM165,0)</f>
        <v/>
      </c>
      <c r="AN110" s="24">
        <f>IF(AN6=$D$47,AN165,0)</f>
        <v/>
      </c>
      <c r="AO110" s="24">
        <f>IF(AO6=$D$47,AO165,0)</f>
        <v/>
      </c>
      <c r="AP110" s="24">
        <f>IF(AP6=$D$47,AP165,0)</f>
        <v/>
      </c>
      <c r="AQ110" s="24">
        <f>IF(AQ6=$D$47,AQ165,0)</f>
        <v/>
      </c>
      <c r="AR110" s="24">
        <f>IF(AR6=$D$47,AR165,0)</f>
        <v/>
      </c>
      <c r="AS110" s="24">
        <f>IF(AS6=$D$47,AS165,0)</f>
        <v/>
      </c>
      <c r="AT110" s="24">
        <f>IF(AT6=$D$47,AT165,0)</f>
        <v/>
      </c>
      <c r="AU110" s="24">
        <f>IF(AU6=$D$47,AU165,0)</f>
        <v/>
      </c>
      <c r="AV110" s="24">
        <f>IF(AV6=$D$47,AV165,0)</f>
        <v/>
      </c>
      <c r="AW110" s="24">
        <f>IF(AW6=$D$47,AW165,0)</f>
        <v/>
      </c>
      <c r="AX110" s="24">
        <f>IF(AX6=$D$47,AX165,0)</f>
        <v/>
      </c>
      <c r="AY110" s="24">
        <f>IF(AY6=$D$47,AY165,0)</f>
        <v/>
      </c>
      <c r="AZ110" s="24">
        <f>IF(AZ6=$D$47,AZ165,0)</f>
        <v/>
      </c>
      <c r="BA110" s="24">
        <f>IF(BA6=$D$47,BA165,0)</f>
        <v/>
      </c>
      <c r="BB110" s="24">
        <f>IF(BB6=$D$47,BB165,0)</f>
        <v/>
      </c>
      <c r="BC110" s="24">
        <f>IF(BC6=$D$47,BC165,0)</f>
        <v/>
      </c>
      <c r="BD110" s="24">
        <f>IF(BD6=$D$47,BD165,0)</f>
        <v/>
      </c>
      <c r="BE110" s="24">
        <f>IF(BE6=$D$47,BE165,0)</f>
        <v/>
      </c>
      <c r="BF110" s="24">
        <f>IF(BF6=$D$47,BF165,0)</f>
        <v/>
      </c>
      <c r="BG110" s="24">
        <f>IF(BG6=$D$47,BG165,0)</f>
        <v/>
      </c>
      <c r="BH110" s="24">
        <f>IF(BH6=$D$47,BH165,0)</f>
        <v/>
      </c>
      <c r="BI110" s="24">
        <f>IF(BI6=$D$47,BI165,0)</f>
        <v/>
      </c>
      <c r="BJ110" s="24">
        <f>IF(BJ6=$D$47,BJ165,0)</f>
        <v/>
      </c>
      <c r="BK110" s="24">
        <f>IF(BK6=$D$47,BK165,0)</f>
        <v/>
      </c>
      <c r="BL110" s="24">
        <f>IF(BL6=$D$47,BL165,0)</f>
        <v/>
      </c>
      <c r="BM110" s="24">
        <f>IF(BM6=$D$47,BM165,0)</f>
        <v/>
      </c>
      <c r="BN110" s="24">
        <f>IF(BN6=$D$47,BN165,0)</f>
        <v/>
      </c>
      <c r="BO110" s="24">
        <f>IF(BO6=$D$47,BO165,0)</f>
        <v/>
      </c>
      <c r="BP110" s="24">
        <f>IF(BP6=$D$47,BP165,0)</f>
        <v/>
      </c>
      <c r="BQ110" s="24">
        <f>IF(BQ6=$D$47,BQ165,0)</f>
        <v/>
      </c>
      <c r="BR110" s="24">
        <f>IF(BR6=$D$47,BR165,0)</f>
        <v/>
      </c>
      <c r="BS110" s="24">
        <f>IF(BS6=$D$47,BS165,0)</f>
        <v/>
      </c>
      <c r="BT110" s="24">
        <f>IF(BT6=$D$47,BT165,0)</f>
        <v/>
      </c>
      <c r="BU110" s="24">
        <f>IF(BU6=$D$47,BU165,0)</f>
        <v/>
      </c>
      <c r="BV110" s="24">
        <f>IF(BV6=$D$47,BV165,0)</f>
        <v/>
      </c>
      <c r="BW110" s="24">
        <f>IF(BW6=$D$47,BW165,0)</f>
        <v/>
      </c>
      <c r="BX110" s="24">
        <f>IF(BX6=$D$47,BX165,0)</f>
        <v/>
      </c>
      <c r="BY110" s="24">
        <f>IF(BY6=$D$47,BY165,0)</f>
        <v/>
      </c>
      <c r="BZ110" s="24">
        <f>IF(BZ6=$D$47,BZ165,0)</f>
        <v/>
      </c>
      <c r="CA110" s="24">
        <f>IF(CA6=$D$47,CA165,0)</f>
        <v/>
      </c>
      <c r="CB110" s="24">
        <f>IF(CB6=$D$47,CB165,0)</f>
        <v/>
      </c>
      <c r="CC110" s="24">
        <f>IF(CC6=$D$47,CC165,0)</f>
        <v/>
      </c>
      <c r="CD110" s="24">
        <f>IF(CD6=$D$47,CD165,0)</f>
        <v/>
      </c>
      <c r="CE110" s="24">
        <f>IF(CE6=$D$47,CE165,0)</f>
        <v/>
      </c>
      <c r="CF110" s="24">
        <f>IF(CF6=$D$47,CF165,0)</f>
        <v/>
      </c>
      <c r="CG110" s="24">
        <f>IF(CG6=$D$47,CG165,0)</f>
        <v/>
      </c>
      <c r="CH110" s="24">
        <f>IF(CH6=$D$47,CH165,0)</f>
        <v/>
      </c>
      <c r="CI110" s="24">
        <f>IF(CI6=$D$47,CI165,0)</f>
        <v/>
      </c>
      <c r="CJ110" s="24">
        <f>IF(CJ6=$D$47,CJ165,0)</f>
        <v/>
      </c>
      <c r="CK110" s="24">
        <f>IF(CK6=$D$47,CK165,0)</f>
        <v/>
      </c>
      <c r="CL110" s="24">
        <f>IF(CL6=$D$47,CL165,0)</f>
        <v/>
      </c>
      <c r="CM110" s="24">
        <f>IF(CM6=$D$47,CM165,0)</f>
        <v/>
      </c>
      <c r="CN110" s="24">
        <f>IF(CN6=$D$47,CN165,0)</f>
        <v/>
      </c>
      <c r="CO110" s="24">
        <f>IF(CO6=$D$47,CO165,0)</f>
        <v/>
      </c>
      <c r="CP110" s="24">
        <f>IF(CP6=$D$47,CP165,0)</f>
        <v/>
      </c>
      <c r="CQ110" s="24">
        <f>IF(CQ6=$D$47,CQ165,0)</f>
        <v/>
      </c>
      <c r="CR110" s="24">
        <f>IF(CR6=$D$47,CR165,0)</f>
        <v/>
      </c>
      <c r="CS110" s="24">
        <f>IF(CS6=$D$47,CS165,0)</f>
        <v/>
      </c>
      <c r="CT110" s="24">
        <f>IF(CT6=$D$47,CT165,0)</f>
        <v/>
      </c>
      <c r="CU110" s="24">
        <f>IF(CU6=$D$47,CU165,0)</f>
        <v/>
      </c>
      <c r="CV110" s="24">
        <f>IF(CV6=$D$47,CV165,0)</f>
        <v/>
      </c>
      <c r="CW110" s="24">
        <f>IF(CW6=$D$47,CW165,0)</f>
        <v/>
      </c>
      <c r="CX110" s="24">
        <f>IF(CX6=$D$47,CX165,0)</f>
        <v/>
      </c>
      <c r="CY110" s="24">
        <f>IF(CY6=$D$47,CY165,0)</f>
        <v/>
      </c>
      <c r="CZ110" s="24">
        <f>IF(CZ6=$D$47,CZ165,0)</f>
        <v/>
      </c>
      <c r="DA110" s="24">
        <f>IF(DA6=$D$47,DA165,0)</f>
        <v/>
      </c>
      <c r="DB110" s="24">
        <f>IF(DB6=$D$47,DB165,0)</f>
        <v/>
      </c>
      <c r="DC110" s="24">
        <f>IF(DC6=$D$47,DC165,0)</f>
        <v/>
      </c>
      <c r="DD110" s="24">
        <f>IF(DD6=$D$47,DD165,0)</f>
        <v/>
      </c>
      <c r="DE110" s="24">
        <f>IF(DE6=$D$47,DE165,0)</f>
        <v/>
      </c>
      <c r="DF110" s="24">
        <f>IF(DF6=$D$47,DF165,0)</f>
        <v/>
      </c>
      <c r="DG110" s="24">
        <f>IF(DG6=$D$47,DG165,0)</f>
        <v/>
      </c>
      <c r="DH110" s="24">
        <f>IF(DH6=$D$47,DH165,0)</f>
        <v/>
      </c>
      <c r="DI110" s="24">
        <f>IF(DI6=$D$47,DI165,0)</f>
        <v/>
      </c>
      <c r="DJ110" s="24">
        <f>IF(DJ6=$D$47,DJ165,0)</f>
        <v/>
      </c>
      <c r="DK110" s="24">
        <f>IF(DK6=$D$47,DK165,0)</f>
        <v/>
      </c>
      <c r="DL110" s="24">
        <f>IF(DL6=$D$47,DL165,0)</f>
        <v/>
      </c>
      <c r="DM110" s="24">
        <f>IF(DM6=$D$47,DM165,0)</f>
        <v/>
      </c>
      <c r="DN110" s="24">
        <f>IF(DN6=$D$47,DN165,0)</f>
        <v/>
      </c>
      <c r="DO110" s="24">
        <f>IF(DO6=$D$47,DO165,0)</f>
        <v/>
      </c>
      <c r="DP110" s="24">
        <f>IF(DP6=$D$47,DP165,0)</f>
        <v/>
      </c>
      <c r="DQ110" s="24">
        <f>IF(DQ6=$D$47,DQ165,0)</f>
        <v/>
      </c>
      <c r="DR110" s="24">
        <f>IF(DR6=$D$47,DR165,0)</f>
        <v/>
      </c>
      <c r="DS110" s="24">
        <f>IF(DS6=$D$47,DS165,0)</f>
        <v/>
      </c>
      <c r="DT110" s="24">
        <f>IF(DT6=$D$47,DT165,0)</f>
        <v/>
      </c>
      <c r="DU110" s="24">
        <f>IF(DU6=$D$47,DU165,0)</f>
        <v/>
      </c>
      <c r="DV110" s="24">
        <f>IF(DV6=$D$47,DV165,0)</f>
        <v/>
      </c>
      <c r="DW110" s="24">
        <f>IF(DW6=$D$47,DW165,0)</f>
        <v/>
      </c>
      <c r="DX110" s="24">
        <f>IF(DX6=$D$47,DX165,0)</f>
        <v/>
      </c>
      <c r="DY110" s="24">
        <f>IF(DY6=$D$47,DY165,0)</f>
        <v/>
      </c>
      <c r="DZ110" s="24">
        <f>IF(DZ6=$D$47,DZ165,0)</f>
        <v/>
      </c>
      <c r="EA110" s="24">
        <f>IF(EA6=$D$47,EA165,0)</f>
        <v/>
      </c>
      <c r="EB110" s="24">
        <f>IF(EB6=$D$47,EB165,0)</f>
        <v/>
      </c>
      <c r="EC110" s="24">
        <f>IF(EC6=$D$47,EC165,0)</f>
        <v/>
      </c>
      <c r="ED110" s="24">
        <f>IF(ED6=$D$47,ED165,0)</f>
        <v/>
      </c>
      <c r="EE110" s="24">
        <f>IF(EE6=$D$47,EE165,0)</f>
        <v/>
      </c>
      <c r="EF110" s="24">
        <f>IF(EF6=$D$47,EF165,0)</f>
        <v/>
      </c>
      <c r="EG110" s="24">
        <f>IF(EG6=$D$47,EG165,0)</f>
        <v/>
      </c>
      <c r="EH110" s="24">
        <f>IF(EH6=$D$47,EH165,0)</f>
        <v/>
      </c>
      <c r="EI110" s="24">
        <f>IF(EI6=$D$47,EI165,0)</f>
        <v/>
      </c>
      <c r="EJ110" s="24">
        <f>IF(EJ6=$D$47,EJ165,0)</f>
        <v/>
      </c>
      <c r="EK110" s="24">
        <f>IF(EK6=$D$47,EK165,0)</f>
        <v/>
      </c>
      <c r="EL110" s="24">
        <f>IF(EL6=$D$47,EL165,0)</f>
        <v/>
      </c>
      <c r="EM110" s="24">
        <f>IF(EM6=$D$47,EM165,0)</f>
        <v/>
      </c>
      <c r="EN110" s="24">
        <f>IF(EN6=$D$47,EN165,0)</f>
        <v/>
      </c>
      <c r="EO110" s="24">
        <f>IF(EO6=$D$47,EO165,0)</f>
        <v/>
      </c>
      <c r="EP110" s="24">
        <f>IF(EP6=$D$47,EP165,0)</f>
        <v/>
      </c>
      <c r="EQ110" s="24">
        <f>IF(EQ6=$D$47,EQ165,0)</f>
        <v/>
      </c>
      <c r="ER110" s="24">
        <f>IF(ER6=$D$47,ER165,0)</f>
        <v/>
      </c>
      <c r="ES110" s="24">
        <f>IF(ES6=$D$47,ES165,0)</f>
        <v/>
      </c>
      <c r="ET110" s="24">
        <f>IF(ET6=$D$47,ET165,0)</f>
        <v/>
      </c>
      <c r="EU110" s="24">
        <f>IF(EU6=$D$47,EU165,0)</f>
        <v/>
      </c>
      <c r="EV110" s="24">
        <f>IF(EV6=$D$47,EV165,0)</f>
        <v/>
      </c>
      <c r="EW110" s="24">
        <f>IF(EW6=$D$47,EW165,0)</f>
        <v/>
      </c>
      <c r="EX110" s="24">
        <f>IF(EX6=$D$47,EX165,0)</f>
        <v/>
      </c>
      <c r="EY110" s="24">
        <f>IF(EY6=$D$47,EY165,0)</f>
        <v/>
      </c>
      <c r="EZ110" s="24">
        <f>IF(EZ6=$D$47,EZ165,0)</f>
        <v/>
      </c>
      <c r="FA110" s="24">
        <f>IF(FA6=$D$47,FA165,0)</f>
        <v/>
      </c>
      <c r="FB110" s="24">
        <f>IF(FB6=$D$47,FB165,0)</f>
        <v/>
      </c>
    </row>
    <row r="111">
      <c r="A111" s="32" t="n"/>
      <c r="B111" s="39" t="n"/>
      <c r="C111" s="39" t="n"/>
      <c r="D111" s="39" t="n"/>
      <c r="E111" s="39" t="n"/>
      <c r="F111" s="39" t="n"/>
      <c r="G111" s="39" t="n"/>
      <c r="I111" s="9" t="inlineStr">
        <is>
          <t>Refinance Debt Service</t>
        </is>
      </c>
      <c r="L111" s="24">
        <f>SUMIF($Z$4:$FB$4,"&lt;="&amp;$G$18,$Z111:$FB111)</f>
        <v/>
      </c>
      <c r="M111" s="55" t="n"/>
      <c r="N111" s="24">
        <f>SUMIF($Z$3:$FB$3,N$7,$Z111:$FB111)</f>
        <v/>
      </c>
      <c r="O111" s="24">
        <f>SUMIF($Z$3:$FB$3,O$7,$Z111:$FB111)</f>
        <v/>
      </c>
      <c r="P111" s="24">
        <f>SUMIF($Z$3:$FB$3,P$7,$Z111:$FB111)</f>
        <v/>
      </c>
      <c r="Q111" s="24">
        <f>SUMIF($Z$3:$FB$3,Q$7,$Z111:$FB111)</f>
        <v/>
      </c>
      <c r="R111" s="24">
        <f>SUMIF($Z$3:$FB$3,R$7,$Z111:$FB111)</f>
        <v/>
      </c>
      <c r="S111" s="24">
        <f>SUMIF($Z$3:$FB$3,S$7,$Z111:$FB111)</f>
        <v/>
      </c>
      <c r="T111" s="24">
        <f>SUMIF($Z$3:$FB$3,T$7,$Z111:$FB111)</f>
        <v/>
      </c>
      <c r="U111" s="24">
        <f>SUMIF($Z$3:$FB$3,U$7,$Z111:$FB111)</f>
        <v/>
      </c>
      <c r="V111" s="24">
        <f>SUMIF($Z$3:$FB$3,V$7,$Z111:$FB111)</f>
        <v/>
      </c>
      <c r="W111" s="24">
        <f>SUMIF($Z$3:$FB$3,W$7,$Z111:$FB111)</f>
        <v/>
      </c>
      <c r="X111" s="24">
        <f>SUMIF($Z$3:$FB$3,X$7,$Z111:$FB111)</f>
        <v/>
      </c>
      <c r="Y111" s="55" t="n"/>
      <c r="Z111" s="24">
        <f>SUM(Z167:Z168)</f>
        <v/>
      </c>
      <c r="AA111" s="24">
        <f>SUM(AA167:AA168)</f>
        <v/>
      </c>
      <c r="AB111" s="24">
        <f>SUM(AB167:AB168)</f>
        <v/>
      </c>
      <c r="AC111" s="24">
        <f>SUM(AC167:AC168)</f>
        <v/>
      </c>
      <c r="AD111" s="24">
        <f>SUM(AD167:AD168)</f>
        <v/>
      </c>
      <c r="AE111" s="24">
        <f>SUM(AE167:AE168)</f>
        <v/>
      </c>
      <c r="AF111" s="24">
        <f>SUM(AF167:AF168)</f>
        <v/>
      </c>
      <c r="AG111" s="24">
        <f>SUM(AG167:AG168)</f>
        <v/>
      </c>
      <c r="AH111" s="24">
        <f>SUM(AH167:AH168)</f>
        <v/>
      </c>
      <c r="AI111" s="24">
        <f>SUM(AI167:AI168)</f>
        <v/>
      </c>
      <c r="AJ111" s="24">
        <f>SUM(AJ167:AJ168)</f>
        <v/>
      </c>
      <c r="AK111" s="24">
        <f>SUM(AK167:AK168)</f>
        <v/>
      </c>
      <c r="AL111" s="24">
        <f>SUM(AL167:AL168)</f>
        <v/>
      </c>
      <c r="AM111" s="24">
        <f>SUM(AM167:AM168)</f>
        <v/>
      </c>
      <c r="AN111" s="24">
        <f>SUM(AN167:AN168)</f>
        <v/>
      </c>
      <c r="AO111" s="24">
        <f>SUM(AO167:AO168)</f>
        <v/>
      </c>
      <c r="AP111" s="24">
        <f>SUM(AP167:AP168)</f>
        <v/>
      </c>
      <c r="AQ111" s="24">
        <f>SUM(AQ167:AQ168)</f>
        <v/>
      </c>
      <c r="AR111" s="24">
        <f>SUM(AR167:AR168)</f>
        <v/>
      </c>
      <c r="AS111" s="24">
        <f>SUM(AS167:AS168)</f>
        <v/>
      </c>
      <c r="AT111" s="24">
        <f>SUM(AT167:AT168)</f>
        <v/>
      </c>
      <c r="AU111" s="24">
        <f>SUM(AU167:AU168)</f>
        <v/>
      </c>
      <c r="AV111" s="24">
        <f>SUM(AV167:AV168)</f>
        <v/>
      </c>
      <c r="AW111" s="24">
        <f>SUM(AW167:AW168)</f>
        <v/>
      </c>
      <c r="AX111" s="24">
        <f>SUM(AX167:AX168)</f>
        <v/>
      </c>
      <c r="AY111" s="24">
        <f>SUM(AY167:AY168)</f>
        <v/>
      </c>
      <c r="AZ111" s="24">
        <f>SUM(AZ167:AZ168)</f>
        <v/>
      </c>
      <c r="BA111" s="24">
        <f>SUM(BA167:BA168)</f>
        <v/>
      </c>
      <c r="BB111" s="24">
        <f>SUM(BB167:BB168)</f>
        <v/>
      </c>
      <c r="BC111" s="24">
        <f>SUM(BC167:BC168)</f>
        <v/>
      </c>
      <c r="BD111" s="24">
        <f>SUM(BD167:BD168)</f>
        <v/>
      </c>
      <c r="BE111" s="24">
        <f>SUM(BE167:BE168)</f>
        <v/>
      </c>
      <c r="BF111" s="24">
        <f>SUM(BF167:BF168)</f>
        <v/>
      </c>
      <c r="BG111" s="24">
        <f>SUM(BG167:BG168)</f>
        <v/>
      </c>
      <c r="BH111" s="24">
        <f>SUM(BH167:BH168)</f>
        <v/>
      </c>
      <c r="BI111" s="24">
        <f>SUM(BI167:BI168)</f>
        <v/>
      </c>
      <c r="BJ111" s="24">
        <f>SUM(BJ167:BJ168)</f>
        <v/>
      </c>
      <c r="BK111" s="24">
        <f>SUM(BK167:BK168)</f>
        <v/>
      </c>
      <c r="BL111" s="24">
        <f>SUM(BL167:BL168)</f>
        <v/>
      </c>
      <c r="BM111" s="24">
        <f>SUM(BM167:BM168)</f>
        <v/>
      </c>
      <c r="BN111" s="24">
        <f>SUM(BN167:BN168)</f>
        <v/>
      </c>
      <c r="BO111" s="24">
        <f>SUM(BO167:BO168)</f>
        <v/>
      </c>
      <c r="BP111" s="24">
        <f>SUM(BP167:BP168)</f>
        <v/>
      </c>
      <c r="BQ111" s="24">
        <f>SUM(BQ167:BQ168)</f>
        <v/>
      </c>
      <c r="BR111" s="24">
        <f>SUM(BR167:BR168)</f>
        <v/>
      </c>
      <c r="BS111" s="24">
        <f>SUM(BS167:BS168)</f>
        <v/>
      </c>
      <c r="BT111" s="24">
        <f>SUM(BT167:BT168)</f>
        <v/>
      </c>
      <c r="BU111" s="24">
        <f>SUM(BU167:BU168)</f>
        <v/>
      </c>
      <c r="BV111" s="24">
        <f>SUM(BV167:BV168)</f>
        <v/>
      </c>
      <c r="BW111" s="24">
        <f>SUM(BW167:BW168)</f>
        <v/>
      </c>
      <c r="BX111" s="24">
        <f>SUM(BX167:BX168)</f>
        <v/>
      </c>
      <c r="BY111" s="24">
        <f>SUM(BY167:BY168)</f>
        <v/>
      </c>
      <c r="BZ111" s="24">
        <f>SUM(BZ167:BZ168)</f>
        <v/>
      </c>
      <c r="CA111" s="24">
        <f>SUM(CA167:CA168)</f>
        <v/>
      </c>
      <c r="CB111" s="24">
        <f>SUM(CB167:CB168)</f>
        <v/>
      </c>
      <c r="CC111" s="24">
        <f>SUM(CC167:CC168)</f>
        <v/>
      </c>
      <c r="CD111" s="24">
        <f>SUM(CD167:CD168)</f>
        <v/>
      </c>
      <c r="CE111" s="24">
        <f>SUM(CE167:CE168)</f>
        <v/>
      </c>
      <c r="CF111" s="24">
        <f>SUM(CF167:CF168)</f>
        <v/>
      </c>
      <c r="CG111" s="24">
        <f>SUM(CG167:CG168)</f>
        <v/>
      </c>
      <c r="CH111" s="24">
        <f>SUM(CH167:CH168)</f>
        <v/>
      </c>
      <c r="CI111" s="24">
        <f>SUM(CI167:CI168)</f>
        <v/>
      </c>
      <c r="CJ111" s="24">
        <f>SUM(CJ167:CJ168)</f>
        <v/>
      </c>
      <c r="CK111" s="24">
        <f>SUM(CK167:CK168)</f>
        <v/>
      </c>
      <c r="CL111" s="24">
        <f>SUM(CL167:CL168)</f>
        <v/>
      </c>
      <c r="CM111" s="24">
        <f>SUM(CM167:CM168)</f>
        <v/>
      </c>
      <c r="CN111" s="24">
        <f>SUM(CN167:CN168)</f>
        <v/>
      </c>
      <c r="CO111" s="24">
        <f>SUM(CO167:CO168)</f>
        <v/>
      </c>
      <c r="CP111" s="24">
        <f>SUM(CP167:CP168)</f>
        <v/>
      </c>
      <c r="CQ111" s="24">
        <f>SUM(CQ167:CQ168)</f>
        <v/>
      </c>
      <c r="CR111" s="24">
        <f>SUM(CR167:CR168)</f>
        <v/>
      </c>
      <c r="CS111" s="24">
        <f>SUM(CS167:CS168)</f>
        <v/>
      </c>
      <c r="CT111" s="24">
        <f>SUM(CT167:CT168)</f>
        <v/>
      </c>
      <c r="CU111" s="24">
        <f>SUM(CU167:CU168)</f>
        <v/>
      </c>
      <c r="CV111" s="24">
        <f>SUM(CV167:CV168)</f>
        <v/>
      </c>
      <c r="CW111" s="24">
        <f>SUM(CW167:CW168)</f>
        <v/>
      </c>
      <c r="CX111" s="24">
        <f>SUM(CX167:CX168)</f>
        <v/>
      </c>
      <c r="CY111" s="24">
        <f>SUM(CY167:CY168)</f>
        <v/>
      </c>
      <c r="CZ111" s="24">
        <f>SUM(CZ167:CZ168)</f>
        <v/>
      </c>
      <c r="DA111" s="24">
        <f>SUM(DA167:DA168)</f>
        <v/>
      </c>
      <c r="DB111" s="24">
        <f>SUM(DB167:DB168)</f>
        <v/>
      </c>
      <c r="DC111" s="24">
        <f>SUM(DC167:DC168)</f>
        <v/>
      </c>
      <c r="DD111" s="24">
        <f>SUM(DD167:DD168)</f>
        <v/>
      </c>
      <c r="DE111" s="24">
        <f>SUM(DE167:DE168)</f>
        <v/>
      </c>
      <c r="DF111" s="24">
        <f>SUM(DF167:DF168)</f>
        <v/>
      </c>
      <c r="DG111" s="24">
        <f>SUM(DG167:DG168)</f>
        <v/>
      </c>
      <c r="DH111" s="24">
        <f>SUM(DH167:DH168)</f>
        <v/>
      </c>
      <c r="DI111" s="24">
        <f>SUM(DI167:DI168)</f>
        <v/>
      </c>
      <c r="DJ111" s="24">
        <f>SUM(DJ167:DJ168)</f>
        <v/>
      </c>
      <c r="DK111" s="24">
        <f>SUM(DK167:DK168)</f>
        <v/>
      </c>
      <c r="DL111" s="24">
        <f>SUM(DL167:DL168)</f>
        <v/>
      </c>
      <c r="DM111" s="24">
        <f>SUM(DM167:DM168)</f>
        <v/>
      </c>
      <c r="DN111" s="24">
        <f>SUM(DN167:DN168)</f>
        <v/>
      </c>
      <c r="DO111" s="24">
        <f>SUM(DO167:DO168)</f>
        <v/>
      </c>
      <c r="DP111" s="24">
        <f>SUM(DP167:DP168)</f>
        <v/>
      </c>
      <c r="DQ111" s="24">
        <f>SUM(DQ167:DQ168)</f>
        <v/>
      </c>
      <c r="DR111" s="24">
        <f>SUM(DR167:DR168)</f>
        <v/>
      </c>
      <c r="DS111" s="24">
        <f>SUM(DS167:DS168)</f>
        <v/>
      </c>
      <c r="DT111" s="24">
        <f>SUM(DT167:DT168)</f>
        <v/>
      </c>
      <c r="DU111" s="24">
        <f>SUM(DU167:DU168)</f>
        <v/>
      </c>
      <c r="DV111" s="24">
        <f>SUM(DV167:DV168)</f>
        <v/>
      </c>
      <c r="DW111" s="24">
        <f>SUM(DW167:DW168)</f>
        <v/>
      </c>
      <c r="DX111" s="24">
        <f>SUM(DX167:DX168)</f>
        <v/>
      </c>
      <c r="DY111" s="24">
        <f>SUM(DY167:DY168)</f>
        <v/>
      </c>
      <c r="DZ111" s="24">
        <f>SUM(DZ167:DZ168)</f>
        <v/>
      </c>
      <c r="EA111" s="24">
        <f>SUM(EA167:EA168)</f>
        <v/>
      </c>
      <c r="EB111" s="24">
        <f>SUM(EB167:EB168)</f>
        <v/>
      </c>
      <c r="EC111" s="24">
        <f>SUM(EC167:EC168)</f>
        <v/>
      </c>
      <c r="ED111" s="24">
        <f>SUM(ED167:ED168)</f>
        <v/>
      </c>
      <c r="EE111" s="24">
        <f>SUM(EE167:EE168)</f>
        <v/>
      </c>
      <c r="EF111" s="24">
        <f>SUM(EF167:EF168)</f>
        <v/>
      </c>
      <c r="EG111" s="24">
        <f>SUM(EG167:EG168)</f>
        <v/>
      </c>
      <c r="EH111" s="24">
        <f>SUM(EH167:EH168)</f>
        <v/>
      </c>
      <c r="EI111" s="24">
        <f>SUM(EI167:EI168)</f>
        <v/>
      </c>
      <c r="EJ111" s="24">
        <f>SUM(EJ167:EJ168)</f>
        <v/>
      </c>
      <c r="EK111" s="24">
        <f>SUM(EK167:EK168)</f>
        <v/>
      </c>
      <c r="EL111" s="24">
        <f>SUM(EL167:EL168)</f>
        <v/>
      </c>
      <c r="EM111" s="24">
        <f>SUM(EM167:EM168)</f>
        <v/>
      </c>
      <c r="EN111" s="24">
        <f>SUM(EN167:EN168)</f>
        <v/>
      </c>
      <c r="EO111" s="24">
        <f>SUM(EO167:EO168)</f>
        <v/>
      </c>
      <c r="EP111" s="24">
        <f>SUM(EP167:EP168)</f>
        <v/>
      </c>
      <c r="EQ111" s="24">
        <f>SUM(EQ167:EQ168)</f>
        <v/>
      </c>
      <c r="ER111" s="24">
        <f>SUM(ER167:ER168)</f>
        <v/>
      </c>
      <c r="ES111" s="24">
        <f>SUM(ES167:ES168)</f>
        <v/>
      </c>
      <c r="ET111" s="24">
        <f>SUM(ET167:ET168)</f>
        <v/>
      </c>
      <c r="EU111" s="24">
        <f>SUM(EU167:EU168)</f>
        <v/>
      </c>
      <c r="EV111" s="24">
        <f>SUM(EV167:EV168)</f>
        <v/>
      </c>
      <c r="EW111" s="24">
        <f>SUM(EW167:EW168)</f>
        <v/>
      </c>
      <c r="EX111" s="24">
        <f>SUM(EX167:EX168)</f>
        <v/>
      </c>
      <c r="EY111" s="24">
        <f>SUM(EY167:EY168)</f>
        <v/>
      </c>
      <c r="EZ111" s="24">
        <f>SUM(EZ167:EZ168)</f>
        <v/>
      </c>
      <c r="FA111" s="24">
        <f>SUM(FA167:FA168)</f>
        <v/>
      </c>
      <c r="FB111" s="24">
        <f>SUM(FB167:FB168)</f>
        <v/>
      </c>
    </row>
    <row r="112">
      <c r="B112" s="10" t="n"/>
      <c r="C112" s="237" t="n"/>
      <c r="D112" s="237" t="n"/>
      <c r="E112" s="237" t="n"/>
      <c r="F112" s="237" t="n"/>
      <c r="G112" s="237" t="n"/>
      <c r="I112" s="9" t="inlineStr">
        <is>
          <t>Refi Payoff</t>
        </is>
      </c>
      <c r="L112" s="24">
        <f>SUMIF($Z$4:$FB$4,"&lt;="&amp;$G$18,$Z112:$FB112)</f>
        <v/>
      </c>
      <c r="M112" s="55" t="n"/>
      <c r="N112" s="24">
        <f>SUMIF($Z$3:$FB$3,N$7,$Z112:$FB112)</f>
        <v/>
      </c>
      <c r="O112" s="24">
        <f>SUMIF($Z$3:$FB$3,O$7,$Z112:$FB112)</f>
        <v/>
      </c>
      <c r="P112" s="24">
        <f>SUMIF($Z$3:$FB$3,P$7,$Z112:$FB112)</f>
        <v/>
      </c>
      <c r="Q112" s="24">
        <f>SUMIF($Z$3:$FB$3,Q$7,$Z112:$FB112)</f>
        <v/>
      </c>
      <c r="R112" s="24">
        <f>SUMIF($Z$3:$FB$3,R$7,$Z112:$FB112)</f>
        <v/>
      </c>
      <c r="S112" s="24">
        <f>SUMIF($Z$3:$FB$3,S$7,$Z112:$FB112)</f>
        <v/>
      </c>
      <c r="T112" s="24">
        <f>SUMIF($Z$3:$FB$3,T$7,$Z112:$FB112)</f>
        <v/>
      </c>
      <c r="U112" s="24">
        <f>SUMIF($Z$3:$FB$3,U$7,$Z112:$FB112)</f>
        <v/>
      </c>
      <c r="V112" s="24">
        <f>SUMIF($Z$3:$FB$3,V$7,$Z112:$FB112)</f>
        <v/>
      </c>
      <c r="W112" s="24">
        <f>SUMIF($Z$3:$FB$3,W$7,$Z112:$FB112)</f>
        <v/>
      </c>
      <c r="X112" s="24">
        <f>SUMIF($Z$3:$FB$3,X$7,$Z112:$FB112)</f>
        <v/>
      </c>
      <c r="Y112" s="55" t="n"/>
      <c r="Z112" s="24">
        <f>Z169</f>
        <v/>
      </c>
      <c r="AA112" s="24">
        <f>AA169</f>
        <v/>
      </c>
      <c r="AB112" s="24">
        <f>AB169</f>
        <v/>
      </c>
      <c r="AC112" s="24">
        <f>AC169</f>
        <v/>
      </c>
      <c r="AD112" s="24">
        <f>AD169</f>
        <v/>
      </c>
      <c r="AE112" s="24">
        <f>AE169</f>
        <v/>
      </c>
      <c r="AF112" s="24">
        <f>AF169</f>
        <v/>
      </c>
      <c r="AG112" s="24">
        <f>AG169</f>
        <v/>
      </c>
      <c r="AH112" s="24">
        <f>AH169</f>
        <v/>
      </c>
      <c r="AI112" s="24">
        <f>AI169</f>
        <v/>
      </c>
      <c r="AJ112" s="24">
        <f>AJ169</f>
        <v/>
      </c>
      <c r="AK112" s="24">
        <f>AK169</f>
        <v/>
      </c>
      <c r="AL112" s="24">
        <f>AL169</f>
        <v/>
      </c>
      <c r="AM112" s="24">
        <f>AM169</f>
        <v/>
      </c>
      <c r="AN112" s="24">
        <f>AN169</f>
        <v/>
      </c>
      <c r="AO112" s="24">
        <f>AO169</f>
        <v/>
      </c>
      <c r="AP112" s="24">
        <f>AP169</f>
        <v/>
      </c>
      <c r="AQ112" s="24">
        <f>AQ169</f>
        <v/>
      </c>
      <c r="AR112" s="24">
        <f>AR169</f>
        <v/>
      </c>
      <c r="AS112" s="24">
        <f>AS169</f>
        <v/>
      </c>
      <c r="AT112" s="24">
        <f>AT169</f>
        <v/>
      </c>
      <c r="AU112" s="24">
        <f>AU169</f>
        <v/>
      </c>
      <c r="AV112" s="24">
        <f>AV169</f>
        <v/>
      </c>
      <c r="AW112" s="24">
        <f>AW169</f>
        <v/>
      </c>
      <c r="AX112" s="24">
        <f>AX169</f>
        <v/>
      </c>
      <c r="AY112" s="24">
        <f>AY169</f>
        <v/>
      </c>
      <c r="AZ112" s="24">
        <f>AZ169</f>
        <v/>
      </c>
      <c r="BA112" s="24">
        <f>BA169</f>
        <v/>
      </c>
      <c r="BB112" s="24">
        <f>BB169</f>
        <v/>
      </c>
      <c r="BC112" s="24">
        <f>BC169</f>
        <v/>
      </c>
      <c r="BD112" s="24">
        <f>BD169</f>
        <v/>
      </c>
      <c r="BE112" s="24">
        <f>BE169</f>
        <v/>
      </c>
      <c r="BF112" s="24">
        <f>BF169</f>
        <v/>
      </c>
      <c r="BG112" s="24">
        <f>BG169</f>
        <v/>
      </c>
      <c r="BH112" s="24">
        <f>BH169</f>
        <v/>
      </c>
      <c r="BI112" s="24">
        <f>BI169</f>
        <v/>
      </c>
      <c r="BJ112" s="24">
        <f>BJ169</f>
        <v/>
      </c>
      <c r="BK112" s="24">
        <f>BK169</f>
        <v/>
      </c>
      <c r="BL112" s="24">
        <f>BL169</f>
        <v/>
      </c>
      <c r="BM112" s="24">
        <f>BM169</f>
        <v/>
      </c>
      <c r="BN112" s="24">
        <f>BN169</f>
        <v/>
      </c>
      <c r="BO112" s="24">
        <f>BO169</f>
        <v/>
      </c>
      <c r="BP112" s="24">
        <f>BP169</f>
        <v/>
      </c>
      <c r="BQ112" s="24">
        <f>BQ169</f>
        <v/>
      </c>
      <c r="BR112" s="24">
        <f>BR169</f>
        <v/>
      </c>
      <c r="BS112" s="24">
        <f>BS169</f>
        <v/>
      </c>
      <c r="BT112" s="24">
        <f>BT169</f>
        <v/>
      </c>
      <c r="BU112" s="24">
        <f>BU169</f>
        <v/>
      </c>
      <c r="BV112" s="24">
        <f>BV169</f>
        <v/>
      </c>
      <c r="BW112" s="24">
        <f>BW169</f>
        <v/>
      </c>
      <c r="BX112" s="24">
        <f>BX169</f>
        <v/>
      </c>
      <c r="BY112" s="24">
        <f>BY169</f>
        <v/>
      </c>
      <c r="BZ112" s="24">
        <f>BZ169</f>
        <v/>
      </c>
      <c r="CA112" s="24">
        <f>CA169</f>
        <v/>
      </c>
      <c r="CB112" s="24">
        <f>CB169</f>
        <v/>
      </c>
      <c r="CC112" s="24">
        <f>CC169</f>
        <v/>
      </c>
      <c r="CD112" s="24">
        <f>CD169</f>
        <v/>
      </c>
      <c r="CE112" s="24">
        <f>CE169</f>
        <v/>
      </c>
      <c r="CF112" s="24">
        <f>CF169</f>
        <v/>
      </c>
      <c r="CG112" s="24">
        <f>CG169</f>
        <v/>
      </c>
      <c r="CH112" s="24">
        <f>CH169</f>
        <v/>
      </c>
      <c r="CI112" s="24">
        <f>CI169</f>
        <v/>
      </c>
      <c r="CJ112" s="24">
        <f>CJ169</f>
        <v/>
      </c>
      <c r="CK112" s="24">
        <f>CK169</f>
        <v/>
      </c>
      <c r="CL112" s="24">
        <f>CL169</f>
        <v/>
      </c>
      <c r="CM112" s="24">
        <f>CM169</f>
        <v/>
      </c>
      <c r="CN112" s="24">
        <f>CN169</f>
        <v/>
      </c>
      <c r="CO112" s="24">
        <f>CO169</f>
        <v/>
      </c>
      <c r="CP112" s="24">
        <f>CP169</f>
        <v/>
      </c>
      <c r="CQ112" s="24">
        <f>CQ169</f>
        <v/>
      </c>
      <c r="CR112" s="24">
        <f>CR169</f>
        <v/>
      </c>
      <c r="CS112" s="24">
        <f>CS169</f>
        <v/>
      </c>
      <c r="CT112" s="24">
        <f>CT169</f>
        <v/>
      </c>
      <c r="CU112" s="24">
        <f>CU169</f>
        <v/>
      </c>
      <c r="CV112" s="24">
        <f>CV169</f>
        <v/>
      </c>
      <c r="CW112" s="24">
        <f>CW169</f>
        <v/>
      </c>
      <c r="CX112" s="24">
        <f>CX169</f>
        <v/>
      </c>
      <c r="CY112" s="24">
        <f>CY169</f>
        <v/>
      </c>
      <c r="CZ112" s="24">
        <f>CZ169</f>
        <v/>
      </c>
      <c r="DA112" s="24">
        <f>DA169</f>
        <v/>
      </c>
      <c r="DB112" s="24">
        <f>DB169</f>
        <v/>
      </c>
      <c r="DC112" s="24">
        <f>DC169</f>
        <v/>
      </c>
      <c r="DD112" s="24">
        <f>DD169</f>
        <v/>
      </c>
      <c r="DE112" s="24">
        <f>DE169</f>
        <v/>
      </c>
      <c r="DF112" s="24">
        <f>DF169</f>
        <v/>
      </c>
      <c r="DG112" s="24">
        <f>DG169</f>
        <v/>
      </c>
      <c r="DH112" s="24">
        <f>DH169</f>
        <v/>
      </c>
      <c r="DI112" s="24">
        <f>DI169</f>
        <v/>
      </c>
      <c r="DJ112" s="24">
        <f>DJ169</f>
        <v/>
      </c>
      <c r="DK112" s="24">
        <f>DK169</f>
        <v/>
      </c>
      <c r="DL112" s="24">
        <f>DL169</f>
        <v/>
      </c>
      <c r="DM112" s="24">
        <f>DM169</f>
        <v/>
      </c>
      <c r="DN112" s="24">
        <f>DN169</f>
        <v/>
      </c>
      <c r="DO112" s="24">
        <f>DO169</f>
        <v/>
      </c>
      <c r="DP112" s="24">
        <f>DP169</f>
        <v/>
      </c>
      <c r="DQ112" s="24">
        <f>DQ169</f>
        <v/>
      </c>
      <c r="DR112" s="24">
        <f>DR169</f>
        <v/>
      </c>
      <c r="DS112" s="24">
        <f>DS169</f>
        <v/>
      </c>
      <c r="DT112" s="24">
        <f>DT169</f>
        <v/>
      </c>
      <c r="DU112" s="24">
        <f>DU169</f>
        <v/>
      </c>
      <c r="DV112" s="24">
        <f>DV169</f>
        <v/>
      </c>
      <c r="DW112" s="24">
        <f>DW169</f>
        <v/>
      </c>
      <c r="DX112" s="24">
        <f>DX169</f>
        <v/>
      </c>
      <c r="DY112" s="24">
        <f>DY169</f>
        <v/>
      </c>
      <c r="DZ112" s="24">
        <f>DZ169</f>
        <v/>
      </c>
      <c r="EA112" s="24">
        <f>EA169</f>
        <v/>
      </c>
      <c r="EB112" s="24">
        <f>EB169</f>
        <v/>
      </c>
      <c r="EC112" s="24">
        <f>EC169</f>
        <v/>
      </c>
      <c r="ED112" s="24">
        <f>ED169</f>
        <v/>
      </c>
      <c r="EE112" s="24">
        <f>EE169</f>
        <v/>
      </c>
      <c r="EF112" s="24">
        <f>EF169</f>
        <v/>
      </c>
      <c r="EG112" s="24">
        <f>EG169</f>
        <v/>
      </c>
      <c r="EH112" s="24">
        <f>EH169</f>
        <v/>
      </c>
      <c r="EI112" s="24">
        <f>EI169</f>
        <v/>
      </c>
      <c r="EJ112" s="24">
        <f>EJ169</f>
        <v/>
      </c>
      <c r="EK112" s="24">
        <f>EK169</f>
        <v/>
      </c>
      <c r="EL112" s="24">
        <f>EL169</f>
        <v/>
      </c>
      <c r="EM112" s="24">
        <f>EM169</f>
        <v/>
      </c>
      <c r="EN112" s="24">
        <f>EN169</f>
        <v/>
      </c>
      <c r="EO112" s="24">
        <f>EO169</f>
        <v/>
      </c>
      <c r="EP112" s="24">
        <f>EP169</f>
        <v/>
      </c>
      <c r="EQ112" s="24">
        <f>EQ169</f>
        <v/>
      </c>
      <c r="ER112" s="24">
        <f>ER169</f>
        <v/>
      </c>
      <c r="ES112" s="24">
        <f>ES169</f>
        <v/>
      </c>
      <c r="ET112" s="24">
        <f>ET169</f>
        <v/>
      </c>
      <c r="EU112" s="24">
        <f>EU169</f>
        <v/>
      </c>
      <c r="EV112" s="24">
        <f>EV169</f>
        <v/>
      </c>
      <c r="EW112" s="24">
        <f>EW169</f>
        <v/>
      </c>
      <c r="EX112" s="24">
        <f>EX169</f>
        <v/>
      </c>
      <c r="EY112" s="24">
        <f>EY169</f>
        <v/>
      </c>
      <c r="EZ112" s="24">
        <f>EZ169</f>
        <v/>
      </c>
      <c r="FA112" s="24">
        <f>FA169</f>
        <v/>
      </c>
      <c r="FB112" s="24">
        <f>FB169</f>
        <v/>
      </c>
    </row>
    <row r="113">
      <c r="A113" s="63" t="n"/>
      <c r="B113" s="39" t="n"/>
      <c r="C113" s="39" t="n"/>
      <c r="D113" s="39" t="n"/>
      <c r="E113" s="39" t="n"/>
      <c r="F113" s="39" t="n"/>
      <c r="G113" s="39" t="n"/>
      <c r="I113" s="57" t="inlineStr">
        <is>
          <t>Levered Cash Flow</t>
        </is>
      </c>
      <c r="J113" s="57" t="n"/>
      <c r="K113" s="58" t="n"/>
      <c r="L113" s="57">
        <f>SUMIF($Z$4:$FB$4,"&lt;="&amp;$G$18,$Z113:$FB113)</f>
        <v/>
      </c>
      <c r="M113" s="58" t="n"/>
      <c r="N113" s="57">
        <f>SUMIF($Z$3:$FB$3,N$7,$Z113:$FB113)</f>
        <v/>
      </c>
      <c r="O113" s="57">
        <f>SUMIF($Z$3:$FB$3,O$7,$Z113:$FB113)</f>
        <v/>
      </c>
      <c r="P113" s="57">
        <f>SUMIF($Z$3:$FB$3,P$7,$Z113:$FB113)</f>
        <v/>
      </c>
      <c r="Q113" s="57">
        <f>SUMIF($Z$3:$FB$3,Q$7,$Z113:$FB113)</f>
        <v/>
      </c>
      <c r="R113" s="57">
        <f>SUMIF($Z$3:$FB$3,R$7,$Z113:$FB113)</f>
        <v/>
      </c>
      <c r="S113" s="57">
        <f>SUMIF($Z$3:$FB$3,S$7,$Z113:$FB113)</f>
        <v/>
      </c>
      <c r="T113" s="57">
        <f>SUMIF($Z$3:$FB$3,T$7,$Z113:$FB113)</f>
        <v/>
      </c>
      <c r="U113" s="57">
        <f>SUMIF($Z$3:$FB$3,U$7,$Z113:$FB113)</f>
        <v/>
      </c>
      <c r="V113" s="57">
        <f>SUMIF($Z$3:$FB$3,V$7,$Z113:$FB113)</f>
        <v/>
      </c>
      <c r="W113" s="57">
        <f>SUMIF($Z$3:$FB$3,W$7,$Z113:$FB113)</f>
        <v/>
      </c>
      <c r="X113" s="57">
        <f>SUMIF($Z$3:$FB$3,X$7,$Z113:$FB113)</f>
        <v/>
      </c>
      <c r="Y113" s="58" t="n"/>
      <c r="Z113" s="57">
        <f>SUM(Z104:Z112)</f>
        <v/>
      </c>
      <c r="AA113" s="57">
        <f>SUM(AA104:AA112)</f>
        <v/>
      </c>
      <c r="AB113" s="57">
        <f>SUM(AB104:AB112)</f>
        <v/>
      </c>
      <c r="AC113" s="57">
        <f>SUM(AC104:AC112)</f>
        <v/>
      </c>
      <c r="AD113" s="57">
        <f>SUM(AD104:AD112)</f>
        <v/>
      </c>
      <c r="AE113" s="57">
        <f>SUM(AE104:AE112)</f>
        <v/>
      </c>
      <c r="AF113" s="57">
        <f>SUM(AF104:AF112)</f>
        <v/>
      </c>
      <c r="AG113" s="57">
        <f>SUM(AG104:AG112)</f>
        <v/>
      </c>
      <c r="AH113" s="57">
        <f>SUM(AH104:AH112)</f>
        <v/>
      </c>
      <c r="AI113" s="57">
        <f>SUM(AI104:AI112)</f>
        <v/>
      </c>
      <c r="AJ113" s="57">
        <f>SUM(AJ104:AJ112)</f>
        <v/>
      </c>
      <c r="AK113" s="57">
        <f>SUM(AK104:AK112)</f>
        <v/>
      </c>
      <c r="AL113" s="57">
        <f>SUM(AL104:AL112)</f>
        <v/>
      </c>
      <c r="AM113" s="57">
        <f>SUM(AM104:AM112)</f>
        <v/>
      </c>
      <c r="AN113" s="57">
        <f>SUM(AN104:AN112)</f>
        <v/>
      </c>
      <c r="AO113" s="57">
        <f>SUM(AO104:AO112)</f>
        <v/>
      </c>
      <c r="AP113" s="57">
        <f>SUM(AP104:AP112)</f>
        <v/>
      </c>
      <c r="AQ113" s="57">
        <f>SUM(AQ104:AQ112)</f>
        <v/>
      </c>
      <c r="AR113" s="57">
        <f>SUM(AR104:AR112)</f>
        <v/>
      </c>
      <c r="AS113" s="57">
        <f>SUM(AS104:AS112)</f>
        <v/>
      </c>
      <c r="AT113" s="57">
        <f>SUM(AT104:AT112)</f>
        <v/>
      </c>
      <c r="AU113" s="57">
        <f>SUM(AU104:AU112)</f>
        <v/>
      </c>
      <c r="AV113" s="57">
        <f>SUM(AV104:AV112)</f>
        <v/>
      </c>
      <c r="AW113" s="57">
        <f>SUM(AW104:AW112)</f>
        <v/>
      </c>
      <c r="AX113" s="57">
        <f>SUM(AX104:AX112)</f>
        <v/>
      </c>
      <c r="AY113" s="57">
        <f>SUM(AY104:AY112)</f>
        <v/>
      </c>
      <c r="AZ113" s="57">
        <f>SUM(AZ104:AZ112)</f>
        <v/>
      </c>
      <c r="BA113" s="57">
        <f>SUM(BA104:BA112)</f>
        <v/>
      </c>
      <c r="BB113" s="57">
        <f>SUM(BB104:BB112)</f>
        <v/>
      </c>
      <c r="BC113" s="57">
        <f>SUM(BC104:BC112)</f>
        <v/>
      </c>
      <c r="BD113" s="57">
        <f>SUM(BD104:BD112)</f>
        <v/>
      </c>
      <c r="BE113" s="57">
        <f>SUM(BE104:BE112)</f>
        <v/>
      </c>
      <c r="BF113" s="57">
        <f>SUM(BF104:BF112)</f>
        <v/>
      </c>
      <c r="BG113" s="57">
        <f>SUM(BG104:BG112)</f>
        <v/>
      </c>
      <c r="BH113" s="57">
        <f>SUM(BH104:BH112)</f>
        <v/>
      </c>
      <c r="BI113" s="57">
        <f>SUM(BI104:BI112)</f>
        <v/>
      </c>
      <c r="BJ113" s="57">
        <f>SUM(BJ104:BJ112)</f>
        <v/>
      </c>
      <c r="BK113" s="57">
        <f>SUM(BK104:BK112)</f>
        <v/>
      </c>
      <c r="BL113" s="57">
        <f>SUM(BL104:BL112)</f>
        <v/>
      </c>
      <c r="BM113" s="57">
        <f>SUM(BM104:BM112)</f>
        <v/>
      </c>
      <c r="BN113" s="57">
        <f>SUM(BN104:BN112)</f>
        <v/>
      </c>
      <c r="BO113" s="57">
        <f>SUM(BO104:BO112)</f>
        <v/>
      </c>
      <c r="BP113" s="57">
        <f>SUM(BP104:BP112)</f>
        <v/>
      </c>
      <c r="BQ113" s="57">
        <f>SUM(BQ104:BQ112)</f>
        <v/>
      </c>
      <c r="BR113" s="57">
        <f>SUM(BR104:BR112)</f>
        <v/>
      </c>
      <c r="BS113" s="57">
        <f>SUM(BS104:BS112)</f>
        <v/>
      </c>
      <c r="BT113" s="57">
        <f>SUM(BT104:BT112)</f>
        <v/>
      </c>
      <c r="BU113" s="57">
        <f>SUM(BU104:BU112)</f>
        <v/>
      </c>
      <c r="BV113" s="57">
        <f>SUM(BV104:BV112)</f>
        <v/>
      </c>
      <c r="BW113" s="57">
        <f>SUM(BW104:BW112)</f>
        <v/>
      </c>
      <c r="BX113" s="57">
        <f>SUM(BX104:BX112)</f>
        <v/>
      </c>
      <c r="BY113" s="57">
        <f>SUM(BY104:BY112)</f>
        <v/>
      </c>
      <c r="BZ113" s="57">
        <f>SUM(BZ104:BZ112)</f>
        <v/>
      </c>
      <c r="CA113" s="57">
        <f>SUM(CA104:CA112)</f>
        <v/>
      </c>
      <c r="CB113" s="57">
        <f>SUM(CB104:CB112)</f>
        <v/>
      </c>
      <c r="CC113" s="57">
        <f>SUM(CC104:CC112)</f>
        <v/>
      </c>
      <c r="CD113" s="57">
        <f>SUM(CD104:CD112)</f>
        <v/>
      </c>
      <c r="CE113" s="57">
        <f>SUM(CE104:CE112)</f>
        <v/>
      </c>
      <c r="CF113" s="57">
        <f>SUM(CF104:CF112)</f>
        <v/>
      </c>
      <c r="CG113" s="57">
        <f>SUM(CG104:CG112)</f>
        <v/>
      </c>
      <c r="CH113" s="57">
        <f>SUM(CH104:CH112)</f>
        <v/>
      </c>
      <c r="CI113" s="57">
        <f>SUM(CI104:CI112)</f>
        <v/>
      </c>
      <c r="CJ113" s="57">
        <f>SUM(CJ104:CJ112)</f>
        <v/>
      </c>
      <c r="CK113" s="57">
        <f>SUM(CK104:CK112)</f>
        <v/>
      </c>
      <c r="CL113" s="57">
        <f>SUM(CL104:CL112)</f>
        <v/>
      </c>
      <c r="CM113" s="57">
        <f>SUM(CM104:CM112)</f>
        <v/>
      </c>
      <c r="CN113" s="57">
        <f>SUM(CN104:CN112)</f>
        <v/>
      </c>
      <c r="CO113" s="57">
        <f>SUM(CO104:CO112)</f>
        <v/>
      </c>
      <c r="CP113" s="57">
        <f>SUM(CP104:CP112)</f>
        <v/>
      </c>
      <c r="CQ113" s="57">
        <f>SUM(CQ104:CQ112)</f>
        <v/>
      </c>
      <c r="CR113" s="57">
        <f>SUM(CR104:CR112)</f>
        <v/>
      </c>
      <c r="CS113" s="57">
        <f>SUM(CS104:CS112)</f>
        <v/>
      </c>
      <c r="CT113" s="57">
        <f>SUM(CT104:CT112)</f>
        <v/>
      </c>
      <c r="CU113" s="57">
        <f>SUM(CU104:CU112)</f>
        <v/>
      </c>
      <c r="CV113" s="57">
        <f>SUM(CV104:CV112)</f>
        <v/>
      </c>
      <c r="CW113" s="57">
        <f>SUM(CW104:CW112)</f>
        <v/>
      </c>
      <c r="CX113" s="57">
        <f>SUM(CX104:CX112)</f>
        <v/>
      </c>
      <c r="CY113" s="57">
        <f>SUM(CY104:CY112)</f>
        <v/>
      </c>
      <c r="CZ113" s="57">
        <f>SUM(CZ104:CZ112)</f>
        <v/>
      </c>
      <c r="DA113" s="57">
        <f>SUM(DA104:DA112)</f>
        <v/>
      </c>
      <c r="DB113" s="57">
        <f>SUM(DB104:DB112)</f>
        <v/>
      </c>
      <c r="DC113" s="57">
        <f>SUM(DC104:DC112)</f>
        <v/>
      </c>
      <c r="DD113" s="57">
        <f>SUM(DD104:DD112)</f>
        <v/>
      </c>
      <c r="DE113" s="57">
        <f>SUM(DE104:DE112)</f>
        <v/>
      </c>
      <c r="DF113" s="57">
        <f>SUM(DF104:DF112)</f>
        <v/>
      </c>
      <c r="DG113" s="57">
        <f>SUM(DG104:DG112)</f>
        <v/>
      </c>
      <c r="DH113" s="57">
        <f>SUM(DH104:DH112)</f>
        <v/>
      </c>
      <c r="DI113" s="57">
        <f>SUM(DI104:DI112)</f>
        <v/>
      </c>
      <c r="DJ113" s="57">
        <f>SUM(DJ104:DJ112)</f>
        <v/>
      </c>
      <c r="DK113" s="57">
        <f>SUM(DK104:DK112)</f>
        <v/>
      </c>
      <c r="DL113" s="57">
        <f>SUM(DL104:DL112)</f>
        <v/>
      </c>
      <c r="DM113" s="57">
        <f>SUM(DM104:DM112)</f>
        <v/>
      </c>
      <c r="DN113" s="57">
        <f>SUM(DN104:DN112)</f>
        <v/>
      </c>
      <c r="DO113" s="57">
        <f>SUM(DO104:DO112)</f>
        <v/>
      </c>
      <c r="DP113" s="57">
        <f>SUM(DP104:DP112)</f>
        <v/>
      </c>
      <c r="DQ113" s="57">
        <f>SUM(DQ104:DQ112)</f>
        <v/>
      </c>
      <c r="DR113" s="57">
        <f>SUM(DR104:DR112)</f>
        <v/>
      </c>
      <c r="DS113" s="57">
        <f>SUM(DS104:DS112)</f>
        <v/>
      </c>
      <c r="DT113" s="57">
        <f>SUM(DT104:DT112)</f>
        <v/>
      </c>
      <c r="DU113" s="57">
        <f>SUM(DU104:DU112)</f>
        <v/>
      </c>
      <c r="DV113" s="57">
        <f>SUM(DV104:DV112)</f>
        <v/>
      </c>
      <c r="DW113" s="57">
        <f>SUM(DW104:DW112)</f>
        <v/>
      </c>
      <c r="DX113" s="57">
        <f>SUM(DX104:DX112)</f>
        <v/>
      </c>
      <c r="DY113" s="57">
        <f>SUM(DY104:DY112)</f>
        <v/>
      </c>
      <c r="DZ113" s="57">
        <f>SUM(DZ104:DZ112)</f>
        <v/>
      </c>
      <c r="EA113" s="57">
        <f>SUM(EA104:EA112)</f>
        <v/>
      </c>
      <c r="EB113" s="57">
        <f>SUM(EB104:EB112)</f>
        <v/>
      </c>
      <c r="EC113" s="57">
        <f>SUM(EC104:EC112)</f>
        <v/>
      </c>
      <c r="ED113" s="57">
        <f>SUM(ED104:ED112)</f>
        <v/>
      </c>
      <c r="EE113" s="57">
        <f>SUM(EE104:EE112)</f>
        <v/>
      </c>
      <c r="EF113" s="57">
        <f>SUM(EF104:EF112)</f>
        <v/>
      </c>
      <c r="EG113" s="57">
        <f>SUM(EG104:EG112)</f>
        <v/>
      </c>
      <c r="EH113" s="57">
        <f>SUM(EH104:EH112)</f>
        <v/>
      </c>
      <c r="EI113" s="57">
        <f>SUM(EI104:EI112)</f>
        <v/>
      </c>
      <c r="EJ113" s="57">
        <f>SUM(EJ104:EJ112)</f>
        <v/>
      </c>
      <c r="EK113" s="57">
        <f>SUM(EK104:EK112)</f>
        <v/>
      </c>
      <c r="EL113" s="57">
        <f>SUM(EL104:EL112)</f>
        <v/>
      </c>
      <c r="EM113" s="57">
        <f>SUM(EM104:EM112)</f>
        <v/>
      </c>
      <c r="EN113" s="57">
        <f>SUM(EN104:EN112)</f>
        <v/>
      </c>
      <c r="EO113" s="57">
        <f>SUM(EO104:EO112)</f>
        <v/>
      </c>
      <c r="EP113" s="57">
        <f>SUM(EP104:EP112)</f>
        <v/>
      </c>
      <c r="EQ113" s="57">
        <f>SUM(EQ104:EQ112)</f>
        <v/>
      </c>
      <c r="ER113" s="57">
        <f>SUM(ER104:ER112)</f>
        <v/>
      </c>
      <c r="ES113" s="57">
        <f>SUM(ES104:ES112)</f>
        <v/>
      </c>
      <c r="ET113" s="57">
        <f>SUM(ET104:ET112)</f>
        <v/>
      </c>
      <c r="EU113" s="57">
        <f>SUM(EU104:EU112)</f>
        <v/>
      </c>
      <c r="EV113" s="57">
        <f>SUM(EV104:EV112)</f>
        <v/>
      </c>
      <c r="EW113" s="57">
        <f>SUM(EW104:EW112)</f>
        <v/>
      </c>
      <c r="EX113" s="57">
        <f>SUM(EX104:EX112)</f>
        <v/>
      </c>
      <c r="EY113" s="57">
        <f>SUM(EY104:EY112)</f>
        <v/>
      </c>
      <c r="EZ113" s="57">
        <f>SUM(EZ104:EZ112)</f>
        <v/>
      </c>
      <c r="FA113" s="57">
        <f>SUM(FA104:FA112)</f>
        <v/>
      </c>
      <c r="FB113" s="57">
        <f>SUM(FB104:FB112)</f>
        <v/>
      </c>
    </row>
    <row r="114">
      <c r="B114" s="10" t="n"/>
      <c r="C114" s="236" t="n"/>
      <c r="D114" s="236" t="n"/>
      <c r="E114" s="236" t="n"/>
      <c r="F114" s="236" t="n"/>
      <c r="G114" s="236" t="n"/>
      <c r="I114" s="15" t="inlineStr">
        <is>
          <t>Cash-on-Cash (Operating)</t>
        </is>
      </c>
      <c r="J114" s="220" t="inlineStr">
        <is>
          <t>Avg CoC</t>
        </is>
      </c>
      <c r="L114" s="221">
        <f>AVERAGE(O114:X114)</f>
        <v/>
      </c>
      <c r="N114" s="219">
        <f>IFERROR((SUMIFS($Z79:$FB79,$Z$3:$FB$3,N$7)+SUMIFS($Z107:$FB107,$Z$3:$FB$3,N$7)+SUMIFS($Z111:$FB111,$Z$3:$FB$3,N$7))/-$L$116,0)</f>
        <v/>
      </c>
      <c r="O114" s="219">
        <f>IFERROR((SUMIFS($Z79:$FB79,$Z$3:$FB$3,O$7)+SUMIFS($Z107:$FB107,$Z$3:$FB$3,O$7)+SUMIFS($Z111:$FB111,$Z$3:$FB$3,O$7))/-$L$116,0)</f>
        <v/>
      </c>
      <c r="P114" s="219">
        <f>IFERROR((SUMIFS($Z79:$FB79,$Z$3:$FB$3,P$7)+SUMIFS($Z107:$FB107,$Z$3:$FB$3,P$7)+SUMIFS($Z111:$FB111,$Z$3:$FB$3,P$7))/-$L$116,0)</f>
        <v/>
      </c>
      <c r="Q114" s="219">
        <f>IFERROR((SUMIFS($Z79:$FB79,$Z$3:$FB$3,Q$7)+SUMIFS($Z107:$FB107,$Z$3:$FB$3,Q$7)+SUMIFS($Z111:$FB111,$Z$3:$FB$3,Q$7))/-$L$116,0)</f>
        <v/>
      </c>
      <c r="R114" s="219">
        <f>IFERROR((SUMIFS($Z79:$FB79,$Z$3:$FB$3,R$7)+SUMIFS($Z107:$FB107,$Z$3:$FB$3,R$7)+SUMIFS($Z111:$FB111,$Z$3:$FB$3,R$7))/-$L$116,0)</f>
        <v/>
      </c>
      <c r="S114" s="219">
        <f>IFERROR((SUMIFS($Z79:$FB79,$Z$3:$FB$3,S$7)+SUMIFS($Z107:$FB107,$Z$3:$FB$3,S$7)+SUMIFS($Z111:$FB111,$Z$3:$FB$3,S$7))/-$L$116,0)</f>
        <v/>
      </c>
      <c r="T114" s="219">
        <f>IFERROR((SUMIFS($Z79:$FB79,$Z$3:$FB$3,T$7)+SUMIFS($Z107:$FB107,$Z$3:$FB$3,T$7)+SUMIFS($Z111:$FB111,$Z$3:$FB$3,T$7))/-$L$116,0)</f>
        <v/>
      </c>
      <c r="U114" s="219">
        <f>IFERROR((SUMIFS($Z79:$FB79,$Z$3:$FB$3,U$7)+SUMIFS($Z107:$FB107,$Z$3:$FB$3,U$7)+SUMIFS($Z111:$FB111,$Z$3:$FB$3,U$7))/-$L$116,0)</f>
        <v/>
      </c>
      <c r="V114" s="219">
        <f>IFERROR((SUMIFS($Z79:$FB79,$Z$3:$FB$3,V$7)+SUMIFS($Z107:$FB107,$Z$3:$FB$3,V$7)+SUMIFS($Z111:$FB111,$Z$3:$FB$3,V$7))/-$L$116,0)</f>
        <v/>
      </c>
      <c r="W114" s="219">
        <f>IFERROR((SUMIFS($Z79:$FB79,$Z$3:$FB$3,W$7)+SUMIFS($Z107:$FB107,$Z$3:$FB$3,W$7)+SUMIFS($Z111:$FB111,$Z$3:$FB$3,W$7))/-$L$116,0)</f>
        <v/>
      </c>
      <c r="X114" s="219">
        <f>IFERROR((SUMIFS($Z79:$FB79,$Z$3:$FB$3,X$7)+SUMIFS($Z107:$FB107,$Z$3:$FB$3,X$7)+SUMIFS($Z111:$FB111,$Z$3:$FB$3,X$7))/-$L$116,0)</f>
        <v/>
      </c>
      <c r="AA114" s="31">
        <f>((AA79+AA107+AA111)*12)/-$L$116</f>
        <v/>
      </c>
      <c r="AB114" s="31">
        <f>((AB79+AB107+AB111)*12)/-$L$116</f>
        <v/>
      </c>
      <c r="AC114" s="31">
        <f>((AC79+AC107+AC111)*12)/-$L$116</f>
        <v/>
      </c>
      <c r="AD114" s="31">
        <f>((AD79+AD107+AD111)*12)/-$L$116</f>
        <v/>
      </c>
      <c r="AE114" s="31">
        <f>((AE79+AE107+AE111)*12)/-$L$116</f>
        <v/>
      </c>
      <c r="AF114" s="31">
        <f>((AF79+AF107+AF111)*12)/-$L$116</f>
        <v/>
      </c>
      <c r="AG114" s="31">
        <f>((AG79+AG107+AG111)*12)/-$L$116</f>
        <v/>
      </c>
      <c r="AH114" s="31">
        <f>((AH79+AH107+AH111)*12)/-$L$116</f>
        <v/>
      </c>
      <c r="AI114" s="31">
        <f>((AI79+AI107+AI111)*12)/-$L$116</f>
        <v/>
      </c>
      <c r="AJ114" s="31">
        <f>((AJ79+AJ107+AJ111)*12)/-$L$116</f>
        <v/>
      </c>
      <c r="AK114" s="31">
        <f>((AK79+AK107+AK111)*12)/-$L$116</f>
        <v/>
      </c>
      <c r="AL114" s="31">
        <f>((AL79+AL107+AL111)*12)/-$L$116</f>
        <v/>
      </c>
      <c r="AM114" s="31">
        <f>((AM79+AM107+AM111)*12)/-$L$116</f>
        <v/>
      </c>
      <c r="AN114" s="31">
        <f>((AN79+AN107+AN111)*12)/-$L$116</f>
        <v/>
      </c>
      <c r="AO114" s="31">
        <f>((AO79+AO107+AO111)*12)/-$L$116</f>
        <v/>
      </c>
      <c r="AP114" s="31">
        <f>((AP79+AP107+AP111)*12)/-$L$116</f>
        <v/>
      </c>
      <c r="AQ114" s="31">
        <f>((AQ79+AQ107+AQ111)*12)/-$L$116</f>
        <v/>
      </c>
      <c r="AR114" s="31">
        <f>((AR79+AR107+AR111)*12)/-$L$116</f>
        <v/>
      </c>
      <c r="AS114" s="31">
        <f>((AS79+AS107+AS111)*12)/-$L$116</f>
        <v/>
      </c>
      <c r="AT114" s="31">
        <f>((AT79+AT107+AT111)*12)/-$L$116</f>
        <v/>
      </c>
      <c r="AU114" s="31">
        <f>((AU79+AU107+AU111)*12)/-$L$116</f>
        <v/>
      </c>
      <c r="AV114" s="31">
        <f>((AV79+AV107+AV111)*12)/-$L$116</f>
        <v/>
      </c>
      <c r="AW114" s="31">
        <f>((AW79+AW107+AW111)*12)/-$L$116</f>
        <v/>
      </c>
      <c r="AX114" s="31">
        <f>((AX79+AX107+AX111)*12)/-$L$116</f>
        <v/>
      </c>
      <c r="AY114" s="31">
        <f>((AY79+AY107+AY111)*12)/-$L$116</f>
        <v/>
      </c>
      <c r="AZ114" s="31">
        <f>((AZ79+AZ107+AZ111)*12)/-$L$116</f>
        <v/>
      </c>
      <c r="BA114" s="31">
        <f>((BA79+BA107+BA111)*12)/-$L$116</f>
        <v/>
      </c>
      <c r="BB114" s="31">
        <f>((BB79+BB107+BB111)*12)/-$L$116</f>
        <v/>
      </c>
      <c r="BC114" s="31">
        <f>((BC79+BC107+BC111)*12)/-$L$116</f>
        <v/>
      </c>
      <c r="BD114" s="31">
        <f>((BD79+BD107+BD111)*12)/-$L$116</f>
        <v/>
      </c>
      <c r="BE114" s="31">
        <f>((BE79+BE107+BE111)*12)/-$L$116</f>
        <v/>
      </c>
      <c r="BF114" s="31">
        <f>((BF79+BF107+BF111)*12)/-$L$116</f>
        <v/>
      </c>
      <c r="BG114" s="31">
        <f>((BG79+BG107+BG111)*12)/-$L$116</f>
        <v/>
      </c>
      <c r="BH114" s="31">
        <f>((BH79+BH107+BH111)*12)/-$L$116</f>
        <v/>
      </c>
      <c r="BI114" s="31">
        <f>((BI79+BI107+BI111)*12)/-$L$116</f>
        <v/>
      </c>
      <c r="BJ114" s="31">
        <f>((BJ79+BJ107+BJ111)*12)/-$L$116</f>
        <v/>
      </c>
      <c r="BK114" s="31">
        <f>((BK79+BK107+BK111)*12)/-$L$116</f>
        <v/>
      </c>
      <c r="BL114" s="31">
        <f>((BL79+BL107+BL111)*12)/-$L$116</f>
        <v/>
      </c>
      <c r="BM114" s="31">
        <f>((BM79+BM107+BM111)*12)/-$L$116</f>
        <v/>
      </c>
      <c r="BN114" s="31">
        <f>((BN79+BN107+BN111)*12)/-$L$116</f>
        <v/>
      </c>
      <c r="BO114" s="31">
        <f>((BO79+BO107+BO111)*12)/-$L$116</f>
        <v/>
      </c>
      <c r="BP114" s="31">
        <f>((BP79+BP107+BP111)*12)/-$L$116</f>
        <v/>
      </c>
      <c r="BQ114" s="31">
        <f>((BQ79+BQ107+BQ111)*12)/-$L$116</f>
        <v/>
      </c>
      <c r="BR114" s="31">
        <f>((BR79+BR107+BR111)*12)/-$L$116</f>
        <v/>
      </c>
      <c r="BS114" s="31">
        <f>((BS79+BS107+BS111)*12)/-$L$116</f>
        <v/>
      </c>
      <c r="BT114" s="31">
        <f>((BT79+BT107+BT111)*12)/-$L$116</f>
        <v/>
      </c>
      <c r="BU114" s="31">
        <f>((BU79+BU107+BU111)*12)/-$L$116</f>
        <v/>
      </c>
      <c r="BV114" s="31">
        <f>((BV79+BV107+BV111)*12)/-$L$116</f>
        <v/>
      </c>
      <c r="BW114" s="31">
        <f>((BW79+BW107+BW111)*12)/-$L$116</f>
        <v/>
      </c>
      <c r="BX114" s="31">
        <f>((BX79+BX107+BX111)*12)/-$L$116</f>
        <v/>
      </c>
      <c r="BY114" s="31">
        <f>((BY79+BY107+BY111)*12)/-$L$116</f>
        <v/>
      </c>
      <c r="BZ114" s="31">
        <f>((BZ79+BZ107+BZ111)*12)/-$L$116</f>
        <v/>
      </c>
      <c r="CA114" s="31">
        <f>((CA79+CA107+CA111)*12)/-$L$116</f>
        <v/>
      </c>
      <c r="CB114" s="31">
        <f>((CB79+CB107+CB111)*12)/-$L$116</f>
        <v/>
      </c>
      <c r="CC114" s="31">
        <f>((CC79+CC107+CC111)*12)/-$L$116</f>
        <v/>
      </c>
      <c r="CD114" s="31">
        <f>((CD79+CD107+CD111)*12)/-$L$116</f>
        <v/>
      </c>
      <c r="CE114" s="31">
        <f>((CE79+CE107+CE111)*12)/-$L$116</f>
        <v/>
      </c>
      <c r="CF114" s="31">
        <f>((CF79+CF107+CF111)*12)/-$L$116</f>
        <v/>
      </c>
      <c r="CG114" s="31">
        <f>((CG79+CG107+CG111)*12)/-$L$116</f>
        <v/>
      </c>
      <c r="CH114" s="31">
        <f>((CH79+CH107+CH111)*12)/-$L$116</f>
        <v/>
      </c>
      <c r="CI114" s="31">
        <f>((CI79+CI107+CI111)*12)/-$L$116</f>
        <v/>
      </c>
      <c r="CJ114" s="31">
        <f>((CJ79+CJ107+CJ111)*12)/-$L$116</f>
        <v/>
      </c>
      <c r="CK114" s="31">
        <f>((CK79+CK107+CK111)*12)/-$L$116</f>
        <v/>
      </c>
      <c r="CL114" s="31">
        <f>((CL79+CL107+CL111)*12)/-$L$116</f>
        <v/>
      </c>
      <c r="CM114" s="31">
        <f>((CM79+CM107+CM111)*12)/-$L$116</f>
        <v/>
      </c>
      <c r="CN114" s="31">
        <f>((CN79+CN107+CN111)*12)/-$L$116</f>
        <v/>
      </c>
      <c r="CO114" s="31">
        <f>((CO79+CO107+CO111)*12)/-$L$116</f>
        <v/>
      </c>
      <c r="CP114" s="31">
        <f>((CP79+CP107+CP111)*12)/-$L$116</f>
        <v/>
      </c>
      <c r="CQ114" s="31">
        <f>((CQ79+CQ107+CQ111)*12)/-$L$116</f>
        <v/>
      </c>
      <c r="CR114" s="31">
        <f>((CR79+CR107+CR111)*12)/-$L$116</f>
        <v/>
      </c>
      <c r="CS114" s="31">
        <f>((CS79+CS107+CS111)*12)/-$L$116</f>
        <v/>
      </c>
      <c r="CT114" s="31">
        <f>((CT79+CT107+CT111)*12)/-$L$116</f>
        <v/>
      </c>
      <c r="CU114" s="31">
        <f>((CU79+CU107+CU111)*12)/-$L$116</f>
        <v/>
      </c>
      <c r="CV114" s="31">
        <f>((CV79+CV107+CV111)*12)/-$L$116</f>
        <v/>
      </c>
      <c r="CW114" s="31">
        <f>((CW79+CW107+CW111)*12)/-$L$116</f>
        <v/>
      </c>
      <c r="CX114" s="31">
        <f>((CX79+CX107+CX111)*12)/-$L$116</f>
        <v/>
      </c>
      <c r="CY114" s="31">
        <f>((CY79+CY107+CY111)*12)/-$L$116</f>
        <v/>
      </c>
      <c r="CZ114" s="31">
        <f>((CZ79+CZ107+CZ111)*12)/-$L$116</f>
        <v/>
      </c>
      <c r="DA114" s="31">
        <f>((DA79+DA107+DA111)*12)/-$L$116</f>
        <v/>
      </c>
      <c r="DB114" s="31">
        <f>((DB79+DB107+DB111)*12)/-$L$116</f>
        <v/>
      </c>
      <c r="DC114" s="31">
        <f>((DC79+DC107+DC111)*12)/-$L$116</f>
        <v/>
      </c>
      <c r="DD114" s="31">
        <f>((DD79+DD107+DD111)*12)/-$L$116</f>
        <v/>
      </c>
      <c r="DE114" s="31">
        <f>((DE79+DE107+DE111)*12)/-$L$116</f>
        <v/>
      </c>
      <c r="DF114" s="31">
        <f>((DF79+DF107+DF111)*12)/-$L$116</f>
        <v/>
      </c>
      <c r="DG114" s="31">
        <f>((DG79+DG107+DG111)*12)/-$L$116</f>
        <v/>
      </c>
      <c r="DH114" s="31">
        <f>((DH79+DH107+DH111)*12)/-$L$116</f>
        <v/>
      </c>
      <c r="DI114" s="31">
        <f>((DI79+DI107+DI111)*12)/-$L$116</f>
        <v/>
      </c>
      <c r="DJ114" s="31">
        <f>((DJ79+DJ107+DJ111)*12)/-$L$116</f>
        <v/>
      </c>
      <c r="DK114" s="31">
        <f>((DK79+DK107+DK111)*12)/-$L$116</f>
        <v/>
      </c>
      <c r="DL114" s="31">
        <f>((DL79+DL107+DL111)*12)/-$L$116</f>
        <v/>
      </c>
      <c r="DM114" s="31">
        <f>((DM79+DM107+DM111)*12)/-$L$116</f>
        <v/>
      </c>
      <c r="DN114" s="31">
        <f>((DN79+DN107+DN111)*12)/-$L$116</f>
        <v/>
      </c>
      <c r="DO114" s="31">
        <f>((DO79+DO107+DO111)*12)/-$L$116</f>
        <v/>
      </c>
      <c r="DP114" s="31">
        <f>((DP79+DP107+DP111)*12)/-$L$116</f>
        <v/>
      </c>
      <c r="DQ114" s="31">
        <f>((DQ79+DQ107+DQ111)*12)/-$L$116</f>
        <v/>
      </c>
      <c r="DR114" s="31">
        <f>((DR79+DR107+DR111)*12)/-$L$116</f>
        <v/>
      </c>
      <c r="DS114" s="31">
        <f>((DS79+DS107+DS111)*12)/-$L$116</f>
        <v/>
      </c>
      <c r="DT114" s="31">
        <f>((DT79+DT107+DT111)*12)/-$L$116</f>
        <v/>
      </c>
      <c r="DU114" s="31">
        <f>((DU79+DU107+DU111)*12)/-$L$116</f>
        <v/>
      </c>
      <c r="DV114" s="31">
        <f>((DV79+DV107+DV111)*12)/-$L$116</f>
        <v/>
      </c>
      <c r="DW114" s="31">
        <f>((DW79+DW107+DW111)*12)/-$L$116</f>
        <v/>
      </c>
      <c r="DX114" s="31">
        <f>((DX79+DX107+DX111)*12)/-$L$116</f>
        <v/>
      </c>
      <c r="DY114" s="31">
        <f>((DY79+DY107+DY111)*12)/-$L$116</f>
        <v/>
      </c>
      <c r="DZ114" s="31">
        <f>((DZ79+DZ107+DZ111)*12)/-$L$116</f>
        <v/>
      </c>
      <c r="EA114" s="31">
        <f>((EA79+EA107+EA111)*12)/-$L$116</f>
        <v/>
      </c>
      <c r="EB114" s="31">
        <f>((EB79+EB107+EB111)*12)/-$L$116</f>
        <v/>
      </c>
      <c r="EC114" s="31">
        <f>((EC79+EC107+EC111)*12)/-$L$116</f>
        <v/>
      </c>
      <c r="ED114" s="31">
        <f>((ED79+ED107+ED111)*12)/-$L$116</f>
        <v/>
      </c>
      <c r="EE114" s="31">
        <f>((EE79+EE107+EE111)*12)/-$L$116</f>
        <v/>
      </c>
      <c r="EF114" s="31">
        <f>((EF79+EF107+EF111)*12)/-$L$116</f>
        <v/>
      </c>
      <c r="EG114" s="31">
        <f>((EG79+EG107+EG111)*12)/-$L$116</f>
        <v/>
      </c>
      <c r="EH114" s="31">
        <f>((EH79+EH107+EH111)*12)/-$L$116</f>
        <v/>
      </c>
      <c r="EI114" s="31">
        <f>((EI79+EI107+EI111)*12)/-$L$116</f>
        <v/>
      </c>
      <c r="EJ114" s="31">
        <f>((EJ79+EJ107+EJ111)*12)/-$L$116</f>
        <v/>
      </c>
      <c r="EK114" s="31">
        <f>((EK79+EK107+EK111)*12)/-$L$116</f>
        <v/>
      </c>
      <c r="EL114" s="31">
        <f>((EL79+EL107+EL111)*12)/-$L$116</f>
        <v/>
      </c>
      <c r="EM114" s="31">
        <f>((EM79+EM107+EM111)*12)/-$L$116</f>
        <v/>
      </c>
      <c r="EN114" s="31">
        <f>((EN79+EN107+EN111)*12)/-$L$116</f>
        <v/>
      </c>
      <c r="EO114" s="31">
        <f>((EO79+EO107+EO111)*12)/-$L$116</f>
        <v/>
      </c>
      <c r="EP114" s="31">
        <f>((EP79+EP107+EP111)*12)/-$L$116</f>
        <v/>
      </c>
      <c r="EQ114" s="31">
        <f>((EQ79+EQ107+EQ111)*12)/-$L$116</f>
        <v/>
      </c>
      <c r="ER114" s="31">
        <f>((ER79+ER107+ER111)*12)/-$L$116</f>
        <v/>
      </c>
      <c r="ES114" s="31">
        <f>((ES79+ES107+ES111)*12)/-$L$116</f>
        <v/>
      </c>
      <c r="ET114" s="31">
        <f>((ET79+ET107+ET111)*12)/-$L$116</f>
        <v/>
      </c>
      <c r="EU114" s="31">
        <f>((EU79+EU107+EU111)*12)/-$L$116</f>
        <v/>
      </c>
      <c r="EV114" s="31">
        <f>((EV79+EV107+EV111)*12)/-$L$116</f>
        <v/>
      </c>
      <c r="EW114" s="31">
        <f>((EW79+EW107+EW111)*12)/-$L$116</f>
        <v/>
      </c>
      <c r="EX114" s="31">
        <f>((EX79+EX107+EX111)*12)/-$L$116</f>
        <v/>
      </c>
      <c r="EY114" s="31">
        <f>((EY79+EY107+EY111)*12)/-$L$116</f>
        <v/>
      </c>
      <c r="EZ114" s="31">
        <f>((EZ79+EZ107+EZ111)*12)/-$L$116</f>
        <v/>
      </c>
      <c r="FA114" s="31">
        <f>((FA79+FA107+FA111)*12)/-$L$116</f>
        <v/>
      </c>
      <c r="FB114" s="31">
        <f>((FB79+FB107+FB111)*12)/-$L$116</f>
        <v/>
      </c>
    </row>
    <row r="115">
      <c r="B115" s="39" t="n"/>
      <c r="C115" s="39" t="n"/>
      <c r="D115" s="39" t="n"/>
      <c r="E115" s="39" t="n"/>
      <c r="F115" s="39" t="n"/>
      <c r="G115" s="39" t="n"/>
      <c r="J115" s="14" t="inlineStr">
        <is>
          <t>Net Profit</t>
        </is>
      </c>
      <c r="L115" s="46">
        <f>L113</f>
        <v/>
      </c>
    </row>
    <row r="116">
      <c r="J116" s="14" t="inlineStr">
        <is>
          <t>Peak Equity</t>
        </is>
      </c>
      <c r="L116" s="46">
        <f>SUMIF(Z113:FB113,"&lt;0",Z113:FB113)</f>
        <v/>
      </c>
    </row>
    <row r="117" customFormat="1" s="44">
      <c r="A117" s="9" t="n"/>
      <c r="B117" s="21" t="inlineStr">
        <is>
          <t>Inputs</t>
        </is>
      </c>
      <c r="C117" s="22" t="inlineStr">
        <is>
          <t>Values</t>
        </is>
      </c>
      <c r="D117" s="9" t="n"/>
      <c r="E117" s="9" t="n"/>
      <c r="F117" s="9" t="n"/>
      <c r="G117" s="9" t="n"/>
      <c r="H117" s="11" t="n"/>
      <c r="I117" s="9" t="n"/>
      <c r="J117" s="14" t="inlineStr">
        <is>
          <t>IRR</t>
        </is>
      </c>
      <c r="K117" s="11" t="n"/>
      <c r="L117" s="31">
        <f>(1+IRR(Z113:FB113,0))^12-1</f>
        <v/>
      </c>
      <c r="M117" s="11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11" t="n"/>
      <c r="Z117" s="9" t="n"/>
      <c r="AA117" s="9" t="n"/>
      <c r="AB117" s="9" t="n"/>
      <c r="AC117" s="9" t="n"/>
      <c r="AD117" s="9" t="n"/>
      <c r="AE117" s="9" t="n"/>
      <c r="AF117" s="9" t="n"/>
      <c r="AG117" s="9" t="n"/>
      <c r="AH117" s="9" t="n"/>
      <c r="AI117" s="9" t="n"/>
      <c r="AJ117" s="9" t="n"/>
      <c r="AK117" s="9" t="n"/>
      <c r="AL117" s="9" t="n"/>
      <c r="AM117" s="9" t="n"/>
      <c r="AN117" s="9" t="n"/>
      <c r="AO117" s="9" t="n"/>
      <c r="AP117" s="9" t="n"/>
      <c r="AQ117" s="9" t="n"/>
      <c r="AR117" s="9" t="n"/>
      <c r="AS117" s="9" t="n"/>
      <c r="AT117" s="9" t="n"/>
      <c r="AU117" s="9" t="n"/>
      <c r="AV117" s="9" t="n"/>
      <c r="AW117" s="9" t="n"/>
      <c r="AX117" s="9" t="n"/>
      <c r="AY117" s="9" t="n"/>
      <c r="AZ117" s="9" t="n"/>
      <c r="BA117" s="9" t="n"/>
      <c r="BB117" s="9" t="n"/>
      <c r="BC117" s="9" t="n"/>
      <c r="BD117" s="9" t="n"/>
      <c r="BE117" s="9" t="n"/>
      <c r="BF117" s="9" t="n"/>
      <c r="BG117" s="9" t="n"/>
      <c r="BH117" s="9" t="n"/>
      <c r="BI117" s="9" t="n"/>
      <c r="BJ117" s="9" t="n"/>
      <c r="BK117" s="9" t="n"/>
      <c r="BL117" s="9" t="n"/>
      <c r="BM117" s="9" t="n"/>
      <c r="BN117" s="9" t="n"/>
      <c r="BO117" s="9" t="n"/>
      <c r="BP117" s="9" t="n"/>
      <c r="BQ117" s="9" t="n"/>
      <c r="BR117" s="9" t="n"/>
      <c r="BS117" s="9" t="n"/>
      <c r="BT117" s="9" t="n"/>
      <c r="BU117" s="9" t="n"/>
      <c r="BV117" s="9" t="n"/>
      <c r="BW117" s="9" t="n"/>
      <c r="BX117" s="9" t="n"/>
      <c r="BY117" s="9" t="n"/>
      <c r="BZ117" s="9" t="n"/>
      <c r="CA117" s="9" t="n"/>
      <c r="CB117" s="9" t="n"/>
      <c r="CC117" s="9" t="n"/>
      <c r="CD117" s="9" t="n"/>
      <c r="CE117" s="9" t="n"/>
      <c r="CF117" s="9" t="n"/>
      <c r="CG117" s="9" t="n"/>
      <c r="CH117" s="9" t="n"/>
      <c r="CI117" s="9" t="n"/>
      <c r="CJ117" s="9" t="n"/>
      <c r="CK117" s="9" t="n"/>
      <c r="CL117" s="9" t="n"/>
      <c r="CM117" s="9" t="n"/>
      <c r="CN117" s="9" t="n"/>
      <c r="CO117" s="9" t="n"/>
      <c r="CP117" s="9" t="n"/>
      <c r="CQ117" s="9" t="n"/>
      <c r="CR117" s="9" t="n"/>
      <c r="CS117" s="9" t="n"/>
      <c r="CT117" s="9" t="n"/>
      <c r="CU117" s="9" t="n"/>
      <c r="CV117" s="9" t="n"/>
      <c r="CW117" s="9" t="n"/>
      <c r="CX117" s="9" t="n"/>
      <c r="CY117" s="9" t="n"/>
      <c r="CZ117" s="9" t="n"/>
      <c r="DA117" s="9" t="n"/>
      <c r="DB117" s="9" t="n"/>
      <c r="DC117" s="9" t="n"/>
      <c r="DD117" s="9" t="n"/>
      <c r="DE117" s="9" t="n"/>
      <c r="DF117" s="9" t="n"/>
      <c r="DG117" s="9" t="n"/>
      <c r="DH117" s="9" t="n"/>
      <c r="DI117" s="9" t="n"/>
      <c r="DJ117" s="9" t="n"/>
      <c r="DK117" s="9" t="n"/>
      <c r="DL117" s="9" t="n"/>
      <c r="DM117" s="9" t="n"/>
      <c r="DN117" s="9" t="n"/>
      <c r="DO117" s="9" t="n"/>
      <c r="DP117" s="9" t="n"/>
      <c r="DQ117" s="9" t="n"/>
      <c r="DR117" s="9" t="n"/>
      <c r="DS117" s="9" t="n"/>
      <c r="DT117" s="9" t="n"/>
      <c r="DU117" s="9" t="n"/>
      <c r="DV117" s="9" t="n"/>
      <c r="DW117" s="9" t="n"/>
      <c r="DX117" s="9" t="n"/>
      <c r="DY117" s="9" t="n"/>
      <c r="DZ117" s="9" t="n"/>
      <c r="EA117" s="9" t="n"/>
      <c r="EB117" s="9" t="n"/>
      <c r="EC117" s="9" t="n"/>
      <c r="ED117" s="9" t="n"/>
      <c r="EE117" s="9" t="n"/>
      <c r="EF117" s="9" t="n"/>
      <c r="EG117" s="9" t="n"/>
      <c r="EH117" s="9" t="n"/>
      <c r="EI117" s="9" t="n"/>
      <c r="EJ117" s="9" t="n"/>
      <c r="EK117" s="9" t="n"/>
      <c r="EL117" s="9" t="n"/>
      <c r="EM117" s="9" t="n"/>
      <c r="EN117" s="9" t="n"/>
      <c r="EO117" s="9" t="n"/>
      <c r="EP117" s="9" t="n"/>
      <c r="EQ117" s="9" t="n"/>
      <c r="ER117" s="9" t="n"/>
      <c r="ES117" s="9" t="n"/>
      <c r="ET117" s="9" t="n"/>
      <c r="EU117" s="9" t="n"/>
      <c r="EV117" s="9" t="n"/>
      <c r="EW117" s="9" t="n"/>
      <c r="EX117" s="9" t="n"/>
      <c r="EY117" s="9" t="n"/>
      <c r="EZ117" s="9" t="n"/>
      <c r="FA117" s="9" t="n"/>
      <c r="FB117" s="9" t="n"/>
    </row>
    <row r="118">
      <c r="B118" s="9" t="inlineStr">
        <is>
          <t>Refinance Interest Rate</t>
        </is>
      </c>
      <c r="C118" s="212">
        <f>Inputs!C55</f>
        <v/>
      </c>
      <c r="J118" s="14" t="inlineStr">
        <is>
          <t>Equity Multiple</t>
        </is>
      </c>
      <c r="L118" s="84">
        <f>(L115-L116)/-L116</f>
        <v/>
      </c>
    </row>
    <row r="119" customFormat="1" s="63">
      <c r="B119" s="9" t="inlineStr">
        <is>
          <t>Rent Growth Rate</t>
        </is>
      </c>
      <c r="C119" s="212">
        <f>Inputs!C56</f>
        <v/>
      </c>
      <c r="D119" s="9" t="n"/>
      <c r="E119" s="9" t="n"/>
      <c r="F119" s="9" t="n"/>
      <c r="G119" s="9" t="n"/>
      <c r="H119" s="58" t="n"/>
      <c r="I119" s="9" t="n"/>
      <c r="J119" s="9" t="n"/>
      <c r="K119" s="11" t="n"/>
      <c r="L119" s="24" t="n"/>
      <c r="M119" s="11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11" t="n"/>
      <c r="Z119" s="9" t="n"/>
      <c r="AA119" s="9" t="n"/>
      <c r="AB119" s="9" t="n"/>
      <c r="AC119" s="9" t="n"/>
      <c r="AD119" s="9" t="n"/>
      <c r="AE119" s="9" t="n"/>
      <c r="AF119" s="9" t="n"/>
      <c r="AG119" s="9" t="n"/>
      <c r="AH119" s="9" t="n"/>
      <c r="AI119" s="9" t="n"/>
      <c r="AJ119" s="9" t="n"/>
      <c r="AK119" s="9" t="n"/>
      <c r="AL119" s="9" t="n"/>
      <c r="AM119" s="9" t="n"/>
      <c r="AN119" s="9" t="n"/>
      <c r="AO119" s="9" t="n"/>
      <c r="AP119" s="9" t="n"/>
      <c r="AQ119" s="9" t="n"/>
      <c r="AR119" s="9" t="n"/>
      <c r="AS119" s="9" t="n"/>
      <c r="AT119" s="9" t="n"/>
      <c r="AU119" s="9" t="n"/>
      <c r="AV119" s="9" t="n"/>
      <c r="AW119" s="9" t="n"/>
      <c r="AX119" s="9" t="n"/>
      <c r="AY119" s="9" t="n"/>
      <c r="AZ119" s="9" t="n"/>
      <c r="BA119" s="9" t="n"/>
      <c r="BB119" s="9" t="n"/>
      <c r="BC119" s="9" t="n"/>
      <c r="BD119" s="9" t="n"/>
      <c r="BE119" s="9" t="n"/>
      <c r="BF119" s="9" t="n"/>
      <c r="BG119" s="9" t="n"/>
      <c r="BH119" s="9" t="n"/>
      <c r="BI119" s="9" t="n"/>
      <c r="BJ119" s="9" t="n"/>
      <c r="BK119" s="9" t="n"/>
      <c r="BL119" s="9" t="n"/>
      <c r="BM119" s="9" t="n"/>
      <c r="BN119" s="9" t="n"/>
      <c r="BO119" s="9" t="n"/>
      <c r="BP119" s="9" t="n"/>
      <c r="BQ119" s="9" t="n"/>
      <c r="BR119" s="9" t="n"/>
      <c r="BS119" s="9" t="n"/>
      <c r="BT119" s="9" t="n"/>
      <c r="BU119" s="9" t="n"/>
      <c r="BV119" s="9" t="n"/>
      <c r="BW119" s="9" t="n"/>
      <c r="BX119" s="9" t="n"/>
      <c r="BY119" s="9" t="n"/>
      <c r="BZ119" s="9" t="n"/>
      <c r="CA119" s="9" t="n"/>
      <c r="CB119" s="9" t="n"/>
      <c r="CC119" s="9" t="n"/>
      <c r="CD119" s="9" t="n"/>
      <c r="CE119" s="9" t="n"/>
      <c r="CF119" s="9" t="n"/>
      <c r="CG119" s="9" t="n"/>
      <c r="CH119" s="9" t="n"/>
      <c r="CI119" s="9" t="n"/>
      <c r="CJ119" s="9" t="n"/>
      <c r="CK119" s="9" t="n"/>
      <c r="CL119" s="9" t="n"/>
      <c r="CM119" s="9" t="n"/>
      <c r="CN119" s="9" t="n"/>
      <c r="CO119" s="9" t="n"/>
      <c r="CP119" s="9" t="n"/>
      <c r="CQ119" s="9" t="n"/>
      <c r="CR119" s="9" t="n"/>
      <c r="CS119" s="9" t="n"/>
      <c r="CT119" s="9" t="n"/>
      <c r="CU119" s="9" t="n"/>
      <c r="CV119" s="9" t="n"/>
      <c r="CW119" s="9" t="n"/>
      <c r="CX119" s="9" t="n"/>
      <c r="CY119" s="9" t="n"/>
      <c r="CZ119" s="9" t="n"/>
      <c r="DA119" s="9" t="n"/>
      <c r="DB119" s="9" t="n"/>
      <c r="DC119" s="9" t="n"/>
      <c r="DD119" s="9" t="n"/>
      <c r="DE119" s="9" t="n"/>
      <c r="DF119" s="9" t="n"/>
      <c r="DG119" s="9" t="n"/>
      <c r="DH119" s="9" t="n"/>
      <c r="DI119" s="9" t="n"/>
      <c r="DJ119" s="9" t="n"/>
      <c r="DK119" s="9" t="n"/>
      <c r="DL119" s="9" t="n"/>
      <c r="DM119" s="9" t="n"/>
      <c r="DN119" s="9" t="n"/>
      <c r="DO119" s="9" t="n"/>
      <c r="DP119" s="9" t="n"/>
      <c r="DQ119" s="9" t="n"/>
      <c r="DR119" s="9" t="n"/>
      <c r="DS119" s="9" t="n"/>
      <c r="DT119" s="9" t="n"/>
      <c r="DU119" s="9" t="n"/>
      <c r="DV119" s="9" t="n"/>
      <c r="DW119" s="9" t="n"/>
      <c r="DX119" s="9" t="n"/>
      <c r="DY119" s="9" t="n"/>
      <c r="DZ119" s="9" t="n"/>
      <c r="EA119" s="9" t="n"/>
      <c r="EB119" s="9" t="n"/>
      <c r="EC119" s="9" t="n"/>
      <c r="ED119" s="9" t="n"/>
      <c r="EE119" s="9" t="n"/>
      <c r="EF119" s="9" t="n"/>
      <c r="EG119" s="9" t="n"/>
      <c r="EH119" s="9" t="n"/>
      <c r="EI119" s="9" t="n"/>
      <c r="EJ119" s="9" t="n"/>
      <c r="EK119" s="9" t="n"/>
      <c r="EL119" s="9" t="n"/>
      <c r="EM119" s="9" t="n"/>
      <c r="EN119" s="9" t="n"/>
      <c r="EO119" s="9" t="n"/>
      <c r="EP119" s="9" t="n"/>
      <c r="EQ119" s="9" t="n"/>
      <c r="ER119" s="9" t="n"/>
      <c r="ES119" s="9" t="n"/>
      <c r="ET119" s="9" t="n"/>
      <c r="EU119" s="9" t="n"/>
      <c r="EV119" s="9" t="n"/>
      <c r="EW119" s="9" t="n"/>
      <c r="EX119" s="9" t="n"/>
      <c r="EY119" s="9" t="n"/>
      <c r="EZ119" s="9" t="n"/>
      <c r="FA119" s="9" t="n"/>
      <c r="FB119" s="9" t="n"/>
    </row>
    <row r="120" customFormat="1" s="63">
      <c r="B120" s="9" t="inlineStr">
        <is>
          <t>Opex Growth Rate</t>
        </is>
      </c>
      <c r="C120" s="212">
        <f>Inputs!C57</f>
        <v/>
      </c>
      <c r="D120" s="9" t="n"/>
      <c r="E120" s="9" t="n"/>
      <c r="F120" s="9" t="n"/>
      <c r="G120" s="9" t="n"/>
      <c r="H120" s="58" t="n"/>
      <c r="I120" s="9" t="n"/>
      <c r="J120" s="9" t="n"/>
      <c r="K120" s="11" t="n"/>
      <c r="L120" s="24" t="n"/>
      <c r="M120" s="11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11" t="n"/>
      <c r="Z120" s="9" t="n"/>
      <c r="AA120" s="9" t="n"/>
      <c r="AB120" s="9" t="n"/>
      <c r="AC120" s="9" t="n"/>
      <c r="AD120" s="9" t="n"/>
      <c r="AE120" s="9" t="n"/>
      <c r="AF120" s="9" t="n"/>
      <c r="AG120" s="9" t="n"/>
      <c r="AH120" s="9" t="n"/>
      <c r="AI120" s="9" t="n"/>
      <c r="AJ120" s="9" t="n"/>
      <c r="AK120" s="9" t="n"/>
      <c r="AL120" s="9" t="n"/>
      <c r="AM120" s="9" t="n"/>
      <c r="AN120" s="9" t="n"/>
      <c r="AO120" s="9" t="n"/>
      <c r="AP120" s="9" t="n"/>
      <c r="AQ120" s="9" t="n"/>
      <c r="AR120" s="9" t="n"/>
      <c r="AS120" s="9" t="n"/>
      <c r="AT120" s="9" t="n"/>
      <c r="AU120" s="9" t="n"/>
      <c r="AV120" s="9" t="n"/>
      <c r="AW120" s="9" t="n"/>
      <c r="AX120" s="9" t="n"/>
      <c r="AY120" s="9" t="n"/>
      <c r="AZ120" s="9" t="n"/>
      <c r="BA120" s="9" t="n"/>
      <c r="BB120" s="9" t="n"/>
      <c r="BC120" s="9" t="n"/>
      <c r="BD120" s="9" t="n"/>
      <c r="BE120" s="9" t="n"/>
      <c r="BF120" s="9" t="n"/>
      <c r="BG120" s="9" t="n"/>
      <c r="BH120" s="9" t="n"/>
      <c r="BI120" s="9" t="n"/>
      <c r="BJ120" s="9" t="n"/>
      <c r="BK120" s="9" t="n"/>
      <c r="BL120" s="9" t="n"/>
      <c r="BM120" s="9" t="n"/>
      <c r="BN120" s="9" t="n"/>
      <c r="BO120" s="9" t="n"/>
      <c r="BP120" s="9" t="n"/>
      <c r="BQ120" s="9" t="n"/>
      <c r="BR120" s="9" t="n"/>
      <c r="BS120" s="9" t="n"/>
      <c r="BT120" s="9" t="n"/>
      <c r="BU120" s="9" t="n"/>
      <c r="BV120" s="9" t="n"/>
      <c r="BW120" s="9" t="n"/>
      <c r="BX120" s="9" t="n"/>
      <c r="BY120" s="9" t="n"/>
      <c r="BZ120" s="9" t="n"/>
      <c r="CA120" s="9" t="n"/>
      <c r="CB120" s="9" t="n"/>
      <c r="CC120" s="9" t="n"/>
      <c r="CD120" s="9" t="n"/>
      <c r="CE120" s="9" t="n"/>
      <c r="CF120" s="9" t="n"/>
      <c r="CG120" s="9" t="n"/>
      <c r="CH120" s="9" t="n"/>
      <c r="CI120" s="9" t="n"/>
      <c r="CJ120" s="9" t="n"/>
      <c r="CK120" s="9" t="n"/>
      <c r="CL120" s="9" t="n"/>
      <c r="CM120" s="9" t="n"/>
      <c r="CN120" s="9" t="n"/>
      <c r="CO120" s="9" t="n"/>
      <c r="CP120" s="9" t="n"/>
      <c r="CQ120" s="9" t="n"/>
      <c r="CR120" s="9" t="n"/>
      <c r="CS120" s="9" t="n"/>
      <c r="CT120" s="9" t="n"/>
      <c r="CU120" s="9" t="n"/>
      <c r="CV120" s="9" t="n"/>
      <c r="CW120" s="9" t="n"/>
      <c r="CX120" s="9" t="n"/>
      <c r="CY120" s="9" t="n"/>
      <c r="CZ120" s="9" t="n"/>
      <c r="DA120" s="9" t="n"/>
      <c r="DB120" s="9" t="n"/>
      <c r="DC120" s="9" t="n"/>
      <c r="DD120" s="9" t="n"/>
      <c r="DE120" s="9" t="n"/>
      <c r="DF120" s="9" t="n"/>
      <c r="DG120" s="9" t="n"/>
      <c r="DH120" s="9" t="n"/>
      <c r="DI120" s="9" t="n"/>
      <c r="DJ120" s="9" t="n"/>
      <c r="DK120" s="9" t="n"/>
      <c r="DL120" s="9" t="n"/>
      <c r="DM120" s="9" t="n"/>
      <c r="DN120" s="9" t="n"/>
      <c r="DO120" s="9" t="n"/>
      <c r="DP120" s="9" t="n"/>
      <c r="DQ120" s="9" t="n"/>
      <c r="DR120" s="9" t="n"/>
      <c r="DS120" s="9" t="n"/>
      <c r="DT120" s="9" t="n"/>
      <c r="DU120" s="9" t="n"/>
      <c r="DV120" s="9" t="n"/>
      <c r="DW120" s="9" t="n"/>
      <c r="DX120" s="9" t="n"/>
      <c r="DY120" s="9" t="n"/>
      <c r="DZ120" s="9" t="n"/>
      <c r="EA120" s="9" t="n"/>
      <c r="EB120" s="9" t="n"/>
      <c r="EC120" s="9" t="n"/>
      <c r="ED120" s="9" t="n"/>
      <c r="EE120" s="9" t="n"/>
      <c r="EF120" s="9" t="n"/>
      <c r="EG120" s="9" t="n"/>
      <c r="EH120" s="9" t="n"/>
      <c r="EI120" s="9" t="n"/>
      <c r="EJ120" s="9" t="n"/>
      <c r="EK120" s="9" t="n"/>
      <c r="EL120" s="9" t="n"/>
      <c r="EM120" s="9" t="n"/>
      <c r="EN120" s="9" t="n"/>
      <c r="EO120" s="9" t="n"/>
      <c r="EP120" s="9" t="n"/>
      <c r="EQ120" s="9" t="n"/>
      <c r="ER120" s="9" t="n"/>
      <c r="ES120" s="9" t="n"/>
      <c r="ET120" s="9" t="n"/>
      <c r="EU120" s="9" t="n"/>
      <c r="EV120" s="9" t="n"/>
      <c r="EW120" s="9" t="n"/>
      <c r="EX120" s="9" t="n"/>
      <c r="EY120" s="9" t="n"/>
      <c r="EZ120" s="9" t="n"/>
      <c r="FA120" s="9" t="n"/>
      <c r="FB120" s="9" t="n"/>
    </row>
    <row r="121" customFormat="1" s="63">
      <c r="B121" s="9" t="inlineStr">
        <is>
          <t>Cap Reserve ($/Unit)</t>
        </is>
      </c>
      <c r="C121" s="119">
        <f>Inputs!C58</f>
        <v/>
      </c>
      <c r="D121" s="9" t="n"/>
      <c r="E121" s="9" t="n"/>
      <c r="F121" s="9" t="n"/>
      <c r="G121" s="9" t="n"/>
      <c r="H121" s="58" t="n"/>
      <c r="I121" s="35" t="inlineStr">
        <is>
          <t>Waterfall</t>
        </is>
      </c>
      <c r="J121" s="114" t="n"/>
      <c r="K121" s="11" t="n"/>
      <c r="L121" s="139" t="n"/>
      <c r="M121" s="11" t="n"/>
      <c r="N121" s="114" t="n"/>
      <c r="O121" s="114" t="n"/>
      <c r="P121" s="114" t="n"/>
      <c r="Q121" s="114" t="n"/>
      <c r="R121" s="114" t="n"/>
      <c r="S121" s="114" t="n"/>
      <c r="T121" s="114" t="n"/>
      <c r="U121" s="114" t="n"/>
      <c r="V121" s="114" t="n"/>
      <c r="W121" s="114" t="n"/>
      <c r="X121" s="114" t="n"/>
      <c r="Y121" s="11" t="n"/>
      <c r="Z121" s="114" t="n"/>
      <c r="AA121" s="114" t="n"/>
      <c r="AB121" s="114" t="n"/>
      <c r="AC121" s="114" t="n"/>
      <c r="AD121" s="114" t="n"/>
      <c r="AE121" s="114" t="n"/>
      <c r="AF121" s="114" t="n"/>
      <c r="AG121" s="114" t="n"/>
      <c r="AH121" s="114" t="n"/>
      <c r="AI121" s="114" t="n"/>
      <c r="AJ121" s="114" t="n"/>
      <c r="AK121" s="114" t="n"/>
      <c r="AL121" s="114" t="n"/>
      <c r="AM121" s="114" t="n"/>
      <c r="AN121" s="114" t="n"/>
      <c r="AO121" s="114" t="n"/>
      <c r="AP121" s="114" t="n"/>
      <c r="AQ121" s="114" t="n"/>
      <c r="AR121" s="114" t="n"/>
      <c r="AS121" s="114" t="n"/>
      <c r="AT121" s="114" t="n"/>
      <c r="AU121" s="114" t="n"/>
      <c r="AV121" s="114" t="n"/>
      <c r="AW121" s="114" t="n"/>
      <c r="AX121" s="114" t="n"/>
      <c r="AY121" s="114" t="n"/>
      <c r="AZ121" s="114" t="n"/>
      <c r="BA121" s="114" t="n"/>
      <c r="BB121" s="114" t="n"/>
      <c r="BC121" s="114" t="n"/>
      <c r="BD121" s="114" t="n"/>
      <c r="BE121" s="114" t="n"/>
      <c r="BF121" s="114" t="n"/>
      <c r="BG121" s="114" t="n"/>
      <c r="BH121" s="114" t="n"/>
      <c r="BI121" s="114" t="n"/>
      <c r="BJ121" s="114" t="n"/>
      <c r="BK121" s="114" t="n"/>
      <c r="BL121" s="114" t="n"/>
      <c r="BM121" s="114" t="n"/>
      <c r="BN121" s="114" t="n"/>
      <c r="BO121" s="114" t="n"/>
      <c r="BP121" s="114" t="n"/>
      <c r="BQ121" s="114" t="n"/>
      <c r="BR121" s="114" t="n"/>
      <c r="BS121" s="114" t="n"/>
      <c r="BT121" s="114" t="n"/>
      <c r="BU121" s="114" t="n"/>
      <c r="BV121" s="114" t="n"/>
      <c r="BW121" s="114" t="n"/>
      <c r="BX121" s="114" t="n"/>
      <c r="BY121" s="114" t="n"/>
      <c r="BZ121" s="114" t="n"/>
      <c r="CA121" s="114" t="n"/>
      <c r="CB121" s="114" t="n"/>
      <c r="CC121" s="114" t="n"/>
      <c r="CD121" s="114" t="n"/>
      <c r="CE121" s="114" t="n"/>
      <c r="CF121" s="114" t="n"/>
      <c r="CG121" s="114" t="n"/>
      <c r="CH121" s="114" t="n"/>
      <c r="CI121" s="114" t="n"/>
      <c r="CJ121" s="114" t="n"/>
      <c r="CK121" s="114" t="n"/>
      <c r="CL121" s="114" t="n"/>
      <c r="CM121" s="114" t="n"/>
      <c r="CN121" s="114" t="n"/>
      <c r="CO121" s="114" t="n"/>
      <c r="CP121" s="114" t="n"/>
      <c r="CQ121" s="114" t="n"/>
      <c r="CR121" s="114" t="n"/>
      <c r="CS121" s="114" t="n"/>
      <c r="CT121" s="114" t="n"/>
      <c r="CU121" s="114" t="n"/>
      <c r="CV121" s="114" t="n"/>
      <c r="CW121" s="114" t="n"/>
      <c r="CX121" s="114" t="n"/>
      <c r="CY121" s="114" t="n"/>
      <c r="CZ121" s="114" t="n"/>
      <c r="DA121" s="114" t="n"/>
      <c r="DB121" s="114" t="n"/>
      <c r="DC121" s="114" t="n"/>
      <c r="DD121" s="114" t="n"/>
      <c r="DE121" s="114" t="n"/>
      <c r="DF121" s="114" t="n"/>
      <c r="DG121" s="114" t="n"/>
      <c r="DH121" s="114" t="n"/>
      <c r="DI121" s="114" t="n"/>
      <c r="DJ121" s="114" t="n"/>
      <c r="DK121" s="114" t="n"/>
      <c r="DL121" s="114" t="n"/>
      <c r="DM121" s="114" t="n"/>
      <c r="DN121" s="114" t="n"/>
      <c r="DO121" s="114" t="n"/>
      <c r="DP121" s="114" t="n"/>
      <c r="DQ121" s="114" t="n"/>
      <c r="DR121" s="114" t="n"/>
      <c r="DS121" s="114" t="n"/>
      <c r="DT121" s="114" t="n"/>
      <c r="DU121" s="114" t="n"/>
      <c r="DV121" s="114" t="n"/>
      <c r="DW121" s="114" t="n"/>
      <c r="DX121" s="114" t="n"/>
      <c r="DY121" s="114" t="n"/>
      <c r="DZ121" s="114" t="n"/>
      <c r="EA121" s="114" t="n"/>
      <c r="EB121" s="114" t="n"/>
      <c r="EC121" s="114" t="n"/>
      <c r="ED121" s="114" t="n"/>
      <c r="EE121" s="114" t="n"/>
      <c r="EF121" s="114" t="n"/>
      <c r="EG121" s="114" t="n"/>
      <c r="EH121" s="114" t="n"/>
      <c r="EI121" s="114" t="n"/>
      <c r="EJ121" s="114" t="n"/>
      <c r="EK121" s="114" t="n"/>
      <c r="EL121" s="114" t="n"/>
      <c r="EM121" s="114" t="n"/>
      <c r="EN121" s="114" t="n"/>
      <c r="EO121" s="114" t="n"/>
      <c r="EP121" s="114" t="n"/>
      <c r="EQ121" s="114" t="n"/>
      <c r="ER121" s="114" t="n"/>
      <c r="ES121" s="114" t="n"/>
      <c r="ET121" s="114" t="n"/>
      <c r="EU121" s="114" t="n"/>
      <c r="EV121" s="114" t="n"/>
      <c r="EW121" s="114" t="n"/>
      <c r="EX121" s="114" t="n"/>
      <c r="EY121" s="114" t="n"/>
      <c r="EZ121" s="114" t="n"/>
      <c r="FA121" s="114" t="n"/>
      <c r="FB121" s="114" t="n"/>
    </row>
    <row r="122" customFormat="1" s="63">
      <c r="B122" s="9" t="inlineStr">
        <is>
          <t>Exit Cap Rate</t>
        </is>
      </c>
      <c r="C122" s="212">
        <f>Inputs!C59</f>
        <v/>
      </c>
      <c r="D122" s="9" t="n"/>
      <c r="E122" s="9" t="n"/>
      <c r="F122" s="227" t="n"/>
      <c r="G122" s="9" t="n"/>
      <c r="H122" s="58" t="n"/>
      <c r="I122" s="223" t="inlineStr">
        <is>
          <t>AM Fee (1% on LP Equity)</t>
        </is>
      </c>
      <c r="J122" s="224">
        <f>Inputs!C64</f>
        <v/>
      </c>
      <c r="K122" s="11" t="n"/>
      <c r="L122" s="24">
        <f>SUMIF($Z$4:$FB$4,"&lt;="&amp;$G$18,$Z122:$FB122)</f>
        <v/>
      </c>
      <c r="M122" s="11" t="n"/>
      <c r="N122" s="24">
        <f>SUMIF($Z$3:$FB$3,N$7,$Z122:$FB122)</f>
        <v/>
      </c>
      <c r="O122" s="55">
        <f>SUMIF($Z$3:$FB$3,O$7,$Z122:$FB122)</f>
        <v/>
      </c>
      <c r="P122" s="55">
        <f>SUMIF($Z$3:$FB$3,P$7,$Z122:$FB122)</f>
        <v/>
      </c>
      <c r="Q122" s="55">
        <f>SUMIF($Z$3:$FB$3,Q$7,$Z122:$FB122)</f>
        <v/>
      </c>
      <c r="R122" s="55">
        <f>SUMIF($Z$3:$FB$3,R$7,$Z122:$FB122)</f>
        <v/>
      </c>
      <c r="S122" s="55">
        <f>SUMIF($Z$3:$FB$3,S$7,$Z122:$FB122)</f>
        <v/>
      </c>
      <c r="T122" s="55">
        <f>SUMIF($Z$3:$FB$3,T$7,$Z122:$FB122)</f>
        <v/>
      </c>
      <c r="U122" s="55">
        <f>SUMIF($Z$3:$FB$3,U$7,$Z122:$FB122)</f>
        <v/>
      </c>
      <c r="V122" s="55">
        <f>SUMIF($Z$3:$FB$3,V$7,$Z122:$FB122)</f>
        <v/>
      </c>
      <c r="W122" s="55">
        <f>SUMIF($Z$3:$FB$3,W$7,$Z122:$FB122)</f>
        <v/>
      </c>
      <c r="X122" s="55">
        <f>SUMIF($Z$3:$FB$3,X$7,$Z122:$FB122)</f>
        <v/>
      </c>
      <c r="Y122" s="11" t="n"/>
      <c r="Z122" s="24" t="n">
        <v>0</v>
      </c>
      <c r="AA122" s="24">
        <f>$D$32*$J$122/12*(AA$4&lt;=$G$18)</f>
        <v/>
      </c>
      <c r="AB122" s="24">
        <f>$D$32*$J$122/12*(AB$4&lt;=$G$18)</f>
        <v/>
      </c>
      <c r="AC122" s="24">
        <f>$D$32*$J$122/12*(AC$4&lt;=$G$18)</f>
        <v/>
      </c>
      <c r="AD122" s="24">
        <f>$D$32*$J$122/12*(AD$4&lt;=$G$18)</f>
        <v/>
      </c>
      <c r="AE122" s="24">
        <f>$D$32*$J$122/12*(AE$4&lt;=$G$18)</f>
        <v/>
      </c>
      <c r="AF122" s="24">
        <f>$D$32*$J$122/12*(AF$4&lt;=$G$18)</f>
        <v/>
      </c>
      <c r="AG122" s="24">
        <f>$D$32*$J$122/12*(AG$4&lt;=$G$18)</f>
        <v/>
      </c>
      <c r="AH122" s="24">
        <f>$D$32*$J$122/12*(AH$4&lt;=$G$18)</f>
        <v/>
      </c>
      <c r="AI122" s="24">
        <f>$D$32*$J$122/12*(AI$4&lt;=$G$18)</f>
        <v/>
      </c>
      <c r="AJ122" s="24">
        <f>$D$32*$J$122/12*(AJ$4&lt;=$G$18)</f>
        <v/>
      </c>
      <c r="AK122" s="24">
        <f>$D$32*$J$122/12*(AK$4&lt;=$G$18)</f>
        <v/>
      </c>
      <c r="AL122" s="24">
        <f>$D$32*$J$122/12*(AL$4&lt;=$G$18)</f>
        <v/>
      </c>
      <c r="AM122" s="24">
        <f>$D$32*$J$122/12*(AM$4&lt;=$G$18)</f>
        <v/>
      </c>
      <c r="AN122" s="24">
        <f>$D$32*$J$122/12*(AN$4&lt;=$G$18)</f>
        <v/>
      </c>
      <c r="AO122" s="24">
        <f>$D$32*$J$122/12*(AO$4&lt;=$G$18)</f>
        <v/>
      </c>
      <c r="AP122" s="24">
        <f>$D$32*$J$122/12*(AP$4&lt;=$G$18)</f>
        <v/>
      </c>
      <c r="AQ122" s="24">
        <f>$D$32*$J$122/12*(AQ$4&lt;=$G$18)</f>
        <v/>
      </c>
      <c r="AR122" s="24">
        <f>$D$32*$J$122/12*(AR$4&lt;=$G$18)</f>
        <v/>
      </c>
      <c r="AS122" s="24">
        <f>$D$32*$J$122/12*(AS$4&lt;=$G$18)</f>
        <v/>
      </c>
      <c r="AT122" s="24">
        <f>$D$32*$J$122/12*(AT$4&lt;=$G$18)</f>
        <v/>
      </c>
      <c r="AU122" s="24">
        <f>$D$32*$J$122/12*(AU$4&lt;=$G$18)</f>
        <v/>
      </c>
      <c r="AV122" s="24">
        <f>$D$32*$J$122/12*(AV$4&lt;=$G$18)</f>
        <v/>
      </c>
      <c r="AW122" s="24">
        <f>$D$32*$J$122/12*(AW$4&lt;=$G$18)</f>
        <v/>
      </c>
      <c r="AX122" s="24">
        <f>$D$32*$J$122/12*(AX$4&lt;=$G$18)</f>
        <v/>
      </c>
      <c r="AY122" s="24">
        <f>$D$32*$J$122/12*(AY$4&lt;=$G$18)</f>
        <v/>
      </c>
      <c r="AZ122" s="24">
        <f>$D$32*$J$122/12*(AZ$4&lt;=$G$18)</f>
        <v/>
      </c>
      <c r="BA122" s="24">
        <f>$D$32*$J$122/12*(BA$4&lt;=$G$18)</f>
        <v/>
      </c>
      <c r="BB122" s="24">
        <f>$D$32*$J$122/12*(BB$4&lt;=$G$18)</f>
        <v/>
      </c>
      <c r="BC122" s="24">
        <f>$D$32*$J$122/12*(BC$4&lt;=$G$18)</f>
        <v/>
      </c>
      <c r="BD122" s="24">
        <f>$D$32*$J$122/12*(BD$4&lt;=$G$18)</f>
        <v/>
      </c>
      <c r="BE122" s="24">
        <f>$D$32*$J$122/12*(BE$4&lt;=$G$18)</f>
        <v/>
      </c>
      <c r="BF122" s="24">
        <f>$D$32*$J$122/12*(BF$4&lt;=$G$18)</f>
        <v/>
      </c>
      <c r="BG122" s="24">
        <f>$D$32*$J$122/12*(BG$4&lt;=$G$18)</f>
        <v/>
      </c>
      <c r="BH122" s="24">
        <f>$D$32*$J$122/12*(BH$4&lt;=$G$18)</f>
        <v/>
      </c>
      <c r="BI122" s="24">
        <f>$D$32*$J$122/12*(BI$4&lt;=$G$18)</f>
        <v/>
      </c>
      <c r="BJ122" s="24">
        <f>$D$32*$J$122/12*(BJ$4&lt;=$G$18)</f>
        <v/>
      </c>
      <c r="BK122" s="24">
        <f>$D$32*$J$122/12*(BK$4&lt;=$G$18)</f>
        <v/>
      </c>
      <c r="BL122" s="24">
        <f>$D$32*$J$122/12*(BL$4&lt;=$G$18)</f>
        <v/>
      </c>
      <c r="BM122" s="24">
        <f>$D$32*$J$122/12*(BM$4&lt;=$G$18)</f>
        <v/>
      </c>
      <c r="BN122" s="24">
        <f>$D$32*$J$122/12*(BN$4&lt;=$G$18)</f>
        <v/>
      </c>
      <c r="BO122" s="24">
        <f>$D$32*$J$122/12*(BO$4&lt;=$G$18)</f>
        <v/>
      </c>
      <c r="BP122" s="24">
        <f>$D$32*$J$122/12*(BP$4&lt;=$G$18)</f>
        <v/>
      </c>
      <c r="BQ122" s="24">
        <f>$D$32*$J$122/12*(BQ$4&lt;=$G$18)</f>
        <v/>
      </c>
      <c r="BR122" s="24">
        <f>$D$32*$J$122/12*(BR$4&lt;=$G$18)</f>
        <v/>
      </c>
      <c r="BS122" s="24">
        <f>$D$32*$J$122/12*(BS$4&lt;=$G$18)</f>
        <v/>
      </c>
      <c r="BT122" s="24">
        <f>$D$32*$J$122/12*(BT$4&lt;=$G$18)</f>
        <v/>
      </c>
      <c r="BU122" s="24">
        <f>$D$32*$J$122/12*(BU$4&lt;=$G$18)</f>
        <v/>
      </c>
      <c r="BV122" s="24">
        <f>$D$32*$J$122/12*(BV$4&lt;=$G$18)</f>
        <v/>
      </c>
      <c r="BW122" s="24">
        <f>$D$32*$J$122/12*(BW$4&lt;=$G$18)</f>
        <v/>
      </c>
      <c r="BX122" s="24">
        <f>$D$32*$J$122/12*(BX$4&lt;=$G$18)</f>
        <v/>
      </c>
      <c r="BY122" s="24">
        <f>$D$32*$J$122/12*(BY$4&lt;=$G$18)</f>
        <v/>
      </c>
      <c r="BZ122" s="24">
        <f>$D$32*$J$122/12*(BZ$4&lt;=$G$18)</f>
        <v/>
      </c>
      <c r="CA122" s="24">
        <f>$D$32*$J$122/12*(CA$4&lt;=$G$18)</f>
        <v/>
      </c>
      <c r="CB122" s="24">
        <f>$D$32*$J$122/12*(CB$4&lt;=$G$18)</f>
        <v/>
      </c>
      <c r="CC122" s="24">
        <f>$D$32*$J$122/12*(CC$4&lt;=$G$18)</f>
        <v/>
      </c>
      <c r="CD122" s="24">
        <f>$D$32*$J$122/12*(CD$4&lt;=$G$18)</f>
        <v/>
      </c>
      <c r="CE122" s="24">
        <f>$D$32*$J$122/12*(CE$4&lt;=$G$18)</f>
        <v/>
      </c>
      <c r="CF122" s="24">
        <f>$D$32*$J$122/12*(CF$4&lt;=$G$18)</f>
        <v/>
      </c>
      <c r="CG122" s="24">
        <f>$D$32*$J$122/12*(CG$4&lt;=$G$18)</f>
        <v/>
      </c>
      <c r="CH122" s="24">
        <f>$D$32*$J$122/12*(CH$4&lt;=$G$18)</f>
        <v/>
      </c>
      <c r="CI122" s="24">
        <f>$D$32*$J$122/12*(CI$4&lt;=$G$18)</f>
        <v/>
      </c>
      <c r="CJ122" s="24">
        <f>$D$32*$J$122/12*(CJ$4&lt;=$G$18)</f>
        <v/>
      </c>
      <c r="CK122" s="24">
        <f>$D$32*$J$122/12*(CK$4&lt;=$G$18)</f>
        <v/>
      </c>
      <c r="CL122" s="24">
        <f>$D$32*$J$122/12*(CL$4&lt;=$G$18)</f>
        <v/>
      </c>
      <c r="CM122" s="24">
        <f>$D$32*$J$122/12*(CM$4&lt;=$G$18)</f>
        <v/>
      </c>
      <c r="CN122" s="24">
        <f>$D$32*$J$122/12*(CN$4&lt;=$G$18)</f>
        <v/>
      </c>
      <c r="CO122" s="24">
        <f>$D$32*$J$122/12*(CO$4&lt;=$G$18)</f>
        <v/>
      </c>
      <c r="CP122" s="24">
        <f>$D$32*$J$122/12*(CP$4&lt;=$G$18)</f>
        <v/>
      </c>
      <c r="CQ122" s="24">
        <f>$D$32*$J$122/12*(CQ$4&lt;=$G$18)</f>
        <v/>
      </c>
      <c r="CR122" s="24">
        <f>$D$32*$J$122/12*(CR$4&lt;=$G$18)</f>
        <v/>
      </c>
      <c r="CS122" s="24">
        <f>$D$32*$J$122/12*(CS$4&lt;=$G$18)</f>
        <v/>
      </c>
      <c r="CT122" s="24">
        <f>$D$32*$J$122/12*(CT$4&lt;=$G$18)</f>
        <v/>
      </c>
      <c r="CU122" s="24">
        <f>$D$32*$J$122/12*(CU$4&lt;=$G$18)</f>
        <v/>
      </c>
      <c r="CV122" s="24">
        <f>$D$32*$J$122/12*(CV$4&lt;=$G$18)</f>
        <v/>
      </c>
      <c r="CW122" s="24">
        <f>$D$32*$J$122/12*(CW$4&lt;=$G$18)</f>
        <v/>
      </c>
      <c r="CX122" s="24">
        <f>$D$32*$J$122/12*(CX$4&lt;=$G$18)</f>
        <v/>
      </c>
      <c r="CY122" s="24">
        <f>$D$32*$J$122/12*(CY$4&lt;=$G$18)</f>
        <v/>
      </c>
      <c r="CZ122" s="24">
        <f>$D$32*$J$122/12*(CZ$4&lt;=$G$18)</f>
        <v/>
      </c>
      <c r="DA122" s="24">
        <f>$D$32*$J$122/12*(DA$4&lt;=$G$18)</f>
        <v/>
      </c>
      <c r="DB122" s="24">
        <f>$D$32*$J$122/12*(DB$4&lt;=$G$18)</f>
        <v/>
      </c>
      <c r="DC122" s="24">
        <f>$D$32*$J$122/12*(DC$4&lt;=$G$18)</f>
        <v/>
      </c>
      <c r="DD122" s="24">
        <f>$D$32*$J$122/12*(DD$4&lt;=$G$18)</f>
        <v/>
      </c>
      <c r="DE122" s="24">
        <f>$D$32*$J$122/12*(DE$4&lt;=$G$18)</f>
        <v/>
      </c>
      <c r="DF122" s="24">
        <f>$D$32*$J$122/12*(DF$4&lt;=$G$18)</f>
        <v/>
      </c>
      <c r="DG122" s="24">
        <f>$D$32*$J$122/12*(DG$4&lt;=$G$18)</f>
        <v/>
      </c>
      <c r="DH122" s="24">
        <f>$D$32*$J$122/12*(DH$4&lt;=$G$18)</f>
        <v/>
      </c>
      <c r="DI122" s="24">
        <f>$D$32*$J$122/12*(DI$4&lt;=$G$18)</f>
        <v/>
      </c>
      <c r="DJ122" s="24">
        <f>$D$32*$J$122/12*(DJ$4&lt;=$G$18)</f>
        <v/>
      </c>
      <c r="DK122" s="24">
        <f>$D$32*$J$122/12*(DK$4&lt;=$G$18)</f>
        <v/>
      </c>
      <c r="DL122" s="24">
        <f>$D$32*$J$122/12*(DL$4&lt;=$G$18)</f>
        <v/>
      </c>
      <c r="DM122" s="24">
        <f>$D$32*$J$122/12*(DM$4&lt;=$G$18)</f>
        <v/>
      </c>
      <c r="DN122" s="24">
        <f>$D$32*$J$122/12*(DN$4&lt;=$G$18)</f>
        <v/>
      </c>
      <c r="DO122" s="24">
        <f>$D$32*$J$122/12*(DO$4&lt;=$G$18)</f>
        <v/>
      </c>
      <c r="DP122" s="24">
        <f>$D$32*$J$122/12*(DP$4&lt;=$G$18)</f>
        <v/>
      </c>
      <c r="DQ122" s="24">
        <f>$D$32*$J$122/12*(DQ$4&lt;=$G$18)</f>
        <v/>
      </c>
      <c r="DR122" s="24">
        <f>$D$32*$J$122/12*(DR$4&lt;=$G$18)</f>
        <v/>
      </c>
      <c r="DS122" s="24">
        <f>$D$32*$J$122/12*(DS$4&lt;=$G$18)</f>
        <v/>
      </c>
      <c r="DT122" s="24">
        <f>$D$32*$J$122/12*(DT$4&lt;=$G$18)</f>
        <v/>
      </c>
      <c r="DU122" s="24">
        <f>$D$32*$J$122/12*(DU$4&lt;=$G$18)</f>
        <v/>
      </c>
      <c r="DV122" s="24">
        <f>$D$32*$J$122/12*(DV$4&lt;=$G$18)</f>
        <v/>
      </c>
      <c r="DW122" s="24">
        <f>$D$32*$J$122/12*(DW$4&lt;=$G$18)</f>
        <v/>
      </c>
      <c r="DX122" s="24">
        <f>$D$32*$J$122/12*(DX$4&lt;=$G$18)</f>
        <v/>
      </c>
      <c r="DY122" s="24">
        <f>$D$32*$J$122/12*(DY$4&lt;=$G$18)</f>
        <v/>
      </c>
      <c r="DZ122" s="24">
        <f>$D$32*$J$122/12*(DZ$4&lt;=$G$18)</f>
        <v/>
      </c>
      <c r="EA122" s="24">
        <f>$D$32*$J$122/12*(EA$4&lt;=$G$18)</f>
        <v/>
      </c>
      <c r="EB122" s="24">
        <f>$D$32*$J$122/12*(EB$4&lt;=$G$18)</f>
        <v/>
      </c>
      <c r="EC122" s="24">
        <f>$D$32*$J$122/12*(EC$4&lt;=$G$18)</f>
        <v/>
      </c>
      <c r="ED122" s="24">
        <f>$D$32*$J$122/12*(ED$4&lt;=$G$18)</f>
        <v/>
      </c>
      <c r="EE122" s="24">
        <f>$D$32*$J$122/12*(EE$4&lt;=$G$18)</f>
        <v/>
      </c>
      <c r="EF122" s="24">
        <f>$D$32*$J$122/12*(EF$4&lt;=$G$18)</f>
        <v/>
      </c>
      <c r="EG122" s="24">
        <f>$D$32*$J$122/12*(EG$4&lt;=$G$18)</f>
        <v/>
      </c>
      <c r="EH122" s="24">
        <f>$D$32*$J$122/12*(EH$4&lt;=$G$18)</f>
        <v/>
      </c>
      <c r="EI122" s="24">
        <f>$D$32*$J$122/12*(EI$4&lt;=$G$18)</f>
        <v/>
      </c>
      <c r="EJ122" s="24">
        <f>$D$32*$J$122/12*(EJ$4&lt;=$G$18)</f>
        <v/>
      </c>
      <c r="EK122" s="24">
        <f>$D$32*$J$122/12*(EK$4&lt;=$G$18)</f>
        <v/>
      </c>
      <c r="EL122" s="24">
        <f>$D$32*$J$122/12*(EL$4&lt;=$G$18)</f>
        <v/>
      </c>
      <c r="EM122" s="24">
        <f>$D$32*$J$122/12*(EM$4&lt;=$G$18)</f>
        <v/>
      </c>
      <c r="EN122" s="24">
        <f>$D$32*$J$122/12*(EN$4&lt;=$G$18)</f>
        <v/>
      </c>
      <c r="EO122" s="24">
        <f>$D$32*$J$122/12*(EO$4&lt;=$G$18)</f>
        <v/>
      </c>
      <c r="EP122" s="24">
        <f>$D$32*$J$122/12*(EP$4&lt;=$G$18)</f>
        <v/>
      </c>
      <c r="EQ122" s="24">
        <f>$D$32*$J$122/12*(EQ$4&lt;=$G$18)</f>
        <v/>
      </c>
      <c r="ER122" s="24">
        <f>$D$32*$J$122/12*(ER$4&lt;=$G$18)</f>
        <v/>
      </c>
      <c r="ES122" s="24">
        <f>$D$32*$J$122/12*(ES$4&lt;=$G$18)</f>
        <v/>
      </c>
      <c r="ET122" s="24">
        <f>$D$32*$J$122/12*(ET$4&lt;=$G$18)</f>
        <v/>
      </c>
      <c r="EU122" s="24">
        <f>$D$32*$J$122/12*(EU$4&lt;=$G$18)</f>
        <v/>
      </c>
      <c r="EV122" s="24">
        <f>$D$32*$J$122/12*(EV$4&lt;=$G$18)</f>
        <v/>
      </c>
      <c r="EW122" s="24">
        <f>$D$32*$J$122/12*(EW$4&lt;=$G$18)</f>
        <v/>
      </c>
      <c r="EX122" s="24">
        <f>$D$32*$J$122/12*(EX$4&lt;=$G$18)</f>
        <v/>
      </c>
      <c r="EY122" s="24">
        <f>$D$32*$J$122/12*(EY$4&lt;=$G$18)</f>
        <v/>
      </c>
      <c r="EZ122" s="24">
        <f>$D$32*$J$122/12*(EZ$4&lt;=$G$18)</f>
        <v/>
      </c>
      <c r="FA122" s="24">
        <f>$D$32*$J$122/12*(FA$4&lt;=$G$18)</f>
        <v/>
      </c>
      <c r="FB122" s="24">
        <f>$D$32*$J$122/12*(FB$4&lt;=$G$18)</f>
        <v/>
      </c>
    </row>
    <row r="123" customFormat="1" s="32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225" t="inlineStr">
        <is>
          <t>CF After AM Fee</t>
        </is>
      </c>
      <c r="J123" s="214" t="n"/>
      <c r="K123" s="11" t="n"/>
      <c r="L123" s="226">
        <f>SUMIF($Z$4:$FB$4,"&lt;="&amp;$G$18,$Z123:$FB123)</f>
        <v/>
      </c>
      <c r="M123" s="11" t="n"/>
      <c r="N123" s="226">
        <f>SUMIF($Z$3:$FB$3,N$7,$Z123:$FB123)</f>
        <v/>
      </c>
      <c r="O123" s="71">
        <f>SUMIF($Z$3:$FB$3,O$7,$Z123:$FB123)</f>
        <v/>
      </c>
      <c r="P123" s="71">
        <f>SUMIF($Z$3:$FB$3,P$7,$Z123:$FB123)</f>
        <v/>
      </c>
      <c r="Q123" s="71">
        <f>SUMIF($Z$3:$FB$3,Q$7,$Z123:$FB123)</f>
        <v/>
      </c>
      <c r="R123" s="71">
        <f>SUMIF($Z$3:$FB$3,R$7,$Z123:$FB123)</f>
        <v/>
      </c>
      <c r="S123" s="71">
        <f>SUMIF($Z$3:$FB$3,S$7,$Z123:$FB123)</f>
        <v/>
      </c>
      <c r="T123" s="71">
        <f>SUMIF($Z$3:$FB$3,T$7,$Z123:$FB123)</f>
        <v/>
      </c>
      <c r="U123" s="71">
        <f>SUMIF($Z$3:$FB$3,U$7,$Z123:$FB123)</f>
        <v/>
      </c>
      <c r="V123" s="71">
        <f>SUMIF($Z$3:$FB$3,V$7,$Z123:$FB123)</f>
        <v/>
      </c>
      <c r="W123" s="71">
        <f>SUMIF($Z$3:$FB$3,W$7,$Z123:$FB123)</f>
        <v/>
      </c>
      <c r="X123" s="71">
        <f>SUMIF($Z$3:$FB$3,X$7,$Z123:$FB123)</f>
        <v/>
      </c>
      <c r="Y123" s="11" t="n"/>
      <c r="Z123" s="226">
        <f>Z113-Z122</f>
        <v/>
      </c>
      <c r="AA123" s="226">
        <f>AA113-AA122</f>
        <v/>
      </c>
      <c r="AB123" s="226">
        <f>AB113-AB122</f>
        <v/>
      </c>
      <c r="AC123" s="226">
        <f>AC113-AC122</f>
        <v/>
      </c>
      <c r="AD123" s="226">
        <f>AD113-AD122</f>
        <v/>
      </c>
      <c r="AE123" s="226">
        <f>AE113-AE122</f>
        <v/>
      </c>
      <c r="AF123" s="226">
        <f>AF113-AF122</f>
        <v/>
      </c>
      <c r="AG123" s="226">
        <f>AG113-AG122</f>
        <v/>
      </c>
      <c r="AH123" s="226">
        <f>AH113-AH122</f>
        <v/>
      </c>
      <c r="AI123" s="226">
        <f>AI113-AI122</f>
        <v/>
      </c>
      <c r="AJ123" s="226">
        <f>AJ113-AJ122</f>
        <v/>
      </c>
      <c r="AK123" s="226">
        <f>AK113-AK122</f>
        <v/>
      </c>
      <c r="AL123" s="226">
        <f>AL113-AL122</f>
        <v/>
      </c>
      <c r="AM123" s="226">
        <f>AM113-AM122</f>
        <v/>
      </c>
      <c r="AN123" s="226">
        <f>AN113-AN122</f>
        <v/>
      </c>
      <c r="AO123" s="226">
        <f>AO113-AO122</f>
        <v/>
      </c>
      <c r="AP123" s="226">
        <f>AP113-AP122</f>
        <v/>
      </c>
      <c r="AQ123" s="226">
        <f>AQ113-AQ122</f>
        <v/>
      </c>
      <c r="AR123" s="226">
        <f>AR113-AR122</f>
        <v/>
      </c>
      <c r="AS123" s="226">
        <f>AS113-AS122</f>
        <v/>
      </c>
      <c r="AT123" s="226">
        <f>AT113-AT122</f>
        <v/>
      </c>
      <c r="AU123" s="226">
        <f>AU113-AU122</f>
        <v/>
      </c>
      <c r="AV123" s="226">
        <f>AV113-AV122</f>
        <v/>
      </c>
      <c r="AW123" s="226">
        <f>AW113-AW122</f>
        <v/>
      </c>
      <c r="AX123" s="226">
        <f>AX113-AX122</f>
        <v/>
      </c>
      <c r="AY123" s="226">
        <f>AY113-AY122</f>
        <v/>
      </c>
      <c r="AZ123" s="226">
        <f>AZ113-AZ122</f>
        <v/>
      </c>
      <c r="BA123" s="226">
        <f>BA113-BA122</f>
        <v/>
      </c>
      <c r="BB123" s="226">
        <f>BB113-BB122</f>
        <v/>
      </c>
      <c r="BC123" s="226">
        <f>BC113-BC122</f>
        <v/>
      </c>
      <c r="BD123" s="226">
        <f>BD113-BD122</f>
        <v/>
      </c>
      <c r="BE123" s="226">
        <f>BE113-BE122</f>
        <v/>
      </c>
      <c r="BF123" s="226">
        <f>BF113-BF122</f>
        <v/>
      </c>
      <c r="BG123" s="226">
        <f>BG113-BG122</f>
        <v/>
      </c>
      <c r="BH123" s="226">
        <f>BH113-BH122</f>
        <v/>
      </c>
      <c r="BI123" s="226">
        <f>BI113-BI122</f>
        <v/>
      </c>
      <c r="BJ123" s="226">
        <f>BJ113-BJ122</f>
        <v/>
      </c>
      <c r="BK123" s="226">
        <f>BK113-BK122</f>
        <v/>
      </c>
      <c r="BL123" s="226">
        <f>BL113-BL122</f>
        <v/>
      </c>
      <c r="BM123" s="226">
        <f>BM113-BM122</f>
        <v/>
      </c>
      <c r="BN123" s="226">
        <f>BN113-BN122</f>
        <v/>
      </c>
      <c r="BO123" s="226">
        <f>BO113-BO122</f>
        <v/>
      </c>
      <c r="BP123" s="226">
        <f>BP113-BP122</f>
        <v/>
      </c>
      <c r="BQ123" s="226">
        <f>BQ113-BQ122</f>
        <v/>
      </c>
      <c r="BR123" s="226">
        <f>BR113-BR122</f>
        <v/>
      </c>
      <c r="BS123" s="226">
        <f>BS113-BS122</f>
        <v/>
      </c>
      <c r="BT123" s="226">
        <f>BT113-BT122</f>
        <v/>
      </c>
      <c r="BU123" s="226">
        <f>BU113-BU122</f>
        <v/>
      </c>
      <c r="BV123" s="226">
        <f>BV113-BV122</f>
        <v/>
      </c>
      <c r="BW123" s="226">
        <f>BW113-BW122</f>
        <v/>
      </c>
      <c r="BX123" s="226">
        <f>BX113-BX122</f>
        <v/>
      </c>
      <c r="BY123" s="226">
        <f>BY113-BY122</f>
        <v/>
      </c>
      <c r="BZ123" s="226">
        <f>BZ113-BZ122</f>
        <v/>
      </c>
      <c r="CA123" s="226">
        <f>CA113-CA122</f>
        <v/>
      </c>
      <c r="CB123" s="226">
        <f>CB113-CB122</f>
        <v/>
      </c>
      <c r="CC123" s="226">
        <f>CC113-CC122</f>
        <v/>
      </c>
      <c r="CD123" s="226">
        <f>CD113-CD122</f>
        <v/>
      </c>
      <c r="CE123" s="226">
        <f>CE113-CE122</f>
        <v/>
      </c>
      <c r="CF123" s="226">
        <f>CF113-CF122</f>
        <v/>
      </c>
      <c r="CG123" s="226">
        <f>CG113-CG122</f>
        <v/>
      </c>
      <c r="CH123" s="226">
        <f>CH113-CH122</f>
        <v/>
      </c>
      <c r="CI123" s="226">
        <f>CI113-CI122</f>
        <v/>
      </c>
      <c r="CJ123" s="226">
        <f>CJ113-CJ122</f>
        <v/>
      </c>
      <c r="CK123" s="226">
        <f>CK113-CK122</f>
        <v/>
      </c>
      <c r="CL123" s="226">
        <f>CL113-CL122</f>
        <v/>
      </c>
      <c r="CM123" s="226">
        <f>CM113-CM122</f>
        <v/>
      </c>
      <c r="CN123" s="226">
        <f>CN113-CN122</f>
        <v/>
      </c>
      <c r="CO123" s="226">
        <f>CO113-CO122</f>
        <v/>
      </c>
      <c r="CP123" s="226">
        <f>CP113-CP122</f>
        <v/>
      </c>
      <c r="CQ123" s="226">
        <f>CQ113-CQ122</f>
        <v/>
      </c>
      <c r="CR123" s="226">
        <f>CR113-CR122</f>
        <v/>
      </c>
      <c r="CS123" s="226">
        <f>CS113-CS122</f>
        <v/>
      </c>
      <c r="CT123" s="226">
        <f>CT113-CT122</f>
        <v/>
      </c>
      <c r="CU123" s="226">
        <f>CU113-CU122</f>
        <v/>
      </c>
      <c r="CV123" s="226">
        <f>CV113-CV122</f>
        <v/>
      </c>
      <c r="CW123" s="226">
        <f>CW113-CW122</f>
        <v/>
      </c>
      <c r="CX123" s="226">
        <f>CX113-CX122</f>
        <v/>
      </c>
      <c r="CY123" s="226">
        <f>CY113-CY122</f>
        <v/>
      </c>
      <c r="CZ123" s="226">
        <f>CZ113-CZ122</f>
        <v/>
      </c>
      <c r="DA123" s="226">
        <f>DA113-DA122</f>
        <v/>
      </c>
      <c r="DB123" s="226">
        <f>DB113-DB122</f>
        <v/>
      </c>
      <c r="DC123" s="226">
        <f>DC113-DC122</f>
        <v/>
      </c>
      <c r="DD123" s="226">
        <f>DD113-DD122</f>
        <v/>
      </c>
      <c r="DE123" s="226">
        <f>DE113-DE122</f>
        <v/>
      </c>
      <c r="DF123" s="226">
        <f>DF113-DF122</f>
        <v/>
      </c>
      <c r="DG123" s="226">
        <f>DG113-DG122</f>
        <v/>
      </c>
      <c r="DH123" s="226">
        <f>DH113-DH122</f>
        <v/>
      </c>
      <c r="DI123" s="226">
        <f>DI113-DI122</f>
        <v/>
      </c>
      <c r="DJ123" s="226">
        <f>DJ113-DJ122</f>
        <v/>
      </c>
      <c r="DK123" s="226">
        <f>DK113-DK122</f>
        <v/>
      </c>
      <c r="DL123" s="226">
        <f>DL113-DL122</f>
        <v/>
      </c>
      <c r="DM123" s="226">
        <f>DM113-DM122</f>
        <v/>
      </c>
      <c r="DN123" s="226">
        <f>DN113-DN122</f>
        <v/>
      </c>
      <c r="DO123" s="226">
        <f>DO113-DO122</f>
        <v/>
      </c>
      <c r="DP123" s="226">
        <f>DP113-DP122</f>
        <v/>
      </c>
      <c r="DQ123" s="226">
        <f>DQ113-DQ122</f>
        <v/>
      </c>
      <c r="DR123" s="226">
        <f>DR113-DR122</f>
        <v/>
      </c>
      <c r="DS123" s="226">
        <f>DS113-DS122</f>
        <v/>
      </c>
      <c r="DT123" s="226">
        <f>DT113-DT122</f>
        <v/>
      </c>
      <c r="DU123" s="226">
        <f>DU113-DU122</f>
        <v/>
      </c>
      <c r="DV123" s="226">
        <f>DV113-DV122</f>
        <v/>
      </c>
      <c r="DW123" s="226">
        <f>DW113-DW122</f>
        <v/>
      </c>
      <c r="DX123" s="226">
        <f>DX113-DX122</f>
        <v/>
      </c>
      <c r="DY123" s="226">
        <f>DY113-DY122</f>
        <v/>
      </c>
      <c r="DZ123" s="226">
        <f>DZ113-DZ122</f>
        <v/>
      </c>
      <c r="EA123" s="226">
        <f>EA113-EA122</f>
        <v/>
      </c>
      <c r="EB123" s="226">
        <f>EB113-EB122</f>
        <v/>
      </c>
      <c r="EC123" s="226">
        <f>EC113-EC122</f>
        <v/>
      </c>
      <c r="ED123" s="226">
        <f>ED113-ED122</f>
        <v/>
      </c>
      <c r="EE123" s="226">
        <f>EE113-EE122</f>
        <v/>
      </c>
      <c r="EF123" s="226">
        <f>EF113-EF122</f>
        <v/>
      </c>
      <c r="EG123" s="226">
        <f>EG113-EG122</f>
        <v/>
      </c>
      <c r="EH123" s="226">
        <f>EH113-EH122</f>
        <v/>
      </c>
      <c r="EI123" s="226">
        <f>EI113-EI122</f>
        <v/>
      </c>
      <c r="EJ123" s="226">
        <f>EJ113-EJ122</f>
        <v/>
      </c>
      <c r="EK123" s="226">
        <f>EK113-EK122</f>
        <v/>
      </c>
      <c r="EL123" s="226">
        <f>EL113-EL122</f>
        <v/>
      </c>
      <c r="EM123" s="226">
        <f>EM113-EM122</f>
        <v/>
      </c>
      <c r="EN123" s="226">
        <f>EN113-EN122</f>
        <v/>
      </c>
      <c r="EO123" s="226">
        <f>EO113-EO122</f>
        <v/>
      </c>
      <c r="EP123" s="226">
        <f>EP113-EP122</f>
        <v/>
      </c>
      <c r="EQ123" s="226">
        <f>EQ113-EQ122</f>
        <v/>
      </c>
      <c r="ER123" s="226">
        <f>ER113-ER122</f>
        <v/>
      </c>
      <c r="ES123" s="226">
        <f>ES113-ES122</f>
        <v/>
      </c>
      <c r="ET123" s="226">
        <f>ET113-ET122</f>
        <v/>
      </c>
      <c r="EU123" s="226">
        <f>EU113-EU122</f>
        <v/>
      </c>
      <c r="EV123" s="226">
        <f>EV113-EV122</f>
        <v/>
      </c>
      <c r="EW123" s="226">
        <f>EW113-EW122</f>
        <v/>
      </c>
      <c r="EX123" s="226">
        <f>EX113-EX122</f>
        <v/>
      </c>
      <c r="EY123" s="226">
        <f>EY113-EY122</f>
        <v/>
      </c>
      <c r="EZ123" s="226">
        <f>EZ113-EZ122</f>
        <v/>
      </c>
      <c r="FA123" s="226">
        <f>FA113-FA122</f>
        <v/>
      </c>
      <c r="FB123" s="226">
        <f>FB113-FB122</f>
        <v/>
      </c>
    </row>
    <row r="124">
      <c r="H124" s="9" t="n"/>
    </row>
    <row r="125">
      <c r="H125" s="9" t="n"/>
      <c r="I125" s="9" t="inlineStr">
        <is>
          <t>Pari Passu (1=Yes, 0=No)</t>
        </is>
      </c>
      <c r="J125" s="229">
        <f>Inputs!C90</f>
        <v/>
      </c>
      <c r="K125" s="9" t="n"/>
      <c r="L125" s="9" t="n"/>
      <c r="M125" s="9" t="n"/>
      <c r="Y125" s="9" t="n"/>
    </row>
    <row r="126">
      <c r="H126" s="9" t="n"/>
      <c r="J126" s="229" t="n"/>
      <c r="K126" s="9" t="n"/>
      <c r="L126" s="9" t="n"/>
      <c r="M126" s="9" t="n"/>
      <c r="Y126" s="9" t="n"/>
    </row>
    <row r="127">
      <c r="H127" s="9" t="n"/>
      <c r="I127" s="15" t="inlineStr">
        <is>
          <t>Tier 1: Return of Capital + 8% Pref (100% to LP)</t>
        </is>
      </c>
      <c r="K127" s="9" t="n"/>
      <c r="L127" s="9" t="n"/>
      <c r="M127" s="9" t="n"/>
      <c r="Y127" s="9" t="n"/>
    </row>
    <row r="128" customFormat="1" s="63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inlineStr">
        <is>
          <t>Beginning Balance (Investor Capital)</t>
        </is>
      </c>
      <c r="J128" s="9" t="n"/>
      <c r="K128" s="9" t="n"/>
      <c r="L128" s="9" t="n"/>
      <c r="M128" s="9" t="n"/>
      <c r="N128" s="24">
        <f>INDEX($Z128:$FB128,MATCH(N$7,$Z$3:$FB$3,0))</f>
        <v/>
      </c>
      <c r="O128" s="24">
        <f>INDEX($Z128:$FB128,MATCH(O$7,$Z$3:$FB$3,0))</f>
        <v/>
      </c>
      <c r="P128" s="24">
        <f>INDEX($Z128:$FB128,MATCH(P$7,$Z$3:$FB$3,0))</f>
        <v/>
      </c>
      <c r="Q128" s="24">
        <f>INDEX($Z128:$FB128,MATCH(Q$7,$Z$3:$FB$3,0))</f>
        <v/>
      </c>
      <c r="R128" s="24">
        <f>INDEX($Z128:$FB128,MATCH(R$7,$Z$3:$FB$3,0))</f>
        <v/>
      </c>
      <c r="S128" s="24">
        <f>INDEX($Z128:$FB128,MATCH(S$7,$Z$3:$FB$3,0))</f>
        <v/>
      </c>
      <c r="T128" s="24">
        <f>INDEX($Z128:$FB128,MATCH(T$7,$Z$3:$FB$3,0))</f>
        <v/>
      </c>
      <c r="U128" s="24">
        <f>INDEX($Z128:$FB128,MATCH(U$7,$Z$3:$FB$3,0))</f>
        <v/>
      </c>
      <c r="V128" s="24">
        <f>INDEX($Z128:$FB128,MATCH(V$7,$Z$3:$FB$3,0))</f>
        <v/>
      </c>
      <c r="W128" s="24">
        <f>INDEX($Z128:$FB128,MATCH(W$7,$Z$3:$FB$3,0))</f>
        <v/>
      </c>
      <c r="X128" s="24">
        <f>INDEX($Z128:$FB128,MATCH(X$7,$Z$3:$FB$3,0))</f>
        <v/>
      </c>
      <c r="Y128" s="9" t="n"/>
      <c r="Z128" s="46">
        <f>IF($J$125=1,$D$32+$D$31,$D$32)</f>
        <v/>
      </c>
      <c r="AA128" s="46">
        <f>Z133+Z129-Z131</f>
        <v/>
      </c>
      <c r="AB128" s="46">
        <f>AA133+AA129-AA131</f>
        <v/>
      </c>
      <c r="AC128" s="46">
        <f>AB133+AB129-AB131</f>
        <v/>
      </c>
      <c r="AD128" s="46">
        <f>AC133+AC129-AC131</f>
        <v/>
      </c>
      <c r="AE128" s="46">
        <f>AD133+AD129-AD131</f>
        <v/>
      </c>
      <c r="AF128" s="46">
        <f>AE133+AE129-AE131</f>
        <v/>
      </c>
      <c r="AG128" s="46">
        <f>AF133+AF129-AF131</f>
        <v/>
      </c>
      <c r="AH128" s="46">
        <f>AG133+AG129-AG131</f>
        <v/>
      </c>
      <c r="AI128" s="46">
        <f>AH133+AH129-AH131</f>
        <v/>
      </c>
      <c r="AJ128" s="46">
        <f>AI133+AI129-AI131</f>
        <v/>
      </c>
      <c r="AK128" s="46">
        <f>AJ133+AJ129-AJ131</f>
        <v/>
      </c>
      <c r="AL128" s="46">
        <f>AK133+AK129-AK131</f>
        <v/>
      </c>
      <c r="AM128" s="46">
        <f>AL133+AL129-AL131</f>
        <v/>
      </c>
      <c r="AN128" s="46">
        <f>AM133+AM129-AM131</f>
        <v/>
      </c>
      <c r="AO128" s="46">
        <f>AN133+AN129-AN131</f>
        <v/>
      </c>
      <c r="AP128" s="46">
        <f>AO133+AO129-AO131</f>
        <v/>
      </c>
      <c r="AQ128" s="46">
        <f>AP133+AP129-AP131</f>
        <v/>
      </c>
      <c r="AR128" s="46">
        <f>AQ133+AQ129-AQ131</f>
        <v/>
      </c>
      <c r="AS128" s="46">
        <f>AR133+AR129-AR131</f>
        <v/>
      </c>
      <c r="AT128" s="46">
        <f>AS133+AS129-AS131</f>
        <v/>
      </c>
      <c r="AU128" s="46">
        <f>AT133+AT129-AT131</f>
        <v/>
      </c>
      <c r="AV128" s="46">
        <f>AU133+AU129-AU131</f>
        <v/>
      </c>
      <c r="AW128" s="46">
        <f>AV133+AV129-AV131</f>
        <v/>
      </c>
      <c r="AX128" s="46">
        <f>AW133+AW129-AW131</f>
        <v/>
      </c>
      <c r="AY128" s="46">
        <f>AX133+AX129-AX131</f>
        <v/>
      </c>
      <c r="AZ128" s="46">
        <f>AY133+AY129-AY131</f>
        <v/>
      </c>
      <c r="BA128" s="46">
        <f>AZ133+AZ129-AZ131</f>
        <v/>
      </c>
      <c r="BB128" s="46">
        <f>BA133+BA129-BA131</f>
        <v/>
      </c>
      <c r="BC128" s="46">
        <f>BB133+BB129-BB131</f>
        <v/>
      </c>
      <c r="BD128" s="46">
        <f>BC133+BC129-BC131</f>
        <v/>
      </c>
      <c r="BE128" s="46">
        <f>BD133+BD129-BD131</f>
        <v/>
      </c>
      <c r="BF128" s="46">
        <f>BE133+BE129-BE131</f>
        <v/>
      </c>
      <c r="BG128" s="46">
        <f>BF133+BF129-BF131</f>
        <v/>
      </c>
      <c r="BH128" s="46">
        <f>BG133+BG129-BG131</f>
        <v/>
      </c>
      <c r="BI128" s="46">
        <f>BH133+BH129-BH131</f>
        <v/>
      </c>
      <c r="BJ128" s="46">
        <f>BI133+BI129-BI131</f>
        <v/>
      </c>
      <c r="BK128" s="46">
        <f>BJ133+BJ129-BJ131</f>
        <v/>
      </c>
      <c r="BL128" s="46">
        <f>BK133+BK129-BK131</f>
        <v/>
      </c>
      <c r="BM128" s="46">
        <f>BL133+BL129-BL131</f>
        <v/>
      </c>
      <c r="BN128" s="46">
        <f>BM133+BM129-BM131</f>
        <v/>
      </c>
      <c r="BO128" s="46">
        <f>BN133+BN129-BN131</f>
        <v/>
      </c>
      <c r="BP128" s="46">
        <f>BO133+BO129-BO131</f>
        <v/>
      </c>
      <c r="BQ128" s="46">
        <f>BP133+BP129-BP131</f>
        <v/>
      </c>
      <c r="BR128" s="46">
        <f>BQ133+BQ129-BQ131</f>
        <v/>
      </c>
      <c r="BS128" s="46">
        <f>BR133+BR129-BR131</f>
        <v/>
      </c>
      <c r="BT128" s="46">
        <f>BS133+BS129-BS131</f>
        <v/>
      </c>
      <c r="BU128" s="46">
        <f>BT133+BT129-BT131</f>
        <v/>
      </c>
      <c r="BV128" s="46">
        <f>BU133+BU129-BU131</f>
        <v/>
      </c>
      <c r="BW128" s="46">
        <f>BV133+BV129-BV131</f>
        <v/>
      </c>
      <c r="BX128" s="46">
        <f>BW133+BW129-BW131</f>
        <v/>
      </c>
      <c r="BY128" s="46">
        <f>BX133+BX129-BX131</f>
        <v/>
      </c>
      <c r="BZ128" s="46">
        <f>BY133+BY129-BY131</f>
        <v/>
      </c>
      <c r="CA128" s="46">
        <f>BZ133+BZ129-BZ131</f>
        <v/>
      </c>
      <c r="CB128" s="46">
        <f>CA133+CA129-CA131</f>
        <v/>
      </c>
      <c r="CC128" s="46">
        <f>CB133+CB129-CB131</f>
        <v/>
      </c>
      <c r="CD128" s="46">
        <f>CC133+CC129-CC131</f>
        <v/>
      </c>
      <c r="CE128" s="46">
        <f>CD133+CD129-CD131</f>
        <v/>
      </c>
      <c r="CF128" s="46">
        <f>CE133+CE129-CE131</f>
        <v/>
      </c>
      <c r="CG128" s="46">
        <f>CF133+CF129-CF131</f>
        <v/>
      </c>
      <c r="CH128" s="46">
        <f>CG133+CG129-CG131</f>
        <v/>
      </c>
      <c r="CI128" s="46">
        <f>CH133+CH129-CH131</f>
        <v/>
      </c>
      <c r="CJ128" s="46">
        <f>CI133+CI129-CI131</f>
        <v/>
      </c>
      <c r="CK128" s="46">
        <f>CJ133+CJ129-CJ131</f>
        <v/>
      </c>
      <c r="CL128" s="46">
        <f>CK133+CK129-CK131</f>
        <v/>
      </c>
      <c r="CM128" s="46">
        <f>CL133+CL129-CL131</f>
        <v/>
      </c>
      <c r="CN128" s="46">
        <f>CM133+CM129-CM131</f>
        <v/>
      </c>
      <c r="CO128" s="46">
        <f>CN133+CN129-CN131</f>
        <v/>
      </c>
      <c r="CP128" s="46">
        <f>CO133+CO129-CO131</f>
        <v/>
      </c>
      <c r="CQ128" s="46">
        <f>CP133+CP129-CP131</f>
        <v/>
      </c>
      <c r="CR128" s="46">
        <f>CQ133+CQ129-CQ131</f>
        <v/>
      </c>
      <c r="CS128" s="46">
        <f>CR133+CR129-CR131</f>
        <v/>
      </c>
      <c r="CT128" s="46">
        <f>CS133+CS129-CS131</f>
        <v/>
      </c>
      <c r="CU128" s="46">
        <f>CT133+CT129-CT131</f>
        <v/>
      </c>
      <c r="CV128" s="46">
        <f>CU133+CU129-CU131</f>
        <v/>
      </c>
      <c r="CW128" s="46">
        <f>CV133+CV129-CV131</f>
        <v/>
      </c>
      <c r="CX128" s="46">
        <f>CW133+CW129-CW131</f>
        <v/>
      </c>
      <c r="CY128" s="46">
        <f>CX133+CX129-CX131</f>
        <v/>
      </c>
      <c r="CZ128" s="46">
        <f>CY133+CY129-CY131</f>
        <v/>
      </c>
      <c r="DA128" s="46">
        <f>CZ133+CZ129-CZ131</f>
        <v/>
      </c>
      <c r="DB128" s="46">
        <f>DA133+DA129-DA131</f>
        <v/>
      </c>
      <c r="DC128" s="46">
        <f>DB133+DB129-DB131</f>
        <v/>
      </c>
      <c r="DD128" s="46">
        <f>DC133+DC129-DC131</f>
        <v/>
      </c>
      <c r="DE128" s="46">
        <f>DD133+DD129-DD131</f>
        <v/>
      </c>
      <c r="DF128" s="46">
        <f>DE133+DE129-DE131</f>
        <v/>
      </c>
      <c r="DG128" s="46">
        <f>DF133+DF129-DF131</f>
        <v/>
      </c>
      <c r="DH128" s="46">
        <f>DG133+DG129-DG131</f>
        <v/>
      </c>
      <c r="DI128" s="46">
        <f>DH133+DH129-DH131</f>
        <v/>
      </c>
      <c r="DJ128" s="46">
        <f>DI133+DI129-DI131</f>
        <v/>
      </c>
      <c r="DK128" s="46">
        <f>DJ133+DJ129-DJ131</f>
        <v/>
      </c>
      <c r="DL128" s="46">
        <f>DK133+DK129-DK131</f>
        <v/>
      </c>
      <c r="DM128" s="46">
        <f>DL133+DL129-DL131</f>
        <v/>
      </c>
      <c r="DN128" s="46">
        <f>DM133+DM129-DM131</f>
        <v/>
      </c>
      <c r="DO128" s="46">
        <f>DN133+DN129-DN131</f>
        <v/>
      </c>
      <c r="DP128" s="46">
        <f>DO133+DO129-DO131</f>
        <v/>
      </c>
      <c r="DQ128" s="46">
        <f>DP133+DP129-DP131</f>
        <v/>
      </c>
      <c r="DR128" s="46">
        <f>DQ133+DQ129-DQ131</f>
        <v/>
      </c>
      <c r="DS128" s="46">
        <f>DR133+DR129-DR131</f>
        <v/>
      </c>
      <c r="DT128" s="46">
        <f>DS133+DS129-DS131</f>
        <v/>
      </c>
      <c r="DU128" s="46">
        <f>DT133+DT129-DT131</f>
        <v/>
      </c>
      <c r="DV128" s="46">
        <f>DU133+DU129-DU131</f>
        <v/>
      </c>
      <c r="DW128" s="46">
        <f>DV133+DV129-DV131</f>
        <v/>
      </c>
      <c r="DX128" s="46">
        <f>DW133+DW129-DW131</f>
        <v/>
      </c>
      <c r="DY128" s="46">
        <f>DX133+DX129-DX131</f>
        <v/>
      </c>
      <c r="DZ128" s="46">
        <f>DY133+DY129-DY131</f>
        <v/>
      </c>
      <c r="EA128" s="46">
        <f>DZ133+DZ129-DZ131</f>
        <v/>
      </c>
      <c r="EB128" s="46">
        <f>EA133+EA129-EA131</f>
        <v/>
      </c>
      <c r="EC128" s="46">
        <f>EB133+EB129-EB131</f>
        <v/>
      </c>
      <c r="ED128" s="46">
        <f>EC133+EC129-EC131</f>
        <v/>
      </c>
      <c r="EE128" s="46">
        <f>ED133+ED129-ED131</f>
        <v/>
      </c>
      <c r="EF128" s="46">
        <f>EE133+EE129-EE131</f>
        <v/>
      </c>
      <c r="EG128" s="46">
        <f>EF133+EF129-EF131</f>
        <v/>
      </c>
      <c r="EH128" s="46">
        <f>EG133+EG129-EG131</f>
        <v/>
      </c>
      <c r="EI128" s="46">
        <f>EH133+EH129-EH131</f>
        <v/>
      </c>
      <c r="EJ128" s="46">
        <f>EI133+EI129-EI131</f>
        <v/>
      </c>
      <c r="EK128" s="46">
        <f>EJ133+EJ129-EJ131</f>
        <v/>
      </c>
      <c r="EL128" s="46">
        <f>EK133+EK129-EK131</f>
        <v/>
      </c>
      <c r="EM128" s="46">
        <f>EL133+EL129-EL131</f>
        <v/>
      </c>
      <c r="EN128" s="46">
        <f>EM133+EM129-EM131</f>
        <v/>
      </c>
      <c r="EO128" s="46">
        <f>EN133+EN129-EN131</f>
        <v/>
      </c>
      <c r="EP128" s="46">
        <f>EO133+EO129-EO131</f>
        <v/>
      </c>
      <c r="EQ128" s="46">
        <f>EP133+EP129-EP131</f>
        <v/>
      </c>
      <c r="ER128" s="46">
        <f>EQ133+EQ129-EQ131</f>
        <v/>
      </c>
      <c r="ES128" s="46">
        <f>ER133+ER129-ER131</f>
        <v/>
      </c>
      <c r="ET128" s="46">
        <f>ES133+ES129-ES131</f>
        <v/>
      </c>
      <c r="EU128" s="46">
        <f>ET133+ET129-ET131</f>
        <v/>
      </c>
      <c r="EV128" s="46">
        <f>EU133+EU129-EU131</f>
        <v/>
      </c>
      <c r="EW128" s="46">
        <f>EV133+EV129-EV131</f>
        <v/>
      </c>
      <c r="EX128" s="46">
        <f>EW133+EW129-EW131</f>
        <v/>
      </c>
      <c r="EY128" s="46">
        <f>EX133+EX129-EX131</f>
        <v/>
      </c>
      <c r="EZ128" s="46">
        <f>EY133+EY129-EY131</f>
        <v/>
      </c>
      <c r="FA128" s="46">
        <f>EZ133+EZ129-EZ131</f>
        <v/>
      </c>
      <c r="FB128" s="46">
        <f>FA133+FA129-FA131</f>
        <v/>
      </c>
    </row>
    <row r="129">
      <c r="H129" s="9" t="n"/>
      <c r="I129" s="9" t="inlineStr">
        <is>
          <t>Preferred Return</t>
        </is>
      </c>
      <c r="J129" s="224">
        <f>Inputs!C65</f>
        <v/>
      </c>
      <c r="K129" s="9" t="n"/>
      <c r="L129" s="46">
        <f>SUM(Z129:FB129)</f>
        <v/>
      </c>
      <c r="M129" s="9" t="n"/>
      <c r="N129" s="24">
        <f>SUMIF($Z$3:$FB$3,N$7,$Z129:$FB129)</f>
        <v/>
      </c>
      <c r="O129" s="24">
        <f>SUMIF($Z$3:$FB$3,O$7,$Z129:$FB129)</f>
        <v/>
      </c>
      <c r="P129" s="24">
        <f>SUMIF($Z$3:$FB$3,P$7,$Z129:$FB129)</f>
        <v/>
      </c>
      <c r="Q129" s="24">
        <f>SUMIF($Z$3:$FB$3,Q$7,$Z129:$FB129)</f>
        <v/>
      </c>
      <c r="R129" s="24">
        <f>SUMIF($Z$3:$FB$3,R$7,$Z129:$FB129)</f>
        <v/>
      </c>
      <c r="S129" s="24">
        <f>SUMIF($Z$3:$FB$3,S$7,$Z129:$FB129)</f>
        <v/>
      </c>
      <c r="T129" s="24">
        <f>SUMIF($Z$3:$FB$3,T$7,$Z129:$FB129)</f>
        <v/>
      </c>
      <c r="U129" s="24">
        <f>SUMIF($Z$3:$FB$3,U$7,$Z129:$FB129)</f>
        <v/>
      </c>
      <c r="V129" s="24">
        <f>SUMIF($Z$3:$FB$3,V$7,$Z129:$FB129)</f>
        <v/>
      </c>
      <c r="W129" s="24">
        <f>SUMIF($Z$3:$FB$3,W$7,$Z129:$FB129)</f>
        <v/>
      </c>
      <c r="X129" s="24">
        <f>SUMIF($Z$3:$FB$3,X$7,$Z129:$FB129)</f>
        <v/>
      </c>
      <c r="Y129" s="9" t="n"/>
      <c r="Z129" s="46" t="n">
        <v>0</v>
      </c>
      <c r="AA129" s="46">
        <f>AA128*((1+$J$129)^(1/12)-1)</f>
        <v/>
      </c>
      <c r="AB129" s="46">
        <f>AB128*((1+$J$129)^(1/12)-1)</f>
        <v/>
      </c>
      <c r="AC129" s="46">
        <f>AC128*((1+$J$129)^(1/12)-1)</f>
        <v/>
      </c>
      <c r="AD129" s="46">
        <f>AD128*((1+$J$129)^(1/12)-1)</f>
        <v/>
      </c>
      <c r="AE129" s="46">
        <f>AE128*((1+$J$129)^(1/12)-1)</f>
        <v/>
      </c>
      <c r="AF129" s="46">
        <f>AF128*((1+$J$129)^(1/12)-1)</f>
        <v/>
      </c>
      <c r="AG129" s="46">
        <f>AG128*((1+$J$129)^(1/12)-1)</f>
        <v/>
      </c>
      <c r="AH129" s="46">
        <f>AH128*((1+$J$129)^(1/12)-1)</f>
        <v/>
      </c>
      <c r="AI129" s="46">
        <f>AI128*((1+$J$129)^(1/12)-1)</f>
        <v/>
      </c>
      <c r="AJ129" s="46">
        <f>AJ128*((1+$J$129)^(1/12)-1)</f>
        <v/>
      </c>
      <c r="AK129" s="46">
        <f>AK128*((1+$J$129)^(1/12)-1)</f>
        <v/>
      </c>
      <c r="AL129" s="46">
        <f>AL128*((1+$J$129)^(1/12)-1)</f>
        <v/>
      </c>
      <c r="AM129" s="46">
        <f>AM128*((1+$J$129)^(1/12)-1)</f>
        <v/>
      </c>
      <c r="AN129" s="46">
        <f>AN128*((1+$J$129)^(1/12)-1)</f>
        <v/>
      </c>
      <c r="AO129" s="46">
        <f>AO128*((1+$J$129)^(1/12)-1)</f>
        <v/>
      </c>
      <c r="AP129" s="46">
        <f>AP128*((1+$J$129)^(1/12)-1)</f>
        <v/>
      </c>
      <c r="AQ129" s="46">
        <f>AQ128*((1+$J$129)^(1/12)-1)</f>
        <v/>
      </c>
      <c r="AR129" s="46">
        <f>AR128*((1+$J$129)^(1/12)-1)</f>
        <v/>
      </c>
      <c r="AS129" s="46">
        <f>AS128*((1+$J$129)^(1/12)-1)</f>
        <v/>
      </c>
      <c r="AT129" s="46">
        <f>AT128*((1+$J$129)^(1/12)-1)</f>
        <v/>
      </c>
      <c r="AU129" s="46">
        <f>AU128*((1+$J$129)^(1/12)-1)</f>
        <v/>
      </c>
      <c r="AV129" s="46">
        <f>AV128*((1+$J$129)^(1/12)-1)</f>
        <v/>
      </c>
      <c r="AW129" s="46">
        <f>AW128*((1+$J$129)^(1/12)-1)</f>
        <v/>
      </c>
      <c r="AX129" s="46">
        <f>AX128*((1+$J$129)^(1/12)-1)</f>
        <v/>
      </c>
      <c r="AY129" s="46">
        <f>AY128*((1+$J$129)^(1/12)-1)</f>
        <v/>
      </c>
      <c r="AZ129" s="46">
        <f>AZ128*((1+$J$129)^(1/12)-1)</f>
        <v/>
      </c>
      <c r="BA129" s="46">
        <f>BA128*((1+$J$129)^(1/12)-1)</f>
        <v/>
      </c>
      <c r="BB129" s="46">
        <f>BB128*((1+$J$129)^(1/12)-1)</f>
        <v/>
      </c>
      <c r="BC129" s="46">
        <f>BC128*((1+$J$129)^(1/12)-1)</f>
        <v/>
      </c>
      <c r="BD129" s="46">
        <f>BD128*((1+$J$129)^(1/12)-1)</f>
        <v/>
      </c>
      <c r="BE129" s="46">
        <f>BE128*((1+$J$129)^(1/12)-1)</f>
        <v/>
      </c>
      <c r="BF129" s="46">
        <f>BF128*((1+$J$129)^(1/12)-1)</f>
        <v/>
      </c>
      <c r="BG129" s="46">
        <f>BG128*((1+$J$129)^(1/12)-1)</f>
        <v/>
      </c>
      <c r="BH129" s="46">
        <f>BH128*((1+$J$129)^(1/12)-1)</f>
        <v/>
      </c>
      <c r="BI129" s="46">
        <f>BI128*((1+$J$129)^(1/12)-1)</f>
        <v/>
      </c>
      <c r="BJ129" s="46">
        <f>BJ128*((1+$J$129)^(1/12)-1)</f>
        <v/>
      </c>
      <c r="BK129" s="46">
        <f>BK128*((1+$J$129)^(1/12)-1)</f>
        <v/>
      </c>
      <c r="BL129" s="46">
        <f>BL128*((1+$J$129)^(1/12)-1)</f>
        <v/>
      </c>
      <c r="BM129" s="46">
        <f>BM128*((1+$J$129)^(1/12)-1)</f>
        <v/>
      </c>
      <c r="BN129" s="46">
        <f>BN128*((1+$J$129)^(1/12)-1)</f>
        <v/>
      </c>
      <c r="BO129" s="46">
        <f>BO128*((1+$J$129)^(1/12)-1)</f>
        <v/>
      </c>
      <c r="BP129" s="46">
        <f>BP128*((1+$J$129)^(1/12)-1)</f>
        <v/>
      </c>
      <c r="BQ129" s="46">
        <f>BQ128*((1+$J$129)^(1/12)-1)</f>
        <v/>
      </c>
      <c r="BR129" s="46">
        <f>BR128*((1+$J$129)^(1/12)-1)</f>
        <v/>
      </c>
      <c r="BS129" s="46">
        <f>BS128*((1+$J$129)^(1/12)-1)</f>
        <v/>
      </c>
      <c r="BT129" s="46">
        <f>BT128*((1+$J$129)^(1/12)-1)</f>
        <v/>
      </c>
      <c r="BU129" s="46">
        <f>BU128*((1+$J$129)^(1/12)-1)</f>
        <v/>
      </c>
      <c r="BV129" s="46">
        <f>BV128*((1+$J$129)^(1/12)-1)</f>
        <v/>
      </c>
      <c r="BW129" s="46">
        <f>BW128*((1+$J$129)^(1/12)-1)</f>
        <v/>
      </c>
      <c r="BX129" s="46">
        <f>BX128*((1+$J$129)^(1/12)-1)</f>
        <v/>
      </c>
      <c r="BY129" s="46">
        <f>BY128*((1+$J$129)^(1/12)-1)</f>
        <v/>
      </c>
      <c r="BZ129" s="46">
        <f>BZ128*((1+$J$129)^(1/12)-1)</f>
        <v/>
      </c>
      <c r="CA129" s="46">
        <f>CA128*((1+$J$129)^(1/12)-1)</f>
        <v/>
      </c>
      <c r="CB129" s="46">
        <f>CB128*((1+$J$129)^(1/12)-1)</f>
        <v/>
      </c>
      <c r="CC129" s="46">
        <f>CC128*((1+$J$129)^(1/12)-1)</f>
        <v/>
      </c>
      <c r="CD129" s="46">
        <f>CD128*((1+$J$129)^(1/12)-1)</f>
        <v/>
      </c>
      <c r="CE129" s="46">
        <f>CE128*((1+$J$129)^(1/12)-1)</f>
        <v/>
      </c>
      <c r="CF129" s="46">
        <f>CF128*((1+$J$129)^(1/12)-1)</f>
        <v/>
      </c>
      <c r="CG129" s="46">
        <f>CG128*((1+$J$129)^(1/12)-1)</f>
        <v/>
      </c>
      <c r="CH129" s="46">
        <f>CH128*((1+$J$129)^(1/12)-1)</f>
        <v/>
      </c>
      <c r="CI129" s="46">
        <f>CI128*((1+$J$129)^(1/12)-1)</f>
        <v/>
      </c>
      <c r="CJ129" s="46">
        <f>CJ128*((1+$J$129)^(1/12)-1)</f>
        <v/>
      </c>
      <c r="CK129" s="46">
        <f>CK128*((1+$J$129)^(1/12)-1)</f>
        <v/>
      </c>
      <c r="CL129" s="46">
        <f>CL128*((1+$J$129)^(1/12)-1)</f>
        <v/>
      </c>
      <c r="CM129" s="46">
        <f>CM128*((1+$J$129)^(1/12)-1)</f>
        <v/>
      </c>
      <c r="CN129" s="46">
        <f>CN128*((1+$J$129)^(1/12)-1)</f>
        <v/>
      </c>
      <c r="CO129" s="46">
        <f>CO128*((1+$J$129)^(1/12)-1)</f>
        <v/>
      </c>
      <c r="CP129" s="46">
        <f>CP128*((1+$J$129)^(1/12)-1)</f>
        <v/>
      </c>
      <c r="CQ129" s="46">
        <f>CQ128*((1+$J$129)^(1/12)-1)</f>
        <v/>
      </c>
      <c r="CR129" s="46">
        <f>CR128*((1+$J$129)^(1/12)-1)</f>
        <v/>
      </c>
      <c r="CS129" s="46">
        <f>CS128*((1+$J$129)^(1/12)-1)</f>
        <v/>
      </c>
      <c r="CT129" s="46">
        <f>CT128*((1+$J$129)^(1/12)-1)</f>
        <v/>
      </c>
      <c r="CU129" s="46">
        <f>CU128*((1+$J$129)^(1/12)-1)</f>
        <v/>
      </c>
      <c r="CV129" s="46">
        <f>CV128*((1+$J$129)^(1/12)-1)</f>
        <v/>
      </c>
      <c r="CW129" s="46">
        <f>CW128*((1+$J$129)^(1/12)-1)</f>
        <v/>
      </c>
      <c r="CX129" s="46">
        <f>CX128*((1+$J$129)^(1/12)-1)</f>
        <v/>
      </c>
      <c r="CY129" s="46">
        <f>CY128*((1+$J$129)^(1/12)-1)</f>
        <v/>
      </c>
      <c r="CZ129" s="46">
        <f>CZ128*((1+$J$129)^(1/12)-1)</f>
        <v/>
      </c>
      <c r="DA129" s="46">
        <f>DA128*((1+$J$129)^(1/12)-1)</f>
        <v/>
      </c>
      <c r="DB129" s="46">
        <f>DB128*((1+$J$129)^(1/12)-1)</f>
        <v/>
      </c>
      <c r="DC129" s="46">
        <f>DC128*((1+$J$129)^(1/12)-1)</f>
        <v/>
      </c>
      <c r="DD129" s="46">
        <f>DD128*((1+$J$129)^(1/12)-1)</f>
        <v/>
      </c>
      <c r="DE129" s="46">
        <f>DE128*((1+$J$129)^(1/12)-1)</f>
        <v/>
      </c>
      <c r="DF129" s="46">
        <f>DF128*((1+$J$129)^(1/12)-1)</f>
        <v/>
      </c>
      <c r="DG129" s="46">
        <f>DG128*((1+$J$129)^(1/12)-1)</f>
        <v/>
      </c>
      <c r="DH129" s="46">
        <f>DH128*((1+$J$129)^(1/12)-1)</f>
        <v/>
      </c>
      <c r="DI129" s="46">
        <f>DI128*((1+$J$129)^(1/12)-1)</f>
        <v/>
      </c>
      <c r="DJ129" s="46">
        <f>DJ128*((1+$J$129)^(1/12)-1)</f>
        <v/>
      </c>
      <c r="DK129" s="46">
        <f>DK128*((1+$J$129)^(1/12)-1)</f>
        <v/>
      </c>
      <c r="DL129" s="46">
        <f>DL128*((1+$J$129)^(1/12)-1)</f>
        <v/>
      </c>
      <c r="DM129" s="46">
        <f>DM128*((1+$J$129)^(1/12)-1)</f>
        <v/>
      </c>
      <c r="DN129" s="46">
        <f>DN128*((1+$J$129)^(1/12)-1)</f>
        <v/>
      </c>
      <c r="DO129" s="46">
        <f>DO128*((1+$J$129)^(1/12)-1)</f>
        <v/>
      </c>
      <c r="DP129" s="46">
        <f>DP128*((1+$J$129)^(1/12)-1)</f>
        <v/>
      </c>
      <c r="DQ129" s="46">
        <f>DQ128*((1+$J$129)^(1/12)-1)</f>
        <v/>
      </c>
      <c r="DR129" s="46">
        <f>DR128*((1+$J$129)^(1/12)-1)</f>
        <v/>
      </c>
      <c r="DS129" s="46">
        <f>DS128*((1+$J$129)^(1/12)-1)</f>
        <v/>
      </c>
      <c r="DT129" s="46">
        <f>DT128*((1+$J$129)^(1/12)-1)</f>
        <v/>
      </c>
      <c r="DU129" s="46">
        <f>DU128*((1+$J$129)^(1/12)-1)</f>
        <v/>
      </c>
      <c r="DV129" s="46">
        <f>DV128*((1+$J$129)^(1/12)-1)</f>
        <v/>
      </c>
      <c r="DW129" s="46">
        <f>DW128*((1+$J$129)^(1/12)-1)</f>
        <v/>
      </c>
      <c r="DX129" s="46">
        <f>DX128*((1+$J$129)^(1/12)-1)</f>
        <v/>
      </c>
      <c r="DY129" s="46">
        <f>DY128*((1+$J$129)^(1/12)-1)</f>
        <v/>
      </c>
      <c r="DZ129" s="46">
        <f>DZ128*((1+$J$129)^(1/12)-1)</f>
        <v/>
      </c>
      <c r="EA129" s="46">
        <f>EA128*((1+$J$129)^(1/12)-1)</f>
        <v/>
      </c>
      <c r="EB129" s="46">
        <f>EB128*((1+$J$129)^(1/12)-1)</f>
        <v/>
      </c>
      <c r="EC129" s="46">
        <f>EC128*((1+$J$129)^(1/12)-1)</f>
        <v/>
      </c>
      <c r="ED129" s="46">
        <f>ED128*((1+$J$129)^(1/12)-1)</f>
        <v/>
      </c>
      <c r="EE129" s="46">
        <f>EE128*((1+$J$129)^(1/12)-1)</f>
        <v/>
      </c>
      <c r="EF129" s="46">
        <f>EF128*((1+$J$129)^(1/12)-1)</f>
        <v/>
      </c>
      <c r="EG129" s="46">
        <f>EG128*((1+$J$129)^(1/12)-1)</f>
        <v/>
      </c>
      <c r="EH129" s="46">
        <f>EH128*((1+$J$129)^(1/12)-1)</f>
        <v/>
      </c>
      <c r="EI129" s="46">
        <f>EI128*((1+$J$129)^(1/12)-1)</f>
        <v/>
      </c>
      <c r="EJ129" s="46">
        <f>EJ128*((1+$J$129)^(1/12)-1)</f>
        <v/>
      </c>
      <c r="EK129" s="46">
        <f>EK128*((1+$J$129)^(1/12)-1)</f>
        <v/>
      </c>
      <c r="EL129" s="46">
        <f>EL128*((1+$J$129)^(1/12)-1)</f>
        <v/>
      </c>
      <c r="EM129" s="46">
        <f>EM128*((1+$J$129)^(1/12)-1)</f>
        <v/>
      </c>
      <c r="EN129" s="46">
        <f>EN128*((1+$J$129)^(1/12)-1)</f>
        <v/>
      </c>
      <c r="EO129" s="46">
        <f>EO128*((1+$J$129)^(1/12)-1)</f>
        <v/>
      </c>
      <c r="EP129" s="46">
        <f>EP128*((1+$J$129)^(1/12)-1)</f>
        <v/>
      </c>
      <c r="EQ129" s="46">
        <f>EQ128*((1+$J$129)^(1/12)-1)</f>
        <v/>
      </c>
      <c r="ER129" s="46">
        <f>ER128*((1+$J$129)^(1/12)-1)</f>
        <v/>
      </c>
      <c r="ES129" s="46">
        <f>ES128*((1+$J$129)^(1/12)-1)</f>
        <v/>
      </c>
      <c r="ET129" s="46">
        <f>ET128*((1+$J$129)^(1/12)-1)</f>
        <v/>
      </c>
      <c r="EU129" s="46">
        <f>EU128*((1+$J$129)^(1/12)-1)</f>
        <v/>
      </c>
      <c r="EV129" s="46">
        <f>EV128*((1+$J$129)^(1/12)-1)</f>
        <v/>
      </c>
      <c r="EW129" s="46">
        <f>EW128*((1+$J$129)^(1/12)-1)</f>
        <v/>
      </c>
      <c r="EX129" s="46">
        <f>EX128*((1+$J$129)^(1/12)-1)</f>
        <v/>
      </c>
      <c r="EY129" s="46">
        <f>EY128*((1+$J$129)^(1/12)-1)</f>
        <v/>
      </c>
      <c r="EZ129" s="46">
        <f>EZ128*((1+$J$129)^(1/12)-1)</f>
        <v/>
      </c>
      <c r="FA129" s="46">
        <f>FA128*((1+$J$129)^(1/12)-1)</f>
        <v/>
      </c>
      <c r="FB129" s="46">
        <f>FB128*((1+$J$129)^(1/12)-1)</f>
        <v/>
      </c>
    </row>
    <row r="130">
      <c r="H130" s="9" t="n"/>
      <c r="I130" s="9" t="inlineStr">
        <is>
          <t>Cash Available for Distribution</t>
        </is>
      </c>
      <c r="K130" s="9" t="n"/>
      <c r="L130" s="46">
        <f>SUM(Z130:FB130)</f>
        <v/>
      </c>
      <c r="M130" s="9" t="n"/>
      <c r="N130" s="24">
        <f>SUMIF($Z$3:$FB$3,N$7,$Z130:$FB130)</f>
        <v/>
      </c>
      <c r="O130" s="24">
        <f>SUMIF($Z$3:$FB$3,O$7,$Z130:$FB130)</f>
        <v/>
      </c>
      <c r="P130" s="24">
        <f>SUMIF($Z$3:$FB$3,P$7,$Z130:$FB130)</f>
        <v/>
      </c>
      <c r="Q130" s="24">
        <f>SUMIF($Z$3:$FB$3,Q$7,$Z130:$FB130)</f>
        <v/>
      </c>
      <c r="R130" s="24">
        <f>SUMIF($Z$3:$FB$3,R$7,$Z130:$FB130)</f>
        <v/>
      </c>
      <c r="S130" s="24">
        <f>SUMIF($Z$3:$FB$3,S$7,$Z130:$FB130)</f>
        <v/>
      </c>
      <c r="T130" s="24">
        <f>SUMIF($Z$3:$FB$3,T$7,$Z130:$FB130)</f>
        <v/>
      </c>
      <c r="U130" s="24">
        <f>SUMIF($Z$3:$FB$3,U$7,$Z130:$FB130)</f>
        <v/>
      </c>
      <c r="V130" s="24">
        <f>SUMIF($Z$3:$FB$3,V$7,$Z130:$FB130)</f>
        <v/>
      </c>
      <c r="W130" s="24">
        <f>SUMIF($Z$3:$FB$3,W$7,$Z130:$FB130)</f>
        <v/>
      </c>
      <c r="X130" s="24">
        <f>SUMIF($Z$3:$FB$3,X$7,$Z130:$FB130)</f>
        <v/>
      </c>
      <c r="Y130" s="9" t="n"/>
      <c r="Z130" s="46">
        <f>Z123</f>
        <v/>
      </c>
      <c r="AA130" s="46">
        <f>AA123</f>
        <v/>
      </c>
      <c r="AB130" s="46">
        <f>AB123</f>
        <v/>
      </c>
      <c r="AC130" s="46">
        <f>AC123</f>
        <v/>
      </c>
      <c r="AD130" s="46">
        <f>AD123</f>
        <v/>
      </c>
      <c r="AE130" s="46">
        <f>AE123</f>
        <v/>
      </c>
      <c r="AF130" s="46">
        <f>AF123</f>
        <v/>
      </c>
      <c r="AG130" s="46">
        <f>AG123</f>
        <v/>
      </c>
      <c r="AH130" s="46">
        <f>AH123</f>
        <v/>
      </c>
      <c r="AI130" s="46">
        <f>AI123</f>
        <v/>
      </c>
      <c r="AJ130" s="46">
        <f>AJ123</f>
        <v/>
      </c>
      <c r="AK130" s="46">
        <f>AK123</f>
        <v/>
      </c>
      <c r="AL130" s="46">
        <f>AL123</f>
        <v/>
      </c>
      <c r="AM130" s="46">
        <f>AM123</f>
        <v/>
      </c>
      <c r="AN130" s="46">
        <f>AN123</f>
        <v/>
      </c>
      <c r="AO130" s="46">
        <f>AO123</f>
        <v/>
      </c>
      <c r="AP130" s="46">
        <f>AP123</f>
        <v/>
      </c>
      <c r="AQ130" s="46">
        <f>AQ123</f>
        <v/>
      </c>
      <c r="AR130" s="46">
        <f>AR123</f>
        <v/>
      </c>
      <c r="AS130" s="46">
        <f>AS123</f>
        <v/>
      </c>
      <c r="AT130" s="46">
        <f>AT123</f>
        <v/>
      </c>
      <c r="AU130" s="46">
        <f>AU123</f>
        <v/>
      </c>
      <c r="AV130" s="46">
        <f>AV123</f>
        <v/>
      </c>
      <c r="AW130" s="46">
        <f>AW123</f>
        <v/>
      </c>
      <c r="AX130" s="46">
        <f>AX123</f>
        <v/>
      </c>
      <c r="AY130" s="46">
        <f>AY123</f>
        <v/>
      </c>
      <c r="AZ130" s="46">
        <f>AZ123</f>
        <v/>
      </c>
      <c r="BA130" s="46">
        <f>BA123</f>
        <v/>
      </c>
      <c r="BB130" s="46">
        <f>BB123</f>
        <v/>
      </c>
      <c r="BC130" s="46">
        <f>BC123</f>
        <v/>
      </c>
      <c r="BD130" s="46">
        <f>BD123</f>
        <v/>
      </c>
      <c r="BE130" s="46">
        <f>BE123</f>
        <v/>
      </c>
      <c r="BF130" s="46">
        <f>BF123</f>
        <v/>
      </c>
      <c r="BG130" s="46">
        <f>BG123</f>
        <v/>
      </c>
      <c r="BH130" s="46">
        <f>BH123</f>
        <v/>
      </c>
      <c r="BI130" s="46">
        <f>BI123</f>
        <v/>
      </c>
      <c r="BJ130" s="46">
        <f>BJ123</f>
        <v/>
      </c>
      <c r="BK130" s="46">
        <f>BK123</f>
        <v/>
      </c>
      <c r="BL130" s="46">
        <f>BL123</f>
        <v/>
      </c>
      <c r="BM130" s="46">
        <f>BM123</f>
        <v/>
      </c>
      <c r="BN130" s="46">
        <f>BN123</f>
        <v/>
      </c>
      <c r="BO130" s="46">
        <f>BO123</f>
        <v/>
      </c>
      <c r="BP130" s="46">
        <f>BP123</f>
        <v/>
      </c>
      <c r="BQ130" s="46">
        <f>BQ123</f>
        <v/>
      </c>
      <c r="BR130" s="46">
        <f>BR123</f>
        <v/>
      </c>
      <c r="BS130" s="46">
        <f>BS123</f>
        <v/>
      </c>
      <c r="BT130" s="46">
        <f>BT123</f>
        <v/>
      </c>
      <c r="BU130" s="46">
        <f>BU123</f>
        <v/>
      </c>
      <c r="BV130" s="46">
        <f>BV123</f>
        <v/>
      </c>
      <c r="BW130" s="46">
        <f>BW123</f>
        <v/>
      </c>
      <c r="BX130" s="46">
        <f>BX123</f>
        <v/>
      </c>
      <c r="BY130" s="46">
        <f>BY123</f>
        <v/>
      </c>
      <c r="BZ130" s="46">
        <f>BZ123</f>
        <v/>
      </c>
      <c r="CA130" s="46">
        <f>CA123</f>
        <v/>
      </c>
      <c r="CB130" s="46">
        <f>CB123</f>
        <v/>
      </c>
      <c r="CC130" s="46">
        <f>CC123</f>
        <v/>
      </c>
      <c r="CD130" s="46">
        <f>CD123</f>
        <v/>
      </c>
      <c r="CE130" s="46">
        <f>CE123</f>
        <v/>
      </c>
      <c r="CF130" s="46">
        <f>CF123</f>
        <v/>
      </c>
      <c r="CG130" s="46">
        <f>CG123</f>
        <v/>
      </c>
      <c r="CH130" s="46">
        <f>CH123</f>
        <v/>
      </c>
      <c r="CI130" s="46">
        <f>CI123</f>
        <v/>
      </c>
      <c r="CJ130" s="46">
        <f>CJ123</f>
        <v/>
      </c>
      <c r="CK130" s="46">
        <f>CK123</f>
        <v/>
      </c>
      <c r="CL130" s="46">
        <f>CL123</f>
        <v/>
      </c>
      <c r="CM130" s="46">
        <f>CM123</f>
        <v/>
      </c>
      <c r="CN130" s="46">
        <f>CN123</f>
        <v/>
      </c>
      <c r="CO130" s="46">
        <f>CO123</f>
        <v/>
      </c>
      <c r="CP130" s="46">
        <f>CP123</f>
        <v/>
      </c>
      <c r="CQ130" s="46">
        <f>CQ123</f>
        <v/>
      </c>
      <c r="CR130" s="46">
        <f>CR123</f>
        <v/>
      </c>
      <c r="CS130" s="46">
        <f>CS123</f>
        <v/>
      </c>
      <c r="CT130" s="46">
        <f>CT123</f>
        <v/>
      </c>
      <c r="CU130" s="46">
        <f>CU123</f>
        <v/>
      </c>
      <c r="CV130" s="46">
        <f>CV123</f>
        <v/>
      </c>
      <c r="CW130" s="46">
        <f>CW123</f>
        <v/>
      </c>
      <c r="CX130" s="46">
        <f>CX123</f>
        <v/>
      </c>
      <c r="CY130" s="46">
        <f>CY123</f>
        <v/>
      </c>
      <c r="CZ130" s="46">
        <f>CZ123</f>
        <v/>
      </c>
      <c r="DA130" s="46">
        <f>DA123</f>
        <v/>
      </c>
      <c r="DB130" s="46">
        <f>DB123</f>
        <v/>
      </c>
      <c r="DC130" s="46">
        <f>DC123</f>
        <v/>
      </c>
      <c r="DD130" s="46">
        <f>DD123</f>
        <v/>
      </c>
      <c r="DE130" s="46">
        <f>DE123</f>
        <v/>
      </c>
      <c r="DF130" s="46">
        <f>DF123</f>
        <v/>
      </c>
      <c r="DG130" s="46">
        <f>DG123</f>
        <v/>
      </c>
      <c r="DH130" s="46">
        <f>DH123</f>
        <v/>
      </c>
      <c r="DI130" s="46">
        <f>DI123</f>
        <v/>
      </c>
      <c r="DJ130" s="46">
        <f>DJ123</f>
        <v/>
      </c>
      <c r="DK130" s="46">
        <f>DK123</f>
        <v/>
      </c>
      <c r="DL130" s="46">
        <f>DL123</f>
        <v/>
      </c>
      <c r="DM130" s="46">
        <f>DM123</f>
        <v/>
      </c>
      <c r="DN130" s="46">
        <f>DN123</f>
        <v/>
      </c>
      <c r="DO130" s="46">
        <f>DO123</f>
        <v/>
      </c>
      <c r="DP130" s="46">
        <f>DP123</f>
        <v/>
      </c>
      <c r="DQ130" s="46">
        <f>DQ123</f>
        <v/>
      </c>
      <c r="DR130" s="46">
        <f>DR123</f>
        <v/>
      </c>
      <c r="DS130" s="46">
        <f>DS123</f>
        <v/>
      </c>
      <c r="DT130" s="46">
        <f>DT123</f>
        <v/>
      </c>
      <c r="DU130" s="46">
        <f>DU123</f>
        <v/>
      </c>
      <c r="DV130" s="46">
        <f>DV123</f>
        <v/>
      </c>
      <c r="DW130" s="46">
        <f>DW123</f>
        <v/>
      </c>
      <c r="DX130" s="46">
        <f>DX123</f>
        <v/>
      </c>
      <c r="DY130" s="46">
        <f>DY123</f>
        <v/>
      </c>
      <c r="DZ130" s="46">
        <f>DZ123</f>
        <v/>
      </c>
      <c r="EA130" s="46">
        <f>EA123</f>
        <v/>
      </c>
      <c r="EB130" s="46">
        <f>EB123</f>
        <v/>
      </c>
      <c r="EC130" s="46">
        <f>EC123</f>
        <v/>
      </c>
      <c r="ED130" s="46">
        <f>ED123</f>
        <v/>
      </c>
      <c r="EE130" s="46">
        <f>EE123</f>
        <v/>
      </c>
      <c r="EF130" s="46">
        <f>EF123</f>
        <v/>
      </c>
      <c r="EG130" s="46">
        <f>EG123</f>
        <v/>
      </c>
      <c r="EH130" s="46">
        <f>EH123</f>
        <v/>
      </c>
      <c r="EI130" s="46">
        <f>EI123</f>
        <v/>
      </c>
      <c r="EJ130" s="46">
        <f>EJ123</f>
        <v/>
      </c>
      <c r="EK130" s="46">
        <f>EK123</f>
        <v/>
      </c>
      <c r="EL130" s="46">
        <f>EL123</f>
        <v/>
      </c>
      <c r="EM130" s="46">
        <f>EM123</f>
        <v/>
      </c>
      <c r="EN130" s="46">
        <f>EN123</f>
        <v/>
      </c>
      <c r="EO130" s="46">
        <f>EO123</f>
        <v/>
      </c>
      <c r="EP130" s="46">
        <f>EP123</f>
        <v/>
      </c>
      <c r="EQ130" s="46">
        <f>EQ123</f>
        <v/>
      </c>
      <c r="ER130" s="46">
        <f>ER123</f>
        <v/>
      </c>
      <c r="ES130" s="46">
        <f>ES123</f>
        <v/>
      </c>
      <c r="ET130" s="46">
        <f>ET123</f>
        <v/>
      </c>
      <c r="EU130" s="46">
        <f>EU123</f>
        <v/>
      </c>
      <c r="EV130" s="46">
        <f>EV123</f>
        <v/>
      </c>
      <c r="EW130" s="46">
        <f>EW123</f>
        <v/>
      </c>
      <c r="EX130" s="46">
        <f>EX123</f>
        <v/>
      </c>
      <c r="EY130" s="46">
        <f>EY123</f>
        <v/>
      </c>
      <c r="EZ130" s="46">
        <f>EZ123</f>
        <v/>
      </c>
      <c r="FA130" s="46">
        <f>FA123</f>
        <v/>
      </c>
      <c r="FB130" s="46">
        <f>FB123</f>
        <v/>
      </c>
    </row>
    <row r="131">
      <c r="H131" s="9" t="n"/>
      <c r="I131" s="9" t="inlineStr">
        <is>
          <t>Pref Paid</t>
        </is>
      </c>
      <c r="K131" s="9" t="n"/>
      <c r="L131" s="46">
        <f>SUM(Z131:FB131)</f>
        <v/>
      </c>
      <c r="M131" s="9" t="n"/>
      <c r="N131" s="24">
        <f>SUMIF($Z$3:$FB$3,N$7,$Z131:$FB131)</f>
        <v/>
      </c>
      <c r="O131" s="24">
        <f>SUMIF($Z$3:$FB$3,O$7,$Z131:$FB131)</f>
        <v/>
      </c>
      <c r="P131" s="24">
        <f>SUMIF($Z$3:$FB$3,P$7,$Z131:$FB131)</f>
        <v/>
      </c>
      <c r="Q131" s="24">
        <f>SUMIF($Z$3:$FB$3,Q$7,$Z131:$FB131)</f>
        <v/>
      </c>
      <c r="R131" s="24">
        <f>SUMIF($Z$3:$FB$3,R$7,$Z131:$FB131)</f>
        <v/>
      </c>
      <c r="S131" s="24">
        <f>SUMIF($Z$3:$FB$3,S$7,$Z131:$FB131)</f>
        <v/>
      </c>
      <c r="T131" s="24">
        <f>SUMIF($Z$3:$FB$3,T$7,$Z131:$FB131)</f>
        <v/>
      </c>
      <c r="U131" s="24">
        <f>SUMIF($Z$3:$FB$3,U$7,$Z131:$FB131)</f>
        <v/>
      </c>
      <c r="V131" s="24">
        <f>SUMIF($Z$3:$FB$3,V$7,$Z131:$FB131)</f>
        <v/>
      </c>
      <c r="W131" s="24">
        <f>SUMIF($Z$3:$FB$3,W$7,$Z131:$FB131)</f>
        <v/>
      </c>
      <c r="X131" s="24">
        <f>SUMIF($Z$3:$FB$3,X$7,$Z131:$FB131)</f>
        <v/>
      </c>
      <c r="Y131" s="9" t="n"/>
      <c r="Z131" s="46" t="n">
        <v>0</v>
      </c>
      <c r="AA131" s="46">
        <f>MIN(AA129,MAX(AA130,0))</f>
        <v/>
      </c>
      <c r="AB131" s="46">
        <f>MIN(AB129,MAX(AB130,0))</f>
        <v/>
      </c>
      <c r="AC131" s="46">
        <f>MIN(AC129,MAX(AC130,0))</f>
        <v/>
      </c>
      <c r="AD131" s="46">
        <f>MIN(AD129,MAX(AD130,0))</f>
        <v/>
      </c>
      <c r="AE131" s="46">
        <f>MIN(AE129,MAX(AE130,0))</f>
        <v/>
      </c>
      <c r="AF131" s="46">
        <f>MIN(AF129,MAX(AF130,0))</f>
        <v/>
      </c>
      <c r="AG131" s="46">
        <f>MIN(AG129,MAX(AG130,0))</f>
        <v/>
      </c>
      <c r="AH131" s="46">
        <f>MIN(AH129,MAX(AH130,0))</f>
        <v/>
      </c>
      <c r="AI131" s="46">
        <f>MIN(AI129,MAX(AI130,0))</f>
        <v/>
      </c>
      <c r="AJ131" s="46">
        <f>MIN(AJ129,MAX(AJ130,0))</f>
        <v/>
      </c>
      <c r="AK131" s="46">
        <f>MIN(AK129,MAX(AK130,0))</f>
        <v/>
      </c>
      <c r="AL131" s="46">
        <f>MIN(AL129,MAX(AL130,0))</f>
        <v/>
      </c>
      <c r="AM131" s="46">
        <f>MIN(AM129,MAX(AM130,0))</f>
        <v/>
      </c>
      <c r="AN131" s="46">
        <f>MIN(AN129,MAX(AN130,0))</f>
        <v/>
      </c>
      <c r="AO131" s="46">
        <f>MIN(AO129,MAX(AO130,0))</f>
        <v/>
      </c>
      <c r="AP131" s="46">
        <f>MIN(AP129,MAX(AP130,0))</f>
        <v/>
      </c>
      <c r="AQ131" s="46">
        <f>MIN(AQ129,MAX(AQ130,0))</f>
        <v/>
      </c>
      <c r="AR131" s="46">
        <f>MIN(AR129,MAX(AR130,0))</f>
        <v/>
      </c>
      <c r="AS131" s="46">
        <f>MIN(AS129,MAX(AS130,0))</f>
        <v/>
      </c>
      <c r="AT131" s="46">
        <f>MIN(AT129,MAX(AT130,0))</f>
        <v/>
      </c>
      <c r="AU131" s="46">
        <f>MIN(AU129,MAX(AU130,0))</f>
        <v/>
      </c>
      <c r="AV131" s="46">
        <f>MIN(AV129,MAX(AV130,0))</f>
        <v/>
      </c>
      <c r="AW131" s="46">
        <f>MIN(AW129,MAX(AW130,0))</f>
        <v/>
      </c>
      <c r="AX131" s="46">
        <f>MIN(AX129,MAX(AX130,0))</f>
        <v/>
      </c>
      <c r="AY131" s="46">
        <f>MIN(AY129,MAX(AY130,0))</f>
        <v/>
      </c>
      <c r="AZ131" s="46">
        <f>MIN(AZ129,MAX(AZ130,0))</f>
        <v/>
      </c>
      <c r="BA131" s="46">
        <f>MIN(BA129,MAX(BA130,0))</f>
        <v/>
      </c>
      <c r="BB131" s="46">
        <f>MIN(BB129,MAX(BB130,0))</f>
        <v/>
      </c>
      <c r="BC131" s="46">
        <f>MIN(BC129,MAX(BC130,0))</f>
        <v/>
      </c>
      <c r="BD131" s="46">
        <f>MIN(BD129,MAX(BD130,0))</f>
        <v/>
      </c>
      <c r="BE131" s="46">
        <f>MIN(BE129,MAX(BE130,0))</f>
        <v/>
      </c>
      <c r="BF131" s="46">
        <f>MIN(BF129,MAX(BF130,0))</f>
        <v/>
      </c>
      <c r="BG131" s="46">
        <f>MIN(BG129,MAX(BG130,0))</f>
        <v/>
      </c>
      <c r="BH131" s="46">
        <f>MIN(BH129,MAX(BH130,0))</f>
        <v/>
      </c>
      <c r="BI131" s="46">
        <f>MIN(BI129,MAX(BI130,0))</f>
        <v/>
      </c>
      <c r="BJ131" s="46">
        <f>MIN(BJ129,MAX(BJ130,0))</f>
        <v/>
      </c>
      <c r="BK131" s="46">
        <f>MIN(BK129,MAX(BK130,0))</f>
        <v/>
      </c>
      <c r="BL131" s="46">
        <f>MIN(BL129,MAX(BL130,0))</f>
        <v/>
      </c>
      <c r="BM131" s="46">
        <f>MIN(BM129,MAX(BM130,0))</f>
        <v/>
      </c>
      <c r="BN131" s="46">
        <f>MIN(BN129,MAX(BN130,0))</f>
        <v/>
      </c>
      <c r="BO131" s="46">
        <f>MIN(BO129,MAX(BO130,0))</f>
        <v/>
      </c>
      <c r="BP131" s="46">
        <f>MIN(BP129,MAX(BP130,0))</f>
        <v/>
      </c>
      <c r="BQ131" s="46">
        <f>MIN(BQ129,MAX(BQ130,0))</f>
        <v/>
      </c>
      <c r="BR131" s="46">
        <f>MIN(BR129,MAX(BR130,0))</f>
        <v/>
      </c>
      <c r="BS131" s="46">
        <f>MIN(BS129,MAX(BS130,0))</f>
        <v/>
      </c>
      <c r="BT131" s="46">
        <f>MIN(BT129,MAX(BT130,0))</f>
        <v/>
      </c>
      <c r="BU131" s="46">
        <f>MIN(BU129,MAX(BU130,0))</f>
        <v/>
      </c>
      <c r="BV131" s="46">
        <f>MIN(BV129,MAX(BV130,0))</f>
        <v/>
      </c>
      <c r="BW131" s="46">
        <f>MIN(BW129,MAX(BW130,0))</f>
        <v/>
      </c>
      <c r="BX131" s="46">
        <f>MIN(BX129,MAX(BX130,0))</f>
        <v/>
      </c>
      <c r="BY131" s="46">
        <f>MIN(BY129,MAX(BY130,0))</f>
        <v/>
      </c>
      <c r="BZ131" s="46">
        <f>MIN(BZ129,MAX(BZ130,0))</f>
        <v/>
      </c>
      <c r="CA131" s="46">
        <f>MIN(CA129,MAX(CA130,0))</f>
        <v/>
      </c>
      <c r="CB131" s="46">
        <f>MIN(CB129,MAX(CB130,0))</f>
        <v/>
      </c>
      <c r="CC131" s="46">
        <f>MIN(CC129,MAX(CC130,0))</f>
        <v/>
      </c>
      <c r="CD131" s="46">
        <f>MIN(CD129,MAX(CD130,0))</f>
        <v/>
      </c>
      <c r="CE131" s="46">
        <f>MIN(CE129,MAX(CE130,0))</f>
        <v/>
      </c>
      <c r="CF131" s="46">
        <f>MIN(CF129,MAX(CF130,0))</f>
        <v/>
      </c>
      <c r="CG131" s="46">
        <f>MIN(CG129,MAX(CG130,0))</f>
        <v/>
      </c>
      <c r="CH131" s="46">
        <f>MIN(CH129,MAX(CH130,0))</f>
        <v/>
      </c>
      <c r="CI131" s="46">
        <f>MIN(CI129,MAX(CI130,0))</f>
        <v/>
      </c>
      <c r="CJ131" s="46">
        <f>MIN(CJ129,MAX(CJ130,0))</f>
        <v/>
      </c>
      <c r="CK131" s="46">
        <f>MIN(CK129,MAX(CK130,0))</f>
        <v/>
      </c>
      <c r="CL131" s="46">
        <f>MIN(CL129,MAX(CL130,0))</f>
        <v/>
      </c>
      <c r="CM131" s="46">
        <f>MIN(CM129,MAX(CM130,0))</f>
        <v/>
      </c>
      <c r="CN131" s="46">
        <f>MIN(CN129,MAX(CN130,0))</f>
        <v/>
      </c>
      <c r="CO131" s="46">
        <f>MIN(CO129,MAX(CO130,0))</f>
        <v/>
      </c>
      <c r="CP131" s="46">
        <f>MIN(CP129,MAX(CP130,0))</f>
        <v/>
      </c>
      <c r="CQ131" s="46">
        <f>MIN(CQ129,MAX(CQ130,0))</f>
        <v/>
      </c>
      <c r="CR131" s="46">
        <f>MIN(CR129,MAX(CR130,0))</f>
        <v/>
      </c>
      <c r="CS131" s="46">
        <f>MIN(CS129,MAX(CS130,0))</f>
        <v/>
      </c>
      <c r="CT131" s="46">
        <f>MIN(CT129,MAX(CT130,0))</f>
        <v/>
      </c>
      <c r="CU131" s="46">
        <f>MIN(CU129,MAX(CU130,0))</f>
        <v/>
      </c>
      <c r="CV131" s="46">
        <f>MIN(CV129,MAX(CV130,0))</f>
        <v/>
      </c>
      <c r="CW131" s="46">
        <f>MIN(CW129,MAX(CW130,0))</f>
        <v/>
      </c>
      <c r="CX131" s="46">
        <f>MIN(CX129,MAX(CX130,0))</f>
        <v/>
      </c>
      <c r="CY131" s="46">
        <f>MIN(CY129,MAX(CY130,0))</f>
        <v/>
      </c>
      <c r="CZ131" s="46">
        <f>MIN(CZ129,MAX(CZ130,0))</f>
        <v/>
      </c>
      <c r="DA131" s="46">
        <f>MIN(DA129,MAX(DA130,0))</f>
        <v/>
      </c>
      <c r="DB131" s="46">
        <f>MIN(DB129,MAX(DB130,0))</f>
        <v/>
      </c>
      <c r="DC131" s="46">
        <f>MIN(DC129,MAX(DC130,0))</f>
        <v/>
      </c>
      <c r="DD131" s="46">
        <f>MIN(DD129,MAX(DD130,0))</f>
        <v/>
      </c>
      <c r="DE131" s="46">
        <f>MIN(DE129,MAX(DE130,0))</f>
        <v/>
      </c>
      <c r="DF131" s="46">
        <f>MIN(DF129,MAX(DF130,0))</f>
        <v/>
      </c>
      <c r="DG131" s="46">
        <f>MIN(DG129,MAX(DG130,0))</f>
        <v/>
      </c>
      <c r="DH131" s="46">
        <f>MIN(DH129,MAX(DH130,0))</f>
        <v/>
      </c>
      <c r="DI131" s="46">
        <f>MIN(DI129,MAX(DI130,0))</f>
        <v/>
      </c>
      <c r="DJ131" s="46">
        <f>MIN(DJ129,MAX(DJ130,0))</f>
        <v/>
      </c>
      <c r="DK131" s="46">
        <f>MIN(DK129,MAX(DK130,0))</f>
        <v/>
      </c>
      <c r="DL131" s="46">
        <f>MIN(DL129,MAX(DL130,0))</f>
        <v/>
      </c>
      <c r="DM131" s="46">
        <f>MIN(DM129,MAX(DM130,0))</f>
        <v/>
      </c>
      <c r="DN131" s="46">
        <f>MIN(DN129,MAX(DN130,0))</f>
        <v/>
      </c>
      <c r="DO131" s="46">
        <f>MIN(DO129,MAX(DO130,0))</f>
        <v/>
      </c>
      <c r="DP131" s="46">
        <f>MIN(DP129,MAX(DP130,0))</f>
        <v/>
      </c>
      <c r="DQ131" s="46">
        <f>MIN(DQ129,MAX(DQ130,0))</f>
        <v/>
      </c>
      <c r="DR131" s="46">
        <f>MIN(DR129,MAX(DR130,0))</f>
        <v/>
      </c>
      <c r="DS131" s="46">
        <f>MIN(DS129,MAX(DS130,0))</f>
        <v/>
      </c>
      <c r="DT131" s="46">
        <f>MIN(DT129,MAX(DT130,0))</f>
        <v/>
      </c>
      <c r="DU131" s="46">
        <f>MIN(DU129,MAX(DU130,0))</f>
        <v/>
      </c>
      <c r="DV131" s="46">
        <f>MIN(DV129,MAX(DV130,0))</f>
        <v/>
      </c>
      <c r="DW131" s="46">
        <f>MIN(DW129,MAX(DW130,0))</f>
        <v/>
      </c>
      <c r="DX131" s="46">
        <f>MIN(DX129,MAX(DX130,0))</f>
        <v/>
      </c>
      <c r="DY131" s="46">
        <f>MIN(DY129,MAX(DY130,0))</f>
        <v/>
      </c>
      <c r="DZ131" s="46">
        <f>MIN(DZ129,MAX(DZ130,0))</f>
        <v/>
      </c>
      <c r="EA131" s="46">
        <f>MIN(EA129,MAX(EA130,0))</f>
        <v/>
      </c>
      <c r="EB131" s="46">
        <f>MIN(EB129,MAX(EB130,0))</f>
        <v/>
      </c>
      <c r="EC131" s="46">
        <f>MIN(EC129,MAX(EC130,0))</f>
        <v/>
      </c>
      <c r="ED131" s="46">
        <f>MIN(ED129,MAX(ED130,0))</f>
        <v/>
      </c>
      <c r="EE131" s="46">
        <f>MIN(EE129,MAX(EE130,0))</f>
        <v/>
      </c>
      <c r="EF131" s="46">
        <f>MIN(EF129,MAX(EF130,0))</f>
        <v/>
      </c>
      <c r="EG131" s="46">
        <f>MIN(EG129,MAX(EG130,0))</f>
        <v/>
      </c>
      <c r="EH131" s="46">
        <f>MIN(EH129,MAX(EH130,0))</f>
        <v/>
      </c>
      <c r="EI131" s="46">
        <f>MIN(EI129,MAX(EI130,0))</f>
        <v/>
      </c>
      <c r="EJ131" s="46">
        <f>MIN(EJ129,MAX(EJ130,0))</f>
        <v/>
      </c>
      <c r="EK131" s="46">
        <f>MIN(EK129,MAX(EK130,0))</f>
        <v/>
      </c>
      <c r="EL131" s="46">
        <f>MIN(EL129,MAX(EL130,0))</f>
        <v/>
      </c>
      <c r="EM131" s="46">
        <f>MIN(EM129,MAX(EM130,0))</f>
        <v/>
      </c>
      <c r="EN131" s="46">
        <f>MIN(EN129,MAX(EN130,0))</f>
        <v/>
      </c>
      <c r="EO131" s="46">
        <f>MIN(EO129,MAX(EO130,0))</f>
        <v/>
      </c>
      <c r="EP131" s="46">
        <f>MIN(EP129,MAX(EP130,0))</f>
        <v/>
      </c>
      <c r="EQ131" s="46">
        <f>MIN(EQ129,MAX(EQ130,0))</f>
        <v/>
      </c>
      <c r="ER131" s="46">
        <f>MIN(ER129,MAX(ER130,0))</f>
        <v/>
      </c>
      <c r="ES131" s="46">
        <f>MIN(ES129,MAX(ES130,0))</f>
        <v/>
      </c>
      <c r="ET131" s="46">
        <f>MIN(ET129,MAX(ET130,0))</f>
        <v/>
      </c>
      <c r="EU131" s="46">
        <f>MIN(EU129,MAX(EU130,0))</f>
        <v/>
      </c>
      <c r="EV131" s="46">
        <f>MIN(EV129,MAX(EV130,0))</f>
        <v/>
      </c>
      <c r="EW131" s="46">
        <f>MIN(EW129,MAX(EW130,0))</f>
        <v/>
      </c>
      <c r="EX131" s="46">
        <f>MIN(EX129,MAX(EX130,0))</f>
        <v/>
      </c>
      <c r="EY131" s="46">
        <f>MIN(EY129,MAX(EY130,0))</f>
        <v/>
      </c>
      <c r="EZ131" s="46">
        <f>MIN(EZ129,MAX(EZ130,0))</f>
        <v/>
      </c>
      <c r="FA131" s="46">
        <f>MIN(FA129,MAX(FA130,0))</f>
        <v/>
      </c>
      <c r="FB131" s="46">
        <f>MIN(FB129,MAX(FB130,0))</f>
        <v/>
      </c>
    </row>
    <row r="132">
      <c r="H132" s="9" t="n"/>
      <c r="I132" s="9" t="inlineStr">
        <is>
          <t>Principal Returned</t>
        </is>
      </c>
      <c r="K132" s="9" t="n"/>
      <c r="L132" s="46">
        <f>SUM(Z132:FB132)</f>
        <v/>
      </c>
      <c r="M132" s="9" t="n"/>
      <c r="N132" s="135">
        <f>SUMIF($Z$3:$FB$3,N$7,$Z132:$FB132)</f>
        <v/>
      </c>
      <c r="O132" s="135">
        <f>SUMIF($Z$3:$FB$3,O$7,$Z132:$FB132)</f>
        <v/>
      </c>
      <c r="P132" s="135">
        <f>SUMIF($Z$3:$FB$3,P$7,$Z132:$FB132)</f>
        <v/>
      </c>
      <c r="Q132" s="135">
        <f>SUMIF($Z$3:$FB$3,Q$7,$Z132:$FB132)</f>
        <v/>
      </c>
      <c r="R132" s="135">
        <f>SUMIF($Z$3:$FB$3,R$7,$Z132:$FB132)</f>
        <v/>
      </c>
      <c r="S132" s="135">
        <f>SUMIF($Z$3:$FB$3,S$7,$Z132:$FB132)</f>
        <v/>
      </c>
      <c r="T132" s="135">
        <f>SUMIF($Z$3:$FB$3,T$7,$Z132:$FB132)</f>
        <v/>
      </c>
      <c r="U132" s="135">
        <f>SUMIF($Z$3:$FB$3,U$7,$Z132:$FB132)</f>
        <v/>
      </c>
      <c r="V132" s="135">
        <f>SUMIF($Z$3:$FB$3,V$7,$Z132:$FB132)</f>
        <v/>
      </c>
      <c r="W132" s="135">
        <f>SUMIF($Z$3:$FB$3,W$7,$Z132:$FB132)</f>
        <v/>
      </c>
      <c r="X132" s="135">
        <f>SUMIF($Z$3:$FB$3,X$7,$Z132:$FB132)</f>
        <v/>
      </c>
      <c r="Y132" s="9" t="n"/>
      <c r="Z132" s="46" t="n">
        <v>0</v>
      </c>
      <c r="AA132" s="46">
        <f>MIN(AA128,MAX(AA130-AA131,0))</f>
        <v/>
      </c>
      <c r="AB132" s="46">
        <f>MIN(AB128,MAX(AB130-AB131,0))</f>
        <v/>
      </c>
      <c r="AC132" s="46">
        <f>MIN(AC128,MAX(AC130-AC131,0))</f>
        <v/>
      </c>
      <c r="AD132" s="46">
        <f>MIN(AD128,MAX(AD130-AD131,0))</f>
        <v/>
      </c>
      <c r="AE132" s="46">
        <f>MIN(AE128,MAX(AE130-AE131,0))</f>
        <v/>
      </c>
      <c r="AF132" s="46">
        <f>MIN(AF128,MAX(AF130-AF131,0))</f>
        <v/>
      </c>
      <c r="AG132" s="46">
        <f>MIN(AG128,MAX(AG130-AG131,0))</f>
        <v/>
      </c>
      <c r="AH132" s="46">
        <f>MIN(AH128,MAX(AH130-AH131,0))</f>
        <v/>
      </c>
      <c r="AI132" s="46">
        <f>MIN(AI128,MAX(AI130-AI131,0))</f>
        <v/>
      </c>
      <c r="AJ132" s="46">
        <f>MIN(AJ128,MAX(AJ130-AJ131,0))</f>
        <v/>
      </c>
      <c r="AK132" s="46">
        <f>MIN(AK128,MAX(AK130-AK131,0))</f>
        <v/>
      </c>
      <c r="AL132" s="46">
        <f>MIN(AL128,MAX(AL130-AL131,0))</f>
        <v/>
      </c>
      <c r="AM132" s="46">
        <f>MIN(AM128,MAX(AM130-AM131,0))</f>
        <v/>
      </c>
      <c r="AN132" s="46">
        <f>MIN(AN128,MAX(AN130-AN131,0))</f>
        <v/>
      </c>
      <c r="AO132" s="46">
        <f>MIN(AO128,MAX(AO130-AO131,0))</f>
        <v/>
      </c>
      <c r="AP132" s="46">
        <f>MIN(AP128,MAX(AP130-AP131,0))</f>
        <v/>
      </c>
      <c r="AQ132" s="46">
        <f>MIN(AQ128,MAX(AQ130-AQ131,0))</f>
        <v/>
      </c>
      <c r="AR132" s="46">
        <f>MIN(AR128,MAX(AR130-AR131,0))</f>
        <v/>
      </c>
      <c r="AS132" s="46">
        <f>MIN(AS128,MAX(AS130-AS131,0))</f>
        <v/>
      </c>
      <c r="AT132" s="46">
        <f>MIN(AT128,MAX(AT130-AT131,0))</f>
        <v/>
      </c>
      <c r="AU132" s="46">
        <f>MIN(AU128,MAX(AU130-AU131,0))</f>
        <v/>
      </c>
      <c r="AV132" s="46">
        <f>MIN(AV128,MAX(AV130-AV131,0))</f>
        <v/>
      </c>
      <c r="AW132" s="46">
        <f>MIN(AW128,MAX(AW130-AW131,0))</f>
        <v/>
      </c>
      <c r="AX132" s="46">
        <f>MIN(AX128,MAX(AX130-AX131,0))</f>
        <v/>
      </c>
      <c r="AY132" s="46">
        <f>MIN(AY128,MAX(AY130-AY131,0))</f>
        <v/>
      </c>
      <c r="AZ132" s="46">
        <f>MIN(AZ128,MAX(AZ130-AZ131,0))</f>
        <v/>
      </c>
      <c r="BA132" s="46">
        <f>MIN(BA128,MAX(BA130-BA131,0))</f>
        <v/>
      </c>
      <c r="BB132" s="46">
        <f>MIN(BB128,MAX(BB130-BB131,0))</f>
        <v/>
      </c>
      <c r="BC132" s="46">
        <f>MIN(BC128,MAX(BC130-BC131,0))</f>
        <v/>
      </c>
      <c r="BD132" s="46">
        <f>MIN(BD128,MAX(BD130-BD131,0))</f>
        <v/>
      </c>
      <c r="BE132" s="46">
        <f>MIN(BE128,MAX(BE130-BE131,0))</f>
        <v/>
      </c>
      <c r="BF132" s="46">
        <f>MIN(BF128,MAX(BF130-BF131,0))</f>
        <v/>
      </c>
      <c r="BG132" s="46">
        <f>MIN(BG128,MAX(BG130-BG131,0))</f>
        <v/>
      </c>
      <c r="BH132" s="46">
        <f>MIN(BH128,MAX(BH130-BH131,0))</f>
        <v/>
      </c>
      <c r="BI132" s="46">
        <f>MIN(BI128,MAX(BI130-BI131,0))</f>
        <v/>
      </c>
      <c r="BJ132" s="46">
        <f>MIN(BJ128,MAX(BJ130-BJ131,0))</f>
        <v/>
      </c>
      <c r="BK132" s="46">
        <f>MIN(BK128,MAX(BK130-BK131,0))</f>
        <v/>
      </c>
      <c r="BL132" s="46">
        <f>MIN(BL128,MAX(BL130-BL131,0))</f>
        <v/>
      </c>
      <c r="BM132" s="46">
        <f>MIN(BM128,MAX(BM130-BM131,0))</f>
        <v/>
      </c>
      <c r="BN132" s="46">
        <f>MIN(BN128,MAX(BN130-BN131,0))</f>
        <v/>
      </c>
      <c r="BO132" s="46">
        <f>MIN(BO128,MAX(BO130-BO131,0))</f>
        <v/>
      </c>
      <c r="BP132" s="46">
        <f>MIN(BP128,MAX(BP130-BP131,0))</f>
        <v/>
      </c>
      <c r="BQ132" s="46">
        <f>MIN(BQ128,MAX(BQ130-BQ131,0))</f>
        <v/>
      </c>
      <c r="BR132" s="46">
        <f>MIN(BR128,MAX(BR130-BR131,0))</f>
        <v/>
      </c>
      <c r="BS132" s="46">
        <f>MIN(BS128,MAX(BS130-BS131,0))</f>
        <v/>
      </c>
      <c r="BT132" s="46">
        <f>MIN(BT128,MAX(BT130-BT131,0))</f>
        <v/>
      </c>
      <c r="BU132" s="46">
        <f>MIN(BU128,MAX(BU130-BU131,0))</f>
        <v/>
      </c>
      <c r="BV132" s="46">
        <f>MIN(BV128,MAX(BV130-BV131,0))</f>
        <v/>
      </c>
      <c r="BW132" s="46">
        <f>MIN(BW128,MAX(BW130-BW131,0))</f>
        <v/>
      </c>
      <c r="BX132" s="46">
        <f>MIN(BX128,MAX(BX130-BX131,0))</f>
        <v/>
      </c>
      <c r="BY132" s="46">
        <f>MIN(BY128,MAX(BY130-BY131,0))</f>
        <v/>
      </c>
      <c r="BZ132" s="46">
        <f>MIN(BZ128,MAX(BZ130-BZ131,0))</f>
        <v/>
      </c>
      <c r="CA132" s="46">
        <f>MIN(CA128,MAX(CA130-CA131,0))</f>
        <v/>
      </c>
      <c r="CB132" s="46">
        <f>MIN(CB128,MAX(CB130-CB131,0))</f>
        <v/>
      </c>
      <c r="CC132" s="46">
        <f>MIN(CC128,MAX(CC130-CC131,0))</f>
        <v/>
      </c>
      <c r="CD132" s="46">
        <f>MIN(CD128,MAX(CD130-CD131,0))</f>
        <v/>
      </c>
      <c r="CE132" s="46">
        <f>MIN(CE128,MAX(CE130-CE131,0))</f>
        <v/>
      </c>
      <c r="CF132" s="46">
        <f>MIN(CF128,MAX(CF130-CF131,0))</f>
        <v/>
      </c>
      <c r="CG132" s="46">
        <f>MIN(CG128,MAX(CG130-CG131,0))</f>
        <v/>
      </c>
      <c r="CH132" s="46">
        <f>MIN(CH128,MAX(CH130-CH131,0))</f>
        <v/>
      </c>
      <c r="CI132" s="46">
        <f>MIN(CI128,MAX(CI130-CI131,0))</f>
        <v/>
      </c>
      <c r="CJ132" s="46">
        <f>MIN(CJ128,MAX(CJ130-CJ131,0))</f>
        <v/>
      </c>
      <c r="CK132" s="46">
        <f>MIN(CK128,MAX(CK130-CK131,0))</f>
        <v/>
      </c>
      <c r="CL132" s="46">
        <f>MIN(CL128,MAX(CL130-CL131,0))</f>
        <v/>
      </c>
      <c r="CM132" s="46">
        <f>MIN(CM128,MAX(CM130-CM131,0))</f>
        <v/>
      </c>
      <c r="CN132" s="46">
        <f>MIN(CN128,MAX(CN130-CN131,0))</f>
        <v/>
      </c>
      <c r="CO132" s="46">
        <f>MIN(CO128,MAX(CO130-CO131,0))</f>
        <v/>
      </c>
      <c r="CP132" s="46">
        <f>MIN(CP128,MAX(CP130-CP131,0))</f>
        <v/>
      </c>
      <c r="CQ132" s="46">
        <f>MIN(CQ128,MAX(CQ130-CQ131,0))</f>
        <v/>
      </c>
      <c r="CR132" s="46">
        <f>MIN(CR128,MAX(CR130-CR131,0))</f>
        <v/>
      </c>
      <c r="CS132" s="46">
        <f>MIN(CS128,MAX(CS130-CS131,0))</f>
        <v/>
      </c>
      <c r="CT132" s="46">
        <f>MIN(CT128,MAX(CT130-CT131,0))</f>
        <v/>
      </c>
      <c r="CU132" s="46">
        <f>MIN(CU128,MAX(CU130-CU131,0))</f>
        <v/>
      </c>
      <c r="CV132" s="46">
        <f>MIN(CV128,MAX(CV130-CV131,0))</f>
        <v/>
      </c>
      <c r="CW132" s="46">
        <f>MIN(CW128,MAX(CW130-CW131,0))</f>
        <v/>
      </c>
      <c r="CX132" s="46">
        <f>MIN(CX128,MAX(CX130-CX131,0))</f>
        <v/>
      </c>
      <c r="CY132" s="46">
        <f>MIN(CY128,MAX(CY130-CY131,0))</f>
        <v/>
      </c>
      <c r="CZ132" s="46">
        <f>MIN(CZ128,MAX(CZ130-CZ131,0))</f>
        <v/>
      </c>
      <c r="DA132" s="46">
        <f>MIN(DA128,MAX(DA130-DA131,0))</f>
        <v/>
      </c>
      <c r="DB132" s="46">
        <f>MIN(DB128,MAX(DB130-DB131,0))</f>
        <v/>
      </c>
      <c r="DC132" s="46">
        <f>MIN(DC128,MAX(DC130-DC131,0))</f>
        <v/>
      </c>
      <c r="DD132" s="46">
        <f>MIN(DD128,MAX(DD130-DD131,0))</f>
        <v/>
      </c>
      <c r="DE132" s="46">
        <f>MIN(DE128,MAX(DE130-DE131,0))</f>
        <v/>
      </c>
      <c r="DF132" s="46">
        <f>MIN(DF128,MAX(DF130-DF131,0))</f>
        <v/>
      </c>
      <c r="DG132" s="46">
        <f>MIN(DG128,MAX(DG130-DG131,0))</f>
        <v/>
      </c>
      <c r="DH132" s="46">
        <f>MIN(DH128,MAX(DH130-DH131,0))</f>
        <v/>
      </c>
      <c r="DI132" s="46">
        <f>MIN(DI128,MAX(DI130-DI131,0))</f>
        <v/>
      </c>
      <c r="DJ132" s="46">
        <f>MIN(DJ128,MAX(DJ130-DJ131,0))</f>
        <v/>
      </c>
      <c r="DK132" s="46">
        <f>MIN(DK128,MAX(DK130-DK131,0))</f>
        <v/>
      </c>
      <c r="DL132" s="46">
        <f>MIN(DL128,MAX(DL130-DL131,0))</f>
        <v/>
      </c>
      <c r="DM132" s="46">
        <f>MIN(DM128,MAX(DM130-DM131,0))</f>
        <v/>
      </c>
      <c r="DN132" s="46">
        <f>MIN(DN128,MAX(DN130-DN131,0))</f>
        <v/>
      </c>
      <c r="DO132" s="46">
        <f>MIN(DO128,MAX(DO130-DO131,0))</f>
        <v/>
      </c>
      <c r="DP132" s="46">
        <f>MIN(DP128,MAX(DP130-DP131,0))</f>
        <v/>
      </c>
      <c r="DQ132" s="46">
        <f>MIN(DQ128,MAX(DQ130-DQ131,0))</f>
        <v/>
      </c>
      <c r="DR132" s="46">
        <f>MIN(DR128,MAX(DR130-DR131,0))</f>
        <v/>
      </c>
      <c r="DS132" s="46">
        <f>MIN(DS128,MAX(DS130-DS131,0))</f>
        <v/>
      </c>
      <c r="DT132" s="46">
        <f>MIN(DT128,MAX(DT130-DT131,0))</f>
        <v/>
      </c>
      <c r="DU132" s="46">
        <f>MIN(DU128,MAX(DU130-DU131,0))</f>
        <v/>
      </c>
      <c r="DV132" s="46">
        <f>MIN(DV128,MAX(DV130-DV131,0))</f>
        <v/>
      </c>
      <c r="DW132" s="46">
        <f>MIN(DW128,MAX(DW130-DW131,0))</f>
        <v/>
      </c>
      <c r="DX132" s="46">
        <f>MIN(DX128,MAX(DX130-DX131,0))</f>
        <v/>
      </c>
      <c r="DY132" s="46">
        <f>MIN(DY128,MAX(DY130-DY131,0))</f>
        <v/>
      </c>
      <c r="DZ132" s="46">
        <f>MIN(DZ128,MAX(DZ130-DZ131,0))</f>
        <v/>
      </c>
      <c r="EA132" s="46">
        <f>MIN(EA128,MAX(EA130-EA131,0))</f>
        <v/>
      </c>
      <c r="EB132" s="46">
        <f>MIN(EB128,MAX(EB130-EB131,0))</f>
        <v/>
      </c>
      <c r="EC132" s="46">
        <f>MIN(EC128,MAX(EC130-EC131,0))</f>
        <v/>
      </c>
      <c r="ED132" s="46">
        <f>MIN(ED128,MAX(ED130-ED131,0))</f>
        <v/>
      </c>
      <c r="EE132" s="46">
        <f>MIN(EE128,MAX(EE130-EE131,0))</f>
        <v/>
      </c>
      <c r="EF132" s="46">
        <f>MIN(EF128,MAX(EF130-EF131,0))</f>
        <v/>
      </c>
      <c r="EG132" s="46">
        <f>MIN(EG128,MAX(EG130-EG131,0))</f>
        <v/>
      </c>
      <c r="EH132" s="46">
        <f>MIN(EH128,MAX(EH130-EH131,0))</f>
        <v/>
      </c>
      <c r="EI132" s="46">
        <f>MIN(EI128,MAX(EI130-EI131,0))</f>
        <v/>
      </c>
      <c r="EJ132" s="46">
        <f>MIN(EJ128,MAX(EJ130-EJ131,0))</f>
        <v/>
      </c>
      <c r="EK132" s="46">
        <f>MIN(EK128,MAX(EK130-EK131,0))</f>
        <v/>
      </c>
      <c r="EL132" s="46">
        <f>MIN(EL128,MAX(EL130-EL131,0))</f>
        <v/>
      </c>
      <c r="EM132" s="46">
        <f>MIN(EM128,MAX(EM130-EM131,0))</f>
        <v/>
      </c>
      <c r="EN132" s="46">
        <f>MIN(EN128,MAX(EN130-EN131,0))</f>
        <v/>
      </c>
      <c r="EO132" s="46">
        <f>MIN(EO128,MAX(EO130-EO131,0))</f>
        <v/>
      </c>
      <c r="EP132" s="46">
        <f>MIN(EP128,MAX(EP130-EP131,0))</f>
        <v/>
      </c>
      <c r="EQ132" s="46">
        <f>MIN(EQ128,MAX(EQ130-EQ131,0))</f>
        <v/>
      </c>
      <c r="ER132" s="46">
        <f>MIN(ER128,MAX(ER130-ER131,0))</f>
        <v/>
      </c>
      <c r="ES132" s="46">
        <f>MIN(ES128,MAX(ES130-ES131,0))</f>
        <v/>
      </c>
      <c r="ET132" s="46">
        <f>MIN(ET128,MAX(ET130-ET131,0))</f>
        <v/>
      </c>
      <c r="EU132" s="46">
        <f>MIN(EU128,MAX(EU130-EU131,0))</f>
        <v/>
      </c>
      <c r="EV132" s="46">
        <f>MIN(EV128,MAX(EV130-EV131,0))</f>
        <v/>
      </c>
      <c r="EW132" s="46">
        <f>MIN(EW128,MAX(EW130-EW131,0))</f>
        <v/>
      </c>
      <c r="EX132" s="46">
        <f>MIN(EX128,MAX(EX130-EX131,0))</f>
        <v/>
      </c>
      <c r="EY132" s="46">
        <f>MIN(EY128,MAX(EY130-EY131,0))</f>
        <v/>
      </c>
      <c r="EZ132" s="46">
        <f>MIN(EZ128,MAX(EZ130-EZ131,0))</f>
        <v/>
      </c>
      <c r="FA132" s="46">
        <f>MIN(FA128,MAX(FA130-FA131,0))</f>
        <v/>
      </c>
      <c r="FB132" s="46">
        <f>MIN(FB128,MAX(FB130-FB131,0))</f>
        <v/>
      </c>
    </row>
    <row r="133">
      <c r="H133" s="9" t="n"/>
      <c r="I133" s="120" t="inlineStr">
        <is>
          <t>Ending Balance (LP Capital)</t>
        </is>
      </c>
      <c r="J133" s="120" t="n"/>
      <c r="K133" s="15" t="n"/>
      <c r="L133" s="57" t="n"/>
      <c r="M133" s="15" t="n"/>
      <c r="N133" s="57">
        <f>N128-N132+(N129-N131)</f>
        <v/>
      </c>
      <c r="O133" s="57">
        <f>O128-O132+(O129-O131)</f>
        <v/>
      </c>
      <c r="P133" s="57">
        <f>P128-P132+(P129-P131)</f>
        <v/>
      </c>
      <c r="Q133" s="57">
        <f>Q128-Q132+(Q129-Q131)</f>
        <v/>
      </c>
      <c r="R133" s="57">
        <f>R128-R132+(R129-R131)</f>
        <v/>
      </c>
      <c r="S133" s="57">
        <f>S128-S132+(S129-S131)</f>
        <v/>
      </c>
      <c r="T133" s="57">
        <f>T128-T132+(T129-T131)</f>
        <v/>
      </c>
      <c r="U133" s="57">
        <f>U128-U132+(U129-U131)</f>
        <v/>
      </c>
      <c r="V133" s="57">
        <f>V128-V132+(V129-V131)</f>
        <v/>
      </c>
      <c r="W133" s="57">
        <f>W128-W132+(W129-W131)</f>
        <v/>
      </c>
      <c r="X133" s="57">
        <f>X128-X132+(X129-X131)</f>
        <v/>
      </c>
      <c r="Y133" s="15" t="n"/>
      <c r="Z133" s="57">
        <f>Z128</f>
        <v/>
      </c>
      <c r="AA133" s="57">
        <f>AA128-AA132+(AA129-AA131)</f>
        <v/>
      </c>
      <c r="AB133" s="57">
        <f>AB128-AB132+(AB129-AB131)</f>
        <v/>
      </c>
      <c r="AC133" s="57">
        <f>AC128-AC132+(AC129-AC131)</f>
        <v/>
      </c>
      <c r="AD133" s="57">
        <f>AD128-AD132+(AD129-AD131)</f>
        <v/>
      </c>
      <c r="AE133" s="57">
        <f>AE128-AE132+(AE129-AE131)</f>
        <v/>
      </c>
      <c r="AF133" s="57">
        <f>AF128-AF132+(AF129-AF131)</f>
        <v/>
      </c>
      <c r="AG133" s="57">
        <f>AG128-AG132+(AG129-AG131)</f>
        <v/>
      </c>
      <c r="AH133" s="57">
        <f>AH128-AH132+(AH129-AH131)</f>
        <v/>
      </c>
      <c r="AI133" s="57">
        <f>AI128-AI132+(AI129-AI131)</f>
        <v/>
      </c>
      <c r="AJ133" s="57">
        <f>AJ128-AJ132+(AJ129-AJ131)</f>
        <v/>
      </c>
      <c r="AK133" s="57">
        <f>AK128-AK132+(AK129-AK131)</f>
        <v/>
      </c>
      <c r="AL133" s="57">
        <f>AL128-AL132+(AL129-AL131)</f>
        <v/>
      </c>
      <c r="AM133" s="57">
        <f>AM128-AM132+(AM129-AM131)</f>
        <v/>
      </c>
      <c r="AN133" s="57">
        <f>AN128-AN132+(AN129-AN131)</f>
        <v/>
      </c>
      <c r="AO133" s="57">
        <f>AO128-AO132+(AO129-AO131)</f>
        <v/>
      </c>
      <c r="AP133" s="57">
        <f>AP128-AP132+(AP129-AP131)</f>
        <v/>
      </c>
      <c r="AQ133" s="57">
        <f>AQ128-AQ132+(AQ129-AQ131)</f>
        <v/>
      </c>
      <c r="AR133" s="57">
        <f>AR128-AR132+(AR129-AR131)</f>
        <v/>
      </c>
      <c r="AS133" s="57">
        <f>AS128-AS132+(AS129-AS131)</f>
        <v/>
      </c>
      <c r="AT133" s="57">
        <f>AT128-AT132+(AT129-AT131)</f>
        <v/>
      </c>
      <c r="AU133" s="57">
        <f>AU128-AU132+(AU129-AU131)</f>
        <v/>
      </c>
      <c r="AV133" s="57">
        <f>AV128-AV132+(AV129-AV131)</f>
        <v/>
      </c>
      <c r="AW133" s="57">
        <f>AW128-AW132+(AW129-AW131)</f>
        <v/>
      </c>
      <c r="AX133" s="57">
        <f>AX128-AX132+(AX129-AX131)</f>
        <v/>
      </c>
      <c r="AY133" s="57">
        <f>AY128-AY132+(AY129-AY131)</f>
        <v/>
      </c>
      <c r="AZ133" s="57">
        <f>AZ128-AZ132+(AZ129-AZ131)</f>
        <v/>
      </c>
      <c r="BA133" s="57">
        <f>BA128-BA132+(BA129-BA131)</f>
        <v/>
      </c>
      <c r="BB133" s="57">
        <f>BB128-BB132+(BB129-BB131)</f>
        <v/>
      </c>
      <c r="BC133" s="57">
        <f>BC128-BC132+(BC129-BC131)</f>
        <v/>
      </c>
      <c r="BD133" s="57">
        <f>BD128-BD132+(BD129-BD131)</f>
        <v/>
      </c>
      <c r="BE133" s="57">
        <f>BE128-BE132+(BE129-BE131)</f>
        <v/>
      </c>
      <c r="BF133" s="57">
        <f>BF128-BF132+(BF129-BF131)</f>
        <v/>
      </c>
      <c r="BG133" s="57">
        <f>BG128-BG132+(BG129-BG131)</f>
        <v/>
      </c>
      <c r="BH133" s="57">
        <f>BH128-BH132+(BH129-BH131)</f>
        <v/>
      </c>
      <c r="BI133" s="57">
        <f>BI128-BI132+(BI129-BI131)</f>
        <v/>
      </c>
      <c r="BJ133" s="57">
        <f>BJ128-BJ132+(BJ129-BJ131)</f>
        <v/>
      </c>
      <c r="BK133" s="57">
        <f>BK128-BK132+(BK129-BK131)</f>
        <v/>
      </c>
      <c r="BL133" s="57">
        <f>BL128-BL132+(BL129-BL131)</f>
        <v/>
      </c>
      <c r="BM133" s="57">
        <f>BM128-BM132+(BM129-BM131)</f>
        <v/>
      </c>
      <c r="BN133" s="57">
        <f>BN128-BN132+(BN129-BN131)</f>
        <v/>
      </c>
      <c r="BO133" s="57">
        <f>BO128-BO132+(BO129-BO131)</f>
        <v/>
      </c>
      <c r="BP133" s="57">
        <f>BP128-BP132+(BP129-BP131)</f>
        <v/>
      </c>
      <c r="BQ133" s="57">
        <f>BQ128-BQ132+(BQ129-BQ131)</f>
        <v/>
      </c>
      <c r="BR133" s="57">
        <f>BR128-BR132+(BR129-BR131)</f>
        <v/>
      </c>
      <c r="BS133" s="57">
        <f>BS128-BS132+(BS129-BS131)</f>
        <v/>
      </c>
      <c r="BT133" s="57">
        <f>BT128-BT132+(BT129-BT131)</f>
        <v/>
      </c>
      <c r="BU133" s="57">
        <f>BU128-BU132+(BU129-BU131)</f>
        <v/>
      </c>
      <c r="BV133" s="57">
        <f>BV128-BV132+(BV129-BV131)</f>
        <v/>
      </c>
      <c r="BW133" s="57">
        <f>BW128-BW132+(BW129-BW131)</f>
        <v/>
      </c>
      <c r="BX133" s="57">
        <f>BX128-BX132+(BX129-BX131)</f>
        <v/>
      </c>
      <c r="BY133" s="57">
        <f>BY128-BY132+(BY129-BY131)</f>
        <v/>
      </c>
      <c r="BZ133" s="57">
        <f>BZ128-BZ132+(BZ129-BZ131)</f>
        <v/>
      </c>
      <c r="CA133" s="57">
        <f>CA128-CA132+(CA129-CA131)</f>
        <v/>
      </c>
      <c r="CB133" s="57">
        <f>CB128-CB132+(CB129-CB131)</f>
        <v/>
      </c>
      <c r="CC133" s="57">
        <f>CC128-CC132+(CC129-CC131)</f>
        <v/>
      </c>
      <c r="CD133" s="57">
        <f>CD128-CD132+(CD129-CD131)</f>
        <v/>
      </c>
      <c r="CE133" s="57">
        <f>CE128-CE132+(CE129-CE131)</f>
        <v/>
      </c>
      <c r="CF133" s="57">
        <f>CF128-CF132+(CF129-CF131)</f>
        <v/>
      </c>
      <c r="CG133" s="57">
        <f>CG128-CG132+(CG129-CG131)</f>
        <v/>
      </c>
      <c r="CH133" s="57">
        <f>CH128-CH132+(CH129-CH131)</f>
        <v/>
      </c>
      <c r="CI133" s="57">
        <f>CI128-CI132+(CI129-CI131)</f>
        <v/>
      </c>
      <c r="CJ133" s="57">
        <f>CJ128-CJ132+(CJ129-CJ131)</f>
        <v/>
      </c>
      <c r="CK133" s="57">
        <f>CK128-CK132+(CK129-CK131)</f>
        <v/>
      </c>
      <c r="CL133" s="57">
        <f>CL128-CL132+(CL129-CL131)</f>
        <v/>
      </c>
      <c r="CM133" s="57">
        <f>CM128-CM132+(CM129-CM131)</f>
        <v/>
      </c>
      <c r="CN133" s="57">
        <f>CN128-CN132+(CN129-CN131)</f>
        <v/>
      </c>
      <c r="CO133" s="57">
        <f>CO128-CO132+(CO129-CO131)</f>
        <v/>
      </c>
      <c r="CP133" s="57">
        <f>CP128-CP132+(CP129-CP131)</f>
        <v/>
      </c>
      <c r="CQ133" s="57">
        <f>CQ128-CQ132+(CQ129-CQ131)</f>
        <v/>
      </c>
      <c r="CR133" s="57">
        <f>CR128-CR132+(CR129-CR131)</f>
        <v/>
      </c>
      <c r="CS133" s="57">
        <f>CS128-CS132+(CS129-CS131)</f>
        <v/>
      </c>
      <c r="CT133" s="57">
        <f>CT128-CT132+(CT129-CT131)</f>
        <v/>
      </c>
      <c r="CU133" s="57">
        <f>CU128-CU132+(CU129-CU131)</f>
        <v/>
      </c>
      <c r="CV133" s="57">
        <f>CV128-CV132+(CV129-CV131)</f>
        <v/>
      </c>
      <c r="CW133" s="57">
        <f>CW128-CW132+(CW129-CW131)</f>
        <v/>
      </c>
      <c r="CX133" s="57">
        <f>CX128-CX132+(CX129-CX131)</f>
        <v/>
      </c>
      <c r="CY133" s="57">
        <f>CY128-CY132+(CY129-CY131)</f>
        <v/>
      </c>
      <c r="CZ133" s="57">
        <f>CZ128-CZ132+(CZ129-CZ131)</f>
        <v/>
      </c>
      <c r="DA133" s="57">
        <f>DA128-DA132+(DA129-DA131)</f>
        <v/>
      </c>
      <c r="DB133" s="57">
        <f>DB128-DB132+(DB129-DB131)</f>
        <v/>
      </c>
      <c r="DC133" s="57">
        <f>DC128-DC132+(DC129-DC131)</f>
        <v/>
      </c>
      <c r="DD133" s="57">
        <f>DD128-DD132+(DD129-DD131)</f>
        <v/>
      </c>
      <c r="DE133" s="57">
        <f>DE128-DE132+(DE129-DE131)</f>
        <v/>
      </c>
      <c r="DF133" s="57">
        <f>DF128-DF132+(DF129-DF131)</f>
        <v/>
      </c>
      <c r="DG133" s="57">
        <f>DG128-DG132+(DG129-DG131)</f>
        <v/>
      </c>
      <c r="DH133" s="57">
        <f>DH128-DH132+(DH129-DH131)</f>
        <v/>
      </c>
      <c r="DI133" s="57">
        <f>DI128-DI132+(DI129-DI131)</f>
        <v/>
      </c>
      <c r="DJ133" s="57">
        <f>DJ128-DJ132+(DJ129-DJ131)</f>
        <v/>
      </c>
      <c r="DK133" s="57">
        <f>DK128-DK132+(DK129-DK131)</f>
        <v/>
      </c>
      <c r="DL133" s="57">
        <f>DL128-DL132+(DL129-DL131)</f>
        <v/>
      </c>
      <c r="DM133" s="57">
        <f>DM128-DM132+(DM129-DM131)</f>
        <v/>
      </c>
      <c r="DN133" s="57">
        <f>DN128-DN132+(DN129-DN131)</f>
        <v/>
      </c>
      <c r="DO133" s="57">
        <f>DO128-DO132+(DO129-DO131)</f>
        <v/>
      </c>
      <c r="DP133" s="57">
        <f>DP128-DP132+(DP129-DP131)</f>
        <v/>
      </c>
      <c r="DQ133" s="57">
        <f>DQ128-DQ132+(DQ129-DQ131)</f>
        <v/>
      </c>
      <c r="DR133" s="57">
        <f>DR128-DR132+(DR129-DR131)</f>
        <v/>
      </c>
      <c r="DS133" s="57">
        <f>DS128-DS132+(DS129-DS131)</f>
        <v/>
      </c>
      <c r="DT133" s="57">
        <f>DT128-DT132+(DT129-DT131)</f>
        <v/>
      </c>
      <c r="DU133" s="57">
        <f>DU128-DU132+(DU129-DU131)</f>
        <v/>
      </c>
      <c r="DV133" s="57">
        <f>DV128-DV132+(DV129-DV131)</f>
        <v/>
      </c>
      <c r="DW133" s="57">
        <f>DW128-DW132+(DW129-DW131)</f>
        <v/>
      </c>
      <c r="DX133" s="57">
        <f>DX128-DX132+(DX129-DX131)</f>
        <v/>
      </c>
      <c r="DY133" s="57">
        <f>DY128-DY132+(DY129-DY131)</f>
        <v/>
      </c>
      <c r="DZ133" s="57">
        <f>DZ128-DZ132+(DZ129-DZ131)</f>
        <v/>
      </c>
      <c r="EA133" s="57">
        <f>EA128-EA132+(EA129-EA131)</f>
        <v/>
      </c>
      <c r="EB133" s="57">
        <f>EB128-EB132+(EB129-EB131)</f>
        <v/>
      </c>
      <c r="EC133" s="57">
        <f>EC128-EC132+(EC129-EC131)</f>
        <v/>
      </c>
      <c r="ED133" s="57">
        <f>ED128-ED132+(ED129-ED131)</f>
        <v/>
      </c>
      <c r="EE133" s="57">
        <f>EE128-EE132+(EE129-EE131)</f>
        <v/>
      </c>
      <c r="EF133" s="57">
        <f>EF128-EF132+(EF129-EF131)</f>
        <v/>
      </c>
      <c r="EG133" s="57">
        <f>EG128-EG132+(EG129-EG131)</f>
        <v/>
      </c>
      <c r="EH133" s="57">
        <f>EH128-EH132+(EH129-EH131)</f>
        <v/>
      </c>
      <c r="EI133" s="57">
        <f>EI128-EI132+(EI129-EI131)</f>
        <v/>
      </c>
      <c r="EJ133" s="57">
        <f>EJ128-EJ132+(EJ129-EJ131)</f>
        <v/>
      </c>
      <c r="EK133" s="57">
        <f>EK128-EK132+(EK129-EK131)</f>
        <v/>
      </c>
      <c r="EL133" s="57">
        <f>EL128-EL132+(EL129-EL131)</f>
        <v/>
      </c>
      <c r="EM133" s="57">
        <f>EM128-EM132+(EM129-EM131)</f>
        <v/>
      </c>
      <c r="EN133" s="57">
        <f>EN128-EN132+(EN129-EN131)</f>
        <v/>
      </c>
      <c r="EO133" s="57">
        <f>EO128-EO132+(EO129-EO131)</f>
        <v/>
      </c>
      <c r="EP133" s="57">
        <f>EP128-EP132+(EP129-EP131)</f>
        <v/>
      </c>
      <c r="EQ133" s="57">
        <f>EQ128-EQ132+(EQ129-EQ131)</f>
        <v/>
      </c>
      <c r="ER133" s="57">
        <f>ER128-ER132+(ER129-ER131)</f>
        <v/>
      </c>
      <c r="ES133" s="57">
        <f>ES128-ES132+(ES129-ES131)</f>
        <v/>
      </c>
      <c r="ET133" s="57">
        <f>ET128-ET132+(ET129-ET131)</f>
        <v/>
      </c>
      <c r="EU133" s="57">
        <f>EU128-EU132+(EU129-EU131)</f>
        <v/>
      </c>
      <c r="EV133" s="57">
        <f>EV128-EV132+(EV129-EV131)</f>
        <v/>
      </c>
      <c r="EW133" s="57">
        <f>EW128-EW132+(EW129-EW131)</f>
        <v/>
      </c>
      <c r="EX133" s="57">
        <f>EX128-EX132+(EX129-EX131)</f>
        <v/>
      </c>
      <c r="EY133" s="57">
        <f>EY128-EY132+(EY129-EY131)</f>
        <v/>
      </c>
      <c r="EZ133" s="57">
        <f>EZ128-EZ132+(EZ129-EZ131)</f>
        <v/>
      </c>
      <c r="FA133" s="57">
        <f>FA128-FA132+(FA129-FA131)</f>
        <v/>
      </c>
      <c r="FB133" s="57">
        <f>FB128-FB132+(FB129-FB131)</f>
        <v/>
      </c>
    </row>
    <row r="134">
      <c r="H134" s="9" t="n"/>
      <c r="I134" s="9" t="inlineStr">
        <is>
          <t>CF Remaining after Tier 1</t>
        </is>
      </c>
      <c r="K134" s="9" t="n"/>
      <c r="L134" s="9" t="n"/>
      <c r="M134" s="9" t="n"/>
      <c r="N134" s="24">
        <f>SUMIF($Z$3:$FB$3,N$7,$Z134:$FB134)</f>
        <v/>
      </c>
      <c r="O134" s="24">
        <f>SUMIF($Z$3:$FB$3,O$7,$Z134:$FB134)</f>
        <v/>
      </c>
      <c r="P134" s="24">
        <f>SUMIF($Z$3:$FB$3,P$7,$Z134:$FB134)</f>
        <v/>
      </c>
      <c r="Q134" s="24">
        <f>SUMIF($Z$3:$FB$3,Q$7,$Z134:$FB134)</f>
        <v/>
      </c>
      <c r="R134" s="24">
        <f>SUMIF($Z$3:$FB$3,R$7,$Z134:$FB134)</f>
        <v/>
      </c>
      <c r="S134" s="24">
        <f>SUMIF($Z$3:$FB$3,S$7,$Z134:$FB134)</f>
        <v/>
      </c>
      <c r="T134" s="24">
        <f>SUMIF($Z$3:$FB$3,T$7,$Z134:$FB134)</f>
        <v/>
      </c>
      <c r="U134" s="24">
        <f>SUMIF($Z$3:$FB$3,U$7,$Z134:$FB134)</f>
        <v/>
      </c>
      <c r="V134" s="24">
        <f>SUMIF($Z$3:$FB$3,V$7,$Z134:$FB134)</f>
        <v/>
      </c>
      <c r="W134" s="24">
        <f>SUMIF($Z$3:$FB$3,W$7,$Z134:$FB134)</f>
        <v/>
      </c>
      <c r="X134" s="24">
        <f>SUMIF($Z$3:$FB$3,X$7,$Z134:$FB134)</f>
        <v/>
      </c>
      <c r="Y134" s="9" t="n"/>
      <c r="Z134" s="46" t="n">
        <v>0</v>
      </c>
      <c r="AA134" s="46">
        <f>MAX(AA130-AA131-AA132,0)</f>
        <v/>
      </c>
      <c r="AB134" s="46">
        <f>MAX(AB130-AB131-AB132,0)</f>
        <v/>
      </c>
      <c r="AC134" s="46">
        <f>MAX(AC130-AC131-AC132,0)</f>
        <v/>
      </c>
      <c r="AD134" s="46">
        <f>MAX(AD130-AD131-AD132,0)</f>
        <v/>
      </c>
      <c r="AE134" s="46">
        <f>MAX(AE130-AE131-AE132,0)</f>
        <v/>
      </c>
      <c r="AF134" s="46">
        <f>MAX(AF130-AF131-AF132,0)</f>
        <v/>
      </c>
      <c r="AG134" s="46">
        <f>MAX(AG130-AG131-AG132,0)</f>
        <v/>
      </c>
      <c r="AH134" s="46">
        <f>MAX(AH130-AH131-AH132,0)</f>
        <v/>
      </c>
      <c r="AI134" s="46">
        <f>MAX(AI130-AI131-AI132,0)</f>
        <v/>
      </c>
      <c r="AJ134" s="46">
        <f>MAX(AJ130-AJ131-AJ132,0)</f>
        <v/>
      </c>
      <c r="AK134" s="46">
        <f>MAX(AK130-AK131-AK132,0)</f>
        <v/>
      </c>
      <c r="AL134" s="46">
        <f>MAX(AL130-AL131-AL132,0)</f>
        <v/>
      </c>
      <c r="AM134" s="46">
        <f>MAX(AM130-AM131-AM132,0)</f>
        <v/>
      </c>
      <c r="AN134" s="46">
        <f>MAX(AN130-AN131-AN132,0)</f>
        <v/>
      </c>
      <c r="AO134" s="46">
        <f>MAX(AO130-AO131-AO132,0)</f>
        <v/>
      </c>
      <c r="AP134" s="46">
        <f>MAX(AP130-AP131-AP132,0)</f>
        <v/>
      </c>
      <c r="AQ134" s="46">
        <f>MAX(AQ130-AQ131-AQ132,0)</f>
        <v/>
      </c>
      <c r="AR134" s="46">
        <f>MAX(AR130-AR131-AR132,0)</f>
        <v/>
      </c>
      <c r="AS134" s="46">
        <f>MAX(AS130-AS131-AS132,0)</f>
        <v/>
      </c>
      <c r="AT134" s="46">
        <f>MAX(AT130-AT131-AT132,0)</f>
        <v/>
      </c>
      <c r="AU134" s="46">
        <f>MAX(AU130-AU131-AU132,0)</f>
        <v/>
      </c>
      <c r="AV134" s="46">
        <f>MAX(AV130-AV131-AV132,0)</f>
        <v/>
      </c>
      <c r="AW134" s="46">
        <f>MAX(AW130-AW131-AW132,0)</f>
        <v/>
      </c>
      <c r="AX134" s="46">
        <f>MAX(AX130-AX131-AX132,0)</f>
        <v/>
      </c>
      <c r="AY134" s="46">
        <f>MAX(AY130-AY131-AY132,0)</f>
        <v/>
      </c>
      <c r="AZ134" s="46">
        <f>MAX(AZ130-AZ131-AZ132,0)</f>
        <v/>
      </c>
      <c r="BA134" s="46">
        <f>MAX(BA130-BA131-BA132,0)</f>
        <v/>
      </c>
      <c r="BB134" s="46">
        <f>MAX(BB130-BB131-BB132,0)</f>
        <v/>
      </c>
      <c r="BC134" s="46">
        <f>MAX(BC130-BC131-BC132,0)</f>
        <v/>
      </c>
      <c r="BD134" s="46">
        <f>MAX(BD130-BD131-BD132,0)</f>
        <v/>
      </c>
      <c r="BE134" s="46">
        <f>MAX(BE130-BE131-BE132,0)</f>
        <v/>
      </c>
      <c r="BF134" s="46">
        <f>MAX(BF130-BF131-BF132,0)</f>
        <v/>
      </c>
      <c r="BG134" s="46">
        <f>MAX(BG130-BG131-BG132,0)</f>
        <v/>
      </c>
      <c r="BH134" s="46">
        <f>MAX(BH130-BH131-BH132,0)</f>
        <v/>
      </c>
      <c r="BI134" s="46">
        <f>MAX(BI130-BI131-BI132,0)</f>
        <v/>
      </c>
      <c r="BJ134" s="46">
        <f>MAX(BJ130-BJ131-BJ132,0)</f>
        <v/>
      </c>
      <c r="BK134" s="46">
        <f>MAX(BK130-BK131-BK132,0)</f>
        <v/>
      </c>
      <c r="BL134" s="46">
        <f>MAX(BL130-BL131-BL132,0)</f>
        <v/>
      </c>
      <c r="BM134" s="46">
        <f>MAX(BM130-BM131-BM132,0)</f>
        <v/>
      </c>
      <c r="BN134" s="46">
        <f>MAX(BN130-BN131-BN132,0)</f>
        <v/>
      </c>
      <c r="BO134" s="46">
        <f>MAX(BO130-BO131-BO132,0)</f>
        <v/>
      </c>
      <c r="BP134" s="46">
        <f>MAX(BP130-BP131-BP132,0)</f>
        <v/>
      </c>
      <c r="BQ134" s="46">
        <f>MAX(BQ130-BQ131-BQ132,0)</f>
        <v/>
      </c>
      <c r="BR134" s="46">
        <f>MAX(BR130-BR131-BR132,0)</f>
        <v/>
      </c>
      <c r="BS134" s="46">
        <f>MAX(BS130-BS131-BS132,0)</f>
        <v/>
      </c>
      <c r="BT134" s="46">
        <f>MAX(BT130-BT131-BT132,0)</f>
        <v/>
      </c>
      <c r="BU134" s="46">
        <f>MAX(BU130-BU131-BU132,0)</f>
        <v/>
      </c>
      <c r="BV134" s="46">
        <f>MAX(BV130-BV131-BV132,0)</f>
        <v/>
      </c>
      <c r="BW134" s="46">
        <f>MAX(BW130-BW131-BW132,0)</f>
        <v/>
      </c>
      <c r="BX134" s="46">
        <f>MAX(BX130-BX131-BX132,0)</f>
        <v/>
      </c>
      <c r="BY134" s="46">
        <f>MAX(BY130-BY131-BY132,0)</f>
        <v/>
      </c>
      <c r="BZ134" s="46">
        <f>MAX(BZ130-BZ131-BZ132,0)</f>
        <v/>
      </c>
      <c r="CA134" s="46">
        <f>MAX(CA130-CA131-CA132,0)</f>
        <v/>
      </c>
      <c r="CB134" s="46">
        <f>MAX(CB130-CB131-CB132,0)</f>
        <v/>
      </c>
      <c r="CC134" s="46">
        <f>MAX(CC130-CC131-CC132,0)</f>
        <v/>
      </c>
      <c r="CD134" s="46">
        <f>MAX(CD130-CD131-CD132,0)</f>
        <v/>
      </c>
      <c r="CE134" s="46">
        <f>MAX(CE130-CE131-CE132,0)</f>
        <v/>
      </c>
      <c r="CF134" s="46">
        <f>MAX(CF130-CF131-CF132,0)</f>
        <v/>
      </c>
      <c r="CG134" s="46">
        <f>MAX(CG130-CG131-CG132,0)</f>
        <v/>
      </c>
      <c r="CH134" s="46">
        <f>MAX(CH130-CH131-CH132,0)</f>
        <v/>
      </c>
      <c r="CI134" s="46">
        <f>MAX(CI130-CI131-CI132,0)</f>
        <v/>
      </c>
      <c r="CJ134" s="46">
        <f>MAX(CJ130-CJ131-CJ132,0)</f>
        <v/>
      </c>
      <c r="CK134" s="46">
        <f>MAX(CK130-CK131-CK132,0)</f>
        <v/>
      </c>
      <c r="CL134" s="46">
        <f>MAX(CL130-CL131-CL132,0)</f>
        <v/>
      </c>
      <c r="CM134" s="46">
        <f>MAX(CM130-CM131-CM132,0)</f>
        <v/>
      </c>
      <c r="CN134" s="46">
        <f>MAX(CN130-CN131-CN132,0)</f>
        <v/>
      </c>
      <c r="CO134" s="46">
        <f>MAX(CO130-CO131-CO132,0)</f>
        <v/>
      </c>
      <c r="CP134" s="46">
        <f>MAX(CP130-CP131-CP132,0)</f>
        <v/>
      </c>
      <c r="CQ134" s="46">
        <f>MAX(CQ130-CQ131-CQ132,0)</f>
        <v/>
      </c>
      <c r="CR134" s="46">
        <f>MAX(CR130-CR131-CR132,0)</f>
        <v/>
      </c>
      <c r="CS134" s="46">
        <f>MAX(CS130-CS131-CS132,0)</f>
        <v/>
      </c>
      <c r="CT134" s="46">
        <f>MAX(CT130-CT131-CT132,0)</f>
        <v/>
      </c>
      <c r="CU134" s="46">
        <f>MAX(CU130-CU131-CU132,0)</f>
        <v/>
      </c>
      <c r="CV134" s="46">
        <f>MAX(CV130-CV131-CV132,0)</f>
        <v/>
      </c>
      <c r="CW134" s="46">
        <f>MAX(CW130-CW131-CW132,0)</f>
        <v/>
      </c>
      <c r="CX134" s="46">
        <f>MAX(CX130-CX131-CX132,0)</f>
        <v/>
      </c>
      <c r="CY134" s="46">
        <f>MAX(CY130-CY131-CY132,0)</f>
        <v/>
      </c>
      <c r="CZ134" s="46">
        <f>MAX(CZ130-CZ131-CZ132,0)</f>
        <v/>
      </c>
      <c r="DA134" s="46">
        <f>MAX(DA130-DA131-DA132,0)</f>
        <v/>
      </c>
      <c r="DB134" s="46">
        <f>MAX(DB130-DB131-DB132,0)</f>
        <v/>
      </c>
      <c r="DC134" s="46">
        <f>MAX(DC130-DC131-DC132,0)</f>
        <v/>
      </c>
      <c r="DD134" s="46">
        <f>MAX(DD130-DD131-DD132,0)</f>
        <v/>
      </c>
      <c r="DE134" s="46">
        <f>MAX(DE130-DE131-DE132,0)</f>
        <v/>
      </c>
      <c r="DF134" s="46">
        <f>MAX(DF130-DF131-DF132,0)</f>
        <v/>
      </c>
      <c r="DG134" s="46">
        <f>MAX(DG130-DG131-DG132,0)</f>
        <v/>
      </c>
      <c r="DH134" s="46">
        <f>MAX(DH130-DH131-DH132,0)</f>
        <v/>
      </c>
      <c r="DI134" s="46">
        <f>MAX(DI130-DI131-DI132,0)</f>
        <v/>
      </c>
      <c r="DJ134" s="46">
        <f>MAX(DJ130-DJ131-DJ132,0)</f>
        <v/>
      </c>
      <c r="DK134" s="46">
        <f>MAX(DK130-DK131-DK132,0)</f>
        <v/>
      </c>
      <c r="DL134" s="46">
        <f>MAX(DL130-DL131-DL132,0)</f>
        <v/>
      </c>
      <c r="DM134" s="46">
        <f>MAX(DM130-DM131-DM132,0)</f>
        <v/>
      </c>
      <c r="DN134" s="46">
        <f>MAX(DN130-DN131-DN132,0)</f>
        <v/>
      </c>
      <c r="DO134" s="46">
        <f>MAX(DO130-DO131-DO132,0)</f>
        <v/>
      </c>
      <c r="DP134" s="46">
        <f>MAX(DP130-DP131-DP132,0)</f>
        <v/>
      </c>
      <c r="DQ134" s="46">
        <f>MAX(DQ130-DQ131-DQ132,0)</f>
        <v/>
      </c>
      <c r="DR134" s="46">
        <f>MAX(DR130-DR131-DR132,0)</f>
        <v/>
      </c>
      <c r="DS134" s="46">
        <f>MAX(DS130-DS131-DS132,0)</f>
        <v/>
      </c>
      <c r="DT134" s="46">
        <f>MAX(DT130-DT131-DT132,0)</f>
        <v/>
      </c>
      <c r="DU134" s="46">
        <f>MAX(DU130-DU131-DU132,0)</f>
        <v/>
      </c>
      <c r="DV134" s="46">
        <f>MAX(DV130-DV131-DV132,0)</f>
        <v/>
      </c>
      <c r="DW134" s="46">
        <f>MAX(DW130-DW131-DW132,0)</f>
        <v/>
      </c>
      <c r="DX134" s="46">
        <f>MAX(DX130-DX131-DX132,0)</f>
        <v/>
      </c>
      <c r="DY134" s="46">
        <f>MAX(DY130-DY131-DY132,0)</f>
        <v/>
      </c>
      <c r="DZ134" s="46">
        <f>MAX(DZ130-DZ131-DZ132,0)</f>
        <v/>
      </c>
      <c r="EA134" s="46">
        <f>MAX(EA130-EA131-EA132,0)</f>
        <v/>
      </c>
      <c r="EB134" s="46">
        <f>MAX(EB130-EB131-EB132,0)</f>
        <v/>
      </c>
      <c r="EC134" s="46">
        <f>MAX(EC130-EC131-EC132,0)</f>
        <v/>
      </c>
      <c r="ED134" s="46">
        <f>MAX(ED130-ED131-ED132,0)</f>
        <v/>
      </c>
      <c r="EE134" s="46">
        <f>MAX(EE130-EE131-EE132,0)</f>
        <v/>
      </c>
      <c r="EF134" s="46">
        <f>MAX(EF130-EF131-EF132,0)</f>
        <v/>
      </c>
      <c r="EG134" s="46">
        <f>MAX(EG130-EG131-EG132,0)</f>
        <v/>
      </c>
      <c r="EH134" s="46">
        <f>MAX(EH130-EH131-EH132,0)</f>
        <v/>
      </c>
      <c r="EI134" s="46">
        <f>MAX(EI130-EI131-EI132,0)</f>
        <v/>
      </c>
      <c r="EJ134" s="46">
        <f>MAX(EJ130-EJ131-EJ132,0)</f>
        <v/>
      </c>
      <c r="EK134" s="46">
        <f>MAX(EK130-EK131-EK132,0)</f>
        <v/>
      </c>
      <c r="EL134" s="46">
        <f>MAX(EL130-EL131-EL132,0)</f>
        <v/>
      </c>
      <c r="EM134" s="46">
        <f>MAX(EM130-EM131-EM132,0)</f>
        <v/>
      </c>
      <c r="EN134" s="46">
        <f>MAX(EN130-EN131-EN132,0)</f>
        <v/>
      </c>
      <c r="EO134" s="46">
        <f>MAX(EO130-EO131-EO132,0)</f>
        <v/>
      </c>
      <c r="EP134" s="46">
        <f>MAX(EP130-EP131-EP132,0)</f>
        <v/>
      </c>
      <c r="EQ134" s="46">
        <f>MAX(EQ130-EQ131-EQ132,0)</f>
        <v/>
      </c>
      <c r="ER134" s="46">
        <f>MAX(ER130-ER131-ER132,0)</f>
        <v/>
      </c>
      <c r="ES134" s="46">
        <f>MAX(ES130-ES131-ES132,0)</f>
        <v/>
      </c>
      <c r="ET134" s="46">
        <f>MAX(ET130-ET131-ET132,0)</f>
        <v/>
      </c>
      <c r="EU134" s="46">
        <f>MAX(EU130-EU131-EU132,0)</f>
        <v/>
      </c>
      <c r="EV134" s="46">
        <f>MAX(EV130-EV131-EV132,0)</f>
        <v/>
      </c>
      <c r="EW134" s="46">
        <f>MAX(EW130-EW131-EW132,0)</f>
        <v/>
      </c>
      <c r="EX134" s="46">
        <f>MAX(EX130-EX131-EX132,0)</f>
        <v/>
      </c>
      <c r="EY134" s="46">
        <f>MAX(EY130-EY131-EY132,0)</f>
        <v/>
      </c>
      <c r="EZ134" s="46">
        <f>MAX(EZ130-EZ131-EZ132,0)</f>
        <v/>
      </c>
      <c r="FA134" s="46">
        <f>MAX(FA130-FA131-FA132,0)</f>
        <v/>
      </c>
      <c r="FB134" s="46">
        <f>MAX(FB130-FB131-FB132,0)</f>
        <v/>
      </c>
    </row>
    <row r="135">
      <c r="H135" s="9" t="n"/>
      <c r="K135" s="9" t="n"/>
      <c r="L135" s="9" t="n"/>
      <c r="M135" s="9" t="n"/>
      <c r="Y135" s="9" t="n"/>
    </row>
    <row r="136">
      <c r="G136" s="14" t="n"/>
      <c r="H136" s="9" t="n"/>
      <c r="I136" s="15" t="inlineStr">
        <is>
          <t>Tier 2: Thereafter</t>
        </is>
      </c>
      <c r="K136" s="9" t="n"/>
      <c r="L136" s="9" t="n"/>
      <c r="M136" s="9" t="n"/>
      <c r="Y136" s="9" t="n"/>
    </row>
    <row r="137" customFormat="1" s="63">
      <c r="A137" s="9" t="n"/>
      <c r="B137" s="9" t="n"/>
      <c r="C137" s="9" t="n"/>
      <c r="D137" s="9" t="n"/>
      <c r="E137" s="9" t="n"/>
      <c r="F137" s="9" t="n"/>
      <c r="G137" s="230" t="n"/>
      <c r="H137" s="9" t="n"/>
      <c r="I137" s="9" t="inlineStr">
        <is>
          <t>LP Share (above pref)</t>
        </is>
      </c>
      <c r="J137" s="228">
        <f>1-J138</f>
        <v/>
      </c>
      <c r="K137" s="9" t="n"/>
      <c r="L137" s="46">
        <f>SUM(Z137:FB137)</f>
        <v/>
      </c>
      <c r="M137" s="9" t="n"/>
      <c r="N137" s="24">
        <f>SUMIF($Z$3:$FB$3,N$7,$Z137:$FB137)</f>
        <v/>
      </c>
      <c r="O137" s="24">
        <f>SUMIF($Z$3:$FB$3,O$7,$Z137:$FB137)</f>
        <v/>
      </c>
      <c r="P137" s="24">
        <f>SUMIF($Z$3:$FB$3,P$7,$Z137:$FB137)</f>
        <v/>
      </c>
      <c r="Q137" s="24">
        <f>SUMIF($Z$3:$FB$3,Q$7,$Z137:$FB137)</f>
        <v/>
      </c>
      <c r="R137" s="24">
        <f>SUMIF($Z$3:$FB$3,R$7,$Z137:$FB137)</f>
        <v/>
      </c>
      <c r="S137" s="24">
        <f>SUMIF($Z$3:$FB$3,S$7,$Z137:$FB137)</f>
        <v/>
      </c>
      <c r="T137" s="24">
        <f>SUMIF($Z$3:$FB$3,T$7,$Z137:$FB137)</f>
        <v/>
      </c>
      <c r="U137" s="24">
        <f>SUMIF($Z$3:$FB$3,U$7,$Z137:$FB137)</f>
        <v/>
      </c>
      <c r="V137" s="24">
        <f>SUMIF($Z$3:$FB$3,V$7,$Z137:$FB137)</f>
        <v/>
      </c>
      <c r="W137" s="24">
        <f>SUMIF($Z$3:$FB$3,W$7,$Z137:$FB137)</f>
        <v/>
      </c>
      <c r="X137" s="24">
        <f>SUMIF($Z$3:$FB$3,X$7,$Z137:$FB137)</f>
        <v/>
      </c>
      <c r="Y137" s="9" t="n"/>
      <c r="Z137" s="46" t="n">
        <v>0</v>
      </c>
      <c r="AA137" s="46">
        <f>AA134*$J$137</f>
        <v/>
      </c>
      <c r="AB137" s="46">
        <f>AB134*$J$137</f>
        <v/>
      </c>
      <c r="AC137" s="46">
        <f>AC134*$J$137</f>
        <v/>
      </c>
      <c r="AD137" s="46">
        <f>AD134*$J$137</f>
        <v/>
      </c>
      <c r="AE137" s="46">
        <f>AE134*$J$137</f>
        <v/>
      </c>
      <c r="AF137" s="46">
        <f>AF134*$J$137</f>
        <v/>
      </c>
      <c r="AG137" s="46">
        <f>AG134*$J$137</f>
        <v/>
      </c>
      <c r="AH137" s="46">
        <f>AH134*$J$137</f>
        <v/>
      </c>
      <c r="AI137" s="46">
        <f>AI134*$J$137</f>
        <v/>
      </c>
      <c r="AJ137" s="46">
        <f>AJ134*$J$137</f>
        <v/>
      </c>
      <c r="AK137" s="46">
        <f>AK134*$J$137</f>
        <v/>
      </c>
      <c r="AL137" s="46">
        <f>AL134*$J$137</f>
        <v/>
      </c>
      <c r="AM137" s="46">
        <f>AM134*$J$137</f>
        <v/>
      </c>
      <c r="AN137" s="46">
        <f>AN134*$J$137</f>
        <v/>
      </c>
      <c r="AO137" s="46">
        <f>AO134*$J$137</f>
        <v/>
      </c>
      <c r="AP137" s="46">
        <f>AP134*$J$137</f>
        <v/>
      </c>
      <c r="AQ137" s="46">
        <f>AQ134*$J$137</f>
        <v/>
      </c>
      <c r="AR137" s="46">
        <f>AR134*$J$137</f>
        <v/>
      </c>
      <c r="AS137" s="46">
        <f>AS134*$J$137</f>
        <v/>
      </c>
      <c r="AT137" s="46">
        <f>AT134*$J$137</f>
        <v/>
      </c>
      <c r="AU137" s="46">
        <f>AU134*$J$137</f>
        <v/>
      </c>
      <c r="AV137" s="46">
        <f>AV134*$J$137</f>
        <v/>
      </c>
      <c r="AW137" s="46">
        <f>AW134*$J$137</f>
        <v/>
      </c>
      <c r="AX137" s="46">
        <f>AX134*$J$137</f>
        <v/>
      </c>
      <c r="AY137" s="46">
        <f>AY134*$J$137</f>
        <v/>
      </c>
      <c r="AZ137" s="46">
        <f>AZ134*$J$137</f>
        <v/>
      </c>
      <c r="BA137" s="46">
        <f>BA134*$J$137</f>
        <v/>
      </c>
      <c r="BB137" s="46">
        <f>BB134*$J$137</f>
        <v/>
      </c>
      <c r="BC137" s="46">
        <f>BC134*$J$137</f>
        <v/>
      </c>
      <c r="BD137" s="46">
        <f>BD134*$J$137</f>
        <v/>
      </c>
      <c r="BE137" s="46">
        <f>BE134*$J$137</f>
        <v/>
      </c>
      <c r="BF137" s="46">
        <f>BF134*$J$137</f>
        <v/>
      </c>
      <c r="BG137" s="46">
        <f>BG134*$J$137</f>
        <v/>
      </c>
      <c r="BH137" s="46">
        <f>BH134*$J$137</f>
        <v/>
      </c>
      <c r="BI137" s="46">
        <f>BI134*$J$137</f>
        <v/>
      </c>
      <c r="BJ137" s="46">
        <f>BJ134*$J$137</f>
        <v/>
      </c>
      <c r="BK137" s="46">
        <f>BK134*$J$137</f>
        <v/>
      </c>
      <c r="BL137" s="46">
        <f>BL134*$J$137</f>
        <v/>
      </c>
      <c r="BM137" s="46">
        <f>BM134*$J$137</f>
        <v/>
      </c>
      <c r="BN137" s="46">
        <f>BN134*$J$137</f>
        <v/>
      </c>
      <c r="BO137" s="46">
        <f>BO134*$J$137</f>
        <v/>
      </c>
      <c r="BP137" s="46">
        <f>BP134*$J$137</f>
        <v/>
      </c>
      <c r="BQ137" s="46">
        <f>BQ134*$J$137</f>
        <v/>
      </c>
      <c r="BR137" s="46">
        <f>BR134*$J$137</f>
        <v/>
      </c>
      <c r="BS137" s="46">
        <f>BS134*$J$137</f>
        <v/>
      </c>
      <c r="BT137" s="46">
        <f>BT134*$J$137</f>
        <v/>
      </c>
      <c r="BU137" s="46">
        <f>BU134*$J$137</f>
        <v/>
      </c>
      <c r="BV137" s="46">
        <f>BV134*$J$137</f>
        <v/>
      </c>
      <c r="BW137" s="46">
        <f>BW134*$J$137</f>
        <v/>
      </c>
      <c r="BX137" s="46">
        <f>BX134*$J$137</f>
        <v/>
      </c>
      <c r="BY137" s="46">
        <f>BY134*$J$137</f>
        <v/>
      </c>
      <c r="BZ137" s="46">
        <f>BZ134*$J$137</f>
        <v/>
      </c>
      <c r="CA137" s="46">
        <f>CA134*$J$137</f>
        <v/>
      </c>
      <c r="CB137" s="46">
        <f>CB134*$J$137</f>
        <v/>
      </c>
      <c r="CC137" s="46">
        <f>CC134*$J$137</f>
        <v/>
      </c>
      <c r="CD137" s="46">
        <f>CD134*$J$137</f>
        <v/>
      </c>
      <c r="CE137" s="46">
        <f>CE134*$J$137</f>
        <v/>
      </c>
      <c r="CF137" s="46">
        <f>CF134*$J$137</f>
        <v/>
      </c>
      <c r="CG137" s="46">
        <f>CG134*$J$137</f>
        <v/>
      </c>
      <c r="CH137" s="46">
        <f>CH134*$J$137</f>
        <v/>
      </c>
      <c r="CI137" s="46">
        <f>CI134*$J$137</f>
        <v/>
      </c>
      <c r="CJ137" s="46">
        <f>CJ134*$J$137</f>
        <v/>
      </c>
      <c r="CK137" s="46">
        <f>CK134*$J$137</f>
        <v/>
      </c>
      <c r="CL137" s="46">
        <f>CL134*$J$137</f>
        <v/>
      </c>
      <c r="CM137" s="46">
        <f>CM134*$J$137</f>
        <v/>
      </c>
      <c r="CN137" s="46">
        <f>CN134*$J$137</f>
        <v/>
      </c>
      <c r="CO137" s="46">
        <f>CO134*$J$137</f>
        <v/>
      </c>
      <c r="CP137" s="46">
        <f>CP134*$J$137</f>
        <v/>
      </c>
      <c r="CQ137" s="46">
        <f>CQ134*$J$137</f>
        <v/>
      </c>
      <c r="CR137" s="46">
        <f>CR134*$J$137</f>
        <v/>
      </c>
      <c r="CS137" s="46">
        <f>CS134*$J$137</f>
        <v/>
      </c>
      <c r="CT137" s="46">
        <f>CT134*$J$137</f>
        <v/>
      </c>
      <c r="CU137" s="46">
        <f>CU134*$J$137</f>
        <v/>
      </c>
      <c r="CV137" s="46">
        <f>CV134*$J$137</f>
        <v/>
      </c>
      <c r="CW137" s="46">
        <f>CW134*$J$137</f>
        <v/>
      </c>
      <c r="CX137" s="46">
        <f>CX134*$J$137</f>
        <v/>
      </c>
      <c r="CY137" s="46">
        <f>CY134*$J$137</f>
        <v/>
      </c>
      <c r="CZ137" s="46">
        <f>CZ134*$J$137</f>
        <v/>
      </c>
      <c r="DA137" s="46">
        <f>DA134*$J$137</f>
        <v/>
      </c>
      <c r="DB137" s="46">
        <f>DB134*$J$137</f>
        <v/>
      </c>
      <c r="DC137" s="46">
        <f>DC134*$J$137</f>
        <v/>
      </c>
      <c r="DD137" s="46">
        <f>DD134*$J$137</f>
        <v/>
      </c>
      <c r="DE137" s="46">
        <f>DE134*$J$137</f>
        <v/>
      </c>
      <c r="DF137" s="46">
        <f>DF134*$J$137</f>
        <v/>
      </c>
      <c r="DG137" s="46">
        <f>DG134*$J$137</f>
        <v/>
      </c>
      <c r="DH137" s="46">
        <f>DH134*$J$137</f>
        <v/>
      </c>
      <c r="DI137" s="46">
        <f>DI134*$J$137</f>
        <v/>
      </c>
      <c r="DJ137" s="46">
        <f>DJ134*$J$137</f>
        <v/>
      </c>
      <c r="DK137" s="46">
        <f>DK134*$J$137</f>
        <v/>
      </c>
      <c r="DL137" s="46">
        <f>DL134*$J$137</f>
        <v/>
      </c>
      <c r="DM137" s="46">
        <f>DM134*$J$137</f>
        <v/>
      </c>
      <c r="DN137" s="46">
        <f>DN134*$J$137</f>
        <v/>
      </c>
      <c r="DO137" s="46">
        <f>DO134*$J$137</f>
        <v/>
      </c>
      <c r="DP137" s="46">
        <f>DP134*$J$137</f>
        <v/>
      </c>
      <c r="DQ137" s="46">
        <f>DQ134*$J$137</f>
        <v/>
      </c>
      <c r="DR137" s="46">
        <f>DR134*$J$137</f>
        <v/>
      </c>
      <c r="DS137" s="46">
        <f>DS134*$J$137</f>
        <v/>
      </c>
      <c r="DT137" s="46">
        <f>DT134*$J$137</f>
        <v/>
      </c>
      <c r="DU137" s="46">
        <f>DU134*$J$137</f>
        <v/>
      </c>
      <c r="DV137" s="46">
        <f>DV134*$J$137</f>
        <v/>
      </c>
      <c r="DW137" s="46">
        <f>DW134*$J$137</f>
        <v/>
      </c>
      <c r="DX137" s="46">
        <f>DX134*$J$137</f>
        <v/>
      </c>
      <c r="DY137" s="46">
        <f>DY134*$J$137</f>
        <v/>
      </c>
      <c r="DZ137" s="46">
        <f>DZ134*$J$137</f>
        <v/>
      </c>
      <c r="EA137" s="46">
        <f>EA134*$J$137</f>
        <v/>
      </c>
      <c r="EB137" s="46">
        <f>EB134*$J$137</f>
        <v/>
      </c>
      <c r="EC137" s="46">
        <f>EC134*$J$137</f>
        <v/>
      </c>
      <c r="ED137" s="46">
        <f>ED134*$J$137</f>
        <v/>
      </c>
      <c r="EE137" s="46">
        <f>EE134*$J$137</f>
        <v/>
      </c>
      <c r="EF137" s="46">
        <f>EF134*$J$137</f>
        <v/>
      </c>
      <c r="EG137" s="46">
        <f>EG134*$J$137</f>
        <v/>
      </c>
      <c r="EH137" s="46">
        <f>EH134*$J$137</f>
        <v/>
      </c>
      <c r="EI137" s="46">
        <f>EI134*$J$137</f>
        <v/>
      </c>
      <c r="EJ137" s="46">
        <f>EJ134*$J$137</f>
        <v/>
      </c>
      <c r="EK137" s="46">
        <f>EK134*$J$137</f>
        <v/>
      </c>
      <c r="EL137" s="46">
        <f>EL134*$J$137</f>
        <v/>
      </c>
      <c r="EM137" s="46">
        <f>EM134*$J$137</f>
        <v/>
      </c>
      <c r="EN137" s="46">
        <f>EN134*$J$137</f>
        <v/>
      </c>
      <c r="EO137" s="46">
        <f>EO134*$J$137</f>
        <v/>
      </c>
      <c r="EP137" s="46">
        <f>EP134*$J$137</f>
        <v/>
      </c>
      <c r="EQ137" s="46">
        <f>EQ134*$J$137</f>
        <v/>
      </c>
      <c r="ER137" s="46">
        <f>ER134*$J$137</f>
        <v/>
      </c>
      <c r="ES137" s="46">
        <f>ES134*$J$137</f>
        <v/>
      </c>
      <c r="ET137" s="46">
        <f>ET134*$J$137</f>
        <v/>
      </c>
      <c r="EU137" s="46">
        <f>EU134*$J$137</f>
        <v/>
      </c>
      <c r="EV137" s="46">
        <f>EV134*$J$137</f>
        <v/>
      </c>
      <c r="EW137" s="46">
        <f>EW134*$J$137</f>
        <v/>
      </c>
      <c r="EX137" s="46">
        <f>EX134*$J$137</f>
        <v/>
      </c>
      <c r="EY137" s="46">
        <f>EY134*$J$137</f>
        <v/>
      </c>
      <c r="EZ137" s="46">
        <f>EZ134*$J$137</f>
        <v/>
      </c>
      <c r="FA137" s="46">
        <f>FA134*$J$137</f>
        <v/>
      </c>
      <c r="FB137" s="46">
        <f>FB134*$J$137</f>
        <v/>
      </c>
    </row>
    <row r="138">
      <c r="G138" s="230" t="n"/>
      <c r="H138" s="9" t="n"/>
      <c r="I138" s="9" t="inlineStr">
        <is>
          <t>GP Promote (above pref)</t>
        </is>
      </c>
      <c r="J138" s="224">
        <f>Inputs!C66</f>
        <v/>
      </c>
      <c r="K138" s="9" t="n"/>
      <c r="L138" s="46">
        <f>SUM(Z138:FB138)</f>
        <v/>
      </c>
      <c r="M138" s="9" t="n"/>
      <c r="N138" s="24">
        <f>SUMIF($Z$3:$FB$3,N$7,$Z138:$FB138)</f>
        <v/>
      </c>
      <c r="O138" s="24">
        <f>SUMIF($Z$3:$FB$3,O$7,$Z138:$FB138)</f>
        <v/>
      </c>
      <c r="P138" s="24">
        <f>SUMIF($Z$3:$FB$3,P$7,$Z138:$FB138)</f>
        <v/>
      </c>
      <c r="Q138" s="24">
        <f>SUMIF($Z$3:$FB$3,Q$7,$Z138:$FB138)</f>
        <v/>
      </c>
      <c r="R138" s="24">
        <f>SUMIF($Z$3:$FB$3,R$7,$Z138:$FB138)</f>
        <v/>
      </c>
      <c r="S138" s="24">
        <f>SUMIF($Z$3:$FB$3,S$7,$Z138:$FB138)</f>
        <v/>
      </c>
      <c r="T138" s="24">
        <f>SUMIF($Z$3:$FB$3,T$7,$Z138:$FB138)</f>
        <v/>
      </c>
      <c r="U138" s="24">
        <f>SUMIF($Z$3:$FB$3,U$7,$Z138:$FB138)</f>
        <v/>
      </c>
      <c r="V138" s="24">
        <f>SUMIF($Z$3:$FB$3,V$7,$Z138:$FB138)</f>
        <v/>
      </c>
      <c r="W138" s="24">
        <f>SUMIF($Z$3:$FB$3,W$7,$Z138:$FB138)</f>
        <v/>
      </c>
      <c r="X138" s="24">
        <f>SUMIF($Z$3:$FB$3,X$7,$Z138:$FB138)</f>
        <v/>
      </c>
      <c r="Y138" s="9" t="n"/>
      <c r="Z138" s="46" t="n">
        <v>0</v>
      </c>
      <c r="AA138" s="46">
        <f>AA134*$J$138</f>
        <v/>
      </c>
      <c r="AB138" s="46">
        <f>AB134*$J$138</f>
        <v/>
      </c>
      <c r="AC138" s="46">
        <f>AC134*$J$138</f>
        <v/>
      </c>
      <c r="AD138" s="46">
        <f>AD134*$J$138</f>
        <v/>
      </c>
      <c r="AE138" s="46">
        <f>AE134*$J$138</f>
        <v/>
      </c>
      <c r="AF138" s="46">
        <f>AF134*$J$138</f>
        <v/>
      </c>
      <c r="AG138" s="46">
        <f>AG134*$J$138</f>
        <v/>
      </c>
      <c r="AH138" s="46">
        <f>AH134*$J$138</f>
        <v/>
      </c>
      <c r="AI138" s="46">
        <f>AI134*$J$138</f>
        <v/>
      </c>
      <c r="AJ138" s="46">
        <f>AJ134*$J$138</f>
        <v/>
      </c>
      <c r="AK138" s="46">
        <f>AK134*$J$138</f>
        <v/>
      </c>
      <c r="AL138" s="46">
        <f>AL134*$J$138</f>
        <v/>
      </c>
      <c r="AM138" s="46">
        <f>AM134*$J$138</f>
        <v/>
      </c>
      <c r="AN138" s="46">
        <f>AN134*$J$138</f>
        <v/>
      </c>
      <c r="AO138" s="46">
        <f>AO134*$J$138</f>
        <v/>
      </c>
      <c r="AP138" s="46">
        <f>AP134*$J$138</f>
        <v/>
      </c>
      <c r="AQ138" s="46">
        <f>AQ134*$J$138</f>
        <v/>
      </c>
      <c r="AR138" s="46">
        <f>AR134*$J$138</f>
        <v/>
      </c>
      <c r="AS138" s="46">
        <f>AS134*$J$138</f>
        <v/>
      </c>
      <c r="AT138" s="46">
        <f>AT134*$J$138</f>
        <v/>
      </c>
      <c r="AU138" s="46">
        <f>AU134*$J$138</f>
        <v/>
      </c>
      <c r="AV138" s="46">
        <f>AV134*$J$138</f>
        <v/>
      </c>
      <c r="AW138" s="46">
        <f>AW134*$J$138</f>
        <v/>
      </c>
      <c r="AX138" s="46">
        <f>AX134*$J$138</f>
        <v/>
      </c>
      <c r="AY138" s="46">
        <f>AY134*$J$138</f>
        <v/>
      </c>
      <c r="AZ138" s="46">
        <f>AZ134*$J$138</f>
        <v/>
      </c>
      <c r="BA138" s="46">
        <f>BA134*$J$138</f>
        <v/>
      </c>
      <c r="BB138" s="46">
        <f>BB134*$J$138</f>
        <v/>
      </c>
      <c r="BC138" s="46">
        <f>BC134*$J$138</f>
        <v/>
      </c>
      <c r="BD138" s="46">
        <f>BD134*$J$138</f>
        <v/>
      </c>
      <c r="BE138" s="46">
        <f>BE134*$J$138</f>
        <v/>
      </c>
      <c r="BF138" s="46">
        <f>BF134*$J$138</f>
        <v/>
      </c>
      <c r="BG138" s="46">
        <f>BG134*$J$138</f>
        <v/>
      </c>
      <c r="BH138" s="46">
        <f>BH134*$J$138</f>
        <v/>
      </c>
      <c r="BI138" s="46">
        <f>BI134*$J$138</f>
        <v/>
      </c>
      <c r="BJ138" s="46">
        <f>BJ134*$J$138</f>
        <v/>
      </c>
      <c r="BK138" s="46">
        <f>BK134*$J$138</f>
        <v/>
      </c>
      <c r="BL138" s="46">
        <f>BL134*$J$138</f>
        <v/>
      </c>
      <c r="BM138" s="46">
        <f>BM134*$J$138</f>
        <v/>
      </c>
      <c r="BN138" s="46">
        <f>BN134*$J$138</f>
        <v/>
      </c>
      <c r="BO138" s="46">
        <f>BO134*$J$138</f>
        <v/>
      </c>
      <c r="BP138" s="46">
        <f>BP134*$J$138</f>
        <v/>
      </c>
      <c r="BQ138" s="46">
        <f>BQ134*$J$138</f>
        <v/>
      </c>
      <c r="BR138" s="46">
        <f>BR134*$J$138</f>
        <v/>
      </c>
      <c r="BS138" s="46">
        <f>BS134*$J$138</f>
        <v/>
      </c>
      <c r="BT138" s="46">
        <f>BT134*$J$138</f>
        <v/>
      </c>
      <c r="BU138" s="46">
        <f>BU134*$J$138</f>
        <v/>
      </c>
      <c r="BV138" s="46">
        <f>BV134*$J$138</f>
        <v/>
      </c>
      <c r="BW138" s="46">
        <f>BW134*$J$138</f>
        <v/>
      </c>
      <c r="BX138" s="46">
        <f>BX134*$J$138</f>
        <v/>
      </c>
      <c r="BY138" s="46">
        <f>BY134*$J$138</f>
        <v/>
      </c>
      <c r="BZ138" s="46">
        <f>BZ134*$J$138</f>
        <v/>
      </c>
      <c r="CA138" s="46">
        <f>CA134*$J$138</f>
        <v/>
      </c>
      <c r="CB138" s="46">
        <f>CB134*$J$138</f>
        <v/>
      </c>
      <c r="CC138" s="46">
        <f>CC134*$J$138</f>
        <v/>
      </c>
      <c r="CD138" s="46">
        <f>CD134*$J$138</f>
        <v/>
      </c>
      <c r="CE138" s="46">
        <f>CE134*$J$138</f>
        <v/>
      </c>
      <c r="CF138" s="46">
        <f>CF134*$J$138</f>
        <v/>
      </c>
      <c r="CG138" s="46">
        <f>CG134*$J$138</f>
        <v/>
      </c>
      <c r="CH138" s="46">
        <f>CH134*$J$138</f>
        <v/>
      </c>
      <c r="CI138" s="46">
        <f>CI134*$J$138</f>
        <v/>
      </c>
      <c r="CJ138" s="46">
        <f>CJ134*$J$138</f>
        <v/>
      </c>
      <c r="CK138" s="46">
        <f>CK134*$J$138</f>
        <v/>
      </c>
      <c r="CL138" s="46">
        <f>CL134*$J$138</f>
        <v/>
      </c>
      <c r="CM138" s="46">
        <f>CM134*$J$138</f>
        <v/>
      </c>
      <c r="CN138" s="46">
        <f>CN134*$J$138</f>
        <v/>
      </c>
      <c r="CO138" s="46">
        <f>CO134*$J$138</f>
        <v/>
      </c>
      <c r="CP138" s="46">
        <f>CP134*$J$138</f>
        <v/>
      </c>
      <c r="CQ138" s="46">
        <f>CQ134*$J$138</f>
        <v/>
      </c>
      <c r="CR138" s="46">
        <f>CR134*$J$138</f>
        <v/>
      </c>
      <c r="CS138" s="46">
        <f>CS134*$J$138</f>
        <v/>
      </c>
      <c r="CT138" s="46">
        <f>CT134*$J$138</f>
        <v/>
      </c>
      <c r="CU138" s="46">
        <f>CU134*$J$138</f>
        <v/>
      </c>
      <c r="CV138" s="46">
        <f>CV134*$J$138</f>
        <v/>
      </c>
      <c r="CW138" s="46">
        <f>CW134*$J$138</f>
        <v/>
      </c>
      <c r="CX138" s="46">
        <f>CX134*$J$138</f>
        <v/>
      </c>
      <c r="CY138" s="46">
        <f>CY134*$J$138</f>
        <v/>
      </c>
      <c r="CZ138" s="46">
        <f>CZ134*$J$138</f>
        <v/>
      </c>
      <c r="DA138" s="46">
        <f>DA134*$J$138</f>
        <v/>
      </c>
      <c r="DB138" s="46">
        <f>DB134*$J$138</f>
        <v/>
      </c>
      <c r="DC138" s="46">
        <f>DC134*$J$138</f>
        <v/>
      </c>
      <c r="DD138" s="46">
        <f>DD134*$J$138</f>
        <v/>
      </c>
      <c r="DE138" s="46">
        <f>DE134*$J$138</f>
        <v/>
      </c>
      <c r="DF138" s="46">
        <f>DF134*$J$138</f>
        <v/>
      </c>
      <c r="DG138" s="46">
        <f>DG134*$J$138</f>
        <v/>
      </c>
      <c r="DH138" s="46">
        <f>DH134*$J$138</f>
        <v/>
      </c>
      <c r="DI138" s="46">
        <f>DI134*$J$138</f>
        <v/>
      </c>
      <c r="DJ138" s="46">
        <f>DJ134*$J$138</f>
        <v/>
      </c>
      <c r="DK138" s="46">
        <f>DK134*$J$138</f>
        <v/>
      </c>
      <c r="DL138" s="46">
        <f>DL134*$J$138</f>
        <v/>
      </c>
      <c r="DM138" s="46">
        <f>DM134*$J$138</f>
        <v/>
      </c>
      <c r="DN138" s="46">
        <f>DN134*$J$138</f>
        <v/>
      </c>
      <c r="DO138" s="46">
        <f>DO134*$J$138</f>
        <v/>
      </c>
      <c r="DP138" s="46">
        <f>DP134*$J$138</f>
        <v/>
      </c>
      <c r="DQ138" s="46">
        <f>DQ134*$J$138</f>
        <v/>
      </c>
      <c r="DR138" s="46">
        <f>DR134*$J$138</f>
        <v/>
      </c>
      <c r="DS138" s="46">
        <f>DS134*$J$138</f>
        <v/>
      </c>
      <c r="DT138" s="46">
        <f>DT134*$J$138</f>
        <v/>
      </c>
      <c r="DU138" s="46">
        <f>DU134*$J$138</f>
        <v/>
      </c>
      <c r="DV138" s="46">
        <f>DV134*$J$138</f>
        <v/>
      </c>
      <c r="DW138" s="46">
        <f>DW134*$J$138</f>
        <v/>
      </c>
      <c r="DX138" s="46">
        <f>DX134*$J$138</f>
        <v/>
      </c>
      <c r="DY138" s="46">
        <f>DY134*$J$138</f>
        <v/>
      </c>
      <c r="DZ138" s="46">
        <f>DZ134*$J$138</f>
        <v/>
      </c>
      <c r="EA138" s="46">
        <f>EA134*$J$138</f>
        <v/>
      </c>
      <c r="EB138" s="46">
        <f>EB134*$J$138</f>
        <v/>
      </c>
      <c r="EC138" s="46">
        <f>EC134*$J$138</f>
        <v/>
      </c>
      <c r="ED138" s="46">
        <f>ED134*$J$138</f>
        <v/>
      </c>
      <c r="EE138" s="46">
        <f>EE134*$J$138</f>
        <v/>
      </c>
      <c r="EF138" s="46">
        <f>EF134*$J$138</f>
        <v/>
      </c>
      <c r="EG138" s="46">
        <f>EG134*$J$138</f>
        <v/>
      </c>
      <c r="EH138" s="46">
        <f>EH134*$J$138</f>
        <v/>
      </c>
      <c r="EI138" s="46">
        <f>EI134*$J$138</f>
        <v/>
      </c>
      <c r="EJ138" s="46">
        <f>EJ134*$J$138</f>
        <v/>
      </c>
      <c r="EK138" s="46">
        <f>EK134*$J$138</f>
        <v/>
      </c>
      <c r="EL138" s="46">
        <f>EL134*$J$138</f>
        <v/>
      </c>
      <c r="EM138" s="46">
        <f>EM134*$J$138</f>
        <v/>
      </c>
      <c r="EN138" s="46">
        <f>EN134*$J$138</f>
        <v/>
      </c>
      <c r="EO138" s="46">
        <f>EO134*$J$138</f>
        <v/>
      </c>
      <c r="EP138" s="46">
        <f>EP134*$J$138</f>
        <v/>
      </c>
      <c r="EQ138" s="46">
        <f>EQ134*$J$138</f>
        <v/>
      </c>
      <c r="ER138" s="46">
        <f>ER134*$J$138</f>
        <v/>
      </c>
      <c r="ES138" s="46">
        <f>ES134*$J$138</f>
        <v/>
      </c>
      <c r="ET138" s="46">
        <f>ET134*$J$138</f>
        <v/>
      </c>
      <c r="EU138" s="46">
        <f>EU134*$J$138</f>
        <v/>
      </c>
      <c r="EV138" s="46">
        <f>EV134*$J$138</f>
        <v/>
      </c>
      <c r="EW138" s="46">
        <f>EW134*$J$138</f>
        <v/>
      </c>
      <c r="EX138" s="46">
        <f>EX134*$J$138</f>
        <v/>
      </c>
      <c r="EY138" s="46">
        <f>EY134*$J$138</f>
        <v/>
      </c>
      <c r="EZ138" s="46">
        <f>EZ134*$J$138</f>
        <v/>
      </c>
      <c r="FA138" s="46">
        <f>FA134*$J$138</f>
        <v/>
      </c>
      <c r="FB138" s="46">
        <f>FB134*$J$138</f>
        <v/>
      </c>
    </row>
    <row r="139">
      <c r="G139" s="14" t="n"/>
      <c r="H139" s="9" t="n"/>
      <c r="K139" s="9" t="n"/>
      <c r="L139" s="9" t="n"/>
      <c r="M139" s="9" t="n"/>
      <c r="Y139" s="9" t="n"/>
    </row>
    <row r="140">
      <c r="G140" s="14" t="n"/>
      <c r="H140" s="9" t="n"/>
      <c r="I140" s="15" t="inlineStr">
        <is>
          <t>CF Summary</t>
        </is>
      </c>
      <c r="K140" s="9" t="n"/>
      <c r="L140" s="9" t="n"/>
      <c r="M140" s="9" t="n"/>
      <c r="Y140" s="9" t="n"/>
    </row>
    <row r="141">
      <c r="H141" s="9" t="n"/>
      <c r="I141" s="15" t="inlineStr">
        <is>
          <t>Aequitas Net Profit</t>
        </is>
      </c>
      <c r="L141" s="44">
        <f>SUM(Z141:FB141)</f>
        <v/>
      </c>
      <c r="M141" s="9" t="n"/>
      <c r="N141" s="136">
        <f>SUMIF($Z$3:$FB$3,N$7,$Z141:$FB141)</f>
        <v/>
      </c>
      <c r="O141" s="136">
        <f>SUMIF($Z$3:$FB$3,O$7,$Z141:$FB141)</f>
        <v/>
      </c>
      <c r="P141" s="136">
        <f>SUMIF($Z$3:$FB$3,P$7,$Z141:$FB141)</f>
        <v/>
      </c>
      <c r="Q141" s="136">
        <f>SUMIF($Z$3:$FB$3,Q$7,$Z141:$FB141)</f>
        <v/>
      </c>
      <c r="R141" s="136">
        <f>SUMIF($Z$3:$FB$3,R$7,$Z141:$FB141)</f>
        <v/>
      </c>
      <c r="S141" s="136">
        <f>SUMIF($Z$3:$FB$3,S$7,$Z141:$FB141)</f>
        <v/>
      </c>
      <c r="T141" s="136">
        <f>SUMIF($Z$3:$FB$3,T$7,$Z141:$FB141)</f>
        <v/>
      </c>
      <c r="U141" s="136">
        <f>SUMIF($Z$3:$FB$3,U$7,$Z141:$FB141)</f>
        <v/>
      </c>
      <c r="V141" s="136">
        <f>SUMIF($Z$3:$FB$3,V$7,$Z141:$FB141)</f>
        <v/>
      </c>
      <c r="W141" s="136">
        <f>SUMIF($Z$3:$FB$3,W$7,$Z141:$FB141)</f>
        <v/>
      </c>
      <c r="X141" s="136">
        <f>SUMIF($Z$3:$FB$3,X$7,$Z141:$FB141)</f>
        <v/>
      </c>
      <c r="Y141" s="9" t="n"/>
      <c r="Z141" s="44">
        <f>IF($J$125=1,-$D$32,-$D$32)</f>
        <v/>
      </c>
      <c r="AA141" s="44">
        <f>IF($J$125=1,(AA131+AA132)*$F$7,AA131+AA132)+AA137</f>
        <v/>
      </c>
      <c r="AB141" s="44">
        <f>IF($J$125=1,(AB131+AB132)*$F$7,AB131+AB132)+AB137</f>
        <v/>
      </c>
      <c r="AC141" s="44">
        <f>IF($J$125=1,(AC131+AC132)*$F$7,AC131+AC132)+AC137</f>
        <v/>
      </c>
      <c r="AD141" s="44">
        <f>IF($J$125=1,(AD131+AD132)*$F$7,AD131+AD132)+AD137</f>
        <v/>
      </c>
      <c r="AE141" s="44">
        <f>IF($J$125=1,(AE131+AE132)*$F$7,AE131+AE132)+AE137</f>
        <v/>
      </c>
      <c r="AF141" s="44">
        <f>IF($J$125=1,(AF131+AF132)*$F$7,AF131+AF132)+AF137</f>
        <v/>
      </c>
      <c r="AG141" s="44">
        <f>IF($J$125=1,(AG131+AG132)*$F$7,AG131+AG132)+AG137</f>
        <v/>
      </c>
      <c r="AH141" s="44">
        <f>IF($J$125=1,(AH131+AH132)*$F$7,AH131+AH132)+AH137</f>
        <v/>
      </c>
      <c r="AI141" s="44">
        <f>IF($J$125=1,(AI131+AI132)*$F$7,AI131+AI132)+AI137</f>
        <v/>
      </c>
      <c r="AJ141" s="44">
        <f>IF($J$125=1,(AJ131+AJ132)*$F$7,AJ131+AJ132)+AJ137</f>
        <v/>
      </c>
      <c r="AK141" s="44">
        <f>IF($J$125=1,(AK131+AK132)*$F$7,AK131+AK132)+AK137</f>
        <v/>
      </c>
      <c r="AL141" s="44">
        <f>IF($J$125=1,(AL131+AL132)*$F$7,AL131+AL132)+AL137</f>
        <v/>
      </c>
      <c r="AM141" s="44">
        <f>IF($J$125=1,(AM131+AM132)*$F$7,AM131+AM132)+AM137</f>
        <v/>
      </c>
      <c r="AN141" s="44">
        <f>IF($J$125=1,(AN131+AN132)*$F$7,AN131+AN132)+AN137</f>
        <v/>
      </c>
      <c r="AO141" s="44">
        <f>IF($J$125=1,(AO131+AO132)*$F$7,AO131+AO132)+AO137</f>
        <v/>
      </c>
      <c r="AP141" s="44">
        <f>IF($J$125=1,(AP131+AP132)*$F$7,AP131+AP132)+AP137</f>
        <v/>
      </c>
      <c r="AQ141" s="44">
        <f>IF($J$125=1,(AQ131+AQ132)*$F$7,AQ131+AQ132)+AQ137</f>
        <v/>
      </c>
      <c r="AR141" s="44">
        <f>IF($J$125=1,(AR131+AR132)*$F$7,AR131+AR132)+AR137</f>
        <v/>
      </c>
      <c r="AS141" s="44">
        <f>IF($J$125=1,(AS131+AS132)*$F$7,AS131+AS132)+AS137</f>
        <v/>
      </c>
      <c r="AT141" s="44">
        <f>IF($J$125=1,(AT131+AT132)*$F$7,AT131+AT132)+AT137</f>
        <v/>
      </c>
      <c r="AU141" s="44">
        <f>IF($J$125=1,(AU131+AU132)*$F$7,AU131+AU132)+AU137</f>
        <v/>
      </c>
      <c r="AV141" s="44">
        <f>IF($J$125=1,(AV131+AV132)*$F$7,AV131+AV132)+AV137</f>
        <v/>
      </c>
      <c r="AW141" s="44">
        <f>IF($J$125=1,(AW131+AW132)*$F$7,AW131+AW132)+AW137</f>
        <v/>
      </c>
      <c r="AX141" s="44">
        <f>IF($J$125=1,(AX131+AX132)*$F$7,AX131+AX132)+AX137</f>
        <v/>
      </c>
      <c r="AY141" s="44">
        <f>IF($J$125=1,(AY131+AY132)*$F$7,AY131+AY132)+AY137</f>
        <v/>
      </c>
      <c r="AZ141" s="44">
        <f>IF($J$125=1,(AZ131+AZ132)*$F$7,AZ131+AZ132)+AZ137</f>
        <v/>
      </c>
      <c r="BA141" s="44">
        <f>IF($J$125=1,(BA131+BA132)*$F$7,BA131+BA132)+BA137</f>
        <v/>
      </c>
      <c r="BB141" s="44">
        <f>IF($J$125=1,(BB131+BB132)*$F$7,BB131+BB132)+BB137</f>
        <v/>
      </c>
      <c r="BC141" s="44">
        <f>IF($J$125=1,(BC131+BC132)*$F$7,BC131+BC132)+BC137</f>
        <v/>
      </c>
      <c r="BD141" s="44">
        <f>IF($J$125=1,(BD131+BD132)*$F$7,BD131+BD132)+BD137</f>
        <v/>
      </c>
      <c r="BE141" s="44">
        <f>IF($J$125=1,(BE131+BE132)*$F$7,BE131+BE132)+BE137</f>
        <v/>
      </c>
      <c r="BF141" s="44">
        <f>IF($J$125=1,(BF131+BF132)*$F$7,BF131+BF132)+BF137</f>
        <v/>
      </c>
      <c r="BG141" s="44">
        <f>IF($J$125=1,(BG131+BG132)*$F$7,BG131+BG132)+BG137</f>
        <v/>
      </c>
      <c r="BH141" s="44">
        <f>IF($J$125=1,(BH131+BH132)*$F$7,BH131+BH132)+BH137</f>
        <v/>
      </c>
      <c r="BI141" s="44">
        <f>IF($J$125=1,(BI131+BI132)*$F$7,BI131+BI132)+BI137</f>
        <v/>
      </c>
      <c r="BJ141" s="44">
        <f>IF($J$125=1,(BJ131+BJ132)*$F$7,BJ131+BJ132)+BJ137</f>
        <v/>
      </c>
      <c r="BK141" s="44">
        <f>IF($J$125=1,(BK131+BK132)*$F$7,BK131+BK132)+BK137</f>
        <v/>
      </c>
      <c r="BL141" s="44">
        <f>IF($J$125=1,(BL131+BL132)*$F$7,BL131+BL132)+BL137</f>
        <v/>
      </c>
      <c r="BM141" s="44">
        <f>IF($J$125=1,(BM131+BM132)*$F$7,BM131+BM132)+BM137</f>
        <v/>
      </c>
      <c r="BN141" s="44">
        <f>IF($J$125=1,(BN131+BN132)*$F$7,BN131+BN132)+BN137</f>
        <v/>
      </c>
      <c r="BO141" s="44">
        <f>IF($J$125=1,(BO131+BO132)*$F$7,BO131+BO132)+BO137</f>
        <v/>
      </c>
      <c r="BP141" s="44">
        <f>IF($J$125=1,(BP131+BP132)*$F$7,BP131+BP132)+BP137</f>
        <v/>
      </c>
      <c r="BQ141" s="44">
        <f>IF($J$125=1,(BQ131+BQ132)*$F$7,BQ131+BQ132)+BQ137</f>
        <v/>
      </c>
      <c r="BR141" s="44">
        <f>IF($J$125=1,(BR131+BR132)*$F$7,BR131+BR132)+BR137</f>
        <v/>
      </c>
      <c r="BS141" s="44">
        <f>IF($J$125=1,(BS131+BS132)*$F$7,BS131+BS132)+BS137</f>
        <v/>
      </c>
      <c r="BT141" s="44">
        <f>IF($J$125=1,(BT131+BT132)*$F$7,BT131+BT132)+BT137</f>
        <v/>
      </c>
      <c r="BU141" s="44">
        <f>IF($J$125=1,(BU131+BU132)*$F$7,BU131+BU132)+BU137</f>
        <v/>
      </c>
      <c r="BV141" s="44">
        <f>IF($J$125=1,(BV131+BV132)*$F$7,BV131+BV132)+BV137</f>
        <v/>
      </c>
      <c r="BW141" s="44">
        <f>IF($J$125=1,(BW131+BW132)*$F$7,BW131+BW132)+BW137</f>
        <v/>
      </c>
      <c r="BX141" s="44">
        <f>IF($J$125=1,(BX131+BX132)*$F$7,BX131+BX132)+BX137</f>
        <v/>
      </c>
      <c r="BY141" s="44">
        <f>IF($J$125=1,(BY131+BY132)*$F$7,BY131+BY132)+BY137</f>
        <v/>
      </c>
      <c r="BZ141" s="44">
        <f>IF($J$125=1,(BZ131+BZ132)*$F$7,BZ131+BZ132)+BZ137</f>
        <v/>
      </c>
      <c r="CA141" s="44">
        <f>IF($J$125=1,(CA131+CA132)*$F$7,CA131+CA132)+CA137</f>
        <v/>
      </c>
      <c r="CB141" s="44">
        <f>IF($J$125=1,(CB131+CB132)*$F$7,CB131+CB132)+CB137</f>
        <v/>
      </c>
      <c r="CC141" s="44">
        <f>IF($J$125=1,(CC131+CC132)*$F$7,CC131+CC132)+CC137</f>
        <v/>
      </c>
      <c r="CD141" s="44">
        <f>IF($J$125=1,(CD131+CD132)*$F$7,CD131+CD132)+CD137</f>
        <v/>
      </c>
      <c r="CE141" s="44">
        <f>IF($J$125=1,(CE131+CE132)*$F$7,CE131+CE132)+CE137</f>
        <v/>
      </c>
      <c r="CF141" s="44">
        <f>IF($J$125=1,(CF131+CF132)*$F$7,CF131+CF132)+CF137</f>
        <v/>
      </c>
      <c r="CG141" s="44">
        <f>IF($J$125=1,(CG131+CG132)*$F$7,CG131+CG132)+CG137</f>
        <v/>
      </c>
      <c r="CH141" s="44">
        <f>IF($J$125=1,(CH131+CH132)*$F$7,CH131+CH132)+CH137</f>
        <v/>
      </c>
      <c r="CI141" s="44">
        <f>IF($J$125=1,(CI131+CI132)*$F$7,CI131+CI132)+CI137</f>
        <v/>
      </c>
      <c r="CJ141" s="44">
        <f>IF($J$125=1,(CJ131+CJ132)*$F$7,CJ131+CJ132)+CJ137</f>
        <v/>
      </c>
      <c r="CK141" s="44">
        <f>IF($J$125=1,(CK131+CK132)*$F$7,CK131+CK132)+CK137</f>
        <v/>
      </c>
      <c r="CL141" s="44">
        <f>IF($J$125=1,(CL131+CL132)*$F$7,CL131+CL132)+CL137</f>
        <v/>
      </c>
      <c r="CM141" s="44">
        <f>IF($J$125=1,(CM131+CM132)*$F$7,CM131+CM132)+CM137</f>
        <v/>
      </c>
      <c r="CN141" s="44">
        <f>IF($J$125=1,(CN131+CN132)*$F$7,CN131+CN132)+CN137</f>
        <v/>
      </c>
      <c r="CO141" s="44">
        <f>IF($J$125=1,(CO131+CO132)*$F$7,CO131+CO132)+CO137</f>
        <v/>
      </c>
      <c r="CP141" s="44">
        <f>IF($J$125=1,(CP131+CP132)*$F$7,CP131+CP132)+CP137</f>
        <v/>
      </c>
      <c r="CQ141" s="44">
        <f>IF($J$125=1,(CQ131+CQ132)*$F$7,CQ131+CQ132)+CQ137</f>
        <v/>
      </c>
      <c r="CR141" s="44">
        <f>IF($J$125=1,(CR131+CR132)*$F$7,CR131+CR132)+CR137</f>
        <v/>
      </c>
      <c r="CS141" s="44">
        <f>IF($J$125=1,(CS131+CS132)*$F$7,CS131+CS132)+CS137</f>
        <v/>
      </c>
      <c r="CT141" s="44">
        <f>IF($J$125=1,(CT131+CT132)*$F$7,CT131+CT132)+CT137</f>
        <v/>
      </c>
      <c r="CU141" s="44">
        <f>IF($J$125=1,(CU131+CU132)*$F$7,CU131+CU132)+CU137</f>
        <v/>
      </c>
      <c r="CV141" s="44">
        <f>IF($J$125=1,(CV131+CV132)*$F$7,CV131+CV132)+CV137</f>
        <v/>
      </c>
      <c r="CW141" s="44">
        <f>IF($J$125=1,(CW131+CW132)*$F$7,CW131+CW132)+CW137</f>
        <v/>
      </c>
      <c r="CX141" s="44">
        <f>IF($J$125=1,(CX131+CX132)*$F$7,CX131+CX132)+CX137</f>
        <v/>
      </c>
      <c r="CY141" s="44">
        <f>IF($J$125=1,(CY131+CY132)*$F$7,CY131+CY132)+CY137</f>
        <v/>
      </c>
      <c r="CZ141" s="44">
        <f>IF($J$125=1,(CZ131+CZ132)*$F$7,CZ131+CZ132)+CZ137</f>
        <v/>
      </c>
      <c r="DA141" s="44">
        <f>IF($J$125=1,(DA131+DA132)*$F$7,DA131+DA132)+DA137</f>
        <v/>
      </c>
      <c r="DB141" s="44">
        <f>IF($J$125=1,(DB131+DB132)*$F$7,DB131+DB132)+DB137</f>
        <v/>
      </c>
      <c r="DC141" s="44">
        <f>IF($J$125=1,(DC131+DC132)*$F$7,DC131+DC132)+DC137</f>
        <v/>
      </c>
      <c r="DD141" s="44">
        <f>IF($J$125=1,(DD131+DD132)*$F$7,DD131+DD132)+DD137</f>
        <v/>
      </c>
      <c r="DE141" s="44">
        <f>IF($J$125=1,(DE131+DE132)*$F$7,DE131+DE132)+DE137</f>
        <v/>
      </c>
      <c r="DF141" s="44">
        <f>IF($J$125=1,(DF131+DF132)*$F$7,DF131+DF132)+DF137</f>
        <v/>
      </c>
      <c r="DG141" s="44">
        <f>IF($J$125=1,(DG131+DG132)*$F$7,DG131+DG132)+DG137</f>
        <v/>
      </c>
      <c r="DH141" s="44">
        <f>IF($J$125=1,(DH131+DH132)*$F$7,DH131+DH132)+DH137</f>
        <v/>
      </c>
      <c r="DI141" s="44">
        <f>IF($J$125=1,(DI131+DI132)*$F$7,DI131+DI132)+DI137</f>
        <v/>
      </c>
      <c r="DJ141" s="44">
        <f>IF($J$125=1,(DJ131+DJ132)*$F$7,DJ131+DJ132)+DJ137</f>
        <v/>
      </c>
      <c r="DK141" s="44">
        <f>IF($J$125=1,(DK131+DK132)*$F$7,DK131+DK132)+DK137</f>
        <v/>
      </c>
      <c r="DL141" s="44">
        <f>IF($J$125=1,(DL131+DL132)*$F$7,DL131+DL132)+DL137</f>
        <v/>
      </c>
      <c r="DM141" s="44">
        <f>IF($J$125=1,(DM131+DM132)*$F$7,DM131+DM132)+DM137</f>
        <v/>
      </c>
      <c r="DN141" s="44">
        <f>IF($J$125=1,(DN131+DN132)*$F$7,DN131+DN132)+DN137</f>
        <v/>
      </c>
      <c r="DO141" s="44">
        <f>IF($J$125=1,(DO131+DO132)*$F$7,DO131+DO132)+DO137</f>
        <v/>
      </c>
      <c r="DP141" s="44">
        <f>IF($J$125=1,(DP131+DP132)*$F$7,DP131+DP132)+DP137</f>
        <v/>
      </c>
      <c r="DQ141" s="44">
        <f>IF($J$125=1,(DQ131+DQ132)*$F$7,DQ131+DQ132)+DQ137</f>
        <v/>
      </c>
      <c r="DR141" s="44">
        <f>IF($J$125=1,(DR131+DR132)*$F$7,DR131+DR132)+DR137</f>
        <v/>
      </c>
      <c r="DS141" s="44">
        <f>IF($J$125=1,(DS131+DS132)*$F$7,DS131+DS132)+DS137</f>
        <v/>
      </c>
      <c r="DT141" s="44">
        <f>IF($J$125=1,(DT131+DT132)*$F$7,DT131+DT132)+DT137</f>
        <v/>
      </c>
      <c r="DU141" s="44">
        <f>IF($J$125=1,(DU131+DU132)*$F$7,DU131+DU132)+DU137</f>
        <v/>
      </c>
      <c r="DV141" s="44">
        <f>IF($J$125=1,(DV131+DV132)*$F$7,DV131+DV132)+DV137</f>
        <v/>
      </c>
      <c r="DW141" s="44">
        <f>IF($J$125=1,(DW131+DW132)*$F$7,DW131+DW132)+DW137</f>
        <v/>
      </c>
      <c r="DX141" s="44">
        <f>IF($J$125=1,(DX131+DX132)*$F$7,DX131+DX132)+DX137</f>
        <v/>
      </c>
      <c r="DY141" s="44">
        <f>IF($J$125=1,(DY131+DY132)*$F$7,DY131+DY132)+DY137</f>
        <v/>
      </c>
      <c r="DZ141" s="44">
        <f>IF($J$125=1,(DZ131+DZ132)*$F$7,DZ131+DZ132)+DZ137</f>
        <v/>
      </c>
      <c r="EA141" s="44">
        <f>IF($J$125=1,(EA131+EA132)*$F$7,EA131+EA132)+EA137</f>
        <v/>
      </c>
      <c r="EB141" s="44">
        <f>IF($J$125=1,(EB131+EB132)*$F$7,EB131+EB132)+EB137</f>
        <v/>
      </c>
      <c r="EC141" s="44">
        <f>IF($J$125=1,(EC131+EC132)*$F$7,EC131+EC132)+EC137</f>
        <v/>
      </c>
      <c r="ED141" s="44">
        <f>IF($J$125=1,(ED131+ED132)*$F$7,ED131+ED132)+ED137</f>
        <v/>
      </c>
      <c r="EE141" s="44">
        <f>IF($J$125=1,(EE131+EE132)*$F$7,EE131+EE132)+EE137</f>
        <v/>
      </c>
      <c r="EF141" s="44">
        <f>IF($J$125=1,(EF131+EF132)*$F$7,EF131+EF132)+EF137</f>
        <v/>
      </c>
      <c r="EG141" s="44">
        <f>IF($J$125=1,(EG131+EG132)*$F$7,EG131+EG132)+EG137</f>
        <v/>
      </c>
      <c r="EH141" s="44">
        <f>IF($J$125=1,(EH131+EH132)*$F$7,EH131+EH132)+EH137</f>
        <v/>
      </c>
      <c r="EI141" s="44">
        <f>IF($J$125=1,(EI131+EI132)*$F$7,EI131+EI132)+EI137</f>
        <v/>
      </c>
      <c r="EJ141" s="44">
        <f>IF($J$125=1,(EJ131+EJ132)*$F$7,EJ131+EJ132)+EJ137</f>
        <v/>
      </c>
      <c r="EK141" s="44">
        <f>IF($J$125=1,(EK131+EK132)*$F$7,EK131+EK132)+EK137</f>
        <v/>
      </c>
      <c r="EL141" s="44">
        <f>IF($J$125=1,(EL131+EL132)*$F$7,EL131+EL132)+EL137</f>
        <v/>
      </c>
      <c r="EM141" s="44">
        <f>IF($J$125=1,(EM131+EM132)*$F$7,EM131+EM132)+EM137</f>
        <v/>
      </c>
      <c r="EN141" s="44">
        <f>IF($J$125=1,(EN131+EN132)*$F$7,EN131+EN132)+EN137</f>
        <v/>
      </c>
      <c r="EO141" s="44">
        <f>IF($J$125=1,(EO131+EO132)*$F$7,EO131+EO132)+EO137</f>
        <v/>
      </c>
      <c r="EP141" s="44">
        <f>IF($J$125=1,(EP131+EP132)*$F$7,EP131+EP132)+EP137</f>
        <v/>
      </c>
      <c r="EQ141" s="44">
        <f>IF($J$125=1,(EQ131+EQ132)*$F$7,EQ131+EQ132)+EQ137</f>
        <v/>
      </c>
      <c r="ER141" s="44">
        <f>IF($J$125=1,(ER131+ER132)*$F$7,ER131+ER132)+ER137</f>
        <v/>
      </c>
      <c r="ES141" s="44">
        <f>IF($J$125=1,(ES131+ES132)*$F$7,ES131+ES132)+ES137</f>
        <v/>
      </c>
      <c r="ET141" s="44">
        <f>IF($J$125=1,(ET131+ET132)*$F$7,ET131+ET132)+ET137</f>
        <v/>
      </c>
      <c r="EU141" s="44">
        <f>IF($J$125=1,(EU131+EU132)*$F$7,EU131+EU132)+EU137</f>
        <v/>
      </c>
      <c r="EV141" s="44">
        <f>IF($J$125=1,(EV131+EV132)*$F$7,EV131+EV132)+EV137</f>
        <v/>
      </c>
      <c r="EW141" s="44">
        <f>IF($J$125=1,(EW131+EW132)*$F$7,EW131+EW132)+EW137</f>
        <v/>
      </c>
      <c r="EX141" s="44">
        <f>IF($J$125=1,(EX131+EX132)*$F$7,EX131+EX132)+EX137</f>
        <v/>
      </c>
      <c r="EY141" s="44">
        <f>IF($J$125=1,(EY131+EY132)*$F$7,EY131+EY132)+EY137</f>
        <v/>
      </c>
      <c r="EZ141" s="44">
        <f>IF($J$125=1,(EZ131+EZ132)*$F$7,EZ131+EZ132)+EZ137</f>
        <v/>
      </c>
      <c r="FA141" s="44">
        <f>IF($J$125=1,(FA131+FA132)*$F$7,FA131+FA132)+FA137</f>
        <v/>
      </c>
      <c r="FB141" s="44">
        <f>IF($J$125=1,(FB131+FB132)*$F$7,FB131+FB132)+FB137</f>
        <v/>
      </c>
    </row>
    <row r="142">
      <c r="H142" s="9" t="n"/>
      <c r="I142" s="9" t="inlineStr">
        <is>
          <t>IRR</t>
        </is>
      </c>
      <c r="L142" s="227">
        <f>(1+IRR(Z141:FB141,0))^12-1</f>
        <v/>
      </c>
      <c r="M142" s="9" t="n"/>
      <c r="Y142" s="9" t="n"/>
    </row>
    <row r="143">
      <c r="H143" s="9" t="n"/>
      <c r="I143" s="9" t="inlineStr">
        <is>
          <t>Equity Multiple</t>
        </is>
      </c>
      <c r="L143" s="184">
        <f>(L141+F9)/F9</f>
        <v/>
      </c>
      <c r="M143" s="9" t="n"/>
      <c r="Y143" s="9" t="n"/>
    </row>
    <row r="144">
      <c r="H144" s="9" t="n"/>
      <c r="I144" s="120" t="inlineStr">
        <is>
          <t>GP Net Profit</t>
        </is>
      </c>
      <c r="J144" s="233" t="n"/>
      <c r="L144" s="57">
        <f>SUM(Z144:FB144)</f>
        <v/>
      </c>
      <c r="M144" s="9" t="n"/>
      <c r="N144" s="131">
        <f>SUMIF($Z$3:$FB$3,N$7,$Z144:$FB144)</f>
        <v/>
      </c>
      <c r="O144" s="131">
        <f>SUMIF($Z$3:$FB$3,O$7,$Z144:$FB144)</f>
        <v/>
      </c>
      <c r="P144" s="131">
        <f>SUMIF($Z$3:$FB$3,P$7,$Z144:$FB144)</f>
        <v/>
      </c>
      <c r="Q144" s="131">
        <f>SUMIF($Z$3:$FB$3,Q$7,$Z144:$FB144)</f>
        <v/>
      </c>
      <c r="R144" s="131">
        <f>SUMIF($Z$3:$FB$3,R$7,$Z144:$FB144)</f>
        <v/>
      </c>
      <c r="S144" s="131">
        <f>SUMIF($Z$3:$FB$3,S$7,$Z144:$FB144)</f>
        <v/>
      </c>
      <c r="T144" s="131">
        <f>SUMIF($Z$3:$FB$3,T$7,$Z144:$FB144)</f>
        <v/>
      </c>
      <c r="U144" s="131">
        <f>SUMIF($Z$3:$FB$3,U$7,$Z144:$FB144)</f>
        <v/>
      </c>
      <c r="V144" s="131">
        <f>SUMIF($Z$3:$FB$3,V$7,$Z144:$FB144)</f>
        <v/>
      </c>
      <c r="W144" s="131">
        <f>SUMIF($Z$3:$FB$3,W$7,$Z144:$FB144)</f>
        <v/>
      </c>
      <c r="X144" s="131">
        <f>SUMIF($Z$3:$FB$3,X$7,$Z144:$FB144)</f>
        <v/>
      </c>
      <c r="Y144" s="9" t="n"/>
      <c r="Z144" s="57">
        <f>IF($J$125=1,-$D$31,-$D$31)</f>
        <v/>
      </c>
      <c r="AA144" s="57">
        <f>IF($J$125=1,(AA131+AA132)*$G$7,0)+AA138+AA122</f>
        <v/>
      </c>
      <c r="AB144" s="57">
        <f>IF($J$125=1,(AB131+AB132)*$G$7,0)+AB138+AB122</f>
        <v/>
      </c>
      <c r="AC144" s="57">
        <f>IF($J$125=1,(AC131+AC132)*$G$7,0)+AC138+AC122</f>
        <v/>
      </c>
      <c r="AD144" s="57">
        <f>IF($J$125=1,(AD131+AD132)*$G$7,0)+AD138+AD122</f>
        <v/>
      </c>
      <c r="AE144" s="57">
        <f>IF($J$125=1,(AE131+AE132)*$G$7,0)+AE138+AE122</f>
        <v/>
      </c>
      <c r="AF144" s="57">
        <f>IF($J$125=1,(AF131+AF132)*$G$7,0)+AF138+AF122</f>
        <v/>
      </c>
      <c r="AG144" s="57">
        <f>IF($J$125=1,(AG131+AG132)*$G$7,0)+AG138+AG122</f>
        <v/>
      </c>
      <c r="AH144" s="57">
        <f>IF($J$125=1,(AH131+AH132)*$G$7,0)+AH138+AH122</f>
        <v/>
      </c>
      <c r="AI144" s="57">
        <f>IF($J$125=1,(AI131+AI132)*$G$7,0)+AI138+AI122</f>
        <v/>
      </c>
      <c r="AJ144" s="57">
        <f>IF($J$125=1,(AJ131+AJ132)*$G$7,0)+AJ138+AJ122</f>
        <v/>
      </c>
      <c r="AK144" s="57">
        <f>IF($J$125=1,(AK131+AK132)*$G$7,0)+AK138+AK122</f>
        <v/>
      </c>
      <c r="AL144" s="57">
        <f>IF($J$125=1,(AL131+AL132)*$G$7,0)+AL138+AL122</f>
        <v/>
      </c>
      <c r="AM144" s="57">
        <f>IF($J$125=1,(AM131+AM132)*$G$7,0)+AM138+AM122</f>
        <v/>
      </c>
      <c r="AN144" s="57">
        <f>IF($J$125=1,(AN131+AN132)*$G$7,0)+AN138+AN122</f>
        <v/>
      </c>
      <c r="AO144" s="57">
        <f>IF($J$125=1,(AO131+AO132)*$G$7,0)+AO138+AO122</f>
        <v/>
      </c>
      <c r="AP144" s="57">
        <f>IF($J$125=1,(AP131+AP132)*$G$7,0)+AP138+AP122</f>
        <v/>
      </c>
      <c r="AQ144" s="57">
        <f>IF($J$125=1,(AQ131+AQ132)*$G$7,0)+AQ138+AQ122</f>
        <v/>
      </c>
      <c r="AR144" s="57">
        <f>IF($J$125=1,(AR131+AR132)*$G$7,0)+AR138+AR122</f>
        <v/>
      </c>
      <c r="AS144" s="57">
        <f>IF($J$125=1,(AS131+AS132)*$G$7,0)+AS138+AS122</f>
        <v/>
      </c>
      <c r="AT144" s="57">
        <f>IF($J$125=1,(AT131+AT132)*$G$7,0)+AT138+AT122</f>
        <v/>
      </c>
      <c r="AU144" s="57">
        <f>IF($J$125=1,(AU131+AU132)*$G$7,0)+AU138+AU122</f>
        <v/>
      </c>
      <c r="AV144" s="57">
        <f>IF($J$125=1,(AV131+AV132)*$G$7,0)+AV138+AV122</f>
        <v/>
      </c>
      <c r="AW144" s="57">
        <f>IF($J$125=1,(AW131+AW132)*$G$7,0)+AW138+AW122</f>
        <v/>
      </c>
      <c r="AX144" s="57">
        <f>IF($J$125=1,(AX131+AX132)*$G$7,0)+AX138+AX122</f>
        <v/>
      </c>
      <c r="AY144" s="57">
        <f>IF($J$125=1,(AY131+AY132)*$G$7,0)+AY138+AY122</f>
        <v/>
      </c>
      <c r="AZ144" s="57">
        <f>IF($J$125=1,(AZ131+AZ132)*$G$7,0)+AZ138+AZ122</f>
        <v/>
      </c>
      <c r="BA144" s="57">
        <f>IF($J$125=1,(BA131+BA132)*$G$7,0)+BA138+BA122</f>
        <v/>
      </c>
      <c r="BB144" s="57">
        <f>IF($J$125=1,(BB131+BB132)*$G$7,0)+BB138+BB122</f>
        <v/>
      </c>
      <c r="BC144" s="57">
        <f>IF($J$125=1,(BC131+BC132)*$G$7,0)+BC138+BC122</f>
        <v/>
      </c>
      <c r="BD144" s="57">
        <f>IF($J$125=1,(BD131+BD132)*$G$7,0)+BD138+BD122</f>
        <v/>
      </c>
      <c r="BE144" s="57">
        <f>IF($J$125=1,(BE131+BE132)*$G$7,0)+BE138+BE122</f>
        <v/>
      </c>
      <c r="BF144" s="57">
        <f>IF($J$125=1,(BF131+BF132)*$G$7,0)+BF138+BF122</f>
        <v/>
      </c>
      <c r="BG144" s="57">
        <f>IF($J$125=1,(BG131+BG132)*$G$7,0)+BG138+BG122</f>
        <v/>
      </c>
      <c r="BH144" s="57">
        <f>IF($J$125=1,(BH131+BH132)*$G$7,0)+BH138+BH122</f>
        <v/>
      </c>
      <c r="BI144" s="57">
        <f>IF($J$125=1,(BI131+BI132)*$G$7,0)+BI138+BI122</f>
        <v/>
      </c>
      <c r="BJ144" s="57">
        <f>IF($J$125=1,(BJ131+BJ132)*$G$7,0)+BJ138+BJ122</f>
        <v/>
      </c>
      <c r="BK144" s="57">
        <f>IF($J$125=1,(BK131+BK132)*$G$7,0)+BK138+BK122</f>
        <v/>
      </c>
      <c r="BL144" s="57">
        <f>IF($J$125=1,(BL131+BL132)*$G$7,0)+BL138+BL122</f>
        <v/>
      </c>
      <c r="BM144" s="57">
        <f>IF($J$125=1,(BM131+BM132)*$G$7,0)+BM138+BM122</f>
        <v/>
      </c>
      <c r="BN144" s="57">
        <f>IF($J$125=1,(BN131+BN132)*$G$7,0)+BN138+BN122</f>
        <v/>
      </c>
      <c r="BO144" s="57">
        <f>IF($J$125=1,(BO131+BO132)*$G$7,0)+BO138+BO122</f>
        <v/>
      </c>
      <c r="BP144" s="57">
        <f>IF($J$125=1,(BP131+BP132)*$G$7,0)+BP138+BP122</f>
        <v/>
      </c>
      <c r="BQ144" s="57">
        <f>IF($J$125=1,(BQ131+BQ132)*$G$7,0)+BQ138+BQ122</f>
        <v/>
      </c>
      <c r="BR144" s="57">
        <f>IF($J$125=1,(BR131+BR132)*$G$7,0)+BR138+BR122</f>
        <v/>
      </c>
      <c r="BS144" s="57">
        <f>IF($J$125=1,(BS131+BS132)*$G$7,0)+BS138+BS122</f>
        <v/>
      </c>
      <c r="BT144" s="57">
        <f>IF($J$125=1,(BT131+BT132)*$G$7,0)+BT138+BT122</f>
        <v/>
      </c>
      <c r="BU144" s="57">
        <f>IF($J$125=1,(BU131+BU132)*$G$7,0)+BU138+BU122</f>
        <v/>
      </c>
      <c r="BV144" s="57">
        <f>IF($J$125=1,(BV131+BV132)*$G$7,0)+BV138+BV122</f>
        <v/>
      </c>
      <c r="BW144" s="57">
        <f>IF($J$125=1,(BW131+BW132)*$G$7,0)+BW138+BW122</f>
        <v/>
      </c>
      <c r="BX144" s="57">
        <f>IF($J$125=1,(BX131+BX132)*$G$7,0)+BX138+BX122</f>
        <v/>
      </c>
      <c r="BY144" s="57">
        <f>IF($J$125=1,(BY131+BY132)*$G$7,0)+BY138+BY122</f>
        <v/>
      </c>
      <c r="BZ144" s="57">
        <f>IF($J$125=1,(BZ131+BZ132)*$G$7,0)+BZ138+BZ122</f>
        <v/>
      </c>
      <c r="CA144" s="57">
        <f>IF($J$125=1,(CA131+CA132)*$G$7,0)+CA138+CA122</f>
        <v/>
      </c>
      <c r="CB144" s="57">
        <f>IF($J$125=1,(CB131+CB132)*$G$7,0)+CB138+CB122</f>
        <v/>
      </c>
      <c r="CC144" s="57">
        <f>IF($J$125=1,(CC131+CC132)*$G$7,0)+CC138+CC122</f>
        <v/>
      </c>
      <c r="CD144" s="57">
        <f>IF($J$125=1,(CD131+CD132)*$G$7,0)+CD138+CD122</f>
        <v/>
      </c>
      <c r="CE144" s="57">
        <f>IF($J$125=1,(CE131+CE132)*$G$7,0)+CE138+CE122</f>
        <v/>
      </c>
      <c r="CF144" s="57">
        <f>IF($J$125=1,(CF131+CF132)*$G$7,0)+CF138+CF122</f>
        <v/>
      </c>
      <c r="CG144" s="57">
        <f>IF($J$125=1,(CG131+CG132)*$G$7,0)+CG138+CG122</f>
        <v/>
      </c>
      <c r="CH144" s="57">
        <f>IF($J$125=1,(CH131+CH132)*$G$7,0)+CH138+CH122</f>
        <v/>
      </c>
      <c r="CI144" s="57">
        <f>IF($J$125=1,(CI131+CI132)*$G$7,0)+CI138+CI122</f>
        <v/>
      </c>
      <c r="CJ144" s="57">
        <f>IF($J$125=1,(CJ131+CJ132)*$G$7,0)+CJ138+CJ122</f>
        <v/>
      </c>
      <c r="CK144" s="57">
        <f>IF($J$125=1,(CK131+CK132)*$G$7,0)+CK138+CK122</f>
        <v/>
      </c>
      <c r="CL144" s="57">
        <f>IF($J$125=1,(CL131+CL132)*$G$7,0)+CL138+CL122</f>
        <v/>
      </c>
      <c r="CM144" s="57">
        <f>IF($J$125=1,(CM131+CM132)*$G$7,0)+CM138+CM122</f>
        <v/>
      </c>
      <c r="CN144" s="57">
        <f>IF($J$125=1,(CN131+CN132)*$G$7,0)+CN138+CN122</f>
        <v/>
      </c>
      <c r="CO144" s="57">
        <f>IF($J$125=1,(CO131+CO132)*$G$7,0)+CO138+CO122</f>
        <v/>
      </c>
      <c r="CP144" s="57">
        <f>IF($J$125=1,(CP131+CP132)*$G$7,0)+CP138+CP122</f>
        <v/>
      </c>
      <c r="CQ144" s="57">
        <f>IF($J$125=1,(CQ131+CQ132)*$G$7,0)+CQ138+CQ122</f>
        <v/>
      </c>
      <c r="CR144" s="57">
        <f>IF($J$125=1,(CR131+CR132)*$G$7,0)+CR138+CR122</f>
        <v/>
      </c>
      <c r="CS144" s="57">
        <f>IF($J$125=1,(CS131+CS132)*$G$7,0)+CS138+CS122</f>
        <v/>
      </c>
      <c r="CT144" s="57">
        <f>IF($J$125=1,(CT131+CT132)*$G$7,0)+CT138+CT122</f>
        <v/>
      </c>
      <c r="CU144" s="57">
        <f>IF($J$125=1,(CU131+CU132)*$G$7,0)+CU138+CU122</f>
        <v/>
      </c>
      <c r="CV144" s="57">
        <f>IF($J$125=1,(CV131+CV132)*$G$7,0)+CV138+CV122</f>
        <v/>
      </c>
      <c r="CW144" s="57">
        <f>IF($J$125=1,(CW131+CW132)*$G$7,0)+CW138+CW122</f>
        <v/>
      </c>
      <c r="CX144" s="57">
        <f>IF($J$125=1,(CX131+CX132)*$G$7,0)+CX138+CX122</f>
        <v/>
      </c>
      <c r="CY144" s="57">
        <f>IF($J$125=1,(CY131+CY132)*$G$7,0)+CY138+CY122</f>
        <v/>
      </c>
      <c r="CZ144" s="57">
        <f>IF($J$125=1,(CZ131+CZ132)*$G$7,0)+CZ138+CZ122</f>
        <v/>
      </c>
      <c r="DA144" s="57">
        <f>IF($J$125=1,(DA131+DA132)*$G$7,0)+DA138+DA122</f>
        <v/>
      </c>
      <c r="DB144" s="57">
        <f>IF($J$125=1,(DB131+DB132)*$G$7,0)+DB138+DB122</f>
        <v/>
      </c>
      <c r="DC144" s="57">
        <f>IF($J$125=1,(DC131+DC132)*$G$7,0)+DC138+DC122</f>
        <v/>
      </c>
      <c r="DD144" s="57">
        <f>IF($J$125=1,(DD131+DD132)*$G$7,0)+DD138+DD122</f>
        <v/>
      </c>
      <c r="DE144" s="57">
        <f>IF($J$125=1,(DE131+DE132)*$G$7,0)+DE138+DE122</f>
        <v/>
      </c>
      <c r="DF144" s="57">
        <f>IF($J$125=1,(DF131+DF132)*$G$7,0)+DF138+DF122</f>
        <v/>
      </c>
      <c r="DG144" s="57">
        <f>IF($J$125=1,(DG131+DG132)*$G$7,0)+DG138+DG122</f>
        <v/>
      </c>
      <c r="DH144" s="57">
        <f>IF($J$125=1,(DH131+DH132)*$G$7,0)+DH138+DH122</f>
        <v/>
      </c>
      <c r="DI144" s="57">
        <f>IF($J$125=1,(DI131+DI132)*$G$7,0)+DI138+DI122</f>
        <v/>
      </c>
      <c r="DJ144" s="57">
        <f>IF($J$125=1,(DJ131+DJ132)*$G$7,0)+DJ138+DJ122</f>
        <v/>
      </c>
      <c r="DK144" s="57">
        <f>IF($J$125=1,(DK131+DK132)*$G$7,0)+DK138+DK122</f>
        <v/>
      </c>
      <c r="DL144" s="57">
        <f>IF($J$125=1,(DL131+DL132)*$G$7,0)+DL138+DL122</f>
        <v/>
      </c>
      <c r="DM144" s="57">
        <f>IF($J$125=1,(DM131+DM132)*$G$7,0)+DM138+DM122</f>
        <v/>
      </c>
      <c r="DN144" s="57">
        <f>IF($J$125=1,(DN131+DN132)*$G$7,0)+DN138+DN122</f>
        <v/>
      </c>
      <c r="DO144" s="57">
        <f>IF($J$125=1,(DO131+DO132)*$G$7,0)+DO138+DO122</f>
        <v/>
      </c>
      <c r="DP144" s="57">
        <f>IF($J$125=1,(DP131+DP132)*$G$7,0)+DP138+DP122</f>
        <v/>
      </c>
      <c r="DQ144" s="57">
        <f>IF($J$125=1,(DQ131+DQ132)*$G$7,0)+DQ138+DQ122</f>
        <v/>
      </c>
      <c r="DR144" s="57">
        <f>IF($J$125=1,(DR131+DR132)*$G$7,0)+DR138+DR122</f>
        <v/>
      </c>
      <c r="DS144" s="57">
        <f>IF($J$125=1,(DS131+DS132)*$G$7,0)+DS138+DS122</f>
        <v/>
      </c>
      <c r="DT144" s="57">
        <f>IF($J$125=1,(DT131+DT132)*$G$7,0)+DT138+DT122</f>
        <v/>
      </c>
      <c r="DU144" s="57">
        <f>IF($J$125=1,(DU131+DU132)*$G$7,0)+DU138+DU122</f>
        <v/>
      </c>
      <c r="DV144" s="57">
        <f>IF($J$125=1,(DV131+DV132)*$G$7,0)+DV138+DV122</f>
        <v/>
      </c>
      <c r="DW144" s="57">
        <f>IF($J$125=1,(DW131+DW132)*$G$7,0)+DW138+DW122</f>
        <v/>
      </c>
      <c r="DX144" s="57">
        <f>IF($J$125=1,(DX131+DX132)*$G$7,0)+DX138+DX122</f>
        <v/>
      </c>
      <c r="DY144" s="57">
        <f>IF($J$125=1,(DY131+DY132)*$G$7,0)+DY138+DY122</f>
        <v/>
      </c>
      <c r="DZ144" s="57">
        <f>IF($J$125=1,(DZ131+DZ132)*$G$7,0)+DZ138+DZ122</f>
        <v/>
      </c>
      <c r="EA144" s="57">
        <f>IF($J$125=1,(EA131+EA132)*$G$7,0)+EA138+EA122</f>
        <v/>
      </c>
      <c r="EB144" s="57">
        <f>IF($J$125=1,(EB131+EB132)*$G$7,0)+EB138+EB122</f>
        <v/>
      </c>
      <c r="EC144" s="57">
        <f>IF($J$125=1,(EC131+EC132)*$G$7,0)+EC138+EC122</f>
        <v/>
      </c>
      <c r="ED144" s="57">
        <f>IF($J$125=1,(ED131+ED132)*$G$7,0)+ED138+ED122</f>
        <v/>
      </c>
      <c r="EE144" s="57">
        <f>IF($J$125=1,(EE131+EE132)*$G$7,0)+EE138+EE122</f>
        <v/>
      </c>
      <c r="EF144" s="57">
        <f>IF($J$125=1,(EF131+EF132)*$G$7,0)+EF138+EF122</f>
        <v/>
      </c>
      <c r="EG144" s="57">
        <f>IF($J$125=1,(EG131+EG132)*$G$7,0)+EG138+EG122</f>
        <v/>
      </c>
      <c r="EH144" s="57">
        <f>IF($J$125=1,(EH131+EH132)*$G$7,0)+EH138+EH122</f>
        <v/>
      </c>
      <c r="EI144" s="57">
        <f>IF($J$125=1,(EI131+EI132)*$G$7,0)+EI138+EI122</f>
        <v/>
      </c>
      <c r="EJ144" s="57">
        <f>IF($J$125=1,(EJ131+EJ132)*$G$7,0)+EJ138+EJ122</f>
        <v/>
      </c>
      <c r="EK144" s="57">
        <f>IF($J$125=1,(EK131+EK132)*$G$7,0)+EK138+EK122</f>
        <v/>
      </c>
      <c r="EL144" s="57">
        <f>IF($J$125=1,(EL131+EL132)*$G$7,0)+EL138+EL122</f>
        <v/>
      </c>
      <c r="EM144" s="57">
        <f>IF($J$125=1,(EM131+EM132)*$G$7,0)+EM138+EM122</f>
        <v/>
      </c>
      <c r="EN144" s="57">
        <f>IF($J$125=1,(EN131+EN132)*$G$7,0)+EN138+EN122</f>
        <v/>
      </c>
      <c r="EO144" s="57">
        <f>IF($J$125=1,(EO131+EO132)*$G$7,0)+EO138+EO122</f>
        <v/>
      </c>
      <c r="EP144" s="57">
        <f>IF($J$125=1,(EP131+EP132)*$G$7,0)+EP138+EP122</f>
        <v/>
      </c>
      <c r="EQ144" s="57">
        <f>IF($J$125=1,(EQ131+EQ132)*$G$7,0)+EQ138+EQ122</f>
        <v/>
      </c>
      <c r="ER144" s="57">
        <f>IF($J$125=1,(ER131+ER132)*$G$7,0)+ER138+ER122</f>
        <v/>
      </c>
      <c r="ES144" s="57">
        <f>IF($J$125=1,(ES131+ES132)*$G$7,0)+ES138+ES122</f>
        <v/>
      </c>
      <c r="ET144" s="57">
        <f>IF($J$125=1,(ET131+ET132)*$G$7,0)+ET138+ET122</f>
        <v/>
      </c>
      <c r="EU144" s="57">
        <f>IF($J$125=1,(EU131+EU132)*$G$7,0)+EU138+EU122</f>
        <v/>
      </c>
      <c r="EV144" s="57">
        <f>IF($J$125=1,(EV131+EV132)*$G$7,0)+EV138+EV122</f>
        <v/>
      </c>
      <c r="EW144" s="57">
        <f>IF($J$125=1,(EW131+EW132)*$G$7,0)+EW138+EW122</f>
        <v/>
      </c>
      <c r="EX144" s="57">
        <f>IF($J$125=1,(EX131+EX132)*$G$7,0)+EX138+EX122</f>
        <v/>
      </c>
      <c r="EY144" s="57">
        <f>IF($J$125=1,(EY131+EY132)*$G$7,0)+EY138+EY122</f>
        <v/>
      </c>
      <c r="EZ144" s="57">
        <f>IF($J$125=1,(EZ131+EZ132)*$G$7,0)+EZ138+EZ122</f>
        <v/>
      </c>
      <c r="FA144" s="57">
        <f>IF($J$125=1,(FA131+FA132)*$G$7,0)+FA138+FA122</f>
        <v/>
      </c>
      <c r="FB144" s="57">
        <f>IF($J$125=1,(FB131+FB132)*$G$7,0)+FB138+FB122</f>
        <v/>
      </c>
    </row>
    <row r="145">
      <c r="H145" s="9" t="n"/>
      <c r="I145" s="11" t="inlineStr">
        <is>
          <t>IRR</t>
        </is>
      </c>
      <c r="K145" s="9" t="n"/>
      <c r="L145" s="27">
        <f>(1+IRR(Z144:FB144,0))^12-1</f>
        <v/>
      </c>
      <c r="M145" s="9" t="n"/>
      <c r="Y145" s="9" t="n"/>
      <c r="Z145" s="46" t="n"/>
      <c r="AA145" s="46" t="n"/>
      <c r="AB145" s="46" t="n"/>
      <c r="AC145" s="46" t="n"/>
      <c r="AD145" s="46" t="n"/>
      <c r="AE145" s="46" t="n"/>
      <c r="AF145" s="46" t="n"/>
      <c r="AG145" s="46" t="n"/>
      <c r="AH145" s="46" t="n"/>
      <c r="AI145" s="46" t="n"/>
      <c r="AJ145" s="46" t="n"/>
      <c r="AK145" s="46" t="n"/>
      <c r="AL145" s="46" t="n"/>
      <c r="AM145" s="46" t="n"/>
      <c r="AN145" s="46" t="n"/>
      <c r="AO145" s="46" t="n"/>
      <c r="AP145" s="46" t="n"/>
      <c r="AQ145" s="46" t="n"/>
      <c r="AR145" s="46" t="n"/>
      <c r="AS145" s="46" t="n"/>
      <c r="AT145" s="46" t="n"/>
      <c r="AU145" s="46" t="n"/>
      <c r="AV145" s="46" t="n"/>
      <c r="AW145" s="46" t="n"/>
      <c r="AX145" s="46" t="n"/>
      <c r="AY145" s="46" t="n"/>
      <c r="AZ145" s="46" t="n"/>
      <c r="BA145" s="46" t="n"/>
      <c r="BB145" s="46" t="n"/>
      <c r="BC145" s="46" t="n"/>
      <c r="BD145" s="46" t="n"/>
      <c r="BE145" s="46" t="n"/>
      <c r="BF145" s="46" t="n"/>
      <c r="BG145" s="46" t="n"/>
      <c r="BH145" s="46" t="n"/>
      <c r="BI145" s="46" t="n"/>
      <c r="BJ145" s="46" t="n"/>
      <c r="BK145" s="46" t="n"/>
      <c r="BL145" s="46" t="n"/>
      <c r="BM145" s="46" t="n"/>
      <c r="BN145" s="46" t="n"/>
      <c r="BO145" s="46" t="n"/>
      <c r="BP145" s="46" t="n"/>
      <c r="BQ145" s="46" t="n"/>
      <c r="BR145" s="46" t="n"/>
      <c r="BS145" s="46" t="n"/>
      <c r="BT145" s="46" t="n"/>
      <c r="BU145" s="46" t="n"/>
      <c r="BV145" s="46" t="n"/>
      <c r="BW145" s="46" t="n"/>
      <c r="BX145" s="46" t="n"/>
      <c r="BY145" s="46" t="n"/>
      <c r="BZ145" s="46" t="n"/>
      <c r="CA145" s="46" t="n"/>
      <c r="CB145" s="46" t="n"/>
      <c r="CC145" s="46" t="n"/>
      <c r="CD145" s="46" t="n"/>
      <c r="CE145" s="46" t="n"/>
      <c r="CF145" s="46" t="n"/>
      <c r="CG145" s="46" t="n"/>
      <c r="CH145" s="46" t="n"/>
      <c r="CI145" s="46" t="n"/>
      <c r="CJ145" s="46" t="n"/>
      <c r="CK145" s="46" t="n"/>
      <c r="CL145" s="46" t="n"/>
      <c r="CM145" s="46" t="n"/>
      <c r="CN145" s="46" t="n"/>
      <c r="CO145" s="46" t="n"/>
      <c r="CP145" s="46" t="n"/>
      <c r="CQ145" s="46" t="n"/>
      <c r="CR145" s="46" t="n"/>
      <c r="CS145" s="46" t="n"/>
      <c r="CT145" s="46" t="n"/>
      <c r="CU145" s="46" t="n"/>
      <c r="CV145" s="46" t="n"/>
      <c r="CW145" s="46" t="n"/>
      <c r="CX145" s="46" t="n"/>
      <c r="CY145" s="46" t="n"/>
      <c r="CZ145" s="46" t="n"/>
      <c r="DA145" s="46" t="n"/>
      <c r="DB145" s="46" t="n"/>
      <c r="DC145" s="46" t="n"/>
      <c r="DD145" s="46" t="n"/>
      <c r="DE145" s="46" t="n"/>
      <c r="DF145" s="46" t="n"/>
      <c r="DG145" s="46" t="n"/>
      <c r="DH145" s="46" t="n"/>
      <c r="DI145" s="46" t="n"/>
      <c r="DJ145" s="46" t="n"/>
      <c r="DK145" s="46" t="n"/>
      <c r="DL145" s="46" t="n"/>
      <c r="DM145" s="46" t="n"/>
      <c r="DN145" s="46" t="n"/>
      <c r="DO145" s="46" t="n"/>
      <c r="DP145" s="46" t="n"/>
      <c r="DQ145" s="46" t="n"/>
      <c r="DR145" s="46" t="n"/>
      <c r="DS145" s="46" t="n"/>
      <c r="DT145" s="46" t="n"/>
      <c r="DU145" s="46" t="n"/>
      <c r="DV145" s="46" t="n"/>
      <c r="DW145" s="46" t="n"/>
      <c r="DX145" s="46" t="n"/>
      <c r="DY145" s="46" t="n"/>
      <c r="DZ145" s="46" t="n"/>
      <c r="EA145" s="46" t="n"/>
      <c r="EB145" s="46" t="n"/>
      <c r="EC145" s="46" t="n"/>
      <c r="ED145" s="46" t="n"/>
      <c r="EE145" s="46" t="n"/>
      <c r="EF145" s="46" t="n"/>
      <c r="EG145" s="46" t="n"/>
      <c r="EH145" s="46" t="n"/>
      <c r="EI145" s="46" t="n"/>
      <c r="EJ145" s="46" t="n"/>
      <c r="EK145" s="46" t="n"/>
      <c r="EL145" s="46" t="n"/>
      <c r="EM145" s="46" t="n"/>
      <c r="EN145" s="46" t="n"/>
      <c r="EO145" s="46" t="n"/>
      <c r="EP145" s="46" t="n"/>
      <c r="EQ145" s="46" t="n"/>
      <c r="ER145" s="46" t="n"/>
      <c r="ES145" s="46" t="n"/>
      <c r="ET145" s="46" t="n"/>
      <c r="EU145" s="46" t="n"/>
      <c r="EV145" s="46" t="n"/>
      <c r="EW145" s="46" t="n"/>
      <c r="EX145" s="46" t="n"/>
      <c r="EY145" s="46" t="n"/>
      <c r="EZ145" s="46" t="n"/>
      <c r="FA145" s="46" t="n"/>
      <c r="FB145" s="46" t="n"/>
    </row>
    <row r="146">
      <c r="I146" s="11" t="inlineStr">
        <is>
          <t>Equity Multiple</t>
        </is>
      </c>
      <c r="K146" s="9" t="n"/>
      <c r="L146" s="184">
        <f>(G8+G9)/G9</f>
        <v/>
      </c>
      <c r="M146" s="9" t="n"/>
      <c r="Y146" s="9" t="n"/>
      <c r="Z146" s="46" t="n"/>
      <c r="AA146" s="46" t="n"/>
      <c r="AB146" s="46" t="n"/>
      <c r="AC146" s="46" t="n"/>
      <c r="AD146" s="46" t="n"/>
      <c r="AE146" s="46" t="n"/>
      <c r="AF146" s="46" t="n"/>
      <c r="AG146" s="46" t="n"/>
      <c r="AH146" s="46" t="n"/>
      <c r="AI146" s="46" t="n"/>
      <c r="AJ146" s="46" t="n"/>
      <c r="AK146" s="46" t="n"/>
      <c r="AL146" s="46" t="n"/>
      <c r="AM146" s="46" t="n"/>
      <c r="AN146" s="46" t="n"/>
      <c r="AO146" s="46" t="n"/>
      <c r="AP146" s="46" t="n"/>
      <c r="AQ146" s="46" t="n"/>
      <c r="AR146" s="46" t="n"/>
      <c r="AS146" s="46" t="n"/>
      <c r="AT146" s="46" t="n"/>
      <c r="AU146" s="46" t="n"/>
      <c r="AV146" s="46" t="n"/>
      <c r="AW146" s="46" t="n"/>
      <c r="AX146" s="46" t="n"/>
      <c r="AY146" s="46" t="n"/>
      <c r="AZ146" s="46" t="n"/>
      <c r="BA146" s="46" t="n"/>
      <c r="BB146" s="46" t="n"/>
      <c r="BC146" s="46" t="n"/>
      <c r="BD146" s="46" t="n"/>
      <c r="BE146" s="46" t="n"/>
      <c r="BF146" s="46" t="n"/>
      <c r="BG146" s="46" t="n"/>
      <c r="BH146" s="46" t="n"/>
      <c r="BI146" s="46" t="n"/>
      <c r="BJ146" s="46" t="n"/>
      <c r="BK146" s="46" t="n"/>
      <c r="BL146" s="46" t="n"/>
      <c r="BM146" s="46" t="n"/>
      <c r="BN146" s="46" t="n"/>
      <c r="BO146" s="46" t="n"/>
      <c r="BP146" s="46" t="n"/>
      <c r="BQ146" s="46" t="n"/>
      <c r="BR146" s="46" t="n"/>
      <c r="BS146" s="46" t="n"/>
      <c r="BT146" s="46" t="n"/>
      <c r="BU146" s="46" t="n"/>
      <c r="BV146" s="46" t="n"/>
      <c r="BW146" s="46" t="n"/>
      <c r="BX146" s="46" t="n"/>
      <c r="BY146" s="46" t="n"/>
      <c r="BZ146" s="46" t="n"/>
      <c r="CA146" s="46" t="n"/>
      <c r="CB146" s="46" t="n"/>
      <c r="CC146" s="46" t="n"/>
      <c r="CD146" s="46" t="n"/>
      <c r="CE146" s="46" t="n"/>
      <c r="CF146" s="46" t="n"/>
      <c r="CG146" s="46" t="n"/>
      <c r="CH146" s="46" t="n"/>
      <c r="CI146" s="46" t="n"/>
      <c r="CJ146" s="46" t="n"/>
      <c r="CK146" s="46" t="n"/>
      <c r="CL146" s="46" t="n"/>
      <c r="CM146" s="46" t="n"/>
      <c r="CN146" s="46" t="n"/>
      <c r="CO146" s="46" t="n"/>
      <c r="CP146" s="46" t="n"/>
      <c r="CQ146" s="46" t="n"/>
      <c r="CR146" s="46" t="n"/>
      <c r="CS146" s="46" t="n"/>
      <c r="CT146" s="46" t="n"/>
      <c r="CU146" s="46" t="n"/>
      <c r="CV146" s="46" t="n"/>
      <c r="CW146" s="46" t="n"/>
      <c r="CX146" s="46" t="n"/>
      <c r="CY146" s="46" t="n"/>
      <c r="CZ146" s="46" t="n"/>
      <c r="DA146" s="46" t="n"/>
      <c r="DB146" s="46" t="n"/>
      <c r="DC146" s="46" t="n"/>
      <c r="DD146" s="46" t="n"/>
      <c r="DE146" s="46" t="n"/>
      <c r="DF146" s="46" t="n"/>
      <c r="DG146" s="46" t="n"/>
      <c r="DH146" s="46" t="n"/>
      <c r="DI146" s="46" t="n"/>
      <c r="DJ146" s="46" t="n"/>
      <c r="DK146" s="46" t="n"/>
      <c r="DL146" s="46" t="n"/>
      <c r="DM146" s="46" t="n"/>
      <c r="DN146" s="46" t="n"/>
      <c r="DO146" s="46" t="n"/>
      <c r="DP146" s="46" t="n"/>
      <c r="DQ146" s="46" t="n"/>
      <c r="DR146" s="46" t="n"/>
      <c r="DS146" s="46" t="n"/>
      <c r="DT146" s="46" t="n"/>
      <c r="DU146" s="46" t="n"/>
      <c r="DV146" s="46" t="n"/>
      <c r="DW146" s="46" t="n"/>
      <c r="DX146" s="46" t="n"/>
      <c r="DY146" s="46" t="n"/>
      <c r="DZ146" s="46" t="n"/>
      <c r="EA146" s="46" t="n"/>
      <c r="EB146" s="46" t="n"/>
      <c r="EC146" s="46" t="n"/>
      <c r="ED146" s="46" t="n"/>
      <c r="EE146" s="46" t="n"/>
      <c r="EF146" s="46" t="n"/>
      <c r="EG146" s="46" t="n"/>
      <c r="EH146" s="46" t="n"/>
      <c r="EI146" s="46" t="n"/>
      <c r="EJ146" s="46" t="n"/>
      <c r="EK146" s="46" t="n"/>
      <c r="EL146" s="46" t="n"/>
      <c r="EM146" s="46" t="n"/>
      <c r="EN146" s="46" t="n"/>
      <c r="EO146" s="46" t="n"/>
      <c r="EP146" s="46" t="n"/>
      <c r="EQ146" s="46" t="n"/>
      <c r="ER146" s="46" t="n"/>
      <c r="ES146" s="46" t="n"/>
      <c r="ET146" s="46" t="n"/>
      <c r="EU146" s="46" t="n"/>
      <c r="EV146" s="46" t="n"/>
      <c r="EW146" s="46" t="n"/>
      <c r="EX146" s="46" t="n"/>
      <c r="EY146" s="46" t="n"/>
      <c r="EZ146" s="46" t="n"/>
      <c r="FA146" s="46" t="n"/>
      <c r="FB146" s="46" t="n"/>
    </row>
    <row r="147">
      <c r="I147" s="15" t="n"/>
      <c r="K147" s="9" t="n"/>
      <c r="L147" s="44" t="n"/>
      <c r="M147" s="9" t="n"/>
      <c r="Y147" s="9" t="n"/>
      <c r="Z147" s="46" t="n"/>
      <c r="AA147" s="46" t="n"/>
      <c r="AB147" s="46" t="n"/>
      <c r="AC147" s="46" t="n"/>
      <c r="AD147" s="46" t="n"/>
      <c r="AE147" s="46" t="n"/>
      <c r="AF147" s="46" t="n"/>
      <c r="AG147" s="46" t="n"/>
      <c r="AH147" s="46" t="n"/>
      <c r="AI147" s="46" t="n"/>
      <c r="AJ147" s="46" t="n"/>
      <c r="AK147" s="46" t="n"/>
      <c r="AL147" s="46" t="n"/>
      <c r="AM147" s="46" t="n"/>
      <c r="AN147" s="46" t="n"/>
      <c r="AO147" s="46" t="n"/>
      <c r="AP147" s="46" t="n"/>
      <c r="AQ147" s="46" t="n"/>
      <c r="AR147" s="46" t="n"/>
      <c r="AS147" s="46" t="n"/>
      <c r="AT147" s="46" t="n"/>
      <c r="AU147" s="46" t="n"/>
      <c r="AV147" s="46" t="n"/>
      <c r="AW147" s="46" t="n"/>
      <c r="AX147" s="46" t="n"/>
      <c r="AY147" s="46" t="n"/>
      <c r="AZ147" s="46" t="n"/>
      <c r="BA147" s="46" t="n"/>
      <c r="BB147" s="46" t="n"/>
      <c r="BC147" s="46" t="n"/>
      <c r="BD147" s="46" t="n"/>
      <c r="BE147" s="46" t="n"/>
      <c r="BF147" s="46" t="n"/>
      <c r="BG147" s="46" t="n"/>
      <c r="BH147" s="46" t="n"/>
      <c r="BI147" s="46" t="n"/>
      <c r="BJ147" s="46" t="n"/>
      <c r="BK147" s="46" t="n"/>
      <c r="BL147" s="46" t="n"/>
      <c r="BM147" s="46" t="n"/>
      <c r="BN147" s="46" t="n"/>
      <c r="BO147" s="46" t="n"/>
      <c r="BP147" s="46" t="n"/>
      <c r="BQ147" s="46" t="n"/>
      <c r="BR147" s="46" t="n"/>
      <c r="BS147" s="46" t="n"/>
      <c r="BT147" s="46" t="n"/>
      <c r="BU147" s="46" t="n"/>
      <c r="BV147" s="46" t="n"/>
      <c r="BW147" s="46" t="n"/>
      <c r="BX147" s="46" t="n"/>
      <c r="BY147" s="46" t="n"/>
      <c r="BZ147" s="46" t="n"/>
      <c r="CA147" s="46" t="n"/>
      <c r="CB147" s="46" t="n"/>
      <c r="CC147" s="46" t="n"/>
      <c r="CD147" s="46" t="n"/>
      <c r="CE147" s="46" t="n"/>
      <c r="CF147" s="46" t="n"/>
      <c r="CG147" s="46" t="n"/>
      <c r="CH147" s="46" t="n"/>
      <c r="CI147" s="46" t="n"/>
      <c r="CJ147" s="46" t="n"/>
      <c r="CK147" s="46" t="n"/>
      <c r="CL147" s="46" t="n"/>
      <c r="CM147" s="46" t="n"/>
      <c r="CN147" s="46" t="n"/>
      <c r="CO147" s="46" t="n"/>
      <c r="CP147" s="46" t="n"/>
      <c r="CQ147" s="46" t="n"/>
      <c r="CR147" s="46" t="n"/>
      <c r="CS147" s="46" t="n"/>
      <c r="CT147" s="46" t="n"/>
      <c r="CU147" s="46" t="n"/>
      <c r="CV147" s="46" t="n"/>
      <c r="CW147" s="46" t="n"/>
      <c r="CX147" s="46" t="n"/>
      <c r="CY147" s="46" t="n"/>
      <c r="CZ147" s="46" t="n"/>
      <c r="DA147" s="46" t="n"/>
      <c r="DB147" s="46" t="n"/>
      <c r="DC147" s="46" t="n"/>
      <c r="DD147" s="46" t="n"/>
      <c r="DE147" s="46" t="n"/>
      <c r="DF147" s="46" t="n"/>
      <c r="DG147" s="46" t="n"/>
      <c r="DH147" s="46" t="n"/>
      <c r="DI147" s="46" t="n"/>
      <c r="DJ147" s="46" t="n"/>
      <c r="DK147" s="46" t="n"/>
      <c r="DL147" s="46" t="n"/>
      <c r="DM147" s="46" t="n"/>
      <c r="DN147" s="46" t="n"/>
      <c r="DO147" s="46" t="n"/>
      <c r="DP147" s="46" t="n"/>
      <c r="DQ147" s="46" t="n"/>
      <c r="DR147" s="46" t="n"/>
      <c r="DS147" s="46" t="n"/>
      <c r="DT147" s="46" t="n"/>
      <c r="DU147" s="46" t="n"/>
      <c r="DV147" s="46" t="n"/>
      <c r="DW147" s="46" t="n"/>
      <c r="DX147" s="46" t="n"/>
      <c r="DY147" s="46" t="n"/>
      <c r="DZ147" s="46" t="n"/>
      <c r="EA147" s="46" t="n"/>
      <c r="EB147" s="46" t="n"/>
      <c r="EC147" s="46" t="n"/>
      <c r="ED147" s="46" t="n"/>
      <c r="EE147" s="46" t="n"/>
      <c r="EF147" s="46" t="n"/>
      <c r="EG147" s="46" t="n"/>
      <c r="EH147" s="46" t="n"/>
      <c r="EI147" s="46" t="n"/>
      <c r="EJ147" s="46" t="n"/>
      <c r="EK147" s="46" t="n"/>
      <c r="EL147" s="46" t="n"/>
      <c r="EM147" s="46" t="n"/>
      <c r="EN147" s="46" t="n"/>
      <c r="EO147" s="46" t="n"/>
      <c r="EP147" s="46" t="n"/>
      <c r="EQ147" s="46" t="n"/>
      <c r="ER147" s="46" t="n"/>
      <c r="ES147" s="46" t="n"/>
      <c r="ET147" s="46" t="n"/>
      <c r="EU147" s="46" t="n"/>
      <c r="EV147" s="46" t="n"/>
      <c r="EW147" s="46" t="n"/>
      <c r="EX147" s="46" t="n"/>
      <c r="EY147" s="46" t="n"/>
      <c r="EZ147" s="46" t="n"/>
      <c r="FA147" s="46" t="n"/>
      <c r="FB147" s="46" t="n"/>
    </row>
    <row r="148">
      <c r="I148" s="35" t="inlineStr">
        <is>
          <t>Loan Schedule</t>
        </is>
      </c>
      <c r="J148" s="114" t="n"/>
      <c r="K148" s="9" t="n"/>
      <c r="L148" s="183" t="n"/>
      <c r="N148" s="114" t="n"/>
      <c r="O148" s="114" t="n"/>
      <c r="P148" s="114" t="n"/>
      <c r="Q148" s="114" t="n"/>
      <c r="R148" s="114" t="n"/>
      <c r="S148" s="114" t="n"/>
      <c r="T148" s="114" t="n"/>
      <c r="U148" s="114" t="n"/>
      <c r="V148" s="114" t="n"/>
      <c r="W148" s="114" t="n"/>
      <c r="X148" s="114" t="n"/>
      <c r="Z148" s="114" t="n"/>
      <c r="AA148" s="114" t="n"/>
      <c r="AB148" s="114" t="n"/>
      <c r="AC148" s="114" t="n"/>
      <c r="AD148" s="114" t="n"/>
      <c r="AE148" s="114" t="n"/>
      <c r="AF148" s="114" t="n"/>
      <c r="AG148" s="114" t="n"/>
      <c r="AH148" s="114" t="n"/>
      <c r="AI148" s="114" t="n"/>
      <c r="AJ148" s="114" t="n"/>
      <c r="AK148" s="114" t="n"/>
      <c r="AL148" s="114" t="n"/>
      <c r="AM148" s="114" t="n"/>
      <c r="AN148" s="114" t="n"/>
      <c r="AO148" s="114" t="n"/>
      <c r="AP148" s="114" t="n"/>
      <c r="AQ148" s="114" t="n"/>
      <c r="AR148" s="114" t="n"/>
      <c r="AS148" s="114" t="n"/>
      <c r="AT148" s="114" t="n"/>
      <c r="AU148" s="114" t="n"/>
      <c r="AV148" s="114" t="n"/>
      <c r="AW148" s="114" t="n"/>
      <c r="AX148" s="114" t="n"/>
      <c r="AY148" s="114" t="n"/>
      <c r="AZ148" s="114" t="n"/>
      <c r="BA148" s="114" t="n"/>
      <c r="BB148" s="114" t="n"/>
      <c r="BC148" s="114" t="n"/>
      <c r="BD148" s="114" t="n"/>
      <c r="BE148" s="114" t="n"/>
      <c r="BF148" s="114" t="n"/>
      <c r="BG148" s="114" t="n"/>
      <c r="BH148" s="114" t="n"/>
      <c r="BI148" s="114" t="n"/>
      <c r="BJ148" s="114" t="n"/>
      <c r="BK148" s="114" t="n"/>
      <c r="BL148" s="114" t="n"/>
      <c r="BM148" s="114" t="n"/>
      <c r="BN148" s="114" t="n"/>
      <c r="BO148" s="114" t="n"/>
      <c r="BP148" s="114" t="n"/>
      <c r="BQ148" s="114" t="n"/>
      <c r="BR148" s="114" t="n"/>
      <c r="BS148" s="114" t="n"/>
      <c r="BT148" s="114" t="n"/>
      <c r="BU148" s="114" t="n"/>
      <c r="BV148" s="114" t="n"/>
      <c r="BW148" s="114" t="n"/>
      <c r="BX148" s="114" t="n"/>
      <c r="BY148" s="114" t="n"/>
      <c r="BZ148" s="114" t="n"/>
      <c r="CA148" s="114" t="n"/>
      <c r="CB148" s="114" t="n"/>
      <c r="CC148" s="114" t="n"/>
      <c r="CD148" s="114" t="n"/>
      <c r="CE148" s="114" t="n"/>
      <c r="CF148" s="114" t="n"/>
      <c r="CG148" s="114" t="n"/>
      <c r="CH148" s="114" t="n"/>
      <c r="CI148" s="114" t="n"/>
      <c r="CJ148" s="114" t="n"/>
      <c r="CK148" s="114" t="n"/>
      <c r="CL148" s="114" t="n"/>
      <c r="CM148" s="114" t="n"/>
      <c r="CN148" s="114" t="n"/>
      <c r="CO148" s="114" t="n"/>
      <c r="CP148" s="114" t="n"/>
      <c r="CQ148" s="114" t="n"/>
      <c r="CR148" s="114" t="n"/>
      <c r="CS148" s="114" t="n"/>
      <c r="CT148" s="114" t="n"/>
      <c r="CU148" s="114" t="n"/>
      <c r="CV148" s="114" t="n"/>
      <c r="CW148" s="114" t="n"/>
      <c r="CX148" s="114" t="n"/>
      <c r="CY148" s="114" t="n"/>
      <c r="CZ148" s="114" t="n"/>
      <c r="DA148" s="114" t="n"/>
      <c r="DB148" s="114" t="n"/>
      <c r="DC148" s="114" t="n"/>
      <c r="DD148" s="114" t="n"/>
      <c r="DE148" s="114" t="n"/>
      <c r="DF148" s="114" t="n"/>
      <c r="DG148" s="114" t="n"/>
      <c r="DH148" s="114" t="n"/>
      <c r="DI148" s="114" t="n"/>
      <c r="DJ148" s="114" t="n"/>
      <c r="DK148" s="114" t="n"/>
      <c r="DL148" s="114" t="n"/>
      <c r="DM148" s="114" t="n"/>
      <c r="DN148" s="114" t="n"/>
      <c r="DO148" s="114" t="n"/>
      <c r="DP148" s="114" t="n"/>
      <c r="DQ148" s="114" t="n"/>
      <c r="DR148" s="114" t="n"/>
      <c r="DS148" s="114" t="n"/>
      <c r="DT148" s="114" t="n"/>
      <c r="DU148" s="114" t="n"/>
      <c r="DV148" s="114" t="n"/>
      <c r="DW148" s="114" t="n"/>
      <c r="DX148" s="114" t="n"/>
      <c r="DY148" s="114" t="n"/>
      <c r="DZ148" s="114" t="n"/>
      <c r="EA148" s="114" t="n"/>
      <c r="EB148" s="114" t="n"/>
      <c r="EC148" s="114" t="n"/>
      <c r="ED148" s="114" t="n"/>
      <c r="EE148" s="114" t="n"/>
      <c r="EF148" s="114" t="n"/>
      <c r="EG148" s="114" t="n"/>
      <c r="EH148" s="114" t="n"/>
      <c r="EI148" s="114" t="n"/>
      <c r="EJ148" s="114" t="n"/>
      <c r="EK148" s="114" t="n"/>
      <c r="EL148" s="114" t="n"/>
      <c r="EM148" s="114" t="n"/>
      <c r="EN148" s="114" t="n"/>
      <c r="EO148" s="114" t="n"/>
      <c r="EP148" s="114" t="n"/>
      <c r="EQ148" s="114" t="n"/>
      <c r="ER148" s="114" t="n"/>
      <c r="ES148" s="114" t="n"/>
      <c r="ET148" s="114" t="n"/>
      <c r="EU148" s="114" t="n"/>
      <c r="EV148" s="114" t="n"/>
      <c r="EW148" s="114" t="n"/>
      <c r="EX148" s="114" t="n"/>
      <c r="EY148" s="114" t="n"/>
      <c r="EZ148" s="114" t="n"/>
      <c r="FA148" s="114" t="n"/>
      <c r="FB148" s="114" t="n"/>
    </row>
    <row r="149">
      <c r="I149" s="15" t="inlineStr">
        <is>
          <t>Interest Rate</t>
        </is>
      </c>
      <c r="K149" s="9" t="n"/>
      <c r="L149" s="184" t="n"/>
    </row>
    <row r="150">
      <c r="A150" s="11" t="n"/>
      <c r="I150" s="9" t="inlineStr">
        <is>
          <t>SOFR</t>
        </is>
      </c>
      <c r="Z150" s="31" t="n">
        <v>0</v>
      </c>
      <c r="AA150" s="31" t="n">
        <v>0</v>
      </c>
      <c r="AB150" s="31" t="n">
        <v>0</v>
      </c>
      <c r="AC150" s="31" t="n">
        <v>0</v>
      </c>
      <c r="AD150" s="31" t="n">
        <v>0</v>
      </c>
      <c r="AE150" s="31" t="n">
        <v>0</v>
      </c>
      <c r="AF150" s="31" t="n">
        <v>0</v>
      </c>
      <c r="AG150" s="31" t="n">
        <v>0</v>
      </c>
      <c r="AH150" s="31" t="n">
        <v>0</v>
      </c>
      <c r="AI150" s="31" t="n">
        <v>0</v>
      </c>
      <c r="AJ150" s="31" t="n">
        <v>0</v>
      </c>
      <c r="AK150" s="31" t="n">
        <v>0</v>
      </c>
      <c r="AL150" s="31" t="n">
        <v>0</v>
      </c>
      <c r="AM150" s="31" t="n">
        <v>0</v>
      </c>
      <c r="AN150" s="31" t="n">
        <v>0</v>
      </c>
      <c r="AO150" s="31" t="n">
        <v>0</v>
      </c>
      <c r="AP150" s="31" t="n">
        <v>0</v>
      </c>
      <c r="AQ150" s="31" t="n">
        <v>0</v>
      </c>
      <c r="AR150" s="31" t="n">
        <v>0</v>
      </c>
      <c r="AS150" s="31" t="n">
        <v>0</v>
      </c>
      <c r="AT150" s="31" t="n">
        <v>0</v>
      </c>
      <c r="AU150" s="31" t="n">
        <v>0</v>
      </c>
      <c r="AV150" s="31" t="n">
        <v>0</v>
      </c>
      <c r="AW150" s="31" t="n">
        <v>0</v>
      </c>
      <c r="AX150" s="31" t="n">
        <v>0</v>
      </c>
      <c r="AY150" s="31" t="n">
        <v>0</v>
      </c>
      <c r="AZ150" s="31" t="n">
        <v>0</v>
      </c>
      <c r="BA150" s="31" t="n">
        <v>0</v>
      </c>
      <c r="BB150" s="31" t="n">
        <v>0</v>
      </c>
      <c r="BC150" s="31" t="n">
        <v>0</v>
      </c>
      <c r="BD150" s="31" t="n">
        <v>0</v>
      </c>
      <c r="BE150" s="31" t="n">
        <v>0</v>
      </c>
      <c r="BF150" s="31" t="n">
        <v>0</v>
      </c>
      <c r="BG150" s="31" t="n">
        <v>0</v>
      </c>
      <c r="BH150" s="31" t="n">
        <v>0</v>
      </c>
      <c r="BI150" s="31" t="n">
        <v>0</v>
      </c>
      <c r="BJ150" s="31" t="n">
        <v>0</v>
      </c>
      <c r="BK150" s="31" t="n">
        <v>0</v>
      </c>
      <c r="BL150" s="31" t="n">
        <v>0</v>
      </c>
      <c r="BM150" s="31" t="n">
        <v>0</v>
      </c>
      <c r="BN150" s="31" t="n">
        <v>0</v>
      </c>
      <c r="BO150" s="31" t="n">
        <v>0</v>
      </c>
      <c r="BP150" s="31" t="n">
        <v>0</v>
      </c>
      <c r="BQ150" s="31" t="n">
        <v>0</v>
      </c>
      <c r="BR150" s="31" t="n">
        <v>0</v>
      </c>
      <c r="BS150" s="31" t="n">
        <v>0</v>
      </c>
      <c r="BT150" s="31" t="n">
        <v>0</v>
      </c>
      <c r="BU150" s="31" t="n">
        <v>0</v>
      </c>
      <c r="BV150" s="31" t="n">
        <v>0</v>
      </c>
      <c r="BW150" s="31" t="n">
        <v>0</v>
      </c>
      <c r="BX150" s="31" t="n">
        <v>0</v>
      </c>
      <c r="BY150" s="31" t="n">
        <v>0</v>
      </c>
      <c r="BZ150" s="31" t="n">
        <v>0</v>
      </c>
      <c r="CA150" s="31" t="n">
        <v>0</v>
      </c>
      <c r="CB150" s="31" t="n">
        <v>0</v>
      </c>
      <c r="CC150" s="31" t="n">
        <v>0</v>
      </c>
      <c r="CD150" s="31" t="n">
        <v>0</v>
      </c>
      <c r="CE150" s="31" t="n">
        <v>0</v>
      </c>
      <c r="CF150" s="31" t="n">
        <v>0</v>
      </c>
      <c r="CG150" s="31" t="n">
        <v>0</v>
      </c>
      <c r="CH150" s="31" t="n">
        <v>0</v>
      </c>
      <c r="CI150" s="31" t="n">
        <v>0</v>
      </c>
      <c r="CJ150" s="31" t="n">
        <v>0</v>
      </c>
      <c r="CK150" s="31" t="n">
        <v>0</v>
      </c>
      <c r="CL150" s="31" t="n">
        <v>0</v>
      </c>
      <c r="CM150" s="31" t="n">
        <v>0</v>
      </c>
      <c r="CN150" s="31" t="n">
        <v>0</v>
      </c>
      <c r="CO150" s="31" t="n">
        <v>0</v>
      </c>
      <c r="CP150" s="31" t="n">
        <v>0</v>
      </c>
      <c r="CQ150" s="31" t="n">
        <v>0</v>
      </c>
      <c r="CR150" s="31" t="n">
        <v>0</v>
      </c>
      <c r="CS150" s="31" t="n">
        <v>0</v>
      </c>
      <c r="CT150" s="31" t="n">
        <v>0</v>
      </c>
      <c r="CU150" s="31" t="n">
        <v>0</v>
      </c>
      <c r="CV150" s="31" t="n">
        <v>0</v>
      </c>
      <c r="CW150" s="31" t="n">
        <v>0</v>
      </c>
      <c r="CX150" s="31" t="n">
        <v>0</v>
      </c>
      <c r="CY150" s="31" t="n">
        <v>0</v>
      </c>
      <c r="CZ150" s="31" t="n">
        <v>0</v>
      </c>
      <c r="DA150" s="31" t="n">
        <v>0</v>
      </c>
      <c r="DB150" s="31" t="n">
        <v>0</v>
      </c>
      <c r="DC150" s="31" t="n">
        <v>0</v>
      </c>
      <c r="DD150" s="31" t="n">
        <v>0</v>
      </c>
      <c r="DE150" s="31" t="n">
        <v>0</v>
      </c>
      <c r="DF150" s="31" t="n">
        <v>0</v>
      </c>
      <c r="DG150" s="31" t="n">
        <v>0</v>
      </c>
      <c r="DH150" s="31" t="n">
        <v>0</v>
      </c>
      <c r="DI150" s="31" t="n">
        <v>0</v>
      </c>
      <c r="DJ150" s="31" t="n">
        <v>0</v>
      </c>
      <c r="DK150" s="31" t="n">
        <v>0</v>
      </c>
      <c r="DL150" s="31" t="n">
        <v>0</v>
      </c>
      <c r="DM150" s="31" t="n">
        <v>0</v>
      </c>
      <c r="DN150" s="31" t="n">
        <v>0</v>
      </c>
      <c r="DO150" s="31" t="n">
        <v>0</v>
      </c>
      <c r="DP150" s="31" t="n">
        <v>0</v>
      </c>
      <c r="DQ150" s="31" t="n">
        <v>0</v>
      </c>
      <c r="DR150" s="31" t="n">
        <v>0</v>
      </c>
      <c r="DS150" s="31" t="n">
        <v>0</v>
      </c>
      <c r="DT150" s="31" t="n">
        <v>0</v>
      </c>
      <c r="DU150" s="31" t="n">
        <v>0</v>
      </c>
      <c r="DV150" s="31" t="n">
        <v>0</v>
      </c>
      <c r="DW150" s="31" t="n">
        <v>0</v>
      </c>
      <c r="DX150" s="31" t="n">
        <v>0</v>
      </c>
      <c r="DY150" s="31" t="n">
        <v>0</v>
      </c>
      <c r="DZ150" s="31" t="n">
        <v>0</v>
      </c>
      <c r="EA150" s="31" t="n">
        <v>0</v>
      </c>
      <c r="EB150" s="31" t="n">
        <v>0</v>
      </c>
      <c r="EC150" s="31" t="n">
        <v>0</v>
      </c>
      <c r="ED150" s="31" t="n">
        <v>0</v>
      </c>
      <c r="EE150" s="31" t="n">
        <v>0</v>
      </c>
      <c r="EF150" s="31" t="n">
        <v>0</v>
      </c>
      <c r="EG150" s="31" t="n">
        <v>0</v>
      </c>
      <c r="EH150" s="31" t="n">
        <v>0</v>
      </c>
      <c r="EI150" s="31" t="n">
        <v>0</v>
      </c>
      <c r="EJ150" s="31" t="n">
        <v>0</v>
      </c>
      <c r="EK150" s="31" t="n">
        <v>0</v>
      </c>
      <c r="EL150" s="31" t="n">
        <v>0</v>
      </c>
      <c r="EM150" s="31" t="n">
        <v>0</v>
      </c>
      <c r="EN150" s="31" t="n">
        <v>0</v>
      </c>
      <c r="EO150" s="31" t="n">
        <v>0</v>
      </c>
      <c r="EP150" s="31" t="n">
        <v>0</v>
      </c>
      <c r="EQ150" s="31" t="n">
        <v>0</v>
      </c>
      <c r="ER150" s="31" t="n">
        <v>0</v>
      </c>
      <c r="ES150" s="31" t="n">
        <v>0</v>
      </c>
      <c r="ET150" s="31" t="n">
        <v>0</v>
      </c>
      <c r="EU150" s="31" t="n">
        <v>0</v>
      </c>
      <c r="EV150" s="31" t="n">
        <v>0</v>
      </c>
      <c r="EW150" s="31" t="n">
        <v>0</v>
      </c>
      <c r="EX150" s="31" t="n">
        <v>0</v>
      </c>
      <c r="EY150" s="31" t="n">
        <v>0</v>
      </c>
      <c r="EZ150" s="31" t="n">
        <v>0</v>
      </c>
      <c r="FA150" s="31" t="n">
        <v>0</v>
      </c>
      <c r="FB150" s="31" t="n">
        <v>0</v>
      </c>
    </row>
    <row r="151">
      <c r="A151" s="24" t="n"/>
      <c r="I151" s="9" t="inlineStr">
        <is>
          <t>Spread</t>
        </is>
      </c>
      <c r="Z151" s="31">
        <f>$D$48/10000</f>
        <v/>
      </c>
      <c r="AA151" s="31">
        <f>$D$48/10000</f>
        <v/>
      </c>
      <c r="AB151" s="31">
        <f>$D$48/10000</f>
        <v/>
      </c>
      <c r="AC151" s="31">
        <f>$D$48/10000</f>
        <v/>
      </c>
      <c r="AD151" s="31">
        <f>$D$48/10000</f>
        <v/>
      </c>
      <c r="AE151" s="31">
        <f>$D$48/10000</f>
        <v/>
      </c>
      <c r="AF151" s="31">
        <f>$D$48/10000</f>
        <v/>
      </c>
      <c r="AG151" s="31">
        <f>$D$48/10000</f>
        <v/>
      </c>
      <c r="AH151" s="31">
        <f>$D$48/10000</f>
        <v/>
      </c>
      <c r="AI151" s="31">
        <f>$D$48/10000</f>
        <v/>
      </c>
      <c r="AJ151" s="31">
        <f>$D$48/10000</f>
        <v/>
      </c>
      <c r="AK151" s="31">
        <f>$D$48/10000</f>
        <v/>
      </c>
      <c r="AL151" s="31">
        <f>$D$48/10000</f>
        <v/>
      </c>
      <c r="AM151" s="31">
        <f>$D$48/10000</f>
        <v/>
      </c>
      <c r="AN151" s="31">
        <f>$D$48/10000</f>
        <v/>
      </c>
      <c r="AO151" s="31">
        <f>$D$48/10000</f>
        <v/>
      </c>
      <c r="AP151" s="31">
        <f>$D$48/10000</f>
        <v/>
      </c>
      <c r="AQ151" s="31">
        <f>$D$48/10000</f>
        <v/>
      </c>
      <c r="AR151" s="31">
        <f>$D$48/10000</f>
        <v/>
      </c>
      <c r="AS151" s="31">
        <f>$D$48/10000</f>
        <v/>
      </c>
      <c r="AT151" s="31">
        <f>$D$48/10000</f>
        <v/>
      </c>
      <c r="AU151" s="31">
        <f>$D$48/10000</f>
        <v/>
      </c>
      <c r="AV151" s="31">
        <f>$D$48/10000</f>
        <v/>
      </c>
      <c r="AW151" s="31">
        <f>$D$48/10000</f>
        <v/>
      </c>
      <c r="AX151" s="31">
        <f>$D$48/10000</f>
        <v/>
      </c>
      <c r="AY151" s="31">
        <f>$D$48/10000</f>
        <v/>
      </c>
      <c r="AZ151" s="31">
        <f>$D$48/10000</f>
        <v/>
      </c>
      <c r="BA151" s="31">
        <f>$D$48/10000</f>
        <v/>
      </c>
      <c r="BB151" s="31">
        <f>$D$48/10000</f>
        <v/>
      </c>
      <c r="BC151" s="31">
        <f>$D$48/10000</f>
        <v/>
      </c>
      <c r="BD151" s="31">
        <f>$D$48/10000</f>
        <v/>
      </c>
      <c r="BE151" s="31">
        <f>$D$48/10000</f>
        <v/>
      </c>
      <c r="BF151" s="31">
        <f>$D$48/10000</f>
        <v/>
      </c>
      <c r="BG151" s="31">
        <f>$D$48/10000</f>
        <v/>
      </c>
      <c r="BH151" s="31">
        <f>$D$48/10000</f>
        <v/>
      </c>
      <c r="BI151" s="31">
        <f>$D$48/10000</f>
        <v/>
      </c>
      <c r="BJ151" s="31">
        <f>$D$48/10000</f>
        <v/>
      </c>
      <c r="BK151" s="31">
        <f>$D$48/10000</f>
        <v/>
      </c>
      <c r="BL151" s="31">
        <f>$D$48/10000</f>
        <v/>
      </c>
      <c r="BM151" s="31">
        <f>$D$48/10000</f>
        <v/>
      </c>
      <c r="BN151" s="31">
        <f>$D$48/10000</f>
        <v/>
      </c>
      <c r="BO151" s="31">
        <f>$D$48/10000</f>
        <v/>
      </c>
      <c r="BP151" s="31">
        <f>$D$48/10000</f>
        <v/>
      </c>
      <c r="BQ151" s="31">
        <f>$D$48/10000</f>
        <v/>
      </c>
      <c r="BR151" s="31">
        <f>$D$48/10000</f>
        <v/>
      </c>
      <c r="BS151" s="31">
        <f>$D$48/10000</f>
        <v/>
      </c>
      <c r="BT151" s="31">
        <f>$D$48/10000</f>
        <v/>
      </c>
      <c r="BU151" s="31">
        <f>$D$48/10000</f>
        <v/>
      </c>
      <c r="BV151" s="31">
        <f>$D$48/10000</f>
        <v/>
      </c>
      <c r="BW151" s="31">
        <f>$D$48/10000</f>
        <v/>
      </c>
      <c r="BX151" s="31">
        <f>$D$48/10000</f>
        <v/>
      </c>
      <c r="BY151" s="31">
        <f>$D$48/10000</f>
        <v/>
      </c>
      <c r="BZ151" s="31">
        <f>$D$48/10000</f>
        <v/>
      </c>
      <c r="CA151" s="31">
        <f>$D$48/10000</f>
        <v/>
      </c>
      <c r="CB151" s="31">
        <f>$D$48/10000</f>
        <v/>
      </c>
      <c r="CC151" s="31">
        <f>$D$48/10000</f>
        <v/>
      </c>
      <c r="CD151" s="31">
        <f>$D$48/10000</f>
        <v/>
      </c>
      <c r="CE151" s="31">
        <f>$D$48/10000</f>
        <v/>
      </c>
      <c r="CF151" s="31">
        <f>$D$48/10000</f>
        <v/>
      </c>
      <c r="CG151" s="31">
        <f>$D$48/10000</f>
        <v/>
      </c>
      <c r="CH151" s="31">
        <f>$D$48/10000</f>
        <v/>
      </c>
      <c r="CI151" s="31">
        <f>$D$48/10000</f>
        <v/>
      </c>
      <c r="CJ151" s="31">
        <f>$D$48/10000</f>
        <v/>
      </c>
      <c r="CK151" s="31">
        <f>$D$48/10000</f>
        <v/>
      </c>
      <c r="CL151" s="31">
        <f>$D$48/10000</f>
        <v/>
      </c>
      <c r="CM151" s="31">
        <f>$D$48/10000</f>
        <v/>
      </c>
      <c r="CN151" s="31">
        <f>$D$48/10000</f>
        <v/>
      </c>
      <c r="CO151" s="31">
        <f>$D$48/10000</f>
        <v/>
      </c>
      <c r="CP151" s="31">
        <f>$D$48/10000</f>
        <v/>
      </c>
      <c r="CQ151" s="31">
        <f>$D$48/10000</f>
        <v/>
      </c>
      <c r="CR151" s="31">
        <f>$D$48/10000</f>
        <v/>
      </c>
      <c r="CS151" s="31">
        <f>$D$48/10000</f>
        <v/>
      </c>
      <c r="CT151" s="31">
        <f>$D$48/10000</f>
        <v/>
      </c>
      <c r="CU151" s="31">
        <f>$D$48/10000</f>
        <v/>
      </c>
      <c r="CV151" s="31">
        <f>$D$48/10000</f>
        <v/>
      </c>
      <c r="CW151" s="31">
        <f>$D$48/10000</f>
        <v/>
      </c>
      <c r="CX151" s="31">
        <f>$D$48/10000</f>
        <v/>
      </c>
      <c r="CY151" s="31">
        <f>$D$48/10000</f>
        <v/>
      </c>
      <c r="CZ151" s="31">
        <f>$D$48/10000</f>
        <v/>
      </c>
      <c r="DA151" s="31">
        <f>$D$48/10000</f>
        <v/>
      </c>
      <c r="DB151" s="31">
        <f>$D$48/10000</f>
        <v/>
      </c>
      <c r="DC151" s="31">
        <f>$D$48/10000</f>
        <v/>
      </c>
      <c r="DD151" s="31">
        <f>$D$48/10000</f>
        <v/>
      </c>
      <c r="DE151" s="31">
        <f>$D$48/10000</f>
        <v/>
      </c>
      <c r="DF151" s="31">
        <f>$D$48/10000</f>
        <v/>
      </c>
      <c r="DG151" s="31">
        <f>$D$48/10000</f>
        <v/>
      </c>
      <c r="DH151" s="31">
        <f>$D$48/10000</f>
        <v/>
      </c>
      <c r="DI151" s="31">
        <f>$D$48/10000</f>
        <v/>
      </c>
      <c r="DJ151" s="31">
        <f>$D$48/10000</f>
        <v/>
      </c>
      <c r="DK151" s="31">
        <f>$D$48/10000</f>
        <v/>
      </c>
      <c r="DL151" s="31">
        <f>$D$48/10000</f>
        <v/>
      </c>
      <c r="DM151" s="31">
        <f>$D$48/10000</f>
        <v/>
      </c>
      <c r="DN151" s="31">
        <f>$D$48/10000</f>
        <v/>
      </c>
      <c r="DO151" s="31">
        <f>$D$48/10000</f>
        <v/>
      </c>
      <c r="DP151" s="31">
        <f>$D$48/10000</f>
        <v/>
      </c>
      <c r="DQ151" s="31">
        <f>$D$48/10000</f>
        <v/>
      </c>
      <c r="DR151" s="31">
        <f>$D$48/10000</f>
        <v/>
      </c>
      <c r="DS151" s="31">
        <f>$D$48/10000</f>
        <v/>
      </c>
      <c r="DT151" s="31">
        <f>$D$48/10000</f>
        <v/>
      </c>
      <c r="DU151" s="31">
        <f>$D$48/10000</f>
        <v/>
      </c>
      <c r="DV151" s="31">
        <f>$D$48/10000</f>
        <v/>
      </c>
      <c r="DW151" s="31">
        <f>$D$48/10000</f>
        <v/>
      </c>
      <c r="DX151" s="31">
        <f>$D$48/10000</f>
        <v/>
      </c>
      <c r="DY151" s="31">
        <f>$D$48/10000</f>
        <v/>
      </c>
      <c r="DZ151" s="31">
        <f>$D$48/10000</f>
        <v/>
      </c>
      <c r="EA151" s="31">
        <f>$D$48/10000</f>
        <v/>
      </c>
      <c r="EB151" s="31">
        <f>$D$48/10000</f>
        <v/>
      </c>
      <c r="EC151" s="31">
        <f>$D$48/10000</f>
        <v/>
      </c>
      <c r="ED151" s="31">
        <f>$D$48/10000</f>
        <v/>
      </c>
      <c r="EE151" s="31">
        <f>$D$48/10000</f>
        <v/>
      </c>
      <c r="EF151" s="31">
        <f>$D$48/10000</f>
        <v/>
      </c>
      <c r="EG151" s="31">
        <f>$D$48/10000</f>
        <v/>
      </c>
      <c r="EH151" s="31">
        <f>$D$48/10000</f>
        <v/>
      </c>
      <c r="EI151" s="31">
        <f>$D$48/10000</f>
        <v/>
      </c>
      <c r="EJ151" s="31">
        <f>$D$48/10000</f>
        <v/>
      </c>
      <c r="EK151" s="31">
        <f>$D$48/10000</f>
        <v/>
      </c>
      <c r="EL151" s="31">
        <f>$D$48/10000</f>
        <v/>
      </c>
      <c r="EM151" s="31">
        <f>$D$48/10000</f>
        <v/>
      </c>
      <c r="EN151" s="31">
        <f>$D$48/10000</f>
        <v/>
      </c>
      <c r="EO151" s="31">
        <f>$D$48/10000</f>
        <v/>
      </c>
      <c r="EP151" s="31">
        <f>$D$48/10000</f>
        <v/>
      </c>
      <c r="EQ151" s="31">
        <f>$D$48/10000</f>
        <v/>
      </c>
      <c r="ER151" s="31">
        <f>$D$48/10000</f>
        <v/>
      </c>
      <c r="ES151" s="31">
        <f>$D$48/10000</f>
        <v/>
      </c>
      <c r="ET151" s="31">
        <f>$D$48/10000</f>
        <v/>
      </c>
      <c r="EU151" s="31">
        <f>$D$48/10000</f>
        <v/>
      </c>
      <c r="EV151" s="31">
        <f>$D$48/10000</f>
        <v/>
      </c>
      <c r="EW151" s="31">
        <f>$D$48/10000</f>
        <v/>
      </c>
      <c r="EX151" s="31">
        <f>$D$48/10000</f>
        <v/>
      </c>
      <c r="EY151" s="31">
        <f>$D$48/10000</f>
        <v/>
      </c>
      <c r="EZ151" s="31">
        <f>$D$48/10000</f>
        <v/>
      </c>
      <c r="FA151" s="31">
        <f>$D$48/10000</f>
        <v/>
      </c>
      <c r="FB151" s="31">
        <f>$D$48/10000</f>
        <v/>
      </c>
    </row>
    <row r="152">
      <c r="A152" s="231" t="n"/>
      <c r="H152" s="58" t="n"/>
      <c r="I152" s="120" t="inlineStr">
        <is>
          <t>Interest Rate</t>
        </is>
      </c>
      <c r="J152" s="120" t="n"/>
      <c r="K152" s="13" t="n"/>
      <c r="L152" s="131" t="n"/>
      <c r="M152" s="13" t="n"/>
      <c r="N152" s="120" t="n"/>
      <c r="O152" s="120" t="n"/>
      <c r="P152" s="120" t="n"/>
      <c r="Q152" s="120" t="n"/>
      <c r="R152" s="120" t="n"/>
      <c r="S152" s="120" t="n"/>
      <c r="T152" s="120" t="n"/>
      <c r="U152" s="120" t="n"/>
      <c r="V152" s="120" t="n"/>
      <c r="W152" s="120" t="n"/>
      <c r="X152" s="120" t="n"/>
      <c r="Y152" s="13" t="n"/>
      <c r="Z152" s="121">
        <f>IF($C$48="Floating",SUM(Z150:Z151),$D$48)</f>
        <v/>
      </c>
      <c r="AA152" s="121">
        <f>IF($C$48="Floating",SUM(AA150:AA151),$D$48)</f>
        <v/>
      </c>
      <c r="AB152" s="121">
        <f>IF($C$48="Floating",SUM(AB150:AB151),$D$48)</f>
        <v/>
      </c>
      <c r="AC152" s="121">
        <f>IF($C$48="Floating",SUM(AC150:AC151),$D$48)</f>
        <v/>
      </c>
      <c r="AD152" s="121">
        <f>IF($C$48="Floating",SUM(AD150:AD151),$D$48)</f>
        <v/>
      </c>
      <c r="AE152" s="121">
        <f>IF($C$48="Floating",SUM(AE150:AE151),$D$48)</f>
        <v/>
      </c>
      <c r="AF152" s="121">
        <f>IF($C$48="Floating",SUM(AF150:AF151),$D$48)</f>
        <v/>
      </c>
      <c r="AG152" s="121">
        <f>IF($C$48="Floating",SUM(AG150:AG151),$D$48)</f>
        <v/>
      </c>
      <c r="AH152" s="121">
        <f>IF($C$48="Floating",SUM(AH150:AH151),$D$48)</f>
        <v/>
      </c>
      <c r="AI152" s="121">
        <f>IF($C$48="Floating",SUM(AI150:AI151),$D$48)</f>
        <v/>
      </c>
      <c r="AJ152" s="121">
        <f>IF($C$48="Floating",SUM(AJ150:AJ151),$D$48)</f>
        <v/>
      </c>
      <c r="AK152" s="121">
        <f>IF($C$48="Floating",SUM(AK150:AK151),$D$48)</f>
        <v/>
      </c>
      <c r="AL152" s="121">
        <f>IF($C$48="Floating",SUM(AL150:AL151),$D$48)</f>
        <v/>
      </c>
      <c r="AM152" s="121">
        <f>IF($C$48="Floating",SUM(AM150:AM151),$D$48)</f>
        <v/>
      </c>
      <c r="AN152" s="121">
        <f>IF($C$48="Floating",SUM(AN150:AN151),$D$48)</f>
        <v/>
      </c>
      <c r="AO152" s="121">
        <f>IF($C$48="Floating",SUM(AO150:AO151),$D$48)</f>
        <v/>
      </c>
      <c r="AP152" s="121">
        <f>IF($C$48="Floating",SUM(AP150:AP151),$D$48)</f>
        <v/>
      </c>
      <c r="AQ152" s="121">
        <f>IF($C$48="Floating",SUM(AQ150:AQ151),$D$48)</f>
        <v/>
      </c>
      <c r="AR152" s="121">
        <f>IF($C$48="Floating",SUM(AR150:AR151),$D$48)</f>
        <v/>
      </c>
      <c r="AS152" s="121">
        <f>IF($C$48="Floating",SUM(AS150:AS151),$D$48)</f>
        <v/>
      </c>
      <c r="AT152" s="121">
        <f>IF($C$48="Floating",SUM(AT150:AT151),$D$48)</f>
        <v/>
      </c>
      <c r="AU152" s="121">
        <f>IF($C$48="Floating",SUM(AU150:AU151),$D$48)</f>
        <v/>
      </c>
      <c r="AV152" s="121">
        <f>IF($C$48="Floating",SUM(AV150:AV151),$D$48)</f>
        <v/>
      </c>
      <c r="AW152" s="121">
        <f>IF($C$48="Floating",SUM(AW150:AW151),$D$48)</f>
        <v/>
      </c>
      <c r="AX152" s="121">
        <f>IF($C$48="Floating",SUM(AX150:AX151),$D$48)</f>
        <v/>
      </c>
      <c r="AY152" s="121">
        <f>IF($C$48="Floating",SUM(AY150:AY151),$D$48)</f>
        <v/>
      </c>
      <c r="AZ152" s="121">
        <f>IF($C$48="Floating",SUM(AZ150:AZ151),$D$48)</f>
        <v/>
      </c>
      <c r="BA152" s="121">
        <f>IF($C$48="Floating",SUM(BA150:BA151),$D$48)</f>
        <v/>
      </c>
      <c r="BB152" s="121">
        <f>IF($C$48="Floating",SUM(BB150:BB151),$D$48)</f>
        <v/>
      </c>
      <c r="BC152" s="121">
        <f>IF($C$48="Floating",SUM(BC150:BC151),$D$48)</f>
        <v/>
      </c>
      <c r="BD152" s="121">
        <f>IF($C$48="Floating",SUM(BD150:BD151),$D$48)</f>
        <v/>
      </c>
      <c r="BE152" s="121">
        <f>IF($C$48="Floating",SUM(BE150:BE151),$D$48)</f>
        <v/>
      </c>
      <c r="BF152" s="121">
        <f>IF($C$48="Floating",SUM(BF150:BF151),$D$48)</f>
        <v/>
      </c>
      <c r="BG152" s="121">
        <f>IF($C$48="Floating",SUM(BG150:BG151),$D$48)</f>
        <v/>
      </c>
      <c r="BH152" s="121">
        <f>IF($C$48="Floating",SUM(BH150:BH151),$D$48)</f>
        <v/>
      </c>
      <c r="BI152" s="121">
        <f>IF($C$48="Floating",SUM(BI150:BI151),$D$48)</f>
        <v/>
      </c>
      <c r="BJ152" s="121">
        <f>IF($C$48="Floating",SUM(BJ150:BJ151),$D$48)</f>
        <v/>
      </c>
      <c r="BK152" s="121">
        <f>IF($C$48="Floating",SUM(BK150:BK151),$D$48)</f>
        <v/>
      </c>
      <c r="BL152" s="121">
        <f>IF($C$48="Floating",SUM(BL150:BL151),$D$48)</f>
        <v/>
      </c>
      <c r="BM152" s="121">
        <f>IF($C$48="Floating",SUM(BM150:BM151),$D$48)</f>
        <v/>
      </c>
      <c r="BN152" s="121">
        <f>IF($C$48="Floating",SUM(BN150:BN151),$D$48)</f>
        <v/>
      </c>
      <c r="BO152" s="121">
        <f>IF($C$48="Floating",SUM(BO150:BO151),$D$48)</f>
        <v/>
      </c>
      <c r="BP152" s="121">
        <f>IF($C$48="Floating",SUM(BP150:BP151),$D$48)</f>
        <v/>
      </c>
      <c r="BQ152" s="121">
        <f>IF($C$48="Floating",SUM(BQ150:BQ151),$D$48)</f>
        <v/>
      </c>
      <c r="BR152" s="121">
        <f>IF($C$48="Floating",SUM(BR150:BR151),$D$48)</f>
        <v/>
      </c>
      <c r="BS152" s="121">
        <f>IF($C$48="Floating",SUM(BS150:BS151),$D$48)</f>
        <v/>
      </c>
      <c r="BT152" s="121">
        <f>IF($C$48="Floating",SUM(BT150:BT151),$D$48)</f>
        <v/>
      </c>
      <c r="BU152" s="121">
        <f>IF($C$48="Floating",SUM(BU150:BU151),$D$48)</f>
        <v/>
      </c>
      <c r="BV152" s="121">
        <f>IF($C$48="Floating",SUM(BV150:BV151),$D$48)</f>
        <v/>
      </c>
      <c r="BW152" s="121">
        <f>IF($C$48="Floating",SUM(BW150:BW151),$D$48)</f>
        <v/>
      </c>
      <c r="BX152" s="121">
        <f>IF($C$48="Floating",SUM(BX150:BX151),$D$48)</f>
        <v/>
      </c>
      <c r="BY152" s="121">
        <f>IF($C$48="Floating",SUM(BY150:BY151),$D$48)</f>
        <v/>
      </c>
      <c r="BZ152" s="121">
        <f>IF($C$48="Floating",SUM(BZ150:BZ151),$D$48)</f>
        <v/>
      </c>
      <c r="CA152" s="121">
        <f>IF($C$48="Floating",SUM(CA150:CA151),$D$48)</f>
        <v/>
      </c>
      <c r="CB152" s="121">
        <f>IF($C$48="Floating",SUM(CB150:CB151),$D$48)</f>
        <v/>
      </c>
      <c r="CC152" s="121">
        <f>IF($C$48="Floating",SUM(CC150:CC151),$D$48)</f>
        <v/>
      </c>
      <c r="CD152" s="121">
        <f>IF($C$48="Floating",SUM(CD150:CD151),$D$48)</f>
        <v/>
      </c>
      <c r="CE152" s="121">
        <f>IF($C$48="Floating",SUM(CE150:CE151),$D$48)</f>
        <v/>
      </c>
      <c r="CF152" s="121">
        <f>IF($C$48="Floating",SUM(CF150:CF151),$D$48)</f>
        <v/>
      </c>
      <c r="CG152" s="121">
        <f>IF($C$48="Floating",SUM(CG150:CG151),$D$48)</f>
        <v/>
      </c>
      <c r="CH152" s="121">
        <f>IF($C$48="Floating",SUM(CH150:CH151),$D$48)</f>
        <v/>
      </c>
      <c r="CI152" s="121">
        <f>IF($C$48="Floating",SUM(CI150:CI151),$D$48)</f>
        <v/>
      </c>
      <c r="CJ152" s="121">
        <f>IF($C$48="Floating",SUM(CJ150:CJ151),$D$48)</f>
        <v/>
      </c>
      <c r="CK152" s="121">
        <f>IF($C$48="Floating",SUM(CK150:CK151),$D$48)</f>
        <v/>
      </c>
      <c r="CL152" s="121">
        <f>IF($C$48="Floating",SUM(CL150:CL151),$D$48)</f>
        <v/>
      </c>
      <c r="CM152" s="121">
        <f>IF($C$48="Floating",SUM(CM150:CM151),$D$48)</f>
        <v/>
      </c>
      <c r="CN152" s="121">
        <f>IF($C$48="Floating",SUM(CN150:CN151),$D$48)</f>
        <v/>
      </c>
      <c r="CO152" s="121">
        <f>IF($C$48="Floating",SUM(CO150:CO151),$D$48)</f>
        <v/>
      </c>
      <c r="CP152" s="121">
        <f>IF($C$48="Floating",SUM(CP150:CP151),$D$48)</f>
        <v/>
      </c>
      <c r="CQ152" s="121">
        <f>IF($C$48="Floating",SUM(CQ150:CQ151),$D$48)</f>
        <v/>
      </c>
      <c r="CR152" s="121">
        <f>IF($C$48="Floating",SUM(CR150:CR151),$D$48)</f>
        <v/>
      </c>
      <c r="CS152" s="121">
        <f>IF($C$48="Floating",SUM(CS150:CS151),$D$48)</f>
        <v/>
      </c>
      <c r="CT152" s="121">
        <f>IF($C$48="Floating",SUM(CT150:CT151),$D$48)</f>
        <v/>
      </c>
      <c r="CU152" s="121">
        <f>IF($C$48="Floating",SUM(CU150:CU151),$D$48)</f>
        <v/>
      </c>
      <c r="CV152" s="121">
        <f>IF($C$48="Floating",SUM(CV150:CV151),$D$48)</f>
        <v/>
      </c>
      <c r="CW152" s="121">
        <f>IF($C$48="Floating",SUM(CW150:CW151),$D$48)</f>
        <v/>
      </c>
      <c r="CX152" s="121">
        <f>IF($C$48="Floating",SUM(CX150:CX151),$D$48)</f>
        <v/>
      </c>
      <c r="CY152" s="121">
        <f>IF($C$48="Floating",SUM(CY150:CY151),$D$48)</f>
        <v/>
      </c>
      <c r="CZ152" s="121">
        <f>IF($C$48="Floating",SUM(CZ150:CZ151),$D$48)</f>
        <v/>
      </c>
      <c r="DA152" s="121">
        <f>IF($C$48="Floating",SUM(DA150:DA151),$D$48)</f>
        <v/>
      </c>
      <c r="DB152" s="121">
        <f>IF($C$48="Floating",SUM(DB150:DB151),$D$48)</f>
        <v/>
      </c>
      <c r="DC152" s="121">
        <f>IF($C$48="Floating",SUM(DC150:DC151),$D$48)</f>
        <v/>
      </c>
      <c r="DD152" s="121">
        <f>IF($C$48="Floating",SUM(DD150:DD151),$D$48)</f>
        <v/>
      </c>
      <c r="DE152" s="121">
        <f>IF($C$48="Floating",SUM(DE150:DE151),$D$48)</f>
        <v/>
      </c>
      <c r="DF152" s="121">
        <f>IF($C$48="Floating",SUM(DF150:DF151),$D$48)</f>
        <v/>
      </c>
      <c r="DG152" s="121">
        <f>IF($C$48="Floating",SUM(DG150:DG151),$D$48)</f>
        <v/>
      </c>
      <c r="DH152" s="121">
        <f>IF($C$48="Floating",SUM(DH150:DH151),$D$48)</f>
        <v/>
      </c>
      <c r="DI152" s="121">
        <f>IF($C$48="Floating",SUM(DI150:DI151),$D$48)</f>
        <v/>
      </c>
      <c r="DJ152" s="121">
        <f>IF($C$48="Floating",SUM(DJ150:DJ151),$D$48)</f>
        <v/>
      </c>
      <c r="DK152" s="121">
        <f>IF($C$48="Floating",SUM(DK150:DK151),$D$48)</f>
        <v/>
      </c>
      <c r="DL152" s="121">
        <f>IF($C$48="Floating",SUM(DL150:DL151),$D$48)</f>
        <v/>
      </c>
      <c r="DM152" s="121">
        <f>IF($C$48="Floating",SUM(DM150:DM151),$D$48)</f>
        <v/>
      </c>
      <c r="DN152" s="121">
        <f>IF($C$48="Floating",SUM(DN150:DN151),$D$48)</f>
        <v/>
      </c>
      <c r="DO152" s="121">
        <f>IF($C$48="Floating",SUM(DO150:DO151),$D$48)</f>
        <v/>
      </c>
      <c r="DP152" s="121">
        <f>IF($C$48="Floating",SUM(DP150:DP151),$D$48)</f>
        <v/>
      </c>
      <c r="DQ152" s="121">
        <f>IF($C$48="Floating",SUM(DQ150:DQ151),$D$48)</f>
        <v/>
      </c>
      <c r="DR152" s="121">
        <f>IF($C$48="Floating",SUM(DR150:DR151),$D$48)</f>
        <v/>
      </c>
      <c r="DS152" s="121">
        <f>IF($C$48="Floating",SUM(DS150:DS151),$D$48)</f>
        <v/>
      </c>
      <c r="DT152" s="121">
        <f>IF($C$48="Floating",SUM(DT150:DT151),$D$48)</f>
        <v/>
      </c>
      <c r="DU152" s="121">
        <f>IF($C$48="Floating",SUM(DU150:DU151),$D$48)</f>
        <v/>
      </c>
      <c r="DV152" s="121">
        <f>IF($C$48="Floating",SUM(DV150:DV151),$D$48)</f>
        <v/>
      </c>
      <c r="DW152" s="121">
        <f>IF($C$48="Floating",SUM(DW150:DW151),$D$48)</f>
        <v/>
      </c>
      <c r="DX152" s="121">
        <f>IF($C$48="Floating",SUM(DX150:DX151),$D$48)</f>
        <v/>
      </c>
      <c r="DY152" s="121">
        <f>IF($C$48="Floating",SUM(DY150:DY151),$D$48)</f>
        <v/>
      </c>
      <c r="DZ152" s="121">
        <f>IF($C$48="Floating",SUM(DZ150:DZ151),$D$48)</f>
        <v/>
      </c>
      <c r="EA152" s="121">
        <f>IF($C$48="Floating",SUM(EA150:EA151),$D$48)</f>
        <v/>
      </c>
      <c r="EB152" s="121">
        <f>IF($C$48="Floating",SUM(EB150:EB151),$D$48)</f>
        <v/>
      </c>
      <c r="EC152" s="121">
        <f>IF($C$48="Floating",SUM(EC150:EC151),$D$48)</f>
        <v/>
      </c>
      <c r="ED152" s="121">
        <f>IF($C$48="Floating",SUM(ED150:ED151),$D$48)</f>
        <v/>
      </c>
      <c r="EE152" s="121">
        <f>IF($C$48="Floating",SUM(EE150:EE151),$D$48)</f>
        <v/>
      </c>
      <c r="EF152" s="121">
        <f>IF($C$48="Floating",SUM(EF150:EF151),$D$48)</f>
        <v/>
      </c>
      <c r="EG152" s="121">
        <f>IF($C$48="Floating",SUM(EG150:EG151),$D$48)</f>
        <v/>
      </c>
      <c r="EH152" s="121">
        <f>IF($C$48="Floating",SUM(EH150:EH151),$D$48)</f>
        <v/>
      </c>
      <c r="EI152" s="121">
        <f>IF($C$48="Floating",SUM(EI150:EI151),$D$48)</f>
        <v/>
      </c>
      <c r="EJ152" s="121">
        <f>IF($C$48="Floating",SUM(EJ150:EJ151),$D$48)</f>
        <v/>
      </c>
      <c r="EK152" s="121">
        <f>IF($C$48="Floating",SUM(EK150:EK151),$D$48)</f>
        <v/>
      </c>
      <c r="EL152" s="121">
        <f>IF($C$48="Floating",SUM(EL150:EL151),$D$48)</f>
        <v/>
      </c>
      <c r="EM152" s="121">
        <f>IF($C$48="Floating",SUM(EM150:EM151),$D$48)</f>
        <v/>
      </c>
      <c r="EN152" s="121">
        <f>IF($C$48="Floating",SUM(EN150:EN151),$D$48)</f>
        <v/>
      </c>
      <c r="EO152" s="121">
        <f>IF($C$48="Floating",SUM(EO150:EO151),$D$48)</f>
        <v/>
      </c>
      <c r="EP152" s="121">
        <f>IF($C$48="Floating",SUM(EP150:EP151),$D$48)</f>
        <v/>
      </c>
      <c r="EQ152" s="121">
        <f>IF($C$48="Floating",SUM(EQ150:EQ151),$D$48)</f>
        <v/>
      </c>
      <c r="ER152" s="121">
        <f>IF($C$48="Floating",SUM(ER150:ER151),$D$48)</f>
        <v/>
      </c>
      <c r="ES152" s="121">
        <f>IF($C$48="Floating",SUM(ES150:ES151),$D$48)</f>
        <v/>
      </c>
      <c r="ET152" s="121">
        <f>IF($C$48="Floating",SUM(ET150:ET151),$D$48)</f>
        <v/>
      </c>
      <c r="EU152" s="121">
        <f>IF($C$48="Floating",SUM(EU150:EU151),$D$48)</f>
        <v/>
      </c>
      <c r="EV152" s="121">
        <f>IF($C$48="Floating",SUM(EV150:EV151),$D$48)</f>
        <v/>
      </c>
      <c r="EW152" s="121">
        <f>IF($C$48="Floating",SUM(EW150:EW151),$D$48)</f>
        <v/>
      </c>
      <c r="EX152" s="121">
        <f>IF($C$48="Floating",SUM(EX150:EX151),$D$48)</f>
        <v/>
      </c>
      <c r="EY152" s="121">
        <f>IF($C$48="Floating",SUM(EY150:EY151),$D$48)</f>
        <v/>
      </c>
      <c r="EZ152" s="121">
        <f>IF($C$48="Floating",SUM(EZ150:EZ151),$D$48)</f>
        <v/>
      </c>
      <c r="FA152" s="121">
        <f>IF($C$48="Floating",SUM(FA150:FA151),$D$48)</f>
        <v/>
      </c>
      <c r="FB152" s="121">
        <f>IF($C$48="Floating",SUM(FB150:FB151),$D$48)</f>
        <v/>
      </c>
    </row>
    <row r="153">
      <c r="A153" s="231" t="n"/>
      <c r="H153" s="55" t="n"/>
    </row>
    <row r="154" customFormat="1" s="44">
      <c r="A154" s="24" t="n"/>
      <c r="B154" s="9" t="n"/>
      <c r="C154" s="9" t="n"/>
      <c r="D154" s="9" t="n"/>
      <c r="E154" s="9" t="n"/>
      <c r="F154" s="9" t="n"/>
      <c r="G154" s="9" t="n"/>
      <c r="H154" s="55" t="n"/>
      <c r="I154" s="15" t="inlineStr">
        <is>
          <t>Senior Loan</t>
        </is>
      </c>
      <c r="J154" s="9" t="n"/>
      <c r="K154" s="11" t="n"/>
      <c r="L154" s="24" t="n"/>
      <c r="M154" s="11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11" t="n"/>
      <c r="Z154" s="9" t="n"/>
      <c r="AA154" s="9" t="n"/>
      <c r="AB154" s="9" t="n"/>
      <c r="AC154" s="9" t="n"/>
      <c r="AD154" s="9" t="n"/>
      <c r="AE154" s="9" t="n"/>
      <c r="AF154" s="9" t="n"/>
      <c r="AG154" s="9" t="n"/>
      <c r="AH154" s="9" t="n"/>
      <c r="AI154" s="9" t="n"/>
      <c r="AJ154" s="9" t="n"/>
      <c r="AK154" s="9" t="n"/>
      <c r="AL154" s="9" t="n"/>
      <c r="AM154" s="9" t="n"/>
      <c r="AN154" s="9" t="n"/>
      <c r="AO154" s="9" t="n"/>
      <c r="AP154" s="9" t="n"/>
      <c r="AQ154" s="9" t="n"/>
      <c r="AR154" s="9" t="n"/>
      <c r="AS154" s="9" t="n"/>
      <c r="AT154" s="9" t="n"/>
      <c r="AU154" s="9" t="n"/>
      <c r="AV154" s="9" t="n"/>
      <c r="AW154" s="9" t="n"/>
      <c r="AX154" s="9" t="n"/>
      <c r="AY154" s="9" t="n"/>
      <c r="AZ154" s="9" t="n"/>
      <c r="BA154" s="9" t="n"/>
      <c r="BB154" s="9" t="n"/>
      <c r="BC154" s="9" t="n"/>
      <c r="BD154" s="9" t="n"/>
      <c r="BE154" s="9" t="n"/>
      <c r="BF154" s="9" t="n"/>
      <c r="BG154" s="9" t="n"/>
      <c r="BH154" s="9" t="n"/>
      <c r="BI154" s="9" t="n"/>
      <c r="BJ154" s="9" t="n"/>
      <c r="BK154" s="9" t="n"/>
      <c r="BL154" s="9" t="n"/>
      <c r="BM154" s="9" t="n"/>
      <c r="BN154" s="9" t="n"/>
      <c r="BO154" s="9" t="n"/>
      <c r="BP154" s="9" t="n"/>
      <c r="BQ154" s="9" t="n"/>
      <c r="BR154" s="9" t="n"/>
      <c r="BS154" s="9" t="n"/>
      <c r="BT154" s="9" t="n"/>
      <c r="BU154" s="9" t="n"/>
      <c r="BV154" s="9" t="n"/>
      <c r="BW154" s="9" t="n"/>
      <c r="BX154" s="9" t="n"/>
      <c r="BY154" s="9" t="n"/>
      <c r="BZ154" s="9" t="n"/>
      <c r="CA154" s="9" t="n"/>
      <c r="CB154" s="9" t="n"/>
      <c r="CC154" s="9" t="n"/>
      <c r="CD154" s="9" t="n"/>
      <c r="CE154" s="9" t="n"/>
      <c r="CF154" s="9" t="n"/>
      <c r="CG154" s="9" t="n"/>
      <c r="CH154" s="9" t="n"/>
      <c r="CI154" s="9" t="n"/>
      <c r="CJ154" s="9" t="n"/>
      <c r="CK154" s="9" t="n"/>
      <c r="CL154" s="9" t="n"/>
      <c r="CM154" s="9" t="n"/>
      <c r="CN154" s="9" t="n"/>
      <c r="CO154" s="9" t="n"/>
      <c r="CP154" s="9" t="n"/>
      <c r="CQ154" s="9" t="n"/>
      <c r="CR154" s="9" t="n"/>
      <c r="CS154" s="9" t="n"/>
      <c r="CT154" s="9" t="n"/>
      <c r="CU154" s="9" t="n"/>
      <c r="CV154" s="9" t="n"/>
      <c r="CW154" s="9" t="n"/>
      <c r="CX154" s="9" t="n"/>
      <c r="CY154" s="9" t="n"/>
      <c r="CZ154" s="9" t="n"/>
      <c r="DA154" s="9" t="n"/>
      <c r="DB154" s="9" t="n"/>
      <c r="DC154" s="9" t="n"/>
      <c r="DD154" s="9" t="n"/>
      <c r="DE154" s="9" t="n"/>
      <c r="DF154" s="9" t="n"/>
      <c r="DG154" s="9" t="n"/>
      <c r="DH154" s="9" t="n"/>
      <c r="DI154" s="9" t="n"/>
      <c r="DJ154" s="9" t="n"/>
      <c r="DK154" s="9" t="n"/>
      <c r="DL154" s="9" t="n"/>
      <c r="DM154" s="9" t="n"/>
      <c r="DN154" s="9" t="n"/>
      <c r="DO154" s="9" t="n"/>
      <c r="DP154" s="9" t="n"/>
      <c r="DQ154" s="9" t="n"/>
      <c r="DR154" s="9" t="n"/>
      <c r="DS154" s="9" t="n"/>
      <c r="DT154" s="9" t="n"/>
      <c r="DU154" s="9" t="n"/>
      <c r="DV154" s="9" t="n"/>
      <c r="DW154" s="9" t="n"/>
      <c r="DX154" s="9" t="n"/>
      <c r="DY154" s="9" t="n"/>
      <c r="DZ154" s="9" t="n"/>
      <c r="EA154" s="9" t="n"/>
      <c r="EB154" s="9" t="n"/>
      <c r="EC154" s="9" t="n"/>
      <c r="ED154" s="9" t="n"/>
      <c r="EE154" s="9" t="n"/>
      <c r="EF154" s="9" t="n"/>
      <c r="EG154" s="9" t="n"/>
      <c r="EH154" s="9" t="n"/>
      <c r="EI154" s="9" t="n"/>
      <c r="EJ154" s="9" t="n"/>
      <c r="EK154" s="9" t="n"/>
      <c r="EL154" s="9" t="n"/>
      <c r="EM154" s="9" t="n"/>
      <c r="EN154" s="9" t="n"/>
      <c r="EO154" s="9" t="n"/>
      <c r="EP154" s="9" t="n"/>
      <c r="EQ154" s="9" t="n"/>
      <c r="ER154" s="9" t="n"/>
      <c r="ES154" s="9" t="n"/>
      <c r="ET154" s="9" t="n"/>
      <c r="EU154" s="9" t="n"/>
      <c r="EV154" s="9" t="n"/>
      <c r="EW154" s="9" t="n"/>
      <c r="EX154" s="9" t="n"/>
      <c r="EY154" s="9" t="n"/>
      <c r="EZ154" s="9" t="n"/>
      <c r="FA154" s="9" t="n"/>
      <c r="FB154" s="9" t="n"/>
    </row>
    <row r="155" ht="16" customHeight="1">
      <c r="A155" s="232" t="n"/>
      <c r="I155" s="9" t="inlineStr">
        <is>
          <t>Loan BOE</t>
        </is>
      </c>
      <c r="Z155" s="24" t="n">
        <v>0</v>
      </c>
      <c r="AA155" s="24">
        <f>Z161</f>
        <v/>
      </c>
      <c r="AB155" s="24">
        <f>AA161</f>
        <v/>
      </c>
      <c r="AC155" s="24">
        <f>AB161</f>
        <v/>
      </c>
      <c r="AD155" s="24">
        <f>AC161</f>
        <v/>
      </c>
      <c r="AE155" s="24">
        <f>AD161</f>
        <v/>
      </c>
      <c r="AF155" s="24">
        <f>AE161</f>
        <v/>
      </c>
      <c r="AG155" s="24">
        <f>AF161</f>
        <v/>
      </c>
      <c r="AH155" s="24">
        <f>AG161</f>
        <v/>
      </c>
      <c r="AI155" s="24">
        <f>AH161</f>
        <v/>
      </c>
      <c r="AJ155" s="24">
        <f>AI161</f>
        <v/>
      </c>
      <c r="AK155" s="24">
        <f>AJ161</f>
        <v/>
      </c>
      <c r="AL155" s="24">
        <f>AK161</f>
        <v/>
      </c>
      <c r="AM155" s="24">
        <f>AL161</f>
        <v/>
      </c>
      <c r="AN155" s="24">
        <f>AM161</f>
        <v/>
      </c>
      <c r="AO155" s="24">
        <f>AN161</f>
        <v/>
      </c>
      <c r="AP155" s="24">
        <f>AO161</f>
        <v/>
      </c>
      <c r="AQ155" s="24">
        <f>AP161</f>
        <v/>
      </c>
      <c r="AR155" s="24">
        <f>AQ161</f>
        <v/>
      </c>
      <c r="AS155" s="24">
        <f>AR161</f>
        <v/>
      </c>
      <c r="AT155" s="24">
        <f>AS161</f>
        <v/>
      </c>
      <c r="AU155" s="24">
        <f>AT161</f>
        <v/>
      </c>
      <c r="AV155" s="24">
        <f>AU161</f>
        <v/>
      </c>
      <c r="AW155" s="24">
        <f>AV161</f>
        <v/>
      </c>
      <c r="AX155" s="24">
        <f>AW161</f>
        <v/>
      </c>
      <c r="AY155" s="24">
        <f>AX161</f>
        <v/>
      </c>
      <c r="AZ155" s="24">
        <f>AY161</f>
        <v/>
      </c>
      <c r="BA155" s="24">
        <f>AZ161</f>
        <v/>
      </c>
      <c r="BB155" s="24">
        <f>BA161</f>
        <v/>
      </c>
      <c r="BC155" s="24">
        <f>BB161</f>
        <v/>
      </c>
      <c r="BD155" s="24">
        <f>BC161</f>
        <v/>
      </c>
      <c r="BE155" s="24">
        <f>BD161</f>
        <v/>
      </c>
      <c r="BF155" s="24">
        <f>BE161</f>
        <v/>
      </c>
      <c r="BG155" s="24">
        <f>BF161</f>
        <v/>
      </c>
      <c r="BH155" s="24">
        <f>BG161</f>
        <v/>
      </c>
      <c r="BI155" s="24">
        <f>BH161</f>
        <v/>
      </c>
      <c r="BJ155" s="24">
        <f>BI161</f>
        <v/>
      </c>
      <c r="BK155" s="24">
        <f>BJ161</f>
        <v/>
      </c>
      <c r="BL155" s="24">
        <f>BK161</f>
        <v/>
      </c>
      <c r="BM155" s="24">
        <f>BL161</f>
        <v/>
      </c>
      <c r="BN155" s="24">
        <f>BM161</f>
        <v/>
      </c>
      <c r="BO155" s="24">
        <f>BN161</f>
        <v/>
      </c>
      <c r="BP155" s="24">
        <f>BO161</f>
        <v/>
      </c>
      <c r="BQ155" s="24">
        <f>BP161</f>
        <v/>
      </c>
      <c r="BR155" s="24">
        <f>BQ161</f>
        <v/>
      </c>
      <c r="BS155" s="24">
        <f>BR161</f>
        <v/>
      </c>
      <c r="BT155" s="24">
        <f>BS161</f>
        <v/>
      </c>
      <c r="BU155" s="24">
        <f>BT161</f>
        <v/>
      </c>
      <c r="BV155" s="24">
        <f>BU161</f>
        <v/>
      </c>
      <c r="BW155" s="24">
        <f>BV161</f>
        <v/>
      </c>
      <c r="BX155" s="24">
        <f>BW161</f>
        <v/>
      </c>
      <c r="BY155" s="24">
        <f>BX161</f>
        <v/>
      </c>
      <c r="BZ155" s="24">
        <f>BY161</f>
        <v/>
      </c>
      <c r="CA155" s="24">
        <f>BZ161</f>
        <v/>
      </c>
      <c r="CB155" s="24">
        <f>CA161</f>
        <v/>
      </c>
      <c r="CC155" s="24">
        <f>CB161</f>
        <v/>
      </c>
      <c r="CD155" s="24">
        <f>CC161</f>
        <v/>
      </c>
      <c r="CE155" s="24">
        <f>CD161</f>
        <v/>
      </c>
      <c r="CF155" s="24">
        <f>CE161</f>
        <v/>
      </c>
      <c r="CG155" s="24">
        <f>CF161</f>
        <v/>
      </c>
      <c r="CH155" s="24">
        <f>CG161</f>
        <v/>
      </c>
      <c r="CI155" s="24">
        <f>CH161</f>
        <v/>
      </c>
      <c r="CJ155" s="24">
        <f>CI161</f>
        <v/>
      </c>
      <c r="CK155" s="24">
        <f>CJ161</f>
        <v/>
      </c>
      <c r="CL155" s="24">
        <f>CK161</f>
        <v/>
      </c>
      <c r="CM155" s="24">
        <f>CL161</f>
        <v/>
      </c>
      <c r="CN155" s="24">
        <f>CM161</f>
        <v/>
      </c>
      <c r="CO155" s="24">
        <f>CN161</f>
        <v/>
      </c>
      <c r="CP155" s="24">
        <f>CO161</f>
        <v/>
      </c>
      <c r="CQ155" s="24">
        <f>CP161</f>
        <v/>
      </c>
      <c r="CR155" s="24">
        <f>CQ161</f>
        <v/>
      </c>
      <c r="CS155" s="24">
        <f>CR161</f>
        <v/>
      </c>
      <c r="CT155" s="24">
        <f>CS161</f>
        <v/>
      </c>
      <c r="CU155" s="24">
        <f>CT161</f>
        <v/>
      </c>
      <c r="CV155" s="24">
        <f>CU161</f>
        <v/>
      </c>
      <c r="CW155" s="24">
        <f>CV161</f>
        <v/>
      </c>
      <c r="CX155" s="24">
        <f>CW161</f>
        <v/>
      </c>
      <c r="CY155" s="24">
        <f>CX161</f>
        <v/>
      </c>
      <c r="CZ155" s="24">
        <f>CY161</f>
        <v/>
      </c>
      <c r="DA155" s="24">
        <f>CZ161</f>
        <v/>
      </c>
      <c r="DB155" s="24">
        <f>DA161</f>
        <v/>
      </c>
      <c r="DC155" s="24">
        <f>DB161</f>
        <v/>
      </c>
      <c r="DD155" s="24">
        <f>DC161</f>
        <v/>
      </c>
      <c r="DE155" s="24">
        <f>DD161</f>
        <v/>
      </c>
      <c r="DF155" s="24">
        <f>DE161</f>
        <v/>
      </c>
      <c r="DG155" s="24">
        <f>DF161</f>
        <v/>
      </c>
      <c r="DH155" s="24">
        <f>DG161</f>
        <v/>
      </c>
      <c r="DI155" s="24">
        <f>DH161</f>
        <v/>
      </c>
      <c r="DJ155" s="24">
        <f>DI161</f>
        <v/>
      </c>
      <c r="DK155" s="24">
        <f>DJ161</f>
        <v/>
      </c>
      <c r="DL155" s="24">
        <f>DK161</f>
        <v/>
      </c>
      <c r="DM155" s="24">
        <f>DL161</f>
        <v/>
      </c>
      <c r="DN155" s="24">
        <f>DM161</f>
        <v/>
      </c>
      <c r="DO155" s="24">
        <f>DN161</f>
        <v/>
      </c>
      <c r="DP155" s="24">
        <f>DO161</f>
        <v/>
      </c>
      <c r="DQ155" s="24">
        <f>DP161</f>
        <v/>
      </c>
      <c r="DR155" s="24">
        <f>DQ161</f>
        <v/>
      </c>
      <c r="DS155" s="24">
        <f>DR161</f>
        <v/>
      </c>
      <c r="DT155" s="24">
        <f>DS161</f>
        <v/>
      </c>
      <c r="DU155" s="24">
        <f>DT161</f>
        <v/>
      </c>
      <c r="DV155" s="24">
        <f>DU161</f>
        <v/>
      </c>
      <c r="DW155" s="24">
        <f>DV161</f>
        <v/>
      </c>
      <c r="DX155" s="24">
        <f>DW161</f>
        <v/>
      </c>
      <c r="DY155" s="24">
        <f>DX161</f>
        <v/>
      </c>
      <c r="DZ155" s="24">
        <f>DY161</f>
        <v/>
      </c>
      <c r="EA155" s="24">
        <f>DZ161</f>
        <v/>
      </c>
      <c r="EB155" s="24">
        <f>EA161</f>
        <v/>
      </c>
      <c r="EC155" s="24">
        <f>EB161</f>
        <v/>
      </c>
      <c r="ED155" s="24">
        <f>EC161</f>
        <v/>
      </c>
      <c r="EE155" s="24">
        <f>ED161</f>
        <v/>
      </c>
      <c r="EF155" s="24">
        <f>EE161</f>
        <v/>
      </c>
      <c r="EG155" s="24">
        <f>EF161</f>
        <v/>
      </c>
      <c r="EH155" s="24">
        <f>EG161</f>
        <v/>
      </c>
      <c r="EI155" s="24">
        <f>EH161</f>
        <v/>
      </c>
      <c r="EJ155" s="24">
        <f>EI161</f>
        <v/>
      </c>
      <c r="EK155" s="24">
        <f>EJ161</f>
        <v/>
      </c>
      <c r="EL155" s="24">
        <f>EK161</f>
        <v/>
      </c>
      <c r="EM155" s="24">
        <f>EL161</f>
        <v/>
      </c>
      <c r="EN155" s="24">
        <f>EM161</f>
        <v/>
      </c>
      <c r="EO155" s="24">
        <f>EN161</f>
        <v/>
      </c>
      <c r="EP155" s="24">
        <f>EO161</f>
        <v/>
      </c>
      <c r="EQ155" s="24">
        <f>EP161</f>
        <v/>
      </c>
      <c r="ER155" s="24">
        <f>EQ161</f>
        <v/>
      </c>
      <c r="ES155" s="24">
        <f>ER161</f>
        <v/>
      </c>
      <c r="ET155" s="24">
        <f>ES161</f>
        <v/>
      </c>
      <c r="EU155" s="24">
        <f>ET161</f>
        <v/>
      </c>
      <c r="EV155" s="24">
        <f>EU161</f>
        <v/>
      </c>
      <c r="EW155" s="24">
        <f>EV161</f>
        <v/>
      </c>
      <c r="EX155" s="24">
        <f>EW161</f>
        <v/>
      </c>
      <c r="EY155" s="24">
        <f>EX161</f>
        <v/>
      </c>
      <c r="EZ155" s="24">
        <f>EY161</f>
        <v/>
      </c>
      <c r="FA155" s="24">
        <f>EZ161</f>
        <v/>
      </c>
      <c r="FB155" s="24">
        <f>FA161</f>
        <v/>
      </c>
    </row>
    <row r="156">
      <c r="I156" s="9" t="inlineStr">
        <is>
          <t>Loan Draw</t>
        </is>
      </c>
      <c r="L156" s="24">
        <f>SUMIF($Z$4:$FB$4,"&lt;"&amp;$G$18,$Z156:$FB156)</f>
        <v/>
      </c>
      <c r="M156" s="55" t="n"/>
      <c r="N156" s="24">
        <f>SUMIF($Z$3:$FB$3,N$7,$Z156:$FB156)</f>
        <v/>
      </c>
      <c r="O156" s="24">
        <f>SUMIF($Z$3:$FB$3,O$7,$Z156:$FB156)</f>
        <v/>
      </c>
      <c r="P156" s="24">
        <f>SUMIF($Z$3:$FB$3,P$7,$Z156:$FB156)</f>
        <v/>
      </c>
      <c r="Q156" s="24">
        <f>SUMIF($Z$3:$FB$3,Q$7,$Z156:$FB156)</f>
        <v/>
      </c>
      <c r="R156" s="24">
        <f>SUMIF($Z$3:$FB$3,R$7,$Z156:$FB156)</f>
        <v/>
      </c>
      <c r="S156" s="24">
        <f>SUMIF($Z$3:$FB$3,S$7,$Z156:$FB156)</f>
        <v/>
      </c>
      <c r="T156" s="24">
        <f>SUMIF($Z$3:$FB$3,T$7,$Z156:$FB156)</f>
        <v/>
      </c>
      <c r="U156" s="24">
        <f>SUMIF($Z$3:$FB$3,U$7,$Z156:$FB156)</f>
        <v/>
      </c>
      <c r="V156" s="24">
        <f>SUMIF($Z$3:$FB$3,V$7,$Z156:$FB156)</f>
        <v/>
      </c>
      <c r="W156" s="24">
        <f>SUMIF($Z$3:$FB$3,W$7,$Z156:$FB156)</f>
        <v/>
      </c>
      <c r="X156" s="24">
        <f>SUMIF($Z$3:$FB$3,X$7,$Z156:$FB156)</f>
        <v/>
      </c>
      <c r="Y156" s="55" t="n"/>
      <c r="Z156" s="24">
        <f>IF(Z4=0,$D$46,0)</f>
        <v/>
      </c>
      <c r="AA156" s="24">
        <f>IF(AA4=0,$D$46,0)</f>
        <v/>
      </c>
      <c r="AB156" s="24">
        <f>IF(AB4=0,$D$46,0)</f>
        <v/>
      </c>
      <c r="AC156" s="24">
        <f>IF(AC4=0,$D$46,0)</f>
        <v/>
      </c>
      <c r="AD156" s="24">
        <f>IF(AD4=0,$D$46,0)</f>
        <v/>
      </c>
      <c r="AE156" s="24">
        <f>IF(AE4=0,$D$46,0)</f>
        <v/>
      </c>
      <c r="AF156" s="24">
        <f>IF(AF4=0,$D$46,0)</f>
        <v/>
      </c>
      <c r="AG156" s="24">
        <f>IF(AG4=0,$D$46,0)</f>
        <v/>
      </c>
      <c r="AH156" s="24">
        <f>IF(AH4=0,$D$46,0)</f>
        <v/>
      </c>
      <c r="AI156" s="24">
        <f>IF(AI4=0,$D$46,0)</f>
        <v/>
      </c>
      <c r="AJ156" s="24">
        <f>IF(AJ4=0,$D$46,0)</f>
        <v/>
      </c>
      <c r="AK156" s="24">
        <f>IF(AK4=0,$D$46,0)</f>
        <v/>
      </c>
      <c r="AL156" s="24">
        <f>IF(AL4=0,$D$46,0)</f>
        <v/>
      </c>
      <c r="AM156" s="24">
        <f>IF(AM4=0,$D$46,0)</f>
        <v/>
      </c>
      <c r="AN156" s="24">
        <f>IF(AN4=0,$D$46,0)</f>
        <v/>
      </c>
      <c r="AO156" s="24">
        <f>IF(AO4=0,$D$46,0)</f>
        <v/>
      </c>
      <c r="AP156" s="24">
        <f>IF(AP4=0,$D$46,0)</f>
        <v/>
      </c>
      <c r="AQ156" s="24">
        <f>IF(AQ4=0,$D$46,0)</f>
        <v/>
      </c>
      <c r="AR156" s="24">
        <f>IF(AR4=0,$D$46,0)</f>
        <v/>
      </c>
      <c r="AS156" s="24">
        <f>IF(AS4=0,$D$46,0)</f>
        <v/>
      </c>
      <c r="AT156" s="24">
        <f>IF(AT4=0,$D$46,0)</f>
        <v/>
      </c>
      <c r="AU156" s="24">
        <f>IF(AU4=0,$D$46,0)</f>
        <v/>
      </c>
      <c r="AV156" s="24">
        <f>IF(AV4=0,$D$46,0)</f>
        <v/>
      </c>
      <c r="AW156" s="24">
        <f>IF(AW4=0,$D$46,0)</f>
        <v/>
      </c>
      <c r="AX156" s="24">
        <f>IF(AX4=0,$D$46,0)</f>
        <v/>
      </c>
      <c r="AY156" s="24">
        <f>IF(AY4=0,$D$46,0)</f>
        <v/>
      </c>
      <c r="AZ156" s="24">
        <f>IF(AZ4=0,$D$46,0)</f>
        <v/>
      </c>
      <c r="BA156" s="24">
        <f>IF(BA4=0,$D$46,0)</f>
        <v/>
      </c>
      <c r="BB156" s="24">
        <f>IF(BB4=0,$D$46,0)</f>
        <v/>
      </c>
      <c r="BC156" s="24">
        <f>IF(BC4=0,$D$46,0)</f>
        <v/>
      </c>
      <c r="BD156" s="24">
        <f>IF(BD4=0,$D$46,0)</f>
        <v/>
      </c>
      <c r="BE156" s="24">
        <f>IF(BE4=0,$D$46,0)</f>
        <v/>
      </c>
      <c r="BF156" s="24">
        <f>IF(BF4=0,$D$46,0)</f>
        <v/>
      </c>
      <c r="BG156" s="24">
        <f>IF(BG4=0,$D$46,0)</f>
        <v/>
      </c>
      <c r="BH156" s="24">
        <f>IF(BH4=0,$D$46,0)</f>
        <v/>
      </c>
      <c r="BI156" s="24">
        <f>IF(BI4=0,$D$46,0)</f>
        <v/>
      </c>
      <c r="BJ156" s="24">
        <f>IF(BJ4=0,$D$46,0)</f>
        <v/>
      </c>
      <c r="BK156" s="24">
        <f>IF(BK4=0,$D$46,0)</f>
        <v/>
      </c>
      <c r="BL156" s="24">
        <f>IF(BL4=0,$D$46,0)</f>
        <v/>
      </c>
      <c r="BM156" s="24">
        <f>IF(BM4=0,$D$46,0)</f>
        <v/>
      </c>
      <c r="BN156" s="24">
        <f>IF(BN4=0,$D$46,0)</f>
        <v/>
      </c>
      <c r="BO156" s="24">
        <f>IF(BO4=0,$D$46,0)</f>
        <v/>
      </c>
      <c r="BP156" s="24">
        <f>IF(BP4=0,$D$46,0)</f>
        <v/>
      </c>
      <c r="BQ156" s="24">
        <f>IF(BQ4=0,$D$46,0)</f>
        <v/>
      </c>
      <c r="BR156" s="24">
        <f>IF(BR4=0,$D$46,0)</f>
        <v/>
      </c>
      <c r="BS156" s="24">
        <f>IF(BS4=0,$D$46,0)</f>
        <v/>
      </c>
      <c r="BT156" s="24">
        <f>IF(BT4=0,$D$46,0)</f>
        <v/>
      </c>
      <c r="BU156" s="24">
        <f>IF(BU4=0,$D$46,0)</f>
        <v/>
      </c>
      <c r="BV156" s="24">
        <f>IF(BV4=0,$D$46,0)</f>
        <v/>
      </c>
      <c r="BW156" s="24">
        <f>IF(BW4=0,$D$46,0)</f>
        <v/>
      </c>
      <c r="BX156" s="24">
        <f>IF(BX4=0,$D$46,0)</f>
        <v/>
      </c>
      <c r="BY156" s="24">
        <f>IF(BY4=0,$D$46,0)</f>
        <v/>
      </c>
      <c r="BZ156" s="24">
        <f>IF(BZ4=0,$D$46,0)</f>
        <v/>
      </c>
      <c r="CA156" s="24">
        <f>IF(CA4=0,$D$46,0)</f>
        <v/>
      </c>
      <c r="CB156" s="24">
        <f>IF(CB4=0,$D$46,0)</f>
        <v/>
      </c>
      <c r="CC156" s="24">
        <f>IF(CC4=0,$D$46,0)</f>
        <v/>
      </c>
      <c r="CD156" s="24">
        <f>IF(CD4=0,$D$46,0)</f>
        <v/>
      </c>
      <c r="CE156" s="24">
        <f>IF(CE4=0,$D$46,0)</f>
        <v/>
      </c>
      <c r="CF156" s="24">
        <f>IF(CF4=0,$D$46,0)</f>
        <v/>
      </c>
      <c r="CG156" s="24">
        <f>IF(CG4=0,$D$46,0)</f>
        <v/>
      </c>
      <c r="CH156" s="24">
        <f>IF(CH4=0,$D$46,0)</f>
        <v/>
      </c>
      <c r="CI156" s="24">
        <f>IF(CI4=0,$D$46,0)</f>
        <v/>
      </c>
      <c r="CJ156" s="24">
        <f>IF(CJ4=0,$D$46,0)</f>
        <v/>
      </c>
      <c r="CK156" s="24">
        <f>IF(CK4=0,$D$46,0)</f>
        <v/>
      </c>
      <c r="CL156" s="24">
        <f>IF(CL4=0,$D$46,0)</f>
        <v/>
      </c>
      <c r="CM156" s="24">
        <f>IF(CM4=0,$D$46,0)</f>
        <v/>
      </c>
      <c r="CN156" s="24">
        <f>IF(CN4=0,$D$46,0)</f>
        <v/>
      </c>
      <c r="CO156" s="24">
        <f>IF(CO4=0,$D$46,0)</f>
        <v/>
      </c>
      <c r="CP156" s="24">
        <f>IF(CP4=0,$D$46,0)</f>
        <v/>
      </c>
      <c r="CQ156" s="24">
        <f>IF(CQ4=0,$D$46,0)</f>
        <v/>
      </c>
      <c r="CR156" s="24">
        <f>IF(CR4=0,$D$46,0)</f>
        <v/>
      </c>
      <c r="CS156" s="24">
        <f>IF(CS4=0,$D$46,0)</f>
        <v/>
      </c>
      <c r="CT156" s="24">
        <f>IF(CT4=0,$D$46,0)</f>
        <v/>
      </c>
      <c r="CU156" s="24">
        <f>IF(CU4=0,$D$46,0)</f>
        <v/>
      </c>
      <c r="CV156" s="24">
        <f>IF(CV4=0,$D$46,0)</f>
        <v/>
      </c>
      <c r="CW156" s="24">
        <f>IF(CW4=0,$D$46,0)</f>
        <v/>
      </c>
      <c r="CX156" s="24">
        <f>IF(CX4=0,$D$46,0)</f>
        <v/>
      </c>
      <c r="CY156" s="24">
        <f>IF(CY4=0,$D$46,0)</f>
        <v/>
      </c>
      <c r="CZ156" s="24">
        <f>IF(CZ4=0,$D$46,0)</f>
        <v/>
      </c>
      <c r="DA156" s="24">
        <f>IF(DA4=0,$D$46,0)</f>
        <v/>
      </c>
      <c r="DB156" s="24">
        <f>IF(DB4=0,$D$46,0)</f>
        <v/>
      </c>
      <c r="DC156" s="24">
        <f>IF(DC4=0,$D$46,0)</f>
        <v/>
      </c>
      <c r="DD156" s="24">
        <f>IF(DD4=0,$D$46,0)</f>
        <v/>
      </c>
      <c r="DE156" s="24">
        <f>IF(DE4=0,$D$46,0)</f>
        <v/>
      </c>
      <c r="DF156" s="24">
        <f>IF(DF4=0,$D$46,0)</f>
        <v/>
      </c>
      <c r="DG156" s="24">
        <f>IF(DG4=0,$D$46,0)</f>
        <v/>
      </c>
      <c r="DH156" s="24">
        <f>IF(DH4=0,$D$46,0)</f>
        <v/>
      </c>
      <c r="DI156" s="24">
        <f>IF(DI4=0,$D$46,0)</f>
        <v/>
      </c>
      <c r="DJ156" s="24">
        <f>IF(DJ4=0,$D$46,0)</f>
        <v/>
      </c>
      <c r="DK156" s="24">
        <f>IF(DK4=0,$D$46,0)</f>
        <v/>
      </c>
      <c r="DL156" s="24">
        <f>IF(DL4=0,$D$46,0)</f>
        <v/>
      </c>
      <c r="DM156" s="24">
        <f>IF(DM4=0,$D$46,0)</f>
        <v/>
      </c>
      <c r="DN156" s="24">
        <f>IF(DN4=0,$D$46,0)</f>
        <v/>
      </c>
      <c r="DO156" s="24">
        <f>IF(DO4=0,$D$46,0)</f>
        <v/>
      </c>
      <c r="DP156" s="24">
        <f>IF(DP4=0,$D$46,0)</f>
        <v/>
      </c>
      <c r="DQ156" s="24">
        <f>IF(DQ4=0,$D$46,0)</f>
        <v/>
      </c>
      <c r="DR156" s="24">
        <f>IF(DR4=0,$D$46,0)</f>
        <v/>
      </c>
      <c r="DS156" s="24">
        <f>IF(DS4=0,$D$46,0)</f>
        <v/>
      </c>
      <c r="DT156" s="24">
        <f>IF(DT4=0,$D$46,0)</f>
        <v/>
      </c>
      <c r="DU156" s="24">
        <f>IF(DU4=0,$D$46,0)</f>
        <v/>
      </c>
      <c r="DV156" s="24">
        <f>IF(DV4=0,$D$46,0)</f>
        <v/>
      </c>
      <c r="DW156" s="24">
        <f>IF(DW4=0,$D$46,0)</f>
        <v/>
      </c>
      <c r="DX156" s="24">
        <f>IF(DX4=0,$D$46,0)</f>
        <v/>
      </c>
      <c r="DY156" s="24">
        <f>IF(DY4=0,$D$46,0)</f>
        <v/>
      </c>
      <c r="DZ156" s="24">
        <f>IF(DZ4=0,$D$46,0)</f>
        <v/>
      </c>
      <c r="EA156" s="24">
        <f>IF(EA4=0,$D$46,0)</f>
        <v/>
      </c>
      <c r="EB156" s="24">
        <f>IF(EB4=0,$D$46,0)</f>
        <v/>
      </c>
      <c r="EC156" s="24">
        <f>IF(EC4=0,$D$46,0)</f>
        <v/>
      </c>
      <c r="ED156" s="24">
        <f>IF(ED4=0,$D$46,0)</f>
        <v/>
      </c>
      <c r="EE156" s="24">
        <f>IF(EE4=0,$D$46,0)</f>
        <v/>
      </c>
      <c r="EF156" s="24">
        <f>IF(EF4=0,$D$46,0)</f>
        <v/>
      </c>
      <c r="EG156" s="24">
        <f>IF(EG4=0,$D$46,0)</f>
        <v/>
      </c>
      <c r="EH156" s="24">
        <f>IF(EH4=0,$D$46,0)</f>
        <v/>
      </c>
      <c r="EI156" s="24">
        <f>IF(EI4=0,$D$46,0)</f>
        <v/>
      </c>
      <c r="EJ156" s="24">
        <f>IF(EJ4=0,$D$46,0)</f>
        <v/>
      </c>
      <c r="EK156" s="24">
        <f>IF(EK4=0,$D$46,0)</f>
        <v/>
      </c>
      <c r="EL156" s="24">
        <f>IF(EL4=0,$D$46,0)</f>
        <v/>
      </c>
      <c r="EM156" s="24">
        <f>IF(EM4=0,$D$46,0)</f>
        <v/>
      </c>
      <c r="EN156" s="24">
        <f>IF(EN4=0,$D$46,0)</f>
        <v/>
      </c>
      <c r="EO156" s="24">
        <f>IF(EO4=0,$D$46,0)</f>
        <v/>
      </c>
      <c r="EP156" s="24">
        <f>IF(EP4=0,$D$46,0)</f>
        <v/>
      </c>
      <c r="EQ156" s="24">
        <f>IF(EQ4=0,$D$46,0)</f>
        <v/>
      </c>
      <c r="ER156" s="24">
        <f>IF(ER4=0,$D$46,0)</f>
        <v/>
      </c>
      <c r="ES156" s="24">
        <f>IF(ES4=0,$D$46,0)</f>
        <v/>
      </c>
      <c r="ET156" s="24">
        <f>IF(ET4=0,$D$46,0)</f>
        <v/>
      </c>
      <c r="EU156" s="24">
        <f>IF(EU4=0,$D$46,0)</f>
        <v/>
      </c>
      <c r="EV156" s="24">
        <f>IF(EV4=0,$D$46,0)</f>
        <v/>
      </c>
      <c r="EW156" s="24">
        <f>IF(EW4=0,$D$46,0)</f>
        <v/>
      </c>
      <c r="EX156" s="24">
        <f>IF(EX4=0,$D$46,0)</f>
        <v/>
      </c>
      <c r="EY156" s="24">
        <f>IF(EY4=0,$D$46,0)</f>
        <v/>
      </c>
      <c r="EZ156" s="24">
        <f>IF(EZ4=0,$D$46,0)</f>
        <v/>
      </c>
      <c r="FA156" s="24">
        <f>IF(FA4=0,$D$46,0)</f>
        <v/>
      </c>
      <c r="FB156" s="24">
        <f>IF(FB4=0,$D$46,0)</f>
        <v/>
      </c>
    </row>
    <row r="157">
      <c r="I157" s="9" t="inlineStr">
        <is>
          <t>Accrued Interest</t>
        </is>
      </c>
      <c r="L157" s="24">
        <f>SUMIF($Z$4:$FB$4,"&lt;"&amp;$G$18,$Z157:$FB157)</f>
        <v/>
      </c>
      <c r="M157" s="55" t="n"/>
      <c r="N157" s="24">
        <f>SUMIF($Z$3:$FB$3,N$7,$Z157:$FB157)</f>
        <v/>
      </c>
      <c r="O157" s="24">
        <f>SUMIF($Z$3:$FB$3,O$7,$Z157:$FB157)</f>
        <v/>
      </c>
      <c r="P157" s="24">
        <f>SUMIF($Z$3:$FB$3,P$7,$Z157:$FB157)</f>
        <v/>
      </c>
      <c r="Q157" s="24">
        <f>SUMIF($Z$3:$FB$3,Q$7,$Z157:$FB157)</f>
        <v/>
      </c>
      <c r="R157" s="24">
        <f>SUMIF($Z$3:$FB$3,R$7,$Z157:$FB157)</f>
        <v/>
      </c>
      <c r="S157" s="24">
        <f>SUMIF($Z$3:$FB$3,S$7,$Z157:$FB157)</f>
        <v/>
      </c>
      <c r="T157" s="24">
        <f>SUMIF($Z$3:$FB$3,T$7,$Z157:$FB157)</f>
        <v/>
      </c>
      <c r="U157" s="24">
        <f>SUMIF($Z$3:$FB$3,U$7,$Z157:$FB157)</f>
        <v/>
      </c>
      <c r="V157" s="24">
        <f>SUMIF($Z$3:$FB$3,V$7,$Z157:$FB157)</f>
        <v/>
      </c>
      <c r="W157" s="24">
        <f>SUMIF($Z$3:$FB$3,W$7,$Z157:$FB157)</f>
        <v/>
      </c>
      <c r="X157" s="24">
        <f>SUMIF($Z$3:$FB$3,X$7,$Z157:$FB157)</f>
        <v/>
      </c>
      <c r="Y157" s="55" t="n"/>
      <c r="Z157" s="24">
        <f>IF($B$55=TRUE,0,Z155)*Z152/12</f>
        <v/>
      </c>
      <c r="AA157" s="24">
        <f>IF($B$55=TRUE,0,AA155)*AA152/12</f>
        <v/>
      </c>
      <c r="AB157" s="24">
        <f>IF($B$55=TRUE,0,AB155)*AB152/12</f>
        <v/>
      </c>
      <c r="AC157" s="24">
        <f>IF($B$55=TRUE,0,AC155)*AC152/12</f>
        <v/>
      </c>
      <c r="AD157" s="24">
        <f>IF($B$55=TRUE,0,AD155)*AD152/12</f>
        <v/>
      </c>
      <c r="AE157" s="24">
        <f>IF($B$55=TRUE,0,AE155)*AE152/12</f>
        <v/>
      </c>
      <c r="AF157" s="24">
        <f>IF($B$55=TRUE,0,AF155)*AF152/12</f>
        <v/>
      </c>
      <c r="AG157" s="24">
        <f>IF($B$55=TRUE,0,AG155)*AG152/12</f>
        <v/>
      </c>
      <c r="AH157" s="24">
        <f>IF($B$55=TRUE,0,AH155)*AH152/12</f>
        <v/>
      </c>
      <c r="AI157" s="24">
        <f>IF($B$55=TRUE,0,AI155)*AI152/12</f>
        <v/>
      </c>
      <c r="AJ157" s="24">
        <f>IF($B$55=TRUE,0,AJ155)*AJ152/12</f>
        <v/>
      </c>
      <c r="AK157" s="24">
        <f>IF($B$55=TRUE,0,AK155)*AK152/12</f>
        <v/>
      </c>
      <c r="AL157" s="24">
        <f>IF($B$55=TRUE,0,AL155)*AL152/12</f>
        <v/>
      </c>
      <c r="AM157" s="24">
        <f>IF($B$55=TRUE,0,AM155)*AM152/12</f>
        <v/>
      </c>
      <c r="AN157" s="24">
        <f>IF($B$55=TRUE,0,AN155)*AN152/12</f>
        <v/>
      </c>
      <c r="AO157" s="24">
        <f>IF($B$55=TRUE,0,AO155)*AO152/12</f>
        <v/>
      </c>
      <c r="AP157" s="24">
        <f>IF($B$55=TRUE,0,AP155)*AP152/12</f>
        <v/>
      </c>
      <c r="AQ157" s="24">
        <f>IF($B$55=TRUE,0,AQ155)*AQ152/12</f>
        <v/>
      </c>
      <c r="AR157" s="24">
        <f>IF($B$55=TRUE,0,AR155)*AR152/12</f>
        <v/>
      </c>
      <c r="AS157" s="24">
        <f>IF($B$55=TRUE,0,AS155)*AS152/12</f>
        <v/>
      </c>
      <c r="AT157" s="24">
        <f>IF($B$55=TRUE,0,AT155)*AT152/12</f>
        <v/>
      </c>
      <c r="AU157" s="24">
        <f>IF($B$55=TRUE,0,AU155)*AU152/12</f>
        <v/>
      </c>
      <c r="AV157" s="24">
        <f>IF($B$55=TRUE,0,AV155)*AV152/12</f>
        <v/>
      </c>
      <c r="AW157" s="24">
        <f>IF($B$55=TRUE,0,AW155)*AW152/12</f>
        <v/>
      </c>
      <c r="AX157" s="24">
        <f>IF($B$55=TRUE,0,AX155)*AX152/12</f>
        <v/>
      </c>
      <c r="AY157" s="24">
        <f>IF($B$55=TRUE,0,AY155)*AY152/12</f>
        <v/>
      </c>
      <c r="AZ157" s="24">
        <f>IF($B$55=TRUE,0,AZ155)*AZ152/12</f>
        <v/>
      </c>
      <c r="BA157" s="24">
        <f>IF($B$55=TRUE,0,BA155)*BA152/12</f>
        <v/>
      </c>
      <c r="BB157" s="24">
        <f>IF($B$55=TRUE,0,BB155)*BB152/12</f>
        <v/>
      </c>
      <c r="BC157" s="24">
        <f>IF($B$55=TRUE,0,BC155)*BC152/12</f>
        <v/>
      </c>
      <c r="BD157" s="24">
        <f>IF($B$55=TRUE,0,BD155)*BD152/12</f>
        <v/>
      </c>
      <c r="BE157" s="24">
        <f>IF($B$55=TRUE,0,BE155)*BE152/12</f>
        <v/>
      </c>
      <c r="BF157" s="24">
        <f>IF($B$55=TRUE,0,BF155)*BF152/12</f>
        <v/>
      </c>
      <c r="BG157" s="24">
        <f>IF($B$55=TRUE,0,BG155)*BG152/12</f>
        <v/>
      </c>
      <c r="BH157" s="24">
        <f>IF($B$55=TRUE,0,BH155)*BH152/12</f>
        <v/>
      </c>
      <c r="BI157" s="24">
        <f>IF($B$55=TRUE,0,BI155)*BI152/12</f>
        <v/>
      </c>
      <c r="BJ157" s="24">
        <f>IF($B$55=TRUE,0,BJ155)*BJ152/12</f>
        <v/>
      </c>
      <c r="BK157" s="24">
        <f>IF($B$55=TRUE,0,BK155)*BK152/12</f>
        <v/>
      </c>
      <c r="BL157" s="24">
        <f>IF($B$55=TRUE,0,BL155)*BL152/12</f>
        <v/>
      </c>
      <c r="BM157" s="24">
        <f>IF($B$55=TRUE,0,BM155)*BM152/12</f>
        <v/>
      </c>
      <c r="BN157" s="24">
        <f>IF($B$55=TRUE,0,BN155)*BN152/12</f>
        <v/>
      </c>
      <c r="BO157" s="24">
        <f>IF($B$55=TRUE,0,BO155)*BO152/12</f>
        <v/>
      </c>
      <c r="BP157" s="24">
        <f>IF($B$55=TRUE,0,BP155)*BP152/12</f>
        <v/>
      </c>
      <c r="BQ157" s="24">
        <f>IF($B$55=TRUE,0,BQ155)*BQ152/12</f>
        <v/>
      </c>
      <c r="BR157" s="24">
        <f>IF($B$55=TRUE,0,BR155)*BR152/12</f>
        <v/>
      </c>
      <c r="BS157" s="24">
        <f>IF($B$55=TRUE,0,BS155)*BS152/12</f>
        <v/>
      </c>
      <c r="BT157" s="24">
        <f>IF($B$55=TRUE,0,BT155)*BT152/12</f>
        <v/>
      </c>
      <c r="BU157" s="24">
        <f>IF($B$55=TRUE,0,BU155)*BU152/12</f>
        <v/>
      </c>
      <c r="BV157" s="24">
        <f>IF($B$55=TRUE,0,BV155)*BV152/12</f>
        <v/>
      </c>
      <c r="BW157" s="24">
        <f>IF($B$55=TRUE,0,BW155)*BW152/12</f>
        <v/>
      </c>
      <c r="BX157" s="24">
        <f>IF($B$55=TRUE,0,BX155)*BX152/12</f>
        <v/>
      </c>
      <c r="BY157" s="24">
        <f>IF($B$55=TRUE,0,BY155)*BY152/12</f>
        <v/>
      </c>
      <c r="BZ157" s="24">
        <f>IF($B$55=TRUE,0,BZ155)*BZ152/12</f>
        <v/>
      </c>
      <c r="CA157" s="24">
        <f>IF($B$55=TRUE,0,CA155)*CA152/12</f>
        <v/>
      </c>
      <c r="CB157" s="24">
        <f>IF($B$55=TRUE,0,CB155)*CB152/12</f>
        <v/>
      </c>
      <c r="CC157" s="24">
        <f>IF($B$55=TRUE,0,CC155)*CC152/12</f>
        <v/>
      </c>
      <c r="CD157" s="24">
        <f>IF($B$55=TRUE,0,CD155)*CD152/12</f>
        <v/>
      </c>
      <c r="CE157" s="24">
        <f>IF($B$55=TRUE,0,CE155)*CE152/12</f>
        <v/>
      </c>
      <c r="CF157" s="24">
        <f>IF($B$55=TRUE,0,CF155)*CF152/12</f>
        <v/>
      </c>
      <c r="CG157" s="24">
        <f>IF($B$55=TRUE,0,CG155)*CG152/12</f>
        <v/>
      </c>
      <c r="CH157" s="24">
        <f>IF($B$55=TRUE,0,CH155)*CH152/12</f>
        <v/>
      </c>
      <c r="CI157" s="24">
        <f>IF($B$55=TRUE,0,CI155)*CI152/12</f>
        <v/>
      </c>
      <c r="CJ157" s="24">
        <f>IF($B$55=TRUE,0,CJ155)*CJ152/12</f>
        <v/>
      </c>
      <c r="CK157" s="24">
        <f>IF($B$55=TRUE,0,CK155)*CK152/12</f>
        <v/>
      </c>
      <c r="CL157" s="24">
        <f>IF($B$55=TRUE,0,CL155)*CL152/12</f>
        <v/>
      </c>
      <c r="CM157" s="24">
        <f>IF($B$55=TRUE,0,CM155)*CM152/12</f>
        <v/>
      </c>
      <c r="CN157" s="24">
        <f>IF($B$55=TRUE,0,CN155)*CN152/12</f>
        <v/>
      </c>
      <c r="CO157" s="24">
        <f>IF($B$55=TRUE,0,CO155)*CO152/12</f>
        <v/>
      </c>
      <c r="CP157" s="24">
        <f>IF($B$55=TRUE,0,CP155)*CP152/12</f>
        <v/>
      </c>
      <c r="CQ157" s="24">
        <f>IF($B$55=TRUE,0,CQ155)*CQ152/12</f>
        <v/>
      </c>
      <c r="CR157" s="24">
        <f>IF($B$55=TRUE,0,CR155)*CR152/12</f>
        <v/>
      </c>
      <c r="CS157" s="24">
        <f>IF($B$55=TRUE,0,CS155)*CS152/12</f>
        <v/>
      </c>
      <c r="CT157" s="24">
        <f>IF($B$55=TRUE,0,CT155)*CT152/12</f>
        <v/>
      </c>
      <c r="CU157" s="24">
        <f>IF($B$55=TRUE,0,CU155)*CU152/12</f>
        <v/>
      </c>
      <c r="CV157" s="24">
        <f>IF($B$55=TRUE,0,CV155)*CV152/12</f>
        <v/>
      </c>
      <c r="CW157" s="24">
        <f>IF($B$55=TRUE,0,CW155)*CW152/12</f>
        <v/>
      </c>
      <c r="CX157" s="24">
        <f>IF($B$55=TRUE,0,CX155)*CX152/12</f>
        <v/>
      </c>
      <c r="CY157" s="24">
        <f>IF($B$55=TRUE,0,CY155)*CY152/12</f>
        <v/>
      </c>
      <c r="CZ157" s="24">
        <f>IF($B$55=TRUE,0,CZ155)*CZ152/12</f>
        <v/>
      </c>
      <c r="DA157" s="24">
        <f>IF($B$55=TRUE,0,DA155)*DA152/12</f>
        <v/>
      </c>
      <c r="DB157" s="24">
        <f>IF($B$55=TRUE,0,DB155)*DB152/12</f>
        <v/>
      </c>
      <c r="DC157" s="24">
        <f>IF($B$55=TRUE,0,DC155)*DC152/12</f>
        <v/>
      </c>
      <c r="DD157" s="24">
        <f>IF($B$55=TRUE,0,DD155)*DD152/12</f>
        <v/>
      </c>
      <c r="DE157" s="24">
        <f>IF($B$55=TRUE,0,DE155)*DE152/12</f>
        <v/>
      </c>
      <c r="DF157" s="24">
        <f>IF($B$55=TRUE,0,DF155)*DF152/12</f>
        <v/>
      </c>
      <c r="DG157" s="24">
        <f>IF($B$55=TRUE,0,DG155)*DG152/12</f>
        <v/>
      </c>
      <c r="DH157" s="24">
        <f>IF($B$55=TRUE,0,DH155)*DH152/12</f>
        <v/>
      </c>
      <c r="DI157" s="24">
        <f>IF($B$55=TRUE,0,DI155)*DI152/12</f>
        <v/>
      </c>
      <c r="DJ157" s="24">
        <f>IF($B$55=TRUE,0,DJ155)*DJ152/12</f>
        <v/>
      </c>
      <c r="DK157" s="24">
        <f>IF($B$55=TRUE,0,DK155)*DK152/12</f>
        <v/>
      </c>
      <c r="DL157" s="24">
        <f>IF($B$55=TRUE,0,DL155)*DL152/12</f>
        <v/>
      </c>
      <c r="DM157" s="24">
        <f>IF($B$55=TRUE,0,DM155)*DM152/12</f>
        <v/>
      </c>
      <c r="DN157" s="24">
        <f>IF($B$55=TRUE,0,DN155)*DN152/12</f>
        <v/>
      </c>
      <c r="DO157" s="24">
        <f>IF($B$55=TRUE,0,DO155)*DO152/12</f>
        <v/>
      </c>
      <c r="DP157" s="24">
        <f>IF($B$55=TRUE,0,DP155)*DP152/12</f>
        <v/>
      </c>
      <c r="DQ157" s="24">
        <f>IF($B$55=TRUE,0,DQ155)*DQ152/12</f>
        <v/>
      </c>
      <c r="DR157" s="24">
        <f>IF($B$55=TRUE,0,DR155)*DR152/12</f>
        <v/>
      </c>
      <c r="DS157" s="24">
        <f>IF($B$55=TRUE,0,DS155)*DS152/12</f>
        <v/>
      </c>
      <c r="DT157" s="24">
        <f>IF($B$55=TRUE,0,DT155)*DT152/12</f>
        <v/>
      </c>
      <c r="DU157" s="24">
        <f>IF($B$55=TRUE,0,DU155)*DU152/12</f>
        <v/>
      </c>
      <c r="DV157" s="24">
        <f>IF($B$55=TRUE,0,DV155)*DV152/12</f>
        <v/>
      </c>
      <c r="DW157" s="24">
        <f>IF($B$55=TRUE,0,DW155)*DW152/12</f>
        <v/>
      </c>
      <c r="DX157" s="24">
        <f>IF($B$55=TRUE,0,DX155)*DX152/12</f>
        <v/>
      </c>
      <c r="DY157" s="24">
        <f>IF($B$55=TRUE,0,DY155)*DY152/12</f>
        <v/>
      </c>
      <c r="DZ157" s="24">
        <f>IF($B$55=TRUE,0,DZ155)*DZ152/12</f>
        <v/>
      </c>
      <c r="EA157" s="24">
        <f>IF($B$55=TRUE,0,EA155)*EA152/12</f>
        <v/>
      </c>
      <c r="EB157" s="24">
        <f>IF($B$55=TRUE,0,EB155)*EB152/12</f>
        <v/>
      </c>
      <c r="EC157" s="24">
        <f>IF($B$55=TRUE,0,EC155)*EC152/12</f>
        <v/>
      </c>
      <c r="ED157" s="24">
        <f>IF($B$55=TRUE,0,ED155)*ED152/12</f>
        <v/>
      </c>
      <c r="EE157" s="24">
        <f>IF($B$55=TRUE,0,EE155)*EE152/12</f>
        <v/>
      </c>
      <c r="EF157" s="24">
        <f>IF($B$55=TRUE,0,EF155)*EF152/12</f>
        <v/>
      </c>
      <c r="EG157" s="24">
        <f>IF($B$55=TRUE,0,EG155)*EG152/12</f>
        <v/>
      </c>
      <c r="EH157" s="24">
        <f>IF($B$55=TRUE,0,EH155)*EH152/12</f>
        <v/>
      </c>
      <c r="EI157" s="24">
        <f>IF($B$55=TRUE,0,EI155)*EI152/12</f>
        <v/>
      </c>
      <c r="EJ157" s="24">
        <f>IF($B$55=TRUE,0,EJ155)*EJ152/12</f>
        <v/>
      </c>
      <c r="EK157" s="24">
        <f>IF($B$55=TRUE,0,EK155)*EK152/12</f>
        <v/>
      </c>
      <c r="EL157" s="24">
        <f>IF($B$55=TRUE,0,EL155)*EL152/12</f>
        <v/>
      </c>
      <c r="EM157" s="24">
        <f>IF($B$55=TRUE,0,EM155)*EM152/12</f>
        <v/>
      </c>
      <c r="EN157" s="24">
        <f>IF($B$55=TRUE,0,EN155)*EN152/12</f>
        <v/>
      </c>
      <c r="EO157" s="24">
        <f>IF($B$55=TRUE,0,EO155)*EO152/12</f>
        <v/>
      </c>
      <c r="EP157" s="24">
        <f>IF($B$55=TRUE,0,EP155)*EP152/12</f>
        <v/>
      </c>
      <c r="EQ157" s="24">
        <f>IF($B$55=TRUE,0,EQ155)*EQ152/12</f>
        <v/>
      </c>
      <c r="ER157" s="24">
        <f>IF($B$55=TRUE,0,ER155)*ER152/12</f>
        <v/>
      </c>
      <c r="ES157" s="24">
        <f>IF($B$55=TRUE,0,ES155)*ES152/12</f>
        <v/>
      </c>
      <c r="ET157" s="24">
        <f>IF($B$55=TRUE,0,ET155)*ET152/12</f>
        <v/>
      </c>
      <c r="EU157" s="24">
        <f>IF($B$55=TRUE,0,EU155)*EU152/12</f>
        <v/>
      </c>
      <c r="EV157" s="24">
        <f>IF($B$55=TRUE,0,EV155)*EV152/12</f>
        <v/>
      </c>
      <c r="EW157" s="24">
        <f>IF($B$55=TRUE,0,EW155)*EW152/12</f>
        <v/>
      </c>
      <c r="EX157" s="24">
        <f>IF($B$55=TRUE,0,EX155)*EX152/12</f>
        <v/>
      </c>
      <c r="EY157" s="24">
        <f>IF($B$55=TRUE,0,EY155)*EY152/12</f>
        <v/>
      </c>
      <c r="EZ157" s="24">
        <f>IF($B$55=TRUE,0,EZ155)*EZ152/12</f>
        <v/>
      </c>
      <c r="FA157" s="24">
        <f>IF($B$55=TRUE,0,FA155)*FA152/12</f>
        <v/>
      </c>
      <c r="FB157" s="24">
        <f>IF($B$55=TRUE,0,FB155)*FB152/12</f>
        <v/>
      </c>
    </row>
    <row r="158">
      <c r="I158" s="9" t="inlineStr">
        <is>
          <t>Interest Paydown</t>
        </is>
      </c>
      <c r="L158" s="24">
        <f>SUMIF($Z$4:$FB$4,"&lt;"&amp;$G$18,$Z158:$FB158)</f>
        <v/>
      </c>
      <c r="M158" s="55" t="n"/>
      <c r="N158" s="24">
        <f>SUMIF($Z$3:$FB$3,N$7,$Z158:$FB158)</f>
        <v/>
      </c>
      <c r="O158" s="24">
        <f>SUMIF($Z$3:$FB$3,O$7,$Z158:$FB158)</f>
        <v/>
      </c>
      <c r="P158" s="24">
        <f>SUMIF($Z$3:$FB$3,P$7,$Z158:$FB158)</f>
        <v/>
      </c>
      <c r="Q158" s="24">
        <f>SUMIF($Z$3:$FB$3,Q$7,$Z158:$FB158)</f>
        <v/>
      </c>
      <c r="R158" s="24">
        <f>SUMIF($Z$3:$FB$3,R$7,$Z158:$FB158)</f>
        <v/>
      </c>
      <c r="S158" s="24">
        <f>SUMIF($Z$3:$FB$3,S$7,$Z158:$FB158)</f>
        <v/>
      </c>
      <c r="T158" s="24">
        <f>SUMIF($Z$3:$FB$3,T$7,$Z158:$FB158)</f>
        <v/>
      </c>
      <c r="U158" s="24">
        <f>SUMIF($Z$3:$FB$3,U$7,$Z158:$FB158)</f>
        <v/>
      </c>
      <c r="V158" s="24">
        <f>SUMIF($Z$3:$FB$3,V$7,$Z158:$FB158)</f>
        <v/>
      </c>
      <c r="W158" s="24">
        <f>SUMIF($Z$3:$FB$3,W$7,$Z158:$FB158)</f>
        <v/>
      </c>
      <c r="X158" s="24">
        <f>SUMIF($Z$3:$FB$3,X$7,$Z158:$FB158)</f>
        <v/>
      </c>
      <c r="Y158" s="55" t="n"/>
      <c r="Z158" s="24">
        <f>-MIN(Z157,Z79*(Z79&gt;0))*(Z4&gt;0)</f>
        <v/>
      </c>
      <c r="AA158" s="24">
        <f>-MIN(AA157,AA79*(AA79&gt;0))*(AA4&gt;0)</f>
        <v/>
      </c>
      <c r="AB158" s="24">
        <f>-MIN(AB157,AB79*(AB79&gt;0))*(AB4&gt;0)</f>
        <v/>
      </c>
      <c r="AC158" s="24">
        <f>-MIN(AC157,AC79*(AC79&gt;0))*(AC4&gt;0)</f>
        <v/>
      </c>
      <c r="AD158" s="24">
        <f>-MIN(AD157,AD79*(AD79&gt;0))*(AD4&gt;0)</f>
        <v/>
      </c>
      <c r="AE158" s="24">
        <f>-MIN(AE157,AE79*(AE79&gt;0))*(AE4&gt;0)</f>
        <v/>
      </c>
      <c r="AF158" s="24">
        <f>-MIN(AF157,AF79*(AF79&gt;0))*(AF4&gt;0)</f>
        <v/>
      </c>
      <c r="AG158" s="24">
        <f>-MIN(AG157,AG79*(AG79&gt;0))*(AG4&gt;0)</f>
        <v/>
      </c>
      <c r="AH158" s="24">
        <f>-MIN(AH157,AH79*(AH79&gt;0))*(AH4&gt;0)</f>
        <v/>
      </c>
      <c r="AI158" s="24">
        <f>-MIN(AI157,AI79*(AI79&gt;0))*(AI4&gt;0)</f>
        <v/>
      </c>
      <c r="AJ158" s="24">
        <f>-MIN(AJ157,AJ79*(AJ79&gt;0))*(AJ4&gt;0)</f>
        <v/>
      </c>
      <c r="AK158" s="24">
        <f>-MIN(AK157,AK79*(AK79&gt;0))*(AK4&gt;0)</f>
        <v/>
      </c>
      <c r="AL158" s="24">
        <f>-MIN(AL157,AL79*(AL79&gt;0))*(AL4&gt;0)</f>
        <v/>
      </c>
      <c r="AM158" s="24">
        <f>-MIN(AM157,AM79*(AM79&gt;0))*(AM4&gt;0)</f>
        <v/>
      </c>
      <c r="AN158" s="24">
        <f>-MIN(AN157,AN79*(AN79&gt;0))*(AN4&gt;0)</f>
        <v/>
      </c>
      <c r="AO158" s="24">
        <f>-MIN(AO157,AO79*(AO79&gt;0))*(AO4&gt;0)</f>
        <v/>
      </c>
      <c r="AP158" s="24">
        <f>-MIN(AP157,AP79*(AP79&gt;0))*(AP4&gt;0)</f>
        <v/>
      </c>
      <c r="AQ158" s="24">
        <f>-MIN(AQ157,AQ79*(AQ79&gt;0))*(AQ4&gt;0)</f>
        <v/>
      </c>
      <c r="AR158" s="24">
        <f>-MIN(AR157,AR79*(AR79&gt;0))*(AR4&gt;0)</f>
        <v/>
      </c>
      <c r="AS158" s="24">
        <f>-MIN(AS157,AS79*(AS79&gt;0))*(AS4&gt;0)</f>
        <v/>
      </c>
      <c r="AT158" s="24">
        <f>-MIN(AT157,AT79*(AT79&gt;0))*(AT4&gt;0)</f>
        <v/>
      </c>
      <c r="AU158" s="24">
        <f>-MIN(AU157,AU79*(AU79&gt;0))*(AU4&gt;0)</f>
        <v/>
      </c>
      <c r="AV158" s="24">
        <f>-MIN(AV157,AV79*(AV79&gt;0))*(AV4&gt;0)</f>
        <v/>
      </c>
      <c r="AW158" s="24">
        <f>-MIN(AW157,AW79*(AW79&gt;0))*(AW4&gt;0)</f>
        <v/>
      </c>
      <c r="AX158" s="24">
        <f>-MIN(AX157,AX79*(AX79&gt;0))*(AX4&gt;0)</f>
        <v/>
      </c>
      <c r="AY158" s="24">
        <f>-MIN(AY157,AY79*(AY79&gt;0))*(AY4&gt;0)</f>
        <v/>
      </c>
      <c r="AZ158" s="24">
        <f>-MIN(AZ157,AZ79*(AZ79&gt;0))*(AZ4&gt;0)</f>
        <v/>
      </c>
      <c r="BA158" s="24">
        <f>-MIN(BA157,BA79*(BA79&gt;0))*(BA4&gt;0)</f>
        <v/>
      </c>
      <c r="BB158" s="24">
        <f>-MIN(BB157,BB79*(BB79&gt;0))*(BB4&gt;0)</f>
        <v/>
      </c>
      <c r="BC158" s="24">
        <f>-MIN(BC157,BC79*(BC79&gt;0))*(BC4&gt;0)</f>
        <v/>
      </c>
      <c r="BD158" s="24">
        <f>-MIN(BD157,BD79*(BD79&gt;0))*(BD4&gt;0)</f>
        <v/>
      </c>
      <c r="BE158" s="24">
        <f>-MIN(BE157,BE79*(BE79&gt;0))*(BE4&gt;0)</f>
        <v/>
      </c>
      <c r="BF158" s="24">
        <f>-MIN(BF157,BF79*(BF79&gt;0))*(BF4&gt;0)</f>
        <v/>
      </c>
      <c r="BG158" s="24">
        <f>-MIN(BG157,BG79*(BG79&gt;0))*(BG4&gt;0)</f>
        <v/>
      </c>
      <c r="BH158" s="24">
        <f>-MIN(BH157,BH79*(BH79&gt;0))*(BH4&gt;0)</f>
        <v/>
      </c>
      <c r="BI158" s="24">
        <f>-MIN(BI157,BI79*(BI79&gt;0))*(BI4&gt;0)</f>
        <v/>
      </c>
      <c r="BJ158" s="24">
        <f>-MIN(BJ157,BJ79*(BJ79&gt;0))*(BJ4&gt;0)</f>
        <v/>
      </c>
      <c r="BK158" s="24">
        <f>-MIN(BK157,BK79*(BK79&gt;0))*(BK4&gt;0)</f>
        <v/>
      </c>
      <c r="BL158" s="24">
        <f>-MIN(BL157,BL79*(BL79&gt;0))*(BL4&gt;0)</f>
        <v/>
      </c>
      <c r="BM158" s="24">
        <f>-MIN(BM157,BM79*(BM79&gt;0))*(BM4&gt;0)</f>
        <v/>
      </c>
      <c r="BN158" s="24">
        <f>-MIN(BN157,BN79*(BN79&gt;0))*(BN4&gt;0)</f>
        <v/>
      </c>
      <c r="BO158" s="24">
        <f>-MIN(BO157,BO79*(BO79&gt;0))*(BO4&gt;0)</f>
        <v/>
      </c>
      <c r="BP158" s="24">
        <f>-MIN(BP157,BP79*(BP79&gt;0))*(BP4&gt;0)</f>
        <v/>
      </c>
      <c r="BQ158" s="24">
        <f>-MIN(BQ157,BQ79*(BQ79&gt;0))*(BQ4&gt;0)</f>
        <v/>
      </c>
      <c r="BR158" s="24">
        <f>-MIN(BR157,BR79*(BR79&gt;0))*(BR4&gt;0)</f>
        <v/>
      </c>
      <c r="BS158" s="24">
        <f>-MIN(BS157,BS79*(BS79&gt;0))*(BS4&gt;0)</f>
        <v/>
      </c>
      <c r="BT158" s="24">
        <f>-MIN(BT157,BT79*(BT79&gt;0))*(BT4&gt;0)</f>
        <v/>
      </c>
      <c r="BU158" s="24">
        <f>-MIN(BU157,BU79*(BU79&gt;0))*(BU4&gt;0)</f>
        <v/>
      </c>
      <c r="BV158" s="24">
        <f>-MIN(BV157,BV79*(BV79&gt;0))*(BV4&gt;0)</f>
        <v/>
      </c>
      <c r="BW158" s="24">
        <f>-MIN(BW157,BW79*(BW79&gt;0))*(BW4&gt;0)</f>
        <v/>
      </c>
      <c r="BX158" s="24">
        <f>-MIN(BX157,BX79*(BX79&gt;0))*(BX4&gt;0)</f>
        <v/>
      </c>
      <c r="BY158" s="24">
        <f>-MIN(BY157,BY79*(BY79&gt;0))*(BY4&gt;0)</f>
        <v/>
      </c>
      <c r="BZ158" s="24">
        <f>-MIN(BZ157,BZ79*(BZ79&gt;0))*(BZ4&gt;0)</f>
        <v/>
      </c>
      <c r="CA158" s="24">
        <f>-MIN(CA157,CA79*(CA79&gt;0))*(CA4&gt;0)</f>
        <v/>
      </c>
      <c r="CB158" s="24">
        <f>-MIN(CB157,CB79*(CB79&gt;0))*(CB4&gt;0)</f>
        <v/>
      </c>
      <c r="CC158" s="24">
        <f>-MIN(CC157,CC79*(CC79&gt;0))*(CC4&gt;0)</f>
        <v/>
      </c>
      <c r="CD158" s="24">
        <f>-MIN(CD157,CD79*(CD79&gt;0))*(CD4&gt;0)</f>
        <v/>
      </c>
      <c r="CE158" s="24">
        <f>-MIN(CE157,CE79*(CE79&gt;0))*(CE4&gt;0)</f>
        <v/>
      </c>
      <c r="CF158" s="24">
        <f>-MIN(CF157,CF79*(CF79&gt;0))*(CF4&gt;0)</f>
        <v/>
      </c>
      <c r="CG158" s="24">
        <f>-MIN(CG157,CG79*(CG79&gt;0))*(CG4&gt;0)</f>
        <v/>
      </c>
      <c r="CH158" s="24">
        <f>-MIN(CH157,CH79*(CH79&gt;0))*(CH4&gt;0)</f>
        <v/>
      </c>
      <c r="CI158" s="24">
        <f>-MIN(CI157,CI79*(CI79&gt;0))*(CI4&gt;0)</f>
        <v/>
      </c>
      <c r="CJ158" s="24">
        <f>-MIN(CJ157,CJ79*(CJ79&gt;0))*(CJ4&gt;0)</f>
        <v/>
      </c>
      <c r="CK158" s="24">
        <f>-MIN(CK157,CK79*(CK79&gt;0))*(CK4&gt;0)</f>
        <v/>
      </c>
      <c r="CL158" s="24">
        <f>-MIN(CL157,CL79*(CL79&gt;0))*(CL4&gt;0)</f>
        <v/>
      </c>
      <c r="CM158" s="24">
        <f>-MIN(CM157,CM79*(CM79&gt;0))*(CM4&gt;0)</f>
        <v/>
      </c>
      <c r="CN158" s="24">
        <f>-MIN(CN157,CN79*(CN79&gt;0))*(CN4&gt;0)</f>
        <v/>
      </c>
      <c r="CO158" s="24">
        <f>-MIN(CO157,CO79*(CO79&gt;0))*(CO4&gt;0)</f>
        <v/>
      </c>
      <c r="CP158" s="24">
        <f>-MIN(CP157,CP79*(CP79&gt;0))*(CP4&gt;0)</f>
        <v/>
      </c>
      <c r="CQ158" s="24">
        <f>-MIN(CQ157,CQ79*(CQ79&gt;0))*(CQ4&gt;0)</f>
        <v/>
      </c>
      <c r="CR158" s="24">
        <f>-MIN(CR157,CR79*(CR79&gt;0))*(CR4&gt;0)</f>
        <v/>
      </c>
      <c r="CS158" s="24">
        <f>-MIN(CS157,CS79*(CS79&gt;0))*(CS4&gt;0)</f>
        <v/>
      </c>
      <c r="CT158" s="24">
        <f>-MIN(CT157,CT79*(CT79&gt;0))*(CT4&gt;0)</f>
        <v/>
      </c>
      <c r="CU158" s="24">
        <f>-MIN(CU157,CU79*(CU79&gt;0))*(CU4&gt;0)</f>
        <v/>
      </c>
      <c r="CV158" s="24">
        <f>-MIN(CV157,CV79*(CV79&gt;0))*(CV4&gt;0)</f>
        <v/>
      </c>
      <c r="CW158" s="24">
        <f>-MIN(CW157,CW79*(CW79&gt;0))*(CW4&gt;0)</f>
        <v/>
      </c>
      <c r="CX158" s="24">
        <f>-MIN(CX157,CX79*(CX79&gt;0))*(CX4&gt;0)</f>
        <v/>
      </c>
      <c r="CY158" s="24">
        <f>-MIN(CY157,CY79*(CY79&gt;0))*(CY4&gt;0)</f>
        <v/>
      </c>
      <c r="CZ158" s="24">
        <f>-MIN(CZ157,CZ79*(CZ79&gt;0))*(CZ4&gt;0)</f>
        <v/>
      </c>
      <c r="DA158" s="24">
        <f>-MIN(DA157,DA79*(DA79&gt;0))*(DA4&gt;0)</f>
        <v/>
      </c>
      <c r="DB158" s="24">
        <f>-MIN(DB157,DB79*(DB79&gt;0))*(DB4&gt;0)</f>
        <v/>
      </c>
      <c r="DC158" s="24">
        <f>-MIN(DC157,DC79*(DC79&gt;0))*(DC4&gt;0)</f>
        <v/>
      </c>
      <c r="DD158" s="24">
        <f>-MIN(DD157,DD79*(DD79&gt;0))*(DD4&gt;0)</f>
        <v/>
      </c>
      <c r="DE158" s="24">
        <f>-MIN(DE157,DE79*(DE79&gt;0))*(DE4&gt;0)</f>
        <v/>
      </c>
      <c r="DF158" s="24">
        <f>-MIN(DF157,DF79*(DF79&gt;0))*(DF4&gt;0)</f>
        <v/>
      </c>
      <c r="DG158" s="24">
        <f>-MIN(DG157,DG79*(DG79&gt;0))*(DG4&gt;0)</f>
        <v/>
      </c>
      <c r="DH158" s="24">
        <f>-MIN(DH157,DH79*(DH79&gt;0))*(DH4&gt;0)</f>
        <v/>
      </c>
      <c r="DI158" s="24">
        <f>-MIN(DI157,DI79*(DI79&gt;0))*(DI4&gt;0)</f>
        <v/>
      </c>
      <c r="DJ158" s="24">
        <f>-MIN(DJ157,DJ79*(DJ79&gt;0))*(DJ4&gt;0)</f>
        <v/>
      </c>
      <c r="DK158" s="24">
        <f>-MIN(DK157,DK79*(DK79&gt;0))*(DK4&gt;0)</f>
        <v/>
      </c>
      <c r="DL158" s="24">
        <f>-MIN(DL157,DL79*(DL79&gt;0))*(DL4&gt;0)</f>
        <v/>
      </c>
      <c r="DM158" s="24">
        <f>-MIN(DM157,DM79*(DM79&gt;0))*(DM4&gt;0)</f>
        <v/>
      </c>
      <c r="DN158" s="24">
        <f>-MIN(DN157,DN79*(DN79&gt;0))*(DN4&gt;0)</f>
        <v/>
      </c>
      <c r="DO158" s="24">
        <f>-MIN(DO157,DO79*(DO79&gt;0))*(DO4&gt;0)</f>
        <v/>
      </c>
      <c r="DP158" s="24">
        <f>-MIN(DP157,DP79*(DP79&gt;0))*(DP4&gt;0)</f>
        <v/>
      </c>
      <c r="DQ158" s="24">
        <f>-MIN(DQ157,DQ79*(DQ79&gt;0))*(DQ4&gt;0)</f>
        <v/>
      </c>
      <c r="DR158" s="24">
        <f>-MIN(DR157,DR79*(DR79&gt;0))*(DR4&gt;0)</f>
        <v/>
      </c>
      <c r="DS158" s="24">
        <f>-MIN(DS157,DS79*(DS79&gt;0))*(DS4&gt;0)</f>
        <v/>
      </c>
      <c r="DT158" s="24">
        <f>-MIN(DT157,DT79*(DT79&gt;0))*(DT4&gt;0)</f>
        <v/>
      </c>
      <c r="DU158" s="24">
        <f>-MIN(DU157,DU79*(DU79&gt;0))*(DU4&gt;0)</f>
        <v/>
      </c>
      <c r="DV158" s="24">
        <f>-MIN(DV157,DV79*(DV79&gt;0))*(DV4&gt;0)</f>
        <v/>
      </c>
      <c r="DW158" s="24">
        <f>-MIN(DW157,DW79*(DW79&gt;0))*(DW4&gt;0)</f>
        <v/>
      </c>
      <c r="DX158" s="24">
        <f>-MIN(DX157,DX79*(DX79&gt;0))*(DX4&gt;0)</f>
        <v/>
      </c>
      <c r="DY158" s="24">
        <f>-MIN(DY157,DY79*(DY79&gt;0))*(DY4&gt;0)</f>
        <v/>
      </c>
      <c r="DZ158" s="24">
        <f>-MIN(DZ157,DZ79*(DZ79&gt;0))*(DZ4&gt;0)</f>
        <v/>
      </c>
      <c r="EA158" s="24">
        <f>-MIN(EA157,EA79*(EA79&gt;0))*(EA4&gt;0)</f>
        <v/>
      </c>
      <c r="EB158" s="24">
        <f>-MIN(EB157,EB79*(EB79&gt;0))*(EB4&gt;0)</f>
        <v/>
      </c>
      <c r="EC158" s="24">
        <f>-MIN(EC157,EC79*(EC79&gt;0))*(EC4&gt;0)</f>
        <v/>
      </c>
      <c r="ED158" s="24">
        <f>-MIN(ED157,ED79*(ED79&gt;0))*(ED4&gt;0)</f>
        <v/>
      </c>
      <c r="EE158" s="24">
        <f>-MIN(EE157,EE79*(EE79&gt;0))*(EE4&gt;0)</f>
        <v/>
      </c>
      <c r="EF158" s="24">
        <f>-MIN(EF157,EF79*(EF79&gt;0))*(EF4&gt;0)</f>
        <v/>
      </c>
      <c r="EG158" s="24">
        <f>-MIN(EG157,EG79*(EG79&gt;0))*(EG4&gt;0)</f>
        <v/>
      </c>
      <c r="EH158" s="24">
        <f>-MIN(EH157,EH79*(EH79&gt;0))*(EH4&gt;0)</f>
        <v/>
      </c>
      <c r="EI158" s="24">
        <f>-MIN(EI157,EI79*(EI79&gt;0))*(EI4&gt;0)</f>
        <v/>
      </c>
      <c r="EJ158" s="24">
        <f>-MIN(EJ157,EJ79*(EJ79&gt;0))*(EJ4&gt;0)</f>
        <v/>
      </c>
      <c r="EK158" s="24">
        <f>-MIN(EK157,EK79*(EK79&gt;0))*(EK4&gt;0)</f>
        <v/>
      </c>
      <c r="EL158" s="24">
        <f>-MIN(EL157,EL79*(EL79&gt;0))*(EL4&gt;0)</f>
        <v/>
      </c>
      <c r="EM158" s="24">
        <f>-MIN(EM157,EM79*(EM79&gt;0))*(EM4&gt;0)</f>
        <v/>
      </c>
      <c r="EN158" s="24">
        <f>-MIN(EN157,EN79*(EN79&gt;0))*(EN4&gt;0)</f>
        <v/>
      </c>
      <c r="EO158" s="24">
        <f>-MIN(EO157,EO79*(EO79&gt;0))*(EO4&gt;0)</f>
        <v/>
      </c>
      <c r="EP158" s="24">
        <f>-MIN(EP157,EP79*(EP79&gt;0))*(EP4&gt;0)</f>
        <v/>
      </c>
      <c r="EQ158" s="24">
        <f>-MIN(EQ157,EQ79*(EQ79&gt;0))*(EQ4&gt;0)</f>
        <v/>
      </c>
      <c r="ER158" s="24">
        <f>-MIN(ER157,ER79*(ER79&gt;0))*(ER4&gt;0)</f>
        <v/>
      </c>
      <c r="ES158" s="24">
        <f>-MIN(ES157,ES79*(ES79&gt;0))*(ES4&gt;0)</f>
        <v/>
      </c>
      <c r="ET158" s="24">
        <f>-MIN(ET157,ET79*(ET79&gt;0))*(ET4&gt;0)</f>
        <v/>
      </c>
      <c r="EU158" s="24">
        <f>-MIN(EU157,EU79*(EU79&gt;0))*(EU4&gt;0)</f>
        <v/>
      </c>
      <c r="EV158" s="24">
        <f>-MIN(EV157,EV79*(EV79&gt;0))*(EV4&gt;0)</f>
        <v/>
      </c>
      <c r="EW158" s="24">
        <f>-MIN(EW157,EW79*(EW79&gt;0))*(EW4&gt;0)</f>
        <v/>
      </c>
      <c r="EX158" s="24">
        <f>-MIN(EX157,EX79*(EX79&gt;0))*(EX4&gt;0)</f>
        <v/>
      </c>
      <c r="EY158" s="24">
        <f>-MIN(EY157,EY79*(EY79&gt;0))*(EY4&gt;0)</f>
        <v/>
      </c>
      <c r="EZ158" s="24">
        <f>-MIN(EZ157,EZ79*(EZ79&gt;0))*(EZ4&gt;0)</f>
        <v/>
      </c>
      <c r="FA158" s="24">
        <f>-MIN(FA157,FA79*(FA79&gt;0))*(FA4&gt;0)</f>
        <v/>
      </c>
      <c r="FB158" s="24">
        <f>-MIN(FB157,FB79*(FB79&gt;0))*(FB4&gt;0)</f>
        <v/>
      </c>
    </row>
    <row r="159" customFormat="1" s="11">
      <c r="A159" s="9" t="n"/>
      <c r="B159" s="9" t="n"/>
      <c r="C159" s="9" t="n"/>
      <c r="D159" s="9" t="n"/>
      <c r="E159" s="9" t="n"/>
      <c r="F159" s="9" t="n"/>
      <c r="G159" s="9" t="n"/>
      <c r="I159" s="9" t="inlineStr">
        <is>
          <t>Amortization</t>
        </is>
      </c>
      <c r="J159" s="9" t="n"/>
      <c r="L159" s="24">
        <f>SUMIF($Z$4:$FB$4,"&lt;"&amp;$G$18,$Z159:$FB159)</f>
        <v/>
      </c>
      <c r="M159" s="55" t="n"/>
      <c r="N159" s="24">
        <f>SUMIF($Z$3:$FB$3,N$7,$Z159:$FB159)</f>
        <v/>
      </c>
      <c r="O159" s="24">
        <f>SUMIF($Z$3:$FB$3,O$7,$Z159:$FB159)</f>
        <v/>
      </c>
      <c r="P159" s="24">
        <f>SUMIF($Z$3:$FB$3,P$7,$Z159:$FB159)</f>
        <v/>
      </c>
      <c r="Q159" s="24">
        <f>SUMIF($Z$3:$FB$3,Q$7,$Z159:$FB159)</f>
        <v/>
      </c>
      <c r="R159" s="24">
        <f>SUMIF($Z$3:$FB$3,R$7,$Z159:$FB159)</f>
        <v/>
      </c>
      <c r="S159" s="24">
        <f>SUMIF($Z$3:$FB$3,S$7,$Z159:$FB159)</f>
        <v/>
      </c>
      <c r="T159" s="24">
        <f>SUMIF($Z$3:$FB$3,T$7,$Z159:$FB159)</f>
        <v/>
      </c>
      <c r="U159" s="24">
        <f>SUMIF($Z$3:$FB$3,U$7,$Z159:$FB159)</f>
        <v/>
      </c>
      <c r="V159" s="24">
        <f>SUMIF($Z$3:$FB$3,V$7,$Z159:$FB159)</f>
        <v/>
      </c>
      <c r="W159" s="24">
        <f>SUMIF($Z$3:$FB$3,W$7,$Z159:$FB159)</f>
        <v/>
      </c>
      <c r="X159" s="24">
        <f>SUMIF($Z$3:$FB$3,X$7,$Z159:$FB159)</f>
        <v/>
      </c>
      <c r="Y159" s="55" t="n"/>
      <c r="Z159" s="24">
        <f>IF(AND(Z6&gt;=EOMONTH($D$15,$C$50),Z6&lt;=$D$17),-($D$50+Z158),0)*(Z4&gt;0)</f>
        <v/>
      </c>
      <c r="AA159" s="24">
        <f>IF(AND(AA6&gt;=EOMONTH($D$15,$C$50),AA6&lt;=$D$17),-($D$50+AA158),0)*(AA4&gt;0)</f>
        <v/>
      </c>
      <c r="AB159" s="24">
        <f>IF(AND(AB6&gt;=EOMONTH($D$15,$C$50),AB6&lt;=$D$17),-($D$50+AB158),0)*(AB4&gt;0)</f>
        <v/>
      </c>
      <c r="AC159" s="24">
        <f>IF(AND(AC6&gt;=EOMONTH($D$15,$C$50),AC6&lt;=$D$17),-($D$50+AC158),0)*(AC4&gt;0)</f>
        <v/>
      </c>
      <c r="AD159" s="24">
        <f>IF(AND(AD6&gt;=EOMONTH($D$15,$C$50),AD6&lt;=$D$17),-($D$50+AD158),0)*(AD4&gt;0)</f>
        <v/>
      </c>
      <c r="AE159" s="24">
        <f>IF(AND(AE6&gt;=EOMONTH($D$15,$C$50),AE6&lt;=$D$17),-($D$50+AE158),0)*(AE4&gt;0)</f>
        <v/>
      </c>
      <c r="AF159" s="24">
        <f>IF(AND(AF6&gt;=EOMONTH($D$15,$C$50),AF6&lt;=$D$17),-($D$50+AF158),0)*(AF4&gt;0)</f>
        <v/>
      </c>
      <c r="AG159" s="24">
        <f>IF(AND(AG6&gt;=EOMONTH($D$15,$C$50),AG6&lt;=$D$17),-($D$50+AG158),0)*(AG4&gt;0)</f>
        <v/>
      </c>
      <c r="AH159" s="24">
        <f>IF(AND(AH6&gt;=EOMONTH($D$15,$C$50),AH6&lt;=$D$17),-($D$50+AH158),0)*(AH4&gt;0)</f>
        <v/>
      </c>
      <c r="AI159" s="24">
        <f>IF(AND(AI6&gt;=EOMONTH($D$15,$C$50),AI6&lt;=$D$17),-($D$50+AI158),0)*(AI4&gt;0)</f>
        <v/>
      </c>
      <c r="AJ159" s="24">
        <f>IF(AND(AJ6&gt;=EOMONTH($D$15,$C$50),AJ6&lt;=$D$17),-($D$50+AJ158),0)*(AJ4&gt;0)</f>
        <v/>
      </c>
      <c r="AK159" s="24">
        <f>IF(AND(AK6&gt;=EOMONTH($D$15,$C$50),AK6&lt;=$D$17),-($D$50+AK158),0)*(AK4&gt;0)</f>
        <v/>
      </c>
      <c r="AL159" s="24">
        <f>IF(AND(AL6&gt;=EOMONTH($D$15,$C$50),AL6&lt;=$D$17),-($D$50+AL158),0)*(AL4&gt;0)</f>
        <v/>
      </c>
      <c r="AM159" s="24">
        <f>IF(AND(AM6&gt;=EOMONTH($D$15,$C$50),AM6&lt;=$D$17),-($D$50+AM158),0)*(AM4&gt;0)</f>
        <v/>
      </c>
      <c r="AN159" s="24">
        <f>IF(AND(AN6&gt;=EOMONTH($D$15,$C$50),AN6&lt;=$D$17),-($D$50+AN158),0)*(AN4&gt;0)</f>
        <v/>
      </c>
      <c r="AO159" s="24">
        <f>IF(AND(AO6&gt;=EOMONTH($D$15,$C$50),AO6&lt;=$D$17),-($D$50+AO158),0)*(AO4&gt;0)</f>
        <v/>
      </c>
      <c r="AP159" s="24">
        <f>IF(AND(AP6&gt;=EOMONTH($D$15,$C$50),AP6&lt;=$D$17),-($D$50+AP158),0)*(AP4&gt;0)</f>
        <v/>
      </c>
      <c r="AQ159" s="24">
        <f>IF(AND(AQ6&gt;=EOMONTH($D$15,$C$50),AQ6&lt;=$D$17),-($D$50+AQ158),0)*(AQ4&gt;0)</f>
        <v/>
      </c>
      <c r="AR159" s="24">
        <f>IF(AND(AR6&gt;=EOMONTH($D$15,$C$50),AR6&lt;=$D$17),-($D$50+AR158),0)*(AR4&gt;0)</f>
        <v/>
      </c>
      <c r="AS159" s="24">
        <f>IF(AND(AS6&gt;=EOMONTH($D$15,$C$50),AS6&lt;=$D$17),-($D$50+AS158),0)*(AS4&gt;0)</f>
        <v/>
      </c>
      <c r="AT159" s="24">
        <f>IF(AND(AT6&gt;=EOMONTH($D$15,$C$50),AT6&lt;=$D$17),-($D$50+AT158),0)*(AT4&gt;0)</f>
        <v/>
      </c>
      <c r="AU159" s="24">
        <f>IF(AND(AU6&gt;=EOMONTH($D$15,$C$50),AU6&lt;=$D$17),-($D$50+AU158),0)*(AU4&gt;0)</f>
        <v/>
      </c>
      <c r="AV159" s="24">
        <f>IF(AND(AV6&gt;=EOMONTH($D$15,$C$50),AV6&lt;=$D$17),-($D$50+AV158),0)*(AV4&gt;0)</f>
        <v/>
      </c>
      <c r="AW159" s="24">
        <f>IF(AND(AW6&gt;=EOMONTH($D$15,$C$50),AW6&lt;=$D$17),-($D$50+AW158),0)*(AW4&gt;0)</f>
        <v/>
      </c>
      <c r="AX159" s="24">
        <f>IF(AND(AX6&gt;=EOMONTH($D$15,$C$50),AX6&lt;=$D$17),-($D$50+AX158),0)*(AX4&gt;0)</f>
        <v/>
      </c>
      <c r="AY159" s="24">
        <f>IF(AND(AY6&gt;=EOMONTH($D$15,$C$50),AY6&lt;=$D$17),-($D$50+AY158),0)*(AY4&gt;0)</f>
        <v/>
      </c>
      <c r="AZ159" s="24">
        <f>IF(AND(AZ6&gt;=EOMONTH($D$15,$C$50),AZ6&lt;=$D$17),-($D$50+AZ158),0)*(AZ4&gt;0)</f>
        <v/>
      </c>
      <c r="BA159" s="24">
        <f>IF(AND(BA6&gt;=EOMONTH($D$15,$C$50),BA6&lt;=$D$17),-($D$50+BA158),0)*(BA4&gt;0)</f>
        <v/>
      </c>
      <c r="BB159" s="24">
        <f>IF(AND(BB6&gt;=EOMONTH($D$15,$C$50),BB6&lt;=$D$17),-($D$50+BB158),0)*(BB4&gt;0)</f>
        <v/>
      </c>
      <c r="BC159" s="24">
        <f>IF(AND(BC6&gt;=EOMONTH($D$15,$C$50),BC6&lt;=$D$17),-($D$50+BC158),0)*(BC4&gt;0)</f>
        <v/>
      </c>
      <c r="BD159" s="24">
        <f>IF(AND(BD6&gt;=EOMONTH($D$15,$C$50),BD6&lt;=$D$17),-($D$50+BD158),0)*(BD4&gt;0)</f>
        <v/>
      </c>
      <c r="BE159" s="24">
        <f>IF(AND(BE6&gt;=EOMONTH($D$15,$C$50),BE6&lt;=$D$17),-($D$50+BE158),0)*(BE4&gt;0)</f>
        <v/>
      </c>
      <c r="BF159" s="24">
        <f>IF(AND(BF6&gt;=EOMONTH($D$15,$C$50),BF6&lt;=$D$17),-($D$50+BF158),0)*(BF4&gt;0)</f>
        <v/>
      </c>
      <c r="BG159" s="24">
        <f>IF(AND(BG6&gt;=EOMONTH($D$15,$C$50),BG6&lt;=$D$17),-($D$50+BG158),0)*(BG4&gt;0)</f>
        <v/>
      </c>
      <c r="BH159" s="24">
        <f>IF(AND(BH6&gt;=EOMONTH($D$15,$C$50),BH6&lt;=$D$17),-($D$50+BH158),0)*(BH4&gt;0)</f>
        <v/>
      </c>
      <c r="BI159" s="24">
        <f>IF(AND(BI6&gt;=EOMONTH($D$15,$C$50),BI6&lt;=$D$17),-($D$50+BI158),0)*(BI4&gt;0)</f>
        <v/>
      </c>
      <c r="BJ159" s="24">
        <f>IF(AND(BJ6&gt;=EOMONTH($D$15,$C$50),BJ6&lt;=$D$17),-($D$50+BJ158),0)*(BJ4&gt;0)</f>
        <v/>
      </c>
      <c r="BK159" s="24">
        <f>IF(AND(BK6&gt;=EOMONTH($D$15,$C$50),BK6&lt;=$D$17),-($D$50+BK158),0)*(BK4&gt;0)</f>
        <v/>
      </c>
      <c r="BL159" s="24">
        <f>IF(AND(BL6&gt;=EOMONTH($D$15,$C$50),BL6&lt;=$D$17),-($D$50+BL158),0)*(BL4&gt;0)</f>
        <v/>
      </c>
      <c r="BM159" s="24">
        <f>IF(AND(BM6&gt;=EOMONTH($D$15,$C$50),BM6&lt;=$D$17),-($D$50+BM158),0)*(BM4&gt;0)</f>
        <v/>
      </c>
      <c r="BN159" s="24">
        <f>IF(AND(BN6&gt;=EOMONTH($D$15,$C$50),BN6&lt;=$D$17),-($D$50+BN158),0)*(BN4&gt;0)</f>
        <v/>
      </c>
      <c r="BO159" s="24">
        <f>IF(AND(BO6&gt;=EOMONTH($D$15,$C$50),BO6&lt;=$D$17),-($D$50+BO158),0)*(BO4&gt;0)</f>
        <v/>
      </c>
      <c r="BP159" s="24">
        <f>IF(AND(BP6&gt;=EOMONTH($D$15,$C$50),BP6&lt;=$D$17),-($D$50+BP158),0)*(BP4&gt;0)</f>
        <v/>
      </c>
      <c r="BQ159" s="24">
        <f>IF(AND(BQ6&gt;=EOMONTH($D$15,$C$50),BQ6&lt;=$D$17),-($D$50+BQ158),0)*(BQ4&gt;0)</f>
        <v/>
      </c>
      <c r="BR159" s="24">
        <f>IF(AND(BR6&gt;=EOMONTH($D$15,$C$50),BR6&lt;=$D$17),-($D$50+BR158),0)*(BR4&gt;0)</f>
        <v/>
      </c>
      <c r="BS159" s="24">
        <f>IF(AND(BS6&gt;=EOMONTH($D$15,$C$50),BS6&lt;=$D$17),-($D$50+BS158),0)*(BS4&gt;0)</f>
        <v/>
      </c>
      <c r="BT159" s="24">
        <f>IF(AND(BT6&gt;=EOMONTH($D$15,$C$50),BT6&lt;=$D$17),-($D$50+BT158),0)*(BT4&gt;0)</f>
        <v/>
      </c>
      <c r="BU159" s="24">
        <f>IF(AND(BU6&gt;=EOMONTH($D$15,$C$50),BU6&lt;=$D$17),-($D$50+BU158),0)*(BU4&gt;0)</f>
        <v/>
      </c>
      <c r="BV159" s="24">
        <f>IF(AND(BV6&gt;=EOMONTH($D$15,$C$50),BV6&lt;=$D$17),-($D$50+BV158),0)*(BV4&gt;0)</f>
        <v/>
      </c>
      <c r="BW159" s="24">
        <f>IF(AND(BW6&gt;=EOMONTH($D$15,$C$50),BW6&lt;=$D$17),-($D$50+BW158),0)*(BW4&gt;0)</f>
        <v/>
      </c>
      <c r="BX159" s="24">
        <f>IF(AND(BX6&gt;=EOMONTH($D$15,$C$50),BX6&lt;=$D$17),-($D$50+BX158),0)*(BX4&gt;0)</f>
        <v/>
      </c>
      <c r="BY159" s="24">
        <f>IF(AND(BY6&gt;=EOMONTH($D$15,$C$50),BY6&lt;=$D$17),-($D$50+BY158),0)*(BY4&gt;0)</f>
        <v/>
      </c>
      <c r="BZ159" s="24">
        <f>IF(AND(BZ6&gt;=EOMONTH($D$15,$C$50),BZ6&lt;=$D$17),-($D$50+BZ158),0)*(BZ4&gt;0)</f>
        <v/>
      </c>
      <c r="CA159" s="24">
        <f>IF(AND(CA6&gt;=EOMONTH($D$15,$C$50),CA6&lt;=$D$17),-($D$50+CA158),0)*(CA4&gt;0)</f>
        <v/>
      </c>
      <c r="CB159" s="24">
        <f>IF(AND(CB6&gt;=EOMONTH($D$15,$C$50),CB6&lt;=$D$17),-($D$50+CB158),0)*(CB4&gt;0)</f>
        <v/>
      </c>
      <c r="CC159" s="24">
        <f>IF(AND(CC6&gt;=EOMONTH($D$15,$C$50),CC6&lt;=$D$17),-($D$50+CC158),0)*(CC4&gt;0)</f>
        <v/>
      </c>
      <c r="CD159" s="24">
        <f>IF(AND(CD6&gt;=EOMONTH($D$15,$C$50),CD6&lt;=$D$17),-($D$50+CD158),0)*(CD4&gt;0)</f>
        <v/>
      </c>
      <c r="CE159" s="24">
        <f>IF(AND(CE6&gt;=EOMONTH($D$15,$C$50),CE6&lt;=$D$17),-($D$50+CE158),0)*(CE4&gt;0)</f>
        <v/>
      </c>
      <c r="CF159" s="24">
        <f>IF(AND(CF6&gt;=EOMONTH($D$15,$C$50),CF6&lt;=$D$17),-($D$50+CF158),0)*(CF4&gt;0)</f>
        <v/>
      </c>
      <c r="CG159" s="24">
        <f>IF(AND(CG6&gt;=EOMONTH($D$15,$C$50),CG6&lt;=$D$17),-($D$50+CG158),0)*(CG4&gt;0)</f>
        <v/>
      </c>
      <c r="CH159" s="24">
        <f>IF(AND(CH6&gt;=EOMONTH($D$15,$C$50),CH6&lt;=$D$17),-($D$50+CH158),0)*(CH4&gt;0)</f>
        <v/>
      </c>
      <c r="CI159" s="24">
        <f>IF(AND(CI6&gt;=EOMONTH($D$15,$C$50),CI6&lt;=$D$17),-($D$50+CI158),0)*(CI4&gt;0)</f>
        <v/>
      </c>
      <c r="CJ159" s="24">
        <f>IF(AND(CJ6&gt;=EOMONTH($D$15,$C$50),CJ6&lt;=$D$17),-($D$50+CJ158),0)*(CJ4&gt;0)</f>
        <v/>
      </c>
      <c r="CK159" s="24">
        <f>IF(AND(CK6&gt;=EOMONTH($D$15,$C$50),CK6&lt;=$D$17),-($D$50+CK158),0)*(CK4&gt;0)</f>
        <v/>
      </c>
      <c r="CL159" s="24">
        <f>IF(AND(CL6&gt;=EOMONTH($D$15,$C$50),CL6&lt;=$D$17),-($D$50+CL158),0)*(CL4&gt;0)</f>
        <v/>
      </c>
      <c r="CM159" s="24">
        <f>IF(AND(CM6&gt;=EOMONTH($D$15,$C$50),CM6&lt;=$D$17),-($D$50+CM158),0)*(CM4&gt;0)</f>
        <v/>
      </c>
      <c r="CN159" s="24">
        <f>IF(AND(CN6&gt;=EOMONTH($D$15,$C$50),CN6&lt;=$D$17),-($D$50+CN158),0)*(CN4&gt;0)</f>
        <v/>
      </c>
      <c r="CO159" s="24">
        <f>IF(AND(CO6&gt;=EOMONTH($D$15,$C$50),CO6&lt;=$D$17),-($D$50+CO158),0)*(CO4&gt;0)</f>
        <v/>
      </c>
      <c r="CP159" s="24">
        <f>IF(AND(CP6&gt;=EOMONTH($D$15,$C$50),CP6&lt;=$D$17),-($D$50+CP158),0)*(CP4&gt;0)</f>
        <v/>
      </c>
      <c r="CQ159" s="24">
        <f>IF(AND(CQ6&gt;=EOMONTH($D$15,$C$50),CQ6&lt;=$D$17),-($D$50+CQ158),0)*(CQ4&gt;0)</f>
        <v/>
      </c>
      <c r="CR159" s="24">
        <f>IF(AND(CR6&gt;=EOMONTH($D$15,$C$50),CR6&lt;=$D$17),-($D$50+CR158),0)*(CR4&gt;0)</f>
        <v/>
      </c>
      <c r="CS159" s="24">
        <f>IF(AND(CS6&gt;=EOMONTH($D$15,$C$50),CS6&lt;=$D$17),-($D$50+CS158),0)*(CS4&gt;0)</f>
        <v/>
      </c>
      <c r="CT159" s="24">
        <f>IF(AND(CT6&gt;=EOMONTH($D$15,$C$50),CT6&lt;=$D$17),-($D$50+CT158),0)*(CT4&gt;0)</f>
        <v/>
      </c>
      <c r="CU159" s="24">
        <f>IF(AND(CU6&gt;=EOMONTH($D$15,$C$50),CU6&lt;=$D$17),-($D$50+CU158),0)*(CU4&gt;0)</f>
        <v/>
      </c>
      <c r="CV159" s="24">
        <f>IF(AND(CV6&gt;=EOMONTH($D$15,$C$50),CV6&lt;=$D$17),-($D$50+CV158),0)*(CV4&gt;0)</f>
        <v/>
      </c>
      <c r="CW159" s="24">
        <f>IF(AND(CW6&gt;=EOMONTH($D$15,$C$50),CW6&lt;=$D$17),-($D$50+CW158),0)*(CW4&gt;0)</f>
        <v/>
      </c>
      <c r="CX159" s="24">
        <f>IF(AND(CX6&gt;=EOMONTH($D$15,$C$50),CX6&lt;=$D$17),-($D$50+CX158),0)*(CX4&gt;0)</f>
        <v/>
      </c>
      <c r="CY159" s="24">
        <f>IF(AND(CY6&gt;=EOMONTH($D$15,$C$50),CY6&lt;=$D$17),-($D$50+CY158),0)*(CY4&gt;0)</f>
        <v/>
      </c>
      <c r="CZ159" s="24">
        <f>IF(AND(CZ6&gt;=EOMONTH($D$15,$C$50),CZ6&lt;=$D$17),-($D$50+CZ158),0)*(CZ4&gt;0)</f>
        <v/>
      </c>
      <c r="DA159" s="24">
        <f>IF(AND(DA6&gt;=EOMONTH($D$15,$C$50),DA6&lt;=$D$17),-($D$50+DA158),0)*(DA4&gt;0)</f>
        <v/>
      </c>
      <c r="DB159" s="24">
        <f>IF(AND(DB6&gt;=EOMONTH($D$15,$C$50),DB6&lt;=$D$17),-($D$50+DB158),0)*(DB4&gt;0)</f>
        <v/>
      </c>
      <c r="DC159" s="24">
        <f>IF(AND(DC6&gt;=EOMONTH($D$15,$C$50),DC6&lt;=$D$17),-($D$50+DC158),0)*(DC4&gt;0)</f>
        <v/>
      </c>
      <c r="DD159" s="24">
        <f>IF(AND(DD6&gt;=EOMONTH($D$15,$C$50),DD6&lt;=$D$17),-($D$50+DD158),0)*(DD4&gt;0)</f>
        <v/>
      </c>
      <c r="DE159" s="24">
        <f>IF(AND(DE6&gt;=EOMONTH($D$15,$C$50),DE6&lt;=$D$17),-($D$50+DE158),0)*(DE4&gt;0)</f>
        <v/>
      </c>
      <c r="DF159" s="24">
        <f>IF(AND(DF6&gt;=EOMONTH($D$15,$C$50),DF6&lt;=$D$17),-($D$50+DF158),0)*(DF4&gt;0)</f>
        <v/>
      </c>
      <c r="DG159" s="24">
        <f>IF(AND(DG6&gt;=EOMONTH($D$15,$C$50),DG6&lt;=$D$17),-($D$50+DG158),0)*(DG4&gt;0)</f>
        <v/>
      </c>
      <c r="DH159" s="24">
        <f>IF(AND(DH6&gt;=EOMONTH($D$15,$C$50),DH6&lt;=$D$17),-($D$50+DH158),0)*(DH4&gt;0)</f>
        <v/>
      </c>
      <c r="DI159" s="24">
        <f>IF(AND(DI6&gt;=EOMONTH($D$15,$C$50),DI6&lt;=$D$17),-($D$50+DI158),0)*(DI4&gt;0)</f>
        <v/>
      </c>
      <c r="DJ159" s="24">
        <f>IF(AND(DJ6&gt;=EOMONTH($D$15,$C$50),DJ6&lt;=$D$17),-($D$50+DJ158),0)*(DJ4&gt;0)</f>
        <v/>
      </c>
      <c r="DK159" s="24">
        <f>IF(AND(DK6&gt;=EOMONTH($D$15,$C$50),DK6&lt;=$D$17),-($D$50+DK158),0)*(DK4&gt;0)</f>
        <v/>
      </c>
      <c r="DL159" s="24">
        <f>IF(AND(DL6&gt;=EOMONTH($D$15,$C$50),DL6&lt;=$D$17),-($D$50+DL158),0)*(DL4&gt;0)</f>
        <v/>
      </c>
      <c r="DM159" s="24">
        <f>IF(AND(DM6&gt;=EOMONTH($D$15,$C$50),DM6&lt;=$D$17),-($D$50+DM158),0)*(DM4&gt;0)</f>
        <v/>
      </c>
      <c r="DN159" s="24">
        <f>IF(AND(DN6&gt;=EOMONTH($D$15,$C$50),DN6&lt;=$D$17),-($D$50+DN158),0)*(DN4&gt;0)</f>
        <v/>
      </c>
      <c r="DO159" s="24">
        <f>IF(AND(DO6&gt;=EOMONTH($D$15,$C$50),DO6&lt;=$D$17),-($D$50+DO158),0)*(DO4&gt;0)</f>
        <v/>
      </c>
      <c r="DP159" s="24">
        <f>IF(AND(DP6&gt;=EOMONTH($D$15,$C$50),DP6&lt;=$D$17),-($D$50+DP158),0)*(DP4&gt;0)</f>
        <v/>
      </c>
      <c r="DQ159" s="24">
        <f>IF(AND(DQ6&gt;=EOMONTH($D$15,$C$50),DQ6&lt;=$D$17),-($D$50+DQ158),0)*(DQ4&gt;0)</f>
        <v/>
      </c>
      <c r="DR159" s="24">
        <f>IF(AND(DR6&gt;=EOMONTH($D$15,$C$50),DR6&lt;=$D$17),-($D$50+DR158),0)*(DR4&gt;0)</f>
        <v/>
      </c>
      <c r="DS159" s="24">
        <f>IF(AND(DS6&gt;=EOMONTH($D$15,$C$50),DS6&lt;=$D$17),-($D$50+DS158),0)*(DS4&gt;0)</f>
        <v/>
      </c>
      <c r="DT159" s="24">
        <f>IF(AND(DT6&gt;=EOMONTH($D$15,$C$50),DT6&lt;=$D$17),-($D$50+DT158),0)*(DT4&gt;0)</f>
        <v/>
      </c>
      <c r="DU159" s="24">
        <f>IF(AND(DU6&gt;=EOMONTH($D$15,$C$50),DU6&lt;=$D$17),-($D$50+DU158),0)*(DU4&gt;0)</f>
        <v/>
      </c>
      <c r="DV159" s="24">
        <f>IF(AND(DV6&gt;=EOMONTH($D$15,$C$50),DV6&lt;=$D$17),-($D$50+DV158),0)*(DV4&gt;0)</f>
        <v/>
      </c>
      <c r="DW159" s="24">
        <f>IF(AND(DW6&gt;=EOMONTH($D$15,$C$50),DW6&lt;=$D$17),-($D$50+DW158),0)*(DW4&gt;0)</f>
        <v/>
      </c>
      <c r="DX159" s="24">
        <f>IF(AND(DX6&gt;=EOMONTH($D$15,$C$50),DX6&lt;=$D$17),-($D$50+DX158),0)*(DX4&gt;0)</f>
        <v/>
      </c>
      <c r="DY159" s="24">
        <f>IF(AND(DY6&gt;=EOMONTH($D$15,$C$50),DY6&lt;=$D$17),-($D$50+DY158),0)*(DY4&gt;0)</f>
        <v/>
      </c>
      <c r="DZ159" s="24">
        <f>IF(AND(DZ6&gt;=EOMONTH($D$15,$C$50),DZ6&lt;=$D$17),-($D$50+DZ158),0)*(DZ4&gt;0)</f>
        <v/>
      </c>
      <c r="EA159" s="24">
        <f>IF(AND(EA6&gt;=EOMONTH($D$15,$C$50),EA6&lt;=$D$17),-($D$50+EA158),0)*(EA4&gt;0)</f>
        <v/>
      </c>
      <c r="EB159" s="24">
        <f>IF(AND(EB6&gt;=EOMONTH($D$15,$C$50),EB6&lt;=$D$17),-($D$50+EB158),0)*(EB4&gt;0)</f>
        <v/>
      </c>
      <c r="EC159" s="24">
        <f>IF(AND(EC6&gt;=EOMONTH($D$15,$C$50),EC6&lt;=$D$17),-($D$50+EC158),0)*(EC4&gt;0)</f>
        <v/>
      </c>
      <c r="ED159" s="24">
        <f>IF(AND(ED6&gt;=EOMONTH($D$15,$C$50),ED6&lt;=$D$17),-($D$50+ED158),0)*(ED4&gt;0)</f>
        <v/>
      </c>
      <c r="EE159" s="24">
        <f>IF(AND(EE6&gt;=EOMONTH($D$15,$C$50),EE6&lt;=$D$17),-($D$50+EE158),0)*(EE4&gt;0)</f>
        <v/>
      </c>
      <c r="EF159" s="24">
        <f>IF(AND(EF6&gt;=EOMONTH($D$15,$C$50),EF6&lt;=$D$17),-($D$50+EF158),0)*(EF4&gt;0)</f>
        <v/>
      </c>
      <c r="EG159" s="24">
        <f>IF(AND(EG6&gt;=EOMONTH($D$15,$C$50),EG6&lt;=$D$17),-($D$50+EG158),0)*(EG4&gt;0)</f>
        <v/>
      </c>
      <c r="EH159" s="24">
        <f>IF(AND(EH6&gt;=EOMONTH($D$15,$C$50),EH6&lt;=$D$17),-($D$50+EH158),0)*(EH4&gt;0)</f>
        <v/>
      </c>
      <c r="EI159" s="24">
        <f>IF(AND(EI6&gt;=EOMONTH($D$15,$C$50),EI6&lt;=$D$17),-($D$50+EI158),0)*(EI4&gt;0)</f>
        <v/>
      </c>
      <c r="EJ159" s="24">
        <f>IF(AND(EJ6&gt;=EOMONTH($D$15,$C$50),EJ6&lt;=$D$17),-($D$50+EJ158),0)*(EJ4&gt;0)</f>
        <v/>
      </c>
      <c r="EK159" s="24">
        <f>IF(AND(EK6&gt;=EOMONTH($D$15,$C$50),EK6&lt;=$D$17),-($D$50+EK158),0)*(EK4&gt;0)</f>
        <v/>
      </c>
      <c r="EL159" s="24">
        <f>IF(AND(EL6&gt;=EOMONTH($D$15,$C$50),EL6&lt;=$D$17),-($D$50+EL158),0)*(EL4&gt;0)</f>
        <v/>
      </c>
      <c r="EM159" s="24">
        <f>IF(AND(EM6&gt;=EOMONTH($D$15,$C$50),EM6&lt;=$D$17),-($D$50+EM158),0)*(EM4&gt;0)</f>
        <v/>
      </c>
      <c r="EN159" s="24">
        <f>IF(AND(EN6&gt;=EOMONTH($D$15,$C$50),EN6&lt;=$D$17),-($D$50+EN158),0)*(EN4&gt;0)</f>
        <v/>
      </c>
      <c r="EO159" s="24">
        <f>IF(AND(EO6&gt;=EOMONTH($D$15,$C$50),EO6&lt;=$D$17),-($D$50+EO158),0)*(EO4&gt;0)</f>
        <v/>
      </c>
      <c r="EP159" s="24">
        <f>IF(AND(EP6&gt;=EOMONTH($D$15,$C$50),EP6&lt;=$D$17),-($D$50+EP158),0)*(EP4&gt;0)</f>
        <v/>
      </c>
      <c r="EQ159" s="24">
        <f>IF(AND(EQ6&gt;=EOMONTH($D$15,$C$50),EQ6&lt;=$D$17),-($D$50+EQ158),0)*(EQ4&gt;0)</f>
        <v/>
      </c>
      <c r="ER159" s="24">
        <f>IF(AND(ER6&gt;=EOMONTH($D$15,$C$50),ER6&lt;=$D$17),-($D$50+ER158),0)*(ER4&gt;0)</f>
        <v/>
      </c>
      <c r="ES159" s="24">
        <f>IF(AND(ES6&gt;=EOMONTH($D$15,$C$50),ES6&lt;=$D$17),-($D$50+ES158),0)*(ES4&gt;0)</f>
        <v/>
      </c>
      <c r="ET159" s="24">
        <f>IF(AND(ET6&gt;=EOMONTH($D$15,$C$50),ET6&lt;=$D$17),-($D$50+ET158),0)*(ET4&gt;0)</f>
        <v/>
      </c>
      <c r="EU159" s="24">
        <f>IF(AND(EU6&gt;=EOMONTH($D$15,$C$50),EU6&lt;=$D$17),-($D$50+EU158),0)*(EU4&gt;0)</f>
        <v/>
      </c>
      <c r="EV159" s="24">
        <f>IF(AND(EV6&gt;=EOMONTH($D$15,$C$50),EV6&lt;=$D$17),-($D$50+EV158),0)*(EV4&gt;0)</f>
        <v/>
      </c>
      <c r="EW159" s="24">
        <f>IF(AND(EW6&gt;=EOMONTH($D$15,$C$50),EW6&lt;=$D$17),-($D$50+EW158),0)*(EW4&gt;0)</f>
        <v/>
      </c>
      <c r="EX159" s="24">
        <f>IF(AND(EX6&gt;=EOMONTH($D$15,$C$50),EX6&lt;=$D$17),-($D$50+EX158),0)*(EX4&gt;0)</f>
        <v/>
      </c>
      <c r="EY159" s="24">
        <f>IF(AND(EY6&gt;=EOMONTH($D$15,$C$50),EY6&lt;=$D$17),-($D$50+EY158),0)*(EY4&gt;0)</f>
        <v/>
      </c>
      <c r="EZ159" s="24">
        <f>IF(AND(EZ6&gt;=EOMONTH($D$15,$C$50),EZ6&lt;=$D$17),-($D$50+EZ158),0)*(EZ4&gt;0)</f>
        <v/>
      </c>
      <c r="FA159" s="24">
        <f>IF(AND(FA6&gt;=EOMONTH($D$15,$C$50),FA6&lt;=$D$17),-($D$50+FA158),0)*(FA4&gt;0)</f>
        <v/>
      </c>
      <c r="FB159" s="24">
        <f>IF(AND(FB6&gt;=EOMONTH($D$15,$C$50),FB6&lt;=$D$17),-($D$50+FB158),0)*(FB4&gt;0)</f>
        <v/>
      </c>
    </row>
    <row r="160" customFormat="1" s="24">
      <c r="A160" s="9" t="n"/>
      <c r="B160" s="9" t="n"/>
      <c r="C160" s="9" t="n"/>
      <c r="D160" s="9" t="n"/>
      <c r="E160" s="9" t="n"/>
      <c r="F160" s="9" t="n"/>
      <c r="G160" s="9" t="n"/>
      <c r="H160" s="11" t="n"/>
      <c r="I160" s="9" t="inlineStr">
        <is>
          <t>Loan Payoff</t>
        </is>
      </c>
      <c r="J160" s="9" t="n"/>
      <c r="K160" s="11" t="n"/>
      <c r="L160" s="24">
        <f>SUMIF($Z$4:$FB$4,"&lt;"&amp;$G$18,$Z160:$FB160)</f>
        <v/>
      </c>
      <c r="M160" s="55" t="n"/>
      <c r="N160" s="24">
        <f>SUMIF($Z$3:$FB$3,N$7,$Z160:$FB160)</f>
        <v/>
      </c>
      <c r="O160" s="24">
        <f>SUMIF($Z$3:$FB$3,O$7,$Z160:$FB160)</f>
        <v/>
      </c>
      <c r="P160" s="24">
        <f>SUMIF($Z$3:$FB$3,P$7,$Z160:$FB160)</f>
        <v/>
      </c>
      <c r="Q160" s="24">
        <f>SUMIF($Z$3:$FB$3,Q$7,$Z160:$FB160)</f>
        <v/>
      </c>
      <c r="R160" s="24">
        <f>SUMIF($Z$3:$FB$3,R$7,$Z160:$FB160)</f>
        <v/>
      </c>
      <c r="S160" s="24">
        <f>SUMIF($Z$3:$FB$3,S$7,$Z160:$FB160)</f>
        <v/>
      </c>
      <c r="T160" s="24">
        <f>SUMIF($Z$3:$FB$3,T$7,$Z160:$FB160)</f>
        <v/>
      </c>
      <c r="U160" s="24">
        <f>SUMIF($Z$3:$FB$3,U$7,$Z160:$FB160)</f>
        <v/>
      </c>
      <c r="V160" s="24">
        <f>SUMIF($Z$3:$FB$3,V$7,$Z160:$FB160)</f>
        <v/>
      </c>
      <c r="W160" s="24">
        <f>SUMIF($Z$3:$FB$3,W$7,$Z160:$FB160)</f>
        <v/>
      </c>
      <c r="X160" s="24">
        <f>SUMIF($Z$3:$FB$3,X$7,$Z160:$FB160)</f>
        <v/>
      </c>
      <c r="Y160" s="55" t="n"/>
      <c r="Z160" s="24">
        <f>IF(Z6=$D$47,-SUM(Z155:Z159),0)</f>
        <v/>
      </c>
      <c r="AA160" s="24">
        <f>IF(AA6=$D$47,-SUM(AA155:AA159),0)</f>
        <v/>
      </c>
      <c r="AB160" s="24">
        <f>IF(AB6=$D$47,-SUM(AB155:AB159),0)</f>
        <v/>
      </c>
      <c r="AC160" s="24">
        <f>IF(AC6=$D$47,-SUM(AC155:AC159),0)</f>
        <v/>
      </c>
      <c r="AD160" s="24">
        <f>IF(AD6=$D$47,-SUM(AD155:AD159),0)</f>
        <v/>
      </c>
      <c r="AE160" s="24">
        <f>IF(AE6=$D$47,-SUM(AE155:AE159),0)</f>
        <v/>
      </c>
      <c r="AF160" s="24">
        <f>IF(AF6=$D$47,-SUM(AF155:AF159),0)</f>
        <v/>
      </c>
      <c r="AG160" s="24">
        <f>IF(AG6=$D$47,-SUM(AG155:AG159),0)</f>
        <v/>
      </c>
      <c r="AH160" s="24">
        <f>IF(AH6=$D$47,-SUM(AH155:AH159),0)</f>
        <v/>
      </c>
      <c r="AI160" s="24">
        <f>IF(AI6=$D$47,-SUM(AI155:AI159),0)</f>
        <v/>
      </c>
      <c r="AJ160" s="24">
        <f>IF(AJ6=$D$47,-SUM(AJ155:AJ159),0)</f>
        <v/>
      </c>
      <c r="AK160" s="24">
        <f>IF(AK6=$D$47,-SUM(AK155:AK159),0)</f>
        <v/>
      </c>
      <c r="AL160" s="24">
        <f>IF(AL6=$D$47,-SUM(AL155:AL159),0)</f>
        <v/>
      </c>
      <c r="AM160" s="24">
        <f>IF(AM6=$D$47,-SUM(AM155:AM159),0)</f>
        <v/>
      </c>
      <c r="AN160" s="24">
        <f>IF(AN6=$D$47,-SUM(AN155:AN159),0)</f>
        <v/>
      </c>
      <c r="AO160" s="24">
        <f>IF(AO6=$D$47,-SUM(AO155:AO159),0)</f>
        <v/>
      </c>
      <c r="AP160" s="24">
        <f>IF(AP6=$D$47,-SUM(AP155:AP159),0)</f>
        <v/>
      </c>
      <c r="AQ160" s="24">
        <f>IF(AQ6=$D$47,-SUM(AQ155:AQ159),0)</f>
        <v/>
      </c>
      <c r="AR160" s="24">
        <f>IF(AR6=$D$47,-SUM(AR155:AR159),0)</f>
        <v/>
      </c>
      <c r="AS160" s="24">
        <f>IF(AS6=$D$47,-SUM(AS155:AS159),0)</f>
        <v/>
      </c>
      <c r="AT160" s="24">
        <f>IF(AT6=$D$47,-SUM(AT155:AT159),0)</f>
        <v/>
      </c>
      <c r="AU160" s="24">
        <f>IF(AU6=$D$47,-SUM(AU155:AU159),0)</f>
        <v/>
      </c>
      <c r="AV160" s="24">
        <f>IF(AV6=$D$47,-SUM(AV155:AV159),0)</f>
        <v/>
      </c>
      <c r="AW160" s="24">
        <f>IF(AW6=$D$47,-SUM(AW155:AW159),0)</f>
        <v/>
      </c>
      <c r="AX160" s="24">
        <f>IF(AX6=$D$47,-SUM(AX155:AX159),0)</f>
        <v/>
      </c>
      <c r="AY160" s="24">
        <f>IF(AY6=$D$47,-SUM(AY155:AY159),0)</f>
        <v/>
      </c>
      <c r="AZ160" s="24">
        <f>IF(AZ6=$D$47,-SUM(AZ155:AZ159),0)</f>
        <v/>
      </c>
      <c r="BA160" s="24">
        <f>IF(BA6=$D$47,-SUM(BA155:BA159),0)</f>
        <v/>
      </c>
      <c r="BB160" s="24">
        <f>IF(BB6=$D$47,-SUM(BB155:BB159),0)</f>
        <v/>
      </c>
      <c r="BC160" s="24">
        <f>IF(BC6=$D$47,-SUM(BC155:BC159),0)</f>
        <v/>
      </c>
      <c r="BD160" s="24">
        <f>IF(BD6=$D$47,-SUM(BD155:BD159),0)</f>
        <v/>
      </c>
      <c r="BE160" s="24">
        <f>IF(BE6=$D$47,-SUM(BE155:BE159),0)</f>
        <v/>
      </c>
      <c r="BF160" s="24">
        <f>IF(BF6=$D$47,-SUM(BF155:BF159),0)</f>
        <v/>
      </c>
      <c r="BG160" s="24">
        <f>IF(BG6=$D$47,-SUM(BG155:BG159),0)</f>
        <v/>
      </c>
      <c r="BH160" s="24">
        <f>IF(BH6=$D$47,-SUM(BH155:BH159),0)</f>
        <v/>
      </c>
      <c r="BI160" s="24">
        <f>IF(BI6=$D$47,-SUM(BI155:BI159),0)</f>
        <v/>
      </c>
      <c r="BJ160" s="24">
        <f>IF(BJ6=$D$47,-SUM(BJ155:BJ159),0)</f>
        <v/>
      </c>
      <c r="BK160" s="24">
        <f>IF(BK6=$D$47,-SUM(BK155:BK159),0)</f>
        <v/>
      </c>
      <c r="BL160" s="24">
        <f>IF(BL6=$D$47,-SUM(BL155:BL159),0)</f>
        <v/>
      </c>
      <c r="BM160" s="24">
        <f>IF(BM6=$D$47,-SUM(BM155:BM159),0)</f>
        <v/>
      </c>
      <c r="BN160" s="24">
        <f>IF(BN6=$D$47,-SUM(BN155:BN159),0)</f>
        <v/>
      </c>
      <c r="BO160" s="24">
        <f>IF(BO6=$D$47,-SUM(BO155:BO159),0)</f>
        <v/>
      </c>
      <c r="BP160" s="24">
        <f>IF(BP6=$D$47,-SUM(BP155:BP159),0)</f>
        <v/>
      </c>
      <c r="BQ160" s="24">
        <f>IF(BQ6=$D$47,-SUM(BQ155:BQ159),0)</f>
        <v/>
      </c>
      <c r="BR160" s="24">
        <f>IF(BR6=$D$47,-SUM(BR155:BR159),0)</f>
        <v/>
      </c>
      <c r="BS160" s="24">
        <f>IF(BS6=$D$47,-SUM(BS155:BS159),0)</f>
        <v/>
      </c>
      <c r="BT160" s="24">
        <f>IF(BT6=$D$47,-SUM(BT155:BT159),0)</f>
        <v/>
      </c>
      <c r="BU160" s="24">
        <f>IF(BU6=$D$47,-SUM(BU155:BU159),0)</f>
        <v/>
      </c>
      <c r="BV160" s="24">
        <f>IF(BV6=$D$47,-SUM(BV155:BV159),0)</f>
        <v/>
      </c>
      <c r="BW160" s="24">
        <f>IF(BW6=$D$47,-SUM(BW155:BW159),0)</f>
        <v/>
      </c>
      <c r="BX160" s="24">
        <f>IF(BX6=$D$47,-SUM(BX155:BX159),0)</f>
        <v/>
      </c>
      <c r="BY160" s="24">
        <f>IF(BY6=$D$47,-SUM(BY155:BY159),0)</f>
        <v/>
      </c>
      <c r="BZ160" s="24">
        <f>IF(BZ6=$D$47,-SUM(BZ155:BZ159),0)</f>
        <v/>
      </c>
      <c r="CA160" s="24">
        <f>IF(CA6=$D$47,-SUM(CA155:CA159),0)</f>
        <v/>
      </c>
      <c r="CB160" s="24">
        <f>IF(CB6=$D$47,-SUM(CB155:CB159),0)</f>
        <v/>
      </c>
      <c r="CC160" s="24">
        <f>IF(CC6=$D$47,-SUM(CC155:CC159),0)</f>
        <v/>
      </c>
      <c r="CD160" s="24">
        <f>IF(CD6=$D$47,-SUM(CD155:CD159),0)</f>
        <v/>
      </c>
      <c r="CE160" s="24">
        <f>IF(CE6=$D$47,-SUM(CE155:CE159),0)</f>
        <v/>
      </c>
      <c r="CF160" s="24">
        <f>IF(CF6=$D$47,-SUM(CF155:CF159),0)</f>
        <v/>
      </c>
      <c r="CG160" s="24">
        <f>IF(CG6=$D$47,-SUM(CG155:CG159),0)</f>
        <v/>
      </c>
      <c r="CH160" s="24">
        <f>IF(CH6=$D$47,-SUM(CH155:CH159),0)</f>
        <v/>
      </c>
      <c r="CI160" s="24">
        <f>IF(CI6=$D$47,-SUM(CI155:CI159),0)</f>
        <v/>
      </c>
      <c r="CJ160" s="24">
        <f>IF(CJ6=$D$47,-SUM(CJ155:CJ159),0)</f>
        <v/>
      </c>
      <c r="CK160" s="24">
        <f>IF(CK6=$D$47,-SUM(CK155:CK159),0)</f>
        <v/>
      </c>
      <c r="CL160" s="24">
        <f>IF(CL6=$D$47,-SUM(CL155:CL159),0)</f>
        <v/>
      </c>
      <c r="CM160" s="24">
        <f>IF(CM6=$D$47,-SUM(CM155:CM159),0)</f>
        <v/>
      </c>
      <c r="CN160" s="24">
        <f>IF(CN6=$D$47,-SUM(CN155:CN159),0)</f>
        <v/>
      </c>
      <c r="CO160" s="24">
        <f>IF(CO6=$D$47,-SUM(CO155:CO159),0)</f>
        <v/>
      </c>
      <c r="CP160" s="24">
        <f>IF(CP6=$D$47,-SUM(CP155:CP159),0)</f>
        <v/>
      </c>
      <c r="CQ160" s="24">
        <f>IF(CQ6=$D$47,-SUM(CQ155:CQ159),0)</f>
        <v/>
      </c>
      <c r="CR160" s="24">
        <f>IF(CR6=$D$47,-SUM(CR155:CR159),0)</f>
        <v/>
      </c>
      <c r="CS160" s="24">
        <f>IF(CS6=$D$47,-SUM(CS155:CS159),0)</f>
        <v/>
      </c>
      <c r="CT160" s="24">
        <f>IF(CT6=$D$47,-SUM(CT155:CT159),0)</f>
        <v/>
      </c>
      <c r="CU160" s="24">
        <f>IF(CU6=$D$47,-SUM(CU155:CU159),0)</f>
        <v/>
      </c>
      <c r="CV160" s="24">
        <f>IF(CV6=$D$47,-SUM(CV155:CV159),0)</f>
        <v/>
      </c>
      <c r="CW160" s="24">
        <f>IF(CW6=$D$47,-SUM(CW155:CW159),0)</f>
        <v/>
      </c>
      <c r="CX160" s="24">
        <f>IF(CX6=$D$47,-SUM(CX155:CX159),0)</f>
        <v/>
      </c>
      <c r="CY160" s="24">
        <f>IF(CY6=$D$47,-SUM(CY155:CY159),0)</f>
        <v/>
      </c>
      <c r="CZ160" s="24">
        <f>IF(CZ6=$D$47,-SUM(CZ155:CZ159),0)</f>
        <v/>
      </c>
      <c r="DA160" s="24">
        <f>IF(DA6=$D$47,-SUM(DA155:DA159),0)</f>
        <v/>
      </c>
      <c r="DB160" s="24">
        <f>IF(DB6=$D$47,-SUM(DB155:DB159),0)</f>
        <v/>
      </c>
      <c r="DC160" s="24">
        <f>IF(DC6=$D$47,-SUM(DC155:DC159),0)</f>
        <v/>
      </c>
      <c r="DD160" s="24">
        <f>IF(DD6=$D$47,-SUM(DD155:DD159),0)</f>
        <v/>
      </c>
      <c r="DE160" s="24">
        <f>IF(DE6=$D$47,-SUM(DE155:DE159),0)</f>
        <v/>
      </c>
      <c r="DF160" s="24">
        <f>IF(DF6=$D$47,-SUM(DF155:DF159),0)</f>
        <v/>
      </c>
      <c r="DG160" s="24">
        <f>IF(DG6=$D$47,-SUM(DG155:DG159),0)</f>
        <v/>
      </c>
      <c r="DH160" s="24">
        <f>IF(DH6=$D$47,-SUM(DH155:DH159),0)</f>
        <v/>
      </c>
      <c r="DI160" s="24">
        <f>IF(DI6=$D$47,-SUM(DI155:DI159),0)</f>
        <v/>
      </c>
      <c r="DJ160" s="24">
        <f>IF(DJ6=$D$47,-SUM(DJ155:DJ159),0)</f>
        <v/>
      </c>
      <c r="DK160" s="24">
        <f>IF(DK6=$D$47,-SUM(DK155:DK159),0)</f>
        <v/>
      </c>
      <c r="DL160" s="24">
        <f>IF(DL6=$D$47,-SUM(DL155:DL159),0)</f>
        <v/>
      </c>
      <c r="DM160" s="24">
        <f>IF(DM6=$D$47,-SUM(DM155:DM159),0)</f>
        <v/>
      </c>
      <c r="DN160" s="24">
        <f>IF(DN6=$D$47,-SUM(DN155:DN159),0)</f>
        <v/>
      </c>
      <c r="DO160" s="24">
        <f>IF(DO6=$D$47,-SUM(DO155:DO159),0)</f>
        <v/>
      </c>
      <c r="DP160" s="24">
        <f>IF(DP6=$D$47,-SUM(DP155:DP159),0)</f>
        <v/>
      </c>
      <c r="DQ160" s="24">
        <f>IF(DQ6=$D$47,-SUM(DQ155:DQ159),0)</f>
        <v/>
      </c>
      <c r="DR160" s="24">
        <f>IF(DR6=$D$47,-SUM(DR155:DR159),0)</f>
        <v/>
      </c>
      <c r="DS160" s="24">
        <f>IF(DS6=$D$47,-SUM(DS155:DS159),0)</f>
        <v/>
      </c>
      <c r="DT160" s="24">
        <f>IF(DT6=$D$47,-SUM(DT155:DT159),0)</f>
        <v/>
      </c>
      <c r="DU160" s="24">
        <f>IF(DU6=$D$47,-SUM(DU155:DU159),0)</f>
        <v/>
      </c>
      <c r="DV160" s="24">
        <f>IF(DV6=$D$47,-SUM(DV155:DV159),0)</f>
        <v/>
      </c>
      <c r="DW160" s="24">
        <f>IF(DW6=$D$47,-SUM(DW155:DW159),0)</f>
        <v/>
      </c>
      <c r="DX160" s="24">
        <f>IF(DX6=$D$47,-SUM(DX155:DX159),0)</f>
        <v/>
      </c>
      <c r="DY160" s="24">
        <f>IF(DY6=$D$47,-SUM(DY155:DY159),0)</f>
        <v/>
      </c>
      <c r="DZ160" s="24">
        <f>IF(DZ6=$D$47,-SUM(DZ155:DZ159),0)</f>
        <v/>
      </c>
      <c r="EA160" s="24">
        <f>IF(EA6=$D$47,-SUM(EA155:EA159),0)</f>
        <v/>
      </c>
      <c r="EB160" s="24">
        <f>IF(EB6=$D$47,-SUM(EB155:EB159),0)</f>
        <v/>
      </c>
      <c r="EC160" s="24">
        <f>IF(EC6=$D$47,-SUM(EC155:EC159),0)</f>
        <v/>
      </c>
      <c r="ED160" s="24">
        <f>IF(ED6=$D$47,-SUM(ED155:ED159),0)</f>
        <v/>
      </c>
      <c r="EE160" s="24">
        <f>IF(EE6=$D$47,-SUM(EE155:EE159),0)</f>
        <v/>
      </c>
      <c r="EF160" s="24">
        <f>IF(EF6=$D$47,-SUM(EF155:EF159),0)</f>
        <v/>
      </c>
      <c r="EG160" s="24">
        <f>IF(EG6=$D$47,-SUM(EG155:EG159),0)</f>
        <v/>
      </c>
      <c r="EH160" s="24">
        <f>IF(EH6=$D$47,-SUM(EH155:EH159),0)</f>
        <v/>
      </c>
      <c r="EI160" s="24">
        <f>IF(EI6=$D$47,-SUM(EI155:EI159),0)</f>
        <v/>
      </c>
      <c r="EJ160" s="24">
        <f>IF(EJ6=$D$47,-SUM(EJ155:EJ159),0)</f>
        <v/>
      </c>
      <c r="EK160" s="24">
        <f>IF(EK6=$D$47,-SUM(EK155:EK159),0)</f>
        <v/>
      </c>
      <c r="EL160" s="24">
        <f>IF(EL6=$D$47,-SUM(EL155:EL159),0)</f>
        <v/>
      </c>
      <c r="EM160" s="24">
        <f>IF(EM6=$D$47,-SUM(EM155:EM159),0)</f>
        <v/>
      </c>
      <c r="EN160" s="24">
        <f>IF(EN6=$D$47,-SUM(EN155:EN159),0)</f>
        <v/>
      </c>
      <c r="EO160" s="24">
        <f>IF(EO6=$D$47,-SUM(EO155:EO159),0)</f>
        <v/>
      </c>
      <c r="EP160" s="24">
        <f>IF(EP6=$D$47,-SUM(EP155:EP159),0)</f>
        <v/>
      </c>
      <c r="EQ160" s="24">
        <f>IF(EQ6=$D$47,-SUM(EQ155:EQ159),0)</f>
        <v/>
      </c>
      <c r="ER160" s="24">
        <f>IF(ER6=$D$47,-SUM(ER155:ER159),0)</f>
        <v/>
      </c>
      <c r="ES160" s="24">
        <f>IF(ES6=$D$47,-SUM(ES155:ES159),0)</f>
        <v/>
      </c>
      <c r="ET160" s="24">
        <f>IF(ET6=$D$47,-SUM(ET155:ET159),0)</f>
        <v/>
      </c>
      <c r="EU160" s="24">
        <f>IF(EU6=$D$47,-SUM(EU155:EU159),0)</f>
        <v/>
      </c>
      <c r="EV160" s="24">
        <f>IF(EV6=$D$47,-SUM(EV155:EV159),0)</f>
        <v/>
      </c>
      <c r="EW160" s="24">
        <f>IF(EW6=$D$47,-SUM(EW155:EW159),0)</f>
        <v/>
      </c>
      <c r="EX160" s="24">
        <f>IF(EX6=$D$47,-SUM(EX155:EX159),0)</f>
        <v/>
      </c>
      <c r="EY160" s="24">
        <f>IF(EY6=$D$47,-SUM(EY155:EY159),0)</f>
        <v/>
      </c>
      <c r="EZ160" s="24">
        <f>IF(EZ6=$D$47,-SUM(EZ155:EZ159),0)</f>
        <v/>
      </c>
      <c r="FA160" s="24">
        <f>IF(FA6=$D$47,-SUM(FA155:FA159),0)</f>
        <v/>
      </c>
      <c r="FB160" s="24">
        <f>IF(FB6=$D$47,-SUM(FB155:FB159),0)</f>
        <v/>
      </c>
    </row>
    <row r="161" customFormat="1" s="24">
      <c r="A161" s="11" t="n"/>
      <c r="B161" s="9" t="n"/>
      <c r="C161" s="9" t="n"/>
      <c r="D161" s="9" t="n"/>
      <c r="E161" s="9" t="n"/>
      <c r="F161" s="9" t="n"/>
      <c r="G161" s="9" t="n"/>
      <c r="H161" s="11" t="n"/>
      <c r="I161" s="57" t="inlineStr">
        <is>
          <t>EOD Balance</t>
        </is>
      </c>
      <c r="J161" s="57" t="n"/>
      <c r="K161" s="58" t="n"/>
      <c r="L161" s="57">
        <f>SUM(L156:L160)</f>
        <v/>
      </c>
      <c r="M161" s="58" t="n"/>
      <c r="N161" s="57">
        <f>SUMIF($Z$3:$FB$3,N$7,$Z161:$FB161)</f>
        <v/>
      </c>
      <c r="O161" s="57">
        <f>SUMIF($Z$3:$FB$3,O$7,$Z161:$FB161)</f>
        <v/>
      </c>
      <c r="P161" s="57">
        <f>SUMIF($Z$3:$FB$3,P$7,$Z161:$FB161)</f>
        <v/>
      </c>
      <c r="Q161" s="57">
        <f>SUMIF($Z$3:$FB$3,Q$7,$Z161:$FB161)</f>
        <v/>
      </c>
      <c r="R161" s="57">
        <f>SUMIF($Z$3:$FB$3,R$7,$Z161:$FB161)</f>
        <v/>
      </c>
      <c r="S161" s="57">
        <f>SUMIF($Z$3:$FB$3,S$7,$Z161:$FB161)</f>
        <v/>
      </c>
      <c r="T161" s="57">
        <f>SUMIF($Z$3:$FB$3,T$7,$Z161:$FB161)</f>
        <v/>
      </c>
      <c r="U161" s="57">
        <f>SUMIF($Z$3:$FB$3,U$7,$Z161:$FB161)</f>
        <v/>
      </c>
      <c r="V161" s="57">
        <f>SUMIF($Z$3:$FB$3,V$7,$Z161:$FB161)</f>
        <v/>
      </c>
      <c r="W161" s="57">
        <f>SUMIF($Z$3:$FB$3,W$7,$Z161:$FB161)</f>
        <v/>
      </c>
      <c r="X161" s="57">
        <f>SUMIF($Z$3:$FB$3,X$7,$Z161:$FB161)</f>
        <v/>
      </c>
      <c r="Y161" s="58" t="n"/>
      <c r="Z161" s="57">
        <f>SUM(Z155:Z160)</f>
        <v/>
      </c>
      <c r="AA161" s="57">
        <f>SUM(AA155:AA160)</f>
        <v/>
      </c>
      <c r="AB161" s="57">
        <f>SUM(AB155:AB160)</f>
        <v/>
      </c>
      <c r="AC161" s="57">
        <f>SUM(AC155:AC160)</f>
        <v/>
      </c>
      <c r="AD161" s="57">
        <f>SUM(AD155:AD160)</f>
        <v/>
      </c>
      <c r="AE161" s="57">
        <f>SUM(AE155:AE160)</f>
        <v/>
      </c>
      <c r="AF161" s="57">
        <f>SUM(AF155:AF160)</f>
        <v/>
      </c>
      <c r="AG161" s="57">
        <f>SUM(AG155:AG160)</f>
        <v/>
      </c>
      <c r="AH161" s="57">
        <f>SUM(AH155:AH160)</f>
        <v/>
      </c>
      <c r="AI161" s="57">
        <f>SUM(AI155:AI160)</f>
        <v/>
      </c>
      <c r="AJ161" s="57">
        <f>SUM(AJ155:AJ160)</f>
        <v/>
      </c>
      <c r="AK161" s="57">
        <f>SUM(AK155:AK160)</f>
        <v/>
      </c>
      <c r="AL161" s="57">
        <f>SUM(AL155:AL160)</f>
        <v/>
      </c>
      <c r="AM161" s="57">
        <f>SUM(AM155:AM160)</f>
        <v/>
      </c>
      <c r="AN161" s="57">
        <f>SUM(AN155:AN160)</f>
        <v/>
      </c>
      <c r="AO161" s="57">
        <f>SUM(AO155:AO160)</f>
        <v/>
      </c>
      <c r="AP161" s="57">
        <f>SUM(AP155:AP160)</f>
        <v/>
      </c>
      <c r="AQ161" s="57">
        <f>SUM(AQ155:AQ160)</f>
        <v/>
      </c>
      <c r="AR161" s="57">
        <f>SUM(AR155:AR160)</f>
        <v/>
      </c>
      <c r="AS161" s="57">
        <f>SUM(AS155:AS160)</f>
        <v/>
      </c>
      <c r="AT161" s="57">
        <f>SUM(AT155:AT160)</f>
        <v/>
      </c>
      <c r="AU161" s="57">
        <f>SUM(AU155:AU160)</f>
        <v/>
      </c>
      <c r="AV161" s="57">
        <f>SUM(AV155:AV160)</f>
        <v/>
      </c>
      <c r="AW161" s="57">
        <f>SUM(AW155:AW160)</f>
        <v/>
      </c>
      <c r="AX161" s="57">
        <f>SUM(AX155:AX160)</f>
        <v/>
      </c>
      <c r="AY161" s="57">
        <f>SUM(AY155:AY160)</f>
        <v/>
      </c>
      <c r="AZ161" s="57">
        <f>SUM(AZ155:AZ160)</f>
        <v/>
      </c>
      <c r="BA161" s="57">
        <f>SUM(BA155:BA160)</f>
        <v/>
      </c>
      <c r="BB161" s="57">
        <f>SUM(BB155:BB160)</f>
        <v/>
      </c>
      <c r="BC161" s="57">
        <f>SUM(BC155:BC160)</f>
        <v/>
      </c>
      <c r="BD161" s="57">
        <f>SUM(BD155:BD160)</f>
        <v/>
      </c>
      <c r="BE161" s="57">
        <f>SUM(BE155:BE160)</f>
        <v/>
      </c>
      <c r="BF161" s="57">
        <f>SUM(BF155:BF160)</f>
        <v/>
      </c>
      <c r="BG161" s="57">
        <f>SUM(BG155:BG160)</f>
        <v/>
      </c>
      <c r="BH161" s="57">
        <f>SUM(BH155:BH160)</f>
        <v/>
      </c>
      <c r="BI161" s="57">
        <f>SUM(BI155:BI160)</f>
        <v/>
      </c>
      <c r="BJ161" s="57">
        <f>SUM(BJ155:BJ160)</f>
        <v/>
      </c>
      <c r="BK161" s="57">
        <f>SUM(BK155:BK160)</f>
        <v/>
      </c>
      <c r="BL161" s="57">
        <f>SUM(BL155:BL160)</f>
        <v/>
      </c>
      <c r="BM161" s="57">
        <f>SUM(BM155:BM160)</f>
        <v/>
      </c>
      <c r="BN161" s="57">
        <f>SUM(BN155:BN160)</f>
        <v/>
      </c>
      <c r="BO161" s="57">
        <f>SUM(BO155:BO160)</f>
        <v/>
      </c>
      <c r="BP161" s="57">
        <f>SUM(BP155:BP160)</f>
        <v/>
      </c>
      <c r="BQ161" s="57">
        <f>SUM(BQ155:BQ160)</f>
        <v/>
      </c>
      <c r="BR161" s="57">
        <f>SUM(BR155:BR160)</f>
        <v/>
      </c>
      <c r="BS161" s="57">
        <f>SUM(BS155:BS160)</f>
        <v/>
      </c>
      <c r="BT161" s="57">
        <f>SUM(BT155:BT160)</f>
        <v/>
      </c>
      <c r="BU161" s="57">
        <f>SUM(BU155:BU160)</f>
        <v/>
      </c>
      <c r="BV161" s="57">
        <f>SUM(BV155:BV160)</f>
        <v/>
      </c>
      <c r="BW161" s="57">
        <f>SUM(BW155:BW160)</f>
        <v/>
      </c>
      <c r="BX161" s="57">
        <f>SUM(BX155:BX160)</f>
        <v/>
      </c>
      <c r="BY161" s="57">
        <f>SUM(BY155:BY160)</f>
        <v/>
      </c>
      <c r="BZ161" s="57">
        <f>SUM(BZ155:BZ160)</f>
        <v/>
      </c>
      <c r="CA161" s="57">
        <f>SUM(CA155:CA160)</f>
        <v/>
      </c>
      <c r="CB161" s="57">
        <f>SUM(CB155:CB160)</f>
        <v/>
      </c>
      <c r="CC161" s="57">
        <f>SUM(CC155:CC160)</f>
        <v/>
      </c>
      <c r="CD161" s="57">
        <f>SUM(CD155:CD160)</f>
        <v/>
      </c>
      <c r="CE161" s="57">
        <f>SUM(CE155:CE160)</f>
        <v/>
      </c>
      <c r="CF161" s="57">
        <f>SUM(CF155:CF160)</f>
        <v/>
      </c>
      <c r="CG161" s="57">
        <f>SUM(CG155:CG160)</f>
        <v/>
      </c>
      <c r="CH161" s="57">
        <f>SUM(CH155:CH160)</f>
        <v/>
      </c>
      <c r="CI161" s="57">
        <f>SUM(CI155:CI160)</f>
        <v/>
      </c>
      <c r="CJ161" s="57">
        <f>SUM(CJ155:CJ160)</f>
        <v/>
      </c>
      <c r="CK161" s="57">
        <f>SUM(CK155:CK160)</f>
        <v/>
      </c>
      <c r="CL161" s="57">
        <f>SUM(CL155:CL160)</f>
        <v/>
      </c>
      <c r="CM161" s="57">
        <f>SUM(CM155:CM160)</f>
        <v/>
      </c>
      <c r="CN161" s="57">
        <f>SUM(CN155:CN160)</f>
        <v/>
      </c>
      <c r="CO161" s="57">
        <f>SUM(CO155:CO160)</f>
        <v/>
      </c>
      <c r="CP161" s="57">
        <f>SUM(CP155:CP160)</f>
        <v/>
      </c>
      <c r="CQ161" s="57">
        <f>SUM(CQ155:CQ160)</f>
        <v/>
      </c>
      <c r="CR161" s="57">
        <f>SUM(CR155:CR160)</f>
        <v/>
      </c>
      <c r="CS161" s="57">
        <f>SUM(CS155:CS160)</f>
        <v/>
      </c>
      <c r="CT161" s="57">
        <f>SUM(CT155:CT160)</f>
        <v/>
      </c>
      <c r="CU161" s="57">
        <f>SUM(CU155:CU160)</f>
        <v/>
      </c>
      <c r="CV161" s="57">
        <f>SUM(CV155:CV160)</f>
        <v/>
      </c>
      <c r="CW161" s="57">
        <f>SUM(CW155:CW160)</f>
        <v/>
      </c>
      <c r="CX161" s="57">
        <f>SUM(CX155:CX160)</f>
        <v/>
      </c>
      <c r="CY161" s="57">
        <f>SUM(CY155:CY160)</f>
        <v/>
      </c>
      <c r="CZ161" s="57">
        <f>SUM(CZ155:CZ160)</f>
        <v/>
      </c>
      <c r="DA161" s="57">
        <f>SUM(DA155:DA160)</f>
        <v/>
      </c>
      <c r="DB161" s="57">
        <f>SUM(DB155:DB160)</f>
        <v/>
      </c>
      <c r="DC161" s="57">
        <f>SUM(DC155:DC160)</f>
        <v/>
      </c>
      <c r="DD161" s="57">
        <f>SUM(DD155:DD160)</f>
        <v/>
      </c>
      <c r="DE161" s="57">
        <f>SUM(DE155:DE160)</f>
        <v/>
      </c>
      <c r="DF161" s="57">
        <f>SUM(DF155:DF160)</f>
        <v/>
      </c>
      <c r="DG161" s="57">
        <f>SUM(DG155:DG160)</f>
        <v/>
      </c>
      <c r="DH161" s="57">
        <f>SUM(DH155:DH160)</f>
        <v/>
      </c>
      <c r="DI161" s="57">
        <f>SUM(DI155:DI160)</f>
        <v/>
      </c>
      <c r="DJ161" s="57">
        <f>SUM(DJ155:DJ160)</f>
        <v/>
      </c>
      <c r="DK161" s="57">
        <f>SUM(DK155:DK160)</f>
        <v/>
      </c>
      <c r="DL161" s="57">
        <f>SUM(DL155:DL160)</f>
        <v/>
      </c>
      <c r="DM161" s="57">
        <f>SUM(DM155:DM160)</f>
        <v/>
      </c>
      <c r="DN161" s="57">
        <f>SUM(DN155:DN160)</f>
        <v/>
      </c>
      <c r="DO161" s="57">
        <f>SUM(DO155:DO160)</f>
        <v/>
      </c>
      <c r="DP161" s="57">
        <f>SUM(DP155:DP160)</f>
        <v/>
      </c>
      <c r="DQ161" s="57">
        <f>SUM(DQ155:DQ160)</f>
        <v/>
      </c>
      <c r="DR161" s="57">
        <f>SUM(DR155:DR160)</f>
        <v/>
      </c>
      <c r="DS161" s="57">
        <f>SUM(DS155:DS160)</f>
        <v/>
      </c>
      <c r="DT161" s="57">
        <f>SUM(DT155:DT160)</f>
        <v/>
      </c>
      <c r="DU161" s="57">
        <f>SUM(DU155:DU160)</f>
        <v/>
      </c>
      <c r="DV161" s="57">
        <f>SUM(DV155:DV160)</f>
        <v/>
      </c>
      <c r="DW161" s="57">
        <f>SUM(DW155:DW160)</f>
        <v/>
      </c>
      <c r="DX161" s="57">
        <f>SUM(DX155:DX160)</f>
        <v/>
      </c>
      <c r="DY161" s="57">
        <f>SUM(DY155:DY160)</f>
        <v/>
      </c>
      <c r="DZ161" s="57">
        <f>SUM(DZ155:DZ160)</f>
        <v/>
      </c>
      <c r="EA161" s="57">
        <f>SUM(EA155:EA160)</f>
        <v/>
      </c>
      <c r="EB161" s="57">
        <f>SUM(EB155:EB160)</f>
        <v/>
      </c>
      <c r="EC161" s="57">
        <f>SUM(EC155:EC160)</f>
        <v/>
      </c>
      <c r="ED161" s="57">
        <f>SUM(ED155:ED160)</f>
        <v/>
      </c>
      <c r="EE161" s="57">
        <f>SUM(EE155:EE160)</f>
        <v/>
      </c>
      <c r="EF161" s="57">
        <f>SUM(EF155:EF160)</f>
        <v/>
      </c>
      <c r="EG161" s="57">
        <f>SUM(EG155:EG160)</f>
        <v/>
      </c>
      <c r="EH161" s="57">
        <f>SUM(EH155:EH160)</f>
        <v/>
      </c>
      <c r="EI161" s="57">
        <f>SUM(EI155:EI160)</f>
        <v/>
      </c>
      <c r="EJ161" s="57">
        <f>SUM(EJ155:EJ160)</f>
        <v/>
      </c>
      <c r="EK161" s="57">
        <f>SUM(EK155:EK160)</f>
        <v/>
      </c>
      <c r="EL161" s="57">
        <f>SUM(EL155:EL160)</f>
        <v/>
      </c>
      <c r="EM161" s="57">
        <f>SUM(EM155:EM160)</f>
        <v/>
      </c>
      <c r="EN161" s="57">
        <f>SUM(EN155:EN160)</f>
        <v/>
      </c>
      <c r="EO161" s="57">
        <f>SUM(EO155:EO160)</f>
        <v/>
      </c>
      <c r="EP161" s="57">
        <f>SUM(EP155:EP160)</f>
        <v/>
      </c>
      <c r="EQ161" s="57">
        <f>SUM(EQ155:EQ160)</f>
        <v/>
      </c>
      <c r="ER161" s="57">
        <f>SUM(ER155:ER160)</f>
        <v/>
      </c>
      <c r="ES161" s="57">
        <f>SUM(ES155:ES160)</f>
        <v/>
      </c>
      <c r="ET161" s="57">
        <f>SUM(ET155:ET160)</f>
        <v/>
      </c>
      <c r="EU161" s="57">
        <f>SUM(EU155:EU160)</f>
        <v/>
      </c>
      <c r="EV161" s="57">
        <f>SUM(EV155:EV160)</f>
        <v/>
      </c>
      <c r="EW161" s="57">
        <f>SUM(EW155:EW160)</f>
        <v/>
      </c>
      <c r="EX161" s="57">
        <f>SUM(EX155:EX160)</f>
        <v/>
      </c>
      <c r="EY161" s="57">
        <f>SUM(EY155:EY160)</f>
        <v/>
      </c>
      <c r="EZ161" s="57">
        <f>SUM(EZ155:EZ160)</f>
        <v/>
      </c>
      <c r="FA161" s="57">
        <f>SUM(FA155:FA160)</f>
        <v/>
      </c>
      <c r="FB161" s="57">
        <f>SUM(FB155:FB160)</f>
        <v/>
      </c>
    </row>
    <row r="162" customFormat="1" s="24">
      <c r="A162" s="60" t="n"/>
      <c r="B162" s="9" t="n"/>
      <c r="C162" s="9" t="n"/>
      <c r="D162" s="9" t="n"/>
      <c r="E162" s="9" t="n"/>
      <c r="F162" s="9" t="n"/>
      <c r="G162" s="9" t="n"/>
      <c r="H162" s="11" t="n"/>
      <c r="I162" s="9" t="n"/>
      <c r="J162" s="9" t="n"/>
      <c r="K162" s="11" t="n"/>
      <c r="M162" s="11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11" t="n"/>
      <c r="Z162" s="9" t="n"/>
      <c r="AA162" s="9" t="n"/>
      <c r="AB162" s="9" t="n"/>
      <c r="AC162" s="9" t="n"/>
      <c r="AD162" s="9" t="n"/>
      <c r="AE162" s="9" t="n"/>
      <c r="AF162" s="9" t="n"/>
      <c r="AG162" s="9" t="n"/>
      <c r="AH162" s="9" t="n"/>
      <c r="AI162" s="9" t="n"/>
      <c r="AJ162" s="9" t="n"/>
      <c r="AK162" s="9" t="n"/>
      <c r="AL162" s="9" t="n"/>
      <c r="AM162" s="9" t="n"/>
      <c r="AN162" s="9" t="n"/>
      <c r="AO162" s="9" t="n"/>
      <c r="AP162" s="9" t="n"/>
      <c r="AQ162" s="9" t="n"/>
      <c r="AR162" s="9" t="n"/>
      <c r="AS162" s="9" t="n"/>
      <c r="AT162" s="9" t="n"/>
      <c r="AU162" s="9" t="n"/>
      <c r="AV162" s="9" t="n"/>
      <c r="AW162" s="9" t="n"/>
      <c r="AX162" s="9" t="n"/>
      <c r="AY162" s="9" t="n"/>
      <c r="AZ162" s="9" t="n"/>
      <c r="BA162" s="9" t="n"/>
      <c r="BB162" s="9" t="n"/>
      <c r="BC162" s="9" t="n"/>
      <c r="BD162" s="9" t="n"/>
      <c r="BE162" s="9" t="n"/>
      <c r="BF162" s="9" t="n"/>
      <c r="BG162" s="9" t="n"/>
      <c r="BH162" s="9" t="n"/>
      <c r="BI162" s="9" t="n"/>
      <c r="BJ162" s="9" t="n"/>
      <c r="BK162" s="9" t="n"/>
      <c r="BL162" s="9" t="n"/>
      <c r="BM162" s="9" t="n"/>
      <c r="BN162" s="9" t="n"/>
      <c r="BO162" s="9" t="n"/>
      <c r="BP162" s="9" t="n"/>
      <c r="BQ162" s="9" t="n"/>
      <c r="BR162" s="9" t="n"/>
      <c r="BS162" s="9" t="n"/>
      <c r="BT162" s="9" t="n"/>
      <c r="BU162" s="9" t="n"/>
      <c r="BV162" s="9" t="n"/>
      <c r="BW162" s="9" t="n"/>
      <c r="BX162" s="9" t="n"/>
      <c r="BY162" s="9" t="n"/>
      <c r="BZ162" s="9" t="n"/>
      <c r="CA162" s="9" t="n"/>
      <c r="CB162" s="9" t="n"/>
      <c r="CC162" s="9" t="n"/>
      <c r="CD162" s="9" t="n"/>
      <c r="CE162" s="9" t="n"/>
      <c r="CF162" s="9" t="n"/>
      <c r="CG162" s="9" t="n"/>
      <c r="CH162" s="9" t="n"/>
      <c r="CI162" s="9" t="n"/>
      <c r="CJ162" s="9" t="n"/>
      <c r="CK162" s="9" t="n"/>
      <c r="CL162" s="9" t="n"/>
      <c r="CM162" s="9" t="n"/>
      <c r="CN162" s="9" t="n"/>
      <c r="CO162" s="9" t="n"/>
      <c r="CP162" s="9" t="n"/>
      <c r="CQ162" s="9" t="n"/>
      <c r="CR162" s="9" t="n"/>
      <c r="CS162" s="9" t="n"/>
      <c r="CT162" s="9" t="n"/>
      <c r="CU162" s="9" t="n"/>
      <c r="CV162" s="9" t="n"/>
      <c r="CW162" s="9" t="n"/>
      <c r="CX162" s="9" t="n"/>
      <c r="CY162" s="9" t="n"/>
      <c r="CZ162" s="9" t="n"/>
      <c r="DA162" s="9" t="n"/>
      <c r="DB162" s="9" t="n"/>
      <c r="DC162" s="9" t="n"/>
      <c r="DD162" s="9" t="n"/>
      <c r="DE162" s="9" t="n"/>
      <c r="DF162" s="9" t="n"/>
      <c r="DG162" s="9" t="n"/>
      <c r="DH162" s="9" t="n"/>
      <c r="DI162" s="9" t="n"/>
      <c r="DJ162" s="9" t="n"/>
      <c r="DK162" s="9" t="n"/>
      <c r="DL162" s="9" t="n"/>
      <c r="DM162" s="9" t="n"/>
      <c r="DN162" s="9" t="n"/>
      <c r="DO162" s="9" t="n"/>
      <c r="DP162" s="9" t="n"/>
      <c r="DQ162" s="9" t="n"/>
      <c r="DR162" s="9" t="n"/>
      <c r="DS162" s="9" t="n"/>
      <c r="DT162" s="9" t="n"/>
      <c r="DU162" s="9" t="n"/>
      <c r="DV162" s="9" t="n"/>
      <c r="DW162" s="9" t="n"/>
      <c r="DX162" s="9" t="n"/>
      <c r="DY162" s="9" t="n"/>
      <c r="DZ162" s="9" t="n"/>
      <c r="EA162" s="9" t="n"/>
      <c r="EB162" s="9" t="n"/>
      <c r="EC162" s="9" t="n"/>
      <c r="ED162" s="9" t="n"/>
      <c r="EE162" s="9" t="n"/>
      <c r="EF162" s="9" t="n"/>
      <c r="EG162" s="9" t="n"/>
      <c r="EH162" s="9" t="n"/>
      <c r="EI162" s="9" t="n"/>
      <c r="EJ162" s="9" t="n"/>
      <c r="EK162" s="9" t="n"/>
      <c r="EL162" s="9" t="n"/>
      <c r="EM162" s="9" t="n"/>
      <c r="EN162" s="9" t="n"/>
      <c r="EO162" s="9" t="n"/>
      <c r="EP162" s="9" t="n"/>
      <c r="EQ162" s="9" t="n"/>
      <c r="ER162" s="9" t="n"/>
      <c r="ES162" s="9" t="n"/>
      <c r="ET162" s="9" t="n"/>
      <c r="EU162" s="9" t="n"/>
      <c r="EV162" s="9" t="n"/>
      <c r="EW162" s="9" t="n"/>
      <c r="EX162" s="9" t="n"/>
      <c r="EY162" s="9" t="n"/>
      <c r="EZ162" s="9" t="n"/>
      <c r="FA162" s="9" t="n"/>
      <c r="FB162" s="9" t="n"/>
    </row>
    <row r="163" customFormat="1" s="24">
      <c r="A163" s="60" t="n"/>
      <c r="B163" s="9" t="n"/>
      <c r="C163" s="9" t="n"/>
      <c r="D163" s="9" t="n"/>
      <c r="E163" s="9" t="n"/>
      <c r="F163" s="9" t="n"/>
      <c r="G163" s="9" t="n"/>
      <c r="H163" s="63" t="n"/>
      <c r="I163" s="15" t="inlineStr">
        <is>
          <t>Refinance</t>
        </is>
      </c>
      <c r="J163" s="9" t="n"/>
      <c r="K163" s="11" t="n"/>
      <c r="M163" s="11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11" t="n"/>
      <c r="Z163" s="9" t="n"/>
      <c r="AA163" s="9" t="n"/>
      <c r="AB163" s="9" t="n"/>
      <c r="AC163" s="9" t="n"/>
      <c r="AD163" s="9" t="n"/>
      <c r="AE163" s="9" t="n"/>
      <c r="AF163" s="9" t="n"/>
      <c r="AG163" s="9" t="n"/>
      <c r="AH163" s="9" t="n"/>
      <c r="AI163" s="9" t="n"/>
      <c r="AJ163" s="9" t="n"/>
      <c r="AK163" s="9" t="n"/>
      <c r="AL163" s="9" t="n"/>
      <c r="AM163" s="9" t="n"/>
      <c r="AN163" s="9" t="n"/>
      <c r="AO163" s="9" t="n"/>
      <c r="AP163" s="9" t="n"/>
      <c r="AQ163" s="9" t="n"/>
      <c r="AR163" s="9" t="n"/>
      <c r="AS163" s="9" t="n"/>
      <c r="AT163" s="9" t="n"/>
      <c r="AU163" s="9" t="n"/>
      <c r="AV163" s="9" t="n"/>
      <c r="AW163" s="9" t="n"/>
      <c r="AX163" s="9" t="n"/>
      <c r="AY163" s="9" t="n"/>
      <c r="AZ163" s="9" t="n"/>
      <c r="BA163" s="9" t="n"/>
      <c r="BB163" s="9" t="n"/>
      <c r="BC163" s="9" t="n"/>
      <c r="BD163" s="9" t="n"/>
      <c r="BE163" s="9" t="n"/>
      <c r="BF163" s="9" t="n"/>
      <c r="BG163" s="9" t="n"/>
      <c r="BH163" s="9" t="n"/>
      <c r="BI163" s="9" t="n"/>
      <c r="BJ163" s="9" t="n"/>
      <c r="BK163" s="9" t="n"/>
      <c r="BL163" s="9" t="n"/>
      <c r="BM163" s="9" t="n"/>
      <c r="BN163" s="9" t="n"/>
      <c r="BO163" s="9" t="n"/>
      <c r="BP163" s="9" t="n"/>
      <c r="BQ163" s="9" t="n"/>
      <c r="BR163" s="9" t="n"/>
      <c r="BS163" s="9" t="n"/>
      <c r="BT163" s="9" t="n"/>
      <c r="BU163" s="9" t="n"/>
      <c r="BV163" s="9" t="n"/>
      <c r="BW163" s="9" t="n"/>
      <c r="BX163" s="9" t="n"/>
      <c r="BY163" s="9" t="n"/>
      <c r="BZ163" s="9" t="n"/>
      <c r="CA163" s="9" t="n"/>
      <c r="CB163" s="9" t="n"/>
      <c r="CC163" s="9" t="n"/>
      <c r="CD163" s="9" t="n"/>
      <c r="CE163" s="9" t="n"/>
      <c r="CF163" s="9" t="n"/>
      <c r="CG163" s="9" t="n"/>
      <c r="CH163" s="9" t="n"/>
      <c r="CI163" s="9" t="n"/>
      <c r="CJ163" s="9" t="n"/>
      <c r="CK163" s="9" t="n"/>
      <c r="CL163" s="9" t="n"/>
      <c r="CM163" s="9" t="n"/>
      <c r="CN163" s="9" t="n"/>
      <c r="CO163" s="9" t="n"/>
      <c r="CP163" s="9" t="n"/>
      <c r="CQ163" s="9" t="n"/>
      <c r="CR163" s="9" t="n"/>
      <c r="CS163" s="9" t="n"/>
      <c r="CT163" s="9" t="n"/>
      <c r="CU163" s="9" t="n"/>
      <c r="CV163" s="9" t="n"/>
      <c r="CW163" s="9" t="n"/>
      <c r="CX163" s="9" t="n"/>
      <c r="CY163" s="9" t="n"/>
      <c r="CZ163" s="9" t="n"/>
      <c r="DA163" s="9" t="n"/>
      <c r="DB163" s="9" t="n"/>
      <c r="DC163" s="9" t="n"/>
      <c r="DD163" s="9" t="n"/>
      <c r="DE163" s="9" t="n"/>
      <c r="DF163" s="9" t="n"/>
      <c r="DG163" s="9" t="n"/>
      <c r="DH163" s="9" t="n"/>
      <c r="DI163" s="9" t="n"/>
      <c r="DJ163" s="9" t="n"/>
      <c r="DK163" s="9" t="n"/>
      <c r="DL163" s="9" t="n"/>
      <c r="DM163" s="9" t="n"/>
      <c r="DN163" s="9" t="n"/>
      <c r="DO163" s="9" t="n"/>
      <c r="DP163" s="9" t="n"/>
      <c r="DQ163" s="9" t="n"/>
      <c r="DR163" s="9" t="n"/>
      <c r="DS163" s="9" t="n"/>
      <c r="DT163" s="9" t="n"/>
      <c r="DU163" s="9" t="n"/>
      <c r="DV163" s="9" t="n"/>
      <c r="DW163" s="9" t="n"/>
      <c r="DX163" s="9" t="n"/>
      <c r="DY163" s="9" t="n"/>
      <c r="DZ163" s="9" t="n"/>
      <c r="EA163" s="9" t="n"/>
      <c r="EB163" s="9" t="n"/>
      <c r="EC163" s="9" t="n"/>
      <c r="ED163" s="9" t="n"/>
      <c r="EE163" s="9" t="n"/>
      <c r="EF163" s="9" t="n"/>
      <c r="EG163" s="9" t="n"/>
      <c r="EH163" s="9" t="n"/>
      <c r="EI163" s="9" t="n"/>
      <c r="EJ163" s="9" t="n"/>
      <c r="EK163" s="9" t="n"/>
      <c r="EL163" s="9" t="n"/>
      <c r="EM163" s="9" t="n"/>
      <c r="EN163" s="9" t="n"/>
      <c r="EO163" s="9" t="n"/>
      <c r="EP163" s="9" t="n"/>
      <c r="EQ163" s="9" t="n"/>
      <c r="ER163" s="9" t="n"/>
      <c r="ES163" s="9" t="n"/>
      <c r="ET163" s="9" t="n"/>
      <c r="EU163" s="9" t="n"/>
      <c r="EV163" s="9" t="n"/>
      <c r="EW163" s="9" t="n"/>
      <c r="EX163" s="9" t="n"/>
      <c r="EY163" s="9" t="n"/>
      <c r="EZ163" s="9" t="n"/>
      <c r="FA163" s="9" t="n"/>
      <c r="FB163" s="9" t="n"/>
    </row>
    <row r="164" ht="16" customFormat="1" customHeight="1" s="232">
      <c r="A164" s="60" t="n"/>
      <c r="B164" s="9" t="n"/>
      <c r="C164" s="9" t="n"/>
      <c r="D164" s="9" t="n"/>
      <c r="E164" s="9" t="n"/>
      <c r="F164" s="9" t="n"/>
      <c r="G164" s="9" t="n"/>
      <c r="H164" s="11" t="n"/>
      <c r="I164" s="9" t="inlineStr">
        <is>
          <t>Loan BOE</t>
        </is>
      </c>
      <c r="J164" s="9" t="n"/>
      <c r="K164" s="11" t="n"/>
      <c r="L164" s="24" t="n"/>
      <c r="M164" s="11" t="n"/>
      <c r="N164" s="9" t="n">
        <v>0</v>
      </c>
      <c r="O164" s="24">
        <f>N170</f>
        <v/>
      </c>
      <c r="P164" s="24">
        <f>O170</f>
        <v/>
      </c>
      <c r="Q164" s="24">
        <f>P170</f>
        <v/>
      </c>
      <c r="R164" s="24">
        <f>Q170</f>
        <v/>
      </c>
      <c r="S164" s="24">
        <f>R170</f>
        <v/>
      </c>
      <c r="T164" s="24">
        <f>S170</f>
        <v/>
      </c>
      <c r="U164" s="24">
        <f>T170</f>
        <v/>
      </c>
      <c r="V164" s="24">
        <f>U170</f>
        <v/>
      </c>
      <c r="W164" s="24">
        <f>V170</f>
        <v/>
      </c>
      <c r="X164" s="24">
        <f>W170</f>
        <v/>
      </c>
      <c r="Y164" s="11" t="n"/>
      <c r="Z164" s="24" t="n">
        <v>0</v>
      </c>
      <c r="AA164" s="24">
        <f>Z170</f>
        <v/>
      </c>
      <c r="AB164" s="24">
        <f>AA170</f>
        <v/>
      </c>
      <c r="AC164" s="24">
        <f>AB170</f>
        <v/>
      </c>
      <c r="AD164" s="24">
        <f>AC170</f>
        <v/>
      </c>
      <c r="AE164" s="24">
        <f>AD170</f>
        <v/>
      </c>
      <c r="AF164" s="24">
        <f>AE170</f>
        <v/>
      </c>
      <c r="AG164" s="24">
        <f>AF170</f>
        <v/>
      </c>
      <c r="AH164" s="24">
        <f>AG170</f>
        <v/>
      </c>
      <c r="AI164" s="24">
        <f>AH170</f>
        <v/>
      </c>
      <c r="AJ164" s="24">
        <f>AI170</f>
        <v/>
      </c>
      <c r="AK164" s="24">
        <f>AJ170</f>
        <v/>
      </c>
      <c r="AL164" s="24">
        <f>AK170</f>
        <v/>
      </c>
      <c r="AM164" s="24">
        <f>AL170</f>
        <v/>
      </c>
      <c r="AN164" s="24">
        <f>AM170</f>
        <v/>
      </c>
      <c r="AO164" s="24">
        <f>AN170</f>
        <v/>
      </c>
      <c r="AP164" s="24">
        <f>AO170</f>
        <v/>
      </c>
      <c r="AQ164" s="24">
        <f>AP170</f>
        <v/>
      </c>
      <c r="AR164" s="24">
        <f>AQ170</f>
        <v/>
      </c>
      <c r="AS164" s="24">
        <f>AR170</f>
        <v/>
      </c>
      <c r="AT164" s="24">
        <f>AS170</f>
        <v/>
      </c>
      <c r="AU164" s="24">
        <f>AT170</f>
        <v/>
      </c>
      <c r="AV164" s="24">
        <f>AU170</f>
        <v/>
      </c>
      <c r="AW164" s="24">
        <f>AV170</f>
        <v/>
      </c>
      <c r="AX164" s="24">
        <f>AW170</f>
        <v/>
      </c>
      <c r="AY164" s="24">
        <f>AX170</f>
        <v/>
      </c>
      <c r="AZ164" s="24">
        <f>AY170</f>
        <v/>
      </c>
      <c r="BA164" s="24">
        <f>AZ170</f>
        <v/>
      </c>
      <c r="BB164" s="24">
        <f>BA170</f>
        <v/>
      </c>
      <c r="BC164" s="24">
        <f>BB170</f>
        <v/>
      </c>
      <c r="BD164" s="24">
        <f>BC170</f>
        <v/>
      </c>
      <c r="BE164" s="24">
        <f>BD170</f>
        <v/>
      </c>
      <c r="BF164" s="24">
        <f>BE170</f>
        <v/>
      </c>
      <c r="BG164" s="24">
        <f>BF170</f>
        <v/>
      </c>
      <c r="BH164" s="24">
        <f>BG170</f>
        <v/>
      </c>
      <c r="BI164" s="24">
        <f>BH170</f>
        <v/>
      </c>
      <c r="BJ164" s="24">
        <f>BI170</f>
        <v/>
      </c>
      <c r="BK164" s="24">
        <f>BJ170</f>
        <v/>
      </c>
      <c r="BL164" s="24">
        <f>BK170</f>
        <v/>
      </c>
      <c r="BM164" s="24">
        <f>BL170</f>
        <v/>
      </c>
      <c r="BN164" s="24">
        <f>BM170</f>
        <v/>
      </c>
      <c r="BO164" s="24">
        <f>BN170</f>
        <v/>
      </c>
      <c r="BP164" s="24">
        <f>BO170</f>
        <v/>
      </c>
      <c r="BQ164" s="24">
        <f>BP170</f>
        <v/>
      </c>
      <c r="BR164" s="24">
        <f>BQ170</f>
        <v/>
      </c>
      <c r="BS164" s="24">
        <f>BR170</f>
        <v/>
      </c>
      <c r="BT164" s="24">
        <f>BS170</f>
        <v/>
      </c>
      <c r="BU164" s="24">
        <f>BT170</f>
        <v/>
      </c>
      <c r="BV164" s="24">
        <f>BU170</f>
        <v/>
      </c>
      <c r="BW164" s="24">
        <f>BV170</f>
        <v/>
      </c>
      <c r="BX164" s="24">
        <f>BW170</f>
        <v/>
      </c>
      <c r="BY164" s="24">
        <f>BX170</f>
        <v/>
      </c>
      <c r="BZ164" s="24">
        <f>BY170</f>
        <v/>
      </c>
      <c r="CA164" s="24">
        <f>BZ170</f>
        <v/>
      </c>
      <c r="CB164" s="24">
        <f>CA170</f>
        <v/>
      </c>
      <c r="CC164" s="24">
        <f>CB170</f>
        <v/>
      </c>
      <c r="CD164" s="24">
        <f>CC170</f>
        <v/>
      </c>
      <c r="CE164" s="24">
        <f>CD170</f>
        <v/>
      </c>
      <c r="CF164" s="24">
        <f>CE170</f>
        <v/>
      </c>
      <c r="CG164" s="24">
        <f>CF170</f>
        <v/>
      </c>
      <c r="CH164" s="24">
        <f>CG170</f>
        <v/>
      </c>
      <c r="CI164" s="24">
        <f>CH170</f>
        <v/>
      </c>
      <c r="CJ164" s="24">
        <f>CI170</f>
        <v/>
      </c>
      <c r="CK164" s="24">
        <f>CJ170</f>
        <v/>
      </c>
      <c r="CL164" s="24">
        <f>CK170</f>
        <v/>
      </c>
      <c r="CM164" s="24">
        <f>CL170</f>
        <v/>
      </c>
      <c r="CN164" s="24">
        <f>CM170</f>
        <v/>
      </c>
      <c r="CO164" s="24">
        <f>CN170</f>
        <v/>
      </c>
      <c r="CP164" s="24">
        <f>CO170</f>
        <v/>
      </c>
      <c r="CQ164" s="24">
        <f>CP170</f>
        <v/>
      </c>
      <c r="CR164" s="24">
        <f>CQ170</f>
        <v/>
      </c>
      <c r="CS164" s="24">
        <f>CR170</f>
        <v/>
      </c>
      <c r="CT164" s="24">
        <f>CS170</f>
        <v/>
      </c>
      <c r="CU164" s="24">
        <f>CT170</f>
        <v/>
      </c>
      <c r="CV164" s="24">
        <f>CU170</f>
        <v/>
      </c>
      <c r="CW164" s="24">
        <f>CV170</f>
        <v/>
      </c>
      <c r="CX164" s="24">
        <f>CW170</f>
        <v/>
      </c>
      <c r="CY164" s="24">
        <f>CX170</f>
        <v/>
      </c>
      <c r="CZ164" s="24">
        <f>CY170</f>
        <v/>
      </c>
      <c r="DA164" s="24">
        <f>CZ170</f>
        <v/>
      </c>
      <c r="DB164" s="24">
        <f>DA170</f>
        <v/>
      </c>
      <c r="DC164" s="24">
        <f>DB170</f>
        <v/>
      </c>
      <c r="DD164" s="24">
        <f>DC170</f>
        <v/>
      </c>
      <c r="DE164" s="24">
        <f>DD170</f>
        <v/>
      </c>
      <c r="DF164" s="24">
        <f>DE170</f>
        <v/>
      </c>
      <c r="DG164" s="24">
        <f>DF170</f>
        <v/>
      </c>
      <c r="DH164" s="24">
        <f>DG170</f>
        <v/>
      </c>
      <c r="DI164" s="24">
        <f>DH170</f>
        <v/>
      </c>
      <c r="DJ164" s="24">
        <f>DI170</f>
        <v/>
      </c>
      <c r="DK164" s="24">
        <f>DJ170</f>
        <v/>
      </c>
      <c r="DL164" s="24">
        <f>DK170</f>
        <v/>
      </c>
      <c r="DM164" s="24">
        <f>DL170</f>
        <v/>
      </c>
      <c r="DN164" s="24">
        <f>DM170</f>
        <v/>
      </c>
      <c r="DO164" s="24">
        <f>DN170</f>
        <v/>
      </c>
      <c r="DP164" s="24">
        <f>DO170</f>
        <v/>
      </c>
      <c r="DQ164" s="24">
        <f>DP170</f>
        <v/>
      </c>
      <c r="DR164" s="24">
        <f>DQ170</f>
        <v/>
      </c>
      <c r="DS164" s="24">
        <f>DR170</f>
        <v/>
      </c>
      <c r="DT164" s="24">
        <f>DS170</f>
        <v/>
      </c>
      <c r="DU164" s="24">
        <f>DT170</f>
        <v/>
      </c>
      <c r="DV164" s="24">
        <f>DU170</f>
        <v/>
      </c>
      <c r="DW164" s="24">
        <f>DV170</f>
        <v/>
      </c>
      <c r="DX164" s="24">
        <f>DW170</f>
        <v/>
      </c>
      <c r="DY164" s="24">
        <f>DX170</f>
        <v/>
      </c>
      <c r="DZ164" s="24">
        <f>DY170</f>
        <v/>
      </c>
      <c r="EA164" s="24">
        <f>DZ170</f>
        <v/>
      </c>
      <c r="EB164" s="24">
        <f>EA170</f>
        <v/>
      </c>
      <c r="EC164" s="24">
        <f>EB170</f>
        <v/>
      </c>
      <c r="ED164" s="24">
        <f>EC170</f>
        <v/>
      </c>
      <c r="EE164" s="24">
        <f>ED170</f>
        <v/>
      </c>
      <c r="EF164" s="24">
        <f>EE170</f>
        <v/>
      </c>
      <c r="EG164" s="24">
        <f>EF170</f>
        <v/>
      </c>
      <c r="EH164" s="24">
        <f>EG170</f>
        <v/>
      </c>
      <c r="EI164" s="24">
        <f>EH170</f>
        <v/>
      </c>
      <c r="EJ164" s="24">
        <f>EI170</f>
        <v/>
      </c>
      <c r="EK164" s="24">
        <f>EJ170</f>
        <v/>
      </c>
      <c r="EL164" s="24">
        <f>EK170</f>
        <v/>
      </c>
      <c r="EM164" s="24">
        <f>EL170</f>
        <v/>
      </c>
      <c r="EN164" s="24">
        <f>EM170</f>
        <v/>
      </c>
      <c r="EO164" s="24">
        <f>EN170</f>
        <v/>
      </c>
      <c r="EP164" s="24">
        <f>EO170</f>
        <v/>
      </c>
      <c r="EQ164" s="24">
        <f>EP170</f>
        <v/>
      </c>
      <c r="ER164" s="24">
        <f>EQ170</f>
        <v/>
      </c>
      <c r="ES164" s="24">
        <f>ER170</f>
        <v/>
      </c>
      <c r="ET164" s="24">
        <f>ES170</f>
        <v/>
      </c>
      <c r="EU164" s="24">
        <f>ET170</f>
        <v/>
      </c>
      <c r="EV164" s="24">
        <f>EU170</f>
        <v/>
      </c>
      <c r="EW164" s="24">
        <f>EV170</f>
        <v/>
      </c>
      <c r="EX164" s="24">
        <f>EW170</f>
        <v/>
      </c>
      <c r="EY164" s="24">
        <f>EX170</f>
        <v/>
      </c>
      <c r="EZ164" s="24">
        <f>EY170</f>
        <v/>
      </c>
      <c r="FA164" s="24">
        <f>EZ170</f>
        <v/>
      </c>
      <c r="FB164" s="24">
        <f>FA170</f>
        <v/>
      </c>
    </row>
    <row r="165">
      <c r="A165" s="60" t="n"/>
      <c r="I165" s="9" t="inlineStr">
        <is>
          <t>Loan Draw</t>
        </is>
      </c>
      <c r="L165" s="24">
        <f>SUMIF($Z$4:$FB$4,"&lt;="&amp;$G$18,$Z165:$FB165)</f>
        <v/>
      </c>
      <c r="M165" s="55" t="n"/>
      <c r="N165" s="9">
        <f>SUMIF($Z$3:$FB$3,N$7,$Z165:$FB165)</f>
        <v/>
      </c>
      <c r="O165" s="24">
        <f>SUMIF($Z$3:$FB$3,O$7,$Z165:$FB165)</f>
        <v/>
      </c>
      <c r="P165" s="24">
        <f>SUMIF($Z$3:$FB$3,P$7,$Z165:$FB165)</f>
        <v/>
      </c>
      <c r="Q165" s="24">
        <f>SUMIF($Z$3:$FB$3,Q$7,$Z165:$FB165)</f>
        <v/>
      </c>
      <c r="R165" s="24">
        <f>SUMIF($Z$3:$FB$3,R$7,$Z165:$FB165)</f>
        <v/>
      </c>
      <c r="S165" s="24">
        <f>SUMIF($Z$3:$FB$3,S$7,$Z165:$FB165)</f>
        <v/>
      </c>
      <c r="T165" s="24">
        <f>SUMIF($Z$3:$FB$3,T$7,$Z165:$FB165)</f>
        <v/>
      </c>
      <c r="U165" s="24">
        <f>SUMIF($Z$3:$FB$3,U$7,$Z165:$FB165)</f>
        <v/>
      </c>
      <c r="V165" s="24">
        <f>SUMIF($Z$3:$FB$3,V$7,$Z165:$FB165)</f>
        <v/>
      </c>
      <c r="W165" s="24">
        <f>SUMIF($Z$3:$FB$3,W$7,$Z165:$FB165)</f>
        <v/>
      </c>
      <c r="X165" s="24">
        <f>SUMIF($Z$3:$FB$3,X$7,$Z165:$FB165)</f>
        <v/>
      </c>
      <c r="Y165" s="55" t="n"/>
      <c r="Z165" s="24">
        <f>IF($B$55=TRUE,0,IF(Z4=$C$17,$G$46,0))</f>
        <v/>
      </c>
      <c r="AA165" s="24">
        <f>IF($B$55=TRUE,0,IF(AA4=$C$17,$G$46,0))</f>
        <v/>
      </c>
      <c r="AB165" s="24">
        <f>IF($B$55=TRUE,0,IF(AB4=$C$17,$G$46,0))</f>
        <v/>
      </c>
      <c r="AC165" s="24">
        <f>IF($B$55=TRUE,0,IF(AC4=$C$17,$G$46,0))</f>
        <v/>
      </c>
      <c r="AD165" s="24">
        <f>IF($B$55=TRUE,0,IF(AD4=$C$17,$G$46,0))</f>
        <v/>
      </c>
      <c r="AE165" s="24">
        <f>IF($B$55=TRUE,0,IF(AE4=$C$17,$G$46,0))</f>
        <v/>
      </c>
      <c r="AF165" s="24">
        <f>IF($B$55=TRUE,0,IF(AF4=$C$17,$G$46,0))</f>
        <v/>
      </c>
      <c r="AG165" s="24">
        <f>IF($B$55=TRUE,0,IF(AG4=$C$17,$G$46,0))</f>
        <v/>
      </c>
      <c r="AH165" s="24">
        <f>IF($B$55=TRUE,0,IF(AH4=$C$17,$G$46,0))</f>
        <v/>
      </c>
      <c r="AI165" s="24">
        <f>IF($B$55=TRUE,0,IF(AI4=$C$17,$G$46,0))</f>
        <v/>
      </c>
      <c r="AJ165" s="24">
        <f>IF($B$55=TRUE,0,IF(AJ4=$C$17,$G$46,0))</f>
        <v/>
      </c>
      <c r="AK165" s="24">
        <f>IF($B$55=TRUE,0,IF(AK4=$C$17,$G$46,0))</f>
        <v/>
      </c>
      <c r="AL165" s="24">
        <f>IF($B$55=TRUE,0,IF(AL4=$C$17,$G$46,0))</f>
        <v/>
      </c>
      <c r="AM165" s="24">
        <f>IF($B$55=TRUE,0,IF(AM4=$C$17,$G$46,0))</f>
        <v/>
      </c>
      <c r="AN165" s="24">
        <f>IF($B$55=TRUE,0,IF(AN4=$C$17,$G$46,0))</f>
        <v/>
      </c>
      <c r="AO165" s="24">
        <f>IF($B$55=TRUE,0,IF(AO4=$C$17,$G$46,0))</f>
        <v/>
      </c>
      <c r="AP165" s="24">
        <f>IF($B$55=TRUE,0,IF(AP4=$C$17,$G$46,0))</f>
        <v/>
      </c>
      <c r="AQ165" s="24">
        <f>IF($B$55=TRUE,0,IF(AQ4=$C$17,$G$46,0))</f>
        <v/>
      </c>
      <c r="AR165" s="24">
        <f>IF($B$55=TRUE,0,IF(AR4=$C$17,$G$46,0))</f>
        <v/>
      </c>
      <c r="AS165" s="24">
        <f>IF($B$55=TRUE,0,IF(AS4=$C$17,$G$46,0))</f>
        <v/>
      </c>
      <c r="AT165" s="24">
        <f>IF($B$55=TRUE,0,IF(AT4=$C$17,$G$46,0))</f>
        <v/>
      </c>
      <c r="AU165" s="24">
        <f>IF($B$55=TRUE,0,IF(AU4=$C$17,$G$46,0))</f>
        <v/>
      </c>
      <c r="AV165" s="24">
        <f>IF($B$55=TRUE,0,IF(AV4=$C$17,$G$46,0))</f>
        <v/>
      </c>
      <c r="AW165" s="24">
        <f>IF($B$55=TRUE,0,IF(AW4=$C$17,$G$46,0))</f>
        <v/>
      </c>
      <c r="AX165" s="24">
        <f>IF($B$55=TRUE,0,IF(AX4=$C$17,$G$46,0))</f>
        <v/>
      </c>
      <c r="AY165" s="24">
        <f>IF($B$55=TRUE,0,IF(AY4=$C$17,$G$46,0))</f>
        <v/>
      </c>
      <c r="AZ165" s="24">
        <f>IF($B$55=TRUE,0,IF(AZ4=$C$17,$G$46,0))</f>
        <v/>
      </c>
      <c r="BA165" s="24">
        <f>IF($B$55=TRUE,0,IF(BA4=$C$17,$G$46,0))</f>
        <v/>
      </c>
      <c r="BB165" s="24">
        <f>IF($B$55=TRUE,0,IF(BB4=$C$17,$G$46,0))</f>
        <v/>
      </c>
      <c r="BC165" s="24">
        <f>IF($B$55=TRUE,0,IF(BC4=$C$17,$G$46,0))</f>
        <v/>
      </c>
      <c r="BD165" s="24">
        <f>IF($B$55=TRUE,0,IF(BD4=$C$17,$G$46,0))</f>
        <v/>
      </c>
      <c r="BE165" s="24">
        <f>IF($B$55=TRUE,0,IF(BE4=$C$17,$G$46,0))</f>
        <v/>
      </c>
      <c r="BF165" s="24">
        <f>IF($B$55=TRUE,0,IF(BF4=$C$17,$G$46,0))</f>
        <v/>
      </c>
      <c r="BG165" s="24">
        <f>IF($B$55=TRUE,0,IF(BG4=$C$17,$G$46,0))</f>
        <v/>
      </c>
      <c r="BH165" s="24">
        <f>IF($B$55=TRUE,0,IF(BH4=$C$17,$G$46,0))</f>
        <v/>
      </c>
      <c r="BI165" s="24">
        <f>IF($B$55=TRUE,0,IF(BI4=$C$17,$G$46,0))</f>
        <v/>
      </c>
      <c r="BJ165" s="24">
        <f>IF($B$55=TRUE,0,IF(BJ4=$C$17,$G$46,0))</f>
        <v/>
      </c>
      <c r="BK165" s="24">
        <f>IF($B$55=TRUE,0,IF(BK4=$C$17,$G$46,0))</f>
        <v/>
      </c>
      <c r="BL165" s="24">
        <f>IF($B$55=TRUE,0,IF(BL4=$C$17,$G$46,0))</f>
        <v/>
      </c>
      <c r="BM165" s="24">
        <f>IF($B$55=TRUE,0,IF(BM4=$C$17,$G$46,0))</f>
        <v/>
      </c>
      <c r="BN165" s="24">
        <f>IF($B$55=TRUE,0,IF(BN4=$C$17,$G$46,0))</f>
        <v/>
      </c>
      <c r="BO165" s="24">
        <f>IF($B$55=TRUE,0,IF(BO4=$C$17,$G$46,0))</f>
        <v/>
      </c>
      <c r="BP165" s="24">
        <f>IF($B$55=TRUE,0,IF(BP4=$C$17,$G$46,0))</f>
        <v/>
      </c>
      <c r="BQ165" s="24">
        <f>IF($B$55=TRUE,0,IF(BQ4=$C$17,$G$46,0))</f>
        <v/>
      </c>
      <c r="BR165" s="24">
        <f>IF($B$55=TRUE,0,IF(BR4=$C$17,$G$46,0))</f>
        <v/>
      </c>
      <c r="BS165" s="24">
        <f>IF($B$55=TRUE,0,IF(BS4=$C$17,$G$46,0))</f>
        <v/>
      </c>
      <c r="BT165" s="24">
        <f>IF($B$55=TRUE,0,IF(BT4=$C$17,$G$46,0))</f>
        <v/>
      </c>
      <c r="BU165" s="24">
        <f>IF($B$55=TRUE,0,IF(BU4=$C$17,$G$46,0))</f>
        <v/>
      </c>
      <c r="BV165" s="24">
        <f>IF($B$55=TRUE,0,IF(BV4=$C$17,$G$46,0))</f>
        <v/>
      </c>
      <c r="BW165" s="24">
        <f>IF($B$55=TRUE,0,IF(BW4=$C$17,$G$46,0))</f>
        <v/>
      </c>
      <c r="BX165" s="24">
        <f>IF($B$55=TRUE,0,IF(BX4=$C$17,$G$46,0))</f>
        <v/>
      </c>
      <c r="BY165" s="24">
        <f>IF($B$55=TRUE,0,IF(BY4=$C$17,$G$46,0))</f>
        <v/>
      </c>
      <c r="BZ165" s="24">
        <f>IF($B$55=TRUE,0,IF(BZ4=$C$17,$G$46,0))</f>
        <v/>
      </c>
      <c r="CA165" s="24">
        <f>IF($B$55=TRUE,0,IF(CA4=$C$17,$G$46,0))</f>
        <v/>
      </c>
      <c r="CB165" s="24">
        <f>IF($B$55=TRUE,0,IF(CB4=$C$17,$G$46,0))</f>
        <v/>
      </c>
      <c r="CC165" s="24">
        <f>IF($B$55=TRUE,0,IF(CC4=$C$17,$G$46,0))</f>
        <v/>
      </c>
      <c r="CD165" s="24">
        <f>IF($B$55=TRUE,0,IF(CD4=$C$17,$G$46,0))</f>
        <v/>
      </c>
      <c r="CE165" s="24">
        <f>IF($B$55=TRUE,0,IF(CE4=$C$17,$G$46,0))</f>
        <v/>
      </c>
      <c r="CF165" s="24">
        <f>IF($B$55=TRUE,0,IF(CF4=$C$17,$G$46,0))</f>
        <v/>
      </c>
      <c r="CG165" s="24">
        <f>IF($B$55=TRUE,0,IF(CG4=$C$17,$G$46,0))</f>
        <v/>
      </c>
      <c r="CH165" s="24">
        <f>IF($B$55=TRUE,0,IF(CH4=$C$17,$G$46,0))</f>
        <v/>
      </c>
      <c r="CI165" s="24">
        <f>IF($B$55=TRUE,0,IF(CI4=$C$17,$G$46,0))</f>
        <v/>
      </c>
      <c r="CJ165" s="24">
        <f>IF($B$55=TRUE,0,IF(CJ4=$C$17,$G$46,0))</f>
        <v/>
      </c>
      <c r="CK165" s="24">
        <f>IF($B$55=TRUE,0,IF(CK4=$C$17,$G$46,0))</f>
        <v/>
      </c>
      <c r="CL165" s="24">
        <f>IF($B$55=TRUE,0,IF(CL4=$C$17,$G$46,0))</f>
        <v/>
      </c>
      <c r="CM165" s="24">
        <f>IF($B$55=TRUE,0,IF(CM4=$C$17,$G$46,0))</f>
        <v/>
      </c>
      <c r="CN165" s="24">
        <f>IF($B$55=TRUE,0,IF(CN4=$C$17,$G$46,0))</f>
        <v/>
      </c>
      <c r="CO165" s="24">
        <f>IF($B$55=TRUE,0,IF(CO4=$C$17,$G$46,0))</f>
        <v/>
      </c>
      <c r="CP165" s="24">
        <f>IF($B$55=TRUE,0,IF(CP4=$C$17,$G$46,0))</f>
        <v/>
      </c>
      <c r="CQ165" s="24">
        <f>IF($B$55=TRUE,0,IF(CQ4=$C$17,$G$46,0))</f>
        <v/>
      </c>
      <c r="CR165" s="24">
        <f>IF($B$55=TRUE,0,IF(CR4=$C$17,$G$46,0))</f>
        <v/>
      </c>
      <c r="CS165" s="24">
        <f>IF($B$55=TRUE,0,IF(CS4=$C$17,$G$46,0))</f>
        <v/>
      </c>
      <c r="CT165" s="24">
        <f>IF($B$55=TRUE,0,IF(CT4=$C$17,$G$46,0))</f>
        <v/>
      </c>
      <c r="CU165" s="24">
        <f>IF($B$55=TRUE,0,IF(CU4=$C$17,$G$46,0))</f>
        <v/>
      </c>
      <c r="CV165" s="24">
        <f>IF($B$55=TRUE,0,IF(CV4=$C$17,$G$46,0))</f>
        <v/>
      </c>
      <c r="CW165" s="24">
        <f>IF($B$55=TRUE,0,IF(CW4=$C$17,$G$46,0))</f>
        <v/>
      </c>
      <c r="CX165" s="24">
        <f>IF($B$55=TRUE,0,IF(CX4=$C$17,$G$46,0))</f>
        <v/>
      </c>
      <c r="CY165" s="24">
        <f>IF($B$55=TRUE,0,IF(CY4=$C$17,$G$46,0))</f>
        <v/>
      </c>
      <c r="CZ165" s="24">
        <f>IF($B$55=TRUE,0,IF(CZ4=$C$17,$G$46,0))</f>
        <v/>
      </c>
      <c r="DA165" s="24">
        <f>IF($B$55=TRUE,0,IF(DA4=$C$17,$G$46,0))</f>
        <v/>
      </c>
      <c r="DB165" s="24">
        <f>IF($B$55=TRUE,0,IF(DB4=$C$17,$G$46,0))</f>
        <v/>
      </c>
      <c r="DC165" s="24">
        <f>IF($B$55=TRUE,0,IF(DC4=$C$17,$G$46,0))</f>
        <v/>
      </c>
      <c r="DD165" s="24">
        <f>IF($B$55=TRUE,0,IF(DD4=$C$17,$G$46,0))</f>
        <v/>
      </c>
      <c r="DE165" s="24">
        <f>IF($B$55=TRUE,0,IF(DE4=$C$17,$G$46,0))</f>
        <v/>
      </c>
      <c r="DF165" s="24">
        <f>IF($B$55=TRUE,0,IF(DF4=$C$17,$G$46,0))</f>
        <v/>
      </c>
      <c r="DG165" s="24">
        <f>IF($B$55=TRUE,0,IF(DG4=$C$17,$G$46,0))</f>
        <v/>
      </c>
      <c r="DH165" s="24">
        <f>IF($B$55=TRUE,0,IF(DH4=$C$17,$G$46,0))</f>
        <v/>
      </c>
      <c r="DI165" s="24">
        <f>IF($B$55=TRUE,0,IF(DI4=$C$17,$G$46,0))</f>
        <v/>
      </c>
      <c r="DJ165" s="24">
        <f>IF($B$55=TRUE,0,IF(DJ4=$C$17,$G$46,0))</f>
        <v/>
      </c>
      <c r="DK165" s="24">
        <f>IF($B$55=TRUE,0,IF(DK4=$C$17,$G$46,0))</f>
        <v/>
      </c>
      <c r="DL165" s="24">
        <f>IF($B$55=TRUE,0,IF(DL4=$C$17,$G$46,0))</f>
        <v/>
      </c>
      <c r="DM165" s="24">
        <f>IF($B$55=TRUE,0,IF(DM4=$C$17,$G$46,0))</f>
        <v/>
      </c>
      <c r="DN165" s="24">
        <f>IF($B$55=TRUE,0,IF(DN4=$C$17,$G$46,0))</f>
        <v/>
      </c>
      <c r="DO165" s="24">
        <f>IF($B$55=TRUE,0,IF(DO4=$C$17,$G$46,0))</f>
        <v/>
      </c>
      <c r="DP165" s="24">
        <f>IF($B$55=TRUE,0,IF(DP4=$C$17,$G$46,0))</f>
        <v/>
      </c>
      <c r="DQ165" s="24">
        <f>IF($B$55=TRUE,0,IF(DQ4=$C$17,$G$46,0))</f>
        <v/>
      </c>
      <c r="DR165" s="24">
        <f>IF($B$55=TRUE,0,IF(DR4=$C$17,$G$46,0))</f>
        <v/>
      </c>
      <c r="DS165" s="24">
        <f>IF($B$55=TRUE,0,IF(DS4=$C$17,$G$46,0))</f>
        <v/>
      </c>
      <c r="DT165" s="24">
        <f>IF($B$55=TRUE,0,IF(DT4=$C$17,$G$46,0))</f>
        <v/>
      </c>
      <c r="DU165" s="24">
        <f>IF($B$55=TRUE,0,IF(DU4=$C$17,$G$46,0))</f>
        <v/>
      </c>
      <c r="DV165" s="24">
        <f>IF($B$55=TRUE,0,IF(DV4=$C$17,$G$46,0))</f>
        <v/>
      </c>
      <c r="DW165" s="24">
        <f>IF($B$55=TRUE,0,IF(DW4=$C$17,$G$46,0))</f>
        <v/>
      </c>
      <c r="DX165" s="24">
        <f>IF($B$55=TRUE,0,IF(DX4=$C$17,$G$46,0))</f>
        <v/>
      </c>
      <c r="DY165" s="24">
        <f>IF($B$55=TRUE,0,IF(DY4=$C$17,$G$46,0))</f>
        <v/>
      </c>
      <c r="DZ165" s="24">
        <f>IF($B$55=TRUE,0,IF(DZ4=$C$17,$G$46,0))</f>
        <v/>
      </c>
      <c r="EA165" s="24">
        <f>IF($B$55=TRUE,0,IF(EA4=$C$17,$G$46,0))</f>
        <v/>
      </c>
      <c r="EB165" s="24">
        <f>IF($B$55=TRUE,0,IF(EB4=$C$17,$G$46,0))</f>
        <v/>
      </c>
      <c r="EC165" s="24">
        <f>IF($B$55=TRUE,0,IF(EC4=$C$17,$G$46,0))</f>
        <v/>
      </c>
      <c r="ED165" s="24">
        <f>IF($B$55=TRUE,0,IF(ED4=$C$17,$G$46,0))</f>
        <v/>
      </c>
      <c r="EE165" s="24">
        <f>IF($B$55=TRUE,0,IF(EE4=$C$17,$G$46,0))</f>
        <v/>
      </c>
      <c r="EF165" s="24">
        <f>IF($B$55=TRUE,0,IF(EF4=$C$17,$G$46,0))</f>
        <v/>
      </c>
      <c r="EG165" s="24">
        <f>IF($B$55=TRUE,0,IF(EG4=$C$17,$G$46,0))</f>
        <v/>
      </c>
      <c r="EH165" s="24">
        <f>IF($B$55=TRUE,0,IF(EH4=$C$17,$G$46,0))</f>
        <v/>
      </c>
      <c r="EI165" s="24">
        <f>IF($B$55=TRUE,0,IF(EI4=$C$17,$G$46,0))</f>
        <v/>
      </c>
      <c r="EJ165" s="24">
        <f>IF($B$55=TRUE,0,IF(EJ4=$C$17,$G$46,0))</f>
        <v/>
      </c>
      <c r="EK165" s="24">
        <f>IF($B$55=TRUE,0,IF(EK4=$C$17,$G$46,0))</f>
        <v/>
      </c>
      <c r="EL165" s="24">
        <f>IF($B$55=TRUE,0,IF(EL4=$C$17,$G$46,0))</f>
        <v/>
      </c>
      <c r="EM165" s="24">
        <f>IF($B$55=TRUE,0,IF(EM4=$C$17,$G$46,0))</f>
        <v/>
      </c>
      <c r="EN165" s="24">
        <f>IF($B$55=TRUE,0,IF(EN4=$C$17,$G$46,0))</f>
        <v/>
      </c>
      <c r="EO165" s="24">
        <f>IF($B$55=TRUE,0,IF(EO4=$C$17,$G$46,0))</f>
        <v/>
      </c>
      <c r="EP165" s="24">
        <f>IF($B$55=TRUE,0,IF(EP4=$C$17,$G$46,0))</f>
        <v/>
      </c>
      <c r="EQ165" s="24">
        <f>IF($B$55=TRUE,0,IF(EQ4=$C$17,$G$46,0))</f>
        <v/>
      </c>
      <c r="ER165" s="24">
        <f>IF($B$55=TRUE,0,IF(ER4=$C$17,$G$46,0))</f>
        <v/>
      </c>
      <c r="ES165" s="24">
        <f>IF($B$55=TRUE,0,IF(ES4=$C$17,$G$46,0))</f>
        <v/>
      </c>
      <c r="ET165" s="24">
        <f>IF($B$55=TRUE,0,IF(ET4=$C$17,$G$46,0))</f>
        <v/>
      </c>
      <c r="EU165" s="24">
        <f>IF($B$55=TRUE,0,IF(EU4=$C$17,$G$46,0))</f>
        <v/>
      </c>
      <c r="EV165" s="24">
        <f>IF($B$55=TRUE,0,IF(EV4=$C$17,$G$46,0))</f>
        <v/>
      </c>
      <c r="EW165" s="24">
        <f>IF($B$55=TRUE,0,IF(EW4=$C$17,$G$46,0))</f>
        <v/>
      </c>
      <c r="EX165" s="24">
        <f>IF($B$55=TRUE,0,IF(EX4=$C$17,$G$46,0))</f>
        <v/>
      </c>
      <c r="EY165" s="24">
        <f>IF($B$55=TRUE,0,IF(EY4=$C$17,$G$46,0))</f>
        <v/>
      </c>
      <c r="EZ165" s="24">
        <f>IF($B$55=TRUE,0,IF(EZ4=$C$17,$G$46,0))</f>
        <v/>
      </c>
      <c r="FA165" s="24">
        <f>IF($B$55=TRUE,0,IF(FA4=$C$17,$G$46,0))</f>
        <v/>
      </c>
      <c r="FB165" s="24">
        <f>IF($B$55=TRUE,0,IF(FB4=$C$17,$G$46,0))</f>
        <v/>
      </c>
    </row>
    <row r="166">
      <c r="A166" s="60" t="n"/>
      <c r="I166" s="9" t="inlineStr">
        <is>
          <t>Accrued Interest</t>
        </is>
      </c>
      <c r="L166" s="24">
        <f>SUMIF($Z$4:$FB$4,"&lt;="&amp;$G$18,$Z166:$FB166)</f>
        <v/>
      </c>
      <c r="M166" s="55" t="n"/>
      <c r="N166" s="24">
        <f>SUMIF($Z$3:$FB$3,N$7,$Z166:$FB166)</f>
        <v/>
      </c>
      <c r="O166" s="24">
        <f>SUMIF($Z$3:$FB$3,O$7,$Z166:$FB166)</f>
        <v/>
      </c>
      <c r="P166" s="24">
        <f>SUMIF($Z$3:$FB$3,P$7,$Z166:$FB166)</f>
        <v/>
      </c>
      <c r="Q166" s="24">
        <f>SUMIF($Z$3:$FB$3,Q$7,$Z166:$FB166)</f>
        <v/>
      </c>
      <c r="R166" s="24">
        <f>SUMIF($Z$3:$FB$3,R$7,$Z166:$FB166)</f>
        <v/>
      </c>
      <c r="S166" s="24">
        <f>SUMIF($Z$3:$FB$3,S$7,$Z166:$FB166)</f>
        <v/>
      </c>
      <c r="T166" s="24">
        <f>SUMIF($Z$3:$FB$3,T$7,$Z166:$FB166)</f>
        <v/>
      </c>
      <c r="U166" s="24">
        <f>SUMIF($Z$3:$FB$3,U$7,$Z166:$FB166)</f>
        <v/>
      </c>
      <c r="V166" s="24">
        <f>SUMIF($Z$3:$FB$3,V$7,$Z166:$FB166)</f>
        <v/>
      </c>
      <c r="W166" s="24">
        <f>SUMIF($Z$3:$FB$3,W$7,$Z166:$FB166)</f>
        <v/>
      </c>
      <c r="X166" s="24">
        <f>SUMIF($Z$3:$FB$3,X$7,$Z166:$FB166)</f>
        <v/>
      </c>
      <c r="Y166" s="55" t="n"/>
      <c r="Z166" s="24">
        <f>IF($B$55=TRUE,0,Z164)*$G$48/12</f>
        <v/>
      </c>
      <c r="AA166" s="24">
        <f>IF($B$55=TRUE,0,AA164)*$G$48/12</f>
        <v/>
      </c>
      <c r="AB166" s="24">
        <f>IF($B$55=TRUE,0,AB164)*$G$48/12</f>
        <v/>
      </c>
      <c r="AC166" s="24">
        <f>IF($B$55=TRUE,0,AC164)*$G$48/12</f>
        <v/>
      </c>
      <c r="AD166" s="24">
        <f>IF($B$55=TRUE,0,AD164)*$G$48/12</f>
        <v/>
      </c>
      <c r="AE166" s="24">
        <f>IF($B$55=TRUE,0,AE164)*$G$48/12</f>
        <v/>
      </c>
      <c r="AF166" s="24">
        <f>IF($B$55=TRUE,0,AF164)*$G$48/12</f>
        <v/>
      </c>
      <c r="AG166" s="24">
        <f>IF($B$55=TRUE,0,AG164)*$G$48/12</f>
        <v/>
      </c>
      <c r="AH166" s="24">
        <f>IF($B$55=TRUE,0,AH164)*$G$48/12</f>
        <v/>
      </c>
      <c r="AI166" s="24">
        <f>IF($B$55=TRUE,0,AI164)*$G$48/12</f>
        <v/>
      </c>
      <c r="AJ166" s="24">
        <f>IF($B$55=TRUE,0,AJ164)*$G$48/12</f>
        <v/>
      </c>
      <c r="AK166" s="24">
        <f>IF($B$55=TRUE,0,AK164)*$G$48/12</f>
        <v/>
      </c>
      <c r="AL166" s="24">
        <f>IF($B$55=TRUE,0,AL164)*$G$48/12</f>
        <v/>
      </c>
      <c r="AM166" s="24">
        <f>IF($B$55=TRUE,0,AM164)*$G$48/12</f>
        <v/>
      </c>
      <c r="AN166" s="24">
        <f>IF($B$55=TRUE,0,AN164)*$G$48/12</f>
        <v/>
      </c>
      <c r="AO166" s="24">
        <f>IF($B$55=TRUE,0,AO164)*$G$48/12</f>
        <v/>
      </c>
      <c r="AP166" s="24">
        <f>IF($B$55=TRUE,0,AP164)*$G$48/12</f>
        <v/>
      </c>
      <c r="AQ166" s="24">
        <f>IF($B$55=TRUE,0,AQ164)*$G$48/12</f>
        <v/>
      </c>
      <c r="AR166" s="24">
        <f>IF($B$55=TRUE,0,AR164)*$G$48/12</f>
        <v/>
      </c>
      <c r="AS166" s="24">
        <f>IF($B$55=TRUE,0,AS164)*$G$48/12</f>
        <v/>
      </c>
      <c r="AT166" s="24">
        <f>IF($B$55=TRUE,0,AT164)*$G$48/12</f>
        <v/>
      </c>
      <c r="AU166" s="24">
        <f>IF($B$55=TRUE,0,AU164)*$G$48/12</f>
        <v/>
      </c>
      <c r="AV166" s="24">
        <f>IF($B$55=TRUE,0,AV164)*$G$48/12</f>
        <v/>
      </c>
      <c r="AW166" s="24">
        <f>IF($B$55=TRUE,0,AW164)*$G$48/12</f>
        <v/>
      </c>
      <c r="AX166" s="24">
        <f>IF($B$55=TRUE,0,AX164)*$G$48/12</f>
        <v/>
      </c>
      <c r="AY166" s="24">
        <f>IF($B$55=TRUE,0,AY164)*$G$48/12</f>
        <v/>
      </c>
      <c r="AZ166" s="24">
        <f>IF($B$55=TRUE,0,AZ164)*$G$48/12</f>
        <v/>
      </c>
      <c r="BA166" s="24">
        <f>IF($B$55=TRUE,0,BA164)*$G$48/12</f>
        <v/>
      </c>
      <c r="BB166" s="24">
        <f>IF($B$55=TRUE,0,BB164)*$G$48/12</f>
        <v/>
      </c>
      <c r="BC166" s="24">
        <f>IF($B$55=TRUE,0,BC164)*$G$48/12</f>
        <v/>
      </c>
      <c r="BD166" s="24">
        <f>IF($B$55=TRUE,0,BD164)*$G$48/12</f>
        <v/>
      </c>
      <c r="BE166" s="24">
        <f>IF($B$55=TRUE,0,BE164)*$G$48/12</f>
        <v/>
      </c>
      <c r="BF166" s="24">
        <f>IF($B$55=TRUE,0,BF164)*$G$48/12</f>
        <v/>
      </c>
      <c r="BG166" s="24">
        <f>IF($B$55=TRUE,0,BG164)*$G$48/12</f>
        <v/>
      </c>
      <c r="BH166" s="24">
        <f>IF($B$55=TRUE,0,BH164)*$G$48/12</f>
        <v/>
      </c>
      <c r="BI166" s="24">
        <f>IF($B$55=TRUE,0,BI164)*$G$48/12</f>
        <v/>
      </c>
      <c r="BJ166" s="24">
        <f>IF($B$55=TRUE,0,BJ164)*$G$48/12</f>
        <v/>
      </c>
      <c r="BK166" s="24">
        <f>IF($B$55=TRUE,0,BK164)*$G$48/12</f>
        <v/>
      </c>
      <c r="BL166" s="24">
        <f>IF($B$55=TRUE,0,BL164)*$G$48/12</f>
        <v/>
      </c>
      <c r="BM166" s="24">
        <f>IF($B$55=TRUE,0,BM164)*$G$48/12</f>
        <v/>
      </c>
      <c r="BN166" s="24">
        <f>IF($B$55=TRUE,0,BN164)*$G$48/12</f>
        <v/>
      </c>
      <c r="BO166" s="24">
        <f>IF($B$55=TRUE,0,BO164)*$G$48/12</f>
        <v/>
      </c>
      <c r="BP166" s="24">
        <f>IF($B$55=TRUE,0,BP164)*$G$48/12</f>
        <v/>
      </c>
      <c r="BQ166" s="24">
        <f>IF($B$55=TRUE,0,BQ164)*$G$48/12</f>
        <v/>
      </c>
      <c r="BR166" s="24">
        <f>IF($B$55=TRUE,0,BR164)*$G$48/12</f>
        <v/>
      </c>
      <c r="BS166" s="24">
        <f>IF($B$55=TRUE,0,BS164)*$G$48/12</f>
        <v/>
      </c>
      <c r="BT166" s="24">
        <f>IF($B$55=TRUE,0,BT164)*$G$48/12</f>
        <v/>
      </c>
      <c r="BU166" s="24">
        <f>IF($B$55=TRUE,0,BU164)*$G$48/12</f>
        <v/>
      </c>
      <c r="BV166" s="24">
        <f>IF($B$55=TRUE,0,BV164)*$G$48/12</f>
        <v/>
      </c>
      <c r="BW166" s="24">
        <f>IF($B$55=TRUE,0,BW164)*$G$48/12</f>
        <v/>
      </c>
      <c r="BX166" s="24">
        <f>IF($B$55=TRUE,0,BX164)*$G$48/12</f>
        <v/>
      </c>
      <c r="BY166" s="24">
        <f>IF($B$55=TRUE,0,BY164)*$G$48/12</f>
        <v/>
      </c>
      <c r="BZ166" s="24">
        <f>IF($B$55=TRUE,0,BZ164)*$G$48/12</f>
        <v/>
      </c>
      <c r="CA166" s="24">
        <f>IF($B$55=TRUE,0,CA164)*$G$48/12</f>
        <v/>
      </c>
      <c r="CB166" s="24">
        <f>IF($B$55=TRUE,0,CB164)*$G$48/12</f>
        <v/>
      </c>
      <c r="CC166" s="24">
        <f>IF($B$55=TRUE,0,CC164)*$G$48/12</f>
        <v/>
      </c>
      <c r="CD166" s="24">
        <f>IF($B$55=TRUE,0,CD164)*$G$48/12</f>
        <v/>
      </c>
      <c r="CE166" s="24">
        <f>IF($B$55=TRUE,0,CE164)*$G$48/12</f>
        <v/>
      </c>
      <c r="CF166" s="24">
        <f>IF($B$55=TRUE,0,CF164)*$G$48/12</f>
        <v/>
      </c>
      <c r="CG166" s="24">
        <f>IF($B$55=TRUE,0,CG164)*$G$48/12</f>
        <v/>
      </c>
      <c r="CH166" s="24">
        <f>IF($B$55=TRUE,0,CH164)*$G$48/12</f>
        <v/>
      </c>
      <c r="CI166" s="24">
        <f>IF($B$55=TRUE,0,CI164)*$G$48/12</f>
        <v/>
      </c>
      <c r="CJ166" s="24">
        <f>IF($B$55=TRUE,0,CJ164)*$G$48/12</f>
        <v/>
      </c>
      <c r="CK166" s="24">
        <f>IF($B$55=TRUE,0,CK164)*$G$48/12</f>
        <v/>
      </c>
      <c r="CL166" s="24">
        <f>IF($B$55=TRUE,0,CL164)*$G$48/12</f>
        <v/>
      </c>
      <c r="CM166" s="24">
        <f>IF($B$55=TRUE,0,CM164)*$G$48/12</f>
        <v/>
      </c>
      <c r="CN166" s="24">
        <f>IF($B$55=TRUE,0,CN164)*$G$48/12</f>
        <v/>
      </c>
      <c r="CO166" s="24">
        <f>IF($B$55=TRUE,0,CO164)*$G$48/12</f>
        <v/>
      </c>
      <c r="CP166" s="24">
        <f>IF($B$55=TRUE,0,CP164)*$G$48/12</f>
        <v/>
      </c>
      <c r="CQ166" s="24">
        <f>IF($B$55=TRUE,0,CQ164)*$G$48/12</f>
        <v/>
      </c>
      <c r="CR166" s="24">
        <f>IF($B$55=TRUE,0,CR164)*$G$48/12</f>
        <v/>
      </c>
      <c r="CS166" s="24">
        <f>IF($B$55=TRUE,0,CS164)*$G$48/12</f>
        <v/>
      </c>
      <c r="CT166" s="24">
        <f>IF($B$55=TRUE,0,CT164)*$G$48/12</f>
        <v/>
      </c>
      <c r="CU166" s="24">
        <f>IF($B$55=TRUE,0,CU164)*$G$48/12</f>
        <v/>
      </c>
      <c r="CV166" s="24">
        <f>IF($B$55=TRUE,0,CV164)*$G$48/12</f>
        <v/>
      </c>
      <c r="CW166" s="24">
        <f>IF($B$55=TRUE,0,CW164)*$G$48/12</f>
        <v/>
      </c>
      <c r="CX166" s="24">
        <f>IF($B$55=TRUE,0,CX164)*$G$48/12</f>
        <v/>
      </c>
      <c r="CY166" s="24">
        <f>IF($B$55=TRUE,0,CY164)*$G$48/12</f>
        <v/>
      </c>
      <c r="CZ166" s="24">
        <f>IF($B$55=TRUE,0,CZ164)*$G$48/12</f>
        <v/>
      </c>
      <c r="DA166" s="24">
        <f>IF($B$55=TRUE,0,DA164)*$G$48/12</f>
        <v/>
      </c>
      <c r="DB166" s="24">
        <f>IF($B$55=TRUE,0,DB164)*$G$48/12</f>
        <v/>
      </c>
      <c r="DC166" s="24">
        <f>IF($B$55=TRUE,0,DC164)*$G$48/12</f>
        <v/>
      </c>
      <c r="DD166" s="24">
        <f>IF($B$55=TRUE,0,DD164)*$G$48/12</f>
        <v/>
      </c>
      <c r="DE166" s="24">
        <f>IF($B$55=TRUE,0,DE164)*$G$48/12</f>
        <v/>
      </c>
      <c r="DF166" s="24">
        <f>IF($B$55=TRUE,0,DF164)*$G$48/12</f>
        <v/>
      </c>
      <c r="DG166" s="24">
        <f>IF($B$55=TRUE,0,DG164)*$G$48/12</f>
        <v/>
      </c>
      <c r="DH166" s="24">
        <f>IF($B$55=TRUE,0,DH164)*$G$48/12</f>
        <v/>
      </c>
      <c r="DI166" s="24">
        <f>IF($B$55=TRUE,0,DI164)*$G$48/12</f>
        <v/>
      </c>
      <c r="DJ166" s="24">
        <f>IF($B$55=TRUE,0,DJ164)*$G$48/12</f>
        <v/>
      </c>
      <c r="DK166" s="24">
        <f>IF($B$55=TRUE,0,DK164)*$G$48/12</f>
        <v/>
      </c>
      <c r="DL166" s="24">
        <f>IF($B$55=TRUE,0,DL164)*$G$48/12</f>
        <v/>
      </c>
      <c r="DM166" s="24">
        <f>IF($B$55=TRUE,0,DM164)*$G$48/12</f>
        <v/>
      </c>
      <c r="DN166" s="24">
        <f>IF($B$55=TRUE,0,DN164)*$G$48/12</f>
        <v/>
      </c>
      <c r="DO166" s="24">
        <f>IF($B$55=TRUE,0,DO164)*$G$48/12</f>
        <v/>
      </c>
      <c r="DP166" s="24">
        <f>IF($B$55=TRUE,0,DP164)*$G$48/12</f>
        <v/>
      </c>
      <c r="DQ166" s="24">
        <f>IF($B$55=TRUE,0,DQ164)*$G$48/12</f>
        <v/>
      </c>
      <c r="DR166" s="24">
        <f>IF($B$55=TRUE,0,DR164)*$G$48/12</f>
        <v/>
      </c>
      <c r="DS166" s="24">
        <f>IF($B$55=TRUE,0,DS164)*$G$48/12</f>
        <v/>
      </c>
      <c r="DT166" s="24">
        <f>IF($B$55=TRUE,0,DT164)*$G$48/12</f>
        <v/>
      </c>
      <c r="DU166" s="24">
        <f>IF($B$55=TRUE,0,DU164)*$G$48/12</f>
        <v/>
      </c>
      <c r="DV166" s="24">
        <f>IF($B$55=TRUE,0,DV164)*$G$48/12</f>
        <v/>
      </c>
      <c r="DW166" s="24">
        <f>IF($B$55=TRUE,0,DW164)*$G$48/12</f>
        <v/>
      </c>
      <c r="DX166" s="24">
        <f>IF($B$55=TRUE,0,DX164)*$G$48/12</f>
        <v/>
      </c>
      <c r="DY166" s="24">
        <f>IF($B$55=TRUE,0,DY164)*$G$48/12</f>
        <v/>
      </c>
      <c r="DZ166" s="24">
        <f>IF($B$55=TRUE,0,DZ164)*$G$48/12</f>
        <v/>
      </c>
      <c r="EA166" s="24">
        <f>IF($B$55=TRUE,0,EA164)*$G$48/12</f>
        <v/>
      </c>
      <c r="EB166" s="24">
        <f>IF($B$55=TRUE,0,EB164)*$G$48/12</f>
        <v/>
      </c>
      <c r="EC166" s="24">
        <f>IF($B$55=TRUE,0,EC164)*$G$48/12</f>
        <v/>
      </c>
      <c r="ED166" s="24">
        <f>IF($B$55=TRUE,0,ED164)*$G$48/12</f>
        <v/>
      </c>
      <c r="EE166" s="24">
        <f>IF($B$55=TRUE,0,EE164)*$G$48/12</f>
        <v/>
      </c>
      <c r="EF166" s="24">
        <f>IF($B$55=TRUE,0,EF164)*$G$48/12</f>
        <v/>
      </c>
      <c r="EG166" s="24">
        <f>IF($B$55=TRUE,0,EG164)*$G$48/12</f>
        <v/>
      </c>
      <c r="EH166" s="24">
        <f>IF($B$55=TRUE,0,EH164)*$G$48/12</f>
        <v/>
      </c>
      <c r="EI166" s="24">
        <f>IF($B$55=TRUE,0,EI164)*$G$48/12</f>
        <v/>
      </c>
      <c r="EJ166" s="24">
        <f>IF($B$55=TRUE,0,EJ164)*$G$48/12</f>
        <v/>
      </c>
      <c r="EK166" s="24">
        <f>IF($B$55=TRUE,0,EK164)*$G$48/12</f>
        <v/>
      </c>
      <c r="EL166" s="24">
        <f>IF($B$55=TRUE,0,EL164)*$G$48/12</f>
        <v/>
      </c>
      <c r="EM166" s="24">
        <f>IF($B$55=TRUE,0,EM164)*$G$48/12</f>
        <v/>
      </c>
      <c r="EN166" s="24">
        <f>IF($B$55=TRUE,0,EN164)*$G$48/12</f>
        <v/>
      </c>
      <c r="EO166" s="24">
        <f>IF($B$55=TRUE,0,EO164)*$G$48/12</f>
        <v/>
      </c>
      <c r="EP166" s="24">
        <f>IF($B$55=TRUE,0,EP164)*$G$48/12</f>
        <v/>
      </c>
      <c r="EQ166" s="24">
        <f>IF($B$55=TRUE,0,EQ164)*$G$48/12</f>
        <v/>
      </c>
      <c r="ER166" s="24">
        <f>IF($B$55=TRUE,0,ER164)*$G$48/12</f>
        <v/>
      </c>
      <c r="ES166" s="24">
        <f>IF($B$55=TRUE,0,ES164)*$G$48/12</f>
        <v/>
      </c>
      <c r="ET166" s="24">
        <f>IF($B$55=TRUE,0,ET164)*$G$48/12</f>
        <v/>
      </c>
      <c r="EU166" s="24">
        <f>IF($B$55=TRUE,0,EU164)*$G$48/12</f>
        <v/>
      </c>
      <c r="EV166" s="24">
        <f>IF($B$55=TRUE,0,EV164)*$G$48/12</f>
        <v/>
      </c>
      <c r="EW166" s="24">
        <f>IF($B$55=TRUE,0,EW164)*$G$48/12</f>
        <v/>
      </c>
      <c r="EX166" s="24">
        <f>IF($B$55=TRUE,0,EX164)*$G$48/12</f>
        <v/>
      </c>
      <c r="EY166" s="24">
        <f>IF($B$55=TRUE,0,EY164)*$G$48/12</f>
        <v/>
      </c>
      <c r="EZ166" s="24">
        <f>IF($B$55=TRUE,0,EZ164)*$G$48/12</f>
        <v/>
      </c>
      <c r="FA166" s="24">
        <f>IF($B$55=TRUE,0,FA164)*$G$48/12</f>
        <v/>
      </c>
      <c r="FB166" s="24">
        <f>IF($B$55=TRUE,0,FB164)*$G$48/12</f>
        <v/>
      </c>
    </row>
    <row r="167">
      <c r="A167" s="60" t="n"/>
      <c r="I167" s="9" t="inlineStr">
        <is>
          <t>Interest Paydown</t>
        </is>
      </c>
      <c r="L167" s="24">
        <f>SUMIF($Z$4:$FB$4,"&lt;="&amp;$G$18,$Z167:$FB167)</f>
        <v/>
      </c>
      <c r="M167" s="55" t="n"/>
      <c r="N167" s="24">
        <f>SUMIF($Z$3:$FB$3,N$7,$Z167:$FB167)</f>
        <v/>
      </c>
      <c r="O167" s="24">
        <f>SUMIF($Z$3:$FB$3,O$7,$Z167:$FB167)</f>
        <v/>
      </c>
      <c r="P167" s="24">
        <f>SUMIF($Z$3:$FB$3,P$7,$Z167:$FB167)</f>
        <v/>
      </c>
      <c r="Q167" s="24">
        <f>SUMIF($Z$3:$FB$3,Q$7,$Z167:$FB167)</f>
        <v/>
      </c>
      <c r="R167" s="24">
        <f>SUMIF($Z$3:$FB$3,R$7,$Z167:$FB167)</f>
        <v/>
      </c>
      <c r="S167" s="24">
        <f>SUMIF($Z$3:$FB$3,S$7,$Z167:$FB167)</f>
        <v/>
      </c>
      <c r="T167" s="24">
        <f>SUMIF($Z$3:$FB$3,T$7,$Z167:$FB167)</f>
        <v/>
      </c>
      <c r="U167" s="24">
        <f>SUMIF($Z$3:$FB$3,U$7,$Z167:$FB167)</f>
        <v/>
      </c>
      <c r="V167" s="24">
        <f>SUMIF($Z$3:$FB$3,V$7,$Z167:$FB167)</f>
        <v/>
      </c>
      <c r="W167" s="24">
        <f>SUMIF($Z$3:$FB$3,W$7,$Z167:$FB167)</f>
        <v/>
      </c>
      <c r="X167" s="24">
        <f>SUMIF($Z$3:$FB$3,X$7,$Z167:$FB167)</f>
        <v/>
      </c>
      <c r="Y167" s="55" t="n"/>
      <c r="Z167" s="24">
        <f>-MIN(Z166,Z79*(Z79&gt;0))</f>
        <v/>
      </c>
      <c r="AA167" s="24">
        <f>-MIN(AA166,AA79*(AA79&gt;0))</f>
        <v/>
      </c>
      <c r="AB167" s="24">
        <f>-MIN(AB166,AB79*(AB79&gt;0))</f>
        <v/>
      </c>
      <c r="AC167" s="24">
        <f>-MIN(AC166,AC79*(AC79&gt;0))</f>
        <v/>
      </c>
      <c r="AD167" s="24">
        <f>-MIN(AD166,AD79*(AD79&gt;0))</f>
        <v/>
      </c>
      <c r="AE167" s="24">
        <f>-MIN(AE166,AE79*(AE79&gt;0))</f>
        <v/>
      </c>
      <c r="AF167" s="24">
        <f>-MIN(AF166,AF79*(AF79&gt;0))</f>
        <v/>
      </c>
      <c r="AG167" s="24">
        <f>-MIN(AG166,AG79*(AG79&gt;0))</f>
        <v/>
      </c>
      <c r="AH167" s="24">
        <f>-MIN(AH166,AH79*(AH79&gt;0))</f>
        <v/>
      </c>
      <c r="AI167" s="24">
        <f>-MIN(AI166,AI79*(AI79&gt;0))</f>
        <v/>
      </c>
      <c r="AJ167" s="24">
        <f>-MIN(AJ166,AJ79*(AJ79&gt;0))</f>
        <v/>
      </c>
      <c r="AK167" s="24">
        <f>-MIN(AK166,AK79*(AK79&gt;0))</f>
        <v/>
      </c>
      <c r="AL167" s="24">
        <f>-MIN(AL166,AL79*(AL79&gt;0))</f>
        <v/>
      </c>
      <c r="AM167" s="24">
        <f>-MIN(AM166,AM79*(AM79&gt;0))</f>
        <v/>
      </c>
      <c r="AN167" s="24">
        <f>-MIN(AN166,AN79*(AN79&gt;0))</f>
        <v/>
      </c>
      <c r="AO167" s="24">
        <f>-MIN(AO166,AO79*(AO79&gt;0))</f>
        <v/>
      </c>
      <c r="AP167" s="24">
        <f>-MIN(AP166,AP79*(AP79&gt;0))</f>
        <v/>
      </c>
      <c r="AQ167" s="24">
        <f>-MIN(AQ166,AQ79*(AQ79&gt;0))</f>
        <v/>
      </c>
      <c r="AR167" s="24">
        <f>-MIN(AR166,AR79*(AR79&gt;0))</f>
        <v/>
      </c>
      <c r="AS167" s="24">
        <f>-MIN(AS166,AS79*(AS79&gt;0))</f>
        <v/>
      </c>
      <c r="AT167" s="24">
        <f>-MIN(AT166,AT79*(AT79&gt;0))</f>
        <v/>
      </c>
      <c r="AU167" s="24">
        <f>-MIN(AU166,AU79*(AU79&gt;0))</f>
        <v/>
      </c>
      <c r="AV167" s="24">
        <f>-MIN(AV166,AV79*(AV79&gt;0))</f>
        <v/>
      </c>
      <c r="AW167" s="24">
        <f>-MIN(AW166,AW79*(AW79&gt;0))</f>
        <v/>
      </c>
      <c r="AX167" s="24">
        <f>-MIN(AX166,AX79*(AX79&gt;0))</f>
        <v/>
      </c>
      <c r="AY167" s="24">
        <f>-MIN(AY166,AY79*(AY79&gt;0))</f>
        <v/>
      </c>
      <c r="AZ167" s="24">
        <f>-MIN(AZ166,AZ79*(AZ79&gt;0))</f>
        <v/>
      </c>
      <c r="BA167" s="24">
        <f>-MIN(BA166,BA79*(BA79&gt;0))</f>
        <v/>
      </c>
      <c r="BB167" s="24">
        <f>-MIN(BB166,BB79*(BB79&gt;0))</f>
        <v/>
      </c>
      <c r="BC167" s="24">
        <f>-MIN(BC166,BC79*(BC79&gt;0))</f>
        <v/>
      </c>
      <c r="BD167" s="24">
        <f>-MIN(BD166,BD79*(BD79&gt;0))</f>
        <v/>
      </c>
      <c r="BE167" s="24">
        <f>-MIN(BE166,BE79*(BE79&gt;0))</f>
        <v/>
      </c>
      <c r="BF167" s="24">
        <f>-MIN(BF166,BF79*(BF79&gt;0))</f>
        <v/>
      </c>
      <c r="BG167" s="24">
        <f>-MIN(BG166,BG79*(BG79&gt;0))</f>
        <v/>
      </c>
      <c r="BH167" s="24">
        <f>-MIN(BH166,BH79*(BH79&gt;0))</f>
        <v/>
      </c>
      <c r="BI167" s="24">
        <f>-MIN(BI166,BI79*(BI79&gt;0))</f>
        <v/>
      </c>
      <c r="BJ167" s="24">
        <f>-MIN(BJ166,BJ79*(BJ79&gt;0))</f>
        <v/>
      </c>
      <c r="BK167" s="24">
        <f>-MIN(BK166,BK79*(BK79&gt;0))</f>
        <v/>
      </c>
      <c r="BL167" s="24">
        <f>-MIN(BL166,BL79*(BL79&gt;0))</f>
        <v/>
      </c>
      <c r="BM167" s="24">
        <f>-MIN(BM166,BM79*(BM79&gt;0))</f>
        <v/>
      </c>
      <c r="BN167" s="24">
        <f>-MIN(BN166,BN79*(BN79&gt;0))</f>
        <v/>
      </c>
      <c r="BO167" s="24">
        <f>-MIN(BO166,BO79*(BO79&gt;0))</f>
        <v/>
      </c>
      <c r="BP167" s="24">
        <f>-MIN(BP166,BP79*(BP79&gt;0))</f>
        <v/>
      </c>
      <c r="BQ167" s="24">
        <f>-MIN(BQ166,BQ79*(BQ79&gt;0))</f>
        <v/>
      </c>
      <c r="BR167" s="24">
        <f>-MIN(BR166,BR79*(BR79&gt;0))</f>
        <v/>
      </c>
      <c r="BS167" s="24">
        <f>-MIN(BS166,BS79*(BS79&gt;0))</f>
        <v/>
      </c>
      <c r="BT167" s="24">
        <f>-MIN(BT166,BT79*(BT79&gt;0))</f>
        <v/>
      </c>
      <c r="BU167" s="24">
        <f>-MIN(BU166,BU79*(BU79&gt;0))</f>
        <v/>
      </c>
      <c r="BV167" s="24">
        <f>-MIN(BV166,BV79*(BV79&gt;0))</f>
        <v/>
      </c>
      <c r="BW167" s="24">
        <f>-MIN(BW166,BW79*(BW79&gt;0))</f>
        <v/>
      </c>
      <c r="BX167" s="24">
        <f>-MIN(BX166,BX79*(BX79&gt;0))</f>
        <v/>
      </c>
      <c r="BY167" s="24">
        <f>-MIN(BY166,BY79*(BY79&gt;0))</f>
        <v/>
      </c>
      <c r="BZ167" s="24">
        <f>-MIN(BZ166,BZ79*(BZ79&gt;0))</f>
        <v/>
      </c>
      <c r="CA167" s="24">
        <f>-MIN(CA166,CA79*(CA79&gt;0))</f>
        <v/>
      </c>
      <c r="CB167" s="24">
        <f>-MIN(CB166,CB79*(CB79&gt;0))</f>
        <v/>
      </c>
      <c r="CC167" s="24">
        <f>-MIN(CC166,CC79*(CC79&gt;0))</f>
        <v/>
      </c>
      <c r="CD167" s="24">
        <f>-MIN(CD166,CD79*(CD79&gt;0))</f>
        <v/>
      </c>
      <c r="CE167" s="24">
        <f>-MIN(CE166,CE79*(CE79&gt;0))</f>
        <v/>
      </c>
      <c r="CF167" s="24">
        <f>-MIN(CF166,CF79*(CF79&gt;0))</f>
        <v/>
      </c>
      <c r="CG167" s="24">
        <f>-MIN(CG166,CG79*(CG79&gt;0))</f>
        <v/>
      </c>
      <c r="CH167" s="24">
        <f>-MIN(CH166,CH79*(CH79&gt;0))</f>
        <v/>
      </c>
      <c r="CI167" s="24">
        <f>-MIN(CI166,CI79*(CI79&gt;0))</f>
        <v/>
      </c>
      <c r="CJ167" s="24">
        <f>-MIN(CJ166,CJ79*(CJ79&gt;0))</f>
        <v/>
      </c>
      <c r="CK167" s="24">
        <f>-MIN(CK166,CK79*(CK79&gt;0))</f>
        <v/>
      </c>
      <c r="CL167" s="24">
        <f>-MIN(CL166,CL79*(CL79&gt;0))</f>
        <v/>
      </c>
      <c r="CM167" s="24">
        <f>-MIN(CM166,CM79*(CM79&gt;0))</f>
        <v/>
      </c>
      <c r="CN167" s="24">
        <f>-MIN(CN166,CN79*(CN79&gt;0))</f>
        <v/>
      </c>
      <c r="CO167" s="24">
        <f>-MIN(CO166,CO79*(CO79&gt;0))</f>
        <v/>
      </c>
      <c r="CP167" s="24">
        <f>-MIN(CP166,CP79*(CP79&gt;0))</f>
        <v/>
      </c>
      <c r="CQ167" s="24">
        <f>-MIN(CQ166,CQ79*(CQ79&gt;0))</f>
        <v/>
      </c>
      <c r="CR167" s="24">
        <f>-MIN(CR166,CR79*(CR79&gt;0))</f>
        <v/>
      </c>
      <c r="CS167" s="24">
        <f>-MIN(CS166,CS79*(CS79&gt;0))</f>
        <v/>
      </c>
      <c r="CT167" s="24">
        <f>-MIN(CT166,CT79*(CT79&gt;0))</f>
        <v/>
      </c>
      <c r="CU167" s="24">
        <f>-MIN(CU166,CU79*(CU79&gt;0))</f>
        <v/>
      </c>
      <c r="CV167" s="24">
        <f>-MIN(CV166,CV79*(CV79&gt;0))</f>
        <v/>
      </c>
      <c r="CW167" s="24">
        <f>-MIN(CW166,CW79*(CW79&gt;0))</f>
        <v/>
      </c>
      <c r="CX167" s="24">
        <f>-MIN(CX166,CX79*(CX79&gt;0))</f>
        <v/>
      </c>
      <c r="CY167" s="24">
        <f>-MIN(CY166,CY79*(CY79&gt;0))</f>
        <v/>
      </c>
      <c r="CZ167" s="24">
        <f>-MIN(CZ166,CZ79*(CZ79&gt;0))</f>
        <v/>
      </c>
      <c r="DA167" s="24">
        <f>-MIN(DA166,DA79*(DA79&gt;0))</f>
        <v/>
      </c>
      <c r="DB167" s="24">
        <f>-MIN(DB166,DB79*(DB79&gt;0))</f>
        <v/>
      </c>
      <c r="DC167" s="24">
        <f>-MIN(DC166,DC79*(DC79&gt;0))</f>
        <v/>
      </c>
      <c r="DD167" s="24">
        <f>-MIN(DD166,DD79*(DD79&gt;0))</f>
        <v/>
      </c>
      <c r="DE167" s="24">
        <f>-MIN(DE166,DE79*(DE79&gt;0))</f>
        <v/>
      </c>
      <c r="DF167" s="24">
        <f>-MIN(DF166,DF79*(DF79&gt;0))</f>
        <v/>
      </c>
      <c r="DG167" s="24">
        <f>-MIN(DG166,DG79*(DG79&gt;0))</f>
        <v/>
      </c>
      <c r="DH167" s="24">
        <f>-MIN(DH166,DH79*(DH79&gt;0))</f>
        <v/>
      </c>
      <c r="DI167" s="24">
        <f>-MIN(DI166,DI79*(DI79&gt;0))</f>
        <v/>
      </c>
      <c r="DJ167" s="24">
        <f>-MIN(DJ166,DJ79*(DJ79&gt;0))</f>
        <v/>
      </c>
      <c r="DK167" s="24">
        <f>-MIN(DK166,DK79*(DK79&gt;0))</f>
        <v/>
      </c>
      <c r="DL167" s="24">
        <f>-MIN(DL166,DL79*(DL79&gt;0))</f>
        <v/>
      </c>
      <c r="DM167" s="24">
        <f>-MIN(DM166,DM79*(DM79&gt;0))</f>
        <v/>
      </c>
      <c r="DN167" s="24">
        <f>-MIN(DN166,DN79*(DN79&gt;0))</f>
        <v/>
      </c>
      <c r="DO167" s="24">
        <f>-MIN(DO166,DO79*(DO79&gt;0))</f>
        <v/>
      </c>
      <c r="DP167" s="24">
        <f>-MIN(DP166,DP79*(DP79&gt;0))</f>
        <v/>
      </c>
      <c r="DQ167" s="24">
        <f>-MIN(DQ166,DQ79*(DQ79&gt;0))</f>
        <v/>
      </c>
      <c r="DR167" s="24">
        <f>-MIN(DR166,DR79*(DR79&gt;0))</f>
        <v/>
      </c>
      <c r="DS167" s="24">
        <f>-MIN(DS166,DS79*(DS79&gt;0))</f>
        <v/>
      </c>
      <c r="DT167" s="24">
        <f>-MIN(DT166,DT79*(DT79&gt;0))</f>
        <v/>
      </c>
      <c r="DU167" s="24">
        <f>-MIN(DU166,DU79*(DU79&gt;0))</f>
        <v/>
      </c>
      <c r="DV167" s="24">
        <f>-MIN(DV166,DV79*(DV79&gt;0))</f>
        <v/>
      </c>
      <c r="DW167" s="24">
        <f>-MIN(DW166,DW79*(DW79&gt;0))</f>
        <v/>
      </c>
      <c r="DX167" s="24">
        <f>-MIN(DX166,DX79*(DX79&gt;0))</f>
        <v/>
      </c>
      <c r="DY167" s="24">
        <f>-MIN(DY166,DY79*(DY79&gt;0))</f>
        <v/>
      </c>
      <c r="DZ167" s="24">
        <f>-MIN(DZ166,DZ79*(DZ79&gt;0))</f>
        <v/>
      </c>
      <c r="EA167" s="24">
        <f>-MIN(EA166,EA79*(EA79&gt;0))</f>
        <v/>
      </c>
      <c r="EB167" s="24">
        <f>-MIN(EB166,EB79*(EB79&gt;0))</f>
        <v/>
      </c>
      <c r="EC167" s="24">
        <f>-MIN(EC166,EC79*(EC79&gt;0))</f>
        <v/>
      </c>
      <c r="ED167" s="24">
        <f>-MIN(ED166,ED79*(ED79&gt;0))</f>
        <v/>
      </c>
      <c r="EE167" s="24">
        <f>-MIN(EE166,EE79*(EE79&gt;0))</f>
        <v/>
      </c>
      <c r="EF167" s="24">
        <f>-MIN(EF166,EF79*(EF79&gt;0))</f>
        <v/>
      </c>
      <c r="EG167" s="24">
        <f>-MIN(EG166,EG79*(EG79&gt;0))</f>
        <v/>
      </c>
      <c r="EH167" s="24">
        <f>-MIN(EH166,EH79*(EH79&gt;0))</f>
        <v/>
      </c>
      <c r="EI167" s="24">
        <f>-MIN(EI166,EI79*(EI79&gt;0))</f>
        <v/>
      </c>
      <c r="EJ167" s="24">
        <f>-MIN(EJ166,EJ79*(EJ79&gt;0))</f>
        <v/>
      </c>
      <c r="EK167" s="24">
        <f>-MIN(EK166,EK79*(EK79&gt;0))</f>
        <v/>
      </c>
      <c r="EL167" s="24">
        <f>-MIN(EL166,EL79*(EL79&gt;0))</f>
        <v/>
      </c>
      <c r="EM167" s="24">
        <f>-MIN(EM166,EM79*(EM79&gt;0))</f>
        <v/>
      </c>
      <c r="EN167" s="24">
        <f>-MIN(EN166,EN79*(EN79&gt;0))</f>
        <v/>
      </c>
      <c r="EO167" s="24">
        <f>-MIN(EO166,EO79*(EO79&gt;0))</f>
        <v/>
      </c>
      <c r="EP167" s="24">
        <f>-MIN(EP166,EP79*(EP79&gt;0))</f>
        <v/>
      </c>
      <c r="EQ167" s="24">
        <f>-MIN(EQ166,EQ79*(EQ79&gt;0))</f>
        <v/>
      </c>
      <c r="ER167" s="24">
        <f>-MIN(ER166,ER79*(ER79&gt;0))</f>
        <v/>
      </c>
      <c r="ES167" s="24">
        <f>-MIN(ES166,ES79*(ES79&gt;0))</f>
        <v/>
      </c>
      <c r="ET167" s="24">
        <f>-MIN(ET166,ET79*(ET79&gt;0))</f>
        <v/>
      </c>
      <c r="EU167" s="24">
        <f>-MIN(EU166,EU79*(EU79&gt;0))</f>
        <v/>
      </c>
      <c r="EV167" s="24">
        <f>-MIN(EV166,EV79*(EV79&gt;0))</f>
        <v/>
      </c>
      <c r="EW167" s="24">
        <f>-MIN(EW166,EW79*(EW79&gt;0))</f>
        <v/>
      </c>
      <c r="EX167" s="24">
        <f>-MIN(EX166,EX79*(EX79&gt;0))</f>
        <v/>
      </c>
      <c r="EY167" s="24">
        <f>-MIN(EY166,EY79*(EY79&gt;0))</f>
        <v/>
      </c>
      <c r="EZ167" s="24">
        <f>-MIN(EZ166,EZ79*(EZ79&gt;0))</f>
        <v/>
      </c>
      <c r="FA167" s="24">
        <f>-MIN(FA166,FA79*(FA79&gt;0))</f>
        <v/>
      </c>
      <c r="FB167" s="24">
        <f>-MIN(FB166,FB79*(FB79&gt;0))</f>
        <v/>
      </c>
    </row>
    <row r="168">
      <c r="A168" s="60" t="n"/>
      <c r="I168" s="9" t="inlineStr">
        <is>
          <t>Principal Payoff</t>
        </is>
      </c>
      <c r="L168" s="24">
        <f>SUMIF($Z$4:$FB$4,"&lt;="&amp;$G$18,$Z168:$FB168)</f>
        <v/>
      </c>
      <c r="M168" s="55" t="n"/>
      <c r="N168" s="24">
        <f>SUMIF($Z$3:$FB$3,N$7,$Z168:$FB168)</f>
        <v/>
      </c>
      <c r="O168" s="24">
        <f>SUMIF($Z$3:$FB$3,O$7,$Z168:$FB168)</f>
        <v/>
      </c>
      <c r="P168" s="24">
        <f>SUMIF($Z$3:$FB$3,P$7,$Z168:$FB168)</f>
        <v/>
      </c>
      <c r="Q168" s="24">
        <f>SUMIF($Z$3:$FB$3,Q$7,$Z168:$FB168)</f>
        <v/>
      </c>
      <c r="R168" s="24">
        <f>SUMIF($Z$3:$FB$3,R$7,$Z168:$FB168)</f>
        <v/>
      </c>
      <c r="S168" s="24">
        <f>SUMIF($Z$3:$FB$3,S$7,$Z168:$FB168)</f>
        <v/>
      </c>
      <c r="T168" s="24">
        <f>SUMIF($Z$3:$FB$3,T$7,$Z168:$FB168)</f>
        <v/>
      </c>
      <c r="U168" s="24">
        <f>SUMIF($Z$3:$FB$3,U$7,$Z168:$FB168)</f>
        <v/>
      </c>
      <c r="V168" s="24">
        <f>SUMIF($Z$3:$FB$3,V$7,$Z168:$FB168)</f>
        <v/>
      </c>
      <c r="W168" s="24">
        <f>SUMIF($Z$3:$FB$3,W$7,$Z168:$FB168)</f>
        <v/>
      </c>
      <c r="X168" s="24">
        <f>SUMIF($Z$3:$FB$3,X$7,$Z168:$FB168)</f>
        <v/>
      </c>
      <c r="Y168" s="55" t="n"/>
      <c r="Z168" s="24">
        <f>IF(AND(Z6&gt;=EOMONTH($D$17,$F$50+1),Z6&lt;=$F$18),-($G$50+Z167),0)</f>
        <v/>
      </c>
      <c r="AA168" s="24">
        <f>IF(AND(AA6&gt;=EOMONTH($D$17,$F$50+1),AA6&lt;=$F$18),-($G$50+AA167),0)</f>
        <v/>
      </c>
      <c r="AB168" s="24">
        <f>IF(AND(AB6&gt;=EOMONTH($D$17,$F$50+1),AB6&lt;=$F$18),-($G$50+AB167),0)</f>
        <v/>
      </c>
      <c r="AC168" s="24">
        <f>IF(AND(AC6&gt;=EOMONTH($D$17,$F$50+1),AC6&lt;=$F$18),-($G$50+AC167),0)</f>
        <v/>
      </c>
      <c r="AD168" s="24">
        <f>IF(AND(AD6&gt;=EOMONTH($D$17,$F$50+1),AD6&lt;=$F$18),-($G$50+AD167),0)</f>
        <v/>
      </c>
      <c r="AE168" s="24">
        <f>IF(AND(AE6&gt;=EOMONTH($D$17,$F$50+1),AE6&lt;=$F$18),-($G$50+AE167),0)</f>
        <v/>
      </c>
      <c r="AF168" s="24">
        <f>IF(AND(AF6&gt;=EOMONTH($D$17,$F$50+1),AF6&lt;=$F$18),-($G$50+AF167),0)</f>
        <v/>
      </c>
      <c r="AG168" s="24">
        <f>IF(AND(AG6&gt;=EOMONTH($D$17,$F$50+1),AG6&lt;=$F$18),-($G$50+AG167),0)</f>
        <v/>
      </c>
      <c r="AH168" s="24">
        <f>IF(AND(AH6&gt;=EOMONTH($D$17,$F$50+1),AH6&lt;=$F$18),-($G$50+AH167),0)</f>
        <v/>
      </c>
      <c r="AI168" s="24">
        <f>IF(AND(AI6&gt;=EOMONTH($D$17,$F$50+1),AI6&lt;=$F$18),-($G$50+AI167),0)</f>
        <v/>
      </c>
      <c r="AJ168" s="24">
        <f>IF(AND(AJ6&gt;=EOMONTH($D$17,$F$50+1),AJ6&lt;=$F$18),-($G$50+AJ167),0)</f>
        <v/>
      </c>
      <c r="AK168" s="24">
        <f>IF(AND(AK6&gt;=EOMONTH($D$17,$F$50+1),AK6&lt;=$F$18),-($G$50+AK167),0)</f>
        <v/>
      </c>
      <c r="AL168" s="24">
        <f>IF(AND(AL6&gt;=EOMONTH($D$17,$F$50+1),AL6&lt;=$F$18),-($G$50+AL167),0)</f>
        <v/>
      </c>
      <c r="AM168" s="24">
        <f>IF(AND(AM6&gt;=EOMONTH($D$17,$F$50+1),AM6&lt;=$F$18),-($G$50+AM167),0)</f>
        <v/>
      </c>
      <c r="AN168" s="24">
        <f>IF(AND(AN6&gt;=EOMONTH($D$17,$F$50+1),AN6&lt;=$F$18),-($G$50+AN167),0)</f>
        <v/>
      </c>
      <c r="AO168" s="24">
        <f>IF(AND(AO6&gt;=EOMONTH($D$17,$F$50+1),AO6&lt;=$F$18),-($G$50+AO167),0)</f>
        <v/>
      </c>
      <c r="AP168" s="24">
        <f>IF(AND(AP6&gt;=EOMONTH($D$17,$F$50+1),AP6&lt;=$F$18),-($G$50+AP167),0)</f>
        <v/>
      </c>
      <c r="AQ168" s="24">
        <f>IF(AND(AQ6&gt;=EOMONTH($D$17,$F$50+1),AQ6&lt;=$F$18),-($G$50+AQ167),0)</f>
        <v/>
      </c>
      <c r="AR168" s="24">
        <f>IF(AND(AR6&gt;=EOMONTH($D$17,$F$50+1),AR6&lt;=$F$18),-($G$50+AR167),0)</f>
        <v/>
      </c>
      <c r="AS168" s="24">
        <f>IF(AND(AS6&gt;=EOMONTH($D$17,$F$50+1),AS6&lt;=$F$18),-($G$50+AS167),0)</f>
        <v/>
      </c>
      <c r="AT168" s="24">
        <f>IF(AND(AT6&gt;=EOMONTH($D$17,$F$50+1),AT6&lt;=$F$18),-($G$50+AT167),0)</f>
        <v/>
      </c>
      <c r="AU168" s="24">
        <f>IF(AND(AU6&gt;=EOMONTH($D$17,$F$50+1),AU6&lt;=$F$18),-($G$50+AU167),0)</f>
        <v/>
      </c>
      <c r="AV168" s="24">
        <f>IF(AND(AV6&gt;=EOMONTH($D$17,$F$50+1),AV6&lt;=$F$18),-($G$50+AV167),0)</f>
        <v/>
      </c>
      <c r="AW168" s="24">
        <f>IF(AND(AW6&gt;=EOMONTH($D$17,$F$50+1),AW6&lt;=$F$18),-($G$50+AW167),0)</f>
        <v/>
      </c>
      <c r="AX168" s="24">
        <f>IF(AND(AX6&gt;=EOMONTH($D$17,$F$50+1),AX6&lt;=$F$18),-($G$50+AX167),0)</f>
        <v/>
      </c>
      <c r="AY168" s="24">
        <f>IF(AND(AY6&gt;=EOMONTH($D$17,$F$50+1),AY6&lt;=$F$18),-($G$50+AY167),0)</f>
        <v/>
      </c>
      <c r="AZ168" s="24">
        <f>IF(AND(AZ6&gt;=EOMONTH($D$17,$F$50+1),AZ6&lt;=$F$18),-($G$50+AZ167),0)</f>
        <v/>
      </c>
      <c r="BA168" s="24">
        <f>IF(AND(BA6&gt;=EOMONTH($D$17,$F$50+1),BA6&lt;=$F$18),-($G$50+BA167),0)</f>
        <v/>
      </c>
      <c r="BB168" s="24">
        <f>IF(AND(BB6&gt;=EOMONTH($D$17,$F$50+1),BB6&lt;=$F$18),-($G$50+BB167),0)</f>
        <v/>
      </c>
      <c r="BC168" s="24">
        <f>IF(AND(BC6&gt;=EOMONTH($D$17,$F$50+1),BC6&lt;=$F$18),-($G$50+BC167),0)</f>
        <v/>
      </c>
      <c r="BD168" s="24">
        <f>IF(AND(BD6&gt;=EOMONTH($D$17,$F$50+1),BD6&lt;=$F$18),-($G$50+BD167),0)</f>
        <v/>
      </c>
      <c r="BE168" s="24">
        <f>IF(AND(BE6&gt;=EOMONTH($D$17,$F$50+1),BE6&lt;=$F$18),-($G$50+BE167),0)</f>
        <v/>
      </c>
      <c r="BF168" s="24">
        <f>IF(AND(BF6&gt;=EOMONTH($D$17,$F$50+1),BF6&lt;=$F$18),-($G$50+BF167),0)</f>
        <v/>
      </c>
      <c r="BG168" s="24">
        <f>IF(AND(BG6&gt;=EOMONTH($D$17,$F$50+1),BG6&lt;=$F$18),-($G$50+BG167),0)</f>
        <v/>
      </c>
      <c r="BH168" s="24">
        <f>IF(AND(BH6&gt;=EOMONTH($D$17,$F$50+1),BH6&lt;=$F$18),-($G$50+BH167),0)</f>
        <v/>
      </c>
      <c r="BI168" s="24">
        <f>IF(AND(BI6&gt;=EOMONTH($D$17,$F$50+1),BI6&lt;=$F$18),-($G$50+BI167),0)</f>
        <v/>
      </c>
      <c r="BJ168" s="24">
        <f>IF(AND(BJ6&gt;=EOMONTH($D$17,$F$50+1),BJ6&lt;=$F$18),-($G$50+BJ167),0)</f>
        <v/>
      </c>
      <c r="BK168" s="24">
        <f>IF(AND(BK6&gt;=EOMONTH($D$17,$F$50+1),BK6&lt;=$F$18),-($G$50+BK167),0)</f>
        <v/>
      </c>
      <c r="BL168" s="24">
        <f>IF(AND(BL6&gt;=EOMONTH($D$17,$F$50+1),BL6&lt;=$F$18),-($G$50+BL167),0)</f>
        <v/>
      </c>
      <c r="BM168" s="24">
        <f>IF(AND(BM6&gt;=EOMONTH($D$17,$F$50+1),BM6&lt;=$F$18),-($G$50+BM167),0)</f>
        <v/>
      </c>
      <c r="BN168" s="24">
        <f>IF(AND(BN6&gt;=EOMONTH($D$17,$F$50+1),BN6&lt;=$F$18),-($G$50+BN167),0)</f>
        <v/>
      </c>
      <c r="BO168" s="24">
        <f>IF(AND(BO6&gt;=EOMONTH($D$17,$F$50+1),BO6&lt;=$F$18),-($G$50+BO167),0)</f>
        <v/>
      </c>
      <c r="BP168" s="24">
        <f>IF(AND(BP6&gt;=EOMONTH($D$17,$F$50+1),BP6&lt;=$F$18),-($G$50+BP167),0)</f>
        <v/>
      </c>
      <c r="BQ168" s="24">
        <f>IF(AND(BQ6&gt;=EOMONTH($D$17,$F$50+1),BQ6&lt;=$F$18),-($G$50+BQ167),0)</f>
        <v/>
      </c>
      <c r="BR168" s="24">
        <f>IF(AND(BR6&gt;=EOMONTH($D$17,$F$50+1),BR6&lt;=$F$18),-($G$50+BR167),0)</f>
        <v/>
      </c>
      <c r="BS168" s="24">
        <f>IF(AND(BS6&gt;=EOMONTH($D$17,$F$50+1),BS6&lt;=$F$18),-($G$50+BS167),0)</f>
        <v/>
      </c>
      <c r="BT168" s="24">
        <f>IF(AND(BT6&gt;=EOMONTH($D$17,$F$50+1),BT6&lt;=$F$18),-($G$50+BT167),0)</f>
        <v/>
      </c>
      <c r="BU168" s="24">
        <f>IF(AND(BU6&gt;=EOMONTH($D$17,$F$50+1),BU6&lt;=$F$18),-($G$50+BU167),0)</f>
        <v/>
      </c>
      <c r="BV168" s="24">
        <f>IF(AND(BV6&gt;=EOMONTH($D$17,$F$50+1),BV6&lt;=$F$18),-($G$50+BV167),0)</f>
        <v/>
      </c>
      <c r="BW168" s="24">
        <f>IF(AND(BW6&gt;=EOMONTH($D$17,$F$50+1),BW6&lt;=$F$18),-($G$50+BW167),0)</f>
        <v/>
      </c>
      <c r="BX168" s="24">
        <f>IF(AND(BX6&gt;=EOMONTH($D$17,$F$50+1),BX6&lt;=$F$18),-($G$50+BX167),0)</f>
        <v/>
      </c>
      <c r="BY168" s="24">
        <f>IF(AND(BY6&gt;=EOMONTH($D$17,$F$50+1),BY6&lt;=$F$18),-($G$50+BY167),0)</f>
        <v/>
      </c>
      <c r="BZ168" s="24">
        <f>IF(AND(BZ6&gt;=EOMONTH($D$17,$F$50+1),BZ6&lt;=$F$18),-($G$50+BZ167),0)</f>
        <v/>
      </c>
      <c r="CA168" s="24">
        <f>IF(AND(CA6&gt;=EOMONTH($D$17,$F$50+1),CA6&lt;=$F$18),-($G$50+CA167),0)</f>
        <v/>
      </c>
      <c r="CB168" s="24">
        <f>IF(AND(CB6&gt;=EOMONTH($D$17,$F$50+1),CB6&lt;=$F$18),-($G$50+CB167),0)</f>
        <v/>
      </c>
      <c r="CC168" s="24">
        <f>IF(AND(CC6&gt;=EOMONTH($D$17,$F$50+1),CC6&lt;=$F$18),-($G$50+CC167),0)</f>
        <v/>
      </c>
      <c r="CD168" s="24">
        <f>IF(AND(CD6&gt;=EOMONTH($D$17,$F$50+1),CD6&lt;=$F$18),-($G$50+CD167),0)</f>
        <v/>
      </c>
      <c r="CE168" s="24">
        <f>IF(AND(CE6&gt;=EOMONTH($D$17,$F$50+1),CE6&lt;=$F$18),-($G$50+CE167),0)</f>
        <v/>
      </c>
      <c r="CF168" s="24">
        <f>IF(AND(CF6&gt;=EOMONTH($D$17,$F$50+1),CF6&lt;=$F$18),-($G$50+CF167),0)</f>
        <v/>
      </c>
      <c r="CG168" s="24">
        <f>IF(AND(CG6&gt;=EOMONTH($D$17,$F$50+1),CG6&lt;=$F$18),-($G$50+CG167),0)</f>
        <v/>
      </c>
      <c r="CH168" s="24">
        <f>IF(AND(CH6&gt;=EOMONTH($D$17,$F$50+1),CH6&lt;=$F$18),-($G$50+CH167),0)</f>
        <v/>
      </c>
      <c r="CI168" s="24">
        <f>IF(AND(CI6&gt;=EOMONTH($D$17,$F$50+1),CI6&lt;=$F$18),-($G$50+CI167),0)</f>
        <v/>
      </c>
      <c r="CJ168" s="24">
        <f>IF(AND(CJ6&gt;=EOMONTH($D$17,$F$50+1),CJ6&lt;=$F$18),-($G$50+CJ167),0)</f>
        <v/>
      </c>
      <c r="CK168" s="24">
        <f>IF(AND(CK6&gt;=EOMONTH($D$17,$F$50+1),CK6&lt;=$F$18),-($G$50+CK167),0)</f>
        <v/>
      </c>
      <c r="CL168" s="24">
        <f>IF(AND(CL6&gt;=EOMONTH($D$17,$F$50+1),CL6&lt;=$F$18),-($G$50+CL167),0)</f>
        <v/>
      </c>
      <c r="CM168" s="24">
        <f>IF(AND(CM6&gt;=EOMONTH($D$17,$F$50+1),CM6&lt;=$F$18),-($G$50+CM167),0)</f>
        <v/>
      </c>
      <c r="CN168" s="24">
        <f>IF(AND(CN6&gt;=EOMONTH($D$17,$F$50+1),CN6&lt;=$F$18),-($G$50+CN167),0)</f>
        <v/>
      </c>
      <c r="CO168" s="24">
        <f>IF(AND(CO6&gt;=EOMONTH($D$17,$F$50+1),CO6&lt;=$F$18),-($G$50+CO167),0)</f>
        <v/>
      </c>
      <c r="CP168" s="24">
        <f>IF(AND(CP6&gt;=EOMONTH($D$17,$F$50+1),CP6&lt;=$F$18),-($G$50+CP167),0)</f>
        <v/>
      </c>
      <c r="CQ168" s="24">
        <f>IF(AND(CQ6&gt;=EOMONTH($D$17,$F$50+1),CQ6&lt;=$F$18),-($G$50+CQ167),0)</f>
        <v/>
      </c>
      <c r="CR168" s="24">
        <f>IF(AND(CR6&gt;=EOMONTH($D$17,$F$50+1),CR6&lt;=$F$18),-($G$50+CR167),0)</f>
        <v/>
      </c>
      <c r="CS168" s="24">
        <f>IF(AND(CS6&gt;=EOMONTH($D$17,$F$50+1),CS6&lt;=$F$18),-($G$50+CS167),0)</f>
        <v/>
      </c>
      <c r="CT168" s="24">
        <f>IF(AND(CT6&gt;=EOMONTH($D$17,$F$50+1),CT6&lt;=$F$18),-($G$50+CT167),0)</f>
        <v/>
      </c>
      <c r="CU168" s="24">
        <f>IF(AND(CU6&gt;=EOMONTH($D$17,$F$50+1),CU6&lt;=$F$18),-($G$50+CU167),0)</f>
        <v/>
      </c>
      <c r="CV168" s="24">
        <f>IF(AND(CV6&gt;=EOMONTH($D$17,$F$50+1),CV6&lt;=$F$18),-($G$50+CV167),0)</f>
        <v/>
      </c>
      <c r="CW168" s="24">
        <f>IF(AND(CW6&gt;=EOMONTH($D$17,$F$50+1),CW6&lt;=$F$18),-($G$50+CW167),0)</f>
        <v/>
      </c>
      <c r="CX168" s="24">
        <f>IF(AND(CX6&gt;=EOMONTH($D$17,$F$50+1),CX6&lt;=$F$18),-($G$50+CX167),0)</f>
        <v/>
      </c>
      <c r="CY168" s="24">
        <f>IF(AND(CY6&gt;=EOMONTH($D$17,$F$50+1),CY6&lt;=$F$18),-($G$50+CY167),0)</f>
        <v/>
      </c>
      <c r="CZ168" s="24">
        <f>IF(AND(CZ6&gt;=EOMONTH($D$17,$F$50+1),CZ6&lt;=$F$18),-($G$50+CZ167),0)</f>
        <v/>
      </c>
      <c r="DA168" s="24">
        <f>IF(AND(DA6&gt;=EOMONTH($D$17,$F$50+1),DA6&lt;=$F$18),-($G$50+DA167),0)</f>
        <v/>
      </c>
      <c r="DB168" s="24">
        <f>IF(AND(DB6&gt;=EOMONTH($D$17,$F$50+1),DB6&lt;=$F$18),-($G$50+DB167),0)</f>
        <v/>
      </c>
      <c r="DC168" s="24">
        <f>IF(AND(DC6&gt;=EOMONTH($D$17,$F$50+1),DC6&lt;=$F$18),-($G$50+DC167),0)</f>
        <v/>
      </c>
      <c r="DD168" s="24">
        <f>IF(AND(DD6&gt;=EOMONTH($D$17,$F$50+1),DD6&lt;=$F$18),-($G$50+DD167),0)</f>
        <v/>
      </c>
      <c r="DE168" s="24">
        <f>IF(AND(DE6&gt;=EOMONTH($D$17,$F$50+1),DE6&lt;=$F$18),-($G$50+DE167),0)</f>
        <v/>
      </c>
      <c r="DF168" s="24">
        <f>IF(AND(DF6&gt;=EOMONTH($D$17,$F$50+1),DF6&lt;=$F$18),-($G$50+DF167),0)</f>
        <v/>
      </c>
      <c r="DG168" s="24">
        <f>IF(AND(DG6&gt;=EOMONTH($D$17,$F$50+1),DG6&lt;=$F$18),-($G$50+DG167),0)</f>
        <v/>
      </c>
      <c r="DH168" s="24">
        <f>IF(AND(DH6&gt;=EOMONTH($D$17,$F$50+1),DH6&lt;=$F$18),-($G$50+DH167),0)</f>
        <v/>
      </c>
      <c r="DI168" s="24">
        <f>IF(AND(DI6&gt;=EOMONTH($D$17,$F$50+1),DI6&lt;=$F$18),-($G$50+DI167),0)</f>
        <v/>
      </c>
      <c r="DJ168" s="24">
        <f>IF(AND(DJ6&gt;=EOMONTH($D$17,$F$50+1),DJ6&lt;=$F$18),-($G$50+DJ167),0)</f>
        <v/>
      </c>
      <c r="DK168" s="24">
        <f>IF(AND(DK6&gt;=EOMONTH($D$17,$F$50+1),DK6&lt;=$F$18),-($G$50+DK167),0)</f>
        <v/>
      </c>
      <c r="DL168" s="24">
        <f>IF(AND(DL6&gt;=EOMONTH($D$17,$F$50+1),DL6&lt;=$F$18),-($G$50+DL167),0)</f>
        <v/>
      </c>
      <c r="DM168" s="24">
        <f>IF(AND(DM6&gt;=EOMONTH($D$17,$F$50+1),DM6&lt;=$F$18),-($G$50+DM167),0)</f>
        <v/>
      </c>
      <c r="DN168" s="24">
        <f>IF(AND(DN6&gt;=EOMONTH($D$17,$F$50+1),DN6&lt;=$F$18),-($G$50+DN167),0)</f>
        <v/>
      </c>
      <c r="DO168" s="24">
        <f>IF(AND(DO6&gt;=EOMONTH($D$17,$F$50+1),DO6&lt;=$F$18),-($G$50+DO167),0)</f>
        <v/>
      </c>
      <c r="DP168" s="24">
        <f>IF(AND(DP6&gt;=EOMONTH($D$17,$F$50+1),DP6&lt;=$F$18),-($G$50+DP167),0)</f>
        <v/>
      </c>
      <c r="DQ168" s="24">
        <f>IF(AND(DQ6&gt;=EOMONTH($D$17,$F$50+1),DQ6&lt;=$F$18),-($G$50+DQ167),0)</f>
        <v/>
      </c>
      <c r="DR168" s="24">
        <f>IF(AND(DR6&gt;=EOMONTH($D$17,$F$50+1),DR6&lt;=$F$18),-($G$50+DR167),0)</f>
        <v/>
      </c>
      <c r="DS168" s="24">
        <f>IF(AND(DS6&gt;=EOMONTH($D$17,$F$50+1),DS6&lt;=$F$18),-($G$50+DS167),0)</f>
        <v/>
      </c>
      <c r="DT168" s="24">
        <f>IF(AND(DT6&gt;=EOMONTH($D$17,$F$50+1),DT6&lt;=$F$18),-($G$50+DT167),0)</f>
        <v/>
      </c>
      <c r="DU168" s="24">
        <f>IF(AND(DU6&gt;=EOMONTH($D$17,$F$50+1),DU6&lt;=$F$18),-($G$50+DU167),0)</f>
        <v/>
      </c>
      <c r="DV168" s="24">
        <f>IF(AND(DV6&gt;=EOMONTH($D$17,$F$50+1),DV6&lt;=$F$18),-($G$50+DV167),0)</f>
        <v/>
      </c>
      <c r="DW168" s="24">
        <f>IF(AND(DW6&gt;=EOMONTH($D$17,$F$50+1),DW6&lt;=$F$18),-($G$50+DW167),0)</f>
        <v/>
      </c>
      <c r="DX168" s="24">
        <f>IF(AND(DX6&gt;=EOMONTH($D$17,$F$50+1),DX6&lt;=$F$18),-($G$50+DX167),0)</f>
        <v/>
      </c>
      <c r="DY168" s="24">
        <f>IF(AND(DY6&gt;=EOMONTH($D$17,$F$50+1),DY6&lt;=$F$18),-($G$50+DY167),0)</f>
        <v/>
      </c>
      <c r="DZ168" s="24">
        <f>IF(AND(DZ6&gt;=EOMONTH($D$17,$F$50+1),DZ6&lt;=$F$18),-($G$50+DZ167),0)</f>
        <v/>
      </c>
      <c r="EA168" s="24">
        <f>IF(AND(EA6&gt;=EOMONTH($D$17,$F$50+1),EA6&lt;=$F$18),-($G$50+EA167),0)</f>
        <v/>
      </c>
      <c r="EB168" s="24">
        <f>IF(AND(EB6&gt;=EOMONTH($D$17,$F$50+1),EB6&lt;=$F$18),-($G$50+EB167),0)</f>
        <v/>
      </c>
      <c r="EC168" s="24">
        <f>IF(AND(EC6&gt;=EOMONTH($D$17,$F$50+1),EC6&lt;=$F$18),-($G$50+EC167),0)</f>
        <v/>
      </c>
      <c r="ED168" s="24">
        <f>IF(AND(ED6&gt;=EOMONTH($D$17,$F$50+1),ED6&lt;=$F$18),-($G$50+ED167),0)</f>
        <v/>
      </c>
      <c r="EE168" s="24">
        <f>IF(AND(EE6&gt;=EOMONTH($D$17,$F$50+1),EE6&lt;=$F$18),-($G$50+EE167),0)</f>
        <v/>
      </c>
      <c r="EF168" s="24">
        <f>IF(AND(EF6&gt;=EOMONTH($D$17,$F$50+1),EF6&lt;=$F$18),-($G$50+EF167),0)</f>
        <v/>
      </c>
      <c r="EG168" s="24">
        <f>IF(AND(EG6&gt;=EOMONTH($D$17,$F$50+1),EG6&lt;=$F$18),-($G$50+EG167),0)</f>
        <v/>
      </c>
      <c r="EH168" s="24">
        <f>IF(AND(EH6&gt;=EOMONTH($D$17,$F$50+1),EH6&lt;=$F$18),-($G$50+EH167),0)</f>
        <v/>
      </c>
      <c r="EI168" s="24">
        <f>IF(AND(EI6&gt;=EOMONTH($D$17,$F$50+1),EI6&lt;=$F$18),-($G$50+EI167),0)</f>
        <v/>
      </c>
      <c r="EJ168" s="24">
        <f>IF(AND(EJ6&gt;=EOMONTH($D$17,$F$50+1),EJ6&lt;=$F$18),-($G$50+EJ167),0)</f>
        <v/>
      </c>
      <c r="EK168" s="24">
        <f>IF(AND(EK6&gt;=EOMONTH($D$17,$F$50+1),EK6&lt;=$F$18),-($G$50+EK167),0)</f>
        <v/>
      </c>
      <c r="EL168" s="24">
        <f>IF(AND(EL6&gt;=EOMONTH($D$17,$F$50+1),EL6&lt;=$F$18),-($G$50+EL167),0)</f>
        <v/>
      </c>
      <c r="EM168" s="24">
        <f>IF(AND(EM6&gt;=EOMONTH($D$17,$F$50+1),EM6&lt;=$F$18),-($G$50+EM167),0)</f>
        <v/>
      </c>
      <c r="EN168" s="24">
        <f>IF(AND(EN6&gt;=EOMONTH($D$17,$F$50+1),EN6&lt;=$F$18),-($G$50+EN167),0)</f>
        <v/>
      </c>
      <c r="EO168" s="24">
        <f>IF(AND(EO6&gt;=EOMONTH($D$17,$F$50+1),EO6&lt;=$F$18),-($G$50+EO167),0)</f>
        <v/>
      </c>
      <c r="EP168" s="24">
        <f>IF(AND(EP6&gt;=EOMONTH($D$17,$F$50+1),EP6&lt;=$F$18),-($G$50+EP167),0)</f>
        <v/>
      </c>
      <c r="EQ168" s="24">
        <f>IF(AND(EQ6&gt;=EOMONTH($D$17,$F$50+1),EQ6&lt;=$F$18),-($G$50+EQ167),0)</f>
        <v/>
      </c>
      <c r="ER168" s="24">
        <f>IF(AND(ER6&gt;=EOMONTH($D$17,$F$50+1),ER6&lt;=$F$18),-($G$50+ER167),0)</f>
        <v/>
      </c>
      <c r="ES168" s="24">
        <f>IF(AND(ES6&gt;=EOMONTH($D$17,$F$50+1),ES6&lt;=$F$18),-($G$50+ES167),0)</f>
        <v/>
      </c>
      <c r="ET168" s="24">
        <f>IF(AND(ET6&gt;=EOMONTH($D$17,$F$50+1),ET6&lt;=$F$18),-($G$50+ET167),0)</f>
        <v/>
      </c>
      <c r="EU168" s="24">
        <f>IF(AND(EU6&gt;=EOMONTH($D$17,$F$50+1),EU6&lt;=$F$18),-($G$50+EU167),0)</f>
        <v/>
      </c>
      <c r="EV168" s="24">
        <f>IF(AND(EV6&gt;=EOMONTH($D$17,$F$50+1),EV6&lt;=$F$18),-($G$50+EV167),0)</f>
        <v/>
      </c>
      <c r="EW168" s="24">
        <f>IF(AND(EW6&gt;=EOMONTH($D$17,$F$50+1),EW6&lt;=$F$18),-($G$50+EW167),0)</f>
        <v/>
      </c>
      <c r="EX168" s="24">
        <f>IF(AND(EX6&gt;=EOMONTH($D$17,$F$50+1),EX6&lt;=$F$18),-($G$50+EX167),0)</f>
        <v/>
      </c>
      <c r="EY168" s="24">
        <f>IF(AND(EY6&gt;=EOMONTH($D$17,$F$50+1),EY6&lt;=$F$18),-($G$50+EY167),0)</f>
        <v/>
      </c>
      <c r="EZ168" s="24">
        <f>IF(AND(EZ6&gt;=EOMONTH($D$17,$F$50+1),EZ6&lt;=$F$18),-($G$50+EZ167),0)</f>
        <v/>
      </c>
      <c r="FA168" s="24">
        <f>IF(AND(FA6&gt;=EOMONTH($D$17,$F$50+1),FA6&lt;=$F$18),-($G$50+FA167),0)</f>
        <v/>
      </c>
      <c r="FB168" s="24">
        <f>IF(AND(FB6&gt;=EOMONTH($D$17,$F$50+1),FB6&lt;=$F$18),-($G$50+FB167),0)</f>
        <v/>
      </c>
    </row>
    <row r="169">
      <c r="I169" s="9" t="inlineStr">
        <is>
          <t>Loan Payoff</t>
        </is>
      </c>
      <c r="L169" s="24">
        <f>SUMIF($Z$4:$FB$4,"&lt;="&amp;$G$18,$Z169:$FB169)</f>
        <v/>
      </c>
      <c r="M169" s="55" t="n"/>
      <c r="N169" s="24">
        <f>SUMIF($Z$3:$FB$3,N$7,$Z169:$FB169)</f>
        <v/>
      </c>
      <c r="O169" s="24">
        <f>SUMIF($Z$3:$FB$3,O$7,$Z169:$FB169)</f>
        <v/>
      </c>
      <c r="P169" s="24">
        <f>SUMIF($Z$3:$FB$3,P$7,$Z169:$FB169)</f>
        <v/>
      </c>
      <c r="Q169" s="24">
        <f>SUMIF($Z$3:$FB$3,Q$7,$Z169:$FB169)</f>
        <v/>
      </c>
      <c r="R169" s="24">
        <f>SUMIF($Z$3:$FB$3,R$7,$Z169:$FB169)</f>
        <v/>
      </c>
      <c r="S169" s="24">
        <f>SUMIF($Z$3:$FB$3,S$7,$Z169:$FB169)</f>
        <v/>
      </c>
      <c r="T169" s="24">
        <f>SUMIF($Z$3:$FB$3,T$7,$Z169:$FB169)</f>
        <v/>
      </c>
      <c r="U169" s="24">
        <f>SUMIF($Z$3:$FB$3,U$7,$Z169:$FB169)</f>
        <v/>
      </c>
      <c r="V169" s="24">
        <f>SUMIF($Z$3:$FB$3,V$7,$Z169:$FB169)</f>
        <v/>
      </c>
      <c r="W169" s="24">
        <f>SUMIF($Z$3:$FB$3,W$7,$Z169:$FB169)</f>
        <v/>
      </c>
      <c r="X169" s="24">
        <f>SUMIF($Z$3:$FB$3,X$7,$Z169:$FB169)</f>
        <v/>
      </c>
      <c r="Y169" s="55" t="n"/>
      <c r="Z169" s="24">
        <f>IF(Z6=$F$18,-SUM(Z164:Z168),0)</f>
        <v/>
      </c>
      <c r="AA169" s="24">
        <f>IF(AA6=$F$18,-SUM(AA164:AA168),0)</f>
        <v/>
      </c>
      <c r="AB169" s="24">
        <f>IF(AB6=$F$18,-SUM(AB164:AB168),0)</f>
        <v/>
      </c>
      <c r="AC169" s="24">
        <f>IF(AC6=$F$18,-SUM(AC164:AC168),0)</f>
        <v/>
      </c>
      <c r="AD169" s="24">
        <f>IF(AD6=$F$18,-SUM(AD164:AD168),0)</f>
        <v/>
      </c>
      <c r="AE169" s="24">
        <f>IF(AE6=$F$18,-SUM(AE164:AE168),0)</f>
        <v/>
      </c>
      <c r="AF169" s="24">
        <f>IF(AF6=$F$18,-SUM(AF164:AF168),0)</f>
        <v/>
      </c>
      <c r="AG169" s="24">
        <f>IF(AG6=$F$18,-SUM(AG164:AG168),0)</f>
        <v/>
      </c>
      <c r="AH169" s="24">
        <f>IF(AH6=$F$18,-SUM(AH164:AH168),0)</f>
        <v/>
      </c>
      <c r="AI169" s="24">
        <f>IF(AI6=$F$18,-SUM(AI164:AI168),0)</f>
        <v/>
      </c>
      <c r="AJ169" s="24">
        <f>IF(AJ6=$F$18,-SUM(AJ164:AJ168),0)</f>
        <v/>
      </c>
      <c r="AK169" s="24">
        <f>IF(AK6=$F$18,-SUM(AK164:AK168),0)</f>
        <v/>
      </c>
      <c r="AL169" s="24">
        <f>IF(AL6=$F$18,-SUM(AL164:AL168),0)</f>
        <v/>
      </c>
      <c r="AM169" s="24">
        <f>IF(AM6=$F$18,-SUM(AM164:AM168),0)</f>
        <v/>
      </c>
      <c r="AN169" s="24">
        <f>IF(AN6=$F$18,-SUM(AN164:AN168),0)</f>
        <v/>
      </c>
      <c r="AO169" s="24">
        <f>IF(AO6=$F$18,-SUM(AO164:AO168),0)</f>
        <v/>
      </c>
      <c r="AP169" s="24">
        <f>IF(AP6=$F$18,-SUM(AP164:AP168),0)</f>
        <v/>
      </c>
      <c r="AQ169" s="24">
        <f>IF(AQ6=$F$18,-SUM(AQ164:AQ168),0)</f>
        <v/>
      </c>
      <c r="AR169" s="24">
        <f>IF(AR6=$F$18,-SUM(AR164:AR168),0)</f>
        <v/>
      </c>
      <c r="AS169" s="24">
        <f>IF(AS6=$F$18,-SUM(AS164:AS168),0)</f>
        <v/>
      </c>
      <c r="AT169" s="24">
        <f>IF(AT6=$F$18,-SUM(AT164:AT168),0)</f>
        <v/>
      </c>
      <c r="AU169" s="24">
        <f>IF(AU6=$F$18,-SUM(AU164:AU168),0)</f>
        <v/>
      </c>
      <c r="AV169" s="24">
        <f>IF(AV6=$F$18,-SUM(AV164:AV168),0)</f>
        <v/>
      </c>
      <c r="AW169" s="24">
        <f>IF(AW6=$F$18,-SUM(AW164:AW168),0)</f>
        <v/>
      </c>
      <c r="AX169" s="24">
        <f>IF(AX6=$F$18,-SUM(AX164:AX168),0)</f>
        <v/>
      </c>
      <c r="AY169" s="24">
        <f>IF(AY6=$F$18,-SUM(AY164:AY168),0)</f>
        <v/>
      </c>
      <c r="AZ169" s="24">
        <f>IF(AZ6=$F$18,-SUM(AZ164:AZ168),0)</f>
        <v/>
      </c>
      <c r="BA169" s="24">
        <f>IF(BA6=$F$18,-SUM(BA164:BA168),0)</f>
        <v/>
      </c>
      <c r="BB169" s="24">
        <f>IF(BB6=$F$18,-SUM(BB164:BB168),0)</f>
        <v/>
      </c>
      <c r="BC169" s="24">
        <f>IF(BC6=$F$18,-SUM(BC164:BC168),0)</f>
        <v/>
      </c>
      <c r="BD169" s="24">
        <f>IF(BD6=$F$18,-SUM(BD164:BD168),0)</f>
        <v/>
      </c>
      <c r="BE169" s="24">
        <f>IF(BE6=$F$18,-SUM(BE164:BE168),0)</f>
        <v/>
      </c>
      <c r="BF169" s="24">
        <f>IF(BF6=$F$18,-SUM(BF164:BF168),0)</f>
        <v/>
      </c>
      <c r="BG169" s="24">
        <f>IF(BG6=$F$18,-SUM(BG164:BG168),0)</f>
        <v/>
      </c>
      <c r="BH169" s="24">
        <f>IF(BH6=$F$18,-SUM(BH164:BH168),0)</f>
        <v/>
      </c>
      <c r="BI169" s="24">
        <f>IF(BI6=$F$18,-SUM(BI164:BI168),0)</f>
        <v/>
      </c>
      <c r="BJ169" s="24">
        <f>IF(BJ6=$F$18,-SUM(BJ164:BJ168),0)</f>
        <v/>
      </c>
      <c r="BK169" s="24">
        <f>IF(BK6=$F$18,-SUM(BK164:BK168),0)</f>
        <v/>
      </c>
      <c r="BL169" s="24">
        <f>IF(BL6=$F$18,-SUM(BL164:BL168),0)</f>
        <v/>
      </c>
      <c r="BM169" s="24">
        <f>IF(BM6=$F$18,-SUM(BM164:BM168),0)</f>
        <v/>
      </c>
      <c r="BN169" s="24">
        <f>IF(BN6=$F$18,-SUM(BN164:BN168),0)</f>
        <v/>
      </c>
      <c r="BO169" s="24">
        <f>IF(BO6=$F$18,-SUM(BO164:BO168),0)</f>
        <v/>
      </c>
      <c r="BP169" s="24">
        <f>IF(BP6=$F$18,-SUM(BP164:BP168),0)</f>
        <v/>
      </c>
      <c r="BQ169" s="24">
        <f>IF(BQ6=$F$18,-SUM(BQ164:BQ168),0)</f>
        <v/>
      </c>
      <c r="BR169" s="24">
        <f>IF(BR6=$F$18,-SUM(BR164:BR168),0)</f>
        <v/>
      </c>
      <c r="BS169" s="24">
        <f>IF(BS6=$F$18,-SUM(BS164:BS168),0)</f>
        <v/>
      </c>
      <c r="BT169" s="24">
        <f>IF(BT6=$F$18,-SUM(BT164:BT168),0)</f>
        <v/>
      </c>
      <c r="BU169" s="24">
        <f>IF(BU6=$F$18,-SUM(BU164:BU168),0)</f>
        <v/>
      </c>
      <c r="BV169" s="24">
        <f>IF(BV6=$F$18,-SUM(BV164:BV168),0)</f>
        <v/>
      </c>
      <c r="BW169" s="24">
        <f>IF(BW6=$F$18,-SUM(BW164:BW168),0)</f>
        <v/>
      </c>
      <c r="BX169" s="24">
        <f>IF(BX6=$F$18,-SUM(BX164:BX168),0)</f>
        <v/>
      </c>
      <c r="BY169" s="24">
        <f>IF(BY6=$F$18,-SUM(BY164:BY168),0)</f>
        <v/>
      </c>
      <c r="BZ169" s="24">
        <f>IF(BZ6=$F$18,-SUM(BZ164:BZ168),0)</f>
        <v/>
      </c>
      <c r="CA169" s="24">
        <f>IF(CA6=$F$18,-SUM(CA164:CA168),0)</f>
        <v/>
      </c>
      <c r="CB169" s="24">
        <f>IF(CB6=$F$18,-SUM(CB164:CB168),0)</f>
        <v/>
      </c>
      <c r="CC169" s="24">
        <f>IF(CC6=$F$18,-SUM(CC164:CC168),0)</f>
        <v/>
      </c>
      <c r="CD169" s="24">
        <f>IF(CD6=$F$18,-SUM(CD164:CD168),0)</f>
        <v/>
      </c>
      <c r="CE169" s="24">
        <f>IF(CE6=$F$18,-SUM(CE164:CE168),0)</f>
        <v/>
      </c>
      <c r="CF169" s="24">
        <f>IF(CF6=$F$18,-SUM(CF164:CF168),0)</f>
        <v/>
      </c>
      <c r="CG169" s="24">
        <f>IF(CG6=$F$18,-SUM(CG164:CG168),0)</f>
        <v/>
      </c>
      <c r="CH169" s="24">
        <f>IF(CH6=$F$18,-SUM(CH164:CH168),0)</f>
        <v/>
      </c>
      <c r="CI169" s="24">
        <f>IF(CI6=$F$18,-SUM(CI164:CI168),0)</f>
        <v/>
      </c>
      <c r="CJ169" s="24">
        <f>IF(CJ6=$F$18,-SUM(CJ164:CJ168),0)</f>
        <v/>
      </c>
      <c r="CK169" s="24">
        <f>IF(CK6=$F$18,-SUM(CK164:CK168),0)</f>
        <v/>
      </c>
      <c r="CL169" s="24">
        <f>IF(CL6=$F$18,-SUM(CL164:CL168),0)</f>
        <v/>
      </c>
      <c r="CM169" s="24">
        <f>IF(CM6=$F$18,-SUM(CM164:CM168),0)</f>
        <v/>
      </c>
      <c r="CN169" s="24">
        <f>IF(CN6=$F$18,-SUM(CN164:CN168),0)</f>
        <v/>
      </c>
      <c r="CO169" s="24">
        <f>IF(CO6=$F$18,-SUM(CO164:CO168),0)</f>
        <v/>
      </c>
      <c r="CP169" s="24">
        <f>IF(CP6=$F$18,-SUM(CP164:CP168),0)</f>
        <v/>
      </c>
      <c r="CQ169" s="24">
        <f>IF(CQ6=$F$18,-SUM(CQ164:CQ168),0)</f>
        <v/>
      </c>
      <c r="CR169" s="24">
        <f>IF(CR6=$F$18,-SUM(CR164:CR168),0)</f>
        <v/>
      </c>
      <c r="CS169" s="24">
        <f>IF(CS6=$F$18,-SUM(CS164:CS168),0)</f>
        <v/>
      </c>
      <c r="CT169" s="24">
        <f>IF(CT6=$F$18,-SUM(CT164:CT168),0)</f>
        <v/>
      </c>
      <c r="CU169" s="24">
        <f>IF(CU6=$F$18,-SUM(CU164:CU168),0)</f>
        <v/>
      </c>
      <c r="CV169" s="24">
        <f>IF(CV6=$F$18,-SUM(CV164:CV168),0)</f>
        <v/>
      </c>
      <c r="CW169" s="24">
        <f>IF(CW6=$F$18,-SUM(CW164:CW168),0)</f>
        <v/>
      </c>
      <c r="CX169" s="24">
        <f>IF(CX6=$F$18,-SUM(CX164:CX168),0)</f>
        <v/>
      </c>
      <c r="CY169" s="24">
        <f>IF(CY6=$F$18,-SUM(CY164:CY168),0)</f>
        <v/>
      </c>
      <c r="CZ169" s="24">
        <f>IF(CZ6=$F$18,-SUM(CZ164:CZ168),0)</f>
        <v/>
      </c>
      <c r="DA169" s="24">
        <f>IF(DA6=$F$18,-SUM(DA164:DA168),0)</f>
        <v/>
      </c>
      <c r="DB169" s="24">
        <f>IF(DB6=$F$18,-SUM(DB164:DB168),0)</f>
        <v/>
      </c>
      <c r="DC169" s="24">
        <f>IF(DC6=$F$18,-SUM(DC164:DC168),0)</f>
        <v/>
      </c>
      <c r="DD169" s="24">
        <f>IF(DD6=$F$18,-SUM(DD164:DD168),0)</f>
        <v/>
      </c>
      <c r="DE169" s="24">
        <f>IF(DE6=$F$18,-SUM(DE164:DE168),0)</f>
        <v/>
      </c>
      <c r="DF169" s="24">
        <f>IF(DF6=$F$18,-SUM(DF164:DF168),0)</f>
        <v/>
      </c>
      <c r="DG169" s="24">
        <f>IF(DG6=$F$18,-SUM(DG164:DG168),0)</f>
        <v/>
      </c>
      <c r="DH169" s="24">
        <f>IF(DH6=$F$18,-SUM(DH164:DH168),0)</f>
        <v/>
      </c>
      <c r="DI169" s="24">
        <f>IF(DI6=$F$18,-SUM(DI164:DI168),0)</f>
        <v/>
      </c>
      <c r="DJ169" s="24">
        <f>IF(DJ6=$F$18,-SUM(DJ164:DJ168),0)</f>
        <v/>
      </c>
      <c r="DK169" s="24">
        <f>IF(DK6=$F$18,-SUM(DK164:DK168),0)</f>
        <v/>
      </c>
      <c r="DL169" s="24">
        <f>IF(DL6=$F$18,-SUM(DL164:DL168),0)</f>
        <v/>
      </c>
      <c r="DM169" s="24">
        <f>IF(DM6=$F$18,-SUM(DM164:DM168),0)</f>
        <v/>
      </c>
      <c r="DN169" s="24">
        <f>IF(DN6=$F$18,-SUM(DN164:DN168),0)</f>
        <v/>
      </c>
      <c r="DO169" s="24">
        <f>IF(DO6=$F$18,-SUM(DO164:DO168),0)</f>
        <v/>
      </c>
      <c r="DP169" s="24">
        <f>IF(DP6=$F$18,-SUM(DP164:DP168),0)</f>
        <v/>
      </c>
      <c r="DQ169" s="24">
        <f>IF(DQ6=$F$18,-SUM(DQ164:DQ168),0)</f>
        <v/>
      </c>
      <c r="DR169" s="24">
        <f>IF(DR6=$F$18,-SUM(DR164:DR168),0)</f>
        <v/>
      </c>
      <c r="DS169" s="24">
        <f>IF(DS6=$F$18,-SUM(DS164:DS168),0)</f>
        <v/>
      </c>
      <c r="DT169" s="24">
        <f>IF(DT6=$F$18,-SUM(DT164:DT168),0)</f>
        <v/>
      </c>
      <c r="DU169" s="24">
        <f>IF(DU6=$F$18,-SUM(DU164:DU168),0)</f>
        <v/>
      </c>
      <c r="DV169" s="24">
        <f>IF(DV6=$F$18,-SUM(DV164:DV168),0)</f>
        <v/>
      </c>
      <c r="DW169" s="24">
        <f>IF(DW6=$F$18,-SUM(DW164:DW168),0)</f>
        <v/>
      </c>
      <c r="DX169" s="24">
        <f>IF(DX6=$F$18,-SUM(DX164:DX168),0)</f>
        <v/>
      </c>
      <c r="DY169" s="24">
        <f>IF(DY6=$F$18,-SUM(DY164:DY168),0)</f>
        <v/>
      </c>
      <c r="DZ169" s="24">
        <f>IF(DZ6=$F$18,-SUM(DZ164:DZ168),0)</f>
        <v/>
      </c>
      <c r="EA169" s="24">
        <f>IF(EA6=$F$18,-SUM(EA164:EA168),0)</f>
        <v/>
      </c>
      <c r="EB169" s="24">
        <f>IF(EB6=$F$18,-SUM(EB164:EB168),0)</f>
        <v/>
      </c>
      <c r="EC169" s="24">
        <f>IF(EC6=$F$18,-SUM(EC164:EC168),0)</f>
        <v/>
      </c>
      <c r="ED169" s="24">
        <f>IF(ED6=$F$18,-SUM(ED164:ED168),0)</f>
        <v/>
      </c>
      <c r="EE169" s="24">
        <f>IF(EE6=$F$18,-SUM(EE164:EE168),0)</f>
        <v/>
      </c>
      <c r="EF169" s="24">
        <f>IF(EF6=$F$18,-SUM(EF164:EF168),0)</f>
        <v/>
      </c>
      <c r="EG169" s="24">
        <f>IF(EG6=$F$18,-SUM(EG164:EG168),0)</f>
        <v/>
      </c>
      <c r="EH169" s="24">
        <f>IF(EH6=$F$18,-SUM(EH164:EH168),0)</f>
        <v/>
      </c>
      <c r="EI169" s="24">
        <f>IF(EI6=$F$18,-SUM(EI164:EI168),0)</f>
        <v/>
      </c>
      <c r="EJ169" s="24">
        <f>IF(EJ6=$F$18,-SUM(EJ164:EJ168),0)</f>
        <v/>
      </c>
      <c r="EK169" s="24">
        <f>IF(EK6=$F$18,-SUM(EK164:EK168),0)</f>
        <v/>
      </c>
      <c r="EL169" s="24">
        <f>IF(EL6=$F$18,-SUM(EL164:EL168),0)</f>
        <v/>
      </c>
      <c r="EM169" s="24">
        <f>IF(EM6=$F$18,-SUM(EM164:EM168),0)</f>
        <v/>
      </c>
      <c r="EN169" s="24">
        <f>IF(EN6=$F$18,-SUM(EN164:EN168),0)</f>
        <v/>
      </c>
      <c r="EO169" s="24">
        <f>IF(EO6=$F$18,-SUM(EO164:EO168),0)</f>
        <v/>
      </c>
      <c r="EP169" s="24">
        <f>IF(EP6=$F$18,-SUM(EP164:EP168),0)</f>
        <v/>
      </c>
      <c r="EQ169" s="24">
        <f>IF(EQ6=$F$18,-SUM(EQ164:EQ168),0)</f>
        <v/>
      </c>
      <c r="ER169" s="24">
        <f>IF(ER6=$F$18,-SUM(ER164:ER168),0)</f>
        <v/>
      </c>
      <c r="ES169" s="24">
        <f>IF(ES6=$F$18,-SUM(ES164:ES168),0)</f>
        <v/>
      </c>
      <c r="ET169" s="24">
        <f>IF(ET6=$F$18,-SUM(ET164:ET168),0)</f>
        <v/>
      </c>
      <c r="EU169" s="24">
        <f>IF(EU6=$F$18,-SUM(EU164:EU168),0)</f>
        <v/>
      </c>
      <c r="EV169" s="24">
        <f>IF(EV6=$F$18,-SUM(EV164:EV168),0)</f>
        <v/>
      </c>
      <c r="EW169" s="24">
        <f>IF(EW6=$F$18,-SUM(EW164:EW168),0)</f>
        <v/>
      </c>
      <c r="EX169" s="24">
        <f>IF(EX6=$F$18,-SUM(EX164:EX168),0)</f>
        <v/>
      </c>
      <c r="EY169" s="24">
        <f>IF(EY6=$F$18,-SUM(EY164:EY168),0)</f>
        <v/>
      </c>
      <c r="EZ169" s="24">
        <f>IF(EZ6=$F$18,-SUM(EZ164:EZ168),0)</f>
        <v/>
      </c>
      <c r="FA169" s="24">
        <f>IF(FA6=$F$18,-SUM(FA164:FA168),0)</f>
        <v/>
      </c>
      <c r="FB169" s="24">
        <f>IF(FB6=$F$18,-SUM(FB164:FB168),0)</f>
        <v/>
      </c>
    </row>
    <row r="170" customFormat="1" s="11">
      <c r="A170" s="9" t="n"/>
      <c r="B170" s="9" t="n"/>
      <c r="C170" s="9" t="n"/>
      <c r="D170" s="9" t="n"/>
      <c r="E170" s="9" t="n"/>
      <c r="F170" s="9" t="n"/>
      <c r="G170" s="9" t="n"/>
      <c r="I170" s="57" t="inlineStr">
        <is>
          <t>EOD Balance</t>
        </is>
      </c>
      <c r="J170" s="57" t="n"/>
      <c r="K170" s="58" t="n"/>
      <c r="L170" s="57">
        <f>SUM(L165:L169)</f>
        <v/>
      </c>
      <c r="M170" s="58" t="n"/>
      <c r="N170" s="57">
        <f>SUM(N164:N169)</f>
        <v/>
      </c>
      <c r="O170" s="57">
        <f>SUM(O164:O169)</f>
        <v/>
      </c>
      <c r="P170" s="57">
        <f>SUM(P164:P169)</f>
        <v/>
      </c>
      <c r="Q170" s="57">
        <f>SUM(Q164:Q169)</f>
        <v/>
      </c>
      <c r="R170" s="57">
        <f>SUM(R164:R169)</f>
        <v/>
      </c>
      <c r="S170" s="57">
        <f>SUM(S164:S169)</f>
        <v/>
      </c>
      <c r="T170" s="57">
        <f>SUM(T164:T169)</f>
        <v/>
      </c>
      <c r="U170" s="57">
        <f>SUM(U164:U169)</f>
        <v/>
      </c>
      <c r="V170" s="57">
        <f>SUM(V164:V169)</f>
        <v/>
      </c>
      <c r="W170" s="57">
        <f>SUM(W164:W169)</f>
        <v/>
      </c>
      <c r="X170" s="57">
        <f>SUM(X164:X169)</f>
        <v/>
      </c>
      <c r="Y170" s="58" t="n"/>
      <c r="Z170" s="57">
        <f>SUM(Z164:Z169)</f>
        <v/>
      </c>
      <c r="AA170" s="57">
        <f>SUM(AA164:AA169)</f>
        <v/>
      </c>
      <c r="AB170" s="57">
        <f>SUM(AB164:AB169)</f>
        <v/>
      </c>
      <c r="AC170" s="57">
        <f>SUM(AC164:AC169)</f>
        <v/>
      </c>
      <c r="AD170" s="57">
        <f>SUM(AD164:AD169)</f>
        <v/>
      </c>
      <c r="AE170" s="57">
        <f>SUM(AE164:AE169)</f>
        <v/>
      </c>
      <c r="AF170" s="57">
        <f>SUM(AF164:AF169)</f>
        <v/>
      </c>
      <c r="AG170" s="57">
        <f>SUM(AG164:AG169)</f>
        <v/>
      </c>
      <c r="AH170" s="57">
        <f>SUM(AH164:AH169)</f>
        <v/>
      </c>
      <c r="AI170" s="57">
        <f>SUM(AI164:AI169)</f>
        <v/>
      </c>
      <c r="AJ170" s="57">
        <f>SUM(AJ164:AJ169)</f>
        <v/>
      </c>
      <c r="AK170" s="57">
        <f>SUM(AK164:AK169)</f>
        <v/>
      </c>
      <c r="AL170" s="57">
        <f>SUM(AL164:AL169)</f>
        <v/>
      </c>
      <c r="AM170" s="57">
        <f>SUM(AM164:AM169)</f>
        <v/>
      </c>
      <c r="AN170" s="57">
        <f>SUM(AN164:AN169)</f>
        <v/>
      </c>
      <c r="AO170" s="57">
        <f>SUM(AO164:AO169)</f>
        <v/>
      </c>
      <c r="AP170" s="57">
        <f>SUM(AP164:AP169)</f>
        <v/>
      </c>
      <c r="AQ170" s="57">
        <f>SUM(AQ164:AQ169)</f>
        <v/>
      </c>
      <c r="AR170" s="57">
        <f>SUM(AR164:AR169)</f>
        <v/>
      </c>
      <c r="AS170" s="57">
        <f>SUM(AS164:AS169)</f>
        <v/>
      </c>
      <c r="AT170" s="57">
        <f>SUM(AT164:AT169)</f>
        <v/>
      </c>
      <c r="AU170" s="57">
        <f>SUM(AU164:AU169)</f>
        <v/>
      </c>
      <c r="AV170" s="57">
        <f>SUM(AV164:AV169)</f>
        <v/>
      </c>
      <c r="AW170" s="57">
        <f>SUM(AW164:AW169)</f>
        <v/>
      </c>
      <c r="AX170" s="57">
        <f>SUM(AX164:AX169)</f>
        <v/>
      </c>
      <c r="AY170" s="57">
        <f>SUM(AY164:AY169)</f>
        <v/>
      </c>
      <c r="AZ170" s="57">
        <f>SUM(AZ164:AZ169)</f>
        <v/>
      </c>
      <c r="BA170" s="57">
        <f>SUM(BA164:BA169)</f>
        <v/>
      </c>
      <c r="BB170" s="57">
        <f>SUM(BB164:BB169)</f>
        <v/>
      </c>
      <c r="BC170" s="57">
        <f>SUM(BC164:BC169)</f>
        <v/>
      </c>
      <c r="BD170" s="57">
        <f>SUM(BD164:BD169)</f>
        <v/>
      </c>
      <c r="BE170" s="57">
        <f>SUM(BE164:BE169)</f>
        <v/>
      </c>
      <c r="BF170" s="57">
        <f>SUM(BF164:BF169)</f>
        <v/>
      </c>
      <c r="BG170" s="57">
        <f>SUM(BG164:BG169)</f>
        <v/>
      </c>
      <c r="BH170" s="57">
        <f>SUM(BH164:BH169)</f>
        <v/>
      </c>
      <c r="BI170" s="57">
        <f>SUM(BI164:BI169)</f>
        <v/>
      </c>
      <c r="BJ170" s="57">
        <f>SUM(BJ164:BJ169)</f>
        <v/>
      </c>
      <c r="BK170" s="57">
        <f>SUM(BK164:BK169)</f>
        <v/>
      </c>
      <c r="BL170" s="57">
        <f>SUM(BL164:BL169)</f>
        <v/>
      </c>
      <c r="BM170" s="57">
        <f>SUM(BM164:BM169)</f>
        <v/>
      </c>
      <c r="BN170" s="57">
        <f>SUM(BN164:BN169)</f>
        <v/>
      </c>
      <c r="BO170" s="57">
        <f>SUM(BO164:BO169)</f>
        <v/>
      </c>
      <c r="BP170" s="57">
        <f>SUM(BP164:BP169)</f>
        <v/>
      </c>
      <c r="BQ170" s="57">
        <f>SUM(BQ164:BQ169)</f>
        <v/>
      </c>
      <c r="BR170" s="57">
        <f>SUM(BR164:BR169)</f>
        <v/>
      </c>
      <c r="BS170" s="57">
        <f>SUM(BS164:BS169)</f>
        <v/>
      </c>
      <c r="BT170" s="57">
        <f>SUM(BT164:BT169)</f>
        <v/>
      </c>
      <c r="BU170" s="57">
        <f>SUM(BU164:BU169)</f>
        <v/>
      </c>
      <c r="BV170" s="57">
        <f>SUM(BV164:BV169)</f>
        <v/>
      </c>
      <c r="BW170" s="57">
        <f>SUM(BW164:BW169)</f>
        <v/>
      </c>
      <c r="BX170" s="57">
        <f>SUM(BX164:BX169)</f>
        <v/>
      </c>
      <c r="BY170" s="57">
        <f>SUM(BY164:BY169)</f>
        <v/>
      </c>
      <c r="BZ170" s="57">
        <f>SUM(BZ164:BZ169)</f>
        <v/>
      </c>
      <c r="CA170" s="57">
        <f>SUM(CA164:CA169)</f>
        <v/>
      </c>
      <c r="CB170" s="57">
        <f>SUM(CB164:CB169)</f>
        <v/>
      </c>
      <c r="CC170" s="57">
        <f>SUM(CC164:CC169)</f>
        <v/>
      </c>
      <c r="CD170" s="57">
        <f>SUM(CD164:CD169)</f>
        <v/>
      </c>
      <c r="CE170" s="57">
        <f>SUM(CE164:CE169)</f>
        <v/>
      </c>
      <c r="CF170" s="57">
        <f>SUM(CF164:CF169)</f>
        <v/>
      </c>
      <c r="CG170" s="57">
        <f>SUM(CG164:CG169)</f>
        <v/>
      </c>
      <c r="CH170" s="57">
        <f>SUM(CH164:CH169)</f>
        <v/>
      </c>
      <c r="CI170" s="57">
        <f>SUM(CI164:CI169)</f>
        <v/>
      </c>
      <c r="CJ170" s="57">
        <f>SUM(CJ164:CJ169)</f>
        <v/>
      </c>
      <c r="CK170" s="57">
        <f>SUM(CK164:CK169)</f>
        <v/>
      </c>
      <c r="CL170" s="57">
        <f>SUM(CL164:CL169)</f>
        <v/>
      </c>
      <c r="CM170" s="57">
        <f>SUM(CM164:CM169)</f>
        <v/>
      </c>
      <c r="CN170" s="57">
        <f>SUM(CN164:CN169)</f>
        <v/>
      </c>
      <c r="CO170" s="57">
        <f>SUM(CO164:CO169)</f>
        <v/>
      </c>
      <c r="CP170" s="57">
        <f>SUM(CP164:CP169)</f>
        <v/>
      </c>
      <c r="CQ170" s="57">
        <f>SUM(CQ164:CQ169)</f>
        <v/>
      </c>
      <c r="CR170" s="57">
        <f>SUM(CR164:CR169)</f>
        <v/>
      </c>
      <c r="CS170" s="57">
        <f>SUM(CS164:CS169)</f>
        <v/>
      </c>
      <c r="CT170" s="57">
        <f>SUM(CT164:CT169)</f>
        <v/>
      </c>
      <c r="CU170" s="57">
        <f>SUM(CU164:CU169)</f>
        <v/>
      </c>
      <c r="CV170" s="57">
        <f>SUM(CV164:CV169)</f>
        <v/>
      </c>
      <c r="CW170" s="57">
        <f>SUM(CW164:CW169)</f>
        <v/>
      </c>
      <c r="CX170" s="57">
        <f>SUM(CX164:CX169)</f>
        <v/>
      </c>
      <c r="CY170" s="57">
        <f>SUM(CY164:CY169)</f>
        <v/>
      </c>
      <c r="CZ170" s="57">
        <f>SUM(CZ164:CZ169)</f>
        <v/>
      </c>
      <c r="DA170" s="57">
        <f>SUM(DA164:DA169)</f>
        <v/>
      </c>
      <c r="DB170" s="57">
        <f>SUM(DB164:DB169)</f>
        <v/>
      </c>
      <c r="DC170" s="57">
        <f>SUM(DC164:DC169)</f>
        <v/>
      </c>
      <c r="DD170" s="57">
        <f>SUM(DD164:DD169)</f>
        <v/>
      </c>
      <c r="DE170" s="57">
        <f>SUM(DE164:DE169)</f>
        <v/>
      </c>
      <c r="DF170" s="57">
        <f>SUM(DF164:DF169)</f>
        <v/>
      </c>
      <c r="DG170" s="57">
        <f>SUM(DG164:DG169)</f>
        <v/>
      </c>
      <c r="DH170" s="57">
        <f>SUM(DH164:DH169)</f>
        <v/>
      </c>
      <c r="DI170" s="57">
        <f>SUM(DI164:DI169)</f>
        <v/>
      </c>
      <c r="DJ170" s="57">
        <f>SUM(DJ164:DJ169)</f>
        <v/>
      </c>
      <c r="DK170" s="57">
        <f>SUM(DK164:DK169)</f>
        <v/>
      </c>
      <c r="DL170" s="57">
        <f>SUM(DL164:DL169)</f>
        <v/>
      </c>
      <c r="DM170" s="57">
        <f>SUM(DM164:DM169)</f>
        <v/>
      </c>
      <c r="DN170" s="57">
        <f>SUM(DN164:DN169)</f>
        <v/>
      </c>
      <c r="DO170" s="57">
        <f>SUM(DO164:DO169)</f>
        <v/>
      </c>
      <c r="DP170" s="57">
        <f>SUM(DP164:DP169)</f>
        <v/>
      </c>
      <c r="DQ170" s="57">
        <f>SUM(DQ164:DQ169)</f>
        <v/>
      </c>
      <c r="DR170" s="57">
        <f>SUM(DR164:DR169)</f>
        <v/>
      </c>
      <c r="DS170" s="57">
        <f>SUM(DS164:DS169)</f>
        <v/>
      </c>
      <c r="DT170" s="57">
        <f>SUM(DT164:DT169)</f>
        <v/>
      </c>
      <c r="DU170" s="57">
        <f>SUM(DU164:DU169)</f>
        <v/>
      </c>
      <c r="DV170" s="57">
        <f>SUM(DV164:DV169)</f>
        <v/>
      </c>
      <c r="DW170" s="57">
        <f>SUM(DW164:DW169)</f>
        <v/>
      </c>
      <c r="DX170" s="57">
        <f>SUM(DX164:DX169)</f>
        <v/>
      </c>
      <c r="DY170" s="57">
        <f>SUM(DY164:DY169)</f>
        <v/>
      </c>
      <c r="DZ170" s="57">
        <f>SUM(DZ164:DZ169)</f>
        <v/>
      </c>
      <c r="EA170" s="57">
        <f>SUM(EA164:EA169)</f>
        <v/>
      </c>
      <c r="EB170" s="57">
        <f>SUM(EB164:EB169)</f>
        <v/>
      </c>
      <c r="EC170" s="57">
        <f>SUM(EC164:EC169)</f>
        <v/>
      </c>
      <c r="ED170" s="57">
        <f>SUM(ED164:ED169)</f>
        <v/>
      </c>
      <c r="EE170" s="57">
        <f>SUM(EE164:EE169)</f>
        <v/>
      </c>
      <c r="EF170" s="57">
        <f>SUM(EF164:EF169)</f>
        <v/>
      </c>
      <c r="EG170" s="57">
        <f>SUM(EG164:EG169)</f>
        <v/>
      </c>
      <c r="EH170" s="57">
        <f>SUM(EH164:EH169)</f>
        <v/>
      </c>
      <c r="EI170" s="57">
        <f>SUM(EI164:EI169)</f>
        <v/>
      </c>
      <c r="EJ170" s="57">
        <f>SUM(EJ164:EJ169)</f>
        <v/>
      </c>
      <c r="EK170" s="57">
        <f>SUM(EK164:EK169)</f>
        <v/>
      </c>
      <c r="EL170" s="57">
        <f>SUM(EL164:EL169)</f>
        <v/>
      </c>
      <c r="EM170" s="57">
        <f>SUM(EM164:EM169)</f>
        <v/>
      </c>
      <c r="EN170" s="57">
        <f>SUM(EN164:EN169)</f>
        <v/>
      </c>
      <c r="EO170" s="57">
        <f>SUM(EO164:EO169)</f>
        <v/>
      </c>
      <c r="EP170" s="57">
        <f>SUM(EP164:EP169)</f>
        <v/>
      </c>
      <c r="EQ170" s="57">
        <f>SUM(EQ164:EQ169)</f>
        <v/>
      </c>
      <c r="ER170" s="57">
        <f>SUM(ER164:ER169)</f>
        <v/>
      </c>
      <c r="ES170" s="57">
        <f>SUM(ES164:ES169)</f>
        <v/>
      </c>
      <c r="ET170" s="57">
        <f>SUM(ET164:ET169)</f>
        <v/>
      </c>
      <c r="EU170" s="57">
        <f>SUM(EU164:EU169)</f>
        <v/>
      </c>
      <c r="EV170" s="57">
        <f>SUM(EV164:EV169)</f>
        <v/>
      </c>
      <c r="EW170" s="57">
        <f>SUM(EW164:EW169)</f>
        <v/>
      </c>
      <c r="EX170" s="57">
        <f>SUM(EX164:EX169)</f>
        <v/>
      </c>
      <c r="EY170" s="57">
        <f>SUM(EY164:EY169)</f>
        <v/>
      </c>
      <c r="EZ170" s="57">
        <f>SUM(EZ164:EZ169)</f>
        <v/>
      </c>
      <c r="FA170" s="57">
        <f>SUM(FA164:FA169)</f>
        <v/>
      </c>
      <c r="FB170" s="57">
        <f>SUM(FB164:FB169)</f>
        <v/>
      </c>
    </row>
    <row r="171">
      <c r="M171" s="9" t="n"/>
      <c r="Y171" s="9" t="n"/>
    </row>
    <row r="172">
      <c r="H172" s="63" t="n"/>
    </row>
    <row r="180" customFormat="1" s="46">
      <c r="A180" s="9" t="n"/>
      <c r="B180" s="9" t="n"/>
      <c r="C180" s="9" t="n"/>
      <c r="D180" s="9" t="n"/>
      <c r="E180" s="9" t="n"/>
      <c r="F180" s="9" t="n"/>
      <c r="G180" s="9" t="n"/>
      <c r="H180" s="11" t="n"/>
      <c r="I180" s="9" t="n"/>
      <c r="J180" s="9" t="n"/>
      <c r="K180" s="11" t="n"/>
      <c r="L180" s="24" t="n"/>
      <c r="M180" s="11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11" t="n"/>
      <c r="Z180" s="9" t="n"/>
      <c r="AA180" s="9" t="n"/>
      <c r="AB180" s="9" t="n"/>
      <c r="AC180" s="9" t="n"/>
      <c r="AD180" s="9" t="n"/>
      <c r="AE180" s="9" t="n"/>
      <c r="AF180" s="9" t="n"/>
      <c r="AG180" s="9" t="n"/>
      <c r="AH180" s="9" t="n"/>
      <c r="AI180" s="9" t="n"/>
      <c r="AJ180" s="9" t="n"/>
      <c r="AK180" s="9" t="n"/>
      <c r="AL180" s="9" t="n"/>
      <c r="AM180" s="9" t="n"/>
      <c r="AN180" s="9" t="n"/>
      <c r="AO180" s="9" t="n"/>
      <c r="AP180" s="9" t="n"/>
      <c r="AQ180" s="9" t="n"/>
      <c r="AR180" s="9" t="n"/>
      <c r="AS180" s="9" t="n"/>
      <c r="AT180" s="9" t="n"/>
      <c r="AU180" s="9" t="n"/>
      <c r="AV180" s="9" t="n"/>
      <c r="AW180" s="9" t="n"/>
      <c r="AX180" s="9" t="n"/>
      <c r="AY180" s="9" t="n"/>
      <c r="AZ180" s="9" t="n"/>
      <c r="BA180" s="9" t="n"/>
      <c r="BB180" s="9" t="n"/>
      <c r="BC180" s="9" t="n"/>
      <c r="BD180" s="9" t="n"/>
      <c r="BE180" s="9" t="n"/>
      <c r="BF180" s="9" t="n"/>
      <c r="BG180" s="9" t="n"/>
      <c r="BH180" s="9" t="n"/>
      <c r="BI180" s="9" t="n"/>
      <c r="BJ180" s="9" t="n"/>
      <c r="BK180" s="9" t="n"/>
      <c r="BL180" s="9" t="n"/>
      <c r="BM180" s="9" t="n"/>
      <c r="BN180" s="9" t="n"/>
      <c r="BO180" s="9" t="n"/>
      <c r="BP180" s="9" t="n"/>
      <c r="BQ180" s="9" t="n"/>
      <c r="BR180" s="9" t="n"/>
      <c r="BS180" s="9" t="n"/>
      <c r="BT180" s="9" t="n"/>
      <c r="BU180" s="9" t="n"/>
      <c r="BV180" s="9" t="n"/>
      <c r="BW180" s="9" t="n"/>
      <c r="BX180" s="9" t="n"/>
      <c r="BY180" s="9" t="n"/>
      <c r="BZ180" s="9" t="n"/>
      <c r="CA180" s="9" t="n"/>
      <c r="CB180" s="9" t="n"/>
      <c r="CC180" s="9" t="n"/>
      <c r="CD180" s="9" t="n"/>
      <c r="CE180" s="9" t="n"/>
      <c r="CF180" s="9" t="n"/>
      <c r="CG180" s="9" t="n"/>
      <c r="CH180" s="9" t="n"/>
      <c r="CI180" s="9" t="n"/>
      <c r="CJ180" s="9" t="n"/>
      <c r="CK180" s="9" t="n"/>
      <c r="CL180" s="9" t="n"/>
      <c r="CM180" s="9" t="n"/>
      <c r="CN180" s="9" t="n"/>
      <c r="CO180" s="9" t="n"/>
      <c r="CP180" s="9" t="n"/>
      <c r="CQ180" s="9" t="n"/>
      <c r="CR180" s="9" t="n"/>
      <c r="CS180" s="9" t="n"/>
      <c r="CT180" s="9" t="n"/>
      <c r="CU180" s="9" t="n"/>
      <c r="CV180" s="9" t="n"/>
      <c r="CW180" s="9" t="n"/>
      <c r="CX180" s="9" t="n"/>
      <c r="CY180" s="9" t="n"/>
      <c r="CZ180" s="9" t="n"/>
      <c r="DA180" s="9" t="n"/>
      <c r="DB180" s="9" t="n"/>
      <c r="DC180" s="9" t="n"/>
      <c r="DD180" s="9" t="n"/>
      <c r="DE180" s="9" t="n"/>
      <c r="DF180" s="9" t="n"/>
      <c r="DG180" s="9" t="n"/>
      <c r="DH180" s="9" t="n"/>
      <c r="DI180" s="9" t="n"/>
      <c r="DJ180" s="9" t="n"/>
      <c r="DK180" s="9" t="n"/>
      <c r="DL180" s="9" t="n"/>
      <c r="DM180" s="9" t="n"/>
      <c r="DN180" s="9" t="n"/>
      <c r="DO180" s="9" t="n"/>
      <c r="DP180" s="9" t="n"/>
      <c r="DQ180" s="9" t="n"/>
      <c r="DR180" s="9" t="n"/>
      <c r="DS180" s="9" t="n"/>
      <c r="DT180" s="9" t="n"/>
      <c r="DU180" s="9" t="n"/>
      <c r="DV180" s="9" t="n"/>
      <c r="DW180" s="9" t="n"/>
      <c r="DX180" s="9" t="n"/>
      <c r="DY180" s="9" t="n"/>
      <c r="DZ180" s="9" t="n"/>
      <c r="EA180" s="9" t="n"/>
      <c r="EB180" s="9" t="n"/>
      <c r="EC180" s="9" t="n"/>
      <c r="ED180" s="9" t="n"/>
      <c r="EE180" s="9" t="n"/>
      <c r="EF180" s="9" t="n"/>
      <c r="EG180" s="9" t="n"/>
      <c r="EH180" s="9" t="n"/>
      <c r="EI180" s="9" t="n"/>
      <c r="EJ180" s="9" t="n"/>
      <c r="EK180" s="9" t="n"/>
      <c r="EL180" s="9" t="n"/>
      <c r="EM180" s="9" t="n"/>
      <c r="EN180" s="9" t="n"/>
      <c r="EO180" s="9" t="n"/>
      <c r="EP180" s="9" t="n"/>
      <c r="EQ180" s="9" t="n"/>
      <c r="ER180" s="9" t="n"/>
      <c r="ES180" s="9" t="n"/>
      <c r="ET180" s="9" t="n"/>
      <c r="EU180" s="9" t="n"/>
      <c r="EV180" s="9" t="n"/>
      <c r="EW180" s="9" t="n"/>
      <c r="EX180" s="9" t="n"/>
      <c r="EY180" s="9" t="n"/>
      <c r="EZ180" s="9" t="n"/>
      <c r="FA180" s="9" t="n"/>
      <c r="FB180" s="9" t="n"/>
    </row>
    <row r="184">
      <c r="A184" s="32" t="n"/>
      <c r="H184" s="33" t="n"/>
      <c r="I184" s="46" t="n"/>
      <c r="J184" s="46" t="n"/>
      <c r="K184" s="63" t="n"/>
      <c r="M184" s="63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63" t="n"/>
      <c r="Z184" s="46" t="n"/>
      <c r="AA184" s="46" t="n"/>
      <c r="AB184" s="46" t="n"/>
      <c r="AC184" s="46" t="n"/>
      <c r="AD184" s="46" t="n"/>
      <c r="AE184" s="46" t="n"/>
      <c r="AF184" s="46" t="n"/>
      <c r="AG184" s="46" t="n"/>
      <c r="AH184" s="46" t="n"/>
      <c r="AI184" s="46" t="n"/>
      <c r="AJ184" s="46" t="n"/>
      <c r="AK184" s="46" t="n"/>
      <c r="AL184" s="46" t="n"/>
      <c r="AM184" s="46" t="n"/>
      <c r="AN184" s="46" t="n"/>
      <c r="AO184" s="46" t="n"/>
      <c r="AP184" s="46" t="n"/>
      <c r="AQ184" s="46" t="n"/>
      <c r="AR184" s="46" t="n"/>
      <c r="AS184" s="46" t="n"/>
      <c r="AT184" s="46" t="n"/>
      <c r="AU184" s="46" t="n"/>
      <c r="AV184" s="46" t="n"/>
      <c r="AW184" s="46" t="n"/>
      <c r="AX184" s="46" t="n"/>
      <c r="AY184" s="46" t="n"/>
      <c r="AZ184" s="46" t="n"/>
      <c r="BA184" s="46" t="n"/>
      <c r="BB184" s="46" t="n"/>
      <c r="BC184" s="46" t="n"/>
      <c r="BD184" s="46" t="n"/>
      <c r="BE184" s="46" t="n"/>
      <c r="BF184" s="46" t="n"/>
      <c r="BG184" s="46" t="n"/>
      <c r="BH184" s="46" t="n"/>
      <c r="BI184" s="46" t="n"/>
      <c r="BJ184" s="46" t="n"/>
      <c r="BK184" s="46" t="n"/>
      <c r="BL184" s="46" t="n"/>
      <c r="BM184" s="46" t="n"/>
      <c r="BN184" s="46" t="n"/>
      <c r="BO184" s="46" t="n"/>
      <c r="BP184" s="46" t="n"/>
      <c r="BQ184" s="46" t="n"/>
      <c r="BR184" s="46" t="n"/>
      <c r="BS184" s="46" t="n"/>
      <c r="BT184" s="46" t="n"/>
      <c r="BU184" s="46" t="n"/>
      <c r="BV184" s="46" t="n"/>
      <c r="BW184" s="46" t="n"/>
      <c r="BX184" s="46" t="n"/>
      <c r="BY184" s="46" t="n"/>
      <c r="BZ184" s="46" t="n"/>
      <c r="CA184" s="46" t="n"/>
      <c r="CB184" s="46" t="n"/>
      <c r="CC184" s="46" t="n"/>
      <c r="CD184" s="46" t="n"/>
      <c r="CE184" s="46" t="n"/>
      <c r="CF184" s="46" t="n"/>
      <c r="CG184" s="46" t="n"/>
      <c r="CH184" s="46" t="n"/>
      <c r="CI184" s="46" t="n"/>
      <c r="CJ184" s="46" t="n"/>
      <c r="CK184" s="46" t="n"/>
      <c r="CL184" s="46" t="n"/>
      <c r="CM184" s="46" t="n"/>
      <c r="CN184" s="46" t="n"/>
      <c r="CO184" s="46" t="n"/>
      <c r="CP184" s="46" t="n"/>
      <c r="CQ184" s="46" t="n"/>
      <c r="CR184" s="46" t="n"/>
      <c r="CS184" s="46" t="n"/>
      <c r="CT184" s="46" t="n"/>
      <c r="CU184" s="46" t="n"/>
      <c r="CV184" s="46" t="n"/>
      <c r="CW184" s="46" t="n"/>
      <c r="CX184" s="46" t="n"/>
      <c r="CY184" s="46" t="n"/>
      <c r="CZ184" s="46" t="n"/>
      <c r="DA184" s="46" t="n"/>
      <c r="DB184" s="46" t="n"/>
      <c r="DC184" s="46" t="n"/>
      <c r="DD184" s="46" t="n"/>
      <c r="DE184" s="46" t="n"/>
      <c r="DF184" s="46" t="n"/>
      <c r="DG184" s="46" t="n"/>
      <c r="DH184" s="46" t="n"/>
      <c r="DI184" s="46" t="n"/>
      <c r="DJ184" s="46" t="n"/>
      <c r="DK184" s="46" t="n"/>
      <c r="DL184" s="46" t="n"/>
      <c r="DM184" s="46" t="n"/>
      <c r="DN184" s="46" t="n"/>
      <c r="DO184" s="46" t="n"/>
      <c r="DP184" s="46" t="n"/>
      <c r="DQ184" s="46" t="n"/>
      <c r="DR184" s="46" t="n"/>
      <c r="DS184" s="46" t="n"/>
      <c r="DT184" s="46" t="n"/>
      <c r="DU184" s="46" t="n"/>
      <c r="DV184" s="46" t="n"/>
      <c r="DW184" s="46" t="n"/>
      <c r="DX184" s="46" t="n"/>
      <c r="DY184" s="46" t="n"/>
      <c r="DZ184" s="46" t="n"/>
      <c r="EA184" s="46" t="n"/>
      <c r="EB184" s="46" t="n"/>
      <c r="EC184" s="46" t="n"/>
      <c r="ED184" s="46" t="n"/>
      <c r="EE184" s="46" t="n"/>
      <c r="EF184" s="46" t="n"/>
      <c r="EG184" s="46" t="n"/>
      <c r="EH184" s="46" t="n"/>
      <c r="EI184" s="46" t="n"/>
      <c r="EJ184" s="46" t="n"/>
      <c r="EK184" s="46" t="n"/>
      <c r="EL184" s="46" t="n"/>
      <c r="EM184" s="46" t="n"/>
      <c r="EN184" s="46" t="n"/>
      <c r="EO184" s="46" t="n"/>
      <c r="EP184" s="46" t="n"/>
      <c r="EQ184" s="46" t="n"/>
      <c r="ER184" s="46" t="n"/>
      <c r="ES184" s="46" t="n"/>
      <c r="ET184" s="46" t="n"/>
      <c r="EU184" s="46" t="n"/>
      <c r="EV184" s="46" t="n"/>
      <c r="EW184" s="46" t="n"/>
      <c r="EX184" s="46" t="n"/>
      <c r="EY184" s="46" t="n"/>
      <c r="EZ184" s="46" t="n"/>
      <c r="FA184" s="46" t="n"/>
      <c r="FB184" s="46" t="n"/>
    </row>
    <row r="186">
      <c r="A186" s="32" t="n"/>
      <c r="H186" s="33" t="n"/>
    </row>
    <row r="192">
      <c r="A192" s="52" t="n"/>
      <c r="H192" s="51" t="n"/>
    </row>
    <row r="193" customFormat="1" s="32">
      <c r="A193" s="46" t="n"/>
      <c r="B193" s="9" t="n"/>
      <c r="C193" s="9" t="n"/>
      <c r="D193" s="9" t="n"/>
      <c r="E193" s="9" t="n"/>
      <c r="F193" s="9" t="n"/>
      <c r="G193" s="9" t="n"/>
      <c r="H193" s="63" t="n"/>
      <c r="I193" s="46" t="n"/>
      <c r="J193" s="46" t="n"/>
      <c r="K193" s="63" t="n"/>
      <c r="L193" s="24" t="n"/>
      <c r="M193" s="63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63" t="n"/>
      <c r="Z193" s="46" t="n"/>
      <c r="AA193" s="46" t="n"/>
      <c r="AB193" s="46" t="n"/>
      <c r="AC193" s="46" t="n"/>
      <c r="AD193" s="46" t="n"/>
      <c r="AE193" s="46" t="n"/>
      <c r="AF193" s="46" t="n"/>
      <c r="AG193" s="46" t="n"/>
      <c r="AH193" s="46" t="n"/>
      <c r="AI193" s="46" t="n"/>
      <c r="AJ193" s="46" t="n"/>
      <c r="AK193" s="46" t="n"/>
      <c r="AL193" s="46" t="n"/>
      <c r="AM193" s="46" t="n"/>
      <c r="AN193" s="46" t="n"/>
      <c r="AO193" s="46" t="n"/>
      <c r="AP193" s="46" t="n"/>
      <c r="AQ193" s="46" t="n"/>
      <c r="AR193" s="46" t="n"/>
      <c r="AS193" s="46" t="n"/>
      <c r="AT193" s="46" t="n"/>
      <c r="AU193" s="46" t="n"/>
      <c r="AV193" s="46" t="n"/>
      <c r="AW193" s="46" t="n"/>
      <c r="AX193" s="46" t="n"/>
      <c r="AY193" s="46" t="n"/>
      <c r="AZ193" s="46" t="n"/>
      <c r="BA193" s="46" t="n"/>
      <c r="BB193" s="46" t="n"/>
      <c r="BC193" s="46" t="n"/>
      <c r="BD193" s="46" t="n"/>
      <c r="BE193" s="46" t="n"/>
      <c r="BF193" s="46" t="n"/>
      <c r="BG193" s="46" t="n"/>
      <c r="BH193" s="46" t="n"/>
      <c r="BI193" s="46" t="n"/>
      <c r="BJ193" s="46" t="n"/>
      <c r="BK193" s="46" t="n"/>
      <c r="BL193" s="46" t="n"/>
      <c r="BM193" s="46" t="n"/>
      <c r="BN193" s="46" t="n"/>
      <c r="BO193" s="46" t="n"/>
      <c r="BP193" s="46" t="n"/>
      <c r="BQ193" s="46" t="n"/>
      <c r="BR193" s="46" t="n"/>
      <c r="BS193" s="46" t="n"/>
      <c r="BT193" s="46" t="n"/>
      <c r="BU193" s="46" t="n"/>
      <c r="BV193" s="46" t="n"/>
      <c r="BW193" s="46" t="n"/>
      <c r="BX193" s="46" t="n"/>
      <c r="BY193" s="46" t="n"/>
      <c r="BZ193" s="46" t="n"/>
      <c r="CA193" s="46" t="n"/>
      <c r="CB193" s="46" t="n"/>
      <c r="CC193" s="46" t="n"/>
      <c r="CD193" s="46" t="n"/>
      <c r="CE193" s="46" t="n"/>
      <c r="CF193" s="46" t="n"/>
      <c r="CG193" s="46" t="n"/>
      <c r="CH193" s="46" t="n"/>
      <c r="CI193" s="46" t="n"/>
      <c r="CJ193" s="46" t="n"/>
      <c r="CK193" s="46" t="n"/>
      <c r="CL193" s="46" t="n"/>
      <c r="CM193" s="46" t="n"/>
      <c r="CN193" s="46" t="n"/>
      <c r="CO193" s="46" t="n"/>
      <c r="CP193" s="46" t="n"/>
      <c r="CQ193" s="46" t="n"/>
      <c r="CR193" s="46" t="n"/>
      <c r="CS193" s="46" t="n"/>
      <c r="CT193" s="46" t="n"/>
      <c r="CU193" s="46" t="n"/>
      <c r="CV193" s="46" t="n"/>
      <c r="CW193" s="46" t="n"/>
      <c r="CX193" s="46" t="n"/>
      <c r="CY193" s="46" t="n"/>
      <c r="CZ193" s="46" t="n"/>
      <c r="DA193" s="46" t="n"/>
      <c r="DB193" s="46" t="n"/>
      <c r="DC193" s="46" t="n"/>
      <c r="DD193" s="46" t="n"/>
      <c r="DE193" s="46" t="n"/>
      <c r="DF193" s="46" t="n"/>
      <c r="DG193" s="46" t="n"/>
      <c r="DH193" s="46" t="n"/>
      <c r="DI193" s="46" t="n"/>
      <c r="DJ193" s="46" t="n"/>
      <c r="DK193" s="46" t="n"/>
      <c r="DL193" s="46" t="n"/>
      <c r="DM193" s="46" t="n"/>
      <c r="DN193" s="46" t="n"/>
      <c r="DO193" s="46" t="n"/>
      <c r="DP193" s="46" t="n"/>
      <c r="DQ193" s="46" t="n"/>
      <c r="DR193" s="46" t="n"/>
      <c r="DS193" s="46" t="n"/>
      <c r="DT193" s="46" t="n"/>
      <c r="DU193" s="46" t="n"/>
      <c r="DV193" s="46" t="n"/>
      <c r="DW193" s="46" t="n"/>
      <c r="DX193" s="46" t="n"/>
      <c r="DY193" s="46" t="n"/>
      <c r="DZ193" s="46" t="n"/>
      <c r="EA193" s="46" t="n"/>
      <c r="EB193" s="46" t="n"/>
      <c r="EC193" s="46" t="n"/>
      <c r="ED193" s="46" t="n"/>
      <c r="EE193" s="46" t="n"/>
      <c r="EF193" s="46" t="n"/>
      <c r="EG193" s="46" t="n"/>
      <c r="EH193" s="46" t="n"/>
      <c r="EI193" s="46" t="n"/>
      <c r="EJ193" s="46" t="n"/>
      <c r="EK193" s="46" t="n"/>
      <c r="EL193" s="46" t="n"/>
      <c r="EM193" s="46" t="n"/>
      <c r="EN193" s="46" t="n"/>
      <c r="EO193" s="46" t="n"/>
      <c r="EP193" s="46" t="n"/>
      <c r="EQ193" s="46" t="n"/>
      <c r="ER193" s="46" t="n"/>
      <c r="ES193" s="46" t="n"/>
      <c r="ET193" s="46" t="n"/>
      <c r="EU193" s="46" t="n"/>
      <c r="EV193" s="46" t="n"/>
      <c r="EW193" s="46" t="n"/>
      <c r="EX193" s="46" t="n"/>
      <c r="EY193" s="46" t="n"/>
      <c r="EZ193" s="46" t="n"/>
      <c r="FA193" s="46" t="n"/>
      <c r="FB193" s="46" t="n"/>
    </row>
    <row r="195" customFormat="1" s="32">
      <c r="A195" s="9" t="n"/>
      <c r="B195" s="9" t="n"/>
      <c r="C195" s="9" t="n"/>
      <c r="D195" s="9" t="n"/>
      <c r="E195" s="9" t="n"/>
      <c r="F195" s="9" t="n"/>
      <c r="G195" s="9" t="n"/>
      <c r="H195" s="11" t="n"/>
      <c r="I195" s="9" t="n"/>
      <c r="J195" s="9" t="n"/>
      <c r="K195" s="11" t="n"/>
      <c r="L195" s="24" t="n"/>
      <c r="M195" s="11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11" t="n"/>
      <c r="Z195" s="9" t="n"/>
      <c r="AA195" s="9" t="n"/>
      <c r="AB195" s="9" t="n"/>
      <c r="AC195" s="9" t="n"/>
      <c r="AD195" s="9" t="n"/>
      <c r="AE195" s="9" t="n"/>
      <c r="AF195" s="9" t="n"/>
      <c r="AG195" s="9" t="n"/>
      <c r="AH195" s="9" t="n"/>
      <c r="AI195" s="9" t="n"/>
      <c r="AJ195" s="9" t="n"/>
      <c r="AK195" s="9" t="n"/>
      <c r="AL195" s="9" t="n"/>
      <c r="AM195" s="9" t="n"/>
      <c r="AN195" s="9" t="n"/>
      <c r="AO195" s="9" t="n"/>
      <c r="AP195" s="9" t="n"/>
      <c r="AQ195" s="9" t="n"/>
      <c r="AR195" s="9" t="n"/>
      <c r="AS195" s="9" t="n"/>
      <c r="AT195" s="9" t="n"/>
      <c r="AU195" s="9" t="n"/>
      <c r="AV195" s="9" t="n"/>
      <c r="AW195" s="9" t="n"/>
      <c r="AX195" s="9" t="n"/>
      <c r="AY195" s="9" t="n"/>
      <c r="AZ195" s="9" t="n"/>
      <c r="BA195" s="9" t="n"/>
      <c r="BB195" s="9" t="n"/>
      <c r="BC195" s="9" t="n"/>
      <c r="BD195" s="9" t="n"/>
      <c r="BE195" s="9" t="n"/>
      <c r="BF195" s="9" t="n"/>
      <c r="BG195" s="9" t="n"/>
      <c r="BH195" s="9" t="n"/>
      <c r="BI195" s="9" t="n"/>
      <c r="BJ195" s="9" t="n"/>
      <c r="BK195" s="9" t="n"/>
      <c r="BL195" s="9" t="n"/>
      <c r="BM195" s="9" t="n"/>
      <c r="BN195" s="9" t="n"/>
      <c r="BO195" s="9" t="n"/>
      <c r="BP195" s="9" t="n"/>
      <c r="BQ195" s="9" t="n"/>
      <c r="BR195" s="9" t="n"/>
      <c r="BS195" s="9" t="n"/>
      <c r="BT195" s="9" t="n"/>
      <c r="BU195" s="9" t="n"/>
      <c r="BV195" s="9" t="n"/>
      <c r="BW195" s="9" t="n"/>
      <c r="BX195" s="9" t="n"/>
      <c r="BY195" s="9" t="n"/>
      <c r="BZ195" s="9" t="n"/>
      <c r="CA195" s="9" t="n"/>
      <c r="CB195" s="9" t="n"/>
      <c r="CC195" s="9" t="n"/>
      <c r="CD195" s="9" t="n"/>
      <c r="CE195" s="9" t="n"/>
      <c r="CF195" s="9" t="n"/>
      <c r="CG195" s="9" t="n"/>
      <c r="CH195" s="9" t="n"/>
      <c r="CI195" s="9" t="n"/>
      <c r="CJ195" s="9" t="n"/>
      <c r="CK195" s="9" t="n"/>
      <c r="CL195" s="9" t="n"/>
      <c r="CM195" s="9" t="n"/>
      <c r="CN195" s="9" t="n"/>
      <c r="CO195" s="9" t="n"/>
      <c r="CP195" s="9" t="n"/>
      <c r="CQ195" s="9" t="n"/>
      <c r="CR195" s="9" t="n"/>
      <c r="CS195" s="9" t="n"/>
      <c r="CT195" s="9" t="n"/>
      <c r="CU195" s="9" t="n"/>
      <c r="CV195" s="9" t="n"/>
      <c r="CW195" s="9" t="n"/>
      <c r="CX195" s="9" t="n"/>
      <c r="CY195" s="9" t="n"/>
      <c r="CZ195" s="9" t="n"/>
      <c r="DA195" s="9" t="n"/>
      <c r="DB195" s="9" t="n"/>
      <c r="DC195" s="9" t="n"/>
      <c r="DD195" s="9" t="n"/>
      <c r="DE195" s="9" t="n"/>
      <c r="DF195" s="9" t="n"/>
      <c r="DG195" s="9" t="n"/>
      <c r="DH195" s="9" t="n"/>
      <c r="DI195" s="9" t="n"/>
      <c r="DJ195" s="9" t="n"/>
      <c r="DK195" s="9" t="n"/>
      <c r="DL195" s="9" t="n"/>
      <c r="DM195" s="9" t="n"/>
      <c r="DN195" s="9" t="n"/>
      <c r="DO195" s="9" t="n"/>
      <c r="DP195" s="9" t="n"/>
      <c r="DQ195" s="9" t="n"/>
      <c r="DR195" s="9" t="n"/>
      <c r="DS195" s="9" t="n"/>
      <c r="DT195" s="9" t="n"/>
      <c r="DU195" s="9" t="n"/>
      <c r="DV195" s="9" t="n"/>
      <c r="DW195" s="9" t="n"/>
      <c r="DX195" s="9" t="n"/>
      <c r="DY195" s="9" t="n"/>
      <c r="DZ195" s="9" t="n"/>
      <c r="EA195" s="9" t="n"/>
      <c r="EB195" s="9" t="n"/>
      <c r="EC195" s="9" t="n"/>
      <c r="ED195" s="9" t="n"/>
      <c r="EE195" s="9" t="n"/>
      <c r="EF195" s="9" t="n"/>
      <c r="EG195" s="9" t="n"/>
      <c r="EH195" s="9" t="n"/>
      <c r="EI195" s="9" t="n"/>
      <c r="EJ195" s="9" t="n"/>
      <c r="EK195" s="9" t="n"/>
      <c r="EL195" s="9" t="n"/>
      <c r="EM195" s="9" t="n"/>
      <c r="EN195" s="9" t="n"/>
      <c r="EO195" s="9" t="n"/>
      <c r="EP195" s="9" t="n"/>
      <c r="EQ195" s="9" t="n"/>
      <c r="ER195" s="9" t="n"/>
      <c r="ES195" s="9" t="n"/>
      <c r="ET195" s="9" t="n"/>
      <c r="EU195" s="9" t="n"/>
      <c r="EV195" s="9" t="n"/>
      <c r="EW195" s="9" t="n"/>
      <c r="EX195" s="9" t="n"/>
      <c r="EY195" s="9" t="n"/>
      <c r="EZ195" s="9" t="n"/>
      <c r="FA195" s="9" t="n"/>
      <c r="FB195" s="9" t="n"/>
    </row>
    <row r="201" customFormat="1" s="52">
      <c r="A201" s="9" t="n"/>
      <c r="B201" s="9" t="n"/>
      <c r="C201" s="9" t="n"/>
      <c r="D201" s="9" t="n"/>
      <c r="E201" s="9" t="n"/>
      <c r="F201" s="9" t="n"/>
      <c r="G201" s="9" t="n"/>
      <c r="H201" s="11" t="n"/>
      <c r="I201" s="9" t="n"/>
      <c r="J201" s="9" t="n"/>
      <c r="K201" s="11" t="n"/>
      <c r="L201" s="24" t="n"/>
      <c r="M201" s="11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11" t="n"/>
      <c r="Z201" s="9" t="n"/>
      <c r="AA201" s="9" t="n"/>
      <c r="AB201" s="9" t="n"/>
      <c r="AC201" s="9" t="n"/>
      <c r="AD201" s="9" t="n"/>
      <c r="AE201" s="9" t="n"/>
      <c r="AF201" s="9" t="n"/>
      <c r="AG201" s="9" t="n"/>
      <c r="AH201" s="9" t="n"/>
      <c r="AI201" s="9" t="n"/>
      <c r="AJ201" s="9" t="n"/>
      <c r="AK201" s="9" t="n"/>
      <c r="AL201" s="9" t="n"/>
      <c r="AM201" s="9" t="n"/>
      <c r="AN201" s="9" t="n"/>
      <c r="AO201" s="9" t="n"/>
      <c r="AP201" s="9" t="n"/>
      <c r="AQ201" s="9" t="n"/>
      <c r="AR201" s="9" t="n"/>
      <c r="AS201" s="9" t="n"/>
      <c r="AT201" s="9" t="n"/>
      <c r="AU201" s="9" t="n"/>
      <c r="AV201" s="9" t="n"/>
      <c r="AW201" s="9" t="n"/>
      <c r="AX201" s="9" t="n"/>
      <c r="AY201" s="9" t="n"/>
      <c r="AZ201" s="9" t="n"/>
      <c r="BA201" s="9" t="n"/>
      <c r="BB201" s="9" t="n"/>
      <c r="BC201" s="9" t="n"/>
      <c r="BD201" s="9" t="n"/>
      <c r="BE201" s="9" t="n"/>
      <c r="BF201" s="9" t="n"/>
      <c r="BG201" s="9" t="n"/>
      <c r="BH201" s="9" t="n"/>
      <c r="BI201" s="9" t="n"/>
      <c r="BJ201" s="9" t="n"/>
      <c r="BK201" s="9" t="n"/>
      <c r="BL201" s="9" t="n"/>
      <c r="BM201" s="9" t="n"/>
      <c r="BN201" s="9" t="n"/>
      <c r="BO201" s="9" t="n"/>
      <c r="BP201" s="9" t="n"/>
      <c r="BQ201" s="9" t="n"/>
      <c r="BR201" s="9" t="n"/>
      <c r="BS201" s="9" t="n"/>
      <c r="BT201" s="9" t="n"/>
      <c r="BU201" s="9" t="n"/>
      <c r="BV201" s="9" t="n"/>
      <c r="BW201" s="9" t="n"/>
      <c r="BX201" s="9" t="n"/>
      <c r="BY201" s="9" t="n"/>
      <c r="BZ201" s="9" t="n"/>
      <c r="CA201" s="9" t="n"/>
      <c r="CB201" s="9" t="n"/>
      <c r="CC201" s="9" t="n"/>
      <c r="CD201" s="9" t="n"/>
      <c r="CE201" s="9" t="n"/>
      <c r="CF201" s="9" t="n"/>
      <c r="CG201" s="9" t="n"/>
      <c r="CH201" s="9" t="n"/>
      <c r="CI201" s="9" t="n"/>
      <c r="CJ201" s="9" t="n"/>
      <c r="CK201" s="9" t="n"/>
      <c r="CL201" s="9" t="n"/>
      <c r="CM201" s="9" t="n"/>
      <c r="CN201" s="9" t="n"/>
      <c r="CO201" s="9" t="n"/>
      <c r="CP201" s="9" t="n"/>
      <c r="CQ201" s="9" t="n"/>
      <c r="CR201" s="9" t="n"/>
      <c r="CS201" s="9" t="n"/>
      <c r="CT201" s="9" t="n"/>
      <c r="CU201" s="9" t="n"/>
      <c r="CV201" s="9" t="n"/>
      <c r="CW201" s="9" t="n"/>
      <c r="CX201" s="9" t="n"/>
      <c r="CY201" s="9" t="n"/>
      <c r="CZ201" s="9" t="n"/>
      <c r="DA201" s="9" t="n"/>
      <c r="DB201" s="9" t="n"/>
      <c r="DC201" s="9" t="n"/>
      <c r="DD201" s="9" t="n"/>
      <c r="DE201" s="9" t="n"/>
      <c r="DF201" s="9" t="n"/>
      <c r="DG201" s="9" t="n"/>
      <c r="DH201" s="9" t="n"/>
      <c r="DI201" s="9" t="n"/>
      <c r="DJ201" s="9" t="n"/>
      <c r="DK201" s="9" t="n"/>
      <c r="DL201" s="9" t="n"/>
      <c r="DM201" s="9" t="n"/>
      <c r="DN201" s="9" t="n"/>
      <c r="DO201" s="9" t="n"/>
      <c r="DP201" s="9" t="n"/>
      <c r="DQ201" s="9" t="n"/>
      <c r="DR201" s="9" t="n"/>
      <c r="DS201" s="9" t="n"/>
      <c r="DT201" s="9" t="n"/>
      <c r="DU201" s="9" t="n"/>
      <c r="DV201" s="9" t="n"/>
      <c r="DW201" s="9" t="n"/>
      <c r="DX201" s="9" t="n"/>
      <c r="DY201" s="9" t="n"/>
      <c r="DZ201" s="9" t="n"/>
      <c r="EA201" s="9" t="n"/>
      <c r="EB201" s="9" t="n"/>
      <c r="EC201" s="9" t="n"/>
      <c r="ED201" s="9" t="n"/>
      <c r="EE201" s="9" t="n"/>
      <c r="EF201" s="9" t="n"/>
      <c r="EG201" s="9" t="n"/>
      <c r="EH201" s="9" t="n"/>
      <c r="EI201" s="9" t="n"/>
      <c r="EJ201" s="9" t="n"/>
      <c r="EK201" s="9" t="n"/>
      <c r="EL201" s="9" t="n"/>
      <c r="EM201" s="9" t="n"/>
      <c r="EN201" s="9" t="n"/>
      <c r="EO201" s="9" t="n"/>
      <c r="EP201" s="9" t="n"/>
      <c r="EQ201" s="9" t="n"/>
      <c r="ER201" s="9" t="n"/>
      <c r="ES201" s="9" t="n"/>
      <c r="ET201" s="9" t="n"/>
      <c r="EU201" s="9" t="n"/>
      <c r="EV201" s="9" t="n"/>
      <c r="EW201" s="9" t="n"/>
      <c r="EX201" s="9" t="n"/>
      <c r="EY201" s="9" t="n"/>
      <c r="EZ201" s="9" t="n"/>
      <c r="FA201" s="9" t="n"/>
      <c r="FB201" s="9" t="n"/>
    </row>
    <row r="202" customFormat="1" s="46">
      <c r="A202" s="9" t="n"/>
      <c r="B202" s="9" t="n"/>
      <c r="C202" s="9" t="n"/>
      <c r="D202" s="9" t="n"/>
      <c r="E202" s="9" t="n"/>
      <c r="F202" s="9" t="n"/>
      <c r="G202" s="9" t="n"/>
      <c r="H202" s="11" t="n"/>
      <c r="I202" s="9" t="n"/>
      <c r="J202" s="9" t="n"/>
      <c r="K202" s="11" t="n"/>
      <c r="L202" s="24" t="n"/>
      <c r="M202" s="11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11" t="n"/>
      <c r="Z202" s="9" t="n"/>
      <c r="AA202" s="9" t="n"/>
      <c r="AB202" s="9" t="n"/>
      <c r="AC202" s="9" t="n"/>
      <c r="AD202" s="9" t="n"/>
      <c r="AE202" s="9" t="n"/>
      <c r="AF202" s="9" t="n"/>
      <c r="AG202" s="9" t="n"/>
      <c r="AH202" s="9" t="n"/>
      <c r="AI202" s="9" t="n"/>
      <c r="AJ202" s="9" t="n"/>
      <c r="AK202" s="9" t="n"/>
      <c r="AL202" s="9" t="n"/>
      <c r="AM202" s="9" t="n"/>
      <c r="AN202" s="9" t="n"/>
      <c r="AO202" s="9" t="n"/>
      <c r="AP202" s="9" t="n"/>
      <c r="AQ202" s="9" t="n"/>
      <c r="AR202" s="9" t="n"/>
      <c r="AS202" s="9" t="n"/>
      <c r="AT202" s="9" t="n"/>
      <c r="AU202" s="9" t="n"/>
      <c r="AV202" s="9" t="n"/>
      <c r="AW202" s="9" t="n"/>
      <c r="AX202" s="9" t="n"/>
      <c r="AY202" s="9" t="n"/>
      <c r="AZ202" s="9" t="n"/>
      <c r="BA202" s="9" t="n"/>
      <c r="BB202" s="9" t="n"/>
      <c r="BC202" s="9" t="n"/>
      <c r="BD202" s="9" t="n"/>
      <c r="BE202" s="9" t="n"/>
      <c r="BF202" s="9" t="n"/>
      <c r="BG202" s="9" t="n"/>
      <c r="BH202" s="9" t="n"/>
      <c r="BI202" s="9" t="n"/>
      <c r="BJ202" s="9" t="n"/>
      <c r="BK202" s="9" t="n"/>
      <c r="BL202" s="9" t="n"/>
      <c r="BM202" s="9" t="n"/>
      <c r="BN202" s="9" t="n"/>
      <c r="BO202" s="9" t="n"/>
      <c r="BP202" s="9" t="n"/>
      <c r="BQ202" s="9" t="n"/>
      <c r="BR202" s="9" t="n"/>
      <c r="BS202" s="9" t="n"/>
      <c r="BT202" s="9" t="n"/>
      <c r="BU202" s="9" t="n"/>
      <c r="BV202" s="9" t="n"/>
      <c r="BW202" s="9" t="n"/>
      <c r="BX202" s="9" t="n"/>
      <c r="BY202" s="9" t="n"/>
      <c r="BZ202" s="9" t="n"/>
      <c r="CA202" s="9" t="n"/>
      <c r="CB202" s="9" t="n"/>
      <c r="CC202" s="9" t="n"/>
      <c r="CD202" s="9" t="n"/>
      <c r="CE202" s="9" t="n"/>
      <c r="CF202" s="9" t="n"/>
      <c r="CG202" s="9" t="n"/>
      <c r="CH202" s="9" t="n"/>
      <c r="CI202" s="9" t="n"/>
      <c r="CJ202" s="9" t="n"/>
      <c r="CK202" s="9" t="n"/>
      <c r="CL202" s="9" t="n"/>
      <c r="CM202" s="9" t="n"/>
      <c r="CN202" s="9" t="n"/>
      <c r="CO202" s="9" t="n"/>
      <c r="CP202" s="9" t="n"/>
      <c r="CQ202" s="9" t="n"/>
      <c r="CR202" s="9" t="n"/>
      <c r="CS202" s="9" t="n"/>
      <c r="CT202" s="9" t="n"/>
      <c r="CU202" s="9" t="n"/>
      <c r="CV202" s="9" t="n"/>
      <c r="CW202" s="9" t="n"/>
      <c r="CX202" s="9" t="n"/>
      <c r="CY202" s="9" t="n"/>
      <c r="CZ202" s="9" t="n"/>
      <c r="DA202" s="9" t="n"/>
      <c r="DB202" s="9" t="n"/>
      <c r="DC202" s="9" t="n"/>
      <c r="DD202" s="9" t="n"/>
      <c r="DE202" s="9" t="n"/>
      <c r="DF202" s="9" t="n"/>
      <c r="DG202" s="9" t="n"/>
      <c r="DH202" s="9" t="n"/>
      <c r="DI202" s="9" t="n"/>
      <c r="DJ202" s="9" t="n"/>
      <c r="DK202" s="9" t="n"/>
      <c r="DL202" s="9" t="n"/>
      <c r="DM202" s="9" t="n"/>
      <c r="DN202" s="9" t="n"/>
      <c r="DO202" s="9" t="n"/>
      <c r="DP202" s="9" t="n"/>
      <c r="DQ202" s="9" t="n"/>
      <c r="DR202" s="9" t="n"/>
      <c r="DS202" s="9" t="n"/>
      <c r="DT202" s="9" t="n"/>
      <c r="DU202" s="9" t="n"/>
      <c r="DV202" s="9" t="n"/>
      <c r="DW202" s="9" t="n"/>
      <c r="DX202" s="9" t="n"/>
      <c r="DY202" s="9" t="n"/>
      <c r="DZ202" s="9" t="n"/>
      <c r="EA202" s="9" t="n"/>
      <c r="EB202" s="9" t="n"/>
      <c r="EC202" s="9" t="n"/>
      <c r="ED202" s="9" t="n"/>
      <c r="EE202" s="9" t="n"/>
      <c r="EF202" s="9" t="n"/>
      <c r="EG202" s="9" t="n"/>
      <c r="EH202" s="9" t="n"/>
      <c r="EI202" s="9" t="n"/>
      <c r="EJ202" s="9" t="n"/>
      <c r="EK202" s="9" t="n"/>
      <c r="EL202" s="9" t="n"/>
      <c r="EM202" s="9" t="n"/>
      <c r="EN202" s="9" t="n"/>
      <c r="EO202" s="9" t="n"/>
      <c r="EP202" s="9" t="n"/>
      <c r="EQ202" s="9" t="n"/>
      <c r="ER202" s="9" t="n"/>
      <c r="ES202" s="9" t="n"/>
      <c r="ET202" s="9" t="n"/>
      <c r="EU202" s="9" t="n"/>
      <c r="EV202" s="9" t="n"/>
      <c r="EW202" s="9" t="n"/>
      <c r="EX202" s="9" t="n"/>
      <c r="EY202" s="9" t="n"/>
      <c r="EZ202" s="9" t="n"/>
      <c r="FA202" s="9" t="n"/>
      <c r="FB202" s="9" t="n"/>
    </row>
    <row r="204">
      <c r="B204" s="52" t="n"/>
      <c r="C204" s="52" t="n"/>
      <c r="D204" s="52" t="n"/>
      <c r="E204" s="52" t="n"/>
      <c r="F204" s="52" t="n"/>
      <c r="G204" s="52" t="n"/>
    </row>
    <row r="205">
      <c r="B205" s="46" t="n"/>
      <c r="C205" s="46" t="n"/>
      <c r="D205" s="46" t="n"/>
      <c r="E205" s="46" t="n"/>
      <c r="F205" s="46" t="n"/>
      <c r="G205" s="46" t="n"/>
    </row>
    <row r="206">
      <c r="D206" s="118" t="n"/>
      <c r="I206" s="32" t="n"/>
      <c r="J206" s="32" t="n"/>
      <c r="K206" s="33" t="n"/>
      <c r="L206" s="134" t="n"/>
      <c r="M206" s="33" t="n"/>
      <c r="N206" s="32" t="n"/>
      <c r="O206" s="32" t="n"/>
      <c r="P206" s="32" t="n"/>
      <c r="Q206" s="32" t="n"/>
      <c r="R206" s="32" t="n"/>
      <c r="S206" s="32" t="n"/>
      <c r="T206" s="32" t="n"/>
      <c r="U206" s="32" t="n"/>
      <c r="V206" s="32" t="n"/>
      <c r="W206" s="32" t="n"/>
      <c r="X206" s="32" t="n"/>
      <c r="Y206" s="33" t="n"/>
      <c r="Z206" s="32" t="n"/>
      <c r="AA206" s="32" t="n"/>
      <c r="AB206" s="32" t="n"/>
      <c r="AC206" s="32" t="n"/>
      <c r="AD206" s="32" t="n"/>
      <c r="AE206" s="32" t="n"/>
      <c r="AF206" s="32" t="n"/>
      <c r="AG206" s="32" t="n"/>
      <c r="AH206" s="32" t="n"/>
      <c r="AI206" s="32" t="n"/>
      <c r="AJ206" s="32" t="n"/>
      <c r="AK206" s="32" t="n"/>
      <c r="AL206" s="32" t="n"/>
      <c r="AM206" s="32" t="n"/>
      <c r="AN206" s="32" t="n"/>
      <c r="AO206" s="32" t="n"/>
      <c r="AP206" s="32" t="n"/>
      <c r="AQ206" s="32" t="n"/>
      <c r="AR206" s="32" t="n"/>
      <c r="AS206" s="32" t="n"/>
      <c r="AT206" s="32" t="n"/>
      <c r="AU206" s="32" t="n"/>
      <c r="AV206" s="32" t="n"/>
      <c r="AW206" s="32" t="n"/>
      <c r="AX206" s="32" t="n"/>
      <c r="AY206" s="32" t="n"/>
      <c r="AZ206" s="32" t="n"/>
      <c r="BA206" s="32" t="n"/>
      <c r="BB206" s="32" t="n"/>
      <c r="BC206" s="32" t="n"/>
      <c r="BD206" s="32" t="n"/>
      <c r="BE206" s="32" t="n"/>
      <c r="BF206" s="32" t="n"/>
      <c r="BG206" s="32" t="n"/>
      <c r="BH206" s="32" t="n"/>
      <c r="BI206" s="32" t="n"/>
      <c r="BJ206" s="32" t="n"/>
      <c r="BK206" s="32" t="n"/>
      <c r="BL206" s="32" t="n"/>
      <c r="BM206" s="32" t="n"/>
      <c r="BN206" s="32" t="n"/>
      <c r="BO206" s="32" t="n"/>
      <c r="BP206" s="32" t="n"/>
      <c r="BQ206" s="32" t="n"/>
      <c r="BR206" s="32" t="n"/>
      <c r="BS206" s="32" t="n"/>
      <c r="BT206" s="32" t="n"/>
      <c r="BU206" s="32" t="n"/>
      <c r="BV206" s="32" t="n"/>
      <c r="BW206" s="32" t="n"/>
      <c r="BX206" s="32" t="n"/>
      <c r="BY206" s="32" t="n"/>
      <c r="BZ206" s="32" t="n"/>
      <c r="CA206" s="32" t="n"/>
      <c r="CB206" s="32" t="n"/>
      <c r="CC206" s="32" t="n"/>
      <c r="CD206" s="32" t="n"/>
      <c r="CE206" s="32" t="n"/>
      <c r="CF206" s="32" t="n"/>
      <c r="CG206" s="32" t="n"/>
      <c r="CH206" s="32" t="n"/>
      <c r="CI206" s="32" t="n"/>
      <c r="CJ206" s="32" t="n"/>
      <c r="CK206" s="32" t="n"/>
      <c r="CL206" s="32" t="n"/>
      <c r="CM206" s="32" t="n"/>
      <c r="CN206" s="32" t="n"/>
      <c r="CO206" s="32" t="n"/>
      <c r="CP206" s="32" t="n"/>
      <c r="CQ206" s="32" t="n"/>
      <c r="CR206" s="32" t="n"/>
      <c r="CS206" s="32" t="n"/>
      <c r="CT206" s="32" t="n"/>
      <c r="CU206" s="32" t="n"/>
      <c r="CV206" s="32" t="n"/>
      <c r="CW206" s="32" t="n"/>
      <c r="CX206" s="32" t="n"/>
      <c r="CY206" s="32" t="n"/>
      <c r="CZ206" s="32" t="n"/>
      <c r="DA206" s="32" t="n"/>
      <c r="DB206" s="32" t="n"/>
      <c r="DC206" s="32" t="n"/>
      <c r="DD206" s="32" t="n"/>
      <c r="DE206" s="32" t="n"/>
      <c r="DF206" s="32" t="n"/>
      <c r="DG206" s="32" t="n"/>
      <c r="DH206" s="32" t="n"/>
      <c r="DI206" s="32" t="n"/>
      <c r="DJ206" s="32" t="n"/>
      <c r="DK206" s="32" t="n"/>
      <c r="DL206" s="32" t="n"/>
      <c r="DM206" s="32" t="n"/>
      <c r="DN206" s="32" t="n"/>
      <c r="DO206" s="32" t="n"/>
      <c r="DP206" s="32" t="n"/>
      <c r="DQ206" s="32" t="n"/>
      <c r="DR206" s="32" t="n"/>
      <c r="DS206" s="32" t="n"/>
      <c r="DT206" s="32" t="n"/>
      <c r="DU206" s="32" t="n"/>
      <c r="DV206" s="32" t="n"/>
      <c r="DW206" s="32" t="n"/>
      <c r="DX206" s="32" t="n"/>
      <c r="DY206" s="32" t="n"/>
      <c r="DZ206" s="32" t="n"/>
      <c r="EA206" s="32" t="n"/>
      <c r="EB206" s="32" t="n"/>
      <c r="EC206" s="32" t="n"/>
      <c r="ED206" s="32" t="n"/>
      <c r="EE206" s="32" t="n"/>
      <c r="EF206" s="32" t="n"/>
      <c r="EG206" s="32" t="n"/>
      <c r="EH206" s="32" t="n"/>
      <c r="EI206" s="32" t="n"/>
      <c r="EJ206" s="32" t="n"/>
      <c r="EK206" s="32" t="n"/>
      <c r="EL206" s="32" t="n"/>
      <c r="EM206" s="32" t="n"/>
      <c r="EN206" s="32" t="n"/>
      <c r="EO206" s="32" t="n"/>
      <c r="EP206" s="32" t="n"/>
      <c r="EQ206" s="32" t="n"/>
      <c r="ER206" s="32" t="n"/>
      <c r="ES206" s="32" t="n"/>
      <c r="ET206" s="32" t="n"/>
      <c r="EU206" s="32" t="n"/>
      <c r="EV206" s="32" t="n"/>
      <c r="EW206" s="32" t="n"/>
      <c r="EX206" s="32" t="n"/>
      <c r="EY206" s="32" t="n"/>
      <c r="EZ206" s="32" t="n"/>
      <c r="FA206" s="32" t="n"/>
      <c r="FB206" s="32" t="n"/>
    </row>
    <row r="208">
      <c r="I208" s="32" t="n"/>
      <c r="J208" s="32" t="n"/>
      <c r="K208" s="33" t="n"/>
      <c r="L208" s="134" t="n"/>
      <c r="M208" s="33" t="n"/>
      <c r="N208" s="32" t="n"/>
      <c r="O208" s="32" t="n"/>
      <c r="P208" s="32" t="n"/>
      <c r="Q208" s="32" t="n"/>
      <c r="R208" s="32" t="n"/>
      <c r="S208" s="32" t="n"/>
      <c r="T208" s="32" t="n"/>
      <c r="U208" s="32" t="n"/>
      <c r="V208" s="32" t="n"/>
      <c r="W208" s="32" t="n"/>
      <c r="X208" s="32" t="n"/>
      <c r="Y208" s="33" t="n"/>
      <c r="Z208" s="32" t="n"/>
      <c r="AA208" s="32" t="n"/>
      <c r="AB208" s="32" t="n"/>
      <c r="AC208" s="32" t="n"/>
      <c r="AD208" s="32" t="n"/>
      <c r="AE208" s="32" t="n"/>
      <c r="AF208" s="32" t="n"/>
      <c r="AG208" s="32" t="n"/>
      <c r="AH208" s="32" t="n"/>
      <c r="AI208" s="32" t="n"/>
      <c r="AJ208" s="32" t="n"/>
      <c r="AK208" s="32" t="n"/>
      <c r="AL208" s="32" t="n"/>
      <c r="AM208" s="32" t="n"/>
      <c r="AN208" s="32" t="n"/>
      <c r="AO208" s="32" t="n"/>
      <c r="AP208" s="32" t="n"/>
      <c r="AQ208" s="32" t="n"/>
      <c r="AR208" s="32" t="n"/>
      <c r="AS208" s="32" t="n"/>
      <c r="AT208" s="32" t="n"/>
      <c r="AU208" s="32" t="n"/>
      <c r="AV208" s="32" t="n"/>
      <c r="AW208" s="32" t="n"/>
      <c r="AX208" s="32" t="n"/>
      <c r="AY208" s="32" t="n"/>
      <c r="AZ208" s="32" t="n"/>
      <c r="BA208" s="32" t="n"/>
      <c r="BB208" s="32" t="n"/>
      <c r="BC208" s="32" t="n"/>
      <c r="BD208" s="32" t="n"/>
      <c r="BE208" s="32" t="n"/>
      <c r="BF208" s="32" t="n"/>
      <c r="BG208" s="32" t="n"/>
      <c r="BH208" s="32" t="n"/>
      <c r="BI208" s="32" t="n"/>
      <c r="BJ208" s="32" t="n"/>
      <c r="BK208" s="32" t="n"/>
      <c r="BL208" s="32" t="n"/>
      <c r="BM208" s="32" t="n"/>
      <c r="BN208" s="32" t="n"/>
      <c r="BO208" s="32" t="n"/>
      <c r="BP208" s="32" t="n"/>
      <c r="BQ208" s="32" t="n"/>
      <c r="BR208" s="32" t="n"/>
      <c r="BS208" s="32" t="n"/>
      <c r="BT208" s="32" t="n"/>
      <c r="BU208" s="32" t="n"/>
      <c r="BV208" s="32" t="n"/>
      <c r="BW208" s="32" t="n"/>
      <c r="BX208" s="32" t="n"/>
      <c r="BY208" s="32" t="n"/>
      <c r="BZ208" s="32" t="n"/>
      <c r="CA208" s="32" t="n"/>
      <c r="CB208" s="32" t="n"/>
      <c r="CC208" s="32" t="n"/>
      <c r="CD208" s="32" t="n"/>
      <c r="CE208" s="32" t="n"/>
      <c r="CF208" s="32" t="n"/>
      <c r="CG208" s="32" t="n"/>
      <c r="CH208" s="32" t="n"/>
      <c r="CI208" s="32" t="n"/>
      <c r="CJ208" s="32" t="n"/>
      <c r="CK208" s="32" t="n"/>
      <c r="CL208" s="32" t="n"/>
      <c r="CM208" s="32" t="n"/>
      <c r="CN208" s="32" t="n"/>
      <c r="CO208" s="32" t="n"/>
      <c r="CP208" s="32" t="n"/>
      <c r="CQ208" s="32" t="n"/>
      <c r="CR208" s="32" t="n"/>
      <c r="CS208" s="32" t="n"/>
      <c r="CT208" s="32" t="n"/>
      <c r="CU208" s="32" t="n"/>
      <c r="CV208" s="32" t="n"/>
      <c r="CW208" s="32" t="n"/>
      <c r="CX208" s="32" t="n"/>
      <c r="CY208" s="32" t="n"/>
      <c r="CZ208" s="32" t="n"/>
      <c r="DA208" s="32" t="n"/>
      <c r="DB208" s="32" t="n"/>
      <c r="DC208" s="32" t="n"/>
      <c r="DD208" s="32" t="n"/>
      <c r="DE208" s="32" t="n"/>
      <c r="DF208" s="32" t="n"/>
      <c r="DG208" s="32" t="n"/>
      <c r="DH208" s="32" t="n"/>
      <c r="DI208" s="32" t="n"/>
      <c r="DJ208" s="32" t="n"/>
      <c r="DK208" s="32" t="n"/>
      <c r="DL208" s="32" t="n"/>
      <c r="DM208" s="32" t="n"/>
      <c r="DN208" s="32" t="n"/>
      <c r="DO208" s="32" t="n"/>
      <c r="DP208" s="32" t="n"/>
      <c r="DQ208" s="32" t="n"/>
      <c r="DR208" s="32" t="n"/>
      <c r="DS208" s="32" t="n"/>
      <c r="DT208" s="32" t="n"/>
      <c r="DU208" s="32" t="n"/>
      <c r="DV208" s="32" t="n"/>
      <c r="DW208" s="32" t="n"/>
      <c r="DX208" s="32" t="n"/>
      <c r="DY208" s="32" t="n"/>
      <c r="DZ208" s="32" t="n"/>
      <c r="EA208" s="32" t="n"/>
      <c r="EB208" s="32" t="n"/>
      <c r="EC208" s="32" t="n"/>
      <c r="ED208" s="32" t="n"/>
      <c r="EE208" s="32" t="n"/>
      <c r="EF208" s="32" t="n"/>
      <c r="EG208" s="32" t="n"/>
      <c r="EH208" s="32" t="n"/>
      <c r="EI208" s="32" t="n"/>
      <c r="EJ208" s="32" t="n"/>
      <c r="EK208" s="32" t="n"/>
      <c r="EL208" s="32" t="n"/>
      <c r="EM208" s="32" t="n"/>
      <c r="EN208" s="32" t="n"/>
      <c r="EO208" s="32" t="n"/>
      <c r="EP208" s="32" t="n"/>
      <c r="EQ208" s="32" t="n"/>
      <c r="ER208" s="32" t="n"/>
      <c r="ES208" s="32" t="n"/>
      <c r="ET208" s="32" t="n"/>
      <c r="EU208" s="32" t="n"/>
      <c r="EV208" s="32" t="n"/>
      <c r="EW208" s="32" t="n"/>
      <c r="EX208" s="32" t="n"/>
      <c r="EY208" s="32" t="n"/>
      <c r="EZ208" s="32" t="n"/>
      <c r="FA208" s="32" t="n"/>
      <c r="FB208" s="32" t="n"/>
    </row>
    <row r="214">
      <c r="I214" s="52" t="n"/>
      <c r="J214" s="52" t="n"/>
      <c r="K214" s="51" t="n"/>
      <c r="L214" s="3" t="n"/>
      <c r="M214" s="51" t="n"/>
      <c r="N214" s="52" t="n"/>
      <c r="O214" s="52" t="n"/>
      <c r="P214" s="52" t="n"/>
      <c r="Q214" s="52" t="n"/>
      <c r="R214" s="52" t="n"/>
      <c r="S214" s="52" t="n"/>
      <c r="T214" s="52" t="n"/>
      <c r="U214" s="52" t="n"/>
      <c r="V214" s="52" t="n"/>
      <c r="W214" s="52" t="n"/>
      <c r="X214" s="52" t="n"/>
      <c r="Y214" s="51" t="n"/>
      <c r="Z214" s="52" t="n"/>
      <c r="AA214" s="52" t="n"/>
      <c r="AB214" s="52" t="n"/>
      <c r="AC214" s="52" t="n"/>
      <c r="AD214" s="52" t="n"/>
      <c r="AE214" s="52" t="n"/>
      <c r="AF214" s="52" t="n"/>
      <c r="AG214" s="52" t="n"/>
      <c r="AH214" s="52" t="n"/>
      <c r="AI214" s="52" t="n"/>
      <c r="AJ214" s="52" t="n"/>
      <c r="AK214" s="52" t="n"/>
      <c r="AL214" s="52" t="n"/>
      <c r="AM214" s="52" t="n"/>
      <c r="AN214" s="52" t="n"/>
      <c r="AO214" s="52" t="n"/>
      <c r="AP214" s="52" t="n"/>
      <c r="AQ214" s="52" t="n"/>
      <c r="AR214" s="52" t="n"/>
      <c r="AS214" s="52" t="n"/>
      <c r="AT214" s="52" t="n"/>
      <c r="AU214" s="52" t="n"/>
      <c r="AV214" s="52" t="n"/>
      <c r="AW214" s="52" t="n"/>
      <c r="AX214" s="52" t="n"/>
      <c r="AY214" s="52" t="n"/>
      <c r="AZ214" s="52" t="n"/>
      <c r="BA214" s="52" t="n"/>
      <c r="BB214" s="52" t="n"/>
      <c r="BC214" s="52" t="n"/>
      <c r="BD214" s="52" t="n"/>
      <c r="BE214" s="52" t="n"/>
      <c r="BF214" s="52" t="n"/>
      <c r="BG214" s="52" t="n"/>
      <c r="BH214" s="52" t="n"/>
      <c r="BI214" s="52" t="n"/>
      <c r="BJ214" s="52" t="n"/>
      <c r="BK214" s="52" t="n"/>
      <c r="BL214" s="52" t="n"/>
      <c r="BM214" s="52" t="n"/>
      <c r="BN214" s="52" t="n"/>
      <c r="BO214" s="52" t="n"/>
      <c r="BP214" s="52" t="n"/>
      <c r="BQ214" s="52" t="n"/>
      <c r="BR214" s="52" t="n"/>
      <c r="BS214" s="52" t="n"/>
      <c r="BT214" s="52" t="n"/>
      <c r="BU214" s="52" t="n"/>
      <c r="BV214" s="52" t="n"/>
      <c r="BW214" s="52" t="n"/>
      <c r="BX214" s="52" t="n"/>
      <c r="BY214" s="52" t="n"/>
      <c r="BZ214" s="52" t="n"/>
      <c r="CA214" s="52" t="n"/>
      <c r="CB214" s="52" t="n"/>
      <c r="CC214" s="52" t="n"/>
      <c r="CD214" s="52" t="n"/>
      <c r="CE214" s="52" t="n"/>
      <c r="CF214" s="52" t="n"/>
      <c r="CG214" s="52" t="n"/>
      <c r="CH214" s="52" t="n"/>
      <c r="CI214" s="52" t="n"/>
      <c r="CJ214" s="52" t="n"/>
      <c r="CK214" s="52" t="n"/>
      <c r="CL214" s="52" t="n"/>
      <c r="CM214" s="52" t="n"/>
      <c r="CN214" s="52" t="n"/>
      <c r="CO214" s="52" t="n"/>
      <c r="CP214" s="52" t="n"/>
      <c r="CQ214" s="52" t="n"/>
      <c r="CR214" s="52" t="n"/>
      <c r="CS214" s="52" t="n"/>
      <c r="CT214" s="52" t="n"/>
      <c r="CU214" s="52" t="n"/>
      <c r="CV214" s="52" t="n"/>
      <c r="CW214" s="52" t="n"/>
      <c r="CX214" s="52" t="n"/>
      <c r="CY214" s="52" t="n"/>
      <c r="CZ214" s="52" t="n"/>
      <c r="DA214" s="52" t="n"/>
      <c r="DB214" s="52" t="n"/>
      <c r="DC214" s="52" t="n"/>
      <c r="DD214" s="52" t="n"/>
      <c r="DE214" s="52" t="n"/>
      <c r="DF214" s="52" t="n"/>
      <c r="DG214" s="52" t="n"/>
      <c r="DH214" s="52" t="n"/>
      <c r="DI214" s="52" t="n"/>
      <c r="DJ214" s="52" t="n"/>
      <c r="DK214" s="52" t="n"/>
      <c r="DL214" s="52" t="n"/>
      <c r="DM214" s="52" t="n"/>
      <c r="DN214" s="52" t="n"/>
      <c r="DO214" s="52" t="n"/>
      <c r="DP214" s="52" t="n"/>
      <c r="DQ214" s="52" t="n"/>
      <c r="DR214" s="52" t="n"/>
      <c r="DS214" s="52" t="n"/>
      <c r="DT214" s="52" t="n"/>
      <c r="DU214" s="52" t="n"/>
      <c r="DV214" s="52" t="n"/>
      <c r="DW214" s="52" t="n"/>
      <c r="DX214" s="52" t="n"/>
      <c r="DY214" s="52" t="n"/>
      <c r="DZ214" s="52" t="n"/>
      <c r="EA214" s="52" t="n"/>
      <c r="EB214" s="52" t="n"/>
      <c r="EC214" s="52" t="n"/>
      <c r="ED214" s="52" t="n"/>
      <c r="EE214" s="52" t="n"/>
      <c r="EF214" s="52" t="n"/>
      <c r="EG214" s="52" t="n"/>
      <c r="EH214" s="52" t="n"/>
      <c r="EI214" s="52" t="n"/>
      <c r="EJ214" s="52" t="n"/>
      <c r="EK214" s="52" t="n"/>
      <c r="EL214" s="52" t="n"/>
      <c r="EM214" s="52" t="n"/>
      <c r="EN214" s="52" t="n"/>
      <c r="EO214" s="52" t="n"/>
      <c r="EP214" s="52" t="n"/>
      <c r="EQ214" s="52" t="n"/>
      <c r="ER214" s="52" t="n"/>
      <c r="ES214" s="52" t="n"/>
      <c r="ET214" s="52" t="n"/>
      <c r="EU214" s="52" t="n"/>
      <c r="EV214" s="52" t="n"/>
      <c r="EW214" s="52" t="n"/>
      <c r="EX214" s="52" t="n"/>
      <c r="EY214" s="52" t="n"/>
      <c r="EZ214" s="52" t="n"/>
      <c r="FA214" s="52" t="n"/>
      <c r="FB214" s="52" t="n"/>
    </row>
    <row r="215">
      <c r="I215" s="46" t="n"/>
      <c r="J215" s="46" t="n"/>
      <c r="K215" s="63" t="n"/>
      <c r="M215" s="63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63" t="n"/>
      <c r="Z215" s="46" t="n"/>
      <c r="AA215" s="46" t="n"/>
      <c r="AB215" s="46" t="n"/>
      <c r="AC215" s="46" t="n"/>
      <c r="AD215" s="46" t="n"/>
      <c r="AE215" s="46" t="n"/>
      <c r="AF215" s="46" t="n"/>
      <c r="AG215" s="46" t="n"/>
      <c r="AH215" s="46" t="n"/>
      <c r="AI215" s="46" t="n"/>
      <c r="AJ215" s="46" t="n"/>
      <c r="AK215" s="46" t="n"/>
      <c r="AL215" s="46" t="n"/>
      <c r="AM215" s="46" t="n"/>
      <c r="AN215" s="46" t="n"/>
      <c r="AO215" s="46" t="n"/>
      <c r="AP215" s="46" t="n"/>
      <c r="AQ215" s="46" t="n"/>
      <c r="AR215" s="46" t="n"/>
      <c r="AS215" s="46" t="n"/>
      <c r="AT215" s="46" t="n"/>
      <c r="AU215" s="46" t="n"/>
      <c r="AV215" s="46" t="n"/>
      <c r="AW215" s="46" t="n"/>
      <c r="AX215" s="46" t="n"/>
      <c r="AY215" s="46" t="n"/>
      <c r="AZ215" s="46" t="n"/>
      <c r="BA215" s="46" t="n"/>
      <c r="BB215" s="46" t="n"/>
      <c r="BC215" s="46" t="n"/>
      <c r="BD215" s="46" t="n"/>
      <c r="BE215" s="46" t="n"/>
      <c r="BF215" s="46" t="n"/>
      <c r="BG215" s="46" t="n"/>
      <c r="BH215" s="46" t="n"/>
      <c r="BI215" s="46" t="n"/>
      <c r="BJ215" s="46" t="n"/>
      <c r="BK215" s="46" t="n"/>
      <c r="BL215" s="46" t="n"/>
      <c r="BM215" s="46" t="n"/>
      <c r="BN215" s="46" t="n"/>
      <c r="BO215" s="46" t="n"/>
      <c r="BP215" s="46" t="n"/>
      <c r="BQ215" s="46" t="n"/>
      <c r="BR215" s="46" t="n"/>
      <c r="BS215" s="46" t="n"/>
      <c r="BT215" s="46" t="n"/>
      <c r="BU215" s="46" t="n"/>
      <c r="BV215" s="46" t="n"/>
      <c r="BW215" s="46" t="n"/>
      <c r="BX215" s="46" t="n"/>
      <c r="BY215" s="46" t="n"/>
      <c r="BZ215" s="46" t="n"/>
      <c r="CA215" s="46" t="n"/>
      <c r="CB215" s="46" t="n"/>
      <c r="CC215" s="46" t="n"/>
      <c r="CD215" s="46" t="n"/>
      <c r="CE215" s="46" t="n"/>
      <c r="CF215" s="46" t="n"/>
      <c r="CG215" s="46" t="n"/>
      <c r="CH215" s="46" t="n"/>
      <c r="CI215" s="46" t="n"/>
      <c r="CJ215" s="46" t="n"/>
      <c r="CK215" s="46" t="n"/>
      <c r="CL215" s="46" t="n"/>
      <c r="CM215" s="46" t="n"/>
      <c r="CN215" s="46" t="n"/>
      <c r="CO215" s="46" t="n"/>
      <c r="CP215" s="46" t="n"/>
      <c r="CQ215" s="46" t="n"/>
      <c r="CR215" s="46" t="n"/>
      <c r="CS215" s="46" t="n"/>
      <c r="CT215" s="46" t="n"/>
      <c r="CU215" s="46" t="n"/>
      <c r="CV215" s="46" t="n"/>
      <c r="CW215" s="46" t="n"/>
      <c r="CX215" s="46" t="n"/>
      <c r="CY215" s="46" t="n"/>
      <c r="CZ215" s="46" t="n"/>
      <c r="DA215" s="46" t="n"/>
      <c r="DB215" s="46" t="n"/>
      <c r="DC215" s="46" t="n"/>
      <c r="DD215" s="46" t="n"/>
      <c r="DE215" s="46" t="n"/>
      <c r="DF215" s="46" t="n"/>
      <c r="DG215" s="46" t="n"/>
      <c r="DH215" s="46" t="n"/>
      <c r="DI215" s="46" t="n"/>
      <c r="DJ215" s="46" t="n"/>
      <c r="DK215" s="46" t="n"/>
      <c r="DL215" s="46" t="n"/>
      <c r="DM215" s="46" t="n"/>
      <c r="DN215" s="46" t="n"/>
      <c r="DO215" s="46" t="n"/>
      <c r="DP215" s="46" t="n"/>
      <c r="DQ215" s="46" t="n"/>
      <c r="DR215" s="46" t="n"/>
      <c r="DS215" s="46" t="n"/>
      <c r="DT215" s="46" t="n"/>
      <c r="DU215" s="46" t="n"/>
      <c r="DV215" s="46" t="n"/>
      <c r="DW215" s="46" t="n"/>
      <c r="DX215" s="46" t="n"/>
      <c r="DY215" s="46" t="n"/>
      <c r="DZ215" s="46" t="n"/>
      <c r="EA215" s="46" t="n"/>
      <c r="EB215" s="46" t="n"/>
      <c r="EC215" s="46" t="n"/>
      <c r="ED215" s="46" t="n"/>
      <c r="EE215" s="46" t="n"/>
      <c r="EF215" s="46" t="n"/>
      <c r="EG215" s="46" t="n"/>
      <c r="EH215" s="46" t="n"/>
      <c r="EI215" s="46" t="n"/>
      <c r="EJ215" s="46" t="n"/>
      <c r="EK215" s="46" t="n"/>
      <c r="EL215" s="46" t="n"/>
      <c r="EM215" s="46" t="n"/>
      <c r="EN215" s="46" t="n"/>
      <c r="EO215" s="46" t="n"/>
      <c r="EP215" s="46" t="n"/>
      <c r="EQ215" s="46" t="n"/>
      <c r="ER215" s="46" t="n"/>
      <c r="ES215" s="46" t="n"/>
      <c r="ET215" s="46" t="n"/>
      <c r="EU215" s="46" t="n"/>
      <c r="EV215" s="46" t="n"/>
      <c r="EW215" s="46" t="n"/>
      <c r="EX215" s="46" t="n"/>
      <c r="EY215" s="46" t="n"/>
      <c r="EZ215" s="46" t="n"/>
      <c r="FA215" s="46" t="n"/>
      <c r="FB215" s="46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E111"/>
  <sheetViews>
    <sheetView topLeftCell="A36" workbookViewId="0">
      <selection activeCell="C66" sqref="C66"/>
    </sheetView>
  </sheetViews>
  <sheetFormatPr baseColWidth="10" defaultRowHeight="18"/>
  <cols>
    <col width="99.5" customWidth="1" min="2" max="2"/>
  </cols>
  <sheetData>
    <row r="3">
      <c r="B3" s="238" t="inlineStr">
        <is>
          <t>Item</t>
        </is>
      </c>
      <c r="C3" s="238" t="inlineStr">
        <is>
          <t>Value</t>
        </is>
      </c>
    </row>
    <row r="4">
      <c r="B4" t="inlineStr">
        <is>
          <t>Acquisition Date BOP Mo</t>
        </is>
      </c>
      <c r="C4" t="n">
        <v>0</v>
      </c>
    </row>
    <row r="5">
      <c r="B5" t="inlineStr">
        <is>
          <t>Acquisition Date BOP Date</t>
        </is>
      </c>
      <c r="C5" s="240" t="n">
        <v>46174</v>
      </c>
    </row>
    <row r="6">
      <c r="B6" s="239" t="inlineStr">
        <is>
          <t>Acquisition Date Duration</t>
        </is>
      </c>
      <c r="C6" s="119" t="n">
        <v>0</v>
      </c>
    </row>
    <row r="7">
      <c r="B7" t="inlineStr">
        <is>
          <t>Senior/Bridge Loan Term (Months)</t>
        </is>
      </c>
      <c r="C7" t="n">
        <v>24</v>
      </c>
    </row>
    <row r="8">
      <c r="B8" t="inlineStr">
        <is>
          <t>NOI T-12</t>
        </is>
      </c>
      <c r="C8" s="100" t="n">
        <v>557219.8628</v>
      </c>
    </row>
    <row r="9">
      <c r="B9" t="inlineStr">
        <is>
          <t>Cap Rate Aequitas Valuation</t>
        </is>
      </c>
      <c r="C9" s="50" t="n">
        <v>0.0831671437014925</v>
      </c>
    </row>
    <row r="10">
      <c r="B10" t="inlineStr">
        <is>
          <t>Total Sales Cost</t>
        </is>
      </c>
      <c r="C10" s="241" t="n">
        <v>0.02</v>
      </c>
    </row>
    <row r="11">
      <c r="B11" t="inlineStr">
        <is>
          <t xml:space="preserve">Closing Costs </t>
        </is>
      </c>
      <c r="C11" s="242" t="n">
        <v>0.0075</v>
      </c>
    </row>
    <row r="12">
      <c r="B12" t="inlineStr">
        <is>
          <t>Acquisition Price at Closing</t>
        </is>
      </c>
      <c r="C12" s="241" t="n">
        <v>1</v>
      </c>
    </row>
    <row r="13">
      <c r="B13" t="inlineStr">
        <is>
          <t>Closing Costs at Closing</t>
        </is>
      </c>
      <c r="C13" s="241" t="n">
        <v>1</v>
      </c>
    </row>
    <row r="14">
      <c r="B14" t="inlineStr">
        <is>
          <t>Working Capital/Reserve at Closing</t>
        </is>
      </c>
      <c r="C14" s="241" t="n">
        <v>1</v>
      </c>
    </row>
    <row r="15">
      <c r="B15" t="inlineStr">
        <is>
          <t>Financing Costs at Closing</t>
        </is>
      </c>
      <c r="C15" s="241" t="n">
        <v>1</v>
      </c>
    </row>
    <row r="16">
      <c r="B16" t="inlineStr">
        <is>
          <t>Acquisition Price Start Month</t>
        </is>
      </c>
      <c r="C16" s="243" t="n">
        <v>1</v>
      </c>
    </row>
    <row r="17">
      <c r="B17" t="inlineStr">
        <is>
          <t>Closing Costs Start Month</t>
        </is>
      </c>
      <c r="C17" s="243" t="n">
        <v>1</v>
      </c>
    </row>
    <row r="18">
      <c r="B18" t="inlineStr">
        <is>
          <t>Working Capital/Reserve Start Month</t>
        </is>
      </c>
      <c r="C18" s="243" t="n">
        <v>1</v>
      </c>
    </row>
    <row r="19">
      <c r="B19" t="inlineStr">
        <is>
          <t>Financing Costs Start Month</t>
        </is>
      </c>
      <c r="C19" s="243" t="n">
        <v>1</v>
      </c>
    </row>
    <row r="20">
      <c r="B20" t="inlineStr">
        <is>
          <t>Acquisition Price Duration</t>
        </is>
      </c>
      <c r="C20" s="243" t="n">
        <v>1</v>
      </c>
    </row>
    <row r="21">
      <c r="B21" t="inlineStr">
        <is>
          <t>Closing Costs Duration</t>
        </is>
      </c>
      <c r="C21" s="243" t="n">
        <v>1</v>
      </c>
    </row>
    <row r="22">
      <c r="B22" t="inlineStr">
        <is>
          <t>Working Capital/Reserve Duration</t>
        </is>
      </c>
      <c r="C22" s="243" t="n">
        <v>1</v>
      </c>
    </row>
    <row r="23">
      <c r="B23" t="inlineStr">
        <is>
          <t>Financing Costs Duration</t>
        </is>
      </c>
      <c r="C23" s="243" t="n">
        <v>1</v>
      </c>
    </row>
    <row r="24">
      <c r="B24" t="inlineStr">
        <is>
          <t>Loss to Lease 2026</t>
        </is>
      </c>
      <c r="C24" t="n">
        <v>0.0125</v>
      </c>
    </row>
    <row r="25">
      <c r="B25" t="inlineStr">
        <is>
          <t>Vacancy Loss 2026</t>
        </is>
      </c>
      <c r="C25" t="n">
        <v>0.08</v>
      </c>
    </row>
    <row r="26">
      <c r="B26" t="inlineStr">
        <is>
          <t>Bad Debt 2026</t>
        </is>
      </c>
      <c r="C26" t="n">
        <v>0.01</v>
      </c>
    </row>
    <row r="27">
      <c r="B27" t="inlineStr">
        <is>
          <t>Concessions 2026</t>
        </is>
      </c>
      <c r="C27" t="n">
        <v>0.02</v>
      </c>
    </row>
    <row r="28">
      <c r="B28" t="inlineStr">
        <is>
          <t>Model Units 2026</t>
        </is>
      </c>
      <c r="C28" t="n">
        <v>0</v>
      </c>
    </row>
    <row r="29">
      <c r="B29" t="inlineStr">
        <is>
          <t>Loss to Lease 2027</t>
        </is>
      </c>
      <c r="C29" t="n">
        <v>0.0125</v>
      </c>
    </row>
    <row r="30">
      <c r="B30" t="inlineStr">
        <is>
          <t>Vacancy Loss 2027</t>
        </is>
      </c>
      <c r="C30" t="n">
        <v>0.07000000000000001</v>
      </c>
    </row>
    <row r="31">
      <c r="B31" t="inlineStr">
        <is>
          <t>Bad Debt 2027</t>
        </is>
      </c>
      <c r="C31" t="n">
        <v>0.01</v>
      </c>
    </row>
    <row r="32">
      <c r="B32" t="inlineStr">
        <is>
          <t>Concessions 2027</t>
        </is>
      </c>
      <c r="C32" t="n">
        <v>0.01</v>
      </c>
    </row>
    <row r="33">
      <c r="B33" t="inlineStr">
        <is>
          <t>Model Units 2027</t>
        </is>
      </c>
      <c r="C33" t="n">
        <v>0</v>
      </c>
    </row>
    <row r="34">
      <c r="B34" s="239" t="inlineStr">
        <is>
          <t>Loss to Lease 2028</t>
        </is>
      </c>
      <c r="C34" t="n">
        <v>0.0125</v>
      </c>
    </row>
    <row r="35">
      <c r="B35" s="239" t="inlineStr">
        <is>
          <t>Vacancy Loss 2028</t>
        </is>
      </c>
      <c r="C35" t="n">
        <v>0.06</v>
      </c>
    </row>
    <row r="36">
      <c r="B36" s="239" t="inlineStr">
        <is>
          <t>Bad Debt 2028</t>
        </is>
      </c>
      <c r="C36" t="n">
        <v>0.01</v>
      </c>
    </row>
    <row r="37">
      <c r="B37" s="239" t="inlineStr">
        <is>
          <t>Concessions 2028</t>
        </is>
      </c>
      <c r="C37" t="n">
        <v>0.01</v>
      </c>
    </row>
    <row r="38">
      <c r="B38" s="239" t="inlineStr">
        <is>
          <t>Model Units 2028</t>
        </is>
      </c>
      <c r="C38" t="n">
        <v>0</v>
      </c>
    </row>
    <row r="39">
      <c r="B39" s="239" t="inlineStr">
        <is>
          <t>Loss to Lease 2029</t>
        </is>
      </c>
      <c r="C39" t="n">
        <v>0.0125</v>
      </c>
    </row>
    <row r="40">
      <c r="B40" s="239" t="inlineStr">
        <is>
          <t>Vacancy Loss 2029</t>
        </is>
      </c>
      <c r="C40" t="n">
        <v>0.06</v>
      </c>
    </row>
    <row r="41">
      <c r="B41" s="239" t="inlineStr">
        <is>
          <t>Bad Debt 2029</t>
        </is>
      </c>
      <c r="C41" t="n">
        <v>0.01</v>
      </c>
    </row>
    <row r="42">
      <c r="B42" s="239" t="inlineStr">
        <is>
          <t>Concessions 2029</t>
        </is>
      </c>
      <c r="C42" t="n">
        <v>0</v>
      </c>
    </row>
    <row r="43">
      <c r="B43" s="239" t="inlineStr">
        <is>
          <t>Model Units 2029</t>
        </is>
      </c>
      <c r="C43" t="n">
        <v>0</v>
      </c>
    </row>
    <row r="44">
      <c r="B44" s="239" t="inlineStr">
        <is>
          <t>Loss to Lease 2030</t>
        </is>
      </c>
      <c r="C44" t="n">
        <v>0.0125</v>
      </c>
    </row>
    <row r="45">
      <c r="B45" s="239" t="inlineStr">
        <is>
          <t>Vacancy Loss 2030</t>
        </is>
      </c>
      <c r="C45" t="n">
        <v>0.06</v>
      </c>
    </row>
    <row r="46">
      <c r="B46" s="239" t="inlineStr">
        <is>
          <t>Bad Debt 2030</t>
        </is>
      </c>
      <c r="C46" t="n">
        <v>0.01</v>
      </c>
    </row>
    <row r="47">
      <c r="B47" s="239" t="inlineStr">
        <is>
          <t>Concessions 2030</t>
        </is>
      </c>
      <c r="C47" t="n">
        <v>0</v>
      </c>
    </row>
    <row r="48">
      <c r="B48" s="239" t="inlineStr">
        <is>
          <t>Model Units 2030</t>
        </is>
      </c>
      <c r="C48" t="n">
        <v>0</v>
      </c>
    </row>
    <row r="49">
      <c r="B49" t="inlineStr">
        <is>
          <t>Assessed Value Current</t>
        </is>
      </c>
      <c r="C49" t="n">
        <v>0</v>
      </c>
    </row>
    <row r="50">
      <c r="B50" t="inlineStr">
        <is>
          <t>Assessed Value/Unit Current</t>
        </is>
      </c>
      <c r="C50" t="n">
        <v>0</v>
      </c>
    </row>
    <row r="51">
      <c r="B51" t="inlineStr">
        <is>
          <t>Assessment % Current</t>
        </is>
      </c>
      <c r="C51" t="n">
        <v>0.01</v>
      </c>
    </row>
    <row r="52">
      <c r="B52" t="inlineStr">
        <is>
          <t>Assessed Value Next Buyer</t>
        </is>
      </c>
      <c r="C52" t="n">
        <v>0</v>
      </c>
    </row>
    <row r="53">
      <c r="B53" t="inlineStr">
        <is>
          <t>Assessed Value/Unit Next Buyer</t>
        </is>
      </c>
      <c r="C53" t="n">
        <v>0</v>
      </c>
    </row>
    <row r="54">
      <c r="B54" t="inlineStr">
        <is>
          <t>Assessment % Next Buyer</t>
        </is>
      </c>
      <c r="C54" t="n">
        <v>0.01</v>
      </c>
    </row>
    <row r="55">
      <c r="B55" t="inlineStr">
        <is>
          <t>Refinance Interest Rate</t>
        </is>
      </c>
      <c r="C55" t="n">
        <v>0.0625</v>
      </c>
    </row>
    <row r="56">
      <c r="B56" t="inlineStr">
        <is>
          <t>Rent Growth Rate</t>
        </is>
      </c>
      <c r="C56" t="n">
        <v>0.02</v>
      </c>
    </row>
    <row r="57">
      <c r="B57" t="inlineStr">
        <is>
          <t>Opex Growth Rate</t>
        </is>
      </c>
      <c r="C57" t="n">
        <v>0.02</v>
      </c>
    </row>
    <row r="58">
      <c r="B58" t="inlineStr">
        <is>
          <t>Cap Reserve ($/Unit)</t>
        </is>
      </c>
      <c r="C58" t="n">
        <v>250</v>
      </c>
    </row>
    <row r="59">
      <c r="B59" t="inlineStr">
        <is>
          <t>Exit Cap Rate</t>
        </is>
      </c>
      <c r="C59" t="n">
        <v>0.0675</v>
      </c>
    </row>
    <row r="60">
      <c r="B60" t="inlineStr">
        <is>
          <t>Insurance</t>
        </is>
      </c>
      <c r="C60" t="n">
        <v>642.86</v>
      </c>
    </row>
    <row r="61">
      <c r="B61" t="inlineStr">
        <is>
          <t>Utilities</t>
        </is>
      </c>
      <c r="C61" t="n">
        <v>331.47</v>
      </c>
    </row>
    <row r="62">
      <c r="B62" t="inlineStr">
        <is>
          <t>Management Fee</t>
        </is>
      </c>
      <c r="C62" s="241" t="n">
        <v>0.02</v>
      </c>
    </row>
    <row r="63">
      <c r="B63" t="inlineStr">
        <is>
          <t>Property Tax</t>
        </is>
      </c>
      <c r="C63" t="n">
        <v>1498.94</v>
      </c>
    </row>
    <row r="64">
      <c r="B64" t="inlineStr">
        <is>
          <t>AM Fee (1% on LP Equity)</t>
        </is>
      </c>
      <c r="C64" t="n">
        <v>0.01</v>
      </c>
    </row>
    <row r="65">
      <c r="B65" t="inlineStr">
        <is>
          <t>Preferred Return</t>
        </is>
      </c>
      <c r="C65" t="n">
        <v>0.08</v>
      </c>
    </row>
    <row r="66">
      <c r="B66" t="inlineStr">
        <is>
          <t>GP Promote (above pref)</t>
        </is>
      </c>
      <c r="C66" t="n">
        <v>0.3</v>
      </c>
    </row>
    <row r="67">
      <c r="B67" t="inlineStr">
        <is>
          <t>Senior Loan Proceeds</t>
        </is>
      </c>
      <c r="C67" t="n">
        <v>4700000</v>
      </c>
    </row>
    <row r="68">
      <c r="B68" t="inlineStr">
        <is>
          <t>Senior Interest Rate</t>
        </is>
      </c>
      <c r="C68" t="n">
        <v>0.06519999999999999</v>
      </c>
    </row>
    <row r="69">
      <c r="B69" t="inlineStr">
        <is>
          <t>Refinance Term (Months)</t>
        </is>
      </c>
      <c r="C69" t="n">
        <v>360</v>
      </c>
    </row>
    <row r="70">
      <c r="B70" t="inlineStr">
        <is>
          <t>Refinance Financing Costs %</t>
        </is>
      </c>
      <c r="C70" t="n">
        <v>0.005</v>
      </c>
    </row>
    <row r="71">
      <c r="B71" t="inlineStr">
        <is>
          <t>Refinance IO Periods/Amortization</t>
        </is>
      </c>
      <c r="C71" t="n">
        <v>24</v>
      </c>
    </row>
    <row r="72">
      <c r="B72" t="inlineStr">
        <is>
          <t>Opex - Payroll</t>
        </is>
      </c>
      <c r="C72" t="n">
        <v>0</v>
      </c>
    </row>
    <row r="73">
      <c r="B73" t="inlineStr">
        <is>
          <t>Opex - Admin</t>
        </is>
      </c>
      <c r="C73" t="n">
        <v>1183.48</v>
      </c>
    </row>
    <row r="74">
      <c r="B74" t="inlineStr">
        <is>
          <t>Opex - Marketing</t>
        </is>
      </c>
      <c r="C74" t="n">
        <v>0</v>
      </c>
    </row>
    <row r="75">
      <c r="B75" t="inlineStr">
        <is>
          <t>Opex - R&amp;M</t>
        </is>
      </c>
      <c r="C75" t="n">
        <v>440.82</v>
      </c>
    </row>
    <row r="76">
      <c r="B76" t="inlineStr">
        <is>
          <t>Opex - Contract Service</t>
        </is>
      </c>
      <c r="C76" t="n">
        <v>227.14</v>
      </c>
    </row>
    <row r="77">
      <c r="B77" t="inlineStr">
        <is>
          <t>Opex - Turnover</t>
        </is>
      </c>
      <c r="C77" t="n">
        <v>291.07</v>
      </c>
    </row>
    <row r="78">
      <c r="B78" t="inlineStr">
        <is>
          <t>Opex - Other</t>
        </is>
      </c>
      <c r="C78" t="n">
        <v>0</v>
      </c>
    </row>
    <row r="79">
      <c r="B79" t="inlineStr">
        <is>
          <t>Senior Financing Costs %</t>
        </is>
      </c>
      <c r="C79" t="n">
        <v>0.01</v>
      </c>
    </row>
    <row r="80">
      <c r="B80" t="inlineStr">
        <is>
          <t>Senior IO Periods/Amortization</t>
        </is>
      </c>
      <c r="C80" t="n">
        <v>24</v>
      </c>
    </row>
    <row r="81">
      <c r="B81" t="inlineStr">
        <is>
          <t>Property Name</t>
        </is>
      </c>
      <c r="C81" t="inlineStr">
        <is>
          <t>Milestone and Trails Portfolio</t>
        </is>
      </c>
    </row>
    <row r="82">
      <c r="B82" t="inlineStr">
        <is>
          <t>Property Address</t>
        </is>
      </c>
      <c r="C82" t="inlineStr">
        <is>
          <t>5070 Warm Springs Rd &amp; 4531 Milgen Rd, Columbus, GA</t>
        </is>
      </c>
    </row>
    <row r="83">
      <c r="B83" t="inlineStr">
        <is>
          <t>Hold Period (Years)</t>
        </is>
      </c>
      <c r="C83" t="n">
        <v>10</v>
      </c>
    </row>
    <row r="84">
      <c r="B84" t="inlineStr">
        <is>
          <t>Purchase Price</t>
        </is>
      </c>
      <c r="C84" t="n">
        <v>6700000</v>
      </c>
    </row>
    <row r="85">
      <c r="B85" t="inlineStr">
        <is>
          <t>Working Capital/Reserve Amount</t>
        </is>
      </c>
      <c r="C85" t="n">
        <v>495432.59</v>
      </c>
    </row>
    <row r="86">
      <c r="B86" t="inlineStr">
        <is>
          <t>LP Equity Share</t>
        </is>
      </c>
      <c r="C86" t="n">
        <v>0.85</v>
      </c>
    </row>
    <row r="87">
      <c r="B87" t="inlineStr">
        <is>
          <t>RUBS %</t>
        </is>
      </c>
      <c r="C87" t="n">
        <v>0.7</v>
      </c>
    </row>
    <row r="88">
      <c r="B88" t="inlineStr">
        <is>
          <t>Parking $/Unit/Mo</t>
        </is>
      </c>
      <c r="C88" t="n">
        <v>0</v>
      </c>
    </row>
    <row r="89">
      <c r="B89" t="inlineStr">
        <is>
          <t>Other Income $/Unit/Mo</t>
        </is>
      </c>
      <c r="C89" t="n">
        <v>75</v>
      </c>
    </row>
    <row r="90">
      <c r="B90" t="inlineStr">
        <is>
          <t>Pari Passu (1=Yes, 0=No)</t>
        </is>
      </c>
      <c r="C90" t="n">
        <v>0</v>
      </c>
    </row>
    <row r="91">
      <c r="B91" t="inlineStr">
        <is>
          <t>Millage Rate</t>
        </is>
      </c>
      <c r="C91" t="n">
        <v>0.01892679804473016</v>
      </c>
    </row>
    <row r="92">
      <c r="B92" t="inlineStr">
        <is>
          <t>Special Assessment</t>
        </is>
      </c>
      <c r="C92" t="n">
        <v>0</v>
      </c>
    </row>
    <row r="94">
      <c r="B94" t="inlineStr">
        <is>
          <t>Unit Mix</t>
        </is>
      </c>
    </row>
    <row r="95">
      <c r="B95" t="inlineStr">
        <is>
          <t>Unit Type</t>
        </is>
      </c>
      <c r="C95" t="inlineStr">
        <is>
          <t>Count</t>
        </is>
      </c>
      <c r="D95" t="inlineStr">
        <is>
          <t>Rent/Unit</t>
        </is>
      </c>
      <c r="E95" t="inlineStr">
        <is>
          <t>Avg Size</t>
        </is>
      </c>
    </row>
    <row r="96">
      <c r="B96" t="inlineStr">
        <is>
          <t>2bd/2ba - 5070</t>
        </is>
      </c>
      <c r="C96" t="n">
        <v>32</v>
      </c>
      <c r="D96" t="n">
        <v>1230.39</v>
      </c>
      <c r="E96" t="n">
        <v>1100</v>
      </c>
    </row>
    <row r="97">
      <c r="B97" t="inlineStr">
        <is>
          <t>2bd/2ba - 4531</t>
        </is>
      </c>
      <c r="C97" t="n">
        <v>24</v>
      </c>
      <c r="D97" t="n">
        <v>1241.67</v>
      </c>
      <c r="E97" t="n">
        <v>1250</v>
      </c>
    </row>
    <row r="98">
      <c r="C98" t="n">
        <v>0</v>
      </c>
      <c r="D98" t="n">
        <v>0</v>
      </c>
      <c r="E98" t="n">
        <v>0</v>
      </c>
    </row>
    <row r="99">
      <c r="C99" t="n">
        <v>0</v>
      </c>
      <c r="D99" t="n">
        <v>0</v>
      </c>
      <c r="E99" t="n">
        <v>0</v>
      </c>
    </row>
    <row r="100">
      <c r="C100" t="n">
        <v>0</v>
      </c>
      <c r="D100" t="n">
        <v>0</v>
      </c>
      <c r="E100" t="n">
        <v>0</v>
      </c>
    </row>
    <row r="101">
      <c r="C101" t="n">
        <v>0</v>
      </c>
      <c r="D101" t="n">
        <v>0</v>
      </c>
      <c r="E101" t="n">
        <v>0</v>
      </c>
    </row>
    <row r="102">
      <c r="C102" t="n">
        <v>0</v>
      </c>
      <c r="D102" t="n">
        <v>0</v>
      </c>
      <c r="E102" t="n">
        <v>0</v>
      </c>
    </row>
    <row r="103">
      <c r="C103" t="n">
        <v>0</v>
      </c>
      <c r="D103" t="n">
        <v>0</v>
      </c>
      <c r="E103" t="n">
        <v>0</v>
      </c>
    </row>
    <row r="104">
      <c r="C104" t="n">
        <v>0</v>
      </c>
      <c r="D104" t="n">
        <v>0</v>
      </c>
      <c r="E104" t="n">
        <v>0</v>
      </c>
    </row>
    <row r="105">
      <c r="C105" t="n">
        <v>0</v>
      </c>
      <c r="D105" t="n">
        <v>0</v>
      </c>
      <c r="E105" t="n">
        <v>0</v>
      </c>
    </row>
    <row r="106">
      <c r="C106" t="n">
        <v>0</v>
      </c>
      <c r="D106" t="n">
        <v>0</v>
      </c>
      <c r="E106" t="n">
        <v>0</v>
      </c>
    </row>
    <row r="107">
      <c r="C107" t="n">
        <v>0</v>
      </c>
      <c r="D107" t="n">
        <v>0</v>
      </c>
      <c r="E107" t="n">
        <v>0</v>
      </c>
    </row>
    <row r="108">
      <c r="C108" t="n">
        <v>0</v>
      </c>
      <c r="D108" t="n">
        <v>0</v>
      </c>
      <c r="E108" t="n">
        <v>0</v>
      </c>
    </row>
    <row r="109">
      <c r="C109" t="n">
        <v>0</v>
      </c>
      <c r="D109" t="n">
        <v>0</v>
      </c>
      <c r="E109" t="n">
        <v>0</v>
      </c>
    </row>
    <row r="110">
      <c r="C110" t="n">
        <v>0</v>
      </c>
      <c r="D110" t="n">
        <v>0</v>
      </c>
      <c r="E110" t="n">
        <v>0</v>
      </c>
    </row>
    <row r="111">
      <c r="C111" t="n">
        <v>0</v>
      </c>
      <c r="D111" t="n">
        <v>0</v>
      </c>
      <c r="E11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동욱 정</dc:creator>
  <dcterms:created xmlns:dcterms="http://purl.org/dc/terms/" xmlns:xsi="http://www.w3.org/2001/XMLSchema-instance" xsi:type="dcterms:W3CDTF">2026-03-14T21:17:44Z</dcterms:created>
  <dcterms:modified xmlns:dcterms="http://purl.org/dc/terms/" xmlns:xsi="http://www.w3.org/2001/XMLSchema-instance" xsi:type="dcterms:W3CDTF">2026-07-17T18:25:34Z</dcterms:modified>
  <cp:lastModifiedBy>Leila Collins (Helmy)</cp:lastModifiedBy>
</cp:coreProperties>
</file>

<file path=docProps/custom.xml><?xml version="1.0" encoding="utf-8"?>
<Properties xmlns="http://schemas.openxmlformats.org/officeDocument/2006/custom-properties">
  <property name="13" linkTarget="Prop_13" fmtid="{D5CDD505-2E9C-101B-9397-08002B2CF9AE}" pid="2">
    <vt:lpwstr xmlns:vt="http://schemas.openxmlformats.org/officeDocument/2006/docPropsVTypes"/>
  </property>
  <property name="Acq_Cost" linkTarget="Prop_Acq_Cost" fmtid="{D5CDD505-2E9C-101B-9397-08002B2CF9AE}" pid="3">
    <vt:lpwstr xmlns:vt="http://schemas.openxmlformats.org/officeDocument/2006/docPropsVTypes"/>
  </property>
</Properties>
</file>