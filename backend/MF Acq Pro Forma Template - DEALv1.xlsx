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Helmy_LCollins/Desktop/"/>
    </mc:Choice>
  </mc:AlternateContent>
  <xr:revisionPtr revIDLastSave="0" documentId="13_ncr:1_{DA87F433-8B26-8841-B6BF-5431998B112E}" xr6:coauthVersionLast="47" xr6:coauthVersionMax="47" xr10:uidLastSave="{00000000-0000-0000-0000-000000000000}"/>
  <bookViews>
    <workbookView xWindow="-100" yWindow="600" windowWidth="28000" windowHeight="18160" tabRatio="848" xr2:uid="{00000000-000D-0000-FFFF-FFFF00000000}"/>
  </bookViews>
  <sheets>
    <sheet name="Underwriting" sheetId="63" r:id="rId1"/>
    <sheet name="Other Inputs&gt;&gt;" sheetId="62" r:id="rId2"/>
    <sheet name="Pro Forma Template" sheetId="57" state="hidden" r:id="rId3"/>
    <sheet name="SOFR" sheetId="56" r:id="rId4"/>
    <sheet name="Exclude -&gt;" sheetId="10" state="hidden" r:id="rId5"/>
    <sheet name="Cost Curve" sheetId="2" state="hidden" r:id="rId6"/>
  </sheets>
  <definedNames>
    <definedName name="_" hidden="1">#REF!</definedName>
    <definedName name="__" hidden="1">#REF!</definedName>
    <definedName name="___" hidden="1">#REF!</definedName>
    <definedName name="____" hidden="1">#REF!</definedName>
    <definedName name="_________________________________________________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___________________________old2" hidden="1">{#N/A,#N/A,FALSE,"Chart 2 by Prop Type"}</definedName>
    <definedName name="______________________________________old2" hidden="1">{#N/A,#N/A,FALSE,"Chart 2 by Prop Type"}</definedName>
    <definedName name="_____________________________________old2" hidden="1">{#N/A,#N/A,FALSE,"Chart 2 by Prop Type"}</definedName>
    <definedName name="____________________________________old2" hidden="1">{#N/A,#N/A,FALSE,"Chart 2 by Prop Type"}</definedName>
    <definedName name="___________________________________old2" hidden="1">{#N/A,#N/A,FALSE,"Chart 2 by Prop Type"}</definedName>
    <definedName name="__________________________________old2" hidden="1">{#N/A,#N/A,FALSE,"Chart 2 by Prop Type"}</definedName>
    <definedName name="_________________________________old2" hidden="1">{#N/A,#N/A,FALSE,"Chart 2 by Prop Type"}</definedName>
    <definedName name="________________________________old2" hidden="1">{#N/A,#N/A,FALSE,"Chart 2 by Prop Type"}</definedName>
    <definedName name="_______________________________old2" hidden="1">{#N/A,#N/A,FALSE,"Chart 2 by Prop Type"}</definedName>
    <definedName name="______________________________old2" hidden="1">{#N/A,#N/A,FALSE,"Chart 2 by Prop Type"}</definedName>
    <definedName name="_____________________________old2" hidden="1">{#N/A,#N/A,FALSE,"Chart 2 by Prop Type"}</definedName>
    <definedName name="____________________________old2" hidden="1">{#N/A,#N/A,FALSE,"Chart 2 by Prop Type"}</definedName>
    <definedName name="___________________________old2" hidden="1">{#N/A,#N/A,FALSE,"Chart 2 by Prop Type"}</definedName>
    <definedName name="__________________________old2" hidden="1">{#N/A,#N/A,FALSE,"Chart 2 by Prop Type"}</definedName>
    <definedName name="_________________________old2" hidden="1">{#N/A,#N/A,FALSE,"Chart 2 by Prop Type"}</definedName>
    <definedName name="_________________________wrn3" hidden="1">{#N/A,#N/A,FALSE,"Aging Summary";#N/A,#N/A,FALSE,"Ratio Analysis";#N/A,#N/A,FALSE,"Test 120 Day Accts";#N/A,#N/A,FALSE,"Tickmarks"}</definedName>
    <definedName name="________________________old2" hidden="1">{#N/A,#N/A,FALSE,"Chart 2 by Prop Type"}</definedName>
    <definedName name="_______________________old2" hidden="1">{#N/A,#N/A,FALSE,"Chart 2 by Prop Type"}</definedName>
    <definedName name="_______________________wrn3" hidden="1">{#N/A,#N/A,FALSE,"Aging Summary";#N/A,#N/A,FALSE,"Ratio Analysis";#N/A,#N/A,FALSE,"Test 120 Day Accts";#N/A,#N/A,FALSE,"Tickmarks"}</definedName>
    <definedName name="______________________old2" hidden="1">{#N/A,#N/A,FALSE,"Chart 2 by Prop Type"}</definedName>
    <definedName name="_____________________old2" hidden="1">{#N/A,#N/A,FALSE,"Chart 2 by Prop Type"}</definedName>
    <definedName name="_____________________wrn3" hidden="1">{#N/A,#N/A,FALSE,"Aging Summary";#N/A,#N/A,FALSE,"Ratio Analysis";#N/A,#N/A,FALSE,"Test 120 Day Accts";#N/A,#N/A,FALSE,"Tickmarks"}</definedName>
    <definedName name="____________________old2" hidden="1">{#N/A,#N/A,FALSE,"Chart 2 by Prop Type"}</definedName>
    <definedName name="____________________wrn3" hidden="1">{#N/A,#N/A,FALSE,"Aging Summary";#N/A,#N/A,FALSE,"Ratio Analysis";#N/A,#N/A,FALSE,"Test 120 Day Accts";#N/A,#N/A,FALSE,"Tickmarks"}</definedName>
    <definedName name="___________________Feb03" hidden="1">{#N/A,#N/A,FALSE,"Class A";#N/A,#N/A,FALSE,"Class B";#N/A,#N/A,FALSE,"Class C"}</definedName>
    <definedName name="___________________old2" hidden="1">{#N/A,#N/A,FALSE,"Chart 2 by Prop Type"}</definedName>
    <definedName name="___________________wrn3" hidden="1">{#N/A,#N/A,FALSE,"Aging Summary";#N/A,#N/A,FALSE,"Ratio Analysis";#N/A,#N/A,FALSE,"Test 120 Day Accts";#N/A,#N/A,FALSE,"Tickmarks"}</definedName>
    <definedName name="__________________old2" hidden="1">{#N/A,#N/A,FALSE,"Chart 2 by Prop Type"}</definedName>
    <definedName name="_________________Feb03" hidden="1">{#N/A,#N/A,FALSE,"Class A";#N/A,#N/A,FALSE,"Class B";#N/A,#N/A,FALSE,"Class C"}</definedName>
    <definedName name="_________________old2" hidden="1">{#N/A,#N/A,FALSE,"Chart 2 by Prop Type"}</definedName>
    <definedName name="_________________wrn3" hidden="1">{#N/A,#N/A,FALSE,"Aging Summary";#N/A,#N/A,FALSE,"Ratio Analysis";#N/A,#N/A,FALSE,"Test 120 Day Accts";#N/A,#N/A,FALSE,"Tickmarks"}</definedName>
    <definedName name="________________Feb03" hidden="1">{#N/A,#N/A,FALSE,"Class A";#N/A,#N/A,FALSE,"Class B";#N/A,#N/A,FALSE,"Class C"}</definedName>
    <definedName name="________________old2" hidden="1">{#N/A,#N/A,FALSE,"Chart 2 by Prop Type"}</definedName>
    <definedName name="________________TX3" hidden="1">{#N/A,#N/A,FALSE,"Aging Summary";#N/A,#N/A,FALSE,"Ratio Analysis";#N/A,#N/A,FALSE,"Test 120 Day Accts";#N/A,#N/A,FALSE,"Tickmarks"}</definedName>
    <definedName name="________________wrn3" hidden="1">{#N/A,#N/A,FALSE,"Aging Summary";#N/A,#N/A,FALSE,"Ratio Analysis";#N/A,#N/A,FALSE,"Test 120 Day Accts";#N/A,#N/A,FALSE,"Tickmarks"}</definedName>
    <definedName name="_______________Feb03" hidden="1">{#N/A,#N/A,FALSE,"Class A";#N/A,#N/A,FALSE,"Class B";#N/A,#N/A,FALSE,"Class C"}</definedName>
    <definedName name="_______________old2" hidden="1">{#N/A,#N/A,FALSE,"Chart 2 by Prop Type"}</definedName>
    <definedName name="_______________TX2" hidden="1">{#N/A,#N/A,FALSE,"Aging Summary";#N/A,#N/A,FALSE,"Ratio Analysis";#N/A,#N/A,FALSE,"Test 120 Day Accts";#N/A,#N/A,FALSE,"Tickmarks"}</definedName>
    <definedName name="_______________wrn3" hidden="1">{#N/A,#N/A,FALSE,"Aging Summary";#N/A,#N/A,FALSE,"Ratio Analysis";#N/A,#N/A,FALSE,"Test 120 Day Accts";#N/A,#N/A,FALSE,"Tickmarks"}</definedName>
    <definedName name="______________old2" hidden="1">{#N/A,#N/A,FALSE,"Chart 2 by Prop Type"}</definedName>
    <definedName name="______________wrn3" hidden="1">{#N/A,#N/A,FALSE,"Aging Summary";#N/A,#N/A,FALSE,"Ratio Analysis";#N/A,#N/A,FALSE,"Test 120 Day Accts";#N/A,#N/A,FALSE,"Tickmarks"}</definedName>
    <definedName name="_____________Feb03" hidden="1">{#N/A,#N/A,FALSE,"Class A";#N/A,#N/A,FALSE,"Class B";#N/A,#N/A,FALSE,"Class C"}</definedName>
    <definedName name="_____________old2" hidden="1">{#N/A,#N/A,FALSE,"Chart 2 by Prop Type"}</definedName>
    <definedName name="_____________wrn3" hidden="1">{#N/A,#N/A,FALSE,"Aging Summary";#N/A,#N/A,FALSE,"Ratio Analysis";#N/A,#N/A,FALSE,"Test 120 Day Accts";#N/A,#N/A,FALSE,"Tickmarks"}</definedName>
    <definedName name="____________Feb03" hidden="1">{#N/A,#N/A,FALSE,"Class A";#N/A,#N/A,FALSE,"Class B";#N/A,#N/A,FALSE,"Class C"}</definedName>
    <definedName name="_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OK2" hidden="1">{#N/A,#N/A,FALSE,"Cover";#N/A,#N/A,FALSE,"LUMI";#N/A,#N/A,FALSE,"COMD";#N/A,#N/A,FALSE,"Valuation";#N/A,#N/A,FALSE,"Assumptions";#N/A,#N/A,FALSE,"Pooling";#N/A,#N/A,FALSE,"BalanceSheet"}</definedName>
    <definedName name="____________old2" hidden="1">{#N/A,#N/A,FALSE,"Chart 2 by Prop Type"}</definedName>
    <definedName name="____________wrn3" hidden="1">{#N/A,#N/A,FALSE,"Aging Summary";#N/A,#N/A,FALSE,"Ratio Analysis";#N/A,#N/A,FALSE,"Test 120 Day Accts";#N/A,#N/A,FALSE,"Tickmarks"}</definedName>
    <definedName name="___________k" hidden="1">{#N/A,#N/A,TRUE,"A-site";#N/A,#N/A,TRUE,"B-Buildings";#N/A,#N/A,TRUE,"c-out-of-fence";#N/A,#N/A,TRUE,"d-proj.infr.";#N/A,#N/A,TRUE,"e- land"}</definedName>
    <definedName name="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OK2" hidden="1">{#N/A,#N/A,FALSE,"Cover";#N/A,#N/A,FALSE,"LUMI";#N/A,#N/A,FALSE,"COMD";#N/A,#N/A,FALSE,"Valuation";#N/A,#N/A,FALSE,"Assumptions";#N/A,#N/A,FALSE,"Pooling";#N/A,#N/A,FALSE,"BalanceSheet"}</definedName>
    <definedName name="___________old2" hidden="1">{#N/A,#N/A,FALSE,"Chart 2 by Prop Type"}</definedName>
    <definedName name="___________w" hidden="1">{#N/A,#N/A,TRUE,"A-site";#N/A,#N/A,TRUE,"B-Buildings";#N/A,#N/A,TRUE,"c-out-of-fence";#N/A,#N/A,TRUE,"d-proj.infr.";#N/A,#N/A,TRUE,"e- land"}</definedName>
    <definedName name="___________wrn3" hidden="1">{#N/A,#N/A,FALSE,"Aging Summary";#N/A,#N/A,FALSE,"Ratio Analysis";#N/A,#N/A,FALSE,"Test 120 Day Accts";#N/A,#N/A,FALSE,"Tickmarks"}</definedName>
    <definedName name="__________Feb03" hidden="1">{#N/A,#N/A,FALSE,"Class A";#N/A,#N/A,FALSE,"Class B";#N/A,#N/A,FALSE,"Class C"}</definedName>
    <definedName name="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OK2" hidden="1">{#N/A,#N/A,FALSE,"Cover";#N/A,#N/A,FALSE,"LUMI";#N/A,#N/A,FALSE,"COMD";#N/A,#N/A,FALSE,"Valuation";#N/A,#N/A,FALSE,"Assumptions";#N/A,#N/A,FALSE,"Pooling";#N/A,#N/A,FALSE,"BalanceSheet"}</definedName>
    <definedName name="__________old2" hidden="1">{#N/A,#N/A,FALSE,"Chart 2 by Prop Type"}</definedName>
    <definedName name="__________wrn3" hidden="1">{#N/A,#N/A,FALSE,"Aging Summary";#N/A,#N/A,FALSE,"Ratio Analysis";#N/A,#N/A,FALSE,"Test 120 Day Accts";#N/A,#N/A,FALSE,"Tickmarks"}</definedName>
    <definedName name="_________Feb03" hidden="1">{#N/A,#N/A,FALSE,"Class A";#N/A,#N/A,FALSE,"Class B";#N/A,#N/A,FALSE,"Class C"}</definedName>
    <definedName name="_________key1" hidden="1">#REF!</definedName>
    <definedName name="_________key2" hidden="1">#REF!</definedName>
    <definedName name="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OK2" hidden="1">{#N/A,#N/A,FALSE,"Cover";#N/A,#N/A,FALSE,"LUMI";#N/A,#N/A,FALSE,"COMD";#N/A,#N/A,FALSE,"Valuation";#N/A,#N/A,FALSE,"Assumptions";#N/A,#N/A,FALSE,"Pooling";#N/A,#N/A,FALSE,"BalanceSheet"}</definedName>
    <definedName name="_________old2" hidden="1">{#N/A,#N/A,FALSE,"Chart 2 by Prop Type"}</definedName>
    <definedName name="_________wrn3" hidden="1">{#N/A,#N/A,FALSE,"Aging Summary";#N/A,#N/A,FALSE,"Ratio Analysis";#N/A,#N/A,FALSE,"Test 120 Day Accts";#N/A,#N/A,FALSE,"Tickmarks"}</definedName>
    <definedName name="________Feb03" hidden="1">{#N/A,#N/A,FALSE,"Class A";#N/A,#N/A,FALSE,"Class B";#N/A,#N/A,FALSE,"Class C"}</definedName>
    <definedName name="________key1" hidden="1">#REF!</definedName>
    <definedName name="________key2" hidden="1">#REF!</definedName>
    <definedName name="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OK2" hidden="1">{#N/A,#N/A,FALSE,"Cover";#N/A,#N/A,FALSE,"LUMI";#N/A,#N/A,FALSE,"COMD";#N/A,#N/A,FALSE,"Valuation";#N/A,#N/A,FALSE,"Assumptions";#N/A,#N/A,FALSE,"Pooling";#N/A,#N/A,FALSE,"BalanceSheet"}</definedName>
    <definedName name="________old2" hidden="1">{#N/A,#N/A,FALSE,"Chart 2 by Prop Type"}</definedName>
    <definedName name="________wrn3" hidden="1">{#N/A,#N/A,FALSE,"Aging Summary";#N/A,#N/A,FALSE,"Ratio Analysis";#N/A,#N/A,FALSE,"Test 120 Day Accts";#N/A,#N/A,FALSE,"Tickmarks"}</definedName>
    <definedName name="________z1" hidden="1">{"Commish",#N/A,FALSE,"LAWTC"}</definedName>
    <definedName name="_______a1" hidden="1">{"Assump",#N/A,TRUE,"Proforma";"first",#N/A,TRUE,"Proforma";"second",#N/A,TRUE,"Proforma";"lease1",#N/A,TRUE,"Proforma";"lease2",#N/A,TRUE,"Proforma"}</definedName>
    <definedName name="_______Feb03" hidden="1">{#N/A,#N/A,FALSE,"Class A";#N/A,#N/A,FALSE,"Class B";#N/A,#N/A,FALSE,"Class C"}</definedName>
    <definedName name="_______key1" hidden="1">#REF!</definedName>
    <definedName name="_______key2" hidden="1">#REF!</definedName>
    <definedName name="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OK2" hidden="1">{#N/A,#N/A,FALSE,"Cover";#N/A,#N/A,FALSE,"LUMI";#N/A,#N/A,FALSE,"COMD";#N/A,#N/A,FALSE,"Valuation";#N/A,#N/A,FALSE,"Assumptions";#N/A,#N/A,FALSE,"Pooling";#N/A,#N/A,FALSE,"BalanceSheet"}</definedName>
    <definedName name="_______old2" hidden="1">{#N/A,#N/A,FALSE,"Chart 2 by Prop Type"}</definedName>
    <definedName name="_______wrn1" localSheetId="2" hidden="1">{"schedule1",#N/A,FALSE,"Sheet1";"schedule2",#N/A,FALSE,"Sheet1";"schedule3",#N/A,FALSE,"Sheet1";"schedule4",#N/A,FALSE,"Sheet1";"schedule5",#N/A,FALSE,"Sheet1";"schedule6",#N/A,FALSE,"Sheet1"}</definedName>
    <definedName name="_______wrn1" localSheetId="0" hidden="1">{"schedule1",#N/A,FALSE,"Sheet1";"schedule2",#N/A,FALSE,"Sheet1";"schedule3",#N/A,FALSE,"Sheet1";"schedule4",#N/A,FALSE,"Sheet1";"schedule5",#N/A,FALSE,"Sheet1";"schedule6",#N/A,FALSE,"Sheet1"}</definedName>
    <definedName name="_______wrn1" hidden="1">{"schedule1",#N/A,FALSE,"Sheet1";"schedule2",#N/A,FALSE,"Sheet1";"schedule3",#N/A,FALSE,"Sheet1";"schedule4",#N/A,FALSE,"Sheet1";"schedule5",#N/A,FALSE,"Sheet1";"schedule6",#N/A,FALSE,"Sheet1"}</definedName>
    <definedName name="_______wrn1_1" hidden="1">{"schedule1",#N/A,FALSE,"Sheet1";"schedule2",#N/A,FALSE,"Sheet1";"schedule3",#N/A,FALSE,"Sheet1";"schedule4",#N/A,FALSE,"Sheet1";"schedule5",#N/A,FALSE,"Sheet1";"schedule6",#N/A,FALSE,"Sheet1"}</definedName>
    <definedName name="_______wrn1_2" hidden="1">{"schedule1",#N/A,FALSE,"Sheet1";"schedule2",#N/A,FALSE,"Sheet1";"schedule3",#N/A,FALSE,"Sheet1";"schedule4",#N/A,FALSE,"Sheet1";"schedule5",#N/A,FALSE,"Sheet1";"schedule6",#N/A,FALSE,"Sheet1"}</definedName>
    <definedName name="_______wrn1_3" hidden="1">{"schedule1",#N/A,FALSE,"Sheet1";"schedule2",#N/A,FALSE,"Sheet1";"schedule3",#N/A,FALSE,"Sheet1";"schedule4",#N/A,FALSE,"Sheet1";"schedule5",#N/A,FALSE,"Sheet1";"schedule6",#N/A,FALSE,"Sheet1"}</definedName>
    <definedName name="_______wrn1_4" hidden="1">{"schedule1",#N/A,FALSE,"Sheet1";"schedule2",#N/A,FALSE,"Sheet1";"schedule3",#N/A,FALSE,"Sheet1";"schedule4",#N/A,FALSE,"Sheet1";"schedule5",#N/A,FALSE,"Sheet1";"schedule6",#N/A,FALSE,"Sheet1"}</definedName>
    <definedName name="_______wrn3" hidden="1">{#N/A,#N/A,FALSE,"Aging Summary";#N/A,#N/A,FALSE,"Ratio Analysis";#N/A,#N/A,FALSE,"Test 120 Day Accts";#N/A,#N/A,FALSE,"Tickmarks"}</definedName>
    <definedName name="______a1" hidden="1">{"Assump",#N/A,TRUE,"Proforma";"first",#N/A,TRUE,"Proforma";"second",#N/A,TRUE,"Proforma";"lease1",#N/A,TRUE,"Proforma";"lease2",#N/A,TRUE,"Proforma"}</definedName>
    <definedName name="______al1" hidden="1">{"sheet a",#N/A,FALSE,"A";"sheet b 1",#N/A,FALSE,"B";"sheet b 2",#N/A,FALSE,"B"}</definedName>
    <definedName name="______Feb03" hidden="1">{#N/A,#N/A,FALSE,"Class A";#N/A,#N/A,FALSE,"Class B";#N/A,#N/A,FALSE,"Class C"}</definedName>
    <definedName name="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new1">#REF!</definedName>
    <definedName name="______OK2" hidden="1">{#N/A,#N/A,FALSE,"Cover";#N/A,#N/A,FALSE,"LUMI";#N/A,#N/A,FALSE,"COMD";#N/A,#N/A,FALSE,"Valuation";#N/A,#N/A,FALSE,"Assumptions";#N/A,#N/A,FALSE,"Pooling";#N/A,#N/A,FALSE,"BalanceSheet"}</definedName>
    <definedName name="______old2" hidden="1">{#N/A,#N/A,FALSE,"Chart 2 by Prop Type"}</definedName>
    <definedName name="______wmp1" hidden="1">{#N/A,#N/A,FALSE,"ENVIRONMENTAL"}</definedName>
    <definedName name="______wpm1" hidden="1">{#N/A,#N/A,FALSE,"LOAN ANALYSIS"}</definedName>
    <definedName name="______wrn1" localSheetId="2" hidden="1">{"schedule1",#N/A,FALSE,"Sheet1";"schedule2",#N/A,FALSE,"Sheet1";"schedule3",#N/A,FALSE,"Sheet1";"schedule4",#N/A,FALSE,"Sheet1";"schedule5",#N/A,FALSE,"Sheet1";"schedule6",#N/A,FALSE,"Sheet1"}</definedName>
    <definedName name="______wrn1" localSheetId="0" hidden="1">{"schedule1",#N/A,FALSE,"Sheet1";"schedule2",#N/A,FALSE,"Sheet1";"schedule3",#N/A,FALSE,"Sheet1";"schedule4",#N/A,FALSE,"Sheet1";"schedule5",#N/A,FALSE,"Sheet1";"schedule6",#N/A,FALSE,"Sheet1"}</definedName>
    <definedName name="______wrn1" hidden="1">{"schedule1",#N/A,FALSE,"Sheet1";"schedule2",#N/A,FALSE,"Sheet1";"schedule3",#N/A,FALSE,"Sheet1";"schedule4",#N/A,FALSE,"Sheet1";"schedule5",#N/A,FALSE,"Sheet1";"schedule6",#N/A,FALSE,"Sheet1"}</definedName>
    <definedName name="______wrn1_1" hidden="1">{"schedule1",#N/A,FALSE,"Sheet1";"schedule2",#N/A,FALSE,"Sheet1";"schedule3",#N/A,FALSE,"Sheet1";"schedule4",#N/A,FALSE,"Sheet1";"schedule5",#N/A,FALSE,"Sheet1";"schedule6",#N/A,FALSE,"Sheet1"}</definedName>
    <definedName name="______wrn1_2" hidden="1">{"schedule1",#N/A,FALSE,"Sheet1";"schedule2",#N/A,FALSE,"Sheet1";"schedule3",#N/A,FALSE,"Sheet1";"schedule4",#N/A,FALSE,"Sheet1";"schedule5",#N/A,FALSE,"Sheet1";"schedule6",#N/A,FALSE,"Sheet1"}</definedName>
    <definedName name="______wrn1_3" hidden="1">{"schedule1",#N/A,FALSE,"Sheet1";"schedule2",#N/A,FALSE,"Sheet1";"schedule3",#N/A,FALSE,"Sheet1";"schedule4",#N/A,FALSE,"Sheet1";"schedule5",#N/A,FALSE,"Sheet1";"schedule6",#N/A,FALSE,"Sheet1"}</definedName>
    <definedName name="______wrn1_4" hidden="1">{"schedule1",#N/A,FALSE,"Sheet1";"schedule2",#N/A,FALSE,"Sheet1";"schedule3",#N/A,FALSE,"Sheet1";"schedule4",#N/A,FALSE,"Sheet1";"schedule5",#N/A,FALSE,"Sheet1";"schedule6",#N/A,FALSE,"Sheet1"}</definedName>
    <definedName name="______wrn3" hidden="1">{#N/A,#N/A,FALSE,"Aging Summary";#N/A,#N/A,FALSE,"Ratio Analysis";#N/A,#N/A,FALSE,"Test 120 Day Accts";#N/A,#N/A,FALSE,"Tickmarks"}</definedName>
    <definedName name="______z1" hidden="1">{"Commish",#N/A,FALSE,"LAWTC"}</definedName>
    <definedName name="_____a1" hidden="1">{"Assump",#N/A,TRUE,"Proforma";"first",#N/A,TRUE,"Proforma";"second",#N/A,TRUE,"Proforma";"lease1",#N/A,TRUE,"Proforma";"lease2",#N/A,TRUE,"Proforma"}</definedName>
    <definedName name="_____al1" hidden="1">{"sheet a",#N/A,FALSE,"A";"sheet b 1",#N/A,FALSE,"B";"sheet b 2",#N/A,FALSE,"B"}</definedName>
    <definedName name="_____as2" hidden="1">{"FCB_ALL",#N/A,FALSE,"FCB"}</definedName>
    <definedName name="_____key1" hidden="1">#REF!</definedName>
    <definedName name="_____key2" hidden="1">#REF!</definedName>
    <definedName name="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new1">#REF!</definedName>
    <definedName name="_____OK2" hidden="1">{#N/A,#N/A,FALSE,"Cover";#N/A,#N/A,FALSE,"LUMI";#N/A,#N/A,FALSE,"COMD";#N/A,#N/A,FALSE,"Valuation";#N/A,#N/A,FALSE,"Assumptions";#N/A,#N/A,FALSE,"Pooling";#N/A,#N/A,FALSE,"BalanceSheet"}</definedName>
    <definedName name="_____old2" hidden="1">{#N/A,#N/A,FALSE,"Chart 2 by Prop Type"}</definedName>
    <definedName name="_____sad2" hidden="1">{"MonthlyRentRoll",#N/A,FALSE,"RentRoll"}</definedName>
    <definedName name="_____wmp1" hidden="1">{#N/A,#N/A,FALSE,"ENVIRONMENTAL"}</definedName>
    <definedName name="_____wpm1" hidden="1">{#N/A,#N/A,FALSE,"LOAN ANALYSIS"}</definedName>
    <definedName name="_____wrn1" hidden="1">{"schedule1",#N/A,FALSE,"Sheet1";"schedule2",#N/A,FALSE,"Sheet1";"schedule3",#N/A,FALSE,"Sheet1";"schedule4",#N/A,FALSE,"Sheet1";"schedule5",#N/A,FALSE,"Sheet1";"schedule6",#N/A,FALSE,"Sheet1"}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hidden="1">{#N/A,#N/A,FALSE,"Aging Summary";#N/A,#N/A,FALSE,"Ratio Analysis";#N/A,#N/A,FALSE,"Test 120 Day Accts";#N/A,#N/A,FALSE,"Tickmarks"}</definedName>
    <definedName name="_____wrn4" hidden="1">{"data",#N/A,FALSE,"INPUT"}</definedName>
    <definedName name="____a1" hidden="1">{"Assump",#N/A,TRUE,"Proforma";"first",#N/A,TRUE,"Proforma";"second",#N/A,TRUE,"Proforma";"lease1",#N/A,TRUE,"Proforma";"lease2",#N/A,TRUE,"Proforma"}</definedName>
    <definedName name="____al1" hidden="1">{"sheet a",#N/A,FALSE,"A";"sheet b 1",#N/A,FALSE,"B";"sheet b 2",#N/A,FALSE,"B"}</definedName>
    <definedName name="____as2" hidden="1">{"FCB_ALL",#N/A,FALSE,"FCB"}</definedName>
    <definedName name="____Feb03" hidden="1">{#N/A,#N/A,FALSE,"Class A";#N/A,#N/A,FALSE,"Class B";#N/A,#N/A,FALSE,"Class C"}</definedName>
    <definedName name="____key1" hidden="1">#REF!</definedName>
    <definedName name="____key2" hidden="1">#REF!</definedName>
    <definedName name="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2" hidden="1">{"'B-2 QSER Jun 98 4-27-98 cor'!$A$1:$F$57"}</definedName>
    <definedName name="____new5" hidden="1">{"'B-2 QSER Jun 98 4-27-98 cor'!$A$1:$F$57"}</definedName>
    <definedName name="____OK2" hidden="1">{#N/A,#N/A,FALSE,"Cover";#N/A,#N/A,FALSE,"LUMI";#N/A,#N/A,FALSE,"COMD";#N/A,#N/A,FALSE,"Valuation";#N/A,#N/A,FALSE,"Assumptions";#N/A,#N/A,FALSE,"Pooling";#N/A,#N/A,FALSE,"BalanceSheet"}</definedName>
    <definedName name="____old2" hidden="1">{#N/A,#N/A,FALSE,"Chart 2 by Prop Type"}</definedName>
    <definedName name="____sad2" hidden="1">{"MonthlyRentRoll",#N/A,FALSE,"RentRoll"}</definedName>
    <definedName name="____wmp1" hidden="1">{#N/A,#N/A,FALSE,"ENVIRONMENTAL"}</definedName>
    <definedName name="____wpm1" hidden="1">{#N/A,#N/A,FALSE,"LOAN ANALYSIS"}</definedName>
    <definedName name="____wrn1" localSheetId="2" hidden="1">{"schedule1",#N/A,FALSE,"Sheet1";"schedule2",#N/A,FALSE,"Sheet1";"schedule3",#N/A,FALSE,"Sheet1";"schedule4",#N/A,FALSE,"Sheet1";"schedule5",#N/A,FALSE,"Sheet1";"schedule6",#N/A,FALSE,"Sheet1"}</definedName>
    <definedName name="____wrn1" localSheetId="0" hidden="1">{"schedule1",#N/A,FALSE,"Sheet1";"schedule2",#N/A,FALSE,"Sheet1";"schedule3",#N/A,FALSE,"Sheet1";"schedule4",#N/A,FALSE,"Sheet1";"schedule5",#N/A,FALSE,"Sheet1";"schedule6",#N/A,FALSE,"Sheet1"}</definedName>
    <definedName name="____wrn1" hidden="1">{"schedule1",#N/A,FALSE,"Sheet1";"schedule2",#N/A,FALSE,"Sheet1";"schedule3",#N/A,FALSE,"Sheet1";"schedule4",#N/A,FALSE,"Sheet1";"schedule5",#N/A,FALSE,"Sheet1";"schedule6",#N/A,FALSE,"Sheet1"}</definedName>
    <definedName name="____wrn1_1" hidden="1">{"schedule1",#N/A,FALSE,"Sheet1";"schedule2",#N/A,FALSE,"Sheet1";"schedule3",#N/A,FALSE,"Sheet1";"schedule4",#N/A,FALSE,"Sheet1";"schedule5",#N/A,FALSE,"Sheet1";"schedule6",#N/A,FALSE,"Sheet1"}</definedName>
    <definedName name="____wrn1_2" hidden="1">{"schedule1",#N/A,FALSE,"Sheet1";"schedule2",#N/A,FALSE,"Sheet1";"schedule3",#N/A,FALSE,"Sheet1";"schedule4",#N/A,FALSE,"Sheet1";"schedule5",#N/A,FALSE,"Sheet1";"schedule6",#N/A,FALSE,"Sheet1"}</definedName>
    <definedName name="____wrn1_3" hidden="1">{"schedule1",#N/A,FALSE,"Sheet1";"schedule2",#N/A,FALSE,"Sheet1";"schedule3",#N/A,FALSE,"Sheet1";"schedule4",#N/A,FALSE,"Sheet1";"schedule5",#N/A,FALSE,"Sheet1";"schedule6",#N/A,FALSE,"Sheet1"}</definedName>
    <definedName name="____wrn1_4" hidden="1">{"schedule1",#N/A,FALSE,"Sheet1";"schedule2",#N/A,FALSE,"Sheet1";"schedule3",#N/A,FALSE,"Sheet1";"schedule4",#N/A,FALSE,"Sheet1";"schedule5",#N/A,FALSE,"Sheet1";"schedule6",#N/A,FALSE,"Sheet1"}</definedName>
    <definedName name="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wrn3" hidden="1">{#N/A,#N/A,FALSE,"Aging Summary";#N/A,#N/A,FALSE,"Ratio Analysis";#N/A,#N/A,FALSE,"Test 120 Day Accts";#N/A,#N/A,FALSE,"Tickmarks"}</definedName>
    <definedName name="____wrn4" hidden="1">{"data",#N/A,FALSE,"INPUT"}</definedName>
    <definedName name="____z1" hidden="1">{"Commish",#N/A,FALSE,"LAWTC"}</definedName>
    <definedName name="___a1" hidden="1">{"Assump",#N/A,TRUE,"Proforma";"first",#N/A,TRUE,"Proforma";"second",#N/A,TRUE,"Proforma";"lease1",#N/A,TRUE,"Proforma";"lease2",#N/A,TRUE,"Proforma"}</definedName>
    <definedName name="___ABC2" hidden="1">{"CHART",#N/A,FALSE,"Arch Communications"}</definedName>
    <definedName name="___ad2" hidden="1">{"CHART",#N/A,FALSE,"Arch Communications"}</definedName>
    <definedName name="___ADS1" hidden="1">{"FCB_ALL",#N/A,FALSE,"FCB"}</definedName>
    <definedName name="___al1" hidden="1">{"sheet a",#N/A,FALSE,"A";"sheet b 1",#N/A,FALSE,"B";"sheet b 2",#N/A,FALSE,"B"}</definedName>
    <definedName name="___as1" hidden="1">{"FCB_ALL",#N/A,FALSE,"FCB"}</definedName>
    <definedName name="___as2" hidden="1">{"FCB_ALL",#N/A,FALSE,"FCB"}</definedName>
    <definedName name="___as3" hidden="1">{"FCB_ALL",#N/A,FALSE,"FCB"}</definedName>
    <definedName name="___AS4" hidden="1">{"FCB_ALL",#N/A,FALSE,"FCB"}</definedName>
    <definedName name="___as6" hidden="1">{"FCB_ALL",#N/A,FALSE,"FCB"}</definedName>
    <definedName name="___AS7" hidden="1">{"FCB_ALL",#N/A,FALSE,"FCB"}</definedName>
    <definedName name="___d1" hidden="1">{#N/A,#N/A,FALSE,"Sales"}</definedName>
    <definedName name="___d116" hidden="1">{#N/A,#N/A,FALSE,"Sales"}</definedName>
    <definedName name="___d16" hidden="1">{"Annual",#N/A,FALSE,"Sales &amp; Market";"Quarterly",#N/A,FALSE,"Sales &amp; Market"}</definedName>
    <definedName name="___d2" hidden="1">{#N/A,#N/A,FALSE,"Sales"}</definedName>
    <definedName name="___d216" hidden="1">{#N/A,#N/A,FALSE,"Sales"}</definedName>
    <definedName name="___dcf1" hidden="1">{#N/A,#N/A,FALSE,"Tar-Ass";#N/A,#N/A,FALSE,"Tar-IS";#N/A,#N/A,FALSE,"Tar-BS";#N/A,#N/A,FALSE,"Tar-Adg BS";#N/A,#N/A,FALSE,"Tar-CF"}</definedName>
    <definedName name="___df1" hidden="1">{#N/A,#N/A,FALSE,"Calc";#N/A,#N/A,FALSE,"Sensitivity";#N/A,#N/A,FALSE,"LT Earn.Dil.";#N/A,#N/A,FALSE,"Dil. AVP"}</definedName>
    <definedName name="___df2" hidden="1">{#N/A,#N/A,FALSE,"Calc";#N/A,#N/A,FALSE,"Sensitivity";#N/A,#N/A,FALSE,"LT Earn.Dil.";#N/A,#N/A,FALSE,"Dil. AVP"}</definedName>
    <definedName name="___dfd1" hidden="1">{"FCB_ALL",#N/A,FALSE,"FCB";"GREY_ALL",#N/A,FALSE,"GREY"}</definedName>
    <definedName name="___Feb03" hidden="1">{#N/A,#N/A,FALSE,"Class A";#N/A,#N/A,FALSE,"Class B";#N/A,#N/A,FALSE,"Class C"}</definedName>
    <definedName name="___fff1" hidden="1">{"Annual",#N/A,FALSE,"Sales &amp; Market";"Quarterly",#N/A,FALSE,"Sales &amp; Market"}</definedName>
    <definedName name="___gc1" hidden="1">{"Annual",#N/A,FALSE,"Sales &amp; Market";"Quarterly",#N/A,FALSE,"Sales &amp; Market"}</definedName>
    <definedName name="___hd1" hidden="1">{#N/A,#N/A,FALSE,"Calc";#N/A,#N/A,FALSE,"Sensitivity";#N/A,#N/A,FALSE,"LT Earn.Dil.";#N/A,#N/A,FALSE,"Dil. AVP"}</definedName>
    <definedName name="___hd2" hidden="1">{#N/A,#N/A,FALSE,"Calc";#N/A,#N/A,FALSE,"Sensitivity";#N/A,#N/A,FALSE,"LT Earn.Dil.";#N/A,#N/A,FALSE,"Dil. AVP"}</definedName>
    <definedName name="___key1" hidden="1">#REF!</definedName>
    <definedName name="___key2" hidden="1">#REF!</definedName>
    <definedName name="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MRG2" hidden="1">{"INCOME",#N/A,FALSE,"ProNet";"VALUE",#N/A,FALSE,"ProNet"}</definedName>
    <definedName name="___MRG22" hidden="1">{"INCOME",#N/A,FALSE,"ProNet";"VALUE",#N/A,FALSE,"ProNet"}</definedName>
    <definedName name="___mrg4" hidden="1">{"INCOME",#N/A,FALSE,"ProNet";"VALUE",#N/A,FALSE,"ProNet"}</definedName>
    <definedName name="___mrg8" hidden="1">{"INCOME",#N/A,FALSE,"ProNet";"VALUE",#N/A,FALSE,"ProNet"}</definedName>
    <definedName name="___new1">#REF!</definedName>
    <definedName name="___ok1" hidden="1">{"Annual",#N/A,FALSE,"Sales &amp; Market";"Quarterly",#N/A,FALSE,"Sales &amp; Market"}</definedName>
    <definedName name="___OK2" hidden="1">{#N/A,#N/A,FALSE,"Cover";#N/A,#N/A,FALSE,"LUMI";#N/A,#N/A,FALSE,"COMD";#N/A,#N/A,FALSE,"Valuation";#N/A,#N/A,FALSE,"Assumptions";#N/A,#N/A,FALSE,"Pooling";#N/A,#N/A,FALSE,"BalanceSheet"}</definedName>
    <definedName name="___old2" hidden="1">{#N/A,#N/A,FALSE,"Chart 2 by Prop Type"}</definedName>
    <definedName name="___pj2" hidden="1">{"INCOME",#N/A,FALSE,"ProNet";"VALUE",#N/A,FALSE,"ProNet"}</definedName>
    <definedName name="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hinkcellWUMAAAAAAAAAAAAA.qKOZ2HjcUS0vtZdGnn.Uw" hidden="1">#REF!</definedName>
    <definedName name="___we2" hidden="1">{"INCOME",#N/A,FALSE,"ProNet";"VALUE",#N/A,FALSE,"ProNet"}</definedName>
    <definedName name="___wmp1" hidden="1">{#N/A,#N/A,FALSE,"ENVIRONMENTAL"}</definedName>
    <definedName name="___wpm1" hidden="1">{#N/A,#N/A,FALSE,"LOAN ANALYSIS"}</definedName>
    <definedName name="___wrn1" localSheetId="2" hidden="1">{"schedule1",#N/A,FALSE,"Sheet1";"schedule2",#N/A,FALSE,"Sheet1";"schedule3",#N/A,FALSE,"Sheet1";"schedule4",#N/A,FALSE,"Sheet1";"schedule5",#N/A,FALSE,"Sheet1";"schedule6",#N/A,FALSE,"Sheet1"}</definedName>
    <definedName name="___wrn1" localSheetId="0" hidden="1">{"schedule1",#N/A,FALSE,"Sheet1";"schedule2",#N/A,FALSE,"Sheet1";"schedule3",#N/A,FALSE,"Sheet1";"schedule4",#N/A,FALSE,"Sheet1";"schedule5",#N/A,FALSE,"Sheet1";"schedule6",#N/A,FALSE,"Sheet1"}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_wrn1_1" hidden="1">{"schedule1",#N/A,FALSE,"Sheet1";"schedule2",#N/A,FALSE,"Sheet1";"schedule3",#N/A,FALSE,"Sheet1";"schedule4",#N/A,FALSE,"Sheet1";"schedule5",#N/A,FALSE,"Sheet1";"schedule6",#N/A,FALSE,"Sheet1"}</definedName>
    <definedName name="___wrn1_2" hidden="1">{"schedule1",#N/A,FALSE,"Sheet1";"schedule2",#N/A,FALSE,"Sheet1";"schedule3",#N/A,FALSE,"Sheet1";"schedule4",#N/A,FALSE,"Sheet1";"schedule5",#N/A,FALSE,"Sheet1";"schedule6",#N/A,FALSE,"Sheet1"}</definedName>
    <definedName name="___wrn1_3" hidden="1">{"schedule1",#N/A,FALSE,"Sheet1";"schedule2",#N/A,FALSE,"Sheet1";"schedule3",#N/A,FALSE,"Sheet1";"schedule4",#N/A,FALSE,"Sheet1";"schedule5",#N/A,FALSE,"Sheet1";"schedule6",#N/A,FALSE,"Sheet1"}</definedName>
    <definedName name="___wrn1_4" hidden="1">{"schedule1",#N/A,FALSE,"Sheet1";"schedule2",#N/A,FALSE,"Sheet1";"schedule3",#N/A,FALSE,"Sheet1";"schedule4",#N/A,FALSE,"Sheet1";"schedule5",#N/A,FALSE,"Sheet1";"schedule6",#N/A,FALSE,"Sheet1"}</definedName>
    <definedName name="___wrn3" hidden="1">{#N/A,#N/A,FALSE,"Aging Summary";#N/A,#N/A,FALSE,"Ratio Analysis";#N/A,#N/A,FALSE,"Test 120 Day Accts";#N/A,#N/A,FALSE,"Tickmarks"}</definedName>
    <definedName name="___wrn4" hidden="1">{"data",#N/A,FALSE,"INPUT"}</definedName>
    <definedName name="___wrn9" hidden="1">{"FCB_ALL",#N/A,FALSE,"FCB"}</definedName>
    <definedName name="__1__123Graph_ACHART_1" hidden="1">#REF!</definedName>
    <definedName name="__1__123Graph_ACHART_28" hidden="1">#REF!</definedName>
    <definedName name="__1__123Graph_BCHART_4" hidden="1">#REF!</definedName>
    <definedName name="__10__123Graph_BCHART_5" hidden="1">#REF!</definedName>
    <definedName name="__10__123Graph_FCHART_1" hidden="1">#REF!</definedName>
    <definedName name="__11__123Graph_BCHART_6" hidden="1">#REF!</definedName>
    <definedName name="__11__123Graph_XCHART_2" hidden="1">#REF!</definedName>
    <definedName name="__12__123Graph_BCHART_7" hidden="1">#REF!</definedName>
    <definedName name="__123Graph_A" hidden="1">#REF!</definedName>
    <definedName name="__123Graph_AANNUAL" hidden="1">#REF!</definedName>
    <definedName name="__123Graph_AAVERAGE" hidden="1">#REF!</definedName>
    <definedName name="__123Graph_ABC" hidden="1">#REF!</definedName>
    <definedName name="__123Graph_ABCBAR" hidden="1">#REF!</definedName>
    <definedName name="__123Graph_ABICBETA" hidden="1">#REF!</definedName>
    <definedName name="__123Graph_ABOOK" hidden="1">#REF!</definedName>
    <definedName name="__123Graph_ABOOKBETA" hidden="1">#REF!</definedName>
    <definedName name="__123Graph_ACAPEX" hidden="1">#REF!</definedName>
    <definedName name="__123Graph_ACASHCOST1" hidden="1">#REF!</definedName>
    <definedName name="__123Graph_ACASHCOSTS" hidden="1">#REF!</definedName>
    <definedName name="__123Graph_ACONC" hidden="1">#REF!</definedName>
    <definedName name="__123Graph_ACurrent" hidden="1">#REF!</definedName>
    <definedName name="__123Graph_ADA" hidden="1">#REF!</definedName>
    <definedName name="__123Graph_ADEPREC2" hidden="1">#REF!</definedName>
    <definedName name="__123Graph_AEBITDABETA" hidden="1">#REF!</definedName>
    <definedName name="__123Graph_AEMPBETA" hidden="1">#REF!</definedName>
    <definedName name="__123Graph_AEMPLOYEE" hidden="1">#REF!</definedName>
    <definedName name="__123Graph_AGRAPH1" hidden="1">#REF!</definedName>
    <definedName name="__123Graph_AGRAPH4" hidden="1">#REF!</definedName>
    <definedName name="__123Graph_AGRAPH5" hidden="1">#REF!</definedName>
    <definedName name="__123Graph_AGRAPH85" hidden="1">#REF!</definedName>
    <definedName name="__123Graph_AGRAPH87" hidden="1">#REF!</definedName>
    <definedName name="__123Graph_AINVPRICE" hidden="1">#REF!</definedName>
    <definedName name="__123Graph_ALEASED" hidden="1">#REF!</definedName>
    <definedName name="__123Graph_AMKTVBETA" hidden="1">#REF!</definedName>
    <definedName name="__123Graph_AMONTHCONSUM" hidden="1">#REF!</definedName>
    <definedName name="__123Graph_AMOVEMINPRO" hidden="1">#REF!</definedName>
    <definedName name="__123Graph_AMOVEREFCONS" hidden="1">#REF!</definedName>
    <definedName name="__123Graph_AMOVEREFPRO" hidden="1">#REF!</definedName>
    <definedName name="__123Graph_AMVIC" hidden="1">#REF!</definedName>
    <definedName name="__123Graph_AMVICBETA" hidden="1">#REF!</definedName>
    <definedName name="__123Graph_ANIBETA" hidden="1">#REF!</definedName>
    <definedName name="__123Graph_AOAR" hidden="1">#REF!</definedName>
    <definedName name="__123Graph_APEDFLOT" hidden="1">#REF!</definedName>
    <definedName name="__123Graph_APROCEEDS" hidden="1">#REF!</definedName>
    <definedName name="__123Graph_APRODPROF" hidden="1">#REF!</definedName>
    <definedName name="__123Graph_ARECENT" hidden="1">#REF!</definedName>
    <definedName name="__123Graph_ASALEBETA" hidden="1">#REF!</definedName>
    <definedName name="__123Graph_ASALES" hidden="1">#REF!</definedName>
    <definedName name="__123Graph_ASQFT" hidden="1">#REF!</definedName>
    <definedName name="__123Graph_ATOTINVPRIWKS" hidden="1">#REF!</definedName>
    <definedName name="__123Graph_ATOTINVREPRIWKS" hidden="1">#REF!</definedName>
    <definedName name="__123Graph_ATREND" hidden="1">#REF!</definedName>
    <definedName name="__123Graph_AUNIT" hidden="1">#REF!</definedName>
    <definedName name="__123Graph_B" hidden="1">#REF!</definedName>
    <definedName name="__123Graph_BBCBAR" hidden="1">#REF!</definedName>
    <definedName name="__123Graph_BBICBETA" hidden="1">#REF!</definedName>
    <definedName name="__123Graph_BBOOK" hidden="1">#REF!</definedName>
    <definedName name="__123Graph_BBOOKBETA" hidden="1">#REF!</definedName>
    <definedName name="__123Graph_BCAPEX" hidden="1">#REF!</definedName>
    <definedName name="__123Graph_BCASHCOST1" hidden="1">#REF!</definedName>
    <definedName name="__123Graph_BCASHCOSTS" hidden="1">#REF!</definedName>
    <definedName name="__123Graph_BCurrent" hidden="1">#REF!</definedName>
    <definedName name="__123Graph_BEBITDABETA" hidden="1">#REF!</definedName>
    <definedName name="__123Graph_BEMPBETA" hidden="1">#REF!</definedName>
    <definedName name="__123Graph_BEMPLOYEE" hidden="1">#REF!</definedName>
    <definedName name="__123Graph_BGRAPH1" hidden="1">#REF!</definedName>
    <definedName name="__123Graph_BGRAPH85" hidden="1">#REF!</definedName>
    <definedName name="__123Graph_BGRAPH87" hidden="1">#REF!</definedName>
    <definedName name="__123Graph_BINVPRICE" hidden="1">#REF!</definedName>
    <definedName name="__123Graph_BMKTVBETA" hidden="1">#REF!</definedName>
    <definedName name="__123Graph_BMONTHCONSUM" hidden="1">#REF!</definedName>
    <definedName name="__123Graph_BMONTHMINPRO" hidden="1">#REF!</definedName>
    <definedName name="__123Graph_BMONTHREFPRO" hidden="1">#REF!</definedName>
    <definedName name="__123Graph_BMOVEMINPRO" hidden="1">#REF!</definedName>
    <definedName name="__123Graph_BMOVEREFCONS" hidden="1">#REF!</definedName>
    <definedName name="__123Graph_BMOVEREFPRO" hidden="1">#REF!</definedName>
    <definedName name="__123Graph_BMVIC" hidden="1">#REF!</definedName>
    <definedName name="__123Graph_BMVICBETA" hidden="1">#REF!</definedName>
    <definedName name="__123Graph_BNIBETA" hidden="1">#REF!</definedName>
    <definedName name="__123Graph_BPEDFLOT" hidden="1">#REF!</definedName>
    <definedName name="__123Graph_BPROCEEDS" hidden="1">#REF!</definedName>
    <definedName name="__123Graph_BPRODPROF" hidden="1">#REF!</definedName>
    <definedName name="__123Graph_BRECENT" hidden="1">#REF!</definedName>
    <definedName name="__123Graph_BSALEBETA" hidden="1">#REF!</definedName>
    <definedName name="__123Graph_BSALES" hidden="1">#REF!</definedName>
    <definedName name="__123Graph_BTREND" hidden="1">#REF!</definedName>
    <definedName name="__123Graph_C" hidden="1">#REF!</definedName>
    <definedName name="__123Graph_CBCBAR" hidden="1">#REF!</definedName>
    <definedName name="__123Graph_CCAPEX" hidden="1">#REF!</definedName>
    <definedName name="__123Graph_CCASHCOST1" hidden="1">#REF!</definedName>
    <definedName name="__123Graph_CCASHCOSTS" hidden="1">#REF!</definedName>
    <definedName name="__123Graph_CCurrent" hidden="1">#REF!</definedName>
    <definedName name="__123Graph_CGRAPH1" hidden="1">#REF!</definedName>
    <definedName name="__123Graph_CMONTHCONSUM" hidden="1">#REF!</definedName>
    <definedName name="__123Graph_CMONTHMINPRO" hidden="1">#REF!</definedName>
    <definedName name="__123Graph_CMONTHREFPRO" hidden="1">#REF!</definedName>
    <definedName name="__123Graph_CPROCEEDS" hidden="1">#REF!</definedName>
    <definedName name="__123Graph_CPRODPROF" hidden="1">#REF!</definedName>
    <definedName name="__123Graph_CRECENT" hidden="1">#REF!</definedName>
    <definedName name="__123Graph_CTREND" hidden="1">#REF!</definedName>
    <definedName name="__123Graph_D" hidden="1">#REF!</definedName>
    <definedName name="__123Graph_DBCBAR" hidden="1">#REF!</definedName>
    <definedName name="__123Graph_DCurrent" hidden="1">#REF!</definedName>
    <definedName name="__123Graph_DINVPRICE" hidden="1">#REF!</definedName>
    <definedName name="__123Graph_DMONTHCONSUM" hidden="1">#REF!</definedName>
    <definedName name="__123Graph_DMONTHMINPRO" hidden="1">#REF!</definedName>
    <definedName name="__123Graph_DMONTHREFPRO" hidden="1">#REF!</definedName>
    <definedName name="__123Graph_DRECENT" hidden="1">#REF!</definedName>
    <definedName name="__123Graph_E" hidden="1">#REF!</definedName>
    <definedName name="__123Graph_EMONTHCONSUM" hidden="1">#REF!</definedName>
    <definedName name="__123Graph_EMONTHMINPRO" hidden="1">#REF!</definedName>
    <definedName name="__123Graph_EMONTHREFPRO" hidden="1">#REF!</definedName>
    <definedName name="__123Graph_ERECENT" hidden="1">#REF!</definedName>
    <definedName name="__123Graph_F" hidden="1">#REF!</definedName>
    <definedName name="__123Graph_FMONTHCONSUM" hidden="1">#REF!</definedName>
    <definedName name="__123Graph_FMONTHMINPRO" hidden="1">#REF!</definedName>
    <definedName name="__123Graph_FMONTHREFPRO" hidden="1">#REF!</definedName>
    <definedName name="__123Graph_FPROFILE" hidden="1">#REF!</definedName>
    <definedName name="__123Graph_LBL_A" hidden="1">#REF!</definedName>
    <definedName name="__123Graph_LBL_AAVERAGE" hidden="1">#REF!</definedName>
    <definedName name="__123Graph_LBL_AGRAPH4" hidden="1">#REF!</definedName>
    <definedName name="__123Graph_LBL_AGRAPH5" hidden="1">#REF!</definedName>
    <definedName name="__123Graph_LBL_ALEASED" hidden="1">#REF!</definedName>
    <definedName name="__123Graph_LBL_AMETPLX" hidden="1">#REF!</definedName>
    <definedName name="__123Graph_LBL_ANDALLAS" hidden="1">#REF!</definedName>
    <definedName name="__123Graph_LBL_ASQFT" hidden="1">#REF!</definedName>
    <definedName name="__123Graph_LBL_AUNIT" hidden="1">#REF!</definedName>
    <definedName name="__123Graph_LBL_B" hidden="1">#REF!</definedName>
    <definedName name="__123Graph_LBL_BGRAPH4" hidden="1">#REF!</definedName>
    <definedName name="__123Graph_LBL_BGRAPH5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ANNUAL" hidden="1">#REF!</definedName>
    <definedName name="__123Graph_XBC" hidden="1">#REF!</definedName>
    <definedName name="__123Graph_XBCBAR" hidden="1">#REF!</definedName>
    <definedName name="__123Graph_XCAPEX" hidden="1">#REF!</definedName>
    <definedName name="__123Graph_XCASHCOST1" hidden="1">#REF!</definedName>
    <definedName name="__123Graph_XCASHCOSTS" hidden="1">#REF!</definedName>
    <definedName name="__123Graph_XCONC" hidden="1">#REF!</definedName>
    <definedName name="__123Graph_XEMPLOYEE" hidden="1">#REF!</definedName>
    <definedName name="__123Graph_XGRAPH1" hidden="1">#REF!</definedName>
    <definedName name="__123Graph_XGRAPH4" hidden="1">#REF!</definedName>
    <definedName name="__123Graph_XGRAPH5" hidden="1">#REF!</definedName>
    <definedName name="__123Graph_XINVPRICE" hidden="1">#REF!</definedName>
    <definedName name="__123Graph_XMONTHCONSUM" hidden="1">#REF!</definedName>
    <definedName name="__123Graph_XMONTHMINPRO" hidden="1">#REF!</definedName>
    <definedName name="__123Graph_XMONTHREFPRO" hidden="1">#REF!</definedName>
    <definedName name="__123Graph_XMOVEMINPRO" hidden="1">#REF!</definedName>
    <definedName name="__123Graph_XMOVEREFCONS" hidden="1">#REF!</definedName>
    <definedName name="__123Graph_XMOVEREFPRO" hidden="1">#REF!</definedName>
    <definedName name="__123Graph_XOAR" hidden="1">#REF!</definedName>
    <definedName name="__123Graph_XPROCEEDS" hidden="1">#REF!</definedName>
    <definedName name="__123Graph_XPRODPROF" hidden="1">#REF!</definedName>
    <definedName name="__123Graph_XTOTINVPRIWKS" hidden="1">#REF!</definedName>
    <definedName name="__123Graph_XTOTINVREPRIWKS" hidden="1">#REF!</definedName>
    <definedName name="__123Graph_XTREND" hidden="1">#REF!</definedName>
    <definedName name="__123Graph_ZZ" hidden="1">#REF!</definedName>
    <definedName name="__13__123Graph_CCHART_4" hidden="1">#REF!</definedName>
    <definedName name="__14__123Graph_XCHART_5" hidden="1">#REF!</definedName>
    <definedName name="__15__123Graph_XCHART_6" hidden="1">#REF!</definedName>
    <definedName name="__16__123Graph_XCHART_7" hidden="1">#REF!</definedName>
    <definedName name="__2__123Graph_ACHART_2" hidden="1">#REF!</definedName>
    <definedName name="__2__123Graph_BCHART_28" hidden="1">#REF!</definedName>
    <definedName name="__2__123Graph_LBL_ACHART_5" hidden="1">#REF!</definedName>
    <definedName name="__3__123Graph_BCHART_1" hidden="1">#REF!</definedName>
    <definedName name="__3__123Graph_CCHART_28" hidden="1">#REF!</definedName>
    <definedName name="__3__123Graph_LBL_BCHART_4" hidden="1">#REF!</definedName>
    <definedName name="__4__123Graph_DCHART_28" hidden="1">#REF!</definedName>
    <definedName name="__4__123Graph_XCHART_1" hidden="1">#REF!</definedName>
    <definedName name="__5__123Graph_ACHART_4" hidden="1">#REF!</definedName>
    <definedName name="__5__123Graph_CCHART_1" hidden="1">#REF!</definedName>
    <definedName name="__5__123Graph_ECHART_28" hidden="1">#REF!</definedName>
    <definedName name="__5__123Graph_XCHART_2" hidden="1">#REF!</definedName>
    <definedName name="__6__123Graph_ACHART_5" hidden="1">#REF!</definedName>
    <definedName name="__6__123Graph_CCHART_2" hidden="1">#REF!</definedName>
    <definedName name="__6__123Graph_FCHART_28" hidden="1">#REF!</definedName>
    <definedName name="__7__123Graph_ACHART_6" hidden="1">#REF!</definedName>
    <definedName name="__7__123Graph_DCHART_1" hidden="1">#REF!</definedName>
    <definedName name="__8__123Graph_ACHART_7" hidden="1">#REF!</definedName>
    <definedName name="__8__123Graph_DCHART_2" hidden="1">#REF!</definedName>
    <definedName name="__9__123Graph_BCHART_4" hidden="1">#REF!</definedName>
    <definedName name="__9__123Graph_ECHART_1" hidden="1">#REF!</definedName>
    <definedName name="__a1" hidden="1">{"Assump",#N/A,TRUE,"Proforma";"first",#N/A,TRUE,"Proforma";"second",#N/A,TRUE,"Proforma";"lease1",#N/A,TRUE,"Proforma";"lease2",#N/A,TRUE,"Proforma"}</definedName>
    <definedName name="__ABC2" hidden="1">{"CHART",#N/A,FALSE,"Arch Communications"}</definedName>
    <definedName name="__ad2" hidden="1">{"CHART",#N/A,FALSE,"Arch Communications"}</definedName>
    <definedName name="__ADS1" hidden="1">{"FCB_ALL",#N/A,FALSE,"FCB"}</definedName>
    <definedName name="__al1" hidden="1">{"sheet a",#N/A,FALSE,"A";"sheet b 1",#N/A,FALSE,"B";"sheet b 2",#N/A,FALSE,"B"}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d1" hidden="1">{#N/A,#N/A,FALSE,"Sales"}</definedName>
    <definedName name="__d116" hidden="1">{#N/A,#N/A,FALSE,"Sales"}</definedName>
    <definedName name="__d16" hidden="1">{"Annual",#N/A,FALSE,"Sales &amp; Market";"Quarterly",#N/A,FALSE,"Sales &amp; Market"}</definedName>
    <definedName name="__d2" hidden="1">{#N/A,#N/A,FALSE,"Sales"}</definedName>
    <definedName name="__d216" hidden="1">{#N/A,#N/A,FALSE,"Sales"}</definedName>
    <definedName name="__dan1" hidden="1">#REF!</definedName>
    <definedName name="__dcf1" hidden="1">{#N/A,#N/A,FALSE,"Tar-Ass";#N/A,#N/A,FALSE,"Tar-IS";#N/A,#N/A,FALSE,"Tar-BS";#N/A,#N/A,FALSE,"Tar-Adg BS";#N/A,#N/A,FALSE,"Tar-CF"}</definedName>
    <definedName name="__df1" hidden="1">{#N/A,#N/A,FALSE,"Calc";#N/A,#N/A,FALSE,"Sensitivity";#N/A,#N/A,FALSE,"LT Earn.Dil.";#N/A,#N/A,FALSE,"Dil. AVP"}</definedName>
    <definedName name="__df2" hidden="1">{#N/A,#N/A,FALSE,"Calc";#N/A,#N/A,FALSE,"Sensitivity";#N/A,#N/A,FALSE,"LT Earn.Dil.";#N/A,#N/A,FALSE,"Dil. AVP"}</definedName>
    <definedName name="__dfd1" hidden="1">{"FCB_ALL",#N/A,FALSE,"FCB";"GREY_ALL",#N/A,FALSE,"GREY"}</definedName>
    <definedName name="__FDS_HYPERLINK_TOGGLE_STATE__" hidden="1">"ON"</definedName>
    <definedName name="__FDS_UNIQUE_RANGE_ID_GENERATOR_COUNTER" hidden="1">1</definedName>
    <definedName name="__FDS_USED_FOR_REUSING_RANGE_IDS_RECYCLE" hidden="1">{33,33,33,33,33}</definedName>
    <definedName name="__Feb03" hidden="1">{#N/A,#N/A,FALSE,"Class A";#N/A,#N/A,FALSE,"Class B";#N/A,#N/A,FALSE,"Class C"}</definedName>
    <definedName name="__fff1" hidden="1">{"Annual",#N/A,FALSE,"Sales &amp; Market";"Quarterly",#N/A,FALSE,"Sales &amp; Market"}</definedName>
    <definedName name="__gc1" hidden="1">{"Annual",#N/A,FALSE,"Sales &amp; Market";"Quarterly",#N/A,FALSE,"Sales &amp; Market"}</definedName>
    <definedName name="__hd1" hidden="1">{#N/A,#N/A,FALSE,"Calc";#N/A,#N/A,FALSE,"Sensitivity";#N/A,#N/A,FALSE,"LT Earn.Dil.";#N/A,#N/A,FALSE,"Dil. AVP"}</definedName>
    <definedName name="__hd2" hidden="1">{#N/A,#N/A,FALSE,"Calc";#N/A,#N/A,FALSE,"Sensitivity";#N/A,#N/A,FALSE,"LT Earn.Dil.";#N/A,#N/A,FALSE,"Dil. AVP"}</definedName>
    <definedName name="__Ht_Data_Spc_Version_Spc_1" hidden="1">"01._Spc_Current_Spc_Data_Spc_Version"</definedName>
    <definedName name="__Ht_Data_Spc_Version_Spc_2" hidden="1">"02._Spc_Previous_Spc_Year_Spc_Data_Spc_Version"</definedName>
    <definedName name="__Ht_Data_Spc_Version_Spc_3" hidden="1">"03._Spc_Most_Spc_recent_Spc_Budget_Spc_Version"</definedName>
    <definedName name="__Ht_Data_Spc_Version_Spc_4" hidden="1">"04._Spc_Target_Spc_Data_Spc_version_Spc_for_Spc_Quarter_Hyp_to_Hyp_go"</definedName>
    <definedName name="__Ht_Data_Spc_Version_Spc_5" hidden="1">"02b._Spc_Previous_Spc_Year_Spc_Current_Spc_volume_Spc_Version"</definedName>
    <definedName name="__Ht_Data_Spc_Version_Spc_6" hidden="1">"03b._Spc_Most_Spc_recent_Spc_budget_Spc_Current_Spc_volume_Spc_version"</definedName>
    <definedName name="__Ht_Data_Spc_Version_Spc_7" hidden="1">"01b._Spc_Current_Spc_volume_Spc_Data_Spc_Version"</definedName>
    <definedName name="__Ht_Data_Spc_Version_Spc_8" hidden="1">"04b._Spc_Target_Spc_Volume_Spc_version_Spc_for_Spc_Quarter_Hyp_to_Hyp_go"</definedName>
    <definedName name="__Ht_Period_Spc_1" hidden="1">"05._Spc_Current_Spc_Month"</definedName>
    <definedName name="__Ht_Period_Spc_2" hidden="1">"07._Spc_All_Spc_months_Spc_in_Spc_YTD"</definedName>
    <definedName name="__Ht_Period_Spc_3" hidden="1">"06._Spc_All_Spc_months_Spc_in_Spc_current_Spc_Quarter"</definedName>
    <definedName name="__Ht_Region_Spc_1" hidden="1">"18._Spc_Select_Spc_your_Spc_region"</definedName>
    <definedName name="__Ht_USD_Spc_Month_Spc_1?" hidden="1">"12._Spc_Financials_Spc_Month"</definedName>
    <definedName name="__Ht_USD_Spc_Quarter_Spc_1?" hidden="1">"13._Spc_Financials_Spc_Quarter"</definedName>
    <definedName name="__Ht_USD_Spc_YTD_Spc_1?" hidden="1">"14._Spc_Financials_Spc_YTD"</definedName>
    <definedName name="__Ht_Variance_Spc_Description_Spc_1" hidden="1">"08._Spc_Variance_Spc_Description_Spc_vs._Spc_Actual"</definedName>
    <definedName name="__Ht_Variance_Spc_Description_Spc_2" hidden="1">"9._Spc_Variance_Spc_Description_Spc_vs._Spc_Budget"</definedName>
    <definedName name="__Ht_Variance_Spc_Description_Spc_3" hidden="1">"10._Spc_OCI_Spc_tracking_Spc_Variance_Spc_Description_Spc_1"</definedName>
    <definedName name="__Ht_Variance_Spc_Description_Spc_4" hidden="1">"11._Spc_OCI_Spc_tracking_Spc_Variance_Spc_Description_Spc_2"</definedName>
    <definedName name="__Ht_Volume_Spc_Month_Spc_1?" hidden="1">"15._Spc_Volume_Spc_Month"</definedName>
    <definedName name="__Ht_Volume_Spc_Quarter_Spc_1?" hidden="1">"16._Spc_Volume_Spc_Quarter"</definedName>
    <definedName name="__Ht_Volume_Spc_YTD_Spc_1?" hidden="1">"17._Spc_Volume_Spc_YTD"</definedName>
    <definedName name="__IntlFixup" hidden="1">TRUE</definedName>
    <definedName name="__k" hidden="1">{#N/A,#N/A,TRUE,"A-site";#N/A,#N/A,TRUE,"B-Buildings";#N/A,#N/A,TRUE,"c-out-of-fence";#N/A,#N/A,TRUE,"d-proj.infr.";#N/A,#N/A,TRUE,"e- land"}</definedName>
    <definedName name="__key1" hidden="1">#REF!</definedName>
    <definedName name="__key2" hidden="1">#REF!</definedName>
    <definedName name="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MRG2" hidden="1">{"INCOME",#N/A,FALSE,"ProNet";"VALUE",#N/A,FALSE,"ProNet"}</definedName>
    <definedName name="__MRG22" hidden="1">{"INCOME",#N/A,FALSE,"ProNet";"VALUE",#N/A,FALSE,"ProNet"}</definedName>
    <definedName name="__mrg4" hidden="1">{"INCOME",#N/A,FALSE,"ProNet";"VALUE",#N/A,FALSE,"ProNet"}</definedName>
    <definedName name="__mrg8" hidden="1">{"INCOME",#N/A,FALSE,"ProNet";"VALUE",#N/A,FALSE,"ProNet"}</definedName>
    <definedName name="__new1">#REF!</definedName>
    <definedName name="__new2" hidden="1">{"'B-2 QSER Jun 98 4-27-98 cor'!$A$1:$F$57"}</definedName>
    <definedName name="__new5" hidden="1">{"'B-2 QSER Jun 98 4-27-98 cor'!$A$1:$F$57"}</definedName>
    <definedName name="__ok1" hidden="1">{"Annual",#N/A,FALSE,"Sales &amp; Market";"Quarterly",#N/A,FALSE,"Sales &amp; Market"}</definedName>
    <definedName name="__OK2" hidden="1">{#N/A,#N/A,FALSE,"Cover";#N/A,#N/A,FALSE,"LUMI";#N/A,#N/A,FALSE,"COMD";#N/A,#N/A,FALSE,"Valuation";#N/A,#N/A,FALSE,"Assumptions";#N/A,#N/A,FALSE,"Pooling";#N/A,#N/A,FALSE,"BalanceSheet"}</definedName>
    <definedName name="__old2" hidden="1">{#N/A,#N/A,FALSE,"Chart 2 by Prop Type"}</definedName>
    <definedName name="__pj2" hidden="1">{"INCOME",#N/A,FALSE,"ProNet";"VALUE",#N/A,FALSE,"ProNet"}</definedName>
    <definedName name="__sad2" hidden="1">{"MonthlyRentRoll",#N/A,FALSE,"RentRoll"}</definedName>
    <definedName name="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w" hidden="1">{#N/A,#N/A,TRUE,"A-site";#N/A,#N/A,TRUE,"B-Buildings";#N/A,#N/A,TRUE,"c-out-of-fence";#N/A,#N/A,TRUE,"d-proj.infr.";#N/A,#N/A,TRUE,"e- land"}</definedName>
    <definedName name="__we2" hidden="1">{"INCOME",#N/A,FALSE,"ProNet";"VALUE",#N/A,FALSE,"ProNet"}</definedName>
    <definedName name="__wmp1" hidden="1">{#N/A,#N/A,FALSE,"ENVIRONMENTAL"}</definedName>
    <definedName name="__wpm1" hidden="1">{#N/A,#N/A,FALSE,"LOAN ANALYSIS"}</definedName>
    <definedName name="__wrn1" hidden="1">{"schedule1",#N/A,FALSE,"Sheet1";"schedule2",#N/A,FALSE,"Sheet1";"schedule3",#N/A,FALSE,"Sheet1";"schedule4",#N/A,FALSE,"Sheet1";"schedule5",#N/A,FALSE,"Sheet1";"schedule6",#N/A,FALSE,"Sheet1"}</definedName>
    <definedName name="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3" hidden="1">{#N/A,#N/A,FALSE,"Aging Summary";#N/A,#N/A,FALSE,"Ratio Analysis";#N/A,#N/A,FALSE,"Test 120 Day Accts";#N/A,#N/A,FALSE,"Tickmarks"}</definedName>
    <definedName name="__wrn4" hidden="1">{"data",#N/A,FALSE,"INPUT"}</definedName>
    <definedName name="__wrn9" hidden="1">{"FCB_ALL",#N/A,FALSE,"FCB"}</definedName>
    <definedName name="__xlfn.RTD" hidden="1">#NAME?</definedName>
    <definedName name="__y1" hidden="1">#REF!</definedName>
    <definedName name="__y2" hidden="1">#REF!</definedName>
    <definedName name="__y3" hidden="1">#REF!</definedName>
    <definedName name="__y4" hidden="1">#REF!</definedName>
    <definedName name="__y5" hidden="1">#REF!</definedName>
    <definedName name="__yr1" hidden="1">#REF!</definedName>
    <definedName name="__yr2" hidden="1">#REF!</definedName>
    <definedName name="__yr3" hidden="1">#REF!</definedName>
    <definedName name="__yr4" hidden="1">#REF!</definedName>
    <definedName name="__z1" hidden="1">{"Commish",#N/A,FALSE,"LAWTC"}</definedName>
    <definedName name="_0215" hidden="1">#REF!</definedName>
    <definedName name="_1__123Graph_ACHART_1" hidden="1">#REF!</definedName>
    <definedName name="_1__123Graph_ACHART_12" hidden="1">#REF!</definedName>
    <definedName name="_1__123Graph_ACHART_2" hidden="1">#REF!</definedName>
    <definedName name="_1__123Graph_ACHART_28" hidden="1">#REF!</definedName>
    <definedName name="_1__123Graph_ACHART_3A" hidden="1">#REF!</definedName>
    <definedName name="_1__123Graph_ACHART_4" hidden="1">#REF!</definedName>
    <definedName name="_1__123Graph_ACHART_4A" hidden="1">#REF!</definedName>
    <definedName name="_1__123Graph_AMARKET_SEGMENT" hidden="1">#REF!</definedName>
    <definedName name="_1__123Graph_BCHART_4" hidden="1">#REF!</definedName>
    <definedName name="_1__123Graph_CCHART_2" hidden="1">#REF!</definedName>
    <definedName name="_1__FDSAUDITLINK__" hidden="1">{"fdsup://directions/FAT Viewer?action=UPDATE&amp;creator=factset&amp;DYN_ARGS=TRUE&amp;DOC_NAME=FAT:FQL_AUDITING_CLIENT_TEMPLATE.FAT&amp;display_string=Audit&amp;VAR:KEY=JIVIHKDEZQ&amp;VAR:QUERY=UkdGX0VOVFJQUl9WQUwoQU5OLDQxMDQ0LCwsLFVTRCwsTk9BVURJVCk=&amp;WINDOW=FIRST_POPUP&amp;HEIGHT=45","0&amp;WIDTH=450&amp;START_MAXIMIZED=FALSE&amp;VAR:CALENDAR=US&amp;VAR:SYMBOL=707624&amp;VAR:INDEX=0"}</definedName>
    <definedName name="_1_0_0__123Grap" hidden="1">#REF!</definedName>
    <definedName name="_1_0_0_S" hidden="1">#REF!</definedName>
    <definedName name="_1_0_S" hidden="1">#REF!</definedName>
    <definedName name="_10__123Graph_A_FABP_L.WK1_FAB" hidden="1">#REF!</definedName>
    <definedName name="_10__123Graph_ADEPREC" hidden="1">#REF!</definedName>
    <definedName name="_10__123Graph_BCHART_16" hidden="1">#REF!</definedName>
    <definedName name="_10__123Graph_BCHART_2" hidden="1">#REF!</definedName>
    <definedName name="_10__123Graph_BCHART_5" hidden="1">#REF!</definedName>
    <definedName name="_10__123Graph_CCHART_1" hidden="1">#REF!</definedName>
    <definedName name="_10__123Graph_CCHART_3" hidden="1">#REF!</definedName>
    <definedName name="_10__123Graph_FCHART_1" hidden="1">#REF!</definedName>
    <definedName name="_10__123Graph_XCHART_1" hidden="1">#REF!</definedName>
    <definedName name="_10__123Graph_XCHART_1A" hidden="1">#REF!</definedName>
    <definedName name="_10__FDSAUDITLINK__" hidden="1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100__FDSAUDITLINK__" hidden="1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101__FDSAUDITLINK__" hidden="1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102__123Graph_XCHART_19" hidden="1">#REF!</definedName>
    <definedName name="_102__FDSAUDITLINK__" hidden="1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102_0_Table2_" hidden="1">#REF!</definedName>
    <definedName name="_105__123Graph_XCHART_22" hidden="1">#REF!</definedName>
    <definedName name="_107__123Graph_LBL_ACHART_3" hidden="1">#REF!</definedName>
    <definedName name="_108__123Graph_BCHART_22" hidden="1">#REF!</definedName>
    <definedName name="_108__123Graph_XSEG_PIE" hidden="1">#REF!</definedName>
    <definedName name="_11__123Graph_ACHART_1" hidden="1">#REF!</definedName>
    <definedName name="_11__123Graph_ACHART_3" hidden="1">#REF!</definedName>
    <definedName name="_11__123Graph_B_FABP_L.WK1_FAB" hidden="1">#REF!</definedName>
    <definedName name="_11__123Graph_BCHART_17" hidden="1">#REF!</definedName>
    <definedName name="_11__123Graph_BCHART_3" hidden="1">#REF!</definedName>
    <definedName name="_11__123Graph_BCHART_6" hidden="1">#REF!</definedName>
    <definedName name="_11__123Graph_CCHART_2" hidden="1">#REF!</definedName>
    <definedName name="_11__123Graph_DCHART_1" hidden="1">#REF!</definedName>
    <definedName name="_11__123Graph_XCHART_2" hidden="1">#REF!</definedName>
    <definedName name="_11__123Graph_XGROWTH_9" hidden="1">#REF!</definedName>
    <definedName name="_11__FDSAUDITLINK__" hidden="1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110__123Graph_BCHART_3" hidden="1">#REF!</definedName>
    <definedName name="_115__123Graph_LBL_ACHART_4" hidden="1">#REF!</definedName>
    <definedName name="_117__123Graph_CCHART_15" hidden="1">#REF!</definedName>
    <definedName name="_12__123Graph_ACHART_17" hidden="1">#REF!</definedName>
    <definedName name="_12__123Graph_ACHART_2" hidden="1">#REF!</definedName>
    <definedName name="_12__123Graph_ACHART_2A" hidden="1">#REF!</definedName>
    <definedName name="_12__123Graph_ACHART_4" hidden="1">#REF!</definedName>
    <definedName name="_12__123Graph_BCHART_1" hidden="1">#REF!</definedName>
    <definedName name="_12__123Graph_BCHART_22" hidden="1">#REF!</definedName>
    <definedName name="_12__123Graph_BCHART_2A" hidden="1">#REF!</definedName>
    <definedName name="_12__123Graph_BCHART_4" hidden="1">#REF!</definedName>
    <definedName name="_12__123Graph_BCHART_7" hidden="1">#REF!</definedName>
    <definedName name="_12__123Graph_ECHART_1" hidden="1">#REF!</definedName>
    <definedName name="_12__123Graph_XCHART_2A" hidden="1">#REF!</definedName>
    <definedName name="_12__FDSAUDITLINK__" hidden="1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121__123Graph_BCHART_4" hidden="1">#REF!</definedName>
    <definedName name="_123" hidden="1">#REF!</definedName>
    <definedName name="_123__123Graph_LBL_BCHART_1" hidden="1">#REF!</definedName>
    <definedName name="_12312" hidden="1">#REF!</definedName>
    <definedName name="_123Graph" hidden="1">#REF!</definedName>
    <definedName name="_123Graph_A2" hidden="1">#N/A</definedName>
    <definedName name="_123Graph_ACHART" hidden="1">#REF!</definedName>
    <definedName name="_126__123Graph_CCHART_16" hidden="1">#REF!</definedName>
    <definedName name="_13__123Graph_ACHART_3" hidden="1">#REF!</definedName>
    <definedName name="_13__123Graph_BCHART_1" hidden="1">#REF!</definedName>
    <definedName name="_13__123Graph_BCHART_2" hidden="1">#REF!</definedName>
    <definedName name="_13__123Graph_BCHART_5" hidden="1">#REF!</definedName>
    <definedName name="_13__123Graph_CCHART_15" hidden="1">#REF!</definedName>
    <definedName name="_13__123Graph_CCHART_3" hidden="1">#REF!</definedName>
    <definedName name="_13__123Graph_CCHART_4" hidden="1">#REF!</definedName>
    <definedName name="_13__123Graph_FCHART_1" hidden="1">#REF!</definedName>
    <definedName name="_13__FDSAUDITLINK__" hidden="1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131__123Graph_LBL_BCHART_2" hidden="1">#REF!</definedName>
    <definedName name="_132__123Graph_BCHART_5" hidden="1">#REF!</definedName>
    <definedName name="_135__123Graph_CCHART_17" hidden="1">#REF!</definedName>
    <definedName name="_139__123Graph_LBL_BCHART_3" hidden="1">#REF!</definedName>
    <definedName name="_14__123Graph_ACHART_4" hidden="1">#REF!</definedName>
    <definedName name="_14__123Graph_BCHART_2" hidden="1">#REF!</definedName>
    <definedName name="_14__123Graph_BCHART_3" hidden="1">#REF!</definedName>
    <definedName name="_14__123Graph_BCHART_6" hidden="1">#REF!</definedName>
    <definedName name="_14__123Graph_CCHART_16" hidden="1">#REF!</definedName>
    <definedName name="_14__123Graph_DCHART_1" hidden="1">#REF!</definedName>
    <definedName name="_14__123Graph_LBL_ACHART_2" hidden="1">#REF!</definedName>
    <definedName name="_14__123Graph_XCHART_5" hidden="1">#REF!</definedName>
    <definedName name="_14__FDSAUDITLINK__" hidden="1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143__123Graph_BCHART_6" hidden="1">#REF!</definedName>
    <definedName name="_144__123Graph_CCHART_22" hidden="1">#REF!</definedName>
    <definedName name="_147__123Graph_XCHART_1" hidden="1">#REF!</definedName>
    <definedName name="_15__123Graph_ACHART_18" hidden="1">#REF!</definedName>
    <definedName name="_15__123Graph_ACHART_5" hidden="1">#REF!</definedName>
    <definedName name="_15__123Graph_BCHART_4" hidden="1">#REF!</definedName>
    <definedName name="_15__123Graph_BCHART_7" hidden="1">#REF!</definedName>
    <definedName name="_15__123Graph_CCHART_17" hidden="1">#REF!</definedName>
    <definedName name="_15__123Graph_ECHART_1" hidden="1">#REF!</definedName>
    <definedName name="_15__123Graph_LBL_ACHART_3" hidden="1">#REF!</definedName>
    <definedName name="_15__123Graph_XCHART_1A" hidden="1">#REF!</definedName>
    <definedName name="_15__123Graph_XCHART_6" hidden="1">#REF!</definedName>
    <definedName name="_15__FDSAUDITLINK__" hidden="1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153__123Graph_CSEG_PIE" hidden="1">#REF!</definedName>
    <definedName name="_154__123Graph_BCHART_7" hidden="1">#REF!</definedName>
    <definedName name="_155__123Graph_XCHART_2" hidden="1">#REF!</definedName>
    <definedName name="_159_0_Table1_" hidden="1">#REF!</definedName>
    <definedName name="_16__123Graph_ACHART_3" hidden="1">#REF!</definedName>
    <definedName name="_16__123Graph_ACHART_6" hidden="1">#REF!</definedName>
    <definedName name="_16__123Graph_BCHART_5" hidden="1">#REF!</definedName>
    <definedName name="_16__123Graph_CCHART_22" hidden="1">#REF!</definedName>
    <definedName name="_16__123Graph_DCHART_1" hidden="1">#REF!</definedName>
    <definedName name="_16__123Graph_FCHART_1" hidden="1">#REF!</definedName>
    <definedName name="_16__123Graph_LBL_ACHART_4" hidden="1">#REF!</definedName>
    <definedName name="_16__123Graph_XCHART_7" hidden="1">#REF!</definedName>
    <definedName name="_16__FDSAUDITLINK__" hidden="1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162__123Graph_DCHART_15" hidden="1">#REF!</definedName>
    <definedName name="_163__123Graph_XCHART_3" hidden="1">#REF!</definedName>
    <definedName name="_163_0_Table2_" hidden="1">#REF!</definedName>
    <definedName name="_169_0_Table1_" hidden="1">#REF!</definedName>
    <definedName name="_17__123Graph_ACHART_4" hidden="1">#REF!</definedName>
    <definedName name="_17__123Graph_ACHART_7" hidden="1">#REF!</definedName>
    <definedName name="_17__123Graph_BCHART_6" hidden="1">#REF!</definedName>
    <definedName name="_17__123Graph_CSEG_PIE" hidden="1">#REF!</definedName>
    <definedName name="_17__123Graph_LBL_ACHART_1" hidden="1">#REF!</definedName>
    <definedName name="_17__123Graph_LBL_ACHART_2" hidden="1">#REF!</definedName>
    <definedName name="_17__123Graph_LBL_BCHART_2" hidden="1">#REF!</definedName>
    <definedName name="_17__FDSAUDITLINK__" hidden="1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171__123Graph_DCHART_16" hidden="1">#REF!</definedName>
    <definedName name="_171__123Graph_XCHART_4" hidden="1">#REF!</definedName>
    <definedName name="_175_0_Table2_" hidden="1">#REF!</definedName>
    <definedName name="_178_0_Table1_" hidden="1">#REF!</definedName>
    <definedName name="_18__123Graph_ACHART_15" hidden="1">#REF!</definedName>
    <definedName name="_18__123Graph_ACHART_19" hidden="1">#REF!</definedName>
    <definedName name="_18__123Graph_BCHART_1" hidden="1">#REF!</definedName>
    <definedName name="_18__123Graph_BCHART_1A" hidden="1">#REF!</definedName>
    <definedName name="_18__123Graph_BCHART_7" hidden="1">#REF!</definedName>
    <definedName name="_18__123Graph_DCHART_15" hidden="1">#REF!</definedName>
    <definedName name="_18__123Graph_LBL_ACHART_3" hidden="1">#REF!</definedName>
    <definedName name="_18__123Graph_LBL_BCHART_3" hidden="1">#REF!</definedName>
    <definedName name="_18__123Graph_XCHART_2A" hidden="1">#REF!</definedName>
    <definedName name="_18__FDSAUDITLINK__" hidden="1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180__123Graph_DCHART_17" hidden="1">#REF!</definedName>
    <definedName name="_185_0_Table2_" hidden="1">#REF!</definedName>
    <definedName name="_189__123Graph_DCHART_22" hidden="1">#REF!</definedName>
    <definedName name="_19__123Graph_BCHART_2" hidden="1">#REF!</definedName>
    <definedName name="_19__123Graph_C_FABP_L.WK1_FAB" hidden="1">#REF!</definedName>
    <definedName name="_19__123Graph_DCHART_16" hidden="1">#REF!</definedName>
    <definedName name="_19__123Graph_LBL_ACHART_3" hidden="1">#REF!</definedName>
    <definedName name="_19__123Graph_LBL_CCHART_2" hidden="1">#REF!</definedName>
    <definedName name="_19__123Graph_LBL_DCHART_1" hidden="1">#REF!</definedName>
    <definedName name="_19__FDSAUDITLINK__" hidden="1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198__123Graph_ECHART_15" hidden="1">#REF!</definedName>
    <definedName name="_1ƒ0ACwvu.Sommai" hidden="1">#REF!,#REF!,#REF!,#REF!,#REF!,#REF!</definedName>
    <definedName name="_1x1" hidden="1">#REF!</definedName>
    <definedName name="_2__123Graph_A_FABP_L.WK1_FAB" hidden="1">#REF!</definedName>
    <definedName name="_2__123Graph_ACHART_1" hidden="1">#REF!</definedName>
    <definedName name="_2__123Graph_ACHART_15" hidden="1">#REF!</definedName>
    <definedName name="_2__123Graph_ACHART_1A" hidden="1">#REF!</definedName>
    <definedName name="_2__123Graph_ACHART_2" hidden="1">#REF!</definedName>
    <definedName name="_2__123Graph_ACHART_4" hidden="1">#REF!</definedName>
    <definedName name="_2__123Graph_ACHART_4A" hidden="1">#REF!</definedName>
    <definedName name="_2__123Graph_BCHART_1" hidden="1">#REF!</definedName>
    <definedName name="_2__123Graph_BCHART_2" hidden="1">#REF!</definedName>
    <definedName name="_2__123Graph_BCHART_28" hidden="1">#REF!</definedName>
    <definedName name="_2__123Graph_BCHART_4" hidden="1">#REF!</definedName>
    <definedName name="_2__123Graph_LBL_ACHART_5" hidden="1">#REF!</definedName>
    <definedName name="_2__123Graph_XCHART_2" hidden="1">#REF!</definedName>
    <definedName name="_2__123Graph_XCHART_3A" hidden="1">#REF!</definedName>
    <definedName name="_2__123Graph_XCHART_4A" hidden="1">#REF!</definedName>
    <definedName name="_2__123Graph_XMARKET_SEGMENT" hidden="1">#REF!</definedName>
    <definedName name="_2__FDSAUDITLINK__" hidden="1">{"fdsup://directions/FAT Viewer?action=UPDATE&amp;creator=factset&amp;DYN_ARGS=TRUE&amp;DOC_NAME=FAT:FQL_AUDITING_CLIENT_TEMPLATE.FAT&amp;display_string=Audit&amp;VAR:KEY=SVWDARGLYV&amp;VAR:QUERY=UkdGX0VOVFJQUl9WQUwoQU5OLDQxMDQ0LCwsLCwsTk9BVURJVCk=&amp;WINDOW=FIRST_POPUP&amp;HEIGHT=450&amp;WI","DTH=450&amp;START_MAXIMIZED=FALSE&amp;VAR:CALENDAR=US&amp;VAR:SYMBOL=707624&amp;VAR:INDEX=0"}</definedName>
    <definedName name="_2_0__123Grap" hidden="1">#REF!</definedName>
    <definedName name="_2_0_S" hidden="1">#REF!</definedName>
    <definedName name="_20__123Graph_ACHART_5" hidden="1">#REF!</definedName>
    <definedName name="_20__123Graph_DCHART_1" hidden="1">#REF!</definedName>
    <definedName name="_20__123Graph_DCHART_17" hidden="1">#REF!</definedName>
    <definedName name="_20__123Graph_LBL_ACHART_4" hidden="1">#REF!</definedName>
    <definedName name="_20__123Graph_LBL_CCHART_3" hidden="1">#REF!</definedName>
    <definedName name="_20__FDSAUDITLINK__" hidden="1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2004">#REF!</definedName>
    <definedName name="_2005">#REF!</definedName>
    <definedName name="_2006">#REF!</definedName>
    <definedName name="_2007">#REF!</definedName>
    <definedName name="_2008">#REF!</definedName>
    <definedName name="_2009">#REF!</definedName>
    <definedName name="_2010">#REF!</definedName>
    <definedName name="_2011">#REF!</definedName>
    <definedName name="_2012">#REF!</definedName>
    <definedName name="_2013">#REF!</definedName>
    <definedName name="_2013_">#REF!</definedName>
    <definedName name="_2014">#REF!</definedName>
    <definedName name="_2015">#REF!</definedName>
    <definedName name="_2016">#REF!</definedName>
    <definedName name="_2017">#REF!</definedName>
    <definedName name="_2018">#REF!</definedName>
    <definedName name="_2020">#REF!</definedName>
    <definedName name="_207__123Graph_ECHART_16" hidden="1">#REF!</definedName>
    <definedName name="_20IQ_POLICĎĎ__ĘĘ__TS" hidden="1">"c1036"</definedName>
    <definedName name="_21__123Graph_ACHART_21" hidden="1">#REF!</definedName>
    <definedName name="_21__123Graph_ACHART_4" hidden="1">#REF!</definedName>
    <definedName name="_21__123Graph_DCHART_22" hidden="1">#REF!</definedName>
    <definedName name="_21__123Graph_LBL_ACHART_1" hidden="1">#REF!</definedName>
    <definedName name="_21__123Graph_LBL_BCHART_2" hidden="1">#REF!</definedName>
    <definedName name="_21__FDSAUDITLINK__" hidden="1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21_0_S" hidden="1">#REF!</definedName>
    <definedName name="_216__123Graph_ECHART_17" hidden="1">#REF!</definedName>
    <definedName name="_22__123Graph_ACHART_2" hidden="1">#REF!</definedName>
    <definedName name="_22__123Graph_ACHART_5" hidden="1">#REF!</definedName>
    <definedName name="_22__123Graph_BCHART_2" hidden="1">#REF!</definedName>
    <definedName name="_22__123Graph_ECHART_15" hidden="1">#REF!</definedName>
    <definedName name="_22__123Graph_LBL_ACHART_3" hidden="1">#REF!</definedName>
    <definedName name="_22__FDSAUDITLINK__" hidden="1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22_0_S" hidden="1">#REF!</definedName>
    <definedName name="_225__123Graph_ECHART_22" hidden="1">#REF!</definedName>
    <definedName name="_23__123Graph_ACHART_6" hidden="1">#REF!</definedName>
    <definedName name="_23__123Graph_BCHART_3" hidden="1">#REF!</definedName>
    <definedName name="_23__123Graph_ECHART_16" hidden="1">#REF!</definedName>
    <definedName name="_23__123Graph_LBL_BCHART_3" hidden="1">#REF!</definedName>
    <definedName name="_23__123Graph_LBL_DCHART_1" hidden="1">#REF!</definedName>
    <definedName name="_23__FDSAUDITLINK__" hidden="1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234__123Graph_FCHART_15" hidden="1">#REF!</definedName>
    <definedName name="_24__123Graph_ACHART_7" hidden="1">#REF!</definedName>
    <definedName name="_24__123Graph_ASEG_PIE" hidden="1">#REF!</definedName>
    <definedName name="_24__123Graph_BCHART_2A" hidden="1">#REF!</definedName>
    <definedName name="_24__123Graph_CCHART_1" hidden="1">#REF!</definedName>
    <definedName name="_24__123Graph_ECHART_17" hidden="1">#REF!</definedName>
    <definedName name="_24__123Graph_LBL_CCHART_2" hidden="1">#REF!</definedName>
    <definedName name="_24__123Graph_X_FABP_L.WK1_FAB" hidden="1">#REF!</definedName>
    <definedName name="_24__FDSAUDITLINK__" hidden="1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24_0_Table1_" hidden="1">#REF!</definedName>
    <definedName name="_243__123Graph_FCHART_16" hidden="1">#REF!</definedName>
    <definedName name="_25__123Graph_BCHART_4" hidden="1">#REF!</definedName>
    <definedName name="_25__123Graph_CCHART_2" hidden="1">#REF!</definedName>
    <definedName name="_25__123Graph_ECHART_22" hidden="1">#REF!</definedName>
    <definedName name="_25__FDSAUDITLINK__" hidden="1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25_0_Table2_" hidden="1">#REF!</definedName>
    <definedName name="_252__123Graph_FCHART_17" hidden="1">#REF!</definedName>
    <definedName name="_26__123Graph_BCHART_3" hidden="1">#REF!</definedName>
    <definedName name="_26__123Graph_BCHART_5" hidden="1">#REF!</definedName>
    <definedName name="_26__123Graph_FCHART_15" hidden="1">#REF!</definedName>
    <definedName name="_26__123Graph_LBL_CCHART_3" hidden="1">#REF!</definedName>
    <definedName name="_26__FDSAUDITLINK__" hidden="1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261__123Graph_FCHART_22" hidden="1">#REF!</definedName>
    <definedName name="_27__123Graph_ACHART_16" hidden="1">#REF!</definedName>
    <definedName name="_27__123Graph_ADEPREC" hidden="1">#REF!</definedName>
    <definedName name="_27__123Graph_BCHART_15" hidden="1">#REF!</definedName>
    <definedName name="_27__123Graph_BCHART_4" hidden="1">#REF!</definedName>
    <definedName name="_27__123Graph_BCHART_6" hidden="1">#REF!</definedName>
    <definedName name="_27__123Graph_CCHART_1" hidden="1">#REF!</definedName>
    <definedName name="_27__123Graph_FCHART_16" hidden="1">#REF!</definedName>
    <definedName name="_27__FDSAUDITLINK__" hidden="1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27_0_Table1_" hidden="1">#REF!</definedName>
    <definedName name="_270__123Graph_XCHART_15" hidden="1">#REF!</definedName>
    <definedName name="_279__123Graph_XCHART_16" hidden="1">#REF!</definedName>
    <definedName name="_28__123Graph_BCHART_5" hidden="1">#REF!</definedName>
    <definedName name="_28__123Graph_BCHART_7" hidden="1">#REF!</definedName>
    <definedName name="_28__123Graph_CCHART_2" hidden="1">#REF!</definedName>
    <definedName name="_28__123Graph_FCHART_17" hidden="1">#REF!</definedName>
    <definedName name="_28__FDSAUDITLINK__" hidden="1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28_0_S" hidden="1">#REF!</definedName>
    <definedName name="_28_0_Table2_" hidden="1">#REF!</definedName>
    <definedName name="_288__123Graph_XCHART_17" hidden="1">#REF!</definedName>
    <definedName name="_29__123Graph_BCHART_6" hidden="1">#REF!</definedName>
    <definedName name="_29__123Graph_CCHART_4" hidden="1">#REF!</definedName>
    <definedName name="_29__123Graph_FCHART_22" hidden="1">#REF!</definedName>
    <definedName name="_29__FDSAUDITLINK__" hidden="1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297__123Graph_XCHART_18" hidden="1">#REF!</definedName>
    <definedName name="_2ƒ0ACwvu.Sommai" hidden="1">#REF!,#REF!,#REF!,#REF!,#REF!,#REF!</definedName>
    <definedName name="_2ƒ0Swvu.Sommai" hidden="1">#REF!,#REF!,#REF!,#REF!,#REF!,#REF!</definedName>
    <definedName name="_3__123Graph_ACHART_1" hidden="1">#REF!</definedName>
    <definedName name="_3__123Graph_ACHART_12" hidden="1">#REF!</definedName>
    <definedName name="_3__123Graph_ACHART_16" hidden="1">#REF!</definedName>
    <definedName name="_3__123Graph_ACHART_1A" hidden="1">#REF!</definedName>
    <definedName name="_3__123Graph_ACHART_2" hidden="1">#REF!</definedName>
    <definedName name="_3__123Graph_ACHART_3" hidden="1">#REF!</definedName>
    <definedName name="_3__123Graph_BCHART_1" hidden="1">#REF!</definedName>
    <definedName name="_3__123Graph_BCHART_4" hidden="1">#REF!</definedName>
    <definedName name="_3__123Graph_CCHART_1" hidden="1">#REF!</definedName>
    <definedName name="_3__123Graph_CCHART_2" hidden="1">#REF!</definedName>
    <definedName name="_3__123Graph_CCHART_28" hidden="1">#REF!</definedName>
    <definedName name="_3__123Graph_CCHART_4" hidden="1">#REF!</definedName>
    <definedName name="_3__123Graph_LBL_BCHART_4" hidden="1">#REF!</definedName>
    <definedName name="_3__FDSAUDITLINK__" hidden="1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3_0__123Grap" hidden="1">#REF!</definedName>
    <definedName name="_3_0_0_F" hidden="1">#REF!</definedName>
    <definedName name="_3_0_0_S" hidden="1">#REF!</definedName>
    <definedName name="_30__123Graph_BCHART_16" hidden="1">#REF!</definedName>
    <definedName name="_30__123Graph_BCHART_6" hidden="1">#REF!</definedName>
    <definedName name="_30__123Graph_BCHART_7" hidden="1">#REF!</definedName>
    <definedName name="_30__123Graph_XCHART_15" hidden="1">#REF!</definedName>
    <definedName name="_30__123Graph_XCHART_1A" hidden="1">#REF!</definedName>
    <definedName name="_30__123Graph_XCHART_5" hidden="1">#REF!</definedName>
    <definedName name="_30__FDSAUDITLINK__" hidden="1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3000">#REF!</definedName>
    <definedName name="_3010">#REF!</definedName>
    <definedName name="_3019">#REF!</definedName>
    <definedName name="_306__123Graph_XCHART_19" hidden="1">#REF!</definedName>
    <definedName name="_31__123Graph_XCHART_16" hidden="1">#REF!</definedName>
    <definedName name="_31__123Graph_XCHART_6" hidden="1">#REF!</definedName>
    <definedName name="_31__FDSAUDITLINK__" hidden="1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315__123Graph_XCHART_22" hidden="1">#REF!</definedName>
    <definedName name="_32__123Graph_XCHART_17" hidden="1">#REF!</definedName>
    <definedName name="_32__123Graph_XCHART_7" hidden="1">#REF!</definedName>
    <definedName name="_32__FDSAUDITLINK__" hidden="1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324__123Graph_XSEG_PIE" hidden="1">#REF!</definedName>
    <definedName name="_33__123Graph_ACHART_3" hidden="1">#REF!</definedName>
    <definedName name="_33__123Graph_BCHART_17" hidden="1">#REF!</definedName>
    <definedName name="_33__123Graph_XCHART_18" hidden="1">#REF!</definedName>
    <definedName name="_33__FDSAUDITLINK__" hidden="1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3310">#REF!</definedName>
    <definedName name="_34__123Graph_CCHART_3" hidden="1">#REF!</definedName>
    <definedName name="_34__123Graph_XCHART_19" hidden="1">#REF!</definedName>
    <definedName name="_34__FDSAUDITLINK__" hidden="1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35__123Graph_ACHART_1" hidden="1">#REF!</definedName>
    <definedName name="_35__123Graph_CCHART_3" hidden="1">#REF!</definedName>
    <definedName name="_35__123Graph_DCHART_1" hidden="1">#REF!</definedName>
    <definedName name="_35__123Graph_XCHART_22" hidden="1">#REF!</definedName>
    <definedName name="_35__FDSAUDITLINK__" hidden="1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36__123Graph_ACHART_17" hidden="1">#REF!</definedName>
    <definedName name="_36__123Graph_BCHART_22" hidden="1">#REF!</definedName>
    <definedName name="_36__123Graph_DCHART_1" hidden="1">#REF!</definedName>
    <definedName name="_36__123Graph_ECHART_1" hidden="1">#REF!</definedName>
    <definedName name="_36__123Graph_XCHART_2A" hidden="1">#REF!</definedName>
    <definedName name="_36__123Graph_XSEG_PIE" hidden="1">#REF!</definedName>
    <definedName name="_36__FDSAUDITLINK__" hidden="1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37__123Graph_B_FABP_L.WK1_FAB" hidden="1">#REF!</definedName>
    <definedName name="_37__123Graph_ECHART_1" hidden="1">#REF!</definedName>
    <definedName name="_37__123Graph_FCHART_1" hidden="1">#REF!</definedName>
    <definedName name="_37__FDSAUDITLINK__" hidden="1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38__123Graph_BCHART_1" hidden="1">#REF!</definedName>
    <definedName name="_38__123Graph_FCHART_1" hidden="1">#REF!</definedName>
    <definedName name="_38__123Graph_LBL_ACHART_2" hidden="1">#REF!</definedName>
    <definedName name="_38__FDSAUDITLINK__" hidden="1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39__123Graph_BCHART_2" hidden="1">#REF!</definedName>
    <definedName name="_39__123Graph_CCHART_15" hidden="1">#REF!</definedName>
    <definedName name="_39__123Graph_LBL_ACHART_2" hidden="1">#REF!</definedName>
    <definedName name="_39__FDSAUDITLINK__" hidden="1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3ƒ0Swvu.Sommai" hidden="1">#REF!,#REF!,#REF!,#REF!,#REF!,#REF!</definedName>
    <definedName name="_3p0Rwvu.Sommai" hidden="1">#REF!,#REF!,#REF!,#REF!,#REF!</definedName>
    <definedName name="_4__123Graph_ACHART_17" hidden="1">#REF!</definedName>
    <definedName name="_4__123Graph_ACHART_2" hidden="1">#REF!</definedName>
    <definedName name="_4__123Graph_ACHART_2A" hidden="1">#REF!</definedName>
    <definedName name="_4__123Graph_ACHART_3" hidden="1">#REF!</definedName>
    <definedName name="_4__123Graph_ACHART_3I" hidden="1">#REF!</definedName>
    <definedName name="_4__123Graph_ACHART_4" hidden="1">#REF!</definedName>
    <definedName name="_4__123Graph_CCHART_4" hidden="1">#REF!</definedName>
    <definedName name="_4__123Graph_DCHART_1" hidden="1">#REF!</definedName>
    <definedName name="_4__123Graph_DCHART_28" hidden="1">#REF!</definedName>
    <definedName name="_4__123Graph_XCHART_1" hidden="1">#REF!</definedName>
    <definedName name="_4__123Graph_XCHART_2" hidden="1">#REF!</definedName>
    <definedName name="_4__123Graph_XCHART_4A" hidden="1">#REF!</definedName>
    <definedName name="_4__FDSAUDITLINK__" hidden="1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4_0_0__123Grap" hidden="1">#REF!</definedName>
    <definedName name="_4_0_0_F" hidden="1">#REF!</definedName>
    <definedName name="_40__123Graph_BCHART_3" hidden="1">#REF!</definedName>
    <definedName name="_40__FDSAUDITLINK__" hidden="1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41__123Graph_BCHART_4" hidden="1">#REF!</definedName>
    <definedName name="_41__FDSAUDITLINK__" hidden="1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42__123Graph_BCHART_5" hidden="1">#REF!</definedName>
    <definedName name="_42__123Graph_CCHART_16" hidden="1">#REF!</definedName>
    <definedName name="_42__FDSAUDITLINK__" hidden="1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43__123Graph_ACHART_2" hidden="1">#REF!</definedName>
    <definedName name="_43__123Graph_BCHART_6" hidden="1">#REF!</definedName>
    <definedName name="_43__FDSAUDITLINK__" hidden="1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4320">#REF!</definedName>
    <definedName name="_4355">#REF!</definedName>
    <definedName name="_44__123Graph_ACHART_4" hidden="1">#REF!</definedName>
    <definedName name="_44__123Graph_BCHART_7" hidden="1">#REF!</definedName>
    <definedName name="_44__FDSAUDITLINK__" hidden="1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4405">#REF!</definedName>
    <definedName name="_4410">#REF!</definedName>
    <definedName name="_4445">#REF!</definedName>
    <definedName name="_4450">#REF!</definedName>
    <definedName name="_4452">#REF!</definedName>
    <definedName name="_4453">#REF!</definedName>
    <definedName name="_4480">#REF!</definedName>
    <definedName name="_4485">#REF!</definedName>
    <definedName name="_4496">#REF!</definedName>
    <definedName name="_45__123Graph_ACHART_18" hidden="1">#REF!</definedName>
    <definedName name="_45__123Graph_CCHART_17" hidden="1">#REF!</definedName>
    <definedName name="_45__FDSAUDITLINK__" hidden="1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4505">#REF!</definedName>
    <definedName name="_4555">#REF!</definedName>
    <definedName name="_4560">#REF!</definedName>
    <definedName name="_46__123Graph_LBL_ACHART_3" hidden="1">#REF!</definedName>
    <definedName name="_46__FDSAUDITLINK__" hidden="1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47__123Graph_LBL_ACHART_3" hidden="1">#REF!</definedName>
    <definedName name="_47__123Graph_LBL_ACHART_4" hidden="1">#REF!</definedName>
    <definedName name="_47__FDSAUDITLINK__" hidden="1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4710">#REF!</definedName>
    <definedName name="_4715">#REF!</definedName>
    <definedName name="_48__123Graph_CCHART_22" hidden="1">#REF!</definedName>
    <definedName name="_48__123Graph_LBL_ACHART_4" hidden="1">#REF!</definedName>
    <definedName name="_48__123Graph_LBL_BCHART_2" hidden="1">#REF!</definedName>
    <definedName name="_48__FDSAUDITLINK__" hidden="1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4830">#REF!</definedName>
    <definedName name="_4848">#REF!</definedName>
    <definedName name="_49__123Graph_LBL_BCHART_2" hidden="1">#REF!</definedName>
    <definedName name="_49__FDSAUDITLINK__" hidden="1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4p0Rwvu.Sommai" hidden="1">#REF!,#REF!,#REF!,#REF!,#REF!</definedName>
    <definedName name="_5__123Graph_ACHART_18" hidden="1">#REF!</definedName>
    <definedName name="_5__123Graph_ACHART_3" hidden="1">#REF!</definedName>
    <definedName name="_5__123Graph_ACHART_4" hidden="1">#REF!</definedName>
    <definedName name="_5__123Graph_BCHART_1" hidden="1">#REF!</definedName>
    <definedName name="_5__123Graph_CCHART_1" hidden="1">#REF!</definedName>
    <definedName name="_5__123Graph_ECHART_28" hidden="1">#REF!</definedName>
    <definedName name="_5__123Graph_XCHART_1" hidden="1">#REF!</definedName>
    <definedName name="_5__123Graph_XCHART_2" hidden="1">#REF!</definedName>
    <definedName name="_5__FDSAUDITLINK__" hidden="1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0__FDSAUDITLINK__" hidden="1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51__123Graph_ACHART_3" hidden="1">#REF!</definedName>
    <definedName name="_51__123Graph_CSEG_PIE" hidden="1">#REF!</definedName>
    <definedName name="_51__FDSAUDITLINK__" hidden="1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52__FDSAUDITLINK__" hidden="1">{"fdsup://directions/FAT Viewer?action=UPDATE&amp;creator=factset&amp;DYN_ARGS=TRUE&amp;DOC_NAME=FAT:FQL_AUDITING_CLIENT_TEMPLATE.FAT&amp;display_string=Audit&amp;VAR:KEY=ETCDEBGVWV&amp;VAR:QUERY=RkZfRU5UUlBSX1ZBTF9EQUlMWSg0MDI0MiwsLCwnVVNEJywnRElMJyk=&amp;WINDOW=FIRST_POPUP&amp;HEIGHT=45","0&amp;WIDTH=450&amp;START_MAXIMIZED=FALSE&amp;VAR:CALENDAR=US&amp;VAR:SYMBOL=B0ZSH5&amp;VAR:INDEX=0"}</definedName>
    <definedName name="_53__FDSAUDITLINK__" hidden="1">{"fdsup://directions/FAT Viewer?action=UPDATE&amp;creator=factset&amp;DYN_ARGS=TRUE&amp;DOC_NAME=FAT:FQL_AUDITING_CLIENT_TEMPLATE.FAT&amp;display_string=Audit&amp;VAR:KEY=CTADCFEBYL&amp;VAR:QUERY=RkZfRUJJVERBX0lCKCdDQUwnLDIwMDksLCwsJ1VTRCcp&amp;WINDOW=FIRST_POPUP&amp;HEIGHT=450&amp;WIDTH=450&amp;","START_MAXIMIZED=FALSE&amp;VAR:CALENDAR=US&amp;VAR:SYMBOL=678305&amp;VAR:INDEX=0"}</definedName>
    <definedName name="_54__123Graph_ACHART_19" hidden="1">#REF!</definedName>
    <definedName name="_54__123Graph_C_FABP_L.WK1_FAB" hidden="1">#REF!</definedName>
    <definedName name="_54__123Graph_DCHART_15" hidden="1">#REF!</definedName>
    <definedName name="_54__FDSAUDITLINK__" hidden="1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55__123Graph_ACHART_5" hidden="1">#REF!</definedName>
    <definedName name="_55__123Graph_LBL_BCHART_3" hidden="1">#REF!</definedName>
    <definedName name="_55__FDSAUDITLINK__" hidden="1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56__123Graph_LBL_CCHART_2" hidden="1">#REF!</definedName>
    <definedName name="_56__FDSAUDITLINK__" hidden="1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6_0_Table1_" hidden="1">#REF!</definedName>
    <definedName name="_57__123Graph_DCHART_16" hidden="1">#REF!</definedName>
    <definedName name="_57__FDSAUDITLINK__" hidden="1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58__123Graph_LBL_BCHART_3" hidden="1">#REF!</definedName>
    <definedName name="_58__FDSAUDITLINK__" hidden="1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58_0_Table2_" hidden="1">#REF!</definedName>
    <definedName name="_59__123Graph_ACHART_4" hidden="1">#REF!</definedName>
    <definedName name="_59__123Graph_LBL_CCHART_2" hidden="1">#REF!</definedName>
    <definedName name="_59__FDSAUDITLINK__" hidden="1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6__123Graph_ACHART_15" hidden="1">#REF!</definedName>
    <definedName name="_6__123Graph_ACHART_19" hidden="1">#REF!</definedName>
    <definedName name="_6__123Graph_ACHART_1A" hidden="1">#REF!</definedName>
    <definedName name="_6__123Graph_ACHART_2" hidden="1">#REF!</definedName>
    <definedName name="_6__123Graph_ACHART_2A" hidden="1">#REF!</definedName>
    <definedName name="_6__123Graph_ACHART_4" hidden="1">#REF!</definedName>
    <definedName name="_6__123Graph_ACHART_5" hidden="1">#REF!</definedName>
    <definedName name="_6__123Graph_AGROWTH_9" hidden="1">#REF!</definedName>
    <definedName name="_6__123Graph_BCHART_1" hidden="1">#REF!</definedName>
    <definedName name="_6__123Graph_BCHART_1A" hidden="1">#REF!</definedName>
    <definedName name="_6__123Graph_BCHART_2" hidden="1">#REF!</definedName>
    <definedName name="_6__123Graph_CCHART_2" hidden="1">#REF!</definedName>
    <definedName name="_6__123Graph_FCHART_28" hidden="1">#REF!</definedName>
    <definedName name="_6__123Graph_LBL_ACHART_1" hidden="1">#REF!</definedName>
    <definedName name="_6__FDSAUDITLINK__" hidden="1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6_0_0_S" hidden="1">#REF!</definedName>
    <definedName name="_60__123Graph_DCHART_17" hidden="1">#REF!</definedName>
    <definedName name="_60__FDSAUDITLINK__" hidden="1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61__FDSAUDITLINK__" hidden="1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62__FDSAUDITLINK__" hidden="1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63__123Graph_ACHART_21" hidden="1">#REF!</definedName>
    <definedName name="_63__123Graph_DCHART_22" hidden="1">#REF!</definedName>
    <definedName name="_63__123Graph_LBL_CCHART_3" hidden="1">#REF!</definedName>
    <definedName name="_63__FDSAUDITLINK__" hidden="1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64__123Graph_DCHART_1" hidden="1">#REF!</definedName>
    <definedName name="_64__FDSAUDITLINK__" hidden="1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65__FDSAUDITLINK__" hidden="1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66__123Graph_ACHART_6" hidden="1">#REF!</definedName>
    <definedName name="_66__123Graph_ECHART_15" hidden="1">#REF!</definedName>
    <definedName name="_66__FDSAUDITLINK__" hidden="1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67__123Graph_BCHART_1" hidden="1">#REF!</definedName>
    <definedName name="_67__FDSAUDITLINK__" hidden="1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68__123Graph_LBL_CCHART_3" hidden="1">#REF!</definedName>
    <definedName name="_68__FDSAUDITLINK__" hidden="1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69__123Graph_ECHART_16" hidden="1">#REF!</definedName>
    <definedName name="_69__FDSAUDITLINK__" hidden="1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7__123Graph_ACHART_21" hidden="1">#REF!</definedName>
    <definedName name="_7__123Graph_ACHART_5" hidden="1">#REF!</definedName>
    <definedName name="_7__123Graph_ACHART_6" hidden="1">#REF!</definedName>
    <definedName name="_7__123Graph_BCHART_2" hidden="1">#REF!</definedName>
    <definedName name="_7__123Graph_BCHART_3" hidden="1">#REF!</definedName>
    <definedName name="_7__123Graph_DCHART_1" hidden="1">#REF!</definedName>
    <definedName name="_7__123Graph_XCHART_1" hidden="1">#REF!</definedName>
    <definedName name="_7__FDSAUDITLINK__" hidden="1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70__FDSAUDITLINK__" hidden="1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70_0_S" hidden="1">#REF!</definedName>
    <definedName name="_71__FDSAUDITLINK__" hidden="1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72__123Graph_ASEG_PIE" hidden="1">#REF!</definedName>
    <definedName name="_72__123Graph_ECHART_17" hidden="1">#REF!</definedName>
    <definedName name="_72__FDSAUDITLINK__" hidden="1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73__FDSAUDITLINK__" hidden="1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74__123Graph_LBL_ACHART_1" hidden="1">#REF!</definedName>
    <definedName name="_74__FDSAUDITLINK__" hidden="1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75__123Graph_BCHART_2" hidden="1">#REF!</definedName>
    <definedName name="_75__123Graph_ECHART_22" hidden="1">#REF!</definedName>
    <definedName name="_75__123Graph_LBL_ACHART_3" hidden="1">#REF!</definedName>
    <definedName name="_75__FDSAUDITLINK__" hidden="1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76__FDSAUDITLINK__" hidden="1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77__123Graph_ACHART_7" hidden="1">#REF!</definedName>
    <definedName name="_77__FDSAUDITLINK__" hidden="1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77_0_S" hidden="1">#REF!</definedName>
    <definedName name="_78__123Graph_FCHART_15" hidden="1">#REF!</definedName>
    <definedName name="_78__FDSAUDITLINK__" hidden="1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79__FDSAUDITLINK__" hidden="1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8__123Graph_ACHART_1" hidden="1">#REF!</definedName>
    <definedName name="_8__123Graph_ACHART_6" hidden="1">#REF!</definedName>
    <definedName name="_8__123Graph_ACHART_7" hidden="1">#REF!</definedName>
    <definedName name="_8__123Graph_ASEG_PIE" hidden="1">#REF!</definedName>
    <definedName name="_8__123Graph_BCHART_2A" hidden="1">#REF!</definedName>
    <definedName name="_8__123Graph_CCHART_1" hidden="1">#REF!</definedName>
    <definedName name="_8__123Graph_DCHART_2" hidden="1">#REF!</definedName>
    <definedName name="_8__123Graph_LBL_ACHART_3I" hidden="1">#REF!</definedName>
    <definedName name="_8__FDSAUDITLINK__" hidden="1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8_0_0__123Grap" hidden="1">#REF!</definedName>
    <definedName name="_80__FDSAUDITLINK__" hidden="1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81__123Graph_BCHART_15" hidden="1">#REF!</definedName>
    <definedName name="_81__123Graph_FCHART_16" hidden="1">#REF!</definedName>
    <definedName name="_81__FDSAUDITLINK__" hidden="1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82__FDSAUDITLINK__" hidden="1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83__123Graph_BCHART_3" hidden="1">#REF!</definedName>
    <definedName name="_83__FDSAUDITLINK__" hidden="1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84__123Graph_FCHART_17" hidden="1">#REF!</definedName>
    <definedName name="_84__FDSAUDITLINK__" hidden="1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85__123Graph_LBL_DCHART_1" hidden="1">#REF!</definedName>
    <definedName name="_85__FDSAUDITLINK__" hidden="1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86__FDSAUDITLINK__" hidden="1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87__123Graph_FCHART_22" hidden="1">#REF!</definedName>
    <definedName name="_87__FDSAUDITLINK__" hidden="1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88__123Graph_BCHART_1" hidden="1">#REF!</definedName>
    <definedName name="_88__FDSAUDITLINK__" hidden="1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89__FDSAUDITLINK__" hidden="1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9__123Graph_ACHART_12" hidden="1">#REF!</definedName>
    <definedName name="_9__123Graph_ACHART_16" hidden="1">#REF!</definedName>
    <definedName name="_9__123Graph_ACHART_2" hidden="1">#REF!</definedName>
    <definedName name="_9__123Graph_ACHART_7" hidden="1">#REF!</definedName>
    <definedName name="_9__123Graph_BCHART_1" hidden="1">#REF!</definedName>
    <definedName name="_9__123Graph_BCHART_15" hidden="1">#REF!</definedName>
    <definedName name="_9__123Graph_BCHART_1A" hidden="1">#REF!</definedName>
    <definedName name="_9__123Graph_BCHART_3" hidden="1">#REF!</definedName>
    <definedName name="_9__123Graph_BCHART_4" hidden="1">#REF!</definedName>
    <definedName name="_9__123Graph_BGROWTH_9" hidden="1">#REF!</definedName>
    <definedName name="_9__123Graph_CCHART_2" hidden="1">#REF!</definedName>
    <definedName name="_9__123Graph_ECHART_1" hidden="1">#REF!</definedName>
    <definedName name="_9__FDSAUDITLINK__" hidden="1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90__123Graph_BCHART_16" hidden="1">#REF!</definedName>
    <definedName name="_90__123Graph_XCHART_15" hidden="1">#REF!</definedName>
    <definedName name="_90__FDSAUDITLINK__" hidden="1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91__123Graph_LBL_ACHART_1" hidden="1">#REF!</definedName>
    <definedName name="_91__FDSAUDITLINK__" hidden="1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92__FDSAUDITLINK__" hidden="1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92_0_Table1_" hidden="1">#REF!</definedName>
    <definedName name="_93__123Graph_XCHART_16" hidden="1">#REF!</definedName>
    <definedName name="_93__FDSAUDITLINK__" hidden="1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94__FDSAUDITLINK__" hidden="1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94_0_Table2_" hidden="1">#REF!</definedName>
    <definedName name="_95__123Graph_X_FABP_L.WK1_FAB" hidden="1">#REF!</definedName>
    <definedName name="_95__FDSAUDITLINK__" hidden="1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96__123Graph_XCHART_17" hidden="1">#REF!</definedName>
    <definedName name="_96__FDSAUDITLINK__" hidden="1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97__FDSAUDITLINK__" hidden="1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98__FDSAUDITLINK__" hidden="1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99__123Graph_BCHART_17" hidden="1">#REF!</definedName>
    <definedName name="_99__123Graph_BCHART_2" hidden="1">#REF!</definedName>
    <definedName name="_99__123Graph_LBL_ACHART_2" hidden="1">#REF!</definedName>
    <definedName name="_99__123Graph_XCHART_18" hidden="1">#REF!</definedName>
    <definedName name="_99__FDSAUDITLINK__" hidden="1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99_0_Table1_" hidden="1">#REF!</definedName>
    <definedName name="_a1" hidden="1">{"Assump",#N/A,TRUE,"Proforma";"first",#N/A,TRUE,"Proforma";"second",#N/A,TRUE,"Proforma";"lease1",#N/A,TRUE,"Proforma";"lease2",#N/A,TRUE,"Proforma"}</definedName>
    <definedName name="_a2" hidden="1">{"sheet a",#N/A,FALSE,"A";"2 9 casflow",#N/A,FALSE,"B"}</definedName>
    <definedName name="_ADM2000">#REF!</definedName>
    <definedName name="_ADM2001">#REF!</definedName>
    <definedName name="_al1" hidden="1">{"sheet a",#N/A,FALSE,"A";"sheet b 1",#N/A,FALSE,"B";"sheet b 2",#N/A,FALSE,"B"}</definedName>
    <definedName name="_as2" hidden="1">{"FCB_ALL",#N/A,FALSE,"FCB"}</definedName>
    <definedName name="_asdasfsedf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VB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_bdm.0000011391824A3BB065AA3290EB713A.edm" hidden="1">#REF!</definedName>
    <definedName name="_bdm.001ebbfb01f446788abe587396dca203.edm" hidden="1">#REF!</definedName>
    <definedName name="_bdm.009D8938786F46E0B5A069FBF295F125.edm" hidden="1">#REF!</definedName>
    <definedName name="_bdm.009FBCED271D4C33850C59B86BBEFA5E.edm" hidden="1">#REF!</definedName>
    <definedName name="_bdm.00A30EEC70914950886ACA1DA54ED705.edm" hidden="1">#REF!</definedName>
    <definedName name="_bdm.00DF460E05C946038BAC10FA4B695964.edm" hidden="1">#REF!</definedName>
    <definedName name="_bdm.01538417E31B4AF7857A980BA1A90657.edm" hidden="1">#REF!</definedName>
    <definedName name="_bdm.016a9a2f75ed43119a8de09f1c2c0f84.edm" hidden="1">#REF!</definedName>
    <definedName name="_bdm.019D86CC9B5F4A438ECE0F5A68BFB1B6.edm" hidden="1">#REF!</definedName>
    <definedName name="_bdm.026E05F70CA84C22868A1088F849EC78.edm" hidden="1">#REF!</definedName>
    <definedName name="_bdm.02C3F0020F8242858E50ED8F580EC2B9.edm" hidden="1">#REF!</definedName>
    <definedName name="_bdm.02DA0F14E77F410CB688206B95A3651E.edm" hidden="1">#REF!</definedName>
    <definedName name="_bdm.034DCEECAC4B4525936291C529A286E1.edm" hidden="1">#REF!</definedName>
    <definedName name="_bdm.0361AAB0C8DF4B4F829B8B9D9F6E7739.edm" hidden="1">#REF!</definedName>
    <definedName name="_bdm.03ee43d78be043ffa57f7b21ccccd8d4.edm" hidden="1">#REF!</definedName>
    <definedName name="_bdm.045A1838D86F47CC995485B6BD6EA147.edm" hidden="1">#REF!</definedName>
    <definedName name="_bdm.04C024BA2CA647408B384C4E8434AF11.edm" hidden="1">#REF!</definedName>
    <definedName name="_bdm.053467FC79AC4911B25AD65640B9F694.edm" hidden="1">#REF!</definedName>
    <definedName name="_bdm.054e672510964616b338d87f20da4110.edm" hidden="1">#REF!</definedName>
    <definedName name="_bdm.0586221F243A41EABDC140BDC10FFF81.edm" hidden="1">#REF!</definedName>
    <definedName name="_bdm.05BE98B744D44AE6ADA8DD409385F72D.edm" hidden="1">#REF!</definedName>
    <definedName name="_bdm.077DAB9856674B1BB0163E30E1B2BE30.edm" hidden="1">#REF!</definedName>
    <definedName name="_bdm.08248F6E4FAD4E70B33AD4D7B220B787.edm" hidden="1">#REF!</definedName>
    <definedName name="_bdm.08268dc8e60746f29bab8ccb424c3995.edm" hidden="1">#REF!</definedName>
    <definedName name="_bdm.084320B1F3854DF3A6E7EBED1747A3D8.edm" hidden="1">#REF!</definedName>
    <definedName name="_bdm.085e2160f4ad457aafc24e35dd80e65d.edm" hidden="1">#REF!</definedName>
    <definedName name="_bdm.08763FB2B0AD43229F5479F0721891AE.edm" hidden="1">#REF!</definedName>
    <definedName name="_bdm.08E94ECD949F45C692F32266AE8057B1.edm" hidden="1">#REF!</definedName>
    <definedName name="_bdm.0918806E79ED4806B4341C11D437AD7E.edm" hidden="1">#REF!</definedName>
    <definedName name="_bdm.0929A4DC5A004DDEB37590D37954F5ED.edm" hidden="1">#REF!</definedName>
    <definedName name="_bdm.09DCA47796BD4D369C372D771591429D.edm" hidden="1">#REF!</definedName>
    <definedName name="_bdm.0A059373B67B4F8CBAC43B054965B49A.edm" hidden="1">#REF!</definedName>
    <definedName name="_bdm.0b1e5c7326cd4e0e8cc65baea87ada32.edm" hidden="1">#REF!</definedName>
    <definedName name="_bdm.0b41d1b2049646d599bb1809c645d1bb.edm" hidden="1">#REF!</definedName>
    <definedName name="_bdm.0B582B8F13D74787BBFA522358CEE9F6.edm" hidden="1">#REF!</definedName>
    <definedName name="_bdm.0B6654A6EEE6494E8FF5D9DCF9DE348F.edm" hidden="1">#REF!</definedName>
    <definedName name="_bdm.0B6924026F204A9CB3FEB8AC70BC65C5.edm" hidden="1">#REF!</definedName>
    <definedName name="_bdm.0B84724C98A943CBB8B64E8FDC47F469.edm" hidden="1">#REF!</definedName>
    <definedName name="_bdm.0C45FA7333F14177BDD4497D806A8CC5.edm" hidden="1">#REF!</definedName>
    <definedName name="_bdm.0C7D2B832C15436A9AF40A933667BF4F.edm" hidden="1">#REF!</definedName>
    <definedName name="_bdm.0DA695115A7849878FF9EE3AC84F1576.edm" hidden="1">#REF!</definedName>
    <definedName name="_bdm.0DC956D7E796469F9D9BB85AABB3D589.edm" hidden="1">#REF!</definedName>
    <definedName name="_bdm.0DEFC6CA905A40CDAE1F4A8F8E01F5D0.edm" hidden="1">#N/A</definedName>
    <definedName name="_bdm.0E0927368FDA4F41A2E56A99ECDC4BF8.edm" hidden="1">#N/A</definedName>
    <definedName name="_bdm.0E35EF21EBD547599D485A7D76045A18.edm" hidden="1">#REF!</definedName>
    <definedName name="_bdm.0E3CBD3E264B41B28F3F526873678CBA.edm" hidden="1">#REF!</definedName>
    <definedName name="_bdm.0e579f5134d2428f907dd3263f3d3a96.edm" hidden="1">#REF!</definedName>
    <definedName name="_bdm.0EE6FC54691E434D9159A3C6D972147D.edm" hidden="1">#REF!</definedName>
    <definedName name="_bdm.0F29B0194978478E841F907C40A21F6F.edm" hidden="1">#REF!</definedName>
    <definedName name="_bdm.0F3A02584C6842C6B88C64266649CFDD.edm" hidden="1">#REF!</definedName>
    <definedName name="_bdm.0FF3515C4D8A46C39371756981218BC2.edm" hidden="1">#REF!</definedName>
    <definedName name="_bdm.1005001E7CA34FA08435D955664FB3AD.edm" hidden="1">#REF!</definedName>
    <definedName name="_bdm.104276f570c54be088a08e0fc64669f3.edm" hidden="1">#REF!</definedName>
    <definedName name="_bdm.106BF9AD7184485C82620E5C6501496A.edm" hidden="1">#REF!</definedName>
    <definedName name="_bdm.119a6f57d771459cadc3bda0322c10cf.edm" hidden="1">#REF!</definedName>
    <definedName name="_bdm.120CF732499E4BBC9366C054E3739509.edm" hidden="1">#REF!</definedName>
    <definedName name="_bdm.122E4A6B2C54429CBB80EBB70B7C528F.edm" hidden="1">#N/A</definedName>
    <definedName name="_bdm.12f67ba7893f42628745fba8faef98d0.edm" hidden="1">#REF!</definedName>
    <definedName name="_bdm.12f7a5d175bb4c279e0ddd827f28516e.edm" hidden="1">#REF!</definedName>
    <definedName name="_bdm.1320D9E2D6BF46A9AC09A792A6E32BD9.edm" hidden="1">#REF!</definedName>
    <definedName name="_bdm.13406362699440AEA5EF4B8ADEE522F0.edm" hidden="1">#REF!</definedName>
    <definedName name="_bdm.138CE5D51A304FFDB8D964A42B52773D.edm" hidden="1">#REF!</definedName>
    <definedName name="_bdm.159CCB3A74614A5D87BBBC6DD67AC7E6.edm" hidden="1">#REF!</definedName>
    <definedName name="_bdm.160f7016d2c24d57ac704f6349190c5f.edm" hidden="1">#REF!</definedName>
    <definedName name="_bdm.161A1B3F66FC4CA59023742E35E83BC0.edm" hidden="1">#REF!</definedName>
    <definedName name="_bdm.1636CB241427403B8D690FA04961A801.edm" hidden="1">#REF!</definedName>
    <definedName name="_bdm.166620AD85C24DB6964FE6183CB94521.edm" hidden="1">#REF!</definedName>
    <definedName name="_bdm.16950da0b2e44a1bbd6240f38e8be561.edm" hidden="1">#REF!</definedName>
    <definedName name="_bdm.16B3008A64E44D499C71DFDE9580B547.edm" hidden="1">#REF!</definedName>
    <definedName name="_bdm.1718F6ECF9B643BB9ECFC6EF36F303DB.edm" hidden="1">#REF!</definedName>
    <definedName name="_bdm.17686CFFBE4A450B95D750F6CAF63F79.edm" hidden="1">#REF!</definedName>
    <definedName name="_bdm.17B53146B77B45A0BEDDB75EFDC4A065.edm" hidden="1">#REF!</definedName>
    <definedName name="_bdm.17D6D0306F13452D8EC568F03D908316.edm" hidden="1">#REF!</definedName>
    <definedName name="_bdm.17FF8FC0CB67401A947CDE6B76B7A5C7.edm" hidden="1">#REF!</definedName>
    <definedName name="_bdm.1837948C9DFD4F478195D8D7C2B014C4.edm" hidden="1">#REF!</definedName>
    <definedName name="_bdm.1886814B452E429C804967D39484D1F2.edm" hidden="1">#REF!</definedName>
    <definedName name="_bdm.18ef7a19750b4d11a6a5adf249540ae4.edm" hidden="1">#REF!</definedName>
    <definedName name="_bdm.1942e8c738894f36956be557bf376f6c.edm" hidden="1">#REF!</definedName>
    <definedName name="_bdm.194963E896034ECA9031284ADD56F613.edm" hidden="1">#REF!</definedName>
    <definedName name="_bdm.1970F22910DF4397983C8FF5D28E0F8F.edm" hidden="1">#REF!</definedName>
    <definedName name="_bdm.19B6E50345314EAD93A54CD7A694D859.edm" hidden="1">#REF!</definedName>
    <definedName name="_bdm.19EFE4A357D8496D943FBCBCBFCF130C.edm" hidden="1">#REF!</definedName>
    <definedName name="_bdm.1A60CA308C234F83AAB2EE96AD403B4A.edm" hidden="1">#REF!</definedName>
    <definedName name="_bdm.1A6DD9EDF0014631BA5DAB54DD1AF109.edm" hidden="1">#REF!</definedName>
    <definedName name="_bdm.1a827dae8fda40578a88f08ee0c0b5e8.edm" hidden="1">#REF!</definedName>
    <definedName name="_bdm.1AD00C3B56054B49B0702F2AABFC9046.edm" hidden="1">#REF!</definedName>
    <definedName name="_bdm.1AE0E60C53774E6998E9075CB8641DEC.edm" hidden="1">#REF!</definedName>
    <definedName name="_bdm.1B16DD25DD6544E6971940B4F2C3A52A.edm" hidden="1">#REF!</definedName>
    <definedName name="_bdm.1B6C0A1A6B7F408497E757C686EBD63D.edm" hidden="1">#REF!</definedName>
    <definedName name="_bdm.1B6D0DE624354F56AB6DAC12553B8A3F.edm" hidden="1">#REF!</definedName>
    <definedName name="_bdm.1BAA57F96AFF465DBD4F11048C70D68A.edm" hidden="1">#REF!</definedName>
    <definedName name="_bdm.1c2f2f633ce64d049c4960bfea1c3bf9.edm" hidden="1">#REF!</definedName>
    <definedName name="_bdm.1C6BFD37D0EC46C8BADCDCDF85FC0E92.edm" hidden="1">#REF!</definedName>
    <definedName name="_bdm.1C9835AF9E9748CBB0BFFF4BCF0594F0.edm" hidden="1">#REF!</definedName>
    <definedName name="_bdm.1CAA96B36F22447EAD8C9BD8FCE27331.edm" hidden="1">#REF!</definedName>
    <definedName name="_bdm.1cdd619104e54e0ea3c5bcdc591a9fd7.edm" hidden="1">#REF!</definedName>
    <definedName name="_bdm.1CEDA0EF377A47BDBB5F928D501D1657.edm" hidden="1">#REF!</definedName>
    <definedName name="_bdm.1D0C2820985E4D8D9A53450F5BC66FA7.edm" hidden="1">#REF!</definedName>
    <definedName name="_bdm.1D3D252A3ED84811AD0FA4712245B264.edm" hidden="1">#REF!</definedName>
    <definedName name="_bdm.1D548960ED2C452B9E65B84C19B7A669.edm" hidden="1">#REF!</definedName>
    <definedName name="_bdm.1E11197879E148699BA81A66230AC518.edm" hidden="1">#REF!</definedName>
    <definedName name="_bdm.1E5CA6E3B5204C70A2F71F2ADC7DA213.edm" hidden="1">#REF!</definedName>
    <definedName name="_bdm.1E7ACAEADE8841F1ACA0B32FE24FE49D.edm" hidden="1">#REF!</definedName>
    <definedName name="_bdm.1E958923CB97465D873AE2981E7EF503.edm" hidden="1">#REF!</definedName>
    <definedName name="_bdm.1EE47C4AA0064280819CC19BB4690A1F.edm" hidden="1">#REF!</definedName>
    <definedName name="_bdm.1f04dc48cac7476f98640b8286b1c640.edm" hidden="1">#REF!</definedName>
    <definedName name="_bdm.1FA5713C12A349E887E6CE04DE7000C5.edm" hidden="1">#REF!</definedName>
    <definedName name="_bdm.205CE42F10B1402DAED71CCF9CE1735D.edm" hidden="1">#REF!</definedName>
    <definedName name="_bdm.208D7AAD418D45DC9CD0DB5248EA1C54.edm" hidden="1">#REF!</definedName>
    <definedName name="_bdm.20D92F93B3F14855A2001E3D36889F81.edm" hidden="1">#REF!</definedName>
    <definedName name="_bdm.21035019083648108165B1BA45E6A741.edm" hidden="1">#REF!</definedName>
    <definedName name="_bdm.226FED87962B41349D1EB0228679AA7C.edm" hidden="1">#REF!</definedName>
    <definedName name="_bdm.22AEF38705EE4679A7004923B5451B99.edm" hidden="1">#REF!</definedName>
    <definedName name="_bdm.22F1C0055A4644768DBAC180CC11D54E.edm" hidden="1">#REF!</definedName>
    <definedName name="_bdm.23670C5F8FB04EA2B3A96B1EA78D5F3E.edm" hidden="1">#REF!</definedName>
    <definedName name="_bdm.2375BEA4FD994733BF573265850818D8.edm" hidden="1">#N/A</definedName>
    <definedName name="_bdm.238B51964A82412792FE0CD24D4EDB24.edm" hidden="1">#REF!</definedName>
    <definedName name="_bdm.23D13E00A2CC4DA3AE2346EFF9C33B24.edm" hidden="1">#REF!</definedName>
    <definedName name="_bdm.2504604E69DD4DB38D16B580E9DD9E71.edm" hidden="1">#REF!</definedName>
    <definedName name="_bdm.25A249BEEF5C41918C4EF275AEC526FA.edm" hidden="1">#REF!</definedName>
    <definedName name="_bdm.27A3D57A7F1E4ED194098B7389CDD32A.edm" hidden="1">#REF!</definedName>
    <definedName name="_bdm.27fd09bad1d047c2bc4d85fa5a8c4ee6.edm" hidden="1">#REF!</definedName>
    <definedName name="_bdm.28059f013c8e4bffa50771401a6ed368.edm" hidden="1">#REF!</definedName>
    <definedName name="_bdm.2855D58411CD4FE4A735E3A6EE25C836.edm" hidden="1">#N/A</definedName>
    <definedName name="_bdm.2907C800E7354AF49EF9B30655538BFC.edm" hidden="1">#REF!</definedName>
    <definedName name="_bdm.2931B7BFDE154F5EAE1A5735CA3BD3DD.edm" hidden="1">#REF!</definedName>
    <definedName name="_bdm.294AA496D34A43399372281D01706956.edm" hidden="1">#REF!</definedName>
    <definedName name="_bdm.29978DFEBA4F42A7BBA04DF8EA909BA5.edm" hidden="1">#REF!</definedName>
    <definedName name="_bdm.29B4AAD3E0F94597AF1D7A79DCC2A860.edm" hidden="1">#REF!</definedName>
    <definedName name="_bdm.2A81A4CD1EBF489FA3A5E2762C1E232F.edm" hidden="1">#REF!</definedName>
    <definedName name="_bdm.2AACF379138C4ACF9B347ABF8FE65863.edm" hidden="1">#REF!</definedName>
    <definedName name="_bdm.2adff27edca44858ba2930c1f2e33dbb.edm" hidden="1">#REF!</definedName>
    <definedName name="_bdm.2AF1B31EE30F45778FD3F2A94A3EBB04.edm" hidden="1">#REF!</definedName>
    <definedName name="_bdm.2B266B094B714C22B66D493C1E5626C3.edm" hidden="1">#REF!</definedName>
    <definedName name="_bdm.2C5F54B5CDD3489698C833C833F36067.edm" hidden="1">#REF!</definedName>
    <definedName name="_bdm.2C7D239AA19E4778A90259BF7A2BF9FF.edm" hidden="1">#REF!</definedName>
    <definedName name="_bdm.2CB4BF74C4B048B5911F24941A31F5FE.edm" hidden="1">#REF!</definedName>
    <definedName name="_bdm.2CCD44ACE8EF422D88045C2A0F5B824C.edm" hidden="1">#REF!</definedName>
    <definedName name="_bdm.2cd6ecf3a5a64a9f9e84ab4b96703999.edm" hidden="1">#REF!</definedName>
    <definedName name="_bdm.2D2F7533CCE94D17BF3F603B29093C72.edm" hidden="1">#REF!</definedName>
    <definedName name="_bdm.2D8A9BA2029349879D845F587E86F8A7.edm" hidden="1">#REF!</definedName>
    <definedName name="_bdm.2DAB2B1D99A44F69B10CB9D00243940D.edm" hidden="1">#REF!</definedName>
    <definedName name="_bdm.2DFF2ADFD0A34F15BB51AE98AF0CD141.edm" hidden="1">#REF!</definedName>
    <definedName name="_bdm.2e0fa6c752b04c57a70638aedd638a3e.edm" hidden="1">#REF!</definedName>
    <definedName name="_bdm.2e2a872bfdb545909c3f879544d9c26f.edm" hidden="1">#REF!</definedName>
    <definedName name="_bdm.2E992C0B17A84955BA91F52DDFA70110.edm" hidden="1">#REF!</definedName>
    <definedName name="_bdm.2E9C8A4F9CEA48D19CF24C07D401990F.edm" hidden="1">#REF!</definedName>
    <definedName name="_bdm.2EDEA7D2AA2D4136A8CCA76F09CB212B.edm" hidden="1">#REF!</definedName>
    <definedName name="_bdm.2F2B2B5E0A7F41A5A5153533F14B2F3B.edm" hidden="1">#REF!</definedName>
    <definedName name="_bdm.2F44724262DE43D3BDE5786DB353A8FA.edm" hidden="1">#REF!</definedName>
    <definedName name="_bdm.2F550A4241F342F69B6ABF5933AB756A.edm" hidden="1">#REF!</definedName>
    <definedName name="_bdm.2FC03635BF3E4836AD64569892D8AD00.edm" hidden="1">#REF!</definedName>
    <definedName name="_bdm.2FE3202B86524D4DBB4E253AD9373036.edm" hidden="1">#REF!</definedName>
    <definedName name="_bdm.3059FC0807AD4C3BB6649AE47F6BAE83.edm" hidden="1">#REF!</definedName>
    <definedName name="_bdm.30B871B032664FC18B843AAE03C7A6BF.edm" hidden="1">#REF!</definedName>
    <definedName name="_bdm.31180886AA1C44999657AADF8B07A65B.edm" hidden="1">#REF!</definedName>
    <definedName name="_bdm.315B51B8441A481E80D76335B1387721.edm" hidden="1">#REF!</definedName>
    <definedName name="_bdm.318F7FA3B6564C7382F87C2807B768F2.edm" hidden="1">#N/A</definedName>
    <definedName name="_bdm.31DE635AD9CE4D6B902F064FDBBBF467.edm" hidden="1">#REF!</definedName>
    <definedName name="_bdm.320b6c8c568547888fc300a04242fc92.edm" hidden="1">#REF!</definedName>
    <definedName name="_bdm.3288F7267AD84412A6BBE42C27EAAEDF.edm" hidden="1">#REF!</definedName>
    <definedName name="_bdm.3298F537C98A4E8391727CC612F1CF49.edm" hidden="1">#REF!</definedName>
    <definedName name="_bdm.32BE2BB4707549EAAAF874A36DAA2A41.edm" hidden="1">#REF!</definedName>
    <definedName name="_bdm.32e0359972d04f60adbe9289093d3aea.edm" hidden="1">#REF!</definedName>
    <definedName name="_bdm.33576D400FD044DD8354B35E1AA4591F.edm" hidden="1">#REF!</definedName>
    <definedName name="_bdm.3381B92ED69C44B1AAD1265465682DA0.edm" hidden="1">#REF!</definedName>
    <definedName name="_bdm.33FEAC027B3F459B8BE06F74992AC4BB.edm" hidden="1">#REF!</definedName>
    <definedName name="_bdm.34145880510C416C85644C58A8D12353.edm" hidden="1">#REF!</definedName>
    <definedName name="_bdm.34182B27D68C4E9D8EA685646B09A0E8.edm" hidden="1">#REF!</definedName>
    <definedName name="_bdm.3472369B624C4554BFA2B3CD85986586.edm" hidden="1">#REF!</definedName>
    <definedName name="_bdm.349ebe3540164a9db574498e805ead94.edm" hidden="1">#REF!</definedName>
    <definedName name="_bdm.34FEC3ED52824CBEB006DB5A8CED478B.edm" hidden="1">#N/A</definedName>
    <definedName name="_bdm.356860FDB939423396FFB1B7D4E7E389.edm" hidden="1">#REF!</definedName>
    <definedName name="_bdm.35AE18F075EB4D8C8B3A482A51E3D08A.edm" hidden="1">#REF!</definedName>
    <definedName name="_bdm.35CC9F67A8D1443F88DB03C615293600.edm" hidden="1">#REF!</definedName>
    <definedName name="_bdm.3627893EB5D44F85A9898DB7E2735846.edm" hidden="1">#REF!</definedName>
    <definedName name="_bdm.36D2766ECD1049448968A9C485824191.edm" hidden="1">#REF!</definedName>
    <definedName name="_bdm.36D2A2580E7E40149A40FBE530628719.edm" hidden="1">#REF!</definedName>
    <definedName name="_bdm.372EFD856B9C4969908033BBACFCF06C.edm" hidden="1">#REF!</definedName>
    <definedName name="_bdm.384EE96C742345499A1C166A07BD588D.edm" hidden="1">#REF!</definedName>
    <definedName name="_bdm.388e292c02c64784a281685ca22616b7.edm" hidden="1">#REF!</definedName>
    <definedName name="_bdm.38A607F2D76C4DECA5D18AC9DFE68A84.edm" hidden="1">#REF!</definedName>
    <definedName name="_bdm.392DA044F4E94D799308C267E4E7FEFE.edm" hidden="1">#REF!</definedName>
    <definedName name="_bdm.396C5DC4488C41F2A55A6A9A4FA39CB5.edm" hidden="1">#REF!</definedName>
    <definedName name="_bdm.396E33553A8446A8AA4873AE62900D27.edm" hidden="1">#REF!</definedName>
    <definedName name="_bdm.398E817975214956A02E26DF8F2711A8.edm" hidden="1">#REF!</definedName>
    <definedName name="_bdm.39A13F57309140C480CD3C11FECDDE0B.edm" hidden="1">#REF!</definedName>
    <definedName name="_bdm.39D175483D364E2588F3E440F98C7725.edm" hidden="1">#REF!</definedName>
    <definedName name="_bdm.39dade56de1b42d983ce8d894356bd19.edm" hidden="1">#REF!</definedName>
    <definedName name="_bdm.3A75987E2C7B41CDA0FEED8522EB73DE.edm" hidden="1">#REF!</definedName>
    <definedName name="_bdm.3aa1232e383b4539965c90ad3a6f3cb9.edm" hidden="1">#REF!</definedName>
    <definedName name="_bdm.3BC385B203304DC2A2F1B29290FCAD72.edm" hidden="1">#REF!</definedName>
    <definedName name="_bdm.3BFF97D4B70541A1AB18440AF48B4030.edm" hidden="1">#REF!</definedName>
    <definedName name="_bdm.3CAB7057C2DD42888BBF9D13A64861D2.edm" hidden="1">#REF!</definedName>
    <definedName name="_bdm.3CBC5B09A08F4336ACC8C679008533BF.edm" hidden="1">#REF!</definedName>
    <definedName name="_bdm.3CD927BF1D6447359EE3667290A6670B.edm" hidden="1">#REF!</definedName>
    <definedName name="_bdm.3CEA6569C8E343FA99AA03396582BDAA.edm" hidden="1">#REF!</definedName>
    <definedName name="_bdm.3D1E10B26203441B858D280FE05B7DCC.edm" hidden="1">#REF!</definedName>
    <definedName name="_bdm.3D2DF660175F47099FB11EC32617A5C1.edm" hidden="1">#REF!</definedName>
    <definedName name="_bdm.3E4E04BAFACA428DA01DD123B72C7D30.edm" hidden="1">#REF!</definedName>
    <definedName name="_bdm.3E656774FFD24CAAA312EEDD608EB489.edm" hidden="1">#REF!</definedName>
    <definedName name="_bdm.3E7A1EC9BD754784A7FEAF7D5A8BC9C2.edm" hidden="1">#REF!</definedName>
    <definedName name="_bdm.3EAE1F3AD27F42FD84E51F0CDC1C5CDC.edm" hidden="1">#REF!</definedName>
    <definedName name="_bdm.3F587436603A435DA121EDF6452BD138.edm" hidden="1">#REF!</definedName>
    <definedName name="_bdm.3FF9BF0CD07843B6B0C473B9EA33B256.edm" hidden="1">#REF!</definedName>
    <definedName name="_bdm.407CD10E83E84C1F9A80AFB27CE5D53A.edm" hidden="1">#REF!</definedName>
    <definedName name="_bdm.41b8177043dc465e9979559f93cd058c.edm" hidden="1">#REF!</definedName>
    <definedName name="_bdm.41BB7010280A4F17A60A7A2EC65762F2.edm" hidden="1">#REF!</definedName>
    <definedName name="_bdm.41DFE0648815401C8625480744470C15.edm" hidden="1">#REF!</definedName>
    <definedName name="_bdm.4206AD06615B4CCBB41C66A4F2CD48B8.edm" hidden="1">#REF!</definedName>
    <definedName name="_bdm.425343A9E0134837A6ECC38214DF76D7.edm" hidden="1">#REF!</definedName>
    <definedName name="_bdm.434B100D22B049B8B753816FBC05C5F0.edm" hidden="1">#REF!</definedName>
    <definedName name="_bdm.43579CAC20BC4F7780D333FAE524597E.edm" hidden="1">#REF!</definedName>
    <definedName name="_bdm.4379E51FFE244487883A18E1A12B5AF3.edm" hidden="1">#REF!</definedName>
    <definedName name="_bdm.43CE62AD62924B2DBFE57089B20D3DE3.edm" hidden="1">#REF!</definedName>
    <definedName name="_bdm.43e40a228fac4c01833c7f6688f854f9.edm" hidden="1">#REF!</definedName>
    <definedName name="_bdm.43FB78AC4C294F46B2DC4D3676C1471F.edm" hidden="1">#REF!</definedName>
    <definedName name="_bdm.43FC0D71033D4EA79BA8B50F2137F9A0.edm" hidden="1">#REF!</definedName>
    <definedName name="_bdm.43FDCAA237CB40BE8F5A0CC46E2452CE.edm" hidden="1">#REF!</definedName>
    <definedName name="_bdm.4418E901CD374AF39ED5735CC763C2EF.edm" hidden="1">#REF!</definedName>
    <definedName name="_bdm.44C8A3A18C954DC28DF11D65F8CD9D16.edm" hidden="1">#REF!</definedName>
    <definedName name="_bdm.45b5410ed38f4cd6a0c98d918a454cc9.edm" hidden="1">#REF!</definedName>
    <definedName name="_bdm.45D289B8878A441E9D37295804097740.edm" hidden="1">#REF!</definedName>
    <definedName name="_bdm.462774E013DA4C2490AA31CFFD99523F.edm" hidden="1">#REF!</definedName>
    <definedName name="_bdm.46B50CECF8B1448D9BA71B58077B92DD.edm" hidden="1">#REF!</definedName>
    <definedName name="_bdm.47415ABAF28B42B380ACD6186BBB7FFF.edm" hidden="1">#REF!</definedName>
    <definedName name="_bdm.481881804AB842A4995410D65293E331.edm" hidden="1">#N/A</definedName>
    <definedName name="_bdm.482E0259FBC74402B98A806BA3A623EB.edm" hidden="1">#REF!</definedName>
    <definedName name="_bdm.485707491EC34E5AB7C4661D8C46033E.edm" hidden="1">#REF!</definedName>
    <definedName name="_bdm.486603D52B0A41308EAA522F0F700B7B.edm" hidden="1">#REF!</definedName>
    <definedName name="_bdm.49C69B5591F8437A940272489930B9EA.edm" hidden="1">#REF!</definedName>
    <definedName name="_bdm.4A424AFC423A4B92B9931B2A6702D220.edm" hidden="1">#REF!</definedName>
    <definedName name="_bdm.4A5C97D8A8B4461BB06808C9781CCA97.edm" hidden="1">#REF!</definedName>
    <definedName name="_bdm.4AC540F0263646A4B23B749E5A7CFD7E.edm" hidden="1">#REF!</definedName>
    <definedName name="_bdm.4AE6C975F8294006B0BFA06571B7FAC5.edm" hidden="1">#REF!</definedName>
    <definedName name="_bdm.4B2BFA8079DB4EF791830BB94EFFE90F.edm" hidden="1">#REF!</definedName>
    <definedName name="_bdm.4B2D5BD28B3140D4B4705065833BCDC7.edm" hidden="1">#REF!</definedName>
    <definedName name="_bdm.4BAAD788663C4927AC9B2D3273A30784.edm" hidden="1">#REF!</definedName>
    <definedName name="_bdm.4BF4D5F9A8A54BEF9E6C0813B17074E3.edm" hidden="1">#REF!</definedName>
    <definedName name="_bdm.4C0820FE73D94BA1B2B4A6A724A199CC.edm" hidden="1">#REF!</definedName>
    <definedName name="_bdm.4C44C078990642D78A02330A9225EF64.edm" hidden="1">#REF!</definedName>
    <definedName name="_bdm.4CC45777DB794402B638D2F5A2762696.edm" hidden="1">#REF!</definedName>
    <definedName name="_bdm.4d7e8b98502e4317989705faa089faf2.edm" hidden="1">#REF!</definedName>
    <definedName name="_bdm.4DA249A0C5784F35917D09DE46C4BBA0.edm" hidden="1">#REF!</definedName>
    <definedName name="_bdm.4DB2644D35F448CD9B0013A0F3915E09.edm" hidden="1">#REF!</definedName>
    <definedName name="_bdm.4E13E13C5F2F42DF87E20EBAE016B9AB.edm" hidden="1">#N/A</definedName>
    <definedName name="_bdm.4F023A98DD254131BE2E677DB226C2C4.edm" hidden="1">#REF!</definedName>
    <definedName name="_bdm.4F657E653B14431C80FBCC9DCADBB169.edm" hidden="1">#REF!</definedName>
    <definedName name="_bdm.4F73B73271114C6CB1F0D6CA023A909E.edm" hidden="1">#REF!</definedName>
    <definedName name="_bdm.4f770b3a5e064bae860d3597e730559d.edm" hidden="1">#REF!</definedName>
    <definedName name="_bdm.4FB5ED0DC1F54E89A8ABD6C62E9A1A73.edm" hidden="1">#REF!</definedName>
    <definedName name="_bdm.5011d7008c1b4c14a0608aed032c5881.edm" hidden="1">#REF!</definedName>
    <definedName name="_bdm.505BC32561004A2E8FAC6257652A957B.edm" hidden="1">#REF!</definedName>
    <definedName name="_bdm.506BB95D5FF74692ACB6C4DCCF0C02A1.edm" hidden="1">#REF!</definedName>
    <definedName name="_bdm.50D3A1D7B5584F559E494D98546BC058.edm" hidden="1">#REF!</definedName>
    <definedName name="_bdm.50FB6FE9A7204DEC8B4A147929DD201C.edm" hidden="1">#REF!</definedName>
    <definedName name="_bdm.5131554936EB402C9C0ADC73C0942BDF.edm" hidden="1">#REF!</definedName>
    <definedName name="_bdm.513edb90263148bb83d38ec28cc89d90.edm" hidden="1">#REF!</definedName>
    <definedName name="_bdm.51F2C2ABCE3D47D3AFEF2C48D35EF1AE.edm" hidden="1">#REF!</definedName>
    <definedName name="_bdm.52205806B7494501B935897EDAE40C47.edm" hidden="1">#REF!</definedName>
    <definedName name="_bdm.5222E973893B4D419699D266C985636B.edm" hidden="1">#REF!</definedName>
    <definedName name="_bdm.5317156ED3834B09918F6E9C916C8030.edm" hidden="1">#REF!</definedName>
    <definedName name="_bdm.532855C8713A4ED2BE65859A52DE38A6.edm" hidden="1">#REF!</definedName>
    <definedName name="_bdm.5381E876F578457791B38D1DC0F111ED.edm" hidden="1">#REF!</definedName>
    <definedName name="_bdm.5407610E4A3949798C32D51045BF3275.edm" hidden="1">#REF!</definedName>
    <definedName name="_bdm.5556D73EAF13440A88C2A923F0104106.edm" hidden="1">#REF!</definedName>
    <definedName name="_bdm.5556dc0476f14d68b13ce2ba9783223a.edm" hidden="1">#REF!</definedName>
    <definedName name="_bdm.55EA4041DC1946C39D44477DE8810544.edm" hidden="1">#REF!</definedName>
    <definedName name="_bdm.55EBCDF38506436ABCF2B64FA3767621.edm" hidden="1">#REF!</definedName>
    <definedName name="_bdm.5644e99cc6974b78bf5e19c76821139a.edm" hidden="1">#REF!</definedName>
    <definedName name="_bdm.56612c627c0e4f2896a2a80c3630c42a.edm" hidden="1">#REF!</definedName>
    <definedName name="_bdm.566fe5a92e164799966a61da3c913e94.edm" hidden="1">#REF!</definedName>
    <definedName name="_bdm.569343150CEE4E949874014E31384266.edm" hidden="1">#REF!</definedName>
    <definedName name="_bdm.56D5D11E1C9A41AF9F370F08D6EB511C.edm" hidden="1">#REF!</definedName>
    <definedName name="_bdm.56F72C0613F04AEC97700FF20C5F9B86.edm" hidden="1">#REF!</definedName>
    <definedName name="_bdm.5774105F019240CD8319D8CD8D95D706.edm" hidden="1">#REF!</definedName>
    <definedName name="_bdm.5787AD1ACC334FDB8E2263B1F024685F.edm" hidden="1">#REF!</definedName>
    <definedName name="_bdm.57FA3EE63C6F43B6BC1A78D17833CF38.edm" hidden="1">#N/A</definedName>
    <definedName name="_bdm.5822C7B2DBBD4570AED0FA491B178A20.edm" hidden="1">#REF!</definedName>
    <definedName name="_bdm.59097C90020849E584C54BBE15C02D79.edm" hidden="1">#REF!</definedName>
    <definedName name="_bdm.591c5f18c4334980a886e189b73faf77.edm" hidden="1">#REF!</definedName>
    <definedName name="_bdm.591EB47C21C740079DFA03DBF9B896A6.edm" hidden="1">#REF!</definedName>
    <definedName name="_bdm.5A06B77531BB40EAB24074C943DCD22A.edm" hidden="1">#REF!</definedName>
    <definedName name="_bdm.5AB0290907E74A59AD61C108619557BF.edm" hidden="1">#REF!</definedName>
    <definedName name="_bdm.5AD944435AAB4E59BE5754CEE8639177.edm" hidden="1">#REF!</definedName>
    <definedName name="_bdm.5B01567551CF4D0F9516DB9616A4CC65.edm" hidden="1">#REF!</definedName>
    <definedName name="_bdm.5B39FF2E51684801BF2B19C6CA4C5623.edm" hidden="1">#REF!</definedName>
    <definedName name="_bdm.5B7727DF487A4ED1A970FE868DCAB737.edm" hidden="1">#REF!</definedName>
    <definedName name="_bdm.5BED8E322A0E4D21AD81A57E4077B268.edm" hidden="1">#REF!</definedName>
    <definedName name="_bdm.5CF81FEE6E9A4189820ECA41DD31C6C1.edm" hidden="1">#REF!</definedName>
    <definedName name="_bdm.5D31E83EAF3C44D1AB191842C1200959.edm" hidden="1">#REF!</definedName>
    <definedName name="_bdm.5D83D4FAA6344614A40E21DB9160887C.edm" hidden="1">#REF!</definedName>
    <definedName name="_bdm.5E033E8614194FCBADEF7EB7A716B0A7.edm" hidden="1">#REF!</definedName>
    <definedName name="_bdm.5e11f69969314c439fbe3664f30fee7d.edm" hidden="1">#REF!</definedName>
    <definedName name="_bdm.5E3A688369224664B12548FD15A516DD.edm" hidden="1">#REF!</definedName>
    <definedName name="_bdm.600594aab2824bd78b75a7b1f116546c.edm" hidden="1">#REF!</definedName>
    <definedName name="_bdm.603487ff383d493d913c0c12efc254ab.edm" hidden="1">#REF!</definedName>
    <definedName name="_bdm.604BF667BDBF4BF191BB2AFF3973B8FA.edm" hidden="1">#REF!</definedName>
    <definedName name="_bdm.606439BA82B9464F87851B49F611E17B.edm" hidden="1">#REF!</definedName>
    <definedName name="_bdm.60C1A0D19FAF481989BB82933BC0DB92.edm" hidden="1">#REF!</definedName>
    <definedName name="_bdm.60D1E9AD46C44C31BD4921876B6B8E89.edm" hidden="1">#REF!</definedName>
    <definedName name="_bdm.60D496C198B94FE88AAC240F81DA2AE4.edm" hidden="1">#REF!</definedName>
    <definedName name="_bdm.60D9BAA530494B848C89FD091AD27B44.edm" hidden="1">#REF!</definedName>
    <definedName name="_bdm.60e7dcf42a0343e48bf25ae7367eeaa3.edm" hidden="1">#REF!</definedName>
    <definedName name="_bdm.61330CBA08904ACAB64AC6F5479848F8.edm" hidden="1">#REF!</definedName>
    <definedName name="_bdm.61C0268107124E37A9B886DBD4485DAA.edm" hidden="1">#REF!</definedName>
    <definedName name="_bdm.61c3ce8cc6ec41fb88dd4e56e1b8c01b.edm" hidden="1">#REF!</definedName>
    <definedName name="_bdm.61ED02BFE0B348829184BE36B07771C8.edm" hidden="1">#REF!</definedName>
    <definedName name="_bdm.62014CE4344B47469900109D23F83536.edm" hidden="1">#REF!</definedName>
    <definedName name="_bdm.621903F4E3F24FD0B6FC2ED5D809768E.edm" hidden="1">#REF!</definedName>
    <definedName name="_bdm.6384E401ACF242E2947ECB9198E5E73A.edm" hidden="1">#REF!</definedName>
    <definedName name="_bdm.638ED91A93804F5D9E69120C0D3D71A8.edm" hidden="1">#REF!</definedName>
    <definedName name="_bdm.63941e6d1b244216828ac170564845fb.edm" hidden="1">#REF!</definedName>
    <definedName name="_bdm.639E0DA34E18487AB31CE96EC0A44870.edm" hidden="1">#REF!</definedName>
    <definedName name="_bdm.63CE9CF74A934A2CABE43E0C9A5325A7.edm" hidden="1">#REF!</definedName>
    <definedName name="_bdm.648AD1D8D6B744EFA7969766C1C9688A.edm" hidden="1">#REF!</definedName>
    <definedName name="_bdm.654C8EDA268E41A0BB9FEA30B24668CE.edm" hidden="1">#REF!</definedName>
    <definedName name="_bdm.658BD73E718B4E1C912C47566B23EE2B.edm" hidden="1">#REF!</definedName>
    <definedName name="_bdm.6631D025E3DA4129A5C05DEFF0A78E72.edm" hidden="1">#REF!</definedName>
    <definedName name="_bdm.664080757F3D4BC2A61C0A8E7F58284F.edm" hidden="1">#N/A</definedName>
    <definedName name="_bdm.6657855B840E42128A201BE863EC1AD9.edm" hidden="1">#REF!</definedName>
    <definedName name="_bdm.665FCB1D52C344F389D375804F17A17C.edm" hidden="1">#REF!</definedName>
    <definedName name="_bdm.66AF624733E24EBC8EE41466C72B1FF8.edm" hidden="1">#REF!</definedName>
    <definedName name="_bdm.66F6802BBD9B4638ACDB08834F16FCF6.edm" hidden="1">#REF!</definedName>
    <definedName name="_bdm.6854F5B3A1074E21A7E29A900CF9C0FD.edm" hidden="1">#REF!</definedName>
    <definedName name="_bdm.68AE8E8816004C59BF6F22A4E29BB438.edm" hidden="1">#REF!</definedName>
    <definedName name="_bdm.68C1455F3C744CD3B4FAFEA63902F454.edm" hidden="1">#REF!</definedName>
    <definedName name="_bdm.69B894C4E5A8465F8862773CAE413F97.edm" hidden="1">#REF!</definedName>
    <definedName name="_bdm.6ABD906E889542728B71832173617762.edm" hidden="1">#REF!</definedName>
    <definedName name="_bdm.6AFB8EC9794F4B969C3DC3748E73F7B9.edm" hidden="1">#REF!</definedName>
    <definedName name="_bdm.6B922E2C01B840F3846C2C49675DC960.edm" hidden="1">#REF!</definedName>
    <definedName name="_bdm.6BC95A4A6A5B49C3A2326DE710415184.edm" hidden="1">#REF!</definedName>
    <definedName name="_bdm.6bf6471b7c4d4d4f9297a17dbddfaf55.edm" hidden="1">#REF!</definedName>
    <definedName name="_bdm.6c1b6dd0d3574147a98bebf526aaaaa8.edm" hidden="1">#REF!</definedName>
    <definedName name="_bdm.6D53DE4225324FDCBF9AA92886584D79.edm" hidden="1">#REF!</definedName>
    <definedName name="_bdm.6D8BB308F1A7454584FC7D1C95409EBC.edm" hidden="1">#REF!</definedName>
    <definedName name="_bdm.6E4CA2400FD148C6ABD12E10316F5FB2.edm" hidden="1">#REF!</definedName>
    <definedName name="_bdm.6E6AC3AB029949FD882DE6CF28E96A18.edm" hidden="1">#REF!</definedName>
    <definedName name="_bdm.6E7E7A9B6C344B019A02AB74EB3A849C.edm" hidden="1">#REF!</definedName>
    <definedName name="_bdm.6EEC5A193E16440E948667A92332B274.edm" hidden="1">#REF!</definedName>
    <definedName name="_bdm.6EFF6BF9DA394A29AB4619CF14E80301.edm" hidden="1">#N/A</definedName>
    <definedName name="_bdm.6F69026AB7F74852B6E976FF69BD3B79.edm" hidden="1">#REF!</definedName>
    <definedName name="_bdm.6FE180B454FB43358B7047BB5BFCA0E6.edm" hidden="1">#REF!</definedName>
    <definedName name="_bdm.70058EEE7BCB482F8E1363DCED650E60.edm" hidden="1">#REF!</definedName>
    <definedName name="_bdm.7038DB908F4F4C80AC08D58013794A10.edm" hidden="1">#REF!</definedName>
    <definedName name="_bdm.705760A1B45140F9B71328111DEC6C1A.edm" hidden="1">#REF!</definedName>
    <definedName name="_bdm.710C7DA6F4DF4B42B668C074065CAC09.edm" hidden="1">#REF!</definedName>
    <definedName name="_bdm.71F0BB01B7E64656915E0781B5F4896E.edm" hidden="1">#REF!</definedName>
    <definedName name="_bdm.722FFBA31F474BFAB735063A64B90C1F.edm" hidden="1">#REF!</definedName>
    <definedName name="_bdm.7232396e7f144792a455af3a03febebe.edm" hidden="1">#REF!</definedName>
    <definedName name="_bdm.72E6923CAC814F5E850DB1877FE33636.edm" hidden="1">#N/A</definedName>
    <definedName name="_bdm.73017CA1697D4E179562DE45A692A8D1.edm" hidden="1">#REF!</definedName>
    <definedName name="_bdm.7356D19C508E45D5BCA036988C40826A.edm" hidden="1">#REF!</definedName>
    <definedName name="_bdm.74948890E52A4A12B6FEE1C8F759F4B3.edm" hidden="1">#REF!</definedName>
    <definedName name="_bdm.74A9476FAC55418499D93F7D398E7EF4.edm" hidden="1">#REF!</definedName>
    <definedName name="_bdm.74E7E27736D841FD861DBC138FF10505.edm" hidden="1">#REF!</definedName>
    <definedName name="_bdm.74EF0CA68A23406B8F83AC6C95DC30C5.edm" hidden="1">#REF!</definedName>
    <definedName name="_bdm.7500A888C25C4A7A9D607197D0216FE5.edm" hidden="1">#REF!</definedName>
    <definedName name="_bdm.75F1D394719348F4837FD5C38CD0E50D.edm" hidden="1">#REF!</definedName>
    <definedName name="_bdm.7600CB5C2BF74B4B9CC987CA00103588.edm" hidden="1">#REF!</definedName>
    <definedName name="_bdm.760CE0791FFA4C46885A609CCE539100.edm" hidden="1">#REF!</definedName>
    <definedName name="_bdm.763E9B061D824965ABE00FECE1C119CE.edm" hidden="1">#REF!</definedName>
    <definedName name="_bdm.763F178D80114F57820E4C6C0024777D.edm" hidden="1">#REF!</definedName>
    <definedName name="_bdm.766242ecedfb4a8da805fb918ee09d9b.edm" hidden="1">#REF!</definedName>
    <definedName name="_bdm.76A83B961E724F848C72CFBCC8C89D79.edm" hidden="1">#REF!</definedName>
    <definedName name="_bdm.7704643C2DB34A3F918143DECA3C4DE2.edm" hidden="1">#N/A</definedName>
    <definedName name="_bdm.775f1b92231345beac5b6a7ed0baab63.edm" hidden="1">#REF!</definedName>
    <definedName name="_bdm.7840EB5D15424756B94CF933E38E96E2.edm" hidden="1">#REF!</definedName>
    <definedName name="_bdm.7878728B0549452A831B7C33AA636A5B.edm" hidden="1">#REF!</definedName>
    <definedName name="_bdm.787EA5A165CF43FB8E0A5924FA31108D.edm" hidden="1">#REF!</definedName>
    <definedName name="_bdm.78c6c072f20b4c82ba824fdb6065a9b9.edm" hidden="1">#REF!</definedName>
    <definedName name="_bdm.79589ABDEFB54FB09CD421FD6832248F.edm" hidden="1">#REF!</definedName>
    <definedName name="_bdm.7A39769AA990408F98A40E93E2C328B7.edm" hidden="1">#REF!</definedName>
    <definedName name="_bdm.7A63497052294108BBB8C9F28C1714CA.edm" hidden="1">#REF!</definedName>
    <definedName name="_bdm.7ABE8D07F0BC4810B6A1CF0F06B0D822.edm" hidden="1">#REF!</definedName>
    <definedName name="_bdm.7AE6D4C9BFD44A24884B0E7783F34497.edm" hidden="1">#REF!</definedName>
    <definedName name="_bdm.7B83263CB2EA40A3A1C326F4B64FF272.edm" hidden="1">#REF!</definedName>
    <definedName name="_bdm.7BAB045F55674A75B88F57B71127A243.edm" hidden="1">#REF!</definedName>
    <definedName name="_bdm.7C1450A0D06448B0B7349F8EEA36977C.edm" hidden="1">#REF!</definedName>
    <definedName name="_bdm.7C70E420607249B397E3C4F49521F10D.edm" hidden="1">#REF!</definedName>
    <definedName name="_bdm.7C8F732387564934BFF94B2B3A2F1708.edm" hidden="1">#REF!</definedName>
    <definedName name="_bdm.7D3ECE4F25C94A6EBE538786CFBAF74B.edm" hidden="1">#REF!</definedName>
    <definedName name="_bdm.7D79CCEAE23C43E28C60B86A3AE5E0E2.edm" hidden="1">#REF!</definedName>
    <definedName name="_bdm.7D95730C247643EEA3B963D7969C456D.edm" hidden="1">#REF!</definedName>
    <definedName name="_bdm.7E889CBB27EA41159176861147F0AFC5.edm" hidden="1">#REF!</definedName>
    <definedName name="_bdm.7eacf50218da4246835f27f177d5fadb.edm" hidden="1">#REF!</definedName>
    <definedName name="_bdm.7EC65D909DF840588A6CA3F04BE3A31E.edm" hidden="1">#REF!</definedName>
    <definedName name="_bdm.7F13F3083E614A29B32E7B4151F4A016.edm" hidden="1">#REF!</definedName>
    <definedName name="_bdm.8014a81f189c43e0b9afcdbf2b56d201.edm" hidden="1">#REF!</definedName>
    <definedName name="_bdm.804F03656EE34D2DB392885B01F57F3D.edm" hidden="1">#REF!</definedName>
    <definedName name="_bdm.805FFD14F628439A8928B3AF3F0F25B8.edm" hidden="1">#REF!</definedName>
    <definedName name="_bdm.80A6D6EF19614E129E482B00B90292B5.edm" hidden="1">#REF!</definedName>
    <definedName name="_bdm.80B2266AE52841B79E2E9F23BF6E8149.edm" hidden="1">#REF!</definedName>
    <definedName name="_bdm.80E4624CFA544DF49D9E78665703B7DE.edm" hidden="1">#REF!</definedName>
    <definedName name="_bdm.80F6FA82A31A47C58A68A0EDE1223DD1.edm" hidden="1">#REF!</definedName>
    <definedName name="_bdm.81406bbfc2274232a76c23a59e79bfb1.edm" hidden="1">#REF!</definedName>
    <definedName name="_bdm.81A7DCB98AFA442597C5DECE5FAF135A.edm" hidden="1">#REF!</definedName>
    <definedName name="_bdm.8289850a63a64f30bd416943f73445c8.edm" hidden="1">#REF!</definedName>
    <definedName name="_bdm.84029fd2204a4f1c996d0c483f410cb3.edm" hidden="1">#REF!</definedName>
    <definedName name="_bdm.842888B6F15043AFBC913C1A8E0142B0.edm" hidden="1">#REF!</definedName>
    <definedName name="_bdm.8441f24cef574b5fb37560a8cdaebb2c.edm" hidden="1">#REF!</definedName>
    <definedName name="_bdm.84E01D2DBA1A4CCE9697F725B5F39C5C.edm" hidden="1">#REF!</definedName>
    <definedName name="_bdm.85D6C78B2B5D4D4793BCC71891259F85.edm" hidden="1">#REF!</definedName>
    <definedName name="_bdm.85E7D943FFDF4849BADDF66B787F0FE0.edm" hidden="1">#REF!</definedName>
    <definedName name="_bdm.8619819714C34785A60673868673C589.edm" hidden="1">#REF!</definedName>
    <definedName name="_bdm.8624F4AE44E14A7497E1D4088F797A76.edm" hidden="1">#REF!</definedName>
    <definedName name="_bdm.862a365d7ee245cb922b5685355cd389.edm" hidden="1">#REF!</definedName>
    <definedName name="_bdm.86539AE4DFAD4FEF8F7BC13CED1B65BD.edm" hidden="1">#REF!</definedName>
    <definedName name="_bdm.86B8F6E048DD42EDB1E538D2B5AB72A7.edm" hidden="1">#REF!</definedName>
    <definedName name="_bdm.86e418e1668348e480fcd41532825c9c.edm" hidden="1">#REF!</definedName>
    <definedName name="_bdm.86feeadfae7a481cb8b93c50284d2830.edm" hidden="1">#REF!</definedName>
    <definedName name="_bdm.8739F0B826D74C0F92B3EFB384E0D99A.edm" hidden="1">#REF!</definedName>
    <definedName name="_bdm.875710AB518640B6B7A4C6C360BD885A.edm" hidden="1">#REF!</definedName>
    <definedName name="_bdm.87EC8B54D0914194933649F313CF4230.edm" hidden="1">#REF!</definedName>
    <definedName name="_bdm.8821B96569564C7783F9355FD275A864.edm" hidden="1">#REF!</definedName>
    <definedName name="_bdm.882C59D4404640129C696AF15CB3755A.edm" hidden="1">#REF!</definedName>
    <definedName name="_bdm.8921AA538C6B4B109BBA62E9534A9C14.edm" hidden="1">#REF!</definedName>
    <definedName name="_bdm.89E6BDEE223B433E91AA988BACACCCA7.edm" hidden="1">#REF!</definedName>
    <definedName name="_bdm.8A08EA11AC38492FAE61DFC7796E493D.edm" hidden="1">#REF!</definedName>
    <definedName name="_bdm.8A0F2319A84943EABB2C42CE92AECFCE.edm" hidden="1">#REF!</definedName>
    <definedName name="_bdm.8A531667E06F41F589ECBE50EB131292.edm" hidden="1">#REF!</definedName>
    <definedName name="_bdm.8AA8BD0F69204775B0A74378BF5202C4.edm" hidden="1">#REF!</definedName>
    <definedName name="_bdm.8B35F89D16034126B13D53ADFD7752D5.edm" hidden="1">#REF!</definedName>
    <definedName name="_bdm.8D37ED638AD34A37AE5E53618DBE8226.edm" hidden="1">#REF!</definedName>
    <definedName name="_bdm.8d7830f59c774cbda20b2d4b21b36bca.edm" hidden="1">#REF!</definedName>
    <definedName name="_bdm.8DA6119DB8FF4E89A70AD5D4C3D3F063.edm" hidden="1">#N/A</definedName>
    <definedName name="_bdm.8DBC5E47CDA840288DE96589919BE62B.edm" hidden="1">#REF!</definedName>
    <definedName name="_bdm.8DCCCB4B2BC14C1AA84A9FF8A30B1264.edm" hidden="1">#REF!</definedName>
    <definedName name="_bdm.8F6996C8B88741B4AFC085E2E31F5F45.edm" hidden="1">#REF!</definedName>
    <definedName name="_bdm.8F7EA46C2AF44FD8B9853320F4C1D308.edm" hidden="1">#REF!</definedName>
    <definedName name="_bdm.8F9D84B1DA024119B21C33A792531846.edm" hidden="1">#REF!</definedName>
    <definedName name="_bdm.8FB8D0476D434CF0BB12679ACFD65F47.edm" hidden="1">#REF!</definedName>
    <definedName name="_bdm.8FC3C75C3F864B7BAD2586F1891B40CD.edm" hidden="1">#REF!</definedName>
    <definedName name="_bdm.900DA900218A492AAE89E907EDA27C79.edm" hidden="1">#REF!</definedName>
    <definedName name="_bdm.9021E5C64433461DA2545928D8C14D7C.edm" hidden="1">#REF!</definedName>
    <definedName name="_bdm.90827DD3B8DA47E6B20CF91F7AEB8DEF.edm" hidden="1">#REF!</definedName>
    <definedName name="_bdm.9153024C63394F95B439E2F1733EFCDE.edm" hidden="1">#REF!</definedName>
    <definedName name="_bdm.91A0B11909A947559083CFFAB8CC725C.edm" hidden="1">#REF!</definedName>
    <definedName name="_bdm.91B5014D282441F0AE56633B86379C51.edm" hidden="1">#REF!</definedName>
    <definedName name="_bdm.9295845727974FDA81DFBC25B6C85439.edm" hidden="1">#REF!</definedName>
    <definedName name="_bdm.92c6e2fd23fa4acf8b6e47a12fe7f94a.edm" hidden="1">#REF!</definedName>
    <definedName name="_bdm.92DE871363C0464F9E085F9868F72FF2.edm" hidden="1">#REF!</definedName>
    <definedName name="_bdm.93235CC542A84AE781376A3CAB8201B5.edm" hidden="1">#REF!</definedName>
    <definedName name="_bdm.932A88661F144B0EB0A1ABEBBFF74D41.edm" hidden="1">#REF!</definedName>
    <definedName name="_bdm.937E5C54C9C04661B537B3722FEFC15D.edm" hidden="1">#REF!</definedName>
    <definedName name="_bdm.93E88A72D9144BD9A88F5D8E349C4FC6.edm" hidden="1">#REF!</definedName>
    <definedName name="_bdm.94810449B91145CF8FE2D04E4EAC48FB.edm" hidden="1">#REF!</definedName>
    <definedName name="_bdm.948A18E54F854DF78AA6F2EA7F0F0676.edm" hidden="1">#REF!</definedName>
    <definedName name="_bdm.949B2547748F49B197C942B5AC4E9AFE.edm" hidden="1">#REF!</definedName>
    <definedName name="_bdm.94D63755E22F41798F4B40D8943C2F3C.edm" hidden="1">#REF!</definedName>
    <definedName name="_bdm.955BB573355F4380B529B457D6A9B8DB.edm" hidden="1">#REF!</definedName>
    <definedName name="_bdm.958a9696b4a349debe7d31303cf606e8.edm" hidden="1">#REF!</definedName>
    <definedName name="_bdm.95936FC30BE54F4F8BD88B9FADB3B06B.edm" hidden="1">#REF!</definedName>
    <definedName name="_bdm.9646B478C6A44110A39C09C611292BC6.edm" hidden="1">#REF!</definedName>
    <definedName name="_bdm.9653DE5D1DE340038545453292074708.edm" hidden="1">#REF!</definedName>
    <definedName name="_bdm.967b89721a8f44b8b7abff48b795d59c.edm" hidden="1">#REF!</definedName>
    <definedName name="_bdm.96A92CA2E0A5491A9F4EC2A597DD5C80.edm" hidden="1">#REF!</definedName>
    <definedName name="_bdm.96D833F6ECB84ED69D43C8F7783FCDA7.edm" hidden="1">#REF!</definedName>
    <definedName name="_bdm.9705da9c72f24415984a8fadef332d3a.edm" hidden="1">#REF!</definedName>
    <definedName name="_bdm.972A0188B6C74475B4B9ABABAF0CE384.edm" hidden="1">#REF!</definedName>
    <definedName name="_bdm.9824D1854B07496E92FBB3FBEBC06588.edm" hidden="1">#REF!</definedName>
    <definedName name="_bdm.9843AFC235C14AFC84C910A41F40EB0A.edm" hidden="1">#REF!</definedName>
    <definedName name="_bdm.986EF8DB917447AC8DC9400BF7AE52B3.edm" hidden="1">#REF!</definedName>
    <definedName name="_bdm.9877ACEE390C45A196CB01D5E3BB3F25.edm" hidden="1">#REF!</definedName>
    <definedName name="_bdm.9933D23F27BF46B8A50BF44F8F24C7E1.edm" hidden="1">#REF!</definedName>
    <definedName name="_bdm.99F55084A5364FE6884E1669DD980415.edm" hidden="1">#REF!</definedName>
    <definedName name="_bdm.9A040B5ACDCB4B0698A5B5E86E5A054C.edm" hidden="1">#REF!</definedName>
    <definedName name="_bdm.9A24B22176BD46AE80F61283EB784C24.edm" hidden="1">#REF!</definedName>
    <definedName name="_bdm.9A2B326206C24FF9BF9246D48686EF69.edm" hidden="1">#N/A</definedName>
    <definedName name="_bdm.9A33AC905BB444F196611646F4B45A33.edm" hidden="1">#REF!</definedName>
    <definedName name="_bdm.9a45c2d095a245d581393c0ae7fe4583.edm" hidden="1">#REF!</definedName>
    <definedName name="_bdm.9B405D01CC23443DB1C18C31CC760CA5.edm" hidden="1">#REF!</definedName>
    <definedName name="_bdm.9B4B4AED967146C2B5105E244C24BC28.edm" hidden="1">#REF!</definedName>
    <definedName name="_bdm.9C53B09F598E47D48CB6C24D9DCA09FC.edm" hidden="1">#N/A</definedName>
    <definedName name="_bdm.9C693B1F8DD14A379D9CA0C4D57FE6E2.edm" hidden="1">#REF!</definedName>
    <definedName name="_bdm.9CAF6C027A14488E8A0EEBFD8D5AC962.edm" hidden="1">#REF!</definedName>
    <definedName name="_bdm.9D56EB5F43204F978F37E4C059A868D1.edm" hidden="1">#REF!</definedName>
    <definedName name="_bdm.9D6AFCC90CAC4A59B167272DC3455CD4.edm" hidden="1">#REF!</definedName>
    <definedName name="_bdm.9D7AEA57863E4A2390DF02EEBA36AE3A.edm" hidden="1">#REF!</definedName>
    <definedName name="_bdm.9da63cfb85724b9a8bf84d7ac0a902cb.edm" hidden="1">#REF!</definedName>
    <definedName name="_bdm.9E6F0A82A5E5415CAAF64DE7061D11DB.edm" hidden="1">#REF!</definedName>
    <definedName name="_bdm.9F208D015B134B47B545B64FDAF07661.edm" hidden="1">#REF!</definedName>
    <definedName name="_bdm.9F46F9B0355144CD92786BC7A590E434.edm" hidden="1">#REF!</definedName>
    <definedName name="_bdm.A0CF02EA29F449759792FB9AA710768C.edm" hidden="1">#REF!</definedName>
    <definedName name="_bdm.A1817E7BA1FD45B7B1328270FF4FAF53.edm" hidden="1">#REF!</definedName>
    <definedName name="_bdm.A247B1D77986400F9A61095B26F4A68A.edm" hidden="1">#REF!</definedName>
    <definedName name="_bdm.A2D7D32E999A42C693AC64234B320B5F.edm" hidden="1">#REF!</definedName>
    <definedName name="_bdm.a39910f6b16348899ef93db85dc3b3fb.edm" hidden="1">#REF!</definedName>
    <definedName name="_bdm.A3A75D4C593949B9B996FE51C9585838.edm" hidden="1">#REF!</definedName>
    <definedName name="_bdm.A3FD5497DBE04494A34B6E84080D40A9.edm" hidden="1">#REF!</definedName>
    <definedName name="_bdm.A411065B5F324D8CBAB4FB61821C40F4.edm" hidden="1">#REF!</definedName>
    <definedName name="_bdm.A4DAC0D0633C4863AD94619826D2984F.edm" hidden="1">#REF!</definedName>
    <definedName name="_bdm.A508B333E25044FAB95CD28811999DA7.edm" hidden="1">#REF!</definedName>
    <definedName name="_bdm.A631F04C24C64FA1B3442671385A8C6F.edm" hidden="1">#REF!</definedName>
    <definedName name="_bdm.A66AE807B67643F8B8301B620184D260.edm" hidden="1">#REF!</definedName>
    <definedName name="_bdm.A6EBE14DE4BC44C28DF5E55C98A19744.edm" hidden="1">#REF!</definedName>
    <definedName name="_bdm.A7BDD56845D9412F9C4B0BA7F995B457.edm" hidden="1">#REF!</definedName>
    <definedName name="_bdm.A8855C368B0441E792C540656C2568A1.edm" hidden="1">#REF!</definedName>
    <definedName name="_bdm.A89FC4F87AEB428881A8D060C0D25C93.edm" hidden="1">#REF!</definedName>
    <definedName name="_bdm.A93E44EA09E7485B995131FEAF4E6B0F.edm" hidden="1">#REF!</definedName>
    <definedName name="_bdm.A956A545376C41AFA0BB6E78FDB1E463.edm" hidden="1">#REF!</definedName>
    <definedName name="_bdm.a959b5b656774de0ad9704988d477132.edm" hidden="1">#REF!</definedName>
    <definedName name="_bdm.A99AFBA406D64FB89B6DD45DCD9B359B.edm" hidden="1">#REF!</definedName>
    <definedName name="_bdm.AA1DA22D2B6242A1B834E84EBA658562.edm" hidden="1">#REF!</definedName>
    <definedName name="_bdm.aa503b83e58841f894b56e35fcd4758d.edm" hidden="1">#REF!</definedName>
    <definedName name="_bdm.AA800F43136D43E48FE84EB8F11154AC.edm" hidden="1">#REF!</definedName>
    <definedName name="_bdm.AA83FF06981C438D9FFB6784B6C11E6B.edm" hidden="1">#REF!</definedName>
    <definedName name="_bdm.AB061C648D314BCBBEB8E5498C965AFF.edm" hidden="1">#REF!</definedName>
    <definedName name="_bdm.AB5EC28A3C6F4DBBB2909BDAFC1FA969.edm" hidden="1">#REF!</definedName>
    <definedName name="_bdm.ABE8C9034EC54986B0EE063EDD66AB43.edm" hidden="1">#REF!</definedName>
    <definedName name="_bdm.AD41DDE7431F4602AB79648F8DFACF67.edm" hidden="1">#REF!</definedName>
    <definedName name="_bdm.AD5A6331246A4F19A261362F47B704A5.edm" hidden="1">#REF!</definedName>
    <definedName name="_bdm.ADD40332324C4D18A8C9D57083A36C27.edm" hidden="1">#REF!</definedName>
    <definedName name="_bdm.ae0c22fb8a9040fea0e5045247bc7e8c.edm" hidden="1">#REF!</definedName>
    <definedName name="_bdm.AE148FA4168546C58A598F1DF2EFA90E.edm" hidden="1">#REF!</definedName>
    <definedName name="_bdm.AE48393B14B34F5A9D1F8B314A6B61CE.edm" hidden="1">#REF!</definedName>
    <definedName name="_bdm.af0a8eeff89d47d6a3f11360025356d6.edm" hidden="1">#REF!</definedName>
    <definedName name="_bdm.AF96C98CFADB40A29FBC55BF472EC83D.edm" hidden="1">#REF!</definedName>
    <definedName name="_bdm.B0621781755A4650AB79B0F302E29759.edm" hidden="1">#REF!</definedName>
    <definedName name="_bdm.B1AB6DB0ACBD4AFEA14C0F9F6FA47775.edm" hidden="1">#REF!</definedName>
    <definedName name="_bdm.B1B8B01901474A3FAEDD99532F0512D9.edm" hidden="1">#REF!</definedName>
    <definedName name="_bdm.B21235BCF6604B82AA6C6B8F0FFF699E.edm" hidden="1">#REF!</definedName>
    <definedName name="_bdm.B2307084EF9F4C7D8716E7C83539FC82.edm" hidden="1">#REF!</definedName>
    <definedName name="_bdm.B238B0BF07174C20BE49BB50D2EFA2EF.edm" hidden="1">#REF!</definedName>
    <definedName name="_bdm.b27dbbfe5d4d487b95ebe2f0e5ca2436.edm" hidden="1">#REF!</definedName>
    <definedName name="_bdm.B283837471F34CCBA9E7AF9F10093756.edm" hidden="1">#REF!</definedName>
    <definedName name="_bdm.B284BBA334874EEFA4767558940763E1.edm" hidden="1">#REF!</definedName>
    <definedName name="_bdm.b2b9dceb386140fcabb91280b2196902.edm" hidden="1">#REF!</definedName>
    <definedName name="_bdm.B2C35A47FB1A4A3F88326AF1BEB8C12C.edm" hidden="1">#REF!</definedName>
    <definedName name="_bdm.B2F3F41B90384D609C598ACA4C045722.edm" hidden="1">#REF!</definedName>
    <definedName name="_bdm.B31F0C67559C40CFBA36A3D04EB3FD7C.edm" hidden="1">#REF!</definedName>
    <definedName name="_bdm.B34198F78CC043239767DA1C385649DB.edm" hidden="1">#REF!</definedName>
    <definedName name="_bdm.B3A4BD6B228F429D84F19E39334DE333.edm" hidden="1">#N/A</definedName>
    <definedName name="_bdm.B3A9F977F4314E89BFCED45B7CD43B23.edm" hidden="1">#REF!</definedName>
    <definedName name="_bdm.B3ACEA44F2294844BF284B61ED0026F2.edm" hidden="1">#REF!</definedName>
    <definedName name="_bdm.B3C3AA356CE24FDDB9FA3667EB226B90.edm" hidden="1">#REF!</definedName>
    <definedName name="_bdm.B3E1854C8CFA4833BC002D14F0D3D6C1.edm" hidden="1">#REF!</definedName>
    <definedName name="_bdm.B4437C5413BE404383BD19DD6769B91D.edm" hidden="1">#REF!</definedName>
    <definedName name="_bdm.B44B39F24B8F404A9B79CFADC1040818.edm" hidden="1">#REF!</definedName>
    <definedName name="_bdm.B4E0A942ACB6477BA9616C7683885D79.edm" hidden="1">#REF!</definedName>
    <definedName name="_bdm.B4E22011F915428FA5A0D0B0E6F899EB.edm" hidden="1">#REF!</definedName>
    <definedName name="_bdm.B5094461F488437A9A822C174EA8AA5E.edm" hidden="1">#REF!</definedName>
    <definedName name="_bdm.b549e0319b1d4d4f8b0d40f9817d3849.edm" hidden="1">#REF!</definedName>
    <definedName name="_bdm.B5E56900AEE7463EA843066AD9C1DBB0.edm" hidden="1">#REF!</definedName>
    <definedName name="_bdm.B62AFDF0C9064AF3869DADD40F90B273.edm" hidden="1">#REF!</definedName>
    <definedName name="_bdm.B6B12FFDEA024C84B9F9141054595299.edm" hidden="1">#N/A</definedName>
    <definedName name="_bdm.B6F88C8CEE704951B11DD738AD559123.edm" hidden="1">#REF!</definedName>
    <definedName name="_bdm.B725C9C38DBC4EF480B8AD3B484E3030.edm" hidden="1">#REF!</definedName>
    <definedName name="_bdm.B75DFC9B2CE8450AA8877DDBEDBDE60B.edm" hidden="1">#REF!</definedName>
    <definedName name="_bdm.B80F625885894CA6822B3B9EC2C4B103.edm" hidden="1">#REF!</definedName>
    <definedName name="_bdm.B84D1F02013F42A68B2196ED360ECEE1.edm" hidden="1">#REF!</definedName>
    <definedName name="_bdm.B94ED3E620B644C58A62EB65AAA1D7FF.edm" hidden="1">#REF!</definedName>
    <definedName name="_bdm.B97D9B136D0A4F9BB5287231BCBB617C.edm" hidden="1">#REF!</definedName>
    <definedName name="_bdm.B993F17BDCB944D7B0FDD7C6618720FA.edm" hidden="1">#REF!</definedName>
    <definedName name="_bdm.B9A8D500C744459C9F195AC41BDB245D.edm" hidden="1">#REF!</definedName>
    <definedName name="_bdm.B9DB597268FF4E6A9C506BE1E771F551.edm" hidden="1">#REF!</definedName>
    <definedName name="_bdm.B9DF74829F3B4CD6988F4DE0DB1BCF38.edm" hidden="1">#REF!</definedName>
    <definedName name="_bdm.B9FA0D73802D460D9753D070E00F2518.edm" hidden="1">#REF!</definedName>
    <definedName name="_bdm.BA35F86C913C454C9F7E55A2F807E4BE.edm" hidden="1">#REF!</definedName>
    <definedName name="_bdm.BA87B23BDD0045309F1DFE71D4C3B113.edm" hidden="1">#REF!</definedName>
    <definedName name="_bdm.BABF452210574A9CA93D617BC84B3A91.edm" hidden="1">#REF!</definedName>
    <definedName name="_bdm.BAD6743125F64CF5B46CFDEB8D68D329.edm" hidden="1">#REF!</definedName>
    <definedName name="_bdm.BAF090EDB36940DF8EAB5F8FDBC9917A.edm" hidden="1">#REF!</definedName>
    <definedName name="_bdm.BB998E3468A04264B722FFB382DAD4A6.edm" hidden="1">#REF!</definedName>
    <definedName name="_bdm.BC0211E181094707BD7C6FE5463B3D99.edm" hidden="1">#REF!</definedName>
    <definedName name="_bdm.BCC54364CD1942AC8C89A97A92113290.edm" hidden="1">#REF!</definedName>
    <definedName name="_bdm.BD495EBDC1914DBD9B6470BCA0B93927.edm" hidden="1">#REF!</definedName>
    <definedName name="_bdm.BDF86781587B4CE2802B5B5770960A62.edm" hidden="1">#REF!</definedName>
    <definedName name="_bdm.BF26B38A53B94A02B49ED20FDC7B90F7.edm" hidden="1">#REF!</definedName>
    <definedName name="_bdm.BF38EDEC9C0741078123029737F9BFD3.edm" hidden="1">#REF!</definedName>
    <definedName name="_bdm.bf48fd25b20d48ffaa1b4fdef5e2ae5e.edm" hidden="1">#REF!</definedName>
    <definedName name="_bdm.C0304B96ECE24D2992715D7FCE5D8B71.edm" hidden="1">#REF!</definedName>
    <definedName name="_bdm.C0543421CD694029A02AED39B7B4A4E4.edm" hidden="1">#REF!</definedName>
    <definedName name="_bdm.C05F64A50B1C49B18A42EF3653A60752.edm" hidden="1">#REF!</definedName>
    <definedName name="_bdm.C0AF0529C5EE4334BC78FCB26BC04820.edm" hidden="1">#REF!</definedName>
    <definedName name="_bdm.C0F450AE914E4376B0FFB9F969683C09.edm" hidden="1">#REF!</definedName>
    <definedName name="_bdm.C1E9DC370AFD493B96374786ACD5EFEA.edm" hidden="1">#REF!</definedName>
    <definedName name="_bdm.c2221da5cfa14ebc97a26c23bbe958b0.edm" hidden="1">#REF!</definedName>
    <definedName name="_bdm.C2B2D6ED6A2E46B79F04E519AC7AF970.edm" hidden="1">#REF!</definedName>
    <definedName name="_bdm.C3237E6B1FFC4DCBA75404594775A07E.edm" hidden="1">#REF!</definedName>
    <definedName name="_bdm.C339B5DB3E594D95A66F2D5E433755E4.edm" hidden="1">#REF!</definedName>
    <definedName name="_bdm.C36A13298BB54AD88301BD1203C4CD54.edm" hidden="1">#REF!</definedName>
    <definedName name="_bdm.C37CDF7D9160439B8EE8D5B3B3971FA5.edm" hidden="1">#REF!</definedName>
    <definedName name="_bdm.C40B67D061CB44D88266843C77C4A875.edm" hidden="1">#REF!</definedName>
    <definedName name="_bdm.C570CEC2E201448697EEA67AEEC48C92.edm" hidden="1">#REF!</definedName>
    <definedName name="_bdm.C5DC8FA93DE442CCB61B4A0C11C100E3.edm" hidden="1">#REF!</definedName>
    <definedName name="_bdm.C5EA0C259E63403D93B5EA89078017EC.edm" hidden="1">#REF!</definedName>
    <definedName name="_bdm.C6431F7D8E184B61B695E4CD7A6BA286.edm" hidden="1">#REF!</definedName>
    <definedName name="_bdm.C6B7218D518D4DEFBDE91D23E5344CC7.edm" hidden="1">#REF!</definedName>
    <definedName name="_bdm.C6CBB324C3DF4C78ADFFE620653991B6.edm" hidden="1">#REF!</definedName>
    <definedName name="_bdm.C752B30334FD4D6B911EEB3E8BFBCDB8.edm" hidden="1">#REF!</definedName>
    <definedName name="_bdm.C7DBB29E3D8D41B69A73DF63E338BC5B.edm" hidden="1">#REF!</definedName>
    <definedName name="_bdm.C7EC7C9397A74D5B838601EA86DF84CF.edm" hidden="1">#REF!</definedName>
    <definedName name="_bdm.C80DFA93FBFA43969ECC38920DD2C9C2.edm" hidden="1">#REF!</definedName>
    <definedName name="_bdm.C88AFA8E94C6438498AB0CFC62AF535D.edm" hidden="1">#N/A</definedName>
    <definedName name="_bdm.C92855286E524CC6AA6FE531BB1AC235.edm" hidden="1">#REF!</definedName>
    <definedName name="_bdm.c96bb1d40f9f4f838e6bf1319a50ca65.edm" hidden="1">#REF!</definedName>
    <definedName name="_bdm.CB1F284F6F3F44C7AA34271F2E4A7366.edm" hidden="1">#REF!</definedName>
    <definedName name="_bdm.CB22EAFD62BC44F2824F5B70DE2722FC.edm" hidden="1">#REF!</definedName>
    <definedName name="_bdm.CC8D4248568C4E39836F45FE408706B5.edm" hidden="1">#REF!</definedName>
    <definedName name="_bdm.CC971240B06D4B72974932A5991C4C48.edm" hidden="1">#REF!</definedName>
    <definedName name="_bdm.CCDBB06690E640C1A8B075607965F8FB.edm" hidden="1">#REF!</definedName>
    <definedName name="_bdm.CD26987DE32D4671AE827B5655D52F15.edm" hidden="1">#REF!</definedName>
    <definedName name="_bdm.ce427e876e6242df92a079a5b9e432a2.edm" hidden="1">#REF!</definedName>
    <definedName name="_bdm.CEB1A2C583D34065857A7E8E8DA7C6B7.edm" hidden="1">#REF!</definedName>
    <definedName name="_bdm.CF02168FB8E9419AAAE043008F3ED3FA.edm" hidden="1">#REF!</definedName>
    <definedName name="_bdm.D03F53F083AB47DDB0AA114CCD0F9CE2.edm" hidden="1">#REF!</definedName>
    <definedName name="_bdm.D0423E6A4FFC436AA4D38948B7D7A19E.edm" hidden="1">#REF!</definedName>
    <definedName name="_bdm.D04DF9632C8847EF98BCCAE0B786BF73.edm" hidden="1">#REF!</definedName>
    <definedName name="_bdm.D09924EFCD5F4945A75C01BA27084DAA.edm" hidden="1">#REF!</definedName>
    <definedName name="_bdm.D09B80795EF541A287486283862F6944.edm" hidden="1">#REF!</definedName>
    <definedName name="_bdm.D1AD1FD987FC48DDB27340619D17BD4B.edm" hidden="1">#REF!</definedName>
    <definedName name="_bdm.D2B1740531EB42EFA55C061A4965B641.edm" hidden="1">#REF!</definedName>
    <definedName name="_bdm.D2CCADD4FC5B49ACA9EC2095F713590B.edm" hidden="1">#REF!</definedName>
    <definedName name="_bdm.d2e05b7bbe394a179c59d0b9c826a5bc.edm" hidden="1">#REF!</definedName>
    <definedName name="_bdm.D35661170E5544B0AB8B1C85FFF3A75F.edm" hidden="1">#REF!</definedName>
    <definedName name="_bdm.D3EDFD64385E40D69A79C80D81B305D2.edm" hidden="1">#REF!</definedName>
    <definedName name="_bdm.D4590E31785042E9BDCEF3B2354E20DD.edm" hidden="1">#REF!</definedName>
    <definedName name="_bdm.D4850A8A27AA4685999755CDE2C5945C.edm" hidden="1">#REF!</definedName>
    <definedName name="_bdm.D4CF1C6FAE0C4663851E52BF8B871FAD.edm" hidden="1">#REF!</definedName>
    <definedName name="_bdm.D59C811B3D494A0EA74B1169FA91A502.edm" hidden="1">#REF!</definedName>
    <definedName name="_bdm.D619F92786E0454786C79CB7B1156B09.edm" hidden="1">#REF!</definedName>
    <definedName name="_bdm.D677CBE865C447399A20D13A16482277.edm" hidden="1">#REF!</definedName>
    <definedName name="_bdm.d6ce46683f2249aaaad631f3506c19ec.edm" hidden="1">#REF!</definedName>
    <definedName name="_bdm.D7A7E3C542724D59AB9152AE3CE78586.edm" hidden="1">#REF!</definedName>
    <definedName name="_bdm.D7CD4C512BCA4CD2B45591CE8BDEAD0B.edm" hidden="1">#REF!</definedName>
    <definedName name="_bdm.D7E0ACE8AD814A1BB89B25C84084CF13.edm" hidden="1">#REF!</definedName>
    <definedName name="_bdm.d7f15742803841e9b2a1815cb1c98f3e.edm" hidden="1">#REF!</definedName>
    <definedName name="_bdm.d832970f46844d3ea85c5b99dd7f192f.edm" hidden="1">#REF!</definedName>
    <definedName name="_bdm.d8fe9cbb1f124415bb83dfd796babb6c.edm" hidden="1">#REF!</definedName>
    <definedName name="_bdm.D935410C6D51491AA424CF14990C5EBC.edm" hidden="1">#REF!</definedName>
    <definedName name="_bdm.D9D944A6D3E34B7B8EFE3724375E0152.edm" hidden="1">#REF!</definedName>
    <definedName name="_bdm.D9ECDB47EB944209A49F9DEB77C8F931.edm" hidden="1">#REF!</definedName>
    <definedName name="_bdm.DA519DD06AD04286B81FAF2A763BFB6F.edm" hidden="1">#REF!</definedName>
    <definedName name="_bdm.db82f91749484738b76f5e0d272f3f6b.edm" hidden="1">#REF!</definedName>
    <definedName name="_bdm.DBB5ACDA5BD746A98542AFB153BDFEF7.edm" hidden="1">#REF!</definedName>
    <definedName name="_bdm.DBB7B9E409C34D8294D0997646FCBE69.edm" hidden="1">#REF!</definedName>
    <definedName name="_bdm.DBD99F5645254F80BB9955CF92A1A9AF.edm" hidden="1">#REF!</definedName>
    <definedName name="_bdm.DC32E0CB559443F4A9E92D02A6B84DE5.edm" hidden="1">#REF!</definedName>
    <definedName name="_bdm.DC4D9CF90E7D4ACD9DB0549A683B8465.edm" hidden="1">#REF!</definedName>
    <definedName name="_bdm.DC875A1E5D7247BFAB834A855BD35C6E.edm" hidden="1">#REF!</definedName>
    <definedName name="_bdm.DC9CA7F15CCA471EBCEE56A3A16E2C4E.edm" hidden="1">#REF!</definedName>
    <definedName name="_bdm.DCD4238C512B4EA5AC02BAA7BE4DDB96.edm" hidden="1">#REF!</definedName>
    <definedName name="_bdm.DD095069D3AF48E6A145C9F0FC3C1FAA.edm" hidden="1">#REF!</definedName>
    <definedName name="_bdm.DD72E3E4240445EEBF6632FBF3BDB2F2.edm" hidden="1">#REF!</definedName>
    <definedName name="_bdm.dd9b5201f9ef41e0877d911c9e9c8e7f.edm" hidden="1">#REF!</definedName>
    <definedName name="_bdm.DDF07D276443410880AED92640235617.edm" hidden="1">#REF!</definedName>
    <definedName name="_bdm.DE146303A2C64E8B9F6B0CC32AF7454D.edm" hidden="1">#REF!</definedName>
    <definedName name="_bdm.de23e503b950465ba0ef790cbea66611.edm" hidden="1">#REF!</definedName>
    <definedName name="_bdm.DE7A6EF29FA14EB892B9AE01C1A7F4A2.edm" hidden="1">#REF!</definedName>
    <definedName name="_bdm.DE98270AB5A941F2B59BAC96AB2837C2.edm" hidden="1">#REF!</definedName>
    <definedName name="_bdm.defeee2c227a4d4e805f47e1a7e9594b.edm" hidden="1">#REF!</definedName>
    <definedName name="_bdm.DF106DD122D9423AA9E739AB8C8AFB7C.edm" hidden="1">#REF!</definedName>
    <definedName name="_bdm.dfe93628459c42c0a1b230efe5da0e6f.edm" hidden="1">#REF!</definedName>
    <definedName name="_bdm.E0202CCEAE9B45DF800CD86E6F67C09C.edm" hidden="1">#REF!</definedName>
    <definedName name="_bdm.e0d2225138bd4b84bf9cf781dd3ddd10.edm" hidden="1">#REF!</definedName>
    <definedName name="_bdm.e14ebc830005426db01d539ed11ffbbb.edm" hidden="1">#REF!</definedName>
    <definedName name="_bdm.E20A39970C934A56827944A7083536AD.edm" hidden="1">#REF!</definedName>
    <definedName name="_bdm.E2146D56B51D42BFA7A36787BB2091E1.edm" hidden="1">#REF!</definedName>
    <definedName name="_bdm.E28F4DC58D17427F81D60C9AF9C615BF.edm" hidden="1">#REF!</definedName>
    <definedName name="_bdm.E2BF0CF6213A4E58ADC7C744CEAF5C83.edm" hidden="1">#REF!</definedName>
    <definedName name="_bdm.e2ebcd33312e4abbbf453f2c26ea7ac9.edm" hidden="1">#REF!</definedName>
    <definedName name="_bdm.E3061F9D23BA494BB145113ACB2F7327.edm" hidden="1">#REF!</definedName>
    <definedName name="_bdm.E36DA5890E2046EFB7DA33B348CA388C.edm" hidden="1">#REF!</definedName>
    <definedName name="_bdm.E39EBCDC1C124205BED5C8547A5B72D1.edm" hidden="1">#REF!</definedName>
    <definedName name="_bdm.E3F39A4C774D40E2967721210C2879F3.edm" hidden="1">#REF!</definedName>
    <definedName name="_bdm.E43160091D894E4682594BC359201658.edm" hidden="1">#REF!</definedName>
    <definedName name="_bdm.E44F4A6711374D6B91AADB9FA3F6C5C5.edm" hidden="1">#REF!</definedName>
    <definedName name="_bdm.E489436D3DF346DE907A0360E5EAEC8D.edm" hidden="1">#REF!</definedName>
    <definedName name="_bdm.E48B019D23A34E2FB36833D571C08B02.edm" hidden="1">#REF!</definedName>
    <definedName name="_bdm.e50c148df0d94afe9036d798361eb9c5.edm" hidden="1">#REF!</definedName>
    <definedName name="_bdm.E5743739224A4283ADB83CE2636E223E.edm" hidden="1">#REF!</definedName>
    <definedName name="_bdm.e5c26aa359834bbc9635fd245036c75d.edm" hidden="1">#REF!</definedName>
    <definedName name="_bdm.E5FC0CF48FB5437C8A20BA5DCB395152.edm" hidden="1">#REF!</definedName>
    <definedName name="_bdm.E66671197BB84D9CB784EBA8A298DD70.edm" hidden="1">#REF!</definedName>
    <definedName name="_bdm.E69E4802DC434ADBA8081243844C6988.edm" hidden="1">#REF!</definedName>
    <definedName name="_bdm.E6EAF6EA2CB94A3988683635710F111D.edm" hidden="1">#REF!</definedName>
    <definedName name="_bdm.E6EE4D346442467587874AB112A91B00.edm" hidden="1">#REF!</definedName>
    <definedName name="_bdm.E7423D687DCC44E08A636FF1C03B7327.edm" hidden="1">#REF!</definedName>
    <definedName name="_bdm.E747304E50CC42809E31B35572E376F6.edm" hidden="1">#REF!</definedName>
    <definedName name="_bdm.E760B70AB6D44349B0F46823EFBDA54D.edm" hidden="1">#REF!</definedName>
    <definedName name="_bdm.E7879069D6544094ACC574392F02FCDC.edm" hidden="1">#REF!</definedName>
    <definedName name="_bdm.E7CB8804B9E445D18E03D62F4AE5EA14.edm" hidden="1">#REF!</definedName>
    <definedName name="_bdm.E7F147181F6749909E86AE0B94642443.edm" hidden="1">#REF!</definedName>
    <definedName name="_bdm.E7FE84A084364391BB41DB428BD74FDA.edm" hidden="1">#REF!</definedName>
    <definedName name="_bdm.E82B9A19CF4343EC9674771C65B0EBE1.edm" hidden="1">#REF!</definedName>
    <definedName name="_bdm.E83131132811402EAD49BD1EA8CD48EB.edm" hidden="1">#REF!</definedName>
    <definedName name="_bdm.E9905BC403254510A5C8BB975C19D221.edm" hidden="1">#REF!</definedName>
    <definedName name="_bdm.E9939EA0C06A4D33BD55829357CAEA83.edm" hidden="1">#REF!</definedName>
    <definedName name="_bdm.E9CF464F22A84AA6975FEE9F15F4A7FC.edm" hidden="1">#REF!</definedName>
    <definedName name="_bdm.E9E307659C3C4FBF897790A0D326B4A8.edm" hidden="1">#REF!</definedName>
    <definedName name="_bdm.E9EE559E6F4248D18E2D4C03DF8C296A.edm" hidden="1">#REF!</definedName>
    <definedName name="_bdm.EA4DEB90385B4240B559AB053F5D7384.edm" hidden="1">#REF!</definedName>
    <definedName name="_bdm.EA90692A9A854C42A909A8D0E0E78763.edm" hidden="1">#REF!</definedName>
    <definedName name="_bdm.EB193AD7D56647E8B33736278248FB8E.edm" hidden="1">#REF!</definedName>
    <definedName name="_bdm.eb92ceea4b85440680e1e58b55cb0c99.edm" hidden="1">#REF!</definedName>
    <definedName name="_bdm.ECD7CD27800F4C01A85872A2A17ACFFB.edm" hidden="1">#REF!</definedName>
    <definedName name="_bdm.ED0C18D1621B4EAEA5215BE441249EBB.edm" hidden="1">#REF!</definedName>
    <definedName name="_bdm.EDAAEECA2DBC4B0584397B03489516CA.edm" hidden="1">#REF!</definedName>
    <definedName name="_bdm.EDE90AADB97F4FB4872ACDD83889FF30.edm" hidden="1">#REF!</definedName>
    <definedName name="_bdm.EDF9E1546C2140E3A88416C4BE2667E3.edm" hidden="1">#REF!</definedName>
    <definedName name="_bdm.EE641F58DFEF4258A8597F4F5C2007D8.edm" hidden="1">#REF!</definedName>
    <definedName name="_bdm.EE7FB79BA0C245EBA45A8052DB95D782.edm" hidden="1">#REF!</definedName>
    <definedName name="_bdm.ef45477c88e64c078f4fac629171ab82.edm" hidden="1">#REF!</definedName>
    <definedName name="_bdm.EF75AAC0F11345B5B6FEEC3D8F94705E.edm" hidden="1">#REF!</definedName>
    <definedName name="_bdm.EF7A9AF8685C46ED8F865C3EE8870754.edm" hidden="1">#REF!</definedName>
    <definedName name="_bdm.F04F4E7E061A46B1B6791076165C1BA7.edm" hidden="1">#REF!</definedName>
    <definedName name="_bdm.f09fd8df88ab441ca610218ed879b200.edm" hidden="1">#REF!</definedName>
    <definedName name="_bdm.f1218a9252db464dbb86ea52660ac728.edm" hidden="1">#REF!</definedName>
    <definedName name="_bdm.F1E0FC2F3EB04B88AAA80D60A91C07BC.edm" hidden="1">#REF!</definedName>
    <definedName name="_bdm.f23d8990ef2e412fb60cb39e6fa47ef8.edm" hidden="1">#REF!</definedName>
    <definedName name="_bdm.F2D7291CDB3D4FC3B160BBE6876EBBC4.edm" hidden="1">#REF!</definedName>
    <definedName name="_bdm.F2F8A725C0EF443AAB58E6D35B1B9F1D.edm" hidden="1">#REF!</definedName>
    <definedName name="_bdm.f32a2a5f347b47b39d71cf6cdb24778d.edm" hidden="1">#REF!</definedName>
    <definedName name="_bdm.F37276AFD694462CBFE4BB1A4661BFD7.edm" hidden="1">#REF!</definedName>
    <definedName name="_bdm.f39f1b2c270044c1884a0050ac2ca9e6.edm" hidden="1">#REF!</definedName>
    <definedName name="_bdm.F3EFE946BB1645DCAAFE2F786B617A19.edm" hidden="1">#REF!</definedName>
    <definedName name="_bdm.F4D182427A0D4B5481C7F3065D86822D.edm" hidden="1">#REF!</definedName>
    <definedName name="_bdm.F4F73DBE5B974BA68D1877DDE99E313F.edm" hidden="1">#REF!</definedName>
    <definedName name="_bdm.f533adff5cc6498186d2b5652bdedfe4.edm" hidden="1">#REF!</definedName>
    <definedName name="_bdm.F668575024A54B62B5FE159042CE6D74.edm" hidden="1">#REF!</definedName>
    <definedName name="_bdm.F6922AD455B24AC2A1C1B443764C1205.edm" hidden="1">#REF!</definedName>
    <definedName name="_bdm.F6A828CF2B724605A28FA4D36DE5E0EE.edm" hidden="1">#REF!</definedName>
    <definedName name="_bdm.F7132AC7BB4A4C0DA0D7053C053C4CC6.edm" hidden="1">#REF!</definedName>
    <definedName name="_bdm.F74F088D4E344235A54774DAFAC46D4A.edm" hidden="1">#REF!</definedName>
    <definedName name="_bdm.F83612F9F2B74E8580278D9F885F56E7.edm" hidden="1">#REF!</definedName>
    <definedName name="_bdm.F88F076BB6694DC186B3666D010501EC.edm" hidden="1">#REF!</definedName>
    <definedName name="_bdm.F8FC83D03C874DEA8992887C0CAAAF32.edm" hidden="1">#REF!</definedName>
    <definedName name="_bdm.F93EDABDA4534BCF8AFE6848E08D07C8.edm" hidden="1">#REF!</definedName>
    <definedName name="_bdm.fa291217c36549b6b9c1bb4c4656d8d7.edm" hidden="1">#REF!</definedName>
    <definedName name="_bdm.FA76B221A40448DA9B7AF85FF9A6E014.edm" hidden="1">#REF!</definedName>
    <definedName name="_bdm.FA84F58C8C0347EABAB83C6CA9263675.edm" hidden="1">#REF!</definedName>
    <definedName name="_bdm.FAA4AA31B4A048D29FC5CAB93BE9A429.edm" hidden="1">#REF!</definedName>
    <definedName name="_bdm.FACDE5C901294AA6A5A8D69CCFC7EE9F.edm" hidden="1">#REF!</definedName>
    <definedName name="_bdm.FastTrackBookmark.1_30_2020_11_38_46_PM.edm" hidden="1">#REF!</definedName>
    <definedName name="_bdm.FastTrackBookmark.12_10_2005_4_35_12_PM.edm" hidden="1">#REF!</definedName>
    <definedName name="_bdm.FastTrackBookmark.12_10_2005_4_35_13_PM.edm" hidden="1">#REF!</definedName>
    <definedName name="_bdm.FastTrackBookmark.12_14_2005_3_58_56_PM.edm" hidden="1">#REF!</definedName>
    <definedName name="_bdm.FastTrackBookmark.6_30_2009_4_34_16_PM.edm" hidden="1">#REF!</definedName>
    <definedName name="_bdm.FastTrackBookmark.8_23_2004_10_50_33_AM.edm" hidden="1">#REF!</definedName>
    <definedName name="_bdm.FastTrackBookmark.8_23_2004_10_50_37_AM.edm" hidden="1">#REF!</definedName>
    <definedName name="_bdm.FastTrackBookmark.8_23_2004_10_54_30_AM.edm" hidden="1">#REF!</definedName>
    <definedName name="_bdm.FastTrackBookmark.8_23_2004_10_54_40_AM.edm" hidden="1">#REF!</definedName>
    <definedName name="_bdm.FastTrackBookmark.8_23_2004_3_57_07_PM.edm" hidden="1">#REF!</definedName>
    <definedName name="_bdm.FastTrackBookmark.8_23_2004_3_57_16_PM.edm" hidden="1">#REF!</definedName>
    <definedName name="_bdm.FastTrackBookmark.8_23_2004_4_05_53_PM.edm" hidden="1">#REF!</definedName>
    <definedName name="_bdm.FastTrackBookmark.8_23_2004_4_06_00_PM.edm" hidden="1">#REF!</definedName>
    <definedName name="_bdm.FB1E9E00540E472A9C8CFF6D783FC853.edm" hidden="1">#N/A</definedName>
    <definedName name="_bdm.FB72741E774A49088D16A9B2C010ED3A.edm" hidden="1">#REF!</definedName>
    <definedName name="_bdm.FB7F1A7645214169AE2AB6573203C693.edm" hidden="1">#REF!</definedName>
    <definedName name="_bdm.FC33060EBDC242D8A9AC035BB7340F1D.edm" hidden="1">#REF!</definedName>
    <definedName name="_bdm.fd08819146664e47b20649034fa7ce0d.edm" hidden="1">#REF!</definedName>
    <definedName name="_bdm.FD419D728EEE4E35899F2FE5B3B58234.edm" hidden="1">#REF!</definedName>
    <definedName name="_bdm.FD84FAF3D478437DBCC15ECFAC6E8AB9.edm" hidden="1">#REF!</definedName>
    <definedName name="_bdm.FD98FC87081B4B0A8A929F6045D7BEBB.edm" hidden="1">#REF!</definedName>
    <definedName name="_bdm.FE1CF0F9DA8D484BA18FFCE8B6DA2D22.edm" hidden="1">#REF!</definedName>
    <definedName name="_bdm.FE2ACCB92A9846EFA811FA1F5B762938.edm" hidden="1">#REF!</definedName>
    <definedName name="_bdm.FECC922A73CE4ED5AEF0561D82336DED.edm" hidden="1">#REF!</definedName>
    <definedName name="_bdm.FF0A03FB97DA4D188B322E3A6EF53865.edm" hidden="1">#REF!</definedName>
    <definedName name="_bdm.FFD97655F89D4868B19F5A48292E1019.edm" hidden="1">#REF!</definedName>
    <definedName name="_bdm.FFFC152FC94848048D9888D8E2116D1E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ud02">#REF!</definedName>
    <definedName name="_Bud03">#REF!</definedName>
    <definedName name="_CAM96">#REF!</definedName>
    <definedName name="_CAM97">#REF!</definedName>
    <definedName name="_CAM98">#REF!</definedName>
    <definedName name="_dan1" hidden="1">#REF!</definedName>
    <definedName name="_del1" hidden="1">{"Page1",#N/A,FALSE,"7979";"Page2",#N/A,FALSE,"7979";"Page3",#N/A,FALSE,"7979"}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hidden="1">#REF!</definedName>
    <definedName name="_Dist_Values" hidden="1">#REF!</definedName>
    <definedName name="_DPU95">#REF!</definedName>
    <definedName name="_e4" hidden="1">{"new",#N/A,FALSE,"D";"PROFORMA",#N/A,FALSE,"A";"partial 1",#N/A,FALSE,"B";"partial 2",#N/A,FALSE,"B";"partial 3",#N/A,FALSE,"B";"SMALL CF 1",#N/A,FALSE,"C"}</definedName>
    <definedName name="_e4567" hidden="1">{"Status",#N/A,FALSE,"Consol";"StatusDetail",#N/A,FALSE,"Consol"}</definedName>
    <definedName name="_end1">IF([0]!Loan_Amount*[0]!Interest_Rate*[0]!Loan_Years*[0]!Loan_Start&gt;0,1,0)</definedName>
    <definedName name="_EPU01">#REF!</definedName>
    <definedName name="_EPU02">#REF!</definedName>
    <definedName name="_EPU03">#REF!</definedName>
    <definedName name="_EPU04">#REF!</definedName>
    <definedName name="_EPU96">#REF!</definedName>
    <definedName name="_EPU97">#REF!</definedName>
    <definedName name="_EPU98">#REF!</definedName>
    <definedName name="_EPU99">#REF!</definedName>
    <definedName name="_EXP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3" hidden="1">{#N/A,#N/A,FALSE,"Class A";#N/A,#N/A,FALSE,"Class B";#N/A,#N/A,FALSE,"Class C"}</definedName>
    <definedName name="_FG1" hidden="1">{"schedule1",#N/A,FALSE,"Sheet1";"schedule2",#N/A,FALSE,"Sheet1";"schedule3",#N/A,FALSE,"Sheet1";"schedule4",#N/A,FALSE,"Sheet1";"schedule5",#N/A,FALSE,"Sheet1";"schedule6",#N/A,FALSE,"Sheet1"}</definedName>
    <definedName name="_Fil1" hidden="1">#REF!</definedName>
    <definedName name="_Fill" hidden="1">#REF!</definedName>
    <definedName name="_Fill1" hidden="1">#REF!</definedName>
    <definedName name="_Fill2" hidden="1">#REF!</definedName>
    <definedName name="_Fillb" hidden="1">#REF!</definedName>
    <definedName name="_Fillc" hidden="1">#REF!</definedName>
    <definedName name="_Filll" hidden="1">#REF!</definedName>
    <definedName name="_xlnm._FilterDatabase" hidden="1">#REF!</definedName>
    <definedName name="_FL" hidden="1">#REF!</definedName>
    <definedName name="_fx2" hidden="1">#REF!</definedName>
    <definedName name="_FX2006" hidden="1">{#N/A,#N/A,FALSE,"Aging Summary";#N/A,#N/A,FALSE,"Ratio Analysis";#N/A,#N/A,FALSE,"Test 120 Day Accts";#N/A,#N/A,FALSE,"Tickmarks"}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fd2" hidden="1">{#N/A,#N/A,FALSE,"Cashflow Analysis";#N/A,#N/A,FALSE,"Sensitivity Analysis";#N/A,#N/A,FALSE,"PV";#N/A,#N/A,FALSE,"Pro Forma"}</definedName>
    <definedName name="_INC01">#REF!</definedName>
    <definedName name="_INC02">#REF!</definedName>
    <definedName name="_INC03">#REF!</definedName>
    <definedName name="_INC04">#REF!</definedName>
    <definedName name="_INC05">#REF!</definedName>
    <definedName name="_INC95">#REF!</definedName>
    <definedName name="_INC96">#REF!</definedName>
    <definedName name="_INC97">#REF!</definedName>
    <definedName name="_INC98">#REF!</definedName>
    <definedName name="_INC99">#REF!</definedName>
    <definedName name="_jc1" hidden="1">{"'Cash Requirements 5F '!$A$1:$AC$48"}</definedName>
    <definedName name="_jc2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_jc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jc4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k" hidden="1">{#N/A,#N/A,FALSE,"Project Properties";#N/A,#N/A,FALSE,"Eng %";#N/A,#N/A,FALSE,"ENGFORM";#N/A,#N/A,FALSE,"staffing";#N/A,#N/A,FALSE,"spending"}</definedName>
    <definedName name="_KAW999929" hidden="1">#REF!</definedName>
    <definedName name="_KAW999934" hidden="1">#REF!</definedName>
    <definedName name="_Key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keyl2" hidden="1">#REF!</definedName>
    <definedName name="_ky1" hidden="1">#REF!</definedName>
    <definedName name="_LTC2">#REF!</definedName>
    <definedName name="_Market">#REF!</definedName>
    <definedName name="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F197">#REF!</definedName>
    <definedName name="_MGF198">#REF!</definedName>
    <definedName name="_MGF199">#REF!</definedName>
    <definedName name="_MGF297">#REF!</definedName>
    <definedName name="_MGF298">#REF!</definedName>
    <definedName name="_MGF299">#REF!</definedName>
    <definedName name="_MI101">#REF!</definedName>
    <definedName name="_MI102">#REF!</definedName>
    <definedName name="_MI103">#REF!</definedName>
    <definedName name="_MI104">#REF!</definedName>
    <definedName name="_MI105">#REF!</definedName>
    <definedName name="_MI106">#REF!</definedName>
    <definedName name="_MI107">#REF!</definedName>
    <definedName name="_MI108">#REF!</definedName>
    <definedName name="_MI109">#REF!</definedName>
    <definedName name="_MI110">#REF!</definedName>
    <definedName name="_MI111">#REF!</definedName>
    <definedName name="_MI112">#REF!</definedName>
    <definedName name="_MI201">#REF!</definedName>
    <definedName name="_MI202">#REF!</definedName>
    <definedName name="_MI203">#REF!</definedName>
    <definedName name="_MI204">#REF!</definedName>
    <definedName name="_MI205">#REF!</definedName>
    <definedName name="_MI206">#REF!</definedName>
    <definedName name="_MI207">#REF!</definedName>
    <definedName name="_MI208">#REF!</definedName>
    <definedName name="_MI209">#REF!</definedName>
    <definedName name="_MI210">#REF!</definedName>
    <definedName name="_MI211">#REF!</definedName>
    <definedName name="_MI212">#REF!</definedName>
    <definedName name="_MI301">#REF!</definedName>
    <definedName name="_MI302">#REF!</definedName>
    <definedName name="_MI303">#REF!</definedName>
    <definedName name="_MI304">#REF!</definedName>
    <definedName name="_MI305">#REF!</definedName>
    <definedName name="_MI306">#REF!</definedName>
    <definedName name="_MI307">#REF!</definedName>
    <definedName name="_MI308">#REF!</definedName>
    <definedName name="_MI309">#REF!</definedName>
    <definedName name="_MI310">#REF!</definedName>
    <definedName name="_MI311">#REF!</definedName>
    <definedName name="_MI312">#REF!</definedName>
    <definedName name="_MI401">#REF!</definedName>
    <definedName name="_Mkt101">#REF!</definedName>
    <definedName name="_Mkt102">#REF!</definedName>
    <definedName name="_Mkt103">#REF!</definedName>
    <definedName name="_Mkt104">#REF!</definedName>
    <definedName name="_Mkt105">#REF!</definedName>
    <definedName name="_Mkt106">#REF!</definedName>
    <definedName name="_Mkt107">#REF!</definedName>
    <definedName name="_Mkt108">#REF!</definedName>
    <definedName name="_MKt109">#REF!</definedName>
    <definedName name="_Mkt110">#REF!</definedName>
    <definedName name="_MKt111">#REF!</definedName>
    <definedName name="_Mkt112">#REF!</definedName>
    <definedName name="_Mkt201">#REF!</definedName>
    <definedName name="_Mkt202">#REF!</definedName>
    <definedName name="_Mkt203">#REF!</definedName>
    <definedName name="_Mkt204">#REF!</definedName>
    <definedName name="_Mkt205">#REF!</definedName>
    <definedName name="_Mkt206">#REF!</definedName>
    <definedName name="_Mkt207">#REF!</definedName>
    <definedName name="_Mkt208">#REF!</definedName>
    <definedName name="_Mkt209">#REF!</definedName>
    <definedName name="_Mkt210">#REF!</definedName>
    <definedName name="_Mkt211">#REF!</definedName>
    <definedName name="_Mkt212">#REF!</definedName>
    <definedName name="_Mkt301">#REF!</definedName>
    <definedName name="_Mkt302">#REF!</definedName>
    <definedName name="_Mkt303">#REF!</definedName>
    <definedName name="_Mkt304">#REF!</definedName>
    <definedName name="_Mkt305">#REF!</definedName>
    <definedName name="_Mkt306">#REF!</definedName>
    <definedName name="_Mkt307">#REF!</definedName>
    <definedName name="_Mkt308">#REF!</definedName>
    <definedName name="_MKt309">#REF!</definedName>
    <definedName name="_Mkt310">#REF!</definedName>
    <definedName name="_MKt311">#REF!</definedName>
    <definedName name="_MKt312">#REF!</definedName>
    <definedName name="_MO101">#REF!</definedName>
    <definedName name="_MO102">#REF!</definedName>
    <definedName name="_MO103">#REF!</definedName>
    <definedName name="_MO104">#REF!</definedName>
    <definedName name="_MO105">#REF!</definedName>
    <definedName name="_MO106">#REF!</definedName>
    <definedName name="_MO107">#REF!</definedName>
    <definedName name="_MO108">#REF!</definedName>
    <definedName name="_MO109">#REF!</definedName>
    <definedName name="_MO110">#REF!</definedName>
    <definedName name="_MO111">#REF!</definedName>
    <definedName name="_MO112">#REF!</definedName>
    <definedName name="_MO201">#REF!</definedName>
    <definedName name="_MO202">#REF!</definedName>
    <definedName name="_MO203">#REF!</definedName>
    <definedName name="_MO204">#REF!</definedName>
    <definedName name="_MO205">#REF!</definedName>
    <definedName name="_MO206">#REF!</definedName>
    <definedName name="_MO207">#REF!</definedName>
    <definedName name="_MO208">#REF!</definedName>
    <definedName name="_MO209">#REF!</definedName>
    <definedName name="_MO210">#REF!</definedName>
    <definedName name="_MO211">#REF!</definedName>
    <definedName name="_MO212">#REF!</definedName>
    <definedName name="_MO301">#REF!</definedName>
    <definedName name="_MO302">#REF!</definedName>
    <definedName name="_MO303">#REF!</definedName>
    <definedName name="_MO304">#REF!</definedName>
    <definedName name="_MO305">#REF!</definedName>
    <definedName name="_MO306">#REF!</definedName>
    <definedName name="_MO307">#REF!</definedName>
    <definedName name="_MO308">#REF!</definedName>
    <definedName name="_MO309">#REF!</definedName>
    <definedName name="_MO310">#REF!</definedName>
    <definedName name="_MO311">#REF!</definedName>
    <definedName name="_MO312">#REF!</definedName>
    <definedName name="_MR2000">#REF!</definedName>
    <definedName name="_MR2001">#REF!</definedName>
    <definedName name="_MRG2" hidden="1">{"INCOME",#N/A,FALSE,"ProNet";"VALUE",#N/A,FALSE,"ProNet"}</definedName>
    <definedName name="_MTM">#REF!</definedName>
    <definedName name="_new" hidden="1">#REF!</definedName>
    <definedName name="_new1">#REF!</definedName>
    <definedName name="_new2" hidden="1">{"'B-2 QSER Jun 98 4-27-98 cor'!$A$1:$F$57"}</definedName>
    <definedName name="_new5" hidden="1">{"'B-2 QSER Jun 98 4-27-98 cor'!$A$1:$F$57"}</definedName>
    <definedName name="_NTA01">#REF!</definedName>
    <definedName name="_NTA02">#REF!</definedName>
    <definedName name="_NTA03">#REF!</definedName>
    <definedName name="_NTA04">#REF!</definedName>
    <definedName name="_NTA05">#REF!</definedName>
    <definedName name="_NTA95">#REF!</definedName>
    <definedName name="_NTA98">#REF!</definedName>
    <definedName name="_NTA99">#REF!</definedName>
    <definedName name="_OC201">#REF!</definedName>
    <definedName name="_OC202">#REF!</definedName>
    <definedName name="_OC203">#REF!</definedName>
    <definedName name="_OC204">#REF!</definedName>
    <definedName name="_OC205">#REF!</definedName>
    <definedName name="_OC206">#REF!</definedName>
    <definedName name="_OC207">#REF!</definedName>
    <definedName name="_OC208">#REF!</definedName>
    <definedName name="_OC209">#REF!</definedName>
    <definedName name="_OC210">#REF!</definedName>
    <definedName name="_OC211">#REF!</definedName>
    <definedName name="_OC212">#REF!</definedName>
    <definedName name="_OC301">#REF!</definedName>
    <definedName name="_OC302">#REF!</definedName>
    <definedName name="_OC303">#REF!</definedName>
    <definedName name="_OC304">#REF!</definedName>
    <definedName name="_OC305">#REF!</definedName>
    <definedName name="_OC306">#REF!</definedName>
    <definedName name="_OC307">#REF!</definedName>
    <definedName name="_OC308">#REF!</definedName>
    <definedName name="_OC309">#REF!</definedName>
    <definedName name="_OC310">#REF!</definedName>
    <definedName name="_OC311">#REF!</definedName>
    <definedName name="_OC312">#REF!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hidden="1">{#N/A,#N/A,FALSE,"Chart 2 by Prop Type"}</definedName>
    <definedName name="_Order1" hidden="1">255</definedName>
    <definedName name="_Order1_1" hidden="1">255</definedName>
    <definedName name="_Order2" hidden="1">255</definedName>
    <definedName name="_OrderA" hidden="1">0</definedName>
    <definedName name="_OtherInc">#REF!</definedName>
    <definedName name="_Parse_In" hidden="1">#REF!</definedName>
    <definedName name="_Parse_Out" hidden="1">#REF!</definedName>
    <definedName name="_Ppm2" hidden="1">{"data",#N/A,FALSE,"INPUT"}</definedName>
    <definedName name="_Q2NAME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M2000">#REF!</definedName>
    <definedName name="_RM2001">#REF!</definedName>
    <definedName name="_RN101">#REF!</definedName>
    <definedName name="_RN102">#REF!</definedName>
    <definedName name="_RN103">#REF!</definedName>
    <definedName name="_RN104">#REF!</definedName>
    <definedName name="_RN105">#REF!</definedName>
    <definedName name="_RN106">#REF!</definedName>
    <definedName name="_RN107">#REF!</definedName>
    <definedName name="_RN108">#REF!</definedName>
    <definedName name="_RN109">#REF!</definedName>
    <definedName name="_RN110">#REF!</definedName>
    <definedName name="_RN111">#REF!</definedName>
    <definedName name="_RN112">#REF!</definedName>
    <definedName name="_RN201">#REF!</definedName>
    <definedName name="_RN202">#REF!</definedName>
    <definedName name="_RN203">#REF!</definedName>
    <definedName name="_RN204">#REF!</definedName>
    <definedName name="_RN205">#REF!</definedName>
    <definedName name="_RN206">#REF!</definedName>
    <definedName name="_RN207">#REF!</definedName>
    <definedName name="_RN208">#REF!</definedName>
    <definedName name="_RN209">#REF!</definedName>
    <definedName name="_RN210">#REF!</definedName>
    <definedName name="_RN211">#REF!</definedName>
    <definedName name="_RN212">#REF!</definedName>
    <definedName name="_RN301">#REF!</definedName>
    <definedName name="_RN302">#REF!</definedName>
    <definedName name="_RN303">#REF!</definedName>
    <definedName name="_RN304">#REF!</definedName>
    <definedName name="_RN305">#REF!</definedName>
    <definedName name="_RN306">#REF!</definedName>
    <definedName name="_RN307">#REF!</definedName>
    <definedName name="_RN308">#REF!</definedName>
    <definedName name="_RN309">#REF!</definedName>
    <definedName name="_RN310">#REF!</definedName>
    <definedName name="_RN311">#REF!</definedName>
    <definedName name="_RN312">#REF!</definedName>
    <definedName name="_s2" hidden="1">{"'Expirations'!$A$1:$L$65"}</definedName>
    <definedName name="_sad2" hidden="1">{"MonthlyRentRoll",#N/A,FALSE,"RentRoll"}</definedName>
    <definedName name="_scenchg_count" hidden="1">7</definedName>
    <definedName name="_scenchg1" hidden="1">#REF!</definedName>
    <definedName name="_scenchg2" hidden="1">#REF!</definedName>
    <definedName name="_scenchg3" hidden="1">#REF!</definedName>
    <definedName name="_scenchg4" hidden="1">#REF!</definedName>
    <definedName name="_scenchg5" hidden="1">#REF!</definedName>
    <definedName name="_scenchg6" hidden="1">#REF!</definedName>
    <definedName name="_scenchg7" hidden="1">#REF!</definedName>
    <definedName name="_Sort" hidden="1">#REF!</definedName>
    <definedName name="_sort2" hidden="1">#REF!</definedName>
    <definedName name="_sum1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_T" hidden="1">#REF!</definedName>
    <definedName name="_Tab2_In2" hidden="1">#REF!</definedName>
    <definedName name="_Table1_In1" hidden="1">#REF!</definedName>
    <definedName name="_Table1_In2" hidden="1">#REF!</definedName>
    <definedName name="_Table1_Out" hidden="1">#REF!</definedName>
    <definedName name="_Table2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In3" hidden="1">#REF!</definedName>
    <definedName name="_TL" hidden="1">#REF!</definedName>
    <definedName name="_TMAutoChart1Names" hidden="1">{"YTD","Chart 1","YTD Chart 1"}</definedName>
    <definedName name="_TMAutoChart1Refs" hidden="1">{"","","'YTD'!$AB$20","","","","","","","","","","","","","","","","",""}</definedName>
    <definedName name="_TMAutoChart2Names" hidden="1">{"Mth","Chart 1","Mth Chart 1"}</definedName>
    <definedName name="_TMAutoChart2Refs" hidden="1">{"","","'Mth'!$AB$20","","","","","","","","","","","","","","","","",""}</definedName>
    <definedName name="_TMAutoChart3Names" hidden="1">{"YTD","Chart 2","Mth Chart 2"}</definedName>
    <definedName name="_TMAutoChart3Refs" hidden="1">{"","","'YTD'!$AB$20","","","","","","","","","","","","","","","","",""}</definedName>
    <definedName name="_TMAutoChart4Names" hidden="1">{"Mth","Chart 1","Mth Chart 1"}</definedName>
    <definedName name="_TMAutoChart4Refs" hidden="1">{"","","'Mth'!$AB$20","","","","","","","","","","","","","","","","",""}</definedName>
    <definedName name="_TMAutoChart5Names" hidden="1">{"Mth","Chart 1","Mth Chart 1"}</definedName>
    <definedName name="_TMAutoChart5Refs" hidden="1">{"","","'Mth'!$AB$20","","","","","","","","","","","","","","","","",""}</definedName>
    <definedName name="_TMAutoChart6Names" hidden="1">{"YTD","Chart 2","YTD Chart 2"}</definedName>
    <definedName name="_TMAutoChart6Refs" hidden="1">{"","","'YTD'!$AB$20","","","","","","","","","","","","","","","","",""}</definedName>
    <definedName name="_TMAutoChartCount" hidden="1">6</definedName>
    <definedName name="_v" hidden="1">#REF!</definedName>
    <definedName name="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acant">#REF!</definedName>
    <definedName name="_w" hidden="1">{#N/A,#N/A,FALSE,"Project Properties";#N/A,#N/A,FALSE,"Eng %";#N/A,#N/A,FALSE,"ENGFORM";#N/A,#N/A,FALSE,"staffing";#N/A,#N/A,FALSE,"spending"}</definedName>
    <definedName name="_Whatever" hidden="1">#REF!</definedName>
    <definedName name="_wmp1" hidden="1">{#N/A,#N/A,FALSE,"ENVIRONMENTAL"}</definedName>
    <definedName name="_wpm1" hidden="1">{#N/A,#N/A,FALSE,"LOAN ANALYSIS"}</definedName>
    <definedName name="_wrn.Aging._.and._.Trend._.Analysis" hidden="1">{#N/A,#N/A,FALSE,"Aging Summary";#N/A,#N/A,FALSE,"Ratio Analysis";#N/A,#N/A,FALSE,"Test 120 Day Accts";#N/A,#N/A,FALSE,"Tickmarks"}</definedName>
    <definedName name="_wrn1" localSheetId="2" hidden="1">{"schedule1",#N/A,FALSE,"Sheet1";"schedule2",#N/A,FALSE,"Sheet1";"schedule3",#N/A,FALSE,"Sheet1";"schedule4",#N/A,FALSE,"Sheet1";"schedule5",#N/A,FALSE,"Sheet1";"schedule6",#N/A,FALSE,"Sheet1"}</definedName>
    <definedName name="_wrn1" localSheetId="0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1_1" hidden="1">{"schedule1",#N/A,FALSE,"Sheet1";"schedule2",#N/A,FALSE,"Sheet1";"schedule3",#N/A,FALSE,"Sheet1";"schedule4",#N/A,FALSE,"Sheet1";"schedule5",#N/A,FALSE,"Sheet1";"schedule6",#N/A,FALSE,"Sheet1"}</definedName>
    <definedName name="_wrn1_2" hidden="1">{"schedule1",#N/A,FALSE,"Sheet1";"schedule2",#N/A,FALSE,"Sheet1";"schedule3",#N/A,FALSE,"Sheet1";"schedule4",#N/A,FALSE,"Sheet1";"schedule5",#N/A,FALSE,"Sheet1";"schedule6",#N/A,FALSE,"Sheet1"}</definedName>
    <definedName name="_wrn1_3" hidden="1">{"schedule1",#N/A,FALSE,"Sheet1";"schedule2",#N/A,FALSE,"Sheet1";"schedule3",#N/A,FALSE,"Sheet1";"schedule4",#N/A,FALSE,"Sheet1";"schedule5",#N/A,FALSE,"Sheet1";"schedule6",#N/A,FALSE,"Sheet1"}</definedName>
    <definedName name="_wrn1_4" hidden="1">{"schedule1",#N/A,FALSE,"Sheet1";"schedule2",#N/A,FALSE,"Sheet1";"schedule3",#N/A,FALSE,"Sheet1";"schedule4",#N/A,FALSE,"Sheet1";"schedule5",#N/A,FALSE,"Sheet1";"schedule6",#N/A,FALSE,"Sheet1"}</definedName>
    <definedName name="_wrn2" hidden="1">{"schedule1",#N/A,FALSE,"Sheet1";"schedule2",#N/A,FALSE,"Sheet1";"schedule3",#N/A,FALSE,"Sheet1";"schedule4",#N/A,FALSE,"Sheet1";"schedule5",#N/A,FALSE,"Sheet1";"schedule6",#N/A,FALSE,"Sheet1"}</definedName>
    <definedName name="_wrn3" hidden="1">{#N/A,#N/A,FALSE,"Aging Summary";#N/A,#N/A,FALSE,"Ratio Analysis";#N/A,#N/A,FALSE,"Test 120 Day Accts";#N/A,#N/A,FALSE,"Tickmarks"}</definedName>
    <definedName name="_wrn4" hidden="1">{"data",#N/A,FALSE,"INPUT"}</definedName>
    <definedName name="_x1" hidden="1">{#N/A,#N/A,FALSE,"WATCHDSC";#N/A,#N/A,FALSE,"2LOSSMOD";#N/A,#N/A,FALSE,"2LOSS";#N/A,#N/A,FALSE,"DSC";#N/A,#N/A,FALSE,"OPERAT";#N/A,#N/A,FALSE,"ADJUST";#N/A,#N/A,FALSE,"LEASE EXPIRE"}</definedName>
    <definedName name="_x2" hidden="1">{#N/A,#N/A,FALSE,"WATCHDSC";#N/A,#N/A,FALSE,"2LOSSMOD";#N/A,#N/A,FALSE,"2LOSS";#N/A,#N/A,FALSE,"DSC";#N/A,#N/A,FALSE,"OPERAT";#N/A,#N/A,FALSE,"ADJUST";#N/A,#N/A,FALSE,"LEASE EXPIRE"}</definedName>
    <definedName name="_x3" hidden="1">{#N/A,#N/A,FALSE,"WATCHDSC";#N/A,#N/A,FALSE,"2LOSSMOD";#N/A,#N/A,FALSE,"2LOSS";#N/A,#N/A,FALSE,"DSC";#N/A,#N/A,FALSE,"OPERAT";#N/A,#N/A,FALSE,"ADJUST";#N/A,#N/A,FALSE,"LEASE EXPIRE"}</definedName>
    <definedName name="_y1" hidden="1">#REF!</definedName>
    <definedName name="_y2" hidden="1">#REF!</definedName>
    <definedName name="_y3" hidden="1">#REF!</definedName>
    <definedName name="_y4" hidden="1">#REF!</definedName>
    <definedName name="_y5" hidden="1">#REF!</definedName>
    <definedName name="_Yr02">#REF!</definedName>
    <definedName name="_Yr03">#REF!</definedName>
    <definedName name="_yr4" hidden="1">#REF!</definedName>
    <definedName name="_z1" hidden="1">{"Commish",#N/A,FALSE,"LAWTC"}</definedName>
    <definedName name="\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I">#REF!</definedName>
    <definedName name="\k">#N/A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v">#N/A</definedName>
    <definedName name="\X">#REF!</definedName>
    <definedName name="\y">#REF!</definedName>
    <definedName name="\Z">#REF!</definedName>
    <definedName name="a" hidden="1">{"AnnualRentRoll",#N/A,FALSE,"RentRoll"}</definedName>
    <definedName name="a_Key1" hidden="1">#REF!</definedName>
    <definedName name="a_Key2" hidden="1">#REF!</definedName>
    <definedName name="a1a1" hidden="1">{"Assump",#N/A,TRUE,"Proforma";"first",#N/A,TRUE,"Proforma";"second",#N/A,TRUE,"Proforma";"lease1",#N/A,TRUE,"Proforma";"lease2",#N/A,TRUE,"Proforma"}</definedName>
    <definedName name="A6.0">#REF!</definedName>
    <definedName name="A6B">#REF!</definedName>
    <definedName name="A6B4">#REF!</definedName>
    <definedName name="aa" hidden="1">{"AnnualRentRoll",#N/A,FALSE,"RentRoll"}</definedName>
    <definedName name="aa.2" hidden="1">{#N/A,#N/A,FALSE,"Cashflow Analysis";#N/A,#N/A,FALSE,"Sensitivity Analysis";#N/A,#N/A,FALSE,"PV";#N/A,#N/A,FALSE,"Pro Forma"}</definedName>
    <definedName name="aa3e43" hidden="1">#REF!</definedName>
    <definedName name="aaa" hidden="1">{"AnnualRentRoll",#N/A,FALSE,"RentRoll"}</definedName>
    <definedName name="AAA_DOCTOPS" hidden="1">"AAA_SET"</definedName>
    <definedName name="AAA_duser" hidden="1">"OFF"</definedName>
    <definedName name="aaaa" hidden="1">#REF!</definedName>
    <definedName name="aaaaa" hidden="1">#REF!</definedName>
    <definedName name="aaaaaaa" localSheetId="2" hidden="1">{"Outflow 1",#N/A,FALSE,"Outflows-Inflows";"Outflow 2",#N/A,FALSE,"Outflows-Inflows";"Inflow 1",#N/A,FALSE,"Outflows-Inflows";"Inflow 2",#N/A,FALSE,"Outflows-Inflows"}</definedName>
    <definedName name="aaaaaaa" localSheetId="0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hidden="1">{"Outflow 1",#N/A,FALSE,"Outflows-Inflows";"Outflow 2",#N/A,FALSE,"Outflows-Inflows";"Inflow 1",#N/A,FALSE,"Outflows-Inflows";"Inflow 2",#N/A,FALSE,"Outflows-Inflows"}</definedName>
    <definedName name="aaaaaaa_3" hidden="1">{"Outflow 1",#N/A,FALSE,"Outflows-Inflows";"Outflow 2",#N/A,FALSE,"Outflows-Inflows";"Inflow 1",#N/A,FALSE,"Outflows-Inflows";"Inflow 2",#N/A,FALSE,"Outflows-Inflows"}</definedName>
    <definedName name="aaaaaaa_4" hidden="1">{"Outflow 1",#N/A,FALSE,"Outflows-Inflows";"Outflow 2",#N/A,FALSE,"Outflows-Inflows";"Inflow 1",#N/A,FALSE,"Outflows-Inflows";"Inflow 2",#N/A,FALSE,"Outflows-Inflows"}</definedName>
    <definedName name="aaaaaaa1" localSheetId="2" hidden="1">{"Outflow 1",#N/A,FALSE,"Outflows-Inflows";"Outflow 2",#N/A,FALSE,"Outflows-Inflows";"Inflow 1",#N/A,FALSE,"Outflows-Inflows";"Inflow 2",#N/A,FALSE,"Outflows-Inflows"}</definedName>
    <definedName name="aaaaaaa1" localSheetId="0" hidden="1">{"Outflow 1",#N/A,FALSE,"Outflows-Inflows";"Outflow 2",#N/A,FALSE,"Outflows-Inflows";"Inflow 1",#N/A,FALSE,"Outflows-Inflows";"Inflow 2",#N/A,FALSE,"Outflows-Inflows"}</definedName>
    <definedName name="aaaaaaa1" hidden="1">{"Outflow 1",#N/A,FALSE,"Outflows-Inflows";"Outflow 2",#N/A,FALSE,"Outflows-Inflows";"Inflow 1",#N/A,FALSE,"Outflows-Inflows";"Inflow 2",#N/A,FALSE,"Outflows-Inflows"}</definedName>
    <definedName name="aaaaaaa1_1" hidden="1">{"Outflow 1",#N/A,FALSE,"Outflows-Inflows";"Outflow 2",#N/A,FALSE,"Outflows-Inflows";"Inflow 1",#N/A,FALSE,"Outflows-Inflows";"Inflow 2",#N/A,FALSE,"Outflows-Inflows"}</definedName>
    <definedName name="aaaaaaa1_2" hidden="1">{"Outflow 1",#N/A,FALSE,"Outflows-Inflows";"Outflow 2",#N/A,FALSE,"Outflows-Inflows";"Inflow 1",#N/A,FALSE,"Outflows-Inflows";"Inflow 2",#N/A,FALSE,"Outflows-Inflows"}</definedName>
    <definedName name="aaaaaaa1_3" hidden="1">{"Outflow 1",#N/A,FALSE,"Outflows-Inflows";"Outflow 2",#N/A,FALSE,"Outflows-Inflows";"Inflow 1",#N/A,FALSE,"Outflows-Inflows";"Inflow 2",#N/A,FALSE,"Outflows-Inflows"}</definedName>
    <definedName name="aaaaaaa1_4" hidden="1">{"Outflow 1",#N/A,FALSE,"Outflows-Inflows";"Outflow 2",#N/A,FALSE,"Outflows-Inflows";"Inflow 1",#N/A,FALSE,"Outflows-Inflows";"Inflow 2",#N/A,FALSE,"Outflows-Inflows"}</definedName>
    <definedName name="aaaaaaaaaa" hidden="1">{"FCB_ALL",#N/A,FALSE,"FCB";"GREY_ALL",#N/A,FALSE,"GREY"}</definedName>
    <definedName name="aaaab" hidden="1">{#N/A,#N/A,FALSE,"Project Properties";#N/A,#N/A,FALSE,"Eng %";#N/A,#N/A,FALSE,"ENGFORM";#N/A,#N/A,FALSE,"staffing";#N/A,#N/A,FALSE,"spending"}</definedName>
    <definedName name="aaaattt" hidden="1">{#N/A,#N/A,TRUE,"Cover &amp; Contents";#N/A,#N/A,TRUE,"Net Assets &amp; Ops &amp; #Units";#N/A,#N/A,TRUE,"NAV per unit";#N/A,#N/A,TRUE,"Cashflow &amp; RE";#N/A,#N/A,TRUE,"Notes 1-2";#N/A,#N/A,TRUE,"Notes 3-8";#N/A,#N/A,TRUE,"Notes 9-10";#N/A,#N/A,TRUE,"Notes 11-17";#N/A,#N/A,TRUE,"Notes 18-19";#N/A,#N/A,TRUE,"Notes 20-";#N/A,#N/A,TRUE,"Cos 1";#N/A,#N/A,TRUE,"Cos 2";#N/A,#N/A,TRUE,"App I";#N/A,#N/A,TRUE,"App II"}</definedName>
    <definedName name="aab" hidden="1">{#N/A,#N/A,TRUE,"A-site";#N/A,#N/A,TRUE,"B-Buildings";#N/A,#N/A,TRUE,"c-out-of-fence";#N/A,#N/A,TRUE,"d-proj.infr.";#N/A,#N/A,TRUE,"e- land"}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ghteasfdbdsf" hidden="1">#REF!</definedName>
    <definedName name="aasdfa" localSheetId="2" hidden="1">{"rtn",#N/A,FALSE,"RTN";"tables",#N/A,FALSE,"RTN";"cf",#N/A,FALSE,"CF";"stats",#N/A,FALSE,"Stats";"prop",#N/A,FALSE,"Prop"}</definedName>
    <definedName name="aasdfa" localSheetId="0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_2" hidden="1">{"rtn",#N/A,FALSE,"RTN";"tables",#N/A,FALSE,"RTN";"cf",#N/A,FALSE,"CF";"stats",#N/A,FALSE,"Stats";"prop",#N/A,FALSE,"Prop"}</definedName>
    <definedName name="aasdfa_3" hidden="1">{"rtn",#N/A,FALSE,"RTN";"tables",#N/A,FALSE,"RTN";"cf",#N/A,FALSE,"CF";"stats",#N/A,FALSE,"Stats";"prop",#N/A,FALSE,"Prop"}</definedName>
    <definedName name="aasdfa_4" hidden="1">{"rtn",#N/A,FALSE,"RTN";"tables",#N/A,FALSE,"RTN";"cf",#N/A,FALSE,"CF";"stats",#N/A,FALSE,"Stats";"prop",#N/A,FALSE,"Prop"}</definedName>
    <definedName name="ab" hidden="1">{#N/A,#N/A,TRUE,"Ericsson Stadium PCD ";#N/A,#N/A,TRUE,"Ericsson Stadium IOR"}</definedName>
    <definedName name="ab_condo" hidden="1">{#N/A,#N/A,TRUE,"Ericsson Stadium PCD ";#N/A,#N/A,TRUE,"Ericsson Stadium IOR"}</definedName>
    <definedName name="abc" hidden="1">{#N/A,#N/A,FALSE,"Broker Sheet";#N/A,#N/A,FALSE,"Exec.Summary";#N/A,#N/A,FALSE,"Argus Cash Flow";#N/A,#N/A,FALSE,"SPF";#N/A,#N/A,FALSE,"RentRoll"}</definedName>
    <definedName name="ABC_old" hidden="1">{"CHART",#N/A,FALSE,"Arch Communications"}</definedName>
    <definedName name="abcd" hidden="1">{"Zone1",#N/A,FALSE,"Parameters";"Zone2",#N/A,FALSE,"Parameters"}</definedName>
    <definedName name="abm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AccDate">#REF!</definedName>
    <definedName name="Access_Button">"Loan_Front_End_Input_List"</definedName>
    <definedName name="AccessCode" hidden="1">""""</definedName>
    <definedName name="AccessDatabase">"C:\My Documents\DAVE\MODELS\Cash at Risk\Loan Front End.mdb"</definedName>
    <definedName name="AccruedExpenses">#REF!</definedName>
    <definedName name="accts">#REF!</definedName>
    <definedName name="Acq_Date">#REF!</definedName>
    <definedName name="acqdate">#REF!</definedName>
    <definedName name="acqp1">#REF!</definedName>
    <definedName name="acqp2">#REF!</definedName>
    <definedName name="acqp3">#REF!</definedName>
    <definedName name="acqp4">#REF!</definedName>
    <definedName name="acqp5">#REF!</definedName>
    <definedName name="ACQSUM">#REF!</definedName>
    <definedName name="Acquisition_Date">#REF!</definedName>
    <definedName name="Active_Case">#REF!</definedName>
    <definedName name="actthru">#REF!</definedName>
    <definedName name="actual">#REF!</definedName>
    <definedName name="actualdatethru">#REF!</definedName>
    <definedName name="actualexp">#REF!</definedName>
    <definedName name="actuals">#REF!</definedName>
    <definedName name="ACwvu.ALL." hidden="1">#REF!</definedName>
    <definedName name="ACwvu.CAM._.RATES." hidden="1">#REF!</definedName>
    <definedName name="ACwvu.CAM._.RECOVERIES." hidden="1">#REF!</definedName>
    <definedName name="ACwvu.CAM._.RECOVERY." hidden="1">#REF!</definedName>
    <definedName name="ACwvu.CAM._.TABLE." hidden="1">#REF!</definedName>
    <definedName name="ACwvu.FRP_BACKLOG1." hidden="1">#REF!</definedName>
    <definedName name="ACwvu.FRP_backlog2." hidden="1">#REF!</definedName>
    <definedName name="ACwvu.inputs._.raw._.data." hidden="1">#REF!</definedName>
    <definedName name="ACwvu.INSURANCE._.RECOVERIES." hidden="1">#REF!</definedName>
    <definedName name="ACwvu.LSMEET." hidden="1">#REF!</definedName>
    <definedName name="ACwvu.MARKETING._.REVENUE." hidden="1">#REF!</definedName>
    <definedName name="ACwvu.MINIMUM._.RENT." hidden="1">#REF!</definedName>
    <definedName name="ACwvu.OCCUPANCY." hidden="1">#REF!</definedName>
    <definedName name="ACwvu.OCCUPANCY._.ANALYSIS." hidden="1">#REF!</definedName>
    <definedName name="ACwvu.Overhead._.detail." hidden="1">#REF!</definedName>
    <definedName name="ACwvu.PERCENTAGE._.RENT." hidden="1">#REF!</definedName>
    <definedName name="ACwvu.Profit._.report._.detailed." hidden="1">#REF!</definedName>
    <definedName name="ACwvu.Sommaire." hidden="1">#REF!,#REF!,#REF!,#REF!,#REF!,#REF!</definedName>
    <definedName name="ACwvu.summary1." hidden="1">#REF!</definedName>
    <definedName name="ACwvu.summary2." hidden="1">#REF!</definedName>
    <definedName name="ACwvu.summary3." hidden="1">#REF!</definedName>
    <definedName name="ACwvu.TAX._.RATES." hidden="1">#REF!</definedName>
    <definedName name="ACwvu.TAX._.RECOVERIES." hidden="1">#REF!</definedName>
    <definedName name="ACwvu.TAX._.RECOVERY." hidden="1">#REF!</definedName>
    <definedName name="ACwvu.WAT." hidden="1">#REF!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_old" hidden="1">{"CHART",#N/A,FALSE,"Arch Communications"}</definedName>
    <definedName name="addgf" hidden="1">{#N/A,#N/A,FALSE,"Chart 2 by Prop Type"}</definedName>
    <definedName name="adf" hidden="1">{"INCOME",#N/A,FALSE,"ProNet";"VALUE",#N/A,FALSE,"ProNet"}</definedName>
    <definedName name="adfa" hidden="1">{"cap_structure",#N/A,FALSE,"Graph-Mkt Cap";"price",#N/A,FALSE,"Graph-Price";"ebit",#N/A,FALSE,"Graph-EBITDA";"ebitda",#N/A,FALSE,"Graph-EBITDA"}</definedName>
    <definedName name="adfgh" hidden="1">{0,#N/A,FALSE,0;0,#N/A,FALSE,0}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justedLoanAmnt">#REF!</definedName>
    <definedName name="ADJUSTEDoccupancy">#REF!</definedName>
    <definedName name="adlak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drtr" hidden="1">{0,0,0,0}</definedName>
    <definedName name="ads" hidden="1">{"inputs raw data",#N/A,TRUE,"INPUT"}</definedName>
    <definedName name="adsew" hidden="1">{"FCB_ALL",#N/A,FALSE,"FCB"}</definedName>
    <definedName name="adsf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adsf1" hidden="1">{"Annual",#N/A,FALSE,"Sales &amp; Market";"Quarterly",#N/A,FALSE,"Sales &amp; Market"}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{#N/A,#N/A,TRUE,"10 Yr Hold";#N/A,#N/A,TRUE,"7 Yr Hold";#N/A,#N/A,TRUE,"5 Yr Hold";#N/A,#N/A,TRUE,"3 Yr Hold"}</definedName>
    <definedName name="AEWEW" hidden="1">{"inputs raw data",#N/A,TRUE,"INPUT"}</definedName>
    <definedName name="aewfwe" hidden="1">{#N/A,#N/A,FALSE,"Brad_DCFM";#N/A,#N/A,FALSE,"Nick_DCFM";#N/A,#N/A,FALSE,"Mobile_DCFM"}</definedName>
    <definedName name="afdsdsaf" hidden="1">#REF!</definedName>
    <definedName name="afe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i" hidden="1">#REF!</definedName>
    <definedName name="Affordable">#REF!</definedName>
    <definedName name="afge" hidden="1">{"FCB_ALL",#N/A,FALSE,"FCB";"GREY_ALL",#N/A,FALSE,"GREY"}</definedName>
    <definedName name="afhasd" hidden="1">{#VALUE!,#N/A,FALSE,0}</definedName>
    <definedName name="afirot" hidden="1">{#N/A,#N/A,TRUE,"TITLE";#N/A,#N/A,TRUE,"SCH 1";#N/A,#N/A,TRUE,"SCH 2";#N/A,#N/A,TRUE,"SCH 3";#N/A,#N/A,TRUE,"SCH3(A)"}</definedName>
    <definedName name="afirpt" hidden="1">{#N/A,#N/A,TRUE,"TITLE";#N/A,#N/A,TRUE,"SCH 1";#N/A,#N/A,TRUE,"SCH 2";#N/A,#N/A,TRUE,"SCH 3";#N/A,#N/A,TRUE,"SCH3(A)"}</definedName>
    <definedName name="afsdasio" hidden="1">#REF!</definedName>
    <definedName name="aftreport" hidden="1">{#N/A,#N/A,TRUE,"TITLE";#N/A,#N/A,TRUE,"SCH 1";#N/A,#N/A,TRUE,"SCH 2";#N/A,#N/A,TRUE,"SCH 3";#N/A,#N/A,TRUE,"SCH3(A)"}</definedName>
    <definedName name="agf" hidden="1">{#N/A,#N/A,FALSE,"ExecSum";#N/A,#N/A,FALSE,"total summary";#N/A,#N/A,FALSE,"Budget";#N/A,#N/A,FALSE,"CashFlow"}</definedName>
    <definedName name="agne" hidden="1">{"FCB_ALL",#N/A,FALSE,"FCB";"GREY_ALL",#N/A,FALSE,"GREY"}</definedName>
    <definedName name="ah" hidden="1">#REF!</definedName>
    <definedName name="ahafd" hidden="1">{#VALUE!,#N/A,FALSE,0}</definedName>
    <definedName name="ahge" hidden="1">{"FCB_ALL",#N/A,FALSE,"FCB";"GREY_ALL",#N/A,FALSE,"GREY"}</definedName>
    <definedName name="AIG">#REF!</definedName>
    <definedName name="aioeaiovio" hidden="1">#REF!</definedName>
    <definedName name="akdlk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l" hidden="1">{"sheet a",#N/A,FALSE,"A";"2 9 casflow",#N/A,FALSE,"B"}</definedName>
    <definedName name="ALL">#REF!</definedName>
    <definedName name="alsow" hidden="1">{#N/A,#N/A,FALSE,"Consolidated";#N/A,#N/A,FALSE,"Available Credit";#N/A,#N/A,FALSE,"100% Owned";#N/A,#N/A,FALSE,"Bentall U.S. LLC";#N/A,#N/A,FALSE,"Bentall Properties (U.S.) Ltd.";#N/A,#N/A,FALSE,"Schedule I"}</definedName>
    <definedName name="alternate_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amo">#REF!</definedName>
    <definedName name="Amo_Print">#REF!</definedName>
    <definedName name="Amort">#REF!</definedName>
    <definedName name="Amortize">#REF!</definedName>
    <definedName name="Amortizing?">#REF!</definedName>
    <definedName name="AMP_SUMMARY">#REF!</definedName>
    <definedName name="an" hidden="1">#REF!</definedName>
    <definedName name="Analysis_Begin">#REF!</definedName>
    <definedName name="Analysis_Date">#REF!</definedName>
    <definedName name="Analysis_Year">#REF!</definedName>
    <definedName name="andrew" hidden="1">{"eca",#N/A,TRUE,"E-C1 (R)";"ecb",#N/A,TRUE,"E-C1 (R)"}</definedName>
    <definedName name="Annual_Amort_Table">#REF!</definedName>
    <definedName name="Annual_interest_rate">#REF!</definedName>
    <definedName name="annual_quarterly1" hidden="1">{"Annual",#N/A,FALSE,"Sales &amp; Market";"Quarterly",#N/A,FALSE,"Sales &amp; Market"}</definedName>
    <definedName name="annualize">#REF!</definedName>
    <definedName name="Annuitäten">#REF!</definedName>
    <definedName name="anoigrowth">#REF!</definedName>
    <definedName name="anscount" hidden="1">1</definedName>
    <definedName name="aold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p">#REF!</definedName>
    <definedName name="apartments">#REF!</definedName>
    <definedName name="apartmentTypes">#REF!</definedName>
    <definedName name="Apr.">#REF!</definedName>
    <definedName name="April03" hidden="1">{#N/A,#N/A,FALSE,"Class A";#N/A,#N/A,FALSE,"Class B";#N/A,#N/A,FALSE,"Class C"}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rgusScenario" hidden="1">#REF!</definedName>
    <definedName name="ArgusSF">#REF!</definedName>
    <definedName name="as" localSheetId="2" hidden="1">{"Outflow 1",#N/A,FALSE,"Outflows-Inflows";"Outflow 2",#N/A,FALSE,"Outflows-Inflows";"Inflow 1",#N/A,FALSE,"Outflows-Inflows";"Inflow 2",#N/A,FALSE,"Outflows-Inflows"}</definedName>
    <definedName name="as" localSheetId="0" hidden="1">{"Outflow 1",#N/A,FALSE,"Outflows-Inflows";"Outflow 2",#N/A,FALSE,"Outflows-Inflows";"Inflow 1",#N/A,FALSE,"Outflows-Inflows";"Inflow 2",#N/A,FALSE,"Outflows-Inflows"}</definedName>
    <definedName name="as" hidden="1">{"Outflow 1",#N/A,FALSE,"Outflows-Inflows";"Outflow 2",#N/A,FALSE,"Outflows-Inflows";"Inflow 1",#N/A,FALSE,"Outflows-Inflows";"Inflow 2",#N/A,FALSE,"Outflows-Inflows"}</definedName>
    <definedName name="as_1" hidden="1">{"Outflow 1",#N/A,FALSE,"Outflows-Inflows";"Outflow 2",#N/A,FALSE,"Outflows-Inflows";"Inflow 1",#N/A,FALSE,"Outflows-Inflows";"Inflow 2",#N/A,FALSE,"Outflows-Inflows"}</definedName>
    <definedName name="as_2" hidden="1">{"Outflow 1",#N/A,FALSE,"Outflows-Inflows";"Outflow 2",#N/A,FALSE,"Outflows-Inflows";"Inflow 1",#N/A,FALSE,"Outflows-Inflows";"Inflow 2",#N/A,FALSE,"Outflows-Inflows"}</definedName>
    <definedName name="as_3" hidden="1">{"Outflow 1",#N/A,FALSE,"Outflows-Inflows";"Outflow 2",#N/A,FALSE,"Outflows-Inflows";"Inflow 1",#N/A,FALSE,"Outflows-Inflows";"Inflow 2",#N/A,FALSE,"Outflows-Inflows"}</definedName>
    <definedName name="as_4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2" hidden="1">{"Outflow 1",#N/A,FALSE,"Outflows-Inflows";"Outflow 2",#N/A,FALSE,"Outflows-Inflows";"Inflow 1",#N/A,FALSE,"Outflows-Inflows";"Inflow 2",#N/A,FALSE,"Outflows-Inflows"}</definedName>
    <definedName name="asa" localSheetId="0" hidden="1">{"Outflow 1",#N/A,FALSE,"Outflows-Inflows";"Outflow 2",#N/A,FALSE,"Outflows-Inflows";"Inflow 1",#N/A,FALSE,"Outflows-Inflows";"Inflow 2",#N/A,FALSE,"Outflows-Inflows"}</definedName>
    <definedName name="asa" hidden="1">{"Outflow 1",#N/A,FALSE,"Outflows-Inflows";"Outflow 2",#N/A,FALSE,"Outflows-Inflows";"Inflow 1",#N/A,FALSE,"Outflows-Inflows";"Inflow 2",#N/A,FALSE,"Outflows-Inflows"}</definedName>
    <definedName name="asa_1" hidden="1">{"Outflow 1",#N/A,FALSE,"Outflows-Inflows";"Outflow 2",#N/A,FALSE,"Outflows-Inflows";"Inflow 1",#N/A,FALSE,"Outflows-Inflows";"Inflow 2",#N/A,FALSE,"Outflows-Inflows"}</definedName>
    <definedName name="asa_2" hidden="1">{"Outflow 1",#N/A,FALSE,"Outflows-Inflows";"Outflow 2",#N/A,FALSE,"Outflows-Inflows";"Inflow 1",#N/A,FALSE,"Outflows-Inflows";"Inflow 2",#N/A,FALSE,"Outflows-Inflows"}</definedName>
    <definedName name="asa_3" hidden="1">{"Outflow 1",#N/A,FALSE,"Outflows-Inflows";"Outflow 2",#N/A,FALSE,"Outflows-Inflows";"Inflow 1",#N/A,FALSE,"Outflows-Inflows";"Inflow 2",#N/A,FALSE,"Outflows-Inflows"}</definedName>
    <definedName name="asa_4" hidden="1">{"Outflow 1",#N/A,FALSE,"Outflows-Inflows";"Outflow 2",#N/A,FALSE,"Outflows-Inflows";"Inflow 1",#N/A,FALSE,"Outflows-Inflows";"Inflow 2",#N/A,FALSE,"Outflows-Inflows"}</definedName>
    <definedName name="asadgasgasg" hidden="1">#REF!</definedName>
    <definedName name="asd" hidden="1">{#N/A,#N/A,FALSE,"Chart 2 by Prop Type"}</definedName>
    <definedName name="asda" hidden="1">{"AnnualRentRoll",#N/A,FALSE,"RentRoll"}</definedName>
    <definedName name="asdasd" hidden="1">{#N/A,#N/A,FALSE,"Loan Summary";#N/A,#N/A,FALSE,"NOI";"RR and Expir",#N/A,FALSE,"Rental";"Sales History",#N/A,FALSE,"Rental";#N/A,#N/A,FALSE,"Reserves"}</definedName>
    <definedName name="asdaw" hidden="1">{"FCB_ALL",#N/A,FALSE,"FCB"}</definedName>
    <definedName name="asdf" hidden="1">{"Plant Parameters",#N/A,FALSE,"Total Project Economics";"summary1",#N/A,FALSE,"Total Project Economics";"Tariffs_Unit Prices_Costs",#N/A,FALSE,"Total Project Economics";"Financials",#N/A,FALSE,"Total Project Economics"}</definedName>
    <definedName name="asdf_1" hidden="1">{"Plant Parameters",#N/A,FALSE,"Total Project Economics";"summary1",#N/A,FALSE,"Total Project Economics";"Tariffs_Unit Prices_Costs",#N/A,FALSE,"Total Project Economics";"Financials",#N/A,FALSE,"Total Project Economics"}</definedName>
    <definedName name="asdf2" localSheetId="2" hidden="1">{#N/A,#N/A,FALSE,"OperatingAssumptions"}</definedName>
    <definedName name="asdf2" localSheetId="0" hidden="1">{#N/A,#N/A,FALSE,"OperatingAssumptions"}</definedName>
    <definedName name="asdf2" hidden="1">{#N/A,#N/A,FALSE,"OperatingAssumptions"}</definedName>
    <definedName name="asdf2_1" hidden="1">{#N/A,#N/A,FALSE,"OperatingAssumptions"}</definedName>
    <definedName name="asdf2_2" hidden="1">{#N/A,#N/A,FALSE,"OperatingAssumptions"}</definedName>
    <definedName name="asdf2_3" hidden="1">{#N/A,#N/A,FALSE,"OperatingAssumptions"}</definedName>
    <definedName name="asdf2_4" hidden="1">{#N/A,#N/A,FALSE,"OperatingAssumptions"}</definedName>
    <definedName name="asdf22" hidden="1">{#N/A,#N/A,FALSE,"OperatingAssumptions"}</definedName>
    <definedName name="asdf3" localSheetId="2" hidden="1">{#N/A,#N/A,FALSE,"LoanAssumptions"}</definedName>
    <definedName name="asdf3" localSheetId="0" hidden="1">{#N/A,#N/A,FALSE,"LoanAssumptions"}</definedName>
    <definedName name="asdf3" hidden="1">{#N/A,#N/A,FALSE,"LoanAssumptions"}</definedName>
    <definedName name="asdf3_1" hidden="1">{#N/A,#N/A,FALSE,"LoanAssumptions"}</definedName>
    <definedName name="asdf3_2" hidden="1">{#N/A,#N/A,FALSE,"LoanAssumptions"}</definedName>
    <definedName name="asdf3_3" hidden="1">{#N/A,#N/A,FALSE,"LoanAssumptions"}</definedName>
    <definedName name="asdf3_4" hidden="1">{#N/A,#N/A,FALSE,"LoanAssumptions"}</definedName>
    <definedName name="asdf33" hidden="1">{#N/A,#N/A,FALSE,"LoanAssumptions"}</definedName>
    <definedName name="asdf5" localSheetId="2" hidden="1">{"MonthlyRentRoll",#N/A,FALSE,"RentRoll"}</definedName>
    <definedName name="asdf5" localSheetId="0" hidden="1">{"MonthlyRentRoll",#N/A,FALSE,"RentRoll"}</definedName>
    <definedName name="asdf5" hidden="1">{"MonthlyRentRoll",#N/A,FALSE,"RentRoll"}</definedName>
    <definedName name="asdf5_1" hidden="1">{"MonthlyRentRoll",#N/A,FALSE,"RentRoll"}</definedName>
    <definedName name="asdf5_2" hidden="1">{"MonthlyRentRoll",#N/A,FALSE,"RentRoll"}</definedName>
    <definedName name="asdf5_3" hidden="1">{"MonthlyRentRoll",#N/A,FALSE,"RentRoll"}</definedName>
    <definedName name="asdf5_4" hidden="1">{"MonthlyRentRoll",#N/A,FALSE,"RentRoll"}</definedName>
    <definedName name="asdf55" hidden="1">{"MonthlyRentRoll",#N/A,FALSE,"RentRoll"}</definedName>
    <definedName name="asdf7" localSheetId="2" hidden="1">{#N/A,#N/A,TRUE,"Summary";"AnnualRentRoll",#N/A,TRUE,"RentRoll";#N/A,#N/A,TRUE,"ExitStratigy";#N/A,#N/A,TRUE,"OperatingAssumptions"}</definedName>
    <definedName name="asdf7" localSheetId="0" hidden="1">{#N/A,#N/A,TRUE,"Summary";"AnnualRentRoll",#N/A,TRUE,"RentRoll";#N/A,#N/A,TRUE,"ExitStratigy";#N/A,#N/A,TRUE,"OperatingAssumptions"}</definedName>
    <definedName name="asdf7" hidden="1">{#N/A,#N/A,TRUE,"Summary";"AnnualRentRoll",#N/A,TRUE,"RentRoll";#N/A,#N/A,TRUE,"ExitStratigy";#N/A,#N/A,TRUE,"OperatingAssumptions"}</definedName>
    <definedName name="asdf7_1" hidden="1">{#N/A,#N/A,TRUE,"Summary";"AnnualRentRoll",#N/A,TRUE,"RentRoll";#N/A,#N/A,TRUE,"ExitStratigy";#N/A,#N/A,TRUE,"OperatingAssumptions"}</definedName>
    <definedName name="asdf7_2" hidden="1">{#N/A,#N/A,TRUE,"Summary";"AnnualRentRoll",#N/A,TRUE,"RentRoll";#N/A,#N/A,TRUE,"ExitStratigy";#N/A,#N/A,TRUE,"OperatingAssumptions"}</definedName>
    <definedName name="asdf7_3" hidden="1">{#N/A,#N/A,TRUE,"Summary";"AnnualRentRoll",#N/A,TRUE,"RentRoll";#N/A,#N/A,TRUE,"ExitStratigy";#N/A,#N/A,TRUE,"OperatingAssumptions"}</definedName>
    <definedName name="asdf7_4" hidden="1">{#N/A,#N/A,TRUE,"Summary";"AnnualRentRoll",#N/A,TRUE,"RentRoll";#N/A,#N/A,TRUE,"ExitStratigy";#N/A,#N/A,TRUE,"OperatingAssumptions"}</definedName>
    <definedName name="asdf77" hidden="1">{#N/A,#N/A,TRUE,"Summary";"AnnualRentRoll",#N/A,TRUE,"RentRoll";#N/A,#N/A,TRUE,"ExitStratigy";#N/A,#N/A,TRUE,"OperatingAssumptions"}</definedName>
    <definedName name="asdfa" hidden="1">#N/A</definedName>
    <definedName name="asdfas" localSheetId="2" hidden="1">{"print 1.6",#N/A,FALSE,"Sheet1";"print 2.6",#N/A,FALSE,"Sheet1";"print 3.6",#N/A,FALSE,"Sheet1";"print 4.6",#N/A,FALSE,"Sheet1";"print 5.6",#N/A,FALSE,"Sheet1";"print 6.6",#N/A,FALSE,"Sheet1"}</definedName>
    <definedName name="asdfas" localSheetId="0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_2" hidden="1">{"print 1.6",#N/A,FALSE,"Sheet1";"print 2.6",#N/A,FALSE,"Sheet1";"print 3.6",#N/A,FALSE,"Sheet1";"print 4.6",#N/A,FALSE,"Sheet1";"print 5.6",#N/A,FALSE,"Sheet1";"print 6.6",#N/A,FALSE,"Sheet1"}</definedName>
    <definedName name="asdfas_3" hidden="1">{"print 1.6",#N/A,FALSE,"Sheet1";"print 2.6",#N/A,FALSE,"Sheet1";"print 3.6",#N/A,FALSE,"Sheet1";"print 4.6",#N/A,FALSE,"Sheet1";"print 5.6",#N/A,FALSE,"Sheet1";"print 6.6",#N/A,FALSE,"Sheet1"}</definedName>
    <definedName name="asdfas_4" hidden="1">{"print 1.6",#N/A,FALSE,"Sheet1";"print 2.6",#N/A,FALSE,"Sheet1";"print 3.6",#N/A,FALSE,"Sheet1";"print 4.6",#N/A,FALSE,"Sheet1";"print 5.6",#N/A,FALSE,"Sheet1";"print 6.6",#N/A,FALSE,"Sheet1"}</definedName>
    <definedName name="asdfasaa" localSheetId="2" hidden="1">{"print 1.6",#N/A,FALSE,"Sheet1";"print 2.6",#N/A,FALSE,"Sheet1";"print 3.6",#N/A,FALSE,"Sheet1";"print 4.6",#N/A,FALSE,"Sheet1";"print 5.6",#N/A,FALSE,"Sheet1";"print 6.6",#N/A,FALSE,"Sheet1"}</definedName>
    <definedName name="asdfasaa" localSheetId="0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aa_2" hidden="1">{"print 1.6",#N/A,FALSE,"Sheet1";"print 2.6",#N/A,FALSE,"Sheet1";"print 3.6",#N/A,FALSE,"Sheet1";"print 4.6",#N/A,FALSE,"Sheet1";"print 5.6",#N/A,FALSE,"Sheet1";"print 6.6",#N/A,FALSE,"Sheet1"}</definedName>
    <definedName name="asdfasaa_3" hidden="1">{"print 1.6",#N/A,FALSE,"Sheet1";"print 2.6",#N/A,FALSE,"Sheet1";"print 3.6",#N/A,FALSE,"Sheet1";"print 4.6",#N/A,FALSE,"Sheet1";"print 5.6",#N/A,FALSE,"Sheet1";"print 6.6",#N/A,FALSE,"Sheet1"}</definedName>
    <definedName name="asdfasaa_4" hidden="1">{"print 1.6",#N/A,FALSE,"Sheet1";"print 2.6",#N/A,FALSE,"Sheet1";"print 3.6",#N/A,FALSE,"Sheet1";"print 4.6",#N/A,FALSE,"Sheet1";"print 5.6",#N/A,FALSE,"Sheet1";"print 6.6",#N/A,FALSE,"Sheet1"}</definedName>
    <definedName name="asdfasdf" localSheetId="2" hidden="1">{"rtn",#N/A,FALSE,"RTN";"tables",#N/A,FALSE,"RTN";"cf",#N/A,FALSE,"CF";"stats",#N/A,FALSE,"Stats";"prop",#N/A,FALSE,"Prop"}</definedName>
    <definedName name="asdfasdf" localSheetId="0" hidden="1">{"rtn",#N/A,FALSE,"RTN";"tables",#N/A,FALSE,"RTN";"cf",#N/A,FALSE,"CF";"stats",#N/A,FALSE,"Stats";"prop",#N/A,FALSE,"Prop"}</definedName>
    <definedName name="asdfasdf" hidden="1">{"rtn",#N/A,FALSE,"RTN";"tables",#N/A,FALSE,"RTN";"cf",#N/A,FALSE,"CF";"stats",#N/A,FALSE,"Stats";"prop",#N/A,FALSE,"Prop"}</definedName>
    <definedName name="asdfasdf_1" hidden="1">{"rtn",#N/A,FALSE,"RTN";"tables",#N/A,FALSE,"RTN";"cf",#N/A,FALSE,"CF";"stats",#N/A,FALSE,"Stats";"prop",#N/A,FALSE,"Prop"}</definedName>
    <definedName name="asdfasdf_2" hidden="1">{"rtn",#N/A,FALSE,"RTN";"tables",#N/A,FALSE,"RTN";"cf",#N/A,FALSE,"CF";"stats",#N/A,FALSE,"Stats";"prop",#N/A,FALSE,"Prop"}</definedName>
    <definedName name="asdfasdf_3" hidden="1">{"rtn",#N/A,FALSE,"RTN";"tables",#N/A,FALSE,"RTN";"cf",#N/A,FALSE,"CF";"stats",#N/A,FALSE,"Stats";"prop",#N/A,FALSE,"Prop"}</definedName>
    <definedName name="asdfasdf_4" hidden="1">{"rtn",#N/A,FALSE,"RTN";"tables",#N/A,FALSE,"RTN";"cf",#N/A,FALSE,"CF";"stats",#N/A,FALSE,"Stats";"prop",#N/A,FALSE,"Prop"}</definedName>
    <definedName name="asdfasdf1" hidden="1">{"Annual",#N/A,FALSE,"Sales &amp; Market";"Quarterly",#N/A,FALSE,"Sales &amp; Market"}</definedName>
    <definedName name="asdfasdfasdfa" localSheetId="0" hidden="1">binary</definedName>
    <definedName name="asdfasdfasdfa" hidden="1">binary</definedName>
    <definedName name="asdfasdfdddd" hidden="1">{"DCF","UPSIDE CASE",FALSE,"Sheet1";"DCF","BASE CASE",FALSE,"Sheet1";"DCF","DOWNSIDE CASE",FALSE,"Sheet1"}</definedName>
    <definedName name="asdfasdfs" hidden="1">{#N/A,#N/A,FALSE,"Matrix";#N/A,#N/A,FALSE,"Cash Flow";#N/A,#N/A,FALSE,"10 Year Cost Analysis"}</definedName>
    <definedName name="asdfasfsa" localSheetId="0" hidden="1">binary</definedName>
    <definedName name="asdfasfsa" hidden="1">binary</definedName>
    <definedName name="asdfe" hidden="1">{"FCB_ALL",#N/A,FALSE,"FCB"}</definedName>
    <definedName name="asdfg" hidden="1">{"rtn",#N/A,FALSE,"RTN";"tables",#N/A,FALSE,"RTN";"cf",#N/A,FALSE,"CF";"stats",#N/A,FALSE,"Stats";"prop",#N/A,FALSE,"Prop"}</definedName>
    <definedName name="asdfn" hidden="1">{"FCB_ALL",#N/A,FALSE,"FCB";"GREY_ALL",#N/A,FALSE,"GREY"}</definedName>
    <definedName name="asdfsd" localSheetId="0" hidden="1">binary</definedName>
    <definedName name="asdfsd" hidden="1">binary</definedName>
    <definedName name="asdfsdf" hidden="1">{"Annual",#N/A,FALSE,"Sales &amp; Market";"Quarterly",#N/A,FALSE,"Sales &amp; Market"}</definedName>
    <definedName name="asdfsdf1" hidden="1">{"Annual",#N/A,FALSE,"Sales &amp; Market";"Quarterly",#N/A,FALSE,"Sales &amp; Market"}</definedName>
    <definedName name="asdgaew" hidden="1">{"FCB_ALL",#N/A,FALSE,"FCB"}</definedName>
    <definedName name="asdr5" hidden="1">{"FCB_ALL",#N/A,FALSE,"FCB";"GREY_ALL",#N/A,FALSE,"GREY"}</definedName>
    <definedName name="asdvaw" hidden="1">#REF!</definedName>
    <definedName name="asf" hidden="1">{"sheet a",#N/A,FALSE,"A";"sheet b 1",#N/A,FALSE,"B";"sheet b 2",#N/A,FALSE,"B"}</definedName>
    <definedName name="asfd" hidden="1">{"FCB_ALL",#N/A,FALSE,"FCB"}</definedName>
    <definedName name="asfget" hidden="1">{"Page1",#N/A,FALSE,"7979";"Page2",#N/A,FALSE,"7979";"Page3",#N/A,FALSE,"7979"}</definedName>
    <definedName name="asfsaf" localSheetId="0" hidden="1">binary</definedName>
    <definedName name="asfsaf" hidden="1">binary</definedName>
    <definedName name="asgdr" hidden="1">{"fdb2_print",#N/A,FALSE,"Report"}</definedName>
    <definedName name="asgearg" hidden="1">#REF!</definedName>
    <definedName name="ashish" hidden="1">{"'Assump'!$F$6:$J$6"}</definedName>
    <definedName name="ASIS">#REF!</definedName>
    <definedName name="ass" localSheetId="2" hidden="1">{"print 1.6",#N/A,FALSE,"Sheet1";"print 2.6",#N/A,FALSE,"Sheet1";"print 3.6",#N/A,FALSE,"Sheet1";"print 4.6",#N/A,FALSE,"Sheet1";"print 5.6",#N/A,FALSE,"Sheet1";"print 6.6",#N/A,FALSE,"Sheet1"}</definedName>
    <definedName name="ass" localSheetId="0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_2" hidden="1">{"print 1.6",#N/A,FALSE,"Sheet1";"print 2.6",#N/A,FALSE,"Sheet1";"print 3.6",#N/A,FALSE,"Sheet1";"print 4.6",#N/A,FALSE,"Sheet1";"print 5.6",#N/A,FALSE,"Sheet1";"print 6.6",#N/A,FALSE,"Sheet1"}</definedName>
    <definedName name="ass_3" hidden="1">{"print 1.6",#N/A,FALSE,"Sheet1";"print 2.6",#N/A,FALSE,"Sheet1";"print 3.6",#N/A,FALSE,"Sheet1";"print 4.6",#N/A,FALSE,"Sheet1";"print 5.6",#N/A,FALSE,"Sheet1";"print 6.6",#N/A,FALSE,"Sheet1"}</definedName>
    <definedName name="ass_4" hidden="1">{"print 1.6",#N/A,FALSE,"Sheet1";"print 2.6",#N/A,FALSE,"Sheet1";"print 3.6",#N/A,FALSE,"Sheet1";"print 4.6",#N/A,FALSE,"Sheet1";"print 5.6",#N/A,FALSE,"Sheet1";"print 6.6",#N/A,FALSE,"Sheet1"}</definedName>
    <definedName name="ASSESS_">#REF!</definedName>
    <definedName name="asset" hidden="1">{"print 1.6",#N/A,FALSE,"Sheet1";"print 2.6",#N/A,FALSE,"Sheet1";"print 3.6",#N/A,FALSE,"Sheet1";"print 4.6",#N/A,FALSE,"Sheet1";"print 5.6",#N/A,FALSE,"Sheet1";"print 6.6",#N/A,FALSE,"Sheet1"}</definedName>
    <definedName name="AssetMgmntFee">#REF!</definedName>
    <definedName name="AssetMngmtFee">#REF!</definedName>
    <definedName name="asss" localSheetId="2" hidden="1">{"rtn",#N/A,FALSE,"RTN";"tables",#N/A,FALSE,"RTN";"cf",#N/A,FALSE,"CF";"stats",#N/A,FALSE,"Stats";"prop",#N/A,FALSE,"Prop"}</definedName>
    <definedName name="asss" localSheetId="0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_2" hidden="1">{"rtn",#N/A,FALSE,"RTN";"tables",#N/A,FALSE,"RTN";"cf",#N/A,FALSE,"CF";"stats",#N/A,FALSE,"Stats";"prop",#N/A,FALSE,"Prop"}</definedName>
    <definedName name="asss_3" hidden="1">{"rtn",#N/A,FALSE,"RTN";"tables",#N/A,FALSE,"RTN";"cf",#N/A,FALSE,"CF";"stats",#N/A,FALSE,"Stats";"prop",#N/A,FALSE,"Prop"}</definedName>
    <definedName name="asss_4" hidden="1">{"rtn",#N/A,FALSE,"RTN";"tables",#N/A,FALSE,"RTN";"cf",#N/A,FALSE,"CF";"stats",#N/A,FALSE,"Stats";"prop",#N/A,FALSE,"Prop"}</definedName>
    <definedName name="assssss" hidden="1">{"FCB_ALL",#N/A,FALSE,"FCB"}</definedName>
    <definedName name="assum" hidden="1">{"Financials",#N/A,FALSE,"Financials";"AVP",#N/A,FALSE,"AVP";"DCF",#N/A,FALSE,"DCF";"CSC",#N/A,FALSE,"CSC";"Deal_Comp",#N/A,FALSE,"DealComp"}</definedName>
    <definedName name="ASSUME">#REF!</definedName>
    <definedName name="ASSUMP">#REF!</definedName>
    <definedName name="assumpt">#REF!</definedName>
    <definedName name="assumptions" hidden="1">{#N/A,#N/A,FALSE,"Notes";#N/A,#N/A,FALSE,"CashFlowSummary";#N/A,#N/A,FALSE,"InvestorSummary";#N/A,#N/A,FALSE,"RevenueAssumptions";#N/A,#N/A,FALSE,"MasterCostAssmp";#N/A,#N/A,FALSE,"InTractCstAssmp";#N/A,#N/A,FALSE,"LotTakedowns"}</definedName>
    <definedName name="Assumptions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1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A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ssumSEComb" hidden="1">{"clp_bs_doc",#N/A,FALSE,"CLP";"clp_is_doc",#N/A,FALSE,"CLP";"clp_cf_doc",#N/A,FALSE,"CLP";"clp_fr_doc",#N/A,FALSE,"CLP"}</definedName>
    <definedName name="aswd" hidden="1">{#N/A,#N/A,FALSE,"Loan Summary";#N/A,#N/A,FALSE,"NOI";"RR and Expir",#N/A,FALSE,"Rental";"Sales History",#N/A,FALSE,"Rental";#N/A,#N/A,FALSE,"Reserves"}</definedName>
    <definedName name="Atlanta" hidden="1">{#N/A,#N/A,FALSE,"Chart 2 by Prop Type"}</definedName>
    <definedName name="Attach3" hidden="1">{"Grant",#N/A,FALSE,"Grant";"GP Developer",#N/A,FALSE,"GP &amp; Dev Loans";"Operating Analysis",#N/A,FALSE,"Operations";"Tax Credit",#N/A,FALSE,"Tax Credits";"Tax Credit Analysis",#N/A,FALSE,"TC Analysis"}</definedName>
    <definedName name="Aug.">#REF!</definedName>
    <definedName name="avegmultiple" hidden="1">#REF!</definedName>
    <definedName name="aveparkcopy" hidden="1">{"View1",#N/A,FALSE,"Sheet1";"View2",#N/A,FALSE,"Sheet1"}</definedName>
    <definedName name="AvgCOC_10yr">#REF!</definedName>
    <definedName name="AvgCOC_5yr">#REF!</definedName>
    <definedName name="avl" hidden="1">{"Analysis of Assets_Liabilities",#N/A,FALSE,"ccy_anal";"Analysis of Investments",#N/A,FALSE,"ccy_anal"}</definedName>
    <definedName name="awe" hidden="1">{"FCB_ALL",#N/A,FALSE,"FCB"}</definedName>
    <definedName name="awea" hidden="1">{"FCB_ALL",#N/A,FALSE,"FCB";"GREY_ALL",#N/A,FALSE,"GREY"}</definedName>
    <definedName name="awuil">#REF!</definedName>
    <definedName name="ayesha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az" hidden="1">{#N/A,#N/A,FALSE,"Chart 2 by Prop Type"}</definedName>
    <definedName name="b" hidden="1">{#N/A,#N/A,FALSE,"ExitStratigy"}</definedName>
    <definedName name="b_Key1" hidden="1">#REF!</definedName>
    <definedName name="b_Key2" hidden="1">#REF!</definedName>
    <definedName name="ba" hidden="1">{"FCB_ALL",#N/A,FALSE,"FCB";"GREY_ALL",#N/A,FALSE,"GREY"}</definedName>
    <definedName name="back" hidden="1">{"fdb1_Rapport_Report",#N/A,FALSE,"Report"}</definedName>
    <definedName name="back2" hidden="1">{"fdb2_print",#N/A,FALSE,"Report"}</definedName>
    <definedName name="backup_yo" hidden="1">{"fdb1_Rapport_Report",#N/A,FALSE,"Report"}</definedName>
    <definedName name="backup2_yo" hidden="1">{"fdb2_print",#N/A,FALSE,"Report"}</definedName>
    <definedName name="BadLink" hidden="1">#REF!</definedName>
    <definedName name="BAL_SHT">#REF!</definedName>
    <definedName name="balance">#REF!</definedName>
    <definedName name="BalType">#REF!</definedName>
    <definedName name="Bank_funding">#REF!</definedName>
    <definedName name="BASE">#REF!</definedName>
    <definedName name="Base_Rental_Revenue">#REF!</definedName>
    <definedName name="Base.Row">ROW(#REF!)</definedName>
    <definedName name="BASERATE">#REF!</definedName>
    <definedName name="BaseRnt">#REF!</definedName>
    <definedName name="Battery">#N/A</definedName>
    <definedName name="battery1">{"Annually";"Semi-Annually";"Quarterly";"Bi-Monthly";"Monthly"}</definedName>
    <definedName name="battery2">#REF!</definedName>
    <definedName name="battery3">#N/A</definedName>
    <definedName name="battery4">#REF!</definedName>
    <definedName name="battery5">#REF!</definedName>
    <definedName name="bb" hidden="1">{#N/A,#N/A,FALSE,"ExitStratigy"}</definedName>
    <definedName name="bbb" hidden="1">{#N/A,#N/A,FALSE,"ExitStratigy"}</definedName>
    <definedName name="bbbb" hidden="1">{#N/A,#N/A,FALSE,"Aging Summary";#N/A,#N/A,FALSE,"Ratio Analysis";#N/A,#N/A,FALSE,"Test 120 Day Accts";#N/A,#N/A,FALSE,"Tickmarks"}</definedName>
    <definedName name="bbbbbb" hidden="1">{"Outflow 1",#N/A,FALSE,"Outflows-Inflows";"Outflow 2",#N/A,FALSE,"Outflows-Inflows";"Inflow 1",#N/A,FALSE,"Outflows-Inflows";"Inflow 2",#N/A,FALSE,"Outflows-Inflows"}</definedName>
    <definedName name="bd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bdinvestor" hidden="1">{"View1",#N/A,FALSE,"Sheet1";"View2",#N/A,FALSE,"Sheet1"}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Bal">#REF!</definedName>
    <definedName name="BellGlobeMedia" localSheetId="0">Word</definedName>
    <definedName name="BellGlobeMedia">Word</definedName>
    <definedName name="ben" hidden="1">{"Analysis of Assets_Liabilities",#N/A,FALSE,"ccy_anal";"Analysis of Investments",#N/A,FALSE,"ccy_anal"}</definedName>
    <definedName name="BETA">#REF!</definedName>
    <definedName name="Bewässerung">#REF!</definedName>
    <definedName name="Bewässerung_______28.">#REF!</definedName>
    <definedName name="BG_Del" hidden="1">15</definedName>
    <definedName name="BG_Ins" hidden="1">4</definedName>
    <definedName name="BG_Mod" hidden="1">6</definedName>
    <definedName name="bijou">#REF!</definedName>
    <definedName name="Billboard_Cell_Tower_Income">#REF!</definedName>
    <definedName name="birch">#REF!</definedName>
    <definedName name="Bison_Spot">#REF!</definedName>
    <definedName name="blah" hidden="1">{"Input Assumptions",#N/A,FALSE,"Summary";"Project CF",#N/A,FALSE,"Summary";"Debt &amp; Sq. Ft.",#N/A,FALSE,"Summary";"Revenues",#N/A,FALSE,"Revenue"}</definedName>
    <definedName name="blah1" hidden="1">{"schedule1",#N/A,FALSE,"Sheet1";"schedule2",#N/A,FALSE,"Sheet1";"schedule3",#N/A,FALSE,"Sheet1";"schedule4",#N/A,FALSE,"Sheet1";"schedule5",#N/A,FALSE,"Sheet1";"schedule6",#N/A,FALSE,"Sheet1"}</definedName>
    <definedName name="blah2" hidden="1">{"'Directory'!$A$72:$E$91"}</definedName>
    <definedName name="blah3" hidden="1">{"'Directory'!$A$72:$E$91"}</definedName>
    <definedName name="blc">#REF!</definedName>
    <definedName name="BLPH1" hidden="1">#REF!</definedName>
    <definedName name="BLPH10" hidden="1">#REF!</definedName>
    <definedName name="BLPH1001" hidden="1">#REF!</definedName>
    <definedName name="BLPH1002" hidden="1">#REF!</definedName>
    <definedName name="BLPH1003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5" hidden="1">#REF!</definedName>
    <definedName name="BLPH536" hidden="1">#REF!</definedName>
    <definedName name="BLPH6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9" hidden="1">#REF!</definedName>
    <definedName name="BLPH99" hidden="1">#REF!</definedName>
    <definedName name="BNE_MESSAGES_HIDDEN" hidden="1">#REF!</definedName>
    <definedName name="bnmb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boc">#REF!</definedName>
    <definedName name="Bond" localSheetId="0">Facility</definedName>
    <definedName name="Bond">Facility</definedName>
    <definedName name="BONDRATE">#REF!</definedName>
    <definedName name="bps">#REF!</definedName>
    <definedName name="BR_MO">#REF!</definedName>
    <definedName name="BR_YR">#REF!</definedName>
    <definedName name="Bridgerock" hidden="1">{"Financials",#N/A,FALSE,"Financials";"AVP",#N/A,FALSE,"AVP";"DCF",#N/A,FALSE,"DCF";"CSC",#N/A,FALSE,"CSC";"Deal_Comp",#N/A,FALSE,"DealComp"}</definedName>
    <definedName name="BROWS">#REF!</definedName>
    <definedName name="BSIWhichPageSetup" hidden="1">1</definedName>
    <definedName name="BSIWhichPageSetup_0" hidden="1">"0þ"</definedName>
    <definedName name="BU_Fin_high_pg1">#REF!</definedName>
    <definedName name="BUCH2">#REF!</definedName>
    <definedName name="BUDGET">#REF!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dgetyear">#REF!</definedName>
    <definedName name="BUDGETYTD">#REF!</definedName>
    <definedName name="budtype">#REF!</definedName>
    <definedName name="building">#REF!</definedName>
    <definedName name="building_address">#REF!</definedName>
    <definedName name="building_entity">#REF!</definedName>
    <definedName name="BULK_ValidationRange_0b7bdea024214a8282272c9afb1564a3" hidden="1">#REF!</definedName>
    <definedName name="BULK_ValidationRange_12556ffef6aa483299aa0877d17cbfa0">#REF!</definedName>
    <definedName name="BULK_ValidationRange_12821d32298743069c881a2c45e792ee" hidden="1">#REF!</definedName>
    <definedName name="BULK_ValidationRange_149183ca4b8747228aeaf6223dc7d01e">#REF!</definedName>
    <definedName name="BULK_ValidationRange_14c2cd2d31c34555a7ba024d9466d88c">#REF!</definedName>
    <definedName name="BULK_ValidationRange_15618c1c73dd49549d24af154e37eb19" hidden="1">#REF!</definedName>
    <definedName name="BULK_ValidationRange_1706a2e64baa4140bee3f0e5769f46cc" hidden="1">#REF!</definedName>
    <definedName name="BULK_ValidationRange_18f4061f3dc84248b46421aae7e5d57b" hidden="1">#REF!</definedName>
    <definedName name="BULK_ValidationRange_18f739bcbf7f47ff9c32ca9cd8a19359">#REF!</definedName>
    <definedName name="BULK_ValidationRange_21ee9137b6cd4289a204b31a11de98c2" hidden="1">#REF!</definedName>
    <definedName name="BULK_ValidationRange_2940cb12f7ff4854beee83124817c702">#REF!</definedName>
    <definedName name="BULK_ValidationRange_2972fb02a2e14ea4aa1ae669088dd14c" hidden="1">#REF!</definedName>
    <definedName name="BULK_ValidationRange_2d09407f771247878d1e4141bffee311">#REF!</definedName>
    <definedName name="BULK_ValidationRange_3233a3f6af92408e969b5ac6d6377fce">#REF!</definedName>
    <definedName name="BULK_ValidationRange_386d5683f9234a1ba3b0e63c8d3a5a62" hidden="1">#REF!</definedName>
    <definedName name="BULK_ValidationRange_3ca9f147e93d4d76b160293bf8d59c1c" hidden="1">#REF!</definedName>
    <definedName name="BULK_ValidationRange_3d913c7796e3451ea94b7e4c0931f5a8" hidden="1">#REF!</definedName>
    <definedName name="BULK_ValidationRange_41efc4496cda42f8a14c1047d8be0977" hidden="1">#REF!</definedName>
    <definedName name="BULK_ValidationRange_44a676f09489472ba03fc7b2209e6ab5">#REF!</definedName>
    <definedName name="BULK_ValidationRange_4722c5575b0743658c6f7b3951ec5c93">#REF!</definedName>
    <definedName name="BULK_ValidationRange_4995a0e33daa40b895c330d90d6dba02" hidden="1">#REF!</definedName>
    <definedName name="BULK_ValidationRange_4cf8d0a98cb147bb83428777ab1f32cc" hidden="1">#REF!</definedName>
    <definedName name="BULK_ValidationRange_5932e04fba674694bae03d04fe5d7dd7">#REF!</definedName>
    <definedName name="BULK_ValidationRange_6000b17ef1314361ad48dbf04c448ab9" hidden="1">#REF!</definedName>
    <definedName name="BULK_ValidationRange_60e57394662e470bbada4829788053d2">#REF!</definedName>
    <definedName name="BULK_ValidationRange_6468c789af0a4b04b91f6020307977a9">#REF!</definedName>
    <definedName name="BULK_ValidationRange_68ab878b7aa14256a61fc3b76911bb0a" hidden="1">#REF!</definedName>
    <definedName name="BULK_ValidationRange_7798328a78a74b3098b5323b7d48b550" hidden="1">#REF!</definedName>
    <definedName name="BULK_ValidationRange_85550909b16f4f609069bc490859c66f" hidden="1">#REF!</definedName>
    <definedName name="BULK_ValidationRange_914aa9c7722043cc91672f3db0beb881" hidden="1">#REF!</definedName>
    <definedName name="BULK_ValidationRange_9450bd842be24c45b479df67b6787428" hidden="1">#REF!</definedName>
    <definedName name="BULK_ValidationRange_9646321a0b424dd6a31d7086868f19ab">#REF!</definedName>
    <definedName name="BULK_ValidationRange_99a490aea6104cf58f799f4ef0297918" hidden="1">#REF!</definedName>
    <definedName name="BULK_ValidationRange_9dbe50a5a8b94d96821c467b29631bba" hidden="1">#REF!</definedName>
    <definedName name="BULK_ValidationRange_a48cf423aa214ca7adad0c840ef491c4" hidden="1">#REF!</definedName>
    <definedName name="BULK_ValidationRange_ade4932bc2d8417db1e14b3c860121cd">#REF!</definedName>
    <definedName name="BULK_ValidationRange_b178c8473ace4def8108a29d34f79aa6">#REF!</definedName>
    <definedName name="BULK_ValidationRange_b7378246069f466ba97cd713ef1b6004">#REF!</definedName>
    <definedName name="BULK_ValidationRange_bc9f24b80a0d42fabad20f4a9fef5e6c" hidden="1">#REF!</definedName>
    <definedName name="BULK_ValidationRange_c4611a26fca64b55a919aa5b891394e8" hidden="1">#REF!</definedName>
    <definedName name="BULK_ValidationRange_c859fbfe6fbb4f1f91f99af3a094e3ea">#REF!</definedName>
    <definedName name="BULK_ValidationRange_cddeba81f4a246599a71522bd3f586fb" hidden="1">#REF!</definedName>
    <definedName name="BULK_ValidationRange_d6419b0234f74cada30b280a6a23355d">#REF!</definedName>
    <definedName name="BULK_ValidationRange_d79ee53613d44cd882449757feee2d82" hidden="1">#REF!</definedName>
    <definedName name="BULK_ValidationRange_d9ce7a4f291b4420b12ccc7d75250576" hidden="1">#REF!</definedName>
    <definedName name="BULK_ValidationRange_de4e10c000d645888413fadda7cbb707" hidden="1">#REF!</definedName>
    <definedName name="BULK_ValidationRange_e22d8460b4fe415ea3348d2cdf9042b1" hidden="1">#REF!</definedName>
    <definedName name="BULK_ValidationRange_e2fd83aeed1d493e816b0ecb68ab475a" hidden="1">#REF!</definedName>
    <definedName name="BULK_ValidationRange_f431fde2da6c4727808a228795ddcb8b" hidden="1">#REF!</definedName>
    <definedName name="BULK_ValidationRange_f48b2752c95f4db8af00438b31b7fb59" hidden="1">#REF!</definedName>
    <definedName name="BULK_ValidationRange_f4dfc3b94e614dd5bb63a1211641bfac" hidden="1">#REF!</definedName>
    <definedName name="BULK_ValidationRange_f58ae05a06d94224bee7a8cbe6bcfdf9" hidden="1">#REF!</definedName>
    <definedName name="BULK_ValidationRange_fd2741e684f14cbeb279cc4d89b4f8d2" hidden="1">#REF!</definedName>
    <definedName name="BULK_ValidationRange_feab3b3f620f4ffe8822de3f4141ef65" hidden="1">#REF!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hit" hidden="1">{"Assumptions",#N/A,TRUE,"Returns";"Tables",#N/A,TRUE,"Returns"}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Unit">#REF!</definedName>
    <definedName name="but" hidden="1">{"2000",#N/A,FALSE,"2000"}</definedName>
    <definedName name="bv" hidden="1">"c2205"</definedName>
    <definedName name="C_">#REF!</definedName>
    <definedName name="c.LTMYear" hidden="1">#REF!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l" hidden="1">{#N/A,#N/A,FALSE,"Project Properties";#N/A,#N/A,FALSE,"Eng %";#N/A,#N/A,FALSE,"ENGFORM";#N/A,#N/A,FALSE,"staffing";#N/A,#N/A,FALSE,"spending"}</definedName>
    <definedName name="CALCCHOICE">#REF!</definedName>
    <definedName name="calvin" hidden="1">{#N/A,#N/A,FALSE,"Project Properties";#N/A,#N/A,FALSE,"Eng %";#N/A,#N/A,FALSE,"ENGFORM";#N/A,#N/A,FALSE,"staffing";#N/A,#N/A,FALSE,"spending"}</definedName>
    <definedName name="CAM">#REF!</definedName>
    <definedName name="Cap">#REF!</definedName>
    <definedName name="CAP_IMP">#REF!</definedName>
    <definedName name="Cap_Inplace">#REF!</definedName>
    <definedName name="Cap_MTM">#REF!</definedName>
    <definedName name="Cap_Rate">#REF!</definedName>
    <definedName name="Cap_Yr1">#REF!</definedName>
    <definedName name="Cap_Yr3">#REF!</definedName>
    <definedName name="Cap_Yr5">#REF!</definedName>
    <definedName name="CAPIMPRV">#REF!</definedName>
    <definedName name="capint">#REF!</definedName>
    <definedName name="Capital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CapRate">#REF!</definedName>
    <definedName name="Carrie" hidden="1">#REF!</definedName>
    <definedName name="case_name">#REF!</definedName>
    <definedName name="cash" hidden="1">{#N/A,#N/A,FALSE,"Assumptions";#N/A,#N/A,FALSE,"Consol CF";#N/A,#N/A,FALSE,"Hacienda CF";#N/A,#N/A,FALSE,"Chabot CF";#N/A,#N/A,FALSE,"Diablo CF"}</definedName>
    <definedName name="CASH_FLOW">#REF!</definedName>
    <definedName name="CASH198">#REF!</definedName>
    <definedName name="cash23" hidden="1">{"fdb1_Rapport_Report",#N/A,FALSE,"Report"}</definedName>
    <definedName name="CASH297">#REF!</definedName>
    <definedName name="cashflow">#REF!</definedName>
    <definedName name="CASHFLOW2">#REF!</definedName>
    <definedName name="CASHFLOW3">#REF!</definedName>
    <definedName name="CashflowRO_Codes" hidden="1">#REF!</definedName>
    <definedName name="CashflowRO_Details" hidden="1">#REF!</definedName>
    <definedName name="cashoncash">#REF!</definedName>
    <definedName name="cat">#REF!</definedName>
    <definedName name="cavde" hidden="1">{"FCB_ALL",#N/A,FALSE,"FCB"}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WorkbookPriority" hidden="1">-1131501022</definedName>
    <definedName name="cc" hidden="1">{#N/A,#N/A,FALSE,"LoanAssumptions"}</definedName>
    <definedName name="cc." hidden="1">{"CD1",#N/A,TRUE,"C-D (R)";"CD2",#N/A,TRUE,"C-D (R)"}</definedName>
    <definedName name="cCaprecycling">#REF!</definedName>
    <definedName name="ccc" hidden="1">{#N/A,#N/A,FALSE,"LoanAssumptions"}</definedName>
    <definedName name="cccc" hidden="1">{#N/A,#N/A,TRUE,"10 Yr Hold";#N/A,#N/A,TRUE,"7 Yr Hold";#N/A,#N/A,TRUE,"5 Yr Hold";#N/A,#N/A,TRUE,"3 Yr Hold"}</definedName>
    <definedName name="ccccc" hidden="1">{#N/A,#N/A,FALSE,"Class A";#N/A,#N/A,FALSE,"Class B";#N/A,#N/A,FALSE,"Class C"}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EC_DATA" hidden="1">#REF!</definedName>
    <definedName name="CCM">#REF!</definedName>
    <definedName name="ccs" hidden="1">{#N/A,#N/A,FALSE,"Chart 2 by Prop Type"}</definedName>
    <definedName name="cd" hidden="1">{"annual",#N/A,FALSE,"Pro Forma";#N/A,#N/A,FALSE,"Golf Operations"}</definedName>
    <definedName name="cDebt">#REF!</definedName>
    <definedName name="cDebtassum">#REF!</definedName>
    <definedName name="cdfd" hidden="1">{"fdb1_Rapport_Report",#N/A,FALSE,"Report"}</definedName>
    <definedName name="cDispositions">#REF!</definedName>
    <definedName name="cDMrev">#REF!</definedName>
    <definedName name="census">#REF!</definedName>
    <definedName name="cert" hidden="1">{"fis.dbo.r1_datasum"}</definedName>
    <definedName name="cert1" hidden="1">{"fis.dbo.r1_datasum"}</definedName>
    <definedName name="CF">#REF!</definedName>
    <definedName name="CFafterDS">#REF!</definedName>
    <definedName name="cfgcfg" hidden="1">{#N/A,#N/A,FALSE,"CCC Variance";#N/A,#N/A,FALSE,"CCC Notes"}</definedName>
    <definedName name="cfgjcfgh" hidden="1">{#N/A,#N/A,FALSE,"Common Area Accrual";#N/A,#N/A,FALSE,"Unit One LaSalle";#N/A,#N/A,FALSE,"Unit One CW";#N/A,#N/A,FALSE,"Unit One LaSalle + C &amp; W";#N/A,#N/A,FALSE,"Consolidated Accrual"}</definedName>
    <definedName name="cfin100">#REF!</definedName>
    <definedName name="cfin101">#REF!</definedName>
    <definedName name="cfin102">#REF!</definedName>
    <definedName name="cfin103">#REF!</definedName>
    <definedName name="cfin104">#REF!</definedName>
    <definedName name="cfin105">#REF!</definedName>
    <definedName name="cfin106">#REF!</definedName>
    <definedName name="cfin107">#REF!</definedName>
    <definedName name="CFIN196">#REF!</definedName>
    <definedName name="cfin197">#REF!</definedName>
    <definedName name="cfin198">#REF!</definedName>
    <definedName name="cfin199">#REF!</definedName>
    <definedName name="cfin200">#REF!</definedName>
    <definedName name="cfin201">#REF!</definedName>
    <definedName name="cfin202">#REF!</definedName>
    <definedName name="cfin203">#REF!</definedName>
    <definedName name="cfin204">#REF!</definedName>
    <definedName name="cfin205">#REF!</definedName>
    <definedName name="cfin206">#REF!</definedName>
    <definedName name="cfin207">#REF!</definedName>
    <definedName name="CFIN295">#REF!</definedName>
    <definedName name="CFIN296">#REF!</definedName>
    <definedName name="cfin297">#REF!</definedName>
    <definedName name="cfin298">#REF!</definedName>
    <definedName name="cfin299">#REF!</definedName>
    <definedName name="cfl">#REF!</definedName>
    <definedName name="cflookup">#REF!</definedName>
    <definedName name="cFMV">#REF!</definedName>
    <definedName name="CFS">#REF!</definedName>
    <definedName name="cGAexpenses">#REF!</definedName>
    <definedName name="cgaf" hidden="1">{"FCB_ALL",#N/A,FALSE,"FCB"}</definedName>
    <definedName name="cgafde" hidden="1">{"FCB_ALL",#N/A,FALSE,"FCB"}</definedName>
    <definedName name="cghj" hidden="1">{"ReportTop",#N/A,FALSE,"report top"}</definedName>
    <definedName name="ChangeRange" hidden="1">#N/A</definedName>
    <definedName name="Chart" hidden="1">#REF!</definedName>
    <definedName name="Chart12345" hidden="1">#REF!</definedName>
    <definedName name="chase">#REF!</definedName>
    <definedName name="check2" hidden="1">{#N/A,#N/A,FALSE,"Cashflow Analysis";#N/A,#N/A,FALSE,"Sensitivity Analysis";#N/A,#N/A,FALSE,"PV";#N/A,#N/A,FALSE,"Pro Forma"}</definedName>
    <definedName name="Cherokee">#REF!</definedName>
    <definedName name="chgeas" hidden="1">{"FCB_ALL",#N/A,FALSE,"FCB"}</definedName>
    <definedName name="Choices_Wrapper">#REF!</definedName>
    <definedName name="CIQWBGuid" hidden="1">"322255f0-d5f7-4ed0-9297-4b0b9fdb7c94"</definedName>
    <definedName name="Circ_Break">#REF!</definedName>
    <definedName name="CIRCULAR">#REF!</definedName>
    <definedName name="cLandacq">#REF!</definedName>
    <definedName name="cLandsale">#REF!</definedName>
    <definedName name="ClientFees">#REF!</definedName>
    <definedName name="CLOSING">#REF!</definedName>
    <definedName name="cocncf">#REF!</definedName>
    <definedName name="cocnoi">#REF!</definedName>
    <definedName name="Code" hidden="1">#REF!</definedName>
    <definedName name="COL" hidden="1">#REF!</definedName>
    <definedName name="com" hidden="1">{#N/A,#N/A,FALSE,"PropInfo";#N/A,#N/A,FALSE,"Summary";#N/A,#N/A,FALSE,"Comparitive";#N/A,#N/A,FALSE,"RevSummary";#N/A,#N/A,FALSE,"Rooms";#N/A,#N/A,FALSE,"Van";#N/A,#N/A,FALSE,"F&amp;B Rev";#N/A,#N/A,FALSE,"Food";#N/A,#N/A,FALSE,"Bev";#N/A,#N/A,FALSE,"PBX";#N/A,#N/A,FALSE,"Fitness";#N/A,#N/A,FALSE,"Golf #1";#N/A,#N/A,FALSE,"Golf #2 ";#N/A,#N/A,FALSE,"Tennis";#N/A,#N/A,FALSE,"BusCtr";#N/A,#N/A,FALSE,"InRoomVend";#N/A,#N/A,FALSE,"Retail #1";#N/A,#N/A,FALSE,"Retail #2";#N/A,#N/A,FALSE,"Parking";#N/A,#N/A,FALSE,"Rents&amp;Other";#N/A,#N/A,FALSE,"A&amp;G";#N/A,#N/A,FALSE,"A&amp;P";#N/A,#N/A,FALSE,"Comp";#N/A,#N/A,FALSE,"R&amp;M";#N/A,#N/A,FALSE,"Energy";#N/A,#N/A,FALSE,"Capital";#N/A,#N/A,FALSE,"Laundry";#N/A,#N/A,FALSE,"EmpCafe";#N/A,#N/A,FALSE,"PTEB";#N/A,#N/A,FALSE,"Rent Calc"}</definedName>
    <definedName name="COMM_BLEND">#REF!</definedName>
    <definedName name="COMM_NEW">#REF!</definedName>
    <definedName name="COMM_RENEWAL">#REF!</definedName>
    <definedName name="COMMENTS">#REF!</definedName>
    <definedName name="CommercialCF">#REF!</definedName>
    <definedName name="commonstart" hidden="1">#REF!</definedName>
    <definedName name="Community">#REF!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SUMMARY">#REF!</definedName>
    <definedName name="CompanyOH" hidden="1">#REF!</definedName>
    <definedName name="compnam" hidden="1">#REF!</definedName>
    <definedName name="comps" hidden="1">#REF!</definedName>
    <definedName name="conflict" hidden="1">#REF!</definedName>
    <definedName name="Consolidated">#REF!</definedName>
    <definedName name="ConstLoan">#REF!</definedName>
    <definedName name="ConstLoan2">#REF!</definedName>
    <definedName name="ConstLoan3">#REF!</definedName>
    <definedName name="ConstPeriod">#REF!</definedName>
    <definedName name="Construct" hidden="1">{"Assumptions",#N/A,FALSE,"Assumptions"}</definedName>
    <definedName name="construction" hidden="1">{"Construction Costs",#N/A,FALSE,"Total Costs"}</definedName>
    <definedName name="Construction1" hidden="1">{"Construction Costs",#N/A,FALSE,"Total Costs"}</definedName>
    <definedName name="ConstStart">#REF!</definedName>
    <definedName name="CONT200">#REF!</definedName>
    <definedName name="CONT2000">#REF!</definedName>
    <definedName name="ContentsHelp" hidden="1">#N/A</definedName>
    <definedName name="control">#REF!</definedName>
    <definedName name="Control_Number">#REF!</definedName>
    <definedName name="COO" hidden="1">{#N/A,#N/A,FALSE,"Matrix";#N/A,#N/A,FALSE,"Cash Flow";#N/A,#N/A,FALSE,"10 Year Cost Analysis"}</definedName>
    <definedName name="cOpprop">#REF!</definedName>
    <definedName name="cOppropnew">#REF!</definedName>
    <definedName name="Copy" hidden="1">{"AnnualRentRoll",#N/A,FALSE,"RentRoll"}</definedName>
    <definedName name="copy2" hidden="1">{"new",#N/A,FALSE,"D";"PROFORMA",#N/A,FALSE,"A";"partial 1",#N/A,FALSE,"B";"partial 2",#N/A,FALSE,"B";"partial 3",#N/A,FALSE,"B";"SMALL CF 1",#N/A,FALSE,"C"}</definedName>
    <definedName name="copyal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copymondayjv" hidden="1">{"View1",#N/A,FALSE,"Sheet1";"View2",#N/A,FALSE,"Sheet1"}</definedName>
    <definedName name="corp" hidden="1">{#N/A,#N/A,FALSE,"ZellLurieFinSummary";#N/A,#N/A,FALSE,"FirstCapFinSummary";#N/A,#N/A,FALSE,"ZM I-III Consol FinSummary"}</definedName>
    <definedName name="coss">#REF!</definedName>
    <definedName name="Costs" hidden="1">{"eca",#N/A,TRUE,"E-C1 (R)";"ecb",#N/A,TRUE,"E-C1 (R)"}</definedName>
    <definedName name="Cottage" hidden="1">{"cot1",#N/A,FALSE,"Cottages";"cot2",#N/A,FALSE,"Cottages";"cot3",#N/A,FALSE,"Cottages"}</definedName>
    <definedName name="cottage2" hidden="1">{"cot1",#N/A,FALSE,"Cottages";"cot2",#N/A,FALSE,"Cottages";"cot3",#N/A,FALSE,"Cottages"}</definedName>
    <definedName name="COUNT">#N/A</definedName>
    <definedName name="CPIMAyo1" hidden="1">{"Zone1",#N/A,FALSE,"Parameters";"Zone2",#N/A,FALSE,"Parameters"}</definedName>
    <definedName name="CreateTable" hidden="1">#N/A</definedName>
    <definedName name="Credit_loss">#REF!</definedName>
    <definedName name="CreditStats" hidden="1">#REF!</definedName>
    <definedName name="_xlnm.Criteria">#REF!</definedName>
    <definedName name="CSDCDS" hidden="1">#REF!</definedName>
    <definedName name="CSG" hidden="1">{"cap_structure",#N/A,FALSE,"Graph-Mkt Cap";"price",#N/A,FALSE,"Graph-Price";"ebit",#N/A,FALSE,"Graph-EBITDA";"ebitda",#N/A,FALSE,"Graph-EBITDA"}</definedName>
    <definedName name="csh" hidden="1">{"fdb2_print",#N/A,FALSE,"Report"}</definedName>
    <definedName name="cStabilisations">#REF!</definedName>
    <definedName name="cStarts">#REF!</definedName>
    <definedName name="Currency">#REF!</definedName>
    <definedName name="CURRENT">#REF!</definedName>
    <definedName name="Current_month">#REF!</definedName>
    <definedName name="CURRENTYTD">#REF!</definedName>
    <definedName name="CurrS">#REF!</definedName>
    <definedName name="curse" hidden="1">#REF!</definedName>
    <definedName name="cursource" hidden="1">"SQLServer"</definedName>
    <definedName name="curve">IF(#REF!="Actual",SUMIF(#REF!,CONCATENATE(#REF!,MONTH(#REF!),YEAR(#REF!)),#REF!)/1000,IF(#REF!=0,0,IF(#REF!&lt;#REF!,#REF!,(#REF!/#REF!)*#REF!)))</definedName>
    <definedName name="curveinc">IF(#REF!="Actual",SUMIF(#REF!,CONCATENATE(#REF!,MONTH(#REF!),YEAR(#REF!)),#REF!)/1000,IF(#REF!=0,0,IF(#REF!&lt;#REF!,#REF!,(#REF!/#REF!)*-#REF!)))</definedName>
    <definedName name="cvade" hidden="1">{"FCB_ALL",#N/A,FALSE,"FCB"}</definedName>
    <definedName name="cVLN">#REF!</definedName>
    <definedName name="CVS" hidden="1">#REF!</definedName>
    <definedName name="Cwvu._Current_." hidden="1">#REF!,#REF!,#REF!,#REF!,#REF!,#REF!,#REF!,#REF!,#REF!,#REF!,#REF!,#REF!,#REF!,#REF!,#REF!,#REF!,#REF!,#REF!,#REF!,#REF!,#REF!,#REF!,#REF!,#REF!</definedName>
    <definedName name="Cwvu.ACCOUNT._.DETAIL." hidden="1">#REF!</definedName>
    <definedName name="Cwvu.GREY_ALL." hidden="1">#REF!</definedName>
    <definedName name="Cwvu.Overhead._.Detail." hidden="1">#REF!,#REF!,#REF!,#REF!,#REF!,#REF!,#REF!,#REF!,#REF!,#REF!</definedName>
    <definedName name="Cwvu.Profit._.report._.detailed." hidden="1">#REF!,#REF!,#REF!,#REF!,#REF!,#REF!,#REF!,#REF!,#REF!</definedName>
    <definedName name="Cwvu.WAT." hidden="1">#REF!</definedName>
    <definedName name="Cwvy.GREY_ALL._dcf" hidden="1">#REF!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cxvbvcxb" hidden="1">#REF!</definedName>
    <definedName name="CY">#REF!</definedName>
    <definedName name="d" hidden="1">{#N/A,#N/A,FALSE,"LoanAssumptions"}</definedName>
    <definedName name="d_1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g" hidden="1">{"Total",#N/A,FALSE,"Six Fields";"PDP",#N/A,FALSE,"Six Fields";"PNP",#N/A,FALSE,"Six Fields";"PUD",#N/A,FALSE,"Six Fields";"Prob",#N/A,FALSE,"Six Fields"}</definedName>
    <definedName name="danbe" hidden="1">#N/A</definedName>
    <definedName name="danny" hidden="1">#REF!</definedName>
    <definedName name="das" hidden="1">#REF!</definedName>
    <definedName name="dasdasdsasad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dasf" hidden="1">#REF!</definedName>
    <definedName name="dasgfdag" hidden="1">{"FCB_ALL",#N/A,FALSE,"FCB"}</definedName>
    <definedName name="dasklej" hidden="1">{"FCB_ALL",#N/A,FALSE,"FCB"}</definedName>
    <definedName name="dat" hidden="1">{"data",#N/A,FALSE,"INPUT"}</definedName>
    <definedName name="DATA">#REF!</definedName>
    <definedName name="DATA_0" hidden="1">#REF!</definedName>
    <definedName name="DATA_01" hidden="1">#REF!</definedName>
    <definedName name="DATA_01_a" hidden="1">#REF!</definedName>
    <definedName name="DATA_01A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5A" hidden="1">#REF!</definedName>
    <definedName name="DATA_07" hidden="1">#REF!</definedName>
    <definedName name="DATA_07A" hidden="1">#REF!</definedName>
    <definedName name="DATA_08" hidden="1">#REF!</definedName>
    <definedName name="data1" hidden="1">#REF!</definedName>
    <definedName name="Data116" hidden="1">{#N/A,#N/A,FALSE,"Sales"}</definedName>
    <definedName name="data14" hidden="1">{"data",#N/A,FALSE,"INPUT"}</definedName>
    <definedName name="Data16" hidden="1">{#N/A,#N/A,FALSE,"Sales"}</definedName>
    <definedName name="data2" hidden="1">#REF!</definedName>
    <definedName name="data3" hidden="1">#REF!</definedName>
    <definedName name="_xlnm.Database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error" hidden="1">{"data",#N/A,FALSE,"INPUT"}</definedName>
    <definedName name="DATATABLE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_CurrMo">#REF!</definedName>
    <definedName name="date_PriorMo">#REF!</definedName>
    <definedName name="Dates">#REF!</definedName>
    <definedName name="DAYAN" hidden="1">{"LIBOR",#N/A,TRUE,"Model";"Caps",#N/A,TRUE,"Model";"Assets",#N/A,TRUE,"Model";"Liabilities",#N/A,TRUE,"Model";"Tests",#N/A,TRUE,"Model";"Results",#N/A,TRUE,"Model"}</definedName>
    <definedName name="db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dbase_char_set" hidden="1">1</definedName>
    <definedName name="dbase_compatibility" hidden="1">1</definedName>
    <definedName name="dbase_dflt" hidden="1">TRUE</definedName>
    <definedName name="dc" hidden="1">{#N/A,#N/A,FALSE,"Chart 2 by Prop Type"}</definedName>
    <definedName name="dd" hidden="1">{"MonthlyRentRoll",#N/A,FALSE,"RentRoll"}</definedName>
    <definedName name="ddd" hidden="1">{"MonthlyRentRoll",#N/A,FALSE,"RentRoll"}</definedName>
    <definedName name="dddd" hidden="1">#REF!</definedName>
    <definedName name="dddddd" hidden="1">#REF!</definedName>
    <definedName name="dddddd2" hidden="1">{#N/A,#N/A,FALSE,"CAPREIT"}</definedName>
    <definedName name="ddddddd" hidden="1">{#N/A,#N/A,FALSE,"CAPREIT"}</definedName>
    <definedName name="ddddddd2" hidden="1">{#N/A,#N/A,FALSE,"CAPREIT"}</definedName>
    <definedName name="ddddddddddd" hidden="1">{#N/A,#N/A,TRUE,"Krycí list"}</definedName>
    <definedName name="dddddddddddddddddd" hidden="1">{"Full Gross to Net",#N/A,TRUE,"GtoN";"R_I Accepted from Group Coys",#N/A,TRUE,"GtoN";"R_I Ceded to Group Coys",#N/A,TRUE,"GtoN";"Closing Loss Reserves and Gross Claims Incurred",#N/A,TRUE,"GtoN"}</definedName>
    <definedName name="dddddddddddddddddddddddddddd" hidden="1">{#N/A,#N/A,FALSE,"A";#N/A,#N/A,FALSE,"C"}</definedName>
    <definedName name="ddeded" hidden="1">{"TAB 1",#N/A,FALSE,"1";"tab 2",#N/A,FALSE,"2";"TAB 3",#N/A,FALSE,"3";"tab 4",#N/A,FALSE,"4";"tab 5",#N/A,FALSE,"5";"tab 6",#N/A,FALSE,"6";"tab 7",#N/A,FALSE,"7";"TAB 8",#N/A,FALSE,"8"}</definedName>
    <definedName name="ddgfds" hidden="1">{#N/A,#N/A,FALSE,"Consolidated";#N/A,#N/A,FALSE,"Available Credit";#N/A,#N/A,FALSE,"100% Owned";#N/A,#N/A,FALSE,"Bentall U.S. LLC";#N/A,#N/A,FALSE,"Bentall Properties (U.S.) Ltd.";#N/A,#N/A,FALSE,"Schedule I"}</definedName>
    <definedName name="DDLEntityType">#REF!</definedName>
    <definedName name="DDLResidentialAffordableType">#REF!</definedName>
    <definedName name="DDLResidentialUnitType">#REF!</definedName>
    <definedName name="ddm" hidden="1">{"May",#N/A,FALSE,"Manager Report"}</definedName>
    <definedName name="ddrd" hidden="1">#REF!</definedName>
    <definedName name="deal.closer">#REF!</definedName>
    <definedName name="deal.dealName">#REF!</definedName>
    <definedName name="deal.initialFunding">#REF!</definedName>
    <definedName name="debt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urchaseRange" hidden="1">0</definedName>
    <definedName name="debt_ratedBBB" hidden="1">{#N/A,#N/A,FALSE,"Aging Summary";#N/A,#N/A,FALSE,"Ratio Analysis";#N/A,#N/A,FALSE,"Test 120 Day Accts";#N/A,#N/A,FALSE,"Tickmarks"}</definedName>
    <definedName name="Debt_RefiTypes" hidden="1">#REF!</definedName>
    <definedName name="Debt_Show1_Amort" hidden="1">#REF!</definedName>
    <definedName name="Debt_Show1_AmortHC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bt1" hidden="1">{"Annual",#N/A,FALSE,"Sales &amp; Market";"Quarterly",#N/A,FALSE,"Sales &amp; Market"}</definedName>
    <definedName name="Debt2" hidden="1">{"'Expirations'!$A$1:$L$65"}</definedName>
    <definedName name="DebtAdjustable">#REF!</definedName>
    <definedName name="debtpage">#REF!</definedName>
    <definedName name="DebtPiece1">#REF!</definedName>
    <definedName name="DebtPiece2">#REF!</definedName>
    <definedName name="DebtPiece3">#REF!</definedName>
    <definedName name="debtpref" hidden="1">#REF!</definedName>
    <definedName name="DebtSummary">#REF!</definedName>
    <definedName name="DEF" hidden="1">#REF!</definedName>
    <definedName name="DefExpNewBusDetails" hidden="1">#REF!</definedName>
    <definedName name="DefExpTendDetails" hidden="1">#REF!</definedName>
    <definedName name="defg" hidden="1">{"Financials",#N/A,FALSE,"Financials";"AVP",#N/A,FALSE,"AVP";"DCF",#N/A,FALSE,"DCF";"CSC",#N/A,FALSE,"CSC";"Deal_Comp",#N/A,FALSE,"DealComp"}</definedName>
    <definedName name="del" hidden="1">{"Page1",#N/A,FALSE,"7979";"Page2",#N/A,FALSE,"7979";"Page3",#N/A,FALSE,"7979"}</definedName>
    <definedName name="delete2" hidden="1">#REF!</definedName>
    <definedName name="DeleteRange" hidden="1">#N/A</definedName>
    <definedName name="DeleteTable" hidden="1">#N/A</definedName>
    <definedName name="DELME" hidden="1">{#N/A,#N/A,FALSE,"A";#N/A,#N/A,FALSE,"C"}</definedName>
    <definedName name="DELME_condo" hidden="1">{#N/A,#N/A,FALSE,"A";#N/A,#N/A,FALSE,"C"}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hidden="1">{#N/A,#N/A,FALSE,"399 Park Var";#N/A,#N/A,FALSE,"PK NOTES"}</definedName>
    <definedName name="DELME4_Condo" hidden="1">{#N/A,#N/A,FALSE,"399 Park Var";#N/A,#N/A,FALSE,"PK NOTES"}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hidden="1">{"ACCOUNTING COPY",#N/A,FALSE,"SCHEDULE A";"FINANCE COPY",#N/A,FALSE,"SCHEDULE A";"P.L. COPY",#N/A,FALSE,"SCHEDULE A"}</definedName>
    <definedName name="dep.amt.non.commitFee">#REF!</definedName>
    <definedName name="dep.amt.ref.commitFee">#REF!</definedName>
    <definedName name="depr">#REF!</definedName>
    <definedName name="DeprBuilding">#REF!</definedName>
    <definedName name="DepreLeasing">#REF!</definedName>
    <definedName name="DeprTI">#REF!</definedName>
    <definedName name="DetailLabelCurrent">#REF!</definedName>
    <definedName name="DetailLabelPrior">#REF!</definedName>
    <definedName name="DEV_FEE">#REF!</definedName>
    <definedName name="Dez.">#REF!</definedName>
    <definedName name="df" hidden="1">{"CASHFLOW",#N/A,FALSE,"Northpointe"}</definedName>
    <definedName name="df_1" hidden="1">{"CASHFLOW",#N/A,FALSE,"Northpointe"}</definedName>
    <definedName name="dfasfdsa" hidden="1">{#N/A,#N/A,TRUE,"10 Yr Hold";#N/A,#N/A,TRUE,"7 Yr Hold";#N/A,#N/A,TRUE,"5 Yr Hold";#N/A,#N/A,TRUE,"3 Yr Hold"}</definedName>
    <definedName name="dfd" hidden="1">{"CSheet",#N/A,FALSE,"C";"SmCap",#N/A,FALSE,"VAL1";"GulfCoast",#N/A,FALSE,"VAL1";"nav",#N/A,FALSE,"NAV";"Summary",#N/A,FALSE,"NAV"}</definedName>
    <definedName name="dfdas" hidden="1">{"FCB_ALL",#N/A,FALSE,"FCB";"GREY_ALL",#N/A,FALSE,"GREY"}</definedName>
    <definedName name="dfdas1" hidden="1">{"FCB_ALL",#N/A,FALSE,"FCB";"GREY_ALL",#N/A,FALSE,"GREY"}</definedName>
    <definedName name="dfdf" hidden="1">{#N/A,#N/A,FALSE,"Class A";#N/A,#N/A,FALSE,"Class B";#N/A,#N/A,FALSE,"Class C"}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ere" hidden="1">{"ReportTop",#N/A,FALSE,"report top"}</definedName>
    <definedName name="dff" hidden="1">{"sheet a",#N/A,FALSE,"A";"2 9 casflow",#N/A,FALSE,"B"}</definedName>
    <definedName name="DFFDG" hidden="1">#REF!</definedName>
    <definedName name="dfg">#REF!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g" hidden="1">{"sheet a",#N/A,FALSE,"A";"sheet b 1",#N/A,FALSE,"B";"sheet b 2",#N/A,FALSE,"B"}</definedName>
    <definedName name="dfgsdf" hidden="1">{"FCB_ALL",#N/A,FALSE,"FCB"}</definedName>
    <definedName name="dfhdfh" hidden="1">{"Construction Costs",#N/A,FALSE,"Total Costs"}</definedName>
    <definedName name="dfhdh" hidden="1">{#N/A,#N/A,FALSE,"COVER SHEET";#N/A,#N/A,FALSE,"SECT 1 - SUMM";#N/A,#N/A,FALSE,"SECT 1 - LND PLAN";#N/A,#N/A,FALSE,"SECT 2 - COMBINED QTRLY PROJ CF";#N/A,#N/A,FALSE,"SECT 2 - KUKIO CF";#N/A,#N/A,FALSE,"SECT 2 - MANINI CF";#N/A,#N/A,FALSE,"SECT 5a - CLUB ASSUMPTIONS";#N/A,#N/A,FALSE,"SECT 5 - QTRLY CLUB OPS"}</definedName>
    <definedName name="dfhfh" hidden="1">#REF!</definedName>
    <definedName name="dfhsdf" hidden="1">{0,0,0,0}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ndhgn" hidden="1">#REF!</definedName>
    <definedName name="dgtdf" hidden="1">{"FCB_ALL",#N/A,FALSE,"FCB"}</definedName>
    <definedName name="dh" hidden="1">{#N/A,#N/A,TRUE,"Krycí list"}</definedName>
    <definedName name="dhdjy" hidden="1">#REF!</definedName>
    <definedName name="DHG" hidden="1">{"cap_structure",#N/A,FALSE,"Graph-Mkt Cap";"price",#N/A,FALSE,"Graph-Price";"ebit",#N/A,FALSE,"Graph-EBITDA";"ebitda",#N/A,FALSE,"Graph-EBITDA"}</definedName>
    <definedName name="dhgndn" hidden="1">#REF!</definedName>
    <definedName name="dhh" hidden="1">{#N/A,#N/A,TRUE,"Krycí list"}</definedName>
    <definedName name="dhhh" hidden="1">{#N/A,#N/A,TRUE,"Krycí list"}</definedName>
    <definedName name="DINK">#REF!</definedName>
    <definedName name="Dir_Cap_Value_Stab">#REF!</definedName>
    <definedName name="directory2">#REF!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isc">#REF!</definedName>
    <definedName name="Discount" hidden="1">#REF!</definedName>
    <definedName name="Discount_Rate">#REF!</definedName>
    <definedName name="DiscRate_24seven">#REF!</definedName>
    <definedName name="DiscRate_A">#REF!</definedName>
    <definedName name="Discrepancy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isplay_area_2" hidden="1">#REF!</definedName>
    <definedName name="DisplaySelectedSheetsMacroButton">#REF!</definedName>
    <definedName name="dispo">#REF!</definedName>
    <definedName name="DispositionFees">#REF!</definedName>
    <definedName name="DispositionPrice" hidden="1">#REF!</definedName>
    <definedName name="dist00">#REF!</definedName>
    <definedName name="dist01">#REF!</definedName>
    <definedName name="dist02">#REF!</definedName>
    <definedName name="dist03">#REF!</definedName>
    <definedName name="dist04">#REF!</definedName>
    <definedName name="dist05">#REF!</definedName>
    <definedName name="dist06">#REF!</definedName>
    <definedName name="dist07">#REF!</definedName>
    <definedName name="dist97">#REF!</definedName>
    <definedName name="dist98">#REF!</definedName>
    <definedName name="dist99">#REF!</definedName>
    <definedName name="distrib" hidden="1">{#N/A,#N/A,FALSE,"Sheet10"}</definedName>
    <definedName name="Divestitures" hidden="1">{"investment roll for cashflow",#N/A,FALSE,"detail investment sched";"fixed asset roll for cashflow",#N/A,FALSE,"other schedules";"goodwill roll for cashflow",#N/A,FALSE,"other schedules";"long term debt roll for cashflow",#N/A,FALSE,"other schedules";"minority interest roll for cashflow",#N/A,FALSE,"other schedules";"other long term obligations roll",#N/A,FALSE,"other schedules"}</definedName>
    <definedName name="dkfjal" hidden="1">#REF!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N_Markets">#REF!</definedName>
    <definedName name="DocType" localSheetId="0">Word</definedName>
    <definedName name="DocType">Word</definedName>
    <definedName name="DocType2" localSheetId="0">Word</definedName>
    <definedName name="DocType2">Word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ug" hidden="1">{#N/A,#N/A,FALSE,"Consolidated";#N/A,#N/A,FALSE,"Available Credit";#N/A,#N/A,FALSE,"100% Owned";#N/A,#N/A,FALSE,"Bentall U.S. LLC";#N/A,#N/A,FALSE,"Bentall Properties (U.S.) Ltd.";#N/A,#N/A,FALSE,"Schedule I"}</definedName>
    <definedName name="doug2" hidden="1">{#N/A,#N/A,FALSE,"Consolidated";#N/A,#N/A,FALSE,"Available Credit";#N/A,#N/A,FALSE,"100% Owned";#N/A,#N/A,FALSE,"Bentall U.S. LLC";#N/A,#N/A,FALSE,"Bentall Properties (U.S.) Ltd.";#N/A,#N/A,FALSE,"Schedule I"}</definedName>
    <definedName name="dougie" hidden="1">{#N/A,#N/A,FALSE,"Consolidated";#N/A,#N/A,FALSE,"Available Credit";#N/A,#N/A,FALSE,"100% Owned";#N/A,#N/A,FALSE,"Bentall U.S. LLC";#N/A,#N/A,FALSE,"Bentall Properties (U.S.) Ltd.";#N/A,#N/A,FALSE,"Schedule I"}</definedName>
    <definedName name="Down_Time">#REF!</definedName>
    <definedName name="dpa">#REF!</definedName>
    <definedName name="DRE_P_Flor" hidden="1">#REF!</definedName>
    <definedName name="DRE_P_Trad" hidden="1">#REF!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" hidden="1">{#N/A,#N/A,FALSE,"Chart 2 by Prop Type"}</definedName>
    <definedName name="dsaf" hidden="1">{#N/A,#N/A,FALSE,"ExecSum";#N/A,#N/A,FALSE,"total summary";#N/A,#N/A,FALSE,"Budget";#N/A,#N/A,FALSE,"CashFlow"}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" hidden="1">{#N/A,#N/A,FALSE,"Chart 2 by Prop Type"}</definedName>
    <definedName name="dsfdsfds" hidden="1">{#N/A,#N/A,FALSE,"Consolidated";#N/A,#N/A,FALSE,"Available Credit";#N/A,#N/A,FALSE,"100% Owned";#N/A,#N/A,FALSE,"Bentall U.S. LLC";#N/A,#N/A,FALSE,"Bentall Properties (U.S.) Ltd.";#N/A,#N/A,FALSE,"Schedule I"}</definedName>
    <definedName name="dsfgdsfg" hidden="1">#REF!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sgh" hidden="1">{#N/A,#N/A,TRUE,"Krycí list"}</definedName>
    <definedName name="dsghh" hidden="1">{#N/A,#N/A,TRUE,"Krycí list"}</definedName>
    <definedName name="dsgvnlkdsfn" hidden="1">{#N/A,#N/A,FALSE,"Chart 2 by Prop Type"}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1A" hidden="1">#REF!</definedName>
    <definedName name="DSIndHistHiddenYear2" hidden="1">#REF!</definedName>
    <definedName name="DSIndHistHiddenYear2A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S" hidden="1">{"print STAY opening assumptions",#N/A,FALSE,"STAY Openings";"print STAY openings",#N/A,FALSE,"STAY Openings"}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TABLE02">#REF!</definedName>
    <definedName name="DTABLE03">#REF!</definedName>
    <definedName name="DTABLE04">#REF!</definedName>
    <definedName name="DTABLE06">#REF!</definedName>
    <definedName name="DTABLE07">#REF!</definedName>
    <definedName name="DTABLE08">#REF!</definedName>
    <definedName name="DTABLE09">#REF!</definedName>
    <definedName name="DTABLE10">#REF!</definedName>
    <definedName name="DTCALC">#REF!</definedName>
    <definedName name="dtytyhj" hidden="1">#REF!</definedName>
    <definedName name="DVLPBDG">#REF!</definedName>
    <definedName name="dw" hidden="1">#REF!</definedName>
    <definedName name="DY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{"MonthlyRentRoll",#N/A,FALSE,"RentRoll"}</definedName>
    <definedName name="E15xe81">#REF!</definedName>
    <definedName name="EagleLogo" hidden="1">"Picture 1"</definedName>
    <definedName name="earn1" hidden="1">#REF!</definedName>
    <definedName name="EBIT_Margin_Adjusted_Data" hidden="1">OFFSET(#REF!,0,0,COUNTA(#REF!),1)</definedName>
    <definedName name="EBIT_Margin_Data" hidden="1">OFFSET(#REF!,0,0,COUNTA(#REF!)-1,1)</definedName>
    <definedName name="EBIT_Margin_Dummy_Data" hidden="1">OFFSET(#REF!,0,0,COUNTA(#REF!)-1,1)</definedName>
    <definedName name="EBIT_Margin_X_Values" hidden="1">OFFSET(#REF!,0,0,COUNTA(#REF!)-1,1)</definedName>
    <definedName name="ebitdamargin">#REF!</definedName>
    <definedName name="ed" hidden="1">{#N/A,#N/A,FALSE,"Chart 2 by Prop Type"}</definedName>
    <definedName name="edd" hidden="1">{"rtn",#N/A,FALSE,"RTN";"tables",#N/A,FALSE,"RTN";"cf",#N/A,FALSE,"CF";"stats",#N/A,FALSE,"Stats";"prop",#N/A,FALSE,"Prop"}</definedName>
    <definedName name="Eden" hidden="1">{"AnnualRentRoll",#N/A,FALSE,"RentRoll"}</definedName>
    <definedName name="edf" hidden="1">{#N/A,#N/A,FALSE,"Chart 2 by Prop Type"}</definedName>
    <definedName name="edr" hidden="1">{#N/A,#N/A,FALSE,"Chart 2 by Prop Type"}</definedName>
    <definedName name="ee" hidden="1">{#N/A,#N/A,FALSE,"OperatingAssumptions"}</definedName>
    <definedName name="eee" hidden="1">{#N/A,#N/A,FALSE,"OperatingAssumptions"}</definedName>
    <definedName name="eeee" hidden="1">#REF!</definedName>
    <definedName name="eeeee" hidden="1">{#N/A,#N/A,FALSE,"CAPREIT"}</definedName>
    <definedName name="eeeeee" hidden="1">#REF!</definedName>
    <definedName name="eeeeeeee" hidden="1">#REF!</definedName>
    <definedName name="eer" hidden="1">{"Construction_Short",#N/A,FALSE,"Construction"}</definedName>
    <definedName name="effd" hidden="1">{#N/A,#N/A,FALSE,"Class A";#N/A,#N/A,FALSE,"Class B";#N/A,#N/A,FALSE,"Class C"}</definedName>
    <definedName name="efQFQA" hidden="1">#REF!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iyr1">#REF!</definedName>
    <definedName name="egiyr10">#REF!</definedName>
    <definedName name="egiyr11">#REF!</definedName>
    <definedName name="egiyr2">#REF!</definedName>
    <definedName name="egiyr3">#REF!</definedName>
    <definedName name="egiyr4">#REF!</definedName>
    <definedName name="egiyr5">#REF!</definedName>
    <definedName name="egiyr6">#REF!</definedName>
    <definedName name="egiyr7">#REF!</definedName>
    <definedName name="egiyr8">#REF!</definedName>
    <definedName name="egiyr9">#REF!</definedName>
    <definedName name="ehretje" hidden="1">#REF!</definedName>
    <definedName name="eisen">#REF!</definedName>
    <definedName name="ELIGIBLE_ASSETS">#REF!</definedName>
    <definedName name="ellen" hidden="1">{#N/A,#N/A,FALSE,"WATCHDSC";#N/A,#N/A,FALSE,"2LOSSMOD";#N/A,#N/A,FALSE,"2LOSS";#N/A,#N/A,FALSE,"DSC";#N/A,#N/A,FALSE,"OPERAT";#N/A,#N/A,FALSE,"ADJUST";#N/A,#N/A,FALSE,"LEASE EXPIRE"}</definedName>
    <definedName name="encum">#REF!</definedName>
    <definedName name="end">IF([0]!Loan_Amount*[0]!Interest_Rate*[0]!Loan_Years*[0]!Loan_Start&gt;0,1,0)</definedName>
    <definedName name="End_Bal">#REF!</definedName>
    <definedName name="EndCol">#REF!</definedName>
    <definedName name="EndRow">#REF!</definedName>
    <definedName name="ENGEL" hidden="1">#REF!</definedName>
    <definedName name="entities">#REF!</definedName>
    <definedName name="ENTRIES" hidden="1">#REF!</definedName>
    <definedName name="Entries2" hidden="1">#REF!</definedName>
    <definedName name="entry" hidden="1">{#N/A,#N/A,FALSE,"Sales"}</definedName>
    <definedName name="entry1" hidden="1">{#N/A,#N/A,FALSE,"Sales"}</definedName>
    <definedName name="Entwässerung">#REF!</definedName>
    <definedName name="EOP_MSA_sort_Buildings">#REF!</definedName>
    <definedName name="EOP_MSA_Sort_MSA">#REF!</definedName>
    <definedName name="EOP_MSA_sort_NOI">#REF!</definedName>
    <definedName name="EOP_MSA_sort_SQFT">#REF!</definedName>
    <definedName name="ep" hidden="1">#REF!</definedName>
    <definedName name="EPRINT1">#REF!</definedName>
    <definedName name="epsltm" hidden="1">#REF!</definedName>
    <definedName name="EPU00">#REF!</definedName>
    <definedName name="Equity">#REF!</definedName>
    <definedName name="EQUITY_COST">#REF!</definedName>
    <definedName name="Equity_Invested">#REF!</definedName>
    <definedName name="equity2row" hidden="1">#REF!</definedName>
    <definedName name="equityrow" hidden="1">#REF!</definedName>
    <definedName name="er" hidden="1">{#N/A,#N/A,FALSE,"Chart 2 by Prop Type"}</definedName>
    <definedName name="ER_MO">#REF!</definedName>
    <definedName name="ER_YR">#REF!</definedName>
    <definedName name="erasdf" hidden="1">{"Assump",#N/A,TRUE,"Proforma";"first",#N/A,TRUE,"Proforma";"second",#N/A,TRUE,"Proforma";"lease1",#N/A,TRUE,"Proforma";"lease2",#N/A,TRUE,"Proforma"}</definedName>
    <definedName name="ere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r" hidden="1">{"Total",#N/A,FALSE,"Six Fields";"PDP",#N/A,FALSE,"Six Fields";"PNP",#N/A,FALSE,"Six Fields";"PUD",#N/A,FALSE,"Six Fields";"Prob",#N/A,FALSE,"Six Fields"}</definedName>
    <definedName name="ererg" hidden="1">{"Investor",#N/A,FALSE,"Model";"Property",#N/A,FALSE,"Model";"Incentive Taxes",#N/A,FALSE,"Model"}</definedName>
    <definedName name="eret" hidden="1">{"sheet a",#N/A,FALSE,"A";"2 9 casflow",#N/A,FALSE,"B"}</definedName>
    <definedName name="erg" hidden="1">{0,0,"",0;0,0,0,0;0,0,0,0;0,0,0,0;0,0,0,0}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ic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OWS">#REF!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rt5t6" hidden="1">{"Detail Project Cash Flow",#N/A,TRUE,"Cash Flow Grid";"Financing Calculation",#N/A,TRUE,"Cash Flow Grid"}</definedName>
    <definedName name="erterg" hidden="1">#REF!</definedName>
    <definedName name="ERTY" hidden="1">#REF!</definedName>
    <definedName name="erw" hidden="1">{"Detail Project Cash Flow",#N/A,TRUE,"Cash Flow Grid";"Financing Calculation",#N/A,TRUE,"Cash Flow Grid"}</definedName>
    <definedName name="erwsr" hidden="1">{#N/A,#N/A,FALSE,"Fund-II"}</definedName>
    <definedName name="erwtwert" hidden="1">#REF!</definedName>
    <definedName name="eryuietj" hidden="1">#REF!</definedName>
    <definedName name="eryumds" hidden="1">{"qtrl1",#N/A,TRUE,"Annual Summary";"qtrl2",#N/A,TRUE,"Annual Summary";"qtrl3",#N/A,TRUE,"Annual Summary";"qtrl4",#N/A,TRUE,"QTLY Summary";"qtrl5",#N/A,TRUE,"QTLY Summary";"qtrl6",#N/A,TRUE,"QTLY Summary"}</definedName>
    <definedName name="es" hidden="1">{"FCB_ALL",#N/A,FALSE,"FCB"}</definedName>
    <definedName name="ESC_PSF">#REF!</definedName>
    <definedName name="ESC_VAR">#REF!</definedName>
    <definedName name="ESCAL">#REF!</definedName>
    <definedName name="esr" hidden="1">{"FCB_ALL",#N/A,FALSE,"FCB"}</definedName>
    <definedName name="esrs" hidden="1">{"FCB_ALL",#N/A,FALSE,"FCB"}</definedName>
    <definedName name="est_mvic" hidden="1">#REF!</definedName>
    <definedName name="estimate">#REF!</definedName>
    <definedName name="estimateexp">#REF!</definedName>
    <definedName name="etert" hidden="1">{"sheet a",#N/A,FALSE,"A";"sheet b 1",#N/A,FALSE,"B";"sheet b 2",#N/A,FALSE,"B"}</definedName>
    <definedName name="etyjydt" hidden="1">#REF!</definedName>
    <definedName name="Euro_FXRate">#REF!</definedName>
    <definedName name="euyhj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EV__CVPARAMS__" hidden="1">"S1!$A$4:$B$21;"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39367.6355439815</definedName>
    <definedName name="EV__LOCKEDCVW__DRP" hidden="1">"R_REVROI,BU4081,CURRENT,INPUT,D1139,LC,2009.TOTAL,PERIODIC,"</definedName>
    <definedName name="EV__LOCKEDCVW__FINANCE" hidden="1">"GOI,BU4081,CURRENT,TOTALADJ,D_HOTEL,All_InterCo,LC,2010.TOTAL,PERIODIC,"</definedName>
    <definedName name="EV__LOCKEDCVW__FINANCEDETAIL" hidden="1">"706520,BU4081,CURRENT,INPUT,D0185,Non_InterCo,L_ALL,LC,2009.TOTAL,PERIODIC,"</definedName>
    <definedName name="EV__LOCKEDCVW__HCM" hidden="1">"PC_MNTHLY,BU4081,CURRENT,INPUT,D_HOTEL,E0,LC,2009.TOTAL,PERIODIC,"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MEMORYCVW__INFO" hidden="1">"FINANCE"</definedName>
    <definedName name="EV__USERCHANGEOPTIONS__" hidden="1">1</definedName>
    <definedName name="EV__WBEVMODE__" hidden="1">0</definedName>
    <definedName name="EV__WBREFOPTIONS__" hidden="1">4</definedName>
    <definedName name="EV__WBVERSION__" hidden="1">0</definedName>
    <definedName name="ev.Calculation" hidden="1">-4135</definedName>
    <definedName name="ev.Initialized" hidden="1">FALSE</definedName>
    <definedName name="ew" hidden="1">#REF!</definedName>
    <definedName name="ewrqwer" hidden="1">#REF!</definedName>
    <definedName name="Ex.Rate">1.55576</definedName>
    <definedName name="ExactAddinConnection" hidden="1">"015"</definedName>
    <definedName name="ExactAddinConnection.015" hidden="1">"SQL;022;pcardinale;1"</definedName>
    <definedName name="ExactAddinConnection.018" hidden="1">"SQL;018;ablanchard;1"</definedName>
    <definedName name="ExactAddinReports" hidden="1">1</definedName>
    <definedName name="ExbMult_Total" hidden="1">#REF!</definedName>
    <definedName name="exbnumlist" hidden="1">#REF!</definedName>
    <definedName name="exc" hidden="1">{"'Assump'!$F$6:$J$6"}</definedName>
    <definedName name="excel" hidden="1">{#N/A,#N/A,FALSE}</definedName>
    <definedName name="Exch_FX_Euro">#REF!</definedName>
    <definedName name="exchange">900</definedName>
    <definedName name="Exchange_Rates" hidden="1">#REF!</definedName>
    <definedName name="exhibits1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ExistingDebtSchedule">#REF!</definedName>
    <definedName name="Exit">#REF!</definedName>
    <definedName name="Exit_Cap">#REF!</definedName>
    <definedName name="Exit_Cap_Rate">#REF!</definedName>
    <definedName name="Exit_Date">#REF!</definedName>
    <definedName name="EXITcap">#REF!</definedName>
    <definedName name="ExitPSF_Yr10">#REF!</definedName>
    <definedName name="ExitPSF_Yr3">#REF!</definedName>
    <definedName name="ExitPSF_Yr5">#REF!</definedName>
    <definedName name="exp" hidden="1">#REF!</definedName>
    <definedName name="Exp_Mo">#REF!</definedName>
    <definedName name="Exp_Yr">#REF!</definedName>
    <definedName name="Exp_yr1">#REF!</definedName>
    <definedName name="Exp_yr10">#REF!</definedName>
    <definedName name="Exp_yr11">#REF!</definedName>
    <definedName name="Exp_yr12">#REF!</definedName>
    <definedName name="Exp_yr13">#REF!</definedName>
    <definedName name="Exp_yr14">#REF!</definedName>
    <definedName name="Exp_yr15">#REF!</definedName>
    <definedName name="Exp_yr16">#REF!</definedName>
    <definedName name="Exp_yr2">#REF!</definedName>
    <definedName name="Exp_yr3">#REF!</definedName>
    <definedName name="Exp_yr4">#REF!</definedName>
    <definedName name="Exp_yr5">#REF!</definedName>
    <definedName name="Exp_yr6">#REF!</definedName>
    <definedName name="Exp_yr7">#REF!</definedName>
    <definedName name="Exp_yr8">#REF!</definedName>
    <definedName name="Exp_yr9">#REF!</definedName>
    <definedName name="exp.amt.reimb.3rdPartyUW">#REF!</definedName>
    <definedName name="exp.amt.reimb.aerialsPhotos">#REF!</definedName>
    <definedName name="exp.amt.reimb.appraisal">#REF!</definedName>
    <definedName name="exp.amt.reimb.audit">#REF!</definedName>
    <definedName name="exp.amt.reimb.confCalls">#REF!</definedName>
    <definedName name="exp.amt.reimb.copies">#REF!</definedName>
    <definedName name="exp.amt.reimb.courier">#REF!</definedName>
    <definedName name="exp.amt.reimb.creditReports">#REF!</definedName>
    <definedName name="exp.amt.reimb.engineer">#REF!</definedName>
    <definedName name="exp.amt.reimb.envPhase1">#REF!</definedName>
    <definedName name="exp.amt.reimb.envPhase2">#REF!</definedName>
    <definedName name="exp.amt.reimb.equifax">#REF!</definedName>
    <definedName name="exp.amt.reimb.fedEx">#REF!</definedName>
    <definedName name="exp.amt.reimb.FF_E">#REF!</definedName>
    <definedName name="exp.amt.reimb.leaseReview">#REF!</definedName>
    <definedName name="exp.amt.reimb.legal">#REF!</definedName>
    <definedName name="exp.amt.reimb.loanStaffServices">#REF!</definedName>
    <definedName name="exp.amt.reimb.marketReports">#REF!</definedName>
    <definedName name="exp.amt.reimb.miscExpenses">#REF!</definedName>
    <definedName name="exp.amt.reimb.otherReport">#REF!</definedName>
    <definedName name="exp.amt.reimb.peerreview">#REF!</definedName>
    <definedName name="exp.amt.reimb.seismic">#REF!</definedName>
    <definedName name="exp.amt.reimb.t_l">#REF!</definedName>
    <definedName name="exp.amt.reimb.t_lSpecCharge">#REF!</definedName>
    <definedName name="exp.amt.reimb.valuationServices">#REF!</definedName>
    <definedName name="exp.amt.reimb.zoning">#REF!</definedName>
    <definedName name="exp.vend.reimb.3rdPartyUW">#REF!</definedName>
    <definedName name="exp.vend.reimb.aerialsPhotos">#REF!</definedName>
    <definedName name="exp.vend.reimb.confCalls">#REF!</definedName>
    <definedName name="exp.vend.reimb.copies">#REF!</definedName>
    <definedName name="exp.vend.reimb.courier">#REF!</definedName>
    <definedName name="exp.vend.reimb.creditReports">#REF!</definedName>
    <definedName name="exp.vend.reimb.equifax">#REF!</definedName>
    <definedName name="exp.vend.reimb.fedEx">#REF!</definedName>
    <definedName name="exp.vend.reimb.leaseReview">#REF!</definedName>
    <definedName name="exp.vend.reimb.legal">#REF!</definedName>
    <definedName name="exp.vend.reimb.loanStaffServices">#REF!</definedName>
    <definedName name="exp.vend.reimb.marketReports">#REF!</definedName>
    <definedName name="exp.vend.reimb.miscExpenses">#REF!</definedName>
    <definedName name="exp.vend.reimb.t_l">#REF!</definedName>
    <definedName name="exp.vend.reimb.t_lSpecCharge">#REF!</definedName>
    <definedName name="exp.vend.reimb.valuationServices">#REF!</definedName>
    <definedName name="EXPBGT">#REF!</definedName>
    <definedName name="EXPBGTCALC">#REF!</definedName>
    <definedName name="EXPBGTSUM">#REF!</definedName>
    <definedName name="expcomp">"Option Button 21"</definedName>
    <definedName name="Expense_Category_1">#REF!</definedName>
    <definedName name="Expense_Category_10">#REF!</definedName>
    <definedName name="Expense_Category_11">#REF!</definedName>
    <definedName name="Expense_Category_12">#REF!</definedName>
    <definedName name="Expense_Category_13">#REF!</definedName>
    <definedName name="Expense_Category_14">#REF!</definedName>
    <definedName name="Expense_Category_15">#REF!</definedName>
    <definedName name="Expense_Category_16">#REF!</definedName>
    <definedName name="Expense_Category_17">#REF!</definedName>
    <definedName name="Expense_Category_18">#REF!</definedName>
    <definedName name="Expense_Category_19">#REF!</definedName>
    <definedName name="Expense_Category_2">#REF!</definedName>
    <definedName name="Expense_Category_20">#REF!</definedName>
    <definedName name="Expense_Category_3">#REF!</definedName>
    <definedName name="Expense_Category_4">#REF!</definedName>
    <definedName name="Expense_Category_5">#REF!</definedName>
    <definedName name="Expense_Category_6">#REF!</definedName>
    <definedName name="Expense_Category_7">#REF!</definedName>
    <definedName name="Expense_Category_8">#REF!</definedName>
    <definedName name="Expense_Category_9">#REF!</definedName>
    <definedName name="Expense_Inflation">#REF!</definedName>
    <definedName name="expinet">"Option Button 20"</definedName>
    <definedName name="EXPIRATION">#REF!</definedName>
    <definedName name="EXPSAL1">#REF!</definedName>
    <definedName name="EXPSAL10">#REF!</definedName>
    <definedName name="EXPSAL2">#REF!</definedName>
    <definedName name="EXPSAL3">#REF!</definedName>
    <definedName name="EXPSAL4">#REF!</definedName>
    <definedName name="EXPSAL5">#REF!</definedName>
    <definedName name="EXPSAL6">#REF!</definedName>
    <definedName name="EXPSAL7">#REF!</definedName>
    <definedName name="EXPSAL8">#REF!</definedName>
    <definedName name="EXPSAL9">#REF!</definedName>
    <definedName name="EXPSALDET">#REF!</definedName>
    <definedName name="EXPSUMM">#REF!</definedName>
    <definedName name="exptenant">"exptenant"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.cad">1.01595</definedName>
    <definedName name="exrate.euro">0.7852</definedName>
    <definedName name="ExRateLTM_Yr1" hidden="1">#REF!</definedName>
    <definedName name="ExRateLTM_Yr2" hidden="1">#REF!</definedName>
    <definedName name="ExRateLTM_Yr3" hidden="1">#REF!</definedName>
    <definedName name="extra" hidden="1">{#N/A,#N/A,TRUE,"10 Yr Hold";#N/A,#N/A,TRUE,"7 Yr Hold";#N/A,#N/A,TRUE,"5 Yr Hold";#N/A,#N/A,TRUE,"3 Yr Hold"}</definedName>
    <definedName name="Extra_Pay">#REF!</definedName>
    <definedName name="eysdy" hidden="1">#REF!</definedName>
    <definedName name="ezrtezr" hidden="1">#REF!</definedName>
    <definedName name="ezrtrezt" hidden="1">#REF!</definedName>
    <definedName name="eztezrt" hidden="1">#REF!</definedName>
    <definedName name="f">#REF!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asadfasdfasdfasdafsdf" hidden="1">#REF!</definedName>
    <definedName name="fafdasfda" hidden="1">{#N/A,#N/A,TRUE,"10 Yr Hold";#N/A,#N/A,TRUE,"7 Yr Hold";#N/A,#N/A,TRUE,"5 Yr Hold";#N/A,#N/A,TRUE,"3 Yr Hold"}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as" hidden="1">{#N/A,#N/A,TRUE,"10 Yr Hold";#N/A,#N/A,TRUE,"7 Yr Hold";#N/A,#N/A,TRUE,"5 Yr Hold";#N/A,#N/A,TRUE,"3 Yr Hold"}</definedName>
    <definedName name="fasffSFffASFasfASFasf" hidden="1">{#N/A,#N/A,FALSE,"LP Exp";#N/A,#N/A,FALSE,"Salary";#N/A,#N/A,FALSE,"Admin Exp";#N/A,#N/A,FALSE,"QTS Bud";#N/A,#N/A,FALSE,"Marketing"}</definedName>
    <definedName name="fcaprecycling">#REF!</definedName>
    <definedName name="fcDate" hidden="1">#REF!</definedName>
    <definedName name="FCode" hidden="1">#REF!</definedName>
    <definedName name="fd" hidden="1">{#N/A,#N/A,FALSE,"Chart 2 by Prop Type"}</definedName>
    <definedName name="fdasfasd" hidden="1">{"bs",#N/A,FALSE,"SCF"}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d" hidden="1">{#N/A,#N/A,FALSE,"Chart 2 by Prop Type"}</definedName>
    <definedName name="fdebt">#REF!</definedName>
    <definedName name="fDebtassum">#REF!</definedName>
    <definedName name="fdf" hidden="1">{"incomemth",#N/A,TRUE,"forecast00";"incomepercentmth",#N/A,TRUE,"forecast00";"balancemth",#N/A,TRUE,"forecast00";"cashmth",#N/A,TRUE,"forecast00";"covenantmth",#N/A,TRUE,"forecast00"}</definedName>
    <definedName name="fdfdfd" hidden="1">{#N/A,#N/A,FALSE,"CAPREIT"}</definedName>
    <definedName name="fdfdfdf" hidden="1">{#N/A,#N/A,FALSE,"CAPREIT"}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ad" hidden="1">{"inputs raw data",#N/A,TRUE,"INPUT"}</definedName>
    <definedName name="fdgfdg" hidden="1">{"FCB_ALL",#N/A,FALSE,"FCB";"GREY_ALL",#N/A,FALSE,"GREY"}</definedName>
    <definedName name="fdgfdgfdg" hidden="1">{#N/A,#N/A,FALSE,"Title Page - Mgmt";#N/A,#N/A,FALSE,"Index - Mgmt";#N/A,#N/A,FALSE,"Stmt of Income";#N/A,#N/A,FALSE,"Balance Sheet";#N/A,#N/A,FALSE,"Stmt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fdgfdsfdre" hidden="1">#REF!</definedName>
    <definedName name="fDispositions">#REF!</definedName>
    <definedName name="fDMRev">#REF!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afdfsa" hidden="1">{#N/A,#N/A,TRUE,"10 Yr Hold";#N/A,#N/A,TRUE,"7 Yr Hold";#N/A,#N/A,TRUE,"5 Yr Hold";#N/A,#N/A,TRUE,"3 Yr Hold"}</definedName>
    <definedName name="fdsafdsagsadgsa" hidden="1">{#N/A,#N/A,TRUE,"10 Yr Hold";#N/A,#N/A,TRUE,"7 Yr Hold";#N/A,#N/A,TRUE,"5 Yr Hold";#N/A,#N/A,TRUE,"3 Yr Hold"}</definedName>
    <definedName name="fdsafsad" hidden="1">{#N/A,#N/A,TRUE,"10 Yr Hold";#N/A,#N/A,TRUE,"7 Yr Hold";#N/A,#N/A,TRUE,"5 Yr Hold";#N/A,#N/A,TRUE,"3 Yr Hold"}</definedName>
    <definedName name="fdsag" hidden="1">{"FCB_ALL",#N/A,FALSE,"FCB"}</definedName>
    <definedName name="fdsakfjds" hidden="1">{"FCB_ALL",#N/A,FALSE,"FCB";"GREY_ALL",#N/A,FALSE,"GREY"}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f" hidden="1">"3AZ7TPCT6F7CLWHBG4RBGUQ78"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sfdhfdh" hidden="1">#REF!</definedName>
    <definedName name="Febr.">#REF!</definedName>
    <definedName name="FEET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hidden="1">{#N/A,#N/A,TRUE,"Summary";"AnnualRentRoll",#N/A,TRUE,"RentRoll";#N/A,#N/A,TRUE,"ExitStratigy";#N/A,#N/A,TRUE,"OperatingAssumptions"}</definedName>
    <definedName name="ffe">#REF!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ff" hidden="1">{#N/A,#N/A,TRUE,"Summary";"AnnualRentRoll",#N/A,TRUE,"RentRoll";#N/A,#N/A,TRUE,"ExitStratigy";#N/A,#N/A,TRUE,"OperatingAssumptions"}</definedName>
    <definedName name="ffff" hidden="1">#REF!</definedName>
    <definedName name="ffffff" hidden="1">#REF!</definedName>
    <definedName name="ffffff.2" hidden="1">{#N/A,#N/A,FALSE,"Cashflow Analysis";#N/A,#N/A,FALSE,"Sensitivity Analysis";#N/A,#N/A,FALSE,"PV";#N/A,#N/A,FALSE,"Pro Forma"}</definedName>
    <definedName name="fffffff" hidden="1">{#N/A,#N/A,FALSE,"Title Page - Mgmt";#N/A,#N/A,FALSE,"Index - Mgmt";#N/A,#N/A,FALSE,"Stmt of Income";#N/A,#N/A,FALSE,"Balance Sheet";#N/A,#N/A,FALSE,"Stmt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l" hidden="1">#REF!</definedName>
    <definedName name="fFMV">#REF!</definedName>
    <definedName name="ffoaccretionanalysis100debt">#REF!</definedName>
    <definedName name="ffoaccretionanalysisdebtandequity">#REF!</definedName>
    <definedName name="ffoaccretionanalysisdevelopandsell">#REF!</definedName>
    <definedName name="ffvdfd" hidden="1">{#N/A,#N/A,FALSE,"Class A";#N/A,#N/A,FALSE,"Class B";#N/A,#N/A,FALSE,"Class C"}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GAexp">#REF!</definedName>
    <definedName name="fgbdzf" hidden="1">{#N/A,#N/A,FALSE,"Cashflow Analysis";#N/A,#N/A,FALSE,"Sensitivity Analysis";#N/A,#N/A,FALSE,"PV";#N/A,#N/A,FALSE,"Pro Forma"}</definedName>
    <definedName name="fgdfs" hidden="1">{"FORMULAS",#N/A,FALSE,"ESTIMATE"}</definedName>
    <definedName name="fgfdg" hidden="1">{"FCB_ALL",#N/A,FALSE,"FCB";"GREY_ALL",#N/A,FALSE,"GREY"}</definedName>
    <definedName name="fg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" hidden="1">#REF!</definedName>
    <definedName name="FileChart" hidden="1">#REF!</definedName>
    <definedName name="Fill" hidden="1">#REF!</definedName>
    <definedName name="FILL2" hidden="1">#REF!</definedName>
    <definedName name="filler" hidden="1">{"Annual Cash Flows",#N/A,FALSE,"Annual Summary"}</definedName>
    <definedName name="filler2" hidden="1">{"Assumptions",#N/A,FALSE,"Assumptions"}</definedName>
    <definedName name="filler3" hidden="1">{"Construction Costs",#N/A,FALSE,"Total Costs"}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al3" hidden="1">{"Construction_Short",#N/A,FALSE,"Construction"}</definedName>
    <definedName name="fine" hidden="1">{"CHART",#N/A,FALSE,"Arch Communications"}</definedName>
    <definedName name="finres" hidden="1">#REF!</definedName>
    <definedName name="FIRR">#REF!</definedName>
    <definedName name="First_payment_due">#REF!</definedName>
    <definedName name="FIRSTLIEN">#REF!</definedName>
    <definedName name="FirstLoanSchedule">#REF!</definedName>
    <definedName name="fixed_assets" hidden="1">{"Detailed",#N/A,FALSE,"Schedule4"}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sajf" hidden="1">{#N/A,#N/A,FALSE,"SCHEDULE A";"MINIMUM RENT",#N/A,FALSE,"SCHEDULES B &amp; C";"PERCENTAGE RENT",#N/A,FALSE,"SCHEDULES B &amp; C"}</definedName>
    <definedName name="fl" hidden="1">#REF!</definedName>
    <definedName name="flandacq">#REF!</definedName>
    <definedName name="flandsale">#REF!</definedName>
    <definedName name="fldfjlsd" hidden="1">#REF!</definedName>
    <definedName name="fll" hidden="1">#REF!</definedName>
    <definedName name="flll" hidden="1">#REF!</definedName>
    <definedName name="Flx_Flor" hidden="1">#REF!</definedName>
    <definedName name="Flx_Trad" hidden="1">#REF!</definedName>
    <definedName name="fm" hidden="1">{"summary1",#N/A,TRUE,"Comps";"summary2",#N/A,TRUE,"Comps";"summary3",#N/A,TRUE,"Comps"}</definedName>
    <definedName name="fnex" hidden="1">#REF!</definedName>
    <definedName name="fopporpnew">#REF!</definedName>
    <definedName name="fOpprop">#REF!</definedName>
    <definedName name="FORECAST">#REF!</definedName>
    <definedName name="FP">FIND("|", [0]!cc)</definedName>
    <definedName name="fr" hidden="1">{"print STAY opening assumptions",#N/A,FALSE,"STAY Openings";"print STAY openings",#N/A,FALSE,"STAY Openings"}</definedName>
    <definedName name="FranFeeFandB">#REF!</definedName>
    <definedName name="FranFeeRoomRev">#REF!</definedName>
    <definedName name="FRED" hidden="1">{#N/A,#N/A,FALSE,"Summary";#N/A,#N/A,FALSE,"Sales";#N/A,#N/A,FALSE,"Costs";#N/A,#N/A,FALSE,"1996";#N/A,#N/A,FALSE,"1997";#N/A,#N/A,FALSE,"1998";#N/A,#N/A,FALSE,"1999";#N/A,#N/A,FALSE,"2000";#N/A,#N/A,FALSE,"2001";#N/A,#N/A,FALSE,"2002";#N/A,#N/A,FALSE,"2003";#N/A,#N/A,FALSE,"2004";#N/A,#N/A,FALSE,"2005";#N/A,#N/A,FALSE,"2006"}</definedName>
    <definedName name="FreeRent">#REF!</definedName>
    <definedName name="Frnt_Amort1">#REF!</definedName>
    <definedName name="Frnt_Amort2">#REF!</definedName>
    <definedName name="frtyu" hidden="1">{#N/A,#N/A,FALSE,"Chart 2 by Prop Type"}</definedName>
    <definedName name="fsddsfds" hidden="1">{#N/A,#N/A,FALSE,"Class A";#N/A,#N/A,FALSE,"Class B";#N/A,#N/A,FALSE,"Class C"}</definedName>
    <definedName name="fsdfd">#REF!</definedName>
    <definedName name="FSDFSDF" hidden="1">#REF!</definedName>
    <definedName name="fsdsfafd" hidden="1">{"CSheet",#N/A,FALSE,"C";"SmCap",#N/A,FALSE,"VAL1";"GulfCoast",#N/A,FALSE,"VAL1";"nav",#N/A,FALSE,"NAV";"Summary",#N/A,FALSE,"NAV"}</definedName>
    <definedName name="fsgdr" hidden="1">{"FCB_ALL",#N/A,FALSE,"FCB"}</definedName>
    <definedName name="fsr" hidden="1">{"FCB_ALL",#N/A,FALSE,"FCB"}</definedName>
    <definedName name="fstabilisations">#REF!</definedName>
    <definedName name="fstarts">#REF!</definedName>
    <definedName name="fsv" hidden="1">{"FCB_ALL",#N/A,FALSE,"FCB";"GREY_ALL",#N/A,FALSE,"GREY"}</definedName>
    <definedName name="ftgygy" hidden="1">{#N/A,#N/A,FALSE,"LP Exp";#N/A,#N/A,FALSE,"Salary";#N/A,#N/A,FALSE,"Admin Exp";#N/A,#N/A,FALSE,"QTS Bud";#N/A,#N/A,FALSE,"Marketing"}</definedName>
    <definedName name="ftyf" hidden="1">{"FCB_ALL",#N/A,FALSE,"FCB";"GREY_ALL",#N/A,FALSE,"GREY"}</definedName>
    <definedName name="fu" hidden="1">{0,0,0,0}</definedName>
    <definedName name="fuck" hidden="1">{"Financials",#N/A,FALSE,"Financials";"AVP",#N/A,FALSE,"AVP";"DCF",#N/A,FALSE,"DCF";"CSC",#N/A,FALSE,"CSC";"Deal_Comp",#N/A,FALSE,"DealComp"}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k" hidden="1">{"1999",#N/A,FALSE,"1999"}</definedName>
    <definedName name="Full_Print">#REF!</definedName>
    <definedName name="Future_Funding">#REF!</definedName>
    <definedName name="FVLN">#REF!</definedName>
    <definedName name="FX_China">#REF!</definedName>
    <definedName name="FX_Euro">#REF!</definedName>
    <definedName name="FX_India">#REF!</definedName>
    <definedName name="FX_Mex">#REF!</definedName>
    <definedName name="FX_Mexico">#REF!</definedName>
    <definedName name="FX_MXN">#REF!</definedName>
    <definedName name="FX_Poland">#REF!</definedName>
    <definedName name="FX_Pound">#REF!</definedName>
    <definedName name="FX_USD">#REF!</definedName>
    <definedName name="FXChina">#REF!</definedName>
    <definedName name="fzgsdrygh" hidden="1">#REF!</definedName>
    <definedName name="g" hidden="1">{#N/A,#N/A,FALSE,"Chart 2 by Prop Type"}</definedName>
    <definedName name="g_1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2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3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e_s_a_m_t">#REF!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laxy">#REF!</definedName>
    <definedName name="garage" hidden="1">{#N/A,#N/A,FALSE,"Garage Assumpt 1";#N/A,#N/A,FALSE,"Garage Op Proj";#N/A,#N/A,FALSE,"Hist I&amp;E";#N/A,#N/A,FALSE,"Garage Lease"}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co">#REF!</definedName>
    <definedName name="gawea" hidden="1">{"FCB_ALL",#N/A,FALSE,"FCB"}</definedName>
    <definedName name="gawen" hidden="1">{"FCB_ALL",#N/A,FALSE,"FCB"}</definedName>
    <definedName name="GC">#REF!</definedName>
    <definedName name="gcgc" hidden="1">{"Annual",#N/A,FALSE,"Sales &amp; Market";"Quarterly",#N/A,FALSE,"Sales &amp; Market"}</definedName>
    <definedName name="gcgc1" hidden="1">{"Annual",#N/A,FALSE,"Sales &amp; Market";"Quarterly",#N/A,FALSE,"Sales &amp; Market"}</definedName>
    <definedName name="gcjki" hidden="1">{#N/A,#N/A,TRUE,"Krycí list"}</definedName>
    <definedName name="gcjkii" hidden="1">{#N/A,#N/A,TRUE,"Krycí list"}</definedName>
    <definedName name="GCPS">#REF!</definedName>
    <definedName name="GCT">#REF!</definedName>
    <definedName name="gdfga" hidden="1">#REF!</definedName>
    <definedName name="gdxgxdz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eograph_Pie_X_Labels" hidden="1">OFFSET(#REF!,0,0,COUNTA(#REF!)-1,1)</definedName>
    <definedName name="Geography_Pie_Data" hidden="1">OFFSET(#REF!,0,0,COUNTA(#REF!)-1,1)</definedName>
    <definedName name="gf" hidden="1">{#N/A,#N/A,FALSE,"ACQ";#N/A,#N/A,FALSE,"ASSUMP";#N/A,#N/A,FALSE,"CASH FLOW";#N/A,#N/A,FALSE,"SALE";#N/A,#N/A,FALSE,"TIS";#N/A,#N/A,FALSE,"RENT ROLL"}</definedName>
    <definedName name="gfasd" hidden="1">{"FCB_ALL",#N/A,FALSE,"FCB"}</definedName>
    <definedName name="gfd" hidden="1">{#N/A,#N/A,FALSE,"Cashflow Analysis";#N/A,#N/A,FALSE,"Sensitivity Analysis";#N/A,#N/A,FALSE,"PV";#N/A,#N/A,FALSE,"Pro Forma"}</definedName>
    <definedName name="gfgh" hidden="1">{"Assumptions",#N/A,FALSE,"Assumptions"}</definedName>
    <definedName name="gfh" hidden="1">{"CSheet",#N/A,FALSE,"C";"SmCap",#N/A,FALSE,"VAL1";"GulfCoast",#N/A,FALSE,"VAL1";"nav",#N/A,FALSE,"NAV";"Summary",#N/A,FALSE,"NAV"}</definedName>
    <definedName name="gfhs" hidden="1">{"summary1",#N/A,TRUE,"Comps";"summary2",#N/A,TRUE,"Comps";"summary3",#N/A,TRUE,"Comps"}</definedName>
    <definedName name="gfjfju" hidden="1">{"Downside",#N/A,FALSE,"Downside"}</definedName>
    <definedName name="gfsdn" hidden="1">{"FCB_ALL",#N/A,FALSE,"FCB";"GREY_ALL",#N/A,FALSE,"GREY"}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hidden="1">{#N/A,#N/A,FALSE,"PropertyInfo"}</definedName>
    <definedName name="gggg" hidden="1">{"ODB",#N/A,FALSE,"Hold Scenario"}</definedName>
    <definedName name="gggggggg" hidden="1">{#N/A,#N/A,FALSE,"Fund-II"}</definedName>
    <definedName name="gggggggggg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ggh" hidden="1">#REF!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j" hidden="1">{"CSheet",#N/A,FALSE,"C";"SmCap",#N/A,FALSE,"VAL1";"GulfCoast",#N/A,FALSE,"VAL1";"nav",#N/A,FALSE,"NAV";"Summary",#N/A,FALSE,"NAV"}</definedName>
    <definedName name="ghjghjr" hidden="1">{"Bid",#N/A,FALSE,"Estimate";"Breakdowm",#N/A,FALSE,"Estimate"}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accts">#REF!</definedName>
    <definedName name="GLCode">#REF!</definedName>
    <definedName name="GLDesc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_CPI">#REF!</definedName>
    <definedName name="Global_Inflation">#REF!</definedName>
    <definedName name="gmail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gmcol" hidden="1">#REF!</definedName>
    <definedName name="GMHEQUITY">#REF!</definedName>
    <definedName name="GMHEQUITYA">#REF!</definedName>
    <definedName name="GoIn_Cap">#REF!</definedName>
    <definedName name="gr" hidden="1">{"three",#N/A,FALSE,"Capital";"four",#N/A,FALSE,"Capital"}</definedName>
    <definedName name="graph" hidden="1">#REF!</definedName>
    <definedName name="graph." hidden="1">{#N/A,#N/A,FALSE,"Yield Graph"}</definedName>
    <definedName name="graph123" hidden="1">#REF!</definedName>
    <definedName name="Graph1234" hidden="1">#REF!</definedName>
    <definedName name="Graph12345" hidden="1">#REF!</definedName>
    <definedName name="Graph123456" hidden="1">#REF!</definedName>
    <definedName name="Graph1234567" hidden="1">#REF!</definedName>
    <definedName name="graph2." hidden="1">{#N/A,#N/A,FALSE,"Yield Graph";#N/A,#N/A,FALSE,"Rent Roll";#N/A,#N/A,FALSE,"OE Yr1";#N/A,#N/A,FALSE,"Repl.Cst.+Ins."}</definedName>
    <definedName name="graph3." hidden="1">{#N/A,#N/A,FALSE,"Yield Graph"}</definedName>
    <definedName name="GROSS">#REF!</definedName>
    <definedName name="grossnetdebt" hidden="1">#REF!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undsteuer">#REF!</definedName>
    <definedName name="Grundsteuer_____25.">#REF!</definedName>
    <definedName name="Grundsteuer____25.">#REF!</definedName>
    <definedName name="gvk" hidden="1">{"Assumptions",#N/A,FALSE,"Assumptions"}</definedName>
    <definedName name="gyhui" hidden="1">{"CSheet",#N/A,FALSE,"C";"SmCap",#N/A,FALSE,"VAL1";"GulfCoast",#N/A,FALSE,"VAL1";"nav",#N/A,FALSE,"NAV";"Summary",#N/A,FALSE,"NAV"}</definedName>
    <definedName name="gyjh" hidden="1">{#N/A,#N/A,FALSE,"Cashflow Analysis";#N/A,#N/A,FALSE,"Sensitivity Analysis";#N/A,#N/A,FALSE,"PV";#N/A,#N/A,FALSE,"Pro Forma"}</definedName>
    <definedName name="h" hidden="1">{#N/A,#N/A,FALSE,"PropertyInfo"}</definedName>
    <definedName name="hallo" hidden="1">{#N/A,#N/A,FALSE,"Occ and Rate";#N/A,#N/A,FALSE,"PF Input";#N/A,#N/A,FALSE,"Capital Input";#N/A,#N/A,FALSE,"Proforma Five Yr";#N/A,#N/A,FALSE,"Calculations";#N/A,#N/A,FALSE,"Transaction Summary-DTW"}</definedName>
    <definedName name="HardinDistriOper">#REF!</definedName>
    <definedName name="HardinDistriSale">#REF!</definedName>
    <definedName name="HardinDistrOper">#REF!</definedName>
    <definedName name="HardinEntity">#REF!</definedName>
    <definedName name="HardinEq">#REF!</definedName>
    <definedName name="HardinOwn">#REF!</definedName>
    <definedName name="HardinPrefer">#REF!</definedName>
    <definedName name="Hausbeleuchtung">#REF!</definedName>
    <definedName name="Hausbeleuchtung__20.">#REF!</definedName>
    <definedName name="Hausmeisterservice">#REF!</definedName>
    <definedName name="Hausreinigung">#REF!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ader_Row">ROW(#REF!)</definedName>
    <definedName name="heading_2">#REF!</definedName>
    <definedName name="HealthInsurance">#REF!</definedName>
    <definedName name="Heizung_____zum_10.">#REF!</definedName>
    <definedName name="Heizung_____zum_15.">#REF!</definedName>
    <definedName name="Heizung_____zum_25.">#REF!</definedName>
    <definedName name="Heizung_____zum_5.">#REF!</definedName>
    <definedName name="Heizung_____zum_5._10.">#REF!</definedName>
    <definedName name="Hello">#REF!</definedName>
    <definedName name="Hello1" hidden="1">#REF!</definedName>
    <definedName name="help" hidden="1">{#N/A,#N/A,FALSE,"ZLDebtMaturity";#N/A,#N/A,FALSE,"FCDebtMaturity";#N/A,#N/A,FALSE,"ZM3DebtMaturity";#N/A,#N/A,FALSE,"ZM2DebtMaturity";#N/A,#N/A,FALSE,"zm1DebtMaturity";#N/A,#N/A,FALSE,"ConsZM123DebtMaturity"}</definedName>
    <definedName name="help1" hidden="1">{#N/A,#N/A,FALSE,"ZLDebtMaturity";#N/A,#N/A,FALSE,"FCDebtMaturity";#N/A,#N/A,FALSE,"ZM3DebtMaturity";#N/A,#N/A,FALSE,"ZM2DebtMaturity";#N/A,#N/A,FALSE,"zm1DebtMaturity";#N/A,#N/A,FALSE,"ConsZM123DebtMaturity"}</definedName>
    <definedName name="Hey">#REF!</definedName>
    <definedName name="hfd" hidden="1">{"FCB_ALL",#N/A,FALSE,"FCB";"GREY_ALL",#N/A,FALSE,"GREY"}</definedName>
    <definedName name="hfgh" hidden="1">{"sheet a",#N/A,FALSE,"A";"sheet b 1",#N/A,FALSE,"B";"sheet b 2",#N/A,FALSE,"B"}</definedName>
    <definedName name="HFH" hidden="1">{"print annual inc. statement",#N/A,FALSE,"Summary";"print annual stats",#N/A,FALSE,"Summary";"print quarterly inc. statement",#N/A,FALSE,"Summary";"print quarterly stats",#N/A,FALSE,"Summary"}</definedName>
    <definedName name="hfydf" hidden="1">{"FCB_ALL",#N/A,FALSE,"FCB"}</definedName>
    <definedName name="hgfgh" hidden="1">{"Zone1",#N/A,FALSE,"Parameters";"Zone2",#N/A,FALSE,"Parameters"}</definedName>
    <definedName name="hgfhgf" hidden="1">#REF!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kdj" hidden="1">{"AnnualRentRoll",#N/A,FALSE,"RentRoll"}</definedName>
    <definedName name="hgsrt" hidden="1">{"FCB_ALL",#N/A,FALSE,"FCB";"GREY_ALL",#N/A,FALSE,"GREY"}</definedName>
    <definedName name="hh" hidden="1">{#N/A,#N/A,FALSE,"Summary"}</definedName>
    <definedName name="hhh" hidden="1">{#N/A,#N/A,FALSE,"Summary"}</definedName>
    <definedName name="hhhh" hidden="1">{"'Lennar U.S. Partners'!$A$1:$N$53"}</definedName>
    <definedName name="hhhhhhhhhhhh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HI" hidden="1">#REF!</definedName>
    <definedName name="HiddenRows" hidden="1">#REF!</definedName>
    <definedName name="HideHLightInput">0</definedName>
    <definedName name="HistoricalCF">#REF!</definedName>
    <definedName name="hjdg" hidden="1">{#N/A,#N/A,FALSE,"PropertyInfo"}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hj" hidden="1">{"PROFORMA",#N/A,FALSE,"A";"BIGGER 1",#N/A,FALSE,"B";"BIGGER 2",#N/A,FALSE,"B";"BIGGER 3",#N/A,FALSE,"B";"SMALL CF 1",#N/A,FALSE,"C"}</definedName>
    <definedName name="hjkl" hidden="1">{"Zone1",#N/A,FALSE,"Parameters";"Zone2",#N/A,FALSE,"Parameters"}</definedName>
    <definedName name="hlhldh" hidden="1">{"Annual Cash Flows",#N/A,FALSE,"Annual Summary"}</definedName>
    <definedName name="HMLkUp" hidden="1">#REF!</definedName>
    <definedName name="HMSeek" hidden="1">#REF!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#REF!,#REF!,#REF!,#REF!,#REF!</definedName>
    <definedName name="hn.domestic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ld">#REF!</definedName>
    <definedName name="Hold_1">#REF!</definedName>
    <definedName name="Hold_1500">#REF!</definedName>
    <definedName name="Hold_2">#REF!</definedName>
    <definedName name="Hold_3">#REF!</definedName>
    <definedName name="Hold_Period">#REF!</definedName>
    <definedName name="Hold1_OR">#REF!</definedName>
    <definedName name="Hold2_OR">#REF!</definedName>
    <definedName name="Hold3_OR">#REF!</definedName>
    <definedName name="hon" hidden="1">{"Full Gross to Net",#N/A,TRUE,"GtoN";"R_I Accepted from Group Coys",#N/A,TRUE,"GtoN";"R_I Ceded to Group Coys",#N/A,TRUE,"GtoN";"Closing Loss Reserves and Gross Claims Incurred",#N/A,TRUE,"GtoN"}</definedName>
    <definedName name="hope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otelEquity">#REF!</definedName>
    <definedName name="houy" hidden="1">{#N/A,#N/A,FALSE,"AD_Purchase";#N/A,#N/A,FALSE,"Credit";#N/A,#N/A,FALSE,"PF Acquisition";#N/A,#N/A,FALSE,"PF Offering"}</definedName>
    <definedName name="HRADJ2" hidden="1">{"2007",#N/A,FALSE,"SUMMARY";"2007",#N/A,FALSE,"RET ON CAP";"2007",#N/A,FALSE,"PROFORMA";"2007",#N/A,FALSE,"Assumptions";"2007",#N/A,FALSE,"Sales &amp; Marketing";"2007",#N/A,FALSE,"Overhead";"2007",#N/A,FALSE,"General Project";"2007",#N/A,FALSE,"Development"}</definedName>
    <definedName name="hsfdhs" hidden="1">#REF!</definedName>
    <definedName name="html" hidden="1">{"'Assump'!$F$6:$J$6"}</definedName>
    <definedName name="HTML_CodePage" hidden="1">1252</definedName>
    <definedName name="HTML_Control" hidden="1">{"'Table of Contents'!$A$1"}</definedName>
    <definedName name="HTML_Control1" hidden="1">{"'B-2 QSER Jun 98 4-27-98 cor'!$A$1:$F$57"}</definedName>
    <definedName name="HTML_Control2" hidden="1">{"'Cash Requirements 5F '!$A$1:$AC$48"}</definedName>
    <definedName name="HTML_Control5" hidden="1">{"'B-2 QSER Jun 98 4-27-98 cor'!$A$1:$F$57"}</definedName>
    <definedName name="HTML_Ctrl" hidden="1">{"'Expirations'!$A$1:$L$65"}</definedName>
    <definedName name="HTML_Description" hidden="1">""</definedName>
    <definedName name="HTML_Email" hidden="1">""</definedName>
    <definedName name="HTML_Header" hidden="1">"Table of Contents"</definedName>
    <definedName name="HTML_LastUpdate" hidden="1">"6/5/01"</definedName>
    <definedName name="HTML_LineAfter" hidden="1">FALSE</definedName>
    <definedName name="HTML_LineBefore" hidden="1">FALSE</definedName>
    <definedName name="HTML_Name" hidden="1">"Samuel Lyustikman"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"E:\temp\MyHTML.htm"</definedName>
    <definedName name="HTML_PathTemplate" hidden="1">"C:\Quaterly Reports\MyHTML.htm"</definedName>
    <definedName name="HTML_Title" hidden="1">"MTK_template_2_1"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Count" hidden="1">1</definedName>
    <definedName name="htmlnew" hidden="1">{"'Assump'!$F$6:$J$6"}</definedName>
    <definedName name="hu" hidden="1">{"Total",#N/A,FALSE,"Six Fields";"PDP",#N/A,FALSE,"Six Fields";"PNP",#N/A,FALSE,"Six Fields";"PUD",#N/A,FALSE,"Six Fields";"Prob",#N/A,FALSE,"Six Fields"}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i" hidden="1">{"Sum1",#N/A,FALSE,"Reserve Report";"Sum2",#N/A,FALSE,"Reserve Report";"Sum3",#N/A,FALSE,"Reserve Report";"Sum4",#N/A,FALSE,"Reserve Report"}</definedName>
    <definedName name="HUNTPRINT">#REF!</definedName>
    <definedName name="HUNTSPLIT">#REF!</definedName>
    <definedName name="HURDLE">#REF!</definedName>
    <definedName name="i" hidden="1">{#N/A,#N/A,FALSE,"Chart 2 by Prop Type"}</definedName>
    <definedName name="ien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IGLookUp">#REF!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CF1" hidden="1">#REF!</definedName>
    <definedName name="IHMPrintMR1" hidden="1">#REF!</definedName>
    <definedName name="IHMPrintMR2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intVAL1" hidden="1">#REF!</definedName>
    <definedName name="IHMPrintVAL2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II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i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k" hidden="1">{#N/A,#N/A,FALSE,"Chart 2 by Prop Type"}</definedName>
    <definedName name="ilghd" hidden="1">{"Investor",#N/A,FALSE,"Model";"Property",#N/A,FALSE,"Model";"Incentive Taxes",#N/A,FALSE,"Model"}</definedName>
    <definedName name="immediate" hidden="1">{"sheet a",#N/A,FALSE,"A";"2 9 casflow",#N/A,FALSE,"B"}</definedName>
    <definedName name="inc">#REF!</definedName>
    <definedName name="INC00">#REF!</definedName>
    <definedName name="IncentFee">#REF!</definedName>
    <definedName name="income">#REF!</definedName>
    <definedName name="index2" hidden="1">{#N/A,#N/A,FALSE,"Class A";#N/A,#N/A,FALSE,"Class B";#N/A,#N/A,FALSE,"Class C"}</definedName>
    <definedName name="Indianapolis" hidden="1">{"Primarily Competition",#N/A,FALSE,"Comp.&amp; Market Penet."}</definedName>
    <definedName name="inf">#REF!</definedName>
    <definedName name="Inf.G_Flor" hidden="1">#REF!</definedName>
    <definedName name="Inf.G_Trad" hidden="1">#REF!</definedName>
    <definedName name="Inflation">#REF!</definedName>
    <definedName name="inflationrate">#REF!</definedName>
    <definedName name="INFLRATE">#REF!</definedName>
    <definedName name="info">#REF!</definedName>
    <definedName name="Initial_CC_Escal_Mo">#REF!</definedName>
    <definedName name="Initial_CC_Escalation_Year">#REF!</definedName>
    <definedName name="Initial_Funding">#REF!</definedName>
    <definedName name="Initial_Reg_Escal_Mo">#REF!</definedName>
    <definedName name="Initial_Reg_Escalation_Yr">#REF!</definedName>
    <definedName name="Inplace_NOI">#REF!</definedName>
    <definedName name="InplaceNetRentPSF">#REF!</definedName>
    <definedName name="InplacePSF">#REF!</definedName>
    <definedName name="InplaceRentPSF">#REF!</definedName>
    <definedName name="INPUT">#REF!</definedName>
    <definedName name="Input_rentpsf">#REF!</definedName>
    <definedName name="inputpage">#REF!</definedName>
    <definedName name="Inst._klein_pausch">#REF!</definedName>
    <definedName name="Int">#REF!</definedName>
    <definedName name="int_ext_sel" hidden="1">2</definedName>
    <definedName name="INTEREST">#REF!</definedName>
    <definedName name="Interest_cost">#REF!</definedName>
    <definedName name="Interest_Rate">#REF!</definedName>
    <definedName name="INTEREST1">#REF!</definedName>
    <definedName name="INTEREST2">#REF!</definedName>
    <definedName name="INTEREST3">#REF!</definedName>
    <definedName name="INTMARGIN">#REF!</definedName>
    <definedName name="IntOnlyYrs">#REF!</definedName>
    <definedName name="IntRate">#REF!</definedName>
    <definedName name="IntRate2">#REF!</definedName>
    <definedName name="INTROP" hidden="1">#REF!</definedName>
    <definedName name="IntroPrintArea" hidden="1">#REF!</definedName>
    <definedName name="IntroPrintArea_b" hidden="1">#REF!</definedName>
    <definedName name="invcap" hidden="1">#REF!</definedName>
    <definedName name="invcap2" hidden="1">#REF!</definedName>
    <definedName name="Investor">#REF!</definedName>
    <definedName name="InvestorDistriOper">#REF!</definedName>
    <definedName name="InvestorDistriSale">#REF!</definedName>
    <definedName name="InvestorEq">#REF!</definedName>
    <definedName name="InvestorOwn">#REF!</definedName>
    <definedName name="InvestorPrefer">#REF!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PO_spot">#REF!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>"c12802"</definedName>
    <definedName name="IQ_ABS_FFIEC">"c12788"</definedName>
    <definedName name="IQ_ABS_HTM_AMORT_COST_FFIEC" hidden="1">"c20447"</definedName>
    <definedName name="IQ_ABS_HTM_FAIR_VAL_FFIEC" hidden="1">"c20482"</definedName>
    <definedName name="IQ_ABS_INVEST_SECURITIES_FFIEC">"c13461"</definedName>
    <definedName name="IQ_ABS_PERIOD">"c13823"</definedName>
    <definedName name="IQ_ABS_PERIOD_EST" hidden="1">"c16122"</definedName>
    <definedName name="IQ_ACCEPTANCES_OTHER_FOREIGN_BANKS_LL_REC_FFIEC">"c15293"</definedName>
    <definedName name="IQ_ACCEPTANCES_OTHER_US_BANKS_LL_REC_FFIEC">"c15292"</definedName>
    <definedName name="IQ_ACCOUNT_CHANGE" hidden="1">"c1449"</definedName>
    <definedName name="IQ_ACCOUNT_CODE_INTEREST_PENALTIES">"c15741"</definedName>
    <definedName name="IQ_Account_delta" hidden="1">"c413"</definedName>
    <definedName name="IQ_ACCOUNTING_FFIEC">"c13054"</definedName>
    <definedName name="IQ_ACCOUNTING_STANDARD" hidden="1">"c4539"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>"c15733"</definedName>
    <definedName name="IQ_ADD_TAX_POSITIONS_PRIOR_YRS">"c15735"</definedName>
    <definedName name="IQ_ADDIN" hidden="1">"AUTO"</definedName>
    <definedName name="IQ_ADDITIONAL_NON_INT_INC_FDIC" hidden="1">"c6574"</definedName>
    <definedName name="IQ_ADDITIONS_NON_ACCRUAL_ASSET_DURING_QTR_FFIEC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>"c16188"</definedName>
    <definedName name="IQ_AFFO_PER_SHARE_BASIC" hidden="1">"c8869"</definedName>
    <definedName name="IQ_AFFO_PER_SHARE_DILUTED" hidden="1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>"c12810"</definedName>
    <definedName name="IQ_ALLOWABLE_T2_CAPITAL_FFIEC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>"c12871"</definedName>
    <definedName name="IQ_ALLOWANCE_LL_LOSSES_T2_FFIEC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>"c13738"</definedName>
    <definedName name="IQ_ANALYST_NAME">"c13736"</definedName>
    <definedName name="IQ_ANALYST_NON_PER_DET_EST" hidden="1">"c12755"</definedName>
    <definedName name="IQ_ANALYST_NON_PER_DET_EST_THOM" hidden="1">"c12759"</definedName>
    <definedName name="IQ_ANALYST_PHONE">"c13737"</definedName>
    <definedName name="IQ_ANALYST_START_DATE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KPRICE" hidden="1">"c13927"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 hidden="1">"c8921"</definedName>
    <definedName name="IQ_ASSETS_NAME_AP_ABS" hidden="1">"c8940"</definedName>
    <definedName name="IQ_ASSETS_NETTING_OTHER_ADJUSTMENTS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>"c15912"</definedName>
    <definedName name="IQ_ASSIGNED_RESERVES_TO_TOTAL_RESERVES_COAL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>"c15870"</definedName>
    <definedName name="IQ_ASSUMED_PC_EARNED" hidden="1">"c2746"</definedName>
    <definedName name="IQ_ASSUMED_PREMIUMS_EARNED_GROSS_PREMIUMS_EARNED">"c15886"</definedName>
    <definedName name="IQ_ASSUMED_PREMIUMS_WRITTEN_GROSS_PREMIUMS_WRITTEN">"c15884"</definedName>
    <definedName name="IQ_ASSUMED_WRITTEN" hidden="1">"c2725"</definedName>
    <definedName name="IQ_ATM_FEES_FFIEC">"c13042"</definedName>
    <definedName name="IQ_ATM_INTERCHANGE_EXPENSES_FFIEC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>"c15812"</definedName>
    <definedName name="IQ_AVG_INV_HOMES">"c15810"</definedName>
    <definedName name="IQ_AVG_INV_LAND_LOTS">"c15811"</definedName>
    <definedName name="IQ_AVG_MKTCAP" hidden="1">"c80"</definedName>
    <definedName name="IQ_AVG_PORTFOLIO_DURATION" hidden="1">"c17693"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>"c13159"</definedName>
    <definedName name="IQ_AVG_TOTAL_ASSETS_LEVERAGE_RATIO_FFIEC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 hidden="1">"c85"</definedName>
    <definedName name="IQ_BASIC_EPS_INCL" hidden="1">"c86"</definedName>
    <definedName name="IQ_BASIC_NAV_SHARES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PRICE" hidden="1">"c13926"</definedName>
    <definedName name="IQ_BIG_INT_BEAR_CD" hidden="1">"c11749"</definedName>
    <definedName name="IQ_BOARD_MEMBER" hidden="1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 hidden="1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 hidden="1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>"c13091"</definedName>
    <definedName name="IQ_BORROWINGS_LESS_1YR_ASSETS_TOT_FFIEC">"c13450"</definedName>
    <definedName name="IQ_BR_FILING_DATE">"c16223"</definedName>
    <definedName name="IQ_BR_FILING_TYPE">"c16224"</definedName>
    <definedName name="IQ_BR_PLAN_APPROVE_DATE">"c16226"</definedName>
    <definedName name="IQ_BR_PLAN_CONFIRM">"c16225"</definedName>
    <definedName name="IQ_BROK_COMISSION" hidden="1">"c98"</definedName>
    <definedName name="IQ_BROK_COMMISSION" hidden="1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>"c15589"</definedName>
    <definedName name="IQ_BUS_SEG_DESCRIPTION_ABS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>"c15588"</definedName>
    <definedName name="IQ_BUS_SEG_NAIC_ABS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>"c15584"</definedName>
    <definedName name="IQ_BUS_SEG_PRIMARY_GIC_ABS">"c15572"</definedName>
    <definedName name="IQ_BUS_SEG_PRIMARY_SIC">"c15586"</definedName>
    <definedName name="IQ_BUS_SEG_PRIMARY_SIC_ABS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>"c15585"</definedName>
    <definedName name="IQ_BUS_SEG_SECONDARY_GIC_ABS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REUT" hidden="1">"c5403"</definedName>
    <definedName name="IQ_BV_EST_THOM" hidden="1">"c5147"</definedName>
    <definedName name="IQ_BV_HIGH_EST" hidden="1">"c5626"</definedName>
    <definedName name="IQ_BV_HIGH_EST_REUT" hidden="1">"c5405"</definedName>
    <definedName name="IQ_BV_HIGH_EST_THOM" hidden="1">"c5149"</definedName>
    <definedName name="IQ_BV_LOW_EST" hidden="1">"c5627"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>"c15773"</definedName>
    <definedName name="IQ_CABLE_SUBS_DIG" hidden="1">"c2856"</definedName>
    <definedName name="IQ_CABLE_SUBS_LONG_DIST_PHONE">"c15775"</definedName>
    <definedName name="IQ_CABLE_SUBS_NON_VIDEO" hidden="1">"c2860"</definedName>
    <definedName name="IQ_CABLE_SUBS_PHONE" hidden="1">"c2859"</definedName>
    <definedName name="IQ_CABLE_SUBS_RES_PHONE">"c15772"</definedName>
    <definedName name="IQ_CABLE_SUBS_SATELITE">"c15771"</definedName>
    <definedName name="IQ_CABLE_SUBS_TOTAL" hidden="1">"c2862"</definedName>
    <definedName name="IQ_CABLE_SUBS_WHOLE_PHONE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>"c4562"</definedName>
    <definedName name="IQ_CAPEX_GUIDANCE_CIQ_COL">"c11211"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>"c4592"</definedName>
    <definedName name="IQ_CAPEX_HIGH_GUIDANCE_CIQ_COL">"c11241"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>"c4632"</definedName>
    <definedName name="IQ_CAPEX_LOW_GUIDANCE_CIQ_COL">"c11281"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PCT_REV">"c19144"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>"c15288"</definedName>
    <definedName name="IQ_CASH_DIVIDENDS_NET_INCOME_FDIC" hidden="1">"c6738"</definedName>
    <definedName name="IQ_CASH_DUE_BANKS" hidden="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GUIDANCE" hidden="1">"c4155"</definedName>
    <definedName name="IQ_CASH_FLOW_GUIDANCE_CIQ">"c4567"</definedName>
    <definedName name="IQ_CASH_FLOW_GUIDANCE_CIQ_COL">"c11216"</definedName>
    <definedName name="IQ_CASH_FLOW_HIGH_EST" hidden="1">"c4156"</definedName>
    <definedName name="IQ_CASH_FLOW_HIGH_GUIDANCE" hidden="1">"c4201"</definedName>
    <definedName name="IQ_CASH_FLOW_HIGH_GUIDANCE_CIQ">"c4613"</definedName>
    <definedName name="IQ_CASH_FLOW_HIGH_GUIDANCE_CIQ_COL">"c11262"</definedName>
    <definedName name="IQ_CASH_FLOW_LOW_EST" hidden="1">"c4157"</definedName>
    <definedName name="IQ_CASH_FLOW_LOW_GUIDANCE" hidden="1">"c4241"</definedName>
    <definedName name="IQ_CASH_FLOW_LOW_GUIDANCE_CIQ">"c4653"</definedName>
    <definedName name="IQ_CASH_FLOW_LOW_GUIDANCE_CIQ_COL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GUIDANCE_CIQ">"c4577"</definedName>
    <definedName name="IQ_CASH_OPER_GUIDANCE_CIQ_COL">"c11226"</definedName>
    <definedName name="IQ_CASH_OPER_HIGH_EST" hidden="1">"c4166"</definedName>
    <definedName name="IQ_CASH_OPER_HIGH_GUIDANCE" hidden="1">"c4185"</definedName>
    <definedName name="IQ_CASH_OPER_HIGH_GUIDANCE_CIQ">"c4597"</definedName>
    <definedName name="IQ_CASH_OPER_HIGH_GUIDANCE_CIQ_COL">"c11246"</definedName>
    <definedName name="IQ_CASH_OPER_LOW_EST" hidden="1">"c4244"</definedName>
    <definedName name="IQ_CASH_OPER_LOW_GUIDANCE" hidden="1">"c4225"</definedName>
    <definedName name="IQ_CASH_OPER_LOW_GUIDANCE_CIQ">"c4637"</definedName>
    <definedName name="IQ_CASH_OPER_LOW_GUIDANCE_CIQ_COL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>"c15283"</definedName>
    <definedName name="IQ_CASH_OTHER_US_COMM_BANK_DEP_INSTIT_FFIEC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>"c4776"</definedName>
    <definedName name="IQ_CASH_ST_INVEST_GUIDANCE_CIQ_COL">"c11423"</definedName>
    <definedName name="IQ_CASH_ST_INVEST_HIGH_EST" hidden="1">"c4251"</definedName>
    <definedName name="IQ_CASH_ST_INVEST_HIGH_GUIDANCE" hidden="1">"c4195"</definedName>
    <definedName name="IQ_CASH_ST_INVEST_HIGH_GUIDANCE_CIQ">"c4607"</definedName>
    <definedName name="IQ_CASH_ST_INVEST_HIGH_GUIDANCE_CIQ_COL">"c11256"</definedName>
    <definedName name="IQ_CASH_ST_INVEST_LOW_EST" hidden="1">"c4252"</definedName>
    <definedName name="IQ_CASH_ST_INVEST_LOW_GUIDANCE" hidden="1">"c4235"</definedName>
    <definedName name="IQ_CASH_ST_INVEST_LOW_GUIDANCE_CIQ">"c4647"</definedName>
    <definedName name="IQ_CASH_ST_INVEST_LOW_GUIDANCE_CIQ_COL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>"c15263"</definedName>
    <definedName name="IQ_CASH_STRUCTURED_PRODUCTS_FFIEC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>"c15881"</definedName>
    <definedName name="IQ_CATASTROPHIC_LOSSES" hidden="1">"c17694"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>"c15234"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NEXT_SERIES_ID">"c15231"</definedName>
    <definedName name="IQ_CDS_PREV_SERIES_ID">"c15232"</definedName>
    <definedName name="IQ_CDS_PRICE_TYPE">"c15233"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>"c15872"</definedName>
    <definedName name="IQ_CEDED_PC_EARNED" hidden="1">"c2748"</definedName>
    <definedName name="IQ_CEDED_PREMIUMS_EARNED_GROSS_PREMIUMS_EARNED">"c15887"</definedName>
    <definedName name="IQ_CEDED_PREMIUMS_WRITTEN_GROSS_PREMIUMS_WRITTEN">"c15885"</definedName>
    <definedName name="IQ_CEDED_WRITTEN" hidden="1">"c2727"</definedName>
    <definedName name="IQ_CEO_ID">"c15210"</definedName>
    <definedName name="IQ_CEO_NAME">"c15209"</definedName>
    <definedName name="IQ_CERTIFIED_OFFICIAL_CHECKS_TRANS_ACCTS_FFIEC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>"c15212"</definedName>
    <definedName name="IQ_CFO_NAME">"c15211"</definedName>
    <definedName name="IQ_CFPS_ACT_OR_EST" hidden="1">"c2217"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>"c4782"</definedName>
    <definedName name="IQ_CFPS_GUIDANCE_CIQ_COL">"c11429"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>"c4579"</definedName>
    <definedName name="IQ_CFPS_HIGH_GUIDANCE_CIQ_COL">"c11228"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>"c4619"</definedName>
    <definedName name="IQ_CFPS_LOW_GUIDANCE_CIQ_COL">"c11268"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>"c15557"</definedName>
    <definedName name="IQ_CHANGE_DEPOSIT_ACCT" hidden="1">"c148"</definedName>
    <definedName name="IQ_CHANGE_FAIR_VALUE_FINANCIAL_LIAB_T1_FFIEC">"c13138"</definedName>
    <definedName name="IQ_CHANGE_FAIR_VALUE_OPTIONS_FFIEC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>"c15747"</definedName>
    <definedName name="IQ_CHANGE_UNRECOG_TAX_BENEFIT_1_YR_MIN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 hidden="1">"c174"</definedName>
    <definedName name="IQ_CLOSEPRICE_ADJ" hidden="1">"c2115"</definedName>
    <definedName name="IQ_CLOSEPRICE_RT">"CLOSE"</definedName>
    <definedName name="IQ_CMBS_ISSUED_AFS_AMORT_COST_FFIEC" hidden="1">"c20497"</definedName>
    <definedName name="IQ_CMBS_ISSUED_AFS_FAIR_VAL_FFIEC" hidden="1">"c20462"</definedName>
    <definedName name="IQ_CMBS_ISSUED_AVAIL_SALE_FFIEC">"c12800"</definedName>
    <definedName name="IQ_CMBS_ISSUED_FFIEC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 hidden="1">"c180"</definedName>
    <definedName name="IQ_COMMISSION_DEF" hidden="1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ITUENTS_NAME" hidden="1">"c19192"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 hidden="1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>"c18873"</definedName>
    <definedName name="IQ_CONTINGENT_RENTAL" hidden="1">"c17746"</definedName>
    <definedName name="IQ_CONTRACT_AMOUNT" hidden="1">"c13933"</definedName>
    <definedName name="IQ_CONTRACT_DETAILS" hidden="1">"c15555"</definedName>
    <definedName name="IQ_CONTRACT_MONTH" hidden="1">"c13934"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_UNIT" hidden="1">"c13932"</definedName>
    <definedName name="IQ_CONTRACT_YEAR" hidden="1">"c13935"</definedName>
    <definedName name="IQ_CONTRACTS_OTHER_COMMODITIES_EQUITIES_FDIC" hidden="1">"c6522"</definedName>
    <definedName name="IQ_CONTRACTS_OTHER_COMMODITIES_EQUITIES.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>"c13742"</definedName>
    <definedName name="IQ_CONTRIBUTOR_NAME">"c13735"</definedName>
    <definedName name="IQ_CONTRIBUTOR_START_DATE">"c13741"</definedName>
    <definedName name="IQ_CONV_DATE" hidden="1">"c2191"</definedName>
    <definedName name="IQ_CONV_EXP_DATE" hidden="1">"c3043"</definedName>
    <definedName name="IQ_CONV_PARITY">"c16197"</definedName>
    <definedName name="IQ_CONV_PREMIUM" hidden="1">"c2195"</definedName>
    <definedName name="IQ_CONV_PRICE" hidden="1">"c2193"</definedName>
    <definedName name="IQ_CONV_PRICE_ISSUE">"c16195"</definedName>
    <definedName name="IQ_CONV_PRICE_PREM_ISSUE">"c16196"</definedName>
    <definedName name="IQ_CONV_PRICE_PREMIUM">"c16198"</definedName>
    <definedName name="IQ_CONV_PT_PREMIUM">"c16199"</definedName>
    <definedName name="IQ_CONV_PT_PREMIUM_PCT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>"c13767"</definedName>
    <definedName name="IQ_COST_BORROWED_FUNDS_FFIEC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>"c15243"</definedName>
    <definedName name="IQ_COVERED_POPS" hidden="1">"c2124"</definedName>
    <definedName name="IQ_COVERED_WIRELESS_POPS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 hidden="1">"c10038"</definedName>
    <definedName name="IQ_CREDIT_EXPOSURE_FFIEC">"c13062"</definedName>
    <definedName name="IQ_CREDIT_LOSS_CF" hidden="1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>"c19141"</definedName>
    <definedName name="IQ_CURRENCY_COIN_DOM_FFIEC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RT" hidden="1">"c20427"</definedName>
    <definedName name="IQ_DATA_PROCESSING_EXP_FFIEC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>"c16220"</definedName>
    <definedName name="IQ_DEFAULT_TYPE">"c16219"</definedName>
    <definedName name="IQ_DEFERRED_CONTINGENT_RENT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 hidden="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 hidden="1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 hidden="1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CURRENT" hidden="1">"c17744"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ASSETS_LT" hidden="1">"c17745"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 hidden="1">"c1520"</definedName>
    <definedName name="IQ_DEVELOP_LAND" hidden="1">"c323"</definedName>
    <definedName name="IQ_DEVELOPMENT_EXPENSE">"c16040"</definedName>
    <definedName name="IQ_DEVELOPMENT_REVENUE">"c16024"</definedName>
    <definedName name="IQ_DIC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>"c16202"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 hidden="1">"c2740"</definedName>
    <definedName name="IQ_DIRECT_EARNED" hidden="1">"c2730"</definedName>
    <definedName name="IQ_DIRECT_INDIRECT_RE_VENTURES_FFIEC">"c15266"</definedName>
    <definedName name="IQ_DIRECT_INDIRECT_RE_VENTURES_UNCONSOL_FFIEC">"c15274"</definedName>
    <definedName name="IQ_DIRECT_LIFE_EARNED" hidden="1">"c2735"</definedName>
    <definedName name="IQ_DIRECT_LIFE_IN_FORCE" hidden="1">"c2765"</definedName>
    <definedName name="IQ_DIRECT_LOSSES">"c15869"</definedName>
    <definedName name="IQ_DIRECT_PC_EARNED" hidden="1">"c2745"</definedName>
    <definedName name="IQ_DIRECT_WRITTEN" hidden="1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>"c4804"</definedName>
    <definedName name="IQ_DISTRIBUTABLE_CASH_GUIDANCE_CIQ_COL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>"c4610"</definedName>
    <definedName name="IQ_DISTRIBUTABLE_CASH_HIGH_GUIDANCE_CIQ_COL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>"c4650"</definedName>
    <definedName name="IQ_DISTRIBUTABLE_CASH_LOW_GUIDANCE_CIQ_COL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>"c4812"</definedName>
    <definedName name="IQ_DISTRIBUTABLE_CASH_SHARE_GUIDANCE_CIQ_COL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>"c4611"</definedName>
    <definedName name="IQ_DISTRIBUTABLE_CASH_SHARE_HIGH_GUIDANCE_CIQ_COL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>"c4651"</definedName>
    <definedName name="IQ_DISTRIBUTABLE_CASH_SHARE_LOW_GUIDANCE_CIQ_COL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>"c16189"</definedName>
    <definedName name="IQ_DISTRIBUTABLE_CASH_SHARES_DILUTED">"c16190"</definedName>
    <definedName name="IQ_DISTRIBUTABLE_CASH_STANDARDIZED" hidden="1">"c20435"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GUIDANCE_CIQ">"c4827"</definedName>
    <definedName name="IQ_DPS_GUIDANCE_CIQ_COL">"c11474"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>"c4580"</definedName>
    <definedName name="IQ_DPS_HIGH_GUIDANCE_CIQ_COL">"c11229"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>"c4620"</definedName>
    <definedName name="IQ_DPS_LOW_GUIDANCE_CIQ_COL">"c11269"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>"c15703"</definedName>
    <definedName name="IQ_EARNING_ASSET_YIELD" hidden="1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>"c4828"</definedName>
    <definedName name="IQ_EBIT_GUIDANCE_CIQ_COL">"c11475"</definedName>
    <definedName name="IQ_EBIT_GW_ACT_OR_EST" hidden="1">"c4306"</definedName>
    <definedName name="IQ_EBIT_GW_ACT_OR_EST_CIQ_COL" hidden="1">"c11478"</definedName>
    <definedName name="IQ_EBIT_GW_EST" hidden="1">"c4305"</definedName>
    <definedName name="IQ_EBIT_GW_GUIDANCE" hidden="1">"c4307"</definedName>
    <definedName name="IQ_EBIT_GW_GUIDANCE_CIQ">"c4832"</definedName>
    <definedName name="IQ_EBIT_GW_GUIDANCE_CIQ_COL">"c11479"</definedName>
    <definedName name="IQ_EBIT_GW_HIGH_EST" hidden="1">"c4308"</definedName>
    <definedName name="IQ_EBIT_GW_HIGH_GUIDANCE" hidden="1">"c4171"</definedName>
    <definedName name="IQ_EBIT_GW_HIGH_GUIDANCE_CIQ">"c4583"</definedName>
    <definedName name="IQ_EBIT_GW_HIGH_GUIDANCE_CIQ_COL">"c11232"</definedName>
    <definedName name="IQ_EBIT_GW_LOW_EST" hidden="1">"c4309"</definedName>
    <definedName name="IQ_EBIT_GW_LOW_GUIDANCE" hidden="1">"c4211"</definedName>
    <definedName name="IQ_EBIT_GW_LOW_GUIDANCE_CIQ">"c4623"</definedName>
    <definedName name="IQ_EBIT_GW_LOW_GUIDANCE_CIQ_COL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>"c4624"</definedName>
    <definedName name="IQ_EBIT_LOW_GUIDANCE_CIQ_COL">"c11273"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GUIDANCE" hidden="1">"c4317"</definedName>
    <definedName name="IQ_EBIT_SBC_GUIDANCE_CIQ">"c4842"</definedName>
    <definedName name="IQ_EBIT_SBC_GUIDANCE_CIQ_COL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GUIDANCE" hidden="1">"c4321"</definedName>
    <definedName name="IQ_EBIT_SBC_GW_GUIDANCE_CIQ">"c4846"</definedName>
    <definedName name="IQ_EBIT_SBC_GW_GUIDANCE_CIQ_COL">"c11493"</definedName>
    <definedName name="IQ_EBIT_SBC_GW_HIGH_EST" hidden="1">"c4322"</definedName>
    <definedName name="IQ_EBIT_SBC_GW_HIGH_GUIDANCE" hidden="1">"c4193"</definedName>
    <definedName name="IQ_EBIT_SBC_GW_HIGH_GUIDANCE_CIQ">"c4605"</definedName>
    <definedName name="IQ_EBIT_SBC_GW_HIGH_GUIDANCE_CIQ_COL">"c11254"</definedName>
    <definedName name="IQ_EBIT_SBC_GW_LOW_EST" hidden="1">"c4323"</definedName>
    <definedName name="IQ_EBIT_SBC_GW_LOW_GUIDANCE" hidden="1">"c4233"</definedName>
    <definedName name="IQ_EBIT_SBC_GW_LOW_GUIDANCE_CIQ">"c4645"</definedName>
    <definedName name="IQ_EBIT_SBC_GW_LOW_GUIDANCE_CIQ_COL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>"c4604"</definedName>
    <definedName name="IQ_EBIT_SBC_HIGH_GUIDANCE_CIQ_COL">"c11253"</definedName>
    <definedName name="IQ_EBIT_SBC_LOW_EST" hidden="1">"c4329"</definedName>
    <definedName name="IQ_EBIT_SBC_LOW_GUIDANCE" hidden="1">"c4232"</definedName>
    <definedName name="IQ_EBIT_SBC_LOW_GUIDANCE_CIQ">"c4644"</definedName>
    <definedName name="IQ_EBIT_SBC_LOW_GUIDANCE_CIQ_COL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>"c19143"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REUT" hidden="1">"c3640"</definedName>
    <definedName name="IQ_EBITDA_EST_THOM" hidden="1">"c3658"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>"c4859"</definedName>
    <definedName name="IQ_EBITDA_GUIDANCE_CIQ_COL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>"c4622"</definedName>
    <definedName name="IQ_EBITDA_LOW_GUIDANCE_CIQ_COL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GUIDANCE" hidden="1">"c4338"</definedName>
    <definedName name="IQ_EBITDA_SBC_GUIDANCE_CIQ">"c4863"</definedName>
    <definedName name="IQ_EBITDA_SBC_GUIDANCE_CIQ_COL">"c11510"</definedName>
    <definedName name="IQ_EBITDA_SBC_HIGH_EST" hidden="1">"c4339"</definedName>
    <definedName name="IQ_EBITDA_SBC_HIGH_GUIDANCE" hidden="1">"c4194"</definedName>
    <definedName name="IQ_EBITDA_SBC_HIGH_GUIDANCE_CIQ">"c4606"</definedName>
    <definedName name="IQ_EBITDA_SBC_HIGH_GUIDANCE_CIQ_COL">"c11255"</definedName>
    <definedName name="IQ_EBITDA_SBC_LOW_EST" hidden="1">"c4340"</definedName>
    <definedName name="IQ_EBITDA_SBC_LOW_GUIDANCE" hidden="1">"c4234"</definedName>
    <definedName name="IQ_EBITDA_SBC_LOW_GUIDANCE_CIQ">"c4646"</definedName>
    <definedName name="IQ_EBITDA_SBC_LOW_GUIDANCE_CIQ_COL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>"c13029"</definedName>
    <definedName name="IQ_EBT_FIN" hidden="1">"c386"</definedName>
    <definedName name="IQ_EBT_FTE_FFIEC">"c13037"</definedName>
    <definedName name="IQ_EBT_GAAP_GUIDANCE" hidden="1">"c4345"</definedName>
    <definedName name="IQ_EBT_GAAP_GUIDANCE_CIQ">"c4870"</definedName>
    <definedName name="IQ_EBT_GAAP_GUIDANCE_CIQ_COL">"c11517"</definedName>
    <definedName name="IQ_EBT_GAAP_HIGH_GUIDANCE" hidden="1">"c4174"</definedName>
    <definedName name="IQ_EBT_GAAP_HIGH_GUIDANCE_CIQ">"c4586"</definedName>
    <definedName name="IQ_EBT_GAAP_HIGH_GUIDANCE_CIQ_COL">"c11235"</definedName>
    <definedName name="IQ_EBT_GAAP_LOW_GUIDANCE" hidden="1">"c4214"</definedName>
    <definedName name="IQ_EBT_GAAP_LOW_GUIDANCE_CIQ">"c4626"</definedName>
    <definedName name="IQ_EBT_GAAP_LOW_GUIDANCE_CIQ_COL">"c11275"</definedName>
    <definedName name="IQ_EBT_GUIDANCE" hidden="1">"c4346"</definedName>
    <definedName name="IQ_EBT_GUIDANCE_CIQ">"c4871"</definedName>
    <definedName name="IQ_EBT_GUIDANCE_CIQ_COL">"c11518"</definedName>
    <definedName name="IQ_EBT_GW_GUIDANCE" hidden="1">"c4347"</definedName>
    <definedName name="IQ_EBT_GW_GUIDANCE_CIQ">"c4872"</definedName>
    <definedName name="IQ_EBT_GW_GUIDANCE_CIQ_COL">"c11519"</definedName>
    <definedName name="IQ_EBT_GW_HIGH_GUIDANCE" hidden="1">"c4175"</definedName>
    <definedName name="IQ_EBT_GW_HIGH_GUIDANCE_CIQ">"c4587"</definedName>
    <definedName name="IQ_EBT_GW_HIGH_GUIDANCE_CIQ_COL">"c11236"</definedName>
    <definedName name="IQ_EBT_GW_LOW_GUIDANCE" hidden="1">"c4215"</definedName>
    <definedName name="IQ_EBT_GW_LOW_GUIDANCE_CIQ">"c4627"</definedName>
    <definedName name="IQ_EBT_GW_LOW_GUIDANCE_CIQ_COL">"c11276"</definedName>
    <definedName name="IQ_EBT_HIGH_GUIDANCE" hidden="1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>"c4625"</definedName>
    <definedName name="IQ_EBT_LOW_GUIDANCE_CIQ_COL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GUIDANCE" hidden="1">"c4351"</definedName>
    <definedName name="IQ_EBT_SBC_GUIDANCE_CIQ">"c4876"</definedName>
    <definedName name="IQ_EBT_SBC_GUIDANCE_CIQ_COL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GUIDANCE" hidden="1">"c4355"</definedName>
    <definedName name="IQ_EBT_SBC_GW_GUIDANCE_CIQ">"c4880"</definedName>
    <definedName name="IQ_EBT_SBC_GW_GUIDANCE_CIQ_COL">"c11527"</definedName>
    <definedName name="IQ_EBT_SBC_GW_HIGH_EST" hidden="1">"c4356"</definedName>
    <definedName name="IQ_EBT_SBC_GW_HIGH_GUIDANCE" hidden="1">"c4191"</definedName>
    <definedName name="IQ_EBT_SBC_GW_HIGH_GUIDANCE_CIQ">"c4603"</definedName>
    <definedName name="IQ_EBT_SBC_GW_HIGH_GUIDANCE_CIQ_COL">"c11252"</definedName>
    <definedName name="IQ_EBT_SBC_GW_LOW_EST" hidden="1">"c4357"</definedName>
    <definedName name="IQ_EBT_SBC_GW_LOW_GUIDANCE" hidden="1">"c4231"</definedName>
    <definedName name="IQ_EBT_SBC_GW_LOW_GUIDANCE_CIQ">"c4643"</definedName>
    <definedName name="IQ_EBT_SBC_GW_LOW_GUIDANCE_CIQ_COL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>"c4602"</definedName>
    <definedName name="IQ_EBT_SBC_HIGH_GUIDANCE_CIQ_COL">"c11251"</definedName>
    <definedName name="IQ_EBT_SBC_LOW_EST" hidden="1">"c4363"</definedName>
    <definedName name="IQ_EBT_SBC_LOW_GUIDANCE" hidden="1">"c4230"</definedName>
    <definedName name="IQ_EBT_SBC_LOW_GUIDANCE_CIQ">"c4642"</definedName>
    <definedName name="IQ_EBT_SBC_LOW_GUIDANCE_CIQ_COL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>"c15613"</definedName>
    <definedName name="IQ_ECS_AUTHORIZED_SHARES_OTHER_ABS">"c15630"</definedName>
    <definedName name="IQ_ECS_CONVERT_FACTOR" hidden="1">"c5581"</definedName>
    <definedName name="IQ_ECS_CONVERT_FACTOR_ABS" hidden="1">"c5595"</definedName>
    <definedName name="IQ_ECS_CONVERT_FACTOR_OTHER">"c15611"</definedName>
    <definedName name="IQ_ECS_CONVERT_FACTOR_OTHER_ABS">"c15628"</definedName>
    <definedName name="IQ_ECS_CONVERT_INTO" hidden="1">"c5580"</definedName>
    <definedName name="IQ_ECS_CONVERT_INTO_ABS" hidden="1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 hidden="1">"c5579"</definedName>
    <definedName name="IQ_ECS_CONVERT_TYPE_ABS" hidden="1">"c5593"</definedName>
    <definedName name="IQ_ECS_CONVERT_TYPE_OTHER">"c15609"</definedName>
    <definedName name="IQ_ECS_CONVERT_TYPE_OTHER_ABS">"c15626"</definedName>
    <definedName name="IQ_ECS_INACTIVE_DATE" hidden="1">"c5576"</definedName>
    <definedName name="IQ_ECS_INACTIVE_DATE_ABS" hidden="1">"c5590"</definedName>
    <definedName name="IQ_ECS_INACTIVE_DATE_OTHER">"c15606"</definedName>
    <definedName name="IQ_ECS_INACTIVE_DATE_OTHER_ABS">"c15623"</definedName>
    <definedName name="IQ_ECS_NAME" hidden="1">"c5571"</definedName>
    <definedName name="IQ_ECS_NAME_ABS" hidden="1">"c5585"</definedName>
    <definedName name="IQ_ECS_NAME_OTHER">"c15599"</definedName>
    <definedName name="IQ_ECS_NAME_OTHER_ABS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>"c15615"</definedName>
    <definedName name="IQ_ECS_NUM_SHAREHOLDERS_OTHER_ABS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 hidden="1">"c5572"</definedName>
    <definedName name="IQ_ECS_SHARES_OUT_BS_DATE_ABS" hidden="1">"c5586"</definedName>
    <definedName name="IQ_ECS_SHARES_OUT_BS_DATE_OTHER">"c15600"</definedName>
    <definedName name="IQ_ECS_SHARES_OUT_BS_DATE_OTHER_ABS">"c15617"</definedName>
    <definedName name="IQ_ECS_SHARES_OUT_FILING_DATE" hidden="1">"c5573"</definedName>
    <definedName name="IQ_ECS_SHARES_OUT_FILING_DATE_ABS" hidden="1">"c5587"</definedName>
    <definedName name="IQ_ECS_SHARES_OUT_FILING_DATE_OTHER">"c15601"</definedName>
    <definedName name="IQ_ECS_SHARES_OUT_FILING_DATE_OTHER_ABS">"c15618"</definedName>
    <definedName name="IQ_ECS_START_DATE" hidden="1">"c5575"</definedName>
    <definedName name="IQ_ECS_START_DATE_ABS" hidden="1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 hidden="1">"c5574"</definedName>
    <definedName name="IQ_ECS_TYPE_ABS" hidden="1">"c5588"</definedName>
    <definedName name="IQ_ECS_TYPE_OTHER">"c15604"</definedName>
    <definedName name="IQ_ECS_TYPE_OTHER_ABS">"c15621"</definedName>
    <definedName name="IQ_ECS_VOTING" hidden="1">"c5582"</definedName>
    <definedName name="IQ_ECS_VOTING_ABS" hidden="1">"c5596"</definedName>
    <definedName name="IQ_ECS_VOTING_OTHER">"c15612"</definedName>
    <definedName name="IQ_ECS_VOTING_OTHER_ABS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>"c13035"</definedName>
    <definedName name="IQ_EMPLOYEES_UNDER_UNION_CONTRACTS">"c16109"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REUT" hidden="1">"c5453"</definedName>
    <definedName name="IQ_EPS_EST_THOM" hidden="1">"c5290"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EXCL_GUIDANCE" hidden="1">"c4368"</definedName>
    <definedName name="IQ_EPS_EXCL_GUIDANCE_CIQ">"c4893"</definedName>
    <definedName name="IQ_EPS_EXCL_GUIDANCE_CIQ_COL">"c11540"</definedName>
    <definedName name="IQ_EPS_EXCL_HIGH_GUIDANCE" hidden="1">"c4369"</definedName>
    <definedName name="IQ_EPS_EXCL_HIGH_GUIDANCE_CIQ">"c4894"</definedName>
    <definedName name="IQ_EPS_EXCL_HIGH_GUIDANCE_CIQ_COL">"c11541"</definedName>
    <definedName name="IQ_EPS_EXCL_LOW_GUIDANCE" hidden="1">"c4204"</definedName>
    <definedName name="IQ_EPS_EXCL_LOW_GUIDANCE_CIQ">"c4616"</definedName>
    <definedName name="IQ_EPS_EXCL_LOW_GUIDANCE_CIQ_COL">"c11265"</definedName>
    <definedName name="IQ_EPS_GAAP_GUIDANCE" hidden="1">"c4370"</definedName>
    <definedName name="IQ_EPS_GAAP_GUIDANCE_CIQ">"c4895"</definedName>
    <definedName name="IQ_EPS_GAAP_GUIDANCE_CIQ_COL">"c11542"</definedName>
    <definedName name="IQ_EPS_GAAP_HIGH_GUIDANCE" hidden="1">"c4371"</definedName>
    <definedName name="IQ_EPS_GAAP_HIGH_GUIDANCE_CIQ">"c4896"</definedName>
    <definedName name="IQ_EPS_GAAP_HIGH_GUIDANCE_CIQ_COL">"c11543"</definedName>
    <definedName name="IQ_EPS_GAAP_LOW_GUIDANCE" hidden="1">"c4205"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REUT" hidden="1">"c5389"</definedName>
    <definedName name="IQ_EPS_GW_EST_THOM" hidden="1">"c5133"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GW_GUIDANCE" hidden="1">"c4372"</definedName>
    <definedName name="IQ_EPS_GW_GUIDANCE_CIQ">"c4897"</definedName>
    <definedName name="IQ_EPS_GW_GUIDANCE_CIQ_COL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>"c4898"</definedName>
    <definedName name="IQ_EPS_GW_HIGH_GUIDANCE_CIQ_COL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>"c4618"</definedName>
    <definedName name="IQ_EPS_GW_LOW_GUIDANCE_CIQ_COL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REUT" hidden="1">"c5396"</definedName>
    <definedName name="IQ_EPS_REPORTED_EST_THOM" hidden="1">"c5140"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GUIDANCE" hidden="1">"c4377"</definedName>
    <definedName name="IQ_EPS_SBC_GUIDANCE_CIQ">"c4902"</definedName>
    <definedName name="IQ_EPS_SBC_GUIDANCE_CIQ_COL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GUIDANCE" hidden="1">"c4381"</definedName>
    <definedName name="IQ_EPS_SBC_GW_GUIDANCE_CIQ">"c4906"</definedName>
    <definedName name="IQ_EPS_SBC_GW_GUIDANCE_CIQ_COL">"c11553"</definedName>
    <definedName name="IQ_EPS_SBC_GW_HIGH_EST" hidden="1">"c4382"</definedName>
    <definedName name="IQ_EPS_SBC_GW_HIGH_GUIDANCE" hidden="1">"c4189"</definedName>
    <definedName name="IQ_EPS_SBC_GW_HIGH_GUIDANCE_CIQ">"c4601"</definedName>
    <definedName name="IQ_EPS_SBC_GW_HIGH_GUIDANCE_CIQ_COL">"c11250"</definedName>
    <definedName name="IQ_EPS_SBC_GW_LOW_EST" hidden="1">"c4383"</definedName>
    <definedName name="IQ_EPS_SBC_GW_LOW_GUIDANCE" hidden="1">"c4229"</definedName>
    <definedName name="IQ_EPS_SBC_GW_LOW_GUIDANCE_CIQ">"c4641"</definedName>
    <definedName name="IQ_EPS_SBC_GW_LOW_GUIDANCE_CIQ_COL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>"c4600"</definedName>
    <definedName name="IQ_EPS_SBC_HIGH_GUIDANCE_CIQ_COL">"c11249"</definedName>
    <definedName name="IQ_EPS_SBC_LOW_EST" hidden="1">"c4389"</definedName>
    <definedName name="IQ_EPS_SBC_LOW_GUIDANCE" hidden="1">"c4228"</definedName>
    <definedName name="IQ_EPS_SBC_LOW_GUIDANCE_CIQ">"c4640"</definedName>
    <definedName name="IQ_EPS_SBC_LOW_GUIDANCE_CIQ_COL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>"c13436"</definedName>
    <definedName name="IQ_EQUITY_BEG_EXCL_FFIEC">"c12957"</definedName>
    <definedName name="IQ_EQUITY_BEG_FFIEC">"c12959"</definedName>
    <definedName name="IQ_EQUITY_BIDPRICE" hidden="1">"c17797"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>"c12971"</definedName>
    <definedName name="IQ_ESOP_OVER_TOTAL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_COL" hidden="1">"c11568"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SHARE_REUT" hidden="1">"c3843"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DIFF_CIQ_COL" hidden="1">"c11213"</definedName>
    <definedName name="IQ_EST_CASH_FLOW_SURPRISE_PERCENT" hidden="1">"c4161"</definedName>
    <definedName name="IQ_EST_CASH_FLOW_SURPRISE_PERCENT_CIQ_COL" hidden="1">"c11222"</definedName>
    <definedName name="IQ_EST_CASH_OPER_DIFF" hidden="1">"c4162"</definedName>
    <definedName name="IQ_EST_CASH_OPER_DIFF_CIQ_COL" hidden="1">"c11223"</definedName>
    <definedName name="IQ_EST_CASH_OPER_SURPRISE_PERCENT" hidden="1">"c4248"</definedName>
    <definedName name="IQ_EST_CASH_OPER_SURPRISE_PERCENT_CIQ_COL" hidden="1">"c11421"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_COL" hidden="1">"c11448"</definedName>
    <definedName name="IQ_EST_DISTRIBUTABLE_CASH_GROWTH_1YR" hidden="1">"c4413"</definedName>
    <definedName name="IQ_EST_DISTRIBUTABLE_CASH_GROWTH_1YR_CIQ_COL" hidden="1">"c11585"</definedName>
    <definedName name="IQ_EST_DISTRIBUTABLE_CASH_GROWTH_2YR" hidden="1">"c4414"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_COL" hidden="1">"c11588"</definedName>
    <definedName name="IQ_EST_DISTRIBUTABLE_CASH_SHARE_DIFF" hidden="1">"c4284"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_COL" hidden="1">"c11467"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_COL" hidden="1">"c11476"</definedName>
    <definedName name="IQ_EST_EBIT_GW_SURPRISE_PERCENT" hidden="1">"c4313"</definedName>
    <definedName name="IQ_EST_EBIT_GW_SURPRISE_PERCENT_CIQ_COL" hidden="1">"c11485"</definedName>
    <definedName name="IQ_EST_EBIT_SBC_DIFF" hidden="1">"c4314"</definedName>
    <definedName name="IQ_EST_EBIT_SBC_DIFF_CIQ_COL" hidden="1">"c11486"</definedName>
    <definedName name="IQ_EST_EBIT_SBC_GW_DIFF" hidden="1">"c4318"</definedName>
    <definedName name="IQ_EST_EBIT_SBC_GW_DIFF_CIQ_COL" hidden="1">"c11490"</definedName>
    <definedName name="IQ_EST_EBIT_SBC_GW_SURPRISE_PERCENT" hidden="1">"c4327"</definedName>
    <definedName name="IQ_EST_EBIT_SBC_GW_SURPRISE_PERCENT_CIQ_COL" hidden="1">"c11499"</definedName>
    <definedName name="IQ_EST_EBIT_SBC_SURPRISE_PERCENT" hidden="1">"c4333"</definedName>
    <definedName name="IQ_EST_EBIT_SBC_SURPRISE_PERCENT_CIQ_COL" hidden="1">"c11505"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_COL" hidden="1">"c11507"</definedName>
    <definedName name="IQ_EST_EBITDA_SBC_SURPRISE_PERCENT" hidden="1">"c4344"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_COL" hidden="1">"c11520"</definedName>
    <definedName name="IQ_EST_EBT_SBC_GW_DIFF" hidden="1">"c4352"</definedName>
    <definedName name="IQ_EST_EBT_SBC_GW_DIFF_CIQ_COL" hidden="1">"c11524"</definedName>
    <definedName name="IQ_EST_EBT_SBC_GW_SURPRISE_PERCENT" hidden="1">"c4361"</definedName>
    <definedName name="IQ_EST_EBT_SBC_GW_SURPRISE_PERCENT_CIQ_COL" hidden="1">"c11533"</definedName>
    <definedName name="IQ_EST_EBT_SBC_SURPRISE_PERCENT" hidden="1">"c4367"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_COL" hidden="1">"c11546"</definedName>
    <definedName name="IQ_EST_EPS_SBC_GW_DIFF" hidden="1">"c4378"</definedName>
    <definedName name="IQ_EST_EPS_SBC_GW_DIFF_CIQ_COL" hidden="1">"c11550"</definedName>
    <definedName name="IQ_EST_EPS_SBC_GW_SURPRISE_PERCENT" hidden="1">"c4387"</definedName>
    <definedName name="IQ_EST_EPS_SBC_GW_SURPRISE_PERCENT_CIQ_COL" hidden="1">"c11559"</definedName>
    <definedName name="IQ_EST_EPS_SBC_SURPRISE_PERCENT" hidden="1">"c4393"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DIFF_CIQ_COL" hidden="1">"c11605"</definedName>
    <definedName name="IQ_EST_FFO_ADJ_GROWTH_1YR" hidden="1">"c4421"</definedName>
    <definedName name="IQ_EST_FFO_ADJ_GROWTH_1YR_CIQ_COL" hidden="1">"c11593"</definedName>
    <definedName name="IQ_EST_FFO_ADJ_GROWTH_2YR" hidden="1">"c4422"</definedName>
    <definedName name="IQ_EST_FFO_ADJ_GROWTH_2YR_CIQ_COL" hidden="1">"c11594"</definedName>
    <definedName name="IQ_EST_FFO_ADJ_GROWTH_Q_1YR" hidden="1">"c4423"</definedName>
    <definedName name="IQ_EST_FFO_ADJ_GROWTH_Q_1YR_CIQ_COL" hidden="1">"c11595"</definedName>
    <definedName name="IQ_EST_FFO_ADJ_SEQ_GROWTH_Q" hidden="1">"c4424"</definedName>
    <definedName name="IQ_EST_FFO_ADJ_SEQ_GROWTH_Q_CIQ_COL" hidden="1">"c11596"</definedName>
    <definedName name="IQ_EST_FFO_ADJ_SURPRISE_PERCENT" hidden="1">"c4442"</definedName>
    <definedName name="IQ_EST_FFO_ADJ_SURPRISE_PERCENT_CIQ_COL" hidden="1">"c11614"</definedName>
    <definedName name="IQ_EST_FFO_DIFF" hidden="1">"c1869"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THOM" hidden="1">"c5186"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" hidden="1">"c4453"</definedName>
    <definedName name="IQ_EST_FFO_SHARE_SURPRISE_PERCENT_THOM" hidden="1">"c5187"</definedName>
    <definedName name="IQ_EST_FFO_SURPRISE_PERCENT" hidden="1">"c1870"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_COL" hidden="1">"c11632"</definedName>
    <definedName name="IQ_EST_MAINT_CAPEX_GROWTH_1YR" hidden="1">"c4429"</definedName>
    <definedName name="IQ_EST_MAINT_CAPEX_GROWTH_1YR_CIQ_COL" hidden="1">"c11601"</definedName>
    <definedName name="IQ_EST_MAINT_CAPEX_GROWTH_2YR" hidden="1">"c4430"</definedName>
    <definedName name="IQ_EST_MAINT_CAPEX_GROWTH_2YR_CIQ_COL" hidden="1">"c11602"</definedName>
    <definedName name="IQ_EST_MAINT_CAPEX_GROWTH_Q_1YR" hidden="1">"c4431"</definedName>
    <definedName name="IQ_EST_MAINT_CAPEX_GROWTH_Q_1YR_CIQ_COL" hidden="1">"c11603"</definedName>
    <definedName name="IQ_EST_MAINT_CAPEX_SEQ_GROWTH_Q" hidden="1">"c4432"</definedName>
    <definedName name="IQ_EST_MAINT_CAPEX_SEQ_GROWTH_Q_CIQ_COL" hidden="1">"c11604"</definedName>
    <definedName name="IQ_EST_MAINT_CAPEX_SURPRISE_PERCENT" hidden="1">"c4465"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DIFF_CIQ_COL" hidden="1">"c11657"</definedName>
    <definedName name="IQ_EST_NI_SBC_GW_DIFF" hidden="1">"c4476"</definedName>
    <definedName name="IQ_EST_NI_SBC_GW_DIFF_CIQ_COL" hidden="1">"c11661"</definedName>
    <definedName name="IQ_EST_NI_SBC_GW_SURPRISE_PERCENT" hidden="1">"c4485"</definedName>
    <definedName name="IQ_EST_NI_SBC_GW_SURPRISE_PERCENT_CIQ_COL" hidden="1">"c11670"</definedName>
    <definedName name="IQ_EST_NI_SBC_SURPRISE_PERCENT" hidden="1">"c4491"</definedName>
    <definedName name="IQ_EST_NI_SBC_SURPRISE_PERCENT_CIQ_COL" hidden="1">"c11676"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>"c13923"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>"c16064"</definedName>
    <definedName name="IQ_EXP_RETURN_PENSION_DOMESTIC" hidden="1">"c407"</definedName>
    <definedName name="IQ_EXP_RETURN_PENSION_FOREIGN" hidden="1">"c408"</definedName>
    <definedName name="IQ_EXPENSE_REIMBURSEMENTS">"c16020"</definedName>
    <definedName name="IQ_EXPENSES_AP" hidden="1">"c8875"</definedName>
    <definedName name="IQ_EXPENSES_AP_ABS" hidden="1">"c8894"</definedName>
    <definedName name="IQ_EXPENSES_FIXED_ASSETS_FFIEC">"c13024"</definedName>
    <definedName name="IQ_EXPENSES_NAME_AP" hidden="1">"c8913"</definedName>
    <definedName name="IQ_EXPENSES_NAME_AP_ABS" hidden="1">"c8932"</definedName>
    <definedName name="IQ_EXPIRATION_DATE" hidden="1">"c13930"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>"c13369"</definedName>
    <definedName name="IQ_EXTRA_ITEMS" hidden="1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 hidden="1">"c8757"</definedName>
    <definedName name="IQ_FAD_PAYOUT_RATIO" hidden="1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 hidden="1">"c417"</definedName>
    <definedName name="IQ_FDIC_CERT_NUMBER_FFIEC" hidden="1">"c20507"</definedName>
    <definedName name="IQ_FDIC_DEPOSIT_INSURANCE_FFIEC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 hidden="1">"c2256"</definedName>
    <definedName name="IQ_FEDFUNDS_SOLD_RELATED">"c19130"</definedName>
    <definedName name="IQ_FEES_COMMISSIONS_BROKERAGE_FFIEC">"c13005"</definedName>
    <definedName name="IQ_FEES_OTHER_INCOME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>"c4961"</definedName>
    <definedName name="IQ_FFO_ADJ_GUIDANCE_CIQ_COL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>"c4614"</definedName>
    <definedName name="IQ_FFO_ADJ_HIGH_GUIDANCE_CIQ_COL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>"c4654"</definedName>
    <definedName name="IQ_FFO_ADJ_LOW_GUIDANCE_CIQ_COL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>"c16186"</definedName>
    <definedName name="IQ_FFO_EST" hidden="1">"c418"</definedName>
    <definedName name="IQ_FFO_EST_CIQ" hidden="1">"c4970"</definedName>
    <definedName name="IQ_FFO_EST_CIQ_COL" hidden="1">"c11617"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>"c4968"</definedName>
    <definedName name="IQ_FFO_GUIDANCE_CIQ_COL">"c11615"</definedName>
    <definedName name="IQ_FFO_HIGH_EST" hidden="1">"c419"</definedName>
    <definedName name="IQ_FFO_HIGH_EST_CIQ" hidden="1">"c4977"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>"c4596"</definedName>
    <definedName name="IQ_FFO_HIGH_GUIDANCE_CIQ_COL">"c11245"</definedName>
    <definedName name="IQ_FFO_LOW_EST" hidden="1">"c420"</definedName>
    <definedName name="IQ_FFO_LOW_EST_CIQ" hidden="1">"c4978"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>"c4636"</definedName>
    <definedName name="IQ_FFO_LOW_GUIDANCE_CIQ_COL">"c11285"</definedName>
    <definedName name="IQ_FFO_MEDIAN_EST" hidden="1">"c1665"</definedName>
    <definedName name="IQ_FFO_MEDIAN_EST_CIQ" hidden="1">"c4979"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GUIDANCE" hidden="1">"c4447"</definedName>
    <definedName name="IQ_FFO_SHARE_GUIDANCE_CIQ">"c4976"</definedName>
    <definedName name="IQ_FFO_SHARE_GUIDANCE_CIQ_COL">"c11623"</definedName>
    <definedName name="IQ_FFO_SHARE_HIGH_EST" hidden="1">"c4448"</definedName>
    <definedName name="IQ_FFO_SHARE_HIGH_EST_THOM" hidden="1">"c4001"</definedName>
    <definedName name="IQ_FFO_SHARE_HIGH_GUIDANCE" hidden="1">"c4203"</definedName>
    <definedName name="IQ_FFO_SHARE_HIGH_GUIDANCE_CIQ">"c4615"</definedName>
    <definedName name="IQ_FFO_SHARE_HIGH_GUIDANCE_CIQ_COL">"c11264"</definedName>
    <definedName name="IQ_FFO_SHARE_LOW_EST" hidden="1">"c4449"</definedName>
    <definedName name="IQ_FFO_SHARE_LOW_EST_THOM" hidden="1">"c4002"</definedName>
    <definedName name="IQ_FFO_SHARE_LOW_GUIDANCE" hidden="1">"c4243"</definedName>
    <definedName name="IQ_FFO_SHARE_LOW_GUIDANCE_CIQ">"c4655"</definedName>
    <definedName name="IQ_FFO_SHARE_LOW_GUIDANCE_CIQ_COL">"c11304"</definedName>
    <definedName name="IQ_FFO_SHARE_MEDIAN_EST" hidden="1">"c4450"</definedName>
    <definedName name="IQ_FFO_SHARE_MEDIAN_EST_THOM" hidden="1">"c4000"</definedName>
    <definedName name="IQ_FFO_SHARE_NUM_EST" hidden="1">"c4451"</definedName>
    <definedName name="IQ_FFO_SHARE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" hidden="1">"c4452"</definedName>
    <definedName name="IQ_FFO_SHARE_STDDEV_EST_THOM" hidden="1">"c4004"</definedName>
    <definedName name="IQ_FFO_SHARES_BASIC">"c16185"</definedName>
    <definedName name="IQ_FFO_SHARES_DILUTED">"c16187"</definedName>
    <definedName name="IQ_FFO_STDDEV_EST" hidden="1">"c422"</definedName>
    <definedName name="IQ_FFO_STDDEV_EST_CIQ" hidden="1">"c4981"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 hidden="1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 hidden="1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 hidden="1">"c449"</definedName>
    <definedName name="IQ_FULL_TIME" hidden="1">"c450"</definedName>
    <definedName name="IQ_FULLY_INSURED_BROKERED_DEPOSITS_FFIEC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>"c13493"</definedName>
    <definedName name="IQ_FUND_GEOGRAPHIC_MANDATE" hidden="1">"c19195"</definedName>
    <definedName name="IQ_FUND_MARKET_CAP_EMPHASIS" hidden="1">"c19197"</definedName>
    <definedName name="IQ_FUND_NAV">"c15225"</definedName>
    <definedName name="IQ_FUND_PRIMARY_ADVISOR">"c19091"</definedName>
    <definedName name="IQ_FUND_SECTOR_EMPHASIS" hidden="1">"c19196"</definedName>
    <definedName name="IQ_FUND_VEHICLE_TYPE" hidden="1">"c19194"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CONTRACT_LIST" hidden="1">"c17682"</definedName>
    <definedName name="IQ_FUTURES_FORWARD_CONTRACTS_NOTIONAL_AMOUNT_FDIC" hidden="1">"c6518"</definedName>
    <definedName name="IQ_FUTURES_FORWARD_CONTRACTS_RATE_RISK_FDIC" hidden="1">"c6508"</definedName>
    <definedName name="IQ_FUTURES_NAME" hidden="1">"c13936"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>"c13066"</definedName>
    <definedName name="IQ_GAIN_CREDIT_DERIVATIVES_NON_TRADING_FFIEC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 hidden="1">"c2742"</definedName>
    <definedName name="IQ_GROSS_CLAIM_ADJ_EXP_RESERVE_BOP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" hidden="1">"c520"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>"c15871"</definedName>
    <definedName name="IQ_GROSS_LOSSES_AVG_LOANS_FFIEC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>"c15590"</definedName>
    <definedName name="IQ_GVKEY_OTHER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>"c15971"</definedName>
    <definedName name="IQ_HG_EXP_CASINO" hidden="1">"c8733"</definedName>
    <definedName name="IQ_HG_EXP_DEVELOPMENT" hidden="1">"c8738"</definedName>
    <definedName name="IQ_HG_EXP_DIRECT_CASINO_GAMING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>"c15980"</definedName>
    <definedName name="IQ_HG_FOOD_BEV_REV_TOTAL_REV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>"c15970"</definedName>
    <definedName name="IQ_HG_NUMBER_TABLES_AVG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>"c15993"</definedName>
    <definedName name="IQ_HG_REV_INCENTIVE_MANAGEMENT_FEES" hidden="1">"c8727"</definedName>
    <definedName name="IQ_HG_REV_MANAGEMENT_FEES" hidden="1">"c8718"</definedName>
    <definedName name="IQ_HG_REV_OTHER_CASINO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>"c15990"</definedName>
    <definedName name="IQ_HG_REV_TABLE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 hidden="1">"c8745"</definedName>
    <definedName name="IQ_HG_ROOM_REV_TOTAL_REV">"c15984"</definedName>
    <definedName name="IQ_HG_ROOMS_BEG" hidden="1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 hidden="1">"c546"</definedName>
    <definedName name="IQ_HOTEL_OPERATING_EXPENSE">"c16042"</definedName>
    <definedName name="IQ_HOTEL_OPERATING_REVENUE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>"c15265"</definedName>
    <definedName name="IQ_HYBRID_STRUCTURED_PRODUCTS_FFIEC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>"c15748"</definedName>
    <definedName name="IQ_IMPAIR_OIL" hidden="1">"c547"</definedName>
    <definedName name="IQ_IMPAIRED_LOANS">"c15250"</definedName>
    <definedName name="IQ_IMPAIRMENT_GW" hidden="1">"c548"</definedName>
    <definedName name="IQ_IMPAIRMENT_GW_SUPPLE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>"c19101"</definedName>
    <definedName name="IQ_INSIDER_DERIVATIVES">"c19102"</definedName>
    <definedName name="IQ_INSIDER_LOANS_FDIC" hidden="1">"c6365"</definedName>
    <definedName name="IQ_INSIDER_NAME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>"c19104"</definedName>
    <definedName name="IQ_INSIDER_SHARES" hidden="1">"c579"</definedName>
    <definedName name="IQ_INSIDER_VALUE">"c19103"</definedName>
    <definedName name="IQ_INST_DEPOSITS" hidden="1">"c89"</definedName>
    <definedName name="IQ_INSTITUTIONAL_AMOUNT" hidden="1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>"c19109"</definedName>
    <definedName name="IQ_INSTITUTIONAL_SHARES" hidden="1">"c582"</definedName>
    <definedName name="IQ_INSTITUTIONAL_VALUE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 hidden="1">"c1166"</definedName>
    <definedName name="IQ_INT_BEARING_FUNDS_AVG_ASSETS_FFIEC">"c13355"</definedName>
    <definedName name="IQ_INT_BEARING_LIABILITIES_REPRICE_ASSETS_TOT_FFIEC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 hidden="1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 hidden="1">"c587"</definedName>
    <definedName name="IQ_INT_EXP_EARNING_ASSETS_FFIEC">"c13376"</definedName>
    <definedName name="IQ_INT_EXP_FED_FUNDS_PURCHASED_FFIEC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 hidden="1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 hidden="1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GIBLES_NET" hidden="1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>"c15220"</definedName>
    <definedName name="IQ_INV_REL_NAME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 hidden="1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HOLD_IMPROVEMENT" hidden="1">"c17549"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 hidden="1">"c2123"</definedName>
    <definedName name="IQ_LICENSED_WIRELESS_POPS">"c2123"</definedName>
    <definedName name="IQ_LIFE_EARNED" hidden="1">"c2739"</definedName>
    <definedName name="IQ_LIFE_INSURANCE_ASSETS_FDIC" hidden="1">"c6372"</definedName>
    <definedName name="IQ_LIFE_INSURANCE_ASSETS_FFIEC">"c12847"</definedName>
    <definedName name="IQ_LIFOR" hidden="1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L" hidden="1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 hidden="1">"c658"</definedName>
    <definedName name="IQ_LOANS_AGRICULTURAL_PROD_LL_REC_FFIEC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 hidden="1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 hidden="1">"c667"</definedName>
    <definedName name="IQ_LOANS_PURCHASING_CARRYING_SECURITIES_LL_REC_DOM_FFIEC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>"c13132"</definedName>
    <definedName name="IQ_LOSS_LOSS_EXP" hidden="1">"c672"</definedName>
    <definedName name="IQ_LOSS_TO_NET_EARNED" hidden="1">"c2751"</definedName>
    <definedName name="IQ_LOW_SULFUR_CONTENT_RESERVES_COAL">"c15924"</definedName>
    <definedName name="IQ_LOW_SULFURE_RESERVES_TO_TOTAL_RESERVES_COAL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>"c13453"</definedName>
    <definedName name="IQ_LT_DEBT_REPRICING_WITHIN_1_YR_INT_SENSITIVITY_FFIEC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GUIDANCE" hidden="1">"c4459"</definedName>
    <definedName name="IQ_MAINT_CAPEX_GUIDANCE_CIQ">"c4988"</definedName>
    <definedName name="IQ_MAINT_CAPEX_GUIDANCE_CIQ_COL">"c11635"</definedName>
    <definedName name="IQ_MAINT_CAPEX_HIGH_EST" hidden="1">"c4460"</definedName>
    <definedName name="IQ_MAINT_CAPEX_HIGH_GUIDANCE" hidden="1">"c4197"</definedName>
    <definedName name="IQ_MAINT_CAPEX_HIGH_GUIDANCE_CIQ">"c4609"</definedName>
    <definedName name="IQ_MAINT_CAPEX_HIGH_GUIDANCE_CIQ_COL">"c11258"</definedName>
    <definedName name="IQ_MAINT_CAPEX_LOW_EST" hidden="1">"c4461"</definedName>
    <definedName name="IQ_MAINT_CAPEX_LOW_GUIDANCE" hidden="1">"c4237"</definedName>
    <definedName name="IQ_MAINT_CAPEX_LOW_GUIDANCE_CIQ">"c4649"</definedName>
    <definedName name="IQ_MAINT_CAPEX_LOW_GUIDANCE_CIQ_COL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>"c16035"</definedName>
    <definedName name="IQ_MATERIALS_SUPPLES_INVENTORY_COAL">"c15942"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>"c12799"</definedName>
    <definedName name="IQ_MBS_OTHER_ISSUED_FNMA_OTHERS_FFIEC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>"c12797"</definedName>
    <definedName name="IQ_MBS_PASS_THROUGH_FNMA_FFIEC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>"c12796"</definedName>
    <definedName name="IQ_MBS_PASS_THROUGH_GNMA_FFIEC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>"c12798"</definedName>
    <definedName name="IQ_MBS_PASS_THROUGH_OTHER_FFIEC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 hidden="1">"c9937"</definedName>
    <definedName name="IQ_MC_DAYS_CLAIMS_PAYABLE_EXCL_CAPITATION" hidden="1">"c9938"</definedName>
    <definedName name="IQ_MC_DENTAL_MEMBERS">"c15832"</definedName>
    <definedName name="IQ_MC_DENTAL_PREMIUMS">"c15858"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 hidden="1">"c9925"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 hidden="1">"c9942"</definedName>
    <definedName name="IQ_MC_PPO_POS_MEMBERS">"c15823"</definedName>
    <definedName name="IQ_MC_PPO_POS_PREMIUMS">"c15849"</definedName>
    <definedName name="IQ_MC_PREMIUMS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>"c15867"</definedName>
    <definedName name="IQ_MC_SPECIALTY_NON_RISK_MEMBERS">"c15840"</definedName>
    <definedName name="IQ_MC_STATUTORY_SURPLUS" hidden="1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 hidden="1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 hidden="1">"c9922"</definedName>
    <definedName name="IQ_MC_TOTAL_MEMBERSHIP_CAPITATION" hidden="1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>"c15808"</definedName>
    <definedName name="IQ_MINTUTES_USED_LONG_DIST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>"c15276"</definedName>
    <definedName name="IQ_MORTGAGE_SERV_RIGHTS" hidden="1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40122.3865046296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>"c15996"</definedName>
    <definedName name="IQ_NAV_SHARE_ACT_OR_EST" hidden="1">"c5615"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NOTE" hidden="1">"c17522"</definedName>
    <definedName name="IQ_NAV_SHARE_EST_NOTE_CIQ" hidden="1">"c17475"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ARBY_CONTRACT_ID" hidden="1">"c14328"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>"c5005"</definedName>
    <definedName name="IQ_NET_DEBT_GUIDANCE_CIQ_COL">"c11652"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>"c4593"</definedName>
    <definedName name="IQ_NET_DEBT_HIGH_GUIDANCE_CIQ_COL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>"c4633"</definedName>
    <definedName name="IQ_NET_DEBT_LOW_GUIDANCE_CIQ_COL">"c11282"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>"c15873"</definedName>
    <definedName name="IQ_NET_NEW_CLIENT_ASSETS" hidden="1">"c20430"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 hidden="1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 hidden="1">"c2198"</definedName>
    <definedName name="IQ_NEXT_CALL_PRICE" hidden="1">"c2199"</definedName>
    <definedName name="IQ_NEXT_CONTRACT_ID" hidden="1">"c13928"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>"c13370"</definedName>
    <definedName name="IQ_NI_BANK_AND_NONCONTROLLING_INTEREST_FFIEC">"c15365"</definedName>
    <definedName name="IQ_NI_BEFORE_CAPITALIZED" hidden="1">"c792"</definedName>
    <definedName name="IQ_NI_BEFORE_INTERNAL_ALLOCATIONS_FOREIGN_FFIEC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REUT" hidden="1">"c5368"</definedName>
    <definedName name="IQ_NI_EST_THOM" hidden="1">"c5126"</definedName>
    <definedName name="IQ_NI_FFIEC">"c13034"</definedName>
    <definedName name="IQ_NI_GAAP_GUIDANCE" hidden="1">"c4470"</definedName>
    <definedName name="IQ_NI_GAAP_GUIDANCE_CIQ">"c5008"</definedName>
    <definedName name="IQ_NI_GAAP_GUIDANCE_CIQ_COL">"c11655"</definedName>
    <definedName name="IQ_NI_GAAP_HIGH_GUIDANCE" hidden="1">"c4177"</definedName>
    <definedName name="IQ_NI_GAAP_HIGH_GUIDANCE_CIQ">"c4589"</definedName>
    <definedName name="IQ_NI_GAAP_HIGH_GUIDANCE_CIQ_COL">"c11238"</definedName>
    <definedName name="IQ_NI_GAAP_LOW_GUIDANCE" hidden="1">"c4217"</definedName>
    <definedName name="IQ_NI_GAAP_LOW_GUIDANCE_CIQ">"c4629"</definedName>
    <definedName name="IQ_NI_GAAP_LOW_GUIDANCE_CIQ_COL">"c11278"</definedName>
    <definedName name="IQ_NI_GUIDANCE" hidden="1">"c4469"</definedName>
    <definedName name="IQ_NI_GUIDANCE_CIQ">"c5007"</definedName>
    <definedName name="IQ_NI_GUIDANCE_CIQ_COL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REUT" hidden="1">"c5375"</definedName>
    <definedName name="IQ_NI_GW_GUIDANCE" hidden="1">"c4471"</definedName>
    <definedName name="IQ_NI_GW_GUIDANCE_CIQ">"c5009"</definedName>
    <definedName name="IQ_NI_GW_GUIDANCE_CIQ_COL">"c11656"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HIGH_GUIDANCE_CIQ">"c4590"</definedName>
    <definedName name="IQ_NI_GW_HIGH_GUIDANCE_CIQ_COL">"c11239"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LOW_GUIDANCE_CIQ">"c4630"</definedName>
    <definedName name="IQ_NI_GW_LOW_GUIDANCE_CIQ_COL">"c11279"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>"c4588"</definedName>
    <definedName name="IQ_NI_HIGH_GUIDANCE_CIQ_COL">"c11237"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>"c4628"</definedName>
    <definedName name="IQ_NI_LOW_GUIDANCE_CIQ_COL">"c11277"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N_CONTROLLING_INTERESTS_FFIEC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GUIDANCE" hidden="1">"c4475"</definedName>
    <definedName name="IQ_NI_SBC_GUIDANCE_CIQ">"c5013"</definedName>
    <definedName name="IQ_NI_SBC_GUIDANCE_CIQ_COL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GUIDANCE" hidden="1">"c4479"</definedName>
    <definedName name="IQ_NI_SBC_GW_GUIDANCE_CIQ">"c5017"</definedName>
    <definedName name="IQ_NI_SBC_GW_GUIDANCE_CIQ_COL">"c11664"</definedName>
    <definedName name="IQ_NI_SBC_GW_HIGH_EST" hidden="1">"c4480"</definedName>
    <definedName name="IQ_NI_SBC_GW_HIGH_GUIDANCE" hidden="1">"c4187"</definedName>
    <definedName name="IQ_NI_SBC_GW_HIGH_GUIDANCE_CIQ">"c4599"</definedName>
    <definedName name="IQ_NI_SBC_GW_HIGH_GUIDANCE_CIQ_COL">"c11248"</definedName>
    <definedName name="IQ_NI_SBC_GW_LOW_EST" hidden="1">"c4481"</definedName>
    <definedName name="IQ_NI_SBC_GW_LOW_GUIDANCE" hidden="1">"c4227"</definedName>
    <definedName name="IQ_NI_SBC_GW_LOW_GUIDANCE_CIQ">"c4639"</definedName>
    <definedName name="IQ_NI_SBC_GW_LOW_GUIDANCE_CIQ_COL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>"c4598"</definedName>
    <definedName name="IQ_NI_SBC_HIGH_GUIDANCE_CIQ_COL">"c11247"</definedName>
    <definedName name="IQ_NI_SBC_LOW_EST" hidden="1">"c4487"</definedName>
    <definedName name="IQ_NI_SBC_LOW_GUIDANCE" hidden="1">"c4226"</definedName>
    <definedName name="IQ_NI_SBC_LOW_GUIDANCE_CIQ">"c4638"</definedName>
    <definedName name="IQ_NI_SBC_LOW_GUIDANCE_CIQ_COL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>"c13353"</definedName>
    <definedName name="IQ_NON_ACCRUAL_ASSET_SOLD_DURING_QTR_FFIEC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 hidden="1">"c798"</definedName>
    <definedName name="IQ_NON_INS_REV" hidden="1">"c799"</definedName>
    <definedName name="IQ_NON_INT_BAL_OTHER_INSTITUTIONS_FFIEC">"c12950"</definedName>
    <definedName name="IQ_NON_INT_BEAR_CD" hidden="1">"c11750"</definedName>
    <definedName name="IQ_NON_INT_BEARING_DEPOSITS" hidden="1">"c800"</definedName>
    <definedName name="IQ_NON_INT_DEPOSITS_DOM_FFIEC">"c12851"</definedName>
    <definedName name="IQ_NON_INT_DEPOSITS_FOREIGN_FFIEC">"c12854"</definedName>
    <definedName name="IQ_NON_INT_EXP" hidden="1">"c801"</definedName>
    <definedName name="IQ_NON_INT_EXP_AVG_ASSETS_FFIEC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>"c15702"</definedName>
    <definedName name="IQ_NON_PERF_ASSETS_LOANS_OREO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>"c13859"</definedName>
    <definedName name="IQ_NON_PERFORMING_LOANS" hidden="1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 hidden="1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>"c13739"</definedName>
    <definedName name="IQ_NUM_OFFICES" hidden="1">"c2088"</definedName>
    <definedName name="IQ_NUMBER_ADRHOLDERS" hidden="1">"c1970"</definedName>
    <definedName name="IQ_NUMBER_CELL_SITES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TRADES_EXECUTED" hidden="1">"c20428"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>"c13372"</definedName>
    <definedName name="IQ_OCCUPANCY_EXP_OPERATING_INC_FFIEC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 hidden="1">"c10096"</definedName>
    <definedName name="IQ_OG_GROSS_OPERATED_WELLS" hidden="1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INTEREST" hidden="1">"c13931"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RGANIC_GROWTH_RATE" hidden="1">"c20429"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 hidden="1">"c859"</definedName>
    <definedName name="IQ_OTHER_ADJUSTMENTS_COVERED" hidden="1">"c9961"</definedName>
    <definedName name="IQ_OTHER_ADJUSTMENTS_FFIEC">"c12972"</definedName>
    <definedName name="IQ_OTHER_ADJUSTMENTS_GROUP" hidden="1">"c9947"</definedName>
    <definedName name="IQ_OTHER_AFFO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>"c15473"</definedName>
    <definedName name="IQ_OTHER_DEDUCTIONS_LEVERAGE_RATIO_FFIEC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 hidden="1">"c1609"</definedName>
    <definedName name="IQ_OTHER_EPRA_NAV_ADJ">"c16004"</definedName>
    <definedName name="IQ_OTHER_EPRA_NNAV_ADJ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>"c13381"</definedName>
    <definedName name="IQ_OTHER_FAD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 hidden="1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>"c12801"</definedName>
    <definedName name="IQ_OTHER_MBS_FFIEC">"c12787"</definedName>
    <definedName name="IQ_OTHER_MBS_HTM_AMORT_COST_FFIEC" hidden="1">"c20446"</definedName>
    <definedName name="IQ_OTHER_MBS_HTM_FAIR_VAL_FFIEC" hidden="1">"c20481"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>"c15931"</definedName>
    <definedName name="IQ_OTHER_NET" hidden="1">"c1453"</definedName>
    <definedName name="IQ_OTHER_NON_INT_ALLOCATIONS_FFIEC">"c13065"</definedName>
    <definedName name="IQ_OTHER_NON_INT_EXP" hidden="1">"c953"</definedName>
    <definedName name="IQ_OTHER_NON_INT_EXP_FDIC" hidden="1">"c6578"</definedName>
    <definedName name="IQ_OTHER_NON_INT_EXP_FFIEC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>"c13770"</definedName>
    <definedName name="IQ_OTHER_PC_WRITTEN" hidden="1">"c1006"</definedName>
    <definedName name="IQ_OTHER_PROP" hidden="1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 hidden="1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 hidden="1">"c8780"</definedName>
    <definedName name="IQ_OTHER_STRIKE_PRICE_GRANTED" hidden="1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>"c13254"</definedName>
    <definedName name="IQ_PARTNERSHIP_INC_RE" hidden="1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>"c16204"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>"c13371"</definedName>
    <definedName name="IQ_PERSONNEL_EXP_OPERATING_INC_FFIEC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>"c13123"</definedName>
    <definedName name="IQ_POSITIVE_FAIR_VALUE_DERIVATIVES_GUARANTOR_FFIEC">"c13116"</definedName>
    <definedName name="IQ_POST_RETIRE_EXP" hidden="1">"c1039"</definedName>
    <definedName name="IQ_POSTAGE_FFIEC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>"c12875"</definedName>
    <definedName name="IQ_PREF_TOT" hidden="1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>"c15216"</definedName>
    <definedName name="IQ_PRESIDENT_NAME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>"c15390"</definedName>
    <definedName name="IQ_PRETAX_INC_BEFORE_CAP_ALLOCATION_FOREIGN_FFIEC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CONTRACT_ID" hidden="1">"c13929"</definedName>
    <definedName name="IQ_PREV_MONTHLY_FACTOR" hidden="1">"c8973"</definedName>
    <definedName name="IQ_PREV_MONTHLY_FACTOR_DATE" hidden="1">"c8974"</definedName>
    <definedName name="IQ_PREVIOUS_TIME_RT">"PREVIOUSLASTTIME"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UNIT" hidden="1">"c15556"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EST_CIQ_COL" hidden="1">"c11677"</definedName>
    <definedName name="IQ_PRICE_VOLATILITY_HIGH" hidden="1">"c4493"</definedName>
    <definedName name="IQ_PRICE_VOLATILITY_HIGH_CIQ_COL" hidden="1">"c11678"</definedName>
    <definedName name="IQ_PRICE_VOLATILITY_LOW" hidden="1">"c4494"</definedName>
    <definedName name="IQ_PRICE_VOLATILITY_LOW_CIQ_COL" hidden="1">"c11679"</definedName>
    <definedName name="IQ_PRICE_VOLATILITY_MEDIAN" hidden="1">"c4495"</definedName>
    <definedName name="IQ_PRICE_VOLATILITY_MEDIAN_CIQ_COL" hidden="1">"c11680"</definedName>
    <definedName name="IQ_PRICE_VOLATILITY_NUM" hidden="1">"c4496"</definedName>
    <definedName name="IQ_PRICE_VOLATILITY_NUM_CIQ_COL" hidden="1">"c11681"</definedName>
    <definedName name="IQ_PRICE_VOLATILITY_STDDEV" hidden="1">"c4497"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>"c16218"</definedName>
    <definedName name="IQ_PRIMARY_SIC_INDUSTRY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>"c15945"</definedName>
    <definedName name="IQ_PROFESSIONAL" hidden="1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 hidden="1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 hidden="1">"c9969"</definedName>
    <definedName name="IQ_PROFIT_BEFORE_COST_CAPITAL_NEW_BUSINESS" hidden="1">"c9967"</definedName>
    <definedName name="IQ_PROGRAMMING_COSTS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>"c15717"</definedName>
    <definedName name="IQ_PROVISION_CHARGE_OFFS" hidden="1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 hidden="1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>"c13479"</definedName>
    <definedName name="IQ_RE_GAIN_LOSS_SALE_ASSETS" hidden="1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>"c16036"</definedName>
    <definedName name="IQ_RE_RISK_BASED_FFIEC">"c13417"</definedName>
    <definedName name="IQ_REAL_ESTATE" hidden="1">"c1093"</definedName>
    <definedName name="IQ_REAL_ESTATE_ASSETS" hidden="1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GUIDANCE" hidden="1">"c4500"</definedName>
    <definedName name="IQ_RECURRING_PROFIT_GUIDANCE_CIQ">"c5038"</definedName>
    <definedName name="IQ_RECURRING_PROFIT_GUIDANCE_CIQ_COL">"c11685"</definedName>
    <definedName name="IQ_RECURRING_PROFIT_HIGH_EST" hidden="1">"c4501"</definedName>
    <definedName name="IQ_RECURRING_PROFIT_HIGH_GUIDANCE" hidden="1">"c4179"</definedName>
    <definedName name="IQ_RECURRING_PROFIT_HIGH_GUIDANCE_CIQ">"c4591"</definedName>
    <definedName name="IQ_RECURRING_PROFIT_HIGH_GUIDANCE_CIQ_COL">"c11240"</definedName>
    <definedName name="IQ_RECURRING_PROFIT_LOW_EST" hidden="1">"c4502"</definedName>
    <definedName name="IQ_RECURRING_PROFIT_LOW_GUIDANCE" hidden="1">"c4219"</definedName>
    <definedName name="IQ_RECURRING_PROFIT_LOW_GUIDANCE_CIQ">"c4631"</definedName>
    <definedName name="IQ_RECURRING_PROFIT_LOW_GUIDANCE_CIQ_COL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GUIDANCE" hidden="1">"c4509"</definedName>
    <definedName name="IQ_RECURRING_PROFIT_SHARE_GUIDANCE_CIQ">"c5047"</definedName>
    <definedName name="IQ_RECURRING_PROFIT_SHARE_GUIDANCE_CIQ_COL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>"c4612"</definedName>
    <definedName name="IQ_RECURRING_PROFIT_SHARE_HIGH_GUIDANCE_CIQ_COL">"c11261"</definedName>
    <definedName name="IQ_RECURRING_PROFIT_SHARE_LOW_EST" hidden="1">"c4511"</definedName>
    <definedName name="IQ_RECURRING_PROFIT_SHARE_LOW_GUIDANCE" hidden="1">"c4240"</definedName>
    <definedName name="IQ_RECURRING_PROFIT_SHARE_LOW_GUIDANCE_CIQ">"c4652"</definedName>
    <definedName name="IQ_RECURRING_PROFIT_SHARE_LOW_GUIDANCE_CIQ_COL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>"c16221"</definedName>
    <definedName name="IQ_REINSTATEMENT_DATE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 hidden="1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>"c15895"</definedName>
    <definedName name="IQ_RETAINED_EARN" hidden="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>"c5055"</definedName>
    <definedName name="IQ_RETURN_ASSETS_GUIDANCE_CIQ_COL">"c11702"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>"c4595"</definedName>
    <definedName name="IQ_RETURN_ASSETS_HIGH_GUIDANCE_CIQ_COL">"c11244"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>"c4635"</definedName>
    <definedName name="IQ_RETURN_ASSETS_LOW_GUIDANCE_CIQ_COL">"c11284"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>"c5056"</definedName>
    <definedName name="IQ_RETURN_EQUITY_GUIDANCE_CIQ_COL">"c11703"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>"c4594"</definedName>
    <definedName name="IQ_RETURN_EQUITY_HIGH_GUIDANCE_CIQ_COL">"c11243"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>"c4634"</definedName>
    <definedName name="IQ_RETURN_EQUITY_LOW_GUIDANCE_CIQ_COL">"c11283"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REUT" hidden="1">"c3634"</definedName>
    <definedName name="IQ_REVENUE_EST_THOM" hidden="1">"c3652"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>"c5057"</definedName>
    <definedName name="IQ_REVENUE_GUIDANCE_CIQ_COL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>"c4581"</definedName>
    <definedName name="IQ_REVENUE_HIGH_GUIDANCE_CIQ_COL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>"c4621"</definedName>
    <definedName name="IQ_REVENUE_LOW_GUIDANCE_CIQ_COL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hidden="1">39839.3672337963</definedName>
    <definedName name="IQ_REVISION_DATE__1" hidden="1">39125.817037037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–4_NON_ACCRUAL_FFIEC" hidden="1">"c15565"</definedName>
    <definedName name="IQ_REVOLVING_SECURED_1_4_DUE_30_89_FFIEC">"c13260"</definedName>
    <definedName name="IQ_REVOLVING_SECURED_1_4_DUE_90_FFIEC">"c13288"</definedName>
    <definedName name="IQ_REVOLVING_SECURED_1_4_NON_ACCRUAL_FFIEC" hidden="1">"c13314"</definedName>
    <definedName name="IQ_RGU">"c2863"</definedName>
    <definedName name="IQ_RISK_ADJ_BANK_ASSETS" hidden="1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>"c13023"</definedName>
    <definedName name="IQ_SALARIES_OTHER_BENEFITS">"c16176"</definedName>
    <definedName name="IQ_SALARY" hidden="1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>"c12961"</definedName>
    <definedName name="IQ_SALE_PROP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>"c12965"</definedName>
    <definedName name="IQ_SALES_COAL">"c15930"</definedName>
    <definedName name="IQ_SALES_MARKETING" hidden="1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FS_AMORT_COST_FFIEC" hidden="1">"c20492"</definedName>
    <definedName name="IQ_SEC_ISSUED_US_AFS_FAIR_VAL_FFIEC" hidden="1">"c20457"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 hidden="1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ELD_MATURITY_FFIEC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 hidden="1">"c1152"</definedName>
    <definedName name="IQ_SECURITY_LEVEL" hidden="1">"c2159"</definedName>
    <definedName name="IQ_SECURITY_NAME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>"c12042"</definedName>
    <definedName name="IQ_SELECTED_FOREIGN_ASSETS_FFIEC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>"c13105"</definedName>
    <definedName name="IQ_SEPARATE_ACCOUNT_LIAB_LH_FFIEC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_PRICE" hidden="1">"c15157"</definedName>
    <definedName name="IQ_SETTLEMENTS_TAX_AUTHORITIES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hidden="1">"c1347"</definedName>
    <definedName name="IQ_SHARES_PER_DR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INTEREST_VOLUME" hidden="1">"c228"</definedName>
    <definedName name="IQ_SHORT_POSITIONS_FFIEC">"c12859"</definedName>
    <definedName name="IQ_SHORT_SCORE_DX" hidden="1">"c17439"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>"c13616"</definedName>
    <definedName name="IQ_SP_ISSUE_NSR_ACTION_ST">"c13622"</definedName>
    <definedName name="IQ_SP_ISSUE_NSR_DATE_LT">"c13615"</definedName>
    <definedName name="IQ_SP_ISSUE_NSR_DATE_ST">"c13621"</definedName>
    <definedName name="IQ_SP_ISSUE_NSR_LT">"c13614"</definedName>
    <definedName name="IQ_SP_ISSUE_NSR_ST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>"c13613"</definedName>
    <definedName name="IQ_SP_NSR_ACTION_ST">"c13619"</definedName>
    <definedName name="IQ_SP_NSR_DATE_LT">"c13612"</definedName>
    <definedName name="IQ_SP_NSR_DATE_ST">"c13618"</definedName>
    <definedName name="IQ_SP_NSR_LT">"c13611"</definedName>
    <definedName name="IQ_SP_NSR_ST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>"c13438"</definedName>
    <definedName name="IQ_ST_INVEST_ST_NONCORE_FUNDING_FFIEC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"c16205"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 hidden="1">"c1214"</definedName>
    <definedName name="IQ_SYMBOL_RT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>"c13395"</definedName>
    <definedName name="IQ_TAXES_NOI_FFIEC">"c13394"</definedName>
    <definedName name="IQ_TAXES_TE_AVG_ASSETS_FFIEC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>"c13516"</definedName>
    <definedName name="IQ_TBV_SHARE" hidden="1">"c1217"</definedName>
    <definedName name="IQ_TBV_SHARE_REPORTED">"c19140"</definedName>
    <definedName name="IQ_TELECOM_FFIEC">"c13057"</definedName>
    <definedName name="IQ_TEMPLATE" hidden="1">"c1521"</definedName>
    <definedName name="IQ_TENANT" hidden="1">"c1218"</definedName>
    <definedName name="IQ_TENANT_LEASE_COMMISSION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>"c15241"</definedName>
    <definedName name="IQ_TIME_DEP" hidden="1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 hidden="1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>"c15291"</definedName>
    <definedName name="IQ_TOTAL_CASH_DUE_DEPOSITORY_INSTIT_FFIEC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>"c5086"</definedName>
    <definedName name="IQ_TOTAL_DEBT_GUIDANCE_CIQ_COL">"c11733"</definedName>
    <definedName name="IQ_TOTAL_DEBT_HIGH_EST" hidden="1">"c4534"</definedName>
    <definedName name="IQ_TOTAL_DEBT_HIGH_GUIDANCE" hidden="1">"c4196"</definedName>
    <definedName name="IQ_TOTAL_DEBT_HIGH_GUIDANCE_CIQ">"c4608"</definedName>
    <definedName name="IQ_TOTAL_DEBT_HIGH_GUIDANCE_CIQ_COL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>"c4648"</definedName>
    <definedName name="IQ_TOTAL_DEBT_LOW_GUIDANCE_CIQ_COL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 hidden="1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 hidden="1">"c1382"</definedName>
    <definedName name="IQ_TOTAL_INTEREST_EXP_FOREIGN_FFIEC">"c15374"</definedName>
    <definedName name="IQ_TOTAL_INTEREST_INC_FOREIGN_FFIEC">"c15373"</definedName>
    <definedName name="IQ_TOTAL_INVENTORY" hidden="1">"c1385"</definedName>
    <definedName name="IQ_TOTAL_INVEST" hidden="1">"c1275"</definedName>
    <definedName name="IQ_TOTAL_IRA_KEOGH_PLAN_ACCOUNTS_FFIEC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 hidden="1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 hidden="1">"c1617"</definedName>
    <definedName name="IQ_TOTAL_NON_REC" hidden="1">"c1444"</definedName>
    <definedName name="IQ_TOTAL_NON_TRANS_ACCTS_FFIEC">"c15328"</definedName>
    <definedName name="IQ_TOTAL_NONINTEREST_EXPENSE_FOREIGN_FFIEC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>"c16047"</definedName>
    <definedName name="IQ_TOTAL_OPERATING_REVENUE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>"c15715"</definedName>
    <definedName name="IQ_TOTAL_RE_NOI_AVG_GROSS_PROP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>"c13120"</definedName>
    <definedName name="IQ_TOTAL_RETURN_SWAPS_DERIVATIVES_GUARANTOR_FFIEC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>"c2298"</definedName>
    <definedName name="IQ_TR_SELL_TERM_FEE_PCT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 hidden="1">"c2212"</definedName>
    <definedName name="IQ_TRADING_ITEM_CIQID" hidden="1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 hidden="1">"c1311"</definedName>
    <definedName name="IQ_TREASURY_INVEST_SECURITIES_FFIEC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 hidden="1">"c8783"</definedName>
    <definedName name="IQ_UNCONSOL_NOI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>"c2524"</definedName>
    <definedName name="IQ_UNDRAWN_FHLB">"c2520"</definedName>
    <definedName name="IQ_UNDRAWN_LC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HTM_AMORT_COST_FFIEC" hidden="1">"c20438"</definedName>
    <definedName name="IQ_US_AGENCY_OBLIG_HTM_FAIR_VAL_FFIEC" hidden="1">"c20473"</definedName>
    <definedName name="IQ_US_AGENCY_OBLIG_TRADING_DOM_FFIEC">"c12919"</definedName>
    <definedName name="IQ_US_AGENCY_OBLIG_TRADING_FFIEC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>"c12794"</definedName>
    <definedName name="IQ_US_SPONSORED_AGENCY_OBLIG_FFIEC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>"c15469"</definedName>
    <definedName name="IQ_UST_SECURITIES_GOVT_AGENCY_QUARTERLY_AVG_FFIEC">"c15468"</definedName>
    <definedName name="IQ_UTIL_PPE_NET" hidden="1">"c1620"</definedName>
    <definedName name="IQ_UTIL_REV" hidden="1">"c2091"</definedName>
    <definedName name="IQ_UTILITY_EXPENSE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>"c15249"</definedName>
    <definedName name="IQ_VENTURE_CAPITAL_REVENUE_FFIEC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>"c16203"</definedName>
    <definedName name="IQ_VOICE_SUB_TOTAL_HOMES_PASSED">"c15770"</definedName>
    <definedName name="IQ_VOICE_SUB_VIDEO_SUB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 hidden="1">"c2104"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>"YEARHIGH"</definedName>
    <definedName name="IQ_YEARLOW" hidden="1">"c1338"</definedName>
    <definedName name="IQ_YEARLOW_DATE" hidden="1">"c2251"</definedName>
    <definedName name="IQ_YEARLOW_RT">"YEARLOW"</definedName>
    <definedName name="IQ_YIELD_CURVE_LIST" hidden="1">"c19250"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B6" hidden="1">"$B$7:$B$260"</definedName>
    <definedName name="IQRC30" hidden="1">"$C$31:$C$130"</definedName>
    <definedName name="IQRC6" hidden="1">"$C$7:$C$260"</definedName>
    <definedName name="IQRC7" hidden="1">"$C$8:$C$27"</definedName>
    <definedName name="IQRD30" hidden="1">"$D$31:$D$130"</definedName>
    <definedName name="IQRD7" hidden="1">"$D$8:$D$27"</definedName>
    <definedName name="IQRE30" hidden="1">"$E$31:$E$130"</definedName>
    <definedName name="IQRE7" hidden="1">"$E$8:$E$27"</definedName>
    <definedName name="IQRR5" hidden="1">"$R$6:$R$147"</definedName>
    <definedName name="iQShowHideColumns" hidden="1">"iQShowAll"</definedName>
    <definedName name="IRR">#REF!</definedName>
    <definedName name="IRR_10yr">#REF!</definedName>
    <definedName name="IRR_3yr">#REF!</definedName>
    <definedName name="IRR_5yr">#REF!</definedName>
    <definedName name="IRRdetail">#REF!</definedName>
    <definedName name="IRRPP" hidden="1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IRRsummary">#REF!</definedName>
    <definedName name="IsColHidden" hidden="1">FALSE</definedName>
    <definedName name="iser" hidden="1">{"Rent_ChangesTotal",#N/A,FALSE,"Sheet1"}</definedName>
    <definedName name="ishideend" hidden="1">#REF!</definedName>
    <definedName name="ishidestart" hidden="1">#REF!</definedName>
    <definedName name="IsLTMColHidden" hidden="1">FALSE</definedName>
    <definedName name="j" hidden="1">#REF!</definedName>
    <definedName name="j5r6yju" hidden="1">{"Investor",#N/A,FALSE,"Model";"Property",#N/A,FALSE,"Model";"Incentive Taxes",#N/A,FALSE,"Model"}</definedName>
    <definedName name="jackas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fza">#REF!</definedName>
    <definedName name="james" hidden="1">{#N/A,#N/A,FALSE,"Consolidated";#N/A,#N/A,FALSE,"Available Credit";#N/A,#N/A,FALSE,"100% Owned";#N/A,#N/A,FALSE,"Bentall U.S. LLC";#N/A,#N/A,FALSE,"Bentall Properties (U.S.) Ltd.";#N/A,#N/A,FALSE,"Schedule I"}</definedName>
    <definedName name="Jan.">#REF!</definedName>
    <definedName name="JaS" hidden="1">{"Assumptions",#N/A,TRUE,"Returns";"Tables",#N/A,TRUE,"Returns"}</definedName>
    <definedName name="jb" hidden="1">{"summary1",#N/A,TRUE,"Comps";"summary2",#N/A,TRUE,"Comps";"summary3",#N/A,TRUE,"Comps"}</definedName>
    <definedName name="jc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jd" hidden="1">{#N/A,#N/A,FALSE,"LoanAssumptions"}</definedName>
    <definedName name="jde">#REF!</definedName>
    <definedName name="jdstryj" hidden="1">{"Investor",#N/A,FALSE,"Model";"Property",#N/A,FALSE,"Model";"Incentive Taxes",#N/A,FALSE,"Model"}</definedName>
    <definedName name="jdtyjs" hidden="1">{"Investor",#N/A,FALSE,"Model";"Property",#N/A,FALSE,"Model";"Incentive Taxes",#N/A,FALSE,"Model"}</definedName>
    <definedName name="Jersey" hidden="1">{0,#N/A,FALSE,0}</definedName>
    <definedName name="jes" hidden="1">{"View1",#N/A,FALSE,"Sheet1";"View2",#N/A,FALSE,"Sheet1"}</definedName>
    <definedName name="jetro">#REF!</definedName>
    <definedName name="jim" hidden="1">#REF!</definedName>
    <definedName name="jimmy" hidden="1">#REF!</definedName>
    <definedName name="jjj" hidden="1">#REF!</definedName>
    <definedName name="jjjjj" hidden="1">#REF!</definedName>
    <definedName name="jjjjjjjjjjjjjjjjjjj" hidden="1">{"AnnualRentRoll",#N/A,FALSE,"RentRoll"}</definedName>
    <definedName name="jjlj" hidden="1">{"scheduleB",#N/A,FALSE,"CTT_CLO"}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l" hidden="1">{#N/A,#N/A,FALSE,"Chart 2 by Prop Type"}</definedName>
    <definedName name="jklkj" hidden="1">{"Sum1",#N/A,FALSE,"Reserve Report";"Sum2",#N/A,FALSE,"Reserve Report";"Sum3",#N/A,FALSE,"Reserve Report";"Sum4",#N/A,FALSE,"Reserve Report"}</definedName>
    <definedName name="jlkj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jn" hidden="1">{"Data Input",#N/A,TRUE,"Data Input";"10-Yr Cash Flow",#N/A,TRUE,"Cash Flow";"10-Yr Value",#N/A,TRUE,"Value "}</definedName>
    <definedName name="jnm" hidden="1">{"Data Input",#N/A,TRUE,"Data Input";"15-Yr Cash Flow",#N/A,TRUE,"Cash Flow";"15-Yr Value",#N/A,TRUE,"Value "}</definedName>
    <definedName name="jpeg" hidden="1">{"'Assump'!$F$6:$J$6"}</definedName>
    <definedName name="JPICFDIST">#REF!</definedName>
    <definedName name="JPIEQUITY">#REF!</definedName>
    <definedName name="JPIEQUITYA">#REF!</definedName>
    <definedName name="JPIPREFRETURN">#REF!</definedName>
    <definedName name="jrtyhdf" hidden="1">{"Investor",#N/A,FALSE,"Model";"Property",#N/A,FALSE,"Model";"Incentive Taxes",#N/A,FALSE,"Model"}</definedName>
    <definedName name="J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rj" hidden="1">{"Investor",#N/A,FALSE,"Model";"Property",#N/A,FALSE,"Model";"Incentive Taxes",#N/A,FALSE,"Model"}</definedName>
    <definedName name="jtyt" hidden="1">{"Investor",#N/A,FALSE,"Model";"Property",#N/A,FALSE,"Model";"Incentive Taxes",#N/A,FALSE,"Model"}</definedName>
    <definedName name="Juli">#REF!</definedName>
    <definedName name="julia" hidden="1">#REF!</definedName>
    <definedName name="June" hidden="1">{"three",#N/A,FALSE,"Capital";"four",#N/A,FALSE,"Capital"}</definedName>
    <definedName name="Juni">#REF!</definedName>
    <definedName name="JUNK" hidden="1">{"'Table of Contents'!$A$1"}</definedName>
    <definedName name="Junk_condo" hidden="1">{"SCHEDULE",#N/A,FALSE,"Fin_sched"}</definedName>
    <definedName name="JUNK2" hidden="1">{"SUMMARY",#N/A,FALSE,"Fin_sched"}</definedName>
    <definedName name="JV_PORTFOLIO">#REF!</definedName>
    <definedName name="JVCat">#REF!</definedName>
    <definedName name="JVSource">#REF!</definedName>
    <definedName name="jvterm">#REF!</definedName>
    <definedName name="jz" hidden="1">#REF!</definedName>
    <definedName name="k" hidden="1">{#N/A,#N/A,FALSE,"Chart 2 by Prop Type"}</definedName>
    <definedName name="K2_WBEVMODE" hidden="1">-1</definedName>
    <definedName name="kah" hidden="1">#REF!</definedName>
    <definedName name="KansasIncl.">#REF!</definedName>
    <definedName name="kdjol">#REF!</definedName>
    <definedName name="ke" hidden="1">#REF!</definedName>
    <definedName name="key" hidden="1">#REF!</definedName>
    <definedName name="KeyAnaly_Header" hidden="1">#REF!</definedName>
    <definedName name="Keybank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iju" hidden="1">{#N/A,#N/A,FALSE,"Chart 2 by Prop Type"}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u" hidden="1">{#N/A,#N/A,FALSE,"Chart 2 by Prop Type"}</definedName>
    <definedName name="kj" hidden="1">{#N/A,#N/A,TRUE,"Krycí list"}</definedName>
    <definedName name="kjj" hidden="1">{#N/A,#N/A,TRUE,"Krycí list"}</definedName>
    <definedName name="kjjjjkjhk" hidden="1">{"sheet a",#N/A,FALSE,"A";"sheet b 1",#N/A,FALSE,"B";"sheet b 2",#N/A,FALSE,"B"}</definedName>
    <definedName name="kjkk" hidden="1">{"Sum1",#N/A,FALSE,"Reserve Report";"Sum2",#N/A,FALSE,"Reserve Report";"Sum3",#N/A,FALSE,"Reserve Report";"Sum4",#N/A,FALSE,"Reserve Report"}</definedName>
    <definedName name="kjljl" hidden="1">{"sheet a",#N/A,FALSE,"A";"2 9 casflow",#N/A,FALSE,"B"}</definedName>
    <definedName name="kk" hidden="1">#REF!</definedName>
    <definedName name="kkjjj" hidden="1">{#N/A,#N/A,FALSE,"Common Area Accrual";#N/A,#N/A,FALSE,"Unit One LaSalle";#N/A,#N/A,FALSE,"Unit One CW";#N/A,#N/A,FALSE,"Unit One LaSallle + C &amp; W";#N/A,#N/A,FALSE,"Consolidated Accrual"}</definedName>
    <definedName name="kkk" hidden="1">{#N/A,#N/A,FALSE,"B_Spread"}</definedName>
    <definedName name="kkkk" hidden="1">#REF!</definedName>
    <definedName name="kkkkkkk" hidden="1">{"MonthlyRentRoll",#N/A,FALSE,"RentRoll"}</definedName>
    <definedName name="kkkkkkkkkk" hidden="1">{#N/A,#N/A,FALSE,"Cash Flow";#N/A,#N/A,FALSE,"scenario 1"}</definedName>
    <definedName name="kkkkkkkkkkkkkkkkkkkkk" hidden="1">{"AnnualRentRoll",#N/A,FALSE,"RentRoll"}</definedName>
    <definedName name="kli" hidden="1">{"Total",#N/A,FALSE,"Total Proved";"PDP",#N/A,FALSE,"Total Proved";"PNP",#N/A,FALSE,"Total Proved";"PUD",#N/A,FALSE,"Total Proved"}</definedName>
    <definedName name="klmno" hidden="1">{#N/A,#N/A,FALSE,"Chart 2 by Prop Type"}</definedName>
    <definedName name="ktyk" hidden="1">{"Investor",#N/A,FALSE,"Model";"Property",#N/A,FALSE,"Model";"Incentive Taxes",#N/A,FALSE,"Model"}</definedName>
    <definedName name="ky" hidden="1">#REF!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ActionOptn." hidden="1">1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hidden="1">{#N/A,#N/A,FALSE,"Chart 2 by Prop Type"}</definedName>
    <definedName name="ladd" hidden="1">#REF!</definedName>
    <definedName name="lam" hidden="1">{"2001",#N/A,FALSE,"2001"}</definedName>
    <definedName name="land">#REF!</definedName>
    <definedName name="Land_Area">#REF!</definedName>
    <definedName name="Land_Basis">#REF!</definedName>
    <definedName name="LandCst">#REF!</definedName>
    <definedName name="lank" hidden="1">#REF!</definedName>
    <definedName name="Last_Edit">#REF!</definedName>
    <definedName name="Last_Row">IF(Values_Entered,Header_Row+Number_of_Payments,Header_Row)</definedName>
    <definedName name="LBOCreditConsol" hidden="1">{"FCB_ALL",#N/A,FALSE,"FCB"}</definedName>
    <definedName name="LCyr1">#REF!</definedName>
    <definedName name="LCyr10">#REF!</definedName>
    <definedName name="LCyr11">#REF!</definedName>
    <definedName name="LCyr2">#REF!</definedName>
    <definedName name="LCyr3">#REF!</definedName>
    <definedName name="LCyr4">#REF!</definedName>
    <definedName name="LCyr5">#REF!</definedName>
    <definedName name="LCyr6">#REF!</definedName>
    <definedName name="LCyr7">#REF!</definedName>
    <definedName name="LCyr8">#REF!</definedName>
    <definedName name="LCyr9">#REF!</definedName>
    <definedName name="LeaseComm">#REF!</definedName>
    <definedName name="leased_unit_count">#REF!</definedName>
    <definedName name="leased_unit_rent">#REF!</definedName>
    <definedName name="leased_unit_size">#REF!</definedName>
    <definedName name="leased_unit_type">#REF!</definedName>
    <definedName name="LeaseDetail">#REF!</definedName>
    <definedName name="LeaseType">#REF!</definedName>
    <definedName name="LeaseUp_YN">#REF!</definedName>
    <definedName name="leek" hidden="1">#REF!</definedName>
    <definedName name="len" hidden="1">{"Full Gross to Net",#N/A,TRUE,"GtoN";"R_I Accepted from Group Coys",#N/A,TRUE,"GtoN";"R_I Ceded to Group Coys",#N/A,TRUE,"GtoN";"Closing Loss Reserves and Gross Claims Incurred",#N/A,TRUE,"GtoN"}</definedName>
    <definedName name="LessorPart">#REF!</definedName>
    <definedName name="LETTER">#N/A</definedName>
    <definedName name="lfyu" hidden="1">{"Investor",#N/A,FALSE,"Model";"Property",#N/A,FALSE,"Model";"Incentive Taxes",#N/A,FALSE,"Model"}</definedName>
    <definedName name="LIBOR">#REF!</definedName>
    <definedName name="LIM">#REF!</definedName>
    <definedName name="limcount" hidden="1">1</definedName>
    <definedName name="lincoln">#REF!</definedName>
    <definedName name="LINCSPLIT">#REF!</definedName>
    <definedName name="Line">"_____ "</definedName>
    <definedName name="LinkHistMdbField001001" hidden="1">#REF!</definedName>
    <definedName name="LinkHistMdbField001002" hidden="1">#REF!</definedName>
    <definedName name="LinkHistMdbField001003" hidden="1">#REF!</definedName>
    <definedName name="LinkHistMdbField001004" hidden="1">#REF!</definedName>
    <definedName name="LinkHistMdbField001005" hidden="1">#REF!</definedName>
    <definedName name="LinkHistMdbField001006" hidden="1">#REF!</definedName>
    <definedName name="LinkHistMdbField001007" hidden="1">#REF!</definedName>
    <definedName name="LinkHistMdbField001008" hidden="1">#REF!</definedName>
    <definedName name="LinkHistMdbField001009" hidden="1">#REF!</definedName>
    <definedName name="LinkHistMdbField001010" hidden="1">#REF!</definedName>
    <definedName name="LinkHistMdbField001011" hidden="1">#REF!</definedName>
    <definedName name="LinkHistMdbField001012" hidden="1">#REF!</definedName>
    <definedName name="LinkHistMdbField001013" hidden="1">#REF!</definedName>
    <definedName name="LinkHistMdbField001014" hidden="1">#REF!</definedName>
    <definedName name="LinkHistMdbField001015" hidden="1">#REF!</definedName>
    <definedName name="LinkHistMdbField001016" hidden="1">#REF!</definedName>
    <definedName name="LinkHistMdbField001017" hidden="1">#REF!</definedName>
    <definedName name="LinkHistMdbField001018" hidden="1">#REF!</definedName>
    <definedName name="LinkHistMdbField001019" hidden="1">#REF!</definedName>
    <definedName name="LinkHistMdbField001020" hidden="1">#REF!</definedName>
    <definedName name="LinkHistMdbField001021" hidden="1">#REF!</definedName>
    <definedName name="LinkHistMdbField001022" hidden="1">#REF!</definedName>
    <definedName name="LinkHistMdbField001023" hidden="1">#REF!</definedName>
    <definedName name="LinkHistMdbField001024" hidden="1">#REF!</definedName>
    <definedName name="LinkHistMdbField001025" hidden="1">#REF!</definedName>
    <definedName name="LinkHistMdbField001026" hidden="1">#REF!</definedName>
    <definedName name="LinkHistMdbField001027" hidden="1">#REF!</definedName>
    <definedName name="LinkHistMdbField001028" hidden="1">#REF!</definedName>
    <definedName name="LinkHistMdbField001029" hidden="1">#REF!</definedName>
    <definedName name="LinkHistMdbField001030" hidden="1">#REF!</definedName>
    <definedName name="LinkHistMdbField001031" hidden="1">#REF!</definedName>
    <definedName name="LinkHistMdbField001032" hidden="1">#REF!</definedName>
    <definedName name="LinkHistMdbField001033" hidden="1">#REF!</definedName>
    <definedName name="LinkHistMdbField001034" hidden="1">#REF!</definedName>
    <definedName name="LinkHistMdbField001035" hidden="1">#REF!</definedName>
    <definedName name="LinkHistMdbField001036" hidden="1">#REF!</definedName>
    <definedName name="LinkHistMdbField001037" hidden="1">#REF!</definedName>
    <definedName name="LinkHistMdbField001038" hidden="1">#REF!</definedName>
    <definedName name="LinkHistMdbField001039" hidden="1">#REF!</definedName>
    <definedName name="LinkHistMdbField001040" hidden="1">#REF!</definedName>
    <definedName name="LinkHistMdbField001041" hidden="1">#REF!</definedName>
    <definedName name="LinkHistMdbField001042" hidden="1">#REF!</definedName>
    <definedName name="LinkHistMdbField001043" hidden="1">#REF!</definedName>
    <definedName name="LinkHistMdbField001044" hidden="1">#REF!</definedName>
    <definedName name="LinkHistMdbField001045" hidden="1">#REF!</definedName>
    <definedName name="LinkHistMdbField001046" hidden="1">#REF!</definedName>
    <definedName name="LinkHistMdbField002001" hidden="1">#REF!</definedName>
    <definedName name="LinkHistMdbField002002" hidden="1">#REF!</definedName>
    <definedName name="LinkHistMdbField002003" hidden="1">#REF!</definedName>
    <definedName name="LinkHistMdbField002004" hidden="1">#REF!</definedName>
    <definedName name="LinkHistMdbField002005" hidden="1">#REF!</definedName>
    <definedName name="LinkHistMdbField002006" hidden="1">#REF!</definedName>
    <definedName name="LinkHistMdbField002007" hidden="1">#REF!</definedName>
    <definedName name="LinkHistMdbField002008" hidden="1">#REF!</definedName>
    <definedName name="LinkHistMdbField002009" hidden="1">#REF!</definedName>
    <definedName name="LinkHistMdbField002010" hidden="1">#REF!</definedName>
    <definedName name="LinkHistMdbField002011" hidden="1">#REF!</definedName>
    <definedName name="LinkHistMdbField002012" hidden="1">#REF!</definedName>
    <definedName name="LinkHistMdbField002013" hidden="1">#REF!</definedName>
    <definedName name="LinkHistMdbField002014" hidden="1">#REF!</definedName>
    <definedName name="LinkHistMdbField002015" hidden="1">#REF!</definedName>
    <definedName name="LinkHistMdbField002016" hidden="1">#REF!</definedName>
    <definedName name="LinkHistMdbField002017" hidden="1">#REF!</definedName>
    <definedName name="LinkHistMdbField002018" hidden="1">#REF!</definedName>
    <definedName name="LinkHistMdbField002019" hidden="1">#REF!</definedName>
    <definedName name="LinkHistMdbField002020" hidden="1">#REF!</definedName>
    <definedName name="LinkHistMdbField002021" hidden="1">#REF!</definedName>
    <definedName name="LinkHistMdbField002022" hidden="1">#REF!</definedName>
    <definedName name="LinkHistMdbField002023" hidden="1">#REF!</definedName>
    <definedName name="LinkHistMdbField002024" hidden="1">#REF!</definedName>
    <definedName name="LinkHistMdbField002025" hidden="1">#REF!</definedName>
    <definedName name="LinkHistMdbField002026" hidden="1">#REF!</definedName>
    <definedName name="LinkHistMdbField002027" hidden="1">#REF!</definedName>
    <definedName name="LinkHistMdbField002028" hidden="1">#REF!</definedName>
    <definedName name="LinkHistMdbField002029" hidden="1">#REF!</definedName>
    <definedName name="LinkHistMdbField002030" hidden="1">#REF!</definedName>
    <definedName name="LinkHistMdbField002031" hidden="1">#REF!</definedName>
    <definedName name="LinkHistMdbField002032" hidden="1">#REF!</definedName>
    <definedName name="LinkHistMdbField002033" hidden="1">#REF!</definedName>
    <definedName name="LinkHistMdbField002034" hidden="1">#REF!</definedName>
    <definedName name="LinkHistMdbField002035" hidden="1">#REF!</definedName>
    <definedName name="LinkHistMdbField002036" hidden="1">#REF!</definedName>
    <definedName name="LinkHistMdbField002037" hidden="1">#REF!</definedName>
    <definedName name="LinkHistMdbField002038" hidden="1">#REF!</definedName>
    <definedName name="LinkHistMdbField002039" hidden="1">#REF!</definedName>
    <definedName name="LinkHistMdbField002040" hidden="1">#REF!</definedName>
    <definedName name="LinkHistMdbField002041" hidden="1">#REF!</definedName>
    <definedName name="LinkHistMdbField002042" hidden="1">#REF!</definedName>
    <definedName name="LinkHistMdbField002043" hidden="1">#REF!</definedName>
    <definedName name="LinkHistMdbField002044" hidden="1">#REF!</definedName>
    <definedName name="LinkHistMdbField002045" hidden="1">#REF!</definedName>
    <definedName name="LinkHistMdbField002046" hidden="1">#REF!</definedName>
    <definedName name="LinkHistMdbField003001" hidden="1">#REF!</definedName>
    <definedName name="LinkHistMdbField003002" hidden="1">#REF!</definedName>
    <definedName name="LinkHistMdbField003003" hidden="1">#REF!</definedName>
    <definedName name="LinkHistMdbField003004" hidden="1">#REF!</definedName>
    <definedName name="LinkHistMdbField003005" hidden="1">#REF!</definedName>
    <definedName name="LinkHistMdbField003006" hidden="1">#REF!</definedName>
    <definedName name="LinkHistMdbField003007" hidden="1">#REF!</definedName>
    <definedName name="LinkHistMdbField003008" hidden="1">#REF!</definedName>
    <definedName name="LinkHistMdbField003009" hidden="1">#REF!</definedName>
    <definedName name="LinkHistMdbField003010" hidden="1">#REF!</definedName>
    <definedName name="LinkHistMdbField003011" hidden="1">#REF!</definedName>
    <definedName name="LinkHistMdbField003012" hidden="1">#REF!</definedName>
    <definedName name="LinkHistMdbField003013" hidden="1">#REF!</definedName>
    <definedName name="LinkHistMdbField003014" hidden="1">#REF!</definedName>
    <definedName name="LinkHistMdbField003015" hidden="1">#REF!</definedName>
    <definedName name="LinkHistMdbField003016" hidden="1">#REF!</definedName>
    <definedName name="LinkHistMdbField003017" hidden="1">#REF!</definedName>
    <definedName name="LinkHistMdbField003018" hidden="1">#REF!</definedName>
    <definedName name="LinkHistMdbField003019" hidden="1">#REF!</definedName>
    <definedName name="LinkHistMdbField003020" hidden="1">#REF!</definedName>
    <definedName name="LinkHistMdbField003021" hidden="1">#REF!</definedName>
    <definedName name="LinkHistMdbField003022" hidden="1">#REF!</definedName>
    <definedName name="LinkHistMdbField003023" hidden="1">#REF!</definedName>
    <definedName name="LinkHistMdbField003024" hidden="1">#REF!</definedName>
    <definedName name="LinkHistMdbField003025" hidden="1">#REF!</definedName>
    <definedName name="LinkHistMdbField003026" hidden="1">#REF!</definedName>
    <definedName name="LinkHistMdbField003027" hidden="1">#REF!</definedName>
    <definedName name="LinkHistMdbField003028" hidden="1">#REF!</definedName>
    <definedName name="LinkHistMdbField003029" hidden="1">#REF!</definedName>
    <definedName name="LinkHistMdbField003030" hidden="1">#REF!</definedName>
    <definedName name="LinkHistMdbField003031" hidden="1">#REF!</definedName>
    <definedName name="LinkHistMdbField003032" hidden="1">#REF!</definedName>
    <definedName name="LinkHistMdbField003033" hidden="1">#REF!</definedName>
    <definedName name="LinkHistMdbField003034" hidden="1">#REF!</definedName>
    <definedName name="LinkHistMdbField003035" hidden="1">#REF!</definedName>
    <definedName name="LinkHistMdbField003036" hidden="1">#REF!</definedName>
    <definedName name="LinkHistMdbField003037" hidden="1">#REF!</definedName>
    <definedName name="LinkHistMdbField003038" hidden="1">#REF!</definedName>
    <definedName name="LinkHistMdbField003039" hidden="1">#REF!</definedName>
    <definedName name="LinkHistMdbField003040" hidden="1">#REF!</definedName>
    <definedName name="LinkHistMdbField003041" hidden="1">#REF!</definedName>
    <definedName name="LinkHistMdbField003042" hidden="1">#REF!</definedName>
    <definedName name="LinkHistMdbField003043" hidden="1">#REF!</definedName>
    <definedName name="LinkHistMdbField003044" hidden="1">#REF!</definedName>
    <definedName name="LinkHistMdbField003045" hidden="1">#REF!</definedName>
    <definedName name="LinkHistMdbField003046" hidden="1">#REF!</definedName>
    <definedName name="LinkHistMdbField004001" hidden="1">#REF!</definedName>
    <definedName name="LinkHistMdbField004002" hidden="1">#REF!</definedName>
    <definedName name="LinkHistMdbField004003" hidden="1">#REF!</definedName>
    <definedName name="LinkHistMdbField004004" hidden="1">#REF!</definedName>
    <definedName name="LinkHistMdbField004005" hidden="1">#REF!</definedName>
    <definedName name="LinkHistMdbField004006" hidden="1">#REF!</definedName>
    <definedName name="LinkHistMdbField004007" hidden="1">#REF!</definedName>
    <definedName name="LinkHistMdbField004008" hidden="1">#REF!</definedName>
    <definedName name="LinkHistMdbField004009" hidden="1">#REF!</definedName>
    <definedName name="LinkHistMdbField004010" hidden="1">#REF!</definedName>
    <definedName name="LinkHistMdbField004011" hidden="1">#REF!</definedName>
    <definedName name="LinkHistMdbField004012" hidden="1">#REF!</definedName>
    <definedName name="LinkHistMdbField004013" hidden="1">#REF!</definedName>
    <definedName name="LinkHistMdbField004014" hidden="1">#REF!</definedName>
    <definedName name="LinkHistMdbField004015" hidden="1">#REF!</definedName>
    <definedName name="LinkHistMdbField004016" hidden="1">#REF!</definedName>
    <definedName name="LinkHistMdbField004017" hidden="1">#REF!</definedName>
    <definedName name="LinkHistMdbField004018" hidden="1">#REF!</definedName>
    <definedName name="LinkHistMdbField004019" hidden="1">#REF!</definedName>
    <definedName name="LinkHistMdbField004020" hidden="1">#REF!</definedName>
    <definedName name="LinkHistMdbField004021" hidden="1">#REF!</definedName>
    <definedName name="LinkHistMdbField004022" hidden="1">#REF!</definedName>
    <definedName name="LinkHistMdbField004023" hidden="1">#REF!</definedName>
    <definedName name="LinkHistMdbField004024" hidden="1">#REF!</definedName>
    <definedName name="LinkHistMdbField004025" hidden="1">#REF!</definedName>
    <definedName name="LinkHistMdbField004026" hidden="1">#REF!</definedName>
    <definedName name="LinkHistMdbField004027" hidden="1">#REF!</definedName>
    <definedName name="LinkHistMdbField004028" hidden="1">#REF!</definedName>
    <definedName name="LinkHistMdbField004029" hidden="1">#REF!</definedName>
    <definedName name="LinkHistMdbField004030" hidden="1">#REF!</definedName>
    <definedName name="LinkHistMdbField004031" hidden="1">#REF!</definedName>
    <definedName name="LinkHistMdbField004032" hidden="1">#REF!</definedName>
    <definedName name="LinkHistMdbField004033" hidden="1">#REF!</definedName>
    <definedName name="LinkHistMdbField004034" hidden="1">#REF!</definedName>
    <definedName name="LinkHistMdbField004035" hidden="1">#REF!</definedName>
    <definedName name="LinkHistMdbField004036" hidden="1">#REF!</definedName>
    <definedName name="LinkHistMdbField004037" hidden="1">#REF!</definedName>
    <definedName name="LinkHistMdbField004038" hidden="1">#REF!</definedName>
    <definedName name="LinkHistMdbField004039" hidden="1">#REF!</definedName>
    <definedName name="LinkHistMdbField004040" hidden="1">#REF!</definedName>
    <definedName name="LinkHistMdbField004041" hidden="1">#REF!</definedName>
    <definedName name="LinkHistMdbField004042" hidden="1">#REF!</definedName>
    <definedName name="LinkHistMdbField004043" hidden="1">#REF!</definedName>
    <definedName name="LinkHistMdbField004044" hidden="1">#REF!</definedName>
    <definedName name="LinkHistMdbField004045" hidden="1">#REF!</definedName>
    <definedName name="LinkHistMdbField004046" hidden="1">#REF!</definedName>
    <definedName name="LinkHistMdbField005001" hidden="1">#REF!</definedName>
    <definedName name="LinkHistMdbField005002" hidden="1">#REF!</definedName>
    <definedName name="LinkHistMdbField005003" hidden="1">#REF!</definedName>
    <definedName name="LinkHistMdbField005004" hidden="1">#REF!</definedName>
    <definedName name="LinkHistMdbField005005" hidden="1">#REF!</definedName>
    <definedName name="LinkHistMdbField005006" hidden="1">#REF!</definedName>
    <definedName name="LinkHistMdbField005007" hidden="1">#REF!</definedName>
    <definedName name="LinkHistMdbField005008" hidden="1">#REF!</definedName>
    <definedName name="LinkHistMdbField005009" hidden="1">#REF!</definedName>
    <definedName name="LinkHistMdbField005010" hidden="1">#REF!</definedName>
    <definedName name="LinkHistMdbField005011" hidden="1">#REF!</definedName>
    <definedName name="LinkHistMdbField005012" hidden="1">#REF!</definedName>
    <definedName name="LinkHistMdbField005013" hidden="1">#REF!</definedName>
    <definedName name="LinkHistMdbField005014" hidden="1">#REF!</definedName>
    <definedName name="LinkHistMdbField005015" hidden="1">#REF!</definedName>
    <definedName name="LinkHistMdbField005016" hidden="1">#REF!</definedName>
    <definedName name="LinkHistMdbField005017" hidden="1">#REF!</definedName>
    <definedName name="LinkHistMdbField005018" hidden="1">#REF!</definedName>
    <definedName name="LinkHistMdbField005019" hidden="1">#REF!</definedName>
    <definedName name="LinkHistMdbField005020" hidden="1">#REF!</definedName>
    <definedName name="LinkHistMdbField005021" hidden="1">#REF!</definedName>
    <definedName name="LinkHistMdbField005022" hidden="1">#REF!</definedName>
    <definedName name="LinkHistMdbField005023" hidden="1">#REF!</definedName>
    <definedName name="LinkHistMdbField005024" hidden="1">#REF!</definedName>
    <definedName name="LinkHistMdbField005025" hidden="1">#REF!</definedName>
    <definedName name="LinkHistMdbField005026" hidden="1">#REF!</definedName>
    <definedName name="LinkHistMdbField005027" hidden="1">#REF!</definedName>
    <definedName name="LinkHistMdbField005028" hidden="1">#REF!</definedName>
    <definedName name="LinkHistMdbField005029" hidden="1">#REF!</definedName>
    <definedName name="LinkHistMdbField005030" hidden="1">#REF!</definedName>
    <definedName name="LinkHistMdbField005031" hidden="1">#REF!</definedName>
    <definedName name="LinkHistMdbField005032" hidden="1">#REF!</definedName>
    <definedName name="LinkHistMdbField005033" hidden="1">#REF!</definedName>
    <definedName name="LinkHistMdbField005034" hidden="1">#REF!</definedName>
    <definedName name="LinkHistMdbField005035" hidden="1">#REF!</definedName>
    <definedName name="LinkHistMdbField005036" hidden="1">#REF!</definedName>
    <definedName name="LinkHistMdbField005037" hidden="1">#REF!</definedName>
    <definedName name="LinkHistMdbField005038" hidden="1">#REF!</definedName>
    <definedName name="LinkHistMdbField005039" hidden="1">#REF!</definedName>
    <definedName name="LinkHistMdbField005040" hidden="1">#REF!</definedName>
    <definedName name="LinkHistMdbField005041" hidden="1">#REF!</definedName>
    <definedName name="LinkHistMdbField005042" hidden="1">#REF!</definedName>
    <definedName name="LinkHistMdbField005043" hidden="1">#REF!</definedName>
    <definedName name="LinkHistMdbField005044" hidden="1">#REF!</definedName>
    <definedName name="LinkHistMdbField005045" hidden="1">#REF!</definedName>
    <definedName name="LinkHistMdbField005046" hidden="1">#REF!</definedName>
    <definedName name="LinkHistMdbField0101" hidden="1">#REF!</definedName>
    <definedName name="LinkHistMdbField0102" hidden="1">#REF!</definedName>
    <definedName name="LinkHistMdbField0103" hidden="1">#REF!</definedName>
    <definedName name="LinkHistMdbField0104" hidden="1">#REF!</definedName>
    <definedName name="LinkHistMdbField0105" hidden="1">#REF!</definedName>
    <definedName name="LinkHistMdbField0106" hidden="1">#REF!</definedName>
    <definedName name="LinkHistMdbField0107" hidden="1">#REF!</definedName>
    <definedName name="LinkHistMdbField0108" hidden="1">#REF!</definedName>
    <definedName name="LinkHistMdbField0109" hidden="1">#REF!</definedName>
    <definedName name="LinkHistMdbField0110" hidden="1">#REF!</definedName>
    <definedName name="LinkHistMdbField0111" hidden="1">#REF!</definedName>
    <definedName name="LinkHistMdbField0112" hidden="1">#REF!</definedName>
    <definedName name="LinkHistMdbField0113" hidden="1">#REF!</definedName>
    <definedName name="LinkHistMdbField0114" hidden="1">#REF!</definedName>
    <definedName name="LinkHistMdbField0115" hidden="1">#REF!</definedName>
    <definedName name="LinkHistMdbField0116" hidden="1">#REF!</definedName>
    <definedName name="LinkHistMdbField0117" hidden="1">#REF!</definedName>
    <definedName name="LinkHistMdbField0118" hidden="1">#REF!</definedName>
    <definedName name="LinkHistMdbField0119" hidden="1">#REF!</definedName>
    <definedName name="LinkHistMdbField0120" hidden="1">#REF!</definedName>
    <definedName name="LinkHistMdbField0121" hidden="1">#REF!</definedName>
    <definedName name="LinkHistMdbField0122" hidden="1">#REF!</definedName>
    <definedName name="LinkHistMdbField0123" hidden="1">#REF!</definedName>
    <definedName name="LinkHistMdbField0124" hidden="1">#REF!</definedName>
    <definedName name="LinkHistMdbField0125" hidden="1">#REF!</definedName>
    <definedName name="LinkHistMdbField0126" hidden="1">#REF!</definedName>
    <definedName name="LinkHistMdbField0127" hidden="1">#REF!</definedName>
    <definedName name="LinkHistMdbField0128" hidden="1">#REF!</definedName>
    <definedName name="LinkHistMdbField0129" hidden="1">#REF!</definedName>
    <definedName name="LinkHistMdbField0130" hidden="1">#REF!</definedName>
    <definedName name="LinkHistMdbField0131" hidden="1">#REF!</definedName>
    <definedName name="LinkHistMdbField0132" hidden="1">#REF!</definedName>
    <definedName name="LinkHistMdbField0133" hidden="1">#REF!</definedName>
    <definedName name="LinkHistMdbField0134" hidden="1">#REF!</definedName>
    <definedName name="LinkHistMdbField0135" hidden="1">#REF!</definedName>
    <definedName name="LinkHistMdbField0136" hidden="1">#REF!</definedName>
    <definedName name="LinkHistMdbField0137" hidden="1">#REF!</definedName>
    <definedName name="LinkHistMdbField0138" hidden="1">#REF!</definedName>
    <definedName name="LinkHistMdbField0139" hidden="1">#REF!</definedName>
    <definedName name="LinkHistMdbField0140" hidden="1">#REF!</definedName>
    <definedName name="LinkHistMdbField0141" hidden="1">#REF!</definedName>
    <definedName name="LinkHistMdbField0142" hidden="1">#REF!</definedName>
    <definedName name="LinkHistMdbField0143" hidden="1">#REF!</definedName>
    <definedName name="LinkHistMdbField0144" hidden="1">#REF!</definedName>
    <definedName name="LinkHistMdbField0145" hidden="1">#REF!</definedName>
    <definedName name="LinkHistMdbField0146" hidden="1">#REF!</definedName>
    <definedName name="LinkHistMdbField0201" hidden="1">#REF!</definedName>
    <definedName name="LinkHistMdbField0202" hidden="1">#REF!</definedName>
    <definedName name="LinkHistMdbField0203" hidden="1">#REF!</definedName>
    <definedName name="LinkHistMdbField0204" hidden="1">#REF!</definedName>
    <definedName name="LinkHistMdbField0205" hidden="1">#REF!</definedName>
    <definedName name="LinkHistMdbField0206" hidden="1">#REF!</definedName>
    <definedName name="LinkHistMdbField0207" hidden="1">#REF!</definedName>
    <definedName name="LinkHistMdbField0208" hidden="1">#REF!</definedName>
    <definedName name="LinkHistMdbField0209" hidden="1">#REF!</definedName>
    <definedName name="LinkHistMdbField0210" hidden="1">#REF!</definedName>
    <definedName name="LinkHistMdbField0211" hidden="1">#REF!</definedName>
    <definedName name="LinkHistMdbField0212" hidden="1">#REF!</definedName>
    <definedName name="LinkHistMdbField0213" hidden="1">#REF!</definedName>
    <definedName name="LinkHistMdbField0214" hidden="1">#REF!</definedName>
    <definedName name="LinkHistMdbField0215" hidden="1">#REF!</definedName>
    <definedName name="LinkHistMdbField0216" hidden="1">#REF!</definedName>
    <definedName name="LinkHistMdbField0217" hidden="1">#REF!</definedName>
    <definedName name="LinkHistMdbField0218" hidden="1">#REF!</definedName>
    <definedName name="LinkHistMdbField0219" hidden="1">#REF!</definedName>
    <definedName name="LinkHistMdbField0220" hidden="1">#REF!</definedName>
    <definedName name="LinkHistMdbField0221" hidden="1">#REF!</definedName>
    <definedName name="LinkHistMdbField0222" hidden="1">#REF!</definedName>
    <definedName name="LinkHistMdbField0223" hidden="1">#REF!</definedName>
    <definedName name="LinkHistMdbField0224" hidden="1">#REF!</definedName>
    <definedName name="LinkHistMdbField0225" hidden="1">#REF!</definedName>
    <definedName name="LinkHistMdbField0226" hidden="1">#REF!</definedName>
    <definedName name="LinkHistMdbField0227" hidden="1">#REF!</definedName>
    <definedName name="LinkHistMdbField0228" hidden="1">#REF!</definedName>
    <definedName name="LinkHistMdbField0229" hidden="1">#REF!</definedName>
    <definedName name="LinkHistMdbField0230" hidden="1">#REF!</definedName>
    <definedName name="LinkHistMdbField0231" hidden="1">#REF!</definedName>
    <definedName name="LinkHistMdbField0232" hidden="1">#REF!</definedName>
    <definedName name="LinkHistMdbField0233" hidden="1">#REF!</definedName>
    <definedName name="LinkHistMdbField0234" hidden="1">#REF!</definedName>
    <definedName name="LinkHistMdbField0235" hidden="1">#REF!</definedName>
    <definedName name="LinkHistMdbField0236" hidden="1">#REF!</definedName>
    <definedName name="LinkHistMdbField0237" hidden="1">#REF!</definedName>
    <definedName name="LinkHistMdbField0238" hidden="1">#REF!</definedName>
    <definedName name="LinkHistMdbField0239" hidden="1">#REF!</definedName>
    <definedName name="LinkHistMdbField0240" hidden="1">#REF!</definedName>
    <definedName name="LinkHistMdbField0241" hidden="1">#REF!</definedName>
    <definedName name="LinkHistMdbField0242" hidden="1">#REF!</definedName>
    <definedName name="LinkHistMdbField0243" hidden="1">#REF!</definedName>
    <definedName name="LinkHistMdbField0244" hidden="1">#REF!</definedName>
    <definedName name="LinkHistMdbField0245" hidden="1">#REF!</definedName>
    <definedName name="LinkHistMdbField0246" hidden="1">#REF!</definedName>
    <definedName name="LinkHistMdbField0301" hidden="1">#REF!</definedName>
    <definedName name="LinkHistMdbField0302" hidden="1">#REF!</definedName>
    <definedName name="LinkHistMdbField0303" hidden="1">#REF!</definedName>
    <definedName name="LinkHistMdbField0304" hidden="1">#REF!</definedName>
    <definedName name="LinkHistMdbField0305" hidden="1">#REF!</definedName>
    <definedName name="LinkHistMdbField0306" hidden="1">#REF!</definedName>
    <definedName name="LinkHistMdbField0307" hidden="1">#REF!</definedName>
    <definedName name="LinkHistMdbField0308" hidden="1">#REF!</definedName>
    <definedName name="LinkHistMdbField0309" hidden="1">#REF!</definedName>
    <definedName name="LinkHistMdbField0310" hidden="1">#REF!</definedName>
    <definedName name="LinkHistMdbField0311" hidden="1">#REF!</definedName>
    <definedName name="LinkHistMdbField0312" hidden="1">#REF!</definedName>
    <definedName name="LinkHistMdbField0313" hidden="1">#REF!</definedName>
    <definedName name="LinkHistMdbField0314" hidden="1">#REF!</definedName>
    <definedName name="LinkHistMdbField0315" hidden="1">#REF!</definedName>
    <definedName name="LinkHistMdbField0316" hidden="1">#REF!</definedName>
    <definedName name="LinkHistMdbField0317" hidden="1">#REF!</definedName>
    <definedName name="LinkHistMdbField0318" hidden="1">#REF!</definedName>
    <definedName name="LinkHistMdbField0319" hidden="1">#REF!</definedName>
    <definedName name="LinkHistMdbField0320" hidden="1">#REF!</definedName>
    <definedName name="LinkHistMdbField0321" hidden="1">#REF!</definedName>
    <definedName name="LinkHistMdbField0322" hidden="1">#REF!</definedName>
    <definedName name="LinkHistMdbField0323" hidden="1">#REF!</definedName>
    <definedName name="LinkHistMdbField0324" hidden="1">#REF!</definedName>
    <definedName name="LinkHistMdbField0325" hidden="1">#REF!</definedName>
    <definedName name="LinkHistMdbField0326" hidden="1">#REF!</definedName>
    <definedName name="LinkHistMdbField0327" hidden="1">#REF!</definedName>
    <definedName name="LinkHistMdbField0328" hidden="1">#REF!</definedName>
    <definedName name="LinkHistMdbField0329" hidden="1">#REF!</definedName>
    <definedName name="LinkHistMdbField0330" hidden="1">#REF!</definedName>
    <definedName name="LinkHistMdbField0331" hidden="1">#REF!</definedName>
    <definedName name="LinkHistMdbField0332" hidden="1">#REF!</definedName>
    <definedName name="LinkHistMdbField0333" hidden="1">#REF!</definedName>
    <definedName name="LinkHistMdbField0334" hidden="1">#REF!</definedName>
    <definedName name="LinkHistMdbField0335" hidden="1">#REF!</definedName>
    <definedName name="LinkHistMdbField0336" hidden="1">#REF!</definedName>
    <definedName name="LinkHistMdbField0337" hidden="1">#REF!</definedName>
    <definedName name="LinkHistMdbField0338" hidden="1">#REF!</definedName>
    <definedName name="LinkHistMdbField0339" hidden="1">#REF!</definedName>
    <definedName name="LinkHistMdbField0340" hidden="1">#REF!</definedName>
    <definedName name="LinkHistMdbField0341" hidden="1">#REF!</definedName>
    <definedName name="LinkHistMdbField0342" hidden="1">#REF!</definedName>
    <definedName name="LinkHistMdbField0343" hidden="1">#REF!</definedName>
    <definedName name="LinkHistMdbField0344" hidden="1">#REF!</definedName>
    <definedName name="LinkHistMdbField0345" hidden="1">#REF!</definedName>
    <definedName name="LinkHistMdbField0346" hidden="1">#REF!</definedName>
    <definedName name="LinkHistMdbField0401" hidden="1">#REF!</definedName>
    <definedName name="LinkHistMdbField0402" hidden="1">#REF!</definedName>
    <definedName name="LinkHistMdbField0403" hidden="1">#REF!</definedName>
    <definedName name="LinkHistMdbField0404" hidden="1">#REF!</definedName>
    <definedName name="LinkHistMdbField0405" hidden="1">#REF!</definedName>
    <definedName name="LinkHistMdbField0406" hidden="1">#REF!</definedName>
    <definedName name="LinkHistMdbField0407" hidden="1">#REF!</definedName>
    <definedName name="LinkHistMdbField0408" hidden="1">#REF!</definedName>
    <definedName name="LinkHistMdbField0409" hidden="1">#REF!</definedName>
    <definedName name="LinkHistMdbField0410" hidden="1">#REF!</definedName>
    <definedName name="LinkHistMdbField0411" hidden="1">#REF!</definedName>
    <definedName name="LinkHistMdbField0412" hidden="1">#REF!</definedName>
    <definedName name="LinkHistMdbField0413" hidden="1">#REF!</definedName>
    <definedName name="LinkHistMdbField0414" hidden="1">#REF!</definedName>
    <definedName name="LinkHistMdbField0415" hidden="1">#REF!</definedName>
    <definedName name="LinkHistMdbField0416" hidden="1">#REF!</definedName>
    <definedName name="LinkHistMdbField0417" hidden="1">#REF!</definedName>
    <definedName name="LinkHistMdbField0418" hidden="1">#REF!</definedName>
    <definedName name="LinkHistMdbField0419" hidden="1">#REF!</definedName>
    <definedName name="LinkHistMdbField0420" hidden="1">#REF!</definedName>
    <definedName name="LinkHistMdbField0421" hidden="1">#REF!</definedName>
    <definedName name="LinkHistMdbField0422" hidden="1">#REF!</definedName>
    <definedName name="LinkHistMdbField0423" hidden="1">#REF!</definedName>
    <definedName name="LinkHistMdbField0424" hidden="1">#REF!</definedName>
    <definedName name="LinkHistMdbField0425" hidden="1">#REF!</definedName>
    <definedName name="LinkHistMdbField0426" hidden="1">#REF!</definedName>
    <definedName name="LinkHistMdbField0427" hidden="1">#REF!</definedName>
    <definedName name="LinkHistMdbField0428" hidden="1">#REF!</definedName>
    <definedName name="LinkHistMdbField0429" hidden="1">#REF!</definedName>
    <definedName name="LinkHistMdbField0430" hidden="1">#REF!</definedName>
    <definedName name="LinkHistMdbField0431" hidden="1">#REF!</definedName>
    <definedName name="LinkHistMdbField0432" hidden="1">#REF!</definedName>
    <definedName name="LinkHistMdbField0433" hidden="1">#REF!</definedName>
    <definedName name="LinkHistMdbField0434" hidden="1">#REF!</definedName>
    <definedName name="LinkHistMdbField0435" hidden="1">#REF!</definedName>
    <definedName name="LinkHistMdbField0436" hidden="1">#REF!</definedName>
    <definedName name="LinkHistMdbField0437" hidden="1">#REF!</definedName>
    <definedName name="LinkHistMdbField0438" hidden="1">#REF!</definedName>
    <definedName name="LinkHistMdbField0439" hidden="1">#REF!</definedName>
    <definedName name="LinkHistMdbField0440" hidden="1">#REF!</definedName>
    <definedName name="LinkHistMdbField0441" hidden="1">#REF!</definedName>
    <definedName name="LinkHistMdbField0442" hidden="1">#REF!</definedName>
    <definedName name="LinkHistMdbField0443" hidden="1">#REF!</definedName>
    <definedName name="LinkHistMdbField0444" hidden="1">#REF!</definedName>
    <definedName name="LinkHistMdbField0445" hidden="1">#REF!</definedName>
    <definedName name="LinkHistMdbField0446" hidden="1">#REF!</definedName>
    <definedName name="LinkHistMdbField0501" hidden="1">#REF!</definedName>
    <definedName name="LinkHistMdbField0502" hidden="1">#REF!</definedName>
    <definedName name="LinkHistMdbField0503" hidden="1">#REF!</definedName>
    <definedName name="LinkHistMdbField0504" hidden="1">#REF!</definedName>
    <definedName name="LinkHistMdbField0505" hidden="1">#REF!</definedName>
    <definedName name="LinkHistMdbField0506" hidden="1">#REF!</definedName>
    <definedName name="LinkHistMdbField0507" hidden="1">#REF!</definedName>
    <definedName name="LinkHistMdbField0508" hidden="1">#REF!</definedName>
    <definedName name="LinkHistMdbField0509" hidden="1">#REF!</definedName>
    <definedName name="LinkHistMdbField0510" hidden="1">#REF!</definedName>
    <definedName name="LinkHistMdbField0511" hidden="1">#REF!</definedName>
    <definedName name="LinkHistMdbField0512" hidden="1">#REF!</definedName>
    <definedName name="LinkHistMdbField0513" hidden="1">#REF!</definedName>
    <definedName name="LinkHistMdbField0514" hidden="1">#REF!</definedName>
    <definedName name="LinkHistMdbField0515" hidden="1">#REF!</definedName>
    <definedName name="LinkHistMdbField0516" hidden="1">#REF!</definedName>
    <definedName name="LinkHistMdbField0517" hidden="1">#REF!</definedName>
    <definedName name="LinkHistMdbField0518" hidden="1">#REF!</definedName>
    <definedName name="LinkHistMdbField0519" hidden="1">#REF!</definedName>
    <definedName name="LinkHistMdbField0520" hidden="1">#REF!</definedName>
    <definedName name="LinkHistMdbField0521" hidden="1">#REF!</definedName>
    <definedName name="LinkHistMdbField0522" hidden="1">#REF!</definedName>
    <definedName name="LinkHistMdbField0523" hidden="1">#REF!</definedName>
    <definedName name="LinkHistMdbField0524" hidden="1">#REF!</definedName>
    <definedName name="LinkHistMdbField0525" hidden="1">#REF!</definedName>
    <definedName name="LinkHistMdbField0526" hidden="1">#REF!</definedName>
    <definedName name="LinkHistMdbField0527" hidden="1">#REF!</definedName>
    <definedName name="LinkHistMdbField0528" hidden="1">#REF!</definedName>
    <definedName name="LinkHistMdbField0529" hidden="1">#REF!</definedName>
    <definedName name="LinkHistMdbField0530" hidden="1">#REF!</definedName>
    <definedName name="LinkHistMdbField0531" hidden="1">#REF!</definedName>
    <definedName name="LinkHistMdbField0532" hidden="1">#REF!</definedName>
    <definedName name="LinkHistMdbField0533" hidden="1">#REF!</definedName>
    <definedName name="LinkHistMdbField0534" hidden="1">#REF!</definedName>
    <definedName name="LinkHistMdbField0535" hidden="1">#REF!</definedName>
    <definedName name="LinkHistMdbField0536" hidden="1">#REF!</definedName>
    <definedName name="LinkHistMdbField0537" hidden="1">#REF!</definedName>
    <definedName name="LinkHistMdbField0538" hidden="1">#REF!</definedName>
    <definedName name="LinkHistMdbField0539" hidden="1">#REF!</definedName>
    <definedName name="LinkHistMdbField0540" hidden="1">#REF!</definedName>
    <definedName name="LinkHistMdbField0541" hidden="1">#REF!</definedName>
    <definedName name="LinkHistMdbField0542" hidden="1">#REF!</definedName>
    <definedName name="LinkHistMdbField0543" hidden="1">#REF!</definedName>
    <definedName name="LinkHistMdbField0544" hidden="1">#REF!</definedName>
    <definedName name="LinkHistMdbField0545" hidden="1">#REF!</definedName>
    <definedName name="LinkHistMdbField0546" hidden="1">#REF!</definedName>
    <definedName name="LinkMdbField001001" hidden="1">#REF!</definedName>
    <definedName name="LinkMdbField001002" hidden="1">#REF!</definedName>
    <definedName name="LinkMdbField001003" hidden="1">#REF!</definedName>
    <definedName name="LinkMdbField001004" hidden="1">#REF!</definedName>
    <definedName name="LinkMdbField001005" hidden="1">#REF!</definedName>
    <definedName name="LinkMdbField001006" hidden="1">#REF!</definedName>
    <definedName name="LinkMdbField001007" hidden="1">#REF!</definedName>
    <definedName name="LinkMdbField001008" hidden="1">#REF!</definedName>
    <definedName name="LinkMdbField001009" hidden="1">#REF!</definedName>
    <definedName name="LinkMdbField001010" hidden="1">#REF!</definedName>
    <definedName name="LinkMdbField001011" hidden="1">#REF!</definedName>
    <definedName name="LinkMdbField001012" hidden="1">#REF!</definedName>
    <definedName name="LinkMdbField001013" hidden="1">#REF!</definedName>
    <definedName name="LinkMdbField001014" hidden="1">#REF!</definedName>
    <definedName name="LinkMdbField001015" hidden="1">#REF!</definedName>
    <definedName name="LinkMdbField001016" hidden="1">#REF!</definedName>
    <definedName name="LinkMdbField001017" hidden="1">#REF!</definedName>
    <definedName name="LinkMdbField001018" hidden="1">#REF!</definedName>
    <definedName name="LinkMdbField001019" hidden="1">#REF!</definedName>
    <definedName name="LinkMdbField001020" hidden="1">#REF!</definedName>
    <definedName name="LinkMdbField001021" hidden="1">#REF!</definedName>
    <definedName name="LinkMdbField001022" hidden="1">#REF!</definedName>
    <definedName name="LinkMdbField001023" hidden="1">#REF!</definedName>
    <definedName name="LinkMdbField001024" hidden="1">#REF!</definedName>
    <definedName name="LinkMdbField001025" hidden="1">#REF!</definedName>
    <definedName name="LinkMdbField001026" hidden="1">#REF!</definedName>
    <definedName name="LinkMdbField001027" hidden="1">#REF!</definedName>
    <definedName name="LinkMdbField001028" hidden="1">#REF!</definedName>
    <definedName name="LinkMdbField001029" hidden="1">#REF!</definedName>
    <definedName name="LinkMdbField001030" hidden="1">#REF!</definedName>
    <definedName name="LinkMdbField001031" hidden="1">#REF!</definedName>
    <definedName name="LinkMdbField001032" hidden="1">#REF!</definedName>
    <definedName name="LinkMdbField001033" hidden="1">#REF!</definedName>
    <definedName name="LinkMdbField001034" hidden="1">#REF!</definedName>
    <definedName name="LinkMdbField001035" hidden="1">#REF!</definedName>
    <definedName name="LinkMdbField001036" hidden="1">#REF!</definedName>
    <definedName name="LinkMdbField001037" hidden="1">#REF!</definedName>
    <definedName name="LinkMdbField001038" hidden="1">#REF!</definedName>
    <definedName name="LinkMdbField001039" hidden="1">#REF!</definedName>
    <definedName name="LinkMdbField001040" hidden="1">#REF!</definedName>
    <definedName name="LinkMdbField001041" hidden="1">#REF!</definedName>
    <definedName name="LinkMdbField001042" hidden="1">#REF!</definedName>
    <definedName name="LinkMdbField001043" hidden="1">#REF!</definedName>
    <definedName name="LinkMdbField001044" hidden="1">#REF!</definedName>
    <definedName name="LinkMdbField001045" hidden="1">#REF!</definedName>
    <definedName name="LinkMdbField001046" hidden="1">#REF!</definedName>
    <definedName name="LinkMdbField001047" hidden="1">#REF!</definedName>
    <definedName name="LinkMdbField001048" hidden="1">#REF!</definedName>
    <definedName name="LinkMdbField001049" hidden="1">#REF!</definedName>
    <definedName name="LinkMdbField001050" hidden="1">#REF!</definedName>
    <definedName name="LinkMdbField001051" hidden="1">#REF!</definedName>
    <definedName name="LinkMdbField001052" hidden="1">#REF!</definedName>
    <definedName name="LinkMdbField001053" hidden="1">#REF!</definedName>
    <definedName name="LinkMdbField001054" hidden="1">#REF!</definedName>
    <definedName name="LinkMdbField001055" hidden="1">#REF!</definedName>
    <definedName name="LinkMdbField001056" hidden="1">#REF!</definedName>
    <definedName name="LinkMdbField001057" hidden="1">#REF!</definedName>
    <definedName name="LinkMdbField001058" hidden="1">#REF!</definedName>
    <definedName name="LinkMdbField001059" hidden="1">#REF!</definedName>
    <definedName name="LinkMdbField001060" hidden="1">#REF!</definedName>
    <definedName name="LinkMdbField001061" hidden="1">#REF!</definedName>
    <definedName name="LinkMdbField001062" hidden="1">#REF!</definedName>
    <definedName name="LinkMdbField001063" hidden="1">#REF!</definedName>
    <definedName name="LinkMdbField001064" hidden="1">#REF!</definedName>
    <definedName name="LinkMdbField001065" hidden="1">#REF!</definedName>
    <definedName name="LinkMdbField001066" hidden="1">#REF!</definedName>
    <definedName name="LinkMdbField001067" hidden="1">#REF!</definedName>
    <definedName name="LinkMdbField001068" hidden="1">#REF!</definedName>
    <definedName name="LinkMdbField001069" hidden="1">#REF!</definedName>
    <definedName name="LinkMdbField001070" hidden="1">#REF!</definedName>
    <definedName name="LinkMdbField001071" hidden="1">#REF!</definedName>
    <definedName name="LinkMdbField001072" hidden="1">#REF!</definedName>
    <definedName name="LinkMdbField001073" hidden="1">#REF!</definedName>
    <definedName name="LinkMdbField001074" hidden="1">#REF!</definedName>
    <definedName name="LinkMdbField001075" hidden="1">#REF!</definedName>
    <definedName name="LinkMdbField001076" hidden="1">#REF!</definedName>
    <definedName name="LinkMdbField001077" hidden="1">#REF!</definedName>
    <definedName name="LinkMdbField001078" hidden="1">#REF!</definedName>
    <definedName name="LinkMdbField001079" hidden="1">#REF!</definedName>
    <definedName name="LinkMdbField001080" hidden="1">#REF!</definedName>
    <definedName name="LinkMdbField001081" hidden="1">#REF!</definedName>
    <definedName name="LinkMdbField001082" hidden="1">#REF!</definedName>
    <definedName name="LinkMdbField001083" hidden="1">#REF!</definedName>
    <definedName name="LinkMdbField001084" hidden="1">#REF!</definedName>
    <definedName name="LinkMdbField001085" hidden="1">#REF!</definedName>
    <definedName name="LinkMdbField001086" hidden="1">#REF!</definedName>
    <definedName name="LinkMdbField001087" hidden="1">#REF!</definedName>
    <definedName name="LinkMdbField001088" hidden="1">#REF!</definedName>
    <definedName name="LinkMdbField001089" hidden="1">#REF!</definedName>
    <definedName name="LinkMdbField001090" hidden="1">#REF!</definedName>
    <definedName name="LinkMdbField001091" hidden="1">#REF!</definedName>
    <definedName name="LinkMdbField001092" hidden="1">#REF!</definedName>
    <definedName name="LinkMdbField001093" hidden="1">#REF!</definedName>
    <definedName name="LinkMdbField001094" hidden="1">#REF!</definedName>
    <definedName name="LinkMdbField001095" hidden="1">#REF!</definedName>
    <definedName name="LinkMdbField001096" hidden="1">#REF!</definedName>
    <definedName name="LinkMdbField001097" hidden="1">#REF!</definedName>
    <definedName name="LinkMdbField001098" hidden="1">#REF!</definedName>
    <definedName name="LinkMdbField001099" hidden="1">#REF!</definedName>
    <definedName name="LinkMdbField001100" hidden="1">#REF!</definedName>
    <definedName name="LinkMdbField001101" hidden="1">#REF!</definedName>
    <definedName name="LinkMdbField001102" hidden="1">#REF!</definedName>
    <definedName name="LinkMdbField001103" hidden="1">#REF!</definedName>
    <definedName name="LinkMdbField001104" hidden="1">#REF!</definedName>
    <definedName name="LinkMdbField001105" hidden="1">#REF!</definedName>
    <definedName name="LinkMdbField001106" hidden="1">#REF!</definedName>
    <definedName name="LinkMdbField001107" hidden="1">#REF!</definedName>
    <definedName name="LinkMdbField001108" hidden="1">#REF!</definedName>
    <definedName name="LinkMdbField001109" hidden="1">#REF!</definedName>
    <definedName name="LinkMdbField001110" hidden="1">#REF!</definedName>
    <definedName name="LinkMdbField001111" hidden="1">#REF!</definedName>
    <definedName name="LinkMdbField001112" hidden="1">#REF!</definedName>
    <definedName name="LinkMdbField001113" hidden="1">#REF!</definedName>
    <definedName name="LinkMdbField001114" hidden="1">#REF!</definedName>
    <definedName name="LinkMdbField001115" hidden="1">#REF!</definedName>
    <definedName name="LinkMdbField001116" hidden="1">#REF!</definedName>
    <definedName name="LinkMdbField001117" hidden="1">#REF!</definedName>
    <definedName name="LinkMdbField001118" hidden="1">#REF!</definedName>
    <definedName name="LinkMdbField001119" hidden="1">#REF!</definedName>
    <definedName name="LinkMdbField001120" hidden="1">#REF!</definedName>
    <definedName name="LinkMdbField001121" hidden="1">#REF!</definedName>
    <definedName name="LinkMdbField001122" hidden="1">#REF!</definedName>
    <definedName name="LinkMdbField001123" hidden="1">#REF!</definedName>
    <definedName name="LinkMdbField001124" hidden="1">#REF!</definedName>
    <definedName name="LinkMdbField001125" hidden="1">#REF!</definedName>
    <definedName name="LinkMdbField001126" hidden="1">#REF!</definedName>
    <definedName name="LinkMdbField001127" hidden="1">#REF!</definedName>
    <definedName name="LinkMdbField001128" hidden="1">#REF!</definedName>
    <definedName name="LinkMdbField001129" hidden="1">#REF!</definedName>
    <definedName name="LinkMdbField001130" hidden="1">#REF!</definedName>
    <definedName name="LinkMdbField001131" hidden="1">#REF!</definedName>
    <definedName name="LinkMdbField001132" hidden="1">#REF!</definedName>
    <definedName name="LinkMdbField001133" hidden="1">#REF!</definedName>
    <definedName name="LinkMdbField001134" hidden="1">#REF!</definedName>
    <definedName name="LinkMdbField001135" hidden="1">#REF!</definedName>
    <definedName name="LinkMdbField001136" hidden="1">#REF!</definedName>
    <definedName name="LinkMdbField001137" hidden="1">#REF!</definedName>
    <definedName name="LinkMdbField001138" hidden="1">#REF!</definedName>
    <definedName name="LinkMdbField001139" hidden="1">#REF!</definedName>
    <definedName name="LinkMdbField001140" hidden="1">#REF!</definedName>
    <definedName name="LinkMdbField001141" hidden="1">#REF!</definedName>
    <definedName name="LinkMdbField001142" hidden="1">#REF!</definedName>
    <definedName name="LinkMdbField001143" hidden="1">#REF!</definedName>
    <definedName name="LinkMdbField001144" hidden="1">#REF!</definedName>
    <definedName name="LinkMdbField001145" hidden="1">#REF!</definedName>
    <definedName name="LinkMdbField001146" hidden="1">#REF!</definedName>
    <definedName name="LinkMdbField001147" hidden="1">#REF!</definedName>
    <definedName name="LinkMdbField001148" hidden="1">#REF!</definedName>
    <definedName name="LinkMdbField001149" hidden="1">#REF!</definedName>
    <definedName name="LinkMdbField001150" hidden="1">#REF!</definedName>
    <definedName name="LinkMdbField001151" hidden="1">#REF!</definedName>
    <definedName name="LinkMdbField001152" hidden="1">#REF!</definedName>
    <definedName name="LinkMdbField001153" hidden="1">#REF!</definedName>
    <definedName name="LinkMdbField001154" hidden="1">#REF!</definedName>
    <definedName name="LinkMdbField001155" hidden="1">#REF!</definedName>
    <definedName name="LinkMdbField001156" hidden="1">#REF!</definedName>
    <definedName name="LinkMdbField001157" hidden="1">#REF!</definedName>
    <definedName name="LinkMdbField001158" hidden="1">#REF!</definedName>
    <definedName name="LinkMdbField001159" hidden="1">#REF!</definedName>
    <definedName name="LinkMdbField001160" hidden="1">#REF!</definedName>
    <definedName name="LinkMdbField001161" hidden="1">#REF!</definedName>
    <definedName name="LinkMdbField001162" hidden="1">#REF!</definedName>
    <definedName name="LinkMdbField001163" hidden="1">#REF!</definedName>
    <definedName name="LinkMdbField001164" hidden="1">#REF!</definedName>
    <definedName name="LinkMdbField001165" hidden="1">#REF!</definedName>
    <definedName name="LinkMdbField001166" hidden="1">#REF!</definedName>
    <definedName name="LinkMdbField001167" hidden="1">#REF!</definedName>
    <definedName name="LinkMdbField001168" hidden="1">#REF!</definedName>
    <definedName name="LinkMdbField001169" hidden="1">#REF!</definedName>
    <definedName name="LinkMdbField001170" hidden="1">#REF!</definedName>
    <definedName name="LinkMdbField001171" hidden="1">#REF!</definedName>
    <definedName name="LinkMdbField001172" hidden="1">#REF!</definedName>
    <definedName name="LinkMdbField001173" hidden="1">#REF!</definedName>
    <definedName name="LinkMdbField001174" hidden="1">#REF!</definedName>
    <definedName name="LinkMdbField001175" hidden="1">#REF!</definedName>
    <definedName name="LinkMdbField001176" hidden="1">#REF!</definedName>
    <definedName name="LinkMdbField001177" hidden="1">#REF!</definedName>
    <definedName name="LinkMdbField001178" hidden="1">#REF!</definedName>
    <definedName name="LinkMdbField001179" hidden="1">#REF!</definedName>
    <definedName name="LinkMdbField001180" hidden="1">#REF!</definedName>
    <definedName name="LinkMdbField001181" hidden="1">#REF!</definedName>
    <definedName name="LinkMdbField001182" hidden="1">#REF!</definedName>
    <definedName name="LinkMdbField001183" hidden="1">#REF!</definedName>
    <definedName name="LinkMdbField001184" hidden="1">#REF!</definedName>
    <definedName name="LinkMdbField001185" hidden="1">#REF!</definedName>
    <definedName name="LinkMdbField001186" hidden="1">#REF!</definedName>
    <definedName name="LinkMdbField001187" hidden="1">#REF!</definedName>
    <definedName name="LinkMdbField001188" hidden="1">#REF!</definedName>
    <definedName name="LinkMdbField001189" hidden="1">#REF!</definedName>
    <definedName name="LinkMdbField001190" hidden="1">#REF!</definedName>
    <definedName name="LinkMdbField001191" hidden="1">#REF!</definedName>
    <definedName name="LinkMdbField001192" hidden="1">#REF!</definedName>
    <definedName name="LinkMdbField001193" hidden="1">#REF!</definedName>
    <definedName name="LinkMdbField001194" hidden="1">#REF!</definedName>
    <definedName name="LinkMdbField001195" hidden="1">#REF!</definedName>
    <definedName name="LinkMdbField001196" hidden="1">#REF!</definedName>
    <definedName name="LinkMdbField001197" hidden="1">#REF!</definedName>
    <definedName name="LinkMdbField001198" hidden="1">#REF!</definedName>
    <definedName name="LinkMdbField001199" hidden="1">#REF!</definedName>
    <definedName name="LinkMdbField001200" hidden="1">#REF!</definedName>
    <definedName name="LinkMdbField001201" hidden="1">#REF!</definedName>
    <definedName name="LinkMdbField001202" hidden="1">#REF!</definedName>
    <definedName name="LinkMdbField001203" hidden="1">#REF!</definedName>
    <definedName name="LinkMdbField001204" hidden="1">#REF!</definedName>
    <definedName name="LinkMdbField001205" hidden="1">#REF!</definedName>
    <definedName name="LinkMdbField001206" hidden="1">#REF!</definedName>
    <definedName name="LinkMdbField001207" hidden="1">#REF!</definedName>
    <definedName name="LinkMdbField001208" hidden="1">#REF!</definedName>
    <definedName name="LinkMdbField001209" hidden="1">#REF!</definedName>
    <definedName name="LinkMdbField001210" hidden="1">#REF!</definedName>
    <definedName name="LinkMdbField001211" hidden="1">#REF!</definedName>
    <definedName name="LinkMdbField001212" hidden="1">#REF!</definedName>
    <definedName name="LinkMdbField001213" hidden="1">#REF!</definedName>
    <definedName name="LinkMdbField001214" hidden="1">#REF!</definedName>
    <definedName name="LinkMdbField001215" hidden="1">#REF!</definedName>
    <definedName name="LinkMdbField001216" hidden="1">#REF!</definedName>
    <definedName name="LinkMdbField001217" hidden="1">#REF!</definedName>
    <definedName name="LinkMdbField001218" hidden="1">#REF!</definedName>
    <definedName name="LinkMdbField001219" hidden="1">#REF!</definedName>
    <definedName name="LinkMdbField001220" hidden="1">#REF!</definedName>
    <definedName name="LinkMdbField001221" hidden="1">#REF!</definedName>
    <definedName name="LinkMdbField001222" hidden="1">#REF!</definedName>
    <definedName name="LinkMdbField001223" hidden="1">#REF!</definedName>
    <definedName name="LinkMdbField001224" hidden="1">#REF!</definedName>
    <definedName name="LinkMdbField001225" hidden="1">#REF!</definedName>
    <definedName name="LinkMdbField001226" hidden="1">#REF!</definedName>
    <definedName name="LinkMdbField001227" hidden="1">#REF!</definedName>
    <definedName name="LinkMdbField001228" hidden="1">#REF!</definedName>
    <definedName name="LinkMdbField001229" hidden="1">#REF!</definedName>
    <definedName name="LinkMdbField001230" hidden="1">#REF!</definedName>
    <definedName name="LinkMdbField001231" hidden="1">#REF!</definedName>
    <definedName name="LinkMdbField0101" hidden="1">#REF!</definedName>
    <definedName name="LinkMdbField0102" hidden="1">#REF!</definedName>
    <definedName name="LinkMdbField0103" hidden="1">#REF!</definedName>
    <definedName name="LinkMdbField0104" hidden="1">#REF!</definedName>
    <definedName name="LinkMdbField0105" hidden="1">#REF!</definedName>
    <definedName name="LinkMdbField0106" hidden="1">#REF!</definedName>
    <definedName name="LinkMdbField0107" hidden="1">#REF!</definedName>
    <definedName name="LinkMdbField0108" hidden="1">#REF!</definedName>
    <definedName name="LinkMdbField0109" hidden="1">#REF!</definedName>
    <definedName name="LinkMdbField0110" hidden="1">#REF!</definedName>
    <definedName name="LinkMdbField01100" hidden="1">#REF!</definedName>
    <definedName name="LinkMdbField01101" hidden="1">#REF!</definedName>
    <definedName name="LinkMdbField01102" hidden="1">#REF!</definedName>
    <definedName name="LinkMdbField01103" hidden="1">#REF!</definedName>
    <definedName name="LinkMdbField01104" hidden="1">#REF!</definedName>
    <definedName name="LinkMdbField01105" hidden="1">#REF!</definedName>
    <definedName name="LinkMdbField01106" hidden="1">#REF!</definedName>
    <definedName name="LinkMdbField01107" hidden="1">#REF!</definedName>
    <definedName name="LinkMdbField01108" hidden="1">#REF!</definedName>
    <definedName name="LinkMdbField01109" hidden="1">#REF!</definedName>
    <definedName name="LinkMdbField0111" hidden="1">#REF!</definedName>
    <definedName name="LinkMdbField01110" hidden="1">#REF!</definedName>
    <definedName name="LinkMdbField01111" hidden="1">#REF!</definedName>
    <definedName name="LinkMdbField01112" hidden="1">#REF!</definedName>
    <definedName name="LinkMdbField01113" hidden="1">#REF!</definedName>
    <definedName name="LinkMdbField01114" hidden="1">#REF!</definedName>
    <definedName name="LinkMdbField01115" hidden="1">#REF!</definedName>
    <definedName name="LinkMdbField01116" hidden="1">#REF!</definedName>
    <definedName name="LinkMdbField01117" hidden="1">#REF!</definedName>
    <definedName name="LinkMdbField01118" hidden="1">#REF!</definedName>
    <definedName name="LinkMdbField01119" hidden="1">#REF!</definedName>
    <definedName name="LinkMdbField0112" hidden="1">#REF!</definedName>
    <definedName name="LinkMdbField01120" hidden="1">#REF!</definedName>
    <definedName name="LinkMdbField01121" hidden="1">#REF!</definedName>
    <definedName name="LinkMdbField01122" hidden="1">#REF!</definedName>
    <definedName name="LinkMdbField01123" hidden="1">#REF!</definedName>
    <definedName name="LinkMdbField01124" hidden="1">#REF!</definedName>
    <definedName name="LinkMdbField01125" hidden="1">#REF!</definedName>
    <definedName name="LinkMdbField01126" hidden="1">#REF!</definedName>
    <definedName name="LinkMdbField01127" hidden="1">#REF!</definedName>
    <definedName name="LinkMdbField01128" hidden="1">#REF!</definedName>
    <definedName name="LinkMdbField01129" hidden="1">#REF!</definedName>
    <definedName name="LinkMdbField0113" hidden="1">#REF!</definedName>
    <definedName name="LinkMdbField01130" hidden="1">#REF!</definedName>
    <definedName name="LinkMdbField01131" hidden="1">#REF!</definedName>
    <definedName name="LinkMdbField01132" hidden="1">#REF!</definedName>
    <definedName name="LinkMdbField01133" hidden="1">#REF!</definedName>
    <definedName name="LinkMdbField01134" hidden="1">#REF!</definedName>
    <definedName name="LinkMdbField01135" hidden="1">#REF!</definedName>
    <definedName name="LinkMdbField01136" hidden="1">#REF!</definedName>
    <definedName name="LinkMdbField01137" hidden="1">#REF!</definedName>
    <definedName name="LinkMdbField01138" hidden="1">#REF!</definedName>
    <definedName name="LinkMdbField01139" hidden="1">#REF!</definedName>
    <definedName name="LinkMdbField0114" hidden="1">#REF!</definedName>
    <definedName name="LinkMdbField01140" hidden="1">#REF!</definedName>
    <definedName name="LinkMdbField01141" hidden="1">#REF!</definedName>
    <definedName name="LinkMdbField01142" hidden="1">#REF!</definedName>
    <definedName name="LinkMdbField01143" hidden="1">#REF!</definedName>
    <definedName name="LinkMdbField01144" hidden="1">#REF!</definedName>
    <definedName name="LinkMdbField01145" hidden="1">#REF!</definedName>
    <definedName name="LinkMdbField01146" hidden="1">#REF!</definedName>
    <definedName name="LinkMdbField01147" hidden="1">#REF!</definedName>
    <definedName name="LinkMdbField01148" hidden="1">#REF!</definedName>
    <definedName name="LinkMdbField01149" hidden="1">#REF!</definedName>
    <definedName name="LinkMdbField0115" hidden="1">#REF!</definedName>
    <definedName name="LinkMdbField01150" hidden="1">#REF!</definedName>
    <definedName name="LinkMdbField01151" hidden="1">#REF!</definedName>
    <definedName name="LinkMdbField01152" hidden="1">#REF!</definedName>
    <definedName name="LinkMdbField01153" hidden="1">#REF!</definedName>
    <definedName name="LinkMdbField01154" hidden="1">#REF!</definedName>
    <definedName name="LinkMdbField01155" hidden="1">#REF!</definedName>
    <definedName name="LinkMdbField01156" hidden="1">#REF!</definedName>
    <definedName name="LinkMdbField01157" hidden="1">#REF!</definedName>
    <definedName name="LinkMdbField01158" hidden="1">#REF!</definedName>
    <definedName name="LinkMdbField01159" hidden="1">#REF!</definedName>
    <definedName name="LinkMdbField0116" hidden="1">#REF!</definedName>
    <definedName name="LinkMdbField01160" hidden="1">#REF!</definedName>
    <definedName name="LinkMdbField01161" hidden="1">#REF!</definedName>
    <definedName name="LinkMdbField01162" hidden="1">#REF!</definedName>
    <definedName name="LinkMdbField01163" hidden="1">#REF!</definedName>
    <definedName name="LinkMdbField01164" hidden="1">#REF!</definedName>
    <definedName name="LinkMdbField01165" hidden="1">#REF!</definedName>
    <definedName name="LinkMdbField01166" hidden="1">#REF!</definedName>
    <definedName name="LinkMdbField01167" hidden="1">#REF!</definedName>
    <definedName name="LinkMdbField01168" hidden="1">#REF!</definedName>
    <definedName name="LinkMdbField01169" hidden="1">#REF!</definedName>
    <definedName name="LinkMdbField0117" hidden="1">#REF!</definedName>
    <definedName name="LinkMdbField01170" hidden="1">#REF!</definedName>
    <definedName name="LinkMdbField01171" hidden="1">#REF!</definedName>
    <definedName name="LinkMdbField01172" hidden="1">#REF!</definedName>
    <definedName name="LinkMdbField01173" hidden="1">#REF!</definedName>
    <definedName name="LinkMdbField01174" hidden="1">#REF!</definedName>
    <definedName name="LinkMdbField01175" hidden="1">#REF!</definedName>
    <definedName name="LinkMdbField01176" hidden="1">#REF!</definedName>
    <definedName name="LinkMdbField01177" hidden="1">#REF!</definedName>
    <definedName name="LinkMdbField01178" hidden="1">#REF!</definedName>
    <definedName name="LinkMdbField01179" hidden="1">#REF!</definedName>
    <definedName name="LinkMdbField0118" hidden="1">#REF!</definedName>
    <definedName name="LinkMdbField01180" hidden="1">#REF!</definedName>
    <definedName name="LinkMdbField01181" hidden="1">#REF!</definedName>
    <definedName name="LinkMdbField01182" hidden="1">#REF!</definedName>
    <definedName name="LinkMdbField01183" hidden="1">#REF!</definedName>
    <definedName name="LinkMdbField01184" hidden="1">#REF!</definedName>
    <definedName name="LinkMdbField01185" hidden="1">#REF!</definedName>
    <definedName name="LinkMdbField01186" hidden="1">#REF!</definedName>
    <definedName name="LinkMdbField01187" hidden="1">#REF!</definedName>
    <definedName name="LinkMdbField01188" hidden="1">#REF!</definedName>
    <definedName name="LinkMdbField01189" hidden="1">#REF!</definedName>
    <definedName name="LinkMdbField0119" hidden="1">#REF!</definedName>
    <definedName name="LinkMdbField01190" hidden="1">#REF!</definedName>
    <definedName name="LinkMdbField01191" hidden="1">#REF!</definedName>
    <definedName name="LinkMdbField01192" hidden="1">#REF!</definedName>
    <definedName name="LinkMdbField01193" hidden="1">#REF!</definedName>
    <definedName name="LinkMdbField01194" hidden="1">#REF!</definedName>
    <definedName name="LinkMdbField01195" hidden="1">#REF!</definedName>
    <definedName name="LinkMdbField01196" hidden="1">#REF!</definedName>
    <definedName name="LinkMdbField01197" hidden="1">#REF!</definedName>
    <definedName name="LinkMdbField01198" hidden="1">#REF!</definedName>
    <definedName name="LinkMdbField01199" hidden="1">#REF!</definedName>
    <definedName name="LinkMdbField0120" hidden="1">#REF!</definedName>
    <definedName name="LinkMdbField01200" hidden="1">#REF!</definedName>
    <definedName name="LinkMdbField01201" hidden="1">#REF!</definedName>
    <definedName name="LinkMdbField01202" hidden="1">#REF!</definedName>
    <definedName name="LinkMdbField01203" hidden="1">#REF!</definedName>
    <definedName name="LinkMdbField01204" hidden="1">#REF!</definedName>
    <definedName name="LinkMdbField01205" hidden="1">#REF!</definedName>
    <definedName name="LinkMdbField01206" hidden="1">#REF!</definedName>
    <definedName name="LinkMdbField01207" hidden="1">#REF!</definedName>
    <definedName name="LinkMdbField01208" hidden="1">#REF!</definedName>
    <definedName name="LinkMdbField01209" hidden="1">#REF!</definedName>
    <definedName name="LinkMdbField0121" hidden="1">#REF!</definedName>
    <definedName name="LinkMdbField01210" hidden="1">#REF!</definedName>
    <definedName name="LinkMdbField01211" hidden="1">#REF!</definedName>
    <definedName name="LinkMdbField01212" hidden="1">#REF!</definedName>
    <definedName name="LinkMdbField01213" hidden="1">#REF!</definedName>
    <definedName name="LinkMdbField01214" hidden="1">#REF!</definedName>
    <definedName name="LinkMdbField01215" hidden="1">#REF!</definedName>
    <definedName name="LinkMdbField01216" hidden="1">#REF!</definedName>
    <definedName name="LinkMdbField01217" hidden="1">#REF!</definedName>
    <definedName name="LinkMdbField01218" hidden="1">#REF!</definedName>
    <definedName name="LinkMdbField01219" hidden="1">#REF!</definedName>
    <definedName name="LinkMdbField0122" hidden="1">#REF!</definedName>
    <definedName name="LinkMdbField01220" hidden="1">#REF!</definedName>
    <definedName name="LinkMdbField01221" hidden="1">#REF!</definedName>
    <definedName name="LinkMdbField01222" hidden="1">#REF!</definedName>
    <definedName name="LinkMdbField01223" hidden="1">#REF!</definedName>
    <definedName name="LinkMdbField01224" hidden="1">#REF!</definedName>
    <definedName name="LinkMdbField01225" hidden="1">#REF!</definedName>
    <definedName name="LinkMdbField01226" hidden="1">#REF!</definedName>
    <definedName name="LinkMdbField01227" hidden="1">#REF!</definedName>
    <definedName name="LinkMdbField01228" hidden="1">#REF!</definedName>
    <definedName name="LinkMdbField01229" hidden="1">#REF!</definedName>
    <definedName name="LinkMdbField0123" hidden="1">#REF!</definedName>
    <definedName name="LinkMdbField01230" hidden="1">#REF!</definedName>
    <definedName name="LinkMdbField01231" hidden="1">#REF!</definedName>
    <definedName name="LinkMdbField0124" hidden="1">#REF!</definedName>
    <definedName name="LinkMdbField0125" hidden="1">#REF!</definedName>
    <definedName name="LinkMdbField0126" hidden="1">#REF!</definedName>
    <definedName name="LinkMdbField0127" hidden="1">#REF!</definedName>
    <definedName name="LinkMdbField0128" hidden="1">#REF!</definedName>
    <definedName name="LinkMdbField0129" hidden="1">#REF!</definedName>
    <definedName name="LinkMdbField0130" hidden="1">#REF!</definedName>
    <definedName name="LinkMdbField0131" hidden="1">#REF!</definedName>
    <definedName name="LinkMdbField0132" hidden="1">#REF!</definedName>
    <definedName name="LinkMdbField0133" hidden="1">#REF!</definedName>
    <definedName name="LinkMdbField0134" hidden="1">#REF!</definedName>
    <definedName name="LinkMdbField0135" hidden="1">#REF!</definedName>
    <definedName name="LinkMdbField0136" hidden="1">#REF!</definedName>
    <definedName name="LinkMdbField0137" hidden="1">#REF!</definedName>
    <definedName name="LinkMdbField0138" hidden="1">#REF!</definedName>
    <definedName name="LinkMdbField0139" hidden="1">#REF!</definedName>
    <definedName name="LinkMdbField0140" hidden="1">#REF!</definedName>
    <definedName name="LinkMdbField0141" hidden="1">#REF!</definedName>
    <definedName name="LinkMdbField0142" hidden="1">#REF!</definedName>
    <definedName name="LinkMdbField0143" hidden="1">#REF!</definedName>
    <definedName name="LinkMdbField0144" hidden="1">#REF!</definedName>
    <definedName name="LinkMdbField0145" hidden="1">#REF!</definedName>
    <definedName name="LinkMdbField0146" hidden="1">#REF!</definedName>
    <definedName name="LinkMdbField0147" hidden="1">#REF!</definedName>
    <definedName name="LinkMdbField0148" hidden="1">#REF!</definedName>
    <definedName name="LinkMdbField0149" hidden="1">#REF!</definedName>
    <definedName name="LinkMdbField0150" hidden="1">#REF!</definedName>
    <definedName name="LinkMdbField0151" hidden="1">#REF!</definedName>
    <definedName name="LinkMdbField0152" hidden="1">#REF!</definedName>
    <definedName name="LinkMdbField0153" hidden="1">#REF!</definedName>
    <definedName name="LinkMdbField0154" hidden="1">#REF!</definedName>
    <definedName name="LinkMdbField0155" hidden="1">#REF!</definedName>
    <definedName name="LinkMdbField0156" hidden="1">#REF!</definedName>
    <definedName name="LinkMdbField0157" hidden="1">#REF!</definedName>
    <definedName name="LinkMdbField0158" hidden="1">#REF!</definedName>
    <definedName name="LinkMdbField0159" hidden="1">#REF!</definedName>
    <definedName name="LinkMdbField0160" hidden="1">#REF!</definedName>
    <definedName name="LinkMdbField0161" hidden="1">#REF!</definedName>
    <definedName name="LinkMdbField0162" hidden="1">#REF!</definedName>
    <definedName name="LinkMdbField0163" hidden="1">#REF!</definedName>
    <definedName name="LinkMdbField0164" hidden="1">#REF!</definedName>
    <definedName name="LinkMdbField0165" hidden="1">#REF!</definedName>
    <definedName name="LinkMdbField0166" hidden="1">#REF!</definedName>
    <definedName name="LinkMdbField0167" hidden="1">#REF!</definedName>
    <definedName name="LinkMdbField0168" hidden="1">#REF!</definedName>
    <definedName name="LinkMdbField0169" hidden="1">#REF!</definedName>
    <definedName name="LinkMdbField0170" hidden="1">#REF!</definedName>
    <definedName name="LinkMdbField0171" hidden="1">#REF!</definedName>
    <definedName name="LinkMdbField0172" hidden="1">#REF!</definedName>
    <definedName name="LinkMdbField0173" hidden="1">#REF!</definedName>
    <definedName name="LinkMdbField0174" hidden="1">#REF!</definedName>
    <definedName name="LinkMdbField0175" hidden="1">#REF!</definedName>
    <definedName name="LinkMdbField0176" hidden="1">#REF!</definedName>
    <definedName name="LinkMdbField0177" hidden="1">#REF!</definedName>
    <definedName name="LinkMdbField0178" hidden="1">#REF!</definedName>
    <definedName name="LinkMdbField0179" hidden="1">#REF!</definedName>
    <definedName name="LinkMdbField0180" hidden="1">#REF!</definedName>
    <definedName name="LinkMdbField0181" hidden="1">#REF!</definedName>
    <definedName name="LinkMdbField0182" hidden="1">#REF!</definedName>
    <definedName name="LinkMdbField0183" hidden="1">#REF!</definedName>
    <definedName name="LinkMdbField0184" hidden="1">#REF!</definedName>
    <definedName name="LinkMdbField0185" hidden="1">#REF!</definedName>
    <definedName name="LinkMdbField0186" hidden="1">#REF!</definedName>
    <definedName name="LinkMdbField0187" hidden="1">#REF!</definedName>
    <definedName name="LinkMdbField0188" hidden="1">#REF!</definedName>
    <definedName name="LinkMdbField0189" hidden="1">#REF!</definedName>
    <definedName name="LinkMdbField0190" hidden="1">#REF!</definedName>
    <definedName name="LinkMdbField0191" hidden="1">#REF!</definedName>
    <definedName name="LinkMdbField0192" hidden="1">#REF!</definedName>
    <definedName name="LinkMdbField0193" hidden="1">#REF!</definedName>
    <definedName name="LinkMdbField0194" hidden="1">#REF!</definedName>
    <definedName name="LinkMdbField0195" hidden="1">#REF!</definedName>
    <definedName name="LinkMdbField0196" hidden="1">#REF!</definedName>
    <definedName name="LinkMdbField0197" hidden="1">#REF!</definedName>
    <definedName name="LinkMdbField0198" hidden="1">#REF!</definedName>
    <definedName name="LinkMdbField0199" hidden="1">#REF!</definedName>
    <definedName name="lisa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lisa2" hidden="1">{"View1",#N/A,FALSE,"Sheet1";"View2",#N/A,FALSE,"Sheet1"}</definedName>
    <definedName name="lisa3" hidden="1">{"View1",#N/A,FALSE,"Sheet1";"View2",#N/A,FALSE,"Sheet1"}</definedName>
    <definedName name="List">#REF!</definedName>
    <definedName name="List_AUS">#REF!</definedName>
    <definedName name="List_BLT">#REF!</definedName>
    <definedName name="List_CAMNonrecov">#REF!</definedName>
    <definedName name="List_CAMRecovNonrecur">#REF!</definedName>
    <definedName name="List_CAMRecovRecur">#REF!</definedName>
    <definedName name="List_CategoryCapital">#REF!</definedName>
    <definedName name="List_CategoryExpense">#REF!</definedName>
    <definedName name="List_CHH">#REF!</definedName>
    <definedName name="List_CHI">#REF!</definedName>
    <definedName name="List_DFW">#REF!</definedName>
    <definedName name="List_Electrical">#REF!</definedName>
    <definedName name="List_ELP">#REF!</definedName>
    <definedName name="List_FireSystems">#REF!</definedName>
    <definedName name="List_HOU">#REF!</definedName>
    <definedName name="List_IEE">#REF!</definedName>
    <definedName name="List_IEW">#REF!</definedName>
    <definedName name="List_Insurance">#REF!</definedName>
    <definedName name="List_JRZ">#REF!</definedName>
    <definedName name="List_LAX">#REF!</definedName>
    <definedName name="List_Leasing">#REF!</definedName>
    <definedName name="List_LRD">#REF!</definedName>
    <definedName name="List_Makeready">#REF!</definedName>
    <definedName name="List_MCA">#REF!</definedName>
    <definedName name="List_Mechanical">#REF!</definedName>
    <definedName name="List_MEP">#REF!</definedName>
    <definedName name="List_MgmtFees">#REF!</definedName>
    <definedName name="List_NCA">#REF!</definedName>
    <definedName name="List_Other">#REF!</definedName>
    <definedName name="List_Paint">#REF!</definedName>
    <definedName name="List_ParkingLot">#REF!</definedName>
    <definedName name="List_PaymentTiming">#REF!</definedName>
    <definedName name="List_PHX">#REF!</definedName>
    <definedName name="List_PropID">#REF!</definedName>
    <definedName name="List_Recoverable">#REF!</definedName>
    <definedName name="List_Recurring">#REF!</definedName>
    <definedName name="List_REY">#REF!</definedName>
    <definedName name="List_Roof">#REF!</definedName>
    <definedName name="List_SAT">#REF!</definedName>
    <definedName name="List_SLC">#REF!</definedName>
    <definedName name="List_Taxes">#REF!</definedName>
    <definedName name="List_TIJ">#REF!</definedName>
    <definedName name="List_TiltWalls">#REF!</definedName>
    <definedName name="List_TruckCourt">#REF!</definedName>
    <definedName name="List_Units">#REF!</definedName>
    <definedName name="List_Utilities">#REF!</definedName>
    <definedName name="List.Category.CapexRecoverable">#REF!</definedName>
    <definedName name="List.Category.ConstructionPeriodInterest">#REF!</definedName>
    <definedName name="List.Category.DevelopmentContingency">#REF!</definedName>
    <definedName name="List.Category.DevelopmentFee">#REF!</definedName>
    <definedName name="List.Category.Expenses">#REF!</definedName>
    <definedName name="List.Category.ExtraordinaryEvents">#REF!</definedName>
    <definedName name="List.Category.HardCosts">#REF!</definedName>
    <definedName name="List.Category.Land">#REF!</definedName>
    <definedName name="List.Category.LeasingCommissions">#REF!</definedName>
    <definedName name="List.Category.NonRecoverable">#REF!</definedName>
    <definedName name="List.Category.PursuitExpenses">#REF!</definedName>
    <definedName name="List.Category.SoftCosts">#REF!</definedName>
    <definedName name="List.Category.TenantImprovements">#REF!</definedName>
    <definedName name="List.Category.TIMakeReady">#REF!</definedName>
    <definedName name="List.CategoryIDName">#REF!</definedName>
    <definedName name="ListOffset" hidden="1">9</definedName>
    <definedName name="ListSheetsMacroButton">#REF!</definedName>
    <definedName name="LiveIndex">#REF!</definedName>
    <definedName name="ljl" hidden="1">{#N/A,#N/A,FALSE,"Expense Detail ";#N/A,#N/A,FALSE,"Worksheet";#N/A,#N/A,FALSE,"Audit";#N/A,#N/A,FALSE,"Exclusions";#N/A,#N/A,FALSE,"Variance";#N/A,#N/A,FALSE,"Reconciliation"}</definedName>
    <definedName name="ll" hidden="1">#REF!</definedName>
    <definedName name="LLL" hidden="1">#REF!</definedName>
    <definedName name="lllll" hidden="1">{"sheet a",#N/A,FALSE,"A";"sheet b 1",#N/A,FALSE,"B";"sheet b 2",#N/A,FALSE,"B"}</definedName>
    <definedName name="llllllllllllllllllllllllllllll" hidden="1">{#N/A,#N/A,FALSE,"LP Exp";#N/A,#N/A,FALSE,"Salary";#N/A,#N/A,FALSE,"Admin Exp";#N/A,#N/A,FALSE,"QTS Bud";#N/A,#N/A,FALSE,"Marketing"}</definedName>
    <definedName name="lmo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LOADCHOICE">#REF!</definedName>
    <definedName name="LOADRESULT">#REF!</definedName>
    <definedName name="LOAN">#REF!</definedName>
    <definedName name="Loan_Amount">#REF!</definedName>
    <definedName name="Loan_Start">#REF!</definedName>
    <definedName name="Loan_Term">#REF!</definedName>
    <definedName name="Loan_Years">#REF!</definedName>
    <definedName name="Loan1_Amt">#REF!</definedName>
    <definedName name="Loan1_FDate">#REF!</definedName>
    <definedName name="Loan1_IntRate">#REF!</definedName>
    <definedName name="Loan1_Points">#REF!</definedName>
    <definedName name="Loan2_FDate">#REF!</definedName>
    <definedName name="Loan3_FDate">#REF!</definedName>
    <definedName name="Loan3_Name">#REF!</definedName>
    <definedName name="Loan3_PMO">#REF!</definedName>
    <definedName name="LoanAmnt">#REF!</definedName>
    <definedName name="LoanAmnt2">#REF!</definedName>
    <definedName name="LoanBal">#REF!</definedName>
    <definedName name="loanPAYMENTtable">#REF!</definedName>
    <definedName name="Location">#REF!</definedName>
    <definedName name="Locations">#REF!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okback">#REF!</definedName>
    <definedName name="Losses" hidden="1">{"TAB 1",#N/A,FALSE,"1";"tab 2",#N/A,FALSE,"2";"TAB 3",#N/A,FALSE,"3";"tab 4",#N/A,FALSE,"4";"tab 5",#N/A,FALSE,"5";"tab 6",#N/A,FALSE,"6";"tab 7",#N/A,FALSE,"7";"TAB 8",#N/A,FALSE,"8"}</definedName>
    <definedName name="lot">#REF!</definedName>
    <definedName name="Louvers" hidden="1">{#N/A,#N/A,TRUE,"Ericsson Stadium PCD ";#N/A,#N/A,TRUE,"Ericsson Stadium IOR"}</definedName>
    <definedName name="Louversa" hidden="1">{#N/A,#N/A,TRUE,"Ericsson Stadium PCD ";#N/A,#N/A,TRUE,"Ericsson Stadium IOR"}</definedName>
    <definedName name="LS_Delinq">#REF!</definedName>
    <definedName name="LS_Repos">#REF!</definedName>
    <definedName name="Lse_Term">#REF!</definedName>
    <definedName name="LTC">#REF!</definedName>
    <definedName name="ltm_BalanceSheet" hidden="1">#REF!</definedName>
    <definedName name="ltm_IncomeStatement" hidden="1">#REF!</definedName>
    <definedName name="ltmnonasset1" hidden="1">#REF!</definedName>
    <definedName name="ltmnonliab1" hidden="1">#REF!</definedName>
    <definedName name="LTV">#REF!</definedName>
    <definedName name="lu" hidden="1">{"'Directory'!$A$72:$E$91"}</definedName>
    <definedName name="LY">#REF!</definedName>
    <definedName name="m">#REF!</definedName>
    <definedName name="M_PlaceofPath" hidden="1">"\\SNYCEQT0100\HOME\DANDERS\COMPANY\IGT\IGT_VDF.xls"</definedName>
    <definedName name="Mai">#REF!</definedName>
    <definedName name="MAN_INPUT">#REF!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ket">#REF!</definedName>
    <definedName name="market1" hidden="1">{"Zone1",#N/A,FALSE,"Parameters";"Zone2",#N/A,FALSE,"Parameters"}</definedName>
    <definedName name="MarketRentPSF">#REF!</definedName>
    <definedName name="marnwcty" hidden="1">#REF!</definedName>
    <definedName name="marrevtwo" hidden="1">#REF!</definedName>
    <definedName name="MarshR">#REF!</definedName>
    <definedName name="MarshU">#REF!</definedName>
    <definedName name="martyrange" hidden="1">#REF!</definedName>
    <definedName name="martyrangeone" hidden="1">#REF!</definedName>
    <definedName name="März">#REF!</definedName>
    <definedName name="matrices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matricies" hidden="1">{#N/A,#N/A,FALSE,"matx B4 DS";#N/A,#N/A,FALSE,"matx B4 DS Hac";#N/A,#N/A,FALSE,"matx B4 DS Chabot";#N/A,#N/A,FALSE,"matx B4 DS Diablo"}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urity">#REF!</definedName>
    <definedName name="Max_Incr">#REF!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dmult" hidden="1">#REF!</definedName>
    <definedName name="meg" hidden="1">#REF!</definedName>
    <definedName name="men" hidden="1">{"Error Report",#N/A,FALSE,"Report"}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rrillPrintIt" hidden="1">#N/A</definedName>
    <definedName name="metro">#REF!</definedName>
    <definedName name="MEWarning" hidden="1">1</definedName>
    <definedName name="Mezz_debt_paydown">#REF!</definedName>
    <definedName name="Mezzanine_Debt">#REF!</definedName>
    <definedName name="Mezzanine_Financing_Proceeds">#REF!</definedName>
    <definedName name="mezzanine_rate">#REF!</definedName>
    <definedName name="mezzfinancing">#REF!</definedName>
    <definedName name="mezzinterest">#REF!</definedName>
    <definedName name="mezzmosofIO">#REF!</definedName>
    <definedName name="mezzorigfee">#REF!</definedName>
    <definedName name="mezzpandi">#REF!</definedName>
    <definedName name="mezzterm">#REF!</definedName>
    <definedName name="MGDV_IRR" hidden="1">{"Zone1",#N/A,FALSE,"Parameters";"Zone2",#N/A,FALSE,"Parameters"}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mntCo">#REF!</definedName>
    <definedName name="MgmntCoDistriOper">#REF!</definedName>
    <definedName name="MgmntCoDistriSale">#REF!</definedName>
    <definedName name="MgmntCoEq">#REF!</definedName>
    <definedName name="MgmntCoOwn">#REF!</definedName>
    <definedName name="MgmntCoPrefer">#REF!</definedName>
    <definedName name="MgmntFee1">#REF!</definedName>
    <definedName name="MgmntFee2">#REF!</definedName>
    <definedName name="MgmntFee3">#REF!</definedName>
    <definedName name="MgmntFee4">#REF!</definedName>
    <definedName name="MGMT">#REF!</definedName>
    <definedName name="MgmtIncentiveFee">#REF!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chael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midpointvalue" hidden="1">{#N/A,#N/A,FALSE,"Cashflow Analysis";#N/A,#N/A,FALSE,"Sensitivity Analysis";#N/A,#N/A,FALSE,"PV";#N/A,#N/A,FALSE,"Pro Forma"}</definedName>
    <definedName name="Mietsoll_._._Leerstand__03.05">#REF!</definedName>
    <definedName name="MILF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ner" hidden="1">{#N/A,#N/A,FALSE,"Aging Summary";#N/A,#N/A,FALSE,"Ratio Analysis";#N/A,#N/A,FALSE,"Test 120 Day Accts";#N/A,#N/A,FALSE,"Tickmarks"}</definedName>
    <definedName name="minadj" hidden="1">#REF!</definedName>
    <definedName name="minadj2" hidden="1">#REF!</definedName>
    <definedName name="MiniPerm">#REF!</definedName>
    <definedName name="MiniPerm2">#REF!</definedName>
    <definedName name="MiniPerm3">#REF!</definedName>
    <definedName name="minorityintyes" hidden="1">#REF!</definedName>
    <definedName name="MISC.NON_RECOV">#REF!</definedName>
    <definedName name="MKT">#REF!</definedName>
    <definedName name="Mkt_Lsd_Rnt_Calcs">#REF!</definedName>
    <definedName name="Mkt_Lsd_Rnt_Data">#REF!</definedName>
    <definedName name="Mkt_Rnt_Data">#REF!</definedName>
    <definedName name="Mkt_Rnt_Formula">#REF!</definedName>
    <definedName name="Mkt_Rnt_Tbl">#REF!</definedName>
    <definedName name="Mkt_Rnt_Unit_Dtl">#REF!</definedName>
    <definedName name="Mkt_Rnt_Unit1">#REF!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KTG2000">#REF!</definedName>
    <definedName name="MKTG2001">#REF!</definedName>
    <definedName name="mktrentyr1">#REF!</definedName>
    <definedName name="mktrentyr10">#REF!</definedName>
    <definedName name="mktrentyr11">#REF!</definedName>
    <definedName name="mktrentyr12">#REF!</definedName>
    <definedName name="mktrentyr2">#REF!</definedName>
    <definedName name="mktrentyr3">#REF!</definedName>
    <definedName name="mktrentyr4">#REF!</definedName>
    <definedName name="mktrentyr5">#REF!</definedName>
    <definedName name="mktrentyr6">#REF!</definedName>
    <definedName name="mktrentyr7">#REF!</definedName>
    <definedName name="mktrentyr8">#REF!</definedName>
    <definedName name="mktrentyr9">#REF!</definedName>
    <definedName name="mm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mm" hidden="1">{"View1",#N/A,FALSE,"Sheet1";"View2",#N/A,FALSE,"Sheet1"}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nths_qtr">#REF!</definedName>
    <definedName name="mnths_quarter">#REF!</definedName>
    <definedName name="mo" hidden="1">{"fis.dbo.r1_datasum"}</definedName>
    <definedName name="mo_CurrMo">#REF!</definedName>
    <definedName name="mo_PriorMo">#REF!</definedName>
    <definedName name="Mo_Rents">#REF!</definedName>
    <definedName name="monda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dayjvcopy" hidden="1">{"View1",#N/A,FALSE,"Sheet1";"View2",#N/A,FALSE,"Sheet1"}</definedName>
    <definedName name="mondaypark" hidden="1">{"View1",#N/A,FALSE,"Sheet1";"View2",#N/A,FALSE,"Sheet1"}</definedName>
    <definedName name="mondaytest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th">#REF!</definedName>
    <definedName name="monthdes">#REF!</definedName>
    <definedName name="Monthly_">#REF!</definedName>
    <definedName name="Monthly_Taxes">#REF!</definedName>
    <definedName name="monthocc">#REF!</definedName>
    <definedName name="monthocc2">#REF!</definedName>
    <definedName name="monthocc3">#REF!</definedName>
    <definedName name="Monthpy">#REF!</definedName>
    <definedName name="Months_Constr">#REF!</definedName>
    <definedName name="Months_Entitle">#REF!</definedName>
    <definedName name="months_qtr">#REF!</definedName>
    <definedName name="months_year">#REF!</definedName>
    <definedName name="MoPymnt2">#REF!</definedName>
    <definedName name="MoPymt">#REF!</definedName>
    <definedName name="MoPymt2">#REF!</definedName>
    <definedName name="MortCalc">#REF!</definedName>
    <definedName name="MortCalc2">#REF!</definedName>
    <definedName name="MortCalc3">#REF!</definedName>
    <definedName name="Mos_Remain">#REF!</definedName>
    <definedName name="MosHeld">#REF!</definedName>
    <definedName name="MosIn1stYr">#REF!</definedName>
    <definedName name="MOVED" hidden="1">{"CHART",#N/A,FALSE,"Arch Communications"}</definedName>
    <definedName name="moved2" hidden="1">{"CHART",#N/A,FALSE,"Arch Communications"}</definedName>
    <definedName name="mps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MRG" hidden="1">{"INCOME",#N/A,FALSE,"ProNet";"VALUE",#N/A,FALSE,"ProNet"}</definedName>
    <definedName name="MRG_old" hidden="1">{"INCOME",#N/A,FALSE,"ProNet";"VALUE",#N/A,FALSE,"ProNet"}</definedName>
    <definedName name="MRG2_old" hidden="1">{"INCOME",#N/A,FALSE,"ProNet";"VALUE",#N/A,FALSE,"ProNet"}</definedName>
    <definedName name="MSforecast" hidden="1">{"'Sheet1'!$A$1:$I$10","'Sheet1'!$A$1:$I$11"}</definedName>
    <definedName name="Mt.Todd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mth">MONTH(#REF!)</definedName>
    <definedName name="mthno">#REF!</definedName>
    <definedName name="MTM">#REF!</definedName>
    <definedName name="Müllabfuhr">#REF!</definedName>
    <definedName name="multcash1" hidden="1">#REF!</definedName>
    <definedName name="multformrow" hidden="1">#REF!</definedName>
    <definedName name="multtable" hidden="1">#REF!</definedName>
    <definedName name="MVAR725">#REF!</definedName>
    <definedName name="MVAR777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n">#REF!</definedName>
    <definedName name="NA" hidden="1">#REF!</definedName>
    <definedName name="NAME">#N/A</definedName>
    <definedName name="name1" localSheetId="2" hidden="1">{"SIMPLIFD_P1",#N/A,FALSE,"SIMPLIFD"}</definedName>
    <definedName name="name1" localSheetId="0" hidden="1">{"SIMPLIFD_P1",#N/A,FALSE,"SIMPLIFD"}</definedName>
    <definedName name="name1" hidden="1">{"SIMPLIFD_P1",#N/A,FALSE,"SIMPLIFD"}</definedName>
    <definedName name="name1_1" hidden="1">{"SIMPLIFD_P1",#N/A,FALSE,"SIMPLIFD"}</definedName>
    <definedName name="name1_2" hidden="1">{"SIMPLIFD_P1",#N/A,FALSE,"SIMPLIFD"}</definedName>
    <definedName name="name1_3" hidden="1">{"SIMPLIFD_P1",#N/A,FALSE,"SIMPLIFD"}</definedName>
    <definedName name="name1_4" hidden="1">{"SIMPLIFD_P1",#N/A,FALSE,"SIMPLIFD"}</definedName>
    <definedName name="name2" hidden="1">{#N/A,#N/A,FALSE,"Assumptions";#N/A,#N/A,FALSE,"Promote Assumptions";#N/A,#N/A,FALSE,"Residual Analysis";#N/A,#N/A,FALSE,"ROC";#N/A,#N/A,FALSE,"Project Costs";#N/A,#N/A,FALSE,"Annual CF";#N/A,#N/A,FALSE,"Stab Proforma"}</definedName>
    <definedName name="Nane2" localSheetId="2" hidden="1">{"TEST1",#N/A,FALSE,"SIMPLIFD"}</definedName>
    <definedName name="Nane2" localSheetId="0" hidden="1">{"TEST1",#N/A,FALSE,"SIMPLIFD"}</definedName>
    <definedName name="Nane2" hidden="1">{"TEST1",#N/A,FALSE,"SIMPLIFD"}</definedName>
    <definedName name="Nane2_1" hidden="1">{"TEST1",#N/A,FALSE,"SIMPLIFD"}</definedName>
    <definedName name="Nane2_2" hidden="1">{"TEST1",#N/A,FALSE,"SIMPLIFD"}</definedName>
    <definedName name="Nane2_3" hidden="1">{"TEST1",#N/A,FALSE,"SIMPLIFD"}</definedName>
    <definedName name="Nane2_4" hidden="1">{"TEST1",#N/A,FALSE,"SIMPLIFD"}</definedName>
    <definedName name="NashEquity">#REF!</definedName>
    <definedName name="National_Sales___Marketing_Fee">#REF!</definedName>
    <definedName name="NAV">#REF!</definedName>
    <definedName name="naveeds" hidden="1">{"CSheet",#N/A,FALSE,"C";"SmCap",#N/A,FALSE,"VAL1";"GulfCoast",#N/A,FALSE,"VAL1";"nav",#N/A,FALSE,"NAV";"Summary",#N/A,FALSE,"NAV"}</definedName>
    <definedName name="nb" hidden="1">#REF!</definedName>
    <definedName name="nbmvcmnb" hidden="1">{#N/A,#N/A,TRUE,"10 Yr Hold";#N/A,#N/A,TRUE,"7 Yr Hold";#N/A,#N/A,TRUE,"5 Yr Hold";#N/A,#N/A,TRUE,"3 Yr Hold"}</definedName>
    <definedName name="nbvn" hidden="1">{#N/A,#N/A,TRUE,"CostSumm";#N/A,#N/A,TRUE,"Land";#N/A,#N/A,TRUE,"Construction";#N/A,#N/A,TRUE,"A&amp;E";#N/A,#N/A,TRUE,"Indirect";#N/A,#N/A,TRUE,"Marketing";#N/A,#N/A,TRUE,"Finance";#N/A,#N/A,TRUE,"Gen and Admin"}</definedName>
    <definedName name="ncas" hidden="1">{"FCB_ALL",#N/A,FALSE,"FCB";"GREY_ALL",#N/A,FALSE,"GREY"}</definedName>
    <definedName name="NCF">#REF!</definedName>
    <definedName name="ncfyr1">#REF!</definedName>
    <definedName name="ncfyr10">#REF!</definedName>
    <definedName name="ncfyr11">#REF!</definedName>
    <definedName name="ncfyr2">#REF!</definedName>
    <definedName name="ncfyr3">#REF!</definedName>
    <definedName name="ncfyr4">#REF!</definedName>
    <definedName name="ncfyr5">#REF!</definedName>
    <definedName name="ncfyr6">#REF!</definedName>
    <definedName name="ncfyr7">#REF!</definedName>
    <definedName name="ncfyr8">#REF!</definedName>
    <definedName name="ncfyr9">#REF!</definedName>
    <definedName name="NCREIF_Region">#REF!</definedName>
    <definedName name="ND">#REF!</definedName>
    <definedName name="net_rent00">#REF!</definedName>
    <definedName name="net_rent01">#REF!</definedName>
    <definedName name="net_rent02">#REF!</definedName>
    <definedName name="net_rent03">#REF!</definedName>
    <definedName name="net_rent04">#REF!</definedName>
    <definedName name="net_rent05">#REF!</definedName>
    <definedName name="net_rent06">#REF!</definedName>
    <definedName name="net_rent07">#REF!</definedName>
    <definedName name="net_rent97">#REF!</definedName>
    <definedName name="net_rent98">#REF!</definedName>
    <definedName name="net_rent99">#REF!</definedName>
    <definedName name="Net.Asset.Value">#REF!</definedName>
    <definedName name="netdebt1">#REF!</definedName>
    <definedName name="NETLAND">#REF!</definedName>
    <definedName name="NEToperatingINCOME">#REF!</definedName>
    <definedName name="NetReversion">#REF!</definedName>
    <definedName name="NetSaleProceeds">#REF!</definedName>
    <definedName name="NetSalesProceeds">#REF!</definedName>
    <definedName name="netsf">#REF!</definedName>
    <definedName name="new" hidden="1">{"Spread Dollars",#N/A,FALSE,"Budget";"Spread Ratios",#N/A,FALSE,"Budget";"Target Comparison",#N/A,FALSE,"Summary"}</definedName>
    <definedName name="NEW_1" hidden="1">#REF!</definedName>
    <definedName name="New_Equity">#REF!</definedName>
    <definedName name="new_order1" hidden="1">255</definedName>
    <definedName name="New_Parking_Stalls" localSheetId="2">#REF!</definedName>
    <definedName name="New_Parking_Stalls" localSheetId="0">#REF!</definedName>
    <definedName name="New_Parking_Stalls">#REF!</definedName>
    <definedName name="New_Taxes">#REF!</definedName>
    <definedName name="Newcap" hidden="1">{"'2ND_QUAR'!$A$1:$P$106"}</definedName>
    <definedName name="newdebt" hidden="1">{"Spread Dollars",#N/A,FALSE,"Budget";"Spread Ratios",#N/A,FALSE,"Budget";"Target Comparison",#N/A,FALSE,"Summary"}</definedName>
    <definedName name="newer" hidden="1">#REF!</definedName>
    <definedName name="newhtml" hidden="1">{"'Assump'!$F$6:$J$6"}</definedName>
    <definedName name="newname" hidden="1">{"Financials",#N/A,FALSE,"Financials";"AVP",#N/A,FALSE,"AVP";"DCF",#N/A,FALSE,"DCF";"CSC",#N/A,FALSE,"CSC";"Deal_Comp",#N/A,FALSE,"DealComp"}</definedName>
    <definedName name="newrange" hidden="1">{"Annual Cash Flows",#N/A,FALSE,"Annual Summary"}</definedName>
    <definedName name="nhjythh" hidden="1">{"DCF","UPSIDE CASE",FALSE,"Sheet1";"DCF","BASE CASE",FALSE,"Sheet1";"DCF","DOWNSIDE CASE",FALSE,"Sheet1"}</definedName>
    <definedName name="Niederschlagswasser">#REF!</definedName>
    <definedName name="Night">#REF!</definedName>
    <definedName name="NISSAN">#REF!</definedName>
    <definedName name="NJ" hidden="1">{#N/A,#N/A,FALSE}</definedName>
    <definedName name="NLTradingChart" localSheetId="0">Word</definedName>
    <definedName name="NLTradingChart">Word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" hidden="1">{#N/A,#N/A,FALSE,"CCC Variance";#N/A,#N/A,FALSE,"CCC Notes"}</definedName>
    <definedName name="NNN_MarketRent">#REF!</definedName>
    <definedName name="nnnn" hidden="1">{#N/A,#N/A,FALSE,"A";#N/A,#N/A,FALSE,"C"}</definedName>
    <definedName name="nnnnnnn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nnnnnnnnnnnnnnnnnnn" hidden="1">{"LIBOR",#N/A,TRUE,"Model";"Caps",#N/A,TRUE,"Model";"Assets",#N/A,TRUE,"Model";"Liabilities",#N/A,TRUE,"Model";"Tests",#N/A,TRUE,"Model";"Results",#N/A,TRUE,"Model"}</definedName>
    <definedName name="No_SF">#REF!</definedName>
    <definedName name="No_Units">#REF!</definedName>
    <definedName name="NOI">#REF!</definedName>
    <definedName name="noi_table">#REF!</definedName>
    <definedName name="noicf">#REF!</definedName>
    <definedName name="noijni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noiyr1">#REF!</definedName>
    <definedName name="noiyr10">#REF!</definedName>
    <definedName name="noiyr11">#REF!</definedName>
    <definedName name="noiyr2">#REF!</definedName>
    <definedName name="noiyr3">#REF!</definedName>
    <definedName name="noiyr4">#REF!</definedName>
    <definedName name="noiyr5">#REF!</definedName>
    <definedName name="noiyr6">#REF!</definedName>
    <definedName name="noiyr7">#REF!</definedName>
    <definedName name="noiyr8">#REF!</definedName>
    <definedName name="noiyr9">#REF!</definedName>
    <definedName name="notdoug" hidden="1">{#N/A,#N/A,FALSE,"Consolidated";#N/A,#N/A,FALSE,"Available Credit";#N/A,#N/A,FALSE,"100% Owned";#N/A,#N/A,FALSE,"Bentall U.S. LLC";#N/A,#N/A,FALSE,"Bentall Properties (U.S.) Ltd.";#N/A,#N/A,FALSE,"Schedule I"}</definedName>
    <definedName name="Nov.">#REF!</definedName>
    <definedName name="Now" hidden="1">{"Assumptions",#N/A,TRUE,"Returns";"Tables",#N/A,TRUE,"Returns"}</definedName>
    <definedName name="nowe" hidden="1">{#N/A,#N/A,TRUE,"Krycí list"}</definedName>
    <definedName name="NRA">#REF!</definedName>
    <definedName name="nrAcqFeeBasis">#REF!</definedName>
    <definedName name="nrAMFeeCalcMethod">#REF!</definedName>
    <definedName name="nrAnalysisStartDate">#REF!</definedName>
    <definedName name="nrAssetName">#REF!</definedName>
    <definedName name="nrCBREMetroDataRange">#REF!</definedName>
    <definedName name="nrCBRESubMarketDataRange">#REF!</definedName>
    <definedName name="nrCFCapitalAdjustment">#REF!</definedName>
    <definedName name="nrCityName">#REF!</definedName>
    <definedName name="nrClientList">#REF!</definedName>
    <definedName name="nrClientRange">#REF!</definedName>
    <definedName name="nrContDistAdjustment">#REF!</definedName>
    <definedName name="nrDispFeeCalcMethod">#REF!</definedName>
    <definedName name="nrDistributionSequence">#REF!</definedName>
    <definedName name="nrEquityTiming">#REF!</definedName>
    <definedName name="nrFinancingCostSwitch">#REF!</definedName>
    <definedName name="nrFundName">#REF!</definedName>
    <definedName name="nrInflationRate">#REF!</definedName>
    <definedName name="nrInputDebtLookupRange">#REF!</definedName>
    <definedName name="nrInputDebtOptions">#REF!</definedName>
    <definedName name="nrInputReturns">#REF!</definedName>
    <definedName name="nrIRRYear">#REF!</definedName>
    <definedName name="nrKeyNumberReturnsRange">#REF!</definedName>
    <definedName name="nrKeyNumberReturnType1">#REF!</definedName>
    <definedName name="nrKeyNumberReturnType2">#REF!</definedName>
    <definedName name="nrKeyNumberYearRange">#REF!</definedName>
    <definedName name="nrMaxPerformanceFee">#REF!</definedName>
    <definedName name="nrMinPerformanceFee">#REF!</definedName>
    <definedName name="nrMonthRange">#REF!</definedName>
    <definedName name="nrPerformanceFeeTiming">#REF!</definedName>
    <definedName name="nrPkgReturnsRange">#REF!</definedName>
    <definedName name="nrPkgReturnsYearRange">#REF!</definedName>
    <definedName name="nrProjectionStartDate">#REF!</definedName>
    <definedName name="nrPurchasePrice">#REF!</definedName>
    <definedName name="nrQuarterRange">#REF!</definedName>
    <definedName name="nrRebuyCalcRange">#REF!</definedName>
    <definedName name="nrReturnsRange">#REF!</definedName>
    <definedName name="nrStabilizedYear">#REF!</definedName>
    <definedName name="nrState">#REF!</definedName>
    <definedName name="nrTotalArea">#REF!</definedName>
    <definedName name="nrYearRange">#REF!</definedName>
    <definedName name="nrYears10">#REF!</definedName>
    <definedName name="nrYears14">#REF!</definedName>
    <definedName name="NSP">#REF!</definedName>
    <definedName name="NTA00">#REF!</definedName>
    <definedName name="Num_Pmt_Per_Year">#REF!</definedName>
    <definedName name="Number_of_Payments">MATCH(0.01,End_Bal,-1)+1</definedName>
    <definedName name="number_range">#REF!</definedName>
    <definedName name="number_range2">#REF!</definedName>
    <definedName name="numberINTonlyPAYMENTS">#REF!</definedName>
    <definedName name="NvsASD">"V2001-12-31"</definedName>
    <definedName name="NvsAutoDrillOk">"VN"</definedName>
    <definedName name="NvsElapsedTime">0.00043518518214114</definedName>
    <definedName name="NvsEndTime">37546.5793412037</definedName>
    <definedName name="NvsInstanceHook">"ColumnFormat"</definedName>
    <definedName name="NvsInstSpec">"%,FBUSINESS_UNIT,VAUBLP"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"%,X,RPF..,CZF.."</definedName>
    <definedName name="NvsPanelEffdt">"V2020-12-31"</definedName>
    <definedName name="NvsPanelSetid">"VCPSTD"</definedName>
    <definedName name="NvsReqBU">"VAUBLP"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NvsValTbl.AFFILIATE">"AFFILIATE_VW"</definedName>
    <definedName name="NvsValTbl.BUSINESS_UNIT">"BUS_UNIT_TBL_GL"</definedName>
    <definedName name="NvsValTbl.DEPTID">"DEPARTMENT_TBL"</definedName>
    <definedName name="NvsValTbl.PRODUCT">"PRODUCT_TBL"</definedName>
    <definedName name="NvsValTbl.PROJECT_ID">"PROJECT"</definedName>
    <definedName name="NW" hidden="1">#REF!</definedName>
    <definedName name="O">#REF!</definedName>
    <definedName name="occ_2005">#REF!</definedName>
    <definedName name="Occ_Units">#REF!</definedName>
    <definedName name="OCCNRA">#REF!</definedName>
    <definedName name="Occup">#REF!</definedName>
    <definedName name="OCCUPANCY">#REF!</definedName>
    <definedName name="OCCUPIED">#REF!</definedName>
    <definedName name="OCP">#REF!</definedName>
    <definedName name="oct02b" hidden="1">{#N/A,#N/A,FALSE,"Class A";#N/A,#N/A,FALSE,"Class B";#N/A,#N/A,FALSE,"Class C"}</definedName>
    <definedName name="oen" hidden="1">{"Ops_S.Holders Assets and Income",#N/A,FALSE,"ops_shf"}</definedName>
    <definedName name="OER">#REF!</definedName>
    <definedName name="OfferPrice">#REF!</definedName>
    <definedName name="office1" hidden="1">{#N/A,#N/A,FALSE,"Cashflow Analysis";#N/A,#N/A,FALSE,"Sensitivity Analysis";#N/A,#N/A,FALSE,"PV";#N/A,#N/A,FALSE,"Pro Forma"}</definedName>
    <definedName name="ogmkcjr" hidden="1">{#N/A,#N/A,FALSE,"Chart 2 by Prop Type"}</definedName>
    <definedName name="oipp" hidden="1">{#N/A,#N/A,FALSE,"Chart 2 by Prop Type"}</definedName>
    <definedName name="oiwea" hidden="1">{"FCB_ALL",#N/A,FALSE,"FCB";"GREY_ALL",#N/A,FALSE,"GREY"}</definedName>
    <definedName name="ok" hidden="1">{"Page1",#N/A,TRUE,"Sheet1";"Page2",#N/A,TRUE,"Sheet1";"Page3",#N/A,TRUE,"Sheet1"}</definedName>
    <definedName name="OKAY" hidden="1">#REF!</definedName>
    <definedName name="okp" hidden="1">{#N/A,#N/A,FALSE,"Chart 2 by Prop Type"}</definedName>
    <definedName name="Okt.">#REF!</definedName>
    <definedName name="ol" hidden="1">{#N/A,#N/A,FALSE,"Chart 2 by Prop Type"}</definedName>
    <definedName name="old">#REF!</definedName>
    <definedName name="oldhtl" hidden="1">{"'Assump'!$F$6:$J$6"}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table" hidden="1">#REF!</definedName>
    <definedName name="oldtable1" hidden="1">#REF!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Pager_Mobile" hidden="1">{#N/A,#N/A,FALSE,"Loan Summary";#N/A,#N/A,FALSE,"NOI";"RR and Expir",#N/A,FALSE,"Rental";"Sales History",#N/A,FALSE,"Rental";#N/A,#N/A,FALSE,"Reserves"}</definedName>
    <definedName name="oo" hidden="1">#REF!</definedName>
    <definedName name="ooooooooo" hidden="1">{"SITQ view of BCLP 4 months income statement",#N/A,TRUE,"BCLP 4 MO IS";#N/A,#N/A,TRUE,"Comparison to March Fcst";#N/A,#N/A,TRUE,"BCLP Forecast";"Mgnt view of BCLP 4 month income statement",#N/A,TRUE,"BCLP 4 MO IS";#N/A,#N/A,TRUE,"Closing Adjustments";#N/A,#N/A,TRUE,"Accounting entry"}</definedName>
    <definedName name="OpDeficit">#REF!</definedName>
    <definedName name="OpenDate">#REF!</definedName>
    <definedName name="opendbs" hidden="1">{"fis.dbo.r1_datasum"}</definedName>
    <definedName name="opendbs1" hidden="1">{"fis.dbo.r1_datasum"}</definedName>
    <definedName name="Operating2" hidden="1">#REF!</definedName>
    <definedName name="OPERBGT">#REF!</definedName>
    <definedName name="OPERBGT1">#REF!</definedName>
    <definedName name="OPERBGT2">#REF!</definedName>
    <definedName name="OPERBGT3">#REF!</definedName>
    <definedName name="OPERBGTSUM">#REF!</definedName>
    <definedName name="OPsData">#REF!</definedName>
    <definedName name="opsyr1">#REF!</definedName>
    <definedName name="opsyr10">#REF!</definedName>
    <definedName name="opsyr11">#REF!</definedName>
    <definedName name="opsyr2">#REF!</definedName>
    <definedName name="opsyr3">#REF!</definedName>
    <definedName name="opsyr4">#REF!</definedName>
    <definedName name="opsyr5">#REF!</definedName>
    <definedName name="opsyr6">#REF!</definedName>
    <definedName name="opsyr7">#REF!</definedName>
    <definedName name="opsyr8">#REF!</definedName>
    <definedName name="opsyr9">#REF!</definedName>
    <definedName name="Option_dates">#REF!</definedName>
    <definedName name="ORDER" hidden="1">0</definedName>
    <definedName name="Order2" hidden="1">255</definedName>
    <definedName name="OrderTable" hidden="1">#REF!</definedName>
    <definedName name="Origination_Fee">#REF!</definedName>
    <definedName name="Orix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Orrick">#REF!</definedName>
    <definedName name="OrrickR">#REF!</definedName>
    <definedName name="OrrickU">#REF!</definedName>
    <definedName name="Other_Co_finhigh_pg4">#REF!</definedName>
    <definedName name="Other_Income_Growth">#REF!</definedName>
    <definedName name="other.income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other.whatever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output" hidden="1">{#N/A,#N/A,FALSE,"Matrix";#N/A,#N/A,FALSE,"Cash Flow";#N/A,#N/A,FALSE,"10 Year Cost Analysis"}</definedName>
    <definedName name="owl">#REF!</definedName>
    <definedName name="OwnerEntity">#REF!</definedName>
    <definedName name="OwnerPriority">#REF!</definedName>
    <definedName name="ownership">#REF!</definedName>
    <definedName name="P">#REF!</definedName>
    <definedName name="p.Covenants" hidden="1">#REF!</definedName>
    <definedName name="p.Covenants_Titles" hidden="1">#REF!</definedName>
    <definedName name="p.CreditStat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fssdkp" hidden="1">#REF!</definedName>
    <definedName name="page1">#REF!</definedName>
    <definedName name="Page2">#REF!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ram_CumRent" hidden="1">#REF!</definedName>
    <definedName name="Param_CurrentDat" hidden="1">#REF!</definedName>
    <definedName name="Param_CurrentDate" hidden="1">#REF!</definedName>
    <definedName name="Param_DRCredit" hidden="1">#REF!</definedName>
    <definedName name="Param_DRNonCredit" hidden="1">#REF!</definedName>
    <definedName name="Param_IncludeCPI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K_STATS">#REF!</definedName>
    <definedName name="PARK_VAR">#REF!</definedName>
    <definedName name="parkavecopy" hidden="1">{"View1",#N/A,FALSE,"Sheet1";"View2",#N/A,FALSE,"Sheet1"}</definedName>
    <definedName name="park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ing">#REF!</definedName>
    <definedName name="Parking_NOI">#REF!</definedName>
    <definedName name="parking2">#REF!</definedName>
    <definedName name="ParkingSpaces">#REF!</definedName>
    <definedName name="parkjv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test" hidden="1">{"View1",#N/A,FALSE,"Sheet1";"View2",#N/A,FALSE,"Sheet1"}</definedName>
    <definedName name="parktest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TEQUITY">#REF!</definedName>
    <definedName name="PARTEQUITYA">#REF!</definedName>
    <definedName name="partnertier1">#REF!</definedName>
    <definedName name="partnertier2">#REF!</definedName>
    <definedName name="partnertier3">#REF!</definedName>
    <definedName name="partnertier4">#REF!</definedName>
    <definedName name="Pasterange">#REF!</definedName>
    <definedName name="Pay_Num">#REF!</definedName>
    <definedName name="Payment_Date">DATE(YEAR(Loan_Start),MONTH(Loan_Start)+Payment_Number,DAY(Loan_Start))</definedName>
    <definedName name="Payment_Number">ROW()-[0]!Header_Row</definedName>
    <definedName name="Payments_per_year">#REF!</definedName>
    <definedName name="PCap" hidden="1">#REF!</definedName>
    <definedName name="PCM">#REF!</definedName>
    <definedName name="pct_mkt">#REF!</definedName>
    <definedName name="pen" hidden="1">{"Logo",#N/A,FALSE,"Logo";"Exchange",#N/A,FALSE,"Logo";#N/A,#N/A,FALSE,"overview"}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ercentageRent">#REF!</definedName>
    <definedName name="Period">#REF!</definedName>
    <definedName name="Period_Size">#REF!</definedName>
    <definedName name="PeriodArray">#REF!</definedName>
    <definedName name="Perm_Beg">#REF!</definedName>
    <definedName name="Perm_Equity">#REF!</definedName>
    <definedName name="Perm_IR">#REF!</definedName>
    <definedName name="Perm_Loan">#REF!</definedName>
    <definedName name="Perm_LoanAvailable">#REF!</definedName>
    <definedName name="Perm_TermYrs">#REF!</definedName>
    <definedName name="PERS2000">#REF!</definedName>
    <definedName name="PERS2001">#REF!</definedName>
    <definedName name="petersen">#REF!</definedName>
    <definedName name="PeterTEST" hidden="1">{#N/A,#N/A,TRUE,"Acq-Ass";#N/A,#N/A,TRUE,"Acq-IS";#N/A,#N/A,TRUE,"Acq-BS";#N/A,#N/A,TRUE,"Acq-CF"}</definedName>
    <definedName name="PEXPBGT">#REF!</definedName>
    <definedName name="PHUNT">#REF!</definedName>
    <definedName name="Pie" hidden="1">{"Financials",#N/A,FALSE,"Financials";"AVP",#N/A,FALSE,"AVP";"DCF",#N/A,FALSE,"DCF";"CSC",#N/A,FALSE,"CSC";"Deal_Comp",#N/A,FALSE,"DealComp"}</definedName>
    <definedName name="pier90" hidden="1">{"excavation",#N/A,FALSE,"DETAIL.XLS"}</definedName>
    <definedName name="pii" hidden="1">#REF!</definedName>
    <definedName name="pijm" hidden="1">{"lot inventory",#N/A,FALSE,"Lot List"}</definedName>
    <definedName name="pio" hidden="1">#REF!</definedName>
    <definedName name="PIRR">#REF!</definedName>
    <definedName name="Pitchbook" hidden="1">{#N/A,#N/A,TRUE,"Sheet16"}</definedName>
    <definedName name="pj" hidden="1">{"INCOME",#N/A,FALSE,"ProNet";"VALUE",#N/A,FALSE,"ProNet"}</definedName>
    <definedName name="PJAM3Yr" hidden="1">{"INCOME",#N/A,FALSE,"ProNet";"VALUE",#N/A,FALSE,"ProNet"}</definedName>
    <definedName name="PJAM3Yr_old" hidden="1">{"INCOME",#N/A,FALSE,"ProNet";"VALUE",#N/A,FALSE,"ProNet"}</definedName>
    <definedName name="pjam3yr2" hidden="1">{"INCOME",#N/A,FALSE,"ProNet";"VALUE",#N/A,FALSE,"ProNet"}</definedName>
    <definedName name="PJDATA">#REF!</definedName>
    <definedName name="pky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l" hidden="1">#REF!</definedName>
    <definedName name="Platform">#REF!</definedName>
    <definedName name="platforma" hidden="1">{#N/A,#N/A,TRUE,"Ericsson Stadium PCD ";#N/A,#N/A,TRUE,"Ericsson Stadium IOR"}</definedName>
    <definedName name="please" hidden="1">{"Assumptions",#N/A,TRUE,"Returns";"Tables",#N/A,TRUE,"Returns"}</definedName>
    <definedName name="pm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MACRO">#REF!</definedName>
    <definedName name="pmf">#REF!</definedName>
    <definedName name="Pmt_to_use">#REF!</definedName>
    <definedName name="pn" hidden="1">#REF!</definedName>
    <definedName name="POPERBGT">#REF!</definedName>
    <definedName name="Port_fill" hidden="1">#REF!</definedName>
    <definedName name="Port_Fill2" hidden="1">#REF!</definedName>
    <definedName name="Portfolio" hidden="1">#REF!</definedName>
    <definedName name="Portfolio_NRA">#REF!</definedName>
    <definedName name="pou" hidden="1">#REF!</definedName>
    <definedName name="Power_Plant_Name">"Ilijan, Phillipines (1200 MW)"</definedName>
    <definedName name="PPACKAGE">#REF!</definedName>
    <definedName name="ppdins" hidden="1">#REF!</definedName>
    <definedName name="PPT" hidden="1">{#N/A,#N/A,FALSE,"Chart 2 by Prop Type"}</definedName>
    <definedName name="Pref">#REF!</definedName>
    <definedName name="PREFCFDIST">#REF!</definedName>
    <definedName name="PREFEQUITY">#REF!</definedName>
    <definedName name="PREFEQUITYA">#REF!</definedName>
    <definedName name="Preferred">#REF!</definedName>
    <definedName name="PREFRETURN">#REF!</definedName>
    <definedName name="prefyes" hidden="1">#REF!</definedName>
    <definedName name="preopen">#REF!</definedName>
    <definedName name="previous">#REF!</definedName>
    <definedName name="Price" hidden="1">{"AnnualRentRoll",#N/A,FALSE,"RentRoll"}</definedName>
    <definedName name="pricebook_col" hidden="1">#REF!</definedName>
    <definedName name="priceearnings_col" hidden="1">#REF!</definedName>
    <definedName name="PricePSF">#REF!</definedName>
    <definedName name="PrimaryComp" hidden="1">{"Primarily Competition",#N/A,FALSE,"Comp.&amp; Market Penet."}</definedName>
    <definedName name="Princ">#REF!</definedName>
    <definedName name="PRINCIPAL">#REF!</definedName>
    <definedName name="PRINT">#REF!,#REF!,#REF!</definedName>
    <definedName name="_xlnm.Print_Area">#REF!</definedName>
    <definedName name="Print_Area_MI">#REF!</definedName>
    <definedName name="Print_Area_Reset">OFFSET(Full_Print,0,0,Last_Row)</definedName>
    <definedName name="_xlnm.Print_Titles">#N/A</definedName>
    <definedName name="Print_Titles_MI">#REF!</definedName>
    <definedName name="PRINT1">#REF!</definedName>
    <definedName name="PRINT2">#REF!</definedName>
    <definedName name="printarea">#REF!</definedName>
    <definedName name="PRINTBUDGET">#REF!</definedName>
    <definedName name="PrintManagerQuery">#REF!</definedName>
    <definedName name="PRINTPROFORMA">#REF!</definedName>
    <definedName name="PRINTPROJCOSTS">#REF!</definedName>
    <definedName name="PrintProjection">#REF!</definedName>
    <definedName name="PRINTRENTUP">#REF!</definedName>
    <definedName name="PrintSelectedSheetsMacroButton">#REF!</definedName>
    <definedName name="PRINTSUMMARY">#REF!</definedName>
    <definedName name="PriorYr">#REF!</definedName>
    <definedName name="Private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prmote">#REF!</definedName>
    <definedName name="Prn_Assump_10Yr">#REF!,#REF!</definedName>
    <definedName name="Prn_Assump_Static">#REF!,#REF!</definedName>
    <definedName name="Prn_Op_Stmnt_Dtl">#REF!,#REF!</definedName>
    <definedName name="Prn_Rent_Roll">#REF!</definedName>
    <definedName name="prntall" hidden="1">{#N/A,#N/A,FALSE,"Land";#N/A,#N/A,FALSE,"Cost Analysis";"Summary",#N/A,FALSE,"Equipment"}</definedName>
    <definedName name="problem" hidden="1">{"View1",#N/A,FALSE,"Sheet1";"View2",#N/A,FALSE,"Sheet1"}</definedName>
    <definedName name="ProdForm" hidden="1">#REF!</definedName>
    <definedName name="Product" hidden="1">#REF!</definedName>
    <definedName name="Profit" hidden="1">#REF!</definedName>
    <definedName name="proformrow" hidden="1">#REF!</definedName>
    <definedName name="Proj_Size">#REF!</definedName>
    <definedName name="projdepamort" hidden="1">#REF!</definedName>
    <definedName name="PROJECT">#REF!</definedName>
    <definedName name="Project_Address">#REF!</definedName>
    <definedName name="Project_CashFlow">#REF!</definedName>
    <definedName name="Project_City">#REF!</definedName>
    <definedName name="Project_Descr">#REF!</definedName>
    <definedName name="Project_Description">#REF!</definedName>
    <definedName name="Project_Name">#REF!</definedName>
    <definedName name="Project_Name_1">#REF!</definedName>
    <definedName name="Project_State">#REF!</definedName>
    <definedName name="Project_StName">#REF!</definedName>
    <definedName name="Project_StNo_1">#REF!</definedName>
    <definedName name="Project_StNo_2">#REF!</definedName>
    <definedName name="Project_ZipCode">#REF!</definedName>
    <definedName name="PROJECTION">#REF!</definedName>
    <definedName name="ProjectName">{"Client Name or Project Name"}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M">#REF!</definedName>
    <definedName name="PROM2">#REF!</definedName>
    <definedName name="PROMOTE">#REF!</definedName>
    <definedName name="promote1">#REF!</definedName>
    <definedName name="promte" hidden="1">{"Assumptions",#N/A,FALSE,"Assumptions"}</definedName>
    <definedName name="Prop">#REF!</definedName>
    <definedName name="Prop_13">#REF!</definedName>
    <definedName name="Prop_Acq_Cost">#REF!</definedName>
    <definedName name="Property_Description">#REF!</definedName>
    <definedName name="property_name">#REF!</definedName>
    <definedName name="PropertyName">#REF!</definedName>
    <definedName name="propertytable">#REF!</definedName>
    <definedName name="propname">#REF!</definedName>
    <definedName name="proptable">#REF!</definedName>
    <definedName name="PropTax">#REF!</definedName>
    <definedName name="PropTypes">#REF!</definedName>
    <definedName name="proxy1" localSheetId="2" hidden="1">{"Full Sheet",#N/A,FALSE,"Expense Comparison"}</definedName>
    <definedName name="proxy1" localSheetId="0" hidden="1">{"Full Sheet",#N/A,FALSE,"Expense Comparison"}</definedName>
    <definedName name="proxy1" hidden="1">{"Full Sheet",#N/A,FALSE,"Expense Comparison"}</definedName>
    <definedName name="proxy1_1" hidden="1">{"Full Sheet",#N/A,FALSE,"Expense Comparison"}</definedName>
    <definedName name="proxy1_2" hidden="1">{"Full Sheet",#N/A,FALSE,"Expense Comparison"}</definedName>
    <definedName name="proxy1_3" hidden="1">{"Full Sheet",#N/A,FALSE,"Expense Comparison"}</definedName>
    <definedName name="proxy1_4" hidden="1">{"Full Sheet",#N/A,FALSE,"Expense Comparison"}</definedName>
    <definedName name="proxy2" localSheetId="2" hidden="1">{#N/A,#N/A,FALSE,"Expense Comparison"}</definedName>
    <definedName name="proxy2" localSheetId="0" hidden="1">{#N/A,#N/A,FALSE,"Expense Comparison"}</definedName>
    <definedName name="proxy2" hidden="1">{#N/A,#N/A,FALSE,"Expense Comparison"}</definedName>
    <definedName name="proxy2_1" hidden="1">{#N/A,#N/A,FALSE,"Expense Comparison"}</definedName>
    <definedName name="proxy2_2" hidden="1">{#N/A,#N/A,FALSE,"Expense Comparison"}</definedName>
    <definedName name="proxy2_3" hidden="1">{#N/A,#N/A,FALSE,"Expense Comparison"}</definedName>
    <definedName name="proxy2_4" hidden="1">{#N/A,#N/A,FALSE,"Expense Comparison"}</definedName>
    <definedName name="proxy3" localSheetId="2" hidden="1">{"Full Sheet",#N/A,FALSE,"Expense Comparison"}</definedName>
    <definedName name="proxy3" localSheetId="0" hidden="1">{"Full Sheet",#N/A,FALSE,"Expense Comparison"}</definedName>
    <definedName name="proxy3" hidden="1">{"Full Sheet",#N/A,FALSE,"Expense Comparison"}</definedName>
    <definedName name="proxy3_1" hidden="1">{"Full Sheet",#N/A,FALSE,"Expense Comparison"}</definedName>
    <definedName name="proxy3_2" hidden="1">{"Full Sheet",#N/A,FALSE,"Expense Comparison"}</definedName>
    <definedName name="proxy3_3" hidden="1">{"Full Sheet",#N/A,FALSE,"Expense Comparison"}</definedName>
    <definedName name="proxy3_4" hidden="1">{"Full Sheet",#N/A,FALSE,"Expense Comparison"}</definedName>
    <definedName name="proxy4" localSheetId="2" hidden="1">{#N/A,#N/A,FALSE,"Expense Comparison"}</definedName>
    <definedName name="proxy4" localSheetId="0" hidden="1">{#N/A,#N/A,FALSE,"Expense Comparison"}</definedName>
    <definedName name="proxy4" hidden="1">{#N/A,#N/A,FALSE,"Expense Comparison"}</definedName>
    <definedName name="proxy4_1" hidden="1">{#N/A,#N/A,FALSE,"Expense Comparison"}</definedName>
    <definedName name="proxy4_2" hidden="1">{#N/A,#N/A,FALSE,"Expense Comparison"}</definedName>
    <definedName name="proxy4_3" hidden="1">{#N/A,#N/A,FALSE,"Expense Comparison"}</definedName>
    <definedName name="proxy4_4" hidden="1">{#N/A,#N/A,FALSE,"Expense Comparison"}</definedName>
    <definedName name="PSALARYDET">#REF!</definedName>
    <definedName name="PSUMMARIES">#REF!</definedName>
    <definedName name="PUB_FileID" hidden="1">"L10004431.xls"</definedName>
    <definedName name="PUB_UserID" hidden="1">"MAYERX"</definedName>
    <definedName name="Purch_Price">#REF!</definedName>
    <definedName name="Purchase_Date">#REF!</definedName>
    <definedName name="PURCHASE_PRICE">#REF!</definedName>
    <definedName name="Purchaser_costs">#REF!</definedName>
    <definedName name="PYADM">#REF!</definedName>
    <definedName name="PYCON">#REF!</definedName>
    <definedName name="PYMKTG">#REF!</definedName>
    <definedName name="PYMR">#REF!</definedName>
    <definedName name="PYPERS">#REF!</definedName>
    <definedName name="PYRM">#REF!</definedName>
    <definedName name="PYUTIL">#REF!</definedName>
    <definedName name="q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Q3ADM">#REF!</definedName>
    <definedName name="Q3CON">#REF!</definedName>
    <definedName name="Q3GASMASTER">#REF!</definedName>
    <definedName name="Q3GASRUB">#REF!</definedName>
    <definedName name="Q3GASVACANT">#REF!</definedName>
    <definedName name="Q3GREV">#REF!</definedName>
    <definedName name="Q3GROSSREV">#REF!</definedName>
    <definedName name="Q3MKTG">#REF!</definedName>
    <definedName name="Q3MR">#REF!</definedName>
    <definedName name="Q3OPEXPENSE">#REF!</definedName>
    <definedName name="Q3PERS">#REF!</definedName>
    <definedName name="Q3RM">#REF!</definedName>
    <definedName name="Q3SEWERMASTER">#REF!</definedName>
    <definedName name="Q3TRASHMASTER">#REF!</definedName>
    <definedName name="Q3TRRUB\">#REF!</definedName>
    <definedName name="Q3UTIL">#REF!</definedName>
    <definedName name="Q3WATERMASTER">#REF!</definedName>
    <definedName name="Q3WATERVACANT">#REF!</definedName>
    <definedName name="Q3WATRUB">#REF!</definedName>
    <definedName name="qa" hidden="1">{#N/A,#N/A,FALSE,"Chart 2 by Prop Type"}</definedName>
    <definedName name="QEWQEW" hidden="1">{#N/A,#N/A,FALSE,"1995 Rev &amp; Exp"}</definedName>
    <definedName name="qewrga" hidden="1">#REF!</definedName>
    <definedName name="QLGC" hidden="1">{"CHART",#N/A,FALSE,"Arch Communications"}</definedName>
    <definedName name="qq" localSheetId="2" hidden="1">{"SIMPLIFD_P1",#N/A,FALSE,"SIMPLIFD"}</definedName>
    <definedName name="qq" localSheetId="0" hidden="1">{"SIMPLIFD_P1",#N/A,FALSE,"SIMPLIFD"}</definedName>
    <definedName name="qq" hidden="1">{"SIMPLIFD_P1",#N/A,FALSE,"SIMPLIFD"}</definedName>
    <definedName name="qq_1" hidden="1">{"SIMPLIFD_P1",#N/A,FALSE,"SIMPLIFD"}</definedName>
    <definedName name="qq_2" hidden="1">{"SIMPLIFD_P1",#N/A,FALSE,"SIMPLIFD"}</definedName>
    <definedName name="qq_3" hidden="1">{"SIMPLIFD_P1",#N/A,FALSE,"SIMPLIFD"}</definedName>
    <definedName name="qq_4" hidden="1">{"SIMPLIFD_P1",#N/A,FALSE,"SIMPLIFD"}</definedName>
    <definedName name="qqq" localSheetId="2" hidden="1">{"TEST1",#N/A,FALSE,"SIMPLIFD"}</definedName>
    <definedName name="qqq" localSheetId="0" hidden="1">{"TEST1",#N/A,FALSE,"SIMPLIFD"}</definedName>
    <definedName name="qqq" hidden="1">{"TEST1",#N/A,FALSE,"SIMPLIFD"}</definedName>
    <definedName name="qqq_1" hidden="1">{"TEST1",#N/A,FALSE,"SIMPLIFD"}</definedName>
    <definedName name="qqq_2" hidden="1">{"TEST1",#N/A,FALSE,"SIMPLIFD"}</definedName>
    <definedName name="qqq_3" hidden="1">{"TEST1",#N/A,FALSE,"SIMPLIFD"}</definedName>
    <definedName name="qqq_4" hidden="1">{"TEST1",#N/A,FALSE,"SIMPLIFD"}</definedName>
    <definedName name="qqqq" hidden="1">{#N/A,#N/A,FALSE,"Chart 2 by Prop Type"}</definedName>
    <definedName name="qqqqq" hidden="1">#REF!</definedName>
    <definedName name="qqqqqqqqqqq" hidden="1">{#N/A,#N/A,FALSE,"Title";#N/A,#N/A,FALSE,"Summary";#N/A,#N/A,FALSE,"Tower V";#N/A,#N/A,FALSE,"Steeles Phase I";#N/A,#N/A,FALSE,"IBM - Bldg A";#N/A,#N/A,FALSE,"IBM - Bldg B";#N/A,#N/A,FALSE,"YVR Lands";#N/A,#N/A,FALSE,"Delf Project";#N/A,#N/A,FALSE,"Maycrest";#N/A,#N/A,FALSE,"Guildford Bldg 1";#N/A,#N/A,FALSE,"Guildford Bldg 2";#N/A,#N/A,FALSE,"Guildford Bldg 3";#N/A,#N/A,FALSE,"Summit Ridge";#N/A,#N/A,FALSE,"Millennium G";#N/A,#N/A,FALSE,"Virginia Phase I (CB)";#N/A,#N/A,FALSE,"Ballard";#N/A,#N/A,FALSE,"Westlake"}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DQS" hidden="1">#REF!</definedName>
    <definedName name="qselReportLeasingByBuilding">#REF!</definedName>
    <definedName name="QTR">#REF!</definedName>
    <definedName name="qtrs_year">#REF!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w" hidden="1">{#N/A,#N/A,FALSE,"Chart 2 by Prop Type"}</definedName>
    <definedName name="QWE" hidden="1">{#N/A,#N/A,FALSE,"APPRAISAL";#N/A,#N/A,FALSE,"APPRAISAL 2";#N/A,#N/A,FALSE,"APPRAISAL 3"}</definedName>
    <definedName name="qwer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s" hidden="1">{#N/A,#N/A,FALSE,"Chart 2 by Prop Type"}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MBC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r.Summary" hidden="1">#REF!</definedName>
    <definedName name="RAAAAA" hidden="1">{"CHART",#N/A,FALSE,"Arch Communications"}</definedName>
    <definedName name="radg" hidden="1">{"FCB_ALL",#N/A,FALSE,"FCB";"GREY_ALL",#N/A,FALSE,"GREY"}</definedName>
    <definedName name="Radnor" localSheetId="0" hidden="1">binary</definedName>
    <definedName name="Radnor" hidden="1">binary</definedName>
    <definedName name="RANGE">#N/A</definedName>
    <definedName name="Range_Control">#REF!</definedName>
    <definedName name="Rangecount">#REF!</definedName>
    <definedName name="RATES">#REF!</definedName>
    <definedName name="Rating" hidden="1">{"Assumptions",#N/A,FALSE,"input page";"1998",#N/A,FALSE,"1998";"1999",#N/A,FALSE,"1999";"2000",#N/A,FALSE,"2000";"2001",#N/A,FALSE,"2001"}</definedName>
    <definedName name="RBC" hidden="1">{#N/A,#N/A,FALSE,"ATW";#N/A,#N/A,FALSE,"DO";#N/A,#N/A,FALSE,"ESV";#N/A,#N/A,FALSE,"GLM";#N/A,#N/A,FALSE,"MRL";#N/A,#N/A,FALSE,"NE";#N/A,#N/A,FALSE,"PDE";#N/A,#N/A,FALSE,"FLC";#N/A,#N/A,FALSE,"RDC";#N/A,#N/A,FALSE,"SDC";#N/A,#N/A,FALSE,"RIG"}</definedName>
    <definedName name="RCArea" hidden="1">#REF!</definedName>
    <definedName name="RCIII" hidden="1">{"ba1",#N/A,TRUE,"B-A";"ba2",#N/A,TRUE,"B-A"}</definedName>
    <definedName name="RCT">#REF!</definedName>
    <definedName name="re" hidden="1">#REF!</definedName>
    <definedName name="Recycling">#REF!</definedName>
    <definedName name="RedefinePrintTableRange" hidden="1">#N/A</definedName>
    <definedName name="redo" hidden="1">{#N/A,#N/A,FALSE,"ACQ_GRAPHS";#N/A,#N/A,FALSE,"T_1 GRAPHS";#N/A,#N/A,FALSE,"T_2 GRAPHS";#N/A,#N/A,FALSE,"COMB_GRAPHS"}</definedName>
    <definedName name="REFI">#REF!</definedName>
    <definedName name="REFIcost">#REF!</definedName>
    <definedName name="refiPAYMENTtable">#REF!</definedName>
    <definedName name="RegionList" hidden="1">#REF!</definedName>
    <definedName name="regmult" hidden="1">#REF!</definedName>
    <definedName name="Regression" hidden="1">#REF!</definedName>
    <definedName name="RegY" hidden="1">#REF!</definedName>
    <definedName name="Rehab101">#REF!</definedName>
    <definedName name="Rehab102">#REF!</definedName>
    <definedName name="Rehab103">#REF!</definedName>
    <definedName name="Rehab104">#REF!</definedName>
    <definedName name="Rehab105">#REF!</definedName>
    <definedName name="Rehab106">#REF!</definedName>
    <definedName name="Rehab107">#REF!</definedName>
    <definedName name="Rehab108">#REF!</definedName>
    <definedName name="Rehab109">#REF!</definedName>
    <definedName name="Rehab110">#REF!</definedName>
    <definedName name="Rehab111">#REF!</definedName>
    <definedName name="Rehab112">#REF!</definedName>
    <definedName name="Rehab201">#REF!</definedName>
    <definedName name="Rehab202">#REF!</definedName>
    <definedName name="Rehab203">#REF!</definedName>
    <definedName name="Rehab204">#REF!</definedName>
    <definedName name="Rehab205">#REF!</definedName>
    <definedName name="Rehab206">#REF!</definedName>
    <definedName name="Rehab207">#REF!</definedName>
    <definedName name="Rehab208">#REF!</definedName>
    <definedName name="Rehab209">#REF!</definedName>
    <definedName name="Rehab210">#REF!</definedName>
    <definedName name="Rehab211">#REF!</definedName>
    <definedName name="Rehab212">#REF!</definedName>
    <definedName name="Reim" hidden="1">{#N/A,#N/A,FALSE,"SUMMARY 4a";#N/A,#N/A,FALSE,"GBA 4b";#N/A,#N/A,FALSE,"TENANT 4c";#N/A,#N/A,FALSE,"BUDGET DETAIL";#N/A,#N/A,FALSE,"PRO FORMA"}</definedName>
    <definedName name="rel" hidden="1">#REF!</definedName>
    <definedName name="rem" hidden="1">{"Assumptions",#N/A,FALSE,"input page";"1998",#N/A,FALSE,"1998";"1999",#N/A,FALSE,"1999";"2000",#N/A,FALSE,"2000";"2001",#N/A,FALSE,"2001"}</definedName>
    <definedName name="Remim" hidden="1">{#N/A,#N/A,FALSE,"Leasing 6A"}</definedName>
    <definedName name="remit_address">#REF!</definedName>
    <definedName name="ren" hidden="1">{"rec. of 310",#N/A,FALSE,"Resanal"}</definedName>
    <definedName name="RENT_DEL">#REF!</definedName>
    <definedName name="Rent_Raised">#REF!</definedName>
    <definedName name="RENT_ROLL">#REF!</definedName>
    <definedName name="Rent_Roll_Hdr">#REF!</definedName>
    <definedName name="RENT601" hidden="1">#REF!</definedName>
    <definedName name="RentalStartMonth">#REF!</definedName>
    <definedName name="RENTDATA">#REF!</definedName>
    <definedName name="RentInc01">#REF!</definedName>
    <definedName name="RentInc02">#REF!</definedName>
    <definedName name="RentInc03">#REF!</definedName>
    <definedName name="RentInc04">#REF!</definedName>
    <definedName name="RentInc05">#REF!</definedName>
    <definedName name="RentInc06">#REF!</definedName>
    <definedName name="RentInc07">#REF!</definedName>
    <definedName name="RentInc08">#REF!</definedName>
    <definedName name="RentInc09">#REF!</definedName>
    <definedName name="RentInc10">#REF!</definedName>
    <definedName name="RentInc11">#REF!</definedName>
    <definedName name="RentInc12">#REF!</definedName>
    <definedName name="RentInc13">#REF!</definedName>
    <definedName name="RentInc14">#REF!</definedName>
    <definedName name="RentInc15">#REF!</definedName>
    <definedName name="RentInc16">#REF!</definedName>
    <definedName name="RentInc17">#REF!</definedName>
    <definedName name="RentInc18">#REF!</definedName>
    <definedName name="RentInc19">#REF!</definedName>
    <definedName name="RentInc20">#REF!</definedName>
    <definedName name="RentInc21">#REF!</definedName>
    <definedName name="RentInc22">#REF!</definedName>
    <definedName name="Rentindex">#REF!</definedName>
    <definedName name="RENTPSF">#REF!</definedName>
    <definedName name="RentRoll">#REF!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Tab.City">#REF!</definedName>
    <definedName name="Report_Tab.GenAdmin">#REF!</definedName>
    <definedName name="Report_Tab.GrossPotentialRents">#REF!</definedName>
    <definedName name="Report_Tab.Insurance">#REF!</definedName>
    <definedName name="Report_Tab.Maintenance">#REF!</definedName>
    <definedName name="Report_Tab.ManagementFee">#REF!</definedName>
    <definedName name="Report_Tab.Marketing">#REF!</definedName>
    <definedName name="Report_Tab.NCF">#REF!</definedName>
    <definedName name="Report_Tab.NetRentalIncome">#REF!</definedName>
    <definedName name="Report_Tab.NOI">#REF!</definedName>
    <definedName name="Report_Tab.OccupancyPct">#REF!</definedName>
    <definedName name="Report_Tab.OtherIncome">#REF!</definedName>
    <definedName name="Report_Tab.Payroll">#REF!</definedName>
    <definedName name="Report_Tab.Property_Name">#REF!</definedName>
    <definedName name="Report_Tab.ReplacementReserves">#REF!</definedName>
    <definedName name="Report_Tab.ReportData">#REF!</definedName>
    <definedName name="Report_Tab.ReportHeadersAndData">#REF!</definedName>
    <definedName name="Report_Tab.State">#REF!</definedName>
    <definedName name="Report_Tab.Taxes">#REF!</definedName>
    <definedName name="Report_Tab.Units">#REF!</definedName>
    <definedName name="Report_Tab.Utilities">#REF!</definedName>
    <definedName name="Report_Tab.WaterSewer">#REF!</definedName>
    <definedName name="Report_Version_4">"A1"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Group" hidden="1">0</definedName>
    <definedName name="Reserved">#REF!</definedName>
    <definedName name="Residents">#REF!</definedName>
    <definedName name="Residu" hidden="1">{#N/A,#N/A,TRUE,"Summary";"AnnualRentRoll",#N/A,TRUE,"RentRoll";#N/A,#N/A,TRUE,"ExitStratigy";#N/A,#N/A,TRUE,"OperatingAssumptions"}</definedName>
    <definedName name="ResidualCFPercent">#REF!</definedName>
    <definedName name="ResidualPSF">#REF!</definedName>
    <definedName name="resort" hidden="1">{"Output-3Column",#N/A,FALSE,"Output"}</definedName>
    <definedName name="RESTART">#REF!</definedName>
    <definedName name="RESULTS">#REF!</definedName>
    <definedName name="RESULTS02">#REF!</definedName>
    <definedName name="RET_SF">#REF!</definedName>
    <definedName name="retail" hidden="1">#REF!</definedName>
    <definedName name="retewr" hidden="1">#REF!</definedName>
    <definedName name="retha" hidden="1">#REF!</definedName>
    <definedName name="retl" hidden="1">#REF!</definedName>
    <definedName name="REV_1">#REF!</definedName>
    <definedName name="REV_2">#REF!</definedName>
    <definedName name="REV_3">#REF!</definedName>
    <definedName name="REV_NOI">#REF!</definedName>
    <definedName name="REV_NOI_3">#REF!</definedName>
    <definedName name="Revenue_Category_1">#REF!</definedName>
    <definedName name="Revenue_Category_2">#REF!</definedName>
    <definedName name="Revenue_Category_3">#REF!</definedName>
    <definedName name="Revenue_Category_4">#REF!</definedName>
    <definedName name="Revenue_Category_5">#REF!</definedName>
    <definedName name="Revenue_Category_6">#REF!</definedName>
    <definedName name="Revenue_Category_7">#REF!</definedName>
    <definedName name="Revenue_Category_8">#REF!</definedName>
    <definedName name="Revenue_Dummy_Data" hidden="1">OFFSET(#REF!,0,0,COUNTA(#REF!)-1,1)</definedName>
    <definedName name="revenues">#REF!</definedName>
    <definedName name="reversion">#REF!</definedName>
    <definedName name="rez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a" hidden="1">{#N/A,#N/A,FALSE,"BALLY COSTS";#N/A,#N/A,FALSE,"FF&amp;E";#N/A,#N/A,FALSE,"FEES";#N/A,#N/A,FALSE,"CONTINGENCY";#N/A,#N/A,FALSE,"SOFT COSTS";#N/A,#N/A,FALSE,"DETAIL";#N/A,#N/A,FALSE,"sum12-3"}</definedName>
    <definedName name="rezab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TEZRT" hidden="1">#REF!</definedName>
    <definedName name="rgdhgsrt" hidden="1">{"Assump",#N/A,TRUE,"Proforma";"first",#N/A,TRUE,"Proforma";"second",#N/A,TRUE,"Proforma";"lease1",#N/A,TRUE,"Proforma";"lease2",#N/A,TRUE,"Proforma"}</definedName>
    <definedName name="rgdr" hidden="1">#REF!</definedName>
    <definedName name="rgerg" hidden="1">{"Investor",#N/A,FALSE,"Model";"Property",#N/A,FALSE,"Model";"Incentive Taxes",#N/A,FALSE,"Model"}</definedName>
    <definedName name="rget" hidden="1">{0,0,0,0}</definedName>
    <definedName name="rgr" hidden="1">{"ReportTop",#N/A,FALSE,"report top"}</definedName>
    <definedName name="right" hidden="1">{"CHART",#N/A,FALSE,"Arch Communications"}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6145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5000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iverway" hidden="1">{"Table of Contents",#N/A,FALSE,"Table of Contents";"Assumptions Checklist",#N/A,FALSE,"Projected Acq_Dis";"Yearly Assumptions",#N/A,FALSE,"Other Assumptions";"Annual Summary",#N/A,FALSE,"Summary";"1999 by Quarter Summary",#N/A,FALSE,"Summary";"2000 by Quarter Summary",#N/A,FALSE,"Summary";"Contribution to FFO",#N/A,FALSE,"CONT SUMMARY";"Contribution to FFO-Acq. &amp; Disp.",#N/A,FALSE,"CONT SUMMARY";"Contribution to FFO-Developments",#N/A,FALSE,"CONT SUMMARY";"Pivot Table Pro-Forma",#N/A,FALSE,"Pivot Table Proforma";"Pivot Table-Dispositions",#N/A,FALSE,"Pivot Table Dispositions";"Development Cash Flows",#N/A,FALSE,"Development Cash Flows";"Income from JVs",#N/A,FALSE,"Income from JV's";"Fee Income",#N/A,FALSE,"Fees noncombined affiliates";"Interest Income",#N/A,FALSE,"Interest Income";"Unsecured Debentures",#N/A,FALSE,"Unsecured Debentures";"secured interest",#N/A,FALSE,"Secured Existing Interest Pivot";"Extended Secured Debt",#N/A,FALSE,"Extended Secured Debt";"Capitalized Interest",#N/A,FALSE,"Capitalized Interest";"Secured Existing Debt",#N/A,FALSE,"Secured Existing Debt";"Secured Debt-Refinanced",#N/A,FALSE,"Secured Debt Refinanced";"principal payments",#N/A,FALSE,"Secured PrincPay Pivot";"Covenant Ratios",#N/A,FALSE,"Covenant Ratios";"Covenant Calculation",#N/A,FALSE,"Covenant Calculations";"Margins",#N/A,FALSE,"Margins";"GAAP to TAX",#N/A,FALSE,"GAAP to TAX";"Net Free CF-Paydown",#N/A,FALSE,"Net Free CF Revolver Paydown";"CAPX",#N/A,FALSE,"CAP X";"Balance Sheet",#N/A,FALSE,"Balance Sheet";"BSA99",#N/A,FALSE,"Balance Sheet Analysis";"BSA2000",#N/A,FALSE,"Balance Sheet Analysis";"BSA2001",#N/A,FALSE,"Balance Sheet Analysis";"Unencumbered Portfolio",#N/A,FALSE,"Unencumbered Portfolio "}</definedName>
    <definedName name="RLAINPUT_DebtLoan1CapEx" hidden="1">#REF!</definedName>
    <definedName name="RLAINPUT_DebtLoan1Funding" hidden="1">#REF!,#REF!,#REF!</definedName>
    <definedName name="RLAINPUT_DebtLoan1Gen1" hidden="1">#REF!</definedName>
    <definedName name="RLAINPUT_DebtLoan1Gen2" hidden="1">#REF!</definedName>
    <definedName name="RLAINPUT_DebtLoan1Payment" hidden="1">#REF!</definedName>
    <definedName name="RLAINPUT_DebtLoan2CapEx" hidden="1">#REF!</definedName>
    <definedName name="RLAINPUT_DebtLoan2Funding" hidden="1">#REF!,#REF!,#REF!</definedName>
    <definedName name="RLAINPUT_DebtLoan2Gen1" hidden="1">#REF!</definedName>
    <definedName name="RLAINPUT_DebtLoan2Gen2" hidden="1">#REF!</definedName>
    <definedName name="RLAINPUT_DebtLoan2Payment" hidden="1">#REF!</definedName>
    <definedName name="RLAINPUT_DebtLoan3CapEx" hidden="1">#REF!</definedName>
    <definedName name="RLAINPUT_DebtLoan3Funding" hidden="1">#REF!,#REF!,#REF!</definedName>
    <definedName name="RLAINPUT_DebtLoan3Gen1" hidden="1">#REF!</definedName>
    <definedName name="RLAINPUT_DebtLoan3Gen2" hidden="1">#REF!</definedName>
    <definedName name="RLAINPUT_DebtLoan3Payment" hidden="1">#REF!</definedName>
    <definedName name="RLAINPUT_DebtRateIndex" hidden="1">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Percent" hidden="1">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InPlaceRecovery" hidden="1">#REF!</definedName>
    <definedName name="RLAINPUT_Loan3Refi" hidden="1">#REF!,#REF!,#REF!</definedName>
    <definedName name="RLAINPUT_PortfolioInputs" hidden="1">#REF!</definedName>
    <definedName name="RLAINPUT_PortfolioPropertyInputs" hidden="1">#REF!</definedName>
    <definedName name="RM_Corrected?">TRUE</definedName>
    <definedName name="rngCommunity">#REF!</definedName>
    <definedName name="Rnt_Lse">#REF!</definedName>
    <definedName name="Rnt_Mkt">#REF!</definedName>
    <definedName name="Rnt_Unit_Mo">#REF!</definedName>
    <definedName name="Rnt_Var">#REF!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llfile">#REF!</definedName>
    <definedName name="rollingEQUITYvalue">#REF!</definedName>
    <definedName name="RollingNPV">#REF!</definedName>
    <definedName name="Rooms">#REF!</definedName>
    <definedName name="RootDir">#REF!</definedName>
    <definedName name="ROWS">#REF!</definedName>
    <definedName name="rozp" hidden="1">{#N/A,#N/A,TRUE,"Krycí list"}</definedName>
    <definedName name="rozpp" hidden="1">{#N/A,#N/A,TRUE,"Krycí list"}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_Date">#REF!</definedName>
    <definedName name="rrg" hidden="1">#REF!</definedName>
    <definedName name="RRoll_Data">#REF!</definedName>
    <definedName name="RRoll_Vac_Calc">#REF!</definedName>
    <definedName name="RRoll_Vac_Data">#REF!</definedName>
    <definedName name="rrr" hidden="1">{#N/A,#N/A,FALSE,"ExecutiveSummary";#N/A,#N/A,FALSE,"CostDetail";#N/A,#N/A,FALSE,"IncomeDetail"}</definedName>
    <definedName name="rrrr" hidden="1">#N/A</definedName>
    <definedName name="rs" hidden="1">{"FCB_ALL",#N/A,FALSE,"FCB"}</definedName>
    <definedName name="rse" hidden="1">{"FCB_ALL",#N/A,FALSE,"FCB"}</definedName>
    <definedName name="RSF">#REF!</definedName>
    <definedName name="rt" hidden="1">#REF!</definedName>
    <definedName name="rtartg" hidden="1">#REF!</definedName>
    <definedName name="rtha" hidden="1">#REF!</definedName>
    <definedName name="rther" hidden="1">{"Investor",#N/A,FALSE,"Model";"Property",#N/A,FALSE,"Model";"Incentive Taxes",#N/A,FALSE,"Model"}</definedName>
    <definedName name="rthsrth" hidden="1">#REF!</definedName>
    <definedName name="rtl" hidden="1">#REF!</definedName>
    <definedName name="rtxfdgth" hidden="1">#REF!</definedName>
    <definedName name="rtyr" hidden="1">{"sheet a",#N/A,FALSE,"A";"sheet b 1",#N/A,FALSE,"B";"sheet b 2",#N/A,FALSE,"B"}</definedName>
    <definedName name="RUT">#REF!</definedName>
    <definedName name="RW_INFO_1">#REF!</definedName>
    <definedName name="rwe" hidden="1">{"Grant",#N/A,FALSE,"Grant";"GP Developer",#N/A,FALSE,"GP &amp; Dev Loans";"Operating Analysis",#N/A,FALSE,"Operations";"Tax Credit",#N/A,FALSE,"Tax Credits";"Tax Credit Analysis",#N/A,FALSE,"TC Analysis"}</definedName>
    <definedName name="Rwvu._Current_." hidden="1">#REF!</definedName>
    <definedName name="Rwvu.ALL." hidden="1">#REF!,#REF!</definedName>
    <definedName name="Rwvu.CAM._.RATES." hidden="1">#REF!,#REF!,#REF!</definedName>
    <definedName name="Rwvu.CAM._.RECOVERIES." hidden="1">#REF!,#REF!,#REF!</definedName>
    <definedName name="Rwvu.CAM._.RECOVERY." hidden="1">#REF!,#REF!,#REF!</definedName>
    <definedName name="Rwvu.CAM._.TABLE." hidden="1">#REF!,#REF!,#REF!</definedName>
    <definedName name="Rwvu.FRP_backlog2." hidden="1">#REF!</definedName>
    <definedName name="Rwvu.INSURANCE._.RECOVERIES." hidden="1">#REF!,#REF!,#REF!,#REF!</definedName>
    <definedName name="Rwvu.LSMEET." hidden="1">#REF!,#REF!,#REF!,#REF!</definedName>
    <definedName name="Rwvu.MARKETING._.REVENUE." hidden="1">#REF!,#REF!,#REF!</definedName>
    <definedName name="Rwvu.MINIMUM._.RENT." hidden="1">#REF!,#REF!</definedName>
    <definedName name="Rwvu.OCCUPANCY." hidden="1">#REF!,#REF!,#REF!</definedName>
    <definedName name="Rwvu.OCCUPANCY._.ANALYSIS." hidden="1">#REF!,#REF!,#REF!</definedName>
    <definedName name="Rwvu.Overhead._.detail." hidden="1">#REF!,#REF!</definedName>
    <definedName name="Rwvu.PERCENTAGE._.RENT." hidden="1">#REF!,#REF!,#REF!</definedName>
    <definedName name="Rwvu.Profit._.report._.detailed." hidden="1">#REF!,#REF!</definedName>
    <definedName name="Rwvu.Sommaire." hidden="1">#REF!,#REF!,#REF!,#REF!,#REF!</definedName>
    <definedName name="Rwvu.TAX._.RATES." hidden="1">#REF!,#REF!,#REF!</definedName>
    <definedName name="Rwvu.TAX._.RECOVERIES." hidden="1">#REF!,#REF!,#REF!,#REF!</definedName>
    <definedName name="Rwvu.TAX._.RECOVERY." hidden="1">#REF!,#REF!,#REF!</definedName>
    <definedName name="Rwvu.WAT." hidden="1">#REF!</definedName>
    <definedName name="ryui" hidden="1">{0,#N/A,FALSE,0}</definedName>
    <definedName name="s" hidden="1">#REF!</definedName>
    <definedName name="s_old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sa" hidden="1">{"cap_structure",#N/A,FALSE,"Graph-Mkt Cap";"price",#N/A,FALSE,"Graph-Price";"ebit",#N/A,FALSE,"Graph-EBITDA";"ebitda",#N/A,FALSE,"Graph-EBITDA"}</definedName>
    <definedName name="saa" localSheetId="2" hidden="1">{"rtn",#N/A,FALSE,"RTN";"tables",#N/A,FALSE,"RTN";"cf",#N/A,FALSE,"CF";"stats",#N/A,FALSE,"Stats";"prop",#N/A,FALSE,"Prop"}</definedName>
    <definedName name="saa" localSheetId="0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a_1" hidden="1">{"rtn",#N/A,FALSE,"RTN";"tables",#N/A,FALSE,"RTN";"cf",#N/A,FALSE,"CF";"stats",#N/A,FALSE,"Stats";"prop",#N/A,FALSE,"Prop"}</definedName>
    <definedName name="saa_2" hidden="1">{"rtn",#N/A,FALSE,"RTN";"tables",#N/A,FALSE,"RTN";"cf",#N/A,FALSE,"CF";"stats",#N/A,FALSE,"Stats";"prop",#N/A,FALSE,"Prop"}</definedName>
    <definedName name="saa_3" hidden="1">{"rtn",#N/A,FALSE,"RTN";"tables",#N/A,FALSE,"RTN";"cf",#N/A,FALSE,"CF";"stats",#N/A,FALSE,"Stats";"prop",#N/A,FALSE,"Prop"}</definedName>
    <definedName name="saa_4" hidden="1">{"rtn",#N/A,FALSE,"RTN";"tables",#N/A,FALSE,"RTN";"cf",#N/A,FALSE,"CF";"stats",#N/A,FALSE,"Stats";"prop",#N/A,FALSE,"Prop"}</definedName>
    <definedName name="sadasd" hidden="1">#REF!</definedName>
    <definedName name="sadd" localSheetId="2" hidden="1">{"MonthlyRentRoll",#N/A,FALSE,"RentRoll"}</definedName>
    <definedName name="sadd" localSheetId="0" hidden="1">{"MonthlyRentRoll",#N/A,FALSE,"RentRoll"}</definedName>
    <definedName name="sadd" hidden="1">{"MonthlyRentRoll",#N/A,FALSE,"RentRoll"}</definedName>
    <definedName name="sadd_1" hidden="1">{"MonthlyRentRoll",#N/A,FALSE,"RentRoll"}</definedName>
    <definedName name="sadd_2" hidden="1">{"MonthlyRentRoll",#N/A,FALSE,"RentRoll"}</definedName>
    <definedName name="sadd_3" hidden="1">{"MonthlyRentRoll",#N/A,FALSE,"RentRoll"}</definedName>
    <definedName name="sadd_4" hidden="1">{"MonthlyRentRoll",#N/A,FALSE,"RentRoll"}</definedName>
    <definedName name="sadd1" hidden="1">{"MonthlyRentRoll",#N/A,FALSE,"RentRoll"}</definedName>
    <definedName name="sadd2" localSheetId="2" hidden="1">{"MonthlyRentRoll",#N/A,FALSE,"RentRoll"}</definedName>
    <definedName name="sadd2" localSheetId="0" hidden="1">{"MonthlyRentRoll",#N/A,FALSE,"RentRoll"}</definedName>
    <definedName name="sadd2" hidden="1">{"MonthlyRentRoll",#N/A,FALSE,"RentRoll"}</definedName>
    <definedName name="sadd2_1" hidden="1">{"MonthlyRentRoll",#N/A,FALSE,"RentRoll"}</definedName>
    <definedName name="sadd2_2" hidden="1">{"MonthlyRentRoll",#N/A,FALSE,"RentRoll"}</definedName>
    <definedName name="sadd2_3" hidden="1">{"MonthlyRentRoll",#N/A,FALSE,"RentRoll"}</definedName>
    <definedName name="sadd2_4" hidden="1">{"MonthlyRentRoll",#N/A,FALSE,"RentRoll"}</definedName>
    <definedName name="sadd22" hidden="1">{"MonthlyRentRoll",#N/A,FALSE,"RentRoll"}</definedName>
    <definedName name="saddd" localSheetId="2" hidden="1">{"AnnualRentRoll",#N/A,FALSE,"RentRoll"}</definedName>
    <definedName name="saddd" localSheetId="0" hidden="1">{"AnnualRentRoll",#N/A,FALSE,"RentRoll"}</definedName>
    <definedName name="saddd" hidden="1">{"AnnualRentRoll",#N/A,FALSE,"RentRoll"}</definedName>
    <definedName name="saddd_1" hidden="1">{"AnnualRentRoll",#N/A,FALSE,"RentRoll"}</definedName>
    <definedName name="saddd_2" hidden="1">{"AnnualRentRoll",#N/A,FALSE,"RentRoll"}</definedName>
    <definedName name="saddd_3" hidden="1">{"AnnualRentRoll",#N/A,FALSE,"RentRoll"}</definedName>
    <definedName name="saddd_4" hidden="1">{"AnnualRentRoll",#N/A,FALSE,"RentRoll"}</definedName>
    <definedName name="saddd2" localSheetId="2" hidden="1">{"AnnualRentRoll",#N/A,FALSE,"RentRoll"}</definedName>
    <definedName name="saddd2" localSheetId="0" hidden="1">{"AnnualRentRoll",#N/A,FALSE,"RentRoll"}</definedName>
    <definedName name="saddd2" hidden="1">{"AnnualRentRoll",#N/A,FALSE,"RentRoll"}</definedName>
    <definedName name="saddd2_1" hidden="1">{"AnnualRentRoll",#N/A,FALSE,"RentRoll"}</definedName>
    <definedName name="saddd2_2" hidden="1">{"AnnualRentRoll",#N/A,FALSE,"RentRoll"}</definedName>
    <definedName name="saddd2_3" hidden="1">{"AnnualRentRoll",#N/A,FALSE,"RentRoll"}</definedName>
    <definedName name="saddd2_4" hidden="1">{"AnnualRentRoll",#N/A,FALSE,"RentRoll"}</definedName>
    <definedName name="sadddd2" localSheetId="2" hidden="1">{"AnnualRentRoll",#N/A,FALSE,"RentRoll"}</definedName>
    <definedName name="sadddd2" localSheetId="0" hidden="1">{"AnnualRentRoll",#N/A,FALSE,"RentRoll"}</definedName>
    <definedName name="sadddd2" hidden="1">{"AnnualRentRoll",#N/A,FALSE,"RentRoll"}</definedName>
    <definedName name="sadddd2_1" hidden="1">{"AnnualRentRoll",#N/A,FALSE,"RentRoll"}</definedName>
    <definedName name="sadddd2_2" hidden="1">{"AnnualRentRoll",#N/A,FALSE,"RentRoll"}</definedName>
    <definedName name="sadddd2_3" hidden="1">{"AnnualRentRoll",#N/A,FALSE,"RentRoll"}</definedName>
    <definedName name="sadddd2_4" hidden="1">{"AnnualRentRoll",#N/A,FALSE,"RentRoll"}</definedName>
    <definedName name="saddddd" localSheetId="2" hidden="1">{"AnnualRentRoll",#N/A,FALSE,"RentRoll"}</definedName>
    <definedName name="saddddd" localSheetId="0" hidden="1">{"AnnualRentRoll",#N/A,FALSE,"RentRoll"}</definedName>
    <definedName name="saddddd" hidden="1">{"AnnualRentRoll",#N/A,FALSE,"RentRoll"}</definedName>
    <definedName name="saddddd_1" hidden="1">{"AnnualRentRoll",#N/A,FALSE,"RentRoll"}</definedName>
    <definedName name="saddddd_2" hidden="1">{"AnnualRentRoll",#N/A,FALSE,"RentRoll"}</definedName>
    <definedName name="saddddd_3" hidden="1">{"AnnualRentRoll",#N/A,FALSE,"RentRoll"}</definedName>
    <definedName name="saddddd_4" hidden="1">{"AnnualRentRoll",#N/A,FALSE,"RentRoll"}</definedName>
    <definedName name="saddddddd2" localSheetId="2" hidden="1">{#N/A,#N/A,FALSE,"ExitStratigy"}</definedName>
    <definedName name="saddddddd2" localSheetId="0" hidden="1">{#N/A,#N/A,FALSE,"ExitStratigy"}</definedName>
    <definedName name="saddddddd2" hidden="1">{#N/A,#N/A,FALSE,"ExitStratigy"}</definedName>
    <definedName name="saddddddd2_1" hidden="1">{#N/A,#N/A,FALSE,"ExitStratigy"}</definedName>
    <definedName name="saddddddd2_2" hidden="1">{#N/A,#N/A,FALSE,"ExitStratigy"}</definedName>
    <definedName name="saddddddd2_3" hidden="1">{#N/A,#N/A,FALSE,"ExitStratigy"}</definedName>
    <definedName name="saddddddd2_4" hidden="1">{#N/A,#N/A,FALSE,"ExitStratigy"}</definedName>
    <definedName name="sadddddddd" localSheetId="2" hidden="1">{#N/A,#N/A,FALSE,"ExitStratigy"}</definedName>
    <definedName name="sadddddddd" localSheetId="0" hidden="1">{#N/A,#N/A,FALSE,"ExitStratigy"}</definedName>
    <definedName name="sadddddddd" hidden="1">{#N/A,#N/A,FALSE,"ExitStratigy"}</definedName>
    <definedName name="sadddddddd_1" hidden="1">{#N/A,#N/A,FALSE,"ExitStratigy"}</definedName>
    <definedName name="sadddddddd_2" hidden="1">{#N/A,#N/A,FALSE,"ExitStratigy"}</definedName>
    <definedName name="sadddddddd_3" hidden="1">{#N/A,#N/A,FALSE,"ExitStratigy"}</definedName>
    <definedName name="sadddddddd_4" hidden="1">{#N/A,#N/A,FALSE,"ExitStratigy"}</definedName>
    <definedName name="saddddddddd2" localSheetId="2" hidden="1">{#N/A,#N/A,FALSE,"LoanAssumptions"}</definedName>
    <definedName name="saddddddddd2" localSheetId="0" hidden="1">{#N/A,#N/A,FALSE,"LoanAssumptions"}</definedName>
    <definedName name="saddddddddd2" hidden="1">{#N/A,#N/A,FALSE,"LoanAssumptions"}</definedName>
    <definedName name="saddddddddd2_1" hidden="1">{#N/A,#N/A,FALSE,"LoanAssumptions"}</definedName>
    <definedName name="saddddddddd2_2" hidden="1">{#N/A,#N/A,FALSE,"LoanAssumptions"}</definedName>
    <definedName name="saddddddddd2_3" hidden="1">{#N/A,#N/A,FALSE,"LoanAssumptions"}</definedName>
    <definedName name="saddddddddd2_4" hidden="1">{#N/A,#N/A,FALSE,"LoanAssumptions"}</definedName>
    <definedName name="sadddddddddd" localSheetId="2" hidden="1">{#N/A,#N/A,FALSE,"LoanAssumptions"}</definedName>
    <definedName name="sadddddddddd" localSheetId="0" hidden="1">{#N/A,#N/A,FALSE,"LoanAssumptions"}</definedName>
    <definedName name="sadddddddddd" hidden="1">{#N/A,#N/A,FALSE,"LoanAssumptions"}</definedName>
    <definedName name="sadddddddddd_1" hidden="1">{#N/A,#N/A,FALSE,"LoanAssumptions"}</definedName>
    <definedName name="sadddddddddd_2" hidden="1">{#N/A,#N/A,FALSE,"LoanAssumptions"}</definedName>
    <definedName name="sadddddddddd_3" hidden="1">{#N/A,#N/A,FALSE,"LoanAssumptions"}</definedName>
    <definedName name="sadddddddddd_4" hidden="1">{#N/A,#N/A,FALSE,"LoanAssumptions"}</definedName>
    <definedName name="saddddddddddd2" localSheetId="2" hidden="1">{#N/A,#N/A,FALSE,"OperatingAssumptions"}</definedName>
    <definedName name="saddddddddddd2" localSheetId="0" hidden="1">{#N/A,#N/A,FALSE,"OperatingAssumptions"}</definedName>
    <definedName name="saddddddddddd2" hidden="1">{#N/A,#N/A,FALSE,"OperatingAssumptions"}</definedName>
    <definedName name="saddddddddddd2_1" hidden="1">{#N/A,#N/A,FALSE,"OperatingAssumptions"}</definedName>
    <definedName name="saddddddddddd2_2" hidden="1">{#N/A,#N/A,FALSE,"OperatingAssumptions"}</definedName>
    <definedName name="saddddddddddd2_3" hidden="1">{#N/A,#N/A,FALSE,"OperatingAssumptions"}</definedName>
    <definedName name="saddddddddddd2_4" hidden="1">{#N/A,#N/A,FALSE,"OperatingAssumptions"}</definedName>
    <definedName name="saddddddddddddd" localSheetId="2" hidden="1">{#N/A,#N/A,FALSE,"OperatingAssumptions"}</definedName>
    <definedName name="saddddddddddddd" localSheetId="0" hidden="1">{#N/A,#N/A,FALSE,"OperatingAssumptions"}</definedName>
    <definedName name="saddddddddddddd" hidden="1">{#N/A,#N/A,FALSE,"OperatingAssumptions"}</definedName>
    <definedName name="saddddddddddddd_1" hidden="1">{#N/A,#N/A,FALSE,"OperatingAssumptions"}</definedName>
    <definedName name="saddddddddddddd_2" hidden="1">{#N/A,#N/A,FALSE,"OperatingAssumptions"}</definedName>
    <definedName name="saddddddddddddd_3" hidden="1">{#N/A,#N/A,FALSE,"OperatingAssumptions"}</definedName>
    <definedName name="saddddddddddddd_4" hidden="1">{#N/A,#N/A,FALSE,"OperatingAssumptions"}</definedName>
    <definedName name="sadfs" hidden="1">{"Const_Monthly",#N/A,FALSE,"Construction";"Construction_Summary",#N/A,FALSE,"Construction";"Cash_Flow",#N/A,FALSE,"Cash Flow";"Summary",#N/A,FALSE,"Summary";"Finsumm",#N/A,FALSE,"Summary Analysis";"Loanrecap",#N/A,FALSE,"Construction"}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dfz" hidden="1">{0,#N/A,FALSE,0;0,#N/A,FALSE,0}</definedName>
    <definedName name="sadgsdffsd" hidden="1">{#N/A,#N/A,FALSE,"Consolidated";#N/A,#N/A,FALSE,"Available Credit";#N/A,#N/A,FALSE,"100% Owned";#N/A,#N/A,FALSE,"Bentall U.S. LLC";#N/A,#N/A,FALSE,"Bentall Properties (U.S.) Ltd.";#N/A,#N/A,FALSE,"Schedule I"}</definedName>
    <definedName name="sadsadsa" hidden="1">{"'Assump'!$F$6:$J$6"}</definedName>
    <definedName name="saery" hidden="1">{"Investor",#N/A,FALSE,"Model";"Property",#N/A,FALSE,"Model";"Incentive Taxes",#N/A,FALSE,"Model"}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ARY">#REF!</definedName>
    <definedName name="SALARYPRINT">#REF!</definedName>
    <definedName name="Sale">#REF!</definedName>
    <definedName name="SALE_CAP">#REF!</definedName>
    <definedName name="Sale_CapRate">#REF!</definedName>
    <definedName name="Sale_Exp">#REF!</definedName>
    <definedName name="Sale_Mo">#REF!</definedName>
    <definedName name="SALE_YEAR">#REF!</definedName>
    <definedName name="SaleCost">#REF!</definedName>
    <definedName name="salecosts">#REF!</definedName>
    <definedName name="SaleDate">#REF!</definedName>
    <definedName name="SALEPRICE01">#REF!</definedName>
    <definedName name="Sales_Cost">#REF!</definedName>
    <definedName name="Sales_Price">#REF!</definedName>
    <definedName name="Sales_Proceeds_after_Debt">#REF!</definedName>
    <definedName name="SalesCost">#REF!</definedName>
    <definedName name="sam" hidden="1">{"Full Gross to Net",#N/A,TRUE,"GtoN";"R_I Accepted from Group Coys",#N/A,TRUE,"GtoN";"R_I Ceded to Group Coys",#N/A,TRUE,"GtoN";"Closing Loss Reserves and Gross Claims Incurred",#N/A,TRUE,"GtoN"}</definedName>
    <definedName name="SAPBEXdnldView" hidden="1">"CT2YB164SH65T9MQ85IJ9K1BH"</definedName>
    <definedName name="SAPBEXhrIndnt" hidden="1">1</definedName>
    <definedName name="SAPBEXrevision" hidden="1">1</definedName>
    <definedName name="SAPBEXsysID" hidden="1">"BWP"</definedName>
    <definedName name="SAPBEXwbID" hidden="1">"97TGO3MUQQJKGLDFZCKVCYHCU"</definedName>
    <definedName name="sas" localSheetId="2" hidden="1">{"Outflow 1",#N/A,FALSE,"Outflows-Inflows";"Outflow 2",#N/A,FALSE,"Outflows-Inflows";"Inflow 1",#N/A,FALSE,"Outflows-Inflows";"Inflow 2",#N/A,FALSE,"Outflows-Inflows"}</definedName>
    <definedName name="sas" localSheetId="0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_2" hidden="1">{"Outflow 1",#N/A,FALSE,"Outflows-Inflows";"Outflow 2",#N/A,FALSE,"Outflows-Inflows";"Inflow 1",#N/A,FALSE,"Outflows-Inflows";"Inflow 2",#N/A,FALSE,"Outflows-Inflows"}</definedName>
    <definedName name="sas_3" hidden="1">{"Outflow 1",#N/A,FALSE,"Outflows-Inflows";"Outflow 2",#N/A,FALSE,"Outflows-Inflows";"Inflow 1",#N/A,FALSE,"Outflows-Inflows";"Inflow 2",#N/A,FALSE,"Outflows-Inflows"}</definedName>
    <definedName name="sas_4" hidden="1">{"Outflow 1",#N/A,FALSE,"Outflows-Inflows";"Outflow 2",#N/A,FALSE,"Outflows-Inflows";"Inflow 1",#N/A,FALSE,"Outflows-Inflows";"Inflow 2",#N/A,FALSE,"Outflows-Inflows"}</definedName>
    <definedName name="sasdfkj" hidden="1">{"FCB_ALL",#N/A,FALSE,"FCB"}</definedName>
    <definedName name="sbgsdgfgbb" hidden="1">#REF!</definedName>
    <definedName name="SC_Fill" hidden="1">#REF!</definedName>
    <definedName name="SC_Fill2" hidden="1">#REF!</definedName>
    <definedName name="scen_change" hidden="1">#REF!,#REF!,#REF!,#REF!,#REF!</definedName>
    <definedName name="scen_date1" hidden="1">34379.7786921296</definedName>
    <definedName name="scen_name1" hidden="1">"SOLV 1"</definedName>
    <definedName name="scen_num" hidden="1">1</definedName>
    <definedName name="scen_result" hidden="1">#REF!</definedName>
    <definedName name="scen_user1" hidden="1">"JEAN-LOUIS TORRES"</definedName>
    <definedName name="scen_value1" hidden="1">{"0,0525";"0";"0";"20";"0";"0,025";"7"}</definedName>
    <definedName name="scen1">#REF!</definedName>
    <definedName name="scen2">#REF!</definedName>
    <definedName name="scen3">#REF!</definedName>
    <definedName name="SCENARIO">#REF!</definedName>
    <definedName name="scenariocoverpage">#REF!</definedName>
    <definedName name="ScenarioNumber" hidden="1">#REF!</definedName>
    <definedName name="Sched_Pay">#REF!</definedName>
    <definedName name="Scheduled_Extra_Payments">#REF!</definedName>
    <definedName name="Scheduled_Monthly_Payment">#REF!</definedName>
    <definedName name="Schornsteinfeger">#REF!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ottsdaleAP" hidden="1">#REF!</definedName>
    <definedName name="sd" hidden="1">{"Assump",#N/A,TRUE,"Proforma";"first",#N/A,TRUE,"Proforma";"second",#N/A,TRUE,"Proforma";"lease1",#N/A,TRUE,"Proforma";"lease2",#N/A,TRUE,"Proforma"}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cds" hidden="1">{"'Assump'!$F$6:$J$6"}</definedName>
    <definedName name="sdf" hidden="1">{"sheet a",#N/A,FALSE,"A";"sheet b 1",#N/A,FALSE,"B";"sheet b 2",#N/A,FALSE,"B"}</definedName>
    <definedName name="sdfasr" hidden="1">{"FCB_ALL",#N/A,FALSE,"FCB"}</definedName>
    <definedName name="sdfass" localSheetId="2" hidden="1">{"Outflow 1",#N/A,FALSE,"Outflows-Inflows";"Outflow 2",#N/A,FALSE,"Outflows-Inflows";"Inflow 1",#N/A,FALSE,"Outflows-Inflows";"Inflow 2",#N/A,FALSE,"Outflows-Inflows"}</definedName>
    <definedName name="sdfass" localSheetId="0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ass_2" hidden="1">{"Outflow 1",#N/A,FALSE,"Outflows-Inflows";"Outflow 2",#N/A,FALSE,"Outflows-Inflows";"Inflow 1",#N/A,FALSE,"Outflows-Inflows";"Inflow 2",#N/A,FALSE,"Outflows-Inflows"}</definedName>
    <definedName name="sdfass_3" hidden="1">{"Outflow 1",#N/A,FALSE,"Outflows-Inflows";"Outflow 2",#N/A,FALSE,"Outflows-Inflows";"Inflow 1",#N/A,FALSE,"Outflows-Inflows";"Inflow 2",#N/A,FALSE,"Outflows-Inflows"}</definedName>
    <definedName name="sdfass_4" hidden="1">{"Outflow 1",#N/A,FALSE,"Outflows-Inflows";"Outflow 2",#N/A,FALSE,"Outflows-Inflows";"Inflow 1",#N/A,FALSE,"Outflows-Inflows";"Inflow 2",#N/A,FALSE,"Outflows-Inflows"}</definedName>
    <definedName name="sdfd" hidden="1">{"Summary",#N/A,FALSE,"Summary"}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{"FCB_ALL",#N/A,FALSE,"FCB";"GREY_ALL",#N/A,FALSE,"GREY"}</definedName>
    <definedName name="sdff" hidden="1">{#N/A,#N/A,TRUE,"Krycí list"}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dsf" hidden="1">#REF!</definedName>
    <definedName name="sdfgdsfg" hidden="1">#REF!</definedName>
    <definedName name="SDFGFG" hidden="1">#REF!</definedName>
    <definedName name="sdfgsdfhhsfd" hidden="1">#REF!</definedName>
    <definedName name="sdfh" hidden="1">{"FCB_ALL",#N/A,FALSE,"FCB"}</definedName>
    <definedName name="sdfh2wh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sdfhshcdddcd" hidden="1">#REF!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df" hidden="1">#REF!</definedName>
    <definedName name="sdfsdfsdfsafsdf" hidden="1">{"FCB_ALL",#N/A,FALSE,"FCB"}</definedName>
    <definedName name="sdfsds" hidden="1">#REF!</definedName>
    <definedName name="sdfv" hidden="1">{0,#N/A,FALSE,0;0,#N/A,FALSE,0}</definedName>
    <definedName name="sdgasfhadsfhgerh" hidden="1">#REF!</definedName>
    <definedName name="sdgdfg" hidden="1">{"new",#N/A,FALSE,"D";"PROFORMA",#N/A,FALSE,"A";"partial 1",#N/A,FALSE,"B";"partial 2",#N/A,FALSE,"B";"partial 3",#N/A,FALSE,"B";"SMALL CF 1",#N/A,FALSE,"C"}</definedName>
    <definedName name="sdgfr" hidden="1">{"sheet a",#N/A,FALSE,"A";"sheet b 1",#N/A,FALSE,"B";"sheet b 2",#N/A,FALSE,"B"}</definedName>
    <definedName name="sdgg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sdgs" hidden="1">{0,0,0,0}</definedName>
    <definedName name="sdhr" hidden="1">{"FCB_ALL",#N/A,FALSE,"FCB";"GREY_ALL",#N/A,FALSE,"GREY"}</definedName>
    <definedName name="sdvsfdvfdsb" hidden="1">#REF!</definedName>
    <definedName name="sdz" hidden="1">{"FCB_ALL",#N/A,FALSE,"FCB"}</definedName>
    <definedName name="se" hidden="1">#REF!</definedName>
    <definedName name="SECONDLIEN">#REF!</definedName>
    <definedName name="SecondLoanSchedule">#REF!</definedName>
    <definedName name="seee" hidden="1">{#N/A,#N/A,FALSE,"Title Page - Sitq";#N/A,#N/A,FALSE,"Index - Sitq";#N/A,#N/A,FALSE,"Stmt of Income";#N/A,#N/A,FALSE,"Balance Sheet - Audit Comm";#N/A,#N/A,FALSE,"Stmt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Debt";#N/A,#N/A,FALSE,"Mortgage Bonds";#N/A,#N/A,FALSE,"Bank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Seg_LBO_Summ" hidden="1">{"LBO Summary",#N/A,FALSE,"Summary"}</definedName>
    <definedName name="Segment_Pie_Data" hidden="1">OFFSET(#REF!,0,0,COUNTA(#REF!)-1,1)</definedName>
    <definedName name="Segment_Pie_X_Data" hidden="1">OFFSET(#REF!,0,0,COUNTA(#REF!)-1,1)</definedName>
    <definedName name="SELECTION_ENTITY">#REF!</definedName>
    <definedName name="Sell_Date">#REF!</definedName>
    <definedName name="selrange" hidden="1">#REF!</definedName>
    <definedName name="Semiprivate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sencount" hidden="1">1</definedName>
    <definedName name="senfinancing">#REF!</definedName>
    <definedName name="senInterest">#REF!</definedName>
    <definedName name="SenLTV">#REF!</definedName>
    <definedName name="senmosofIO">#REF!</definedName>
    <definedName name="senorigfee">#REF!</definedName>
    <definedName name="senpandi">#REF!</definedName>
    <definedName name="SENSITIVITY">#REF!</definedName>
    <definedName name="senterm">#REF!</definedName>
    <definedName name="Sept.">#REF!</definedName>
    <definedName name="sese" hidden="1">{"mgmt forecast",#N/A,FALSE,"Mgmt Forecast";"dcf table",#N/A,FALSE,"Mgmt Forecast";"sensitivity",#N/A,FALSE,"Mgmt Forecast";"table inputs",#N/A,FALSE,"Mgmt Forecast";"calculations",#N/A,FALSE,"Mgmt Forecast"}</definedName>
    <definedName name="Set">" "</definedName>
    <definedName name="SetExitLables">#N/A</definedName>
    <definedName name="setExitValue">#N/A</definedName>
    <definedName name="setheth" hidden="1">#REF!</definedName>
    <definedName name="sf">#REF!</definedName>
    <definedName name="SF_2">#REF!</definedName>
    <definedName name="SF_Additional">#REF!</definedName>
    <definedName name="SF_Build">#REF!</definedName>
    <definedName name="SF_Current_Industrial">#REF!</definedName>
    <definedName name="SF_Current_Office">#REF!</definedName>
    <definedName name="SF_Existing">#REF!</definedName>
    <definedName name="SF_FAR">#REF!</definedName>
    <definedName name="SF_Gross">#REF!</definedName>
    <definedName name="SF_Lot">#REF!</definedName>
    <definedName name="SF_Net">#REF!</definedName>
    <definedName name="SF_Raised">#REF!</definedName>
    <definedName name="sfbgsfbgsfbg" hidden="1">#REF!</definedName>
    <definedName name="sfd" hidden="1">{"Const_Monthly",#N/A,FALSE,"Construction"}</definedName>
    <definedName name="sfdag" hidden="1">{#N/A,#N/A,TRUE,"FR_HC";#N/A,#N/A,TRUE,"FR_REST";#N/A,#N/A,TRUE,"FR_RETA";#N/A,#N/A,TRUE,"FR_TECSOF";#N/A,#N/A,TRUE,"FR_NETTEC";#N/A,#N/A,TRUE,"FR_CLISER"}</definedName>
    <definedName name="SFDGDSG" hidden="1">#REF!</definedName>
    <definedName name="sfdgsar" hidden="1">{"FCB_ALL",#N/A,FALSE,"FCB";"GREY_ALL",#N/A,FALSE,"GREY"}</definedName>
    <definedName name="sfds" hidden="1">{#N/A,#N/A,FALSE,"Cash Flow"}</definedName>
    <definedName name="SFDsum" hidden="1">{#N/A,#N/A,FALSE,"Static Proforma";#N/A,#N/A,FALSE,"Bldg Dev DCF";#N/A,#N/A,FALSE,"Land Sales DCF"}</definedName>
    <definedName name="Sfe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sffsd">INDEX({12,6,3,2,1},MATCH(#REF!,battery1,0))</definedName>
    <definedName name="sfg" hidden="1">{#N/A,#N/A,FALSE,"Aging Summary";#N/A,#N/A,FALSE,"Ratio Analysis";#N/A,#N/A,FALSE,"Test 120 Day Accts";#N/A,#N/A,FALSE,"Tickmarks"}</definedName>
    <definedName name="sfg." hidden="1">{"Construction_Short",#N/A,FALSE,"Construction"}</definedName>
    <definedName name="sg" hidden="1">{#N/A,#N/A,FALSE,"Chart 2 by Prop Type"}</definedName>
    <definedName name="SG_Fill" hidden="1">#REF!</definedName>
    <definedName name="sgs" hidden="1">{#N/A,#N/A,FALSE,"Chart 2 by Prop Type"}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outltm" hidden="1">#REF!</definedName>
    <definedName name="sharepriceltm" hidden="1">#REF!</definedName>
    <definedName name="Sheet" hidden="1">#N/A</definedName>
    <definedName name="sheet2" hidden="1">{"CF",#N/A,FALSE,"Cash Flow";"RET",#N/A,FALSE,"Returns";"NPV",#N/A,FALSE,"Values";"ASMPT",#N/A,FALSE,"Assumptions"}</definedName>
    <definedName name="shit" hidden="1">{"'Assump'!$F$6:$J$6"}</definedName>
    <definedName name="ShortfallMo1Y1">#REF!</definedName>
    <definedName name="ShortfallMo1Y2">#REF!</definedName>
    <definedName name="ShortfallMo2Y1">#REF!</definedName>
    <definedName name="ShortfallMo2Y2">#REF!</definedName>
    <definedName name="ShortfallMo3Y1">#REF!</definedName>
    <definedName name="ShortfallMo3Y2">#REF!</definedName>
    <definedName name="ShortfallYr">#REF!</definedName>
    <definedName name="ShortfallYr2">#REF!</definedName>
    <definedName name="ShortfallYr3">#REF!</definedName>
    <definedName name="Sites">#REF!</definedName>
    <definedName name="sjsryhry" hidden="1">#REF!</definedName>
    <definedName name="sk" hidden="1">"1, 3, 1, False, 2, False, False, , 0, False, True, 3, 2"</definedName>
    <definedName name="skxcbwjkcb" hidden="1">#REF!</definedName>
    <definedName name="slkdhvoislsfjpsojflmnfsofjhsofbs" hidden="1">{#N/A,#N/A,FALSE,"Chart 2 by Prop Type"}</definedName>
    <definedName name="SMBC" hidden="1">{"Ops_S.Holders Assets and Income",#N/A,FALSE,"ops_shf"}</definedName>
    <definedName name="SMBCR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SMtoSF">#REF!</definedName>
    <definedName name="SOBID">#REF!</definedName>
    <definedName name="sofj" hidden="1">{#N/A,#N/A,FALSE,"Chart 2 by Prop Type"}</definedName>
    <definedName name="SOlive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10" hidden="1">#REF!</definedName>
    <definedName name="solver_lhs11" hidden="1">#REF!</definedName>
    <definedName name="solver_lhs12" hidden="1">#REF!</definedName>
    <definedName name="solver_lhs13" hidden="1">#REF!</definedName>
    <definedName name="solver_lhs14" hidden="1">#REF!</definedName>
    <definedName name="solver_lhs15" hidden="1">#REF!</definedName>
    <definedName name="solver_lhs16" hidden="1">#REF!</definedName>
    <definedName name="solver_lhs17" hidden="1">#REF!</definedName>
    <definedName name="solver_lhs18" hidden="1">#REF!</definedName>
    <definedName name="solver_lhs19" hidden="1">#REF!</definedName>
    <definedName name="solver_lhs2" hidden="1">#REF!</definedName>
    <definedName name="solver_lhs20" hidden="1">#REF!</definedName>
    <definedName name="solver_lhs21" hidden="1">#REF!</definedName>
    <definedName name="solver_lhs22" hidden="1">#REF!</definedName>
    <definedName name="solver_lhs23" hidden="1">#REF!</definedName>
    <definedName name="solver_lhs24" hidden="1">#REF!</definedName>
    <definedName name="solver_lhs25" hidden="1">#REF!</definedName>
    <definedName name="solver_lhs26" hidden="1">#REF!</definedName>
    <definedName name="solver_lhs27" hidden="1">#REF!</definedName>
    <definedName name="solver_lhs28" hidden="1">#REF!</definedName>
    <definedName name="solver_lhs29" hidden="1">#REF!</definedName>
    <definedName name="solver_lhs3" hidden="1">#REF!</definedName>
    <definedName name="solver_lhs30" hidden="1">#REF!</definedName>
    <definedName name="solver_lhs31" hidden="1">#REF!</definedName>
    <definedName name="solver_lhs32" hidden="1">#REF!</definedName>
    <definedName name="solver_lhs33" hidden="1">#REF!</definedName>
    <definedName name="solver_lhs34" hidden="1">#REF!</definedName>
    <definedName name="solver_lhs35" hidden="1">#REF!</definedName>
    <definedName name="solver_lhs36" hidden="1">#REF!</definedName>
    <definedName name="solver_lhs37" hidden="1">#REF!</definedName>
    <definedName name="solver_lhs38" hidden="1">#REF!</definedName>
    <definedName name="solver_lhs39" hidden="1">#REF!</definedName>
    <definedName name="solver_lhs4" hidden="1">#REF!</definedName>
    <definedName name="solver_lhs40" hidden="1">#REF!</definedName>
    <definedName name="solver_lhs41" hidden="1">#REF!</definedName>
    <definedName name="solver_lhs42" hidden="1">#REF!</definedName>
    <definedName name="solver_lhs43" hidden="1">#REF!</definedName>
    <definedName name="solver_lhs44" hidden="1">#REF!</definedName>
    <definedName name="solver_lhs45" hidden="1">#REF!</definedName>
    <definedName name="solver_lhs46" hidden="1">#REF!</definedName>
    <definedName name="solver_lhs47" hidden="1">#REF!</definedName>
    <definedName name="solver_lhs48" hidden="1">#REF!</definedName>
    <definedName name="solver_lhs49" hidden="1">#REF!</definedName>
    <definedName name="solver_lhs5" hidden="1">#REF!</definedName>
    <definedName name="solver_lhs50" hidden="1">#REF!</definedName>
    <definedName name="solver_lhs51" hidden="1">#REF!</definedName>
    <definedName name="solver_lhs52" hidden="1">#REF!</definedName>
    <definedName name="solver_lhs53" hidden="1">#REF!</definedName>
    <definedName name="solver_lhs54" hidden="1">#REF!</definedName>
    <definedName name="solver_lhs55" hidden="1">#REF!</definedName>
    <definedName name="solver_lhs56" hidden="1">#REF!</definedName>
    <definedName name="solver_lhs57" hidden="1">#REF!</definedName>
    <definedName name="solver_lhs58" hidden="1">#REF!</definedName>
    <definedName name="solver_lhs59" hidden="1">#REF!</definedName>
    <definedName name="solver_lhs6" hidden="1">#REF!</definedName>
    <definedName name="solver_lhs60" hidden="1">#REF!</definedName>
    <definedName name="solver_lhs61" hidden="1">#REF!</definedName>
    <definedName name="solver_lhs62" hidden="1">#REF!</definedName>
    <definedName name="solver_lhs63" hidden="1">#REF!</definedName>
    <definedName name="solver_lhs64" hidden="1">#REF!</definedName>
    <definedName name="solver_lhs65" hidden="1">#REF!</definedName>
    <definedName name="solver_lhs66" hidden="1">#REF!</definedName>
    <definedName name="solver_lhs67" hidden="1">#REF!</definedName>
    <definedName name="solver_lhs68" hidden="1">#REF!</definedName>
    <definedName name="solver_lhs69" hidden="1">#REF!</definedName>
    <definedName name="solver_lhs7" hidden="1">#REF!</definedName>
    <definedName name="solver_lhs70" hidden="1">#REF!</definedName>
    <definedName name="solver_lhs71" hidden="1">#REF!</definedName>
    <definedName name="solver_lhs72" hidden="1">#REF!</definedName>
    <definedName name="solver_lhs73" hidden="1">#REF!</definedName>
    <definedName name="solver_lhs74" hidden="1">#REF!</definedName>
    <definedName name="solver_lhs75" hidden="1">#REF!</definedName>
    <definedName name="solver_lhs76" hidden="1">#REF!</definedName>
    <definedName name="solver_lhs77" hidden="1">#REF!</definedName>
    <definedName name="solver_lhs78" hidden="1">#REF!</definedName>
    <definedName name="solver_lhs79" hidden="1">#REF!</definedName>
    <definedName name="solver_lhs8" hidden="1">#REF!</definedName>
    <definedName name="solver_lhs80" hidden="1">#REF!</definedName>
    <definedName name="solver_lhs81" hidden="1">#REF!</definedName>
    <definedName name="solver_lhs82" hidden="1">#REF!</definedName>
    <definedName name="solver_lhs83" hidden="1">#REF!</definedName>
    <definedName name="solver_lhs84" hidden="1">#REF!</definedName>
    <definedName name="solver_lhs85" hidden="1">#REF!</definedName>
    <definedName name="solver_lhs86" hidden="1">#REF!</definedName>
    <definedName name="solver_lhs87" hidden="1">#REF!</definedName>
    <definedName name="solver_lhs88" hidden="1">#REF!</definedName>
    <definedName name="solver_lhs9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el10" hidden="1">5</definedName>
    <definedName name="solver_rel11" hidden="1">5</definedName>
    <definedName name="solver_rel12" hidden="1">5</definedName>
    <definedName name="solver_rel13" hidden="1">5</definedName>
    <definedName name="solver_rel14" hidden="1">5</definedName>
    <definedName name="solver_rel15" hidden="1">5</definedName>
    <definedName name="solver_rel16" hidden="1">5</definedName>
    <definedName name="solver_rel17" hidden="1">5</definedName>
    <definedName name="solver_rel18" hidden="1">5</definedName>
    <definedName name="solver_rel19" hidden="1">5</definedName>
    <definedName name="solver_rel2" hidden="1">5</definedName>
    <definedName name="solver_rel20" hidden="1">5</definedName>
    <definedName name="solver_rel21" hidden="1">5</definedName>
    <definedName name="solver_rel22" hidden="1">5</definedName>
    <definedName name="solver_rel23" hidden="1">1</definedName>
    <definedName name="solver_rel24" hidden="1">5</definedName>
    <definedName name="solver_rel25" hidden="1">5</definedName>
    <definedName name="solver_rel26" hidden="1">5</definedName>
    <definedName name="solver_rel27" hidden="1">5</definedName>
    <definedName name="solver_rel28" hidden="1">5</definedName>
    <definedName name="solver_rel29" hidden="1">5</definedName>
    <definedName name="solver_rel3" hidden="1">5</definedName>
    <definedName name="solver_rel30" hidden="1">5</definedName>
    <definedName name="solver_rel31" hidden="1">5</definedName>
    <definedName name="solver_rel32" hidden="1">5</definedName>
    <definedName name="solver_rel33" hidden="1">5</definedName>
    <definedName name="solver_rel34" hidden="1">5</definedName>
    <definedName name="solver_rel35" hidden="1">5</definedName>
    <definedName name="solver_rel36" hidden="1">5</definedName>
    <definedName name="solver_rel37" hidden="1">5</definedName>
    <definedName name="solver_rel38" hidden="1">5</definedName>
    <definedName name="solver_rel39" hidden="1">5</definedName>
    <definedName name="solver_rel4" hidden="1">5</definedName>
    <definedName name="solver_rel40" hidden="1">5</definedName>
    <definedName name="solver_rel41" hidden="1">5</definedName>
    <definedName name="solver_rel42" hidden="1">5</definedName>
    <definedName name="solver_rel43" hidden="1">5</definedName>
    <definedName name="solver_rel44" hidden="1">5</definedName>
    <definedName name="solver_rel45" hidden="1">1</definedName>
    <definedName name="solver_rel46" hidden="1">5</definedName>
    <definedName name="solver_rel47" hidden="1">5</definedName>
    <definedName name="solver_rel48" hidden="1">5</definedName>
    <definedName name="solver_rel49" hidden="1">5</definedName>
    <definedName name="solver_rel5" hidden="1">5</definedName>
    <definedName name="solver_rel50" hidden="1">5</definedName>
    <definedName name="solver_rel51" hidden="1">5</definedName>
    <definedName name="solver_rel52" hidden="1">5</definedName>
    <definedName name="solver_rel53" hidden="1">5</definedName>
    <definedName name="solver_rel54" hidden="1">5</definedName>
    <definedName name="solver_rel55" hidden="1">5</definedName>
    <definedName name="solver_rel56" hidden="1">5</definedName>
    <definedName name="solver_rel57" hidden="1">5</definedName>
    <definedName name="solver_rel58" hidden="1">5</definedName>
    <definedName name="solver_rel59" hidden="1">5</definedName>
    <definedName name="solver_rel6" hidden="1">5</definedName>
    <definedName name="solver_rel60" hidden="1">5</definedName>
    <definedName name="solver_rel61" hidden="1">5</definedName>
    <definedName name="solver_rel62" hidden="1">5</definedName>
    <definedName name="solver_rel63" hidden="1">5</definedName>
    <definedName name="solver_rel64" hidden="1">5</definedName>
    <definedName name="solver_rel65" hidden="1">5</definedName>
    <definedName name="solver_rel66" hidden="1">5</definedName>
    <definedName name="solver_rel67" hidden="1">1</definedName>
    <definedName name="solver_rel68" hidden="1">5</definedName>
    <definedName name="solver_rel69" hidden="1">5</definedName>
    <definedName name="solver_rel7" hidden="1">5</definedName>
    <definedName name="solver_rel70" hidden="1">5</definedName>
    <definedName name="solver_rel71" hidden="1">5</definedName>
    <definedName name="solver_rel72" hidden="1">5</definedName>
    <definedName name="solver_rel73" hidden="1">5</definedName>
    <definedName name="solver_rel74" hidden="1">5</definedName>
    <definedName name="solver_rel75" hidden="1">5</definedName>
    <definedName name="solver_rel76" hidden="1">5</definedName>
    <definedName name="solver_rel77" hidden="1">5</definedName>
    <definedName name="solver_rel78" hidden="1">5</definedName>
    <definedName name="solver_rel79" hidden="1">5</definedName>
    <definedName name="solver_rel8" hidden="1">5</definedName>
    <definedName name="solver_rel80" hidden="1">5</definedName>
    <definedName name="solver_rel81" hidden="1">5</definedName>
    <definedName name="solver_rel82" hidden="1">5</definedName>
    <definedName name="solver_rel83" hidden="1">5</definedName>
    <definedName name="solver_rel84" hidden="1">5</definedName>
    <definedName name="solver_rel85" hidden="1">5</definedName>
    <definedName name="solver_rel86" hidden="1">5</definedName>
    <definedName name="solver_rel87" hidden="1">5</definedName>
    <definedName name="solver_rel88" hidden="1">5</definedName>
    <definedName name="solver_rel9" hidden="1">5</definedName>
    <definedName name="solver_rhs1" hidden="1">0.15</definedName>
    <definedName name="solver_rhs10" localSheetId="0" hidden="1">binary</definedName>
    <definedName name="solver_rhs10" hidden="1">binary</definedName>
    <definedName name="solver_rhs11" localSheetId="0" hidden="1">binary</definedName>
    <definedName name="solver_rhs11" hidden="1">binary</definedName>
    <definedName name="solver_rhs12" localSheetId="0" hidden="1">binary</definedName>
    <definedName name="solver_rhs12" hidden="1">binary</definedName>
    <definedName name="solver_rhs13" localSheetId="0" hidden="1">binary</definedName>
    <definedName name="solver_rhs13" hidden="1">binary</definedName>
    <definedName name="solver_rhs14" localSheetId="0" hidden="1">binary</definedName>
    <definedName name="solver_rhs14" hidden="1">binary</definedName>
    <definedName name="solver_rhs15" localSheetId="0" hidden="1">binary</definedName>
    <definedName name="solver_rhs15" hidden="1">binary</definedName>
    <definedName name="solver_rhs16" localSheetId="0" hidden="1">binary</definedName>
    <definedName name="solver_rhs16" hidden="1">binary</definedName>
    <definedName name="solver_rhs17" localSheetId="0" hidden="1">binary</definedName>
    <definedName name="solver_rhs17" hidden="1">binary</definedName>
    <definedName name="solver_rhs18" localSheetId="0" hidden="1">binary</definedName>
    <definedName name="solver_rhs18" hidden="1">binary</definedName>
    <definedName name="solver_rhs19" localSheetId="0" hidden="1">binary</definedName>
    <definedName name="solver_rhs19" hidden="1">binary</definedName>
    <definedName name="solver_rhs2" localSheetId="0" hidden="1">binary</definedName>
    <definedName name="solver_rhs2" hidden="1">binary</definedName>
    <definedName name="solver_rhs20" localSheetId="0" hidden="1">binary</definedName>
    <definedName name="solver_rhs20" hidden="1">binary</definedName>
    <definedName name="solver_rhs21" localSheetId="0" hidden="1">binary</definedName>
    <definedName name="solver_rhs21" hidden="1">binary</definedName>
    <definedName name="solver_rhs22" localSheetId="0" hidden="1">binary</definedName>
    <definedName name="solver_rhs22" hidden="1">binary</definedName>
    <definedName name="solver_rhs23" hidden="1">#REF!</definedName>
    <definedName name="solver_rhs24" localSheetId="0" hidden="1">binary</definedName>
    <definedName name="solver_rhs24" hidden="1">binary</definedName>
    <definedName name="solver_rhs25" localSheetId="0" hidden="1">binary</definedName>
    <definedName name="solver_rhs25" hidden="1">binary</definedName>
    <definedName name="solver_rhs26" localSheetId="0" hidden="1">binary</definedName>
    <definedName name="solver_rhs26" hidden="1">binary</definedName>
    <definedName name="solver_rhs27" localSheetId="0" hidden="1">binary</definedName>
    <definedName name="solver_rhs27" hidden="1">binary</definedName>
    <definedName name="solver_rhs28" localSheetId="0" hidden="1">binary</definedName>
    <definedName name="solver_rhs28" hidden="1">binary</definedName>
    <definedName name="solver_rhs29" localSheetId="0" hidden="1">binary</definedName>
    <definedName name="solver_rhs29" hidden="1">binary</definedName>
    <definedName name="solver_rhs3" localSheetId="0" hidden="1">binary</definedName>
    <definedName name="solver_rhs3" hidden="1">binary</definedName>
    <definedName name="solver_rhs30" localSheetId="0" hidden="1">binary</definedName>
    <definedName name="solver_rhs30" hidden="1">binary</definedName>
    <definedName name="solver_rhs31" localSheetId="0" hidden="1">binary</definedName>
    <definedName name="solver_rhs31" hidden="1">binary</definedName>
    <definedName name="solver_rhs32" localSheetId="0" hidden="1">binary</definedName>
    <definedName name="solver_rhs32" hidden="1">binary</definedName>
    <definedName name="solver_rhs33" localSheetId="0" hidden="1">binary</definedName>
    <definedName name="solver_rhs33" hidden="1">binary</definedName>
    <definedName name="solver_rhs34" localSheetId="0" hidden="1">binary</definedName>
    <definedName name="solver_rhs34" hidden="1">binary</definedName>
    <definedName name="solver_rhs35" localSheetId="0" hidden="1">binary</definedName>
    <definedName name="solver_rhs35" hidden="1">binary</definedName>
    <definedName name="solver_rhs36" localSheetId="0" hidden="1">binary</definedName>
    <definedName name="solver_rhs36" hidden="1">binary</definedName>
    <definedName name="solver_rhs37" localSheetId="0" hidden="1">binary</definedName>
    <definedName name="solver_rhs37" hidden="1">binary</definedName>
    <definedName name="solver_rhs38" localSheetId="0" hidden="1">binary</definedName>
    <definedName name="solver_rhs38" hidden="1">binary</definedName>
    <definedName name="solver_rhs39" localSheetId="0" hidden="1">binary</definedName>
    <definedName name="solver_rhs39" hidden="1">binary</definedName>
    <definedName name="solver_rhs4" localSheetId="0" hidden="1">binary</definedName>
    <definedName name="solver_rhs4" hidden="1">binary</definedName>
    <definedName name="solver_rhs40" localSheetId="0" hidden="1">binary</definedName>
    <definedName name="solver_rhs40" hidden="1">binary</definedName>
    <definedName name="solver_rhs41" localSheetId="0" hidden="1">binary</definedName>
    <definedName name="solver_rhs41" hidden="1">binary</definedName>
    <definedName name="solver_rhs42" localSheetId="0" hidden="1">binary</definedName>
    <definedName name="solver_rhs42" hidden="1">binary</definedName>
    <definedName name="solver_rhs43" localSheetId="0" hidden="1">binary</definedName>
    <definedName name="solver_rhs43" hidden="1">binary</definedName>
    <definedName name="solver_rhs44" localSheetId="0" hidden="1">binary</definedName>
    <definedName name="solver_rhs44" hidden="1">binary</definedName>
    <definedName name="solver_rhs45" hidden="1">#REF!</definedName>
    <definedName name="solver_rhs46" localSheetId="0" hidden="1">binary</definedName>
    <definedName name="solver_rhs46" hidden="1">binary</definedName>
    <definedName name="solver_rhs47" localSheetId="0" hidden="1">binary</definedName>
    <definedName name="solver_rhs47" hidden="1">binary</definedName>
    <definedName name="solver_rhs48" localSheetId="0" hidden="1">binary</definedName>
    <definedName name="solver_rhs48" hidden="1">binary</definedName>
    <definedName name="solver_rhs49" localSheetId="0" hidden="1">binary</definedName>
    <definedName name="solver_rhs49" hidden="1">binary</definedName>
    <definedName name="solver_rhs5" localSheetId="0" hidden="1">binary</definedName>
    <definedName name="solver_rhs5" hidden="1">binary</definedName>
    <definedName name="solver_rhs50" localSheetId="0" hidden="1">binary</definedName>
    <definedName name="solver_rhs50" hidden="1">binary</definedName>
    <definedName name="solver_rhs51" localSheetId="0" hidden="1">binary</definedName>
    <definedName name="solver_rhs51" hidden="1">binary</definedName>
    <definedName name="solver_rhs52" localSheetId="0" hidden="1">binary</definedName>
    <definedName name="solver_rhs52" hidden="1">binary</definedName>
    <definedName name="solver_rhs53" localSheetId="0" hidden="1">binary</definedName>
    <definedName name="solver_rhs53" hidden="1">binary</definedName>
    <definedName name="solver_rhs54" localSheetId="0" hidden="1">binary</definedName>
    <definedName name="solver_rhs54" hidden="1">binary</definedName>
    <definedName name="solver_rhs55" localSheetId="0" hidden="1">binary</definedName>
    <definedName name="solver_rhs55" hidden="1">binary</definedName>
    <definedName name="solver_rhs56" localSheetId="0" hidden="1">binary</definedName>
    <definedName name="solver_rhs56" hidden="1">binary</definedName>
    <definedName name="solver_rhs57" localSheetId="0" hidden="1">binary</definedName>
    <definedName name="solver_rhs57" hidden="1">binary</definedName>
    <definedName name="solver_rhs58" localSheetId="0" hidden="1">binary</definedName>
    <definedName name="solver_rhs58" hidden="1">binary</definedName>
    <definedName name="solver_rhs59" localSheetId="0" hidden="1">binary</definedName>
    <definedName name="solver_rhs59" hidden="1">binary</definedName>
    <definedName name="solver_rhs6" localSheetId="0" hidden="1">binary</definedName>
    <definedName name="solver_rhs6" hidden="1">binary</definedName>
    <definedName name="solver_rhs60" localSheetId="0" hidden="1">binary</definedName>
    <definedName name="solver_rhs60" hidden="1">binary</definedName>
    <definedName name="solver_rhs61" localSheetId="0" hidden="1">binary</definedName>
    <definedName name="solver_rhs61" hidden="1">binary</definedName>
    <definedName name="solver_rhs62" localSheetId="0" hidden="1">binary</definedName>
    <definedName name="solver_rhs62" hidden="1">binary</definedName>
    <definedName name="solver_rhs63" localSheetId="0" hidden="1">binary</definedName>
    <definedName name="solver_rhs63" hidden="1">binary</definedName>
    <definedName name="solver_rhs64" localSheetId="0" hidden="1">binary</definedName>
    <definedName name="solver_rhs64" hidden="1">binary</definedName>
    <definedName name="solver_rhs65" localSheetId="0" hidden="1">binary</definedName>
    <definedName name="solver_rhs65" hidden="1">binary</definedName>
    <definedName name="solver_rhs66" localSheetId="0" hidden="1">binary</definedName>
    <definedName name="solver_rhs66" hidden="1">binary</definedName>
    <definedName name="solver_rhs67" hidden="1">#REF!</definedName>
    <definedName name="solver_rhs68" localSheetId="0" hidden="1">binary</definedName>
    <definedName name="solver_rhs68" hidden="1">binary</definedName>
    <definedName name="solver_rhs69" localSheetId="0" hidden="1">binary</definedName>
    <definedName name="solver_rhs69" hidden="1">binary</definedName>
    <definedName name="solver_rhs7" localSheetId="0" hidden="1">binary</definedName>
    <definedName name="solver_rhs7" hidden="1">binary</definedName>
    <definedName name="solver_rhs70" localSheetId="0" hidden="1">binary</definedName>
    <definedName name="solver_rhs70" hidden="1">binary</definedName>
    <definedName name="solver_rhs71" localSheetId="0" hidden="1">binary</definedName>
    <definedName name="solver_rhs71" hidden="1">binary</definedName>
    <definedName name="solver_rhs72" localSheetId="0" hidden="1">binary</definedName>
    <definedName name="solver_rhs72" hidden="1">binary</definedName>
    <definedName name="solver_rhs73" localSheetId="0" hidden="1">binary</definedName>
    <definedName name="solver_rhs73" hidden="1">binary</definedName>
    <definedName name="solver_rhs74" localSheetId="0" hidden="1">binary</definedName>
    <definedName name="solver_rhs74" hidden="1">binary</definedName>
    <definedName name="solver_rhs75" localSheetId="0" hidden="1">binary</definedName>
    <definedName name="solver_rhs75" hidden="1">binary</definedName>
    <definedName name="solver_rhs76" localSheetId="0" hidden="1">binary</definedName>
    <definedName name="solver_rhs76" hidden="1">binary</definedName>
    <definedName name="solver_rhs77" localSheetId="0" hidden="1">binary</definedName>
    <definedName name="solver_rhs77" hidden="1">binary</definedName>
    <definedName name="solver_rhs78" localSheetId="0" hidden="1">binary</definedName>
    <definedName name="solver_rhs78" hidden="1">binary</definedName>
    <definedName name="solver_rhs79" localSheetId="0" hidden="1">binary</definedName>
    <definedName name="solver_rhs79" hidden="1">binary</definedName>
    <definedName name="solver_rhs8" localSheetId="0" hidden="1">binary</definedName>
    <definedName name="solver_rhs8" hidden="1">binary</definedName>
    <definedName name="solver_rhs80" localSheetId="0" hidden="1">binary</definedName>
    <definedName name="solver_rhs80" hidden="1">binary</definedName>
    <definedName name="solver_rhs81" localSheetId="0" hidden="1">binary</definedName>
    <definedName name="solver_rhs81" hidden="1">binary</definedName>
    <definedName name="solver_rhs82" localSheetId="0" hidden="1">binary</definedName>
    <definedName name="solver_rhs82" hidden="1">binary</definedName>
    <definedName name="solver_rhs83" localSheetId="0" hidden="1">binary</definedName>
    <definedName name="solver_rhs83" hidden="1">binary</definedName>
    <definedName name="solver_rhs84" localSheetId="0" hidden="1">binary</definedName>
    <definedName name="solver_rhs84" hidden="1">binary</definedName>
    <definedName name="solver_rhs85" localSheetId="0" hidden="1">binary</definedName>
    <definedName name="solver_rhs85" hidden="1">binary</definedName>
    <definedName name="solver_rhs86" localSheetId="0" hidden="1">binary</definedName>
    <definedName name="solver_rhs86" hidden="1">binary</definedName>
    <definedName name="solver_rhs87" localSheetId="0" hidden="1">binary</definedName>
    <definedName name="solver_rhs87" hidden="1">binary</definedName>
    <definedName name="solver_rhs88" localSheetId="0" hidden="1">binary</definedName>
    <definedName name="solver_rhs88" hidden="1">binary</definedName>
    <definedName name="solver_rhs9" localSheetId="0" hidden="1">binary</definedName>
    <definedName name="solver_rhs9" hidden="1">binary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</definedName>
    <definedName name="solver2" hidden="1">#REF!</definedName>
    <definedName name="sort">#REF!</definedName>
    <definedName name="sot" hidden="1">#REF!</definedName>
    <definedName name="SpecialPrice" hidden="1">#REF!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ponsortier1">#REF!</definedName>
    <definedName name="sponsortier2">#REF!</definedName>
    <definedName name="sponsortier3">#REF!</definedName>
    <definedName name="sponsortier4">#REF!</definedName>
    <definedName name="SPWS_WBID">"8129601D-092E-4067-B84D-9BC90C2562C1"</definedName>
    <definedName name="SqFt">#REF!</definedName>
    <definedName name="sql_statement" hidden="1">"select distinct acct_cat,sum(cyr),sum(lyr),sum(cbd),mult_x000D_
from r1_datasum_x000D_
group by acct_cat_x000D_
_x000D_
"</definedName>
    <definedName name="SR_Lookup">#REF!</definedName>
    <definedName name="srhtjdtyjn" hidden="1">#REF!</definedName>
    <definedName name="srt" hidden="1">#REF!</definedName>
    <definedName name="ss" hidden="1">{"'Lennar U.S. Partners'!$A$1:$N$53"}</definedName>
    <definedName name="SS_fin_high_pg2">#REF!</definedName>
    <definedName name="SS_finhigh_pg1">#REF!</definedName>
    <definedName name="SS_mthoprslt_pg2">#REF!</definedName>
    <definedName name="SS_ytdoprslt_pg3">#REF!</definedName>
    <definedName name="ssm" hidden="1">#REF!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 hidden="1">{#N/A,#N/A,TRUE,"10 Yr Hold";#N/A,#N/A,TRUE,"7 Yr Hold";#N/A,#N/A,TRUE,"5 Yr Hold";#N/A,#N/A,TRUE,"3 Yr Hold"}</definedName>
    <definedName name="ssss" hidden="1">{#N/A,#N/A,FALSE,"Class A";#N/A,#N/A,FALSE,"Class B";#N/A,#N/A,FALSE,"Class C"}</definedName>
    <definedName name="SSSSSVS" hidden="1">{"print annual inc. statement",#N/A,FALSE,"Summary";"print annual stats",#N/A,FALSE,"Summary";"print quarterly inc. statement",#N/A,FALSE,"Summary";"print quarterly stats",#N/A,FALSE,"Summary"}</definedName>
    <definedName name="st" hidden="1">#REF!</definedName>
    <definedName name="ST_INPUT">#REF!</definedName>
    <definedName name="STAB">#REF!</definedName>
    <definedName name="STAB_ROLL_SF">#REF!</definedName>
    <definedName name="StableYr">#REF!</definedName>
    <definedName name="Stacked_Blue" hidden="1">"c1449"</definedName>
    <definedName name="Stadium" hidden="1">{#N/A,#N/A,TRUE,"Ericsson Stadium PCD ";#N/A,#N/A,TRUE,"Ericsson Stadium IOR"}</definedName>
    <definedName name="stadiuma" hidden="1">{#N/A,#N/A,TRUE,"Ericsson Stadium PCD ";#N/A,#N/A,TRUE,"Ericsson Stadium IOR"}</definedName>
    <definedName name="STANDARDS">#REF!</definedName>
    <definedName name="stands" hidden="1">{"FCB_ALL",#N/A,FALSE,"FCB";"GREY_ALL",#N/A,FALSE,"GREY"}</definedName>
    <definedName name="stands1" hidden="1">{"FCB_ALL",#N/A,FALSE,"FCB";"GREY_ALL",#N/A,FALSE,"GREY"}</definedName>
    <definedName name="stare" hidden="1">{#N/A,#N/A,TRUE,"A-site";#N/A,#N/A,TRUE,"B-Buildings";#N/A,#N/A,TRUE,"c-out-of-fence";#N/A,#N/A,TRUE,"d-proj.infr.";#N/A,#N/A,TRUE,"e- land"}</definedName>
    <definedName name="Start">#REF!</definedName>
    <definedName name="Start_Date">#REF!</definedName>
    <definedName name="Startcell">#REF!</definedName>
    <definedName name="StartCol">#REF!</definedName>
    <definedName name="StartDate">#REF!</definedName>
    <definedName name="StartRow">#REF!</definedName>
    <definedName name="StartYr">#REF!</definedName>
    <definedName name="State_List">#REF!</definedName>
    <definedName name="Statistics">#REF!</definedName>
    <definedName name="Status">#REF!</definedName>
    <definedName name="Status_Unit1">#REF!</definedName>
    <definedName name="Status1">#REF!</definedName>
    <definedName name="Status2">#REF!</definedName>
    <definedName name="Status3">#REF!</definedName>
    <definedName name="Status4">#REF!</definedName>
    <definedName name="Status5">#REF!</definedName>
    <definedName name="Status6">#REF!</definedName>
    <definedName name="Status7">#REF!</definedName>
    <definedName name="STNDRDPRS">#REF!</definedName>
    <definedName name="stop" hidden="1">#REF!</definedName>
    <definedName name="Straßenreinigung">#REF!</definedName>
    <definedName name="Strike">#REF!</definedName>
    <definedName name="StudentValueBasis">#REF!</definedName>
    <definedName name="stuff" hidden="1">{"CSheet",#N/A,FALSE,"C";"SmCap",#N/A,FALSE,"VAL1";"GulfCoast",#N/A,FALSE,"VAL1";"nav",#N/A,FALSE,"NAV";"Summary",#N/A,FALSE,"NAV"}</definedName>
    <definedName name="stupid" hidden="1">{"cap_structure",#N/A,FALSE,"Graph-Mkt Cap";"price",#N/A,FALSE,"Graph-Price";"ebit",#N/A,FALSE,"Graph-EBITDA";"ebitda",#N/A,FALSE,"Graph-EBITDA"}</definedName>
    <definedName name="subj_EBITDA" hidden="1">#REF!</definedName>
    <definedName name="SubsGrowth" hidden="1">#REF!</definedName>
    <definedName name="SUl" hidden="1">{#N/A,#N/A,FALSE,"Fund-II"}</definedName>
    <definedName name="SUMM">#REF!</definedName>
    <definedName name="SUMMARY">#REF!</definedName>
    <definedName name="SUMMARY_BOOK" hidden="1">{"page1",#N/A,FALSE,"GIRLBO";"page2",#N/A,FALSE,"GIRLBO";"page3",#N/A,FALSE,"GIRLBO";"page4",#N/A,FALSE,"GIRLBO";"page5",#N/A,FALSE,"GIRLBO"}</definedName>
    <definedName name="Summary2" hidden="1">{"INCOME",#N/A,FALSE,"ProNet";"VALUE",#N/A,FALSE,"ProNet"}</definedName>
    <definedName name="summary3" hidden="1">{"INCOME",#N/A,FALSE,"ProNet";"VALUE",#N/A,FALSE,"ProNet"}</definedName>
    <definedName name="summaryy" hidden="1">{#N/A,#N/A,TRUE,"Krycí list"}</definedName>
    <definedName name="Support4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Susie" hidden="1">{#N/A,#N/A,FALSE,"ZellLurieFinSummary";#N/A,#N/A,FALSE,"FirstCapFinSummary";#N/A,#N/A,FALSE,"ZM I-III Consol FinSummary"}</definedName>
    <definedName name="switch">#REF!</definedName>
    <definedName name="Swvu.ALL." hidden="1">#REF!</definedName>
    <definedName name="Swvu.CAM._.RATES." hidden="1">#REF!</definedName>
    <definedName name="Swvu.CAM._.RECOVERIES." hidden="1">#REF!</definedName>
    <definedName name="Swvu.CAM._.RECOVERY." hidden="1">#REF!</definedName>
    <definedName name="Swvu.CAM._.TABLE." hidden="1">#REF!</definedName>
    <definedName name="Swvu.FRP_BACKLOG1." hidden="1">#REF!</definedName>
    <definedName name="Swvu.FRP_backlog2." hidden="1">#REF!</definedName>
    <definedName name="Swvu.inputs._.raw._.data." hidden="1">#REF!</definedName>
    <definedName name="Swvu.INSURANCE._.RECOVERIES." hidden="1">#REF!</definedName>
    <definedName name="Swvu.LSMEET." hidden="1">#REF!</definedName>
    <definedName name="Swvu.MARKETING._.REVENUE." hidden="1">#REF!</definedName>
    <definedName name="Swvu.MINIMUM._.RENT." hidden="1">#REF!</definedName>
    <definedName name="Swvu.OCCUPANCY." hidden="1">#REF!</definedName>
    <definedName name="Swvu.OCCUPANCY._.ANALYSIS." hidden="1">#REF!</definedName>
    <definedName name="Swvu.Overhead._.detail." hidden="1">#REF!</definedName>
    <definedName name="Swvu.PERCENTAGE._.RENT." hidden="1">#REF!</definedName>
    <definedName name="Swvu.Profit._.report._.detailed." hidden="1">#REF!</definedName>
    <definedName name="Swvu.Sommaire." hidden="1">#REF!,#REF!,#REF!,#REF!,#REF!,#REF!</definedName>
    <definedName name="Swvu.summary1." hidden="1">#REF!</definedName>
    <definedName name="Swvu.summary2." hidden="1">#REF!</definedName>
    <definedName name="Swvu.summary3." hidden="1">#REF!</definedName>
    <definedName name="Swvu.TAX._.RATES." hidden="1">#REF!</definedName>
    <definedName name="Swvu.TAX._.RECOVERIES." hidden="1">#REF!</definedName>
    <definedName name="Swvu.TAX._.RECOVERY." hidden="1">#REF!</definedName>
    <definedName name="Swvu.WAT." hidden="1">#REF!</definedName>
    <definedName name="sx" hidden="1">{#N/A,#N/A,FALSE,"Chart 2 by Prop Type"}</definedName>
    <definedName name="sxdfrtxdft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syb">"MVX-CA"</definedName>
    <definedName name="T">#REF!</definedName>
    <definedName name="TABLE_1">#REF!</definedName>
    <definedName name="TABLE_3">#REF!</definedName>
    <definedName name="Table4">#REF!</definedName>
    <definedName name="Table4a">#REF!</definedName>
    <definedName name="Table5">#REF!</definedName>
    <definedName name="Table5a">#REF!</definedName>
    <definedName name="Table6">#REF!</definedName>
    <definedName name="Table6a">#REF!</definedName>
    <definedName name="TableName">"Dummy"</definedName>
    <definedName name="TableNames">#REF!,#REF!</definedName>
    <definedName name="tableofcontents">#REF!</definedName>
    <definedName name="TablePage2.com" hidden="1">{"COM",#N/A,FALSE,"800 10th"}</definedName>
    <definedName name="tables" hidden="1">#REF!</definedName>
    <definedName name="TableTypes">#REF!,#REF!</definedName>
    <definedName name="tanner">#REF!</definedName>
    <definedName name="Target" hidden="1">{"AnnualRentRoll",#N/A,FALSE,"RentRoll"}</definedName>
    <definedName name="Target.Company">"ETC-CA"</definedName>
    <definedName name="Tax_Rate">#REF!</definedName>
    <definedName name="TAXADJUST">#REF!</definedName>
    <definedName name="taxes">#REF!</definedName>
    <definedName name="TaxInflation">#REF!</definedName>
    <definedName name="TaxRate">#REF!</definedName>
    <definedName name="TAXRATE01">#REF!</definedName>
    <definedName name="TAXVALUE">#REF!</definedName>
    <definedName name="tbl_ProdInfo" hidden="1">#REF!</definedName>
    <definedName name="TC">#REF!</definedName>
    <definedName name="tdyjdtyj" hidden="1">{"Investor",#N/A,FALSE,"Model";"Property",#N/A,FALSE,"Model";"Incentive Taxes",#N/A,FALSE,"Model"}</definedName>
    <definedName name="temp" hidden="1">{"Financials",#N/A,FALSE,"Financials";"AVP",#N/A,FALSE,"AVP";"DCF",#N/A,FALSE,"DCF";"CSC",#N/A,FALSE,"CSC";"Deal_Comp",#N/A,FALSE,"DealComp"}</definedName>
    <definedName name="temp2" hidden="1">{"Print CRXLAND Assumptions",#N/A,FALSE,"CRXLAND Openings";"Print CRXLAND Openings",#N/A,FALSE,"CRXLAND Openings"}</definedName>
    <definedName name="template" hidden="1">{"'Lennar U.S. Partners'!$A$1:$N$53"}</definedName>
    <definedName name="tempor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mporary" hidden="1">{"Construction Costs",#N/A,FALSE,"Total Costs"}</definedName>
    <definedName name="tenant">#REF!</definedName>
    <definedName name="tenant_address">#REF!</definedName>
    <definedName name="tenant_list">#REF!</definedName>
    <definedName name="Term_in_years">#REF!</definedName>
    <definedName name="TermCap">#REF!</definedName>
    <definedName name="TermCap_yr10">#REF!</definedName>
    <definedName name="TermCap_yr3">#REF!</definedName>
    <definedName name="TermCap_yr5">#REF!</definedName>
    <definedName name="Terminate">#REF!</definedName>
    <definedName name="test" hidden="1">{#N/A,#N/A,FALSE,"HISTORICAL REV &amp; EXP"}</definedName>
    <definedName name="test1" hidden="1">#REF!</definedName>
    <definedName name="test10" hidden="1">{"INCOME",#N/A,FALSE,"ProNet";"VALUE",#N/A,FALSE,"ProNet"}</definedName>
    <definedName name="test100" hidden="1">{"View1",#N/A,FALSE,"Sheet1";"View2",#N/A,FALSE,"Sheet1"}</definedName>
    <definedName name="test11" hidden="1">{#N/A,#N/A,FALSE,"Fund-II"}</definedName>
    <definedName name="Test2" hidden="1">{"INCOME",#N/A,FALSE,"ProNet";"VALUE",#N/A,FALSE,"ProNet"}</definedName>
    <definedName name="Test2_old" hidden="1">{"INCOME",#N/A,FALSE,"ProNet";"VALUE",#N/A,FALSE,"ProNet"}</definedName>
    <definedName name="test20" hidden="1">{"INCOME",#N/A,FALSE,"ProNet";"VALUE",#N/A,FALSE,"ProNet"}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_old" hidden="1">{"INCOME",#N/A,FALSE,"ProNet";"VALUE",#N/A,FALSE,"ProNet"}</definedName>
    <definedName name="test30" hidden="1">{"INCOME",#N/A,FALSE,"ProNet";"VALUE",#N/A,FALSE,"ProNet"}</definedName>
    <definedName name="test4" hidden="1">{"CHART",#N/A,FALSE,"Arch Communications"}</definedName>
    <definedName name="test4_old" hidden="1">{"CHART",#N/A,FALSE,"Arch Communications"}</definedName>
    <definedName name="test40" hidden="1">{"CHART",#N/A,FALSE,"Arch Communications"}</definedName>
    <definedName name="test6" hidden="1">{"CHART",#N/A,FALSE,"Arch Communications"}</definedName>
    <definedName name="test60" hidden="1">{"CHART",#N/A,FALSE,"Arch Communications"}</definedName>
    <definedName name="testcopy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IIL1">NOT(ISERR(DATEVALUE(LEFT([0]!cc,FIND("|", [0]!cc)-1) &amp; "/01")))</definedName>
    <definedName name="TestIIL2">ISNUMBER(VALUE(MID([0]!cc,FP+1, FIND("|", [0]!cc, FP+1)-FP-1)))</definedName>
    <definedName name="TestIIL3">OR(RIGHT([0]!cc,1)="0", RIGHT([0]!cc,1)="1")</definedName>
    <definedName name="testing2" hidden="1">{"View1",#N/A,FALSE,"Sheet1";"View2",#N/A,FALSE,"Sheet1"}</definedName>
    <definedName name="testnig" hidden="1">{#N/A,#N/A,FALSE,"OVERVIEW"}</definedName>
    <definedName name="testpark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xtRefCopyRangeCount" hidden="1">9</definedName>
    <definedName name="tgreta" hidden="1">#REF!</definedName>
    <definedName name="th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Thou">#REF!</definedName>
    <definedName name="Threeyr_Data" hidden="1">#REF!</definedName>
    <definedName name="TI" hidden="1">#REF!</definedName>
    <definedName name="TI_BLEND">#REF!</definedName>
    <definedName name="TI_NEW">#REF!</definedName>
    <definedName name="TI_RENEWAL">#REF!</definedName>
    <definedName name="ticker">"B1Z95S"</definedName>
    <definedName name="tickname" hidden="1">#REF!</definedName>
    <definedName name="tilcdebt">#REF!</definedName>
    <definedName name="title">#REF!</definedName>
    <definedName name="TM1REBUILDOPTION">0</definedName>
    <definedName name="TMS_TEMPLATE_ID">"Workbook"</definedName>
    <definedName name="TOTA196">#REF!</definedName>
    <definedName name="TOTA295">#REF!</definedName>
    <definedName name="TOTA296">#REF!</definedName>
    <definedName name="Total">#REF!</definedName>
    <definedName name="Total_Net_Purchase_Price">#REF!</definedName>
    <definedName name="Total_Parking_Income">#REF!</definedName>
    <definedName name="Total_Pay">#REF!</definedName>
    <definedName name="Total_Payment" localSheetId="2">SCHEDULED_PAYMENT+EXTRA_PAYMENT</definedName>
    <definedName name="Total_Payment" localSheetId="0">SCHEDULED_PAYMENT+EXTRA_PAYMENT</definedName>
    <definedName name="Total_Payment">SCHEDULED_PAYMENT+EXTRA_PAYMENT</definedName>
    <definedName name="Total_Sales_Price">#REF!</definedName>
    <definedName name="Total_Subsidiary_Space_Income">#REF!</definedName>
    <definedName name="Total_Units">#REF!</definedName>
    <definedName name="TotalCF">#REF!</definedName>
    <definedName name="TotalCollected">#REF!</definedName>
    <definedName name="TotalHardCosts" hidden="1">#REF!</definedName>
    <definedName name="TOTALNRA">#REF!</definedName>
    <definedName name="TotalProjectOHLot" hidden="1">#REF!</definedName>
    <definedName name="TOTALrevenue">#REF!</definedName>
    <definedName name="TotalSalesPrice" hidden="1">#REF!</definedName>
    <definedName name="TotalSF">#REF!</definedName>
    <definedName name="TotalUnits">#REF!</definedName>
    <definedName name="totcap" hidden="1">#REF!,#REF!,#REF!,#REF!</definedName>
    <definedName name="TotCost">#REF!</definedName>
    <definedName name="TotEq">#REF!</definedName>
    <definedName name="TOTNRA">#REF!</definedName>
    <definedName name="TOTPRICE">#REF!</definedName>
    <definedName name="TP_Footer_Path" hidden="1">"S:\01534\2003RET\016\PROJ FILE\"</definedName>
    <definedName name="TP_Footer_User" hidden="1">"omichij"</definedName>
    <definedName name="TP_Footer_Version" hidden="1">"v3.00"</definedName>
    <definedName name="Trans_Cost">#REF!</definedName>
    <definedName name="treeList" hidden="1">"11100000000000000000000000000000000000000000000000000000000000000000000000000000000000000000000000000000000000000000000000000000000000000000000000000000000000000000000000000000000000000000000000000000"</definedName>
    <definedName name="trhrwty" hidden="1">#REF!</definedName>
    <definedName name="Trial">#REF!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tt" hidden="1">#REF!</definedName>
    <definedName name="tttt" hidden="1">{"data",#N/A,FALSE,"INPUT"}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vguide">#REF!</definedName>
    <definedName name="twn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twohy">#REF!</definedName>
    <definedName name="tyjetyj" hidden="1">#REF!</definedName>
    <definedName name="tyjsrty" hidden="1">{"Investor",#N/A,FALSE,"Model";"Property",#N/A,FALSE,"Model";"Incentive Taxes",#N/A,FALSE,"Model"}</definedName>
    <definedName name="tykjthk" hidden="1">{"Investor",#N/A,FALSE,"Model";"Property",#N/A,FALSE,"Model";"Incentive Taxes",#N/A,FALSE,"Model"}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nonasset" hidden="1">#REF!</definedName>
    <definedName name="Type">#REF!</definedName>
    <definedName name="type_1">#REF!</definedName>
    <definedName name="type_1_breakpoint">#REF!</definedName>
    <definedName name="type_1_SF">#REF!</definedName>
    <definedName name="type_2">#REF!</definedName>
    <definedName name="type_2_breakpoint">#REF!</definedName>
    <definedName name="type_2_SF">#REF!</definedName>
    <definedName name="type_3">#REF!</definedName>
    <definedName name="type_3_breakpoint">#REF!</definedName>
    <definedName name="type_3_SF">#REF!</definedName>
    <definedName name="type_4">#REF!</definedName>
    <definedName name="type_4_breakpoint">#REF!</definedName>
    <definedName name="type_4_SF">#REF!</definedName>
    <definedName name="type_5">#REF!</definedName>
    <definedName name="type_5_breakpoint">#REF!</definedName>
    <definedName name="type_5_SF">#REF!</definedName>
    <definedName name="TypeList">#REF!</definedName>
    <definedName name="tyrt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u" hidden="1">{"CSheet",#N/A,FALSE,"C";"SmCap",#N/A,FALSE,"VAL1";"GulfCoast",#N/A,FALSE,"VAL1";"nav",#N/A,FALSE,"NAV";"Summary",#N/A,FALSE,"NAV"}</definedName>
    <definedName name="Überschuss___Fehlbetrag">#REF!</definedName>
    <definedName name="UCosts">#REF!</definedName>
    <definedName name="uen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ui" hidden="1">{"Total",#N/A,FALSE,"Total Proved";"PDP",#N/A,FALSE,"Total Proved";"PNP",#N/A,FALSE,"Total Proved";"PUD",#N/A,FALSE,"Total Proved"}</definedName>
    <definedName name="uigl" hidden="1">#REF!</definedName>
    <definedName name="uioiuo" hidden="1">{#N/A,#N/A,FALSE,"Highridge Return Analysis";#N/A,#N/A,FALSE,"Sale @ end of year 3 (4yr Plan)";#N/A,#N/A,FALSE,"Highridge Assumption Page"}</definedName>
    <definedName name="uiyui" hidden="1">{"sheet a",#N/A,FALSE,"A";"2 9 casflow",#N/A,FALSE,"B"}</definedName>
    <definedName name="uj" hidden="1">{#N/A,#N/A,FALSE,"Chart 2 by Prop Type"}</definedName>
    <definedName name="uky" hidden="1">#REF!</definedName>
    <definedName name="Unit">#REF!</definedName>
    <definedName name="UNIT_MIX">#REF!</definedName>
    <definedName name="Unit_Number">#REF!</definedName>
    <definedName name="Unit_Type">#REF!</definedName>
    <definedName name="Unit1_Info">#REF!</definedName>
    <definedName name="Unit1_Mo1">#REF!</definedName>
    <definedName name="Unit1_Rents">#REF!</definedName>
    <definedName name="UNIT95">#REF!</definedName>
    <definedName name="unitcount">#REF!</definedName>
    <definedName name="Units">#REF!</definedName>
    <definedName name="unitsav100">#REF!</definedName>
    <definedName name="unitsav101">#REF!</definedName>
    <definedName name="unitsav102">#REF!</definedName>
    <definedName name="unitsav103">#REF!</definedName>
    <definedName name="unitsav104">#REF!</definedName>
    <definedName name="unitsav105">#REF!</definedName>
    <definedName name="unitsav106">#REF!</definedName>
    <definedName name="unitsav107">#REF!</definedName>
    <definedName name="unitsav197">#REF!</definedName>
    <definedName name="unitsav198">#REF!</definedName>
    <definedName name="unitsav199">#REF!</definedName>
    <definedName name="unitsav200">#REF!</definedName>
    <definedName name="unitsav201">#REF!</definedName>
    <definedName name="unitsav202">#REF!</definedName>
    <definedName name="unitsav203">#REF!</definedName>
    <definedName name="unitsav204">#REF!</definedName>
    <definedName name="unitsav205">#REF!</definedName>
    <definedName name="unitsav206">#REF!</definedName>
    <definedName name="unitsav207">#REF!</definedName>
    <definedName name="unitsav297">#REF!</definedName>
    <definedName name="unitsav298">#REF!</definedName>
    <definedName name="unitsav299">#REF!</definedName>
    <definedName name="UNITSORD196">#REF!</definedName>
    <definedName name="Unrec_Costs">#REF!</definedName>
    <definedName name="Unrec_Exp">#REF!</definedName>
    <definedName name="Unrecoverable">#REF!</definedName>
    <definedName name="Unreserved">#REF!</definedName>
    <definedName name="USDollar" hidden="1">#REF!</definedName>
    <definedName name="UTIL2000">#REF!</definedName>
    <definedName name="UTIL2001">#REF!</definedName>
    <definedName name="uu" hidden="1">#REF!</definedName>
    <definedName name="uw4u" hidden="1">{"Investor",#N/A,FALSE,"Model";"Property",#N/A,FALSE,"Model";"Incentive Taxes",#N/A,FALSE,"Model"}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" hidden="1">#REF!</definedName>
    <definedName name="v_Key1" hidden="1">#REF!</definedName>
    <definedName name="v_Key2" hidden="1">#REF!</definedName>
    <definedName name="Vac">#REF!</definedName>
    <definedName name="VACANCY">#REF!</definedName>
    <definedName name="VACANT">#REF!</definedName>
    <definedName name="vacant_unit_count">#REF!</definedName>
    <definedName name="vacant_unit_rent">#REF!</definedName>
    <definedName name="vacant_unit_size">#REF!</definedName>
    <definedName name="vacant_unit_type">#REF!</definedName>
    <definedName name="VACINP">#REF!</definedName>
    <definedName name="VACNRA">#REF!</definedName>
    <definedName name="VALRA1">#REF!</definedName>
    <definedName name="VALRN1">#REF!</definedName>
    <definedName name="VALRN10">#REF!</definedName>
    <definedName name="VALRN11">#REF!</definedName>
    <definedName name="VALRN12">#REF!</definedName>
    <definedName name="VALRN2">#REF!</definedName>
    <definedName name="VALRN3">#REF!</definedName>
    <definedName name="VALRN4">#REF!</definedName>
    <definedName name="VALRN5">#REF!</definedName>
    <definedName name="VALRN6">#REF!</definedName>
    <definedName name="VALRN7">#REF!</definedName>
    <definedName name="VALRN8">#REF!</definedName>
    <definedName name="VALRN9">#REF!</definedName>
    <definedName name="VALRQ1">#REF!</definedName>
    <definedName name="VALRQ2">#REF!</definedName>
    <definedName name="VALRQ3">#REF!</definedName>
    <definedName name="VALRS1">#REF!</definedName>
    <definedName name="VALRS2">#REF!</definedName>
    <definedName name="VALRS3">#REF!</definedName>
    <definedName name="VALRS4">#REF!</definedName>
    <definedName name="VALRV1">#REF!</definedName>
    <definedName name="VALRV2">#REF!</definedName>
    <definedName name="VALRV3">#REF!</definedName>
    <definedName name="VALRV4">#REF!</definedName>
    <definedName name="VALRW1">#REF!</definedName>
    <definedName name="VALUE">#N/A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lues_Entered">IF(Loan_Amount*Interest_Rate*Loan_Years*Loan_Start&gt;0,1,0)</definedName>
    <definedName name="VALUESUM">#REF!</definedName>
    <definedName name="var96_96" hidden="1">{#N/A,#N/A,FALSE,"B_Spread"}</definedName>
    <definedName name="VarExp">#REF!</definedName>
    <definedName name="vasugi" hidden="1">{#N/A,#N/A,FALSE,"Class A";#N/A,#N/A,FALSE,"Class B";#N/A,#N/A,FALSE,"Class C"}</definedName>
    <definedName name="vc" hidden="1">#REF!</definedName>
    <definedName name="Versicherungen">#REF!</definedName>
    <definedName name="VerwGeb_SOLL">#REF!</definedName>
    <definedName name="vghjkvgh" hidden="1">{#N/A,#N/A,FALSE,"Expense Detail ";#N/A,#N/A,FALSE,"Worksheet";#N/A,#N/A,FALSE,"Audit";#N/A,#N/A,FALSE,"Exclusions";#N/A,#N/A,FALSE,"Variance";#N/A,#N/A,FALSE,"Reconciliation"}</definedName>
    <definedName name="vghvgh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vhjh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viasat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VIGRIN.Operations._.Review" hidden="1">{#N/A,#N/A,FALSE,"Proforma Five Yr";#N/A,#N/A,FALSE,"Occ and Rate";#N/A,#N/A,FALSE,"PF Input";#N/A,#N/A,FALSE,"Hotcomps"}</definedName>
    <definedName name="VIRG.Complete._.Review" hidden="1">{#N/A,#N/A,FALSE,"Occ and Rate";#N/A,#N/A,FALSE,"PF Input";#N/A,#N/A,FALSE,"Capital Input";#N/A,#N/A,FALSE,"Proforma Five Yr";#N/A,#N/A,FALSE,"Calculations";#N/A,#N/A,FALSE,"Transaction Summary-DTW"}</definedName>
    <definedName name="VIRGIN.Investment._.Review" hidden="1">{#N/A,#N/A,FALSE,"Proforma Five Yr";#N/A,#N/A,FALSE,"Capital Input";#N/A,#N/A,FALSE,"Calculations";#N/A,#N/A,FALSE,"Transaction Summary-DTW"}</definedName>
    <definedName name="VIRGIN.Phase._.I." hidden="1">{#N/A,#N/A,FALSE,"Transaction Summary-DTW";#N/A,#N/A,FALSE,"Proforma Five Yr";#N/A,#N/A,FALSE,"Occ and Rate"}</definedName>
    <definedName name="VIRGIN.Proforma._.Review." hidden="1">{#N/A,#N/A,FALSE,"Occ and Rate";#N/A,#N/A,FALSE,"PF Input";#N/A,#N/A,FALSE,"Proforma Five Yr";#N/A,#N/A,FALSE,"Hotcomps"}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nbs" hidden="1">{"FCB_ALL",#N/A,FALSE,"FCB"}</definedName>
    <definedName name="vsr" hidden="1">{"FCB_ALL",#N/A,FALSE,"FCB"}</definedName>
    <definedName name="vv" hidden="1">#REF!</definedName>
    <definedName name="vvv" hidden="1">{"1998",#N/A,FALSE,"1998"}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hidden="1">{"Assump",#N/A,TRUE,"Proforma";"first",#N/A,TRUE,"Proforma";"second",#N/A,TRUE,"Proforma";"lease1",#N/A,TRUE,"Proforma";"lease2",#N/A,TRUE,"Proforma"}</definedName>
    <definedName name="WACCnew" hidden="1">{"CHART",#N/A,FALSE,"Arch Communications"}</definedName>
    <definedName name="wafe" hidden="1">{"summary1",#N/A,TRUE,"Comps";"summary2",#N/A,TRUE,"Comps";"summary3",#N/A,TRUE,"Comps"}</definedName>
    <definedName name="WageType">#REF!</definedName>
    <definedName name="WalkYTDBudNEW" hidden="1">{"FIXVARIANCE",#N/A,FALSE,"COSTPHSE";"SOURCING",#N/A,FALSE,"COSTPHSE"}</definedName>
    <definedName name="Ward2273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artung_Aufzug">#REF!</definedName>
    <definedName name="Wartung_Heizung">#REF!</definedName>
    <definedName name="was" hidden="1">{#N/A,#N/A,FALSE,"Chart 2 by Prop Type"}</definedName>
    <definedName name="WatertownIncl.">#REF!</definedName>
    <definedName name="we" hidden="1">{#N/A,#N/A,FALSE,"Chart 2 by Prop Type"}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dsf" hidden="1">{#N/A,#N/A,FALSE,"Consolidated";#N/A,#N/A,FALSE,"Available Credit";#N/A,#N/A,FALSE,"100% Owned";#N/A,#N/A,FALSE,"Bentall U.S. LLC";#N/A,#N/A,FALSE,"Bentall Properties (U.S.) Ltd.";#N/A,#N/A,FALSE,"Schedule I"}</definedName>
    <definedName name="wegj56" hidden="1">{"scen1",#N/A,FALSE,"Scenarios";"scen2",#N/A,FALSE,"Scenarios"}</definedName>
    <definedName name="wen" hidden="1">{"Assumptions",#N/A,FALSE,"input page"}</definedName>
    <definedName name="wepij" hidden="1">#REF!</definedName>
    <definedName name="WEQQE" hidden="1">{"summary1",#N/A,TRUE,"Comps";"summary2",#N/A,TRUE,"Comps";"summary3",#N/A,TRUE,"Comps"}</definedName>
    <definedName name="wer" hidden="1">{"Total",#N/A,FALSE,"Six Fields";"PDP",#N/A,FALSE,"Six Fields";"PNP",#N/A,FALSE,"Six Fields";"PUD",#N/A,FALSE,"Six Fields";"Prob",#N/A,FALSE,"Six Fields"}</definedName>
    <definedName name="were" hidden="1">{"CHART",#N/A,FALSE,"Arch Communications"}</definedName>
    <definedName name="were2" hidden="1">{"CHART",#N/A,FALSE,"Arch Communications"}</definedName>
    <definedName name="wertewrt" hidden="1">#REF!</definedName>
    <definedName name="wertwert" hidden="1">{0,0,0,0;0,0,0,0;0,0,0,0;0,0,0,0;0,0,0,0}</definedName>
    <definedName name="werw" hidden="1">{#N/A,#N/A,TRUE,"COVER";#N/A,#N/A,TRUE,"PROFORMA";#N/A,#N/A,TRUE,"Construction CF";#N/A,#N/A,TRUE,"CASHFLOW"}</definedName>
    <definedName name="werwer" hidden="1">#N/A</definedName>
    <definedName name="werwerw" hidden="1">#N/A</definedName>
    <definedName name="West" hidden="1">#REF!</definedName>
    <definedName name="wet" hidden="1">{"CSheet",#N/A,FALSE,"C";"SmCap",#N/A,FALSE,"VAL1";"GulfCoast",#N/A,FALSE,"VAL1";"nav",#N/A,FALSE,"NAV";"Summary",#N/A,FALSE,"NAV"}</definedName>
    <definedName name="wetadf" hidden="1">{"Assump",#N/A,TRUE,"Proforma";"first",#N/A,TRUE,"Proforma";"second",#N/A,TRUE,"Proforma";"lease1",#N/A,TRUE,"Proforma";"lease2",#N/A,TRUE,"Proforma"}</definedName>
    <definedName name="WF_2_Inc">#REF!</definedName>
    <definedName name="WF_3_Inc">#REF!</definedName>
    <definedName name="what" hidden="1">{"clp_bs_doc",#N/A,FALSE,"CLP";"clp_is_doc",#N/A,FALSE,"CLP";"clp_cf_doc",#N/A,FALSE,"CLP";"clp_fr_doc",#N/A,FALSE,"CLP"}</definedName>
    <definedName name="what_asdf2" localSheetId="2" hidden="1">{#N/A,#N/A,FALSE,"OperatingAssumptions"}</definedName>
    <definedName name="what_asdf2" localSheetId="0" hidden="1">{#N/A,#N/A,FALSE,"OperatingAssumptions"}</definedName>
    <definedName name="what_asdf2" hidden="1">{#N/A,#N/A,FALSE,"OperatingAssumptions"}</definedName>
    <definedName name="what_asdf2_1" hidden="1">{#N/A,#N/A,FALSE,"OperatingAssumptions"}</definedName>
    <definedName name="what_asdf2_2" hidden="1">{#N/A,#N/A,FALSE,"OperatingAssumptions"}</definedName>
    <definedName name="what_asdf2_3" hidden="1">{#N/A,#N/A,FALSE,"OperatingAssumptions"}</definedName>
    <definedName name="what_asdf2_4" hidden="1">{#N/A,#N/A,FALSE,"OperatingAssumptions"}</definedName>
    <definedName name="Whatever" hidden="1">#REF!</definedName>
    <definedName name="whatwhat" hidden="1">{"Page1",#N/A,FALSE,"7979";"Page2",#N/A,FALSE,"7979";"Page3",#N/A,FALSE,"7979"}</definedName>
    <definedName name="whitehall">#REF!</definedName>
    <definedName name="WHSPLIT">#REF!</definedName>
    <definedName name="wilshire">#REF!</definedName>
    <definedName name="wmp" hidden="1">{#N/A,#N/A,FALSE,"ENGINEERING"}</definedName>
    <definedName name="wn.all." hidden="1">{#N/A,#N/A,FALSE,"Class A";#N/A,#N/A,FALSE,"Class B";#N/A,#N/A,FALSE,"Class C"}</definedName>
    <definedName name="wn.Management._.Report." hidden="1">{#N/A,#N/A,FALSE,"Title - Management";#N/A,#N/A,FALSE,"Schedule 1a";#N/A,#N/A,FALSE,"Schedule 2 - 2001";#N/A,#N/A,FALSE,"Schedule 2 - 2002";#N/A,#N/A,FALSE,"Schedule 2 - 2003";#N/A,#N/A,FALSE,"Schedule 3 - Mgnt ";#N/A,#N/A,FALSE,"Schedule 3";#N/A,#N/A,FALSE,"Schedule 4";#N/A,#N/A,FALSE,"Schedule 4a - Mgnt";#N/A,#N/A,FALSE,"Schedule 5";#N/A,#N/A,FALSE,"Schedule 5a";#N/A,#N/A,FALSE,"Schedule 6";#N/A,#N/A,FALSE,"Schedule 6a";#N/A,#N/A,FALSE,"Schedule 6b";#N/A,#N/A,FALSE,"Schedule 6c";#N/A,#N/A,FALSE,"Schedule 6d";#N/A,#N/A,FALSE,"Schedule 6e";#N/A,#N/A,FALSE,"Schedule 7";#N/A,#N/A,FALSE,"Schedule 8";#N/A,#N/A,FALSE,"Schedule 9- Mgnt";#N/A,#N/A,FALSE,"Schedule 10 - Mgmt Fees - Mgnt";#N/A,#N/A,FALSE,"Schedule 10- Leasing Fees- Mgnt";#N/A,#N/A,FALSE,"Schedule 10 - Devel Fees- Mgnt"}</definedName>
    <definedName name="woolworth">#REF!</definedName>
    <definedName name="worksheet_signature">#REF!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.all." hidden="1">{#N/A,#N/A,FALSE,"Class A";#N/A,#N/A,FALSE,"Class B";#N/A,#N/A,FALSE,"Class C"}</definedName>
    <definedName name="wr.alll." hidden="1">{#N/A,#N/A,FALSE,"Class A";#N/A,#N/A,FALSE,"Class B";#N/A,#N/A,FALSE,"Class C"}</definedName>
    <definedName name="wr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.Brookfield._.Notes." hidden="1">{#N/A,#N/A,FALSE,"Note 2";#N/A,#N/A,FALSE,"Note 3";#N/A,#N/A,FALSE,"Note 4";#N/A,#N/A,FALSE,"Note 5";#N/A,#N/A,FALSE,"Note 6";#N/A,#N/A,FALSE,"Note 10"}</definedName>
    <definedName name="wr.Brookfield._.Notes._1" hidden="1">{#N/A,#N/A,FALSE,"Note 2";#N/A,#N/A,FALSE,"Note 3";#N/A,#N/A,FALSE,"Note 4";#N/A,#N/A,FALSE,"Note 5";#N/A,#N/A,FALSE,"Note 6";#N/A,#N/A,FALSE,"Note 10"}</definedName>
    <definedName name="wr.Brookfield._.Notes._2" hidden="1">{#N/A,#N/A,FALSE,"Note 2";#N/A,#N/A,FALSE,"Note 3";#N/A,#N/A,FALSE,"Note 4";#N/A,#N/A,FALSE,"Note 5";#N/A,#N/A,FALSE,"Note 6";#N/A,#N/A,FALSE,"Note 10"}</definedName>
    <definedName name="wrd.2._.pagers.3" hidden="1">{"Cover",#N/A,FALSE,"Cover";"Summary",#N/A,FALSE,"Summarpage"}</definedName>
    <definedName name="wrn" hidden="1">{#N/A,#N/A,FALSE,"ZellLurieFinSummary";#N/A,#N/A,FALSE,"FirstCapFinSummary";#N/A,#N/A,FALSE,"ZM I-III Consol FinSummary"}</definedName>
    <definedName name="wrn_suite" hidden="1">{"2001 Accum",#N/A,FALSE,"ACCUM SUM"}</definedName>
    <definedName name="wrn.042696." hidden="1">{#N/A,#N/A,FALSE,"Master Summ";#N/A,#N/A,FALSE,"Rem Obl";#N/A,#N/A,FALSE,"320 Park";#N/A,#N/A,FALSE,"520 Mad (LL 41)";#N/A,#N/A,FALSE,"520 Mad (Proj 41)";#N/A,#N/A,FALSE,"1 Rock"}</definedName>
    <definedName name="wrn.1._.Page._.Summaries." hidden="1">{"S/A 1 Summary 1P",#N/A,FALSE,"Core Assumptions";"S/A 2 Summary 1P",#N/A,FALSE,"Core Assumptions";"S/A 3 Summary 1P",#N/A,FALSE,"Core Assumptions";"S/A Summary 4 1P",#N/A,FALSE,"Core Assumptions";"Core Assumptions",#N/A,FALSE,"Core Assumptions";"T/O Assumptions",#N/A,FALSE,"Take Over Assumptions"}</definedName>
    <definedName name="wrn.1._.Recap._.Model." hidden="1">{"1 - Summary",#N/A,TRUE,"Project Summary";"1 - Dev Budg",#N/A,TRUE,"Project Summary";"1 - Annual",#N/A,TRUE,"Project Annual";"1 - Leasing",#N/A,TRUE,"Phase I"}</definedName>
    <definedName name="wrn.10._.Year._.Analysis." hidden="1">{"Data Input",#N/A,TRUE,"Data Input";"10-Yr Cash Flow",#N/A,TRUE,"Cash Flow";"10-Yr Value",#N/A,TRUE,"Value "}</definedName>
    <definedName name="wrn.1111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2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2._.MONTH._.SPREAD." localSheetId="2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" localSheetId="0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1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2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3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4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0W45." hidden="1">{#N/A,#N/A,FALSE,"1";#N/A,#N/A,FALSE,"1x";#N/A,#N/A,FALSE,"2";#N/A,#N/A,FALSE,"2x";#N/A,#N/A,FALSE,"3";#N/A,#N/A,FALSE,"3x"}</definedName>
    <definedName name="wrn.15._.Year._.Analysis." hidden="1">{"Data Input",#N/A,TRUE,"Data Input";"15-Yr Cash Flow",#N/A,TRUE,"Cash Flow";"15-Yr Value",#N/A,TRUE,"Value "}</definedName>
    <definedName name="wrn.1995._.Analysis." hidden="1">{#N/A,#N/A,FALSE,"1995 Rev &amp; Exp"}</definedName>
    <definedName name="wrn.1997." hidden="1">{"CoverSheet",#N/A,TRUE,"97CoverPage";#N/A,#N/A,TRUE,"97TableOfContents";"CY 1997",#N/A,TRUE,"97CashFlowBeforeFinancing";"CY 1997",#N/A,TRUE,"97CashFlowAfterFinancing ";"CY 1997",#N/A,TRUE,"97Escrow Closings (all) ";"CY 1997",#N/A,TRUE,"97Revenue Summary";"CY 1997",#N/A,TRUE,"97 A-1 Sales";"CY 1997",#N/A,TRUE,"97 A-2 Sales";"CY 1997",#N/A,TRUE,"97 B-1 Sales";"CY 1997",#N/A,TRUE,"97 B-2 Sales";"CY 1997",#N/A,TRUE,"97 D-1 Sales";"CY 1997",#N/A,TRUE,"97 H Sales";"CY 1997",#N/A,TRUE,"97 I Sales";"CY 1997",#N/A,TRUE,"97 J Sales";"CY 1997",#N/A,TRUE,"97 K Sales";"CY 1997",#N/A,TRUE,"97 Land ";"CY 1997",#N/A,TRUE,"97 Pre-Development";"CY 1997",#N/A,TRUE,"97Construction Summary ";"CY 1997",#N/A,TRUE,"97 A-1 DevCosts";"CY 1997",#N/A,TRUE,"97 A-2 DevCosts";"CY 1997",#N/A,TRUE,"97 B-1 DevCosts";"CY 1997",#N/A,TRUE,"97 B-2 DevCosts";"CY 1997",#N/A,TRUE,"97 C DevCosts";#N/A,#N/A,TRUE,"97 D-1 DevCosts";"CY 1997",#N/A,TRUE,"97 E Dev Costs";"CY 1997",#N/A,TRUE,"97 G Dev Costs";#N/A,#N/A,TRUE,"97 H Dev Costs";#N/A,#N/A,TRUE,"97 I Dev Costs";"CY 1997",#N/A,TRUE,"97 J Dev Costs";#N/A,#N/A,TRUE,"97 K Dev Costs";"CY 1997",#N/A,TRUE,"97 Master Dev. Cost Wksht";"CY 1997",#N/A,TRUE,"97 Golf Course Captial ";"CY 1997",#N/A,TRUE,"97 Indirect &amp; Operating Costs ";"CY 1997",#N/A,TRUE,"97 Other SalesRevenue";"CY 1997",#N/A,TRUE,"97 Village Absorption";"CY 1997",#N/A,TRUE,"97 FINANCING";#N/A,#N/A,TRUE,"97 Dev Assumptions";#N/A,#N/A,TRUE,"97 A&amp;B Development Cost";#N/A,#N/A,TRUE,"97 B-2 Bonding ";#N/A,#N/A,TRUE,"97 E Supplemental Schedule";#N/A,#N/A,TRUE,"97 Factors"}</definedName>
    <definedName name="wrn.1998." hidden="1">{"1998",#N/A,FALSE,"1998"}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2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9." hidden="1">{"1999",#N/A,FALSE,"1999"}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00_part.2" hidden="1">{"2000 Accum",#N/A,FALSE,"ACCUM SUM"}</definedName>
    <definedName name="wrn.2000." hidden="1">{"2000",#N/A,FALSE,"2000"}</definedName>
    <definedName name="wrn.2000._.Accum." hidden="1">{"2000 Accum",#N/A,FALSE,"ACCUM SUM"}</definedName>
    <definedName name="wrn.2001_NAr" hidden="1">{"2001 Accum",#N/A,FALSE,"ACCUM SUM"}</definedName>
    <definedName name="wrn.2001." hidden="1">{"2001",#N/A,FALSE,"2001"}</definedName>
    <definedName name="wrn.2001._.Accum." hidden="1">{"2001 Accum",#N/A,FALSE,"ACCUM SUM"}</definedName>
    <definedName name="wrn.2007._.all." hidden="1">{"2007",#N/A,FALSE,"SUMMARY";"2007",#N/A,FALSE,"RET ON CAP";"2007",#N/A,FALSE,"PROFORMA";"2007",#N/A,FALSE,"Assumptions";"2007",#N/A,FALSE,"Sales &amp; Marketing";"2007",#N/A,FALSE,"Overhead";"2007",#N/A,FALSE,"General Project";"2007",#N/A,FALSE,"Development"}</definedName>
    <definedName name="wrn.2007._.summaries." hidden="1">{#N/A,#N/A,FALSE,"SUMMARY";#N/A,#N/A,FALSE,"RET ON CAP"}</definedName>
    <definedName name="wrn.2009._.REPORT._.MANAGER." hidden="1">{"Summary - NEW",#N/A,FALSE,"Summary";"Program1",#N/A,FALSE,"Summary";"Land Dev. Budget",#N/A,FALSE,"Summary";"Infrastructure Budget - Annual",#N/A,FALSE,"Summary";"Infrastructure Monthly",#N/A,FALSE,"Monthly Cash Flow";"Project CF - Annual NEW",#N/A,FALSE,"Summary";"Project Revenues - Annual - NEW",#N/A,FALSE,"Summary";"Debt - Annual New",#N/A,FALSE,"Summary";"Summary CF - Monthly",#N/A,FALSE,"Monthly Cash Flow";"Project Revenues - Monthly",#N/A,FALSE,"Monthly Cash Flow";"Debt Monthly - New",#N/A,FALSE,"Monthly Cash Flow";"Residential Summary",#N/A,FALSE,"Residential";"Residental Monthly - New",#N/A,FALSE,"Residential";"Office &amp; Retail Dev. Schedule",#N/A,FALSE,"Office &amp; Retail-Summary";"Office Monthly - New",#N/A,FALSE,"Office &amp; Retail-Summary"}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3._.Year._.Summary." hidden="1">{#N/A,#N/A,FALSE,"3-Year Summary"}</definedName>
    <definedName name="wrn.310._.rec.." hidden="1">{"rec. of 310",#N/A,FALSE,"Resanal"}</definedName>
    <definedName name="wrn.399." hidden="1">{#N/A,#N/A,FALSE,"A";#N/A,#N/A,FALSE,"C"}</definedName>
    <definedName name="wrn.3cases." hidden="1">{#N/A,"Base",FALSE,"Dividend";#N/A,"Conservative",FALSE,"Dividend";#N/A,"Downside",FALSE,"Dividend"}</definedName>
    <definedName name="wrn.3year._.frcst." hidden="1">{#N/A,#N/A,FALSE,"963YR";#N/A,#N/A,FALSE,"mkt mix";#N/A,#N/A,FALSE,"sect 5";#N/A,#N/A,FALSE,"sect 6";#N/A,#N/A,FALSE,"csh";#N/A,#N/A,FALSE,"capx";#N/A,#N/A,FALSE,"bal sheet"}</definedName>
    <definedName name="wrn.3yr.CF." localSheetId="2" hidden="1">{"assume",#N/A,FALSE,"K&amp;20th Month CF";"MoCF",#N/A,FALSE,"K&amp;20th Month CF";"AnCF",#N/A,FALSE,"K&amp;20th Month CF"}</definedName>
    <definedName name="wrn.3yr.CF." localSheetId="0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3yr.CF._1" hidden="1">{"assume",#N/A,FALSE,"K&amp;20th Month CF";"MoCF",#N/A,FALSE,"K&amp;20th Month CF";"AnCF",#N/A,FALSE,"K&amp;20th Month CF"}</definedName>
    <definedName name="wrn.3yr.CF._2" hidden="1">{"assume",#N/A,FALSE,"K&amp;20th Month CF";"MoCF",#N/A,FALSE,"K&amp;20th Month CF";"AnCF",#N/A,FALSE,"K&amp;20th Month CF"}</definedName>
    <definedName name="wrn.3yr.CF._3" hidden="1">{"assume",#N/A,FALSE,"K&amp;20th Month CF";"MoCF",#N/A,FALSE,"K&amp;20th Month CF";"AnCF",#N/A,FALSE,"K&amp;20th Month CF"}</definedName>
    <definedName name="wrn.3yr.CF._4" hidden="1">{"assume",#N/A,FALSE,"K&amp;20th Month CF";"MoCF",#N/A,FALSE,"K&amp;20th Month CF";"AnCF",#N/A,FALSE,"K&amp;20th Month CF"}</definedName>
    <definedName name="wrn.42._.Portfolio." hidden="1">{#N/A,#N/A,FALSE,"Consolidate Portfolio";#N/A,#N/A,FALSE,"Ashley";#N/A,#N/A,FALSE,"Atrium";#N/A,#N/A,FALSE,"Biscayne";#N/A,#N/A,FALSE,"Boulder";#N/A,#N/A,FALSE,"Braden";#N/A,#N/A,FALSE,"Cambridge";#N/A,#N/A,FALSE,"Carnegie";#N/A,#N/A,FALSE,"Charleston";#N/A,#N/A,FALSE,"Chasewood";#N/A,#N/A,FALSE,"ClubNorthHills";#N/A,#N/A,FALSE,"Cornerstone";#N/A,#N/A,FALSE,"Courtyard";#N/A,#N/A,FALSE,"Culpeper ";#N/A,#N/A,FALSE,"DoverFarms";#N/A,#N/A,FALSE,"GreenwayChase";#N/A,#N/A,FALSE,"Island Club 1";#N/A,#N/A,FALSE,"Island Club 2";#N/A,#N/A,FALSE,"IslesGateway";#N/A,#N/A,FALSE,"Kensington";#N/A,#N/A,FALSE,"LakeFront";#N/A,#N/A,FALSE,"LakeMayport";#N/A,#N/A,FALSE,"MadisonPark";#N/A,#N/A,FALSE,"MadisonRidge";#N/A,#N/A,FALSE,"Magnolia";#N/A,#N/A,FALSE,"Oaks";#N/A,#N/A,FALSE,"Paces River 1";#N/A,#N/A,FALSE,"Paces River 2";#N/A,#N/A,FALSE,"PacesRun";#N/A,#N/A,FALSE,"Paddock ";#N/A,#N/A,FALSE,"Park";#N/A,#N/A,FALSE,"PointeWest";#N/A,#N/A,FALSE,"Royal";#N/A,#N/A,FALSE,"Summer";#N/A,#N/A,FALSE,"Sunbrook";#N/A,#N/A,FALSE,"Sundance";#N/A,#N/A,FALSE,"Sutton";#N/A,#N/A,FALSE,"TownPlace";#N/A,#N/A,FALSE,"Valle";#N/A,#N/A,FALSE,"WatPark";#N/A,#N/A,FALSE,"WatPlace";#N/A,#N/A,FALSE,"WatCastleton";#N/A,#N/A,FALSE,"Wellington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520._.Madison." hidden="1">{"520 Madison Summary",#N/A,FALSE,"520 Madison Summary";"520 Madison Partnership Valuation",#N/A,FALSE,"520 Madison Summary";"520 Madison Sensitivities",#N/A,FALSE,"520 Madison Summary";"520 Madison Cash Flow",#N/A,FALSE,"520 Madison Summary";"520 Madison Partnership Equity Value",#N/A,FALSE,"520 Madison Summary";"520 Madison Distributions",#N/A,FALSE,"520 Madison Summary";"520 Madison Assumptions",#N/A,FALSE,"520 Madison Summary"}</definedName>
    <definedName name="wrn.617" hidden="1">{#N/A,#N/A,FALSE,"Income Stmt";#N/A,#N/A,FALSE,"Income Summary"}</definedName>
    <definedName name="wrn.7._.Page._.Proforma." hidden="1">{#N/A,#N/A,FALSE,"Deal Summary";#N/A,#N/A,FALSE,"Unit Mix";#N/A,#N/A,FALSE,"Historical OS";#N/A,#N/A,FALSE,"Sources &amp; Uses";#N/A,#N/A,FALSE,"Proj of Cash Flow";#N/A,#N/A,FALSE,"Allocation";#N/A,#N/A,FALSE,"Debt Financing"}</definedName>
    <definedName name="wrn.892A._.II." hidden="1">{#N/A,#N/A,FALSE,"Fund-II"}</definedName>
    <definedName name="wrn.892B._.II." hidden="1">{#N/A,#N/A,FALSE,"Fund-II"}</definedName>
    <definedName name="wrn.892C._.II." hidden="1">{#N/A,#N/A,FALSE,"Fund-II"}</definedName>
    <definedName name="wrn.92264.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rn.98A.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98ESC." hidden="1">{#N/A,#N/A,FALSE,"ope";#N/A,#N/A,FALSE,"ret";#N/A,#N/A,FALSE,"expenses";#N/A,#N/A,FALSE,"BankExpenses";#N/A,#N/A,FALSE,"TennExpenses";#N/A,#N/A,FALSE,"Occupancy"}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3._.Reports." hidden="1">{#N/A,#N/A,FALSE,"ActvBud";#N/A,#N/A,FALSE,"RptSalJC";#N/A,#N/A,FALSE,"RptSalTot ";#N/A,#N/A,FALSE,"RptSumExp";#N/A,#N/A,FALSE,"RptSum"}</definedName>
    <definedName name="wrn.A4._.Reports." hidden="1">{#N/A,#N/A,FALSE,"RptMrgCh";#N/A,#N/A,FALSE,"RptMrg";#N/A,#N/A,FALSE,"RptPLCh";#N/A,#N/A,FALSE,"RptPL";#N/A,#N/A,FALSE,"RptAdv ";#N/A,#N/A,FALSE,"RptSalary";#N/A,#N/A,FALSE,"RptSalExp";#N/A,#N/A,FALSE,"RptNW";#N/A,#N/A,FALSE,"RptSalYr";#N/A,#N/A,FALSE,"RptSales";#N/A,#N/A,FALSE,"RptPostn";#N/A,#N/A,FALSE,"RtpPLA-B";#N/A,#N/A,FALSE,"Rpt%age";#N/A,#N/A,FALSE,"RptPLSum";#N/A,#N/A,FALSE,"Index";#N/A,#N/A,FALSE,"Cover";#N/A,#N/A,FALSE,"Memo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old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{"ABC1",#N/A,TRUE,"Links";"ABC2",#N/A,TRUE,"Links";"ABC3",#N/A,TRUE,"Links"}</definedName>
    <definedName name="wrn.access." hidden="1">{"Access",#N/A,FALSE,"Access"}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s." hidden="1">{"One",#N/A,FALSE,"Acquisitions";"Two",#N/A,FALSE,"Acquisitions"}</definedName>
    <definedName name="wrn.Acquistion._.Status." hidden="1">{#N/A,#N/A,FALSE,"zm III";#N/A,#N/A,FALSE,"deal flow";#N/A,#N/A,FALSE,"Pending deals"}</definedName>
    <definedName name="wrn.AcqVal." hidden="1">{#N/A,#N/A,FALSE,"Acq-Val";#N/A,#N/A,FALSE,"Acq-Mult Val"}</definedName>
    <definedName name="wrn.Actual._.Data._.Entry." hidden="1">{#N/A,#N/A,FALSE,"Sales"}</definedName>
    <definedName name="wrn.AD._.Tool." hidden="1">{"AD Tool",#N/A,FALSE,"Spreadsheet"}</definedName>
    <definedName name="wrn.AFI._.QUARTERLY._.REPORT." hidden="1">{#N/A,#N/A,TRUE,"TITLE";#N/A,#N/A,TRUE,"SCH 1";#N/A,#N/A,TRUE,"SCH 2";#N/A,#N/A,TRUE,"SCH 3";#N/A,#N/A,TRUE,"SCH3(A)"}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old" hidden="1">{"INCOME",#N/A,FALSE,"ProNet";"VALUE",#N/A,FALSE,"ProNet"}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Budget._.Detail_Forecast." hidden="1">{"All Budget Detail-Forecast",#N/A,FALSE,"Forecast"}</definedName>
    <definedName name="wrn.All._.Budget._.Detail_Reit." hidden="1">{"All Budget Detail-Reit",#N/A,FALSE,"Forecast"}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Main._.Reports." hidden="1">{"Summary",#N/A,FALSE,"Sheet1";"Budget",#N/A,FALSE,"Sheet1";"Notes 2",#N/A,FALSE,"Sheet1";"Payroll Assumption Summary",#N/A,FALSE,"Sheet1";"Payroll_Assumption1",#N/A,FALSE,"Sheet1";"Rent_Assumptions",#N/A,FALSE,"Sheet1"}</definedName>
    <definedName name="wrn.All._.Non._.Recov._.Op._.Exp_Forecast." hidden="1">{"All Non-Recov. Op. Exp-Forecast",#N/A,FALSE,"Forecast"}</definedName>
    <definedName name="wrn.All._.Non._.Recov._.Op._.Exp_Reit." hidden="1">{"All Non-Recov. Op. Exp-Reit",#N/A,FALSE,"Forecast"}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yroll._.Reports." hidden="1">{"Payroll Assumption Summary",#N/A,FALSE,"Sheet1";"Payroll_Assumption1",#N/A,FALSE,"Sheet1";"Payroll_Assumption2",#N/A,FALSE,"Sheet1"}</definedName>
    <definedName name="wrn.All._.Pro._.Forma." hidden="1">{#N/A,#N/A,FALSE,"DSCR Sum";#N/A,#N/A,FALSE,"Max  Allocation";#N/A,#N/A,FALSE,"Lake Davis";#N/A,#N/A,FALSE,"Lake Jennie I";#N/A,#N/A,FALSE,"Lake Jennie II";#N/A,#N/A,FALSE,"Gov Man";#N/A,#N/A,FALSE,"Mellonville";#N/A,#N/A,FALSE,"Total"}</definedName>
    <definedName name="wrn.All._.Rent._.Reports." hidden="1">{"Rent_Assumptions",#N/A,FALSE,"Sheet1";"Rent_ChangesPerUnit",#N/A,FALSE,"Sheet1";"Rent_ChangesTotal",#N/A,FALSE,"Sheet1";"Rent_Totals",#N/A,FALSE,"Sheet1"}</definedName>
    <definedName name="wrn.All._.Rental._.Income_Forecast." hidden="1">{"All Rental Income-Reforecast",#N/A,FALSE,"Forecast"}</definedName>
    <definedName name="wrn.All._.Rental._.Income_Reit." hidden="1">{"All Rental Income-Reit",#N/A,FALSE,"Forecast"}</definedName>
    <definedName name="wrn.All._.Reports.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wrn.ALL._.REPORTS._.EXCEPT._.PSF._.TABLES." hidden="1">{"ASSUMPTIONS",#N/A,FALSE,"Assumptions";"NPV",#N/A,FALSE,"npv";"CASH-ANNUAL",#N/A,FALSE,"Cash Financial";"CASH-PSF",#N/A,FALSE,"Cash Financial";"GAAP-ANNUAL",#N/A,FALSE,"Gaap Financial ";"GAAP-PSF",#N/A,FALSE,"Gaap Financial "}</definedName>
    <definedName name="wrn.All._.Schedules." hidden="1">{#N/A,#N/A,FALSE,"Static Proforma";#N/A,#N/A,FALSE,"Bldg Dev DCF";#N/A,#N/A,FALSE,"Land Sales DCF"}</definedName>
    <definedName name="wrn.All._.Sections." hidden="1">{#N/A,#N/A,TRUE,"Table of Contents";"Inn P&amp;L Annual",#N/A,TRUE,"Inn P&amp;L";"Condo P&amp;L Annual",#N/A,TRUE,"Condo P&amp;L";"Townhouse P&amp;L Annual",#N/A,TRUE,"Townhouse P&amp;L";"Ocean Ridge P &amp; L Annual",#N/A,TRUE,"Ocean Ridge P &amp; L";"A-2 to A-4 P&amp;L Annual",#N/A,TRUE," A-2 to A-4 P&amp;L";"Inn P&amp;L Monthly",#N/A,TRUE,"Inn P&amp;L";"Condo P&amp;L Monthly",#N/A,TRUE,"Condo P&amp;L";"Townhouse P&amp;L Monthly",#N/A,TRUE,"Townhouse P&amp;L";"Ocean Ridge Monthly P &amp; L",#N/A,TRUE,"Ocean Ridge P &amp; L";"A-2 to A-4 P&amp;L Monthly",#N/A,TRUE," A-2 to A-4 P&amp;L";"Inn Assumptions",#N/A,TRUE,"Inn Assumptions";"Condo Assumptions",#N/A,TRUE,"Condo Assumptions";"Townhouse Assumptions",#N/A,TRUE,"Townhouse Assumptions";"Ocean Ridge Assumptions",#N/A,TRUE,"Ocean Ridge Assumptions";"A-2 to A-4 Assumptions",#N/A,TRUE,"A-2 to A-4 Assumptions"}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ummary." hidden="1">{"Summary",#N/A,FALSE,"Sheet1"}</definedName>
    <definedName name="wrn.All._1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irr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sched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2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bassador." hidden="1">{#N/A,#N/A,TRUE,"Summary Acquisition Ambassador";#N/A,#N/A,TRUE,"Prime Crest Apartments";#N/A,#N/A,TRUE,"Royal Crest Apartments"}</definedName>
    <definedName name="wrn.AmREIT." hidden="1">{"Summary",#N/A,TRUE,"Summary";"Sensitivities",#N/A,TRUE,"Summary";"Partnership Value",#N/A,TRUE,"Summary";"Cash Flows",#N/A,TRUE,"Summary";"Partnership Equity Value",#N/A,TRUE,"Summary";"MIR Fund Structure",#N/A,TRUE,"Summary";"Assumptions",#N/A,TRUE,"Summary";"Valuation Summary",#N/A,TRUE,"Summary";"MacArthur Park",#N/A,TRUE,"Summary";"Plaza in the Park",#N/A,TRUE,"Summary";"Cinco Ranch",#N/A,TRUE,"Summary";"Uptown Park",#N/A,TRUE,"Summary";"Uptown Plaza Dallas",#N/A,TRUE,"Summary";"Southbank Riverwalk",#N/A,TRUE,"Summary";"Uptown Plaza Houston",#N/A,TRUE,"Summary";"Bakery Square",#N/A,TRUE,"Summary";"Courtyard Square",#N/A,TRUE,"Summary";"Terrace Shops",#N/A,TRUE,"Summary";"Sugar Land Plaza",#N/A,TRUE,"Summary";"Lake Woodlands Plaza",#N/A,TRUE,"Summary";"Woodlands Ring Road",#N/A,TRUE,"Summary";"Ground Leases",#N/A,TRUE,"Summary";"Single-Tenant Fee-Simples",#N/A,TRUE,"Summary";"IHOP Sugarland-Topeka",#N/A,TRUE,"Summary";"IHOP AAA CTL",#N/A,TRUE,"Summary"}</definedName>
    <definedName name="wrn.AmREIT._.excl._.properties." hidden="1">{"Summary",#N/A,TRUE,"Summary";"Sensitivities",#N/A,TRUE,"Summary";"Partnership Value",#N/A,TRUE,"Summary";"Cash Flows",#N/A,TRUE,"Summary";"Partnership Equity Value",#N/A,TRUE,"Summary";"MIR Fund Structure",#N/A,TRUE,"Summary";"Assumptions",#N/A,TRUE,"Summary";"Valuation Summary",#N/A,TRUE,"Summary"}</definedName>
    <definedName name="wrn.Annual_n_Quarterly." hidden="1">{"Annual",#N/A,FALSE,"Sales &amp; Market";"Quarterly",#N/A,FALSE,"Sales &amp; Market"}</definedName>
    <definedName name="wrn.Annual." hidden="1">{"Annual p1",#N/A,TRUE,"Annual CF";"Annual p2",#N/A,TRUE,"Annual CF";"Annual p3",#N/A,TRUE,"Annual CF"}</definedName>
    <definedName name="wrn.Annual._.CF.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Report." hidden="1">{"summary",#N/A,FALSE,"Summary";"pro forma annual",#N/A,FALSE,"Pro Forma";"equity annual",#N/A,FALSE,"Equity";"TCC annual",#N/A,FALSE,"TCC"}</definedName>
    <definedName name="wrn.Annual._.Revised." hidden="1">{"Venture Summary",#N/A,FALSE,"Summary";"Development Budget",#N/A,FALSE,"Summary";"Development Proforma",#N/A,FALSE,"Dev PF";"Annual CF",#N/A,FALSE,"Annual"}</definedName>
    <definedName name="wrn.Annual._.Summary." hidden="1">{"INV AUM",#N/A,TRUE,"AUM";"INV S&amp;U",#N/A,TRUE,"S&amp;U";"INV NetCashFlow",#N/A,TRUE,"Net Cash Flow";"INV Waterfall",#N/A,TRUE,"Waterfall";"INV Sensitivity",#N/A,TRUE,"Sensitivity"}</definedName>
    <definedName name="wrn.Annual.CF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RentRoll" localSheetId="2" hidden="1">{"AnnualRentRoll",#N/A,FALSE,"RentRoll"}</definedName>
    <definedName name="wrn.AnnualRentRoll" localSheetId="0" hidden="1">{"AnnualRentRoll",#N/A,FALSE,"RentRoll"}</definedName>
    <definedName name="wrn.AnnualRentRoll" hidden="1">{"AnnualRentRoll",#N/A,FALSE,"RentRoll"}</definedName>
    <definedName name="wrn.AnnualRentRoll_1" hidden="1">{"AnnualRentRoll",#N/A,FALSE,"RentRoll"}</definedName>
    <definedName name="wrn.AnnualRentRoll_2" hidden="1">{"AnnualRentRoll",#N/A,FALSE,"RentRoll"}</definedName>
    <definedName name="wrn.AnnualRentRoll_3" hidden="1">{"AnnualRentRoll",#N/A,FALSE,"RentRoll"}</definedName>
    <definedName name="wrn.AnnualRentRoll_4" hidden="1">{"AnnualRentRoll",#N/A,FALSE,"RentRoll"}</definedName>
    <definedName name="wrn.AnnualRentRoll." localSheetId="2" hidden="1">{"AnnualRentRoll",#N/A,FALSE,"RentRoll"}</definedName>
    <definedName name="wrn.AnnualRentRoll." localSheetId="0" hidden="1">{"AnnualRentRoll",#N/A,FALSE,"RentRoll"}</definedName>
    <definedName name="wrn.AnnualRentRoll." hidden="1">{"AnnualRentRoll",#N/A,FALSE,"RentRoll"}</definedName>
    <definedName name="wrn.AnnualRentRoll._1" hidden="1">{"AnnualRentRoll",#N/A,FALSE,"RentRoll"}</definedName>
    <definedName name="wrn.AnnualRentRoll._2" hidden="1">{"AnnualRentRoll",#N/A,FALSE,"RentRoll"}</definedName>
    <definedName name="wrn.AnnualRentRoll._3" hidden="1">{"AnnualRentRoll",#N/A,FALSE,"RentRoll"}</definedName>
    <definedName name="wrn.AnnualRentRoll._4" hidden="1">{"AnnualRentRoll",#N/A,FALSE,"RentRoll"}</definedName>
    <definedName name="wrn.annualrentroll2" localSheetId="2" hidden="1">{"AnnualRentRoll",#N/A,FALSE,"RentRoll"}</definedName>
    <definedName name="wrn.annualrentroll2" localSheetId="0" hidden="1">{"AnnualRentRoll",#N/A,FALSE,"RentRoll"}</definedName>
    <definedName name="wrn.annualrentroll2" hidden="1">{"AnnualRentRoll",#N/A,FALSE,"RentRoll"}</definedName>
    <definedName name="wrn.annualrentroll2_1" hidden="1">{"AnnualRentRoll",#N/A,FALSE,"RentRoll"}</definedName>
    <definedName name="wrn.annualrentroll2_2" hidden="1">{"AnnualRentRoll",#N/A,FALSE,"RentRoll"}</definedName>
    <definedName name="wrn.annualrentroll2_3" hidden="1">{"AnnualRentRoll",#N/A,FALSE,"RentRoll"}</definedName>
    <definedName name="wrn.annualrentroll2_4" hidden="1">{"AnnualRentRoll",#N/A,FALSE,"RentRoll"}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pr._.Forecast." hidden="1">{"Apr",#N/A,FALSE,"Manager Report"}</definedName>
    <definedName name="wrn.Arcform1." hidden="1">{"One",#N/A,FALSE,"Property";"Rent Analysis",#N/A,FALSE,"Rent &amp; Income";"Market",#N/A,FALSE,"Market";"Environmental",#N/A,FALSE,"Environmental"}</definedName>
    <definedName name="wrn.Arcform2." hidden="1">{"Development Team",#N/A,FALSE,"Team";"Environmental",#N/A,FALSE,"Environmental";"Permanent",#N/A,FALSE,"Perm Mtg";"Soft",#N/A,FALSE,"Soft Mtg"}</definedName>
    <definedName name="wrn.Arcform3." hidden="1">{"Grant",#N/A,FALSE,"Grant";"GP Developer",#N/A,FALSE,"GP &amp; Dev Loans";"Operating Analysis",#N/A,FALSE,"Operations";"Tax Credit",#N/A,FALSE,"Tax Credits";"Tax Credit Analysis",#N/A,FALSE,"TC Analysis"}</definedName>
    <definedName name="wrn.Arcform4." hidden="1">{"Construction Analysis",#N/A,FALSE,"Constr Analysis";"Construction Financing",#N/A,FALSE,"Constr Finan";"Guarantees and Reserves",#N/A,FALSE,"Guar &amp; Reserves"}</definedName>
    <definedName name="wrn.Arena._.PCD." hidden="1">{#N/A,#N/A,TRUE,"Maritime Park Arena PCD";#N/A,#N/A,TRUE,"Maritime Park Arena IOR"}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et._.Management." hidden="1">{#N/A,#N/A,FALSE,"ASSET MGMT."}</definedName>
    <definedName name="wrn.Asset._.Manager._.Package." hidden="1">{#N/A,#N/A,FALSE,"Assumptions";#N/A,#N/A,FALSE,"DCF 5 YR";#N/A,#N/A,FALSE," DCF 10 YR";#N/A,#N/A,FALSE,"Cashflows";"Asset Review 2",#N/A,FALSE,"Asset Review";"Asset Review 1",#N/A,FALSE,"Asset Review"}</definedName>
    <definedName name="wrn.Asset._.Manager._.Summary." hidden="1">{#N/A,#N/A,FALSE,"Jim Walsh";#N/A,#N/A,FALSE,"Dan Minkoff";#N/A,#N/A,FALSE,"Chip Cinnamond";#N/A,#N/A,FALSE,"Ann Cole";#N/A,#N/A,FALSE,"Jim Rosasco";#N/A,#N/A,FALSE,"George Ochs";#N/A,#N/A,FALSE,"Peter Weed";#N/A,#N/A,FALSE,"Sheryl Crosland";#N/A,#N/A,FALSE,"Jim McLoughlin";#N/A,#N/A,FALSE,"Jim Olson";#N/A,#N/A,FALSE,"Anne Pfeiffer"}</definedName>
    <definedName name="wrn.Assumptions." hidden="1">{"Assumptions",#N/A,FALSE,"Assumptions"}</definedName>
    <definedName name="wrn.Assumptions._.Book.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trium." hidden="1">{"Atrium-Investor",#N/A,FALSE,"Atrium";"Atrium-Property",#N/A,FALSE,"Atrium"}</definedName>
    <definedName name="wrn.Audit._.Committee." hidden="1">{#N/A,#N/A,FALSE,"Title Page - Aud";#N/A,#N/A,FALSE,"Index - Aud";#N/A,#N/A,FALSE,"Stmt of Income";#N/A,#N/A,FALSE,"Balance Sheet - Audit Comm";#N/A,#N/A,FALSE,"Stmt of Retained Earnings";#N/A,#N/A,FALSE,"Total Cash Flow";#N/A,#N/A,FALSE,"S.C.F.P.";#N/A,#N/A,FALSE,"Appraisal surplus";#N/A,#N/A,FALSE,"FMV";#N/A,#N/A,FALSE,"Ratios";#N/A,#N/A,FALSE,"Properties";#N/A,#N/A,FALSE,"Secured Debt";#N/A,#N/A,FALSE,"Mortgage Bonds";#N/A,#N/A,FALSE,"Bank Operating Lines";#N/A,#N/A,FALSE,"Share Capital";#N/A,#N/A,FALSE,"Rental Operating Results";#N/A,#N/A,FALSE,"G. &amp;  A.";#N/A,#N/A,FALSE,"Property Sales"}</definedName>
    <definedName name="wrn.Aug._.Forecast." hidden="1">{"Aug",#N/A,FALSE,"Manager Report"}</definedName>
    <definedName name="wrn.Auto._.Comp." hidden="1">{#N/A,#N/A,FALSE,"Sheet1"}</definedName>
    <definedName name="wrn.autoproj." hidden="1">{#N/A,#N/A,FALSE,"Project Properties";#N/A,#N/A,FALSE,"Eng %";#N/A,#N/A,FALSE,"ENGFORM";#N/A,#N/A,FALSE,"staffing";#N/A,#N/A,FALSE,"spending"}</definedName>
    <definedName name="wrn.B._.Spread._.Worksheet._.Summary.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_Sheet." hidden="1">{"One",#N/A,FALSE,"Balance Sheet"}</definedName>
    <definedName name="wrn.balance._.sheet." hidden="1">{"bs",#N/A,FALSE,"SCF"}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krep." hidden="1">{#N/A,#N/A,FALSE,"ExecSum";#N/A,#N/A,FALSE,"Summary";#N/A,#N/A,FALSE,"Budget";#N/A,#N/A,FALSE,"CashFlow"}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YearDemand." hidden="1">{"Base Year Demand",#N/A,FALSE,"Demand-Base Year"}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ATON._.ROUGE._.1996._.CAP._.EX." hidden="1">{#N/A,#N/A,FALSE,"BATCAPX";#N/A,#N/A,FALSE,"GR&amp;CORR TOTALS";#N/A,#N/A,FALSE,"LUX  KING FF&amp;E";#N/A,#N/A,FALSE,"LUX KING GC";#N/A,#N/A,FALSE,"TYP DBL FF&amp;E ";#N/A,#N/A,FALSE,"TYP DBL GC ";#N/A,#N/A,FALSE,"PETITE W-SOFA FF&amp;E";#N/A,#N/A,FALSE,"PETITE W-SOFA GC";#N/A,#N/A,FALSE,"TYP KING FF&amp;E";#N/A,#N/A,FALSE,"TYP KING GC";#N/A,#N/A,FALSE,"EXEC KING FF&amp;E";#N/A,#N/A,FALSE,"EXEC KING GC";#N/A,#N/A,FALSE,"TOWNHS PARLOR FF&amp;E";#N/A,#N/A,FALSE,"TOWNHS PARLOR GC";#N/A,#N/A,FALSE,"LUX K PAR FF&amp;E ";#N/A,#N/A,FALSE,"LUX K PAR GC ";#N/A,#N/A,FALSE,"PRES SUITE FF&amp;E";#N/A,#N/A,FALSE,"PRES SUITE GC";#N/A,#N/A,FALSE,"CONC LOUNGE FF&amp;E";#N/A,#N/A,FALSE,"CONC LOUNGE GC";#N/A,#N/A,FALSE,"ADA GR  FF&amp;E ";#N/A,#N/A,FALSE,"ADA GR GC ";#N/A,#N/A,FALSE,"GUEST COR FF&amp;E ";#N/A,#N/A,FALSE,"GUEST  CORR GC";#N/A,#N/A,FALSE,"2ND FLR BANQ FF&amp;E L";#N/A,#N/A,FALSE,"2ND FLR BANQ GC L";#N/A,#N/A,FALSE,"2ND FLR BANQ FF&amp;E S";#N/A,#N/A,FALSE,"2ND FLR BANQ GC S"}</definedName>
    <definedName name="wrn.BCN._.REVISED." hidden="1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PROJ." hidden="1">{#N/A,#N/A,FALSE,"Income Statement";#N/A,#N/A,FALSE,"Balance Sheet";#N/A,#N/A,FALSE,"Sheet5";#N/A,#N/A,FALSE,"Debt &amp; Equity Detail"}</definedName>
    <definedName name="wrn.BEN._.ELDER." hidden="1">{"Venture Summary",#N/A,FALSE,"Summary";"PI Summary",#N/A,FALSE,"PI Summary";"PI Leasing Summary",#N/A,FALSE,"PI Summary";#N/A,#N/A,FALSE,"PI&amp;II Monthly CF"}</definedName>
    <definedName name="wrn.BidCo." hidden="1">{#N/A,#N/A,FALSE,"BidCo Assumptions";#N/A,#N/A,FALSE,"Credit Stats";#N/A,#N/A,FALSE,"Bidco Summary";#N/A,#N/A,FALSE,"BIDCO Consolidated"}</definedName>
    <definedName name="wrn.BIGGER." hidden="1">{"PROFORMA",#N/A,FALSE,"A";"BIGGER 1",#N/A,FALSE,"B";"BIGGER 2",#N/A,FALSE,"B";"BIGGER 3",#N/A,FALSE,"B";"SMALL CF 1",#N/A,FALSE,"C"}</definedName>
    <definedName name="wrn.Binder." hidden="1">{"Summary",#N/A,FALSE,"Financial Summary";"Income",#N/A,FALSE,"Lease Terms";"Development",#N/A,FALSE,"Development Costs";"Expense",#N/A,FALSE,"Lease Terms";"CFlow",#N/A,FALSE,"5 Year Cash Flow"}</definedName>
    <definedName name="wrn.BINDER._.PRINT_YES." hidden="1">{"Summary",#N/A,TRUE,"Summary";"All Annual",#N/A,TRUE,"Annual"}</definedName>
    <definedName name="wrn.Birdie." hidden="1">{#N/A,#N/A,FALSE,"Trans Summary";#N/A,#N/A,FALSE,"Proforma Five Yr";#N/A,#N/A,FALSE,"Occ and Rate"}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eu4._1" hidden="1">{#N/A,#N/A,FALSE}</definedName>
    <definedName name="wrn.Blue._.Book._.Sections." localSheetId="2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localSheetId="0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1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2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3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4" hidden="1">{#N/A,#N/A,TRUE,"Summary";#N/A,#N/A,TRUE,"Program Scheme";#N/A,#N/A,TRUE,"Assumptions";#N/A,#N/A,TRUE,"Development Budget &amp; Timing";#N/A,#N/A,TRUE,"Cash Flow";#N/A,#N/A,TRUE,"Cash Flow to Debt &amp; Equity"}</definedName>
    <definedName name="wrn.Board." hidden="1">{#N/A,#N/A,FALSE,"Title Page - Board";#N/A,#N/A,FALSE,"Index - Board";#N/A,#N/A,FALSE,"Stmt of Income";#N/A,#N/A,FALSE,"Balance Sheet - Audit Comm";#N/A,#N/A,FALSE,"Stmt of Retained Earnings";#N/A,#N/A,FALSE,"Total Cash Flow";#N/A,#N/A,FALSE,"S.C.F.P.";#N/A,#N/A,FALSE,"Appraisal surplus";#N/A,#N/A,FALSE,"FMV";#N/A,#N/A,FALSE,"Ratios"}</definedName>
    <definedName name="wrn.boardPackage." hidden="1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b." hidden="1">{#N/A,#N/A,TRUE,"33_Cover";#N/A,#N/A,TRUE,"1_Exec_Summ";#N/A,#N/A,TRUE,"2_Assump_Genl";#N/A,#N/A,TRUE,"5_Cash_Flow";#N/A,#N/A,TRUE,"11_Exp_Dtl";#N/A,#N/A,TRUE,"10_Exp_Recov_Dtl";#N/A,#N/A,TRUE,"12_Residual";#N/A,#N/A,TRUE,"14_Pricing_Mtx";#N/A,#N/A,TRUE,"29_Residual_Mtx";#N/A,#N/A,TRUE,"18_Expirations"}</definedName>
    <definedName name="wrn.BofA." hidden="1">{"BofA-Investor",#N/A,FALSE,"BofA Tower";"BofA-Property",#N/A,FALSE,"BofA Tower"}</definedName>
    <definedName name="wrn.Bonds." hidden="1">{#N/A,#N/A,FALSE,"Bonds - Consol";#N/A,#N/A,FALSE,"Bonds - Lakes";#N/A,#N/A,FALSE,"Bonds - Chabot";#N/A,#N/A,FALSE,"Bonds - Diablo"}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_.Reports." hidden="1">{"Current Month",#N/A,FALSE,"Current Compar.";"Year-To-Date",#N/A,FALSE,"Year Comparison";"Forecast",#N/A,FALSE,"Comparison NOI";"Actual Input",#N/A,FALSE,"Act...Ratios"}</definedName>
    <definedName name="wrn.Boston._.1.4.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1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2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3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th._.Outputs." hidden="1">{"LTV Output",#N/A,FALSE,"Output";"DCR Output",#N/A,FALSE,"Output"}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ridge.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ookfield._.Notes." hidden="1">{#N/A,#N/A,FALSE,"Note 2";#N/A,#N/A,FALSE,"Note 3";#N/A,#N/A,FALSE,"Note 4";#N/A,#N/A,FALSE,"Note 5";#N/A,#N/A,FALSE,"Note 6";#N/A,#N/A,FALSE,"Note 10"}</definedName>
    <definedName name="wrn.Budget." hidden="1">{"Spread Dollars",#N/A,FALSE,"Budget";"Spread Ratios",#N/A,FALSE,"Budget";"Target Comparison",#N/A,FALSE,"Summary"}</definedName>
    <definedName name="wrn.Budget._.1997._.Analysis." hidden="1">{#N/A,#N/A,TRUE,"Budget 1997 Class A";#N/A,#N/A,TRUE,"Budgets 1997 Class B &amp; C"}</definedName>
    <definedName name="wrn.Budget._.Report." hidden="1">{#N/A,#N/A,FALSE,"Cover Page";#N/A,#N/A,FALSE,"Brookfield Consolidated";#N/A,#N/A,FALSE,"Marketable Sec.";#N/A,#N/A,FALSE,"Acct. &amp; Loans Rec.";#N/A,#N/A,FALSE,"Brookfield Homes";#N/A,#N/A,FALSE,"Carma Developers";#N/A,#N/A,FALSE,"Brookfield CP";#N/A,#N/A,FALSE,"World Financial Center Props.";#N/A,#N/A,FALSE,"Other Assets";#N/A,#N/A,FALSE,"Accounts Payable";#N/A,#N/A,FALSE,"Liabilities";#N/A,#N/A,FALSE,"Minority Interests";#N/A,#N/A,FALSE,"Conv Debs";#N/A,#N/A,FALSE,"Preferred Shares";#N/A,#N/A,FALSE,"Assumptions"}</definedName>
    <definedName name="wrn.BUDGET97." hidden="1">{"FIXVARIANCE",#N/A,FALSE,"COSTPHSE";"SOURCING",#N/A,FALSE,"COSTPHSE"}</definedName>
    <definedName name="wrn.Buildings._.10._.and._.12." hidden="1">{"B10&amp;12 Summary",#N/A,TRUE,"10 &amp; 12 - CF";"B10&amp;12 Budget",#N/A,TRUE,"10 &amp; 12 - CF";"B10&amp;12 Dev. Costs",#N/A,TRUE,"10 &amp; 12 - CF";"B10&amp;12 CF1",#N/A,TRUE,"10 &amp; 12 - CF";"B10&amp;12 CF2",#N/A,TRUE,"10 &amp; 12 - CF"}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isse._.Report." hidden="1">{#N/A,#N/A,TRUE,"Title - Caisse";#N/A,#N/A,TRUE,"Schedule 1a";#N/A,#N/A,TRUE,"Schedule 2 - 2001";#N/A,#N/A,TRUE,"Schedule 2 - 2002";#N/A,#N/A,TRUE,"Schedule 2 - 2003";#N/A,#N/A,TRUE,"Schedule 3";#N/A,#N/A,TRUE,"Schedule 4";#N/A,#N/A,TRUE,"Schedule 5";#N/A,#N/A,TRUE,"Schedule 5a";#N/A,#N/A,TRUE,"Schedule 6";#N/A,#N/A,TRUE,"Schedule 6a";#N/A,#N/A,TRUE,"Schedule 6b";#N/A,#N/A,TRUE,"Schedule 6c";#N/A,#N/A,TRUE,"Schedule 6d";#N/A,#N/A,TRUE,"Schedule 6e";#N/A,#N/A,TRUE,"Schedule 7";#N/A,#N/A,TRUE,"Schedule 8"}</definedName>
    <definedName name="wrn.Capital_Increm.." hidden="1">{#N/A,#N/A,FALSE,"Capital-Incremental"}</definedName>
    <definedName name="wrn.Capital_Nonincre.." hidden="1">{#N/A,#N/A,FALSE,"Capital-Nonincremental"}</definedName>
    <definedName name="wrn.Capital._.Projections.Base._.Case." hidden="1">{"CapContr.",#N/A,FALSE,"Capital Projections-Base";"LOC Fundings",#N/A,FALSE,"Capital Projections";"LOC Repayments",#N/A,FALSE,"Capital Projections";"LOC 1",#N/A,FALSE,"Capital Projections";"LOC 2",#N/A,FALSE,"Capital Projections";"LOC 3",#N/A,FALSE,"Capital Projections";"Cap.Dis",#N/A,FALSE,"Capital Projections"}</definedName>
    <definedName name="wrn.CapitalProjections.WorseCase." hidden="1">{"Cap.Contr.WorseCase",#N/A,FALSE,"Capital Projections-WorseCase"}</definedName>
    <definedName name="wrn.CAPREIT." hidden="1">{#N/A,#N/A,FALSE,"CAPREIT"}</definedName>
    <definedName name="wrn.CAPREIT._.II." hidden="1">{#N/A,#N/A,FALSE,"Consolidate II";#N/A,#N/A,FALSE,"Atrium";#N/A,#N/A,FALSE,"DoverFarms";#N/A,#N/A,FALSE,"GreenwayChase";#N/A,#N/A,FALSE,"Island Club 1";#N/A,#N/A,FALSE,"IslesGateway";#N/A,#N/A,FALSE,"MadisonPark";#N/A,#N/A,FALSE,"PacesRun";#N/A,#N/A,FALSE,"Park";#N/A,#N/A,FALSE,"Sunbrook";#N/A,#N/A,FALSE,"TownPlace";#N/A,#N/A,FALSE,"WatPark";#N/A,#N/A,FALSE,"WatPlace";#N/A,#N/A,FALSE,"WatCastleton"}</definedName>
    <definedName name="wrn.CAPREIT._.II._.and._.IV." hidden="1">{#N/A,#N/A,FALSE,"Consolidate II &amp; IV";#N/A,#N/A,FALSE,"Atrium";#N/A,#N/A,FALSE,"Chasewood";#N/A,#N/A,FALSE,"ClubNorthHills";#N/A,#N/A,FALSE,"DoverFarms";#N/A,#N/A,FALSE,"GreenwayChase";#N/A,#N/A,FALSE,"Island Club 1";#N/A,#N/A,FALSE,"IslesGateway";#N/A,#N/A,FALSE,"Kensington";#N/A,#N/A,FALSE,"LakeFront";#N/A,#N/A,FALSE,"MadisonPark";#N/A,#N/A,FALSE,"Oaks";#N/A,#N/A,FALSE,"PacesRun";#N/A,#N/A,FALSE,"Park";#N/A,#N/A,FALSE,"PointeWest";#N/A,#N/A,FALSE,"Sunbrook";#N/A,#N/A,FALSE,"Sundance";#N/A,#N/A,FALSE,"TownPlace";#N/A,#N/A,FALSE,"WatPark";#N/A,#N/A,FALSE,"WatPlace";#N/A,#N/A,FALSE,"WatCastleton";#N/A,#N/A,FALSE,"Wellington"}</definedName>
    <definedName name="wrn.CAPREIT._.IV." hidden="1">{#N/A,#N/A,FALSE,"Consolidate IV";#N/A,#N/A,FALSE,"Chasewood";#N/A,#N/A,FALSE,"ClubNorthHills";#N/A,#N/A,FALSE,"Kensington";#N/A,#N/A,FALSE,"LakeFront";#N/A,#N/A,FALSE,"Oaks";#N/A,#N/A,FALSE,"PointeWest";#N/A,#N/A,FALSE,"Sundance";#N/A,#N/A,FALSE,"Wellington"}</definedName>
    <definedName name="wrn.CAPREIT._.TERA." hidden="1">{#N/A,#N/A,FALSE,"Consolidate TERA";#N/A,#N/A,FALSE,"Boulder";#N/A,#N/A,FALSE,"Braden";#N/A,#N/A,FALSE,"Cambridge";#N/A,#N/A,FALSE,"Charleston";#N/A,#N/A,FALSE,"Cornerstone";#N/A,#N/A,FALSE,"Courtyard";#N/A,#N/A,FALSE,"LakeMayport";#N/A,#N/A,FALSE,"Paces River 1";#N/A,#N/A,FALSE,"Paces River 2";#N/A,#N/A,FALSE,"Paddock ";#N/A,#N/A,FALSE,"Summer";#N/A,#N/A,FALSE,"Sutton"}</definedName>
    <definedName name="wrn.CAPREIT._.V." hidden="1">{#N/A,#N/A,FALSE,"Consolidate V";#N/A,#N/A,FALSE,"Ashley";#N/A,#N/A,FALSE,"Biscayne";#N/A,#N/A,FALSE,"Carnegie";#N/A,#N/A,FALSE,"Culpeper ";#N/A,#N/A,FALSE,"Island Club 2";#N/A,#N/A,FALSE,"MadisonRidge";#N/A,#N/A,FALSE,"Magnolia";#N/A,#N/A,FALSE,"Royal";#N/A,#N/A,FALSE,"Valle"}</definedName>
    <definedName name="wrn.CAPREIT2" hidden="1">{#N/A,#N/A,FALSE,"CAPREIT"}</definedName>
    <definedName name="wrn.Capx." hidden="1">{"Capx/exp",#N/A,FALSE,"CapX"}</definedName>
    <definedName name="wrn.cash" hidden="1">{#N/A,#N/A,FALSE,"Matrix";#N/A,#N/A,FALSE,"Cash Flow";#N/A,#N/A,FALSE,"10 Year Cost Analysis"}</definedName>
    <definedName name="wrn.Cash_Flow." hidden="1">{#N/A,#N/A,FALSE,"Cash Flow"}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hidden="1">{"CF",#N/A,FALSE,"Cash Flow";"RET",#N/A,FALSE,"Returns";"NPV",#N/A,FALSE,"Values";"ASMPT",#N/A,FALSE,"Assumptions"}</definedName>
    <definedName name="wrn.Cash._.Flow._.Analysis." localSheetId="2" hidden="1">{"CF",#N/A,FALSE,"Cash Flow";"RET",#N/A,FALSE,"Returns";"NPV",#N/A,FALSE,"Values";"ASMPT",#N/A,FALSE,"Assumptions"}</definedName>
    <definedName name="wrn.Cash._.Flow._.Analysis." localSheetId="0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alysis._1" hidden="1">{"CF",#N/A,FALSE,"Cash Flow";"RET",#N/A,FALSE,"Returns";"NPV",#N/A,FALSE,"Values";"ASMPT",#N/A,FALSE,"Assumptions"}</definedName>
    <definedName name="wrn.Cash._.Flow._.Analysis._2" hidden="1">{"CF",#N/A,FALSE,"Cash Flow";"RET",#N/A,FALSE,"Returns";"NPV",#N/A,FALSE,"Values";"ASMPT",#N/A,FALSE,"Assumptions"}</definedName>
    <definedName name="wrn.Cash._.Flow._.Analysis._3" hidden="1">{"CF",#N/A,FALSE,"Cash Flow";"RET",#N/A,FALSE,"Returns";"NPV",#N/A,FALSE,"Values";"ASMPT",#N/A,FALSE,"Assumptions"}</definedName>
    <definedName name="wrn.Cash._.Flow._.Analysis._4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._.Report." hidden="1">{#N/A,#N/A,FALSE,"Title Page";#N/A,#N/A,FALSE,"Canada - C$";#N/A,#N/A,FALSE,"Canada - US$";#N/A,#N/A,FALSE,"Available Credit"}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flow._.Reconciliation." hidden="1">{"cashflow reconciliation",#N/A,FALSE,"cashflow rec"}</definedName>
    <definedName name="wrn.Cashflow._.Rolls." hidden="1">{"investment roll for cashflow",#N/A,FALSE,"detail investment sched";"fixed asset roll for cashflow",#N/A,FALSE,"other schedules";"goodwill roll for cashflow",#N/A,FALSE,"other schedules";"long term debt roll for cashflow",#N/A,FALSE,"other schedules";"minority interest roll for cashflow",#N/A,FALSE,"other schedules";"other long term obligations roll",#N/A,FALSE,"other schedules"}</definedName>
    <definedName name="wrn.Casino." hidden="1">{"Casino (Summary)",#N/A,FALSE,"Casino";"Casino (Budget Sum)",#N/A,FALSE,"Casino";"Casino (Cash Flow)",#N/A,FALSE,"Casino";"Casino (Costs and Sales)",#N/A,FALSE,"Casino";"Casino (Debt)",#N/A,FALSE,"Casino";"Casino (Partner CF)",#N/A,FALSE,"Casino";"Casino (Cost Detail)",#N/A,FALSE,"Casino";"Casino ( Budget Detail)",#N/A,FALSE,"Casino Budget"}</definedName>
    <definedName name="wrn.CCC." hidden="1">{#N/A,#N/A,FALSE,"A";#N/A,#N/A,FALSE,"B"}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hidden="1">{"CD1",#N/A,TRUE,"C-D (R)";"CD2",#N/A,TRUE,"C-D (R)"}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B._.150." hidden="1">{"Summary",#N/A,TRUE,"Summary";"Sensitivity",#N/A,TRUE,"Summary";"Valuation",#N/A,TRUE,"Summary";"Cash Flows",#N/A,TRUE,"Summary";"Partnership NCF",#N/A,TRUE,"Summary";"Partnership Equity Value",#N/A,TRUE,"Summary";"Waterfall",#N/A,TRUE,"Summary";"MIR Fund Structure",#N/A,TRUE,"Summary";"Assumptions",#N/A,TRUE,"Summary";"Argus Assumptions",#N/A,TRUE,"Summary"}</definedName>
    <definedName name="wrn.CFD." hidden="1">{"CFD 1",#N/A,FALSE,"CFD";"CFD 2",#N/A,FALSE,"CFD";"CFD 3",#N/A,FALSE,"CFD";"CFD 4",#N/A,FALSE,"CFD"}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ART_old" hidden="1">{"CHART",#N/A,FALSE,"Arch Communications"}</definedName>
    <definedName name="wrn.CHART." hidden="1">{"CHART",#N/A,FALSE,"Arch Communications"}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2._.detail." hidden="1">{#N/A,#N/A,FALSE,"Chart 2 by Prop Type"}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s." hidden="1">{"Checks",#N/A,FALSE,"Checks"}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osing._.BW." hidden="1">{#N/A,#N/A,FALSE,"Closing Bentley Wynde";#N/A,#N/A,FALSE,"Closing Bantley Wynde (1)"}</definedName>
    <definedName name="wrn.closing._.statement." hidden="1">{"page1",#N/A,FALSE,"CTT_CLO";"page2",#N/A,FALSE,"CTT_CLO"}</definedName>
    <definedName name="wrn.clp_detail_doc." hidden="1">{"clp_ltd_doc",#N/A,FALSE,"CLP";"clp_om_doc",#N/A,FALSE,"CLP";"clp_ra_doc",#N/A,FALSE,"CLP";"clp_rb_doc",#N/A,FALSE,"CLP";"clp_rev_doc",#N/A,FALSE,"CLP";"clp_tax_doc",#N/A,FALSE,"CLP";"clp_wc_doc",#N/A,FALSE,"CLP";"clp_power_doc",#N/A,FALSE,"CLP"}</definedName>
    <definedName name="wrn.clp_fs_doc." hidden="1">{"clp_bs_doc",#N/A,FALSE,"CLP";"clp_is_doc",#N/A,FALSE,"CLP";"clp_cf_doc",#N/A,FALSE,"CLP";"clp_fr_doc",#N/A,FALSE,"CLP"}</definedName>
    <definedName name="wrn.Co._.Invest." hidden="1">{"Summary - Coinvest",#N/A,FALSE,"Summary";"Sensitivity - Coinvest",#N/A,FALSE,"Summary";"Partnership Value",#N/A,FALSE,"Summary";"Cash Flows",#N/A,FALSE,"Summary";"Partnership Equity Value",#N/A,FALSE,"Summary";"Waterfall - Coinvest",#N/A,FALSE,"Summary";"MIR Fund Structure - Coinvest",#N/A,FALSE,"Summary";"Assumptions - Coinvest",#N/A,FALSE,"Summary"}</definedName>
    <definedName name="wrn.coII._.I." hidden="1">{#N/A,#N/A,FALSE,"Fund-I"}</definedName>
    <definedName name="wrn.CoIV._.II." hidden="1">{#N/A,#N/A,FALSE,"Fund-II"}</definedName>
    <definedName name="wrn.COM." hidden="1">{"COM",#N/A,FALSE,"800 10th"}</definedName>
    <definedName name="wrn.COM._1" hidden="1">{"COM",#N/A,FALSE,"800 10th"}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LAWTC." hidden="1">{"Commish",#N/A,FALSE,"LAWTC"}</definedName>
    <definedName name="wrn.COMLAWTC._1" hidden="1">{"Commish",#N/A,FALSE,"LAWTC"}</definedName>
    <definedName name="wrn.Comp." hidden="1">{"Comp",#N/A,FALSE,"Spreadsheet"}</definedName>
    <definedName name="wrn.Compare._.Hawaiki." hidden="1">{"Divsum Compare Hawaiki",#N/A,FALSE,"Divsum"}</definedName>
    <definedName name="wrn.COMPCO." hidden="1">{"Page1",#N/A,FALSE,"CompCo";"Page2",#N/A,FALSE,"CompCo"}</definedName>
    <definedName name="wrn.Competition." hidden="1">{#N/A,#N/A,FALSE,"CompSummary";#N/A,#N/A,FALSE,"Comp1";#N/A,#N/A,FALSE,"Comp2";#N/A,#N/A,FALSE,"Comp3";#N/A,#N/A,FALSE,"Comp4";#N/A,#N/A,FALSE,"Comp5";#N/A,#N/A,FALSE,"Our Prop";#N/A,#N/A,FALSE,"Projection Sheet"}</definedName>
    <definedName name="wrn.Competition._1" hidden="1">{#N/A,#N/A,FALSE,"CompSummary";#N/A,#N/A,FALSE,"Comp1";#N/A,#N/A,FALSE,"Comp2";#N/A,#N/A,FALSE,"Comp3";#N/A,#N/A,FALSE,"Comp4";#N/A,#N/A,FALSE,"Comp5";#N/A,#N/A,FALSE,"Our Prop";#N/A,#N/A,FALSE,"Projection Sheet"}</definedName>
    <definedName name="wrn.Complete_2.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1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2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3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." hidden="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wrn.Complete._.Budget." hidden="1">{#N/A,#N/A,FALSE,"PropInfo";#N/A,#N/A,FALSE,"Summary";#N/A,#N/A,FALSE,"Comparitive";#N/A,#N/A,FALSE,"RevSummary";#N/A,#N/A,FALSE,"Rooms";#N/A,#N/A,FALSE,"Van";#N/A,#N/A,FALSE,"F&amp;B Rev";#N/A,#N/A,FALSE,"Food";#N/A,#N/A,FALSE,"Bev";#N/A,#N/A,FALSE,"PBX";#N/A,#N/A,FALSE,"Fitness";#N/A,#N/A,FALSE,"Golf #1";#N/A,#N/A,FALSE,"Golf #2 ";#N/A,#N/A,FALSE,"Tennis";#N/A,#N/A,FALSE,"BusCtr";#N/A,#N/A,FALSE,"InRoomVend";#N/A,#N/A,FALSE,"Retail #1";#N/A,#N/A,FALSE,"Retail #2";#N/A,#N/A,FALSE,"Parking";#N/A,#N/A,FALSE,"Rents&amp;Other";#N/A,#N/A,FALSE,"A&amp;G";#N/A,#N/A,FALSE,"A&amp;P";#N/A,#N/A,FALSE,"Comp";#N/A,#N/A,FALSE,"R&amp;M";#N/A,#N/A,FALSE,"Energy";#N/A,#N/A,FALSE,"Capital";#N/A,#N/A,FALSE,"Laundry";#N/A,#N/A,FALSE,"EmpCafe";#N/A,#N/A,FALSE,"PTEB";#N/A,#N/A,FALSE,"Rent Calc"}</definedName>
    <definedName name="wrn.Complete._.Budget.1" hidden="1">{#N/A,#N/A,TRUE,"Budget";#N/A,#N/A,TRUE,"Revenue &amp; COGS"}</definedName>
    <definedName name="wrn.Complete._.Fortress." hidden="1">{"Summary",#N/A,TRUE,"Fund";"Value",#N/A,TRUE,"Fund";"Sensitivity",#N/A,TRUE,"Fund";"Cash_Flows",#N/A,TRUE,"Fund";"Cash/Equity",#N/A,TRUE,"Fund";"DCF/Yield",#N/A,TRUE,"Fund";"Splits 1",#N/A,TRUE,"Fund";"Promote IA",#N/A,TRUE,"Fund";"Assumptions",#N/A,TRUE,"Fund"}</definedName>
    <definedName name="wrn.Complete._.II.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1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2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3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port." hidden="1">{"Plant Parameters",#N/A,FALSE,"Total Project Economics";"summary1",#N/A,FALSE,"Total Project Economics";"Tariffs_Unit Prices_Costs",#N/A,FALSE,"Total Project Economics";"Financials",#N/A,FALSE,"Total Project Economics"}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_1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2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3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nst_Monthly." hidden="1">{"Const_Monthly",#N/A,FALSE,"Construction"}</definedName>
    <definedName name="wrn.Construction_Summary." hidden="1">{#N/A,#N/A,FALSE,"Construction"}</definedName>
    <definedName name="wrn.Construction._.Costs." hidden="1">{"Construction Costs",#N/A,FALSE,"Total Costs"}</definedName>
    <definedName name="wrn.contribution." hidden="1">{#N/A,#N/A,FALSE,"Contribution Analysis"}</definedName>
    <definedName name="wrn.contribution.1" hidden="1">{#N/A,#N/A,FALSE,"Contribution Analysis"}</definedName>
    <definedName name="wrn.Control_A." hidden="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M.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Summary";#N/A,#N/A,FALSE,"Valuation"}</definedName>
    <definedName name="wrn.Control._.Sheet." hidden="1">{#N/A,#N/A,FALSE,"CONTROL"}</definedName>
    <definedName name="wrn.Converse.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1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2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3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re." hidden="1">{#N/A,#N/A,FALSE,"Summary (Oblg)";#N/A,#N/A,FALSE,"41 Mad (41)";#N/A,#N/A,FALSE,"41 Mad (27&amp;28)";#N/A,#N/A,FALSE,"41 Mad (29-1)";#N/A,#N/A,FALSE,"41 Mad (29-2A)";#N/A,#N/A,FALSE,"41 Mad (29-2B)";#N/A,#N/A,FALSE,"41 Mad (30)";#N/A,#N/A,FALSE,"41 Mad (42)";#N/A,#N/A,FALSE,"Blend"}</definedName>
    <definedName name="wrn.Core._.Fund." hidden="1">{"Core Assumptions",#N/A,TRUE,"SA1 Quarterly";"Core Annual",#N/A,TRUE,"SA1 Quarterly";"Core Quarterly",#N/A,TRUE,"SA1 Quarterly"}</definedName>
    <definedName name="wrn.CORNELL._.ANALYSIS." hidden="1">{#N/A,#N/A,FALSE,"CORNELL SCENARIO COMPARISON";#N/A,#N/A,FALSE,"SUMMARY";#N/A,#N/A,FALSE,"Returns";#N/A,#N/A,FALSE,"Cash Flow";#N/A,#N/A,FALSE,"Pro-Forma";#N/A,#N/A,FALSE,"Rent Roll"}</definedName>
    <definedName name="wrn.Corporate." hidden="1">{"Corporate",#N/A,FALSE,"Corporate Profile"}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top." hidden="1">{"ReportTop",#N/A,FALSE,"report top"}</definedName>
    <definedName name="wrn.cotop2." hidden="1">{"ReportTop",#N/A,FALSE,"report top"}</definedName>
    <definedName name="wrn.Cottage._.Summary." hidden="1">{"cot1",#N/A,FALSE,"Cottages";"cot2",#N/A,FALSE,"Cottages";"cot3",#N/A,FALSE,"Cottages"}</definedName>
    <definedName name="wrn.Country._.consolidation." hidden="1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hidden="1">{#N/A,#N/A,FALSE,"CPB"}</definedName>
    <definedName name="wrn.Credit._.Summary." hidden="1">{#N/A,#N/A,FALSE,"CREDIT"}</definedName>
    <definedName name="wrn.Crossings." hidden="1">{"One",#N/A,FALSE,"Crossings";"Two",#N/A,FALSE,"Crossings";"Three",#N/A,FALSE,"Crossings";"Fous",#N/A,FALSE,"Crossings";"Five",#N/A,FALSE,"Crossings"}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CSSF._.ex._.USGAAP." hidden="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wrn.Ctrl._.A._.Annual." hidden="1">{#N/A,#N/A,FALSE,"Sensitivity";#N/A,#N/A,FALSE,"Residual";#N/A,#N/A,FALSE,"RevenueAssumptions";#N/A,#N/A,FALSE,"CFD Summary";#N/A,#N/A,FALSE,"Annual CF";#N/A,#N/A,FALSE,"Annual Delivery";#N/A,#N/A,FALSE,"Annual IS"}</definedName>
    <definedName name="wrn.Ctrl._.A._.Annually.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Monthly." hidden="1">{#N/A,#N/A,FALSE,"Sensitivity";#N/A,#N/A,FALSE,"Residual";#N/A,#N/A,FALSE,"RevenueAssumptions";#N/A,#N/A,FALSE,"CFD Summary";#N/A,#N/A,FALSE,"CashFlow";#N/A,#N/A,FALSE,"Lot Take";#N/A,#N/A,FALSE,"MasterCostAssmp";#N/A,#N/A,FALSE,"InTractCstAssmp";#N/A,#N/A,FALSE,"InvestorSummary"}</definedName>
    <definedName name="wrn.Ctrl._.A._.Quarterly.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M.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Summary";#N/A,#N/A,FALSE,"BaseAssumptions";#N/A,#N/A,FALSE,"RevenueAssumptions";#N/A,#N/A,FALSE,"MasterCostAssmp";#N/A,#N/A,FALSE,"InTractCstAssmp";#N/A,#N/A,FALSE,"LotTakedowns";#N/A,#N/A,FALSE,"CashFlowSummary";#N/A,#N/A,FALSE,"Loan #2";#N/A,#N/A,FALSE,"Loan Value";#N/A,#N/A,FALSE,"FlowSummary";#N/A,#N/A,FALSE,"SourcesAndUses";#N/A,#N/A,FALSE,"CashDistribute";#N/A,#N/A,FALSE,"InvestorSummary";#N/A,#N/A,FALSE,"Finance Summary";#N/A,#N/A,FALSE,"SourceAndUse";#N/A,#N/A,FALSE,"Valuation"}</definedName>
    <definedName name="wrn.Ctrl._.M._.Annually.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Quarterly." hidden="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urrency._.Analysis." hidden="1">{"Analysis of Assets_Liabilities",#N/A,FALSE,"ccy_anal";"Analysis of Investments",#N/A,FALSE,"ccy_anal"}</definedName>
    <definedName name="wrn.Current.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.Year._.Plan._.Only." hidden="1">{#N/A,#N/A,FALSE,"Part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- 2001"}</definedName>
    <definedName name="wrn.Current._1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2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3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daily." hidden="1">{#N/A,#N/A,FALSE,"Major v. River";#N/A,#N/A,FALSE,"Large Operators";#N/A,#N/A,FALSE,"Smaller Operators";#N/A,#N/A,FALSE,"Equip. Supply";#N/A,#N/A,FALSE,"EBITDA"}</definedName>
    <definedName name="wrn.data." hidden="1">{"data",#N/A,FALSE,"INPUT"}</definedName>
    <definedName name="wrn.data1" hidden="1">{"data",#N/A,FALSE,"INPUT"}</definedName>
    <definedName name="wrn.data5" hidden="1">{"data",#N/A,FALSE,"INPUT"}</definedName>
    <definedName name="wrn.DATABASE." hidden="1">{"DBINPUT1",#N/A,FALSE,"Database";"DBINPUT2",#N/A,FALSE,"Database"}</definedName>
    <definedName name="wrn.Days._.in._.AR." hidden="1">{"Normal",#N/A,TRUE,"Days";"Sold",#N/A,TRUE,"Days"}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{#N/A,#N/A,FALSE,"DCF-COM";#N/A,#N/A,FALSE,"VAC-COM"}</definedName>
    <definedName name="wrn.DCF._.Valuation." hidden="1">{"value box",#N/A,TRUE,"DPL Inc. Fin Statements";"unlevered free cash flows",#N/A,TRUE,"DPL Inc. Fin Statements"}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R._.Output." hidden="1">{"DCR Output",#N/A,FALSE,"Output"}</definedName>
    <definedName name="wrn.Debt._.Maturity." hidden="1">{#N/A,#N/A,FALSE,"ZLDebtMaturity";#N/A,#N/A,FALSE,"FCDebtMaturity";#N/A,#N/A,FALSE,"ZM3DebtMaturity";#N/A,#N/A,FALSE,"ZM2DebtMaturity";#N/A,#N/A,FALSE,"zm1DebtMaturity";#N/A,#N/A,FALSE,"ConsZM123DebtMaturity"}</definedName>
    <definedName name="wrn.Dec._.Forecast." hidden="1">{"Dec",#N/A,FALSE,"Manager Report"}</definedName>
    <definedName name="wrn.Demand._.Calcs." hidden="1">{#N/A,#N/A,FALSE,"Demand Calcs"}</definedName>
    <definedName name="wrn.Demand._.Inputs." hidden="1">{#N/A,#N/A,FALSE,"Demand Inputs"}</definedName>
    <definedName name="wrn.Depreciation." hidden="1">{"One",#N/A,FALSE,"Depreciation"}</definedName>
    <definedName name="wrn.detail." localSheetId="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localSheetId="0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._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3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ed." hidden="1">{"Detailed",#N/A,FALSE,"Schedule4"}</definedName>
    <definedName name="wrn.Detailed._.Partnership._.Returns._.Leveraged." hidden="1">{"Return Analysis - Leveraged",#N/A,FALSE,"Return Analysis - Leveraged"}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_.Budget." hidden="1">{"Year 1",#N/A,FALSE,"Budget";"Year 2",#N/A,FALSE,"Budget";"Year 3",#N/A,FALSE,"Budget";"Year 4",#N/A,FALSE,"Budget"}</definedName>
    <definedName name="wrn.Dexter._.Nov._.Fund._.Mtg." hidden="1">{"Venture Summary",#N/A,FALSE,"Summary";"Development Budget",#N/A,FALSE,"Summary";"Annual",#N/A,FALSE,"Annual";"Timeline - Quarterly",#N/A,FALSE,"Timeline - Quarterly";"Argus Assumptions",#N/A,FALSE,"Argus Assumptions"}</definedName>
    <definedName name="wrn.Display." hidden="1">{"Summary",#N/A,TRUE,"Sheet1";"Sens",#N/A,TRUE,"Sheet1";"Summary2",#N/A,TRUE,"Sheet1";"Balance",#N/A,TRUE,"Sheet1";"Partner",#N/A,TRUE,"Sheet1";"Yield",#N/A,TRUE,"Sheet1";"Structure",#N/A,TRUE,"Sheet1";"Split",#N/A,TRUE,"Sheet1"}</definedName>
    <definedName name="wrn.Distribution._.Economics." hidden="1">{#N/A,#N/A,FALSE,"Draw";#N/A,#N/A,FALSE,"PROFORMA";#N/A,#N/A,FALSE,"Assumptions";#N/A,#N/A,FALSE,"Costs"}</definedName>
    <definedName name="wrn.Divsum._.All._.Sections." hidden="1">{"Divsum Complete Divsum",#N/A,FALSE,"Divsum"}</definedName>
    <definedName name="wrn.Downside." hidden="1">{"Downside",#N/A,FALSE,"Downside"}</definedName>
    <definedName name="wrn.dtl.schedules" hidden="1">{"ACCOUNT DETAIL",#N/A,FALSE,"SCHEDULE E";"ACCOUNT DETAIL",#N/A,FALSE,"SCHEDULE G";"ACCOUNT DETAIL",#N/A,FALSE,"SCHEDULE H";"ACCOUNT DETAIL",#N/A,FALSE,"SCHEDULE I"}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Dummy." hidden="1">{"Dummy",#N/A,FALSE,"Summary"}</definedName>
    <definedName name="wrn.Dwight._.print." hidden="1">{"Venture Summary",#N/A,TRUE,"Summary";"Sensitivity Tabels",#N/A,TRUE,"Summary";"Operating Assumptions",#N/A,TRUE,"Summary";#N/A,#N/A,TRUE,"IRR Changes"}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C1." hidden="1">{"eca",#N/A,TRUE,"E-C1 (R)";"ecb",#N/A,TRUE,"E-C1 (R)"}</definedName>
    <definedName name="wrn.ED." hidden="1">{"ed1",#N/A,TRUE,"E-D";"ed2",#N/A,TRUE,"E-D"}</definedName>
    <definedName name="wrn.Engineering." hidden="1">{#N/A,#N/A,FALSE,"ENGINEERING"}</definedName>
    <definedName name="wrn.Englese._.Report._.1st._.half." hidden="1">{"CoverSheet",#N/A,FALSE,"Cover Sheet";"AreaSum",#N/A,FALSE,"Master Area Summary";"Exclusions",#N/A,FALSE,"Exclusions";"EngEXsum",#N/A,FALSE,"Executive Summary";"Eng A sum",#N/A,FALSE,"Bldg A Summary";"EngAest",#N/A,FALSE,"BLDG.A";"EngCsum",#N/A,FALSE,"Bldg C Summary";"EngCest",#N/A,FALSE,"BLDG.C";"EngSTsum",#N/A,FALSE,"Site Summary";"Engsite",#N/A,FALSE,"Site work"}</definedName>
    <definedName name="wrn.Englese._.Report._.2nd._.half." hidden="1">{"EngSWsum",#N/A,FALSE,"Sewer Summary";"EngSWest",#N/A,FALSE,"Sewer Estimate";"Eng GRsum",#N/A,FALSE,"Garage Summary";"EngGRest",#N/A,FALSE,"Garage Estimate";"EngPLsum",#N/A,FALSE,"Pool Summary";"EngPLest",#N/A,FALSE,"Pool";"EngPHsum",#N/A,FALSE,"Pool House Summary";"EngPHest",#N/A,FALSE,"Pool House Estimate";"EngMAsum",#N/A,FALSE,"Marina Summary";"EngMAest",#N/A,FALSE,"Marina Estimate"}</definedName>
    <definedName name="wrn.ENTIRE." localSheetId="2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" localSheetId="0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.Package." hidden="1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wrn.ENTIRE._1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2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3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4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tlements." hidden="1">{"EB (Summary)",#N/A,FALSE,"Ent Budget";"EB (Budget Detail)",#N/A,FALSE,"Ent Budget";"EB (Budget CF)",#N/A,FALSE,"Ent Budget"}</definedName>
    <definedName name="wrn.Entries." hidden="1">{"entries",#N/A,FALSE,"entries"}</definedName>
    <definedName name="wrn.Environmental." hidden="1">{#N/A,#N/A,FALSE,"ENVIRONMENTAL"}</definedName>
    <definedName name="wrn.Error._.Report." hidden="1">{"Error Report",#N/A,FALSE,"Report"}</definedName>
    <definedName name="wrn.Estimate._.Backup." hidden="1">{"Estimate Backup",#N/A,FALSE,"Divsum"}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ample." hidden="1">{"Assumption Summary",#N/A,TRUE,"FIII Asset CF";"FIII Portfolio CF",#N/A,TRUE,"FIII Asset CF";"FIII Asset CF",#N/A,TRUE,"Rollup CF"}</definedName>
    <definedName name="wrn.Excavation." hidden="1">{"excavation",#N/A,FALSE,"DETAIL.XLS"}</definedName>
    <definedName name="wrn.Exception._.Report." hidden="1">{#N/A,#N/A,FALSE,"Exception Report"}</definedName>
    <definedName name="wrn.Exec._.Summary." hidden="1">{#N/A,#N/A,FALSE,"Index"}</definedName>
    <definedName name="wrn.ExecMgt._.Reports." hidden="1">{#N/A,#N/A,FALSE,"PropInfo";#N/A,#N/A,FALSE,"Summary";#N/A,#N/A,FALSE,"Comparitive";#N/A,#N/A,FALSE,"RevSummary"}</definedName>
    <definedName name="wrn.Executive._.Summary._.Reports." hidden="1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name="wrn.Exhibits." hidden="1">{#N/A,#N/A,FALSE,"Historical";#N/A,#N/A,FALSE,"Adjusted";#N/A,#N/A,FALSE,"CAM Alloc.";#N/A,#N/A,FALSE,"Projected CAM"}</definedName>
    <definedName name="wrn.ExitAndSalesAssumptions." localSheetId="2" hidden="1">{#N/A,#N/A,FALSE,"ExitStratigy"}</definedName>
    <definedName name="wrn.ExitAndSalesAssumptions." localSheetId="0" hidden="1">{#N/A,#N/A,FALSE,"ExitStratigy"}</definedName>
    <definedName name="wrn.ExitAndSalesAssumptions." hidden="1">{#N/A,#N/A,FALSE,"ExitStratigy"}</definedName>
    <definedName name="wrn.ExitAndSalesAssumptions._1" hidden="1">{#N/A,#N/A,FALSE,"ExitStratigy"}</definedName>
    <definedName name="wrn.ExitAndSalesAssumptions._2" hidden="1">{#N/A,#N/A,FALSE,"ExitStratigy"}</definedName>
    <definedName name="wrn.ExitAndSalesAssumptions._3" hidden="1">{#N/A,#N/A,FALSE,"ExitStratigy"}</definedName>
    <definedName name="wrn.ExitAndSalesAssumptions._4" hidden="1">{#N/A,#N/A,FALSE,"ExitStratigy"}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pense._.Input." hidden="1">{#N/A,#N/A,FALSE,"Expense Input"}</definedName>
    <definedName name="wrn.Exterior._.Wall." hidden="1">{#N/A,#N/A,FALSE,"Paramters";"print range",#N/A,FALSE,"GSF.XLS";"exterior wall",#N/A,FALSE,"DETAIL.XLS"}</definedName>
    <definedName name="wrn.F97._.QTR._.2._.Rate." hidden="1">{#N/A,#N/A,FALSE,"F98 Q2";#N/A,#N/A,FALSE,"Worksheet";#N/A,#N/A,FALSE,"Reconciliation";#N/A,#N/A,FALSE,"Minority Interest"}</definedName>
    <definedName name="wrn.Fair._.Share._.Calcs." hidden="1">{#N/A,#N/A,FALSE,"Fair Share"}</definedName>
    <definedName name="wrn.Fairfield._.Business._.Center." hidden="1">{#N/A,#N/A,FALSE,"SUMMARY";#N/A,#N/A,FALSE,"Returns";#N/A,#N/A,FALSE,"Pro-Forma";#N/A,#N/A,FALSE,"Cash Flow";#N/A,#N/A,FALSE,"Rent Roll"}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_1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_1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1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2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db1_Imprime_Print." hidden="1">{"fdb1_Rapport_Report",#N/A,FALSE,"Report"}</definedName>
    <definedName name="wrn.fdb2_print_rpt." hidden="1">{"fdb2_print",#N/A,FALSE,"Report"}</definedName>
    <definedName name="wrn.Feb._.09._.Model._.Review." hidden="1">{"Venture Summary",#N/A,FALSE,"Summary";"Development Budget",#N/A,FALSE,"Summary";"Development Proforma",#N/A,FALSE,"Dev PF";"Argus Assumptions",#N/A,FALSE,"Argus Assumptions";"Project Costs",#N/A,FALSE,"Summary"}</definedName>
    <definedName name="wrn.Feb._.2009._.Model._.Review." hidden="1">{"Venture Summary",#N/A,FALSE,"Summary";"Argus Assumptions",#N/A,FALSE,"Argus Assumptions";"Development Budget",#N/A,FALSE,"Summary";"Dev PF",#N/A,FALSE,"Dev PF";"Monthly Venture CFs",#N/A,FALSE,"Summary";"Monthly Project Costs",#N/A,FALSE,"Summary"}</definedName>
    <definedName name="wrn.Feb._.Forecast." hidden="1">{"Feb",#N/A,FALSE,"Manager Report"}</definedName>
    <definedName name="wrn.Feb98." hidden="1">{"sheet a",#N/A,FALSE,"A";"2 9 casflow",#N/A,FALSE,"B"}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l." hidden="1">{#N/A,#N/A,FALSE,"Total Sum";#N/A,#N/A,FALSE,"NA Summary";#N/A,#N/A,FALSE,"Junior Summary";#N/A,#N/A,FALSE,"FMC -NA Summary";#N/A,#N/A,FALSE,"Pacif Summary";#N/A,#N/A,FALSE,"NAV";#N/A,#N/A,FALSE,"Asset Summary";#N/A,#N/A,FALSE,"Bulawan";#N/A,#N/A,FALSE,"Sibutad";#N/A,#N/A,FALSE,"Prodn &amp; Reserves"}</definedName>
    <definedName name="wrn.Final._.Output." hidden="1">{#N/A,#N/A,FALSE,"Final Output"}</definedName>
    <definedName name="wrn.Finance." hidden="1">{#N/A,#N/A,TRUE,"97 FINANCING";#N/A,#N/A,TRUE,"97 Indirect &amp; Operating Costs";#N/A,#N/A,TRUE,"97 Master Dev. Cost Wksht"}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Model." hidden="1">{#N/A,#N/A,TRUE,"Input Sheet Model";#N/A,#N/A,TRUE,"Project Proforma Detail";#N/A,#N/A,TRUE,"Signoff Summary";#N/A,#N/A,TRUE,"Assumptions";#N/A,#N/A,TRUE,"Constr. Int. Inc.";#N/A,#N/A,TRUE,"Cashflow Projection"}</definedName>
    <definedName name="wrn.Financial._.Model._1" hidden="1">{#N/A,#N/A,TRUE,"Input Sheet Model";#N/A,#N/A,TRUE,"Project Proforma Detail";#N/A,#N/A,TRUE,"Signoff Summary";#N/A,#N/A,TRUE,"Assumptions";#N/A,#N/A,TRUE,"Constr. Int. Inc.";#N/A,#N/A,TRUE,"Cashflow Projection"}</definedName>
    <definedName name="wrn.Financial._.Pack." hidden="1">{#N/A,#N/A,FALSE,"pension";#N/A,#N/A,FALSE,"Cover Page";#N/A,#N/A,FALSE,"Index";#N/A,#N/A,FALSE,"Certificate";#N/A,#N/A,FALSE,"Audit Report";#N/A,#N/A,FALSE,"Capital";#N/A,#N/A,FALSE,"Incomestat";#N/A,#N/A,FALSE,"Istatedetail";#N/A,#N/A,FALSE,"interestdividend";#N/A,#N/A,FALSE,"Tax";#N/A,#N/A,FALSE,"taxcomp";#N/A,#N/A,FALSE,"Incometaxac";#N/A,#N/A,FALSE,"Exitem";#N/A,#N/A,FALSE,"sharecap";#N/A,#N/A,FALSE,"distrprofit";#N/A,#N/A,FALSE,"amortis";#N/A,#N/A,FALSE,"deferredtax";#N/A,#N/A,FALSE,"Loans";#N/A,#N/A,FALSE,"fiassets";#N/A,#N/A,FALSE,"Fixedassets";#N/A,#N/A,FALSE,"reval";#N/A,#N/A,FALSE,"deprec";#N/A,#N/A,FALSE,"intercotr";#N/A,#N/A,FALSE,"plossassets";#N/A,#N/A,FALSE,"taxassets";#N/A,#N/A,FALSE,"notes";#N/A,#N/A,FALSE,"otherfixedass";#N/A,#N/A,FALSE,"sharessub";#N/A,#N/A,FALSE,"investments";#N/A,#N/A,FALSE,"STOCKS";#N/A,#N/A,FALSE,"DEBTORS";#N/A,#N/A,FALSE,"CREDITORS";#N/A,#N/A,FALSE,"BANKS&amp;LOANS";#N/A,#N/A,FALSE,"INTRACOMPANY";#N/A,#N/A,FALSE,"DIRECTORS";#N/A,#N/A,FALSE,"CASHFLOW";#N/A,#N/A,FALSE,"conliab"}</definedName>
    <definedName name="wrn.Financial._.Reports." hidden="1">{#N/A,#N/A,FALSE,"Overview";#N/A,#N/A,FALSE,"santafe";#N/A,#N/A,FALSE,"noble";#N/A,#N/A,FALSE,"Combined Results";#N/A,#N/A,FALSE,"Earnings"}</definedName>
    <definedName name="wrn.Financial._.Results." hidden="1">{"Financial Results",#N/A,FALSE,"Total Project Economics"}</definedName>
    <definedName name="wrn.Financial._.Statements." hidden="1">{"balance sheet",#N/A,FALSE,"balance sheet";#N/A,#N/A,FALSE,"income stmt (YTD)";"income stmt",#N/A,FALSE,"income stmt ";"cash flow YTD",#N/A,FALSE,"cash flow (YTD)";"cash flow",#N/A,FALSE,"cash flow "}</definedName>
    <definedName name="wrn.Financials." hidden="1">{#N/A,#N/A,TRUE,"Income Statement";#N/A,#N/A,TRUE,"Balance Sheet";#N/A,#N/A,TRUE,"Cash Flow"}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nancing." hidden="1">{"One",#N/A,FALSE,"Financing";"Two",#N/A,FALSE,"Financing";"Three",#N/A,FALSE,"Financing";"Four",#N/A,FALSE,"Financing"}</definedName>
    <definedName name="wrn.Finsumm." hidden="1">{"Finsumm",#N/A,FALSE,"Summary Analysis"}</definedName>
    <definedName name="wrn.First._.3._.Years._.All._.Sheets." hidden="1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ve._.Year._.Plan." hidden="1">{#N/A,#N/A,FALSE,"Part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Flows"}</definedName>
    <definedName name="wrn.Fleet." hidden="1">{"FleetDetailsNE",#N/A,FALSE,"NEForecast"}</definedName>
    <definedName name="wrn.Fmgmtfee." hidden="1">{#N/A,#N/A,FALSE,"Fmgmtfee"}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otnotes." hidden="1">{"Footnotes",#N/A,FALSE,"Foot_Notes"}</definedName>
    <definedName name="wrn.FORECAST._.ONLY.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MULAS." hidden="1">{"FORMULAS",#N/A,FALSE,"ESTIMATE"}</definedName>
    <definedName name="wrn.Fortress.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1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2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3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schedules." localSheetId="2" hidden="1">{"FOschedule1",#N/A,FALSE,"Sheet1";"FOschedule2",#N/A,FALSE,"Sheet1";"FOschedule3",#N/A,FALSE,"Sheet1"}</definedName>
    <definedName name="wrn.FOschedules." localSheetId="0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Oschedules._1" hidden="1">{"FOschedule1",#N/A,FALSE,"Sheet1";"FOschedule2",#N/A,FALSE,"Sheet1";"FOschedule3",#N/A,FALSE,"Sheet1"}</definedName>
    <definedName name="wrn.FOschedules._2" hidden="1">{"FOschedule1",#N/A,FALSE,"Sheet1";"FOschedule2",#N/A,FALSE,"Sheet1";"FOschedule3",#N/A,FALSE,"Sheet1"}</definedName>
    <definedName name="wrn.FOschedules._3" hidden="1">{"FOschedule1",#N/A,FALSE,"Sheet1";"FOschedule2",#N/A,FALSE,"Sheet1";"FOschedule3",#N/A,FALSE,"Sheet1"}</definedName>
    <definedName name="wrn.FOschedules._4" hidden="1">{"FOschedule1",#N/A,FALSE,"Sheet1";"FOschedule2",#N/A,FALSE,"Sheet1";"FOschedule3",#N/A,FALSE,"Sheet1"}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xmeyer." hidden="1">{#N/A,#N/A,FALSE,"FOXMEYER SCENARIO COMPARISON";#N/A,#N/A,FALSE,"SUMMARY";#N/A,#N/A,FALSE,"Returns";#N/A,#N/A,FALSE,"Cash Flow";#N/A,#N/A,FALSE,"Pro-Forma";#N/A,#N/A,FALSE,"Rent Roll"}</definedName>
    <definedName name="wrn.Freq_Res." hidden="1">{#N/A,#N/A,TRUE,"FR_HC";#N/A,#N/A,TRUE,"FR_REST";#N/A,#N/A,TRUE,"FR_RETA";#N/A,#N/A,TRUE,"FR_TECSOF";#N/A,#N/A,TRUE,"FR_NETTEC";#N/A,#N/A,TRUE,"FR_CLISER"}</definedName>
    <definedName name="wrn.FRI.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1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2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3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ont._.2." hidden="1">{"Summary",#N/A,TRUE,"Sheet1";"Summary2",#N/A,TRUE,"Sheet1"}</definedName>
    <definedName name="wrn.Front._.3." hidden="1">{"Summary",#N/A,TRUE,"Sheet1";"Summary2",#N/A,TRUE,"Sheet1";"Sens",#N/A,TRUE,"Sheet1"}</definedName>
    <definedName name="wrn.FS_2005." hidden="1">{"BS-Yearly",#N/A,TRUE,"BS-Year";"BS-Monthly-2005",#N/A,TRUE,"BS"}</definedName>
    <definedName name="wrn.FS._.Notes." hidden="1">{#N/A,#N/A,FALSE,"Note 2";#N/A,#N/A,FALSE,"Note 3";#N/A,#N/A,FALSE,"Note 4";#N/A,#N/A,FALSE,"Note 5";#N/A,#N/A,FALSE,"Note 6";#N/A,#N/A,FALSE,"Note 10"}</definedName>
    <definedName name="wrn.Full_Template." localSheetId="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4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." hidden="1">{#N/A,#N/A,FALSE,"ExecutiveSummary";#N/A,#N/A,FALSE,"CostDetail";#N/A,#N/A,FALSE,"IncomeDetail";#N/A,#N/A,FALSE,"InterestCalculation"}</definedName>
    <definedName name="wrn.Full._.Business._.Plan._.Package." hidden="1">{#N/A,#N/A,FALSE,"Cover";#N/A,#N/A,FALSE,"Exception Report";#N/A,#N/A,FALSE,"Index";#N/A,#N/A,FALSE,"Part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Flows";#N/A,#N/A,FALSE,"Part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- 2001";#N/A,#N/A,FALSE,"Part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FULL._.COMPARISON." localSheetId="2" hidden="1">{"Full Sheet",#N/A,FALSE,"Expense Comparison"}</definedName>
    <definedName name="wrn.FULL._.COMPARISON." localSheetId="0" hidden="1">{"Full Sheet",#N/A,FALSE,"Expense Comparison"}</definedName>
    <definedName name="wrn.FULL._.COMPARISON." hidden="1">{"Full Sheet",#N/A,FALSE,"Expense Comparison"}</definedName>
    <definedName name="wrn.FULL._.COMPARISON._1" hidden="1">{"Full Sheet",#N/A,FALSE,"Expense Comparison"}</definedName>
    <definedName name="wrn.FULL._.COMPARISON._2" hidden="1">{"Full Sheet",#N/A,FALSE,"Expense Comparison"}</definedName>
    <definedName name="wrn.FULL._.COMPARISON._3" hidden="1">{"Full Sheet",#N/A,FALSE,"Expense Comparison"}</definedName>
    <definedName name="wrn.FULL._.COMPARISON._4" hidden="1">{"Full Sheet",#N/A,FALSE,"Expense Comparison"}</definedName>
    <definedName name="wrn.Full._.Model." hidden="1">{"VS (Summary 1)",#N/A,FALSE,"Venture Summary";"VS (Summary 2)",#N/A,FALSE,"Venture Summary";"VS (Project CF)",#N/A,FALSE,"Venture Summary";"VS (NOI and Sales)",#N/A,FALSE,"Venture Summary";"VS (Debt)",#N/A,FALSE,"Venture Summary";"VS (Project Cost Detail)",#N/A,FALSE,"Venture Summary";"EB (Summary)",#N/A,FALSE,"Ent Budget";"CFD 1",#N/A,FALSE,"CFD";"CFD 2",#N/A,FALSE,"CFD";"CFD 3",#N/A,FALSE,"CFD";"CFD 4",#N/A,FALSE,"CFD";"Infra (Summary)",#N/A,FALSE,"Infrastructrue";"Infra (Budget)",#N/A,FALSE,"Infrastructrue";"Res (Summary)",#N/A,FALSE,"Res Phasing Summary";"Res (Tables)",#N/A,FALSE,"Res Phasing Summary";"Retail (Summary)",#N/A,FALSE,"Retail Summary";"Retail (Budget Sum - Cons)",#N/A,FALSE,"Retail Summary";"Retail (Budget Sum - Retail)",#N/A,FALSE,"Retail Summary";"Retail (Budget Sum - Res)",#N/A,FALSE,"Retail Summary";"Retail (Cash Flow)",#N/A,FALSE,"Retail Summary";"Retail (Costs)",#N/A,FALSE,"Retail Summary";"Retail (Sales)",#N/A,FALSE,"Retail Summary";"Retail (Debt)",#N/A,FALSE,"Retail Summary";"Retail (Cost Detail)",#N/A,FALSE,"Retail Summary";"Retail (Budget Detail)",#N/A,FALSE,"Retail Budget";"Retail (Tenant Summary)",#N/A,FALSE,"Retail Tenant Summary";"Casino (Summary)",#N/A,FALSE,"Casino";"Casino (Cash Flow)",#N/A,FALSE,"Casino";"Casino (Budget Sum)",#N/A,FALSE,"Casino";"Casino (Costs and Sales)",#N/A,FALSE,"Casino";"Casino (Debt)",#N/A,FALSE,"Casino";"Casino (Partner CF)",#N/A,FALSE,"Casino";"Casino (Cost Detail)",#N/A,FALSE,"Casino";"Casino ( Budget Detail)",#N/A,FALSE,"Casino Budget";"Overhead",#N/A,FALSE,"Overhead";"Project TL",#N/A,FALSE,"Project Timeline";"Fin TL",#N/A,FALSE,"Financing Timeline"}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hidden="1">{"Office Properties",#N/A,FALSE,"Consolidation";"Residential Summary",#N/A,FALSE,"Consolidation";"Retail Properties",#N/A,FALSE,"Consolidation";"Pru Loan",#N/A,FALSE,"Pru Loan";"One_Clear",#N/A,FALSE,"One Clearlake";"Comm_Corp",#N/A,FALSE,"Comm Corp Ctr";"San_Jac",#N/A,FALSE,"San Jacinto";"Wilshire",#N/A,FALSE,"8383 Wilshire";"Denver_Corp",#N/A,FALSE,"Denver Corp Center";"san_fel",#N/A,FALSE,"San Felipe";"Preston Bend",#N/A,FALSE,"Preston Bend";"The Willows",#N/A,FALSE,"The Willows";"Windemere",#N/A,FALSE,"Windemere";"Concorde",#N/A,FALSE,"Concorde";"Wyndridge",#N/A,FALSE,"Wyndridge 2 &amp; 3";"Spinnaker",#N/A,FALSE,"Spinnaker Cove";"Sedona",#N/A,FALSE,"Sedona Ridge";"Summer_Tree",#N/A,FALSE,"Summer Tree";"Ridge_Mtn",#N/A,FALSE,"Mountbrook_Ridgemont";"Highline",#N/A,FALSE,"Highline Oaks";"South_Towne",#N/A,FALSE,"South Towne";"Swansea",#N/A,FALSE,"Swansea"}</definedName>
    <definedName name="wrn.Full._.Report._1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2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3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un." hidden="1">{#N/A,#N/A,FALSE,"Master Summary";#N/A,#N/A,FALSE,"Summary";#N/A,#N/A,FALSE,"245 Park Ave - Remaing Obl.";#N/A,#N/A,FALSE,"245 Park Ave - Sublease";#N/A,#N/A,FALSE,"Sublease Commission";#N/A,#N/A,FALSE,"245 Park Avenue-New Lease";#N/A,#N/A,FALSE,"Blend";#N/A,#N/A,FALSE,"30 Rock.";#N/A,#N/A,FALSE,"320 Park";#N/A,#N/A,FALSE,"250 Park-Existing Law Firm"}</definedName>
    <definedName name="wrn.full._.set.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MC._.Dev._.Model._.Nov._.Fund._.Mtg." hidden="1">{"Venture Summary",#N/A,FALSE,"Summary";"Development Budget",#N/A,FALSE,"Summary";"Timeline - Quarterly",#N/A,FALSE,"Timeline - Quarterly";"Argus Assumptions",#N/A,FALSE,"Argus Assumptions";"Annual",#N/A,FALSE,"Annual"}</definedName>
    <definedName name="wrn.FUMC._.Land._.Sale." hidden="1">{"Venture Summary",#N/A,FALSE,"Summary";"Timeline - Quarterly",#N/A,FALSE,"Timeline - Quarterly";"Development Proforma",#N/A,FALSE,"Dev PF";"Development Budget",#N/A,FALSE,"Summary";"Development Proforma",#N/A,FALSE,"Dev PF"}</definedName>
    <definedName name="wrn.FUMC._.Sale._.Model._.Nov._.Fund._.Mtg." hidden="1">{"Venture Summary",#N/A,FALSE,"Summary";"Development Budget",#N/A,FALSE,"Summary";"Sale Model Annual Costs and CFs",#N/A,FALSE,"Annual"}</definedName>
    <definedName name="wrn.Fundus._.33.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1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2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3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Y97SBP." hidden="1">{#N/A,#N/A,FALSE,"FY97";#N/A,#N/A,FALSE,"FY98";#N/A,#N/A,FALSE,"FY99";#N/A,#N/A,FALSE,"FY00";#N/A,#N/A,FALSE,"FY01"}</definedName>
    <definedName name="wrn.Garage." hidden="1">{#N/A,#N/A,FALSE,"Garage Assumpt 1";#N/A,#N/A,FALSE,"Garage Op Proj";#N/A,#N/A,FALSE,"Hist I&amp;E";#N/A,#N/A,FALSE,"Garage Lease"}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SPACK." hidden="1">{"Page1",#N/A,TRUE,"PERIOD 1  POWERPLAY";"Page 2",#N/A,TRUE,"PERIOD 1  POWERPLAY";"Page 3",#N/A,TRUE,"PERIOD 1  POWERPLAY";"Page 4",#N/A,TRUE,"PERIOD 1  POWERPLAY"}</definedName>
    <definedName name="wrn.GEER_report." hidden="1">{#N/A,#N/A,FALSE,"Table_Ass.";#N/A,#N/A,FALSE,"# of cust";#N/A,#N/A,FALSE,"Res_Report";#N/A,#N/A,FALSE,"Income Statement";"Qtr Cust",#N/A,FALSE,"Qtrly Proj"}</definedName>
    <definedName name="wrn.General." hidden="1">{"Balance",#N/A,FALSE,"General Assumptions";"Cost",#N/A,FALSE,"General Assumptions";"Working",#N/A,FALSE,"General Assumptions"}</definedName>
    <definedName name="wrn.General._.Information." hidden="1">{#N/A,#N/A,FALSE,"Input 2 - Sources of Funds"}</definedName>
    <definedName name="wrn.GIS." hidden="1">{#N/A,#N/A,FALSE,"GIS"}</definedName>
    <definedName name="wrn.GOG." hidden="1">{#N/A,#N/A,TRUE,"CES";#N/A,#N/A,TRUE,"DCS";#N/A,#N/A,TRUE,"GCs";#N/A,#N/A,TRUE,"Clubhouse";#N/A,#N/A,TRUE,"Guestrooms"}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eg." hidden="1">{"three",#N/A,FALSE,"Capital";"four",#N/A,FALSE,"Capital"}</definedName>
    <definedName name="wrn.gros." hidden="1">{#N/A,#N/A,FALSE,"Sch01";#N/A,#N/A,FALSE,"Sch02";#N/A,#N/A,FALSE,"Sch04";#N/A,#N/A,FALSE,"Sch05";#N/A,#N/A,FALSE,"Sch05a";#N/A,#N/A,FALSE,"Sch06";#N/A,#N/A,FALSE,"Sch07";#N/A,#N/A,FALSE,"Sch08";#N/A,#N/A,FALSE,"Sch09";#N/A,#N/A,FALSE,"Sch10";#N/A,#N/A,FALSE,"Sch11";#N/A,#N/A,FALSE,"Sch12";#N/A,#N/A,FALSE,"Sch-C";#N/A,#N/A,FALSE,"Sch-E"}</definedName>
    <definedName name="wrn.Gross._.to._.Net._.Reconciliations." hidden="1">{"Full Gross to Net",#N/A,TRUE,"GtoN";"R_I Accepted from Group Coys",#N/A,TRUE,"GtoN";"R_I Ceded to Group Coys",#N/A,TRUE,"GtoN";"Closing Loss Reserves and Gross Claims Incurred",#N/A,TRUE,"GtoN"}</definedName>
    <definedName name="wrn.Gross._.up." hidden="1">{#N/A,#N/A,FALSE,"Gross-Up"}</definedName>
    <definedName name="wrn.Group._.B._.Report." hidden="1">{"Both Reports Group B",#N/A,FALSE,"Group B";"Both Reports S33",#N/A,FALSE,"S33 Weymouth";"Both Reports S35",#N/A,FALSE,"S35 Woodcrest";"Both Reports S36",#N/A,FALSE,"S36 Cheshire";"Both Reports S38",#N/A,FALSE,"S38 Newton"}</definedName>
    <definedName name="wrn.Group._.C._.Report." hidden="1">{"Group C",#N/A,FALSE,"Group C";"Total Bev",#N/A,FALSE,"S01 Beverly";"Total S15",#N/A,FALSE,"S15 Lexington";"Both Reports S26",#N/A,FALSE,"S26 Peabody";"Both Reports S27",#N/A,FALSE,"S27 Randolph";"Both Reports S31",#N/A,FALSE,"S31 Westport";"Both Reports S34",#N/A,FALSE,"S34 Wilmington Woods"}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gth." hidden="1">{#N/A,#N/A,FALSE,"Title Page";#N/A,#N/A,FALSE,"Summary Sheet"}</definedName>
    <definedName name="wrn.Gund._.Arena._.PCD." hidden="1">{#N/A,#N/A,TRUE,"Gund Arena PCD";#N/A,#N/A,TRUE,"Gund Arena IOR"}</definedName>
    <definedName name="wrn.H_and_V." hidden="1">{"Summary",#N/A,FALSE,"Summary";"Sensitivity Chart",#N/A,FALSE,"Sensitivity Chart ";"Rent Detail",#N/A,FALSE,"Rent Detail";"Opex Detail",#N/A,FALSE,"Operating"}</definedName>
    <definedName name="wrn.HEAT." hidden="1">{#N/A,#N/A,FALSE,"Heat";#N/A,#N/A,FALSE,"DCF";#N/A,#N/A,FALSE,"LBO";#N/A,#N/A,FALSE,"A";#N/A,#N/A,FALSE,"C";#N/A,#N/A,FALSE,"impd";#N/A,#N/A,FALSE,"Accr-Dilu"}</definedName>
    <definedName name="wrn.heathrow." hidden="1">{#N/A,#N/A,FALSE,"Summary";#N/A,#N/A,FALSE,"Sales";#N/A,#N/A,FALSE,"Costs";#N/A,#N/A,FALSE,"1996";#N/A,#N/A,FALSE,"1997";#N/A,#N/A,FALSE,"1998";#N/A,#N/A,FALSE,"1999";#N/A,#N/A,FALSE,"2000";#N/A,#N/A,FALSE,"2001";#N/A,#N/A,FALSE,"2002";#N/A,#N/A,FALSE,"2003";#N/A,#N/A,FALSE,"2004";#N/A,#N/A,FALSE,"2005";#N/A,#N/A,FALSE,"2006"}</definedName>
    <definedName name="wrn.Hightower." hidden="1">{"Hightower-Investor",#N/A,FALSE,"Hightower";"Hightower-Property",#N/A,FALSE,"Hightower"}</definedName>
    <definedName name="wrn.Hingham." hidden="1">{"Hingham Summary",#N/A,TRUE,"Hingham - CF";"Hinham Budget",#N/A,TRUE,"Hingham - CF";"Hingham Dev. Costs",#N/A,TRUE,"Hingham - CF";"Hingham CF1",#N/A,TRUE,"Hingham - CF";"Hingh CF2",#N/A,TRUE,"Hingham - CF"}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istory._.Proforma." hidden="1">{"History &amp; Projection",#N/A,FALSE,"History - Proforma"}</definedName>
    <definedName name="wrn.HNZ." hidden="1">{#N/A,#N/A,FALSE,"HNZ"}</definedName>
    <definedName name="wrn.Hold._.Sell." localSheetId="2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0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2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3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4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rizontal._.Summary." hidden="1">{"VS (Summary 1)",#N/A,FALSE,"Venture Summary";"VS (Summary 2)",#N/A,FALSE,"Venture Summary";"VS (Project CF)",#N/A,FALSE,"Venture Summary";"VS (NOI and Sales)",#N/A,FALSE,"Venture Summary";"VS (Debt)",#N/A,FALSE,"Venture Summary";"VS (Project Cost Detail)",#N/A,FALSE,"Venture Summary"}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C._.PKF._.Financials." hidden="1">{"Operations",#N/A,TRUE,"PKF";"Departments",#N/A,TRUE,"PKF"}</definedName>
    <definedName name="wrn.IC._.Memo._.Dexter." hidden="1">{"Venture Summary",#N/A,TRUE,"Summary";"Development Budget",#N/A,TRUE,"Summary";"Annual",#N/A,TRUE,"Summary"}</definedName>
    <definedName name="wrn.IC._.Memo._.Emerald." hidden="1">{"Venture Summary",#N/A,TRUE,"Retail Summary";"Dev Budget",#N/A,TRUE,"Retail Summary";"Annual",#N/A,TRUE,"Retail Summary"}</definedName>
    <definedName name="wrn.IC._.Memo._.FUMC." hidden="1">{"Venture Summary",#N/A,TRUE,"Summary";"Development Budget",#N/A,TRUE,"Summary";"Annual",#N/A,TRUE,"Summary"}</definedName>
    <definedName name="wrn.IGT._.Model." hidden="1">{#N/A,#N/A,TRUE,"IGT";#N/A,#N/A,TRUE,"IGTSLOT"}</definedName>
    <definedName name="wrn.III." hidden="1">{"CASHFLOW",#N/A,FALSE,"Northpointe"}</definedName>
    <definedName name="wrn.III1." hidden="1">{"CASHFLOW",#N/A,FALSE,"Northpointe"}</definedName>
    <definedName name="wrn.III1._1" hidden="1">{"CASHFLOW",#N/A,FALSE,"Northpointe"}</definedName>
    <definedName name="wrn.IIII" hidden="1">{"CASHFLOW",#N/A,FALSE,"Northpointe"}</definedName>
    <definedName name="wrn.IIII_1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ncome_Statement." hidden="1">{"One",#N/A,FALSE,"Income Statement";"Two",#N/A,FALSE,"Income Statement";"Three",#N/A,FALSE,"Income Statement";"Four",#N/A,FALSE,"Income Statement"}</definedName>
    <definedName name="wrn.Income._.Input." hidden="1">{#N/A,#N/A,FALSE,"Income Input"}</definedName>
    <definedName name="wrn.Income._.Statements." hidden="1">{"Summary_Annual",#N/A,FALSE,"Summary";"Summary__Quarterly",#N/A,FALSE,"Summary";"Summary__Current Year",#N/A,FALSE,"Summary";"Summary__Next Year",#N/A,FALSE,"Summary"}</definedName>
    <definedName name="wrn.Income._.Statements.1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dex." hidden="1">{#N/A,#N/A,FALSE,"INDEX"}</definedName>
    <definedName name="wrn.Individual._.Regions." hidden="1">{#N/A,#N/A,FALSE,"Summary";#N/A,#N/A,FALSE,"AIME";#N/A,#N/A,FALSE,"Asia (2)";#N/A,#N/A,FALSE,"Europe";#N/A,#N/A,FALSE,"LA"}</definedName>
    <definedName name="wrn.Infrastructure." hidden="1">{"Inf1",#N/A,TRUE,"Ent &amp; Inf";"Inf2",#N/A,TRUE,"Ent &amp; Inf";"Inf3",#N/A,TRUE,"Ent &amp; Inf";"InfCF",#N/A,TRUE,"Ent &amp; Inf"}</definedName>
    <definedName name="wrn.Infrastructure._.2." hidden="1">{"Land Dev Budget 1",#N/A,TRUE,"Ent &amp; Inf";"Land Dev Budget 2",#N/A,TRUE,"Ent &amp; Inf";"Inf1",#N/A,TRUE,"Ent &amp; Inf";"Inf2",#N/A,TRUE,"Ent &amp; Inf";"Inf3",#N/A,TRUE,"Ent &amp; Inf"}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INFO." hidden="1">{"Input",#N/A,FALSE,"INPUT"}</definedName>
    <definedName name="wrn.Input._.Pages." hidden="1">{#N/A,#N/A,TRUE,"General Assumptions (Input)";#N/A,#N/A,TRUE,"Income (Input Page)";#N/A,#N/A,TRUE,"Related Mgmt Exps (Input Page)";#N/A,#N/A,TRUE,"Development Cost (Input)"}</definedName>
    <definedName name="wrn.Input._.Pages._.and._.Pro._.Forma." hidden="1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._.Print._.Area." hidden="1">{#N/A,#N/A,FALSE,"inputs";#N/A,#N/A,FALSE,"inputs"}</definedName>
    <definedName name="wrn.Inputs." hidden="1">{"Inflation-BaseYear",#N/A,FALSE,"Inputs"}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wrn.Interior._.finishes." hidden="1">{"interior finishes",#N/A,FALSE,"DETAIL.XLS"}</definedName>
    <definedName name="wrn.internal." hidden="1">{#N/A,#N/A,FALSE,"Rent Roll";#N/A,#N/A,FALSE,"Sales History";#N/A,#N/A,FALSE,"Square Footage Calculations";#N/A,#N/A,FALSE,"Spec Pool";#N/A,#N/A,FALSE,"P &amp; L Detail";#N/A,#N/A,FALSE,"Expense Detail";#N/A,#N/A,FALSE,"Recovery Tables";#N/A,#N/A,FALSE,"Class. &amp; Rent";#N/A,#N/A,FALSE,"Expiration Detail";#N/A,#N/A,FALSE,"2nd Assump."}</definedName>
    <definedName name="wrn.INV._.Distribution." hidden="1">{"INV AUM",#N/A,TRUE,"AUM";"InvEBITDA",#N/A,TRUE,"Net Cash Flow";"INV Annual CF",#N/A,TRUE,"Waterfall";"INV S&amp;U",#N/A,TRUE,"S&amp;U";"INV EV",#N/A,TRUE,"Total EV";"Inv Sr. Pref.",#N/A,TRUE,"Sr. Pref."}</definedName>
    <definedName name="wrn.Investment._.Committee." hidden="1">{"Venture Summary",#N/A,TRUE,"Annual CF";"Project Summary",#N/A,TRUE,"Annual CF";"Detailed Project Summary",#N/A,TRUE,"Annual CF";"Timeline - Quarterly",#N/A,TRUE,"Annual CF";"Development Budget",#N/A,TRUE,"Annual CF";"Project Cash Flow",#N/A,TRUE,"Annual CF";"Sales Proceeds",#N/A,TRUE,"Annual CF";"Construction Loan",#N/A,TRUE,"Annual CF";"Partnership Calculation",#N/A,TRUE,"Annual CF";"Phase I Summary",#N/A,TRUE,"Annual CF";"Phase I Dev budget",#N/A,TRUE,"Phase I CF";"Phase I Detailed Dev Budget",#N/A,TRUE,"Phase I DB";"Phase II Summary",#N/A,TRUE,"Phase II CF";"Phase II Dev Budget",#N/A,TRUE,"Phase II CF";"Phase II Detailed Dev Budget",#N/A,TRUE,"Phase II DB"}</definedName>
    <definedName name="wrn.Investment._.Review." hidden="1">{#N/A,#N/A,FALSE,"Proforma Five Yr";#N/A,#N/A,FALSE,"Capital Input";#N/A,#N/A,FALSE,"Calculations";#N/A,#N/A,FALSE,"Transaction Summary-DTW"}</definedName>
    <definedName name="wrn.Investment._.Schedule." hidden="1">{"detailed investment schedule",#N/A,FALSE,"detail investment sched"}</definedName>
    <definedName name="wrn.Investor._.Package." hidden="1">{#N/A,#N/A,FALSE,"Valuation";#N/A,#N/A,FALSE,"PeakChart";#N/A,#N/A,FALSE,"CashFlowSummary";#N/A,#N/A,FALSE,"RevenueAssumptions";#N/A,#N/A,FALSE,"InTractCstAssmp";#N/A,#N/A,FALSE,"LotTakedowns"}</definedName>
    <definedName name="wrn.Investor._.Terms." hidden="1">{"Term Sheet",#N/A,FALSE,"Term Sheet";"Value Summary",#N/A,FALSE,"Value Sum";"Debt Coverage",#N/A,FALSE,"Debt Coverage"}</definedName>
    <definedName name="wrn.Investors._.II." hidden="1">{#N/A,#N/A,FALSE,"Fund-II"}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RR." hidden="1">{"IRR Benefits",#N/A,FALSE,"IRR";"Tax Credits",#N/A,FALSE,"IRR"}</definedName>
    <definedName name="wrn.IRR._.CORP._.7." hidden="1">{"IRR",#N/A,FALSE,"Corp 7 IRR";"Input",#N/A,FALSE,"Corp 7 IRR"}</definedName>
    <definedName name="wrn.irving._.report." hidden="1">{#N/A,#N/A,FALSE,"Summary";#N/A,#N/A,FALSE,"Total Project Economics"}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._.98." hidden="1">{"sheet a",#N/A,FALSE,"A";"sheet b 1",#N/A,FALSE,"B";"sheet b 2",#N/A,FALSE,"B"}</definedName>
    <definedName name="wrn.Jan._.Forecast." hidden="1">{"Jan",#N/A,FALSE,"Manager Report"}</definedName>
    <definedName name="wrn.JM." hidden="1">{#N/A,#N/A,FALSE,"ExecSum";#N/A,#N/A,FALSE,"Budget";#N/A,#N/A,FALSE,"Summary1";#N/A,#N/A,FALSE,"CashFlow";#N/A,#N/A,FALSE,"Year1 Cash Flow";#N/A,#N/A,FALSE,"Carry";#N/A,#N/A,FALSE,"Page 3"}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._.Forecast." hidden="1">{"Jul",#N/A,FALSE,"Manager Report"}</definedName>
    <definedName name="wrn.July._.5." hidden="1">{#N/A,#N/A,TRUE,"Summary";#N/A,#N/A,TRUE,"Timeline";#N/A,#N/A,TRUE,"Cost Summary (uninflated)";#N/A,#N/A,TRUE,"Assumptions";#N/A,#N/A,TRUE,"Residential";#N/A,#N/A,TRUE,"Retail";#N/A,#N/A,TRUE,"Hotel";#N/A,#N/A,TRUE,"Office";#N/A,#N/A,TRUE,"Dev Expense Detail";#N/A,#N/A,TRUE,"Webster Hotel Model";#N/A,#N/A,TRUE,"Tax Credits";#N/A,#N/A,TRUE,"Garage"}</definedName>
    <definedName name="wrn.Jun._.Forecast." hidden="1">{"Jun",#N/A,FALSE,"Manager Report"}</definedName>
    <definedName name="wrn.JV." hidden="1">{"One",#N/A,FALSE,"JV"}</definedName>
    <definedName name="wrn.K." hidden="1">{#N/A,#N/A,FALSE,"K"}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öln._.Model.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1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2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3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ontrolní._.rozpočet." hidden="1">{#N/A,#N/A,TRUE,"Krycí list"}</definedName>
    <definedName name="wrn.Kontrolní._.rozpoeet." hidden="1">{#N/A,#N/A,TRUE,"Krycí list"}</definedName>
    <definedName name="wrn.kpI." hidden="1">{#N/A,#N/A,FALSE,"Top page";#N/A,#N/A,FALSE,"Weekly KPI";#N/A,#N/A,FALSE,"Customer Count Growth";#N/A,#N/A,FALSE,"Customer Spending Growth";#N/A,#N/A,FALSE,"Sales Growth";#N/A,#N/A,FALSE,"Customer Spending";#N/A,#N/A,FALSE,"Credit Card % to Sales"}</definedName>
    <definedName name="wrn.Kuwait._.1." hidden="1">{#N/A,#N/A,FALSE,"Fund-I"}</definedName>
    <definedName name="wrn.Land._.Sale." hidden="1">{"Venture Summary",#N/A,FALSE,"Summary";"Development Budget",#N/A,FALSE,"Summary";"Development Proforma",#N/A,FALSE,"Dev PF";"Annual",#N/A,FALSE,"Annual"}</definedName>
    <definedName name="wrn.Land._.Takedown._.Summary." hidden="1">{"land1",#N/A,FALSE,"Land";"land2",#N/A,FALSE,"Land";"land3",#N/A,FALSE,"Land"}</definedName>
    <definedName name="wrn.Latent._.Demand._.Inputs." hidden="1">{#N/A,#N/A,FALSE,"Latent"}</definedName>
    <definedName name="wrn.LBO.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_.Summary." hidden="1">{"LBO Summary",#N/A,FALSE,"Summary"}</definedName>
    <definedName name="wrn.Lease._.Rollover." hidden="1">{#N/A,#N/A,FALSE,"Lease Rollover"}</definedName>
    <definedName name="wrn.Leases." hidden="1">{#N/A,#N/A,FALSE,"Leases"}</definedName>
    <definedName name="wrn.Leasing._.Variance." localSheetId="2" hidden="1">{#N/A,#N/A,FALSE,"Leasing 6A"}</definedName>
    <definedName name="wrn.Leasing._.Variance." localSheetId="0" hidden="1">{#N/A,#N/A,FALSE,"Leasing 6A"}</definedName>
    <definedName name="wrn.Leasing._.Variance." hidden="1">{#N/A,#N/A,FALSE,"Leasing 6A"}</definedName>
    <definedName name="wrn.Leasing._.Variance._1" hidden="1">{#N/A,#N/A,FALSE,"Leasing 6A"}</definedName>
    <definedName name="wrn.Leasing._.Variance._2" hidden="1">{#N/A,#N/A,FALSE,"Leasing 6A"}</definedName>
    <definedName name="wrn.Leasing._.Variance._3" hidden="1">{#N/A,#N/A,FALSE,"Leasing 6A"}</definedName>
    <definedName name="wrn.Leasing._.Variance._4" hidden="1">{#N/A,#N/A,FALSE,"Leasing 6A"}</definedName>
    <definedName name="wrn.LeasingResults." hidden="1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Legal._.Sized._.Internal." hidden="1">{"Legal Internal",#N/A,FALSE,"Cash Flow Proforma";#N/A,#N/A,FALSE,"Scenario Variable Cells";"Legal",#N/A,FALSE,"Proforma Assumptions";"Legal",#N/A,FALSE,"Rolling Option Sales";"Legal",#N/A,FALSE,"Bulk Pad and Finished Sales"}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ichtin._.Summary." hidden="1">{"Summary for Lichtin",#N/A,FALSE,"Value Summary"}</definedName>
    <definedName name="wrn.Lichtin._.Summary._1" hidden="1">{"Summary for Lichtin",#N/A,FALSE,"Value Summary"}</definedName>
    <definedName name="wrn.Lichtin._.Summary._2" hidden="1">{"Summary for Lichtin",#N/A,FALSE,"Value Summary"}</definedName>
    <definedName name="wrn.Lichtin._.Summary._3" hidden="1">{"Summary for Lichtin",#N/A,FALSE,"Value Summary"}</definedName>
    <definedName name="wrn.Line._.Item._.Summary." hidden="1">{#N/A,#N/A,FALSE,"Line Item Summ."}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hidden="1">{"Loan Summary",#N/A,FALSE,"Phase 1 loan &amp; data"}</definedName>
    <definedName name="wrn.LoanInformation." localSheetId="2" hidden="1">{#N/A,#N/A,FALSE,"LoanAssumptions"}</definedName>
    <definedName name="wrn.LoanInformation." localSheetId="0" hidden="1">{#N/A,#N/A,FALSE,"LoanAssumptions"}</definedName>
    <definedName name="wrn.LoanInformation." hidden="1">{#N/A,#N/A,FALSE,"LoanAssumptions"}</definedName>
    <definedName name="wrn.LoanInformation._1" hidden="1">{#N/A,#N/A,FALSE,"LoanAssumptions"}</definedName>
    <definedName name="wrn.LoanInformation._2" hidden="1">{#N/A,#N/A,FALSE,"LoanAssumptions"}</definedName>
    <definedName name="wrn.LoanInformation._3" hidden="1">{#N/A,#N/A,FALSE,"LoanAssumptions"}</definedName>
    <definedName name="wrn.LoanInformation._4" hidden="1">{#N/A,#N/A,FALSE,"LoanAssumptions"}</definedName>
    <definedName name="wrn.Loanrecap." hidden="1">{"Loanrecap",#N/A,FALSE,"Construction"}</definedName>
    <definedName name="wrn.Lodging." hidden="1">{#N/A,#N/A,FALSE,"EPS";#N/A,#N/A,FALSE,"EBITDA"}</definedName>
    <definedName name="wrn.Logo._.Exchange._.and._.Overview." hidden="1">{"Logo",#N/A,FALSE,"Logo";"Exchange",#N/A,FALSE,"Logo";#N/A,#N/A,FALSE,"overview"}</definedName>
    <definedName name="wrn.Long._.Ridge." hidden="1">{"Long Ridge Summary",#N/A,FALSE,"Long Ridge Summary";"Long Ridge Sensitivity",#N/A,FALSE,"Long Ridge Summary";"Long Ridge Partnership Valuation",#N/A,FALSE,"Long Ridge Summary";"Long Ridge Cash Flow",#N/A,FALSE,"Long Ridge Summary";"Long Ridge Partnership Equity Value",#N/A,FALSE,"Long Ridge Summary";"Long Ridge Distributions",#N/A,FALSE,"Long Ridge Summary";"Long Ridge Assumptions",#N/A,FALSE,"Long Ridge Summary"}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td._.Service._.Budget." hidden="1">{#N/A,#N/A,FALSE,"PropInfo";#N/A,#N/A,FALSE,"Summary";#N/A,#N/A,FALSE,"Comparitive";#N/A,#N/A,FALSE,"RevSummary";#N/A,#N/A,FALSE,"Rooms";#N/A,#N/A,FALSE,"PBX";#N/A,#N/A,FALSE,"Rents&amp;Other";#N/A,#N/A,FALSE,"A&amp;G";#N/A,#N/A,FALSE,"A&amp;P";#N/A,#N/A,FALSE,"Comp";#N/A,#N/A,FALSE,"R&amp;M";#N/A,#N/A,FALSE,"Energy";#N/A,#N/A,FALSE,"Capital";#N/A,#N/A,FALSE,"Laundry";#N/A,#N/A,FALSE,"PTEB";#N/A,#N/A,FALSE,"Rent Calc"}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hidden="1">{"LTV Output",#N/A,FALSE,"Output"}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Package." hidden="1">{#N/A,#N/A,FALSE,"Title";#N/A,#N/A,FALSE,"Summary";#N/A,#N/A,FALSE,"Tower V";#N/A,#N/A,FALSE,"Steeles Phase I";#N/A,#N/A,FALSE,"IBM - Bldg A";#N/A,#N/A,FALSE,"IBM - Bldg B";#N/A,#N/A,FALSE,"YVR Lands";#N/A,#N/A,FALSE,"Delf Project";#N/A,#N/A,FALSE,"Maycrest";#N/A,#N/A,FALSE,"Guildford Bldg 1";#N/A,#N/A,FALSE,"Guildford Bldg 2";#N/A,#N/A,FALSE,"Guildford Bldg 3";#N/A,#N/A,FALSE,"Summit Ridge";#N/A,#N/A,FALSE,"Millennium G";#N/A,#N/A,FALSE,"Virginia Phase I (CB)";#N/A,#N/A,FALSE,"Ballard";#N/A,#N/A,FALSE,"Westlake"}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" hidden="1">{#N/A,#N/A,FALSE,"Title Page - Mgmt";#N/A,#N/A,FALSE,"Index - Mgmt";#N/A,#N/A,FALSE,"Stmt of Income";#N/A,#N/A,FALSE,"Balance Sheet";#N/A,#N/A,FALSE,"Stmt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Debt";#N/A,#N/A,FALSE,"Bank Operating Lines";#N/A,#N/A,FALSE,"Share Capital";#N/A,#N/A,FALSE,"Rental Operating Results";#N/A,#N/A,FALSE,"G. &amp;  A.(1)";#N/A,#N/A,FALSE,"G. &amp;  A. (2)";#N/A,#N/A,FALSE,"INT";#N/A,#N/A,FALSE,"Other Inc";#N/A,#N/A,FALSE,"Property Sales";#N/A,#N/A,FALSE,"Accounts receivable ";#N/A,#N/A,FALSE,"Accounts payable";#N/A,#N/A,FALSE,"Other assets";#N/A,#N/A,FALSE,"Budget Analysis"}</definedName>
    <definedName name="wrn.Management._.Report." hidden="1">{#N/A,#N/A,FALSE,"Title - Management";#N/A,#N/A,FALSE,"Schedule 1a";#N/A,#N/A,FALSE,"Schedule 2 - 2001";#N/A,#N/A,FALSE,"Schedule 2 - 2002";#N/A,#N/A,FALSE,"Schedule 2 - 2003";#N/A,#N/A,FALSE,"Schedule 3 - Mgnt ";#N/A,#N/A,FALSE,"Schedule 3";#N/A,#N/A,FALSE,"Schedule 4";#N/A,#N/A,FALSE,"Schedule 4a - Mgnt";#N/A,#N/A,FALSE,"Schedule 5";#N/A,#N/A,FALSE,"Schedule 5a";#N/A,#N/A,FALSE,"Schedule 6";#N/A,#N/A,FALSE,"Schedule 6a";#N/A,#N/A,FALSE,"Schedule 6b";#N/A,#N/A,FALSE,"Schedule 6c";#N/A,#N/A,FALSE,"Schedule 6d";#N/A,#N/A,FALSE,"Schedule 6e";#N/A,#N/A,FALSE,"Schedule 7";#N/A,#N/A,FALSE,"Schedule 8";#N/A,#N/A,FALSE,"Schedule 9- Mgnt";#N/A,#N/A,FALSE,"Schedule 10 - Mgmt Fees - Mgnt";#N/A,#N/A,FALSE,"Schedule 10- Leasing Fees- Mgnt";#N/A,#N/A,FALSE,"Schedule 10 - Devel Fees- Mgnt"}</definedName>
    <definedName name="wrn.March._.Report." hidden="1">{"Mar",#N/A,FALSE,"Manager Report"}</definedName>
    <definedName name="wrn.market." hidden="1">{#N/A,#N/A,FALSE,"SUBMKT";#N/A,#N/A,FALSE,"MARKET";#N/A,#N/A,FALSE,"VACANCY";#N/A,#N/A,FALSE,"ABSORB";#N/A,#N/A,FALSE,"SUBLEASE";#N/A,#N/A,FALSE,"CONSTRCT"}</definedName>
    <definedName name="wrn.Market._.Review._.File." hidden="1">{"Venture Sum Large Print",#N/A,FALSE,"Mkt Summary";"Development Budget",#N/A,FALSE,"Mkt Summary";"Operating Assumptions",#N/A,FALSE,"Mkt Summary";"Financing Summary",#N/A,FALSE,"Mkt Summary";"Rent Growth Assumptions",#N/A,FALSE,"Mkt Summary";"Mkt Rent Detail",#N/A,FALSE,"Mkt Rent&amp;Exp";"Mkt Expense Detail",#N/A,FALSE,"Mkt Rent&amp;Exp";"Mkt DevPF Landscape",#N/A,FALSE,"Mkt DevPF";"Mkt Annual",#N/A,FALSE,"Mkt Annual"}</definedName>
    <definedName name="wrn.Market._.Values." localSheetId="2" hidden="1">{#N/A,#N/A,TRUE,"10 Yr Hold";#N/A,#N/A,TRUE,"7 Yr Hold";#N/A,#N/A,TRUE,"5 Yr Hold";#N/A,#N/A,TRUE,"3 Yr Hold"}</definedName>
    <definedName name="wrn.Market._.Values." localSheetId="0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._.Values._1" hidden="1">{#N/A,#N/A,TRUE,"10 Yr Hold";#N/A,#N/A,TRUE,"7 Yr Hold";#N/A,#N/A,TRUE,"5 Yr Hold";#N/A,#N/A,TRUE,"3 Yr Hold"}</definedName>
    <definedName name="wrn.Market._.Values._2" hidden="1">{#N/A,#N/A,TRUE,"10 Yr Hold";#N/A,#N/A,TRUE,"7 Yr Hold";#N/A,#N/A,TRUE,"5 Yr Hold";#N/A,#N/A,TRUE,"3 Yr Hold"}</definedName>
    <definedName name="wrn.Market._.Values._3" hidden="1">{#N/A,#N/A,TRUE,"10 Yr Hold";#N/A,#N/A,TRUE,"7 Yr Hold";#N/A,#N/A,TRUE,"5 Yr Hold";#N/A,#N/A,TRUE,"3 Yr Hold"}</definedName>
    <definedName name="wrn.Market._.Values._4" hidden="1">{#N/A,#N/A,TRUE,"10 Yr Hold";#N/A,#N/A,TRUE,"7 Yr Hold";#N/A,#N/A,TRUE,"5 Yr Hold";#N/A,#N/A,TRUE,"3 Yr Hold"}</definedName>
    <definedName name="wrn.Marketing." localSheetId="2" hidden="1">{#N/A,#N/A,FALSE,"2Assumptions";#N/A,#N/A,FALSE,"3Cash Flow";#N/A,#N/A,FALSE,"I&amp;E";#N/A,#N/A,FALSE,"I&amp;E (2)";#N/A,#N/A,FALSE,"10Vacancy Matrix";#N/A,#N/A,FALSE,"11Expiration Schedule"}</definedName>
    <definedName name="wrn.Marketing." localSheetId="0" hidden="1">{#N/A,#N/A,FALSE,"2Assumptions";#N/A,#N/A,FALSE,"3Cash Flow";#N/A,#N/A,FALSE,"I&amp;E";#N/A,#N/A,FALSE,"I&amp;E (2)";#N/A,#N/A,FALSE,"10Vacancy Matrix";#N/A,#N/A,FALSE,"11Expiration Schedule"}</definedName>
    <definedName name="wrn.Marketing." hidden="1">{#N/A,#N/A,FALSE,"2Assumptions";#N/A,#N/A,FALSE,"3Cash Flow";#N/A,#N/A,FALSE,"I&amp;E";#N/A,#N/A,FALSE,"I&amp;E (2)";#N/A,#N/A,FALSE,"10Vacancy Matrix";#N/A,#N/A,FALSE,"11Expiration Schedule"}</definedName>
    <definedName name="wrn.Marketing._1" hidden="1">{#N/A,#N/A,FALSE,"2Assumptions";#N/A,#N/A,FALSE,"3Cash Flow";#N/A,#N/A,FALSE,"I&amp;E";#N/A,#N/A,FALSE,"I&amp;E (2)";#N/A,#N/A,FALSE,"10Vacancy Matrix";#N/A,#N/A,FALSE,"11Expiration Schedule"}</definedName>
    <definedName name="wrn.Marketing._2" hidden="1">{#N/A,#N/A,FALSE,"2Assumptions";#N/A,#N/A,FALSE,"3Cash Flow";#N/A,#N/A,FALSE,"I&amp;E";#N/A,#N/A,FALSE,"I&amp;E (2)";#N/A,#N/A,FALSE,"10Vacancy Matrix";#N/A,#N/A,FALSE,"11Expiration Schedule"}</definedName>
    <definedName name="wrn.Marketing._3" hidden="1">{#N/A,#N/A,FALSE,"2Assumptions";#N/A,#N/A,FALSE,"3Cash Flow";#N/A,#N/A,FALSE,"I&amp;E";#N/A,#N/A,FALSE,"I&amp;E (2)";#N/A,#N/A,FALSE,"10Vacancy Matrix";#N/A,#N/A,FALSE,"11Expiration Schedule"}</definedName>
    <definedName name="wrn.Marketing._4" hidden="1">{#N/A,#N/A,FALSE,"2Assumptions";#N/A,#N/A,FALSE,"3Cash Flow";#N/A,#N/A,FALSE,"I&amp;E";#N/A,#N/A,FALSE,"I&amp;E (2)";#N/A,#N/A,FALSE,"10Vacancy Matrix";#N/A,#N/A,FALSE,"11Expiration Schedule"}</definedName>
    <definedName name="wrn.Master." hidden="1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ay._.Forecast." hidden="1">{"May",#N/A,FALSE,"Manager Report"}</definedName>
    <definedName name="wrn.May._.Strategic._.Update." hidden="1">{#N/A,#N/A,FALSE,"Part A - Strategy";#N/A,#N/A,FALSE,"A.1 Vision - Trends";#N/A,#N/A,FALSE,"A.2 Vision - Strategies";#N/A,#N/A,FALSE,"A.3 Fin. Targets (Prelim.)";#N/A,#N/A,FALSE,"A.4 Competition";#N/A,#N/A,FALSE,"A.5 Geographic Segments"}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zz._.Package." hidden="1">{#N/A,#N/A,FALSE,"CashFlowSummary";#N/A,#N/A,FALSE,"InvestorSummary";#N/A,#N/A,FALSE,"RevenueAssumptions";#N/A,#N/A,FALSE,"MasterCostAssmp";#N/A,#N/A,FALSE,"InTractCstAssmp";#N/A,#N/A,FALSE,"LotTakedowns"}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gnt._.Report._.for._.Net._.Income._.adjustment." hidden="1">{"SITQ view of BCLP 4 months income statement",#N/A,TRUE,"BCLP 4 MO IS";#N/A,#N/A,TRUE,"Comparison to March Fcst";#N/A,#N/A,TRUE,"BCLP Forecast";"Mgnt view of BCLP 4 month income statement",#N/A,TRUE,"BCLP 4 MO IS";#N/A,#N/A,TRUE,"Closing Adjustments";#N/A,#N/A,TRUE,"Accounting entry"}</definedName>
    <definedName name="wrn.minrenn" hidden="1">{"MINRENT2",#N/A,FALSE,"SCHEDULE B"}</definedName>
    <definedName name="wrn.MINRENT." hidden="1">{"MINRENT2",#N/A,FALSE,"SCHEDULE B"}</definedName>
    <definedName name="wrn.minrent.2" hidden="1">{"MINRENT2",#N/A,FALSE,"SCHEDULE B"}</definedName>
    <definedName name="wrn.mirBellagio." hidden="1">{#N/A,#N/A,FALSE,"MIR";#N/A,#N/A,FALSE,"NYNY"}</definedName>
    <definedName name="wrn.MIRELF._.III.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1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2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3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sc." hidden="1">{#N/A,#N/A,FALSE,"Sheet10"}</definedName>
    <definedName name="wrn.mkting" hidden="1">{#N/A,#N/A,FALSE,"MARKETING I";#N/A,#N/A,FALSE,"MARKETING II";#N/A,#N/A,FALSE,"MARKETING III"}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.Print.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Structure",#N/A,TRUE,"Summary";"Assumptions",#N/A,TRUE,"Summary";"Argus Assumptions",#N/A,TRUE,"Summary"}</definedName>
    <definedName name="wrn.MODEL._.PRINT._.ALL." hidden="1">{"Summary1",#N/A,FALSE,"Summary";"Program",#N/A,FALSE,"Summary";"SumCF 2",#N/A,FALSE,"Summary";"VentureMonthlyCF",#N/A,FALSE,"Summary";"VentureMonthlyCF2",#N/A,FALSE,"Summary";"VentureMonthyCF3",#N/A,FALSE,"Summary";"ResSum 1",#N/A,FALSE,"Summary";"ResCF 1",#N/A,FALSE,"Summary";"ResMonthlyCF1",#N/A,FALSE,"Residential";"ResMonthlyCF2",#N/A,FALSE,"Residential";"DSSum1",#N/A,FALSE,"Delaware St.";"DSSum2",#N/A,FALSE,"Summary";"DSMonthlyCF1",#N/A,FALSE,"Summary";"DSMonthlyCF2",#N/A,FALSE,"Summary";"DSMonthlyCF3",#N/A,FALSE,"Summary";"DSDebt",#N/A,FALSE,"Summary";"DS Sales",#N/A,FALSE,"Summary";"OffSum1",#N/A,FALSE,"Summary";"OffSumCF",#N/A,FALSE,"Summary";"Land Dev Budget 1",#N/A,FALSE,"Summary";"Land Dev Budget 2",#N/A,FALSE,"Summary";"InfCF",#N/A,FALSE,"Summary";"Inf1",#N/A,FALSE,"Summary";"Inf2",#N/A,FALSE,"Summary";"Inf3",#N/A,FALSE,"Summary";"BMR",#N/A,FALSE,"Summary";"Timeline",#N/A,FALSE,"Summary"}</definedName>
    <definedName name="wrn.model2." hidden="1">{"Investor",#N/A,FALSE,"Model";"Property",#N/A,FALSE,"Model";"Incentive Taxes",#N/A,FALSE,"Model"}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lster._.Print." hidden="1">{"Venture Summary",#N/A,FALSE,"Summary";"Development Budget",#N/A,FALSE,"Summary";"Annual",#N/A,FALSE,"Annual"}</definedName>
    <definedName name="wrn.Monthly." hidden="1">{"MONTHLY",#N/A,FALSE,"Pro Forma";"MONTHLY",#N/A,FALSE,"Equity"}</definedName>
    <definedName name="wrn.Monthly._.Detail._.Reports." hidden="1">{"Detail Project Cash Flow",#N/A,TRUE,"Cash Flow Grid";"Financing Calculation",#N/A,TRUE,"Cash Flow Grid"}</definedName>
    <definedName name="wrn.monthly._.financial." localSheetId="2" hidden="1">{#N/A,#N/A,FALSE,"SUMMARY 4a";#N/A,#N/A,FALSE,"GBA 4b";#N/A,#N/A,FALSE,"TENANT 4c";#N/A,#N/A,FALSE,"BUDGET DETAIL";#N/A,#N/A,FALSE,"PRO FORMA"}</definedName>
    <definedName name="wrn.monthly._.financial." localSheetId="0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financial._1" hidden="1">{#N/A,#N/A,FALSE,"SUMMARY 4a";#N/A,#N/A,FALSE,"GBA 4b";#N/A,#N/A,FALSE,"TENANT 4c";#N/A,#N/A,FALSE,"BUDGET DETAIL";#N/A,#N/A,FALSE,"PRO FORMA"}</definedName>
    <definedName name="wrn.monthly._.financial._2" hidden="1">{#N/A,#N/A,FALSE,"SUMMARY 4a";#N/A,#N/A,FALSE,"GBA 4b";#N/A,#N/A,FALSE,"TENANT 4c";#N/A,#N/A,FALSE,"BUDGET DETAIL";#N/A,#N/A,FALSE,"PRO FORMA"}</definedName>
    <definedName name="wrn.monthly._.financial._3" hidden="1">{#N/A,#N/A,FALSE,"SUMMARY 4a";#N/A,#N/A,FALSE,"GBA 4b";#N/A,#N/A,FALSE,"TENANT 4c";#N/A,#N/A,FALSE,"BUDGET DETAIL";#N/A,#N/A,FALSE,"PRO FORMA"}</definedName>
    <definedName name="wrn.monthly._.financial._4" hidden="1">{#N/A,#N/A,FALSE,"SUMMARY 4a";#N/A,#N/A,FALSE,"GBA 4b";#N/A,#N/A,FALSE,"TENANT 4c";#N/A,#N/A,FALSE,"BUDGET DETAIL";#N/A,#N/A,FALSE,"PRO FORMA"}</definedName>
    <definedName name="wrn.Monthly._.Fund." hidden="1">{#N/A,#N/A,FALSE,"Monthly Fund"}</definedName>
    <definedName name="wrn.Monthly._.Report." hidden="1">{"pro forma monthly",#N/A,FALSE,"Pro Forma";"equity monthly",#N/A,FALSE,"Equity";"TCC monthly",#N/A,FALSE,"TCC"}</definedName>
    <definedName name="wrn.MonthlyRentRoll." localSheetId="2" hidden="1">{"MonthlyRentRoll",#N/A,FALSE,"RentRoll"}</definedName>
    <definedName name="wrn.MonthlyRentRoll." localSheetId="0" hidden="1">{"MonthlyRentRoll",#N/A,FALSE,"RentRoll"}</definedName>
    <definedName name="wrn.MonthlyRentRoll." hidden="1">{"MonthlyRentRoll",#N/A,FALSE,"RentRoll"}</definedName>
    <definedName name="wrn.MonthlyRentRoll._1" hidden="1">{"MonthlyRentRoll",#N/A,FALSE,"RentRoll"}</definedName>
    <definedName name="wrn.MonthlyRentRoll._2" hidden="1">{"MonthlyRentRoll",#N/A,FALSE,"RentRoll"}</definedName>
    <definedName name="wrn.MonthlyRentRoll._3" hidden="1">{"MonthlyRentRoll",#N/A,FALSE,"RentRoll"}</definedName>
    <definedName name="wrn.MonthlyRentRoll._4" hidden="1">{"MonthlyRentRoll",#N/A,FALSE,"RentRoll"}</definedName>
    <definedName name="wrn.Months._.98._.to._.01." hidden="1">{"98",#N/A,FALSE,"Month";"99",#N/A,FALSE,"Month";"00",#N/A,FALSE,"Month";"01",#N/A,FALSE,"Month"}</definedName>
    <definedName name="wrn.Mortgage._.Loan._.Sch." hidden="1">{#N/A,#N/A,FALSE,"Mortgage Loan Sch"}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tbacks." hidden="1">{"Netbacks",#N/A,FALSE,"Netbacks"}</definedName>
    <definedName name="wrn.New_Business." hidden="1">{"One",#N/A,FALSE,"New Business"}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ew._.Forms." hidden="1">{#N/A,#N/A,FALSE,"ATF TYPA";#N/A,#N/A,FALSE,"COMP SS100";#N/A,#N/A,FALSE,"D HDX 40N";#N/A,#N/A,FALSE,"DXL 40";#N/A,#N/A,FALSE,"D XL 50 EXP";#N/A,#N/A,FALSE,"D SP 15W40";#N/A,#N/A,FALSE,"ECO 40N";#N/A,#N/A,FALSE,"GO 140GL-1";#N/A,#N/A,FALSE,"EPHD GO 68";#N/A,#N/A,FALSE,"EPHD GO460";#N/A,#N/A,FALSE,"HYD AW 32";#N/A,#N/A,FALSE,"HYD AW46";#N/A,#N/A,FALSE,"HYD ZP46";#N/A,#N/A,FALSE,"HYD ZP68";#N/A,#N/A,FALSE,"MO 40N";#N/A,#N/A,FALSE,"MO 50";#N/A,#N/A,FALSE,"MT SUP.20W50N";#N/A,#N/A,FALSE,"MT S 20W50(Tender)N";#N/A,#N/A,FALSE,"MULTIGRADE MO";#N/A,#N/A,FALSE,"PERF OIL 78";#N/A,#N/A,FALSE,"PR.MO.40";#N/A,#N/A,FALSE,"P.GEAR GL-3";#N/A,#N/A,FALSE,"SD OIL 40N";#N/A,#N/A,FALSE,"SD OIL HT 40N";#N/A,#N/A,FALSE,"S.D.ADV15W40";#N/A,#N/A,FALSE,"S.D.ADV 15W40 JOR";#N/A,#N/A,FALSE,"S GEAR 90 GL4N";#N/A,#N/A,FALSE,"S GEAR ZX 90";#N/A,#N/A,FALSE,"S GEAR ZX 140";#N/A,#N/A,FALSE,"S GEAR ZX 140N";#N/A,#N/A,FALSE,"SMO 20W50N";#N/A,#N/A,FALSE,"S OB TCW3";#N/A,#N/A,FALSE,"THERM Z32";#N/A,#N/A,FALSE,"T OIL 68";#N/A,#N/A,FALSE,"U UHP 15W40N";#N/A,#N/A,FALSE,"L ATF TX-2"}</definedName>
    <definedName name="wrn.New._.Report." hidden="1">{"Summary",#N/A,TRUE,"Fund";"Sensitivity",#N/A,TRUE,"Fund";"Gelsenkirchen Asset",#N/A,TRUE,"Fund";"Langenfeld Asset",#N/A,TRUE,"Fund";"Value",#N/A,TRUE,"Fund";"Cash Flow",#N/A,TRUE,"Fund";"NCF",#N/A,TRUE,"Fund";"DCF &amp; Yield",#N/A,TRUE,"Fund";"Waterfall",#N/A,TRUE,"Fund";"MILF Structure",#N/A,TRUE,"Fund";"Assumptions",#N/A,TRUE,"Fund"}</definedName>
    <definedName name="wrn.New._.Summary." hidden="1">{"Summary Page 1",#N/A,TRUE,"Annual";"Summary Page 2",#N/A,TRUE,"Annual";"Annual Page 1",#N/A,TRUE,"Annual"}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{#N/A,#N/A,TRUE,"TS";#N/A,#N/A,TRUE,"Combo";#N/A,#N/A,TRUE,"FAIR";#N/A,#N/A,TRUE,"RBC";#N/A,#N/A,TRUE,"xxxx"}</definedName>
    <definedName name="wrn.newoutput" hidden="1">{"DCF","UPSIDE CASE",FALSE,"Sheet1";"DCF","BASE CASE",FALSE,"Sheet1";"DCF","DOWNSIDE CASE",FALSE,"Sheet1"}</definedName>
    <definedName name="wrn.North._.America." hidden="1">{#N/A,#N/A,FALSE,"NA All";#N/A,#N/A,FALSE,"Joe Champ";#N/A,#N/A,FALSE,"Joe Long"}</definedName>
    <definedName name="wrn.Northborough._.Station." hidden="1">{#N/A,#N/A,FALSE,"Total Acquisition and Rehab ";#N/A,#N/A,FALSE,"Summary of Hard Costs"}</definedName>
    <definedName name="wrn.Notes._.2." hidden="1">{"Notes 2",#N/A,FALSE,"Sheet1"}</definedName>
    <definedName name="wrn.Nov._.Forecast." hidden="1">{"Nov",#N/A,FALSE,"Manager Report"}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S." hidden="1">{"NS #1",#N/A,TRUE,"Model";"NS #2",#N/A,TRUE,"Model";"NS #3",#N/A,TRUE,"Model"}</definedName>
    <definedName name="wrn.NS._1" hidden="1">{"NS #1",#N/A,TRUE,"Model";"NS #2",#N/A,TRUE,"Model";"NS #3",#N/A,TRUE,"Model"}</definedName>
    <definedName name="wrn.NS._2" hidden="1">{"NS #1",#N/A,TRUE,"Model";"NS #2",#N/A,TRUE,"Model";"NS #3",#N/A,TRUE,"Model"}</definedName>
    <definedName name="wrn.NS._3" hidden="1">{"NS #1",#N/A,TRUE,"Model";"NS #2",#N/A,TRUE,"Model";"NS #3",#N/A,TRUE,"Model"}</definedName>
    <definedName name="wrn.nyt._.times._.full." hidden="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._.and._.M._.and._.Fuel." hidden="1">{"Fuel",#N/A,FALSE,"O and M and Fuel Incremental";"O and M",#N/A,FALSE,"O and M and Fuel Incremental"}</definedName>
    <definedName name="wrn.Occupancy._.Calcs." hidden="1">{#N/A,#N/A,FALSE,"Occ. Calcs"}</definedName>
    <definedName name="wrn.Oct._.Forecast." hidden="1">{"Oct",#N/A,FALSE,"Manager Report"}</definedName>
    <definedName name="wrn.ODB." hidden="1">{"ODB",#N/A,FALSE,"Hold Scenario"}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hidden="1">{#N/A,#N/A,FALSE,"LP Exp";#N/A,#N/A,FALSE,"Salary";#N/A,#N/A,FALSE,"Admin Exp";#N/A,#N/A,FALSE,"QTS Bud";#N/A,#N/A,FALSE,"Marketing"}</definedName>
    <definedName name="wrn.Old._.Format." hidden="1">{#N/A,#N/A,FALSE,"Old Format"}</definedName>
    <definedName name="wrn.One._.Partner." hidden="1">{#N/A,#N/A,FALSE,"graph one partner";#N/A,#N/A,FALSE,"Summary Quick Report";#N/A,#N/A,FALSE,"PROJECT  NPV E93";#N/A,#N/A,FALSE,"Project IRR G93";#N/A,#N/A,FALSE,"GENTRY NPV E94";#N/A,#N/A,FALSE,"Gentry IRR G94";#N/A,#N/A,FALSE,"PARTNER NPV E95";#N/A,#N/A,FALSE,"PARTNER IRR G95";#N/A,#N/A,FALSE,"Input Graphs";#N/A,#N/A,FALSE,"Variables &amp; Summary";#N/A,#N/A,FALSE,"cf one partner";#N/A,#N/A,FALSE,"1 design-constr timing";#N/A,#N/A,FALSE,"5 - construction budget";#N/A,#N/A,FALSE,"6 - residential grading";#N/A,#N/A,FALSE,"7-land takedowns";#N/A,#N/A,FALSE,"8-lear siegler dev rights";#N/A,#N/A,FALSE,"parcel summary"}</definedName>
    <definedName name="wrn.ontario." hidden="1">{"page1",#N/A,FALSE,"sheet 1";"Page2",#N/A,FALSE,"sheet 1";"page3",#N/A,FALSE,"sheet 1";"page4",#N/A,FALSE,"sheet 1"}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Assumtions." localSheetId="2" hidden="1">{#N/A,#N/A,FALSE,"OperatingAssumptions"}</definedName>
    <definedName name="wrn.OperatingAssumtions." localSheetId="0" hidden="1">{#N/A,#N/A,FALSE,"OperatingAssumptions"}</definedName>
    <definedName name="wrn.OperatingAssumtions." hidden="1">{#N/A,#N/A,FALSE,"OperatingAssumptions"}</definedName>
    <definedName name="wrn.OperatingAssumtions._1" hidden="1">{#N/A,#N/A,FALSE,"OperatingAssumptions"}</definedName>
    <definedName name="wrn.OperatingAssumtions._2" hidden="1">{#N/A,#N/A,FALSE,"OperatingAssumptions"}</definedName>
    <definedName name="wrn.OperatingAssumtions._3" hidden="1">{#N/A,#N/A,FALSE,"OperatingAssumptions"}</definedName>
    <definedName name="wrn.OperatingAssumtions._4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ps_S.Holders._.Assets_Income." hidden="1">{"Ops_S.Holders Assets and Income",#N/A,FALSE,"ops_shf"}</definedName>
    <definedName name="wrn.Ops._.Charlie._.Packet." hidden="1">{#N/A,#N/A,FALSE,"Proforma Five Yr";#N/A,#N/A,FALSE,"Occ and Rate";#N/A,#N/A,FALSE,"PF Input";#N/A,#N/A,FALSE,"Ops Summary";#N/A,#N/A,FALSE,"Hotcomps"}</definedName>
    <definedName name="wrn.Other._.Schedules." hidden="1">{"Other",#N/A,FALSE,"Other";"Rental Revenue",#N/A,FALSE,"Rental Revenue";"Monthly Draw",#N/A,FALSE,"Monthly"}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Overhead." hidden="1">{"Overhead",#N/A,FALSE,"Overhead"}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Owner._.Area._.Report._.2._.Areas." hidden="1">{"Line Item Estimate - Owner Area 1 View",#N/A,FALSE,"Line Item Estimate";"Line Item Estimate - Owner Area 2 View",#N/A,FALSE,"Line Item Estimate";"Line Item Estimate - Owner Total View",#N/A,FALSE,"Line Item Estimate"}</definedName>
    <definedName name="wrn.Owner._.Area._.Report._.3._.Areas." hidden="1">{"Line Item Estimate - Owner Area 1 View",#N/A,FALSE,"Line Item Estimate";"Line Item Estimate - Owner Area 2 View",#N/A,FALSE,"Line Item Estimate";"Line Item Estimate - Owner Area 3 View",#N/A,FALSE,"Line Item Estimate";"Line Item Estimate - Owner Total View",#N/A,FALSE,"Line Item Estimate"}</definedName>
    <definedName name="wrn.Owner._.Area._.Report._.4._.Areas." hidden="1">{"Line Item Estimate - Owner Area 1 View",#N/A,FALSE,"Line Item Estimate";"Line Item Estimate - Owner Area 2 View",#N/A,FALSE,"Line Item Estimate";"Line Item Estimate - Owner Area 3 View",#N/A,FALSE,"Line Item Estimate";"Line Item Estimate - Owner Area 4 View",#N/A,FALSE,"Line Item Estimate";"Line Item Estimate - Owner Total View",#N/A,FALSE,"Line Item Estimate"}</definedName>
    <definedName name="wrn.Owner._.Area._.Report._.5._.Areas." hidden="1">{"Line Item Estimate - Owner Area 1 View",#N/A,FALSE,"Line Item Estimate";"Line Item Estimate - Owner Area 2 View",#N/A,FALSE,"Line Item Estimate";"Line Item Estimate - Owner Area 4 View",#N/A,FALSE,"Line Item Estimate";"Line Item Estimate - Owner Area 3 View",#N/A,FALSE,"Line Item Estimate";"Line Item Estimate - Owner Area 5 View",#N/A,FALSE,"Line Item Estimate";"Line Item Estimate - Review Total View",#N/A,FALSE,"Line Item Estimate"}</definedName>
    <definedName name="wrn.Owner._.Total._.Report." hidden="1">{"Line Item Estimate - Review Total View",#N/A,FALSE,"Line Item Estimate"}</definedName>
    <definedName name="wrn.Owner._.Variance._.Report." hidden="1">{"Line Item Estimate - Owner Variance View",#N/A,FALSE,"Line Item Estimate"}</definedName>
    <definedName name="wrn.P_L._.and._.Bal.._.Sheet.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akage." hidden="1">{#N/A,#N/A,FALSE,"Data Entry";#N/A,#N/A,FALSE,"RE Mgmt Fees";#N/A,#N/A,FALSE,"Auto";#N/A,#N/A,FALSE,"Bus &amp; Corp Dev";#N/A,#N/A,FALSE,"Communication";#N/A,#N/A,FALSE,"Comp &amp; Equip";#N/A,#N/A,FALSE,"Office";#N/A,#N/A,FALSE,"Prof &amp; Consult";#N/A,#N/A,FALSE,"Rent";#N/A,#N/A,FALSE,"Non-Recov Sal &amp; Ben";#N/A,#N/A,FALSE,"Travel";#N/A,#N/A,FALSE,"Interco"}</definedName>
    <definedName name="wrn.Package." localSheetId="2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localSheetId="0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2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3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4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lms._.at._.South._.Shore." hidden="1">{#N/A,#N/A,FALSE,"loananalysis";#N/A,#N/A,FALSE,"proforma";#N/A,#N/A,FALSE,"unitmix"}</definedName>
    <definedName name="wrn.Partial_Template." hidden="1">{#N/A,#N/A,FALSE,"1Summary";#N/A,#N/A,FALSE,"2Assumptions";#N/A,#N/A,FALSE,"3Cash Flow";#N/A,#N/A,FALSE,"6Residual";#N/A,#N/A,FALSE,"AExpiration Schedule"}</definedName>
    <definedName name="wrn.Partial." localSheetId="2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" localSheetId="0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1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2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3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4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vilion." hidden="1">{"Pavilion-Investor",#N/A,FALSE,"Pavilion";"Pavilion-Property",#N/A,FALSE,"Pavilion"}</definedName>
    <definedName name="wrn.Payroll._.Assumption._.1." hidden="1">{"Payroll_Assumption1",#N/A,FALSE,"Sheet1"}</definedName>
    <definedName name="wrn.Payroll._.Assumptions." hidden="1">{"Payroll_Assuptions",#N/A,FALSE,"Sheet1"}</definedName>
    <definedName name="wrn.Payroll._.Assumptions._.Summary." hidden="1">{"Payroll Assumption Summary",#N/A,FALSE,"Sheet1"}</definedName>
    <definedName name="wrn.Payroll._.Assumptions2." hidden="1">{"Payroll_Assumption2",#N/A,FALSE,"Sheet1"}</definedName>
    <definedName name="wrn.Pegasus." hidden="1">{#N/A,#N/A,FALSE,"Proforma NAV";#N/A,#N/A,FALSE,"P NAV";#N/A,#N/A,FALSE,"Prodn &amp; Reserves";#N/A,#N/A,FALSE,"Asset Summary";#N/A,#N/A,FALSE,"Mt.Todd";#N/A,#N/A,FALSE,"Zortman";#N/A,#N/A,FALSE,"Pullalli";#N/A,#N/A,FALSE,"Black Pine";#N/A,#N/A,FALSE,"Beal Mtn.";#N/A,#N/A,FALSE,"Florida";#N/A,#N/A,FALSE,"Montana";#N/A,#N/A,FALSE,"Diamond Hill";#N/A,#N/A,FALSE,"K_SUMM"}</definedName>
    <definedName name="wrn.Penetration." hidden="1">{#N/A,#N/A,FALSE,"Mkt Pen"}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r._.Unit." hidden="1">{#N/A,#N/A,FALSE,"Budget 1997 Class A (2)";#N/A,#N/A,FALSE,"Budgets 1997 Class B &amp; C (2)"}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hil." hidden="1">{#N/A,#N/A,FALSE,"Summary";#N/A,#N/A,FALSE,"41 Mad (Our)";#N/A,#N/A,FALSE,"41 Mad (Comp)";#N/A,#N/A,FALSE,"41 Mad (Rudin's)";#N/A,#N/A,FALSE,"41 Mad (7,354)"}</definedName>
    <definedName name="wrn.Piedmont._.model." hidden="1">{"Summary",#N/A,TRUE,"Summary";"Sensitivities",#N/A,TRUE,"Summary";"Partnership Value",#N/A,TRUE,"Summary";"Cash Flows",#N/A,TRUE,"Summary";"Partnership Equity Value",#N/A,TRUE,"Summary";"MIR Fund Structure",#N/A,TRUE,"Summary";"Assumptions",#N/A,TRUE,"Summary"}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hidden="1">{#N/A,#N/A,FALSE,"399 Park Var";#N/A,#N/A,FALSE,"PK NOTES"}</definedName>
    <definedName name="wrn.pl." hidden="1">{#N/A,#N/A,FALSE,"Cons PL-Accrual"}</definedName>
    <definedName name="wrn.Place._.Vendome." hidden="1">{"Venture Summary",#N/A,FALSE,"Summary";"Summary 2",#N/A,FALSE,"Summary";"Rent Detail",#N/A,FALSE,"Summary";"Expense Detail",#N/A,FALSE,"Summary";"Budget Reconciliation",#N/A,FALSE,"Summary";"Sensitivity Tables",#N/A,FALSE,"Summary"}</definedName>
    <definedName name="wrn.Placer._.NAV." hidden="1">{#N/A,#N/A,FALSE,"PDG NAV";#N/A,#N/A,FALSE,"Campbell";#N/A,#N/A,FALSE,"Camp Reserve";#N/A,#N/A,FALSE,"Camp DCF";#N/A,#N/A,FALSE,"Detour";#N/A,#N/A,FALSE,"Detour Reserves";#N/A,#N/A,FALSE,"Detour DCF";#N/A,#N/A,FALSE,"Dome Reserve";#N/A,#N/A,FALSE,"Dome";#N/A,#N/A,FALSE,"Dome DCF";#N/A,#N/A,FALSE,"Musselwhite";#N/A,#N/A,FALSE,"Musselwhite Reserve";#N/A,#N/A,FALSE,"Musselwhite DCF";#N/A,#N/A,FALSE,"La Coipa";#N/A,#N/A,FALSE,"La Coipa Reserve";#N/A,#N/A,FALSE,"La Coipa DCF";#N/A,#N/A,FALSE,"Las Cristinas";#N/A,#N/A,FALSE,"Las Cristinas Reserve";#N/A,#N/A,FALSE,"Las Cristinas DCF";#N/A,#N/A,FALSE,"Granny";#N/A,#N/A,FALSE,"Granny Reserve";#N/A,#N/A,FALSE,"Granny DCF";#N/A,#N/A,FALSE,"Kidston";#N/A,#N/A,FALSE,"Kidston Reserve";#N/A,#N/A,FALSE,"Kidston DCF";#N/A,#N/A,FALSE,"Misima";#N/A,#N/A,FALSE,"Misima Reserves";#N/A,#N/A,FALSE,"Misima DCF";#N/A,#N/A,FALSE,"Osborne";#N/A,#N/A,FALSE,"Osborne Reserves";#N/A,#N/A,FALSE,"Osborne CF SUMMARY";#N/A,#N/A,FALSE,"Osborne CF";#N/A,#N/A,FALSE,"Porgera";#N/A,#N/A,FALSE,"Porgera Reserve";#N/A,#N/A,FALSE,"Porgera DCF";#N/A,#N/A,FALSE,"Bald Mtn";#N/A,#N/A,FALSE,"Bald Mtn Reserve";#N/A,#N/A,FALSE,"Bald Mtn DCF";#N/A,#N/A,FALSE,"Cortez";#N/A,#N/A,FALSE,"Cortez Reserve";#N/A,#N/A,FALSE,"Cortez DCF";#N/A,#N/A,FALSE,"Gold Sun";#N/A,#N/A,FALSE,"Gold Sun Reserves";#N/A,#N/A,FALSE,"Gold Sun DCF";#N/A,#N/A,FALSE,"Crucitas";#N/A,#N/A,FALSE,"Mt Rawdon";#N/A,#N/A,FALSE,"Donlin";#N/A,#N/A,FALSE,"Mulatos";#N/A,#N/A,FALSE,"other Assumptions"}</definedName>
    <definedName name="wrn.Plan." hidden="1">{#N/A,#N/A,FALSE,"Highridge Return Analysis";#N/A,#N/A,FALSE,"Sale @ end of year 3 (4yr Plan)";#N/A,#N/A,FALSE,"Highridge Assumption Page"}</definedName>
    <definedName name="wrn.Plan._.Support._.Only.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folioFinancialSummary." hidden="1">{#N/A,#N/A,FALSE,"ZellLurieFinSummary";#N/A,#N/A,FALSE,"FirstCapFinSummary";#N/A,#N/A,FALSE,"ZM I-III Consol FinSummary"}</definedName>
    <definedName name="wrn.Portfolio." hidden="1">{#N/A,#N/A,FALSE,"Portfolio Summary";#N/A,#N/A,FALSE,"Portfolio Operating Stmt";#N/A,#N/A,FALSE,"Portfolio Cash Flow"}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cntrent" hidden="1">{"PERCENTAGE RENT",#N/A,TRUE,"SCHEDULE B"}</definedName>
    <definedName name="wrn.Preliminary._.Plan." hidden="1">{#N/A,#N/A,FALSE,"Part E";#N/A,#N/A,FALSE,"E.1 Prelim Earnings Plan"}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_1" hidden="1">{#N/A,#N/A,FALSE,"rent roll";#N/A,#N/A,FALSE,"I&amp;E";#N/A,#N/A,FALSE,"96noleaseup";#N/A,#N/A,FALSE,"96noleaseup matrix";#N/A,#N/A,FALSE,"leaseup96";#N/A,#N/A,FALSE,"leaseup96 matrix";#N/A,#N/A,FALSE,"Leaseup and Exp."}</definedName>
    <definedName name="wrn.Prepaid_Recov.." hidden="1">{#N/A,#N/A,FALSE,"Prepaid Recoverable"}</definedName>
    <definedName name="wrn.Prepaid." hidden="1">{#N/A,#N/A,FALSE,"0125-10";#N/A,#N/A,FALSE,"0125-12";#N/A,#N/A,FALSE,"0140-12";#N/A,#N/A,FALSE,"0140-14";#N/A,#N/A,FALSE,"0160-12";#N/A,#N/A,FALSE,"0180-12";#N/A,#N/A,FALSE,"0180-14";#N/A,#N/A,FALSE,"0180-16";#N/A,#N/A,FALSE,"0180-18";#N/A,#N/A,FALSE,"0185-20";#N/A,#N/A,FALSE,"0185-22";#N/A,#N/A,FALSE,"0190-10"}</definedName>
    <definedName name="wrn.Prepaid2" hidden="1">{#N/A,#N/A,FALSE,"0125-10";#N/A,#N/A,FALSE,"0125-12";#N/A,#N/A,FALSE,"0140-12";#N/A,#N/A,FALSE,"0140-14";#N/A,#N/A,FALSE,"0160-12";#N/A,#N/A,FALSE,"0180-12";#N/A,#N/A,FALSE,"0180-14";#N/A,#N/A,FALSE,"0180-16";#N/A,#N/A,FALSE,"0180-18";#N/A,#N/A,FALSE,"0185-20";#N/A,#N/A,FALSE,"0185-22";#N/A,#N/A,FALSE,"0190-10"}</definedName>
    <definedName name="wrn.PRES_OUT." hidden="1">{"page1",#N/A,FALSE,"PRESENTATION";"page2",#N/A,FALSE,"PRESENTATION";#N/A,#N/A,FALSE,"Valuation Summary"}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entation." localSheetId="2" hidden="1">{#N/A,#N/A,TRUE,"Summary";"AnnualRentRoll",#N/A,TRUE,"RentRoll";#N/A,#N/A,TRUE,"ExitStratigy";#N/A,#N/A,TRUE,"OperatingAssumptions"}</definedName>
    <definedName name="wrn.Presentation." localSheetId="0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esentation._.Summary." hidden="1">{"Cover Page",#N/A,FALSE,"Print Summary";"Acq Summary",#N/A,FALSE,"Print Summary";"Financing Assumptions",#N/A,FALSE,"Print Summary";"CF Summary - Print",#N/A,FALSE,"Print Summary";"General Information",#N/A,FALSE,"Print Summary";"CF Summary",#N/A,FALSE,"Print Summary";"Sensitivity Analysis",#N/A,FALSE,"Print Summary";"Capex",#N/A,FALSE,"Print Summary"}</definedName>
    <definedName name="wrn.Presentation._1" hidden="1">{#N/A,#N/A,TRUE,"Summary";"AnnualRentRoll",#N/A,TRUE,"RentRoll";#N/A,#N/A,TRUE,"ExitStratigy";#N/A,#N/A,TRUE,"OperatingAssumptions"}</definedName>
    <definedName name="wrn.Presentation._2" hidden="1">{#N/A,#N/A,TRUE,"Summary";"AnnualRentRoll",#N/A,TRUE,"RentRoll";#N/A,#N/A,TRUE,"ExitStratigy";#N/A,#N/A,TRUE,"OperatingAssumptions"}</definedName>
    <definedName name="wrn.Presentation._3" hidden="1">{#N/A,#N/A,TRUE,"Summary";"AnnualRentRoll",#N/A,TRUE,"RentRoll";#N/A,#N/A,TRUE,"ExitStratigy";#N/A,#N/A,TRUE,"OperatingAssumptions"}</definedName>
    <definedName name="wrn.Presentation._4" hidden="1">{#N/A,#N/A,TRUE,"Summary";"AnnualRentRoll",#N/A,TRUE,"RentRoll";#N/A,#N/A,TRUE,"ExitStratigy";#N/A,#N/A,TRUE,"OperatingAssumptions"}</definedName>
    <definedName name="wrn.Presentation2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wrn.President._.Report." hidden="1">{#N/A,#N/A,FALSE,"President's Cover";#N/A,#N/A,FALSE,"A.1 1998 Objectives";#N/A,#N/A,FALSE,"A.2 President's Measures";#N/A,#N/A,FALSE,"A.3 Commentary"}</definedName>
    <definedName name="wrn.Pricing._.Strategy." localSheetId="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4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{#N/A,#N/A,FALSE,"Primary"}</definedName>
    <definedName name="wrn.print_all." hidden="1">{#N/A,#N/A,FALSE,"property";#N/A,#N/A,FALSE,"tenants";#N/A,#N/A,FALSE,"capital";#N/A,#N/A,FALSE,"summary"}</definedName>
    <definedName name="wrn.Print_Annual_Schedules." hidden="1">{"Print_Assumptions",#N/A,FALSE,"Assumptions";"Print_Allocations",#N/A,FALSE,"EOP JV";"Print_FAD",#N/A,FALSE,"EOP JV";"Print_Other",#N/A,FALSE,"Other";"Print_Annual_Revenue",#N/A,FALSE,"Revenue";"Print_Lease_Rollovers",#N/A,FALSE,"Revenue"}</definedName>
    <definedName name="wrn.Print_Assumptions." hidden="1">{"Print_Assumptions",#N/A,FALSE,"Assumptions";#N/A,#N/A,FALSE,"Rental Rate"}</definedName>
    <definedName name="wrn.Print_Budget." hidden="1">{"Print_Dev_Budget",#N/A,FALSE,"Budget";"Print_Dev_Budget_Footnotes",#N/A,FALSE,"Budget"}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DM_Report." hidden="1">{"Print_View_1",#N/A,FALSE,"Asset Template";"Print_View_2",#N/A,FALSE,"Asset Template"}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nthly_Schedules." hidden="1">{"Print_Monthly_Operations_CF",#N/A,FALSE,"Monthly";"Print_Monthly_Revenues",#N/A,FALSE,"Monthly";"Print_Monthly_Draws",#N/A,FALSE,"Monthly";"Print_Monthly_Costs",#N/A,FALSE,"Monthly"}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Unwind." hidden="1">{"Print_Unwind_Summary",#N/A,FALSE,"Unwind Value";"Print_Unwind_Monthly",#N/A,FALSE,"Unwind Value"}</definedName>
    <definedName name="wrn.Print." hidden="1">{"View1",#N/A,FALSE,"Sheet1";"View2",#N/A,FALSE,"Sheet1"}</definedName>
    <definedName name="wrn.Print._.4." localSheetId="2" hidden="1">{"Outflow 1",#N/A,FALSE,"Outflows-Inflows";"Outflow 2",#N/A,FALSE,"Outflows-Inflows";"Inflow 1",#N/A,FALSE,"Outflows-Inflows";"Inflow 2",#N/A,FALSE,"Outflows-Inflows"}</definedName>
    <definedName name="wrn.Print._.4." localSheetId="0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4._2" hidden="1">{"Outflow 1",#N/A,FALSE,"Outflows-Inflows";"Outflow 2",#N/A,FALSE,"Outflows-Inflows";"Inflow 1",#N/A,FALSE,"Outflows-Inflows";"Inflow 2",#N/A,FALSE,"Outflows-Inflows"}</definedName>
    <definedName name="wrn.Print._.4._3" hidden="1">{"Outflow 1",#N/A,FALSE,"Outflows-Inflows";"Outflow 2",#N/A,FALSE,"Outflows-Inflows";"Inflow 1",#N/A,FALSE,"Outflows-Inflows";"Inflow 2",#N/A,FALSE,"Outflows-Inflows"}</definedName>
    <definedName name="wrn.Print._.4._4" hidden="1">{"Outflow 1",#N/A,FALSE,"Outflows-Inflows";"Outflow 2",#N/A,FALSE,"Outflows-Inflows";"Inflow 1",#N/A,FALSE,"Outflows-Inflows";"Inflow 2",#N/A,FALSE,"Outflows-Inflows"}</definedName>
    <definedName name="wrn.Print._.6." localSheetId="2" hidden="1">{"print 1.6",#N/A,FALSE,"Sheet1";"print 2.6",#N/A,FALSE,"Sheet1";"print 3.6",#N/A,FALSE,"Sheet1";"print 4.6",#N/A,FALSE,"Sheet1";"print 5.6",#N/A,FALSE,"Sheet1";"print 6.6",#N/A,FALSE,"Sheet1"}</definedName>
    <definedName name="wrn.Print._.6." localSheetId="0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6._2" hidden="1">{"print 1.6",#N/A,FALSE,"Sheet1";"print 2.6",#N/A,FALSE,"Sheet1";"print 3.6",#N/A,FALSE,"Sheet1";"print 4.6",#N/A,FALSE,"Sheet1";"print 5.6",#N/A,FALSE,"Sheet1";"print 6.6",#N/A,FALSE,"Sheet1"}</definedName>
    <definedName name="wrn.Print._.6._3" hidden="1">{"print 1.6",#N/A,FALSE,"Sheet1";"print 2.6",#N/A,FALSE,"Sheet1";"print 3.6",#N/A,FALSE,"Sheet1";"print 4.6",#N/A,FALSE,"Sheet1";"print 5.6",#N/A,FALSE,"Sheet1";"print 6.6",#N/A,FALSE,"Sheet1"}</definedName>
    <definedName name="wrn.Print._.6._4" hidden="1">{"print 1.6",#N/A,FALSE,"Sheet1";"print 2.6",#N/A,FALSE,"Sheet1";"print 3.6",#N/A,FALSE,"Sheet1";"print 4.6",#N/A,FALSE,"Sheet1";"print 5.6",#N/A,FALSE,"Sheet1";"print 6.6",#N/A,FALSE,"Sheet1"}</definedName>
    <definedName name="wrn.Print._.Accounts." hidden="1">{#N/A,#N/A,FALSE,"Balance sheet";#N/A,#N/A,FALSE,"FAD";#N/A,#N/A,FALSE,"Cashflow";#N/A,#N/A,FALSE,"NAV";#N/A,#N/A,FALSE,"Notes 1-5";#N/A,#N/A,FALSE,"Notes 6-"}</definedName>
    <definedName name="wrn.Print._.ALL." hidden="1">{"Venture Summary",#N/A,FALSE,"Summary";"Development Budget",#N/A,FALSE,"Summary";"Annual Cash Flow",#N/A,FALSE,"Annual";"Project Costs",#N/A,FALSE,"Annual";"NOI &amp; Sale Proceeds",#N/A,FALSE,"Annual"}</definedName>
    <definedName name="wrn.Print._.All._.Dexter." hidden="1">{"Venture Summary",#N/A,TRUE,"Summary";"Timeline - Monthly",#N/A,TRUE,"Summary";"Timeline - Quarterly",#N/A,TRUE,"Summary";"Development Budget",#N/A,TRUE,"Summary";"Development Proforma",#N/A,TRUE,"Summary";"Argus Assumptions",#N/A,TRUE,"Summary";"Project Cash Flows",#N/A,TRUE,"Summary";"Project Costs",#N/A,TRUE,"Summary";"NOI &amp; Sales",#N/A,TRUE,"Summary";"Debt Summary CF",#N/A,TRUE,"Summary";"Uninflated Project Costs",#N/A,TRUE,"Summary"}</definedName>
    <definedName name="wrn.Print._.All._.Emerald." hidden="1">{"Venture Summary",#N/A,TRUE,"Retail Summary";"Dev Budget",#N/A,TRUE,"Retail Summary";"Detailed Dev Budget",#N/A,TRUE,"Retail Summary";"Timeline - Monthly",#N/A,TRUE,"Retail Summary";"Timeline - Quarterly",#N/A,TRUE,"Retail Summary";"Tenant Summary",#N/A,TRUE,"Retail Summary";"Annual",#N/A,TRUE,"Retail Summary";"Project Cash Flow",#N/A,TRUE,"Retail Summary";"Costs &amp; Sales",#N/A,TRUE,"Retail Summary";"Leasing &amp; Rent",#N/A,TRUE,"Retail Summary";"Debt Summary",#N/A,TRUE,"Retail Summary"}</definedName>
    <definedName name="wrn.Print._.all._.exhibits.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FUMC." hidden="1">{"Venture Summary",#N/A,TRUE,"Summary";"Annual",#N/A,TRUE,"Summary";"Development Budget",#N/A,TRUE,"Summary";"Argus Assumptions",#N/A,TRUE,"Summary";"Timeline - Quarterly",#N/A,TRUE,"Timeline - Quarterly";"Timeline - Monthly",#N/A,TRUE,"Summary";"FAR Analysis",#N/A,TRUE,"FAR Analysis";"Development Proforma",#N/A,TRUE,"Dev PF";"Project Cash Flows",#N/A,TRUE,"Summary";"Project Costs",#N/A,TRUE,"Summary";"Sales &amp; NOI",#N/A,TRUE,"Summary";"Debt Summary CF",#N/A,TRUE,"Summary";"Uninflated Project Costs",#N/A,TRUE,"Summary"}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JAS._.No._.JV." hidden="1">{"Assumptions",#N/A,FALSE,"CF Model";"Deal CF",#N/A,FALSE,"CF Model";"Debt Summary",#N/A,FALSE,"CF Model";"Pro Forma",#N/A,FALSE,"CF Model";"Pro Forma $PSF",#N/A,FALSE,"CF Model"}</definedName>
    <definedName name="wrn.Print._.All._.NPV._.Analysis." hidden="1">{"Scen 1 v 2 Summary",#N/A,FALSE,"Scenario 1 v 2  Summary";"Summary",#N/A,FALSE,"Summary";"Debt Sizing Reduced Vacancy",#N/A,FALSE,"10 Yr CF";"Scenario 1",#N/A,FALSE,"10 Yr CF";"Scenario 2 CF",#N/A,FALSE,"10 Yr CF";"Scenario 2 Assumptions",#N/A,FALSE,"10 Yr CF";"Scenario 3 CF",#N/A,FALSE,"10 Yr CF";"Scenario 3 Assumptions",#N/A,FALSE,"10 Yr CF";"10 Yr CF",#N/A,FALSE,"10 Yr CF"}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workpapers._.and._.exhibits.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1" hidden="1">{#N/A,#N/A,FALSE,"I&amp;E";#N/A,#N/A,FALSE,"rent roll";#N/A,#N/A,FALSE,"96noleaseup";#N/A,#N/A,FALSE,"96noleaseup matrix";#N/A,#N/A,FALSE,"leaseup 96";#N/A,#N/A,FALSE,"leaseup 96 matrix";#N/A,#N/A,FALSE,"Leaseup and Exp."}</definedName>
    <definedName name="wrn.Print._.All.1" hidden="1">{"Print_Summary Letter",#N/A,FALSE,"A-ProjDevAnalysis";"Print_HmBldrBgt Letter",#N/A,FALSE,"A-ProjDevAnalysis";"Print_LoanCommit Letter",#N/A,FALSE,"A-ProjDevAnalysis";"Print_CF_Stmt Letter",#N/A,FALSE,"A-ProjDevAnalysis";"Print_DevSch Letter",#N/A,FALSE,"A-ProjDevAnalysis";"Print_Debt Letter",#N/A,FALSE,"A-ProjDevAnalysis";"Print_Equity Letter",#N/A,FALSE,"A-ProjDevAnalysis"}</definedName>
    <definedName name="wrn.Print._.Annual." hidden="1">{"Venture Summary",#N/A,TRUE,"Summary";"Development Budget",#N/A,TRUE,"Summary";"Leasing Assumptions",#N/A,TRUE,"Leasing Assumptions";"Project CF Annual",#N/A,TRUE,"Annual";"Proj Costs Annual",#N/A,TRUE,"Annual";"Constr. Loan Annual",#N/A,TRUE,"Annual";"Sales Annual",#N/A,TRUE,"Annual";"MDPA Contr Schedule",#N/A,TRUE,"Annual";"CF Split Annual",#N/A,TRUE,"Annual";"Phase I Development Proforma",#N/A,TRUE,"Phase I Dev PF"}</definedName>
    <definedName name="wrn.Print._.Annual._.Dexter." hidden="1">{"Venture Summary",#N/A,TRUE,"Summary";"Timeline - Quarterly",#N/A,TRUE,"Summary";"Development Budget",#N/A,TRUE,"Summary";"Argus Assumptions",#N/A,TRUE,"Summary";"Development Proforma",#N/A,TRUE,"Summary";"Capstone Comparison",#N/A,TRUE,"Summary";"Annual",#N/A,TRUE,"Summary"}</definedName>
    <definedName name="wrn.Print._.Annual._.FUMC." hidden="1">{"Venture Summary",#N/A,TRUE,"Timeline - Quarterly";"Timeline - Quarterly",#N/A,TRUE,"Timeline - Quarterly";"Argus Assumptions",#N/A,TRUE,"Timeline - Quarterly";"Development Budget",#N/A,TRUE,"Timeline - Quarterly";"Development Proforma",#N/A,TRUE,"Timeline - Quarterly";"Annual",#N/A,TRUE,"Timeline - Quarterly"}</definedName>
    <definedName name="wrn.Print._.BaseCamp." hidden="1">{"Summary - BaseCamp",#N/A,TRUE,"Summary - Sent to BaseCamp";"Annual Portfolio NOI - BaseCamp",#N/A,TRUE,"Annual - Sent to BaseCamp";"Annual Home Rent Rev - BaseCamp",#N/A,TRUE,"Summary - Sent to BaseCamp";"Annual Property NOI - BaseCamp",#N/A,TRUE,"Summary - Sent to BaseCamp";"Annual Lease Rev &amp; NOI - BaseCamp",#N/A,TRUE,"Summary - Sent to BaseCamp";"Annual Sales NOI - BaseCamp",#N/A,TRUE,"Annual - Sent to BaseCamp";"Annual Loan Rev &amp; NOI - BaseCamp",#N/A,TRUE,"Summary - Sent to BaseCamp"}</definedName>
    <definedName name="wrn.Print._.CashFlow." hidden="1">{"Print_CF_Stmt Letter",#N/A,FALSE,"A-ProjDevAnalysis"}</definedName>
    <definedName name="wrn.Print._.CashFlow.1" hidden="1">{"Print_CF_Stmt Letter",#N/A,FALSE,"A-ProjDevAnalysis"}</definedName>
    <definedName name="wrn.Print._.Compare._.and._.Divsum." hidden="1">{"Divsum Compare Hawaiki",#N/A,TRUE,"Divsum";"Divsum Complete Divsum",#N/A,TRUE,"Divsum"}</definedName>
    <definedName name="wrn.Print._.CRXLAND._.Openings." hidden="1">{"Print CRXLAND Assumptions",#N/A,FALSE,"CRXLAND Openings";"Print CRXLAND Openings",#N/A,FALSE,"CRXLAND Openings"}</definedName>
    <definedName name="wrn.Print._.CSI._.and._.Estimate._.Backup." hidden="1">{"Divsum Compare Hawaiki",#N/A,FALSE,"Divsum";"Divsum Complete Divsum",#N/A,FALSE,"Divsum";"Estimate Backup",#N/A,FALSE,"Divsum"}</definedName>
    <definedName name="wrn.Print._.Debt._.Sch." hidden="1">{"Print_Debt Letter",#N/A,FALSE,"A-ProjDevAnalysis"}</definedName>
    <definedName name="wrn.Print._.Debt._Sch.1" hidden="1">{"Print_Debt Letter",#N/A,FALSE,"A-ProjDevAnalysis"}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quity._.Sch." hidden="1">{"Print_Equity Letter",#N/A,FALSE,"A-ProjDevAnalysis"}</definedName>
    <definedName name="wrn.Print._.Equity._.Sch.1" hidden="1">{"Print_Equity Letter",#N/A,FALSE,"A-ProjDevAnalysis"}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g.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exhibits._.used._.in._.Report.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graphs." hidden="1">{"cap_structure",#N/A,FALSE,"Graph-Mkt Cap";"price",#N/A,FALSE,"Graph-Price";"ebit",#N/A,FALSE,"Graph-EBITDA";"ebitda",#N/A,FALSE,"Graph-EBITDA"}</definedName>
    <definedName name="wrn.Print._.HomeConstrStarts." hidden="1">{"Print_HomeStarts Letter",#N/A,FALSE,"A-ProjDevAnalysis"}</definedName>
    <definedName name="wrn.Print._.HomeConstrStarts.1" hidden="1">{"Print_HomeStarts Letter",#N/A,FALSE,"A-ProjDevAnalysis"}</definedName>
    <definedName name="wrn.Print._.IC._.Memo." hidden="1">{"Summary",#N/A,TRUE,"Summary";"Annual Project Cash Flow",#N/A,TRUE,"Summary";"Annual Property NOI",#N/A,TRUE,"Summary";"Annual Lease Ops NOI",#N/A,TRUE,"Summary";"Annual Sales NOI",#N/A,TRUE,"Summary";"Annual Loan NOI",#N/A,TRUE,"Summary";"Annual Net Sales Proceeds",#N/A,TRUE,"Summary";"Annual Debt",#N/A,TRUE,"Summary"}</definedName>
    <definedName name="wrn.Print._.Inc.._.Statement._.and._.Stats.." hidden="1">{"print annual inc. statement",#N/A,FALSE,"Summary";"print annual stats",#N/A,FALSE,"Summary";"print quarterly inc. statement",#N/A,FALSE,"Summary";"print quarterly stats",#N/A,FALSE,"Summary"}</definedName>
    <definedName name="wrn.Print._.It." localSheetId="2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localSheetId="0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2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3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4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and._.Sale." hidden="1">{"Land Sale Summary",#N/A,TRUE,"Land Sale";"Land Sale Cash Flow",#N/A,TRUE,"Land Sale"}</definedName>
    <definedName name="wrn.Print._.Loan._.Commit." hidden="1">{"Print_LoanCommit Letter",#N/A,FALSE,"A-ProjDevAnalysis"}</definedName>
    <definedName name="wrn.Print._.Loan._.Commit.1" hidden="1">{"Print_LoanCommit Letter",#N/A,FALSE,"A-ProjDevAnalysis"}</definedName>
    <definedName name="wrn.Print._.Ltd._.Ptr._.Heller." hidden="1">{#N/A,#N/A,FALSE,"Summary Schedule Heller Ltd";#N/A,#N/A,FALSE,"Qtrly  heller Page 1";#N/A,#N/A,FALSE,"Qtrly heller Page 3"}</definedName>
    <definedName name="wrn.Print._.Monthly." hidden="1">{"Summary",#N/A,TRUE,"Summary";"Monthly Project Cash Flows",#N/A,TRUE,"Summary";"Monthly Site Rent Revenue",#N/A,TRUE,"Summary";"Monthly Home Rent Revenue",#N/A,TRUE,"Summary";"Monthly Loan Revenue",#N/A,TRUE,"Summary";"Monthly Loan Balance Calculation",#N/A,TRUE,"Summary";"Monthly Property NOI",#N/A,TRUE,"Summary";"Monthly Lease Ops NOI",#N/A,TRUE,"Summary";"Monthly Loan NOI",#N/A,TRUE,"Summary";"Monthly Sales NOI",#N/A,TRUE,"Summary";"Monthly Sales Proceeds",#N/A,TRUE,"Summary";"Monthly Debt Summary",#N/A,TRUE,"Summary"}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port." hidden="1">{"annual",#N/A,FALSE,"Sheet2";"quarters",#N/A,FALSE,"Sheet2"}</definedName>
    <definedName name="wrn.Print._.Residential." hidden="1">{"Res Summary",#N/A,TRUE,"Residential";"Res DevBudget",#N/A,TRUE,"Residential";"Res CF Yr1&amp;2",#N/A,TRUE,"Residential";"Res CF Yr3",#N/A,TRUE,"Residential";"Res CF Yr4",#N/A,TRUE,"Residential";"Res CF Yr5",#N/A,TRUE,"Residential";"Res CF Yr6",#N/A,TRUE,"Residential";"Res CF Yr7",#N/A,TRUE,"Residential";"Res CF Yr8",#N/A,TRUE,"Residential";"Res CF Yr9",#N/A,TRUE,"Residential";"Res Detailed Yr1&amp;2",#N/A,TRUE,"Residential";"Res Detailed Yr3",#N/A,TRUE,"Residential";"Res Detailed Yr4",#N/A,TRUE,"Residential";"Res Detailed Yr5",#N/A,TRUE,"Residential";"Res Detailed Yr6",#N/A,TRUE,"Residential";"Res Detailed Yr7",#N/A,TRUE,"Residential";"Res Detailed Yr8",#N/A,TRUE,"Residential";"Res Detailed Yr9",#N/A,TRUE,"Residential";"Res D&amp;S Yr1&amp;2",#N/A,TRUE,"Residential";"Res D&amp;S Yr3",#N/A,TRUE,"Residential";"Res D&amp;S Yr4",#N/A,TRUE,"Residential";"Res D&amp;S Yr5",#N/A,TRUE,"Residential";"Res D&amp;S Yr6",#N/A,TRUE,"Residential";"Res D&amp;S Yr7",#N/A,TRUE,"Residential";"Res D&amp;S Yr8",#N/A,TRUE,"Residential"}</definedName>
    <definedName name="wrn.Print._.Retail._.Hotel._.CFD." hidden="1">{"Retail Summary",#N/A,TRUE,"Retail";"Retail Budget",#N/A,TRUE,"Retail";"Retail CF Yr1&amp;2",#N/A,TRUE,"Retail";"Retail CF Yr3",#N/A,TRUE,"Retail";"Retail CF Yr4",#N/A,TRUE,"Retail";"Retail CF Yr5",#N/A,TRUE,"Retail";"Retail CF Yr6",#N/A,TRUE,"Retail";"Retail CF Yr7",#N/A,TRUE,"Retail";"Retail CF Yr8",#N/A,TRUE,"Retail";"Retail Detailed Yr1&amp;2",#N/A,TRUE,"Retail";"Retail Detailed Yr3",#N/A,TRUE,"Retail";"Retail Detailed Yr4",#N/A,TRUE,"Retail";"Retail Detailed Yr5",#N/A,TRUE,"Retail";"Retail Detailed Yr6",#N/A,TRUE,"Retail";"Retail Detailed Yr7",#N/A,TRUE,"Retail";"Retail Detailed Yr8",#N/A,TRUE,"Retail";"Retail D&amp;S Yr1&amp;2",#N/A,TRUE,"Retail";"Retail D&amp;S Yr3",#N/A,TRUE,"Retail";"Retail D&amp;S Yr4",#N/A,TRUE,"Retail";"Retail D&amp;S Yr5",#N/A,TRUE,"Retail";"Retail D&amp;S Yr6",#N/A,TRUE,"Retail";"Retail D&amp;S Yr7",#N/A,TRUE,"Retail";"Retail D&amp;S Yr8",#N/A,TRUE,"Retail";"Hotel Yr1&amp;2",#N/A,TRUE,"Hotel";"Hotel Yr3",#N/A,TRUE,"Hotel";"Hotel Yr4",#N/A,TRUE,"Hotel";"Hotel Yr5",#N/A,TRUE,"Hotel";"CFD Yr1&amp;2",#N/A,TRUE,"CFD";"CFD Yr3",#N/A,TRUE,"CFD";"CFD Yr4",#N/A,TRUE,"CFD";"CFD Yr5",#N/A,TRUE,"CFD";"CFD Yr6",#N/A,TRUE,"CFD";"CFD Yr7",#N/A,TRUE,"CFD";"CFD Yr8",#N/A,TRUE,"CFD";"CFD Yr9",#N/A,TRUE,"CFD"}</definedName>
    <definedName name="wrn.Print._.SPHI._.Openings." hidden="1">{"Print SPHI Assumptions",#N/A,FALSE,"SPHI Openings";"Print SPHI Openings",#N/A,FALSE,"SPHI Openings"}</definedName>
    <definedName name="wrn.print._.standalone." hidden="1">{"standalone1",#N/A,FALSE,"DCFBase";"standalone2",#N/A,FALSE,"DCFBase"}</definedName>
    <definedName name="wrn.Print._.STAY._.Openings." hidden="1">{"print STAY opening assumptions",#N/A,FALSE,"STAY Openings";"print STAY openings",#N/A,FALSE,"STAY Openings"}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mary." hidden="1">{"One",#N/A,FALSE,"Summary ";"Two",#N/A,FALSE,"Summary "}</definedName>
    <definedName name="wrn.Print._.Summary._.2." hidden="1">{"JVSummary",#N/A,TRUE,"10 &amp; 12 - CF";"B10&amp;12 Summary",#N/A,TRUE,"10 &amp; 12 - CF";"Hingham Summary",#N/A,TRUE,"10 &amp; 12 - CF"}</definedName>
    <definedName name="wrn.Print._.Summary._.CF._.DevSch._.Loan." hidden="1">{"Print_Summary Letter",#N/A,FALSE,"A-ProjDevAnalysis";"Print_CF_Stmt Letter",#N/A,FALSE,"A-ProjDevAnalysis";"Print_DevSch Letter",#N/A,FALSE,"A-ProjDevAnalysis";"Print_LoanCommit Letter",#N/A,FALSE,"A-ProjDevAnalysis"}</definedName>
    <definedName name="wrn.Print._.Summary._.CF._.DevSch._.Loan.1" hidden="1">{"Print_Summary Letter",#N/A,FALSE,"A-ProjDevAnalysis";"Print_CF_Stmt Letter",#N/A,FALSE,"A-ProjDevAnalysis";"Print_DevSch Letter",#N/A,FALSE,"A-ProjDevAnalysis";"Print_LoanCommit Letter",#N/A,FALSE,"A-ProjDevAnalysis"}</definedName>
    <definedName name="wrn.Print._.Summary._.Equity._.First." hidden="1">{"JVSummary",#N/A,TRUE,"Annual CF";"JV Dev Budget",#N/A,TRUE,"Annual CF";"JV Cash Flow",#N/A,TRUE,"Annual CF";"JV Net Sale Proceeds",#N/A,TRUE,"Annual CF";"JV Debt",#N/A,TRUE,"Annual CF";"B10&amp;12 Summary",#N/A,TRUE,"10 &amp; 12 - CF";"B10&amp;12 Budget",#N/A,TRUE,"Annual CF";"B10&amp;12 Dev. Costs",#N/A,TRUE,"Annual CF";"B10&amp;12 CF1",#N/A,TRUE,"Annual CF";"B10&amp;12 CF2",#N/A,TRUE,"Annual CF";"B10&amp;12 Equity First",#N/A,TRUE,"Annual CF";"Hingham Summary",#N/A,TRUE,"Annual CF";"Hinham Budget",#N/A,TRUE,"Annual CF";"Hingham Dev. Costs",#N/A,TRUE,"Annual CF";"Hingham CF1",#N/A,TRUE,"Annual CF";"Hingh CF2",#N/A,TRUE,"Annual CF";"Hingham Debt",#N/A,TRUE,"Hingham - CF"}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Three._.Page._.Model." hidden="1">{"Page One",#N/A,FALSE,"Model";"Page 2",#N/A,FALSE,"Model";"Page 3",#N/A,FALSE,"Model"}</definedName>
    <definedName name="wrn.Print._.Title._.and._.Contents." hidden="1">{#N/A,#N/A,FALSE,"Title";#N/A,#N/A,FALSE,"Table"}</definedName>
    <definedName name="wrn.Print._.Venture." hidden="1">{"Venture #1",#N/A,TRUE,"Venture";"Venture #2",#N/A,TRUE,"Venture";"Budget",#N/A,TRUE,"Venture";"Venture Cash Flow",#N/A,TRUE,"Venture";"Debt Summary",#N/A,TRUE,"Venture";"Sales Proceeds",#N/A,TRUE,"Venture";"Cash Flow Split",#N/A,TRUE,"Venture"}</definedName>
    <definedName name="wrn.Print._.without._.Promote." hidden="1">{"Summary",#N/A,TRUE,"Summary";"Summary #1",#N/A,TRUE,"Summary";"Summary #2",#N/A,TRUE,"Summary";"CF",#N/A,TRUE,"Summary"}</definedName>
    <definedName name="wrn.Print1" hidden="1">{"View1",#N/A,FALSE,"Sheet1";"View2",#N/A,FALSE,"Sheet1"}</definedName>
    <definedName name="wrn.Print1." hidden="1">{"Page1",#N/A,TRUE,"Sheet1";"Page2",#N/A,TRUE,"Sheet1";"Page3",#N/A,TRUE,"Sheet1"}</definedName>
    <definedName name="wrn.print2." hidden="1">{"Assump",#N/A,TRUE,"Proforma";"first",#N/A,TRUE,"Proforma";"second",#N/A,TRUE,"Proforma";"lease1",#N/A,TRUE,"Proforma";"lease2",#N/A,TRUE,"Proforma"}</definedName>
    <definedName name="wrn.Print4" hidden="1">{"View1",#N/A,FALSE,"Sheet1";"View2",#N/A,FALSE,"Sheet1"}</definedName>
    <definedName name="wrn.print5" hidden="1">{"Assump",#N/A,TRUE,"Proforma";"first",#N/A,TRUE,"Proforma";"second",#N/A,TRUE,"Proforma";"lease1",#N/A,TRUE,"Proforma";"lease2",#N/A,TRUE,"Proforma"}</definedName>
    <definedName name="wrn.PrintAll." localSheetId="2" hidden="1">{#N/A,#N/A,FALSE,"Broker Sheet";#N/A,#N/A,FALSE,"Exec.Summary";#N/A,#N/A,FALSE,"Argus Cash Flow";#N/A,#N/A,FALSE,"SPF";#N/A,#N/A,FALSE,"RentRoll"}</definedName>
    <definedName name="wrn.PrintAll." localSheetId="0" hidden="1">{#N/A,#N/A,FALSE,"Broker Sheet";#N/A,#N/A,FALSE,"Exec.Summary";#N/A,#N/A,FALSE,"Argus Cash Flow";#N/A,#N/A,FALSE,"SPF";#N/A,#N/A,FALSE,"RentRoll"}</definedName>
    <definedName name="wrn.PrintAll." hidden="1">{#N/A,#N/A,FALSE,"Broker Sheet";#N/A,#N/A,FALSE,"Exec.Summary";#N/A,#N/A,FALSE,"Argus Cash Flow";#N/A,#N/A,FALSE,"SPF";#N/A,#N/A,FALSE,"RentRoll"}</definedName>
    <definedName name="wrn.PrintAll._1" hidden="1">{#N/A,#N/A,FALSE,"Broker Sheet";#N/A,#N/A,FALSE,"Exec.Summary";#N/A,#N/A,FALSE,"Argus Cash Flow";#N/A,#N/A,FALSE,"SPF";#N/A,#N/A,FALSE,"RentRoll"}</definedName>
    <definedName name="wrn.PrintAll._2" hidden="1">{#N/A,#N/A,FALSE,"Broker Sheet";#N/A,#N/A,FALSE,"Exec.Summary";#N/A,#N/A,FALSE,"Argus Cash Flow";#N/A,#N/A,FALSE,"SPF";#N/A,#N/A,FALSE,"RentRoll"}</definedName>
    <definedName name="wrn.PrintAll._3" hidden="1">{#N/A,#N/A,FALSE,"Broker Sheet";#N/A,#N/A,FALSE,"Exec.Summary";#N/A,#N/A,FALSE,"Argus Cash Flow";#N/A,#N/A,FALSE,"SPF";#N/A,#N/A,FALSE,"RentRoll"}</definedName>
    <definedName name="wrn.PrintAll._4" hidden="1">{#N/A,#N/A,FALSE,"Broker Sheet";#N/A,#N/A,FALSE,"Exec.Summary";#N/A,#N/A,FALSE,"Argus Cash Flow";#N/A,#N/A,FALSE,"SPF";#N/A,#N/A,FALSE,"RentRoll"}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{"Zone1",#N/A,FALSE,"Parameters";"Zone2",#N/A,FALSE,"Parameters"}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4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." hidden="1">{#N/A,#N/A,FALSE,"COVER";#N/A,#N/A,FALSE,"Construction CF";#N/A,#N/A,FALSE,"PROFORMA";#N/A,#N/A,FALSE,"CASHFLOW"}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it_and_Loss." hidden="1">{"Profit_Summary",#N/A,FALSE,"Monthly";"Profit_P2",#N/A,FALSE,"Monthly";"Profit_P3",#N/A,FALSE,"Monthly";"Profit_P4",#N/A,FALSE,"Monthly";"Profit_P5",#N/A,FALSE,"Monthly";"Profit_P6",#N/A,FALSE,"Monthly";"Profit_P7",#N/A,FALSE,"Monthly";"Profit_P8",#N/A,FALSE,"Monthly";"Profit_P9",#N/A,FALSE,"Monthly";"Profit_P10",#N/A,FALSE,"Monthly";"Profit_P11",#N/A,FALSE,"Monthly";"Profit_P12",#N/A,FALSE,"Monthly";"Profit_P13",#N/A,FALSE,"Monthly";"Profit_P14",#N/A,FALSE,"Monthly";"pROFIT_p15",#N/A,FALSE,"Monthly"}</definedName>
    <definedName name="wrn.Proforma." localSheetId="2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localSheetId="0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.2." hidden="1">{#N/A,#N/A,TRUE,"Cash Flow Proforma";#N/A,#N/A,TRUE,"Scenario Variable Cells";#N/A,#N/A,TRUE,"Proforma Assumptions";#N/A,#N/A,TRUE,"Bulk Pad and Finished Sales";#N/A,#N/A,TRUE,"Rolling Option Sales"}</definedName>
    <definedName name="wrn.Proforma._.Review." hidden="1">{#N/A,#N/A,FALSE,"Occ and Rate";#N/A,#N/A,FALSE,"PF Input";#N/A,#N/A,FALSE,"Proforma Five Yr";#N/A,#N/A,FALSE,"Hotcomps"}</definedName>
    <definedName name="wrn.Proforma._.Year._.1." hidden="1">{"Plan Information",#N/A,FALSE,"Plans"}</definedName>
    <definedName name="wrn.Proforma._1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2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3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4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gram._.Compliance." hidden="1">{#N/A,#N/A,FALSE,"COMPLIANCE"}</definedName>
    <definedName name="wrn.Project." hidden="1">{#N/A,#N/A,TRUE,"A-site";#N/A,#N/A,TRUE,"B-Buildings";#N/A,#N/A,TRUE,"c-out-of-fence";#N/A,#N/A,TRUE,"d-proj.infr.";#N/A,#N/A,TRUE,"e- land"}</definedName>
    <definedName name="wrn.Project._.Cost._.Estimate." hidden="1">{#N/A,#N/A,FALSE,"cost";#N/A,#N/A,FALSE,"draw sched.";#N/A,#N/A,FALSE,"spread";#N/A,#N/A,FALSE,"Assumptions"}</definedName>
    <definedName name="wrn.projection.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s." hidden="1">{#N/A,#N/A,FALSE,"Release Price";#N/A,#N/A,FALSE,"Cash flow for 50 Unit";#N/A,#N/A,FALSE,"Cash Flow for 3 Models"}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Property._.Description." hidden="1">{#N/A,#N/A,FALSE,"PROP. DESCRIPTION"}</definedName>
    <definedName name="wrn.PropertyInformation." localSheetId="2" hidden="1">{#N/A,#N/A,FALSE,"PropertyInfo"}</definedName>
    <definedName name="wrn.PropertyInformation." localSheetId="0" hidden="1">{#N/A,#N/A,FALSE,"PropertyInfo"}</definedName>
    <definedName name="wrn.PropertyInformation." hidden="1">{#N/A,#N/A,FALSE,"PropertyInfo"}</definedName>
    <definedName name="wrn.PropertyInformation._1" hidden="1">{#N/A,#N/A,FALSE,"PropertyInfo"}</definedName>
    <definedName name="wrn.PropertyInformation._2" hidden="1">{#N/A,#N/A,FALSE,"PropertyInfo"}</definedName>
    <definedName name="wrn.PropertyInformation._3" hidden="1">{#N/A,#N/A,FALSE,"PropertyInfo"}</definedName>
    <definedName name="wrn.PropertyInformation._4" hidden="1">{#N/A,#N/A,FALSE,"PropertyInfo"}</definedName>
    <definedName name="wrn.Proposal." hidden="1">{"Bid",#N/A,FALSE,"Estimate";"Breakdowm",#N/A,FALSE,"Estimate"}</definedName>
    <definedName name="wrn.Prototypes." hidden="1">{"One",#N/A,FALSE,"Prototypes";"Two",#N/A,FALSE,"Prototypes";"Three",#N/A,FALSE,"Prototypes";"Four",#N/A,FALSE,"Prototypes";"Five",#N/A,FALSE,"Prototypes"}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._.1._.Forecast." hidden="1">{#N/A,#N/A,FALSE,"Forecast Cover";#N/A,#N/A,FALSE,"D.1 Bal. Sheet";#N/A,#N/A,FALSE,"D.2 Income Statement";#N/A,#N/A,FALSE,"D.3 Quarterly Forecast";#N/A,#N/A,FALSE,"E.3 Monthly Forecast Q1";#N/A,#N/A,FALSE,"E.4 Monthly Plan";#N/A,#N/A,FALSE,"E.6 1997 Monthly";#N/A,#N/A,FALSE,"E.7 Capital";#N/A,#N/A,FALSE,"E.8 Research &amp; Development";#N/A,#N/A,FALSE,"E.9 New Business Development";#N/A,#N/A,FALSE,"E.10 Tax Information"}</definedName>
    <definedName name="wrn.Quarter._.2._.Forecast." hidden="1">{#N/A,#N/A,FALSE,"Forecast Cover";#N/A,#N/A,FALSE,"D.1 Bal. Sheet";#N/A,#N/A,FALSE,"D.2 Income Statement";#N/A,#N/A,FALSE,"D.3 Quarterly Forecast";#N/A,#N/A,FALSE,"E.2 Monthly Forecast Q2";#N/A,#N/A,FALSE,"E.7 Capital";#N/A,#N/A,FALSE,"E.8 Research &amp; Development";#N/A,#N/A,FALSE,"E.9 New Business Development";#N/A,#N/A,FALSE,"E.10 Tax Information"}</definedName>
    <definedName name="wrn.Quarter._.3._.Forecast." hidden="1">{#N/A,#N/A,FALSE,"Forecast Cover";#N/A,#N/A,FALSE,"D.1 Bal. Sheet";#N/A,#N/A,FALSE,"D.2 Income Statement";#N/A,#N/A,FALSE,"D.3 Quarterly Forecast";#N/A,#N/A,FALSE,"E.1 Monthly Forecast Q3";#N/A,#N/A,FALSE,"E.7 Capital";#N/A,#N/A,FALSE,"E.8 Research &amp; Development";#N/A,#N/A,FALSE,"E.9 New Business Development";#N/A,#N/A,FALSE,"E.10 Tax Information"}</definedName>
    <definedName name="wrn.Quarterly." hidden="1">{"Summary Page 1",#N/A,TRUE,"Quarterly";"Annual Page 1",#N/A,TRUE,"Quarterly";"Quarterly 1",#N/A,TRUE,"Quarterly";"Quarterly 2",#N/A,TRUE,"Quarterly"}</definedName>
    <definedName name="wrn.Quarterly._.Cash._.Flows." hidden="1">{"CF Waterfall",#N/A,TRUE,"CF Waterfall";"CombinedBiz CF",#N/A,TRUE,"CombinedBiz";"ExistingBiz CF",#N/A,TRUE,"ExistingBiz";"NewBiz CF",#N/A,TRUE,"NewBiz"}</definedName>
    <definedName name="wrn.Quarterly._.Consolidation._.Report." hidden="1">{#N/A,#N/A,FALSE,"Front Cover";#N/A,#N/A,FALSE,"B.1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Proof"}</definedName>
    <definedName name="wrn.Quarterly._.Fund._.Model." hidden="1">{#N/A,#N/A,FALSE,"Quarterly Fund"}</definedName>
    <definedName name="wrn.Quarterly._.Reporting._.Package._.Exec." hidden="1">{#N/A,#N/A,FALSE,"RP - Titlepage Exec";#N/A,#N/A,FALSE,"balance sheet";#N/A,#N/A,FALSE,"income statement";#N/A,#N/A,FALSE,"statement of cashflows";#N/A,#N/A,FALSE,"statement of ret earnings";#N/A,#N/A,FALSE,"RP - MBSF";#N/A,#N/A,FALSE,"RP - EPS Calc";#N/A,#N/A,FALSE,"RP - EPS Comp";#N/A,#N/A,FALSE,"RP - Goodwill";#N/A,#N/A,FALSE,"RP - Minority Interest";#N/A,#N/A,FALSE,"RP - Revenues";#N/A,#N/A,FALSE,"RP - Rev and OI";#N/A,#N/A,FALSE,"RP - Debt and Cash";#N/A,#N/A,FALSE,"RP - Corp Measures";#N/A,#N/A,FALSE,"RP - Investment Board"}</definedName>
    <definedName name="wrn.Quarterly._.Reporting._.Package._.File." hidden="1">{#N/A,#N/A,FALSE,"balance sheet";#N/A,#N/A,FALSE,"income statement";#N/A,#N/A,FALSE,"statement of cashflows";#N/A,#N/A,FALSE,"statement of ret earnings";#N/A,#N/A,FALSE,"RP - Titlepage";#N/A,#N/A,FALSE,"RP - MBSF";#N/A,#N/A,FALSE,"RP - EPS Calc";#N/A,#N/A,FALSE,"RP - EPS Comp";#N/A,#N/A,FALSE,"RP - Invest Income";#N/A,#N/A,FALSE,"RP - Interest";#N/A,#N/A,FALSE,"RP - Goodwill";#N/A,#N/A,FALSE,"RP - Minority Interest";#N/A,#N/A,FALSE,"RP - Revenues";#N/A,#N/A,FALSE,"RP - Rev and OI";#N/A,#N/A,FALSE,"RP - Debt and Cash";#N/A,#N/A,FALSE,"RP - Corp Measures";#N/A,#N/A,FALSE,"RP - Corp Meas Data";#N/A,#N/A,FALSE,"RP - Investment Board";#N/A,#N/A,FALSE,"RP - Investment Exec Equity";#N/A,#N/A,FALSE,"RP - Investment Exec Cost"}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QUICK.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_.Print." hidden="1">{#N/A,#N/A,TRUE,"Summary";#N/A,#N/A,TRUE,"Cost Summary (inflated)";#N/A,#N/A,TRUE,"Timeline";#N/A,#N/A,TRUE,"Res. Summary";#N/A,#N/A,TRUE,"Residential";#N/A,#N/A,TRUE,"Retail Summary";#N/A,#N/A,TRUE,"Retail ";#N/A,#N/A,TRUE,"Dev Expense Detail";#N/A,#N/A,TRUE,"Promote"}</definedName>
    <definedName name="wrn.Rani." hidden="1">{"Venture Summary",#N/A,FALSE,"Summary";"PI Summary",#N/A,FALSE,"PI Summary";#N/A,#N/A,FALSE,"BI Leasing";"PII Summary",#N/A,FALSE,"PII Summary";#N/A,#N/A,FALSE,"BII Leasing"}</definedName>
    <definedName name="wrn.Rapport." hidden="1">{#N/A,#N/A,FALSE,"SHEET1";#N/A,#N/A,FALSE,"SHEET2";#N/A,#N/A,FALSE,"SHEET3";#N/A,#N/A,FALSE,"SHEET4"}</definedName>
    <definedName name="wrn.rate.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alis.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1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2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3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covery._.Calcs." hidden="1">{#N/A,#N/A,FALSE,"Recovery Calcs"}</definedName>
    <definedName name="wrn.RECURRING." hidden="1">{#N/A,#N/A,FALSE,"Summary"}</definedName>
    <definedName name="wrn.Rehab." hidden="1">{#N/A,#N/A,TRUE,"Total Acquisition and Rehab ";#N/A,#N/A,TRUE,"Summary of Hard Costs";#N/A,#N/A,TRUE,"Summary-Interior Scope of Work";#N/A,#N/A,TRUE,"Cementious Decks";#N/A,#N/A,TRUE,"Finish Trim";#N/A,#N/A,TRUE,"Balcony Waterproofing";#N/A,#N/A,TRUE,"Doors and Hardware";#N/A,#N/A,TRUE,"Drywall";#N/A,#N/A,TRUE,"Tile";#N/A,#N/A,TRUE,"Flooring";#N/A,#N/A,TRUE,"Painting";#N/A,#N/A,TRUE,"Identifying, Shelving &amp; Mirrors";#N/A,#N/A,TRUE,"Appliances";#N/A,#N/A,TRUE,"Cabinets and Countertops";#N/A,#N/A,TRUE,"Window Treatments";#N/A,#N/A,TRUE,"Plumbing";#N/A,#N/A,TRUE,"HVAC";#N/A,#N/A,TRUE,"Electrical"}</definedName>
    <definedName name="wrn.Rehab._.Projects." hidden="1">{#N/A,#N/A,FALSE,"Bankside Village Apartments";#N/A,#N/A,FALSE,"Stoneridge Apartments"}</definedName>
    <definedName name="wrn.Relevant._.Sections." localSheetId="2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" localSheetId="0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1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2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3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4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SHEETS." hidden="1">{#N/A,#N/A,FALSE,"AD_Purch";#N/A,#N/A,FALSE,"Projections";#N/A,#N/A,FALSE,"DCF";#N/A,#N/A,FALSE,"Mkt Val"}</definedName>
    <definedName name="wrn.Remaining._.Obligation." hidden="1">{#N/A,#N/A,FALSE,"Summary (Oblg)";#N/A,#N/A,FALSE,"41 Mad (27&amp;28)";#N/A,#N/A,FALSE,"41 Mad (29-1)";#N/A,#N/A,FALSE,"41 Mad (29-2A)";#N/A,#N/A,FALSE,"41 Mad (29-2B)";#N/A,#N/A,FALSE,"41 Mad (30)";#N/A,#N/A,FALSE,"41 Mad (42)"}</definedName>
    <definedName name="wrn.Renovation." hidden="1">{#N/A,#N/A,FALSE,"loan analysis";#N/A,#N/A,FALSE,"Draw Schedule";#N/A,#N/A,FALSE,"Cost";#N/A,#N/A,FALSE,"unit mix";#N/A,#N/A,FALSE,"proforma";#N/A,#N/A,FALSE,"Spread";#N/A,#N/A,FALSE,"Assumptions";#N/A,#N/A,FALSE,"Summary"}</definedName>
    <definedName name="wrn.Rent._.Assumptions." hidden="1">{"Rent_Assumptions",#N/A,FALSE,"Sheet1"}</definedName>
    <definedName name="wrn.Rent._.Changes._.Per._.Unit." hidden="1">{"Rent_ChangesPerUnit",#N/A,FALSE,"Sheet1"}</definedName>
    <definedName name="wrn.Rent._.Changes._.Total." hidden="1">{"Rent_ChangesTotal",#N/A,FALSE,"Sheet1"}</definedName>
    <definedName name="wrn.Rent._.Roll." hidden="1">{#N/A,#N/A,FALSE,"Rent Roll"}</definedName>
    <definedName name="wrn.Rent._.Totals." hidden="1">{"Rent_Totals",#N/A,FALSE,"Sheet1"}</definedName>
    <definedName name="wrn.Rental._.Scenario." hidden="1">{#N/A,#N/A,TRUE,"Summary";#N/A,#N/A,TRUE,"Rental Summary";#N/A,#N/A,TRUE,"Budget";#N/A,#N/A,TRUE,"Assumptions";#N/A,#N/A,TRUE,"Financing"}</definedName>
    <definedName name="wrn.RentRoll." hidden="1">{"CurrentRentRoll",#N/A,FALSE,"Graph &amp; Rent Roll"}</definedName>
    <definedName name="wrn.Repayments." hidden="1">{"One",#N/A,FALSE,"Repayments";"Two",#N/A,FALSE,"Repayments"}</definedName>
    <definedName name="wrn.report" hidden="1">{#N/A,#N/A,FALSE,"Loan Summary";#N/A,#N/A,FALSE,"NOI";"RR and Expir",#N/A,FALSE,"Rental";"Sales History",#N/A,FALSE,"Rental";#N/A,#N/A,FALSE,"Reserves"}</definedName>
    <definedName name="wrn.REPORT_1." localSheetId="2" hidden="1">{"SIMPLIFD_P1",#N/A,FALSE,"SIMPLIFD"}</definedName>
    <definedName name="wrn.REPORT_1." localSheetId="0" hidden="1">{"SIMPLIFD_P1",#N/A,FALSE,"SIMPLIFD"}</definedName>
    <definedName name="wrn.REPORT_1." hidden="1">{"SIMPLIFD_P1",#N/A,FALSE,"SIMPLIFD"}</definedName>
    <definedName name="wrn.REPORT_1._1" hidden="1">{"SIMPLIFD_P1",#N/A,FALSE,"SIMPLIFD"}</definedName>
    <definedName name="wrn.REPORT_1._2" hidden="1">{"SIMPLIFD_P1",#N/A,FALSE,"SIMPLIFD"}</definedName>
    <definedName name="wrn.REPORT_1._3" hidden="1">{"SIMPLIFD_P1",#N/A,FALSE,"SIMPLIFD"}</definedName>
    <definedName name="wrn.REPORT_1._4" hidden="1">{"SIMPLIFD_P1",#N/A,FALSE,"SIMPLIFD"}</definedName>
    <definedName name="wrn.Report." localSheetId="2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localSheetId="0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FOR._.CCA." hidden="1">{"CCA",#N/A,FALSE,"INPUT";"Pricing","CCA",FALSE,"Pricing";"Rent","CCA",FALSE,"Rent,Exp";"Fund Flow",#N/A,FALSE,"Fund Flow"}</definedName>
    <definedName name="wrn.REPORT._.FOR._.FA." hidden="1">{"Report for FA","FA",FALSE,"Benefits"}</definedName>
    <definedName name="wrn.REPORT._.FOR._.LUS." hidden="1">{#N/A,#N/A,FALSE,"LeaseData";"Rent",#N/A,FALSE,"Rent,Exp"}</definedName>
    <definedName name="wrn.Report._.I." hidden="1">{#N/A,#N/A,FALSE,"Assumptions";#N/A,#N/A,FALSE,"Promote Assumptions";#N/A,#N/A,FALSE,"Residual Analysis";#N/A,#N/A,FALSE,"ROC";#N/A,#N/A,FALSE,"Project Costs";#N/A,#N/A,FALSE,"Annual CF";#N/A,#N/A,FALSE,"Stab Proforma"}</definedName>
    <definedName name="wrn.Report._.Package." hidden="1">{#N/A,#N/A,FALSE,"RESIDENTIAL";#N/A,#N/A,FALSE,"DEVMT_is";#N/A,#N/A,FALSE,"DEVELOPMENT";#N/A,#N/A,FALSE,"CAPITALIZED"}</definedName>
    <definedName name="wrn.Report._.Tables.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._1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2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3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4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Irr" hidden="1">{#N/A,#N/A,FALSE,"Loan Summary";#N/A,#N/A,FALSE,"NOI";"RR and Expir",#N/A,FALSE,"Rental";"Sales History",#N/A,FALSE,"Rental";#N/A,#N/A,FALSE,"Reserves"}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2" hidden="1">{#N/A,#N/A,FALSE,"Loan Summary";#N/A,#N/A,FALSE,"NOI";"RR and Expir",#N/A,FALSE,"Rental";"Sales History",#N/A,FALSE,"Rental";#N/A,#N/A,FALSE,"Reserves"}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hidden="1">{#N/A,#N/A,FALSE,"Project Summary";#N/A,#N/A,FALSE,"Parameter Summary";#N/A,#N/A,FALSE,"Budget Control Report";#N/A,#N/A,FALSE,"DETAIL.XLS"}</definedName>
    <definedName name="wrn.Residential." hidden="1">{"ResSum1",#N/A,TRUE,"Ent &amp; Inf";"ResSum2",#N/A,TRUE,"Ent &amp; Inf";"ResCF1",#N/A,TRUE,"Ent &amp; Inf";"Res Monthly CF1",#N/A,TRUE,"Ent &amp; Inf";"Res MonthlyCF2",#N/A,TRUE,"Ent &amp; Inf"}</definedName>
    <definedName name="wrn.Residential._.Summary." hidden="1">{"Residential Summary",#N/A,TRUE,"Summary";"Residential Budget",#N/A,TRUE,"Summary";"Residential Cash Flow",#N/A,TRUE,"Summary";"Residential Project Costs",#N/A,TRUE,"Summary"}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tail." hidden="1">{"DSSum1",#N/A,TRUE,"Ent &amp; Inf";"DSSum2",#N/A,TRUE,"Ent &amp; Inf";"DSSales",#N/A,TRUE,"Ent &amp; Inf";"DSDebt",#N/A,TRUE,"Ent &amp; Inf";"DS Monthly CF1",#N/A,TRUE,"Ent &amp; Inf";"DS MonthlyCF2",#N/A,TRUE,"Ent &amp; Inf";"DS MonthlyCF3",#N/A,TRUE,"Ent &amp; Inf"}</definedName>
    <definedName name="wrn.Retail._.Summary." hidden="1">{"Retail Summary",#N/A,TRUE,"Summary";"Retail Development Budget",#N/A,TRUE,"Summary";"Retail Cash Flow",#N/A,TRUE,"Summary";"Retail Development Costs and NOI",#N/A,TRUE,"Summary";"Retail Detailed Project Costs",#N/A,TRUE,"Summary"}</definedName>
    <definedName name="wrn.Review._.Area._.Report._.2._.Areas." hidden="1">{"Line Item Estimate - Review Area 2 View",#N/A,FALSE,"Line Item Estimate";"Line Item Estimate - Review Area 1 View",#N/A,FALSE,"Line Item Estimate";"Line Item Estimate - Review Total View",#N/A,FALSE,"Line Item Estimate"}</definedName>
    <definedName name="wrn.Review._.Area._.Report._.3._.Areas." hidden="1">{"Line Item Estimate - Review Area 1 View",#N/A,FALSE,"Line Item Estimate";"Line Item Estimate - Review Area 2 View",#N/A,FALSE,"Line Item Estimate";"Line Item Estimate - Review Area 3 View",#N/A,FALSE,"Line Item Estimate";"Line Item Estimate - Review Total View",#N/A,FALSE,"Line Item Estimate"}</definedName>
    <definedName name="wrn.Review._.Area._.Report._.4._.Areas." hidden="1">{"Line Item Estimate - Review Area 1 View",#N/A,FALSE,"Line Item Estimate";"Line Item Estimate - Review Area 2 View",#N/A,FALSE,"Line Item Estimate";"Line Item Estimate - Review Area 3 View",#N/A,FALSE,"Line Item Estimate";"Line Item Estimate - Review Area 4 View",#N/A,FALSE,"Line Item Estimate";"Line Item Estimate - Review Total View",#N/A,FALSE,"Line Item Estimate"}</definedName>
    <definedName name="wrn.Review._.Area._.Report._.5._.Areas." hidden="1">{"Line Item Estimate - Review Area 1 View",#N/A,FALSE,"Line Item Estimate";"Line Item Estimate - Review Area 2 View",#N/A,FALSE,"Line Item Estimate";"Line Item Estimate - Review Area 3 View",#N/A,FALSE,"Line Item Estimate";"Line Item Estimate - Review Area 4 View",#N/A,FALSE,"Line Item Estimate";"Line Item Estimate - Review Area 5 View",#N/A,FALSE,"Line Item Estimate";"Line Item Estimate - Review Total View",#N/A,FALSE,"Line Item Estimate"}</definedName>
    <definedName name="wrn.Review._.File." hidden="1">{"Venture Summary",#N/A,FALSE,"Summary";"Operating Assumptions",#N/A,FALSE,"Summary";"Development Budget",#N/A,FALSE,"Summary";"Annual",#N/A,FALSE,"Annual";"DevPF",#N/A,FALSE,"DevPF"}</definedName>
    <definedName name="wrn.Review._.Total._.Report." hidden="1">{"Line Item Estimate - Review Total View",#N/A,FALSE,"Line Item Estimate"}</definedName>
    <definedName name="wrn.RFP." hidden="1">{"RFP 1",#N/A,FALSE,"Summary (RFP)";"RFP 2",#N/A,FALSE,"Summary (RFP)";"RFP 3",#N/A,FALSE,"Summary (RFP)";"RFP 4",#N/A,FALSE,"Summary (RFP)";"RFP 5",#N/A,FALSE,"Summary (RFP)";"RFP 6",#N/A,FALSE,"Budget"}</definedName>
    <definedName name="wrn.Rmgmtfee." hidden="1">{#N/A,#N/A,FALSE,"Rmgmtfee"}</definedName>
    <definedName name="wrn.Roll_Out." hidden="1">{"One",#N/A,FALSE,"Roll-out";"Two",#N/A,FALSE,"Roll-out";"Three",#N/A,FALSE,"Roll-out";"Four",#N/A,FALSE,"Roll-out";"Five",#N/A,FALSE,"Roll-out"}</definedName>
    <definedName name="wrn.Roll._.Up._.Fields." hidden="1">{"Total",#N/A,FALSE,"Six Fields";"PDP",#N/A,FALSE,"Six Fields";"PNP",#N/A,FALSE,"Six Fields";"PUD",#N/A,FALSE,"Six Fields";"Prob",#N/A,FALSE,"Six Fields"}</definedName>
    <definedName name="wrn.rollup." hidden="1">{"page1",#N/A,FALSE,"rollup"}</definedName>
    <definedName name="wrn.Roof._.Report." hidden="1">{"Roofs Page 1",#N/A,FALSE,"Roof Outline";"Roofs Page 2",#N/A,FALSE,"Roof Outline"}</definedName>
    <definedName name="wrn.rpt96." hidden="1">{"rmrev1",#N/A,FALSE,"Forecast96";"rmrev2",#N/A,FALSE,"Forecast96";"rmrev3",#N/A,FALSE,"Forecast96"}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V._.SAR." hidden="1">{#N/A,#N/A,FALSE,"COVER";#N/A,#N/A,FALSE,"WEEKLY SUMMARY";"RiverView I",#N/A,FALSE,"EAST TOWER";#N/A,#N/A,FALSE,"WEST TOWER";"Parking",#N/A,FALSE,"EAST TOWER"}</definedName>
    <definedName name="wrn.sales." hidden="1">{"sales",#N/A,FALSE,"Sales";"sales existing",#N/A,FALSE,"Sales";"sales rd1",#N/A,FALSE,"Sales";"sales rd2",#N/A,FALSE,"Sales"}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MPLE." hidden="1">{"JPM1",#N/A,FALSE,"TI_All Projects"}</definedName>
    <definedName name="wrn.Savannah._.Place." hidden="1">{#N/A,#N/A,FALSE,"Investment Analysis ";#N/A,#N/A,FALSE,"Savannah Place"}</definedName>
    <definedName name="wrn.SB_PRES." hidden="1">{#N/A,#N/A,TRUE,"Sheet16"}</definedName>
    <definedName name="wrn.SBU._.STEERIN." hidden="1">{"TOTALS",#N/A,FALSE,"Consolidating Income Statement";"MONTHS",#N/A,FALSE,"Ag";"QTRS",#N/A,FALSE,"Ag";"MONTHS",#N/A,FALSE,"Turf";"QTRS",#N/A,FALSE,"Turf";"MONTHS",#N/A,FALSE,"Industrial";"QTRS",#N/A,FALSE,"Industrial";"MONTHS",#N/A,FALSE,"Parts";"QTRS",#N/A,FALSE,"Parts"}</definedName>
    <definedName name="wrn.Scenario." hidden="1">{"scen1",#N/A,FALSE,"Scenarios";"scen2",#N/A,FALSE,"Scenarios"}</definedName>
    <definedName name="wrn.Scenario._.Summary._.Comparisons." hidden="1">{#N/A,"Rolling Option",FALSE,"Scenario Variable Cells";"Legal Internal",#N/A,FALSE,"Cash Flow Proforma";#N/A,"Pad &amp; Roll",FALSE,"Scenario Variable Cells";"Legal Internal",#N/A,FALSE,"Cash Flow Proforma";#N/A,"SuperPads",FALSE,"Scenario Variable Cells";"Legal Internal",#N/A,FALSE,"Cash Flow Proforma";#N/A,"Finished",FALSE,"Scenario Variable Cells";"Legal Internal",#N/A,FALSE,"Cash Flow Proforma"}</definedName>
    <definedName name="wrn.SCHAs.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" hidden="1">{"SCHEDULE",#N/A,FALSE,"Fin_sched"}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." hidden="1">{"SCHEDULE",#N/A,FALSE,"Fin_sched"}</definedName>
    <definedName name="wrn.Schedule._.A." hidden="1">{"Schedule A",#N/A,FALSE,"Schedule A"}</definedName>
    <definedName name="wrn.Schedule._.B." hidden="1">{"Schedule B",#N/A,FALSE,"Schedule B"}</definedName>
    <definedName name="wrn.Schedule._.C." hidden="1">{"Schedule C",#N/A,FALSE,"Schedule C"}</definedName>
    <definedName name="wrn.Schedule._.D." hidden="1">{"Schedule D",#N/A,FALSE,"Schedule C-D"}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A." hidden="1">{"scheduleA",#N/A,FALSE,"CTT_CLO"}</definedName>
    <definedName name="wrn.scheduleB." hidden="1">{"scheduleB",#N/A,FALSE,"CTT_CLO"}</definedName>
    <definedName name="wrn.scheduleEF." hidden="1">{"scheduleEF",#N/A,FALSE,"CTT_CLO"}</definedName>
    <definedName name="wrn.scheduleF." hidden="1">{"scheduleF",#N/A,FALSE,"CTT_CLO"}</definedName>
    <definedName name="wrn.schedules." localSheetId="2" hidden="1">{"schedule1",#N/A,FALSE,"Sheet1";"schedule2",#N/A,FALSE,"Sheet1";"schedule3",#N/A,FALSE,"Sheet1";"schedule4",#N/A,FALSE,"Sheet1";"schedule5",#N/A,FALSE,"Sheet1";"schedule6",#N/A,FALSE,"Sheet1"}</definedName>
    <definedName name="wrn.schedules." localSheetId="0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chedules._1" hidden="1">{"schedule1",#N/A,FALSE,"Sheet1";"schedule2",#N/A,FALSE,"Sheet1";"schedule3",#N/A,FALSE,"Sheet1";"schedule4",#N/A,FALSE,"Sheet1";"schedule5",#N/A,FALSE,"Sheet1";"schedule6",#N/A,FALSE,"Sheet1"}</definedName>
    <definedName name="wrn.schedules._2" hidden="1">{"schedule1",#N/A,FALSE,"Sheet1";"schedule2",#N/A,FALSE,"Sheet1";"schedule3",#N/A,FALSE,"Sheet1";"schedule4",#N/A,FALSE,"Sheet1";"schedule5",#N/A,FALSE,"Sheet1";"schedule6",#N/A,FALSE,"Sheet1"}</definedName>
    <definedName name="wrn.schedules._3" hidden="1">{"schedule1",#N/A,FALSE,"Sheet1";"schedule2",#N/A,FALSE,"Sheet1";"schedule3",#N/A,FALSE,"Sheet1";"schedule4",#N/A,FALSE,"Sheet1";"schedule5",#N/A,FALSE,"Sheet1";"schedule6",#N/A,FALSE,"Sheet1"}</definedName>
    <definedName name="wrn.schedules._4" hidden="1">{"schedule1",#N/A,FALSE,"Sheet1";"schedule2",#N/A,FALSE,"Sheet1";"schedule3",#N/A,FALSE,"Sheet1";"schedule4",#N/A,FALSE,"Sheet1";"schedule5",#N/A,FALSE,"Sheet1";"schedule6",#N/A,FALSE,"Sheet1"}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ondary._.Competition." hidden="1">{#N/A,#N/A,FALSE,"Secondary"}</definedName>
    <definedName name="wrn.Sensitivities." hidden="1">{"Sensitivities",#N/A,FALSE,"Consolidated"}</definedName>
    <definedName name="wrn.Sensitivity." hidden="1">{"sen cf",#N/A,FALSE,"MODEL";"sen earn",#N/A,FALSE,"MODEL";"sen debt",#N/A,FALSE,"MODEL";"sen nav",#N/A,FALSE,"MODEL"}</definedName>
    <definedName name="wrn.Sep._.Forecast." hidden="1">{"Sep",#N/A,FALSE,"Manager Report"}</definedName>
    <definedName name="wrn.Seperate._.Account._.1." hidden="1">{"S/A1 Assumptions",#N/A,TRUE,"SA1 Quarterly";"S/A1 Annual",#N/A,TRUE,"SA1 Quarterly";"S/A1 Quarterly",#N/A,TRUE,"SA1 Quarterly"}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eet._.Rock." hidden="1">{"Sheet Rock MIR Fund Structure",#N/A,FALSE,"Sheet Rock Summary";"Sheet Rock Summary",#N/A,FALSE,"Sheet Rock Summary";"Sheet Rock Assumptions",#N/A,FALSE,"Sheet Rock Summary"}</definedName>
    <definedName name="wrn.Short." hidden="1">{#N/A,#N/A,FALSE,"ExecutiveSummary";#N/A,#N/A,FALSE,"CostDetail";#N/A,#N/A,FALSE,"IncomeDetail"}</definedName>
    <definedName name="wrn.Short._.Print." hidden="1">{#N/A,#N/A,FALSE,"Cover";#N/A,#N/A,FALSE,"Stack";#N/A,#N/A,FALSE,"Cost S";#N/A,#N/A,FALSE," CF";#N/A,#N/A,FALSE,"Investor"}</definedName>
    <definedName name="wrn.Side._.by._.Side." hidden="1">{"Side 99",#N/A,FALSE,"S&amp;U Side by Side"}</definedName>
    <definedName name="wrn.Site._.Development._.Package." hidden="1">{#N/A,#N/A,TRUE,"Site Dev P1";#N/A,#N/A,TRUE,"SD P2";#N/A,#N/A,TRUE,"SD P3"}</definedName>
    <definedName name="wrn.sitq." hidden="1">{#N/A,#N/A,FALSE,"Title Page - Sitq";#N/A,#N/A,FALSE,"Index - Sitq";#N/A,#N/A,FALSE,"Stmt of Income";#N/A,#N/A,FALSE,"Balance Sheet - Audit Comm";#N/A,#N/A,FALSE,"Stmt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Debt";#N/A,#N/A,FALSE,"Mortgage Bonds";#N/A,#N/A,FALSE,"Bank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wrn.SITQ._.Net._.Income._.Adjustment." hidden="1">{"SITQ view of BCLP 4 months income statement",#N/A,TRUE,"BCLP 4 MO IS";#N/A,#N/A,TRUE,"Comparison to March Fcst";#N/A,#N/A,TRUE,"BCLP Forecast"}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uthTrust." hidden="1">{"SouthTrust-Investor",#N/A,FALSE,"SouthTrust";"SouthTrust-Property",#N/A,FALSE,"SouthTrust"}</definedName>
    <definedName name="wrn.Special._.Project." hidden="1">{#N/A,#N/A,TRUE,"Cedar Branch Apartments";#N/A,#N/A,TRUE,"Creekbend Apartments";#N/A,#N/A,TRUE,"Heatherwood Apartments";#N/A,#N/A,TRUE,"Rockport Apartments";#N/A,#N/A,TRUE,"Sale on 30-Sep-96";#N/A,#N/A,TRUE,"Sale on 30-Sep-97";#N/A,#N/A,TRUE,"Sale on 30-Sep-98"}</definedName>
    <definedName name="wrn.SPG._.Estimate." hidden="1">{#N/A,#N/A,FALSE,"Detail";#N/A,#N/A,FALSE,"Totals"}</definedName>
    <definedName name="wrn.Spread._.Sheet." hidden="1">{#N/A,#N/A,FALSE,"spread"}</definedName>
    <definedName name="wrn.Spreadsheet." hidden="1">{"Spreadsheet",#N/A,FALSE,"Spreadsheet"}</definedName>
    <definedName name="wrn.Stadium._.PCD." hidden="1">{#N/A,#N/A,TRUE,"Ericsson Stadium PCD ";#N/A,#N/A,TRUE,"Ericsson Stadium IOR"}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andard._.Report." hidden="1">{#N/A,#N/A,FALSE,"Summary";#N/A,#N/A,FALSE,"Construction";#N/A,#N/A,FALSE,"Cash Flow"}</definedName>
    <definedName name="wrn.Standard._.Reports." hidden="1">{"Const_Monthly",#N/A,FALSE,"Construction";"Construction_Summary",#N/A,FALSE,"Construction";"Cash_Flow",#N/A,FALSE,"Cash Flow";"Summary",#N/A,FALSE,"Summary";"Finsumm",#N/A,FALSE,"Summary Analysis";"Loanrecap",#N/A,FALSE,"Construction"}</definedName>
    <definedName name="wrn.Standard._1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2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3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1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2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re._.cash._.flows." hidden="1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trengths._.Weaknesses." hidden="1">{#N/A,#N/A,FALSE,"Strengths &amp; Weaknesses"}</definedName>
    <definedName name="wrn.Structural._.Frame." hidden="1">{"structural",#N/A,FALSE,"DETAIL.XLS"}</definedName>
    <definedName name="wrn.Submittal._.Reconciliation._.Schedule." hidden="1">{"Submittable Reconciliation Schedule",#N/A,FALSE,"Reconciliation";"GSCP2 PCS 30 Day",#N/A,FALSE,"GSCP2 PCS 30 Day Activity List"}</definedName>
    <definedName name="wrn.Sugar." hidden="1">{"Sugar-Investor",#N/A,FALSE,"Sugar";"Sugar-Property",#N/A,FALSE,"Sugar"}</definedName>
    <definedName name="wrn.SUM._.ONLY." hidden="1">{"SUMMARY",#N/A,FALSE,"BIDSUM"}</definedName>
    <definedName name="wrn.SUM._.WITH._.GC." hidden="1">{"SUMMARY",#N/A,FALSE,"BIDSUM";"SUMALTS",#N/A,FALSE,"BIDSUM";#N/A,#N/A,FALSE,"GCOND"}</definedName>
    <definedName name="wrn.Summaries." hidden="1">{#N/A,#N/A,FALSE,"Summaries &amp; NOI Compare";#N/A,#N/A,FALSE,"Consolidate Portfolio";#N/A,#N/A,FALSE,"Consolidate TERA";#N/A,#N/A,FALSE,"Consolidate II";#N/A,#N/A,FALSE,"Consolidate IV";#N/A,#N/A,FALSE,"Consolidate II &amp; IV";#N/A,#N/A,FALSE,"Consolidate V";#N/A,#N/A,FALSE,"2001 PortSum";#N/A,#N/A,FALSE,"2001 Summary";#N/A,#N/A,FALSE,"2002 PortSum";#N/A,#N/A,FALSE,"2002 Summary";#N/A,#N/A,FALSE,"2003 PortSum";#N/A,#N/A,FALSE,"2003 Summary";#N/A,#N/A,FALSE,"2004 Budg PortSum";#N/A,#N/A,FALSE,"2004 Budg Summ";#N/A,#N/A,FALSE,"Econ Occupancy"}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." localSheetId="2" hidden="1">{#N/A,#N/A,FALSE,"Summary"}</definedName>
    <definedName name="wrn.Summary." localSheetId="0" hidden="1">{#N/A,#N/A,FALSE,"Summary"}</definedName>
    <definedName name="wrn.Summary." hidden="1">{#N/A,#N/A,FALSE,"Summary"}</definedName>
    <definedName name="wrn.Summary._._NEW." hidden="1">{"Summary1",#N/A,FALSE,"Summary";"Land Dev. Budget",#N/A,FALSE,"Summary";"Program1",#N/A,FALSE,"Summary";"Summary1",#N/A,FALSE,"Office &amp; Retail-Summary";"Residential Summary",#N/A,FALSE,"Summary";"Project CF - Annual New",#N/A,FALSE,"Summary";"Debt - Annual New",#N/A,FALSE,"Summary";"Project Revenues - Annual - New",#N/A,FALSE,"Summary";"Infrastructure Budget - Annual",#N/A,FALSE,"Infrastructure Budget"}</definedName>
    <definedName name="wrn.Summary._.and._.Budget." hidden="1">{#N/A,#N/A,TRUE,"Summary";#N/A,#N/A,TRUE,"Budget"}</definedName>
    <definedName name="wrn.Summary._.Budget._.Assumptions." hidden="1">{#N/A,#N/A,TRUE,"Summary";#N/A,#N/A,TRUE,"Budget";#N/A,#N/A,TRUE,"Assumptions"}</definedName>
    <definedName name="wrn.Summary._.Budget._.Stack._.Assumptions." hidden="1">{#N/A,#N/A,TRUE,"Summary";#N/A,#N/A,TRUE,"Budget";#N/A,#N/A,TRUE,"Stack";#N/A,#N/A,TRUE,"Assumptions"}</definedName>
    <definedName name="wrn.Summary._.ComboBiz." hidden="1">{"EnterpriseValue",#N/A,TRUE,"Total EV";"CombinedBiz CF",#N/A,TRUE,"Combined Biz CF";"Overhead&amp;Expenses",#N/A,TRUE,"Full Budget";"StaffingBudget",#N/A,TRUE,"Staff"}</definedName>
    <definedName name="wrn.Summary._.Excluding._.DHC." hidden="1">{"Summary Excluding DHC",#N/A,FALSE,"SUMMARY"}</definedName>
    <definedName name="wrn.Summary._.incl._.Monthly._.CF." hidden="1">{"Summary1",#N/A,FALSE,"Summary";"Land Dev. Budget",#N/A,FALSE,"Summary";"Program1",#N/A,FALSE,"Summary";"SumCF 1",#N/A,FALSE,"Summary";"SumCF 2",#N/A,FALSE,"Summary";"VentureMonthlyCF",#N/A,FALSE,"Monthly Cash Flow";"VentureMonthlyCF2",#N/A,FALSE,"Monthly Cash Flow";"VentureMonthlyCF3",#N/A,FALSE,"Monthly Cash Flow";"Debt Summary",#N/A,FALSE,"Summary";"DebtMonthlyCF1",#N/A,FALSE,"Monthly Cash Flow";"DebtMonthlyCF2",#N/A,FALSE,"Monthly Cash Flow";"DebtMonthlyCF3",#N/A,FALSE,"Monthly Cash Flow";"Residential Summary",#N/A,FALSE,"Summary";"Res Neighborhood Monthly CF",#N/A,FALSE,"Residential - Monthly";"Office &amp; Retail Dev. Schedule",#N/A,FALSE,"Summary";"Office &amp; Retail CF",#N/A,FALSE,"Summary";"Office &amp; Retail Monthly1",#N/A,FALSE,"Summary";"Office &amp; Retail Monthly2",#N/A,FALSE,"Summary";"Office &amp; Retail Monthly3",#N/A,FALSE,"Summary";"Timeline",#N/A,FALSE,"Summary";"Res Constr &amp; Sales Timeline",#N/A,FALSE,"Summary";"Loan Timeline",#N/A,FALSE,"Summary"}</definedName>
    <definedName name="wrn.Summary._.Including._.DHC." hidden="1">{"Summary Including DHC",#N/A,FALSE,"SUMMARY"}</definedName>
    <definedName name="wrn.Summary._.New." hidden="1">{"Venture Summary",#N/A,FALSE,"Summary";"Annual Cash Flows",#N/A,FALSE,"Summary";"Development Budget",#N/A,FALSE,"Summary";"Argus Assumptions",#N/A,FALSE,"Argus Assumptions";"Development Budget Detail",#N/A,FALSE,"Dev PF"}</definedName>
    <definedName name="wrn.Summary._.No._.Footer." hidden="1">{"Budget No Footer",#N/A,FALSE,"Budget";"Assumptions No Footer",#N/A,FALSE,"Assumptions";"Pro Forma No Footer",#N/A,FALSE,"Pro Forma";"Investment No Footer",#N/A,FALSE,"Investment"}</definedName>
    <definedName name="wrn.Summary._.Overview." hidden="1">{#N/A,#N/A,FALSE,"OVERVIEW"}</definedName>
    <definedName name="wrn.Summary._.Pages." hidden="1">{"Summary",#N/A,TRUE,"Summary";"Venture Cash Flow",#N/A,TRUE,"Summary";"Venture Costs &amp; Income Summary",#N/A,TRUE,"Summary";"Timeline",#N/A,TRUE,"Summary";"Development Budget",#N/A,TRUE,"Summary"}</definedName>
    <definedName name="wrn.Summary._.Print." hidden="1">{"Summary",#N/A,FALSE,"Mkt Summary";"Development Budget",#N/A,FALSE,"Mkt Summary";"Sensitivity Tables",#N/A,FALSE,"Mkt Summary";"Mkt Rent Detail",#N/A,FALSE,"Mkt Rent&amp;Exp";"Mkt Expense Detail",#N/A,FALSE,"Mkt Rent&amp;Exp";"Operating Assumptions",#N/A,FALSE,"Mkt Rent&amp;Exp";"Mkt DevPF",#N/A,FALSE,"Mkt DevPF";"Mkt Annual - New",#N/A,FALSE,"Mkt Annual"}</definedName>
    <definedName name="wrn.Summary._.Schedule." hidden="1">{#N/A,#N/A,FALSE,"Smry1";#N/A,#N/A,FALSE,"Smry2";#N/A,#N/A,FALSE,"Finance Cash Flow"}</definedName>
    <definedName name="wrn.Summary._.Schedules." hidden="1">{"Budget",#N/A,FALSE,"Budget";"Assumptions",#N/A,FALSE,"Assumptions";"Financing",#N/A,FALSE,"Financing";"Pro Forma",#N/A,FALSE,"Pro Forma";"Project Returns",#N/A,FALSE,"Pro Forma";"Investment",#N/A,FALSE,"Investment"}</definedName>
    <definedName name="wrn.Summary._.w._.Quarterly." hidden="1">{"Summary Page 1",#N/A,TRUE,"Assumptions";"Annual Page 1",#N/A,TRUE,"Assumptions";"Annual Page 2",#N/A,TRUE,"Assumptions";"Annual Page 3",#N/A,TRUE,"Assumptions";"Annual Page 4",#N/A,TRUE,"Assumptions";"Annual Page 5",#N/A,TRUE,"Assumptions";"Annual Page 6",#N/A,TRUE,"Assumptions";"Quarterly PAge 1",#N/A,TRUE,"Assumptions";"Quarterly PAge 2",#N/A,TRUE,"Assumptions";"Quarterly Page 3",#N/A,TRUE,"Assumptions";"Quarterly Page 4",#N/A,TRUE,"Assumptions";"Quarterly Page 5",#N/A,TRUE,"Assumptions";"Quarterly Page 6",#N/A,TRUE,"Assumptions";"Quarterly Page 7",#N/A,TRUE,"Assumptions";"Quarterly Page 8",#N/A,TRUE,"Assumptions"}</definedName>
    <definedName name="wrn.Summary._.with._.Page._.Number." hidden="1">{"Budget with page #",#N/A,FALSE,"Budget";"Assumptions with page #",#N/A,FALSE,"Assumptions";"Financing with page #",#N/A,FALSE,"Financing";"Pro Forma with page #",#N/A,FALSE,"Pro Forma";"Project Returns with page #",#N/A,FALSE,"Pro Forma"}</definedName>
    <definedName name="wrn.Summary._1" hidden="1">{#N/A,#N/A,FALSE,"Summary"}</definedName>
    <definedName name="wrn.Summary._2" hidden="1">{#N/A,#N/A,FALSE,"Summary"}</definedName>
    <definedName name="wrn.Summary._3" hidden="1">{#N/A,#N/A,FALSE,"Summary"}</definedName>
    <definedName name="wrn.Summary._4" hidden="1">{#N/A,#N/A,FALSE,"Summary"}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SPREAD." hidden="1">{#N/A,#N/A,FALSE,"Master Summary";#N/A,#N/A,FALSE,"30 Irving Pl - Rem Obl";#N/A,#N/A,FALSE,"30 Irving Pl - Sublease";#N/A,#N/A,FALSE,"597 Fifth"}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Supplemental._.Pkg.." hidden="1">{#N/A,#N/A,FALSE,"Cover";#N/A,#N/A,FALSE,"Index";#N/A,#N/A,FALSE,"Supp. A";#N/A,#N/A,FALSE,"Supp. B";#N/A,#N/A,FALSE,"Supp. C";#N/A,#N/A,FALSE,"Supp. D";#N/A,#N/A,FALSE,"Supp. E";#N/A,#N/A,FALSE,"Supp. F";#N/A,#N/A,FALSE,"Supp. G";#N/A,#N/A,FALSE,"Supp. H";#N/A,#N/A,FALSE,"Supp. I";#N/A,#N/A,FALSE,"Supp. J";#N/A,#N/A,FALSE,"Supp. K";#N/A,#N/A,FALSE,"Supp. L"}</definedName>
    <definedName name="wrn.Supplementary._.Info." hidden="1">{"Audit and Pension Costs",#N/A,FALSE,"Supp";"Interest Paid and Loans",#N/A,FALSE,"Supp";"Details of Assoc. Coys.",#N/A,FALSE,"Supp"}</definedName>
    <definedName name="wrn.Supply._.Additions." hidden="1">{#N/A,#N/A,FALSE,"Supply Addn"}</definedName>
    <definedName name="wrn.Support._.Data.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NASBOURNE._.ONLY." localSheetId="2" hidden="1">{#N/A,#N/A,FALSE,"Expense Comparison"}</definedName>
    <definedName name="wrn.TANASBOURNE._.ONLY." localSheetId="0" hidden="1">{#N/A,#N/A,FALSE,"Expense Comparison"}</definedName>
    <definedName name="wrn.TANASBOURNE._.ONLY." hidden="1">{#N/A,#N/A,FALSE,"Expense Comparison"}</definedName>
    <definedName name="wrn.TANASBOURNE._.ONLY._1" hidden="1">{#N/A,#N/A,FALSE,"Expense Comparison"}</definedName>
    <definedName name="wrn.TANASBOURNE._.ONLY._2" hidden="1">{#N/A,#N/A,FALSE,"Expense Comparison"}</definedName>
    <definedName name="wrn.TANASBOURNE._.ONLY._3" hidden="1">{#N/A,#N/A,FALSE,"Expense Comparison"}</definedName>
    <definedName name="wrn.TANASBOURNE._.ONLY._4" hidden="1">{#N/A,#N/A,FALSE,"Expense Comparison"}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Comparison." hidden="1">{"Target Comparison",#N/A,FALSE,"Summary"}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es." hidden="1">{"taxes",#N/A,FALSE,"CTT_CLO"}</definedName>
    <definedName name="wrn.Taxes._.Title._.Insurance." hidden="1">{#N/A,#N/A,FALSE,"Taxes, Insurance, Title"}</definedName>
    <definedName name="wrn.Tear._.Sheets." hidden="1">{#N/A,#N/A,FALSE,"ATW";#N/A,#N/A,FALSE,"DO";#N/A,#N/A,FALSE,"ESV";#N/A,#N/A,FALSE,"GLM";#N/A,#N/A,FALSE,"MRL";#N/A,#N/A,FALSE,"NE";#N/A,#N/A,FALSE,"PDE";#N/A,#N/A,FALSE,"FLC";#N/A,#N/A,FALSE,"RDC";#N/A,#N/A,FALSE,"SDC";#N/A,#N/A,FALSE,"RIG"}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hidden="1">{"test2",#N/A,TRUE,"Prices"}</definedName>
    <definedName name="wrn.test._1" hidden="1">{"coverpage",#N/A,TRUE,"Sheet1";"valuation",#N/A,TRUE,"Sheet1"}</definedName>
    <definedName name="wrn.test._2" hidden="1">{"coverpage",#N/A,TRUE,"Sheet1";"valuation",#N/A,TRUE,"Sheet1"}</definedName>
    <definedName name="wrn.test._3" hidden="1">{"coverpage",#N/A,TRUE,"Sheet1";"valuation",#N/A,TRUE,"Sheet1"}</definedName>
    <definedName name="wrn.TEST1." localSheetId="2" hidden="1">{"TEST1",#N/A,FALSE,"SIMPLIFD"}</definedName>
    <definedName name="wrn.TEST1." localSheetId="0" hidden="1">{"TEST1",#N/A,FALSE,"SIMPLIFD"}</definedName>
    <definedName name="wrn.TEST1." hidden="1">{"TEST1",#N/A,FALSE,"SIMPLIFD"}</definedName>
    <definedName name="wrn.TEST1._1" hidden="1">{"TEST1",#N/A,FALSE,"SIMPLIFD"}</definedName>
    <definedName name="wrn.TEST1._2" hidden="1">{"TEST1",#N/A,FALSE,"SIMPLIFD"}</definedName>
    <definedName name="wrn.TEST1._3" hidden="1">{"TEST1",#N/A,FALSE,"SIMPLIFD"}</definedName>
    <definedName name="wrn.TEST1._4" hidden="1">{"TEST1",#N/A,FALSE,"SIMPLIFD"}</definedName>
    <definedName name="wrn.Test2." hidden="1">{"CoverSheet 97",#N/A,TRUE,"97CoverPage";"CY 1997",#N/A,TRUE,"97TableOfContents";"CY 1997",#N/A,TRUE,"97CashFlowBeforeFinancing"}</definedName>
    <definedName name="wrn.Texas._.All.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wrn.TheWholeEnchilada." hidden="1">{"CSheet",#N/A,FALSE,"C";"SmCap",#N/A,FALSE,"VAL1";"GulfCoast",#N/A,FALSE,"VAL1";"nav",#N/A,FALSE,"NAV";"Summary",#N/A,FALSE,"NAV"}</definedName>
    <definedName name="wrn.THR._.Budget." hidden="1">{"7-Year Pro Forma",#N/A,FALSE,"Prof";"Statistics",#N/A,FALSE,"Stats"}</definedName>
    <definedName name="wrn.TICKSHEETS." hidden="1">{#N/A,#N/A,FALSE,"Unit &amp; Plot Summary";#N/A,#N/A,FALSE,"House - RG4";#N/A,#N/A,FALSE,"D";#N/A,#N/A,FALSE,"House - S";#N/A,#N/A,FALSE,"House -W";#N/A,#N/A,FALSE,"House -LA";#N/A,#N/A,FALSE,"LAE";#N/A,#N/A,FALSE,"A";#N/A,#N/A,FALSE,"AE";#N/A,#N/A,FALSE,"AG2";#N/A,#N/A,FALSE,"AEU"}</definedName>
    <definedName name="wrn.Timelines." hidden="1">{"Project TL",#N/A,FALSE,"Project Timeline";"Fin TL",#N/A,FALSE,"Financing Timeline"}</definedName>
    <definedName name="wrn.to._.print._.corp._.overhead._.report." hidden="1">{"corp profit summary",#N/A,TRUE,"CORPOPS";"corp - profit detailed",#N/A,TRUE,"CORPOPS";"Corp - Overhead detail",#N/A,TRUE,"CORPOPS";"int other - profit summary",#N/A,TRUE,"Internat - Other";"int other - profit detail",#N/A,TRUE,"Internat - Other";"int other - overhead detail",#N/A,TRUE,"Internat - Other";"Malaysia - profit summary",#N/A,TRUE,"Internat - Asia";"Malaysia - profit detailed",#N/A,TRUE,"Internat - Asia";"Malaysia - Overhead detail",#N/A,TRUE,"Internat - Asia"}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losing." hidden="1">{"page1",#N/A,FALSE,"CTT_CLO";"page2",#N/A,FALSE,"CTT_CLO";"schedules",#N/A,FALSE,"CTT_CLO";"scheduleA",#N/A,FALSE,"CTT_CLO";"scheduleBC",#N/A,FALSE,"CTT_CLO";"scheduleDE",#N/A,FALSE,"CTT_CLO";"scheduleF",#N/A,FALSE,"CTT_CLO"}</definedName>
    <definedName name="wrn.Total._.Model." hidden="1">{#N/A,#N/A,TRUE,"Comparison";#N/A,#N/A,TRUE,"toc";#N/A,#N/A,TRUE,"data1";#N/A,#N/A,TRUE,"financing";#N/A,#N/A,TRUE,"source";#N/A,#N/A,TRUE,"cash";#N/A,#N/A,TRUE,"tax";#N/A,#N/A,TRUE,"ln2";#N/A,#N/A,TRUE,"ln4";#N/A,#N/A,TRUE,"rep";#N/A,#N/A,TRUE,"opres";#N/A,#N/A,TRUE,"depr";#N/A,#N/A,TRUE,"funded";#N/A,#N/A,TRUE,"fedtc";#N/A,#N/A,TRUE,"statetc";#N/A,#N/A,TRUE,"mingain";#N/A,#N/A,TRUE,"mtdata1";#N/A,#N/A,TRUE,"base";#N/A,#N/A,TRUE,"mtsource";#N/A,#N/A,TRUE,"mtcash";#N/A,#N/A,TRUE,"mttax";#N/A,#N/A,TRUE,"mtben";#N/A,#N/A,TRUE,"sale";#N/A,#N/A,TRUE,"put";#N/A,#N/A,TRUE,"ResidualVal";#N/A,#N/A,TRUE,"tcamort";#N/A,#N/A,TRUE,"MT3%";#N/A,#N/A,TRUE,"Qirr";#N/A,#N/A,TRUE,"mingainMT";#N/A,#N/A,TRUE,"MTBalSheet";#N/A,#N/A,TRUE,"bstest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s." hidden="1">{"Total Conn",#N/A,FALSE,"Sun CT Properties";"Total Sun",#N/A,FALSE,"Sun Portfolio";"Total SNF",#N/A,FALSE,"Sun SNFs";"Total Hospitals",#N/A,FALSE,"Sun Hospitals";"Total Bev",#N/A,FALSE,"S01 Beverly";"Total S02",#N/A,FALSE,"S02 Boston";"Total S03",#N/A,FALSE,"S03 Bowling Green";"Total S04",#N/A,FALSE,"S04 Bradenton";"Total S05",#N/A,FALSE,"S05 Bristol";"Total S06",#N/A,FALSE,"S06 Brookline";"Total S07",#N/A,FALSE,"S07 Camden";"Total S08",#N/A,FALSE,"S08 Concord";"Total S09",#N/A,FALSE,"S09 South Conn";"Total S10",#N/A,FALSE,"S10 Danbury";"Total S11",#N/A,FALSE,"S11 Darien";"Total S12",#N/A,FALSE,"S12 Denver";"Total S13",#N/A,FALSE,"S13 East Longmeadow";"Total S14",#N/A,FALSE,"S14 Holyoke";"Total S15",#N/A,FALSE,"S15 Lexington";"Total S16",#N/A,FALSE,"S16 Lowell";"Total S17",#N/A,FALSE,"S17 Marlton";"Total S18",#N/A,FALSE,"S18 Milford";"Total S19",#N/A,FALSE,"S19 Millbury";"Total S20",#N/A,FALSE,"S20 Montgomery";"Total S21",#N/A,FALSE,"S21 New Bedford";"Total S22",#N/A,FALSE,"S22 Newington";"Total S23",#N/A,FALSE,"S23 Northshore";"Total S24",#N/A,FALSE,"S24 Northampton";"Total S25",#N/A,FALSE,"S25 Oradell";"Total S26",#N/A,FALSE,"S26 Peabody";"Total S27",#N/A,FALSE,"S27 Randolph";"Total S28",#N/A,FALSE,"S28 San Joaquin";"Total S29",#N/A,FALSE,"S29 Southbury";"Total S30",#N/A,FALSE,"S30 Stamford";"Total S31",#N/A,FALSE,"S31 Westport";"Total S32",#N/A,FALSE,"S32 Wethersfield";"Total S33",#N/A,FALSE,"S33 Weymouth";"Total S34",#N/A,FALSE,"S34 Wilmington Woods";"Total S35",#N/A,FALSE,"S35 Woodcrest";"Total S36",#N/A,FALSE,"S36 Cheshire";"Total S37",#N/A,FALSE,"S37 Kentfield";"Total S38",#N/A,FALSE,"S38 Newton"}</definedName>
    <definedName name="wrn.TownPoint." hidden="1">{"Townpoint-Investor",#N/A,FALSE,"TownPoint";"Townpoint-Property",#N/A,FALSE,"TownPoint"}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SO._.Model." hidden="1">{"01_Summary",#N/A,TRUE,"Summary";"02_Ssensitivity",#N/A,TRUE,"Summary";"03_Valuation Summary",#N/A,TRUE,"Summary";"04_Prime Plus",#N/A,TRUE,"Summary";"05_Empire Hawkeye",#N/A,TRUE,"Summary";"06_US REIT",#N/A,TRUE,"Summary";"07_US REIT 2",#N/A,TRUE,"Summary";"08_TSO",#N/A,TRUE,"Summary";"08_TSO 2",#N/A,TRUE,"Summary";"09_Madison",#N/A,TRUE,"Summary";"10_Madison2",#N/A,TRUE,"Summary";"Assumptions &amp; Input Panel",#N/A,TRUE,"Summary"}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con._.Model." localSheetId="2" hidden="1">{"rtn",#N/A,FALSE,"RTN";"tables",#N/A,FALSE,"RTN";"cf",#N/A,FALSE,"CF";"stats",#N/A,FALSE,"Stats";"prop",#N/A,FALSE,"Prop"}</definedName>
    <definedName name="wrn.Tycon._.Model." localSheetId="0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con._.Model._2" hidden="1">{"rtn",#N/A,FALSE,"RTN";"tables",#N/A,FALSE,"RTN";"cf",#N/A,FALSE,"CF";"stats",#N/A,FALSE,"Stats";"prop",#N/A,FALSE,"Prop"}</definedName>
    <definedName name="wrn.Tycon._.Model._3" hidden="1">{"rtn",#N/A,FALSE,"RTN";"tables",#N/A,FALSE,"RTN";"cf",#N/A,FALSE,"CF";"stats",#N/A,FALSE,"Stats";"prop",#N/A,FALSE,"Prop"}</definedName>
    <definedName name="wrn.Tycon._.Model._4" hidden="1">{"rtn",#N/A,FALSE,"RTN";"tables",#N/A,FALSE,"RTN";"cf",#N/A,FALSE,"CF";"stats",#N/A,FALSE,"Stats";"prop",#N/A,FALSE,"Prop"}</definedName>
    <definedName name="wrn.Underwriting." hidden="1">{#N/A,#N/A,FALSE,"proforma";#N/A,#N/A,FALSE,"loananalysis";#N/A,#N/A,FALSE,"unitmix"}</definedName>
    <definedName name="wrn.Underwriting._.Analysis." hidden="1">{#N/A,#N/A,FALSE,"Underwriting Analysis"}</definedName>
    <definedName name="wrn.Unit._.Information." hidden="1">{#N/A,#N/A,FALSE,"Unit Info";#N/A,#N/A,FALSE,"Unit Info"}</definedName>
    <definedName name="wrn.Univ.._.Office._.Plaza." hidden="1">{"Summary",#N/A,TRUE,"Univ. Office Plaza";"Sensitivity",#N/A,TRUE,"Univ. Office Plaza";"Discount Metrics",#N/A,TRUE,"Univ. Office Plaza";"Partnership Valuation Summary",#N/A,TRUE,"Univ. Office Plaza";"Cash Flows",#N/A,TRUE,"Univ. Office Plaza";"Partnership Net Cash Flow",#N/A,TRUE,"Univ. Office Plaza";"Partnership Equity Value",#N/A,TRUE,"Univ. Office Plaza";"Equity/DCF/Yield",#N/A,TRUE,"Univ. Office Plaza";"JV Structure",#N/A,TRUE,"Univ. Office Plaza";"Split to First Hurdle",#N/A,TRUE,"Univ. Office Plaza";"Splits",#N/A,TRUE,"Univ. Office Plaza";"Distributions",#N/A,TRUE,"Univ. Office Plaza";"Assumptions",#N/A,TRUE,"Univ. Office Plaza";"Bellevue Cash Flows",#N/A,TRUE,"Bellevue";"Bellevue Partnership Value",#N/A,TRUE,"Bellevue";"Cambridge Cash Flows",#N/A,TRUE,"Cambridge";"Cambridge Partnership Value",#N/A,TRUE,"Cambridge";"Chopin Cash Flows",#N/A,TRUE,"Chopin";"Chopin Partnership Value",#N/A,TRUE,"Chopin";"Commonwealth Cash Flows",#N/A,TRUE,"Commonwealth";"Commonwealth Partnership Value",#N/A,TRUE,"Commonwealth";"Oxford Cash Flows",#N/A,TRUE,"Oxford";"Oxford Partnership Value",#N/A,TRUE,"Oxford";"Stockton Cash Flows",#N/A,TRUE,"Stockton";"Stockton Partnership Value",#N/A,TRUE,"Stockton"}</definedName>
    <definedName name="wrn.Upstate._.NY.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1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2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3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SPACKAGE." hidden="1">{#N/A,#N/A,FALSE,"US Summary";#N/A,#N/A,FALSE,"BEC";#N/A,#N/A,FALSE,"OPP";#N/A,#N/A,FALSE,"Crestview";#N/A,#N/A,FALSE,"Kent";#N/A,#N/A,FALSE,"Somerset";#N/A,#N/A,FALSE,"Stadium"}</definedName>
    <definedName name="wrn.USSC_Reports." localSheetId="2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localSheetId="0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2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3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4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_.Fund." hidden="1">{"VF Assumptions",#N/A,TRUE,"SA1 Quarterly";"VF Annual",#N/A,TRUE,"SA1 Quarterly";"VF Quartely Example P1",#N/A,TRUE,"VF Quarterly";"VF Quarterly Example P2",#N/A,TRUE,"VF Quarterly"}</definedName>
    <definedName name="wrn.Value.2" hidden="1">{#N/A,#N/A,FALSE,"Cashflow Analysis";#N/A,#N/A,FALSE,"Sensitivity Analysis";#N/A,#N/A,FALSE,"PV";#N/A,#N/A,FALSE,"Pro Forma"}</definedName>
    <definedName name="wrn.Variance." hidden="1">{#N/A,#N/A,FALSE,"CCC Variance";#N/A,#N/A,FALSE,"CCC Notes"}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ANALYSIS." hidden="1">{#N/A,#N/A,FALSE," VAR ANA FULL YR summ";#N/A,#N/A,FALSE,"YTD VAR";#N/A,#N/A,FALSE,"Var last mth to curr mth"}</definedName>
    <definedName name="wrn.Variance._.Worksheet." hidden="1">{#N/A,#N/A,FALSE,"VARSTRIP"}</definedName>
    <definedName name="wrn.ventana." hidden="1">{#N/A,#N/A,FALSE,"Cash Flow";#N/A,#N/A,FALSE,"scenario 1"}</definedName>
    <definedName name="wrn.Venture." hidden="1">{"Summary1",#N/A,TRUE,"Summary";"Program",#N/A,TRUE,"Summary";"Timeline",#N/A,TRUE,"Summary";"Land Dev Budget 1",#N/A,TRUE,"Summary";"Land Dev Budget 2",#N/A,TRUE,"Summary";"SumCF1",#N/A,TRUE,"Summary";"SumCF2",#N/A,TRUE,"Summary";"Venture CF3",#N/A,TRUE,"Summary";"Venture MonthlyCF",#N/A,TRUE,"Summary";"Venture Monthly CF2",#N/A,TRUE,"Summary"}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acc." hidden="1">{"Area1",#N/A,FALSE,"OREWACC";"Area2",#N/A,FALSE,"OREWACC"}</definedName>
    <definedName name="wrn.WAGE._.RATES." hidden="1">{#N/A,#N/A,FALSE,"WAGE FORM - UNION";#N/A,#N/A,FALSE,"EST. WAGE RATES - UNION";#N/A,#N/A,FALSE,"WAGE RATE DETAILS - UNION"}</definedName>
    <definedName name="wrn.weekly." hidden="1">{#N/A,#N/A,FALSE,"Large Operators";#N/A,#N/A,FALSE,"Smaller Operators";#N/A,#N/A,FALSE,"Equip. Supply";#N/A,#N/A,FALSE,"EBITDA";#N/A,#N/A,FALSE,"perform"}</definedName>
    <definedName name="wrn.wicor." hidden="1">{#N/A,#N/A,FALSE,"FACTSHEETS";#N/A,#N/A,FALSE,"pump";#N/A,#N/A,FALSE,"filter"}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.Working._.Party._.List." hidden="1">{#N/A,#N/A,FALSE,"Working List"}</definedName>
    <definedName name="wrn.Workout._.Committee._.Package." hidden="1">{#N/A,#N/A,TRUE,"Sources and Uses";#N/A,#N/A,TRUE,"Annual Projection";#N/A,#N/A,TRUE,"Balance Sheet";#N/A,#N/A,TRUE,"Comparative Income Statement";#N/A,#N/A,TRUE,"Comparative Inc Stmt Per Unit";#N/A,#N/A,TRUE,"Capital Improvement Budget";#N/A,#N/A,TRUE,"Growth Assumptions";#N/A,#N/A,TRUE,"Base Year Unit Mix";#N/A,#N/A,TRUE,"Annual Financing";#N/A,#N/A,TRUE,"Residual Analysis"}</definedName>
    <definedName name="wrn.Worksheet." hidden="1">{"Worksheet",#N/A,FALSE,"Worksheet"}</definedName>
    <definedName name="wrn.Wovenhearts." hidden="1">{"One",#N/A,FALSE,"Wovenhearts";"Two",#N/A,FALSE,"Wovenhearts";"Three",#N/A,FALSE,"Wovenhearts";"Four",#N/A,FALSE,"Wovenhearts";"Five",#N/A,FALSE,"Wovenhearts"}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WY." hidden="1">{#N/A,#N/A,FALSE,"WWY"}</definedName>
    <definedName name="wrn.Wynwood." hidden="1">{"One",#N/A,FALSE,"Wynwood";"Two",#N/A,FALSE,"Wynwood";"Three",#N/A,FALSE,"Wynwood";"Four",#N/A,FALSE,"Wynwood";"Five",#N/A,FALSE,"Wynwood"}</definedName>
    <definedName name="wrn.XL._.DTR.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Year._.End._.APF._.reports." localSheetId="2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" localSheetId="0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1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2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3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4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Reporting._.Pkg.." hidden="1">{#N/A,#N/A,FALSE,"Front Cover";#N/A,#N/A,FALSE,"Index";#N/A,#N/A,FALSE,"A.1 Performance Measures";#N/A,#N/A,FALSE,"A.2 Perf Measures Data";#N/A,#N/A,FALSE,"B.1 Bal. Sheet";#N/A,#N/A,FALSE,"B.2 Income and Ret. Erngs.";#N/A,#N/A,FALSE,"B.3 Cash Flows";#N/A,#N/A,FALSE,"C.1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Proof";#N/A,#N/A,FALSE,"C.18 Income Tax Information"}</definedName>
    <definedName name="wrn.Yearly." hidden="1">{"One",#N/A,FALSE,"Yearly"}</definedName>
    <definedName name="wrn.yeild._.graph.1" hidden="1">{#N/A,#N/A,FALSE,"Yield Graph"}</definedName>
    <definedName name="wrn.Yield._.Graph." hidden="1">{#N/A,#N/A,FALSE,"Yield Graph"}</definedName>
    <definedName name="wrn.Yield._.Graph._.plus._.Input." hidden="1">{#N/A,#N/A,FALSE,"Yield Graph";#N/A,#N/A,FALSE,"Rent Roll";#N/A,#N/A,FALSE,"OE Yr1";#N/A,#N/A,FALSE,"Repl.Cst.+Ins."}</definedName>
    <definedName name="wrn.Zaxon._.Report._.1st._.half." hidden="1">{"CoverSheet",#N/A,FALSE,"Cover Sheet";"AreaSum",#N/A,FALSE,"Master Area Summary";"Exclusions",#N/A,FALSE,"Exclusions";"ZaxEXsum",#N/A,FALSE,"Executive Summary";"Zax A sum",#N/A,FALSE,"Bldg A Summary";"ZaxAest",#N/A,FALSE,"BLDG.A";"zaxCsum",#N/A,FALSE,"Bldg C Summary";"ZaxCest",#N/A,FALSE,"BLDG.C";"ZaxSTsum",#N/A,FALSE,"Site Summary";"zaxsite",#N/A,FALSE,"Site work"}</definedName>
    <definedName name="wrn.Zaxon._.Report._.2._.half." hidden="1">{"ZaxSWsum",#N/A,FALSE,"Sewer Summary";"ZaxSWest",#N/A,FALSE,"Sewer Estimate";"ZaxGRsum",#N/A,FALSE,"Garage Summary";"ZaxGRest",#N/A,FALSE,"Garage Estimate";"ZaxPLsum",#N/A,FALSE,"Pool Summary";"ZaxPLest",#N/A,FALSE,"Pool";"ZaxPHsum",#N/A,FALSE,"Pool House Summary";"ZaxMAsum",#N/A,FALSE,"Marina Summary";"ZaxMAest",#N/A,FALSE,"Marina Estimate"}</definedName>
    <definedName name="wrn.ZML123._.Financial._.Summaries." hidden="1">{#N/A,#N/A,FALSE,"ZM3 FinSummary";#N/A,#N/A,FALSE,"ZM2 FinSummary";#N/A,#N/A,FALSE,"ZM1 FinSummary"}</definedName>
    <definedName name="wrn2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g" hidden="1">{"Output-BaseYear",#N/A,FALSE,"Output"}</definedName>
    <definedName name="wrnh" hidden="1">{"Output-All",#N/A,FALSE,"Output"}</definedName>
    <definedName name="wrnpkg" hidden="1">{#N/A,#N/A,FALSE,"Income Stmt";#N/A,#N/A,FALSE,"Income Summary"}</definedName>
    <definedName name="wrnpkgs" hidden="1">{#N/A,#N/A,FALSE,"Income Stmt";#N/A,#N/A,FALSE,"Income Summary"}</definedName>
    <definedName name="wrnprint1" hidden="1">{#N/A,#N/A,FALSE,"Financial";#N/A,#N/A,FALSE,"Balance Sheet";#N/A,#N/A,FALSE,"Income stmt";#N/A,#N/A,FALSE,"Ratio"}</definedName>
    <definedName name="ws" hidden="1">{#N/A,#N/A,FALSE,"Chart 2 by Prop Type"}</definedName>
    <definedName name="wscott">#REF!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LL." hidden="1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CAM._.RATES." hidden="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ECOVERY." hidden="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Détails." hidden="1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Escalation._.Table." hidden="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SMEET." hidden="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MARKETING._.REVENUE." hidden="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INIMUM._.RENT." hidden="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OCCUPANCY." hidden="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Overhead._.detail." hidden="1">{TRUE,TRUE,-2,-15.2,616.8,379.8,FALSE,TRUE,TRUE,TRUE,15,4,#N/A,22,#N/A,12.3176470588235,29,1,FALSE,FALSE,3,TRUE,1,FALSE,67,"Swvu.Overhead._.detail.","ACwvu.Overhead._.detail.",#N/A,FALSE,FALSE,0.669291338582677,0.275590551181102,0.236220472440945,0.236220472440945,1,"","",FALSE,FALSE,FALSE,FALSE,1,#N/A,1,#N/A,"=R194C4:R674C19","=R45:R49","Rwvu.Overhead._.detail.",#N/A,FALSE,FALSE,FALSE,9,600,600,FALSE,FALSE,TRUE,TRUE,TRUE}</definedName>
    <definedName name="wvu.PERCENTAGE._.RENT." hidden="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Profit._.report._.detailed." hidden="1">{TRUE,TRUE,-2,-15.2,616.8,379.8,FALSE,TRUE,TRUE,TRUE,15,4,#N/A,50,#N/A,12.3176470588235,70.7586206896552,1,FALSE,FALSE,3,TRUE,1,FALSE,67,"Swvu.Profit._.report._.detailed.","ACwvu.Profit._.report._.detailed.",#N/A,FALSE,FALSE,0.669291338582677,0.275590551181102,0.236220472440945,0.236220472440945,1,"","",FALSE,FALSE,FALSE,FALSE,1,#N/A,1,#N/A,"=R54C4:R191C19","=R45:R53","Rwvu.Profit._.report._.detailed.","Cwvu.Profit._.report._.detailed.",FALSE,FALSE,FALSE,9,600,600,FALSE,FALSE,TRUE,TRUE,TRUE}</definedName>
    <definedName name="wvu.Sommaire." hidden="1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AX._.RATES." hidden="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ECOVERY." hidden="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w" hidden="1">{#N/A,#N/A,FALSE,"Chart 2 by Prop Type"}</definedName>
    <definedName name="wwas" hidden="1">{#N/A,#N/A,FALSE,"Chart 2 by Prop Type"}</definedName>
    <definedName name="wwass" hidden="1">{#N/A,#N/A,FALSE,"Chart 2 by Prop Type"}</definedName>
    <definedName name="wwc" hidden="1">{#N/A,#N/A,FALSE,"Aging Summary";#N/A,#N/A,FALSE,"Ratio Analysis";#N/A,#N/A,FALSE,"Test 120 Day Accts";#N/A,#N/A,FALSE,"Tickmarks"}</definedName>
    <definedName name="www" hidden="1">{"data",#N/A,FALSE,"INPUT"}</definedName>
    <definedName name="www.cc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e" hidden="1">{"land1",#N/A,FALSE,"Land";"land2",#N/A,FALSE,"Land";"land3",#N/A,FALSE,"Land"}</definedName>
    <definedName name="wwww" hidden="1">{#N/A,#N/A,TRUE,"10 Yr Hold";#N/A,#N/A,TRUE,"7 Yr Hold";#N/A,#N/A,TRUE,"5 Yr Hold";#N/A,#N/A,TRUE,"3 Yr Hold"}</definedName>
    <definedName name="wwwww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wwwwwwwww" hidden="1">{#N/A,#N/A,TRUE,"A-site";#N/A,#N/A,TRUE,"B-Buildings";#N/A,#N/A,TRUE,"c-out-of-fence";#N/A,#N/A,TRUE,"d-proj.infr.";#N/A,#N/A,TRUE,"e- land"}</definedName>
    <definedName name="wwwwwwwwwww" hidden="1">{#N/A,#N/A,TRUE,"Title - Caisse";#N/A,#N/A,TRUE,"Schedule 1a";#N/A,#N/A,TRUE,"Schedule 2 - 2001";#N/A,#N/A,TRUE,"Schedule 2 - 2002";#N/A,#N/A,TRUE,"Schedule 2 - 2003";#N/A,#N/A,TRUE,"Schedule 3";#N/A,#N/A,TRUE,"Schedule 4";#N/A,#N/A,TRUE,"Schedule 5";#N/A,#N/A,TRUE,"Schedule 5a";#N/A,#N/A,TRUE,"Schedule 6";#N/A,#N/A,TRUE,"Schedule 6a";#N/A,#N/A,TRUE,"Schedule 6b";#N/A,#N/A,TRUE,"Schedule 6c";#N/A,#N/A,TRUE,"Schedule 6d";#N/A,#N/A,TRUE,"Schedule 6e";#N/A,#N/A,TRUE,"Schedule 7";#N/A,#N/A,TRUE,"Schedule 8"}</definedName>
    <definedName name="x" hidden="1">{#N/A,#N/A,FALSE,"LoanAssumptions"}</definedName>
    <definedName name="xcvxv" hidden="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xdrtuyxftgu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xdxdy" hidden="1">{#N/A,#N/A,FALSE,"A";#N/A,#N/A,FALSE,"B"}</definedName>
    <definedName name="xfgjxcfgj" hidden="1">{#N/A,#N/A,FALSE,"LP Exp";#N/A,#N/A,FALSE,"Salary";#N/A,#N/A,FALSE,"Admin Exp";#N/A,#N/A,FALSE,"QTS Bud";#N/A,#N/A,FALSE,"Marketing"}</definedName>
    <definedName name="xfgujxcfgj" hidden="1">{#N/A,#N/A,FALSE,"Common Area Accrual";#N/A,#N/A,FALSE,"Unit One LaSalle";#N/A,#N/A,FALSE,"Unit One CW";#N/A,#N/A,FALSE,"Unit One LaSallle + C &amp; W";#N/A,#N/A,FALSE,"Consolidated Accrual"}</definedName>
    <definedName name="xfgxcfgj" hidden="1">{#N/A,#N/A,FALSE,"399 Park Var";#N/A,#N/A,FALSE,"PK NOTES"}</definedName>
    <definedName name="xftxft" hidden="1">{#N/A,#N/A,FALSE,"A";#N/A,#N/A,FALSE,"C"}</definedName>
    <definedName name="XLDW_UID" hidden="1">"us262150"</definedName>
    <definedName name="XLDW_VER" hidden="1">"Office 2000 2.0 with Query Builder"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xp" hidden="1">#REF!</definedName>
    <definedName name="XREF_COLUMN_1" hidden="1">#REF!</definedName>
    <definedName name="XREF_COLUMN_10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Row" hidden="1">#REF!</definedName>
    <definedName name="XRefCopy2" hidden="1">#REF!</definedName>
    <definedName name="XRefCopy27" hidden="1">#REF!</definedName>
    <definedName name="XRefCopy28" hidden="1">#REF!</definedName>
    <definedName name="XRefCopy29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4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RangeCount" hidden="1">5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ryjxtjnx" hidden="1">{"Investor",#N/A,FALSE,"Model";"Property",#N/A,FALSE,"Model";"Incentive Taxes",#N/A,FALSE,"Model"}</definedName>
    <definedName name="xs" hidden="1">#REF!</definedName>
    <definedName name="xvc" hidden="1">{"FCB_ALL",#N/A,FALSE,"FCB"}</definedName>
    <definedName name="XVCWXV" hidden="1">#REF!</definedName>
    <definedName name="xx" hidden="1">#REF!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{#N/A,#N/A,TRUE,"10 Yr Hold";#N/A,#N/A,TRUE,"7 Yr Hold";#N/A,#N/A,TRUE,"5 Yr Hold";#N/A,#N/A,TRUE,"3 Yr Hold"}</definedName>
    <definedName name="xxx_1" hidden="1">{"COM",#N/A,FALSE,"800 10th"}</definedName>
    <definedName name="xxx.detail" hidden="1">{"detail305",#N/A,FALSE,"BI-305"}</definedName>
    <definedName name="xxx.directory" hidden="1">{"summary",#N/A,FALSE,"PCR DIRECTORY"}</definedName>
    <definedName name="xxx.statements." hidden="1">{#N/A,#N/A,FALSE,"Income Statement";#N/A,#N/A,FALSE,"Cash Flow";#N/A,#N/A,FALSE,"Balance Sheet";#N/A,#N/A,FALSE,"Ratios"}</definedName>
    <definedName name="xxx3" localSheetId="2" hidden="1">{"AnnualRentRoll",#N/A,FALSE,"RentRoll"}</definedName>
    <definedName name="xxx3" localSheetId="0" hidden="1">{"AnnualRentRoll",#N/A,FALSE,"RentRoll"}</definedName>
    <definedName name="xxx3" hidden="1">{"AnnualRentRoll",#N/A,FALSE,"RentRoll"}</definedName>
    <definedName name="xxx3_1" hidden="1">{"AnnualRentRoll",#N/A,FALSE,"RentRoll"}</definedName>
    <definedName name="xxx3_2" hidden="1">{"AnnualRentRoll",#N/A,FALSE,"RentRoll"}</definedName>
    <definedName name="xxx3_3" hidden="1">{"AnnualRentRoll",#N/A,FALSE,"RentRoll"}</definedName>
    <definedName name="xxx3_4" hidden="1">{"AnnualRentRoll",#N/A,FALSE,"RentRoll"}</definedName>
    <definedName name="xxx4" localSheetId="2" hidden="1">{#N/A,#N/A,FALSE,"ExitStratigy"}</definedName>
    <definedName name="xxx4" localSheetId="0" hidden="1">{#N/A,#N/A,FALSE,"ExitStratigy"}</definedName>
    <definedName name="xxx4" hidden="1">{#N/A,#N/A,FALSE,"ExitStratigy"}</definedName>
    <definedName name="xxx4_1" hidden="1">{#N/A,#N/A,FALSE,"ExitStratigy"}</definedName>
    <definedName name="xxx4_2" hidden="1">{#N/A,#N/A,FALSE,"ExitStratigy"}</definedName>
    <definedName name="xxx4_3" hidden="1">{#N/A,#N/A,FALSE,"ExitStratigy"}</definedName>
    <definedName name="xxx4_4" hidden="1">{#N/A,#N/A,FALSE,"ExitStratigy"}</definedName>
    <definedName name="xxxx" hidden="1">#REF!</definedName>
    <definedName name="xxxxx" hidden="1">{#N/A,#N/A,FALSE,"Aging Summary";#N/A,#N/A,FALSE,"Ratio Analysis";#N/A,#N/A,FALSE,"Test 120 Day Accts";#N/A,#N/A,FALSE,"Tickmarks"}</definedName>
    <definedName name="XXXXXX" hidden="1">#REF!</definedName>
    <definedName name="XYZ">#REF!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hidden="1">{"clp_bs_doc",#N/A,FALSE,"CLP";"clp_is_doc",#N/A,FALSE,"CLP";"clp_cf_doc",#N/A,FALSE,"CLP";"clp_fr_doc",#N/A,FALSE,"CLP"}</definedName>
    <definedName name="ydfbgeartg" hidden="1">#REF!</definedName>
    <definedName name="year">#REF!</definedName>
    <definedName name="Year_01">#REF!</definedName>
    <definedName name="YEAR_END">#REF!</definedName>
    <definedName name="YearLabel02">#REF!</definedName>
    <definedName name="years">#REF!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dyh" hidden="1">#REF!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ield">#REF!</definedName>
    <definedName name="yield_graph" hidden="1">{#N/A,#N/A,FALSE,"Yield Graph"}</definedName>
    <definedName name="YIELD_WITH">#REF!</definedName>
    <definedName name="YIELD_WITHOUT">#REF!</definedName>
    <definedName name="YIELDS">#REF!</definedName>
    <definedName name="YOSLAND">#REF!</definedName>
    <definedName name="you" hidden="1">{"Financials",#N/A,FALSE,"Financials";"AVP",#N/A,FALSE,"AVP";"DCF",#N/A,FALSE,"DCF";"CSC",#N/A,FALSE,"CSC";"Deal_Comp",#N/A,FALSE,"DealComp"}</definedName>
    <definedName name="YoY_SS_Array">#REF!</definedName>
    <definedName name="YoY_SS_Offset">#REF!</definedName>
    <definedName name="yr10cashFLOWafterDEBT">#REF!</definedName>
    <definedName name="yr1a" hidden="1">#REF!</definedName>
    <definedName name="yr1cashFLOWafterDEBT">#REF!</definedName>
    <definedName name="yr1NOI">#REF!</definedName>
    <definedName name="YR1NonreimbOpexPSF">#REF!</definedName>
    <definedName name="YR1OpexPSF">#REF!</definedName>
    <definedName name="YR1ReimbOpexPSF">#REF!</definedName>
    <definedName name="yr2a" hidden="1">#REF!</definedName>
    <definedName name="yr2cashFLOWafterDEBT">#REF!</definedName>
    <definedName name="yr3a" hidden="1">#REF!</definedName>
    <definedName name="yr3cashFLOWafterDEBT">#REF!</definedName>
    <definedName name="yr4a" hidden="1">#REF!</definedName>
    <definedName name="yr4cashFLOWafterDEBT">#REF!</definedName>
    <definedName name="yr5cashFLOWafterDEBT">#REF!</definedName>
    <definedName name="yr6cashFLOWafterDEBT">#REF!</definedName>
    <definedName name="yr7cashFLOWafterDEBT">#REF!</definedName>
    <definedName name="yr8cashFLOWafterDEBT">#REF!</definedName>
    <definedName name="yr9cashFLOWafterDEBT">#REF!</definedName>
    <definedName name="ytjh" hidden="1">#REF!</definedName>
    <definedName name="ytsrt" hidden="1">#REF!</definedName>
    <definedName name="yui" hidden="1">{#N/A,#N/A,FALSE,"Chart 2 by Prop Type"}</definedName>
    <definedName name="yuiy" hidden="1">{#N/A,#N/A,FALSE,"COVER";#N/A,#N/A,FALSE,"Construction CF";#N/A,#N/A,FALSE,"PROFORMA";#N/A,#N/A,FALSE,"CASHFLOW"}</definedName>
    <definedName name="yyy" hidden="1">#REF!</definedName>
    <definedName name="yyy.detail" hidden="1">{"detail305",#N/A,FALSE,"BI-305"}</definedName>
    <definedName name="yyyyyyy" hidden="1">{#N/A,#N/A,FALSE,"Title - Management";#N/A,#N/A,FALSE,"Schedule 1a";#N/A,#N/A,FALSE,"Schedule 2 - 2001";#N/A,#N/A,FALSE,"Schedule 2 - 2002";#N/A,#N/A,FALSE,"Schedule 2 - 2003";#N/A,#N/A,FALSE,"Schedule 3 - Mgnt ";#N/A,#N/A,FALSE,"Schedule 3";#N/A,#N/A,FALSE,"Schedule 4";#N/A,#N/A,FALSE,"Schedule 4a - Mgnt";#N/A,#N/A,FALSE,"Schedule 5";#N/A,#N/A,FALSE,"Schedule 5a";#N/A,#N/A,FALSE,"Schedule 6";#N/A,#N/A,FALSE,"Schedule 6a";#N/A,#N/A,FALSE,"Schedule 6b";#N/A,#N/A,FALSE,"Schedule 6c";#N/A,#N/A,FALSE,"Schedule 6d";#N/A,#N/A,FALSE,"Schedule 6e";#N/A,#N/A,FALSE,"Schedule 7";#N/A,#N/A,FALSE,"Schedule 8";#N/A,#N/A,FALSE,"Schedule 9- Mgnt";#N/A,#N/A,FALSE,"Schedule 10 - Mgmt Fees - Mgnt";#N/A,#N/A,FALSE,"Schedule 10- Leasing Fees- Mgnt";#N/A,#N/A,FALSE,"Schedule 10 - Devel Fees- Mgnt"}</definedName>
    <definedName name="z" hidden="1">{"CSheet",#N/A,FALSE,"C";"SmCap",#N/A,FALSE,"VAL1";"GulfCoast",#N/A,FALSE,"VAL1";"nav",#N/A,FALSE,"NAV";"Summary",#N/A,FALSE,"NAV"}</definedName>
    <definedName name="Z_0DF4CCD5_BD29_11D2_B943_0050040AC21C_.wvu.FilterData" hidden="1">#REF!</definedName>
    <definedName name="Z_103EF461_8E0C_11D4_BD19_00C04F7ADBB0_.wvu.PrintTitles" hidden="1">#REF!</definedName>
    <definedName name="Z_1906290E_BC61_11D2_B941_0050040AC21C_.wvu.FilterData" hidden="1">#REF!</definedName>
    <definedName name="Z_19062910_BC61_11D2_B941_0050040AC21C_.wvu.FilterData" hidden="1">#REF!</definedName>
    <definedName name="Z_1C8A8291_48BB_11D3_BD19_00C04F7ADBB0_.wvu.PrintTitles" hidden="1">#REF!</definedName>
    <definedName name="Z_22616A05_83D1_11D4_BD19_00C04F7ADBB0_.wvu.PrintTitles" hidden="1">#REF!</definedName>
    <definedName name="Z_28BDDCCC_2551_11D1_BD8E_0020AF42250B_.wvu.Cols" hidden="1">#REF!,#REF!,#REF!</definedName>
    <definedName name="Z_28BDDCCD_2551_11D1_BD8E_0020AF42250B_.wvu.Cols" hidden="1">#REF!,#REF!,#REF!</definedName>
    <definedName name="Z_28BDDCCF_2551_11D1_BD8E_0020AF42250B_.wvu.Cols" hidden="1">#REF!,#REF!,#REF!,#REF!</definedName>
    <definedName name="Z_28BDDCD0_2551_11D1_BD8E_0020AF42250B_.wvu.Cols" hidden="1">#REF!,#REF!,#REF!</definedName>
    <definedName name="Z_28BDDCD1_2551_11D1_BD8E_0020AF42250B_.wvu.Cols" hidden="1">#REF!,#REF!</definedName>
    <definedName name="Z_28BDDCD2_2551_11D1_BD8E_0020AF42250B_.wvu.Cols" hidden="1">#REF!,#REF!,#REF!</definedName>
    <definedName name="Z_28BDDCD3_2551_11D1_BD8E_0020AF42250B_.wvu.Cols" hidden="1">#REF!,#REF!,#REF!,#REF!</definedName>
    <definedName name="Z_28BDDCD8_2551_11D1_BD8E_0020AF42250B_.wvu.Cols" hidden="1">#REF!,#REF!,#REF!</definedName>
    <definedName name="Z_28BDDCD9_2551_11D1_BD8E_0020AF42250B_.wvu.Cols" hidden="1">#REF!,#REF!,#REF!</definedName>
    <definedName name="Z_293F9608_6186_11D1_8188_004C06C10000_.wvu.Cols" hidden="1">#REF!</definedName>
    <definedName name="Z_2DF11753_B84B_11D2_B93A_0050040AC227_.wvu.PrintArea" hidden="1">#REF!</definedName>
    <definedName name="Z_38B66622_465C_11D1_8554_0080C7F00AC6_.wvu.Cols" hidden="1">#REF!,#REF!,#REF!</definedName>
    <definedName name="Z_38B66623_465C_11D1_8554_0080C7F00AC6_.wvu.Cols" hidden="1">#REF!,#REF!,#REF!</definedName>
    <definedName name="Z_38B66625_465C_11D1_8554_0080C7F00AC6_.wvu.Cols" hidden="1">#REF!,#REF!,#REF!,#REF!</definedName>
    <definedName name="Z_38B66626_465C_11D1_8554_0080C7F00AC6_.wvu.Cols" hidden="1">#REF!,#REF!,#REF!</definedName>
    <definedName name="Z_38B66627_465C_11D1_8554_0080C7F00AC6_.wvu.Cols" hidden="1">#REF!,#REF!</definedName>
    <definedName name="Z_38B66628_465C_11D1_8554_0080C7F00AC6_.wvu.Cols" hidden="1">#REF!,#REF!,#REF!</definedName>
    <definedName name="Z_38B66629_465C_11D1_8554_0080C7F00AC6_.wvu.Cols" hidden="1">#REF!,#REF!,#REF!,#REF!</definedName>
    <definedName name="Z_38B6662E_465C_11D1_8554_0080C7F00AC6_.wvu.Cols" hidden="1">#REF!,#REF!,#REF!</definedName>
    <definedName name="Z_38B6662F_465C_11D1_8554_0080C7F00AC6_.wvu.Cols" hidden="1">#REF!,#REF!,#REF!</definedName>
    <definedName name="Z_3FFCEA43_F8AA_11D0_BD29_0020AF42250B_.wvu.Cols" hidden="1">#REF!,#REF!,#REF!</definedName>
    <definedName name="Z_3FFCEA43_F8AA_11D0_BD29_0020AF42250B_.wvu.PrintArea" hidden="1">#REF!</definedName>
    <definedName name="Z_3FFCEA43_F8AA_11D0_BD29_0020AF42250B_.wvu.PrintTitles" hidden="1">#REF!</definedName>
    <definedName name="Z_40D1A02B_1594_11D1_BD73_0020AF42250B_.wvu.Cols" hidden="1">#REF!,#REF!,#REF!</definedName>
    <definedName name="Z_40D1A02C_1594_11D1_BD73_0020AF42250B_.wvu.Cols" hidden="1">#REF!,#REF!,#REF!</definedName>
    <definedName name="Z_40D1A02D_1594_11D1_BD73_0020AF42250B_.wvu.Cols" hidden="1">#REF!,#REF!,#REF!,#REF!</definedName>
    <definedName name="Z_40D1A02E_1594_11D1_BD73_0020AF42250B_.wvu.Cols" hidden="1">#REF!,#REF!,#REF!</definedName>
    <definedName name="Z_40D1A02F_1594_11D1_BD73_0020AF42250B_.wvu.Cols" hidden="1">#REF!,#REF!</definedName>
    <definedName name="Z_40D1A030_1594_11D1_BD73_0020AF42250B_.wvu.Cols" hidden="1">#REF!,#REF!,#REF!</definedName>
    <definedName name="Z_40D1A031_1594_11D1_BD73_0020AF42250B_.wvu.Cols" hidden="1">#REF!,#REF!,#REF!,#REF!</definedName>
    <definedName name="Z_40D1A032_1594_11D1_BD73_0020AF42250B_.wvu.Cols" hidden="1">#REF!,#REF!,#REF!</definedName>
    <definedName name="Z_40D1A033_1594_11D1_BD73_0020AF42250B_.wvu.Cols" hidden="1">#REF!,#REF!,#REF!</definedName>
    <definedName name="Z_40D1A104_1594_11D1_BD73_0020AF42250B_.wvu.Cols" hidden="1">#REF!,#REF!,#REF!</definedName>
    <definedName name="Z_40D1A105_1594_11D1_BD73_0020AF42250B_.wvu.Cols" hidden="1">#REF!,#REF!,#REF!</definedName>
    <definedName name="Z_40D1A107_1594_11D1_BD73_0020AF42250B_.wvu.Cols" hidden="1">#REF!,#REF!,#REF!,#REF!</definedName>
    <definedName name="Z_40D1A109_1594_11D1_BD73_0020AF42250B_.wvu.Cols" hidden="1">#REF!,#REF!,#REF!</definedName>
    <definedName name="Z_40D1A10B_1594_11D1_BD73_0020AF42250B_.wvu.Cols" hidden="1">#REF!,#REF!</definedName>
    <definedName name="Z_40D1A10C_1594_11D1_BD73_0020AF42250B_.wvu.Cols" hidden="1">#REF!,#REF!,#REF!</definedName>
    <definedName name="Z_40D1A10F_1594_11D1_BD73_0020AF42250B_.wvu.Cols" hidden="1">#REF!,#REF!,#REF!,#REF!</definedName>
    <definedName name="Z_40D1A114_1594_11D1_BD73_0020AF42250B_.wvu.Cols" hidden="1">#REF!,#REF!,#REF!</definedName>
    <definedName name="Z_40D1A115_1594_11D1_BD73_0020AF42250B_.wvu.Cols" hidden="1">#REF!,#REF!,#REF!</definedName>
    <definedName name="Z_49179D1A_043D_11D1_BD55_0020AF42250B_.wvu.Cols" hidden="1">#REF!,#REF!</definedName>
    <definedName name="Z_49179D1A_043D_11D1_BD55_0020AF42250B_.wvu.PrintArea" hidden="1">#REF!</definedName>
    <definedName name="Z_49179D1A_043D_11D1_BD55_0020AF42250B_.wvu.PrintTitles" hidden="1">#REF!</definedName>
    <definedName name="Z_49179D1D_043D_11D1_BD55_0020AF42250B_.wvu.Cols" hidden="1">#REF!,#REF!,#REF!</definedName>
    <definedName name="Z_49179D1D_043D_11D1_BD55_0020AF42250B_.wvu.PrintArea" hidden="1">#REF!</definedName>
    <definedName name="Z_49179D1D_043D_11D1_BD55_0020AF42250B_.wvu.PrintTitles" hidden="1">#REF!</definedName>
    <definedName name="Z_4C1CBF02_B7B5_11D2_B93A_0050040AC21C_.wvu.FilterData" hidden="1">#REF!</definedName>
    <definedName name="Z_4C1CBF02_B7B5_11D2_B93A_0050040AC21C_.wvu.PrintArea" hidden="1">#REF!</definedName>
    <definedName name="Z_4C1CBF02_B7B5_11D2_B93A_0050040AC21C_.wvu.PrintTitles" hidden="1">#REF!</definedName>
    <definedName name="Z_4D69700F_3E5A_11D2_B93D_00C04F7ADD59_.wvu.Cols" hidden="1">#REF!,#REF!</definedName>
    <definedName name="Z_4D697010_3E5A_11D2_B93D_00C04F7ADD59_.wvu.Cols" hidden="1">#REF!,#REF!</definedName>
    <definedName name="Z_4D697010_3E5A_11D2_B93D_00C04F7ADD59_.wvu.Rows" hidden="1">#REF!,#REF!,#REF!,#REF!,#REF!,#REF!</definedName>
    <definedName name="Z_4D697011_3E5A_11D2_B93D_00C04F7ADD59_.wvu.Cols" hidden="1">#REF!,#REF!</definedName>
    <definedName name="Z_4D697011_3E5A_11D2_B93D_00C04F7ADD59_.wvu.Rows" hidden="1">#REF!,#REF!,#REF!,#REF!,#REF!,#REF!,#REF!,#REF!,#REF!</definedName>
    <definedName name="Z_4D697012_3E5A_11D2_B93D_00C04F7ADD59_.wvu.Cols" hidden="1">#REF!,#REF!</definedName>
    <definedName name="Z_4D697012_3E5A_11D2_B93D_00C04F7ADD59_.wvu.Rows" hidden="1">#REF!,#REF!,#REF!,#REF!,#REF!,#REF!,#REF!,#REF!,#REF!</definedName>
    <definedName name="Z_4D697013_3E5A_11D2_B93D_00C04F7ADD59_.wvu.Cols" hidden="1">#REF!,#REF!</definedName>
    <definedName name="Z_4D697013_3E5A_11D2_B93D_00C04F7ADD59_.wvu.Rows" hidden="1">#REF!,#REF!,#REF!,#REF!,#REF!</definedName>
    <definedName name="Z_4D697014_3E5A_11D2_B93D_00C04F7ADD59_.wvu.Cols" hidden="1">#REF!,#REF!</definedName>
    <definedName name="Z_4D697014_3E5A_11D2_B93D_00C04F7ADD59_.wvu.Rows" hidden="1">#REF!,#REF!,#REF!,#REF!,#REF!,#REF!,#REF!,#REF!,#REF!,#REF!</definedName>
    <definedName name="Z_4D697015_3E5A_11D2_B93D_00C04F7ADD59_.wvu.Cols" hidden="1">#REF!,#REF!</definedName>
    <definedName name="Z_4D697016_3E5A_11D2_B93D_00C04F7ADD59_.wvu.Cols" hidden="1">#REF!,#REF!</definedName>
    <definedName name="Z_4D697016_3E5A_11D2_B93D_00C04F7ADD59_.wvu.Rows" hidden="1">#REF!,#REF!</definedName>
    <definedName name="Z_4D697017_3E5A_11D2_B93D_00C04F7ADD59_.wvu.Cols" hidden="1">#REF!,#REF!</definedName>
    <definedName name="Z_4D697067_3E5A_11D2_B93D_00C04F7ADD59_.wvu.Cols" hidden="1">#REF!,#REF!</definedName>
    <definedName name="Z_4D697068_3E5A_11D2_B93D_00C04F7ADD59_.wvu.Cols" hidden="1">#REF!,#REF!</definedName>
    <definedName name="Z_4D697068_3E5A_11D2_B93D_00C04F7ADD59_.wvu.Rows" hidden="1">#REF!,#REF!,#REF!,#REF!,#REF!,#REF!</definedName>
    <definedName name="Z_4D697069_3E5A_11D2_B93D_00C04F7ADD59_.wvu.Cols" hidden="1">#REF!,#REF!</definedName>
    <definedName name="Z_4D697069_3E5A_11D2_B93D_00C04F7ADD59_.wvu.Rows" hidden="1">#REF!,#REF!,#REF!,#REF!,#REF!,#REF!,#REF!,#REF!,#REF!</definedName>
    <definedName name="Z_4D69706A_3E5A_11D2_B93D_00C04F7ADD59_.wvu.Cols" hidden="1">#REF!,#REF!</definedName>
    <definedName name="Z_4D69706A_3E5A_11D2_B93D_00C04F7ADD59_.wvu.Rows" hidden="1">#REF!,#REF!,#REF!,#REF!,#REF!,#REF!,#REF!,#REF!,#REF!</definedName>
    <definedName name="Z_4D69706B_3E5A_11D2_B93D_00C04F7ADD59_.wvu.Cols" hidden="1">#REF!,#REF!</definedName>
    <definedName name="Z_4D69706B_3E5A_11D2_B93D_00C04F7ADD59_.wvu.Rows" hidden="1">#REF!,#REF!,#REF!,#REF!,#REF!</definedName>
    <definedName name="Z_4D69706C_3E5A_11D2_B93D_00C04F7ADD59_.wvu.Cols" hidden="1">#REF!,#REF!</definedName>
    <definedName name="Z_4D69706C_3E5A_11D2_B93D_00C04F7ADD59_.wvu.Rows" hidden="1">#REF!,#REF!,#REF!,#REF!,#REF!,#REF!,#REF!,#REF!,#REF!,#REF!</definedName>
    <definedName name="Z_4D69706D_3E5A_11D2_B93D_00C04F7ADD59_.wvu.Cols" hidden="1">#REF!,#REF!</definedName>
    <definedName name="Z_4D69706E_3E5A_11D2_B93D_00C04F7ADD59_.wvu.Cols" hidden="1">#REF!,#REF!</definedName>
    <definedName name="Z_4D69706E_3E5A_11D2_B93D_00C04F7ADD59_.wvu.Rows" hidden="1">#REF!,#REF!</definedName>
    <definedName name="Z_4D69706F_3E5A_11D2_B93D_00C04F7ADD59_.wvu.Cols" hidden="1">#REF!,#REF!</definedName>
    <definedName name="Z_56741B30_9E05_11D4_BE09_0050040BF713_.wvu.Cols" hidden="1">#REF!</definedName>
    <definedName name="Z_56741B30_9E05_11D4_BE09_0050040BF713_.wvu.PrintTitles" hidden="1">#REF!</definedName>
    <definedName name="Z_6188BF32_9D6B_402D_B864_7A1178662966_.wvu.Cols" hidden="1">#REF!</definedName>
    <definedName name="Z_627E98CA_893D_11D2_9EFC_00C04FE0572F_.wvu.PrintArea" hidden="1">#REF!</definedName>
    <definedName name="Z_627E98CB_893D_11D2_9EFC_00C04FE0572F_.wvu.Cols" hidden="1">#REF!,#REF!,#REF!</definedName>
    <definedName name="Z_627E98CB_893D_11D2_9EFC_00C04FE0572F_.wvu.PrintArea" hidden="1">#REF!</definedName>
    <definedName name="Z_627E98CB_893D_11D2_9EFC_00C04FE0572F_.wvu.PrintTitles" hidden="1">#REF!</definedName>
    <definedName name="Z_66231A85_C0F1_11D2_B93B_0050040AC227_.wvu.FilterData" hidden="1">#REF!</definedName>
    <definedName name="Z_66231A86_C0F1_11D2_B93B_0050040AC227_.wvu.FilterData" hidden="1">#REF!</definedName>
    <definedName name="Z_6DFA7DCF_3C08_11D1_BDBE_0020AF42250B_.wvu.PrintArea" hidden="1">#REF!</definedName>
    <definedName name="Z_6DFA7DCF_3C08_11D1_BDBE_0020AF42250B_.wvu.PrintTitles" hidden="1">#REF!</definedName>
    <definedName name="Z_6DFA7DD9_3C08_11D1_BDBE_0020AF42250B_.wvu.Cols" hidden="1">#REF!,#REF!,#REF!</definedName>
    <definedName name="Z_6DFA7DD9_3C08_11D1_BDBE_0020AF42250B_.wvu.PrintArea" hidden="1">#REF!</definedName>
    <definedName name="Z_6DFA7DD9_3C08_11D1_BDBE_0020AF42250B_.wvu.PrintTitles" hidden="1">#REF!</definedName>
    <definedName name="Z_6DFA7DDA_3C08_11D1_BDBE_0020AF42250B_.wvu.Cols" hidden="1">#REF!,#REF!,#REF!</definedName>
    <definedName name="Z_6DFA7DDA_3C08_11D1_BDBE_0020AF42250B_.wvu.PrintArea" hidden="1">#REF!</definedName>
    <definedName name="Z_6DFA7DDA_3C08_11D1_BDBE_0020AF42250B_.wvu.PrintTitles" hidden="1">#REF!</definedName>
    <definedName name="Z_6DFA7DDC_3C08_11D1_BDBE_0020AF42250B_.wvu.Cols" hidden="1">#REF!,#REF!,#REF!,#REF!</definedName>
    <definedName name="Z_6DFA7DDC_3C08_11D1_BDBE_0020AF42250B_.wvu.PrintArea" hidden="1">#REF!</definedName>
    <definedName name="Z_6DFA7DDC_3C08_11D1_BDBE_0020AF42250B_.wvu.PrintTitles" hidden="1">#REF!</definedName>
    <definedName name="Z_6DFA7DDD_3C08_11D1_BDBE_0020AF42250B_.wvu.Cols" hidden="1">#REF!,#REF!,#REF!</definedName>
    <definedName name="Z_6DFA7DDD_3C08_11D1_BDBE_0020AF42250B_.wvu.PrintArea" hidden="1">#REF!</definedName>
    <definedName name="Z_6DFA7DDD_3C08_11D1_BDBE_0020AF42250B_.wvu.PrintTitles" hidden="1">#REF!</definedName>
    <definedName name="Z_6DFA7DDE_3C08_11D1_BDBE_0020AF42250B_.wvu.Cols" hidden="1">#REF!,#REF!</definedName>
    <definedName name="Z_6DFA7DDE_3C08_11D1_BDBE_0020AF42250B_.wvu.PrintArea" hidden="1">#REF!</definedName>
    <definedName name="Z_6DFA7DDE_3C08_11D1_BDBE_0020AF42250B_.wvu.PrintTitles" hidden="1">#REF!</definedName>
    <definedName name="Z_6DFA7DDF_3C08_11D1_BDBE_0020AF42250B_.wvu.Cols" hidden="1">#REF!,#REF!,#REF!</definedName>
    <definedName name="Z_6DFA7DDF_3C08_11D1_BDBE_0020AF42250B_.wvu.PrintArea" hidden="1">#REF!</definedName>
    <definedName name="Z_6DFA7DDF_3C08_11D1_BDBE_0020AF42250B_.wvu.PrintTitles" hidden="1">#REF!</definedName>
    <definedName name="Z_6DFA7DE0_3C08_11D1_BDBE_0020AF42250B_.wvu.Cols" hidden="1">#REF!,#REF!,#REF!,#REF!</definedName>
    <definedName name="Z_6DFA7DE0_3C08_11D1_BDBE_0020AF42250B_.wvu.PrintArea" hidden="1">#REF!</definedName>
    <definedName name="Z_6DFA7DE0_3C08_11D1_BDBE_0020AF42250B_.wvu.PrintTitles" hidden="1">#REF!</definedName>
    <definedName name="Z_6DFA7DE5_3C08_11D1_BDBE_0020AF42250B_.wvu.Cols" hidden="1">#REF!,#REF!,#REF!</definedName>
    <definedName name="Z_6DFA7DE5_3C08_11D1_BDBE_0020AF42250B_.wvu.PrintArea" hidden="1">#REF!</definedName>
    <definedName name="Z_6DFA7DE5_3C08_11D1_BDBE_0020AF42250B_.wvu.PrintTitles" hidden="1">#REF!</definedName>
    <definedName name="Z_6DFA7DE6_3C08_11D1_BDBE_0020AF42250B_.wvu.Cols" hidden="1">#REF!,#REF!,#REF!</definedName>
    <definedName name="Z_6DFA7DE6_3C08_11D1_BDBE_0020AF42250B_.wvu.PrintArea" hidden="1">#REF!</definedName>
    <definedName name="Z_6DFA7DE6_3C08_11D1_BDBE_0020AF42250B_.wvu.PrintTitles" hidden="1">#REF!</definedName>
    <definedName name="Z_6ECC8A59_F873_11D0_BD29_0020AF42250B_.wvu.Cols" hidden="1">#REF!,#REF!,#REF!</definedName>
    <definedName name="Z_6ECC8A5A_F873_11D0_BD29_0020AF42250B_.wvu.Cols" hidden="1">#REF!,#REF!,#REF!</definedName>
    <definedName name="Z_6ECC8A5C_F873_11D0_BD29_0020AF42250B_.wvu.Cols" hidden="1">#REF!,#REF!,#REF!,#REF!</definedName>
    <definedName name="Z_6ECC8A5D_F873_11D0_BD29_0020AF42250B_.wvu.Cols" hidden="1">#REF!,#REF!,#REF!</definedName>
    <definedName name="Z_6ECC8A5E_F873_11D0_BD29_0020AF42250B_.wvu.Cols" hidden="1">#REF!,#REF!</definedName>
    <definedName name="Z_6ECC8A5F_F873_11D0_BD29_0020AF42250B_.wvu.Cols" hidden="1">#REF!,#REF!,#REF!</definedName>
    <definedName name="Z_6ECC8A60_F873_11D0_BD29_0020AF42250B_.wvu.Cols" hidden="1">#REF!,#REF!,#REF!,#REF!,#REF!,#REF!,#REF!</definedName>
    <definedName name="Z_6ECC8A65_F873_11D0_BD29_0020AF42250B_.wvu.Cols" hidden="1">#REF!,#REF!,#REF!</definedName>
    <definedName name="Z_6ECC8A66_F873_11D0_BD29_0020AF42250B_.wvu.Cols" hidden="1">#REF!,#REF!,#REF!</definedName>
    <definedName name="Z_6ECC8A90_F873_11D0_BD29_0020AF42250B_.wvu.PrintTitles" hidden="1">#REF!</definedName>
    <definedName name="Z_6ECC8A95_F873_11D0_BD29_0020AF42250B_.wvu.Cols" hidden="1">#REF!,#REF!,#REF!</definedName>
    <definedName name="Z_6ECC8A95_F873_11D0_BD29_0020AF42250B_.wvu.PrintArea" hidden="1">#REF!</definedName>
    <definedName name="Z_6ECC8A95_F873_11D0_BD29_0020AF42250B_.wvu.PrintTitles" hidden="1">#REF!</definedName>
    <definedName name="Z_78846D24_6B2D_11D1_8188_004C06C10000_.wvu.Cols" hidden="1">#REF!</definedName>
    <definedName name="Z_7A335D06_3E2B_11D5_982F_00B0D0A6BCF2_.wvu.PrintArea" hidden="1">#REF!</definedName>
    <definedName name="Z_7DE7B4CF_4CBE_11D2_B93D_00C04F7ADD59_.wvu.Cols" hidden="1">#REF!,#REF!</definedName>
    <definedName name="Z_7DE7B4D0_4CBE_11D2_B93D_00C04F7ADD59_.wvu.Cols" hidden="1">#REF!,#REF!</definedName>
    <definedName name="Z_7DE7B4D0_4CBE_11D2_B93D_00C04F7ADD59_.wvu.Rows" hidden="1">#REF!,#REF!,#REF!,#REF!,#REF!,#REF!</definedName>
    <definedName name="Z_7DE7B4D1_4CBE_11D2_B93D_00C04F7ADD59_.wvu.Cols" hidden="1">#REF!,#REF!</definedName>
    <definedName name="Z_7DE7B4D1_4CBE_11D2_B93D_00C04F7ADD59_.wvu.Rows" hidden="1">#REF!,#REF!,#REF!,#REF!,#REF!,#REF!,#REF!,#REF!,#REF!</definedName>
    <definedName name="Z_7DE7B4D2_4CBE_11D2_B93D_00C04F7ADD59_.wvu.Cols" hidden="1">#REF!,#REF!</definedName>
    <definedName name="Z_7DE7B4D2_4CBE_11D2_B93D_00C04F7ADD59_.wvu.Rows" hidden="1">#REF!,#REF!,#REF!,#REF!,#REF!,#REF!,#REF!,#REF!,#REF!</definedName>
    <definedName name="Z_7DE7B4D3_4CBE_11D2_B93D_00C04F7ADD59_.wvu.Cols" hidden="1">#REF!,#REF!</definedName>
    <definedName name="Z_7DE7B4D3_4CBE_11D2_B93D_00C04F7ADD59_.wvu.Rows" hidden="1">#REF!,#REF!,#REF!,#REF!,#REF!</definedName>
    <definedName name="Z_7DE7B4D4_4CBE_11D2_B93D_00C04F7ADD59_.wvu.Cols" hidden="1">#REF!,#REF!</definedName>
    <definedName name="Z_7DE7B4D4_4CBE_11D2_B93D_00C04F7ADD59_.wvu.Rows" hidden="1">#REF!,#REF!,#REF!,#REF!,#REF!,#REF!,#REF!,#REF!,#REF!,#REF!</definedName>
    <definedName name="Z_7DE7B4D5_4CBE_11D2_B93D_00C04F7ADD59_.wvu.Cols" hidden="1">#REF!,#REF!</definedName>
    <definedName name="Z_7DE7B4D6_4CBE_11D2_B93D_00C04F7ADD59_.wvu.Cols" hidden="1">#REF!,#REF!</definedName>
    <definedName name="Z_7DE7B4D6_4CBE_11D2_B93D_00C04F7ADD59_.wvu.Rows" hidden="1">#REF!,#REF!</definedName>
    <definedName name="Z_7DE7B4D7_4CBE_11D2_B93D_00C04F7ADD59_.wvu.Cols" hidden="1">#REF!,#REF!</definedName>
    <definedName name="Z_8723E284_6CA3_11D1_8188_004C06C10000_.wvu.Cols" hidden="1">#REF!</definedName>
    <definedName name="Z_9823FC40_2CCD_11D4_96C6_00C0F02765DE_.wvu.PrintArea" hidden="1">#REF!</definedName>
    <definedName name="Z_9823FC40_2CCD_11D4_96C6_00C0F02765DE_.wvu.PrintTitles" hidden="1">#REF!</definedName>
    <definedName name="Z_9823FC40_2CCD_11D4_96C6_00C0F02765DE_.wvu.Rows" hidden="1">#REF!,#REF!,#REF!,#REF!,#REF!,#REF!,#REF!,#REF!,#REF!,#REF!,#REF!,#REF!,#REF!,#REF!,#REF!,#REF!,#REF!,#REF!,#REF!,#REF!</definedName>
    <definedName name="Z_995DB91B_DC87_11D2_BCA9_00C04F8BBE86_.wvu.PrintArea" hidden="1">#REF!</definedName>
    <definedName name="Z_995DB91E_DC87_11D2_BCA9_00C04F8BBE86_.wvu.Cols" hidden="1">#REF!</definedName>
    <definedName name="Z_995DB91E_DC87_11D2_BCA9_00C04F8BBE86_.wvu.PrintArea" hidden="1">#REF!</definedName>
    <definedName name="Z_995DB91E_DC87_11D2_BCA9_00C04F8BBE86_.wvu.Rows" hidden="1">#REF!</definedName>
    <definedName name="Z_995DB91F_DC87_11D2_BCA9_00C04F8BBE86_.wvu.Cols" hidden="1">#REF!,#REF!,#REF!</definedName>
    <definedName name="Z_995DB91F_DC87_11D2_BCA9_00C04F8BBE86_.wvu.PrintArea" hidden="1">#REF!</definedName>
    <definedName name="Z_995DB91F_DC87_11D2_BCA9_00C04F8BBE86_.wvu.Rows" hidden="1">#REF!,#REF!</definedName>
    <definedName name="Z_9A8750D3_468A_11D3_8ECF_00C04F9226C7_.wvu.Cols" hidden="1">#REF!,#REF!,#REF!</definedName>
    <definedName name="Z_9A8750D3_468A_11D3_8ECF_00C04F9226C7_.wvu.PrintArea" hidden="1">#REF!</definedName>
    <definedName name="Z_9A8750D3_468A_11D3_8ECF_00C04F9226C7_.wvu.Rows" hidden="1">#REF!</definedName>
    <definedName name="Z_9C764411_CC6B_11D4_A50D_00010277FBAA_.wvu.PrintArea" hidden="1">#REF!</definedName>
    <definedName name="Z_A2426FEA_B812_466E_AD56_91907F9FA6F0_.wvu.PrintArea" hidden="1">#REF!</definedName>
    <definedName name="Z_A73E33D1_2630_11D1_BD91_0020AF42250B_.wvu.Cols" hidden="1">#REF!,#REF!,#REF!</definedName>
    <definedName name="Z_A73E33D2_2630_11D1_BD91_0020AF42250B_.wvu.Cols" hidden="1">#REF!,#REF!,#REF!</definedName>
    <definedName name="Z_A73E33D4_2630_11D1_BD91_0020AF42250B_.wvu.Cols" hidden="1">#REF!,#REF!,#REF!,#REF!</definedName>
    <definedName name="Z_A73E33D5_2630_11D1_BD91_0020AF42250B_.wvu.Cols" hidden="1">#REF!,#REF!,#REF!</definedName>
    <definedName name="Z_A73E33D6_2630_11D1_BD91_0020AF42250B_.wvu.Cols" hidden="1">#REF!,#REF!</definedName>
    <definedName name="Z_A73E33D7_2630_11D1_BD91_0020AF42250B_.wvu.Cols" hidden="1">#REF!,#REF!,#REF!</definedName>
    <definedName name="Z_A73E33D8_2630_11D1_BD91_0020AF42250B_.wvu.Cols" hidden="1">#REF!,#REF!,#REF!,#REF!</definedName>
    <definedName name="Z_A73E33DD_2630_11D1_BD91_0020AF42250B_.wvu.Cols" hidden="1">#REF!,#REF!,#REF!</definedName>
    <definedName name="Z_A73E33DE_2630_11D1_BD91_0020AF42250B_.wvu.Cols" hidden="1">#REF!,#REF!,#REF!</definedName>
    <definedName name="Z_A99CC723_C1C7_11D2_B941_0050040AC228_.wvu.FilterData" hidden="1">#REF!</definedName>
    <definedName name="Z_A99CC729_C1C7_11D2_B941_0050040AC228_.wvu.FilterData" hidden="1">#REF!</definedName>
    <definedName name="Z_A99CC733_C1C7_11D2_B941_0050040AC228_.wvu.FilterData" hidden="1">#REF!</definedName>
    <definedName name="Z_A99CC736_C1C7_11D2_B941_0050040AC228_.wvu.FilterData" hidden="1">#REF!</definedName>
    <definedName name="Z_AD027187_6CF8_4425_9630_861DCEA3DE65_.wvu.Rows" hidden="1">#REF!,#REF!,#REF!,#REF!,#REF!,#REF!</definedName>
    <definedName name="Z_B3F6EA45_C4B0_11D6_A93C_F3538214D62E_.wvu.Cols" hidden="1">#REF!</definedName>
    <definedName name="Z_B3F6EA45_C4B0_11D6_A93C_F3538214D62E_.wvu.PrintArea" hidden="1">#REF!</definedName>
    <definedName name="Z_B3F6EA45_C4B0_11D6_A93C_F3538214D62E_.wvu.PrintTitles" hidden="1">#REF!</definedName>
    <definedName name="Z_B3F6EA45_C4B0_11D6_A93C_F3538214D62E_.wvu.Rows" hidden="1">#REF!,#REF!,#REF!</definedName>
    <definedName name="Z_B47DD997_1976_11D1_BD7C_0020AF42250B_.wvu.Cols" hidden="1">#REF!,#REF!,#REF!</definedName>
    <definedName name="Z_B47DD998_1976_11D1_BD7C_0020AF42250B_.wvu.Cols" hidden="1">#REF!,#REF!,#REF!</definedName>
    <definedName name="Z_B47DD99A_1976_11D1_BD7C_0020AF42250B_.wvu.Cols" hidden="1">#REF!,#REF!,#REF!,#REF!</definedName>
    <definedName name="Z_B47DD99B_1976_11D1_BD7C_0020AF42250B_.wvu.Cols" hidden="1">#REF!,#REF!,#REF!</definedName>
    <definedName name="Z_B47DD99C_1976_11D1_BD7C_0020AF42250B_.wvu.Cols" hidden="1">#REF!,#REF!</definedName>
    <definedName name="Z_B47DD99D_1976_11D1_BD7C_0020AF42250B_.wvu.Cols" hidden="1">#REF!,#REF!,#REF!</definedName>
    <definedName name="Z_B47DD99E_1976_11D1_BD7C_0020AF42250B_.wvu.Cols" hidden="1">#REF!,#REF!,#REF!,#REF!</definedName>
    <definedName name="Z_B47DD9A3_1976_11D1_BD7C_0020AF42250B_.wvu.Cols" hidden="1">#REF!,#REF!,#REF!</definedName>
    <definedName name="Z_B47DD9A4_1976_11D1_BD7C_0020AF42250B_.wvu.Cols" hidden="1">#REF!,#REF!,#REF!</definedName>
    <definedName name="Z_B6AE087C_DC06_11D2_BCA9_00C04F8BBE86_.wvu.Cols" hidden="1">#REF!,#REF!,#REF!,#REF!,#REF!</definedName>
    <definedName name="Z_B6AE087C_DC06_11D2_BCA9_00C04F8BBE86_.wvu.PrintArea" hidden="1">#REF!</definedName>
    <definedName name="Z_B6AE087C_DC06_11D2_BCA9_00C04F8BBE86_.wvu.Rows" hidden="1">#REF!,#REF!</definedName>
    <definedName name="Z_C207A48F_3DC8_11D2_B93D_00C04F7ADD59_.wvu.Cols" hidden="1">#REF!,#REF!</definedName>
    <definedName name="Z_C207A490_3DC8_11D2_B93D_00C04F7ADD59_.wvu.Cols" hidden="1">#REF!,#REF!</definedName>
    <definedName name="Z_C207A490_3DC8_11D2_B93D_00C04F7ADD59_.wvu.Rows" hidden="1">#REF!,#REF!,#REF!,#REF!,#REF!,#REF!</definedName>
    <definedName name="Z_C207A491_3DC8_11D2_B93D_00C04F7ADD59_.wvu.Cols" hidden="1">#REF!,#REF!</definedName>
    <definedName name="Z_C207A491_3DC8_11D2_B93D_00C04F7ADD59_.wvu.Rows" hidden="1">#REF!,#REF!,#REF!,#REF!,#REF!,#REF!,#REF!,#REF!,#REF!</definedName>
    <definedName name="Z_C207A493_3DC8_11D2_B93D_00C04F7ADD59_.wvu.Cols" hidden="1">#REF!,#REF!</definedName>
    <definedName name="Z_C207A493_3DC8_11D2_B93D_00C04F7ADD59_.wvu.Rows" hidden="1">#REF!,#REF!,#REF!,#REF!,#REF!</definedName>
    <definedName name="Z_C207A494_3DC8_11D2_B93D_00C04F7ADD59_.wvu.Cols" hidden="1">#REF!,#REF!</definedName>
    <definedName name="Z_C207A494_3DC8_11D2_B93D_00C04F7ADD59_.wvu.Rows" hidden="1">#REF!,#REF!,#REF!,#REF!,#REF!,#REF!,#REF!,#REF!,#REF!,#REF!</definedName>
    <definedName name="Z_C207A495_3DC8_11D2_B93D_00C04F7ADD59_.wvu.Cols" hidden="1">#REF!,#REF!</definedName>
    <definedName name="Z_C207A496_3DC8_11D2_B93D_00C04F7ADD59_.wvu.Cols" hidden="1">#REF!,#REF!</definedName>
    <definedName name="Z_C207A496_3DC8_11D2_B93D_00C04F7ADD59_.wvu.Rows" hidden="1">#REF!,#REF!</definedName>
    <definedName name="Z_C207A497_3DC8_11D2_B93D_00C04F7ADD59_.wvu.Cols" hidden="1">#REF!,#REF!</definedName>
    <definedName name="Z_C313B3E8_4D4B_11D2_B93D_00C04F7ADD59_.wvu.Cols" hidden="1">#REF!,#REF!</definedName>
    <definedName name="Z_C313B3E9_4D4B_11D2_B93D_00C04F7ADD59_.wvu.Cols" hidden="1">#REF!,#REF!</definedName>
    <definedName name="Z_C313B3E9_4D4B_11D2_B93D_00C04F7ADD59_.wvu.Rows" hidden="1">#REF!,#REF!,#REF!,#REF!,#REF!,#REF!</definedName>
    <definedName name="Z_C313B3EA_4D4B_11D2_B93D_00C04F7ADD59_.wvu.Cols" hidden="1">#REF!,#REF!</definedName>
    <definedName name="Z_C313B3EA_4D4B_11D2_B93D_00C04F7ADD59_.wvu.Rows" hidden="1">#REF!,#REF!,#REF!,#REF!,#REF!,#REF!,#REF!,#REF!,#REF!</definedName>
    <definedName name="Z_C313B3EB_4D4B_11D2_B93D_00C04F7ADD59_.wvu.Cols" hidden="1">#REF!,#REF!</definedName>
    <definedName name="Z_C313B3EB_4D4B_11D2_B93D_00C04F7ADD59_.wvu.Rows" hidden="1">#REF!,#REF!,#REF!,#REF!,#REF!,#REF!,#REF!,#REF!,#REF!</definedName>
    <definedName name="Z_C313B3EC_4D4B_11D2_B93D_00C04F7ADD59_.wvu.Cols" hidden="1">#REF!,#REF!</definedName>
    <definedName name="Z_C313B3EC_4D4B_11D2_B93D_00C04F7ADD59_.wvu.Rows" hidden="1">#REF!,#REF!,#REF!,#REF!,#REF!</definedName>
    <definedName name="Z_C313B3ED_4D4B_11D2_B93D_00C04F7ADD59_.wvu.Cols" hidden="1">#REF!,#REF!</definedName>
    <definedName name="Z_C313B3ED_4D4B_11D2_B93D_00C04F7ADD59_.wvu.Rows" hidden="1">#REF!,#REF!,#REF!,#REF!,#REF!,#REF!,#REF!,#REF!,#REF!,#REF!</definedName>
    <definedName name="Z_C313B3EE_4D4B_11D2_B93D_00C04F7ADD59_.wvu.Cols" hidden="1">#REF!,#REF!</definedName>
    <definedName name="Z_C313B3EF_4D4B_11D2_B93D_00C04F7ADD59_.wvu.Cols" hidden="1">#REF!,#REF!</definedName>
    <definedName name="Z_C313B3EF_4D4B_11D2_B93D_00C04F7ADD59_.wvu.Rows" hidden="1">#REF!,#REF!</definedName>
    <definedName name="Z_C313B3F0_4D4B_11D2_B93D_00C04F7ADD59_.wvu.Cols" hidden="1">#REF!,#REF!</definedName>
    <definedName name="Z_C9FB2A72_5C56_11D3_AD66_0050040A13CD_.wvu.PrintArea" hidden="1">#REF!</definedName>
    <definedName name="Z_C9FB2A72_5C56_11D3_AD66_0050040A13CD_.wvu.PrintTitles" hidden="1">#REF!</definedName>
    <definedName name="Z_C9FB2A73_5C56_11D3_AD66_0050040A13CD_.wvu.PrintArea" hidden="1">#REF!</definedName>
    <definedName name="Z_C9FB2A73_5C56_11D3_AD66_0050040A13CD_.wvu.PrintTitles" hidden="1">#REF!</definedName>
    <definedName name="Z_C9FB2A75_5C56_11D3_AD66_0050040A13CD_.wvu.PrintArea" hidden="1">#REF!</definedName>
    <definedName name="Z_C9FB2A75_5C56_11D3_AD66_0050040A13CD_.wvu.PrintTitles" hidden="1">#REF!</definedName>
    <definedName name="Z_C9FB2A76_5C56_11D3_AD66_0050040A13CD_.wvu.PrintArea" hidden="1">#REF!</definedName>
    <definedName name="Z_C9FB2A76_5C56_11D3_AD66_0050040A13CD_.wvu.PrintTitles" hidden="1">#REF!</definedName>
    <definedName name="Z_C9FB2A77_5C56_11D3_AD66_0050040A13CD_.wvu.PrintArea" hidden="1">#REF!</definedName>
    <definedName name="Z_C9FB2A77_5C56_11D3_AD66_0050040A13CD_.wvu.PrintTitles" hidden="1">#REF!</definedName>
    <definedName name="Z_C9FB2A79_5C56_11D3_AD66_0050040A13CD_.wvu.PrintArea" hidden="1">#REF!</definedName>
    <definedName name="Z_C9FB2A79_5C56_11D3_AD66_0050040A13CD_.wvu.PrintTitles" hidden="1">#REF!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_D782F750_C0FB_11D2_B941_0050040AC228_.wvu.FilterData" hidden="1">#REF!</definedName>
    <definedName name="Z_DC379DF6_BBB3_11D2_B93F_0050040AC228_.wvu.FilterData" hidden="1">#REF!</definedName>
    <definedName name="Z_ED7DF65E_BB85_11D2_B93F_0050040AC228_.wvu.FilterData" hidden="1">#REF!</definedName>
    <definedName name="Z_F14718EE_5AC2_11D3_AD63_0050040A13CD_.wvu.PrintArea" hidden="1">#REF!</definedName>
    <definedName name="Z_F14718EF_5AC2_11D3_AD63_0050040A13CD_.wvu.PrintArea" hidden="1">#REF!</definedName>
    <definedName name="Z_F14718F1_5AC2_11D3_AD63_0050040A13CD_.wvu.PrintArea" hidden="1">#REF!</definedName>
    <definedName name="Z_F14718F2_5AC2_11D3_AD63_0050040A13CD_.wvu.PrintArea" hidden="1">#REF!</definedName>
    <definedName name="Z_F14718F3_5AC2_11D3_AD63_0050040A13CD_.wvu.PrintArea" hidden="1">#REF!</definedName>
    <definedName name="Z_F14718F5_5AC2_11D3_AD63_0050040A13CD_.wvu.PrintArea" hidden="1">#REF!</definedName>
    <definedName name="Z_F1471909_5AC2_11D3_AD63_0050040A13CD_.wvu.PrintArea" hidden="1">#REF!</definedName>
    <definedName name="Z_F1471909_5AC2_11D3_AD63_0050040A13CD_.wvu.PrintTitles" hidden="1">#REF!</definedName>
    <definedName name="Z_F147190A_5AC2_11D3_AD63_0050040A13CD_.wvu.PrintArea" hidden="1">#REF!</definedName>
    <definedName name="Z_F147190A_5AC2_11D3_AD63_0050040A13CD_.wvu.PrintTitles" hidden="1">#REF!</definedName>
    <definedName name="Z_F147190C_5AC2_11D3_AD63_0050040A13CD_.wvu.PrintArea" hidden="1">#REF!</definedName>
    <definedName name="Z_F147190C_5AC2_11D3_AD63_0050040A13CD_.wvu.PrintTitles" hidden="1">#REF!</definedName>
    <definedName name="Z_F147190D_5AC2_11D3_AD63_0050040A13CD_.wvu.PrintArea" hidden="1">#REF!</definedName>
    <definedName name="Z_F147190D_5AC2_11D3_AD63_0050040A13CD_.wvu.PrintTitles" hidden="1">#REF!</definedName>
    <definedName name="Z_F147190E_5AC2_11D3_AD63_0050040A13CD_.wvu.PrintArea" hidden="1">#REF!</definedName>
    <definedName name="Z_F147190E_5AC2_11D3_AD63_0050040A13CD_.wvu.PrintTitles" hidden="1">#REF!</definedName>
    <definedName name="Z_F1471910_5AC2_11D3_AD63_0050040A13CD_.wvu.PrintArea" hidden="1">#REF!</definedName>
    <definedName name="Z_F1471910_5AC2_11D3_AD63_0050040A13CD_.wvu.PrintTitles" hidden="1">#REF!</definedName>
    <definedName name="Z_F1471912_5AC2_11D3_AD63_0050040A13CD_.wvu.PrintArea" hidden="1">#REF!</definedName>
    <definedName name="Z_F1471912_5AC2_11D3_AD63_0050040A13CD_.wvu.PrintTitles" hidden="1">#REF!</definedName>
    <definedName name="Z_F1471913_5AC2_11D3_AD63_0050040A13CD_.wvu.PrintArea" hidden="1">#REF!</definedName>
    <definedName name="Z_F1471913_5AC2_11D3_AD63_0050040A13CD_.wvu.PrintTitles" hidden="1">#REF!</definedName>
    <definedName name="Z_F1471915_5AC2_11D3_AD63_0050040A13CD_.wvu.PrintArea" hidden="1">#REF!</definedName>
    <definedName name="Z_F1471915_5AC2_11D3_AD63_0050040A13CD_.wvu.PrintTitles" hidden="1">#REF!</definedName>
    <definedName name="Z_F1471916_5AC2_11D3_AD63_0050040A13CD_.wvu.PrintArea" hidden="1">#REF!</definedName>
    <definedName name="Z_F1471916_5AC2_11D3_AD63_0050040A13CD_.wvu.PrintTitles" hidden="1">#REF!</definedName>
    <definedName name="Z_F1471917_5AC2_11D3_AD63_0050040A13CD_.wvu.PrintArea" hidden="1">#REF!</definedName>
    <definedName name="Z_F1471917_5AC2_11D3_AD63_0050040A13CD_.wvu.PrintTitles" hidden="1">#REF!</definedName>
    <definedName name="Z_F1471919_5AC2_11D3_AD63_0050040A13CD_.wvu.PrintArea" hidden="1">#REF!</definedName>
    <definedName name="Z_F1471919_5AC2_11D3_AD63_0050040A13CD_.wvu.PrintTitles" hidden="1">#REF!</definedName>
    <definedName name="Z_F2D042EF_2606_11D1_BD91_0020AF42250B_.wvu.Cols" hidden="1">#REF!,#REF!,#REF!</definedName>
    <definedName name="Z_F2D042F0_2606_11D1_BD91_0020AF42250B_.wvu.Cols" hidden="1">#REF!,#REF!,#REF!</definedName>
    <definedName name="Z_F2D042F2_2606_11D1_BD91_0020AF42250B_.wvu.Cols" hidden="1">#REF!,#REF!,#REF!,#REF!</definedName>
    <definedName name="Z_F2D042F3_2606_11D1_BD91_0020AF42250B_.wvu.Cols" hidden="1">#REF!,#REF!,#REF!</definedName>
    <definedName name="Z_F2D042F4_2606_11D1_BD91_0020AF42250B_.wvu.Cols" hidden="1">#REF!,#REF!</definedName>
    <definedName name="Z_F2D042F5_2606_11D1_BD91_0020AF42250B_.wvu.Cols" hidden="1">#REF!,#REF!,#REF!</definedName>
    <definedName name="Z_F2D042F6_2606_11D1_BD91_0020AF42250B_.wvu.Cols" hidden="1">#REF!,#REF!,#REF!,#REF!</definedName>
    <definedName name="Z_F2D042FB_2606_11D1_BD91_0020AF42250B_.wvu.Cols" hidden="1">#REF!,#REF!,#REF!</definedName>
    <definedName name="Z_F2D042FC_2606_11D1_BD91_0020AF42250B_.wvu.Cols" hidden="1">#REF!,#REF!,#REF!</definedName>
    <definedName name="Z_F4D26AD1_3E1A_11D5_A9C5_00A0C91596F2_.wvu.PrintArea" hidden="1">#REF!</definedName>
    <definedName name="Z_FAFA6ED0_0531_11D1_BD56_0020AF42250B_.wvu.Cols" hidden="1">#REF!,#REF!,#REF!,#REF!</definedName>
    <definedName name="Z_FAFA6ED0_0531_11D1_BD56_0020AF42250B_.wvu.PrintArea" hidden="1">#REF!</definedName>
    <definedName name="Z_FAFA6ED0_0531_11D1_BD56_0020AF42250B_.wvu.PrintTitles" hidden="1">#REF!</definedName>
    <definedName name="Z_FAFA6ED1_0531_11D1_BD56_0020AF42250B_.wvu.Cols" hidden="1">#REF!,#REF!,#REF!</definedName>
    <definedName name="Z_FAFA6ED1_0531_11D1_BD56_0020AF42250B_.wvu.PrintArea" hidden="1">#REF!</definedName>
    <definedName name="Z_FAFA6ED1_0531_11D1_BD56_0020AF42250B_.wvu.PrintTitles" hidden="1">#REF!</definedName>
    <definedName name="Zahlung_an_Eigent.">#REF!</definedName>
    <definedName name="zdfgxzdfg" hidden="1">{"ReportTop",#N/A,FALSE,"report top"}</definedName>
    <definedName name="ZERTRET" hidden="1">#REF!</definedName>
    <definedName name="znzcv" hidden="1">{#VALUE!,#N/A,FALSE,0}</definedName>
    <definedName name="Zortnew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ZPRINT">#REF!</definedName>
    <definedName name="ZPRINT01">#REF!</definedName>
    <definedName name="ZPRINTCHOICE">#REF!</definedName>
    <definedName name="zs" hidden="1">{"FCB_ALL",#N/A,FALSE,"FCB"}</definedName>
    <definedName name="zsdas" hidden="1">{"FCB_ALL",#N/A,FALSE,"FCB"}</definedName>
    <definedName name="zv" hidden="1">{#VALUE!,#N/A,FALSE,0}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xc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zxczz" hidden="1">{"FCB_ALL",#N/A,FALSE,"FCB"}</definedName>
    <definedName name="zz" hidden="1">{#N/A,#N/A,FALSE,"Project Properties";#N/A,#N/A,FALSE,"Eng %";#N/A,#N/A,FALSE,"ENGFORM";#N/A,#N/A,FALSE,"staffing";#N/A,#N/A,FALSE,"spending"}</definedName>
    <definedName name="zzz" hidden="1">{#N/A,#N/A,FALSE,"ZellLurieFinSummary";#N/A,#N/A,FALSE,"FirstCapFinSummary";#N/A,#N/A,FALSE,"ZM I-III Consol FinSummary"}</definedName>
    <definedName name="zzzz" hidden="1">{"Commish",#N/A,FALSE,"LAWTC"}</definedName>
    <definedName name="zzzz_1" hidden="1">{"Commish",#N/A,FALSE,"LAWTC"}</definedName>
    <definedName name="着¤op_13">#REF!</definedName>
    <definedName name="鶰¤op_13">#REF!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2" i="63" l="1"/>
  <c r="AM12" i="63" s="1"/>
  <c r="AN12" i="63" s="1"/>
  <c r="AO12" i="63" s="1"/>
  <c r="AK12" i="63"/>
  <c r="AJ12" i="63"/>
  <c r="AJ8" i="63"/>
  <c r="AI8" i="63" s="1"/>
  <c r="AK8" i="63"/>
  <c r="AM8" i="63"/>
  <c r="AN8" i="63" s="1"/>
  <c r="AO8" i="63" s="1"/>
  <c r="V47" i="63"/>
  <c r="M28" i="63"/>
  <c r="M29" i="63" s="1"/>
  <c r="M30" i="63" s="1"/>
  <c r="F36" i="63"/>
  <c r="AK10" i="63"/>
  <c r="AJ10" i="63"/>
  <c r="AI10" i="63" s="1"/>
  <c r="AM10" i="63"/>
  <c r="AN10" i="63" s="1"/>
  <c r="AO10" i="63" s="1"/>
  <c r="FF132" i="63"/>
  <c r="FE132" i="63"/>
  <c r="FD132" i="63"/>
  <c r="FC132" i="63"/>
  <c r="FB132" i="63"/>
  <c r="FA132" i="63"/>
  <c r="EZ132" i="63"/>
  <c r="EY132" i="63"/>
  <c r="EX132" i="63"/>
  <c r="EW132" i="63"/>
  <c r="EV132" i="63"/>
  <c r="EU132" i="63"/>
  <c r="ET132" i="63"/>
  <c r="ES132" i="63"/>
  <c r="ER132" i="63"/>
  <c r="EQ132" i="63"/>
  <c r="EP132" i="63"/>
  <c r="EO132" i="63"/>
  <c r="EN132" i="63"/>
  <c r="EM132" i="63"/>
  <c r="EL132" i="63"/>
  <c r="EK132" i="63"/>
  <c r="EJ132" i="63"/>
  <c r="EI132" i="63"/>
  <c r="EH132" i="63"/>
  <c r="EG132" i="63"/>
  <c r="EF132" i="63"/>
  <c r="EE132" i="63"/>
  <c r="ED132" i="63"/>
  <c r="EC132" i="63"/>
  <c r="EB132" i="63"/>
  <c r="EA132" i="63"/>
  <c r="DZ132" i="63"/>
  <c r="DY132" i="63"/>
  <c r="DX132" i="63"/>
  <c r="DW132" i="63"/>
  <c r="DV132" i="63"/>
  <c r="DU132" i="63"/>
  <c r="DT132" i="63"/>
  <c r="DS132" i="63"/>
  <c r="DR132" i="63"/>
  <c r="DQ132" i="63"/>
  <c r="DP132" i="63"/>
  <c r="DO132" i="63"/>
  <c r="DN132" i="63"/>
  <c r="DM132" i="63"/>
  <c r="DL132" i="63"/>
  <c r="DK132" i="63"/>
  <c r="DJ132" i="63"/>
  <c r="DI132" i="63"/>
  <c r="DH132" i="63"/>
  <c r="DG132" i="63"/>
  <c r="DF132" i="63"/>
  <c r="DE132" i="63"/>
  <c r="DD132" i="63"/>
  <c r="DC132" i="63"/>
  <c r="DB132" i="63"/>
  <c r="DA132" i="63"/>
  <c r="CZ132" i="63"/>
  <c r="CY132" i="63"/>
  <c r="CX132" i="63"/>
  <c r="CW132" i="63"/>
  <c r="CV132" i="63"/>
  <c r="CU132" i="63"/>
  <c r="CT132" i="63"/>
  <c r="CS132" i="63"/>
  <c r="CR132" i="63"/>
  <c r="CQ132" i="63"/>
  <c r="CP132" i="63"/>
  <c r="CO132" i="63"/>
  <c r="CN132" i="63"/>
  <c r="CM132" i="63"/>
  <c r="CL132" i="63"/>
  <c r="CK132" i="63"/>
  <c r="CJ132" i="63"/>
  <c r="CI132" i="63"/>
  <c r="CH132" i="63"/>
  <c r="CG132" i="63"/>
  <c r="CF132" i="63"/>
  <c r="CE132" i="63"/>
  <c r="CD132" i="63"/>
  <c r="CC132" i="63"/>
  <c r="CB132" i="63"/>
  <c r="CA132" i="63"/>
  <c r="BZ132" i="63"/>
  <c r="BY132" i="63"/>
  <c r="BX132" i="63"/>
  <c r="BW132" i="63"/>
  <c r="BV132" i="63"/>
  <c r="BU132" i="63"/>
  <c r="BT132" i="63"/>
  <c r="BS132" i="63"/>
  <c r="BR132" i="63"/>
  <c r="BQ132" i="63"/>
  <c r="BP132" i="63"/>
  <c r="BO132" i="63"/>
  <c r="BN132" i="63"/>
  <c r="BM132" i="63"/>
  <c r="BL132" i="63"/>
  <c r="BK132" i="63"/>
  <c r="BJ132" i="63"/>
  <c r="BI132" i="63"/>
  <c r="BH132" i="63"/>
  <c r="BG132" i="63"/>
  <c r="BF132" i="63"/>
  <c r="BE132" i="63"/>
  <c r="BD132" i="63"/>
  <c r="BC132" i="63"/>
  <c r="BB132" i="63"/>
  <c r="BA132" i="63"/>
  <c r="AZ132" i="63"/>
  <c r="AY132" i="63"/>
  <c r="AX132" i="63"/>
  <c r="AW132" i="63"/>
  <c r="AV132" i="63"/>
  <c r="AU132" i="63"/>
  <c r="AT132" i="63"/>
  <c r="AS132" i="63"/>
  <c r="AR132" i="63"/>
  <c r="AQ132" i="63"/>
  <c r="AP132" i="63"/>
  <c r="AO132" i="63"/>
  <c r="AN132" i="63"/>
  <c r="AM132" i="63"/>
  <c r="AL132" i="63"/>
  <c r="AK132" i="63"/>
  <c r="AJ132" i="63"/>
  <c r="AI132" i="63"/>
  <c r="AH132" i="63"/>
  <c r="AG132" i="63"/>
  <c r="AF132" i="63"/>
  <c r="AE132" i="63"/>
  <c r="AD132" i="63"/>
  <c r="AC132" i="63"/>
  <c r="AB132" i="63"/>
  <c r="AA132" i="63"/>
  <c r="Z132" i="63"/>
  <c r="Y132" i="63"/>
  <c r="X132" i="63"/>
  <c r="W132" i="63"/>
  <c r="V132" i="63"/>
  <c r="U132" i="63"/>
  <c r="T132" i="63"/>
  <c r="S132" i="63"/>
  <c r="R132" i="63"/>
  <c r="Q132" i="63"/>
  <c r="P132" i="63"/>
  <c r="O132" i="63"/>
  <c r="N132" i="63"/>
  <c r="M132" i="63"/>
  <c r="L132" i="63"/>
  <c r="K132" i="63"/>
  <c r="J132" i="63"/>
  <c r="I132" i="63"/>
  <c r="H132" i="63"/>
  <c r="G132" i="63"/>
  <c r="F132" i="63"/>
  <c r="FF131" i="63"/>
  <c r="FE131" i="63"/>
  <c r="FD131" i="63"/>
  <c r="FC131" i="63"/>
  <c r="FB131" i="63"/>
  <c r="FA131" i="63"/>
  <c r="EZ131" i="63"/>
  <c r="EY131" i="63"/>
  <c r="EX131" i="63"/>
  <c r="EW131" i="63"/>
  <c r="EV131" i="63"/>
  <c r="EU131" i="63"/>
  <c r="ET131" i="63"/>
  <c r="ES131" i="63"/>
  <c r="ER131" i="63"/>
  <c r="EQ131" i="63"/>
  <c r="EP131" i="63"/>
  <c r="EO131" i="63"/>
  <c r="EN131" i="63"/>
  <c r="EM131" i="63"/>
  <c r="EL131" i="63"/>
  <c r="EK131" i="63"/>
  <c r="EJ131" i="63"/>
  <c r="EI131" i="63"/>
  <c r="EH131" i="63"/>
  <c r="EG131" i="63"/>
  <c r="EF131" i="63"/>
  <c r="EE131" i="63"/>
  <c r="ED131" i="63"/>
  <c r="EC131" i="63"/>
  <c r="EB131" i="63"/>
  <c r="EA131" i="63"/>
  <c r="DZ131" i="63"/>
  <c r="DY131" i="63"/>
  <c r="DX131" i="63"/>
  <c r="DW131" i="63"/>
  <c r="DV131" i="63"/>
  <c r="DU131" i="63"/>
  <c r="DT131" i="63"/>
  <c r="DS131" i="63"/>
  <c r="DR131" i="63"/>
  <c r="DQ131" i="63"/>
  <c r="DP131" i="63"/>
  <c r="DO131" i="63"/>
  <c r="DN131" i="63"/>
  <c r="DM131" i="63"/>
  <c r="DL131" i="63"/>
  <c r="DK131" i="63"/>
  <c r="DJ131" i="63"/>
  <c r="DI131" i="63"/>
  <c r="DH131" i="63"/>
  <c r="DG131" i="63"/>
  <c r="DF131" i="63"/>
  <c r="DE131" i="63"/>
  <c r="DD131" i="63"/>
  <c r="DC131" i="63"/>
  <c r="DB131" i="63"/>
  <c r="DA131" i="63"/>
  <c r="CZ131" i="63"/>
  <c r="CY131" i="63"/>
  <c r="CX131" i="63"/>
  <c r="CW131" i="63"/>
  <c r="CV131" i="63"/>
  <c r="CU131" i="63"/>
  <c r="CT131" i="63"/>
  <c r="CS131" i="63"/>
  <c r="CR131" i="63"/>
  <c r="CQ131" i="63"/>
  <c r="CP131" i="63"/>
  <c r="CO131" i="63"/>
  <c r="CN131" i="63"/>
  <c r="CM131" i="63"/>
  <c r="CL131" i="63"/>
  <c r="CK131" i="63"/>
  <c r="CJ131" i="63"/>
  <c r="CI131" i="63"/>
  <c r="CH131" i="63"/>
  <c r="CG131" i="63"/>
  <c r="CF131" i="63"/>
  <c r="CE131" i="63"/>
  <c r="CD131" i="63"/>
  <c r="CC131" i="63"/>
  <c r="CB131" i="63"/>
  <c r="CA131" i="63"/>
  <c r="BZ131" i="63"/>
  <c r="BY131" i="63"/>
  <c r="BX131" i="63"/>
  <c r="BW131" i="63"/>
  <c r="BV131" i="63"/>
  <c r="BU131" i="63"/>
  <c r="BT131" i="63"/>
  <c r="BS131" i="63"/>
  <c r="BR131" i="63"/>
  <c r="BQ131" i="63"/>
  <c r="BP131" i="63"/>
  <c r="BO131" i="63"/>
  <c r="BN131" i="63"/>
  <c r="BM131" i="63"/>
  <c r="BL131" i="63"/>
  <c r="BK131" i="63"/>
  <c r="BJ131" i="63"/>
  <c r="BI131" i="63"/>
  <c r="BH131" i="63"/>
  <c r="BG131" i="63"/>
  <c r="BF131" i="63"/>
  <c r="BE131" i="63"/>
  <c r="BD131" i="63"/>
  <c r="BC131" i="63"/>
  <c r="BB131" i="63"/>
  <c r="BA131" i="63"/>
  <c r="AZ131" i="63"/>
  <c r="AY131" i="63"/>
  <c r="AX131" i="63"/>
  <c r="AW131" i="63"/>
  <c r="AV131" i="63"/>
  <c r="AU131" i="63"/>
  <c r="AT131" i="63"/>
  <c r="AS131" i="63"/>
  <c r="AR131" i="63"/>
  <c r="AQ131" i="63"/>
  <c r="AP131" i="63"/>
  <c r="AO131" i="63"/>
  <c r="AN131" i="63"/>
  <c r="AM131" i="63"/>
  <c r="AL131" i="63"/>
  <c r="AK131" i="63"/>
  <c r="AJ131" i="63"/>
  <c r="AI131" i="63"/>
  <c r="AH131" i="63"/>
  <c r="AG131" i="63"/>
  <c r="AF131" i="63"/>
  <c r="AE131" i="63"/>
  <c r="AD131" i="63"/>
  <c r="AC131" i="63"/>
  <c r="AB131" i="63"/>
  <c r="AA131" i="63"/>
  <c r="Z131" i="63"/>
  <c r="Y131" i="63"/>
  <c r="X131" i="63"/>
  <c r="W131" i="63"/>
  <c r="V131" i="63"/>
  <c r="U131" i="63"/>
  <c r="T131" i="63"/>
  <c r="S131" i="63"/>
  <c r="R131" i="63"/>
  <c r="Q131" i="63"/>
  <c r="P131" i="63"/>
  <c r="O131" i="63"/>
  <c r="N131" i="63"/>
  <c r="M131" i="63"/>
  <c r="L131" i="63"/>
  <c r="E131" i="63" s="1"/>
  <c r="K131" i="63"/>
  <c r="J131" i="63"/>
  <c r="I131" i="63"/>
  <c r="H131" i="63"/>
  <c r="G131" i="63"/>
  <c r="F131" i="63"/>
  <c r="N28" i="63" l="1"/>
  <c r="O28" i="63" s="1"/>
  <c r="P28" i="63" s="1"/>
  <c r="Q28" i="63" s="1"/>
  <c r="M31" i="63"/>
  <c r="N31" i="63" s="1"/>
  <c r="O31" i="63" s="1"/>
  <c r="P31" i="63" s="1"/>
  <c r="Q31" i="63" s="1"/>
  <c r="N30" i="63"/>
  <c r="O30" i="63" s="1"/>
  <c r="P30" i="63" s="1"/>
  <c r="Q30" i="63" s="1"/>
  <c r="N29" i="63"/>
  <c r="O29" i="63" s="1"/>
  <c r="P29" i="63" s="1"/>
  <c r="Q29" i="63" s="1"/>
  <c r="E48" i="63" l="1"/>
  <c r="E47" i="63"/>
  <c r="D18" i="63" l="1"/>
  <c r="D20" i="63" s="1"/>
  <c r="D28" i="63" s="1"/>
  <c r="E28" i="63"/>
  <c r="E190" i="63" l="1"/>
  <c r="D25" i="63"/>
  <c r="D26" i="63" l="1"/>
  <c r="F146" i="63" s="1"/>
  <c r="E46" i="63" l="1"/>
  <c r="I36" i="63" l="1"/>
  <c r="E191" i="63"/>
  <c r="E192" i="63" s="1"/>
  <c r="E193" i="63" s="1"/>
  <c r="FF87" i="57"/>
  <c r="FE87" i="57"/>
  <c r="FD87" i="57"/>
  <c r="FC87" i="57"/>
  <c r="FB87" i="57"/>
  <c r="FA87" i="57"/>
  <c r="EZ87" i="57"/>
  <c r="EY87" i="57"/>
  <c r="EX87" i="57"/>
  <c r="EW87" i="57"/>
  <c r="EV87" i="57"/>
  <c r="EU87" i="57"/>
  <c r="ET87" i="57"/>
  <c r="ES87" i="57"/>
  <c r="ER87" i="57"/>
  <c r="EQ87" i="57"/>
  <c r="EP87" i="57"/>
  <c r="EO87" i="57"/>
  <c r="EN87" i="57"/>
  <c r="EM87" i="57"/>
  <c r="EL87" i="57"/>
  <c r="EK87" i="57"/>
  <c r="EJ87" i="57"/>
  <c r="EI87" i="57"/>
  <c r="EH87" i="57"/>
  <c r="EG87" i="57"/>
  <c r="EF87" i="57"/>
  <c r="EE87" i="57"/>
  <c r="ED87" i="57"/>
  <c r="EC87" i="57"/>
  <c r="EB87" i="57"/>
  <c r="EA87" i="57"/>
  <c r="DZ87" i="57"/>
  <c r="DY87" i="57"/>
  <c r="DX87" i="57"/>
  <c r="DW87" i="57"/>
  <c r="DV87" i="57"/>
  <c r="DU87" i="57"/>
  <c r="DT87" i="57"/>
  <c r="DS87" i="57"/>
  <c r="DR87" i="57"/>
  <c r="DQ87" i="57"/>
  <c r="DP87" i="57"/>
  <c r="DO87" i="57"/>
  <c r="DN87" i="57"/>
  <c r="DM87" i="57"/>
  <c r="DL87" i="57"/>
  <c r="DK87" i="57"/>
  <c r="DJ87" i="57"/>
  <c r="DI87" i="57"/>
  <c r="DH87" i="57"/>
  <c r="DG87" i="57"/>
  <c r="DF87" i="57"/>
  <c r="DE87" i="57"/>
  <c r="DD87" i="57"/>
  <c r="DC87" i="57"/>
  <c r="DB87" i="57"/>
  <c r="DA87" i="57"/>
  <c r="CZ87" i="57"/>
  <c r="CY87" i="57"/>
  <c r="CX87" i="57"/>
  <c r="CW87" i="57"/>
  <c r="CV87" i="57"/>
  <c r="CU87" i="57"/>
  <c r="CT87" i="57"/>
  <c r="CS87" i="57"/>
  <c r="CR87" i="57"/>
  <c r="CQ87" i="57"/>
  <c r="CP87" i="57"/>
  <c r="CO87" i="57"/>
  <c r="CN87" i="57"/>
  <c r="CM87" i="57"/>
  <c r="CL87" i="57"/>
  <c r="CK87" i="57"/>
  <c r="CJ87" i="57"/>
  <c r="CI87" i="57"/>
  <c r="CH87" i="57"/>
  <c r="CG87" i="57"/>
  <c r="CF87" i="57"/>
  <c r="CE87" i="57"/>
  <c r="CD87" i="57"/>
  <c r="CC87" i="57"/>
  <c r="CB87" i="57"/>
  <c r="CA87" i="57"/>
  <c r="BZ87" i="57"/>
  <c r="BY87" i="57"/>
  <c r="BX87" i="57"/>
  <c r="BW87" i="57"/>
  <c r="BV87" i="57"/>
  <c r="BU87" i="57"/>
  <c r="BT87" i="57"/>
  <c r="BS87" i="57"/>
  <c r="BR87" i="57"/>
  <c r="BQ87" i="57"/>
  <c r="BP87" i="57"/>
  <c r="BO87" i="57"/>
  <c r="BN87" i="57"/>
  <c r="BM87" i="57"/>
  <c r="BL87" i="57"/>
  <c r="BK87" i="57"/>
  <c r="BJ87" i="57"/>
  <c r="BI87" i="57"/>
  <c r="BH87" i="57"/>
  <c r="BG87" i="57"/>
  <c r="BF87" i="57"/>
  <c r="BE87" i="57"/>
  <c r="BD87" i="57"/>
  <c r="BC87" i="57"/>
  <c r="BB87" i="57"/>
  <c r="BA87" i="57"/>
  <c r="AZ87" i="57"/>
  <c r="AY87" i="57"/>
  <c r="AX87" i="57"/>
  <c r="AW87" i="57"/>
  <c r="AV87" i="57"/>
  <c r="AU87" i="57"/>
  <c r="AT87" i="57"/>
  <c r="AS87" i="57"/>
  <c r="AR87" i="57"/>
  <c r="AQ87" i="57"/>
  <c r="AP87" i="57"/>
  <c r="AO87" i="57"/>
  <c r="AN87" i="57"/>
  <c r="AM87" i="57"/>
  <c r="AL87" i="57"/>
  <c r="AK87" i="57"/>
  <c r="AJ87" i="57"/>
  <c r="AI87" i="57"/>
  <c r="AH87" i="57"/>
  <c r="AG87" i="57"/>
  <c r="AF87" i="57"/>
  <c r="AE87" i="57"/>
  <c r="AD87" i="57"/>
  <c r="AC87" i="57"/>
  <c r="AB87" i="57"/>
  <c r="AA87" i="57"/>
  <c r="Z87" i="57"/>
  <c r="Y87" i="57"/>
  <c r="X87" i="57"/>
  <c r="W87" i="57"/>
  <c r="V87" i="57"/>
  <c r="U87" i="57"/>
  <c r="T87" i="57"/>
  <c r="S87" i="57"/>
  <c r="R87" i="57"/>
  <c r="Q87" i="57"/>
  <c r="P87" i="57"/>
  <c r="O87" i="57"/>
  <c r="N87" i="57"/>
  <c r="M87" i="57"/>
  <c r="L87" i="57"/>
  <c r="K87" i="57"/>
  <c r="J87" i="57"/>
  <c r="I87" i="57"/>
  <c r="H87" i="57"/>
  <c r="FF86" i="57"/>
  <c r="FE86" i="57"/>
  <c r="FD86" i="57"/>
  <c r="FC86" i="57"/>
  <c r="FB86" i="57"/>
  <c r="FA86" i="57"/>
  <c r="EZ86" i="57"/>
  <c r="EY86" i="57"/>
  <c r="EX86" i="57"/>
  <c r="EW86" i="57"/>
  <c r="EV86" i="57"/>
  <c r="EU86" i="57"/>
  <c r="ET86" i="57"/>
  <c r="ES86" i="57"/>
  <c r="ER86" i="57"/>
  <c r="EQ86" i="57"/>
  <c r="EP86" i="57"/>
  <c r="EO86" i="57"/>
  <c r="EN86" i="57"/>
  <c r="EM86" i="57"/>
  <c r="EL86" i="57"/>
  <c r="EK86" i="57"/>
  <c r="EJ86" i="57"/>
  <c r="EI86" i="57"/>
  <c r="EH86" i="57"/>
  <c r="EG86" i="57"/>
  <c r="EF86" i="57"/>
  <c r="EE86" i="57"/>
  <c r="ED86" i="57"/>
  <c r="EC86" i="57"/>
  <c r="EB86" i="57"/>
  <c r="EA86" i="57"/>
  <c r="DZ86" i="57"/>
  <c r="DY86" i="57"/>
  <c r="DX86" i="57"/>
  <c r="DW86" i="57"/>
  <c r="DV86" i="57"/>
  <c r="DU86" i="57"/>
  <c r="DT86" i="57"/>
  <c r="DS86" i="57"/>
  <c r="DR86" i="57"/>
  <c r="DQ86" i="57"/>
  <c r="DP86" i="57"/>
  <c r="DO86" i="57"/>
  <c r="DN86" i="57"/>
  <c r="DM86" i="57"/>
  <c r="DL86" i="57"/>
  <c r="DK86" i="57"/>
  <c r="DJ86" i="57"/>
  <c r="DI86" i="57"/>
  <c r="DH86" i="57"/>
  <c r="DG86" i="57"/>
  <c r="DF86" i="57"/>
  <c r="DE86" i="57"/>
  <c r="DD86" i="57"/>
  <c r="DC86" i="57"/>
  <c r="DB86" i="57"/>
  <c r="DA86" i="57"/>
  <c r="CZ86" i="57"/>
  <c r="CY86" i="57"/>
  <c r="CX86" i="57"/>
  <c r="CW86" i="57"/>
  <c r="CV86" i="57"/>
  <c r="CU86" i="57"/>
  <c r="CT86" i="57"/>
  <c r="CS86" i="57"/>
  <c r="CR86" i="57"/>
  <c r="CQ86" i="57"/>
  <c r="CP86" i="57"/>
  <c r="CO86" i="57"/>
  <c r="CN86" i="57"/>
  <c r="CM86" i="57"/>
  <c r="CL86" i="57"/>
  <c r="CK86" i="57"/>
  <c r="CJ86" i="57"/>
  <c r="CI86" i="57"/>
  <c r="CH86" i="57"/>
  <c r="CG86" i="57"/>
  <c r="CF86" i="57"/>
  <c r="CE86" i="57"/>
  <c r="CD86" i="57"/>
  <c r="CC86" i="57"/>
  <c r="CB86" i="57"/>
  <c r="CA86" i="57"/>
  <c r="BZ86" i="57"/>
  <c r="BY86" i="57"/>
  <c r="BX86" i="57"/>
  <c r="BW86" i="57"/>
  <c r="BV86" i="57"/>
  <c r="BU86" i="57"/>
  <c r="BT86" i="57"/>
  <c r="BS86" i="57"/>
  <c r="BR86" i="57"/>
  <c r="BQ86" i="57"/>
  <c r="BP86" i="57"/>
  <c r="BO86" i="57"/>
  <c r="BN86" i="57"/>
  <c r="BM86" i="57"/>
  <c r="BL86" i="57"/>
  <c r="BK86" i="57"/>
  <c r="BJ86" i="57"/>
  <c r="BI86" i="57"/>
  <c r="BH86" i="57"/>
  <c r="BG86" i="57"/>
  <c r="BF86" i="57"/>
  <c r="BE86" i="57"/>
  <c r="BD86" i="57"/>
  <c r="BC86" i="57"/>
  <c r="BB86" i="57"/>
  <c r="BA86" i="57"/>
  <c r="AZ86" i="57"/>
  <c r="AY86" i="57"/>
  <c r="AX86" i="57"/>
  <c r="AW86" i="57"/>
  <c r="AV86" i="57"/>
  <c r="AU86" i="57"/>
  <c r="AT86" i="57"/>
  <c r="AS86" i="57"/>
  <c r="AR86" i="57"/>
  <c r="AQ86" i="57"/>
  <c r="AP86" i="57"/>
  <c r="AO86" i="57"/>
  <c r="AN86" i="57"/>
  <c r="AM86" i="57"/>
  <c r="AL86" i="57"/>
  <c r="AK86" i="57"/>
  <c r="AJ86" i="57"/>
  <c r="AI86" i="57"/>
  <c r="AH86" i="57"/>
  <c r="AG86" i="57"/>
  <c r="AF86" i="57"/>
  <c r="AE86" i="57"/>
  <c r="AD86" i="57"/>
  <c r="AC86" i="57"/>
  <c r="AB86" i="57"/>
  <c r="AA86" i="57"/>
  <c r="Z86" i="57"/>
  <c r="Y86" i="57"/>
  <c r="X86" i="57"/>
  <c r="W86" i="57"/>
  <c r="V86" i="57"/>
  <c r="U86" i="57"/>
  <c r="T86" i="57"/>
  <c r="S86" i="57"/>
  <c r="R86" i="57"/>
  <c r="Q86" i="57"/>
  <c r="P86" i="57"/>
  <c r="O86" i="57"/>
  <c r="N86" i="57"/>
  <c r="M86" i="57"/>
  <c r="L86" i="57"/>
  <c r="K86" i="57"/>
  <c r="J86" i="57"/>
  <c r="I86" i="57"/>
  <c r="H86" i="57"/>
  <c r="FF85" i="57"/>
  <c r="FE85" i="57"/>
  <c r="FD85" i="57"/>
  <c r="FC85" i="57"/>
  <c r="FB85" i="57"/>
  <c r="FA85" i="57"/>
  <c r="EZ85" i="57"/>
  <c r="EY85" i="57"/>
  <c r="EX85" i="57"/>
  <c r="EW85" i="57"/>
  <c r="EV85" i="57"/>
  <c r="EU85" i="57"/>
  <c r="ET85" i="57"/>
  <c r="ES85" i="57"/>
  <c r="ER85" i="57"/>
  <c r="EQ85" i="57"/>
  <c r="EP85" i="57"/>
  <c r="EO85" i="57"/>
  <c r="EN85" i="57"/>
  <c r="EM85" i="57"/>
  <c r="EL85" i="57"/>
  <c r="EK85" i="57"/>
  <c r="EJ85" i="57"/>
  <c r="EI85" i="57"/>
  <c r="EH85" i="57"/>
  <c r="EG85" i="57"/>
  <c r="EF85" i="57"/>
  <c r="EE85" i="57"/>
  <c r="ED85" i="57"/>
  <c r="EC85" i="57"/>
  <c r="EB85" i="57"/>
  <c r="EA85" i="57"/>
  <c r="DZ85" i="57"/>
  <c r="DY85" i="57"/>
  <c r="DX85" i="57"/>
  <c r="DW85" i="57"/>
  <c r="DV85" i="57"/>
  <c r="DU85" i="57"/>
  <c r="DT85" i="57"/>
  <c r="DS85" i="57"/>
  <c r="DR85" i="57"/>
  <c r="DQ85" i="57"/>
  <c r="DP85" i="57"/>
  <c r="DO85" i="57"/>
  <c r="DN85" i="57"/>
  <c r="DM85" i="57"/>
  <c r="DL85" i="57"/>
  <c r="DK85" i="57"/>
  <c r="DJ85" i="57"/>
  <c r="DI85" i="57"/>
  <c r="DH85" i="57"/>
  <c r="DG85" i="57"/>
  <c r="DF85" i="57"/>
  <c r="DE85" i="57"/>
  <c r="DD85" i="57"/>
  <c r="DC85" i="57"/>
  <c r="DB85" i="57"/>
  <c r="DA85" i="57"/>
  <c r="CZ85" i="57"/>
  <c r="CY85" i="57"/>
  <c r="CX85" i="57"/>
  <c r="CW85" i="57"/>
  <c r="CV85" i="57"/>
  <c r="CU85" i="57"/>
  <c r="CT85" i="57"/>
  <c r="CS85" i="57"/>
  <c r="CR85" i="57"/>
  <c r="CQ85" i="57"/>
  <c r="CP85" i="57"/>
  <c r="CO85" i="57"/>
  <c r="CN85" i="57"/>
  <c r="CM85" i="57"/>
  <c r="CL85" i="57"/>
  <c r="CK85" i="57"/>
  <c r="CJ85" i="57"/>
  <c r="CI85" i="57"/>
  <c r="CH85" i="57"/>
  <c r="CG85" i="57"/>
  <c r="CF85" i="57"/>
  <c r="CE85" i="57"/>
  <c r="CD85" i="57"/>
  <c r="CC85" i="57"/>
  <c r="CB85" i="57"/>
  <c r="CA85" i="57"/>
  <c r="BZ85" i="57"/>
  <c r="BY85" i="57"/>
  <c r="BX85" i="57"/>
  <c r="BW85" i="57"/>
  <c r="BV85" i="57"/>
  <c r="BU85" i="57"/>
  <c r="BT85" i="57"/>
  <c r="BS85" i="57"/>
  <c r="BR85" i="57"/>
  <c r="BQ85" i="57"/>
  <c r="BP85" i="57"/>
  <c r="BO85" i="57"/>
  <c r="BN85" i="57"/>
  <c r="BM85" i="57"/>
  <c r="BL85" i="57"/>
  <c r="BK85" i="57"/>
  <c r="BJ85" i="57"/>
  <c r="BI85" i="57"/>
  <c r="BH85" i="57"/>
  <c r="BG85" i="57"/>
  <c r="BF85" i="57"/>
  <c r="BE85" i="57"/>
  <c r="BD85" i="57"/>
  <c r="BC85" i="57"/>
  <c r="BB85" i="57"/>
  <c r="BA85" i="57"/>
  <c r="AZ85" i="57"/>
  <c r="AY85" i="57"/>
  <c r="AX85" i="57"/>
  <c r="AW85" i="57"/>
  <c r="AV85" i="57"/>
  <c r="AU85" i="57"/>
  <c r="AT85" i="57"/>
  <c r="AS85" i="57"/>
  <c r="AR85" i="57"/>
  <c r="AQ85" i="57"/>
  <c r="AP85" i="57"/>
  <c r="AO85" i="57"/>
  <c r="AN85" i="57"/>
  <c r="AM85" i="57"/>
  <c r="AL85" i="57"/>
  <c r="AK85" i="57"/>
  <c r="AJ85" i="57"/>
  <c r="AI85" i="57"/>
  <c r="AH85" i="57"/>
  <c r="AG85" i="57"/>
  <c r="AF85" i="57"/>
  <c r="AE85" i="57"/>
  <c r="AD85" i="57"/>
  <c r="AC85" i="57"/>
  <c r="AB85" i="57"/>
  <c r="AA85" i="57"/>
  <c r="Z85" i="57"/>
  <c r="Y85" i="57"/>
  <c r="X85" i="57"/>
  <c r="W85" i="57"/>
  <c r="V85" i="57"/>
  <c r="U85" i="57"/>
  <c r="T85" i="57"/>
  <c r="S85" i="57"/>
  <c r="R85" i="57"/>
  <c r="Q85" i="57"/>
  <c r="P85" i="57"/>
  <c r="O85" i="57"/>
  <c r="N85" i="57"/>
  <c r="M85" i="57"/>
  <c r="L85" i="57"/>
  <c r="K85" i="57"/>
  <c r="J85" i="57"/>
  <c r="I85" i="57"/>
  <c r="H85" i="57"/>
  <c r="G87" i="57"/>
  <c r="G86" i="57"/>
  <c r="G85" i="57"/>
  <c r="F35" i="57"/>
  <c r="F34" i="57"/>
  <c r="H18" i="63"/>
  <c r="Q9" i="63"/>
  <c r="E195" i="63" l="1"/>
  <c r="F183" i="63"/>
  <c r="FF169" i="63"/>
  <c r="FE169" i="63"/>
  <c r="FD169" i="63"/>
  <c r="FC169" i="63"/>
  <c r="FB169" i="63"/>
  <c r="FA169" i="63"/>
  <c r="EZ169" i="63"/>
  <c r="EY169" i="63"/>
  <c r="EX169" i="63"/>
  <c r="EW169" i="63"/>
  <c r="EV169" i="63"/>
  <c r="EU169" i="63"/>
  <c r="ET169" i="63"/>
  <c r="ES169" i="63"/>
  <c r="ER169" i="63"/>
  <c r="EQ169" i="63"/>
  <c r="EP169" i="63"/>
  <c r="EO169" i="63"/>
  <c r="EN169" i="63"/>
  <c r="EM169" i="63"/>
  <c r="EL169" i="63"/>
  <c r="EK169" i="63"/>
  <c r="EJ169" i="63"/>
  <c r="EI169" i="63"/>
  <c r="EH169" i="63"/>
  <c r="EG169" i="63"/>
  <c r="EF169" i="63"/>
  <c r="EE169" i="63"/>
  <c r="ED169" i="63"/>
  <c r="EC169" i="63"/>
  <c r="EB169" i="63"/>
  <c r="EA169" i="63"/>
  <c r="DZ169" i="63"/>
  <c r="DY169" i="63"/>
  <c r="DX169" i="63"/>
  <c r="DW169" i="63"/>
  <c r="DV169" i="63"/>
  <c r="DU169" i="63"/>
  <c r="DT169" i="63"/>
  <c r="DS169" i="63"/>
  <c r="DR169" i="63"/>
  <c r="DQ169" i="63"/>
  <c r="DP169" i="63"/>
  <c r="DO169" i="63"/>
  <c r="DN169" i="63"/>
  <c r="DM169" i="63"/>
  <c r="DL169" i="63"/>
  <c r="DK169" i="63"/>
  <c r="DJ169" i="63"/>
  <c r="DI169" i="63"/>
  <c r="DH169" i="63"/>
  <c r="DG169" i="63"/>
  <c r="DF169" i="63"/>
  <c r="DE169" i="63"/>
  <c r="DD169" i="63"/>
  <c r="DC169" i="63"/>
  <c r="DB169" i="63"/>
  <c r="DA169" i="63"/>
  <c r="CZ169" i="63"/>
  <c r="CY169" i="63"/>
  <c r="CX169" i="63"/>
  <c r="CW169" i="63"/>
  <c r="CV169" i="63"/>
  <c r="CU169" i="63"/>
  <c r="CT169" i="63"/>
  <c r="CS169" i="63"/>
  <c r="CR169" i="63"/>
  <c r="CQ169" i="63"/>
  <c r="CP169" i="63"/>
  <c r="CO169" i="63"/>
  <c r="CN169" i="63"/>
  <c r="CM169" i="63"/>
  <c r="CL169" i="63"/>
  <c r="CK169" i="63"/>
  <c r="CJ169" i="63"/>
  <c r="CI169" i="63"/>
  <c r="CH169" i="63"/>
  <c r="CG169" i="63"/>
  <c r="CF169" i="63"/>
  <c r="CE169" i="63"/>
  <c r="CD169" i="63"/>
  <c r="CC169" i="63"/>
  <c r="CB169" i="63"/>
  <c r="CA169" i="63"/>
  <c r="BZ169" i="63"/>
  <c r="BY169" i="63"/>
  <c r="BX169" i="63"/>
  <c r="BW169" i="63"/>
  <c r="BV169" i="63"/>
  <c r="BU169" i="63"/>
  <c r="BT169" i="63"/>
  <c r="BS169" i="63"/>
  <c r="BR169" i="63"/>
  <c r="BQ169" i="63"/>
  <c r="BP169" i="63"/>
  <c r="BO169" i="63"/>
  <c r="BN169" i="63"/>
  <c r="BM169" i="63"/>
  <c r="BL169" i="63"/>
  <c r="BK169" i="63"/>
  <c r="BJ169" i="63"/>
  <c r="BI169" i="63"/>
  <c r="BH169" i="63"/>
  <c r="BG169" i="63"/>
  <c r="BF169" i="63"/>
  <c r="BE169" i="63"/>
  <c r="BD169" i="63"/>
  <c r="BC169" i="63"/>
  <c r="BB169" i="63"/>
  <c r="BA169" i="63"/>
  <c r="AZ169" i="63"/>
  <c r="AY169" i="63"/>
  <c r="AX169" i="63"/>
  <c r="AW169" i="63"/>
  <c r="AV169" i="63"/>
  <c r="AU169" i="63"/>
  <c r="AT169" i="63"/>
  <c r="AS169" i="63"/>
  <c r="AR169" i="63"/>
  <c r="AQ169" i="63"/>
  <c r="AP169" i="63"/>
  <c r="AO169" i="63"/>
  <c r="AN169" i="63"/>
  <c r="AM169" i="63"/>
  <c r="AL169" i="63"/>
  <c r="AK169" i="63"/>
  <c r="AJ169" i="63"/>
  <c r="AI169" i="63"/>
  <c r="AH169" i="63"/>
  <c r="AG169" i="63"/>
  <c r="AF169" i="63"/>
  <c r="AE169" i="63"/>
  <c r="AD169" i="63"/>
  <c r="AC169" i="63"/>
  <c r="AB169" i="63"/>
  <c r="AA169" i="63"/>
  <c r="Z169" i="63"/>
  <c r="Y169" i="63"/>
  <c r="X169" i="63"/>
  <c r="W169" i="63"/>
  <c r="V169" i="63"/>
  <c r="U169" i="63"/>
  <c r="T169" i="63"/>
  <c r="S169" i="63"/>
  <c r="R169" i="63"/>
  <c r="Q169" i="63"/>
  <c r="P169" i="63"/>
  <c r="O169" i="63"/>
  <c r="N169" i="63"/>
  <c r="M169" i="63"/>
  <c r="L169" i="63"/>
  <c r="K169" i="63"/>
  <c r="J169" i="63"/>
  <c r="I169" i="63"/>
  <c r="H169" i="63"/>
  <c r="G169" i="63"/>
  <c r="F169" i="63"/>
  <c r="F174" i="63" s="1"/>
  <c r="FF168" i="63"/>
  <c r="FE168" i="63"/>
  <c r="FD168" i="63"/>
  <c r="FC168" i="63"/>
  <c r="FB168" i="63"/>
  <c r="FA168" i="63"/>
  <c r="EZ168" i="63"/>
  <c r="EY168" i="63"/>
  <c r="EX168" i="63"/>
  <c r="EW168" i="63"/>
  <c r="EV168" i="63"/>
  <c r="EU168" i="63"/>
  <c r="ET168" i="63"/>
  <c r="ES168" i="63"/>
  <c r="ER168" i="63"/>
  <c r="EQ168" i="63"/>
  <c r="EP168" i="63"/>
  <c r="EO168" i="63"/>
  <c r="EN168" i="63"/>
  <c r="EM168" i="63"/>
  <c r="EL168" i="63"/>
  <c r="EK168" i="63"/>
  <c r="EJ168" i="63"/>
  <c r="EI168" i="63"/>
  <c r="EH168" i="63"/>
  <c r="EG168" i="63"/>
  <c r="EF168" i="63"/>
  <c r="EE168" i="63"/>
  <c r="ED168" i="63"/>
  <c r="EC168" i="63"/>
  <c r="EB168" i="63"/>
  <c r="EA168" i="63"/>
  <c r="DZ168" i="63"/>
  <c r="DY168" i="63"/>
  <c r="DX168" i="63"/>
  <c r="DW168" i="63"/>
  <c r="DV168" i="63"/>
  <c r="DU168" i="63"/>
  <c r="DT168" i="63"/>
  <c r="DS168" i="63"/>
  <c r="DR168" i="63"/>
  <c r="DQ168" i="63"/>
  <c r="DP168" i="63"/>
  <c r="DO168" i="63"/>
  <c r="DN168" i="63"/>
  <c r="DM168" i="63"/>
  <c r="DL168" i="63"/>
  <c r="DK168" i="63"/>
  <c r="DJ168" i="63"/>
  <c r="DI168" i="63"/>
  <c r="DH168" i="63"/>
  <c r="DG168" i="63"/>
  <c r="DF168" i="63"/>
  <c r="DE168" i="63"/>
  <c r="DD168" i="63"/>
  <c r="DC168" i="63"/>
  <c r="DB168" i="63"/>
  <c r="DA168" i="63"/>
  <c r="CZ168" i="63"/>
  <c r="CY168" i="63"/>
  <c r="CX168" i="63"/>
  <c r="CW168" i="63"/>
  <c r="CV168" i="63"/>
  <c r="CU168" i="63"/>
  <c r="CT168" i="63"/>
  <c r="CS168" i="63"/>
  <c r="CR168" i="63"/>
  <c r="CQ168" i="63"/>
  <c r="CP168" i="63"/>
  <c r="CO168" i="63"/>
  <c r="CN168" i="63"/>
  <c r="CM168" i="63"/>
  <c r="CL168" i="63"/>
  <c r="CK168" i="63"/>
  <c r="CJ168" i="63"/>
  <c r="CI168" i="63"/>
  <c r="CH168" i="63"/>
  <c r="CG168" i="63"/>
  <c r="CF168" i="63"/>
  <c r="CE168" i="63"/>
  <c r="CD168" i="63"/>
  <c r="CC168" i="63"/>
  <c r="CB168" i="63"/>
  <c r="CA168" i="63"/>
  <c r="BZ168" i="63"/>
  <c r="BY168" i="63"/>
  <c r="BX168" i="63"/>
  <c r="BW168" i="63"/>
  <c r="BV168" i="63"/>
  <c r="BU168" i="63"/>
  <c r="BT168" i="63"/>
  <c r="BS168" i="63"/>
  <c r="BR168" i="63"/>
  <c r="BQ168" i="63"/>
  <c r="BP168" i="63"/>
  <c r="BO168" i="63"/>
  <c r="BN168" i="63"/>
  <c r="BM168" i="63"/>
  <c r="BL168" i="63"/>
  <c r="BK168" i="63"/>
  <c r="BJ168" i="63"/>
  <c r="BI168" i="63"/>
  <c r="BH168" i="63"/>
  <c r="BG168" i="63"/>
  <c r="BF168" i="63"/>
  <c r="BE168" i="63"/>
  <c r="BD168" i="63"/>
  <c r="BC168" i="63"/>
  <c r="BB168" i="63"/>
  <c r="BA168" i="63"/>
  <c r="AZ168" i="63"/>
  <c r="AY168" i="63"/>
  <c r="AX168" i="63"/>
  <c r="AW168" i="63"/>
  <c r="AV168" i="63"/>
  <c r="AU168" i="63"/>
  <c r="AT168" i="63"/>
  <c r="AS168" i="63"/>
  <c r="AR168" i="63"/>
  <c r="AQ168" i="63"/>
  <c r="AP168" i="63"/>
  <c r="AO168" i="63"/>
  <c r="AN168" i="63"/>
  <c r="AM168" i="63"/>
  <c r="AL168" i="63"/>
  <c r="AK168" i="63"/>
  <c r="AJ168" i="63"/>
  <c r="AI168" i="63"/>
  <c r="AH168" i="63"/>
  <c r="AG168" i="63"/>
  <c r="AF168" i="63"/>
  <c r="AE168" i="63"/>
  <c r="AD168" i="63"/>
  <c r="AC168" i="63"/>
  <c r="AB168" i="63"/>
  <c r="AA168" i="63"/>
  <c r="Z168" i="63"/>
  <c r="Y168" i="63"/>
  <c r="X168" i="63"/>
  <c r="W168" i="63"/>
  <c r="V168" i="63"/>
  <c r="U168" i="63"/>
  <c r="T168" i="63"/>
  <c r="S168" i="63"/>
  <c r="R168" i="63"/>
  <c r="Q168" i="63"/>
  <c r="P168" i="63"/>
  <c r="O168" i="63"/>
  <c r="N168" i="63"/>
  <c r="M168" i="63"/>
  <c r="L168" i="63"/>
  <c r="K168" i="63"/>
  <c r="J168" i="63"/>
  <c r="I168" i="63"/>
  <c r="H168" i="63"/>
  <c r="G168" i="63"/>
  <c r="F168" i="63"/>
  <c r="FP122" i="63"/>
  <c r="FO122" i="63"/>
  <c r="FN122" i="63"/>
  <c r="FM122" i="63"/>
  <c r="FH122" i="63"/>
  <c r="F122" i="63"/>
  <c r="D113" i="63"/>
  <c r="F105" i="63"/>
  <c r="D102" i="63"/>
  <c r="C102" i="63"/>
  <c r="D101" i="63"/>
  <c r="C101" i="63"/>
  <c r="F98" i="63"/>
  <c r="D97" i="63"/>
  <c r="C97" i="63"/>
  <c r="D96" i="63"/>
  <c r="C96" i="63"/>
  <c r="D95" i="63"/>
  <c r="C95" i="63"/>
  <c r="D94" i="63"/>
  <c r="C94" i="63"/>
  <c r="D93" i="63"/>
  <c r="C93" i="63"/>
  <c r="D92" i="63"/>
  <c r="C92" i="63"/>
  <c r="D91" i="63"/>
  <c r="C91" i="63"/>
  <c r="D83" i="63"/>
  <c r="D82" i="63"/>
  <c r="D78" i="63"/>
  <c r="D77" i="63"/>
  <c r="D76" i="63"/>
  <c r="C64" i="63"/>
  <c r="C62" i="63"/>
  <c r="C60" i="63"/>
  <c r="C58" i="63"/>
  <c r="F55" i="63"/>
  <c r="FH54" i="63"/>
  <c r="G53" i="63"/>
  <c r="G173" i="63" s="1"/>
  <c r="AD52" i="63"/>
  <c r="AP52" i="63" s="1"/>
  <c r="BB52" i="63" s="1"/>
  <c r="BN52" i="63" s="1"/>
  <c r="BZ52" i="63" s="1"/>
  <c r="CL52" i="63" s="1"/>
  <c r="CX52" i="63" s="1"/>
  <c r="DJ52" i="63" s="1"/>
  <c r="DV52" i="63" s="1"/>
  <c r="EH52" i="63" s="1"/>
  <c r="ET52" i="63" s="1"/>
  <c r="FF52" i="63" s="1"/>
  <c r="AC52" i="63"/>
  <c r="AO52" i="63" s="1"/>
  <c r="BA52" i="63" s="1"/>
  <c r="BM52" i="63" s="1"/>
  <c r="BY52" i="63" s="1"/>
  <c r="CK52" i="63" s="1"/>
  <c r="CW52" i="63" s="1"/>
  <c r="DI52" i="63" s="1"/>
  <c r="DU52" i="63" s="1"/>
  <c r="EG52" i="63" s="1"/>
  <c r="ES52" i="63" s="1"/>
  <c r="FE52" i="63" s="1"/>
  <c r="AB52" i="63"/>
  <c r="AN52" i="63" s="1"/>
  <c r="AZ52" i="63" s="1"/>
  <c r="BL52" i="63" s="1"/>
  <c r="BX52" i="63" s="1"/>
  <c r="CJ52" i="63" s="1"/>
  <c r="CV52" i="63" s="1"/>
  <c r="DH52" i="63" s="1"/>
  <c r="DT52" i="63" s="1"/>
  <c r="EF52" i="63" s="1"/>
  <c r="ER52" i="63" s="1"/>
  <c r="FD52" i="63" s="1"/>
  <c r="AA52" i="63"/>
  <c r="AM52" i="63" s="1"/>
  <c r="AY52" i="63" s="1"/>
  <c r="BK52" i="63" s="1"/>
  <c r="BW52" i="63" s="1"/>
  <c r="CI52" i="63" s="1"/>
  <c r="CU52" i="63" s="1"/>
  <c r="DG52" i="63" s="1"/>
  <c r="DS52" i="63" s="1"/>
  <c r="EE52" i="63" s="1"/>
  <c r="EQ52" i="63" s="1"/>
  <c r="FC52" i="63" s="1"/>
  <c r="Z52" i="63"/>
  <c r="AL52" i="63" s="1"/>
  <c r="AX52" i="63" s="1"/>
  <c r="BJ52" i="63" s="1"/>
  <c r="BV52" i="63" s="1"/>
  <c r="CH52" i="63" s="1"/>
  <c r="CT52" i="63" s="1"/>
  <c r="DF52" i="63" s="1"/>
  <c r="DR52" i="63" s="1"/>
  <c r="ED52" i="63" s="1"/>
  <c r="EP52" i="63" s="1"/>
  <c r="FB52" i="63" s="1"/>
  <c r="Y52" i="63"/>
  <c r="AK52" i="63" s="1"/>
  <c r="AW52" i="63" s="1"/>
  <c r="BI52" i="63" s="1"/>
  <c r="BU52" i="63" s="1"/>
  <c r="CG52" i="63" s="1"/>
  <c r="CS52" i="63" s="1"/>
  <c r="DE52" i="63" s="1"/>
  <c r="DQ52" i="63" s="1"/>
  <c r="EC52" i="63" s="1"/>
  <c r="EO52" i="63" s="1"/>
  <c r="FA52" i="63" s="1"/>
  <c r="X52" i="63"/>
  <c r="AJ52" i="63" s="1"/>
  <c r="AV52" i="63" s="1"/>
  <c r="BH52" i="63" s="1"/>
  <c r="BT52" i="63" s="1"/>
  <c r="CF52" i="63" s="1"/>
  <c r="CR52" i="63" s="1"/>
  <c r="DD52" i="63" s="1"/>
  <c r="DP52" i="63" s="1"/>
  <c r="EB52" i="63" s="1"/>
  <c r="EN52" i="63" s="1"/>
  <c r="EZ52" i="63" s="1"/>
  <c r="W52" i="63"/>
  <c r="AI52" i="63" s="1"/>
  <c r="AU52" i="63" s="1"/>
  <c r="BG52" i="63" s="1"/>
  <c r="BS52" i="63" s="1"/>
  <c r="CE52" i="63" s="1"/>
  <c r="CQ52" i="63" s="1"/>
  <c r="DC52" i="63" s="1"/>
  <c r="DO52" i="63" s="1"/>
  <c r="EA52" i="63" s="1"/>
  <c r="EM52" i="63" s="1"/>
  <c r="EY52" i="63" s="1"/>
  <c r="V52" i="63"/>
  <c r="U52" i="63"/>
  <c r="AG52" i="63" s="1"/>
  <c r="AS52" i="63" s="1"/>
  <c r="BE52" i="63" s="1"/>
  <c r="BQ52" i="63" s="1"/>
  <c r="CC52" i="63" s="1"/>
  <c r="CO52" i="63" s="1"/>
  <c r="DA52" i="63" s="1"/>
  <c r="DM52" i="63" s="1"/>
  <c r="DY52" i="63" s="1"/>
  <c r="EK52" i="63" s="1"/>
  <c r="EW52" i="63" s="1"/>
  <c r="T52" i="63"/>
  <c r="AF52" i="63" s="1"/>
  <c r="AR52" i="63" s="1"/>
  <c r="BD52" i="63" s="1"/>
  <c r="BP52" i="63" s="1"/>
  <c r="CB52" i="63" s="1"/>
  <c r="CN52" i="63" s="1"/>
  <c r="CZ52" i="63" s="1"/>
  <c r="DL52" i="63" s="1"/>
  <c r="DX52" i="63" s="1"/>
  <c r="EJ52" i="63" s="1"/>
  <c r="EV52" i="63" s="1"/>
  <c r="S52" i="63"/>
  <c r="AE52" i="63" s="1"/>
  <c r="AQ52" i="63" s="1"/>
  <c r="BC52" i="63" s="1"/>
  <c r="BO52" i="63" s="1"/>
  <c r="CA52" i="63" s="1"/>
  <c r="CM52" i="63" s="1"/>
  <c r="CY52" i="63" s="1"/>
  <c r="DK52" i="63" s="1"/>
  <c r="DW52" i="63" s="1"/>
  <c r="EI52" i="63" s="1"/>
  <c r="EU52" i="63" s="1"/>
  <c r="AE41" i="63"/>
  <c r="AC41" i="63"/>
  <c r="AA41" i="63"/>
  <c r="AJ37" i="63"/>
  <c r="AK37" i="63" s="1"/>
  <c r="AL37" i="63" s="1"/>
  <c r="AM37" i="63" s="1"/>
  <c r="AN37" i="63" s="1"/>
  <c r="N37" i="63"/>
  <c r="AE35" i="63"/>
  <c r="AC35" i="63"/>
  <c r="AA35" i="63"/>
  <c r="V35" i="63"/>
  <c r="F35" i="63"/>
  <c r="I35" i="63" s="1"/>
  <c r="M27" i="63"/>
  <c r="AE23" i="63"/>
  <c r="AC23" i="63"/>
  <c r="AA23" i="63"/>
  <c r="S22" i="63"/>
  <c r="S21" i="63"/>
  <c r="M21" i="63"/>
  <c r="N21" i="63" s="1"/>
  <c r="O21" i="63" s="1"/>
  <c r="P21" i="63" s="1"/>
  <c r="Q21" i="63" s="1"/>
  <c r="S20" i="63"/>
  <c r="S19" i="63"/>
  <c r="AE17" i="63"/>
  <c r="AC17" i="63"/>
  <c r="AA17" i="63"/>
  <c r="S16" i="63"/>
  <c r="S15" i="63"/>
  <c r="S14" i="63"/>
  <c r="N13" i="63"/>
  <c r="AE12" i="63"/>
  <c r="AC12" i="63"/>
  <c r="AA12" i="63"/>
  <c r="Q12" i="63"/>
  <c r="H12" i="63"/>
  <c r="Q11" i="63"/>
  <c r="Q10" i="63"/>
  <c r="H9" i="63"/>
  <c r="F1" i="63"/>
  <c r="G55" i="63" l="1"/>
  <c r="F54" i="63"/>
  <c r="F147" i="63"/>
  <c r="U37" i="63"/>
  <c r="D21" i="63"/>
  <c r="G1" i="63"/>
  <c r="AH52" i="63"/>
  <c r="AT52" i="63" s="1"/>
  <c r="BF52" i="63" s="1"/>
  <c r="BR52" i="63" s="1"/>
  <c r="CD52" i="63" s="1"/>
  <c r="CP52" i="63" s="1"/>
  <c r="DB52" i="63" s="1"/>
  <c r="DN52" i="63" s="1"/>
  <c r="DZ52" i="63" s="1"/>
  <c r="EL52" i="63" s="1"/>
  <c r="EX52" i="63" s="1"/>
  <c r="E196" i="63"/>
  <c r="E198" i="63"/>
  <c r="F2" i="63"/>
  <c r="F107" i="63"/>
  <c r="F108" i="63" s="1"/>
  <c r="AD10" i="63"/>
  <c r="P13" i="63"/>
  <c r="AD11" i="63"/>
  <c r="AA42" i="63"/>
  <c r="AB42" i="63" s="1"/>
  <c r="H16" i="63"/>
  <c r="AB10" i="63"/>
  <c r="AF10" i="63"/>
  <c r="AC25" i="63"/>
  <c r="H53" i="63"/>
  <c r="H173" i="63" s="1"/>
  <c r="AB11" i="63"/>
  <c r="AA25" i="63"/>
  <c r="AF11" i="63"/>
  <c r="O13" i="63"/>
  <c r="F68" i="63" s="1"/>
  <c r="F84" i="63" s="1"/>
  <c r="F85" i="63" s="1"/>
  <c r="F87" i="63" s="1"/>
  <c r="Q13" i="63"/>
  <c r="AB38" i="63"/>
  <c r="AD20" i="63"/>
  <c r="AF23" i="63"/>
  <c r="AD35" i="63"/>
  <c r="V11" i="63"/>
  <c r="AD12" i="63"/>
  <c r="AD41" i="63"/>
  <c r="AF12" i="63"/>
  <c r="AF29" i="63"/>
  <c r="U33" i="63"/>
  <c r="O16" i="63"/>
  <c r="AF20" i="63"/>
  <c r="AD30" i="63"/>
  <c r="AD33" i="63"/>
  <c r="AD38" i="63"/>
  <c r="AF41" i="63"/>
  <c r="AB14" i="63"/>
  <c r="AB17" i="63"/>
  <c r="AD22" i="63"/>
  <c r="AF30" i="63"/>
  <c r="AF33" i="63"/>
  <c r="N40" i="63"/>
  <c r="N41" i="63" s="1"/>
  <c r="U40" i="63" s="1"/>
  <c r="AB39" i="63"/>
  <c r="AD14" i="63"/>
  <c r="AB16" i="63"/>
  <c r="AD17" i="63"/>
  <c r="AD19" i="63"/>
  <c r="AF22" i="63"/>
  <c r="U28" i="63"/>
  <c r="U31" i="63"/>
  <c r="U34" i="63"/>
  <c r="AB47" i="63"/>
  <c r="AF14" i="63"/>
  <c r="AD16" i="63"/>
  <c r="AF19" i="63"/>
  <c r="AB28" i="63"/>
  <c r="AB31" i="63"/>
  <c r="AB34" i="63"/>
  <c r="AD37" i="63"/>
  <c r="AB40" i="63"/>
  <c r="AF17" i="63"/>
  <c r="AB21" i="63"/>
  <c r="AB23" i="63"/>
  <c r="AD28" i="63"/>
  <c r="U32" i="63"/>
  <c r="AD34" i="63"/>
  <c r="AD40" i="63"/>
  <c r="AB15" i="63"/>
  <c r="AF21" i="63"/>
  <c r="AD23" i="63"/>
  <c r="AD32" i="63"/>
  <c r="AB41" i="63"/>
  <c r="AD15" i="63"/>
  <c r="AB20" i="63"/>
  <c r="AD29" i="63"/>
  <c r="AF32" i="63"/>
  <c r="AB35" i="63"/>
  <c r="AB12" i="63"/>
  <c r="AC42" i="63"/>
  <c r="AD42" i="63" s="1"/>
  <c r="AE42" i="63"/>
  <c r="AF42" i="63" s="1"/>
  <c r="AF35" i="63"/>
  <c r="FI54" i="63"/>
  <c r="D104" i="63"/>
  <c r="F10" i="63"/>
  <c r="O17" i="63"/>
  <c r="AB19" i="63"/>
  <c r="AD21" i="63"/>
  <c r="AE25" i="63"/>
  <c r="AF28" i="63"/>
  <c r="AB29" i="63"/>
  <c r="AB30" i="63"/>
  <c r="AF34" i="63"/>
  <c r="AF38" i="63"/>
  <c r="AD39" i="63"/>
  <c r="AF40" i="63"/>
  <c r="AD47" i="63"/>
  <c r="AB37" i="63"/>
  <c r="U38" i="63"/>
  <c r="AF39" i="63"/>
  <c r="AF47" i="63"/>
  <c r="U47" i="63"/>
  <c r="AF15" i="63"/>
  <c r="AF16" i="63"/>
  <c r="O18" i="63"/>
  <c r="N27" i="63"/>
  <c r="U29" i="63"/>
  <c r="U30" i="63"/>
  <c r="AD31" i="63"/>
  <c r="M40" i="63"/>
  <c r="M41" i="63" s="1"/>
  <c r="AF37" i="63"/>
  <c r="F186" i="63"/>
  <c r="F177" i="63"/>
  <c r="F167" i="63"/>
  <c r="F135" i="63"/>
  <c r="F136" i="63"/>
  <c r="AB22" i="63"/>
  <c r="AF31" i="63"/>
  <c r="AB32" i="63"/>
  <c r="AB33" i="63"/>
  <c r="G122" i="63"/>
  <c r="I53" i="63" l="1"/>
  <c r="E197" i="63"/>
  <c r="E201" i="63" s="1"/>
  <c r="E202" i="63" s="1"/>
  <c r="H1" i="63"/>
  <c r="AA45" i="63"/>
  <c r="AB45" i="63" s="1"/>
  <c r="F110" i="63"/>
  <c r="H122" i="63"/>
  <c r="AF25" i="63"/>
  <c r="U22" i="63"/>
  <c r="V22" i="63" s="1"/>
  <c r="V10" i="63"/>
  <c r="AB25" i="63"/>
  <c r="AD25" i="63"/>
  <c r="H10" i="63"/>
  <c r="U35" i="63"/>
  <c r="AE45" i="63"/>
  <c r="G186" i="63"/>
  <c r="G138" i="63" s="1"/>
  <c r="G177" i="63"/>
  <c r="G134" i="63" s="1"/>
  <c r="G136" i="63"/>
  <c r="G167" i="63"/>
  <c r="G135" i="63"/>
  <c r="G62" i="63"/>
  <c r="G63" i="63" s="1"/>
  <c r="G104" i="63" s="1"/>
  <c r="G2" i="63"/>
  <c r="G58" i="63"/>
  <c r="G54" i="63"/>
  <c r="G64" i="63"/>
  <c r="G65" i="63" s="1"/>
  <c r="G60" i="63"/>
  <c r="G61" i="63" s="1"/>
  <c r="G78" i="63" s="1"/>
  <c r="H55" i="63"/>
  <c r="F134" i="63"/>
  <c r="O27" i="63"/>
  <c r="Q16" i="63"/>
  <c r="U14" i="63"/>
  <c r="FJ54" i="63"/>
  <c r="F138" i="63"/>
  <c r="Q18" i="63"/>
  <c r="AC45" i="63"/>
  <c r="U15" i="63"/>
  <c r="V15" i="63" s="1"/>
  <c r="Q17" i="63"/>
  <c r="J53" i="63" l="1"/>
  <c r="J173" i="63" s="1"/>
  <c r="I173" i="63"/>
  <c r="I1" i="63"/>
  <c r="I122" i="63"/>
  <c r="E199" i="63"/>
  <c r="E200" i="63" s="1"/>
  <c r="AA48" i="63"/>
  <c r="AB48" i="63" s="1"/>
  <c r="E10" i="63"/>
  <c r="V12" i="63"/>
  <c r="U10" i="63"/>
  <c r="U12" i="63" s="1"/>
  <c r="G77" i="63"/>
  <c r="FK54" i="63"/>
  <c r="F11" i="63"/>
  <c r="P27" i="63"/>
  <c r="V14" i="63"/>
  <c r="U16" i="63"/>
  <c r="V16" i="63" s="1"/>
  <c r="Q19" i="63"/>
  <c r="P16" i="63"/>
  <c r="H186" i="63"/>
  <c r="H177" i="63"/>
  <c r="H136" i="63"/>
  <c r="H167" i="63"/>
  <c r="H135" i="63"/>
  <c r="H62" i="63"/>
  <c r="H63" i="63" s="1"/>
  <c r="H60" i="63"/>
  <c r="H61" i="63" s="1"/>
  <c r="H2" i="63"/>
  <c r="H58" i="63"/>
  <c r="H54" i="63"/>
  <c r="H64" i="63"/>
  <c r="H65" i="63" s="1"/>
  <c r="I55" i="63"/>
  <c r="G113" i="63"/>
  <c r="G115" i="63"/>
  <c r="G114" i="63"/>
  <c r="G97" i="63"/>
  <c r="G96" i="63"/>
  <c r="G95" i="63"/>
  <c r="G92" i="63"/>
  <c r="G102" i="63"/>
  <c r="G93" i="63"/>
  <c r="G94" i="63"/>
  <c r="G101" i="63"/>
  <c r="G91" i="63"/>
  <c r="G59" i="63"/>
  <c r="G68" i="63"/>
  <c r="G84" i="63" s="1"/>
  <c r="F173" i="63"/>
  <c r="AE48" i="63"/>
  <c r="AF48" i="63" s="1"/>
  <c r="AF45" i="63"/>
  <c r="AD45" i="63"/>
  <c r="AC48" i="63"/>
  <c r="AD48" i="63" s="1"/>
  <c r="H185" i="63" l="1"/>
  <c r="J1" i="63"/>
  <c r="K53" i="63"/>
  <c r="K173" i="63" s="1"/>
  <c r="J122" i="63"/>
  <c r="V17" i="63"/>
  <c r="U17" i="63"/>
  <c r="U19" i="63" s="1"/>
  <c r="N18" i="63"/>
  <c r="H59" i="63"/>
  <c r="H78" i="63"/>
  <c r="H77" i="63"/>
  <c r="F37" i="63"/>
  <c r="E132" i="63" s="1"/>
  <c r="F38" i="63"/>
  <c r="H115" i="63"/>
  <c r="H96" i="63"/>
  <c r="H114" i="63"/>
  <c r="H102" i="63"/>
  <c r="H76" i="63" s="1"/>
  <c r="H92" i="63"/>
  <c r="H95" i="63"/>
  <c r="H101" i="63"/>
  <c r="H93" i="63"/>
  <c r="H91" i="63"/>
  <c r="H94" i="63"/>
  <c r="H113" i="63"/>
  <c r="H97" i="63"/>
  <c r="H104" i="63"/>
  <c r="G76" i="63"/>
  <c r="Q27" i="63"/>
  <c r="FL54" i="63"/>
  <c r="G71" i="63"/>
  <c r="H68" i="63"/>
  <c r="H84" i="63" s="1"/>
  <c r="I186" i="63"/>
  <c r="I138" i="63" s="1"/>
  <c r="I185" i="63"/>
  <c r="I177" i="63"/>
  <c r="I134" i="63" s="1"/>
  <c r="I136" i="63"/>
  <c r="I167" i="63"/>
  <c r="I135" i="63"/>
  <c r="I62" i="63"/>
  <c r="I63" i="63" s="1"/>
  <c r="I64" i="63"/>
  <c r="I65" i="63" s="1"/>
  <c r="I2" i="63"/>
  <c r="I58" i="63"/>
  <c r="I59" i="63" s="1"/>
  <c r="I54" i="63"/>
  <c r="I60" i="63"/>
  <c r="I61" i="63" s="1"/>
  <c r="J55" i="63"/>
  <c r="G98" i="63"/>
  <c r="H134" i="63"/>
  <c r="F16" i="63"/>
  <c r="H11" i="63"/>
  <c r="F185" i="63"/>
  <c r="G185" i="63"/>
  <c r="K122" i="63"/>
  <c r="K1" i="63"/>
  <c r="L53" i="63"/>
  <c r="L173" i="63" s="1"/>
  <c r="G116" i="63"/>
  <c r="H138" i="63"/>
  <c r="U21" i="63" l="1"/>
  <c r="V21" i="63" s="1"/>
  <c r="U20" i="63"/>
  <c r="V20" i="63" s="1"/>
  <c r="I78" i="63"/>
  <c r="I77" i="63"/>
  <c r="I113" i="63"/>
  <c r="I115" i="63"/>
  <c r="I114" i="63"/>
  <c r="I102" i="63"/>
  <c r="I96" i="63"/>
  <c r="I95" i="63"/>
  <c r="I93" i="63"/>
  <c r="I92" i="63"/>
  <c r="I101" i="63"/>
  <c r="I91" i="63"/>
  <c r="I94" i="63"/>
  <c r="I97" i="63"/>
  <c r="I104" i="63"/>
  <c r="FM54" i="63"/>
  <c r="V19" i="63"/>
  <c r="H98" i="63"/>
  <c r="L122" i="63"/>
  <c r="L1" i="63"/>
  <c r="M53" i="63"/>
  <c r="M173" i="63" s="1"/>
  <c r="J186" i="63"/>
  <c r="J185" i="63"/>
  <c r="J167" i="63"/>
  <c r="J177" i="63"/>
  <c r="J136" i="63"/>
  <c r="J135" i="63"/>
  <c r="J60" i="63"/>
  <c r="J61" i="63" s="1"/>
  <c r="J64" i="63"/>
  <c r="J65" i="63" s="1"/>
  <c r="J58" i="63"/>
  <c r="J59" i="63" s="1"/>
  <c r="J54" i="63"/>
  <c r="K55" i="63"/>
  <c r="J2" i="63"/>
  <c r="J62" i="63"/>
  <c r="J63" i="63" s="1"/>
  <c r="G79" i="63"/>
  <c r="H71" i="63"/>
  <c r="I68" i="63"/>
  <c r="I84" i="63" s="1"/>
  <c r="G72" i="63"/>
  <c r="G73" i="63" s="1"/>
  <c r="F12" i="63"/>
  <c r="H116" i="63"/>
  <c r="H79" i="63"/>
  <c r="U23" i="63" l="1"/>
  <c r="U25" i="63" s="1"/>
  <c r="U39" i="63" s="1"/>
  <c r="V23" i="63"/>
  <c r="V25" i="63" s="1"/>
  <c r="G83" i="63"/>
  <c r="G82" i="63"/>
  <c r="J77" i="63"/>
  <c r="J78" i="63"/>
  <c r="J115" i="63"/>
  <c r="J114" i="63"/>
  <c r="J113" i="63"/>
  <c r="J92" i="63"/>
  <c r="J97" i="63"/>
  <c r="J93" i="63"/>
  <c r="J94" i="63"/>
  <c r="J96" i="63"/>
  <c r="J95" i="63"/>
  <c r="J102" i="63"/>
  <c r="J91" i="63"/>
  <c r="J101" i="63"/>
  <c r="J104" i="63"/>
  <c r="FN54" i="63"/>
  <c r="M122" i="63"/>
  <c r="N53" i="63"/>
  <c r="N173" i="63" s="1"/>
  <c r="M1" i="63"/>
  <c r="I76" i="63"/>
  <c r="G81" i="63"/>
  <c r="I71" i="63"/>
  <c r="J68" i="63"/>
  <c r="J84" i="63" s="1"/>
  <c r="H72" i="63"/>
  <c r="H73" i="63" s="1"/>
  <c r="K186" i="63"/>
  <c r="K138" i="63" s="1"/>
  <c r="K185" i="63"/>
  <c r="K177" i="63"/>
  <c r="K134" i="63" s="1"/>
  <c r="K167" i="63"/>
  <c r="K135" i="63"/>
  <c r="K136" i="63"/>
  <c r="K60" i="63"/>
  <c r="K61" i="63" s="1"/>
  <c r="K64" i="63"/>
  <c r="K65" i="63" s="1"/>
  <c r="L55" i="63"/>
  <c r="K62" i="63"/>
  <c r="K63" i="63" s="1"/>
  <c r="K2" i="63"/>
  <c r="K58" i="63"/>
  <c r="K59" i="63" s="1"/>
  <c r="K54" i="63"/>
  <c r="I98" i="63"/>
  <c r="J134" i="63"/>
  <c r="J138" i="63"/>
  <c r="I116" i="63"/>
  <c r="H83" i="63" l="1"/>
  <c r="H82" i="63"/>
  <c r="H81" i="63"/>
  <c r="K115" i="63"/>
  <c r="K114" i="63"/>
  <c r="K102" i="63"/>
  <c r="K76" i="63" s="1"/>
  <c r="K113" i="63"/>
  <c r="K92" i="63"/>
  <c r="K93" i="63"/>
  <c r="K95" i="63"/>
  <c r="K96" i="63"/>
  <c r="K97" i="63"/>
  <c r="K94" i="63"/>
  <c r="K91" i="63"/>
  <c r="K101" i="63"/>
  <c r="K104" i="63"/>
  <c r="FO54" i="63"/>
  <c r="K77" i="63"/>
  <c r="K78" i="63"/>
  <c r="L185" i="63"/>
  <c r="L186" i="63"/>
  <c r="L177" i="63"/>
  <c r="L134" i="63" s="1"/>
  <c r="L167" i="63"/>
  <c r="L136" i="63"/>
  <c r="L135" i="63"/>
  <c r="L60" i="63"/>
  <c r="L61" i="63" s="1"/>
  <c r="L64" i="63"/>
  <c r="L65" i="63" s="1"/>
  <c r="L62" i="63"/>
  <c r="L63" i="63" s="1"/>
  <c r="M55" i="63"/>
  <c r="L58" i="63"/>
  <c r="L59" i="63" s="1"/>
  <c r="L54" i="63"/>
  <c r="L2" i="63"/>
  <c r="G85" i="63"/>
  <c r="K68" i="63"/>
  <c r="K84" i="63" s="1"/>
  <c r="J71" i="63"/>
  <c r="I72" i="63"/>
  <c r="I73" i="63" s="1"/>
  <c r="J98" i="63"/>
  <c r="N122" i="63"/>
  <c r="O53" i="63"/>
  <c r="O173" i="63" s="1"/>
  <c r="N1" i="63"/>
  <c r="J76" i="63"/>
  <c r="J79" i="63" s="1"/>
  <c r="J116" i="63"/>
  <c r="V39" i="63"/>
  <c r="U41" i="63"/>
  <c r="U42" i="63" s="1"/>
  <c r="I79" i="63"/>
  <c r="I83" i="63" l="1"/>
  <c r="I82" i="63"/>
  <c r="L77" i="63"/>
  <c r="L78" i="63"/>
  <c r="O122" i="63"/>
  <c r="P53" i="63"/>
  <c r="P173" i="63" s="1"/>
  <c r="O1" i="63"/>
  <c r="I81" i="63"/>
  <c r="G87" i="63"/>
  <c r="L138" i="63"/>
  <c r="U43" i="63"/>
  <c r="U45" i="63"/>
  <c r="U48" i="63" s="1"/>
  <c r="U49" i="63" s="1"/>
  <c r="J72" i="63"/>
  <c r="J73" i="63" s="1"/>
  <c r="H85" i="63"/>
  <c r="H87" i="63" s="1"/>
  <c r="M185" i="63"/>
  <c r="M186" i="63"/>
  <c r="M138" i="63" s="1"/>
  <c r="M177" i="63"/>
  <c r="M167" i="63"/>
  <c r="M135" i="63"/>
  <c r="M136" i="63"/>
  <c r="M64" i="63"/>
  <c r="M65" i="63" s="1"/>
  <c r="M62" i="63"/>
  <c r="M63" i="63" s="1"/>
  <c r="N55" i="63"/>
  <c r="M60" i="63"/>
  <c r="M61" i="63" s="1"/>
  <c r="M2" i="63"/>
  <c r="M58" i="63"/>
  <c r="M59" i="63" s="1"/>
  <c r="M54" i="63"/>
  <c r="D103" i="63"/>
  <c r="V41" i="63"/>
  <c r="V42" i="63" s="1"/>
  <c r="V45" i="63" s="1"/>
  <c r="V48" i="63" s="1"/>
  <c r="L68" i="63"/>
  <c r="L84" i="63" s="1"/>
  <c r="K71" i="63"/>
  <c r="FP54" i="63"/>
  <c r="K98" i="63"/>
  <c r="K116" i="63"/>
  <c r="K79" i="63"/>
  <c r="L114" i="63"/>
  <c r="L102" i="63"/>
  <c r="L113" i="63"/>
  <c r="L115" i="63"/>
  <c r="L93" i="63"/>
  <c r="L96" i="63"/>
  <c r="L101" i="63"/>
  <c r="L95" i="63"/>
  <c r="L94" i="63"/>
  <c r="L97" i="63"/>
  <c r="L92" i="63"/>
  <c r="L91" i="63"/>
  <c r="L104" i="63"/>
  <c r="J82" i="63" l="1"/>
  <c r="J83" i="63"/>
  <c r="F41" i="63"/>
  <c r="F40" i="63"/>
  <c r="J81" i="63"/>
  <c r="M114" i="63"/>
  <c r="M115" i="63"/>
  <c r="M101" i="63"/>
  <c r="M97" i="63"/>
  <c r="M95" i="63"/>
  <c r="M113" i="63"/>
  <c r="M91" i="63"/>
  <c r="M93" i="63"/>
  <c r="M94" i="63"/>
  <c r="M92" i="63"/>
  <c r="M102" i="63"/>
  <c r="M76" i="63" s="1"/>
  <c r="M96" i="63"/>
  <c r="M104" i="63"/>
  <c r="M77" i="63"/>
  <c r="M78" i="63"/>
  <c r="P122" i="63"/>
  <c r="P1" i="63"/>
  <c r="Q53" i="63"/>
  <c r="Q173" i="63" s="1"/>
  <c r="FQ54" i="63"/>
  <c r="K72" i="63"/>
  <c r="M134" i="63"/>
  <c r="I85" i="63"/>
  <c r="L71" i="63"/>
  <c r="M68" i="63"/>
  <c r="M84" i="63" s="1"/>
  <c r="H103" i="63"/>
  <c r="H105" i="63" s="1"/>
  <c r="H107" i="63" s="1"/>
  <c r="H108" i="63" s="1"/>
  <c r="L76" i="63"/>
  <c r="L98" i="63"/>
  <c r="G103" i="63"/>
  <c r="L116" i="63"/>
  <c r="N185" i="63"/>
  <c r="N186" i="63"/>
  <c r="N138" i="63" s="1"/>
  <c r="N177" i="63"/>
  <c r="N134" i="63" s="1"/>
  <c r="N167" i="63"/>
  <c r="N136" i="63"/>
  <c r="N135" i="63"/>
  <c r="N64" i="63"/>
  <c r="N65" i="63" s="1"/>
  <c r="O55" i="63"/>
  <c r="N60" i="63"/>
  <c r="N61" i="63" s="1"/>
  <c r="N62" i="63"/>
  <c r="N63" i="63" s="1"/>
  <c r="N2" i="63"/>
  <c r="N58" i="63"/>
  <c r="N59" i="63" s="1"/>
  <c r="N54" i="63"/>
  <c r="M116" i="63" l="1"/>
  <c r="M79" i="63"/>
  <c r="N78" i="63"/>
  <c r="N77" i="63"/>
  <c r="O185" i="63"/>
  <c r="O186" i="63"/>
  <c r="O138" i="63" s="1"/>
  <c r="O177" i="63"/>
  <c r="O134" i="63" s="1"/>
  <c r="O136" i="63"/>
  <c r="O135" i="63"/>
  <c r="O167" i="63"/>
  <c r="O62" i="63"/>
  <c r="O63" i="63" s="1"/>
  <c r="O64" i="63"/>
  <c r="O65" i="63" s="1"/>
  <c r="O60" i="63"/>
  <c r="O61" i="63" s="1"/>
  <c r="O2" i="63"/>
  <c r="O58" i="63"/>
  <c r="O59" i="63" s="1"/>
  <c r="O54" i="63"/>
  <c r="P55" i="63"/>
  <c r="K73" i="63"/>
  <c r="J85" i="63"/>
  <c r="J87" i="63" s="1"/>
  <c r="I87" i="63"/>
  <c r="FR54" i="63"/>
  <c r="H110" i="63"/>
  <c r="L79" i="63"/>
  <c r="N114" i="63"/>
  <c r="N113" i="63"/>
  <c r="N115" i="63"/>
  <c r="N96" i="63"/>
  <c r="N101" i="63"/>
  <c r="N94" i="63"/>
  <c r="N92" i="63"/>
  <c r="N95" i="63"/>
  <c r="N93" i="63"/>
  <c r="N91" i="63"/>
  <c r="N97" i="63"/>
  <c r="N102" i="63"/>
  <c r="N104" i="63"/>
  <c r="G105" i="63"/>
  <c r="M71" i="63"/>
  <c r="N68" i="63"/>
  <c r="N84" i="63" s="1"/>
  <c r="L72" i="63"/>
  <c r="L73" i="63" s="1"/>
  <c r="Q122" i="63"/>
  <c r="Q1" i="63"/>
  <c r="R53" i="63"/>
  <c r="R173" i="63" s="1"/>
  <c r="M98" i="63"/>
  <c r="K82" i="63" l="1"/>
  <c r="K83" i="63"/>
  <c r="L82" i="63"/>
  <c r="L83" i="63"/>
  <c r="O77" i="63"/>
  <c r="O78" i="63"/>
  <c r="O113" i="63"/>
  <c r="O115" i="63"/>
  <c r="O114" i="63"/>
  <c r="O96" i="63"/>
  <c r="O102" i="63"/>
  <c r="O76" i="63" s="1"/>
  <c r="O92" i="63"/>
  <c r="O93" i="63"/>
  <c r="O97" i="63"/>
  <c r="O91" i="63"/>
  <c r="O94" i="63"/>
  <c r="O101" i="63"/>
  <c r="O95" i="63"/>
  <c r="O104" i="63"/>
  <c r="J103" i="63"/>
  <c r="J105" i="63" s="1"/>
  <c r="J107" i="63" s="1"/>
  <c r="J108" i="63" s="1"/>
  <c r="P186" i="63"/>
  <c r="P138" i="63" s="1"/>
  <c r="P177" i="63"/>
  <c r="P134" i="63" s="1"/>
  <c r="P185" i="63"/>
  <c r="P136" i="63"/>
  <c r="P167" i="63"/>
  <c r="P135" i="63"/>
  <c r="P62" i="63"/>
  <c r="P63" i="63" s="1"/>
  <c r="P60" i="63"/>
  <c r="P61" i="63" s="1"/>
  <c r="P64" i="63"/>
  <c r="P65" i="63" s="1"/>
  <c r="P2" i="63"/>
  <c r="P58" i="63"/>
  <c r="P59" i="63" s="1"/>
  <c r="P54" i="63"/>
  <c r="Q55" i="63"/>
  <c r="R122" i="63"/>
  <c r="R1" i="63"/>
  <c r="S53" i="63"/>
  <c r="S173" i="63" s="1"/>
  <c r="G107" i="63"/>
  <c r="N76" i="63"/>
  <c r="N98" i="63"/>
  <c r="N116" i="63"/>
  <c r="FS54" i="63"/>
  <c r="I103" i="63"/>
  <c r="K81" i="63"/>
  <c r="L81" i="63"/>
  <c r="O68" i="63"/>
  <c r="O84" i="63" s="1"/>
  <c r="N71" i="63"/>
  <c r="M72" i="63"/>
  <c r="M73" i="63" s="1"/>
  <c r="M82" i="63" l="1"/>
  <c r="M83" i="63"/>
  <c r="L85" i="63"/>
  <c r="L87" i="63" s="1"/>
  <c r="L103" i="63" s="1"/>
  <c r="L105" i="63" s="1"/>
  <c r="L107" i="63" s="1"/>
  <c r="L108" i="63" s="1"/>
  <c r="M81" i="63"/>
  <c r="P115" i="63"/>
  <c r="P114" i="63"/>
  <c r="P102" i="63"/>
  <c r="P76" i="63" s="1"/>
  <c r="P92" i="63"/>
  <c r="P96" i="63"/>
  <c r="P95" i="63"/>
  <c r="P101" i="63"/>
  <c r="P94" i="63"/>
  <c r="P97" i="63"/>
  <c r="P113" i="63"/>
  <c r="P93" i="63"/>
  <c r="P91" i="63"/>
  <c r="P104" i="63"/>
  <c r="N72" i="63"/>
  <c r="N73" i="63" s="1"/>
  <c r="N79" i="63"/>
  <c r="O98" i="63"/>
  <c r="S1" i="63"/>
  <c r="T53" i="63"/>
  <c r="T173" i="63" s="1"/>
  <c r="O71" i="63"/>
  <c r="P68" i="63"/>
  <c r="P84" i="63" s="1"/>
  <c r="I105" i="63"/>
  <c r="O116" i="63"/>
  <c r="FT54" i="63"/>
  <c r="K85" i="63"/>
  <c r="J110" i="63"/>
  <c r="G108" i="63"/>
  <c r="G110" i="63"/>
  <c r="P77" i="63"/>
  <c r="P78" i="63"/>
  <c r="O79" i="63"/>
  <c r="Q186" i="63"/>
  <c r="Q138" i="63" s="1"/>
  <c r="Q185" i="63"/>
  <c r="Q177" i="63"/>
  <c r="Q134" i="63" s="1"/>
  <c r="Q136" i="63"/>
  <c r="Q167" i="63"/>
  <c r="Q135" i="63"/>
  <c r="Q62" i="63"/>
  <c r="Q63" i="63" s="1"/>
  <c r="Q64" i="63"/>
  <c r="Q65" i="63" s="1"/>
  <c r="Q60" i="63"/>
  <c r="Q61" i="63" s="1"/>
  <c r="Q2" i="63"/>
  <c r="Q58" i="63"/>
  <c r="Q59" i="63" s="1"/>
  <c r="Q54" i="63"/>
  <c r="R55" i="63"/>
  <c r="N83" i="63" l="1"/>
  <c r="N82" i="63"/>
  <c r="M85" i="63"/>
  <c r="M87" i="63" s="1"/>
  <c r="M103" i="63" s="1"/>
  <c r="M105" i="63" s="1"/>
  <c r="M107" i="63" s="1"/>
  <c r="M108" i="63" s="1"/>
  <c r="N81" i="63"/>
  <c r="Q113" i="63"/>
  <c r="Q115" i="63"/>
  <c r="Q114" i="63"/>
  <c r="Q96" i="63"/>
  <c r="Q92" i="63"/>
  <c r="Q97" i="63"/>
  <c r="Q93" i="63"/>
  <c r="Q102" i="63"/>
  <c r="Q76" i="63" s="1"/>
  <c r="Q91" i="63"/>
  <c r="Q95" i="63"/>
  <c r="Q101" i="63"/>
  <c r="Q94" i="63"/>
  <c r="Q104" i="63"/>
  <c r="O72" i="63"/>
  <c r="O73" i="63" s="1"/>
  <c r="K87" i="63"/>
  <c r="P98" i="63"/>
  <c r="P71" i="63"/>
  <c r="Q68" i="63"/>
  <c r="Q84" i="63" s="1"/>
  <c r="Q78" i="63"/>
  <c r="Q77" i="63"/>
  <c r="I107" i="63"/>
  <c r="FU54" i="63"/>
  <c r="P116" i="63"/>
  <c r="P79" i="63"/>
  <c r="T1" i="63"/>
  <c r="U53" i="63"/>
  <c r="U173" i="63" s="1"/>
  <c r="R186" i="63"/>
  <c r="R138" i="63" s="1"/>
  <c r="R185" i="63"/>
  <c r="R177" i="63"/>
  <c r="R134" i="63" s="1"/>
  <c r="R167" i="63"/>
  <c r="R136" i="63"/>
  <c r="R135" i="63"/>
  <c r="R60" i="63"/>
  <c r="R61" i="63" s="1"/>
  <c r="R64" i="63"/>
  <c r="R65" i="63" s="1"/>
  <c r="R58" i="63"/>
  <c r="R59" i="63" s="1"/>
  <c r="R54" i="63"/>
  <c r="R62" i="63"/>
  <c r="R63" i="63" s="1"/>
  <c r="S55" i="63"/>
  <c r="R2" i="63"/>
  <c r="L110" i="63"/>
  <c r="O83" i="63" l="1"/>
  <c r="O82" i="63"/>
  <c r="N85" i="63"/>
  <c r="N87" i="63" s="1"/>
  <c r="N103" i="63" s="1"/>
  <c r="N105" i="63" s="1"/>
  <c r="N107" i="63" s="1"/>
  <c r="N108" i="63" s="1"/>
  <c r="Q116" i="63"/>
  <c r="R77" i="63"/>
  <c r="R78" i="63"/>
  <c r="O81" i="63"/>
  <c r="K103" i="63"/>
  <c r="V53" i="63"/>
  <c r="V173" i="63" s="1"/>
  <c r="U1" i="63"/>
  <c r="Q79" i="63"/>
  <c r="R115" i="63"/>
  <c r="R114" i="63"/>
  <c r="R113" i="63"/>
  <c r="R92" i="63"/>
  <c r="R96" i="63"/>
  <c r="R93" i="63"/>
  <c r="R95" i="63"/>
  <c r="R102" i="63"/>
  <c r="R76" i="63" s="1"/>
  <c r="R91" i="63"/>
  <c r="R101" i="63"/>
  <c r="R97" i="63"/>
  <c r="R94" i="63"/>
  <c r="R104" i="63"/>
  <c r="I108" i="63"/>
  <c r="I110" i="63"/>
  <c r="M110" i="63"/>
  <c r="Q71" i="63"/>
  <c r="R68" i="63"/>
  <c r="R84" i="63" s="1"/>
  <c r="P72" i="63"/>
  <c r="P73" i="63" s="1"/>
  <c r="S186" i="63"/>
  <c r="S138" i="63" s="1"/>
  <c r="S185" i="63"/>
  <c r="S177" i="63"/>
  <c r="S134" i="63" s="1"/>
  <c r="S167" i="63"/>
  <c r="S135" i="63"/>
  <c r="S136" i="63"/>
  <c r="S60" i="63"/>
  <c r="S61" i="63" s="1"/>
  <c r="S62" i="63"/>
  <c r="S63" i="63" s="1"/>
  <c r="T55" i="63"/>
  <c r="S2" i="63"/>
  <c r="S58" i="63"/>
  <c r="S59" i="63" s="1"/>
  <c r="S64" i="63"/>
  <c r="S65" i="63" s="1"/>
  <c r="S54" i="63"/>
  <c r="Q98" i="63"/>
  <c r="P83" i="63" l="1"/>
  <c r="P82" i="63"/>
  <c r="N110" i="63"/>
  <c r="R98" i="63"/>
  <c r="R79" i="63"/>
  <c r="S78" i="63"/>
  <c r="S77" i="63"/>
  <c r="S115" i="63"/>
  <c r="S114" i="63"/>
  <c r="S113" i="63"/>
  <c r="S92" i="63"/>
  <c r="S96" i="63"/>
  <c r="S97" i="63"/>
  <c r="S95" i="63"/>
  <c r="S93" i="63"/>
  <c r="S91" i="63"/>
  <c r="S102" i="63"/>
  <c r="S76" i="63" s="1"/>
  <c r="S101" i="63"/>
  <c r="S94" i="63"/>
  <c r="S104" i="63"/>
  <c r="T185" i="63"/>
  <c r="T186" i="63"/>
  <c r="T138" i="63" s="1"/>
  <c r="T177" i="63"/>
  <c r="T134" i="63" s="1"/>
  <c r="T167" i="63"/>
  <c r="T135" i="63"/>
  <c r="T136" i="63"/>
  <c r="T60" i="63"/>
  <c r="T61" i="63" s="1"/>
  <c r="T64" i="63"/>
  <c r="T65" i="63" s="1"/>
  <c r="T62" i="63"/>
  <c r="T63" i="63" s="1"/>
  <c r="U55" i="63"/>
  <c r="T54" i="63"/>
  <c r="T2" i="63"/>
  <c r="T58" i="63"/>
  <c r="T59" i="63" s="1"/>
  <c r="Q72" i="63"/>
  <c r="Q73" i="63" s="1"/>
  <c r="P81" i="63"/>
  <c r="S68" i="63"/>
  <c r="S84" i="63" s="1"/>
  <c r="R71" i="63"/>
  <c r="W53" i="63"/>
  <c r="W173" i="63" s="1"/>
  <c r="V1" i="63"/>
  <c r="K105" i="63"/>
  <c r="O85" i="63"/>
  <c r="R116" i="63"/>
  <c r="Q83" i="63" l="1"/>
  <c r="Q82" i="63"/>
  <c r="S98" i="63"/>
  <c r="T78" i="63"/>
  <c r="T77" i="63"/>
  <c r="Q81" i="63"/>
  <c r="T114" i="63"/>
  <c r="T113" i="63"/>
  <c r="T115" i="63"/>
  <c r="T102" i="63"/>
  <c r="T76" i="63" s="1"/>
  <c r="T96" i="63"/>
  <c r="T92" i="63"/>
  <c r="T101" i="63"/>
  <c r="T97" i="63"/>
  <c r="T95" i="63"/>
  <c r="T93" i="63"/>
  <c r="T91" i="63"/>
  <c r="T94" i="63"/>
  <c r="T104" i="63"/>
  <c r="U185" i="63"/>
  <c r="U186" i="63"/>
  <c r="U138" i="63" s="1"/>
  <c r="U177" i="63"/>
  <c r="U134" i="63" s="1"/>
  <c r="U167" i="63"/>
  <c r="U135" i="63"/>
  <c r="U136" i="63"/>
  <c r="U64" i="63"/>
  <c r="U65" i="63" s="1"/>
  <c r="U62" i="63"/>
  <c r="U63" i="63" s="1"/>
  <c r="V55" i="63"/>
  <c r="U2" i="63"/>
  <c r="U54" i="63"/>
  <c r="U60" i="63"/>
  <c r="U61" i="63" s="1"/>
  <c r="U58" i="63"/>
  <c r="U59" i="63" s="1"/>
  <c r="O87" i="63"/>
  <c r="X53" i="63"/>
  <c r="X173" i="63" s="1"/>
  <c r="W1" i="63"/>
  <c r="R72" i="63"/>
  <c r="R73" i="63" s="1"/>
  <c r="P85" i="63"/>
  <c r="P87" i="63" s="1"/>
  <c r="S71" i="63"/>
  <c r="T68" i="63"/>
  <c r="T84" i="63" s="1"/>
  <c r="K107" i="63"/>
  <c r="S79" i="63"/>
  <c r="S116" i="63"/>
  <c r="R83" i="63" l="1"/>
  <c r="R82" i="63"/>
  <c r="T116" i="63"/>
  <c r="U78" i="63"/>
  <c r="U77" i="63"/>
  <c r="R81" i="63"/>
  <c r="U114" i="63"/>
  <c r="U115" i="63"/>
  <c r="U97" i="63"/>
  <c r="U95" i="63"/>
  <c r="U94" i="63"/>
  <c r="U91" i="63"/>
  <c r="U96" i="63"/>
  <c r="U101" i="63"/>
  <c r="U92" i="63"/>
  <c r="U113" i="63"/>
  <c r="U93" i="63"/>
  <c r="U102" i="63"/>
  <c r="U76" i="63" s="1"/>
  <c r="U104" i="63"/>
  <c r="O103" i="63"/>
  <c r="Q85" i="63"/>
  <c r="Q87" i="63" s="1"/>
  <c r="T71" i="63"/>
  <c r="U68" i="63"/>
  <c r="U84" i="63" s="1"/>
  <c r="V185" i="63"/>
  <c r="V186" i="63"/>
  <c r="V138" i="63" s="1"/>
  <c r="V177" i="63"/>
  <c r="V134" i="63" s="1"/>
  <c r="V136" i="63"/>
  <c r="V135" i="63"/>
  <c r="V167" i="63"/>
  <c r="V64" i="63"/>
  <c r="V65" i="63" s="1"/>
  <c r="V62" i="63"/>
  <c r="V63" i="63" s="1"/>
  <c r="W55" i="63"/>
  <c r="V2" i="63"/>
  <c r="V58" i="63"/>
  <c r="V59" i="63" s="1"/>
  <c r="V54" i="63"/>
  <c r="V60" i="63"/>
  <c r="V61" i="63" s="1"/>
  <c r="S72" i="63"/>
  <c r="S73" i="63" s="1"/>
  <c r="T79" i="63"/>
  <c r="K108" i="63"/>
  <c r="K110" i="63"/>
  <c r="X1" i="63"/>
  <c r="Y53" i="63"/>
  <c r="Y173" i="63" s="1"/>
  <c r="T98" i="63"/>
  <c r="P103" i="63"/>
  <c r="P105" i="63" s="1"/>
  <c r="P107" i="63" s="1"/>
  <c r="P108" i="63" s="1"/>
  <c r="S82" i="63" l="1"/>
  <c r="S83" i="63"/>
  <c r="P110" i="63"/>
  <c r="U98" i="63"/>
  <c r="V78" i="63"/>
  <c r="V77" i="63"/>
  <c r="V114" i="63"/>
  <c r="V113" i="63"/>
  <c r="V115" i="63"/>
  <c r="V97" i="63"/>
  <c r="V96" i="63"/>
  <c r="V95" i="63"/>
  <c r="V92" i="63"/>
  <c r="V101" i="63"/>
  <c r="V94" i="63"/>
  <c r="V102" i="63"/>
  <c r="V76" i="63" s="1"/>
  <c r="V93" i="63"/>
  <c r="V91" i="63"/>
  <c r="V104" i="63"/>
  <c r="Q103" i="63"/>
  <c r="U79" i="63"/>
  <c r="T72" i="63"/>
  <c r="T73" i="63" s="1"/>
  <c r="S81" i="63"/>
  <c r="Y1" i="63"/>
  <c r="Z53" i="63"/>
  <c r="Z173" i="63" s="1"/>
  <c r="W185" i="63"/>
  <c r="W186" i="63"/>
  <c r="W138" i="63" s="1"/>
  <c r="W177" i="63"/>
  <c r="W134" i="63" s="1"/>
  <c r="W136" i="63"/>
  <c r="W167" i="63"/>
  <c r="W135" i="63"/>
  <c r="W62" i="63"/>
  <c r="W63" i="63" s="1"/>
  <c r="W2" i="63"/>
  <c r="W58" i="63"/>
  <c r="W59" i="63" s="1"/>
  <c r="W54" i="63"/>
  <c r="X55" i="63"/>
  <c r="W64" i="63"/>
  <c r="W65" i="63" s="1"/>
  <c r="W60" i="63"/>
  <c r="W61" i="63" s="1"/>
  <c r="U116" i="63"/>
  <c r="O105" i="63"/>
  <c r="U71" i="63"/>
  <c r="V68" i="63"/>
  <c r="V84" i="63" s="1"/>
  <c r="R85" i="63"/>
  <c r="R87" i="63" s="1"/>
  <c r="Q105" i="63" l="1"/>
  <c r="Q107" i="63" s="1"/>
  <c r="Q108" i="63" s="1"/>
  <c r="T82" i="63"/>
  <c r="T83" i="63"/>
  <c r="S85" i="63"/>
  <c r="S87" i="63" s="1"/>
  <c r="S103" i="63" s="1"/>
  <c r="V98" i="63"/>
  <c r="V116" i="63"/>
  <c r="W77" i="63"/>
  <c r="W78" i="63"/>
  <c r="W113" i="63"/>
  <c r="W115" i="63"/>
  <c r="W114" i="63"/>
  <c r="W102" i="63"/>
  <c r="W76" i="63" s="1"/>
  <c r="W96" i="63"/>
  <c r="W93" i="63"/>
  <c r="W92" i="63"/>
  <c r="W94" i="63"/>
  <c r="W91" i="63"/>
  <c r="W97" i="63"/>
  <c r="W95" i="63"/>
  <c r="W101" i="63"/>
  <c r="W104" i="63"/>
  <c r="T81" i="63"/>
  <c r="U72" i="63"/>
  <c r="U73" i="63" s="1"/>
  <c r="X186" i="63"/>
  <c r="X138" i="63" s="1"/>
  <c r="X185" i="63"/>
  <c r="X177" i="63"/>
  <c r="X134" i="63" s="1"/>
  <c r="X136" i="63"/>
  <c r="X167" i="63"/>
  <c r="X135" i="63"/>
  <c r="X62" i="63"/>
  <c r="X63" i="63" s="1"/>
  <c r="X60" i="63"/>
  <c r="X61" i="63" s="1"/>
  <c r="X2" i="63"/>
  <c r="X58" i="63"/>
  <c r="X59" i="63" s="1"/>
  <c r="X54" i="63"/>
  <c r="Y55" i="63"/>
  <c r="X64" i="63"/>
  <c r="X65" i="63" s="1"/>
  <c r="Z1" i="63"/>
  <c r="AA53" i="63"/>
  <c r="AA173" i="63" s="1"/>
  <c r="W68" i="63"/>
  <c r="W84" i="63" s="1"/>
  <c r="V71" i="63"/>
  <c r="O107" i="63"/>
  <c r="V79" i="63"/>
  <c r="R103" i="63"/>
  <c r="Q110" i="63" l="1"/>
  <c r="S105" i="63"/>
  <c r="S107" i="63" s="1"/>
  <c r="S108" i="63" s="1"/>
  <c r="U82" i="63"/>
  <c r="U83" i="63"/>
  <c r="W79" i="63"/>
  <c r="W98" i="63"/>
  <c r="V72" i="63"/>
  <c r="V73" i="63" s="1"/>
  <c r="Y186" i="63"/>
  <c r="Y138" i="63" s="1"/>
  <c r="Y185" i="63"/>
  <c r="Y177" i="63"/>
  <c r="Y134" i="63" s="1"/>
  <c r="Y136" i="63"/>
  <c r="Y167" i="63"/>
  <c r="Y135" i="63"/>
  <c r="Y62" i="63"/>
  <c r="Y63" i="63" s="1"/>
  <c r="Y64" i="63"/>
  <c r="Y65" i="63" s="1"/>
  <c r="Y2" i="63"/>
  <c r="Y58" i="63"/>
  <c r="Y59" i="63" s="1"/>
  <c r="Y54" i="63"/>
  <c r="Y60" i="63"/>
  <c r="Y61" i="63" s="1"/>
  <c r="Z55" i="63"/>
  <c r="T85" i="63"/>
  <c r="T87" i="63" s="1"/>
  <c r="W116" i="63"/>
  <c r="O108" i="63"/>
  <c r="O110" i="63"/>
  <c r="W71" i="63"/>
  <c r="X68" i="63"/>
  <c r="X84" i="63" s="1"/>
  <c r="U81" i="63"/>
  <c r="X115" i="63"/>
  <c r="X114" i="63"/>
  <c r="X102" i="63"/>
  <c r="X76" i="63" s="1"/>
  <c r="X96" i="63"/>
  <c r="X101" i="63"/>
  <c r="X92" i="63"/>
  <c r="X94" i="63"/>
  <c r="X91" i="63"/>
  <c r="X113" i="63"/>
  <c r="X95" i="63"/>
  <c r="X93" i="63"/>
  <c r="X97" i="63"/>
  <c r="X104" i="63"/>
  <c r="R105" i="63"/>
  <c r="AA1" i="63"/>
  <c r="AB53" i="63"/>
  <c r="AB173" i="63" s="1"/>
  <c r="X78" i="63"/>
  <c r="X77" i="63"/>
  <c r="S110" i="63" l="1"/>
  <c r="V82" i="63"/>
  <c r="V83" i="63"/>
  <c r="X116" i="63"/>
  <c r="V81" i="63"/>
  <c r="Y78" i="63"/>
  <c r="Y77" i="63"/>
  <c r="U85" i="63"/>
  <c r="U87" i="63" s="1"/>
  <c r="W72" i="63"/>
  <c r="W73" i="63" s="1"/>
  <c r="Y113" i="63"/>
  <c r="Y115" i="63"/>
  <c r="Y114" i="63"/>
  <c r="Y102" i="63"/>
  <c r="Y76" i="63" s="1"/>
  <c r="Y93" i="63"/>
  <c r="Y95" i="63"/>
  <c r="Y96" i="63"/>
  <c r="Y101" i="63"/>
  <c r="Y92" i="63"/>
  <c r="Y97" i="63"/>
  <c r="Y91" i="63"/>
  <c r="Y94" i="63"/>
  <c r="Y104" i="63"/>
  <c r="X71" i="63"/>
  <c r="Y68" i="63"/>
  <c r="Y84" i="63" s="1"/>
  <c r="R107" i="63"/>
  <c r="X79" i="63"/>
  <c r="AB1" i="63"/>
  <c r="AC53" i="63"/>
  <c r="AC173" i="63" s="1"/>
  <c r="X98" i="63"/>
  <c r="T103" i="63"/>
  <c r="Z186" i="63"/>
  <c r="Z138" i="63" s="1"/>
  <c r="Z185" i="63"/>
  <c r="Z177" i="63"/>
  <c r="Z134" i="63" s="1"/>
  <c r="Z167" i="63"/>
  <c r="Z135" i="63"/>
  <c r="Z136" i="63"/>
  <c r="Z60" i="63"/>
  <c r="Z61" i="63" s="1"/>
  <c r="Z64" i="63"/>
  <c r="Z65" i="63" s="1"/>
  <c r="Z58" i="63"/>
  <c r="Z59" i="63" s="1"/>
  <c r="Z54" i="63"/>
  <c r="AA55" i="63"/>
  <c r="Z62" i="63"/>
  <c r="Z63" i="63" s="1"/>
  <c r="Z2" i="63"/>
  <c r="T105" i="63" l="1"/>
  <c r="T107" i="63" s="1"/>
  <c r="T108" i="63" s="1"/>
  <c r="W83" i="63"/>
  <c r="W82" i="63"/>
  <c r="Z77" i="63"/>
  <c r="Z78" i="63"/>
  <c r="W81" i="63"/>
  <c r="Y71" i="63"/>
  <c r="Z68" i="63"/>
  <c r="Z84" i="63" s="1"/>
  <c r="X72" i="63"/>
  <c r="X73" i="63" s="1"/>
  <c r="AD53" i="63"/>
  <c r="AD173" i="63" s="1"/>
  <c r="AC1" i="63"/>
  <c r="Z115" i="63"/>
  <c r="Z114" i="63"/>
  <c r="Z113" i="63"/>
  <c r="Z96" i="63"/>
  <c r="Z92" i="63"/>
  <c r="Z93" i="63"/>
  <c r="Z97" i="63"/>
  <c r="Z91" i="63"/>
  <c r="Z101" i="63"/>
  <c r="Z102" i="63"/>
  <c r="Z76" i="63" s="1"/>
  <c r="Z94" i="63"/>
  <c r="Z95" i="63"/>
  <c r="Z104" i="63"/>
  <c r="Y98" i="63"/>
  <c r="Y79" i="63"/>
  <c r="V85" i="63"/>
  <c r="V87" i="63" s="1"/>
  <c r="R108" i="63"/>
  <c r="R110" i="63"/>
  <c r="U103" i="63"/>
  <c r="AA186" i="63"/>
  <c r="AA138" i="63" s="1"/>
  <c r="AA185" i="63"/>
  <c r="AA177" i="63"/>
  <c r="AA134" i="63" s="1"/>
  <c r="AA167" i="63"/>
  <c r="AA135" i="63"/>
  <c r="AA136" i="63"/>
  <c r="AA60" i="63"/>
  <c r="AA61" i="63" s="1"/>
  <c r="AB55" i="63"/>
  <c r="AA64" i="63"/>
  <c r="AA65" i="63" s="1"/>
  <c r="AA62" i="63"/>
  <c r="AA63" i="63" s="1"/>
  <c r="AA54" i="63"/>
  <c r="AA2" i="63"/>
  <c r="AA58" i="63"/>
  <c r="AA59" i="63" s="1"/>
  <c r="Y116" i="63"/>
  <c r="T110" i="63" l="1"/>
  <c r="U105" i="63"/>
  <c r="U107" i="63" s="1"/>
  <c r="U108" i="63" s="1"/>
  <c r="X83" i="63"/>
  <c r="X82" i="63"/>
  <c r="Z79" i="63"/>
  <c r="X81" i="63"/>
  <c r="AA115" i="63"/>
  <c r="AA114" i="63"/>
  <c r="AA113" i="63"/>
  <c r="AA92" i="63"/>
  <c r="AA102" i="63"/>
  <c r="AA76" i="63" s="1"/>
  <c r="AA96" i="63"/>
  <c r="AA93" i="63"/>
  <c r="AA94" i="63"/>
  <c r="AA95" i="63"/>
  <c r="AA101" i="63"/>
  <c r="AA97" i="63"/>
  <c r="AA91" i="63"/>
  <c r="AA104" i="63"/>
  <c r="AA77" i="63"/>
  <c r="AA78" i="63"/>
  <c r="V103" i="63"/>
  <c r="Z98" i="63"/>
  <c r="AE53" i="63"/>
  <c r="AE173" i="63" s="1"/>
  <c r="AD1" i="63"/>
  <c r="AA68" i="63"/>
  <c r="AA84" i="63" s="1"/>
  <c r="Z71" i="63"/>
  <c r="Y72" i="63"/>
  <c r="Y73" i="63" s="1"/>
  <c r="AB185" i="63"/>
  <c r="AB186" i="63"/>
  <c r="AB138" i="63" s="1"/>
  <c r="AB177" i="63"/>
  <c r="AB134" i="63" s="1"/>
  <c r="AB167" i="63"/>
  <c r="AB135" i="63"/>
  <c r="AB136" i="63"/>
  <c r="AB60" i="63"/>
  <c r="AB61" i="63" s="1"/>
  <c r="AB64" i="63"/>
  <c r="AB65" i="63" s="1"/>
  <c r="AB62" i="63"/>
  <c r="AB63" i="63" s="1"/>
  <c r="AC55" i="63"/>
  <c r="AB54" i="63"/>
  <c r="AB2" i="63"/>
  <c r="AB58" i="63"/>
  <c r="AB59" i="63" s="1"/>
  <c r="Z116" i="63"/>
  <c r="W85" i="63"/>
  <c r="W87" i="63" s="1"/>
  <c r="U110" i="63" l="1"/>
  <c r="V105" i="63"/>
  <c r="V107" i="63" s="1"/>
  <c r="V108" i="63" s="1"/>
  <c r="Y83" i="63"/>
  <c r="Y82" i="63"/>
  <c r="AB114" i="63"/>
  <c r="AB115" i="63"/>
  <c r="AB113" i="63"/>
  <c r="AB94" i="63"/>
  <c r="AB102" i="63"/>
  <c r="AB76" i="63" s="1"/>
  <c r="AB92" i="63"/>
  <c r="AB97" i="63"/>
  <c r="AB101" i="63"/>
  <c r="AB95" i="63"/>
  <c r="AB96" i="63"/>
  <c r="AB93" i="63"/>
  <c r="AB91" i="63"/>
  <c r="AB104" i="63"/>
  <c r="Y81" i="63"/>
  <c r="AB78" i="63"/>
  <c r="AB77" i="63"/>
  <c r="AC185" i="63"/>
  <c r="AC186" i="63"/>
  <c r="AC138" i="63" s="1"/>
  <c r="AC177" i="63"/>
  <c r="AC134" i="63" s="1"/>
  <c r="AC167" i="63"/>
  <c r="AC135" i="63"/>
  <c r="AC136" i="63"/>
  <c r="AC64" i="63"/>
  <c r="AC65" i="63" s="1"/>
  <c r="AC62" i="63"/>
  <c r="AC63" i="63" s="1"/>
  <c r="AD55" i="63"/>
  <c r="AC60" i="63"/>
  <c r="AC61" i="63" s="1"/>
  <c r="AC2" i="63"/>
  <c r="AC58" i="63"/>
  <c r="AC59" i="63" s="1"/>
  <c r="AC54" i="63"/>
  <c r="W103" i="63"/>
  <c r="AA98" i="63"/>
  <c r="AA79" i="63"/>
  <c r="Z72" i="63"/>
  <c r="Z73" i="63" s="1"/>
  <c r="AF53" i="63"/>
  <c r="AF173" i="63" s="1"/>
  <c r="AE1" i="63"/>
  <c r="AA116" i="63"/>
  <c r="AB68" i="63"/>
  <c r="AB84" i="63" s="1"/>
  <c r="AA71" i="63"/>
  <c r="X85" i="63"/>
  <c r="X87" i="63" s="1"/>
  <c r="V110" i="63" l="1"/>
  <c r="W105" i="63"/>
  <c r="W107" i="63" s="1"/>
  <c r="W108" i="63" s="1"/>
  <c r="Z82" i="63"/>
  <c r="Z83" i="63"/>
  <c r="AB116" i="63"/>
  <c r="AC114" i="63"/>
  <c r="AC115" i="63"/>
  <c r="AC97" i="63"/>
  <c r="AC95" i="63"/>
  <c r="AC102" i="63"/>
  <c r="AC76" i="63" s="1"/>
  <c r="AC94" i="63"/>
  <c r="AC93" i="63"/>
  <c r="AC91" i="63"/>
  <c r="AC101" i="63"/>
  <c r="AC113" i="63"/>
  <c r="AC92" i="63"/>
  <c r="AC96" i="63"/>
  <c r="AC104" i="63"/>
  <c r="AF1" i="63"/>
  <c r="AG53" i="63"/>
  <c r="AG173" i="63" s="1"/>
  <c r="AA72" i="63"/>
  <c r="AA73" i="63" s="1"/>
  <c r="AB71" i="63"/>
  <c r="AC68" i="63"/>
  <c r="AC84" i="63" s="1"/>
  <c r="AC78" i="63"/>
  <c r="AC77" i="63"/>
  <c r="AB98" i="63"/>
  <c r="AB79" i="63"/>
  <c r="AD185" i="63"/>
  <c r="AD177" i="63"/>
  <c r="AD134" i="63" s="1"/>
  <c r="AD186" i="63"/>
  <c r="AD138" i="63" s="1"/>
  <c r="AD135" i="63"/>
  <c r="AD136" i="63"/>
  <c r="AD167" i="63"/>
  <c r="AD64" i="63"/>
  <c r="AD65" i="63" s="1"/>
  <c r="AE55" i="63"/>
  <c r="AD60" i="63"/>
  <c r="AD61" i="63" s="1"/>
  <c r="AD2" i="63"/>
  <c r="AD58" i="63"/>
  <c r="AD59" i="63" s="1"/>
  <c r="AD54" i="63"/>
  <c r="AD62" i="63"/>
  <c r="AD63" i="63" s="1"/>
  <c r="Z81" i="63"/>
  <c r="X103" i="63"/>
  <c r="Y85" i="63"/>
  <c r="Y87" i="63" s="1"/>
  <c r="W110" i="63" l="1"/>
  <c r="X105" i="63"/>
  <c r="X107" i="63" s="1"/>
  <c r="X108" i="63" s="1"/>
  <c r="AA82" i="63"/>
  <c r="AA83" i="63"/>
  <c r="Z85" i="63"/>
  <c r="Z87" i="63" s="1"/>
  <c r="Z103" i="63" s="1"/>
  <c r="AD77" i="63"/>
  <c r="AD78" i="63"/>
  <c r="AD114" i="63"/>
  <c r="AD113" i="63"/>
  <c r="AD92" i="63"/>
  <c r="AD115" i="63"/>
  <c r="AD97" i="63"/>
  <c r="AD96" i="63"/>
  <c r="AD95" i="63"/>
  <c r="AD91" i="63"/>
  <c r="AD101" i="63"/>
  <c r="AD102" i="63"/>
  <c r="AD76" i="63" s="1"/>
  <c r="AD94" i="63"/>
  <c r="AD93" i="63"/>
  <c r="AD104" i="63"/>
  <c r="AC79" i="63"/>
  <c r="Y103" i="63"/>
  <c r="AE185" i="63"/>
  <c r="AE186" i="63"/>
  <c r="AE138" i="63" s="1"/>
  <c r="AE177" i="63"/>
  <c r="AE134" i="63" s="1"/>
  <c r="AE136" i="63"/>
  <c r="AE135" i="63"/>
  <c r="AE167" i="63"/>
  <c r="AE62" i="63"/>
  <c r="AE63" i="63" s="1"/>
  <c r="AE60" i="63"/>
  <c r="AE61" i="63" s="1"/>
  <c r="AE2" i="63"/>
  <c r="AE64" i="63"/>
  <c r="AE65" i="63" s="1"/>
  <c r="AE58" i="63"/>
  <c r="AE59" i="63" s="1"/>
  <c r="AE54" i="63"/>
  <c r="AF55" i="63"/>
  <c r="AG1" i="63"/>
  <c r="AH53" i="63"/>
  <c r="AH173" i="63" s="1"/>
  <c r="AC71" i="63"/>
  <c r="AD68" i="63"/>
  <c r="AD84" i="63" s="1"/>
  <c r="AC116" i="63"/>
  <c r="AB72" i="63"/>
  <c r="AB73" i="63" s="1"/>
  <c r="AC98" i="63"/>
  <c r="AA81" i="63"/>
  <c r="X110" i="63" l="1"/>
  <c r="Z105" i="63"/>
  <c r="Z107" i="63" s="1"/>
  <c r="Z108" i="63" s="1"/>
  <c r="Y105" i="63"/>
  <c r="Y107" i="63" s="1"/>
  <c r="Y108" i="63" s="1"/>
  <c r="AB82" i="63"/>
  <c r="AB83" i="63"/>
  <c r="AD116" i="63"/>
  <c r="AB81" i="63"/>
  <c r="AE77" i="63"/>
  <c r="AE78" i="63"/>
  <c r="AH1" i="63"/>
  <c r="AI53" i="63"/>
  <c r="AI173" i="63" s="1"/>
  <c r="AD79" i="63"/>
  <c r="AF186" i="63"/>
  <c r="AF138" i="63" s="1"/>
  <c r="AF185" i="63"/>
  <c r="AF177" i="63"/>
  <c r="AF134" i="63" s="1"/>
  <c r="AF136" i="63"/>
  <c r="AF167" i="63"/>
  <c r="AF135" i="63"/>
  <c r="AF62" i="63"/>
  <c r="AF63" i="63" s="1"/>
  <c r="AF60" i="63"/>
  <c r="AF61" i="63" s="1"/>
  <c r="AF2" i="63"/>
  <c r="AF64" i="63"/>
  <c r="AF65" i="63" s="1"/>
  <c r="AF58" i="63"/>
  <c r="AF59" i="63" s="1"/>
  <c r="AF54" i="63"/>
  <c r="AG55" i="63"/>
  <c r="AD98" i="63"/>
  <c r="AE68" i="63"/>
  <c r="AE84" i="63" s="1"/>
  <c r="AD71" i="63"/>
  <c r="AE113" i="63"/>
  <c r="AE115" i="63"/>
  <c r="AE114" i="63"/>
  <c r="AE92" i="63"/>
  <c r="AE102" i="63"/>
  <c r="AE76" i="63" s="1"/>
  <c r="AE97" i="63"/>
  <c r="AE96" i="63"/>
  <c r="AE95" i="63"/>
  <c r="AE93" i="63"/>
  <c r="AE91" i="63"/>
  <c r="AE94" i="63"/>
  <c r="AE101" i="63"/>
  <c r="AE104" i="63"/>
  <c r="AC72" i="63"/>
  <c r="AC73" i="63" s="1"/>
  <c r="AA85" i="63"/>
  <c r="AA87" i="63" s="1"/>
  <c r="Z110" i="63" l="1"/>
  <c r="Y110" i="63"/>
  <c r="AC83" i="63"/>
  <c r="AC82" i="63"/>
  <c r="AE79" i="63"/>
  <c r="AF78" i="63"/>
  <c r="AF77" i="63"/>
  <c r="AE71" i="63"/>
  <c r="AF68" i="63"/>
  <c r="AF84" i="63" s="1"/>
  <c r="AD72" i="63"/>
  <c r="AD73" i="63" s="1"/>
  <c r="AC81" i="63"/>
  <c r="AB85" i="63"/>
  <c r="AB87" i="63" s="1"/>
  <c r="AA103" i="63"/>
  <c r="AF115" i="63"/>
  <c r="AF96" i="63"/>
  <c r="AF92" i="63"/>
  <c r="AF102" i="63"/>
  <c r="AF76" i="63" s="1"/>
  <c r="AF101" i="63"/>
  <c r="AF114" i="63"/>
  <c r="AF94" i="63"/>
  <c r="AF93" i="63"/>
  <c r="AF113" i="63"/>
  <c r="AF97" i="63"/>
  <c r="AF91" i="63"/>
  <c r="AF95" i="63"/>
  <c r="AF104" i="63"/>
  <c r="AE116" i="63"/>
  <c r="AG186" i="63"/>
  <c r="AG138" i="63" s="1"/>
  <c r="AG185" i="63"/>
  <c r="AG177" i="63"/>
  <c r="AG134" i="63" s="1"/>
  <c r="AG136" i="63"/>
  <c r="AG167" i="63"/>
  <c r="AG135" i="63"/>
  <c r="AG62" i="63"/>
  <c r="AG63" i="63" s="1"/>
  <c r="AG64" i="63"/>
  <c r="AG65" i="63" s="1"/>
  <c r="AG60" i="63"/>
  <c r="AG61" i="63" s="1"/>
  <c r="AG2" i="63"/>
  <c r="AG58" i="63"/>
  <c r="AG59" i="63" s="1"/>
  <c r="AG54" i="63"/>
  <c r="AH55" i="63"/>
  <c r="AE98" i="63"/>
  <c r="AI1" i="63"/>
  <c r="AJ53" i="63"/>
  <c r="AJ173" i="63" s="1"/>
  <c r="AA105" i="63" l="1"/>
  <c r="AA107" i="63" s="1"/>
  <c r="AA108" i="63" s="1"/>
  <c r="AD83" i="63"/>
  <c r="AD82" i="63"/>
  <c r="AF116" i="63"/>
  <c r="AG77" i="63"/>
  <c r="AG78" i="63"/>
  <c r="AD81" i="63"/>
  <c r="AG113" i="63"/>
  <c r="AG115" i="63"/>
  <c r="AG96" i="63"/>
  <c r="AG102" i="63"/>
  <c r="AG76" i="63" s="1"/>
  <c r="AG114" i="63"/>
  <c r="AG92" i="63"/>
  <c r="AG93" i="63"/>
  <c r="AG91" i="63"/>
  <c r="AG97" i="63"/>
  <c r="AG101" i="63"/>
  <c r="AG94" i="63"/>
  <c r="AG95" i="63"/>
  <c r="AG104" i="63"/>
  <c r="AF98" i="63"/>
  <c r="AF79" i="63"/>
  <c r="AC85" i="63"/>
  <c r="AC87" i="63" s="1"/>
  <c r="AB103" i="63"/>
  <c r="AF71" i="63"/>
  <c r="AG68" i="63"/>
  <c r="AG84" i="63" s="1"/>
  <c r="AE72" i="63"/>
  <c r="AE73" i="63" s="1"/>
  <c r="AH186" i="63"/>
  <c r="AH138" i="63" s="1"/>
  <c r="AH185" i="63"/>
  <c r="AH177" i="63"/>
  <c r="AH134" i="63" s="1"/>
  <c r="AH167" i="63"/>
  <c r="AH136" i="63"/>
  <c r="AH135" i="63"/>
  <c r="AH60" i="63"/>
  <c r="AH61" i="63" s="1"/>
  <c r="AH64" i="63"/>
  <c r="AH65" i="63" s="1"/>
  <c r="AH58" i="63"/>
  <c r="AH59" i="63" s="1"/>
  <c r="AH54" i="63"/>
  <c r="AH62" i="63"/>
  <c r="AH63" i="63" s="1"/>
  <c r="AI55" i="63"/>
  <c r="AH2" i="63"/>
  <c r="AJ1" i="63"/>
  <c r="AK53" i="63"/>
  <c r="AK173" i="63" s="1"/>
  <c r="AA110" i="63" l="1"/>
  <c r="AB105" i="63"/>
  <c r="AB107" i="63" s="1"/>
  <c r="AB108" i="63" s="1"/>
  <c r="AE83" i="63"/>
  <c r="AE82" i="63"/>
  <c r="AG79" i="63"/>
  <c r="AG98" i="63"/>
  <c r="AH115" i="63"/>
  <c r="AH114" i="63"/>
  <c r="AH92" i="63"/>
  <c r="AH96" i="63"/>
  <c r="AH93" i="63"/>
  <c r="AH94" i="63"/>
  <c r="AH113" i="63"/>
  <c r="AH91" i="63"/>
  <c r="AH95" i="63"/>
  <c r="AH101" i="63"/>
  <c r="AH97" i="63"/>
  <c r="AH102" i="63"/>
  <c r="AH76" i="63" s="1"/>
  <c r="AH104" i="63"/>
  <c r="AH78" i="63"/>
  <c r="AH77" i="63"/>
  <c r="AE81" i="63"/>
  <c r="AL53" i="63"/>
  <c r="AL173" i="63" s="1"/>
  <c r="AK1" i="63"/>
  <c r="AF72" i="63"/>
  <c r="AF73" i="63" s="1"/>
  <c r="AG71" i="63"/>
  <c r="AH68" i="63"/>
  <c r="AH84" i="63" s="1"/>
  <c r="AC103" i="63"/>
  <c r="AD85" i="63"/>
  <c r="AD87" i="63" s="1"/>
  <c r="AI186" i="63"/>
  <c r="AI138" i="63" s="1"/>
  <c r="AI185" i="63"/>
  <c r="AI177" i="63"/>
  <c r="AI134" i="63" s="1"/>
  <c r="AI167" i="63"/>
  <c r="AI135" i="63"/>
  <c r="AI136" i="63"/>
  <c r="AI60" i="63"/>
  <c r="AI61" i="63" s="1"/>
  <c r="AI64" i="63"/>
  <c r="AI65" i="63" s="1"/>
  <c r="AI62" i="63"/>
  <c r="AI63" i="63" s="1"/>
  <c r="AJ55" i="63"/>
  <c r="AI58" i="63"/>
  <c r="AI59" i="63" s="1"/>
  <c r="AI2" i="63"/>
  <c r="AI54" i="63"/>
  <c r="AG116" i="63"/>
  <c r="AB110" i="63" l="1"/>
  <c r="AC105" i="63"/>
  <c r="AC107" i="63" s="1"/>
  <c r="AC108" i="63" s="1"/>
  <c r="AH116" i="63"/>
  <c r="AF83" i="63"/>
  <c r="AF82" i="63"/>
  <c r="AH79" i="63"/>
  <c r="AF81" i="63"/>
  <c r="AI115" i="63"/>
  <c r="AI114" i="63"/>
  <c r="AI96" i="63"/>
  <c r="AI102" i="63"/>
  <c r="AI76" i="63" s="1"/>
  <c r="AI92" i="63"/>
  <c r="AI113" i="63"/>
  <c r="AI97" i="63"/>
  <c r="AI95" i="63"/>
  <c r="AI93" i="63"/>
  <c r="AI91" i="63"/>
  <c r="AI94" i="63"/>
  <c r="AI101" i="63"/>
  <c r="AI104" i="63"/>
  <c r="AI77" i="63"/>
  <c r="AI78" i="63"/>
  <c r="AJ185" i="63"/>
  <c r="AJ186" i="63"/>
  <c r="AJ138" i="63" s="1"/>
  <c r="AJ177" i="63"/>
  <c r="AJ134" i="63" s="1"/>
  <c r="AJ167" i="63"/>
  <c r="AJ135" i="63"/>
  <c r="AJ136" i="63"/>
  <c r="AJ60" i="63"/>
  <c r="AJ61" i="63" s="1"/>
  <c r="AJ64" i="63"/>
  <c r="AJ65" i="63" s="1"/>
  <c r="AJ62" i="63"/>
  <c r="AJ63" i="63" s="1"/>
  <c r="AK55" i="63"/>
  <c r="AJ58" i="63"/>
  <c r="AJ59" i="63" s="1"/>
  <c r="AJ2" i="63"/>
  <c r="AJ54" i="63"/>
  <c r="AE85" i="63"/>
  <c r="AE87" i="63" s="1"/>
  <c r="AD103" i="63"/>
  <c r="AM53" i="63"/>
  <c r="AM173" i="63" s="1"/>
  <c r="AL1" i="63"/>
  <c r="AI68" i="63"/>
  <c r="AI84" i="63" s="1"/>
  <c r="AH71" i="63"/>
  <c r="AH98" i="63"/>
  <c r="AG72" i="63"/>
  <c r="AG73" i="63" s="1"/>
  <c r="AC110" i="63" l="1"/>
  <c r="AD105" i="63"/>
  <c r="AD107" i="63" s="1"/>
  <c r="AD108" i="63" s="1"/>
  <c r="AG83" i="63"/>
  <c r="AG82" i="63"/>
  <c r="AJ114" i="63"/>
  <c r="AJ113" i="63"/>
  <c r="AJ102" i="63"/>
  <c r="AJ76" i="63" s="1"/>
  <c r="AJ115" i="63"/>
  <c r="AJ96" i="63"/>
  <c r="AJ93" i="63"/>
  <c r="AJ101" i="63"/>
  <c r="AJ94" i="63"/>
  <c r="AJ92" i="63"/>
  <c r="AJ91" i="63"/>
  <c r="AJ95" i="63"/>
  <c r="AJ97" i="63"/>
  <c r="AJ104" i="63"/>
  <c r="AJ78" i="63"/>
  <c r="AJ77" i="63"/>
  <c r="AH72" i="63"/>
  <c r="AH73" i="63" s="1"/>
  <c r="AN53" i="63"/>
  <c r="AN173" i="63" s="1"/>
  <c r="AM1" i="63"/>
  <c r="AJ68" i="63"/>
  <c r="AJ84" i="63" s="1"/>
  <c r="AI71" i="63"/>
  <c r="AE103" i="63"/>
  <c r="AI79" i="63"/>
  <c r="AF85" i="63"/>
  <c r="AF87" i="63" s="1"/>
  <c r="AI116" i="63"/>
  <c r="AG81" i="63"/>
  <c r="AK185" i="63"/>
  <c r="AK186" i="63"/>
  <c r="AK138" i="63" s="1"/>
  <c r="AK177" i="63"/>
  <c r="AK134" i="63" s="1"/>
  <c r="AK167" i="63"/>
  <c r="AK135" i="63"/>
  <c r="AK136" i="63"/>
  <c r="AK64" i="63"/>
  <c r="AK65" i="63" s="1"/>
  <c r="AK62" i="63"/>
  <c r="AK63" i="63" s="1"/>
  <c r="AL55" i="63"/>
  <c r="AK2" i="63"/>
  <c r="AK60" i="63"/>
  <c r="AK61" i="63" s="1"/>
  <c r="AK54" i="63"/>
  <c r="AK58" i="63"/>
  <c r="AK59" i="63" s="1"/>
  <c r="AI98" i="63"/>
  <c r="AD110" i="63" l="1"/>
  <c r="AE105" i="63"/>
  <c r="AE107" i="63" s="1"/>
  <c r="AE108" i="63" s="1"/>
  <c r="AH82" i="63"/>
  <c r="AH83" i="63"/>
  <c r="AK114" i="63"/>
  <c r="AK115" i="63"/>
  <c r="AK97" i="63"/>
  <c r="AK95" i="63"/>
  <c r="AK101" i="63"/>
  <c r="AK94" i="63"/>
  <c r="AK91" i="63"/>
  <c r="AK96" i="63"/>
  <c r="AK92" i="63"/>
  <c r="AK113" i="63"/>
  <c r="AK93" i="63"/>
  <c r="AK102" i="63"/>
  <c r="AK76" i="63" s="1"/>
  <c r="AK104" i="63"/>
  <c r="AK78" i="63"/>
  <c r="AK77" i="63"/>
  <c r="AI72" i="63"/>
  <c r="AI73" i="63" s="1"/>
  <c r="AJ71" i="63"/>
  <c r="AK68" i="63"/>
  <c r="AK84" i="63" s="1"/>
  <c r="AL185" i="63"/>
  <c r="AL186" i="63"/>
  <c r="AL138" i="63" s="1"/>
  <c r="AL177" i="63"/>
  <c r="AL134" i="63" s="1"/>
  <c r="AL167" i="63"/>
  <c r="AL135" i="63"/>
  <c r="AL136" i="63"/>
  <c r="AL64" i="63"/>
  <c r="AL65" i="63" s="1"/>
  <c r="AM55" i="63"/>
  <c r="AL62" i="63"/>
  <c r="AL63" i="63" s="1"/>
  <c r="AL2" i="63"/>
  <c r="AL58" i="63"/>
  <c r="AL59" i="63" s="1"/>
  <c r="AL54" i="63"/>
  <c r="AL60" i="63"/>
  <c r="AL61" i="63" s="1"/>
  <c r="AG85" i="63"/>
  <c r="AG87" i="63" s="1"/>
  <c r="AN1" i="63"/>
  <c r="AO53" i="63"/>
  <c r="AO173" i="63" s="1"/>
  <c r="AH81" i="63"/>
  <c r="AJ98" i="63"/>
  <c r="AJ79" i="63"/>
  <c r="AF103" i="63"/>
  <c r="AJ116" i="63"/>
  <c r="AE110" i="63" l="1"/>
  <c r="AF105" i="63"/>
  <c r="AF107" i="63" s="1"/>
  <c r="AF108" i="63" s="1"/>
  <c r="AH85" i="63"/>
  <c r="AH87" i="63" s="1"/>
  <c r="AH103" i="63" s="1"/>
  <c r="AI83" i="63"/>
  <c r="AI82" i="63"/>
  <c r="AK116" i="63"/>
  <c r="AK98" i="63"/>
  <c r="AL78" i="63"/>
  <c r="AL77" i="63"/>
  <c r="AI81" i="63"/>
  <c r="AL114" i="63"/>
  <c r="AL113" i="63"/>
  <c r="AL115" i="63"/>
  <c r="AL97" i="63"/>
  <c r="AL96" i="63"/>
  <c r="AL95" i="63"/>
  <c r="AL101" i="63"/>
  <c r="AL92" i="63"/>
  <c r="AL93" i="63"/>
  <c r="AL102" i="63"/>
  <c r="AL76" i="63" s="1"/>
  <c r="AL91" i="63"/>
  <c r="AL94" i="63"/>
  <c r="AL104" i="63"/>
  <c r="AG103" i="63"/>
  <c r="AK79" i="63"/>
  <c r="AK71" i="63"/>
  <c r="AL68" i="63"/>
  <c r="AL84" i="63" s="1"/>
  <c r="AJ72" i="63"/>
  <c r="AJ73" i="63" s="1"/>
  <c r="AM185" i="63"/>
  <c r="AM186" i="63"/>
  <c r="AM138" i="63" s="1"/>
  <c r="AM177" i="63"/>
  <c r="AM134" i="63" s="1"/>
  <c r="AM136" i="63"/>
  <c r="AM167" i="63"/>
  <c r="AM135" i="63"/>
  <c r="AM62" i="63"/>
  <c r="AM63" i="63" s="1"/>
  <c r="AM64" i="63"/>
  <c r="AM65" i="63" s="1"/>
  <c r="AM2" i="63"/>
  <c r="AM58" i="63"/>
  <c r="AM59" i="63" s="1"/>
  <c r="AM54" i="63"/>
  <c r="AM60" i="63"/>
  <c r="AM61" i="63" s="1"/>
  <c r="AN55" i="63"/>
  <c r="AF110" i="63"/>
  <c r="AO1" i="63"/>
  <c r="AP53" i="63"/>
  <c r="AP173" i="63" s="1"/>
  <c r="AH105" i="63" l="1"/>
  <c r="AH107" i="63" s="1"/>
  <c r="AH108" i="63" s="1"/>
  <c r="AG105" i="63"/>
  <c r="AG107" i="63" s="1"/>
  <c r="AG108" i="63" s="1"/>
  <c r="AJ82" i="63"/>
  <c r="AJ83" i="63"/>
  <c r="AL79" i="63"/>
  <c r="AI85" i="63"/>
  <c r="AI87" i="63" s="1"/>
  <c r="AI103" i="63" s="1"/>
  <c r="AM78" i="63"/>
  <c r="AM77" i="63"/>
  <c r="AM113" i="63"/>
  <c r="AM115" i="63"/>
  <c r="AM114" i="63"/>
  <c r="AM102" i="63"/>
  <c r="AM76" i="63" s="1"/>
  <c r="AM93" i="63"/>
  <c r="AM94" i="63"/>
  <c r="AM95" i="63"/>
  <c r="AM96" i="63"/>
  <c r="AM92" i="63"/>
  <c r="AM97" i="63"/>
  <c r="AM101" i="63"/>
  <c r="AM91" i="63"/>
  <c r="AM104" i="63"/>
  <c r="AJ81" i="63"/>
  <c r="AL98" i="63"/>
  <c r="AL116" i="63"/>
  <c r="AM68" i="63"/>
  <c r="AM84" i="63" s="1"/>
  <c r="AL71" i="63"/>
  <c r="AP1" i="63"/>
  <c r="AQ53" i="63"/>
  <c r="AQ173" i="63" s="1"/>
  <c r="AK72" i="63"/>
  <c r="AK73" i="63" s="1"/>
  <c r="AN186" i="63"/>
  <c r="AN138" i="63" s="1"/>
  <c r="AN177" i="63"/>
  <c r="AN134" i="63" s="1"/>
  <c r="AN185" i="63"/>
  <c r="AN136" i="63"/>
  <c r="AN167" i="63"/>
  <c r="AN135" i="63"/>
  <c r="AN62" i="63"/>
  <c r="AN63" i="63" s="1"/>
  <c r="AN60" i="63"/>
  <c r="AN61" i="63" s="1"/>
  <c r="AN2" i="63"/>
  <c r="AN58" i="63"/>
  <c r="AN59" i="63" s="1"/>
  <c r="AN54" i="63"/>
  <c r="AN64" i="63"/>
  <c r="AN65" i="63" s="1"/>
  <c r="AO55" i="63"/>
  <c r="AH110" i="63" l="1"/>
  <c r="AG110" i="63"/>
  <c r="AI105" i="63"/>
  <c r="AI107" i="63" s="1"/>
  <c r="AI108" i="63" s="1"/>
  <c r="AK82" i="63"/>
  <c r="AK83" i="63"/>
  <c r="AJ85" i="63"/>
  <c r="AJ87" i="63" s="1"/>
  <c r="AJ103" i="63" s="1"/>
  <c r="AN115" i="63"/>
  <c r="AN114" i="63"/>
  <c r="AN102" i="63"/>
  <c r="AN76" i="63" s="1"/>
  <c r="AN101" i="63"/>
  <c r="AN92" i="63"/>
  <c r="AN95" i="63"/>
  <c r="AN96" i="63"/>
  <c r="AN97" i="63"/>
  <c r="AN93" i="63"/>
  <c r="AN91" i="63"/>
  <c r="AN94" i="63"/>
  <c r="AN113" i="63"/>
  <c r="AN104" i="63"/>
  <c r="AK81" i="63"/>
  <c r="AM116" i="63"/>
  <c r="AO186" i="63"/>
  <c r="AO138" i="63" s="1"/>
  <c r="AO185" i="63"/>
  <c r="AO177" i="63"/>
  <c r="AO134" i="63" s="1"/>
  <c r="AO136" i="63"/>
  <c r="AO167" i="63"/>
  <c r="AO135" i="63"/>
  <c r="AO62" i="63"/>
  <c r="AO63" i="63" s="1"/>
  <c r="AO64" i="63"/>
  <c r="AO65" i="63" s="1"/>
  <c r="AO2" i="63"/>
  <c r="AO58" i="63"/>
  <c r="AO59" i="63" s="1"/>
  <c r="AO54" i="63"/>
  <c r="AO60" i="63"/>
  <c r="AO61" i="63" s="1"/>
  <c r="AP55" i="63"/>
  <c r="AL72" i="63"/>
  <c r="AL73" i="63" s="1"/>
  <c r="AM98" i="63"/>
  <c r="AQ1" i="63"/>
  <c r="AR53" i="63"/>
  <c r="AR173" i="63" s="1"/>
  <c r="AM71" i="63"/>
  <c r="AN68" i="63"/>
  <c r="AN84" i="63" s="1"/>
  <c r="AM79" i="63"/>
  <c r="AN77" i="63"/>
  <c r="AN78" i="63"/>
  <c r="AI110" i="63" l="1"/>
  <c r="AJ105" i="63"/>
  <c r="AJ107" i="63" s="1"/>
  <c r="AJ108" i="63" s="1"/>
  <c r="AL83" i="63"/>
  <c r="AL82" i="63"/>
  <c r="AN116" i="63"/>
  <c r="AL81" i="63"/>
  <c r="AO113" i="63"/>
  <c r="AO115" i="63"/>
  <c r="AO114" i="63"/>
  <c r="AO96" i="63"/>
  <c r="AO102" i="63"/>
  <c r="AO76" i="63" s="1"/>
  <c r="AO92" i="63"/>
  <c r="AO93" i="63"/>
  <c r="AO97" i="63"/>
  <c r="AO91" i="63"/>
  <c r="AO101" i="63"/>
  <c r="AO95" i="63"/>
  <c r="AO94" i="63"/>
  <c r="AO104" i="63"/>
  <c r="AN71" i="63"/>
  <c r="AO68" i="63"/>
  <c r="AO84" i="63" s="1"/>
  <c r="AP186" i="63"/>
  <c r="AP138" i="63" s="1"/>
  <c r="AP185" i="63"/>
  <c r="AP167" i="63"/>
  <c r="AP60" i="63"/>
  <c r="AP61" i="63" s="1"/>
  <c r="AP64" i="63"/>
  <c r="AP65" i="63" s="1"/>
  <c r="AP58" i="63"/>
  <c r="AP59" i="63" s="1"/>
  <c r="AP54" i="63"/>
  <c r="AP62" i="63"/>
  <c r="AP63" i="63" s="1"/>
  <c r="AQ55" i="63"/>
  <c r="AQ176" i="63" s="1"/>
  <c r="AP2" i="63"/>
  <c r="AN98" i="63"/>
  <c r="AN79" i="63"/>
  <c r="AK85" i="63"/>
  <c r="AK87" i="63" s="1"/>
  <c r="AR1" i="63"/>
  <c r="AS53" i="63"/>
  <c r="AS173" i="63" s="1"/>
  <c r="AM72" i="63"/>
  <c r="AM73" i="63" s="1"/>
  <c r="AO78" i="63"/>
  <c r="AO77" i="63"/>
  <c r="AJ110" i="63" l="1"/>
  <c r="AM83" i="63"/>
  <c r="AM82" i="63"/>
  <c r="AO98" i="63"/>
  <c r="AP115" i="63"/>
  <c r="AP114" i="63"/>
  <c r="AP113" i="63"/>
  <c r="AP96" i="63"/>
  <c r="AP92" i="63"/>
  <c r="AP93" i="63"/>
  <c r="AP97" i="63"/>
  <c r="AP94" i="63"/>
  <c r="AP102" i="63"/>
  <c r="AP76" i="63" s="1"/>
  <c r="AP95" i="63"/>
  <c r="AP91" i="63"/>
  <c r="AP101" i="63"/>
  <c r="AP104" i="63"/>
  <c r="AM81" i="63"/>
  <c r="AO116" i="63"/>
  <c r="AO71" i="63"/>
  <c r="AP68" i="63"/>
  <c r="AP84" i="63" s="1"/>
  <c r="AN72" i="63"/>
  <c r="AN73" i="63" s="1"/>
  <c r="AK103" i="63"/>
  <c r="AO79" i="63"/>
  <c r="AT53" i="63"/>
  <c r="AT173" i="63" s="1"/>
  <c r="AS1" i="63"/>
  <c r="AL85" i="63"/>
  <c r="AL87" i="63" s="1"/>
  <c r="AQ186" i="63"/>
  <c r="AQ138" i="63" s="1"/>
  <c r="AQ185" i="63"/>
  <c r="AQ167" i="63"/>
  <c r="AQ60" i="63"/>
  <c r="AQ61" i="63" s="1"/>
  <c r="AQ62" i="63"/>
  <c r="AQ63" i="63" s="1"/>
  <c r="AR55" i="63"/>
  <c r="AR176" i="63" s="1"/>
  <c r="AQ64" i="63"/>
  <c r="AQ65" i="63" s="1"/>
  <c r="AQ54" i="63"/>
  <c r="AQ58" i="63"/>
  <c r="AQ59" i="63" s="1"/>
  <c r="AQ2" i="63"/>
  <c r="AP78" i="63"/>
  <c r="AP77" i="63"/>
  <c r="AK105" i="63" l="1"/>
  <c r="AK107" i="63" s="1"/>
  <c r="AK108" i="63" s="1"/>
  <c r="AN83" i="63"/>
  <c r="AN82" i="63"/>
  <c r="AP79" i="63"/>
  <c r="AN81" i="63"/>
  <c r="AL103" i="63"/>
  <c r="AQ68" i="63"/>
  <c r="AQ84" i="63" s="1"/>
  <c r="AP71" i="63"/>
  <c r="AO72" i="63"/>
  <c r="AO73" i="63" s="1"/>
  <c r="AQ115" i="63"/>
  <c r="AQ114" i="63"/>
  <c r="AQ113" i="63"/>
  <c r="AQ92" i="63"/>
  <c r="AQ102" i="63"/>
  <c r="AQ76" i="63" s="1"/>
  <c r="AQ96" i="63"/>
  <c r="AQ93" i="63"/>
  <c r="AQ94" i="63"/>
  <c r="AQ97" i="63"/>
  <c r="AQ95" i="63"/>
  <c r="AQ91" i="63"/>
  <c r="AQ101" i="63"/>
  <c r="AQ104" i="63"/>
  <c r="AU53" i="63"/>
  <c r="AU173" i="63" s="1"/>
  <c r="AT1" i="63"/>
  <c r="AP98" i="63"/>
  <c r="AR185" i="63"/>
  <c r="AR186" i="63"/>
  <c r="AR138" i="63" s="1"/>
  <c r="AR177" i="63"/>
  <c r="AR134" i="63" s="1"/>
  <c r="AR167" i="63"/>
  <c r="AR136" i="63"/>
  <c r="AR135" i="63"/>
  <c r="AR60" i="63"/>
  <c r="AR61" i="63" s="1"/>
  <c r="AR64" i="63"/>
  <c r="AR65" i="63" s="1"/>
  <c r="AR62" i="63"/>
  <c r="AR63" i="63" s="1"/>
  <c r="AS55" i="63"/>
  <c r="AS176" i="63" s="1"/>
  <c r="AR54" i="63"/>
  <c r="AR2" i="63"/>
  <c r="AR58" i="63"/>
  <c r="AR59" i="63" s="1"/>
  <c r="AQ78" i="63"/>
  <c r="AQ77" i="63"/>
  <c r="AP116" i="63"/>
  <c r="AM85" i="63"/>
  <c r="AM87" i="63" s="1"/>
  <c r="AK110" i="63" l="1"/>
  <c r="AL105" i="63"/>
  <c r="AL107" i="63" s="1"/>
  <c r="AL108" i="63" s="1"/>
  <c r="AO83" i="63"/>
  <c r="AO82" i="63"/>
  <c r="AQ116" i="63"/>
  <c r="AR114" i="63"/>
  <c r="AR113" i="63"/>
  <c r="AR115" i="63"/>
  <c r="AR96" i="63"/>
  <c r="AR92" i="63"/>
  <c r="AR93" i="63"/>
  <c r="AR102" i="63"/>
  <c r="AR76" i="63" s="1"/>
  <c r="AR95" i="63"/>
  <c r="AR91" i="63"/>
  <c r="AR94" i="63"/>
  <c r="AR97" i="63"/>
  <c r="AR101" i="63"/>
  <c r="AR104" i="63"/>
  <c r="AR77" i="63"/>
  <c r="AR78" i="63"/>
  <c r="AN85" i="63"/>
  <c r="AN87" i="63" s="1"/>
  <c r="AV53" i="63"/>
  <c r="AV173" i="63" s="1"/>
  <c r="AU1" i="63"/>
  <c r="AL110" i="63"/>
  <c r="AM103" i="63"/>
  <c r="AO81" i="63"/>
  <c r="AS185" i="63"/>
  <c r="AS186" i="63"/>
  <c r="AS138" i="63" s="1"/>
  <c r="AS177" i="63"/>
  <c r="AS134" i="63" s="1"/>
  <c r="AS167" i="63"/>
  <c r="AS135" i="63"/>
  <c r="AS136" i="63"/>
  <c r="AS64" i="63"/>
  <c r="AS65" i="63" s="1"/>
  <c r="AS62" i="63"/>
  <c r="AS63" i="63" s="1"/>
  <c r="AT55" i="63"/>
  <c r="AT176" i="63" s="1"/>
  <c r="AS60" i="63"/>
  <c r="AS61" i="63" s="1"/>
  <c r="AS2" i="63"/>
  <c r="AS54" i="63"/>
  <c r="AS58" i="63"/>
  <c r="AS59" i="63" s="1"/>
  <c r="AQ79" i="63"/>
  <c r="AP72" i="63"/>
  <c r="AP73" i="63" s="1"/>
  <c r="AQ98" i="63"/>
  <c r="AQ71" i="63"/>
  <c r="AR68" i="63"/>
  <c r="AR84" i="63" s="1"/>
  <c r="AM105" i="63" l="1"/>
  <c r="AM107" i="63" s="1"/>
  <c r="AM108" i="63" s="1"/>
  <c r="AP82" i="63"/>
  <c r="AP83" i="63"/>
  <c r="AS77" i="63"/>
  <c r="AS78" i="63"/>
  <c r="AO85" i="63"/>
  <c r="AO87" i="63" s="1"/>
  <c r="AN103" i="63"/>
  <c r="AR79" i="63"/>
  <c r="AT185" i="63"/>
  <c r="AT186" i="63"/>
  <c r="AT138" i="63" s="1"/>
  <c r="AT177" i="63"/>
  <c r="AT134" i="63" s="1"/>
  <c r="AT167" i="63"/>
  <c r="AT136" i="63"/>
  <c r="AT135" i="63"/>
  <c r="AT64" i="63"/>
  <c r="AT65" i="63" s="1"/>
  <c r="AU55" i="63"/>
  <c r="AU176" i="63" s="1"/>
  <c r="AT60" i="63"/>
  <c r="AT61" i="63" s="1"/>
  <c r="AT2" i="63"/>
  <c r="AT58" i="63"/>
  <c r="AT59" i="63" s="1"/>
  <c r="AT54" i="63"/>
  <c r="AT62" i="63"/>
  <c r="AT63" i="63" s="1"/>
  <c r="AR71" i="63"/>
  <c r="AS68" i="63"/>
  <c r="AS84" i="63" s="1"/>
  <c r="AS114" i="63"/>
  <c r="AS115" i="63"/>
  <c r="AS101" i="63"/>
  <c r="AS97" i="63"/>
  <c r="AS91" i="63"/>
  <c r="AS94" i="63"/>
  <c r="AS102" i="63"/>
  <c r="AS76" i="63" s="1"/>
  <c r="AS96" i="63"/>
  <c r="AS95" i="63"/>
  <c r="AS93" i="63"/>
  <c r="AS113" i="63"/>
  <c r="AS92" i="63"/>
  <c r="AS104" i="63"/>
  <c r="AQ72" i="63"/>
  <c r="AQ73" i="63" s="1"/>
  <c r="AV1" i="63"/>
  <c r="AW53" i="63"/>
  <c r="AW173" i="63" s="1"/>
  <c r="AP81" i="63"/>
  <c r="AR98" i="63"/>
  <c r="AR116" i="63"/>
  <c r="AM110" i="63" l="1"/>
  <c r="AN105" i="63"/>
  <c r="AN107" i="63" s="1"/>
  <c r="AN108" i="63" s="1"/>
  <c r="AS79" i="63"/>
  <c r="AQ82" i="63"/>
  <c r="AQ83" i="63"/>
  <c r="AP85" i="63"/>
  <c r="AP87" i="63" s="1"/>
  <c r="AP103" i="63" s="1"/>
  <c r="AT77" i="63"/>
  <c r="AT78" i="63"/>
  <c r="AQ81" i="63"/>
  <c r="AS98" i="63"/>
  <c r="AS71" i="63"/>
  <c r="AT68" i="63"/>
  <c r="AT84" i="63" s="1"/>
  <c r="AU185" i="63"/>
  <c r="AU186" i="63"/>
  <c r="AU138" i="63" s="1"/>
  <c r="AU177" i="63"/>
  <c r="AU134" i="63" s="1"/>
  <c r="AU136" i="63"/>
  <c r="AU135" i="63"/>
  <c r="AU167" i="63"/>
  <c r="AU62" i="63"/>
  <c r="AU63" i="63" s="1"/>
  <c r="AU60" i="63"/>
  <c r="AU61" i="63" s="1"/>
  <c r="AU2" i="63"/>
  <c r="AU58" i="63"/>
  <c r="AU59" i="63" s="1"/>
  <c r="AU54" i="63"/>
  <c r="AV55" i="63"/>
  <c r="AV176" i="63" s="1"/>
  <c r="AU64" i="63"/>
  <c r="AU65" i="63" s="1"/>
  <c r="AO103" i="63"/>
  <c r="AR72" i="63"/>
  <c r="AR73" i="63" s="1"/>
  <c r="AW1" i="63"/>
  <c r="AX53" i="63"/>
  <c r="AX173" i="63" s="1"/>
  <c r="AS116" i="63"/>
  <c r="AT114" i="63"/>
  <c r="AT113" i="63"/>
  <c r="AT115" i="63"/>
  <c r="AT92" i="63"/>
  <c r="AT96" i="63"/>
  <c r="AT95" i="63"/>
  <c r="AT94" i="63"/>
  <c r="AT91" i="63"/>
  <c r="AT102" i="63"/>
  <c r="AT76" i="63" s="1"/>
  <c r="AT97" i="63"/>
  <c r="AT101" i="63"/>
  <c r="AT93" i="63"/>
  <c r="AT104" i="63"/>
  <c r="AN110" i="63" l="1"/>
  <c r="AP105" i="63"/>
  <c r="AP107" i="63" s="1"/>
  <c r="AP108" i="63" s="1"/>
  <c r="AO105" i="63"/>
  <c r="AO107" i="63" s="1"/>
  <c r="AO108" i="63" s="1"/>
  <c r="AR82" i="63"/>
  <c r="AR83" i="63"/>
  <c r="AQ85" i="63"/>
  <c r="AQ87" i="63" s="1"/>
  <c r="AQ103" i="63" s="1"/>
  <c r="AT79" i="63"/>
  <c r="AT116" i="63"/>
  <c r="AU78" i="63"/>
  <c r="AU77" i="63"/>
  <c r="AX1" i="63"/>
  <c r="AY53" i="63"/>
  <c r="AY173" i="63" s="1"/>
  <c r="AS72" i="63"/>
  <c r="AS73" i="63" s="1"/>
  <c r="AR81" i="63"/>
  <c r="AU68" i="63"/>
  <c r="AU84" i="63" s="1"/>
  <c r="AT71" i="63"/>
  <c r="AV186" i="63"/>
  <c r="AV138" i="63" s="1"/>
  <c r="AV177" i="63"/>
  <c r="AV134" i="63" s="1"/>
  <c r="AV185" i="63"/>
  <c r="AV136" i="63"/>
  <c r="AV167" i="63"/>
  <c r="AV135" i="63"/>
  <c r="AV62" i="63"/>
  <c r="AV63" i="63" s="1"/>
  <c r="AV60" i="63"/>
  <c r="AV61" i="63" s="1"/>
  <c r="AV2" i="63"/>
  <c r="AV58" i="63"/>
  <c r="AV59" i="63" s="1"/>
  <c r="AV54" i="63"/>
  <c r="AV64" i="63"/>
  <c r="AV65" i="63" s="1"/>
  <c r="AW55" i="63"/>
  <c r="AW176" i="63" s="1"/>
  <c r="AT98" i="63"/>
  <c r="AU115" i="63"/>
  <c r="AU114" i="63"/>
  <c r="AU102" i="63"/>
  <c r="AU76" i="63" s="1"/>
  <c r="AU92" i="63"/>
  <c r="AU96" i="63"/>
  <c r="AU95" i="63"/>
  <c r="AU93" i="63"/>
  <c r="AU97" i="63"/>
  <c r="AU94" i="63"/>
  <c r="AU101" i="63"/>
  <c r="AU91" i="63"/>
  <c r="AU113" i="63"/>
  <c r="AU104" i="63"/>
  <c r="AP110" i="63" l="1"/>
  <c r="AO110" i="63"/>
  <c r="AQ105" i="63"/>
  <c r="AQ107" i="63" s="1"/>
  <c r="AQ108" i="63" s="1"/>
  <c r="AU79" i="63"/>
  <c r="AS82" i="63"/>
  <c r="AS83" i="63"/>
  <c r="AR85" i="63"/>
  <c r="AR87" i="63" s="1"/>
  <c r="AR103" i="63" s="1"/>
  <c r="AU116" i="63"/>
  <c r="AV77" i="63"/>
  <c r="AV78" i="63"/>
  <c r="AV115" i="63"/>
  <c r="AV114" i="63"/>
  <c r="AV102" i="63"/>
  <c r="AV76" i="63" s="1"/>
  <c r="AV96" i="63"/>
  <c r="AV95" i="63"/>
  <c r="AV101" i="63"/>
  <c r="AV92" i="63"/>
  <c r="AV97" i="63"/>
  <c r="AV113" i="63"/>
  <c r="AV91" i="63"/>
  <c r="AV94" i="63"/>
  <c r="AV93" i="63"/>
  <c r="AV104" i="63"/>
  <c r="AW186" i="63"/>
  <c r="AW138" i="63" s="1"/>
  <c r="AW185" i="63"/>
  <c r="AW177" i="63"/>
  <c r="AW134" i="63" s="1"/>
  <c r="AW136" i="63"/>
  <c r="AW167" i="63"/>
  <c r="AW135" i="63"/>
  <c r="AW62" i="63"/>
  <c r="AW63" i="63" s="1"/>
  <c r="AW64" i="63"/>
  <c r="AW65" i="63" s="1"/>
  <c r="AW60" i="63"/>
  <c r="AW61" i="63" s="1"/>
  <c r="AW2" i="63"/>
  <c r="AW58" i="63"/>
  <c r="AW59" i="63" s="1"/>
  <c r="AW54" i="63"/>
  <c r="AX55" i="63"/>
  <c r="AX176" i="63" s="1"/>
  <c r="AU71" i="63"/>
  <c r="AV68" i="63"/>
  <c r="AV84" i="63" s="1"/>
  <c r="AS81" i="63"/>
  <c r="AY1" i="63"/>
  <c r="AZ53" i="63"/>
  <c r="AZ173" i="63" s="1"/>
  <c r="AU98" i="63"/>
  <c r="AT72" i="63"/>
  <c r="AT73" i="63" s="1"/>
  <c r="AQ110" i="63" l="1"/>
  <c r="AR105" i="63"/>
  <c r="AR107" i="63" s="1"/>
  <c r="AR108" i="63" s="1"/>
  <c r="AT83" i="63"/>
  <c r="AT82" i="63"/>
  <c r="AV116" i="63"/>
  <c r="AW78" i="63"/>
  <c r="AW77" i="63"/>
  <c r="AW115" i="63"/>
  <c r="AW102" i="63"/>
  <c r="AW76" i="63" s="1"/>
  <c r="AW96" i="63"/>
  <c r="AW95" i="63"/>
  <c r="AW93" i="63"/>
  <c r="AW97" i="63"/>
  <c r="AW114" i="63"/>
  <c r="AW92" i="63"/>
  <c r="AW101" i="63"/>
  <c r="AW94" i="63"/>
  <c r="AW91" i="63"/>
  <c r="AW113" i="63"/>
  <c r="AW104" i="63"/>
  <c r="AS85" i="63"/>
  <c r="AS87" i="63" s="1"/>
  <c r="AZ1" i="63"/>
  <c r="BA53" i="63"/>
  <c r="BA173" i="63" s="1"/>
  <c r="AT81" i="63"/>
  <c r="AV71" i="63"/>
  <c r="AW68" i="63"/>
  <c r="AW84" i="63" s="1"/>
  <c r="AV98" i="63"/>
  <c r="AV79" i="63"/>
  <c r="AU72" i="63"/>
  <c r="AU73" i="63" s="1"/>
  <c r="AX186" i="63"/>
  <c r="AX138" i="63" s="1"/>
  <c r="AX185" i="63"/>
  <c r="AX177" i="63"/>
  <c r="AX134" i="63" s="1"/>
  <c r="AX167" i="63"/>
  <c r="AX136" i="63"/>
  <c r="AX135" i="63"/>
  <c r="AX60" i="63"/>
  <c r="AX61" i="63" s="1"/>
  <c r="AX64" i="63"/>
  <c r="AX65" i="63" s="1"/>
  <c r="AX58" i="63"/>
  <c r="AX59" i="63" s="1"/>
  <c r="AX54" i="63"/>
  <c r="AY55" i="63"/>
  <c r="AY176" i="63" s="1"/>
  <c r="AX2" i="63"/>
  <c r="AX62" i="63"/>
  <c r="AX63" i="63" s="1"/>
  <c r="AR110" i="63" l="1"/>
  <c r="AU82" i="63"/>
  <c r="AU83" i="63"/>
  <c r="AW79" i="63"/>
  <c r="AX77" i="63"/>
  <c r="AX78" i="63"/>
  <c r="AX115" i="63"/>
  <c r="AX114" i="63"/>
  <c r="AX113" i="63"/>
  <c r="AX96" i="63"/>
  <c r="AX92" i="63"/>
  <c r="AX93" i="63"/>
  <c r="AX97" i="63"/>
  <c r="AX94" i="63"/>
  <c r="AX101" i="63"/>
  <c r="AX102" i="63"/>
  <c r="AX76" i="63" s="1"/>
  <c r="AX91" i="63"/>
  <c r="AX95" i="63"/>
  <c r="AX104" i="63"/>
  <c r="AU81" i="63"/>
  <c r="AT85" i="63"/>
  <c r="AT87" i="63" s="1"/>
  <c r="AW116" i="63"/>
  <c r="AY186" i="63"/>
  <c r="AY138" i="63" s="1"/>
  <c r="AY185" i="63"/>
  <c r="AY177" i="63"/>
  <c r="AY134" i="63" s="1"/>
  <c r="AY167" i="63"/>
  <c r="AY135" i="63"/>
  <c r="AY136" i="63"/>
  <c r="AY60" i="63"/>
  <c r="AY61" i="63" s="1"/>
  <c r="AY64" i="63"/>
  <c r="AY65" i="63" s="1"/>
  <c r="AZ55" i="63"/>
  <c r="AZ176" i="63" s="1"/>
  <c r="AY54" i="63"/>
  <c r="AY2" i="63"/>
  <c r="AY58" i="63"/>
  <c r="AY59" i="63" s="1"/>
  <c r="AY62" i="63"/>
  <c r="AY63" i="63" s="1"/>
  <c r="AW98" i="63"/>
  <c r="AW71" i="63"/>
  <c r="AX68" i="63"/>
  <c r="AX84" i="63" s="1"/>
  <c r="AS103" i="63"/>
  <c r="AV72" i="63"/>
  <c r="AV73" i="63" s="1"/>
  <c r="BB53" i="63"/>
  <c r="BB173" i="63" s="1"/>
  <c r="BA1" i="63"/>
  <c r="AS105" i="63" l="1"/>
  <c r="AS107" i="63" s="1"/>
  <c r="AS108" i="63" s="1"/>
  <c r="AV83" i="63"/>
  <c r="AV82" i="63"/>
  <c r="AX116" i="63"/>
  <c r="AX98" i="63"/>
  <c r="AY77" i="63"/>
  <c r="AY78" i="63"/>
  <c r="AV81" i="63"/>
  <c r="AY115" i="63"/>
  <c r="AY114" i="63"/>
  <c r="AY102" i="63"/>
  <c r="AY76" i="63" s="1"/>
  <c r="AY96" i="63"/>
  <c r="AY92" i="63"/>
  <c r="AY93" i="63"/>
  <c r="AY97" i="63"/>
  <c r="AY113" i="63"/>
  <c r="AY91" i="63"/>
  <c r="AY94" i="63"/>
  <c r="AY101" i="63"/>
  <c r="AY95" i="63"/>
  <c r="AY104" i="63"/>
  <c r="AX79" i="63"/>
  <c r="AY68" i="63"/>
  <c r="AY84" i="63" s="1"/>
  <c r="AX71" i="63"/>
  <c r="AU85" i="63"/>
  <c r="AU87" i="63" s="1"/>
  <c r="BC53" i="63"/>
  <c r="BC173" i="63" s="1"/>
  <c r="BB1" i="63"/>
  <c r="AW72" i="63"/>
  <c r="AW73" i="63" s="1"/>
  <c r="AZ185" i="63"/>
  <c r="AZ186" i="63"/>
  <c r="AZ138" i="63" s="1"/>
  <c r="AZ167" i="63"/>
  <c r="AZ177" i="63"/>
  <c r="AZ134" i="63" s="1"/>
  <c r="AZ135" i="63"/>
  <c r="AZ136" i="63"/>
  <c r="AZ60" i="63"/>
  <c r="AZ61" i="63" s="1"/>
  <c r="AZ64" i="63"/>
  <c r="AZ65" i="63" s="1"/>
  <c r="AZ62" i="63"/>
  <c r="AZ63" i="63" s="1"/>
  <c r="BA55" i="63"/>
  <c r="BA176" i="63" s="1"/>
  <c r="AZ2" i="63"/>
  <c r="AZ58" i="63"/>
  <c r="AZ59" i="63" s="1"/>
  <c r="AZ54" i="63"/>
  <c r="AT103" i="63"/>
  <c r="AS110" i="63" l="1"/>
  <c r="AT105" i="63"/>
  <c r="AT107" i="63" s="1"/>
  <c r="AT108" i="63" s="1"/>
  <c r="AW83" i="63"/>
  <c r="AW82" i="63"/>
  <c r="AY98" i="63"/>
  <c r="AZ77" i="63"/>
  <c r="AZ78" i="63"/>
  <c r="BA185" i="63"/>
  <c r="BA186" i="63"/>
  <c r="BA138" i="63" s="1"/>
  <c r="BA177" i="63"/>
  <c r="BA134" i="63" s="1"/>
  <c r="BA167" i="63"/>
  <c r="BA135" i="63"/>
  <c r="BA136" i="63"/>
  <c r="BA64" i="63"/>
  <c r="BA65" i="63" s="1"/>
  <c r="BA62" i="63"/>
  <c r="BA63" i="63" s="1"/>
  <c r="BB55" i="63"/>
  <c r="BB176" i="63" s="1"/>
  <c r="BA2" i="63"/>
  <c r="BA60" i="63"/>
  <c r="BA61" i="63" s="1"/>
  <c r="BA58" i="63"/>
  <c r="BA59" i="63" s="1"/>
  <c r="BA54" i="63"/>
  <c r="AV85" i="63"/>
  <c r="AV87" i="63" s="1"/>
  <c r="AZ114" i="63"/>
  <c r="AZ96" i="63"/>
  <c r="AZ115" i="63"/>
  <c r="AZ113" i="63"/>
  <c r="AZ93" i="63"/>
  <c r="AZ92" i="63"/>
  <c r="AZ102" i="63"/>
  <c r="AZ76" i="63" s="1"/>
  <c r="AZ101" i="63"/>
  <c r="AZ97" i="63"/>
  <c r="AZ95" i="63"/>
  <c r="AZ94" i="63"/>
  <c r="AZ91" i="63"/>
  <c r="AZ104" i="63"/>
  <c r="AX72" i="63"/>
  <c r="AX73" i="63" s="1"/>
  <c r="AZ68" i="63"/>
  <c r="AZ84" i="63" s="1"/>
  <c r="AY71" i="63"/>
  <c r="AY79" i="63"/>
  <c r="BD53" i="63"/>
  <c r="BD173" i="63" s="1"/>
  <c r="BC1" i="63"/>
  <c r="AW81" i="63"/>
  <c r="AU103" i="63"/>
  <c r="AY116" i="63"/>
  <c r="AT110" i="63" l="1"/>
  <c r="AU105" i="63"/>
  <c r="AU107" i="63" s="1"/>
  <c r="AU108" i="63" s="1"/>
  <c r="AX83" i="63"/>
  <c r="AX82" i="63"/>
  <c r="AW85" i="63"/>
  <c r="AW87" i="63" s="1"/>
  <c r="AW103" i="63" s="1"/>
  <c r="AZ79" i="63"/>
  <c r="AX81" i="63"/>
  <c r="BA77" i="63"/>
  <c r="BA78" i="63"/>
  <c r="AV103" i="63"/>
  <c r="BB185" i="63"/>
  <c r="BB186" i="63"/>
  <c r="BB138" i="63" s="1"/>
  <c r="BB177" i="63"/>
  <c r="BB134" i="63" s="1"/>
  <c r="BB167" i="63"/>
  <c r="BB136" i="63"/>
  <c r="BB135" i="63"/>
  <c r="BB64" i="63"/>
  <c r="BB65" i="63" s="1"/>
  <c r="BC55" i="63"/>
  <c r="BC176" i="63" s="1"/>
  <c r="BB2" i="63"/>
  <c r="BB62" i="63"/>
  <c r="BB63" i="63" s="1"/>
  <c r="BB58" i="63"/>
  <c r="BB59" i="63" s="1"/>
  <c r="BB54" i="63"/>
  <c r="BB60" i="63"/>
  <c r="BB61" i="63" s="1"/>
  <c r="AZ71" i="63"/>
  <c r="BA68" i="63"/>
  <c r="BA84" i="63" s="1"/>
  <c r="BA114" i="63"/>
  <c r="BA95" i="63"/>
  <c r="BA115" i="63"/>
  <c r="BA94" i="63"/>
  <c r="BA101" i="63"/>
  <c r="BA91" i="63"/>
  <c r="BA93" i="63"/>
  <c r="BA92" i="63"/>
  <c r="BA102" i="63"/>
  <c r="BA76" i="63" s="1"/>
  <c r="BA113" i="63"/>
  <c r="BA97" i="63"/>
  <c r="BA96" i="63"/>
  <c r="BA104" i="63"/>
  <c r="BD1" i="63"/>
  <c r="BE53" i="63"/>
  <c r="BE173" i="63" s="1"/>
  <c r="AY72" i="63"/>
  <c r="AY73" i="63" s="1"/>
  <c r="AZ98" i="63"/>
  <c r="AZ116" i="63"/>
  <c r="AU110" i="63" l="1"/>
  <c r="AV105" i="63"/>
  <c r="AV107" i="63" s="1"/>
  <c r="AV108" i="63" s="1"/>
  <c r="AW105" i="63"/>
  <c r="AW107" i="63" s="1"/>
  <c r="AW108" i="63" s="1"/>
  <c r="BA79" i="63"/>
  <c r="AY82" i="63"/>
  <c r="AY83" i="63"/>
  <c r="AX85" i="63"/>
  <c r="AX87" i="63" s="1"/>
  <c r="AX103" i="63" s="1"/>
  <c r="BB78" i="63"/>
  <c r="BB77" i="63"/>
  <c r="AY81" i="63"/>
  <c r="BA98" i="63"/>
  <c r="BA71" i="63"/>
  <c r="BB68" i="63"/>
  <c r="BB84" i="63" s="1"/>
  <c r="BC185" i="63"/>
  <c r="BC186" i="63"/>
  <c r="BC138" i="63" s="1"/>
  <c r="BC177" i="63"/>
  <c r="BC134" i="63" s="1"/>
  <c r="BC136" i="63"/>
  <c r="BC167" i="63"/>
  <c r="BC135" i="63"/>
  <c r="BC62" i="63"/>
  <c r="BC63" i="63" s="1"/>
  <c r="BC64" i="63"/>
  <c r="BC65" i="63" s="1"/>
  <c r="BC2" i="63"/>
  <c r="BC58" i="63"/>
  <c r="BC59" i="63" s="1"/>
  <c r="BC54" i="63"/>
  <c r="BD55" i="63"/>
  <c r="BD176" i="63" s="1"/>
  <c r="BC60" i="63"/>
  <c r="BC61" i="63" s="1"/>
  <c r="BB114" i="63"/>
  <c r="BB96" i="63"/>
  <c r="BB115" i="63"/>
  <c r="BB92" i="63"/>
  <c r="BB101" i="63"/>
  <c r="BB94" i="63"/>
  <c r="BB113" i="63"/>
  <c r="BB95" i="63"/>
  <c r="BB93" i="63"/>
  <c r="BB97" i="63"/>
  <c r="BB91" i="63"/>
  <c r="BB102" i="63"/>
  <c r="BB76" i="63" s="1"/>
  <c r="BB104" i="63"/>
  <c r="AZ72" i="63"/>
  <c r="AZ73" i="63" s="1"/>
  <c r="BE1" i="63"/>
  <c r="BF53" i="63"/>
  <c r="BF173" i="63" s="1"/>
  <c r="BA116" i="63"/>
  <c r="AV110" i="63" l="1"/>
  <c r="AW110" i="63"/>
  <c r="AX105" i="63"/>
  <c r="AX107" i="63" s="1"/>
  <c r="AX108" i="63" s="1"/>
  <c r="AZ82" i="63"/>
  <c r="AZ83" i="63"/>
  <c r="BB79" i="63"/>
  <c r="AZ81" i="63"/>
  <c r="BC78" i="63"/>
  <c r="BC77" i="63"/>
  <c r="BC115" i="63"/>
  <c r="BC97" i="63"/>
  <c r="BC114" i="63"/>
  <c r="BC92" i="63"/>
  <c r="BC102" i="63"/>
  <c r="BC76" i="63" s="1"/>
  <c r="BC93" i="63"/>
  <c r="BC96" i="63"/>
  <c r="BC95" i="63"/>
  <c r="BC101" i="63"/>
  <c r="BC94" i="63"/>
  <c r="BC91" i="63"/>
  <c r="BC113" i="63"/>
  <c r="BC104" i="63"/>
  <c r="BB98" i="63"/>
  <c r="BC68" i="63"/>
  <c r="BC84" i="63" s="1"/>
  <c r="BB71" i="63"/>
  <c r="BA72" i="63"/>
  <c r="BA73" i="63" s="1"/>
  <c r="BF1" i="63"/>
  <c r="BG53" i="63"/>
  <c r="BG173" i="63" s="1"/>
  <c r="BD186" i="63"/>
  <c r="BD138" i="63" s="1"/>
  <c r="BD185" i="63"/>
  <c r="BD177" i="63"/>
  <c r="BD134" i="63" s="1"/>
  <c r="BD136" i="63"/>
  <c r="BD167" i="63"/>
  <c r="BD135" i="63"/>
  <c r="BD62" i="63"/>
  <c r="BD63" i="63" s="1"/>
  <c r="BD60" i="63"/>
  <c r="BD61" i="63" s="1"/>
  <c r="BD64" i="63"/>
  <c r="BD65" i="63" s="1"/>
  <c r="BD2" i="63"/>
  <c r="BD58" i="63"/>
  <c r="BD59" i="63" s="1"/>
  <c r="BD54" i="63"/>
  <c r="BE55" i="63"/>
  <c r="BE176" i="63" s="1"/>
  <c r="BB116" i="63"/>
  <c r="AY85" i="63"/>
  <c r="AY87" i="63" s="1"/>
  <c r="AX110" i="63"/>
  <c r="BA83" i="63" l="1"/>
  <c r="BA82" i="63"/>
  <c r="BD77" i="63"/>
  <c r="BD78" i="63"/>
  <c r="BA81" i="63"/>
  <c r="BD115" i="63"/>
  <c r="BD114" i="63"/>
  <c r="BD92" i="63"/>
  <c r="BD102" i="63"/>
  <c r="BD76" i="63" s="1"/>
  <c r="BD96" i="63"/>
  <c r="BD95" i="63"/>
  <c r="BD97" i="63"/>
  <c r="BD91" i="63"/>
  <c r="BD94" i="63"/>
  <c r="BD113" i="63"/>
  <c r="BD101" i="63"/>
  <c r="BD93" i="63"/>
  <c r="BD104" i="63"/>
  <c r="BE186" i="63"/>
  <c r="BE138" i="63" s="1"/>
  <c r="BE185" i="63"/>
  <c r="BE177" i="63"/>
  <c r="BE134" i="63" s="1"/>
  <c r="BE136" i="63"/>
  <c r="BE167" i="63"/>
  <c r="BE135" i="63"/>
  <c r="BE62" i="63"/>
  <c r="BE63" i="63" s="1"/>
  <c r="BE64" i="63"/>
  <c r="BE65" i="63" s="1"/>
  <c r="BE2" i="63"/>
  <c r="BE58" i="63"/>
  <c r="BE59" i="63" s="1"/>
  <c r="BE54" i="63"/>
  <c r="BE60" i="63"/>
  <c r="BE61" i="63" s="1"/>
  <c r="BF55" i="63"/>
  <c r="BF176" i="63" s="1"/>
  <c r="BC116" i="63"/>
  <c r="BC79" i="63"/>
  <c r="AZ85" i="63"/>
  <c r="AZ87" i="63" s="1"/>
  <c r="BG1" i="63"/>
  <c r="BH53" i="63"/>
  <c r="BH173" i="63" s="1"/>
  <c r="BB72" i="63"/>
  <c r="BB73" i="63" s="1"/>
  <c r="BC98" i="63"/>
  <c r="AY103" i="63"/>
  <c r="BC71" i="63"/>
  <c r="BD68" i="63"/>
  <c r="BD84" i="63" s="1"/>
  <c r="AY105" i="63" l="1"/>
  <c r="AY107" i="63" s="1"/>
  <c r="AY108" i="63" s="1"/>
  <c r="BD116" i="63"/>
  <c r="BB83" i="63"/>
  <c r="BB82" i="63"/>
  <c r="BD79" i="63"/>
  <c r="BE78" i="63"/>
  <c r="BE77" i="63"/>
  <c r="BE115" i="63"/>
  <c r="BE114" i="63"/>
  <c r="BE92" i="63"/>
  <c r="BE102" i="63"/>
  <c r="BE76" i="63" s="1"/>
  <c r="BE101" i="63"/>
  <c r="BE91" i="63"/>
  <c r="BE95" i="63"/>
  <c r="BE96" i="63"/>
  <c r="BE93" i="63"/>
  <c r="BE113" i="63"/>
  <c r="BE94" i="63"/>
  <c r="BE97" i="63"/>
  <c r="BE104" i="63"/>
  <c r="BF186" i="63"/>
  <c r="BF138" i="63" s="1"/>
  <c r="BF185" i="63"/>
  <c r="BF177" i="63"/>
  <c r="BF134" i="63" s="1"/>
  <c r="BF167" i="63"/>
  <c r="BF135" i="63"/>
  <c r="BF136" i="63"/>
  <c r="BF60" i="63"/>
  <c r="BF61" i="63" s="1"/>
  <c r="BF64" i="63"/>
  <c r="BF65" i="63" s="1"/>
  <c r="BF58" i="63"/>
  <c r="BF59" i="63" s="1"/>
  <c r="BF54" i="63"/>
  <c r="BF62" i="63"/>
  <c r="BF63" i="63" s="1"/>
  <c r="BG55" i="63"/>
  <c r="BG176" i="63" s="1"/>
  <c r="BF2" i="63"/>
  <c r="BD98" i="63"/>
  <c r="BC72" i="63"/>
  <c r="BC73" i="63" s="1"/>
  <c r="AZ103" i="63"/>
  <c r="BB81" i="63"/>
  <c r="BD71" i="63"/>
  <c r="BE68" i="63"/>
  <c r="BE84" i="63" s="1"/>
  <c r="BH1" i="63"/>
  <c r="BI53" i="63"/>
  <c r="BI173" i="63" s="1"/>
  <c r="BA85" i="63"/>
  <c r="BA87" i="63" s="1"/>
  <c r="AY110" i="63" l="1"/>
  <c r="AZ105" i="63"/>
  <c r="AZ107" i="63" s="1"/>
  <c r="AZ108" i="63" s="1"/>
  <c r="BB85" i="63"/>
  <c r="BB87" i="63" s="1"/>
  <c r="BB103" i="63" s="1"/>
  <c r="BC83" i="63"/>
  <c r="BC82" i="63"/>
  <c r="BE116" i="63"/>
  <c r="BE79" i="63"/>
  <c r="BC81" i="63"/>
  <c r="BF115" i="63"/>
  <c r="BF114" i="63"/>
  <c r="BF113" i="63"/>
  <c r="BF92" i="63"/>
  <c r="BF96" i="63"/>
  <c r="BF93" i="63"/>
  <c r="BF97" i="63"/>
  <c r="BF94" i="63"/>
  <c r="BF91" i="63"/>
  <c r="BF102" i="63"/>
  <c r="BF76" i="63" s="1"/>
  <c r="BF95" i="63"/>
  <c r="BF101" i="63"/>
  <c r="BF104" i="63"/>
  <c r="BF78" i="63"/>
  <c r="BF77" i="63"/>
  <c r="BE71" i="63"/>
  <c r="BF68" i="63"/>
  <c r="BF84" i="63" s="1"/>
  <c r="BD72" i="63"/>
  <c r="BD73" i="63" s="1"/>
  <c r="BG186" i="63"/>
  <c r="BG138" i="63" s="1"/>
  <c r="BG185" i="63"/>
  <c r="BG177" i="63"/>
  <c r="BG134" i="63" s="1"/>
  <c r="BG167" i="63"/>
  <c r="BG135" i="63"/>
  <c r="BG136" i="63"/>
  <c r="BG60" i="63"/>
  <c r="BG61" i="63" s="1"/>
  <c r="BG64" i="63"/>
  <c r="BG65" i="63" s="1"/>
  <c r="BG62" i="63"/>
  <c r="BG63" i="63" s="1"/>
  <c r="BH55" i="63"/>
  <c r="BH176" i="63" s="1"/>
  <c r="BG58" i="63"/>
  <c r="BG59" i="63" s="1"/>
  <c r="BG54" i="63"/>
  <c r="BG2" i="63"/>
  <c r="BA103" i="63"/>
  <c r="BJ53" i="63"/>
  <c r="BJ173" i="63" s="1"/>
  <c r="BI1" i="63"/>
  <c r="BE98" i="63"/>
  <c r="AZ110" i="63" l="1"/>
  <c r="BA105" i="63"/>
  <c r="BA107" i="63" s="1"/>
  <c r="BA108" i="63" s="1"/>
  <c r="BB105" i="63"/>
  <c r="BB107" i="63" s="1"/>
  <c r="BB108" i="63" s="1"/>
  <c r="BD83" i="63"/>
  <c r="BD82" i="63"/>
  <c r="BF79" i="63"/>
  <c r="BC85" i="63"/>
  <c r="BC87" i="63" s="1"/>
  <c r="BC103" i="63" s="1"/>
  <c r="BF98" i="63"/>
  <c r="BF116" i="63"/>
  <c r="BG78" i="63"/>
  <c r="BG77" i="63"/>
  <c r="BG115" i="63"/>
  <c r="BG114" i="63"/>
  <c r="BG113" i="63"/>
  <c r="BG92" i="63"/>
  <c r="BG102" i="63"/>
  <c r="BG76" i="63" s="1"/>
  <c r="BG96" i="63"/>
  <c r="BG93" i="63"/>
  <c r="BG95" i="63"/>
  <c r="BG97" i="63"/>
  <c r="BG91" i="63"/>
  <c r="BG101" i="63"/>
  <c r="BG94" i="63"/>
  <c r="BG104" i="63"/>
  <c r="BD81" i="63"/>
  <c r="BH185" i="63"/>
  <c r="BH186" i="63"/>
  <c r="BH138" i="63" s="1"/>
  <c r="BH177" i="63"/>
  <c r="BH134" i="63" s="1"/>
  <c r="BH167" i="63"/>
  <c r="BH135" i="63"/>
  <c r="BH136" i="63"/>
  <c r="BH60" i="63"/>
  <c r="BH61" i="63" s="1"/>
  <c r="BH64" i="63"/>
  <c r="BH65" i="63" s="1"/>
  <c r="BH62" i="63"/>
  <c r="BH63" i="63" s="1"/>
  <c r="BI55" i="63"/>
  <c r="BI176" i="63" s="1"/>
  <c r="BH58" i="63"/>
  <c r="BH59" i="63" s="1"/>
  <c r="BH54" i="63"/>
  <c r="BH2" i="63"/>
  <c r="BG68" i="63"/>
  <c r="BG84" i="63" s="1"/>
  <c r="BF71" i="63"/>
  <c r="BE72" i="63"/>
  <c r="BE73" i="63" s="1"/>
  <c r="BK53" i="63"/>
  <c r="BK173" i="63" s="1"/>
  <c r="BJ1" i="63"/>
  <c r="BB110" i="63" l="1"/>
  <c r="BA110" i="63"/>
  <c r="BC105" i="63"/>
  <c r="BC107" i="63" s="1"/>
  <c r="BC108" i="63" s="1"/>
  <c r="BE83" i="63"/>
  <c r="BE82" i="63"/>
  <c r="BG116" i="63"/>
  <c r="BG98" i="63"/>
  <c r="BH114" i="63"/>
  <c r="BH113" i="63"/>
  <c r="BH115" i="63"/>
  <c r="BH102" i="63"/>
  <c r="BH76" i="63" s="1"/>
  <c r="BH96" i="63"/>
  <c r="BH92" i="63"/>
  <c r="BH93" i="63"/>
  <c r="BH91" i="63"/>
  <c r="BH94" i="63"/>
  <c r="BH97" i="63"/>
  <c r="BH101" i="63"/>
  <c r="BH95" i="63"/>
  <c r="BH104" i="63"/>
  <c r="BE81" i="63"/>
  <c r="BH78" i="63"/>
  <c r="BH77" i="63"/>
  <c r="BK1" i="63"/>
  <c r="BL53" i="63"/>
  <c r="BL173" i="63" s="1"/>
  <c r="BF72" i="63"/>
  <c r="BF73" i="63" s="1"/>
  <c r="BG71" i="63"/>
  <c r="BH68" i="63"/>
  <c r="BH84" i="63" s="1"/>
  <c r="BI185" i="63"/>
  <c r="BI186" i="63"/>
  <c r="BI138" i="63" s="1"/>
  <c r="BI177" i="63"/>
  <c r="BI134" i="63" s="1"/>
  <c r="BI167" i="63"/>
  <c r="BI135" i="63"/>
  <c r="BI136" i="63"/>
  <c r="BI64" i="63"/>
  <c r="BI65" i="63" s="1"/>
  <c r="BI62" i="63"/>
  <c r="BI63" i="63" s="1"/>
  <c r="BJ55" i="63"/>
  <c r="BJ176" i="63" s="1"/>
  <c r="BI60" i="63"/>
  <c r="BI61" i="63" s="1"/>
  <c r="BI2" i="63"/>
  <c r="BI54" i="63"/>
  <c r="BI58" i="63"/>
  <c r="BI59" i="63" s="1"/>
  <c r="BG79" i="63"/>
  <c r="BD85" i="63"/>
  <c r="BD87" i="63" s="1"/>
  <c r="BC110" i="63" l="1"/>
  <c r="BF82" i="63"/>
  <c r="BF83" i="63"/>
  <c r="BH98" i="63"/>
  <c r="BI78" i="63"/>
  <c r="BI77" i="63"/>
  <c r="BF81" i="63"/>
  <c r="BI114" i="63"/>
  <c r="BI115" i="63"/>
  <c r="BI101" i="63"/>
  <c r="BI97" i="63"/>
  <c r="BI94" i="63"/>
  <c r="BI93" i="63"/>
  <c r="BI102" i="63"/>
  <c r="BI76" i="63" s="1"/>
  <c r="BI95" i="63"/>
  <c r="BI92" i="63"/>
  <c r="BI91" i="63"/>
  <c r="BI113" i="63"/>
  <c r="BI96" i="63"/>
  <c r="BI104" i="63"/>
  <c r="BH71" i="63"/>
  <c r="BI68" i="63"/>
  <c r="BI84" i="63" s="1"/>
  <c r="BJ185" i="63"/>
  <c r="BJ186" i="63"/>
  <c r="BJ138" i="63" s="1"/>
  <c r="BJ177" i="63"/>
  <c r="BJ134" i="63" s="1"/>
  <c r="BJ135" i="63"/>
  <c r="BJ136" i="63"/>
  <c r="BJ167" i="63"/>
  <c r="BJ64" i="63"/>
  <c r="BJ65" i="63" s="1"/>
  <c r="BK55" i="63"/>
  <c r="BK176" i="63" s="1"/>
  <c r="BJ62" i="63"/>
  <c r="BJ63" i="63" s="1"/>
  <c r="BJ60" i="63"/>
  <c r="BJ61" i="63" s="1"/>
  <c r="BJ2" i="63"/>
  <c r="BJ58" i="63"/>
  <c r="BJ59" i="63" s="1"/>
  <c r="BJ54" i="63"/>
  <c r="BG72" i="63"/>
  <c r="BG73" i="63" s="1"/>
  <c r="BL1" i="63"/>
  <c r="BM53" i="63"/>
  <c r="BM173" i="63" s="1"/>
  <c r="BH79" i="63"/>
  <c r="BD103" i="63"/>
  <c r="BE85" i="63"/>
  <c r="BE87" i="63" s="1"/>
  <c r="BH116" i="63"/>
  <c r="BD105" i="63" l="1"/>
  <c r="BD107" i="63" s="1"/>
  <c r="BD108" i="63" s="1"/>
  <c r="BG82" i="63"/>
  <c r="BG83" i="63"/>
  <c r="BI79" i="63"/>
  <c r="BF85" i="63"/>
  <c r="BF87" i="63" s="1"/>
  <c r="BF103" i="63" s="1"/>
  <c r="BI116" i="63"/>
  <c r="BG81" i="63"/>
  <c r="BJ78" i="63"/>
  <c r="BJ77" i="63"/>
  <c r="BJ114" i="63"/>
  <c r="BJ115" i="63"/>
  <c r="BJ101" i="63"/>
  <c r="BJ96" i="63"/>
  <c r="BJ95" i="63"/>
  <c r="BJ97" i="63"/>
  <c r="BJ92" i="63"/>
  <c r="BJ94" i="63"/>
  <c r="BJ102" i="63"/>
  <c r="BJ76" i="63" s="1"/>
  <c r="BJ113" i="63"/>
  <c r="BJ91" i="63"/>
  <c r="BJ93" i="63"/>
  <c r="BJ104" i="63"/>
  <c r="BI98" i="63"/>
  <c r="BM1" i="63"/>
  <c r="BN53" i="63"/>
  <c r="BN173" i="63" s="1"/>
  <c r="BE103" i="63"/>
  <c r="BK185" i="63"/>
  <c r="BK186" i="63"/>
  <c r="BK138" i="63" s="1"/>
  <c r="BK177" i="63"/>
  <c r="BK134" i="63" s="1"/>
  <c r="BK136" i="63"/>
  <c r="BK135" i="63"/>
  <c r="BK167" i="63"/>
  <c r="BK62" i="63"/>
  <c r="BK63" i="63" s="1"/>
  <c r="BK60" i="63"/>
  <c r="BK61" i="63" s="1"/>
  <c r="BK2" i="63"/>
  <c r="BK58" i="63"/>
  <c r="BK59" i="63" s="1"/>
  <c r="BK54" i="63"/>
  <c r="BL55" i="63"/>
  <c r="BL176" i="63" s="1"/>
  <c r="BK64" i="63"/>
  <c r="BK65" i="63" s="1"/>
  <c r="BI71" i="63"/>
  <c r="BJ68" i="63"/>
  <c r="BJ84" i="63" s="1"/>
  <c r="BH72" i="63"/>
  <c r="BH73" i="63" s="1"/>
  <c r="BD110" i="63" l="1"/>
  <c r="BF105" i="63"/>
  <c r="BF107" i="63" s="1"/>
  <c r="BF108" i="63" s="1"/>
  <c r="BE105" i="63"/>
  <c r="BE107" i="63" s="1"/>
  <c r="BE108" i="63" s="1"/>
  <c r="BH82" i="63"/>
  <c r="BH83" i="63"/>
  <c r="BG85" i="63"/>
  <c r="BG87" i="63" s="1"/>
  <c r="BG103" i="63" s="1"/>
  <c r="BJ116" i="63"/>
  <c r="BK78" i="63"/>
  <c r="BK77" i="63"/>
  <c r="BK115" i="63"/>
  <c r="BK114" i="63"/>
  <c r="BK96" i="63"/>
  <c r="BK102" i="63"/>
  <c r="BK76" i="63" s="1"/>
  <c r="BK93" i="63"/>
  <c r="BK92" i="63"/>
  <c r="BK94" i="63"/>
  <c r="BK101" i="63"/>
  <c r="BK91" i="63"/>
  <c r="BK97" i="63"/>
  <c r="BK113" i="63"/>
  <c r="BK95" i="63"/>
  <c r="BK104" i="63"/>
  <c r="BL186" i="63"/>
  <c r="BL138" i="63" s="1"/>
  <c r="BL185" i="63"/>
  <c r="BL177" i="63"/>
  <c r="BL134" i="63" s="1"/>
  <c r="BL136" i="63"/>
  <c r="BL167" i="63"/>
  <c r="BL135" i="63"/>
  <c r="BL62" i="63"/>
  <c r="BL63" i="63" s="1"/>
  <c r="BL60" i="63"/>
  <c r="BL61" i="63" s="1"/>
  <c r="BL2" i="63"/>
  <c r="BL58" i="63"/>
  <c r="BL59" i="63" s="1"/>
  <c r="BL54" i="63"/>
  <c r="BM55" i="63"/>
  <c r="BM176" i="63" s="1"/>
  <c r="BL64" i="63"/>
  <c r="BL65" i="63" s="1"/>
  <c r="BN1" i="63"/>
  <c r="BO53" i="63"/>
  <c r="BO173" i="63" s="1"/>
  <c r="BJ98" i="63"/>
  <c r="BJ79" i="63"/>
  <c r="BH81" i="63"/>
  <c r="BK68" i="63"/>
  <c r="BK84" i="63" s="1"/>
  <c r="BJ71" i="63"/>
  <c r="BI72" i="63"/>
  <c r="BI73" i="63" s="1"/>
  <c r="BF110" i="63" l="1"/>
  <c r="BE110" i="63"/>
  <c r="BG105" i="63"/>
  <c r="BG107" i="63" s="1"/>
  <c r="BG108" i="63" s="1"/>
  <c r="BK116" i="63"/>
  <c r="BI83" i="63"/>
  <c r="BI82" i="63"/>
  <c r="BH85" i="63"/>
  <c r="BH87" i="63" s="1"/>
  <c r="BH103" i="63" s="1"/>
  <c r="BL115" i="63"/>
  <c r="BL114" i="63"/>
  <c r="BL102" i="63"/>
  <c r="BL76" i="63" s="1"/>
  <c r="BL101" i="63"/>
  <c r="BL96" i="63"/>
  <c r="BL95" i="63"/>
  <c r="BL92" i="63"/>
  <c r="BL91" i="63"/>
  <c r="BL97" i="63"/>
  <c r="BL113" i="63"/>
  <c r="BL93" i="63"/>
  <c r="BL94" i="63"/>
  <c r="BL104" i="63"/>
  <c r="BL77" i="63"/>
  <c r="BL78" i="63"/>
  <c r="BK71" i="63"/>
  <c r="BL68" i="63"/>
  <c r="BL84" i="63" s="1"/>
  <c r="BO1" i="63"/>
  <c r="BP53" i="63"/>
  <c r="BP173" i="63" s="1"/>
  <c r="BM186" i="63"/>
  <c r="BM138" i="63" s="1"/>
  <c r="BM185" i="63"/>
  <c r="BM177" i="63"/>
  <c r="BM134" i="63" s="1"/>
  <c r="BM136" i="63"/>
  <c r="BM167" i="63"/>
  <c r="BM135" i="63"/>
  <c r="BM62" i="63"/>
  <c r="BM63" i="63" s="1"/>
  <c r="BM64" i="63"/>
  <c r="BM65" i="63" s="1"/>
  <c r="BM60" i="63"/>
  <c r="BM61" i="63" s="1"/>
  <c r="BM2" i="63"/>
  <c r="BM58" i="63"/>
  <c r="BM59" i="63" s="1"/>
  <c r="BM54" i="63"/>
  <c r="BN55" i="63"/>
  <c r="BN176" i="63" s="1"/>
  <c r="BI81" i="63"/>
  <c r="BK79" i="63"/>
  <c r="BK98" i="63"/>
  <c r="BJ72" i="63"/>
  <c r="BJ73" i="63" s="1"/>
  <c r="BG110" i="63" l="1"/>
  <c r="BH105" i="63"/>
  <c r="BH107" i="63" s="1"/>
  <c r="BH108" i="63" s="1"/>
  <c r="BJ83" i="63"/>
  <c r="BJ82" i="63"/>
  <c r="BL116" i="63"/>
  <c r="BM77" i="63"/>
  <c r="BM78" i="63"/>
  <c r="BP1" i="63"/>
  <c r="BQ53" i="63"/>
  <c r="BQ173" i="63" s="1"/>
  <c r="BM115" i="63"/>
  <c r="BM114" i="63"/>
  <c r="BM93" i="63"/>
  <c r="BM102" i="63"/>
  <c r="BM76" i="63" s="1"/>
  <c r="BM96" i="63"/>
  <c r="BM95" i="63"/>
  <c r="BM92" i="63"/>
  <c r="BM101" i="63"/>
  <c r="BM94" i="63"/>
  <c r="BM113" i="63"/>
  <c r="BM91" i="63"/>
  <c r="BM97" i="63"/>
  <c r="BM104" i="63"/>
  <c r="BI85" i="63"/>
  <c r="BI87" i="63" s="1"/>
  <c r="BN186" i="63"/>
  <c r="BN138" i="63" s="1"/>
  <c r="BN185" i="63"/>
  <c r="BN177" i="63"/>
  <c r="BN134" i="63" s="1"/>
  <c r="BN167" i="63"/>
  <c r="BN136" i="63"/>
  <c r="BN135" i="63"/>
  <c r="BN60" i="63"/>
  <c r="BN61" i="63" s="1"/>
  <c r="BN64" i="63"/>
  <c r="BN65" i="63" s="1"/>
  <c r="BN62" i="63"/>
  <c r="BN63" i="63" s="1"/>
  <c r="BN58" i="63"/>
  <c r="BN59" i="63" s="1"/>
  <c r="BN54" i="63"/>
  <c r="BO55" i="63"/>
  <c r="BO176" i="63" s="1"/>
  <c r="BN2" i="63"/>
  <c r="BL79" i="63"/>
  <c r="BJ81" i="63"/>
  <c r="BL71" i="63"/>
  <c r="BM68" i="63"/>
  <c r="BM84" i="63" s="1"/>
  <c r="BK72" i="63"/>
  <c r="BK73" i="63" s="1"/>
  <c r="BL98" i="63"/>
  <c r="BH110" i="63" l="1"/>
  <c r="BK83" i="63"/>
  <c r="BK82" i="63"/>
  <c r="BM79" i="63"/>
  <c r="BM98" i="63"/>
  <c r="BM116" i="63"/>
  <c r="BN78" i="63"/>
  <c r="BN77" i="63"/>
  <c r="BK81" i="63"/>
  <c r="BN115" i="63"/>
  <c r="BN114" i="63"/>
  <c r="BN113" i="63"/>
  <c r="BN92" i="63"/>
  <c r="BN96" i="63"/>
  <c r="BN97" i="63"/>
  <c r="BN94" i="63"/>
  <c r="BN93" i="63"/>
  <c r="BN95" i="63"/>
  <c r="BN102" i="63"/>
  <c r="BN76" i="63" s="1"/>
  <c r="BN91" i="63"/>
  <c r="BN101" i="63"/>
  <c r="BN104" i="63"/>
  <c r="BM71" i="63"/>
  <c r="BN68" i="63"/>
  <c r="BN84" i="63" s="1"/>
  <c r="BL72" i="63"/>
  <c r="BL73" i="63" s="1"/>
  <c r="BI103" i="63"/>
  <c r="BO186" i="63"/>
  <c r="BO138" i="63" s="1"/>
  <c r="BO177" i="63"/>
  <c r="BO134" i="63" s="1"/>
  <c r="BO167" i="63"/>
  <c r="BO135" i="63"/>
  <c r="BO136" i="63"/>
  <c r="BO60" i="63"/>
  <c r="BO61" i="63" s="1"/>
  <c r="BP55" i="63"/>
  <c r="BP176" i="63" s="1"/>
  <c r="BO54" i="63"/>
  <c r="BO62" i="63"/>
  <c r="BO63" i="63" s="1"/>
  <c r="BO2" i="63"/>
  <c r="BO58" i="63"/>
  <c r="BO59" i="63" s="1"/>
  <c r="BO64" i="63"/>
  <c r="BO65" i="63" s="1"/>
  <c r="BJ85" i="63"/>
  <c r="BJ87" i="63" s="1"/>
  <c r="BR53" i="63"/>
  <c r="BR173" i="63" s="1"/>
  <c r="BQ1" i="63"/>
  <c r="BI105" i="63" l="1"/>
  <c r="BI107" i="63" s="1"/>
  <c r="BI108" i="63" s="1"/>
  <c r="BL83" i="63"/>
  <c r="BL82" i="63"/>
  <c r="BN116" i="63"/>
  <c r="BN79" i="63"/>
  <c r="BO77" i="63"/>
  <c r="BO78" i="63"/>
  <c r="BO115" i="63"/>
  <c r="BO114" i="63"/>
  <c r="BO113" i="63"/>
  <c r="BO92" i="63"/>
  <c r="BO102" i="63"/>
  <c r="BO76" i="63" s="1"/>
  <c r="BO95" i="63"/>
  <c r="BO93" i="63"/>
  <c r="BO96" i="63"/>
  <c r="BO101" i="63"/>
  <c r="BO94" i="63"/>
  <c r="BO97" i="63"/>
  <c r="BO91" i="63"/>
  <c r="BO104" i="63"/>
  <c r="BL81" i="63"/>
  <c r="BJ103" i="63"/>
  <c r="BS53" i="63"/>
  <c r="BS173" i="63" s="1"/>
  <c r="BR1" i="63"/>
  <c r="BP186" i="63"/>
  <c r="BP138" i="63" s="1"/>
  <c r="BP177" i="63"/>
  <c r="BP134" i="63" s="1"/>
  <c r="BP167" i="63"/>
  <c r="BP135" i="63"/>
  <c r="BP136" i="63"/>
  <c r="BP60" i="63"/>
  <c r="BP61" i="63" s="1"/>
  <c r="BP64" i="63"/>
  <c r="BP65" i="63" s="1"/>
  <c r="BP62" i="63"/>
  <c r="BP63" i="63" s="1"/>
  <c r="BQ55" i="63"/>
  <c r="BQ176" i="63" s="1"/>
  <c r="BP54" i="63"/>
  <c r="BP2" i="63"/>
  <c r="BP58" i="63"/>
  <c r="BP59" i="63" s="1"/>
  <c r="BO68" i="63"/>
  <c r="BO84" i="63" s="1"/>
  <c r="BN71" i="63"/>
  <c r="BK85" i="63"/>
  <c r="BK87" i="63" s="1"/>
  <c r="BM72" i="63"/>
  <c r="BM73" i="63" s="1"/>
  <c r="BN98" i="63"/>
  <c r="BI110" i="63" l="1"/>
  <c r="BJ105" i="63"/>
  <c r="BJ107" i="63" s="1"/>
  <c r="BJ108" i="63" s="1"/>
  <c r="BM83" i="63"/>
  <c r="BM82" i="63"/>
  <c r="BO79" i="63"/>
  <c r="BP114" i="63"/>
  <c r="BP113" i="63"/>
  <c r="BP115" i="63"/>
  <c r="BP96" i="63"/>
  <c r="BP92" i="63"/>
  <c r="BP95" i="63"/>
  <c r="BP93" i="63"/>
  <c r="BP102" i="63"/>
  <c r="BP76" i="63" s="1"/>
  <c r="BP101" i="63"/>
  <c r="BP91" i="63"/>
  <c r="BP94" i="63"/>
  <c r="BP97" i="63"/>
  <c r="BP104" i="63"/>
  <c r="BM81" i="63"/>
  <c r="BP77" i="63"/>
  <c r="BP78" i="63"/>
  <c r="BQ186" i="63"/>
  <c r="BQ138" i="63" s="1"/>
  <c r="BQ177" i="63"/>
  <c r="BQ134" i="63" s="1"/>
  <c r="BQ167" i="63"/>
  <c r="BQ135" i="63"/>
  <c r="BQ136" i="63"/>
  <c r="BQ64" i="63"/>
  <c r="BQ65" i="63" s="1"/>
  <c r="BQ62" i="63"/>
  <c r="BQ63" i="63" s="1"/>
  <c r="BR55" i="63"/>
  <c r="BR176" i="63" s="1"/>
  <c r="BQ2" i="63"/>
  <c r="BQ54" i="63"/>
  <c r="BQ58" i="63"/>
  <c r="BQ59" i="63" s="1"/>
  <c r="BQ60" i="63"/>
  <c r="BQ61" i="63" s="1"/>
  <c r="BK103" i="63"/>
  <c r="BO98" i="63"/>
  <c r="BT53" i="63"/>
  <c r="BT173" i="63" s="1"/>
  <c r="BS1" i="63"/>
  <c r="BP68" i="63"/>
  <c r="BP84" i="63" s="1"/>
  <c r="BO71" i="63"/>
  <c r="BN72" i="63"/>
  <c r="BN73" i="63" s="1"/>
  <c r="BL85" i="63"/>
  <c r="BL87" i="63" s="1"/>
  <c r="BO116" i="63"/>
  <c r="BJ110" i="63" l="1"/>
  <c r="BK105" i="63"/>
  <c r="BK107" i="63" s="1"/>
  <c r="BK108" i="63" s="1"/>
  <c r="BN82" i="63"/>
  <c r="BN83" i="63"/>
  <c r="BQ114" i="63"/>
  <c r="BQ115" i="63"/>
  <c r="BQ97" i="63"/>
  <c r="BQ91" i="63"/>
  <c r="BQ94" i="63"/>
  <c r="BQ95" i="63"/>
  <c r="BQ113" i="63"/>
  <c r="BQ93" i="63"/>
  <c r="BQ92" i="63"/>
  <c r="BQ102" i="63"/>
  <c r="BQ76" i="63" s="1"/>
  <c r="BQ101" i="63"/>
  <c r="BQ96" i="63"/>
  <c r="BQ104" i="63"/>
  <c r="BN81" i="63"/>
  <c r="BP71" i="63"/>
  <c r="BQ68" i="63"/>
  <c r="BQ84" i="63" s="1"/>
  <c r="BQ78" i="63"/>
  <c r="BQ77" i="63"/>
  <c r="BR186" i="63"/>
  <c r="BR138" i="63" s="1"/>
  <c r="BR177" i="63"/>
  <c r="BR134" i="63" s="1"/>
  <c r="BR167" i="63"/>
  <c r="BR135" i="63"/>
  <c r="BR136" i="63"/>
  <c r="BR64" i="63"/>
  <c r="BR65" i="63" s="1"/>
  <c r="BS55" i="63"/>
  <c r="BS176" i="63" s="1"/>
  <c r="BR2" i="63"/>
  <c r="BR58" i="63"/>
  <c r="BR59" i="63" s="1"/>
  <c r="BR54" i="63"/>
  <c r="BR62" i="63"/>
  <c r="BR63" i="63" s="1"/>
  <c r="BR60" i="63"/>
  <c r="BR61" i="63" s="1"/>
  <c r="BM85" i="63"/>
  <c r="BM87" i="63" s="1"/>
  <c r="BP98" i="63"/>
  <c r="BP116" i="63"/>
  <c r="BT1" i="63"/>
  <c r="BU53" i="63"/>
  <c r="BU173" i="63" s="1"/>
  <c r="BP79" i="63"/>
  <c r="BO72" i="63"/>
  <c r="BO73" i="63" s="1"/>
  <c r="BL103" i="63"/>
  <c r="BK110" i="63" l="1"/>
  <c r="BL105" i="63"/>
  <c r="BL107" i="63" s="1"/>
  <c r="BL108" i="63" s="1"/>
  <c r="BO82" i="63"/>
  <c r="BO83" i="63"/>
  <c r="BN85" i="63"/>
  <c r="BN87" i="63" s="1"/>
  <c r="BN103" i="63" s="1"/>
  <c r="BR114" i="63"/>
  <c r="BR115" i="63"/>
  <c r="BR96" i="63"/>
  <c r="BR97" i="63"/>
  <c r="BR92" i="63"/>
  <c r="BR101" i="63"/>
  <c r="BR91" i="63"/>
  <c r="BR93" i="63"/>
  <c r="BR113" i="63"/>
  <c r="BR94" i="63"/>
  <c r="BR95" i="63"/>
  <c r="BR102" i="63"/>
  <c r="BR76" i="63" s="1"/>
  <c r="BR104" i="63"/>
  <c r="BR77" i="63"/>
  <c r="BR78" i="63"/>
  <c r="BO81" i="63"/>
  <c r="BQ71" i="63"/>
  <c r="BR68" i="63"/>
  <c r="BR84" i="63" s="1"/>
  <c r="BP72" i="63"/>
  <c r="BP73" i="63" s="1"/>
  <c r="BQ98" i="63"/>
  <c r="BQ79" i="63"/>
  <c r="BM103" i="63"/>
  <c r="BU1" i="63"/>
  <c r="BV53" i="63"/>
  <c r="BV173" i="63" s="1"/>
  <c r="BQ116" i="63"/>
  <c r="BS186" i="63"/>
  <c r="BS138" i="63" s="1"/>
  <c r="BS177" i="63"/>
  <c r="BS134" i="63" s="1"/>
  <c r="BS136" i="63"/>
  <c r="BS167" i="63"/>
  <c r="BS135" i="63"/>
  <c r="BS62" i="63"/>
  <c r="BS63" i="63" s="1"/>
  <c r="BS2" i="63"/>
  <c r="BS58" i="63"/>
  <c r="BS59" i="63" s="1"/>
  <c r="BS54" i="63"/>
  <c r="BS64" i="63"/>
  <c r="BS65" i="63" s="1"/>
  <c r="BT55" i="63"/>
  <c r="BT176" i="63" s="1"/>
  <c r="BS60" i="63"/>
  <c r="BS61" i="63" s="1"/>
  <c r="BL110" i="63" l="1"/>
  <c r="BM105" i="63"/>
  <c r="BM107" i="63" s="1"/>
  <c r="BM108" i="63" s="1"/>
  <c r="BN105" i="63"/>
  <c r="BN107" i="63" s="1"/>
  <c r="BN108" i="63" s="1"/>
  <c r="BP82" i="63"/>
  <c r="BP83" i="63"/>
  <c r="BR116" i="63"/>
  <c r="BP81" i="63"/>
  <c r="BS78" i="63"/>
  <c r="BS77" i="63"/>
  <c r="BS115" i="63"/>
  <c r="BS114" i="63"/>
  <c r="BS97" i="63"/>
  <c r="BS92" i="63"/>
  <c r="BS93" i="63"/>
  <c r="BS94" i="63"/>
  <c r="BS102" i="63"/>
  <c r="BS76" i="63" s="1"/>
  <c r="BS96" i="63"/>
  <c r="BS95" i="63"/>
  <c r="BS91" i="63"/>
  <c r="BS101" i="63"/>
  <c r="BS113" i="63"/>
  <c r="BS104" i="63"/>
  <c r="BT186" i="63"/>
  <c r="BT138" i="63" s="1"/>
  <c r="BT177" i="63"/>
  <c r="BT134" i="63" s="1"/>
  <c r="BT136" i="63"/>
  <c r="BT167" i="63"/>
  <c r="BT135" i="63"/>
  <c r="BT62" i="63"/>
  <c r="BT63" i="63" s="1"/>
  <c r="BT60" i="63"/>
  <c r="BT61" i="63" s="1"/>
  <c r="BT2" i="63"/>
  <c r="BT58" i="63"/>
  <c r="BT59" i="63" s="1"/>
  <c r="BT54" i="63"/>
  <c r="BT64" i="63"/>
  <c r="BT65" i="63" s="1"/>
  <c r="BU55" i="63"/>
  <c r="BU176" i="63" s="1"/>
  <c r="BV1" i="63"/>
  <c r="BW53" i="63"/>
  <c r="BW173" i="63" s="1"/>
  <c r="BS68" i="63"/>
  <c r="BS84" i="63" s="1"/>
  <c r="BR71" i="63"/>
  <c r="BR98" i="63"/>
  <c r="BQ72" i="63"/>
  <c r="BQ73" i="63" s="1"/>
  <c r="BO85" i="63"/>
  <c r="BO87" i="63" s="1"/>
  <c r="BR79" i="63"/>
  <c r="BN110" i="63" l="1"/>
  <c r="BM110" i="63"/>
  <c r="BQ82" i="63"/>
  <c r="BQ83" i="63"/>
  <c r="BP85" i="63"/>
  <c r="BP87" i="63" s="1"/>
  <c r="BP103" i="63" s="1"/>
  <c r="BS79" i="63"/>
  <c r="BT115" i="63"/>
  <c r="BT96" i="63"/>
  <c r="BT114" i="63"/>
  <c r="BT102" i="63"/>
  <c r="BT76" i="63" s="1"/>
  <c r="BT92" i="63"/>
  <c r="BT97" i="63"/>
  <c r="BT95" i="63"/>
  <c r="BT93" i="63"/>
  <c r="BT101" i="63"/>
  <c r="BT91" i="63"/>
  <c r="BT94" i="63"/>
  <c r="BT113" i="63"/>
  <c r="BT104" i="63"/>
  <c r="BT78" i="63"/>
  <c r="BT77" i="63"/>
  <c r="BS98" i="63"/>
  <c r="BW1" i="63"/>
  <c r="BX53" i="63"/>
  <c r="BX173" i="63" s="1"/>
  <c r="BS71" i="63"/>
  <c r="BT68" i="63"/>
  <c r="BT84" i="63" s="1"/>
  <c r="BO103" i="63"/>
  <c r="BU186" i="63"/>
  <c r="BU138" i="63" s="1"/>
  <c r="BU177" i="63"/>
  <c r="BU134" i="63" s="1"/>
  <c r="BU136" i="63"/>
  <c r="BU167" i="63"/>
  <c r="BU135" i="63"/>
  <c r="BU62" i="63"/>
  <c r="BU63" i="63" s="1"/>
  <c r="BU64" i="63"/>
  <c r="BU65" i="63" s="1"/>
  <c r="BU2" i="63"/>
  <c r="BU58" i="63"/>
  <c r="BU59" i="63" s="1"/>
  <c r="BU54" i="63"/>
  <c r="BU60" i="63"/>
  <c r="BU61" i="63" s="1"/>
  <c r="BV55" i="63"/>
  <c r="BV176" i="63" s="1"/>
  <c r="BQ81" i="63"/>
  <c r="BR72" i="63"/>
  <c r="BR73" i="63" s="1"/>
  <c r="BS116" i="63"/>
  <c r="BO105" i="63" l="1"/>
  <c r="BO107" i="63" s="1"/>
  <c r="BO108" i="63" s="1"/>
  <c r="BP105" i="63"/>
  <c r="BP107" i="63" s="1"/>
  <c r="BP108" i="63" s="1"/>
  <c r="BR83" i="63"/>
  <c r="BR82" i="63"/>
  <c r="BT116" i="63"/>
  <c r="BQ85" i="63"/>
  <c r="BQ87" i="63" s="1"/>
  <c r="BQ103" i="63" s="1"/>
  <c r="BT79" i="63"/>
  <c r="BR81" i="63"/>
  <c r="BU115" i="63"/>
  <c r="BU114" i="63"/>
  <c r="BU102" i="63"/>
  <c r="BU76" i="63" s="1"/>
  <c r="BU93" i="63"/>
  <c r="BU97" i="63"/>
  <c r="BU95" i="63"/>
  <c r="BU96" i="63"/>
  <c r="BU92" i="63"/>
  <c r="BU101" i="63"/>
  <c r="BU91" i="63"/>
  <c r="BU94" i="63"/>
  <c r="BU113" i="63"/>
  <c r="BU104" i="63"/>
  <c r="BU78" i="63"/>
  <c r="BU77" i="63"/>
  <c r="BT98" i="63"/>
  <c r="BX1" i="63"/>
  <c r="BY53" i="63"/>
  <c r="BY173" i="63" s="1"/>
  <c r="BS72" i="63"/>
  <c r="BS73" i="63" s="1"/>
  <c r="BV186" i="63"/>
  <c r="BV138" i="63" s="1"/>
  <c r="BV177" i="63"/>
  <c r="BV134" i="63" s="1"/>
  <c r="BV167" i="63"/>
  <c r="BV136" i="63"/>
  <c r="BV135" i="63"/>
  <c r="BV60" i="63"/>
  <c r="BV61" i="63" s="1"/>
  <c r="BV64" i="63"/>
  <c r="BV65" i="63" s="1"/>
  <c r="BV58" i="63"/>
  <c r="BV59" i="63" s="1"/>
  <c r="BV54" i="63"/>
  <c r="BW55" i="63"/>
  <c r="BW176" i="63" s="1"/>
  <c r="BV62" i="63"/>
  <c r="BV63" i="63" s="1"/>
  <c r="BV2" i="63"/>
  <c r="BT71" i="63"/>
  <c r="BU68" i="63"/>
  <c r="BU84" i="63" s="1"/>
  <c r="BP110" i="63"/>
  <c r="BO110" i="63" l="1"/>
  <c r="BQ105" i="63"/>
  <c r="BQ107" i="63" s="1"/>
  <c r="BQ108" i="63" s="1"/>
  <c r="BS83" i="63"/>
  <c r="BS82" i="63"/>
  <c r="BU116" i="63"/>
  <c r="BU79" i="63"/>
  <c r="BV115" i="63"/>
  <c r="BV114" i="63"/>
  <c r="BV113" i="63"/>
  <c r="BV92" i="63"/>
  <c r="BV93" i="63"/>
  <c r="BV96" i="63"/>
  <c r="BV94" i="63"/>
  <c r="BV95" i="63"/>
  <c r="BV91" i="63"/>
  <c r="BV101" i="63"/>
  <c r="BV97" i="63"/>
  <c r="BV102" i="63"/>
  <c r="BV76" i="63" s="1"/>
  <c r="BV104" i="63"/>
  <c r="BS81" i="63"/>
  <c r="BZ53" i="63"/>
  <c r="BZ173" i="63" s="1"/>
  <c r="BY1" i="63"/>
  <c r="BV78" i="63"/>
  <c r="BV77" i="63"/>
  <c r="BU71" i="63"/>
  <c r="BV68" i="63"/>
  <c r="BV84" i="63" s="1"/>
  <c r="BW186" i="63"/>
  <c r="BW138" i="63" s="1"/>
  <c r="BW177" i="63"/>
  <c r="BW134" i="63" s="1"/>
  <c r="BW167" i="63"/>
  <c r="BW135" i="63"/>
  <c r="BW136" i="63"/>
  <c r="BW60" i="63"/>
  <c r="BW61" i="63" s="1"/>
  <c r="BW64" i="63"/>
  <c r="BW65" i="63" s="1"/>
  <c r="BX55" i="63"/>
  <c r="BX176" i="63" s="1"/>
  <c r="BW62" i="63"/>
  <c r="BW63" i="63" s="1"/>
  <c r="BW2" i="63"/>
  <c r="BW58" i="63"/>
  <c r="BW59" i="63" s="1"/>
  <c r="BW54" i="63"/>
  <c r="BR85" i="63"/>
  <c r="BR87" i="63" s="1"/>
  <c r="BU98" i="63"/>
  <c r="BT72" i="63"/>
  <c r="BT73" i="63" s="1"/>
  <c r="BQ110" i="63" l="1"/>
  <c r="BT82" i="63"/>
  <c r="BT83" i="63"/>
  <c r="BV116" i="63"/>
  <c r="BW115" i="63"/>
  <c r="BW114" i="63"/>
  <c r="BW113" i="63"/>
  <c r="BW102" i="63"/>
  <c r="BW76" i="63" s="1"/>
  <c r="BW92" i="63"/>
  <c r="BW93" i="63"/>
  <c r="BW96" i="63"/>
  <c r="BW95" i="63"/>
  <c r="BW101" i="63"/>
  <c r="BW91" i="63"/>
  <c r="BW97" i="63"/>
  <c r="BW94" i="63"/>
  <c r="BW104" i="63"/>
  <c r="BW77" i="63"/>
  <c r="BW78" i="63"/>
  <c r="BR103" i="63"/>
  <c r="BU72" i="63"/>
  <c r="BU73" i="63" s="1"/>
  <c r="BT81" i="63"/>
  <c r="BV79" i="63"/>
  <c r="BX186" i="63"/>
  <c r="BX138" i="63" s="1"/>
  <c r="BX177" i="63"/>
  <c r="BX134" i="63" s="1"/>
  <c r="BX167" i="63"/>
  <c r="BX136" i="63"/>
  <c r="BX135" i="63"/>
  <c r="BX60" i="63"/>
  <c r="BX61" i="63" s="1"/>
  <c r="BX64" i="63"/>
  <c r="BX65" i="63" s="1"/>
  <c r="BX62" i="63"/>
  <c r="BX63" i="63" s="1"/>
  <c r="BY55" i="63"/>
  <c r="BY176" i="63" s="1"/>
  <c r="BX58" i="63"/>
  <c r="BX59" i="63" s="1"/>
  <c r="BX54" i="63"/>
  <c r="BX2" i="63"/>
  <c r="BW68" i="63"/>
  <c r="BW84" i="63" s="1"/>
  <c r="BV71" i="63"/>
  <c r="BS85" i="63"/>
  <c r="BS87" i="63" s="1"/>
  <c r="BV98" i="63"/>
  <c r="CA53" i="63"/>
  <c r="CA173" i="63" s="1"/>
  <c r="BZ1" i="63"/>
  <c r="BR105" i="63" l="1"/>
  <c r="BR107" i="63" s="1"/>
  <c r="BR108" i="63" s="1"/>
  <c r="BU83" i="63"/>
  <c r="BU82" i="63"/>
  <c r="BW116" i="63"/>
  <c r="BW79" i="63"/>
  <c r="BU81" i="63"/>
  <c r="BX114" i="63"/>
  <c r="BX113" i="63"/>
  <c r="BX102" i="63"/>
  <c r="BX76" i="63" s="1"/>
  <c r="BX115" i="63"/>
  <c r="BX93" i="63"/>
  <c r="BX96" i="63"/>
  <c r="BX95" i="63"/>
  <c r="BX101" i="63"/>
  <c r="BX94" i="63"/>
  <c r="BX92" i="63"/>
  <c r="BX91" i="63"/>
  <c r="BX97" i="63"/>
  <c r="BX104" i="63"/>
  <c r="BY186" i="63"/>
  <c r="BY138" i="63" s="1"/>
  <c r="BY177" i="63"/>
  <c r="BY134" i="63" s="1"/>
  <c r="BY167" i="63"/>
  <c r="BY135" i="63"/>
  <c r="BY136" i="63"/>
  <c r="BY64" i="63"/>
  <c r="BY65" i="63" s="1"/>
  <c r="BY62" i="63"/>
  <c r="BY63" i="63" s="1"/>
  <c r="BZ55" i="63"/>
  <c r="BZ176" i="63" s="1"/>
  <c r="BY60" i="63"/>
  <c r="BY61" i="63" s="1"/>
  <c r="BY2" i="63"/>
  <c r="BY58" i="63"/>
  <c r="BY59" i="63" s="1"/>
  <c r="BY54" i="63"/>
  <c r="BX78" i="63"/>
  <c r="BX77" i="63"/>
  <c r="BW98" i="63"/>
  <c r="BS103" i="63"/>
  <c r="CB53" i="63"/>
  <c r="CB173" i="63" s="1"/>
  <c r="CA1" i="63"/>
  <c r="BV72" i="63"/>
  <c r="BV73" i="63" s="1"/>
  <c r="BR110" i="63"/>
  <c r="BX68" i="63"/>
  <c r="BX84" i="63" s="1"/>
  <c r="BW71" i="63"/>
  <c r="BT85" i="63"/>
  <c r="BT87" i="63" s="1"/>
  <c r="BS105" i="63" l="1"/>
  <c r="BS107" i="63" s="1"/>
  <c r="BS108" i="63" s="1"/>
  <c r="BV82" i="63"/>
  <c r="BV83" i="63"/>
  <c r="BX98" i="63"/>
  <c r="BY78" i="63"/>
  <c r="BY77" i="63"/>
  <c r="BX71" i="63"/>
  <c r="BY68" i="63"/>
  <c r="BY84" i="63" s="1"/>
  <c r="BY114" i="63"/>
  <c r="BY115" i="63"/>
  <c r="BY95" i="63"/>
  <c r="BY101" i="63"/>
  <c r="BY97" i="63"/>
  <c r="BY94" i="63"/>
  <c r="BY96" i="63"/>
  <c r="BY91" i="63"/>
  <c r="BY113" i="63"/>
  <c r="BY93" i="63"/>
  <c r="BY92" i="63"/>
  <c r="BY102" i="63"/>
  <c r="BY76" i="63" s="1"/>
  <c r="BY104" i="63"/>
  <c r="BX79" i="63"/>
  <c r="CB1" i="63"/>
  <c r="CC53" i="63"/>
  <c r="CC173" i="63" s="1"/>
  <c r="BX116" i="63"/>
  <c r="BW72" i="63"/>
  <c r="BW73" i="63" s="1"/>
  <c r="BV81" i="63"/>
  <c r="BZ186" i="63"/>
  <c r="BZ138" i="63" s="1"/>
  <c r="BZ177" i="63"/>
  <c r="BZ134" i="63" s="1"/>
  <c r="BZ136" i="63"/>
  <c r="BZ167" i="63"/>
  <c r="BZ135" i="63"/>
  <c r="BZ64" i="63"/>
  <c r="BZ65" i="63" s="1"/>
  <c r="CA55" i="63"/>
  <c r="CA176" i="63" s="1"/>
  <c r="BZ60" i="63"/>
  <c r="BZ61" i="63" s="1"/>
  <c r="BZ62" i="63"/>
  <c r="BZ63" i="63" s="1"/>
  <c r="BZ2" i="63"/>
  <c r="BZ58" i="63"/>
  <c r="BZ59" i="63" s="1"/>
  <c r="BZ54" i="63"/>
  <c r="BU85" i="63"/>
  <c r="BU87" i="63" s="1"/>
  <c r="BT103" i="63"/>
  <c r="BS110" i="63" l="1"/>
  <c r="BT105" i="63"/>
  <c r="BT107" i="63" s="1"/>
  <c r="BT108" i="63" s="1"/>
  <c r="BW82" i="63"/>
  <c r="BW83" i="63"/>
  <c r="BY79" i="63"/>
  <c r="BV85" i="63"/>
  <c r="BV87" i="63" s="1"/>
  <c r="BV103" i="63" s="1"/>
  <c r="BY98" i="63"/>
  <c r="BZ114" i="63"/>
  <c r="BZ115" i="63"/>
  <c r="BZ96" i="63"/>
  <c r="BZ101" i="63"/>
  <c r="BZ94" i="63"/>
  <c r="BZ92" i="63"/>
  <c r="BZ95" i="63"/>
  <c r="BZ97" i="63"/>
  <c r="BZ91" i="63"/>
  <c r="BZ93" i="63"/>
  <c r="BZ102" i="63"/>
  <c r="BZ76" i="63" s="1"/>
  <c r="BZ113" i="63"/>
  <c r="BZ104" i="63"/>
  <c r="CC1" i="63"/>
  <c r="CD53" i="63"/>
  <c r="CD173" i="63" s="1"/>
  <c r="BY71" i="63"/>
  <c r="BZ68" i="63"/>
  <c r="BZ84" i="63" s="1"/>
  <c r="BX72" i="63"/>
  <c r="BX73" i="63" s="1"/>
  <c r="BW81" i="63"/>
  <c r="BU103" i="63"/>
  <c r="CA186" i="63"/>
  <c r="CA138" i="63" s="1"/>
  <c r="CA177" i="63"/>
  <c r="CA134" i="63" s="1"/>
  <c r="CA136" i="63"/>
  <c r="CA135" i="63"/>
  <c r="CA167" i="63"/>
  <c r="CA62" i="63"/>
  <c r="CA63" i="63" s="1"/>
  <c r="CA64" i="63"/>
  <c r="CA65" i="63" s="1"/>
  <c r="CA60" i="63"/>
  <c r="CA61" i="63" s="1"/>
  <c r="CA2" i="63"/>
  <c r="CA58" i="63"/>
  <c r="CA59" i="63" s="1"/>
  <c r="CA54" i="63"/>
  <c r="CB55" i="63"/>
  <c r="CB176" i="63" s="1"/>
  <c r="BY116" i="63"/>
  <c r="BZ78" i="63"/>
  <c r="BZ77" i="63"/>
  <c r="BT110" i="63" l="1"/>
  <c r="BV105" i="63"/>
  <c r="BV107" i="63" s="1"/>
  <c r="BV108" i="63" s="1"/>
  <c r="BU105" i="63"/>
  <c r="BU107" i="63" s="1"/>
  <c r="BU108" i="63" s="1"/>
  <c r="BX83" i="63"/>
  <c r="BX82" i="63"/>
  <c r="BW85" i="63"/>
  <c r="BW87" i="63" s="1"/>
  <c r="BW103" i="63" s="1"/>
  <c r="BZ116" i="63"/>
  <c r="CA115" i="63"/>
  <c r="CA114" i="63"/>
  <c r="CA96" i="63"/>
  <c r="CA92" i="63"/>
  <c r="CA102" i="63"/>
  <c r="CA76" i="63" s="1"/>
  <c r="CA97" i="63"/>
  <c r="CA93" i="63"/>
  <c r="CA113" i="63"/>
  <c r="CA91" i="63"/>
  <c r="CA95" i="63"/>
  <c r="CA101" i="63"/>
  <c r="CA94" i="63"/>
  <c r="CA104" i="63"/>
  <c r="BX81" i="63"/>
  <c r="CB186" i="63"/>
  <c r="CB138" i="63" s="1"/>
  <c r="CB177" i="63"/>
  <c r="CB134" i="63" s="1"/>
  <c r="CB136" i="63"/>
  <c r="CB167" i="63"/>
  <c r="CB135" i="63"/>
  <c r="CB62" i="63"/>
  <c r="CB63" i="63" s="1"/>
  <c r="CB60" i="63"/>
  <c r="CB61" i="63" s="1"/>
  <c r="CB64" i="63"/>
  <c r="CB65" i="63" s="1"/>
  <c r="CB2" i="63"/>
  <c r="CB58" i="63"/>
  <c r="CB59" i="63" s="1"/>
  <c r="CB54" i="63"/>
  <c r="CC55" i="63"/>
  <c r="CC176" i="63" s="1"/>
  <c r="CA68" i="63"/>
  <c r="CA84" i="63" s="1"/>
  <c r="BZ71" i="63"/>
  <c r="BZ79" i="63"/>
  <c r="BY72" i="63"/>
  <c r="BY73" i="63" s="1"/>
  <c r="CA77" i="63"/>
  <c r="CA78" i="63"/>
  <c r="CD1" i="63"/>
  <c r="CE53" i="63"/>
  <c r="CE173" i="63" s="1"/>
  <c r="BZ98" i="63"/>
  <c r="BV110" i="63" l="1"/>
  <c r="BW105" i="63"/>
  <c r="BW107" i="63" s="1"/>
  <c r="BW108" i="63" s="1"/>
  <c r="BU110" i="63"/>
  <c r="BY83" i="63"/>
  <c r="BY82" i="63"/>
  <c r="BX85" i="63"/>
  <c r="BX87" i="63" s="1"/>
  <c r="BX103" i="63" s="1"/>
  <c r="CA116" i="63"/>
  <c r="CB115" i="63"/>
  <c r="CB114" i="63"/>
  <c r="CB96" i="63"/>
  <c r="CB95" i="63"/>
  <c r="CB92" i="63"/>
  <c r="CB102" i="63"/>
  <c r="CB76" i="63" s="1"/>
  <c r="CB113" i="63"/>
  <c r="CB94" i="63"/>
  <c r="CB91" i="63"/>
  <c r="CB93" i="63"/>
  <c r="CB101" i="63"/>
  <c r="CB97" i="63"/>
  <c r="CB104" i="63"/>
  <c r="BY81" i="63"/>
  <c r="CB78" i="63"/>
  <c r="CB77" i="63"/>
  <c r="CA71" i="63"/>
  <c r="CB68" i="63"/>
  <c r="CB84" i="63" s="1"/>
  <c r="CC186" i="63"/>
  <c r="CC138" i="63" s="1"/>
  <c r="CC177" i="63"/>
  <c r="CC134" i="63" s="1"/>
  <c r="CC136" i="63"/>
  <c r="CC167" i="63"/>
  <c r="CC135" i="63"/>
  <c r="CC62" i="63"/>
  <c r="CC63" i="63" s="1"/>
  <c r="CC64" i="63"/>
  <c r="CC65" i="63" s="1"/>
  <c r="CC60" i="63"/>
  <c r="CC61" i="63" s="1"/>
  <c r="CC2" i="63"/>
  <c r="CC58" i="63"/>
  <c r="CC59" i="63" s="1"/>
  <c r="CC54" i="63"/>
  <c r="CD55" i="63"/>
  <c r="CD176" i="63" s="1"/>
  <c r="CA79" i="63"/>
  <c r="CE1" i="63"/>
  <c r="CF53" i="63"/>
  <c r="CF173" i="63" s="1"/>
  <c r="BZ72" i="63"/>
  <c r="BZ73" i="63" s="1"/>
  <c r="CA98" i="63"/>
  <c r="BW110" i="63" l="1"/>
  <c r="BX105" i="63"/>
  <c r="BX107" i="63" s="1"/>
  <c r="BX108" i="63" s="1"/>
  <c r="BZ83" i="63"/>
  <c r="BZ82" i="63"/>
  <c r="CB116" i="63"/>
  <c r="CB79" i="63"/>
  <c r="BY85" i="63"/>
  <c r="BY87" i="63" s="1"/>
  <c r="BY103" i="63" s="1"/>
  <c r="CC115" i="63"/>
  <c r="CC114" i="63"/>
  <c r="CC96" i="63"/>
  <c r="CC92" i="63"/>
  <c r="CC102" i="63"/>
  <c r="CC76" i="63" s="1"/>
  <c r="CC97" i="63"/>
  <c r="CC93" i="63"/>
  <c r="CC95" i="63"/>
  <c r="CC101" i="63"/>
  <c r="CC94" i="63"/>
  <c r="CC91" i="63"/>
  <c r="CC113" i="63"/>
  <c r="CC104" i="63"/>
  <c r="CC78" i="63"/>
  <c r="CC77" i="63"/>
  <c r="BZ81" i="63"/>
  <c r="CD186" i="63"/>
  <c r="CD138" i="63" s="1"/>
  <c r="CD177" i="63"/>
  <c r="CD134" i="63" s="1"/>
  <c r="CD167" i="63"/>
  <c r="CD135" i="63"/>
  <c r="CD136" i="63"/>
  <c r="CD60" i="63"/>
  <c r="CD61" i="63" s="1"/>
  <c r="CD64" i="63"/>
  <c r="CD65" i="63" s="1"/>
  <c r="CD58" i="63"/>
  <c r="CD59" i="63" s="1"/>
  <c r="CD54" i="63"/>
  <c r="CD62" i="63"/>
  <c r="CD63" i="63" s="1"/>
  <c r="CE55" i="63"/>
  <c r="CE176" i="63" s="1"/>
  <c r="CD2" i="63"/>
  <c r="CF1" i="63"/>
  <c r="CG53" i="63"/>
  <c r="CG173" i="63" s="1"/>
  <c r="CB71" i="63"/>
  <c r="CC68" i="63"/>
  <c r="CC84" i="63" s="1"/>
  <c r="CA72" i="63"/>
  <c r="CA73" i="63" s="1"/>
  <c r="CB98" i="63"/>
  <c r="BX110" i="63" l="1"/>
  <c r="BY105" i="63"/>
  <c r="BY107" i="63" s="1"/>
  <c r="BY108" i="63" s="1"/>
  <c r="CA83" i="63"/>
  <c r="CA82" i="63"/>
  <c r="BZ85" i="63"/>
  <c r="BZ87" i="63" s="1"/>
  <c r="BZ103" i="63" s="1"/>
  <c r="CC79" i="63"/>
  <c r="CC116" i="63"/>
  <c r="CC98" i="63"/>
  <c r="CD77" i="63"/>
  <c r="CD78" i="63"/>
  <c r="CD115" i="63"/>
  <c r="CD114" i="63"/>
  <c r="CD113" i="63"/>
  <c r="CD92" i="63"/>
  <c r="CD96" i="63"/>
  <c r="CD97" i="63"/>
  <c r="CD93" i="63"/>
  <c r="CD95" i="63"/>
  <c r="CD94" i="63"/>
  <c r="CD102" i="63"/>
  <c r="CD76" i="63" s="1"/>
  <c r="CD91" i="63"/>
  <c r="CD101" i="63"/>
  <c r="CD104" i="63"/>
  <c r="CA81" i="63"/>
  <c r="CH53" i="63"/>
  <c r="CH173" i="63" s="1"/>
  <c r="CG1" i="63"/>
  <c r="CE186" i="63"/>
  <c r="CE138" i="63" s="1"/>
  <c r="CE177" i="63"/>
  <c r="CE134" i="63" s="1"/>
  <c r="CE167" i="63"/>
  <c r="CE135" i="63"/>
  <c r="CE136" i="63"/>
  <c r="CE60" i="63"/>
  <c r="CE61" i="63" s="1"/>
  <c r="CE62" i="63"/>
  <c r="CE63" i="63" s="1"/>
  <c r="CF55" i="63"/>
  <c r="CF176" i="63" s="1"/>
  <c r="CE64" i="63"/>
  <c r="CE65" i="63" s="1"/>
  <c r="CE2" i="63"/>
  <c r="CE54" i="63"/>
  <c r="CE58" i="63"/>
  <c r="CE59" i="63" s="1"/>
  <c r="CC71" i="63"/>
  <c r="CD68" i="63"/>
  <c r="CD84" i="63" s="1"/>
  <c r="CB72" i="63"/>
  <c r="CB73" i="63" s="1"/>
  <c r="BY110" i="63" l="1"/>
  <c r="BZ105" i="63"/>
  <c r="BZ107" i="63" s="1"/>
  <c r="BZ108" i="63" s="1"/>
  <c r="CB83" i="63"/>
  <c r="CB82" i="63"/>
  <c r="CD79" i="63"/>
  <c r="CA85" i="63"/>
  <c r="CA87" i="63" s="1"/>
  <c r="CA103" i="63" s="1"/>
  <c r="CD98" i="63"/>
  <c r="CD116" i="63"/>
  <c r="CE78" i="63"/>
  <c r="CE77" i="63"/>
  <c r="CE115" i="63"/>
  <c r="CE114" i="63"/>
  <c r="CE113" i="63"/>
  <c r="CE92" i="63"/>
  <c r="CE95" i="63"/>
  <c r="CE102" i="63"/>
  <c r="CE76" i="63" s="1"/>
  <c r="CE97" i="63"/>
  <c r="CE93" i="63"/>
  <c r="CE96" i="63"/>
  <c r="CE91" i="63"/>
  <c r="CE101" i="63"/>
  <c r="CE94" i="63"/>
  <c r="CE104" i="63"/>
  <c r="CB81" i="63"/>
  <c r="CC72" i="63"/>
  <c r="CC73" i="63" s="1"/>
  <c r="CF186" i="63"/>
  <c r="CF138" i="63" s="1"/>
  <c r="CF177" i="63"/>
  <c r="CF134" i="63" s="1"/>
  <c r="CF167" i="63"/>
  <c r="CF136" i="63"/>
  <c r="CF135" i="63"/>
  <c r="CF60" i="63"/>
  <c r="CF61" i="63" s="1"/>
  <c r="CF64" i="63"/>
  <c r="CF65" i="63" s="1"/>
  <c r="CF62" i="63"/>
  <c r="CF63" i="63" s="1"/>
  <c r="CG55" i="63"/>
  <c r="CG176" i="63" s="1"/>
  <c r="CF54" i="63"/>
  <c r="CF2" i="63"/>
  <c r="CF58" i="63"/>
  <c r="CF59" i="63" s="1"/>
  <c r="CE68" i="63"/>
  <c r="CE84" i="63" s="1"/>
  <c r="CD71" i="63"/>
  <c r="CI53" i="63"/>
  <c r="CI173" i="63" s="1"/>
  <c r="CH1" i="63"/>
  <c r="BZ110" i="63" l="1"/>
  <c r="CA105" i="63"/>
  <c r="CA107" i="63" s="1"/>
  <c r="CA108" i="63" s="1"/>
  <c r="CE116" i="63"/>
  <c r="CC83" i="63"/>
  <c r="CC82" i="63"/>
  <c r="CF114" i="63"/>
  <c r="CF113" i="63"/>
  <c r="CF115" i="63"/>
  <c r="CF101" i="63"/>
  <c r="CF102" i="63"/>
  <c r="CF76" i="63" s="1"/>
  <c r="CF92" i="63"/>
  <c r="CF93" i="63"/>
  <c r="CF95" i="63"/>
  <c r="CF96" i="63"/>
  <c r="CF91" i="63"/>
  <c r="CF94" i="63"/>
  <c r="CF97" i="63"/>
  <c r="CF104" i="63"/>
  <c r="CC81" i="63"/>
  <c r="CF78" i="63"/>
  <c r="CF77" i="63"/>
  <c r="CI1" i="63"/>
  <c r="CJ53" i="63"/>
  <c r="CJ173" i="63" s="1"/>
  <c r="CG186" i="63"/>
  <c r="CG138" i="63" s="1"/>
  <c r="CG177" i="63"/>
  <c r="CG134" i="63" s="1"/>
  <c r="CG167" i="63"/>
  <c r="CG135" i="63"/>
  <c r="CG136" i="63"/>
  <c r="CG64" i="63"/>
  <c r="CG65" i="63" s="1"/>
  <c r="CG62" i="63"/>
  <c r="CG63" i="63" s="1"/>
  <c r="CH55" i="63"/>
  <c r="CH176" i="63" s="1"/>
  <c r="CG2" i="63"/>
  <c r="CG54" i="63"/>
  <c r="CG60" i="63"/>
  <c r="CG61" i="63" s="1"/>
  <c r="CG58" i="63"/>
  <c r="CG59" i="63" s="1"/>
  <c r="CB85" i="63"/>
  <c r="CB87" i="63" s="1"/>
  <c r="CE79" i="63"/>
  <c r="CD72" i="63"/>
  <c r="CD73" i="63" s="1"/>
  <c r="CE71" i="63"/>
  <c r="CF68" i="63"/>
  <c r="CF84" i="63" s="1"/>
  <c r="CE98" i="63"/>
  <c r="CA110" i="63" l="1"/>
  <c r="CD82" i="63"/>
  <c r="CD83" i="63"/>
  <c r="CC85" i="63"/>
  <c r="CC87" i="63" s="1"/>
  <c r="CC103" i="63" s="1"/>
  <c r="CG78" i="63"/>
  <c r="CG77" i="63"/>
  <c r="CG114" i="63"/>
  <c r="CG115" i="63"/>
  <c r="CG95" i="63"/>
  <c r="CG91" i="63"/>
  <c r="CG94" i="63"/>
  <c r="CG102" i="63"/>
  <c r="CG76" i="63" s="1"/>
  <c r="CG97" i="63"/>
  <c r="CG101" i="63"/>
  <c r="CG113" i="63"/>
  <c r="CG93" i="63"/>
  <c r="CG92" i="63"/>
  <c r="CG96" i="63"/>
  <c r="CG104" i="63"/>
  <c r="CF71" i="63"/>
  <c r="CG68" i="63"/>
  <c r="CG84" i="63" s="1"/>
  <c r="CB103" i="63"/>
  <c r="CJ1" i="63"/>
  <c r="CK53" i="63"/>
  <c r="CK173" i="63" s="1"/>
  <c r="CF79" i="63"/>
  <c r="CD81" i="63"/>
  <c r="CF98" i="63"/>
  <c r="CF116" i="63"/>
  <c r="CE72" i="63"/>
  <c r="CE73" i="63" s="1"/>
  <c r="CH186" i="63"/>
  <c r="CH138" i="63" s="1"/>
  <c r="CH177" i="63"/>
  <c r="CH134" i="63" s="1"/>
  <c r="CH136" i="63"/>
  <c r="CH135" i="63"/>
  <c r="CH167" i="63"/>
  <c r="CH64" i="63"/>
  <c r="CH65" i="63" s="1"/>
  <c r="CH62" i="63"/>
  <c r="CH63" i="63" s="1"/>
  <c r="CI55" i="63"/>
  <c r="CI176" i="63" s="1"/>
  <c r="CH2" i="63"/>
  <c r="CH58" i="63"/>
  <c r="CH59" i="63" s="1"/>
  <c r="CH54" i="63"/>
  <c r="CH60" i="63"/>
  <c r="CH61" i="63" s="1"/>
  <c r="CB105" i="63" l="1"/>
  <c r="CB107" i="63" s="1"/>
  <c r="CB108" i="63" s="1"/>
  <c r="CC105" i="63"/>
  <c r="CC107" i="63" s="1"/>
  <c r="CC108" i="63" s="1"/>
  <c r="CE82" i="63"/>
  <c r="CE83" i="63"/>
  <c r="CG79" i="63"/>
  <c r="CG116" i="63"/>
  <c r="CH78" i="63"/>
  <c r="CH77" i="63"/>
  <c r="CH114" i="63"/>
  <c r="CH115" i="63"/>
  <c r="CH92" i="63"/>
  <c r="CH101" i="63"/>
  <c r="CH96" i="63"/>
  <c r="CH95" i="63"/>
  <c r="CH94" i="63"/>
  <c r="CH91" i="63"/>
  <c r="CH113" i="63"/>
  <c r="CH102" i="63"/>
  <c r="CH76" i="63" s="1"/>
  <c r="CH97" i="63"/>
  <c r="CH93" i="63"/>
  <c r="CH104" i="63"/>
  <c r="CK1" i="63"/>
  <c r="CL53" i="63"/>
  <c r="CL173" i="63" s="1"/>
  <c r="CG71" i="63"/>
  <c r="CH68" i="63"/>
  <c r="CH84" i="63" s="1"/>
  <c r="CF72" i="63"/>
  <c r="CF73" i="63" s="1"/>
  <c r="CE81" i="63"/>
  <c r="CD85" i="63"/>
  <c r="CD87" i="63" s="1"/>
  <c r="CG98" i="63"/>
  <c r="CI186" i="63"/>
  <c r="CI138" i="63" s="1"/>
  <c r="CI177" i="63"/>
  <c r="CI134" i="63" s="1"/>
  <c r="CI136" i="63"/>
  <c r="CI167" i="63"/>
  <c r="CI135" i="63"/>
  <c r="CI62" i="63"/>
  <c r="CI63" i="63" s="1"/>
  <c r="CI2" i="63"/>
  <c r="CI58" i="63"/>
  <c r="CI59" i="63" s="1"/>
  <c r="CI54" i="63"/>
  <c r="CI60" i="63"/>
  <c r="CI61" i="63" s="1"/>
  <c r="CJ55" i="63"/>
  <c r="CJ176" i="63" s="1"/>
  <c r="CI64" i="63"/>
  <c r="CI65" i="63" s="1"/>
  <c r="CB110" i="63" l="1"/>
  <c r="CC110" i="63"/>
  <c r="CF82" i="63"/>
  <c r="CF83" i="63"/>
  <c r="CH79" i="63"/>
  <c r="CH116" i="63"/>
  <c r="CI115" i="63"/>
  <c r="CI114" i="63"/>
  <c r="CI102" i="63"/>
  <c r="CI76" i="63" s="1"/>
  <c r="CI96" i="63"/>
  <c r="CI97" i="63"/>
  <c r="CI93" i="63"/>
  <c r="CI92" i="63"/>
  <c r="CI94" i="63"/>
  <c r="CI91" i="63"/>
  <c r="CI95" i="63"/>
  <c r="CI113" i="63"/>
  <c r="CI101" i="63"/>
  <c r="CI104" i="63"/>
  <c r="CI77" i="63"/>
  <c r="CI78" i="63"/>
  <c r="CE85" i="63"/>
  <c r="CE87" i="63" s="1"/>
  <c r="CI68" i="63"/>
  <c r="CI84" i="63" s="1"/>
  <c r="CH71" i="63"/>
  <c r="CG72" i="63"/>
  <c r="CG73" i="63" s="1"/>
  <c r="CD103" i="63"/>
  <c r="CL1" i="63"/>
  <c r="CM53" i="63"/>
  <c r="CM173" i="63" s="1"/>
  <c r="CH98" i="63"/>
  <c r="CF81" i="63"/>
  <c r="CJ186" i="63"/>
  <c r="CJ138" i="63" s="1"/>
  <c r="CJ177" i="63"/>
  <c r="CJ134" i="63" s="1"/>
  <c r="CJ136" i="63"/>
  <c r="CJ167" i="63"/>
  <c r="CJ135" i="63"/>
  <c r="CJ62" i="63"/>
  <c r="CJ63" i="63" s="1"/>
  <c r="CJ60" i="63"/>
  <c r="CJ61" i="63" s="1"/>
  <c r="CJ2" i="63"/>
  <c r="CJ58" i="63"/>
  <c r="CJ59" i="63" s="1"/>
  <c r="CJ54" i="63"/>
  <c r="CK55" i="63"/>
  <c r="CK176" i="63" s="1"/>
  <c r="CJ64" i="63"/>
  <c r="CJ65" i="63" s="1"/>
  <c r="CD105" i="63" l="1"/>
  <c r="CD107" i="63" s="1"/>
  <c r="CD108" i="63" s="1"/>
  <c r="CG82" i="63"/>
  <c r="CG83" i="63"/>
  <c r="CI116" i="63"/>
  <c r="CJ78" i="63"/>
  <c r="CJ77" i="63"/>
  <c r="CE103" i="63"/>
  <c r="CM1" i="63"/>
  <c r="CN53" i="63"/>
  <c r="CN173" i="63" s="1"/>
  <c r="CH72" i="63"/>
  <c r="CH73" i="63" s="1"/>
  <c r="CF85" i="63"/>
  <c r="CF87" i="63" s="1"/>
  <c r="CJ115" i="63"/>
  <c r="CJ114" i="63"/>
  <c r="CJ102" i="63"/>
  <c r="CJ76" i="63" s="1"/>
  <c r="CJ96" i="63"/>
  <c r="CJ101" i="63"/>
  <c r="CJ92" i="63"/>
  <c r="CJ94" i="63"/>
  <c r="CJ113" i="63"/>
  <c r="CJ97" i="63"/>
  <c r="CJ91" i="63"/>
  <c r="CJ95" i="63"/>
  <c r="CJ93" i="63"/>
  <c r="CJ104" i="63"/>
  <c r="CI71" i="63"/>
  <c r="CJ68" i="63"/>
  <c r="CJ84" i="63" s="1"/>
  <c r="CI79" i="63"/>
  <c r="CG81" i="63"/>
  <c r="CI98" i="63"/>
  <c r="CK186" i="63"/>
  <c r="CK138" i="63" s="1"/>
  <c r="CK177" i="63"/>
  <c r="CK134" i="63" s="1"/>
  <c r="CK136" i="63"/>
  <c r="CK167" i="63"/>
  <c r="CK135" i="63"/>
  <c r="CK62" i="63"/>
  <c r="CK63" i="63" s="1"/>
  <c r="CK64" i="63"/>
  <c r="CK65" i="63" s="1"/>
  <c r="CK2" i="63"/>
  <c r="CK58" i="63"/>
  <c r="CK59" i="63" s="1"/>
  <c r="CK54" i="63"/>
  <c r="CK60" i="63"/>
  <c r="CK61" i="63" s="1"/>
  <c r="CL55" i="63"/>
  <c r="CL176" i="63" s="1"/>
  <c r="CD110" i="63" l="1"/>
  <c r="CE105" i="63"/>
  <c r="CE107" i="63" s="1"/>
  <c r="CE108" i="63" s="1"/>
  <c r="CH83" i="63"/>
  <c r="CH82" i="63"/>
  <c r="CJ79" i="63"/>
  <c r="CG85" i="63"/>
  <c r="CG87" i="63" s="1"/>
  <c r="CG103" i="63" s="1"/>
  <c r="CJ98" i="63"/>
  <c r="CK115" i="63"/>
  <c r="CK114" i="63"/>
  <c r="CK102" i="63"/>
  <c r="CK76" i="63" s="1"/>
  <c r="CK93" i="63"/>
  <c r="CK96" i="63"/>
  <c r="CK95" i="63"/>
  <c r="CK92" i="63"/>
  <c r="CK101" i="63"/>
  <c r="CK97" i="63"/>
  <c r="CK94" i="63"/>
  <c r="CK113" i="63"/>
  <c r="CK91" i="63"/>
  <c r="CK104" i="63"/>
  <c r="CK77" i="63"/>
  <c r="CK78" i="63"/>
  <c r="CI72" i="63"/>
  <c r="CI73" i="63" s="1"/>
  <c r="CJ116" i="63"/>
  <c r="CN1" i="63"/>
  <c r="CO53" i="63"/>
  <c r="CO173" i="63" s="1"/>
  <c r="CF103" i="63"/>
  <c r="CH81" i="63"/>
  <c r="CJ71" i="63"/>
  <c r="CK68" i="63"/>
  <c r="CK84" i="63" s="1"/>
  <c r="CL186" i="63"/>
  <c r="CL138" i="63" s="1"/>
  <c r="CL177" i="63"/>
  <c r="CL134" i="63" s="1"/>
  <c r="CL167" i="63"/>
  <c r="CL135" i="63"/>
  <c r="CL136" i="63"/>
  <c r="CL60" i="63"/>
  <c r="CL61" i="63" s="1"/>
  <c r="CL64" i="63"/>
  <c r="CL65" i="63" s="1"/>
  <c r="CL58" i="63"/>
  <c r="CL59" i="63" s="1"/>
  <c r="CL54" i="63"/>
  <c r="CM55" i="63"/>
  <c r="CM176" i="63" s="1"/>
  <c r="CL62" i="63"/>
  <c r="CL63" i="63" s="1"/>
  <c r="CL2" i="63"/>
  <c r="CE110" i="63" l="1"/>
  <c r="CF105" i="63"/>
  <c r="CF107" i="63" s="1"/>
  <c r="CF108" i="63" s="1"/>
  <c r="CG105" i="63"/>
  <c r="CG107" i="63" s="1"/>
  <c r="CG108" i="63" s="1"/>
  <c r="CK116" i="63"/>
  <c r="CI83" i="63"/>
  <c r="CI82" i="63"/>
  <c r="CL77" i="63"/>
  <c r="CL78" i="63"/>
  <c r="CL115" i="63"/>
  <c r="CL114" i="63"/>
  <c r="CL113" i="63"/>
  <c r="CL96" i="63"/>
  <c r="CL92" i="63"/>
  <c r="CL97" i="63"/>
  <c r="CL93" i="63"/>
  <c r="CL91" i="63"/>
  <c r="CL101" i="63"/>
  <c r="CL102" i="63"/>
  <c r="CL76" i="63" s="1"/>
  <c r="CL95" i="63"/>
  <c r="CL94" i="63"/>
  <c r="CL104" i="63"/>
  <c r="CP53" i="63"/>
  <c r="CP173" i="63" s="1"/>
  <c r="CO1" i="63"/>
  <c r="CI81" i="63"/>
  <c r="CH85" i="63"/>
  <c r="CH87" i="63" s="1"/>
  <c r="CG110" i="63"/>
  <c r="CK98" i="63"/>
  <c r="CM186" i="63"/>
  <c r="CM138" i="63" s="1"/>
  <c r="CM177" i="63"/>
  <c r="CM134" i="63" s="1"/>
  <c r="CM167" i="63"/>
  <c r="CM135" i="63"/>
  <c r="CM136" i="63"/>
  <c r="CM60" i="63"/>
  <c r="CM61" i="63" s="1"/>
  <c r="CN55" i="63"/>
  <c r="CN176" i="63" s="1"/>
  <c r="CM64" i="63"/>
  <c r="CM65" i="63" s="1"/>
  <c r="CM54" i="63"/>
  <c r="CM2" i="63"/>
  <c r="CM58" i="63"/>
  <c r="CM59" i="63" s="1"/>
  <c r="CM62" i="63"/>
  <c r="CM63" i="63" s="1"/>
  <c r="CJ72" i="63"/>
  <c r="CJ73" i="63" s="1"/>
  <c r="CK79" i="63"/>
  <c r="CK71" i="63"/>
  <c r="CL68" i="63"/>
  <c r="CL84" i="63" s="1"/>
  <c r="CF110" i="63" l="1"/>
  <c r="CJ83" i="63"/>
  <c r="CJ82" i="63"/>
  <c r="CI85" i="63"/>
  <c r="CI87" i="63" s="1"/>
  <c r="CI103" i="63" s="1"/>
  <c r="CL98" i="63"/>
  <c r="CJ81" i="63"/>
  <c r="CM115" i="63"/>
  <c r="CM114" i="63"/>
  <c r="CM113" i="63"/>
  <c r="CM92" i="63"/>
  <c r="CM102" i="63"/>
  <c r="CM96" i="63"/>
  <c r="CM93" i="63"/>
  <c r="CM97" i="63"/>
  <c r="CM91" i="63"/>
  <c r="CM101" i="63"/>
  <c r="CM95" i="63"/>
  <c r="CM94" i="63"/>
  <c r="CM104" i="63"/>
  <c r="CM78" i="63"/>
  <c r="CM77" i="63"/>
  <c r="CN186" i="63"/>
  <c r="CN138" i="63" s="1"/>
  <c r="CN177" i="63"/>
  <c r="CN134" i="63" s="1"/>
  <c r="CN167" i="63"/>
  <c r="CN135" i="63"/>
  <c r="CN136" i="63"/>
  <c r="CN60" i="63"/>
  <c r="CN61" i="63" s="1"/>
  <c r="CN64" i="63"/>
  <c r="CN65" i="63" s="1"/>
  <c r="CN62" i="63"/>
  <c r="CN63" i="63" s="1"/>
  <c r="CO55" i="63"/>
  <c r="CO176" i="63" s="1"/>
  <c r="CN54" i="63"/>
  <c r="CN2" i="63"/>
  <c r="CN58" i="63"/>
  <c r="CN59" i="63" s="1"/>
  <c r="CH103" i="63"/>
  <c r="CM68" i="63"/>
  <c r="CM84" i="63" s="1"/>
  <c r="CL71" i="63"/>
  <c r="CK72" i="63"/>
  <c r="CK73" i="63" s="1"/>
  <c r="CQ53" i="63"/>
  <c r="CQ173" i="63" s="1"/>
  <c r="CP1" i="63"/>
  <c r="CL79" i="63"/>
  <c r="CL116" i="63"/>
  <c r="CH105" i="63" l="1"/>
  <c r="CH107" i="63" s="1"/>
  <c r="CH108" i="63" s="1"/>
  <c r="CI105" i="63"/>
  <c r="CI107" i="63" s="1"/>
  <c r="CI108" i="63" s="1"/>
  <c r="CK83" i="63"/>
  <c r="CK82" i="63"/>
  <c r="CN114" i="63"/>
  <c r="CN115" i="63"/>
  <c r="CN102" i="63"/>
  <c r="CN76" i="63" s="1"/>
  <c r="CN96" i="63"/>
  <c r="CN113" i="63"/>
  <c r="CN95" i="63"/>
  <c r="CN94" i="63"/>
  <c r="CN92" i="63"/>
  <c r="CN101" i="63"/>
  <c r="CN93" i="63"/>
  <c r="CN91" i="63"/>
  <c r="CN97" i="63"/>
  <c r="CN104" i="63"/>
  <c r="CR53" i="63"/>
  <c r="CR173" i="63" s="1"/>
  <c r="CQ1" i="63"/>
  <c r="CK81" i="63"/>
  <c r="CM76" i="63"/>
  <c r="CN78" i="63"/>
  <c r="CN77" i="63"/>
  <c r="CJ85" i="63"/>
  <c r="CJ87" i="63" s="1"/>
  <c r="CL72" i="63"/>
  <c r="CL73" i="63" s="1"/>
  <c r="CM116" i="63"/>
  <c r="CN68" i="63"/>
  <c r="CN84" i="63" s="1"/>
  <c r="CM71" i="63"/>
  <c r="CO186" i="63"/>
  <c r="CO138" i="63" s="1"/>
  <c r="CO177" i="63"/>
  <c r="CO134" i="63" s="1"/>
  <c r="CO167" i="63"/>
  <c r="CO135" i="63"/>
  <c r="CO136" i="63"/>
  <c r="CO64" i="63"/>
  <c r="CO65" i="63" s="1"/>
  <c r="CO62" i="63"/>
  <c r="CO63" i="63" s="1"/>
  <c r="CP55" i="63"/>
  <c r="CP176" i="63" s="1"/>
  <c r="CO60" i="63"/>
  <c r="CO61" i="63" s="1"/>
  <c r="CO2" i="63"/>
  <c r="CO58" i="63"/>
  <c r="CO59" i="63" s="1"/>
  <c r="CO54" i="63"/>
  <c r="CM98" i="63"/>
  <c r="CI110" i="63" l="1"/>
  <c r="CH110" i="63"/>
  <c r="CL83" i="63"/>
  <c r="CL82" i="63"/>
  <c r="CK85" i="63"/>
  <c r="CK87" i="63" s="1"/>
  <c r="CK103" i="63" s="1"/>
  <c r="CN116" i="63"/>
  <c r="CO114" i="63"/>
  <c r="CO115" i="63"/>
  <c r="CO95" i="63"/>
  <c r="CO97" i="63"/>
  <c r="CO94" i="63"/>
  <c r="CO91" i="63"/>
  <c r="CO102" i="63"/>
  <c r="CO96" i="63"/>
  <c r="CO92" i="63"/>
  <c r="CO101" i="63"/>
  <c r="CO113" i="63"/>
  <c r="CO93" i="63"/>
  <c r="CO104" i="63"/>
  <c r="CO77" i="63"/>
  <c r="CO78" i="63"/>
  <c r="CL81" i="63"/>
  <c r="CR1" i="63"/>
  <c r="CS53" i="63"/>
  <c r="CS173" i="63" s="1"/>
  <c r="CM79" i="63"/>
  <c r="CN98" i="63"/>
  <c r="CJ103" i="63"/>
  <c r="CP177" i="63"/>
  <c r="CP134" i="63" s="1"/>
  <c r="CP186" i="63"/>
  <c r="CP138" i="63" s="1"/>
  <c r="CP136" i="63"/>
  <c r="CP135" i="63"/>
  <c r="CP167" i="63"/>
  <c r="CP64" i="63"/>
  <c r="CP65" i="63" s="1"/>
  <c r="CQ55" i="63"/>
  <c r="CQ176" i="63" s="1"/>
  <c r="CP60" i="63"/>
  <c r="CP61" i="63" s="1"/>
  <c r="CP2" i="63"/>
  <c r="CP58" i="63"/>
  <c r="CP59" i="63" s="1"/>
  <c r="CP54" i="63"/>
  <c r="CP62" i="63"/>
  <c r="CP63" i="63" s="1"/>
  <c r="CM72" i="63"/>
  <c r="CN79" i="63"/>
  <c r="CN71" i="63"/>
  <c r="CO68" i="63"/>
  <c r="CO84" i="63" s="1"/>
  <c r="CJ105" i="63" l="1"/>
  <c r="CJ107" i="63" s="1"/>
  <c r="CJ108" i="63" s="1"/>
  <c r="CK105" i="63"/>
  <c r="CK107" i="63" s="1"/>
  <c r="CK108" i="63" s="1"/>
  <c r="CO116" i="63"/>
  <c r="CP78" i="63"/>
  <c r="CP77" i="63"/>
  <c r="CP114" i="63"/>
  <c r="CP115" i="63"/>
  <c r="CP96" i="63"/>
  <c r="CP95" i="63"/>
  <c r="CP92" i="63"/>
  <c r="CP97" i="63"/>
  <c r="CP91" i="63"/>
  <c r="CP102" i="63"/>
  <c r="CP76" i="63" s="1"/>
  <c r="CP101" i="63"/>
  <c r="CP94" i="63"/>
  <c r="CP113" i="63"/>
  <c r="CP93" i="63"/>
  <c r="CP104" i="63"/>
  <c r="CQ186" i="63"/>
  <c r="CQ138" i="63" s="1"/>
  <c r="CQ177" i="63"/>
  <c r="CQ134" i="63" s="1"/>
  <c r="CQ136" i="63"/>
  <c r="CQ135" i="63"/>
  <c r="CQ167" i="63"/>
  <c r="CQ62" i="63"/>
  <c r="CQ63" i="63" s="1"/>
  <c r="CQ60" i="63"/>
  <c r="CQ61" i="63" s="1"/>
  <c r="CQ2" i="63"/>
  <c r="CQ64" i="63"/>
  <c r="CQ65" i="63" s="1"/>
  <c r="CQ58" i="63"/>
  <c r="CQ59" i="63" s="1"/>
  <c r="CQ54" i="63"/>
  <c r="CR55" i="63"/>
  <c r="CR176" i="63" s="1"/>
  <c r="CO76" i="63"/>
  <c r="CJ110" i="63"/>
  <c r="CO98" i="63"/>
  <c r="CS1" i="63"/>
  <c r="CT53" i="63"/>
  <c r="CT173" i="63" s="1"/>
  <c r="CO71" i="63"/>
  <c r="CP68" i="63"/>
  <c r="CP84" i="63" s="1"/>
  <c r="CN72" i="63"/>
  <c r="CL85" i="63"/>
  <c r="CL87" i="63" s="1"/>
  <c r="CM73" i="63"/>
  <c r="CK110" i="63" l="1"/>
  <c r="CM82" i="63"/>
  <c r="CM83" i="63"/>
  <c r="CP79" i="63"/>
  <c r="CQ78" i="63"/>
  <c r="CQ77" i="63"/>
  <c r="CQ115" i="63"/>
  <c r="CQ96" i="63"/>
  <c r="CQ95" i="63"/>
  <c r="CQ114" i="63"/>
  <c r="CQ92" i="63"/>
  <c r="CQ102" i="63"/>
  <c r="CQ76" i="63" s="1"/>
  <c r="CQ93" i="63"/>
  <c r="CQ91" i="63"/>
  <c r="CQ113" i="63"/>
  <c r="CQ94" i="63"/>
  <c r="CQ97" i="63"/>
  <c r="CQ101" i="63"/>
  <c r="CQ104" i="63"/>
  <c r="CN73" i="63"/>
  <c r="CT1" i="63"/>
  <c r="CU53" i="63"/>
  <c r="CU173" i="63" s="1"/>
  <c r="CR186" i="63"/>
  <c r="CR138" i="63" s="1"/>
  <c r="CR177" i="63"/>
  <c r="CR134" i="63" s="1"/>
  <c r="CR136" i="63"/>
  <c r="CR167" i="63"/>
  <c r="CR135" i="63"/>
  <c r="CR62" i="63"/>
  <c r="CR63" i="63" s="1"/>
  <c r="CR60" i="63"/>
  <c r="CR61" i="63" s="1"/>
  <c r="CR2" i="63"/>
  <c r="CR64" i="63"/>
  <c r="CR65" i="63" s="1"/>
  <c r="CR58" i="63"/>
  <c r="CR59" i="63" s="1"/>
  <c r="CR54" i="63"/>
  <c r="CS55" i="63"/>
  <c r="CS176" i="63" s="1"/>
  <c r="CP98" i="63"/>
  <c r="CL103" i="63"/>
  <c r="CM81" i="63"/>
  <c r="CQ68" i="63"/>
  <c r="CQ84" i="63" s="1"/>
  <c r="CP71" i="63"/>
  <c r="CP116" i="63"/>
  <c r="CO72" i="63"/>
  <c r="CO73" i="63" s="1"/>
  <c r="CO79" i="63"/>
  <c r="CL105" i="63" l="1"/>
  <c r="CL107" i="63" s="1"/>
  <c r="CL108" i="63" s="1"/>
  <c r="CO82" i="63"/>
  <c r="CO83" i="63"/>
  <c r="CN83" i="63"/>
  <c r="CN82" i="63"/>
  <c r="CR78" i="63"/>
  <c r="CR77" i="63"/>
  <c r="CR115" i="63"/>
  <c r="CR101" i="63"/>
  <c r="CR96" i="63"/>
  <c r="CR114" i="63"/>
  <c r="CR92" i="63"/>
  <c r="CR102" i="63"/>
  <c r="CR94" i="63"/>
  <c r="CR93" i="63"/>
  <c r="CR113" i="63"/>
  <c r="CR95" i="63"/>
  <c r="CR97" i="63"/>
  <c r="CR91" i="63"/>
  <c r="CR104" i="63"/>
  <c r="CQ71" i="63"/>
  <c r="CR68" i="63"/>
  <c r="CR84" i="63" s="1"/>
  <c r="CS186" i="63"/>
  <c r="CS138" i="63" s="1"/>
  <c r="CS177" i="63"/>
  <c r="CS134" i="63" s="1"/>
  <c r="CS136" i="63"/>
  <c r="CS167" i="63"/>
  <c r="CS135" i="63"/>
  <c r="CS62" i="63"/>
  <c r="CS63" i="63" s="1"/>
  <c r="CS64" i="63"/>
  <c r="CS65" i="63" s="1"/>
  <c r="CS60" i="63"/>
  <c r="CS61" i="63" s="1"/>
  <c r="CS2" i="63"/>
  <c r="CS58" i="63"/>
  <c r="CS59" i="63" s="1"/>
  <c r="CS54" i="63"/>
  <c r="CT55" i="63"/>
  <c r="CT176" i="63" s="1"/>
  <c r="CN81" i="63"/>
  <c r="CQ116" i="63"/>
  <c r="CQ98" i="63"/>
  <c r="CM85" i="63"/>
  <c r="CM87" i="63" s="1"/>
  <c r="CO81" i="63"/>
  <c r="CL110" i="63"/>
  <c r="CP72" i="63"/>
  <c r="CP73" i="63" s="1"/>
  <c r="CU1" i="63"/>
  <c r="CV53" i="63"/>
  <c r="CV173" i="63" s="1"/>
  <c r="CQ79" i="63"/>
  <c r="CR116" i="63" l="1"/>
  <c r="CP83" i="63"/>
  <c r="CP82" i="63"/>
  <c r="CS115" i="63"/>
  <c r="CS96" i="63"/>
  <c r="CS102" i="63"/>
  <c r="CS76" i="63" s="1"/>
  <c r="CS92" i="63"/>
  <c r="CS114" i="63"/>
  <c r="CS93" i="63"/>
  <c r="CS101" i="63"/>
  <c r="CS94" i="63"/>
  <c r="CS113" i="63"/>
  <c r="CS91" i="63"/>
  <c r="CS97" i="63"/>
  <c r="CS95" i="63"/>
  <c r="CS104" i="63"/>
  <c r="CP81" i="63"/>
  <c r="CS78" i="63"/>
  <c r="CS77" i="63"/>
  <c r="CO85" i="63"/>
  <c r="CO87" i="63" s="1"/>
  <c r="CM103" i="63"/>
  <c r="CR71" i="63"/>
  <c r="CS68" i="63"/>
  <c r="CS84" i="63" s="1"/>
  <c r="CR76" i="63"/>
  <c r="CQ72" i="63"/>
  <c r="CQ73" i="63" s="1"/>
  <c r="CN85" i="63"/>
  <c r="CN87" i="63" s="1"/>
  <c r="CR98" i="63"/>
  <c r="CV1" i="63"/>
  <c r="CW53" i="63"/>
  <c r="CW173" i="63" s="1"/>
  <c r="CT186" i="63"/>
  <c r="CT138" i="63" s="1"/>
  <c r="CT177" i="63"/>
  <c r="CT134" i="63" s="1"/>
  <c r="CT167" i="63"/>
  <c r="CT136" i="63"/>
  <c r="CT135" i="63"/>
  <c r="CT60" i="63"/>
  <c r="CT61" i="63" s="1"/>
  <c r="CT64" i="63"/>
  <c r="CT65" i="63" s="1"/>
  <c r="CT58" i="63"/>
  <c r="CT59" i="63" s="1"/>
  <c r="CT54" i="63"/>
  <c r="CT62" i="63"/>
  <c r="CT63" i="63" s="1"/>
  <c r="CU55" i="63"/>
  <c r="CU176" i="63" s="1"/>
  <c r="CT2" i="63"/>
  <c r="CQ83" i="63" l="1"/>
  <c r="CQ82" i="63"/>
  <c r="CS116" i="63"/>
  <c r="CQ81" i="63"/>
  <c r="CT115" i="63"/>
  <c r="CT114" i="63"/>
  <c r="CT92" i="63"/>
  <c r="CT113" i="63"/>
  <c r="CT93" i="63"/>
  <c r="CT97" i="63"/>
  <c r="CT96" i="63"/>
  <c r="CT94" i="63"/>
  <c r="CT91" i="63"/>
  <c r="CT102" i="63"/>
  <c r="CT76" i="63" s="1"/>
  <c r="CT95" i="63"/>
  <c r="CT101" i="63"/>
  <c r="CT104" i="63"/>
  <c r="CM105" i="63"/>
  <c r="CM107" i="63" s="1"/>
  <c r="CR79" i="63"/>
  <c r="CX53" i="63"/>
  <c r="CX173" i="63" s="1"/>
  <c r="CW1" i="63"/>
  <c r="CU186" i="63"/>
  <c r="CU138" i="63" s="1"/>
  <c r="CU177" i="63"/>
  <c r="CU134" i="63" s="1"/>
  <c r="CU167" i="63"/>
  <c r="CU135" i="63"/>
  <c r="CU136" i="63"/>
  <c r="CU60" i="63"/>
  <c r="CU61" i="63" s="1"/>
  <c r="CU64" i="63"/>
  <c r="CU65" i="63" s="1"/>
  <c r="CU62" i="63"/>
  <c r="CU63" i="63" s="1"/>
  <c r="CV55" i="63"/>
  <c r="CV176" i="63" s="1"/>
  <c r="CU58" i="63"/>
  <c r="CU59" i="63" s="1"/>
  <c r="CU54" i="63"/>
  <c r="CU2" i="63"/>
  <c r="CN103" i="63"/>
  <c r="CO103" i="63"/>
  <c r="CP85" i="63"/>
  <c r="CP87" i="63" s="1"/>
  <c r="CS98" i="63"/>
  <c r="CS79" i="63"/>
  <c r="CS71" i="63"/>
  <c r="CT68" i="63"/>
  <c r="CT84" i="63" s="1"/>
  <c r="CR72" i="63"/>
  <c r="CR73" i="63" s="1"/>
  <c r="CT78" i="63"/>
  <c r="CT77" i="63"/>
  <c r="CN105" i="63" l="1"/>
  <c r="CN107" i="63" s="1"/>
  <c r="CN108" i="63" s="1"/>
  <c r="CO105" i="63"/>
  <c r="CO107" i="63" s="1"/>
  <c r="CO108" i="63" s="1"/>
  <c r="CT116" i="63"/>
  <c r="CR83" i="63"/>
  <c r="CR82" i="63"/>
  <c r="CT79" i="63"/>
  <c r="CR81" i="63"/>
  <c r="CU115" i="63"/>
  <c r="CU114" i="63"/>
  <c r="CU96" i="63"/>
  <c r="CU102" i="63"/>
  <c r="CU76" i="63" s="1"/>
  <c r="CU92" i="63"/>
  <c r="CU113" i="63"/>
  <c r="CU93" i="63"/>
  <c r="CU95" i="63"/>
  <c r="CU91" i="63"/>
  <c r="CU94" i="63"/>
  <c r="CU97" i="63"/>
  <c r="CU101" i="63"/>
  <c r="CU104" i="63"/>
  <c r="CU78" i="63"/>
  <c r="CU77" i="63"/>
  <c r="CT98" i="63"/>
  <c r="CU68" i="63"/>
  <c r="CU84" i="63" s="1"/>
  <c r="CT71" i="63"/>
  <c r="CP103" i="63"/>
  <c r="CM108" i="63"/>
  <c r="CM110" i="63"/>
  <c r="CV177" i="63"/>
  <c r="CV134" i="63" s="1"/>
  <c r="CV186" i="63"/>
  <c r="CV138" i="63" s="1"/>
  <c r="CV167" i="63"/>
  <c r="CV135" i="63"/>
  <c r="CV136" i="63"/>
  <c r="CV60" i="63"/>
  <c r="CV61" i="63" s="1"/>
  <c r="CV64" i="63"/>
  <c r="CV65" i="63" s="1"/>
  <c r="CV62" i="63"/>
  <c r="CV63" i="63" s="1"/>
  <c r="CW55" i="63"/>
  <c r="CW176" i="63" s="1"/>
  <c r="CV58" i="63"/>
  <c r="CV59" i="63" s="1"/>
  <c r="CV2" i="63"/>
  <c r="CV54" i="63"/>
  <c r="CS72" i="63"/>
  <c r="CS73" i="63" s="1"/>
  <c r="CQ85" i="63"/>
  <c r="CQ87" i="63" s="1"/>
  <c r="CY53" i="63"/>
  <c r="CY173" i="63" s="1"/>
  <c r="CX1" i="63"/>
  <c r="CN110" i="63" l="1"/>
  <c r="CO110" i="63"/>
  <c r="CP105" i="63"/>
  <c r="CP107" i="63" s="1"/>
  <c r="CP108" i="63" s="1"/>
  <c r="CU79" i="63"/>
  <c r="CS83" i="63"/>
  <c r="CS82" i="63"/>
  <c r="CR85" i="63"/>
  <c r="CR87" i="63" s="1"/>
  <c r="CR103" i="63" s="1"/>
  <c r="CU116" i="63"/>
  <c r="CV114" i="63"/>
  <c r="CV113" i="63"/>
  <c r="CV102" i="63"/>
  <c r="CV76" i="63" s="1"/>
  <c r="CV115" i="63"/>
  <c r="CV93" i="63"/>
  <c r="CV101" i="63"/>
  <c r="CV92" i="63"/>
  <c r="CV94" i="63"/>
  <c r="CV96" i="63"/>
  <c r="CV91" i="63"/>
  <c r="CV97" i="63"/>
  <c r="CV95" i="63"/>
  <c r="CV104" i="63"/>
  <c r="CV78" i="63"/>
  <c r="CV77" i="63"/>
  <c r="CU98" i="63"/>
  <c r="CQ103" i="63"/>
  <c r="CZ53" i="63"/>
  <c r="CZ173" i="63" s="1"/>
  <c r="CY1" i="63"/>
  <c r="CW186" i="63"/>
  <c r="CW138" i="63" s="1"/>
  <c r="CW177" i="63"/>
  <c r="CW134" i="63" s="1"/>
  <c r="CW167" i="63"/>
  <c r="CW135" i="63"/>
  <c r="CW136" i="63"/>
  <c r="CW64" i="63"/>
  <c r="CW65" i="63" s="1"/>
  <c r="CW62" i="63"/>
  <c r="CW63" i="63" s="1"/>
  <c r="CX55" i="63"/>
  <c r="CX176" i="63" s="1"/>
  <c r="CW2" i="63"/>
  <c r="CW60" i="63"/>
  <c r="CW61" i="63" s="1"/>
  <c r="CW58" i="63"/>
  <c r="CW59" i="63" s="1"/>
  <c r="CW54" i="63"/>
  <c r="CT72" i="63"/>
  <c r="CT73" i="63" s="1"/>
  <c r="CS81" i="63"/>
  <c r="CV68" i="63"/>
  <c r="CV84" i="63" s="1"/>
  <c r="CU71" i="63"/>
  <c r="CP110" i="63" l="1"/>
  <c r="CR105" i="63"/>
  <c r="CR107" i="63" s="1"/>
  <c r="CR108" i="63" s="1"/>
  <c r="CT82" i="63"/>
  <c r="CT83" i="63"/>
  <c r="CT81" i="63"/>
  <c r="CW114" i="63"/>
  <c r="CW115" i="63"/>
  <c r="CW97" i="63"/>
  <c r="CW101" i="63"/>
  <c r="CW94" i="63"/>
  <c r="CW95" i="63"/>
  <c r="CW96" i="63"/>
  <c r="CW102" i="63"/>
  <c r="CW76" i="63" s="1"/>
  <c r="CW93" i="63"/>
  <c r="CW91" i="63"/>
  <c r="CW113" i="63"/>
  <c r="CW92" i="63"/>
  <c r="CW104" i="63"/>
  <c r="CV71" i="63"/>
  <c r="CW68" i="63"/>
  <c r="CW84" i="63" s="1"/>
  <c r="CS85" i="63"/>
  <c r="CS87" i="63" s="1"/>
  <c r="CQ105" i="63"/>
  <c r="CQ107" i="63" s="1"/>
  <c r="CW77" i="63"/>
  <c r="CW78" i="63"/>
  <c r="CZ1" i="63"/>
  <c r="DA53" i="63"/>
  <c r="DA173" i="63" s="1"/>
  <c r="CV98" i="63"/>
  <c r="CV79" i="63"/>
  <c r="CV116" i="63"/>
  <c r="CU72" i="63"/>
  <c r="CU73" i="63" s="1"/>
  <c r="CX177" i="63"/>
  <c r="CX134" i="63" s="1"/>
  <c r="CX136" i="63"/>
  <c r="CX167" i="63"/>
  <c r="CX135" i="63"/>
  <c r="CX64" i="63"/>
  <c r="CX65" i="63" s="1"/>
  <c r="CY55" i="63"/>
  <c r="CY176" i="63" s="1"/>
  <c r="CX62" i="63"/>
  <c r="CX63" i="63" s="1"/>
  <c r="CX2" i="63"/>
  <c r="CX58" i="63"/>
  <c r="CX59" i="63" s="1"/>
  <c r="CX54" i="63"/>
  <c r="CX60" i="63"/>
  <c r="CX61" i="63" s="1"/>
  <c r="CR110" i="63" l="1"/>
  <c r="CU82" i="63"/>
  <c r="CU83" i="63"/>
  <c r="CW79" i="63"/>
  <c r="CU81" i="63"/>
  <c r="CX77" i="63"/>
  <c r="CX78" i="63"/>
  <c r="CX114" i="63"/>
  <c r="CX115" i="63"/>
  <c r="CX97" i="63"/>
  <c r="CX101" i="63"/>
  <c r="CX95" i="63"/>
  <c r="CX92" i="63"/>
  <c r="CX96" i="63"/>
  <c r="CX91" i="63"/>
  <c r="CX102" i="63"/>
  <c r="CX93" i="63"/>
  <c r="CX94" i="63"/>
  <c r="CX113" i="63"/>
  <c r="CX104" i="63"/>
  <c r="DA1" i="63"/>
  <c r="DB53" i="63"/>
  <c r="DB173" i="63" s="1"/>
  <c r="CS103" i="63"/>
  <c r="CT85" i="63"/>
  <c r="CT87" i="63" s="1"/>
  <c r="CV72" i="63"/>
  <c r="CV73" i="63" s="1"/>
  <c r="CY177" i="63"/>
  <c r="CY134" i="63" s="1"/>
  <c r="CY136" i="63"/>
  <c r="CY167" i="63"/>
  <c r="CY135" i="63"/>
  <c r="CY62" i="63"/>
  <c r="CY63" i="63" s="1"/>
  <c r="CY64" i="63"/>
  <c r="CY65" i="63" s="1"/>
  <c r="CY2" i="63"/>
  <c r="CY58" i="63"/>
  <c r="CY59" i="63" s="1"/>
  <c r="CY54" i="63"/>
  <c r="CZ55" i="63"/>
  <c r="CZ176" i="63" s="1"/>
  <c r="CY60" i="63"/>
  <c r="CY61" i="63" s="1"/>
  <c r="CW116" i="63"/>
  <c r="CQ108" i="63"/>
  <c r="CQ110" i="63"/>
  <c r="CW98" i="63"/>
  <c r="CW71" i="63"/>
  <c r="CX68" i="63"/>
  <c r="CX84" i="63" s="1"/>
  <c r="CV82" i="63" l="1"/>
  <c r="CV83" i="63"/>
  <c r="CU85" i="63"/>
  <c r="CU87" i="63" s="1"/>
  <c r="CU103" i="63" s="1"/>
  <c r="CX116" i="63"/>
  <c r="CV81" i="63"/>
  <c r="CS105" i="63"/>
  <c r="CS107" i="63" s="1"/>
  <c r="CW72" i="63"/>
  <c r="CW73" i="63" s="1"/>
  <c r="CX76" i="63"/>
  <c r="CY78" i="63"/>
  <c r="CY77" i="63"/>
  <c r="CZ186" i="63"/>
  <c r="CZ138" i="63" s="1"/>
  <c r="CZ177" i="63"/>
  <c r="CZ134" i="63" s="1"/>
  <c r="CZ185" i="63"/>
  <c r="CZ136" i="63"/>
  <c r="CZ167" i="63"/>
  <c r="CZ135" i="63"/>
  <c r="CZ62" i="63"/>
  <c r="CZ63" i="63" s="1"/>
  <c r="CZ60" i="63"/>
  <c r="CZ61" i="63" s="1"/>
  <c r="CZ2" i="63"/>
  <c r="CZ58" i="63"/>
  <c r="CZ59" i="63" s="1"/>
  <c r="CZ54" i="63"/>
  <c r="CZ64" i="63"/>
  <c r="CZ65" i="63" s="1"/>
  <c r="DA55" i="63"/>
  <c r="DA176" i="63" s="1"/>
  <c r="CX98" i="63"/>
  <c r="CY115" i="63"/>
  <c r="CY114" i="63"/>
  <c r="CY102" i="63"/>
  <c r="CY76" i="63" s="1"/>
  <c r="CY93" i="63"/>
  <c r="CY97" i="63"/>
  <c r="CY96" i="63"/>
  <c r="CY95" i="63"/>
  <c r="CY92" i="63"/>
  <c r="CY113" i="63"/>
  <c r="CY94" i="63"/>
  <c r="CY101" i="63"/>
  <c r="CY91" i="63"/>
  <c r="CY104" i="63"/>
  <c r="CY68" i="63"/>
  <c r="CY84" i="63" s="1"/>
  <c r="CX71" i="63"/>
  <c r="DB1" i="63"/>
  <c r="DC53" i="63"/>
  <c r="DC173" i="63" s="1"/>
  <c r="CT103" i="63"/>
  <c r="CU105" i="63" l="1"/>
  <c r="CU107" i="63" s="1"/>
  <c r="CU108" i="63" s="1"/>
  <c r="CT105" i="63"/>
  <c r="CT107" i="63" s="1"/>
  <c r="CT108" i="63" s="1"/>
  <c r="CY79" i="63"/>
  <c r="CW82" i="63"/>
  <c r="CW83" i="63"/>
  <c r="CZ77" i="63"/>
  <c r="CZ78" i="63"/>
  <c r="CY116" i="63"/>
  <c r="CS108" i="63"/>
  <c r="CS110" i="63"/>
  <c r="CV85" i="63"/>
  <c r="CV87" i="63" s="1"/>
  <c r="DC1" i="63"/>
  <c r="DD53" i="63"/>
  <c r="DD173" i="63" s="1"/>
  <c r="CX72" i="63"/>
  <c r="CZ115" i="63"/>
  <c r="CZ114" i="63"/>
  <c r="CZ101" i="63"/>
  <c r="CZ96" i="63"/>
  <c r="CZ95" i="63"/>
  <c r="CZ94" i="63"/>
  <c r="CZ92" i="63"/>
  <c r="CZ102" i="63"/>
  <c r="CZ76" i="63" s="1"/>
  <c r="CZ93" i="63"/>
  <c r="CZ113" i="63"/>
  <c r="CZ97" i="63"/>
  <c r="CZ91" i="63"/>
  <c r="CZ104" i="63"/>
  <c r="CW81" i="63"/>
  <c r="CY71" i="63"/>
  <c r="CZ68" i="63"/>
  <c r="CZ84" i="63" s="1"/>
  <c r="CY98" i="63"/>
  <c r="DA186" i="63"/>
  <c r="DA138" i="63" s="1"/>
  <c r="DA185" i="63"/>
  <c r="DA177" i="63"/>
  <c r="DA134" i="63" s="1"/>
  <c r="DA136" i="63"/>
  <c r="DA167" i="63"/>
  <c r="DA135" i="63"/>
  <c r="DA62" i="63"/>
  <c r="DA63" i="63" s="1"/>
  <c r="DA64" i="63"/>
  <c r="DA65" i="63" s="1"/>
  <c r="DA2" i="63"/>
  <c r="DA58" i="63"/>
  <c r="DA59" i="63" s="1"/>
  <c r="DA54" i="63"/>
  <c r="DA60" i="63"/>
  <c r="DA61" i="63" s="1"/>
  <c r="DB55" i="63"/>
  <c r="DB176" i="63" s="1"/>
  <c r="CX79" i="63"/>
  <c r="CU110" i="63" l="1"/>
  <c r="CT110" i="63"/>
  <c r="CZ116" i="63"/>
  <c r="CZ79" i="63"/>
  <c r="DA78" i="63"/>
  <c r="DA77" i="63"/>
  <c r="DA115" i="63"/>
  <c r="DA114" i="63"/>
  <c r="DA96" i="63"/>
  <c r="DA97" i="63"/>
  <c r="DA92" i="63"/>
  <c r="DA102" i="63"/>
  <c r="DA76" i="63" s="1"/>
  <c r="DA93" i="63"/>
  <c r="DA94" i="63"/>
  <c r="DA113" i="63"/>
  <c r="DA91" i="63"/>
  <c r="DA95" i="63"/>
  <c r="DA101" i="63"/>
  <c r="DA104" i="63"/>
  <c r="CZ71" i="63"/>
  <c r="DA68" i="63"/>
  <c r="DA84" i="63" s="1"/>
  <c r="DD1" i="63"/>
  <c r="DE53" i="63"/>
  <c r="DE173" i="63" s="1"/>
  <c r="DB186" i="63"/>
  <c r="DB138" i="63" s="1"/>
  <c r="DB177" i="63"/>
  <c r="DB134" i="63" s="1"/>
  <c r="DB185" i="63"/>
  <c r="DB167" i="63"/>
  <c r="DB136" i="63"/>
  <c r="DB135" i="63"/>
  <c r="DB60" i="63"/>
  <c r="DB61" i="63" s="1"/>
  <c r="DB64" i="63"/>
  <c r="DB65" i="63" s="1"/>
  <c r="DB58" i="63"/>
  <c r="DB59" i="63" s="1"/>
  <c r="DB54" i="63"/>
  <c r="DB62" i="63"/>
  <c r="DB63" i="63" s="1"/>
  <c r="DC55" i="63"/>
  <c r="DC176" i="63" s="1"/>
  <c r="DB2" i="63"/>
  <c r="CY72" i="63"/>
  <c r="CY73" i="63" s="1"/>
  <c r="CZ98" i="63"/>
  <c r="CV103" i="63"/>
  <c r="CW85" i="63"/>
  <c r="CW87" i="63" s="1"/>
  <c r="CX73" i="63"/>
  <c r="CV105" i="63" l="1"/>
  <c r="CV107" i="63" s="1"/>
  <c r="CV108" i="63" s="1"/>
  <c r="DA79" i="63"/>
  <c r="CY83" i="63"/>
  <c r="CY82" i="63"/>
  <c r="CX83" i="63"/>
  <c r="CX82" i="63"/>
  <c r="CV110" i="63"/>
  <c r="DB77" i="63"/>
  <c r="DB78" i="63"/>
  <c r="CW103" i="63"/>
  <c r="CX81" i="63"/>
  <c r="DC186" i="63"/>
  <c r="DC138" i="63" s="1"/>
  <c r="DC185" i="63"/>
  <c r="DC177" i="63"/>
  <c r="DC134" i="63" s="1"/>
  <c r="DC167" i="63"/>
  <c r="DC135" i="63"/>
  <c r="DC136" i="63"/>
  <c r="DC60" i="63"/>
  <c r="DC61" i="63" s="1"/>
  <c r="DC62" i="63"/>
  <c r="DC63" i="63" s="1"/>
  <c r="DD55" i="63"/>
  <c r="DD176" i="63" s="1"/>
  <c r="DC54" i="63"/>
  <c r="DC58" i="63"/>
  <c r="DC59" i="63" s="1"/>
  <c r="DC2" i="63"/>
  <c r="DC64" i="63"/>
  <c r="DC65" i="63" s="1"/>
  <c r="DB115" i="63"/>
  <c r="DB114" i="63"/>
  <c r="DB113" i="63"/>
  <c r="DB96" i="63"/>
  <c r="DB92" i="63"/>
  <c r="DB93" i="63"/>
  <c r="DB95" i="63"/>
  <c r="DB91" i="63"/>
  <c r="DB101" i="63"/>
  <c r="DB94" i="63"/>
  <c r="DB102" i="63"/>
  <c r="DB76" i="63" s="1"/>
  <c r="DB97" i="63"/>
  <c r="DB104" i="63"/>
  <c r="CY81" i="63"/>
  <c r="DF53" i="63"/>
  <c r="DF173" i="63" s="1"/>
  <c r="DE1" i="63"/>
  <c r="DA98" i="63"/>
  <c r="CZ72" i="63"/>
  <c r="CZ73" i="63" s="1"/>
  <c r="DA71" i="63"/>
  <c r="DB68" i="63"/>
  <c r="DB84" i="63" s="1"/>
  <c r="DA116" i="63"/>
  <c r="CW105" i="63" l="1"/>
  <c r="CW107" i="63" s="1"/>
  <c r="CW108" i="63" s="1"/>
  <c r="DB79" i="63"/>
  <c r="CZ83" i="63"/>
  <c r="CZ82" i="63"/>
  <c r="CZ81" i="63"/>
  <c r="DC78" i="63"/>
  <c r="DC77" i="63"/>
  <c r="DA72" i="63"/>
  <c r="DA73" i="63" s="1"/>
  <c r="DG53" i="63"/>
  <c r="DG173" i="63" s="1"/>
  <c r="DF1" i="63"/>
  <c r="DD185" i="63"/>
  <c r="DD186" i="63"/>
  <c r="DD138" i="63" s="1"/>
  <c r="DD177" i="63"/>
  <c r="DD134" i="63" s="1"/>
  <c r="DD167" i="63"/>
  <c r="DD135" i="63"/>
  <c r="DD136" i="63"/>
  <c r="DD60" i="63"/>
  <c r="DD61" i="63" s="1"/>
  <c r="DD64" i="63"/>
  <c r="DD65" i="63" s="1"/>
  <c r="DD62" i="63"/>
  <c r="DD63" i="63" s="1"/>
  <c r="DE55" i="63"/>
  <c r="DE176" i="63" s="1"/>
  <c r="DD54" i="63"/>
  <c r="DD2" i="63"/>
  <c r="DD58" i="63"/>
  <c r="DD59" i="63" s="1"/>
  <c r="DC68" i="63"/>
  <c r="DC84" i="63" s="1"/>
  <c r="DB71" i="63"/>
  <c r="DB116" i="63"/>
  <c r="DC115" i="63"/>
  <c r="DC114" i="63"/>
  <c r="DC113" i="63"/>
  <c r="DC92" i="63"/>
  <c r="DC96" i="63"/>
  <c r="DC102" i="63"/>
  <c r="DC76" i="63" s="1"/>
  <c r="DC93" i="63"/>
  <c r="DC91" i="63"/>
  <c r="DC94" i="63"/>
  <c r="DC97" i="63"/>
  <c r="DC101" i="63"/>
  <c r="DC95" i="63"/>
  <c r="DC104" i="63"/>
  <c r="CY85" i="63"/>
  <c r="CY87" i="63" s="1"/>
  <c r="DB98" i="63"/>
  <c r="CX85" i="63"/>
  <c r="CX87" i="63" s="1"/>
  <c r="CW110" i="63" l="1"/>
  <c r="CZ85" i="63"/>
  <c r="CZ87" i="63" s="1"/>
  <c r="CZ103" i="63" s="1"/>
  <c r="DA83" i="63"/>
  <c r="DA82" i="63"/>
  <c r="DD77" i="63"/>
  <c r="DD78" i="63"/>
  <c r="DA81" i="63"/>
  <c r="DC71" i="63"/>
  <c r="DD68" i="63"/>
  <c r="DD84" i="63" s="1"/>
  <c r="DC116" i="63"/>
  <c r="DE185" i="63"/>
  <c r="DE186" i="63"/>
  <c r="DE138" i="63" s="1"/>
  <c r="DE177" i="63"/>
  <c r="DE134" i="63" s="1"/>
  <c r="DE167" i="63"/>
  <c r="DE135" i="63"/>
  <c r="DE136" i="63"/>
  <c r="DE64" i="63"/>
  <c r="DE65" i="63" s="1"/>
  <c r="DE62" i="63"/>
  <c r="DE63" i="63" s="1"/>
  <c r="DF55" i="63"/>
  <c r="DF176" i="63" s="1"/>
  <c r="DE60" i="63"/>
  <c r="DE61" i="63" s="1"/>
  <c r="DE2" i="63"/>
  <c r="DE54" i="63"/>
  <c r="DE58" i="63"/>
  <c r="DE59" i="63" s="1"/>
  <c r="DC79" i="63"/>
  <c r="CX103" i="63"/>
  <c r="DD114" i="63"/>
  <c r="DD113" i="63"/>
  <c r="DD115" i="63"/>
  <c r="DD96" i="63"/>
  <c r="DD102" i="63"/>
  <c r="DD76" i="63" s="1"/>
  <c r="DD95" i="63"/>
  <c r="DD92" i="63"/>
  <c r="DD93" i="63"/>
  <c r="DD94" i="63"/>
  <c r="DD91" i="63"/>
  <c r="DD97" i="63"/>
  <c r="DD101" i="63"/>
  <c r="DD104" i="63"/>
  <c r="DC98" i="63"/>
  <c r="DH53" i="63"/>
  <c r="DH173" i="63" s="1"/>
  <c r="DG1" i="63"/>
  <c r="CY103" i="63"/>
  <c r="DB72" i="63"/>
  <c r="DB73" i="63" s="1"/>
  <c r="CY105" i="63" l="1"/>
  <c r="CY107" i="63" s="1"/>
  <c r="CY108" i="63" s="1"/>
  <c r="CZ105" i="63"/>
  <c r="CZ107" i="63" s="1"/>
  <c r="CZ108" i="63" s="1"/>
  <c r="DB82" i="63"/>
  <c r="DB83" i="63"/>
  <c r="DA85" i="63"/>
  <c r="DA87" i="63" s="1"/>
  <c r="DA103" i="63" s="1"/>
  <c r="DD116" i="63"/>
  <c r="DD79" i="63"/>
  <c r="DB81" i="63"/>
  <c r="DE78" i="63"/>
  <c r="DE77" i="63"/>
  <c r="CX105" i="63"/>
  <c r="CX107" i="63" s="1"/>
  <c r="DC72" i="63"/>
  <c r="DC73" i="63" s="1"/>
  <c r="DH1" i="63"/>
  <c r="DI53" i="63"/>
  <c r="DI173" i="63" s="1"/>
  <c r="DD98" i="63"/>
  <c r="DF185" i="63"/>
  <c r="DF186" i="63"/>
  <c r="DF138" i="63" s="1"/>
  <c r="DF177" i="63"/>
  <c r="DF134" i="63" s="1"/>
  <c r="DF136" i="63"/>
  <c r="DF167" i="63"/>
  <c r="DF135" i="63"/>
  <c r="DF64" i="63"/>
  <c r="DF65" i="63" s="1"/>
  <c r="DG55" i="63"/>
  <c r="DG176" i="63" s="1"/>
  <c r="DF60" i="63"/>
  <c r="DF61" i="63" s="1"/>
  <c r="DF2" i="63"/>
  <c r="DF58" i="63"/>
  <c r="DF59" i="63" s="1"/>
  <c r="DF54" i="63"/>
  <c r="DF62" i="63"/>
  <c r="DF63" i="63" s="1"/>
  <c r="DD71" i="63"/>
  <c r="DE68" i="63"/>
  <c r="DE84" i="63" s="1"/>
  <c r="DE114" i="63"/>
  <c r="DE115" i="63"/>
  <c r="DE101" i="63"/>
  <c r="DE97" i="63"/>
  <c r="DE91" i="63"/>
  <c r="DE96" i="63"/>
  <c r="DE92" i="63"/>
  <c r="DE94" i="63"/>
  <c r="DE93" i="63"/>
  <c r="DE95" i="63"/>
  <c r="DE113" i="63"/>
  <c r="DE102" i="63"/>
  <c r="DE76" i="63" s="1"/>
  <c r="DE104" i="63"/>
  <c r="CY110" i="63" l="1"/>
  <c r="CZ110" i="63"/>
  <c r="DA105" i="63"/>
  <c r="DA107" i="63" s="1"/>
  <c r="DA108" i="63" s="1"/>
  <c r="DC82" i="63"/>
  <c r="DC83" i="63"/>
  <c r="DE116" i="63"/>
  <c r="DF114" i="63"/>
  <c r="DF115" i="63"/>
  <c r="DF96" i="63"/>
  <c r="DF95" i="63"/>
  <c r="DF92" i="63"/>
  <c r="DF91" i="63"/>
  <c r="DF101" i="63"/>
  <c r="DF94" i="63"/>
  <c r="DF93" i="63"/>
  <c r="DF102" i="63"/>
  <c r="DF76" i="63" s="1"/>
  <c r="DF97" i="63"/>
  <c r="DF113" i="63"/>
  <c r="DF104" i="63"/>
  <c r="DF77" i="63"/>
  <c r="DF78" i="63"/>
  <c r="DC81" i="63"/>
  <c r="DD72" i="63"/>
  <c r="DD73" i="63" s="1"/>
  <c r="CX108" i="63"/>
  <c r="CX110" i="63"/>
  <c r="DG185" i="63"/>
  <c r="DG186" i="63"/>
  <c r="DG138" i="63" s="1"/>
  <c r="DG177" i="63"/>
  <c r="DG134" i="63" s="1"/>
  <c r="DG136" i="63"/>
  <c r="DG167" i="63"/>
  <c r="DG135" i="63"/>
  <c r="DG62" i="63"/>
  <c r="DG63" i="63" s="1"/>
  <c r="DG60" i="63"/>
  <c r="DG61" i="63" s="1"/>
  <c r="DG2" i="63"/>
  <c r="DG58" i="63"/>
  <c r="DG59" i="63" s="1"/>
  <c r="DG54" i="63"/>
  <c r="DH55" i="63"/>
  <c r="DH176" i="63" s="1"/>
  <c r="DG64" i="63"/>
  <c r="DG65" i="63" s="1"/>
  <c r="DE98" i="63"/>
  <c r="DE79" i="63"/>
  <c r="DE71" i="63"/>
  <c r="DF68" i="63"/>
  <c r="DF84" i="63" s="1"/>
  <c r="DI1" i="63"/>
  <c r="DJ53" i="63"/>
  <c r="DJ173" i="63" s="1"/>
  <c r="DB85" i="63"/>
  <c r="DB87" i="63" s="1"/>
  <c r="DA110" i="63" l="1"/>
  <c r="DC85" i="63"/>
  <c r="DC87" i="63" s="1"/>
  <c r="DC103" i="63" s="1"/>
  <c r="DD82" i="63"/>
  <c r="DD83" i="63"/>
  <c r="DF79" i="63"/>
  <c r="DF98" i="63"/>
  <c r="DF116" i="63"/>
  <c r="DG77" i="63"/>
  <c r="DG78" i="63"/>
  <c r="DG115" i="63"/>
  <c r="DG114" i="63"/>
  <c r="DG102" i="63"/>
  <c r="DG76" i="63" s="1"/>
  <c r="DG96" i="63"/>
  <c r="DG95" i="63"/>
  <c r="DG92" i="63"/>
  <c r="DG93" i="63"/>
  <c r="DG97" i="63"/>
  <c r="DG91" i="63"/>
  <c r="DG94" i="63"/>
  <c r="DG101" i="63"/>
  <c r="DG113" i="63"/>
  <c r="DG104" i="63"/>
  <c r="DD81" i="63"/>
  <c r="DG68" i="63"/>
  <c r="DG84" i="63" s="1"/>
  <c r="DF71" i="63"/>
  <c r="DE72" i="63"/>
  <c r="DE73" i="63" s="1"/>
  <c r="DH186" i="63"/>
  <c r="DH138" i="63" s="1"/>
  <c r="DH177" i="63"/>
  <c r="DH134" i="63" s="1"/>
  <c r="DH185" i="63"/>
  <c r="DH136" i="63"/>
  <c r="DH167" i="63"/>
  <c r="DH135" i="63"/>
  <c r="DH62" i="63"/>
  <c r="DH63" i="63" s="1"/>
  <c r="DH60" i="63"/>
  <c r="DH61" i="63" s="1"/>
  <c r="DH2" i="63"/>
  <c r="DH58" i="63"/>
  <c r="DH59" i="63" s="1"/>
  <c r="DH54" i="63"/>
  <c r="DH64" i="63"/>
  <c r="DH65" i="63" s="1"/>
  <c r="DI55" i="63"/>
  <c r="DI176" i="63" s="1"/>
  <c r="DJ1" i="63"/>
  <c r="DK53" i="63"/>
  <c r="DK173" i="63" s="1"/>
  <c r="DB103" i="63"/>
  <c r="DC105" i="63" l="1"/>
  <c r="DC107" i="63" s="1"/>
  <c r="DC108" i="63" s="1"/>
  <c r="DB105" i="63"/>
  <c r="DB107" i="63" s="1"/>
  <c r="DB108" i="63" s="1"/>
  <c r="DE83" i="63"/>
  <c r="DE82" i="63"/>
  <c r="DD85" i="63"/>
  <c r="DD87" i="63" s="1"/>
  <c r="DD103" i="63" s="1"/>
  <c r="DG116" i="63"/>
  <c r="DH115" i="63"/>
  <c r="DH114" i="63"/>
  <c r="DH102" i="63"/>
  <c r="DH76" i="63" s="1"/>
  <c r="DH101" i="63"/>
  <c r="DH94" i="63"/>
  <c r="DH92" i="63"/>
  <c r="DH96" i="63"/>
  <c r="DH95" i="63"/>
  <c r="DH97" i="63"/>
  <c r="DH113" i="63"/>
  <c r="DH91" i="63"/>
  <c r="DH93" i="63"/>
  <c r="DH104" i="63"/>
  <c r="DE81" i="63"/>
  <c r="DG79" i="63"/>
  <c r="DF72" i="63"/>
  <c r="DF73" i="63" s="1"/>
  <c r="DG98" i="63"/>
  <c r="DK1" i="63"/>
  <c r="DL53" i="63"/>
  <c r="DL173" i="63" s="1"/>
  <c r="DG71" i="63"/>
  <c r="DH68" i="63"/>
  <c r="DH84" i="63" s="1"/>
  <c r="DI186" i="63"/>
  <c r="DI138" i="63" s="1"/>
  <c r="DI185" i="63"/>
  <c r="DI177" i="63"/>
  <c r="DI134" i="63" s="1"/>
  <c r="DI136" i="63"/>
  <c r="DI167" i="63"/>
  <c r="DI135" i="63"/>
  <c r="DI62" i="63"/>
  <c r="DI63" i="63" s="1"/>
  <c r="DI64" i="63"/>
  <c r="DI65" i="63" s="1"/>
  <c r="DI60" i="63"/>
  <c r="DI61" i="63" s="1"/>
  <c r="DI2" i="63"/>
  <c r="DI58" i="63"/>
  <c r="DI59" i="63" s="1"/>
  <c r="DI54" i="63"/>
  <c r="DJ55" i="63"/>
  <c r="DJ176" i="63" s="1"/>
  <c r="DH77" i="63"/>
  <c r="DH78" i="63"/>
  <c r="DB110" i="63" l="1"/>
  <c r="DC110" i="63"/>
  <c r="DD105" i="63"/>
  <c r="DD107" i="63" s="1"/>
  <c r="DD108" i="63" s="1"/>
  <c r="DF82" i="63"/>
  <c r="DF83" i="63"/>
  <c r="DH116" i="63"/>
  <c r="DI77" i="63"/>
  <c r="DI78" i="63"/>
  <c r="DF81" i="63"/>
  <c r="DH71" i="63"/>
  <c r="DI68" i="63"/>
  <c r="DI84" i="63" s="1"/>
  <c r="DI115" i="63"/>
  <c r="DI102" i="63"/>
  <c r="DI76" i="63" s="1"/>
  <c r="DI114" i="63"/>
  <c r="DI101" i="63"/>
  <c r="DI93" i="63"/>
  <c r="DI97" i="63"/>
  <c r="DI94" i="63"/>
  <c r="DI95" i="63"/>
  <c r="DI96" i="63"/>
  <c r="DI92" i="63"/>
  <c r="DI113" i="63"/>
  <c r="DI91" i="63"/>
  <c r="DI104" i="63"/>
  <c r="DG72" i="63"/>
  <c r="DG73" i="63" s="1"/>
  <c r="DD110" i="63"/>
  <c r="DH98" i="63"/>
  <c r="DH79" i="63"/>
  <c r="DE85" i="63"/>
  <c r="DE87" i="63" s="1"/>
  <c r="DL1" i="63"/>
  <c r="DM53" i="63"/>
  <c r="DM173" i="63" s="1"/>
  <c r="DJ186" i="63"/>
  <c r="DJ138" i="63" s="1"/>
  <c r="DJ185" i="63"/>
  <c r="DJ177" i="63"/>
  <c r="DJ134" i="63" s="1"/>
  <c r="DJ167" i="63"/>
  <c r="DJ135" i="63"/>
  <c r="DJ136" i="63"/>
  <c r="DJ60" i="63"/>
  <c r="DJ61" i="63" s="1"/>
  <c r="DJ64" i="63"/>
  <c r="DJ65" i="63" s="1"/>
  <c r="DJ58" i="63"/>
  <c r="DJ59" i="63" s="1"/>
  <c r="DJ54" i="63"/>
  <c r="DK55" i="63"/>
  <c r="DK176" i="63" s="1"/>
  <c r="DJ2" i="63"/>
  <c r="DJ62" i="63"/>
  <c r="DJ63" i="63" s="1"/>
  <c r="DG83" i="63" l="1"/>
  <c r="DG82" i="63"/>
  <c r="DI116" i="63"/>
  <c r="DI98" i="63"/>
  <c r="DI79" i="63"/>
  <c r="DJ115" i="63"/>
  <c r="DJ114" i="63"/>
  <c r="DJ113" i="63"/>
  <c r="DJ96" i="63"/>
  <c r="DJ92" i="63"/>
  <c r="DJ93" i="63"/>
  <c r="DJ97" i="63"/>
  <c r="DJ102" i="63"/>
  <c r="DJ76" i="63" s="1"/>
  <c r="DJ91" i="63"/>
  <c r="DJ95" i="63"/>
  <c r="DJ94" i="63"/>
  <c r="DJ101" i="63"/>
  <c r="DJ104" i="63"/>
  <c r="DJ78" i="63"/>
  <c r="DJ77" i="63"/>
  <c r="DG81" i="63"/>
  <c r="DN53" i="63"/>
  <c r="DN173" i="63" s="1"/>
  <c r="DM1" i="63"/>
  <c r="DH72" i="63"/>
  <c r="DH73" i="63" s="1"/>
  <c r="DI71" i="63"/>
  <c r="DJ68" i="63"/>
  <c r="DJ84" i="63" s="1"/>
  <c r="DF85" i="63"/>
  <c r="DF87" i="63" s="1"/>
  <c r="DK186" i="63"/>
  <c r="DK138" i="63" s="1"/>
  <c r="DK185" i="63"/>
  <c r="DK177" i="63"/>
  <c r="DK134" i="63" s="1"/>
  <c r="DK167" i="63"/>
  <c r="DK135" i="63"/>
  <c r="DK136" i="63"/>
  <c r="DK60" i="63"/>
  <c r="DK61" i="63" s="1"/>
  <c r="DK64" i="63"/>
  <c r="DK65" i="63" s="1"/>
  <c r="DL55" i="63"/>
  <c r="DL176" i="63" s="1"/>
  <c r="DK54" i="63"/>
  <c r="DK2" i="63"/>
  <c r="DK62" i="63"/>
  <c r="DK63" i="63" s="1"/>
  <c r="DK58" i="63"/>
  <c r="DK59" i="63" s="1"/>
  <c r="DE103" i="63"/>
  <c r="DE105" i="63" l="1"/>
  <c r="DE107" i="63" s="1"/>
  <c r="DE108" i="63" s="1"/>
  <c r="DG85" i="63"/>
  <c r="DG87" i="63" s="1"/>
  <c r="DG103" i="63" s="1"/>
  <c r="DH83" i="63"/>
  <c r="DH82" i="63"/>
  <c r="DJ116" i="63"/>
  <c r="DK77" i="63"/>
  <c r="DK78" i="63"/>
  <c r="DH81" i="63"/>
  <c r="DO53" i="63"/>
  <c r="DO173" i="63" s="1"/>
  <c r="DN1" i="63"/>
  <c r="DL185" i="63"/>
  <c r="DL186" i="63"/>
  <c r="DL138" i="63" s="1"/>
  <c r="DL177" i="63"/>
  <c r="DL134" i="63" s="1"/>
  <c r="DL167" i="63"/>
  <c r="DL135" i="63"/>
  <c r="DL136" i="63"/>
  <c r="DL60" i="63"/>
  <c r="DL61" i="63" s="1"/>
  <c r="DL64" i="63"/>
  <c r="DL65" i="63" s="1"/>
  <c r="DL62" i="63"/>
  <c r="DL63" i="63" s="1"/>
  <c r="DM55" i="63"/>
  <c r="DM176" i="63" s="1"/>
  <c r="DL2" i="63"/>
  <c r="DL58" i="63"/>
  <c r="DL59" i="63" s="1"/>
  <c r="DL54" i="63"/>
  <c r="DK115" i="63"/>
  <c r="DK114" i="63"/>
  <c r="DK102" i="63"/>
  <c r="DK76" i="63" s="1"/>
  <c r="DK96" i="63"/>
  <c r="DK92" i="63"/>
  <c r="DK93" i="63"/>
  <c r="DK113" i="63"/>
  <c r="DK97" i="63"/>
  <c r="DK95" i="63"/>
  <c r="DK101" i="63"/>
  <c r="DK91" i="63"/>
  <c r="DK94" i="63"/>
  <c r="DK104" i="63"/>
  <c r="DF103" i="63"/>
  <c r="DK68" i="63"/>
  <c r="DK84" i="63" s="1"/>
  <c r="DJ71" i="63"/>
  <c r="DJ98" i="63"/>
  <c r="DI72" i="63"/>
  <c r="DI73" i="63" s="1"/>
  <c r="DJ79" i="63"/>
  <c r="DE110" i="63" l="1"/>
  <c r="DF105" i="63"/>
  <c r="DF107" i="63" s="1"/>
  <c r="DF108" i="63" s="1"/>
  <c r="DG105" i="63"/>
  <c r="DG107" i="63" s="1"/>
  <c r="DG108" i="63" s="1"/>
  <c r="DI83" i="63"/>
  <c r="DI82" i="63"/>
  <c r="DK79" i="63"/>
  <c r="DK98" i="63"/>
  <c r="DI81" i="63"/>
  <c r="DL77" i="63"/>
  <c r="DL78" i="63"/>
  <c r="DL114" i="63"/>
  <c r="DL113" i="63"/>
  <c r="DL102" i="63"/>
  <c r="DL76" i="63" s="1"/>
  <c r="DL93" i="63"/>
  <c r="DL92" i="63"/>
  <c r="DL101" i="63"/>
  <c r="DL115" i="63"/>
  <c r="DL96" i="63"/>
  <c r="DL94" i="63"/>
  <c r="DL97" i="63"/>
  <c r="DL91" i="63"/>
  <c r="DL95" i="63"/>
  <c r="DL104" i="63"/>
  <c r="DF110" i="63"/>
  <c r="DM185" i="63"/>
  <c r="DM186" i="63"/>
  <c r="DM138" i="63" s="1"/>
  <c r="DM177" i="63"/>
  <c r="DM134" i="63" s="1"/>
  <c r="DM167" i="63"/>
  <c r="DM135" i="63"/>
  <c r="DM136" i="63"/>
  <c r="DM64" i="63"/>
  <c r="DM65" i="63" s="1"/>
  <c r="DM62" i="63"/>
  <c r="DM63" i="63" s="1"/>
  <c r="DN55" i="63"/>
  <c r="DN176" i="63" s="1"/>
  <c r="DM2" i="63"/>
  <c r="DM58" i="63"/>
  <c r="DM59" i="63" s="1"/>
  <c r="DM54" i="63"/>
  <c r="DM60" i="63"/>
  <c r="DM61" i="63" s="1"/>
  <c r="DJ72" i="63"/>
  <c r="DJ73" i="63" s="1"/>
  <c r="DP53" i="63"/>
  <c r="DP173" i="63" s="1"/>
  <c r="DO1" i="63"/>
  <c r="DK71" i="63"/>
  <c r="DL68" i="63"/>
  <c r="DL84" i="63" s="1"/>
  <c r="DK116" i="63"/>
  <c r="DH85" i="63"/>
  <c r="DH87" i="63" s="1"/>
  <c r="DG110" i="63" l="1"/>
  <c r="DJ82" i="63"/>
  <c r="DJ83" i="63"/>
  <c r="DL79" i="63"/>
  <c r="DJ81" i="63"/>
  <c r="DM114" i="63"/>
  <c r="DM115" i="63"/>
  <c r="DM95" i="63"/>
  <c r="DM101" i="63"/>
  <c r="DM94" i="63"/>
  <c r="DM93" i="63"/>
  <c r="DM97" i="63"/>
  <c r="DM92" i="63"/>
  <c r="DM102" i="63"/>
  <c r="DM76" i="63" s="1"/>
  <c r="DM91" i="63"/>
  <c r="DM96" i="63"/>
  <c r="DM113" i="63"/>
  <c r="DM104" i="63"/>
  <c r="DN185" i="63"/>
  <c r="DN186" i="63"/>
  <c r="DN138" i="63" s="1"/>
  <c r="DN177" i="63"/>
  <c r="DN134" i="63" s="1"/>
  <c r="DN136" i="63"/>
  <c r="DN135" i="63"/>
  <c r="DN167" i="63"/>
  <c r="DN64" i="63"/>
  <c r="DN65" i="63" s="1"/>
  <c r="DO55" i="63"/>
  <c r="DO176" i="63" s="1"/>
  <c r="DN2" i="63"/>
  <c r="DN62" i="63"/>
  <c r="DN63" i="63" s="1"/>
  <c r="DN58" i="63"/>
  <c r="DN59" i="63" s="1"/>
  <c r="DN54" i="63"/>
  <c r="DN60" i="63"/>
  <c r="DN61" i="63" s="1"/>
  <c r="DL98" i="63"/>
  <c r="DK72" i="63"/>
  <c r="DK73" i="63" s="1"/>
  <c r="DP1" i="63"/>
  <c r="DQ53" i="63"/>
  <c r="DQ173" i="63" s="1"/>
  <c r="DL116" i="63"/>
  <c r="DI85" i="63"/>
  <c r="DI87" i="63" s="1"/>
  <c r="DM78" i="63"/>
  <c r="DM77" i="63"/>
  <c r="DL71" i="63"/>
  <c r="DM68" i="63"/>
  <c r="DM84" i="63" s="1"/>
  <c r="DH103" i="63"/>
  <c r="DH105" i="63" l="1"/>
  <c r="DH107" i="63" s="1"/>
  <c r="DH108" i="63" s="1"/>
  <c r="DK82" i="63"/>
  <c r="DK83" i="63"/>
  <c r="DM116" i="63"/>
  <c r="DN114" i="63"/>
  <c r="DN96" i="63"/>
  <c r="DN115" i="63"/>
  <c r="DN92" i="63"/>
  <c r="DN95" i="63"/>
  <c r="DN97" i="63"/>
  <c r="DN91" i="63"/>
  <c r="DN93" i="63"/>
  <c r="DN113" i="63"/>
  <c r="DN101" i="63"/>
  <c r="DN94" i="63"/>
  <c r="DN102" i="63"/>
  <c r="DN76" i="63" s="1"/>
  <c r="DN104" i="63"/>
  <c r="DK81" i="63"/>
  <c r="DN78" i="63"/>
  <c r="DN77" i="63"/>
  <c r="DI103" i="63"/>
  <c r="DM71" i="63"/>
  <c r="DN68" i="63"/>
  <c r="DN84" i="63" s="1"/>
  <c r="DO185" i="63"/>
  <c r="DO186" i="63"/>
  <c r="DO138" i="63" s="1"/>
  <c r="DO177" i="63"/>
  <c r="DO134" i="63" s="1"/>
  <c r="DO136" i="63"/>
  <c r="DO135" i="63"/>
  <c r="DO167" i="63"/>
  <c r="DO62" i="63"/>
  <c r="DO63" i="63" s="1"/>
  <c r="DO64" i="63"/>
  <c r="DO65" i="63" s="1"/>
  <c r="DO2" i="63"/>
  <c r="DO58" i="63"/>
  <c r="DO59" i="63" s="1"/>
  <c r="DO54" i="63"/>
  <c r="DO60" i="63"/>
  <c r="DO61" i="63" s="1"/>
  <c r="DP55" i="63"/>
  <c r="DP176" i="63" s="1"/>
  <c r="DJ85" i="63"/>
  <c r="DJ87" i="63" s="1"/>
  <c r="DL72" i="63"/>
  <c r="DL73" i="63" s="1"/>
  <c r="DQ1" i="63"/>
  <c r="DR53" i="63"/>
  <c r="DR173" i="63" s="1"/>
  <c r="DM98" i="63"/>
  <c r="DM79" i="63"/>
  <c r="DH110" i="63" l="1"/>
  <c r="DI105" i="63"/>
  <c r="DI107" i="63" s="1"/>
  <c r="DI108" i="63" s="1"/>
  <c r="DL82" i="63"/>
  <c r="DL83" i="63"/>
  <c r="DK85" i="63"/>
  <c r="DK87" i="63" s="1"/>
  <c r="DK103" i="63" s="1"/>
  <c r="DN79" i="63"/>
  <c r="DL81" i="63"/>
  <c r="DO78" i="63"/>
  <c r="DO77" i="63"/>
  <c r="DJ103" i="63"/>
  <c r="DO68" i="63"/>
  <c r="DO84" i="63" s="1"/>
  <c r="DN71" i="63"/>
  <c r="DR1" i="63"/>
  <c r="DS53" i="63"/>
  <c r="DS173" i="63" s="1"/>
  <c r="DP186" i="63"/>
  <c r="DP138" i="63" s="1"/>
  <c r="DP185" i="63"/>
  <c r="DP177" i="63"/>
  <c r="DP134" i="63" s="1"/>
  <c r="DP136" i="63"/>
  <c r="DP167" i="63"/>
  <c r="DP135" i="63"/>
  <c r="DP62" i="63"/>
  <c r="DP63" i="63" s="1"/>
  <c r="DP60" i="63"/>
  <c r="DP61" i="63" s="1"/>
  <c r="DP64" i="63"/>
  <c r="DP65" i="63" s="1"/>
  <c r="DP2" i="63"/>
  <c r="DP58" i="63"/>
  <c r="DP59" i="63" s="1"/>
  <c r="DP54" i="63"/>
  <c r="DQ55" i="63"/>
  <c r="DQ176" i="63" s="1"/>
  <c r="DM72" i="63"/>
  <c r="DM73" i="63" s="1"/>
  <c r="DN116" i="63"/>
  <c r="DO115" i="63"/>
  <c r="DO114" i="63"/>
  <c r="DO102" i="63"/>
  <c r="DO76" i="63" s="1"/>
  <c r="DO97" i="63"/>
  <c r="DO92" i="63"/>
  <c r="DO96" i="63"/>
  <c r="DO95" i="63"/>
  <c r="DO93" i="63"/>
  <c r="DO94" i="63"/>
  <c r="DO101" i="63"/>
  <c r="DO91" i="63"/>
  <c r="DO113" i="63"/>
  <c r="DO104" i="63"/>
  <c r="DI110" i="63"/>
  <c r="DN98" i="63"/>
  <c r="DJ105" i="63" l="1"/>
  <c r="DJ107" i="63" s="1"/>
  <c r="DJ108" i="63" s="1"/>
  <c r="DK105" i="63"/>
  <c r="DK107" i="63" s="1"/>
  <c r="DK108" i="63" s="1"/>
  <c r="DM83" i="63"/>
  <c r="DM82" i="63"/>
  <c r="DL85" i="63"/>
  <c r="DL87" i="63" s="1"/>
  <c r="DL103" i="63" s="1"/>
  <c r="DO116" i="63"/>
  <c r="DO79" i="63"/>
  <c r="DP115" i="63"/>
  <c r="DP114" i="63"/>
  <c r="DP92" i="63"/>
  <c r="DP96" i="63"/>
  <c r="DP95" i="63"/>
  <c r="DP94" i="63"/>
  <c r="DP102" i="63"/>
  <c r="DP76" i="63" s="1"/>
  <c r="DP97" i="63"/>
  <c r="DP91" i="63"/>
  <c r="DP113" i="63"/>
  <c r="DP101" i="63"/>
  <c r="DP93" i="63"/>
  <c r="DP104" i="63"/>
  <c r="DM81" i="63"/>
  <c r="DP77" i="63"/>
  <c r="DP78" i="63"/>
  <c r="DO98" i="63"/>
  <c r="DS1" i="63"/>
  <c r="DT53" i="63"/>
  <c r="DT173" i="63" s="1"/>
  <c r="DO71" i="63"/>
  <c r="DP68" i="63"/>
  <c r="DP84" i="63" s="1"/>
  <c r="DQ186" i="63"/>
  <c r="DQ138" i="63" s="1"/>
  <c r="DQ185" i="63"/>
  <c r="DQ177" i="63"/>
  <c r="DQ134" i="63" s="1"/>
  <c r="DQ136" i="63"/>
  <c r="DQ167" i="63"/>
  <c r="DQ135" i="63"/>
  <c r="DQ62" i="63"/>
  <c r="DQ63" i="63" s="1"/>
  <c r="DQ64" i="63"/>
  <c r="DQ65" i="63" s="1"/>
  <c r="DQ2" i="63"/>
  <c r="DQ58" i="63"/>
  <c r="DQ59" i="63" s="1"/>
  <c r="DQ54" i="63"/>
  <c r="DQ60" i="63"/>
  <c r="DQ61" i="63" s="1"/>
  <c r="DR55" i="63"/>
  <c r="DR176" i="63" s="1"/>
  <c r="DN72" i="63"/>
  <c r="DN73" i="63" s="1"/>
  <c r="DJ110" i="63" l="1"/>
  <c r="DK110" i="63"/>
  <c r="DL105" i="63"/>
  <c r="DL107" i="63" s="1"/>
  <c r="DL108" i="63" s="1"/>
  <c r="DN83" i="63"/>
  <c r="DN82" i="63"/>
  <c r="DP116" i="63"/>
  <c r="DQ77" i="63"/>
  <c r="DQ78" i="63"/>
  <c r="DQ115" i="63"/>
  <c r="DQ114" i="63"/>
  <c r="DQ101" i="63"/>
  <c r="DQ92" i="63"/>
  <c r="DQ96" i="63"/>
  <c r="DQ95" i="63"/>
  <c r="DQ93" i="63"/>
  <c r="DQ91" i="63"/>
  <c r="DQ102" i="63"/>
  <c r="DQ76" i="63" s="1"/>
  <c r="DQ113" i="63"/>
  <c r="DQ97" i="63"/>
  <c r="DQ94" i="63"/>
  <c r="DQ104" i="63"/>
  <c r="DP79" i="63"/>
  <c r="DP71" i="63"/>
  <c r="DQ68" i="63"/>
  <c r="DQ84" i="63" s="1"/>
  <c r="DR186" i="63"/>
  <c r="DR138" i="63" s="1"/>
  <c r="DR185" i="63"/>
  <c r="DR177" i="63"/>
  <c r="DR134" i="63" s="1"/>
  <c r="DR167" i="63"/>
  <c r="DR136" i="63"/>
  <c r="DR135" i="63"/>
  <c r="DR60" i="63"/>
  <c r="DR61" i="63" s="1"/>
  <c r="DR64" i="63"/>
  <c r="DR65" i="63" s="1"/>
  <c r="DR58" i="63"/>
  <c r="DR59" i="63" s="1"/>
  <c r="DR54" i="63"/>
  <c r="DR62" i="63"/>
  <c r="DR63" i="63" s="1"/>
  <c r="DS55" i="63"/>
  <c r="DS176" i="63" s="1"/>
  <c r="DR2" i="63"/>
  <c r="DT1" i="63"/>
  <c r="DU53" i="63"/>
  <c r="DU173" i="63" s="1"/>
  <c r="DP98" i="63"/>
  <c r="DO72" i="63"/>
  <c r="DO73" i="63" s="1"/>
  <c r="DN81" i="63"/>
  <c r="DM85" i="63"/>
  <c r="DM87" i="63" s="1"/>
  <c r="DL110" i="63" l="1"/>
  <c r="DO83" i="63"/>
  <c r="DO82" i="63"/>
  <c r="DQ116" i="63"/>
  <c r="DR78" i="63"/>
  <c r="DR77" i="63"/>
  <c r="DR115" i="63"/>
  <c r="DR114" i="63"/>
  <c r="DR113" i="63"/>
  <c r="DR92" i="63"/>
  <c r="DR97" i="63"/>
  <c r="DR96" i="63"/>
  <c r="DR93" i="63"/>
  <c r="DR91" i="63"/>
  <c r="DR101" i="63"/>
  <c r="DR95" i="63"/>
  <c r="DR94" i="63"/>
  <c r="DR102" i="63"/>
  <c r="DR76" i="63" s="1"/>
  <c r="DR104" i="63"/>
  <c r="DQ71" i="63"/>
  <c r="DR68" i="63"/>
  <c r="DR84" i="63" s="1"/>
  <c r="DO81" i="63"/>
  <c r="DP72" i="63"/>
  <c r="DP73" i="63" s="1"/>
  <c r="DQ98" i="63"/>
  <c r="DM103" i="63"/>
  <c r="DQ79" i="63"/>
  <c r="DS186" i="63"/>
  <c r="DS138" i="63" s="1"/>
  <c r="DS185" i="63"/>
  <c r="DS177" i="63"/>
  <c r="DS134" i="63" s="1"/>
  <c r="DS167" i="63"/>
  <c r="DS135" i="63"/>
  <c r="DS136" i="63"/>
  <c r="DS60" i="63"/>
  <c r="DS61" i="63" s="1"/>
  <c r="DS64" i="63"/>
  <c r="DS65" i="63" s="1"/>
  <c r="DS62" i="63"/>
  <c r="DS63" i="63" s="1"/>
  <c r="DT55" i="63"/>
  <c r="DT176" i="63" s="1"/>
  <c r="DS58" i="63"/>
  <c r="DS59" i="63" s="1"/>
  <c r="DS2" i="63"/>
  <c r="DS54" i="63"/>
  <c r="DN85" i="63"/>
  <c r="DN87" i="63" s="1"/>
  <c r="DV53" i="63"/>
  <c r="DV173" i="63" s="1"/>
  <c r="DU1" i="63"/>
  <c r="DM105" i="63" l="1"/>
  <c r="DM107" i="63" s="1"/>
  <c r="DM108" i="63" s="1"/>
  <c r="DP83" i="63"/>
  <c r="DP82" i="63"/>
  <c r="DR116" i="63"/>
  <c r="DS78" i="63"/>
  <c r="DS77" i="63"/>
  <c r="DP81" i="63"/>
  <c r="DS68" i="63"/>
  <c r="DS84" i="63" s="1"/>
  <c r="DR71" i="63"/>
  <c r="DQ72" i="63"/>
  <c r="DQ73" i="63" s="1"/>
  <c r="DT185" i="63"/>
  <c r="DT186" i="63"/>
  <c r="DT138" i="63" s="1"/>
  <c r="DT177" i="63"/>
  <c r="DT134" i="63" s="1"/>
  <c r="DT167" i="63"/>
  <c r="DT135" i="63"/>
  <c r="DT136" i="63"/>
  <c r="DT60" i="63"/>
  <c r="DT61" i="63" s="1"/>
  <c r="DT64" i="63"/>
  <c r="DT65" i="63" s="1"/>
  <c r="DT62" i="63"/>
  <c r="DT63" i="63" s="1"/>
  <c r="DU55" i="63"/>
  <c r="DU176" i="63" s="1"/>
  <c r="DT2" i="63"/>
  <c r="DT58" i="63"/>
  <c r="DT59" i="63" s="1"/>
  <c r="DT54" i="63"/>
  <c r="DR98" i="63"/>
  <c r="DW53" i="63"/>
  <c r="DW173" i="63" s="1"/>
  <c r="DV1" i="63"/>
  <c r="DS115" i="63"/>
  <c r="DS114" i="63"/>
  <c r="DS113" i="63"/>
  <c r="DS92" i="63"/>
  <c r="DS102" i="63"/>
  <c r="DS76" i="63" s="1"/>
  <c r="DS96" i="63"/>
  <c r="DS97" i="63"/>
  <c r="DS95" i="63"/>
  <c r="DS93" i="63"/>
  <c r="DS91" i="63"/>
  <c r="DS101" i="63"/>
  <c r="DS94" i="63"/>
  <c r="DS104" i="63"/>
  <c r="DO85" i="63"/>
  <c r="DO87" i="63" s="1"/>
  <c r="DN103" i="63"/>
  <c r="DR79" i="63"/>
  <c r="DM110" i="63" l="1"/>
  <c r="DN105" i="63"/>
  <c r="DN107" i="63" s="1"/>
  <c r="DN108" i="63" s="1"/>
  <c r="DQ83" i="63"/>
  <c r="DQ82" i="63"/>
  <c r="DP85" i="63"/>
  <c r="DP87" i="63" s="1"/>
  <c r="DP103" i="63" s="1"/>
  <c r="DS116" i="63"/>
  <c r="DS79" i="63"/>
  <c r="DQ81" i="63"/>
  <c r="DT77" i="63"/>
  <c r="DT78" i="63"/>
  <c r="DU185" i="63"/>
  <c r="DU186" i="63"/>
  <c r="DU138" i="63" s="1"/>
  <c r="DU177" i="63"/>
  <c r="DU134" i="63" s="1"/>
  <c r="DU167" i="63"/>
  <c r="DU135" i="63"/>
  <c r="DU136" i="63"/>
  <c r="DU64" i="63"/>
  <c r="DU65" i="63" s="1"/>
  <c r="DU62" i="63"/>
  <c r="DU63" i="63" s="1"/>
  <c r="DV55" i="63"/>
  <c r="DV176" i="63" s="1"/>
  <c r="DU60" i="63"/>
  <c r="DU61" i="63" s="1"/>
  <c r="DU2" i="63"/>
  <c r="DU54" i="63"/>
  <c r="DU58" i="63"/>
  <c r="DU59" i="63" s="1"/>
  <c r="DS98" i="63"/>
  <c r="DR72" i="63"/>
  <c r="DR73" i="63" s="1"/>
  <c r="DS71" i="63"/>
  <c r="DT68" i="63"/>
  <c r="DT84" i="63" s="1"/>
  <c r="DT114" i="63"/>
  <c r="DT113" i="63"/>
  <c r="DT115" i="63"/>
  <c r="DT102" i="63"/>
  <c r="DT76" i="63" s="1"/>
  <c r="DT96" i="63"/>
  <c r="DT92" i="63"/>
  <c r="DT93" i="63"/>
  <c r="DT91" i="63"/>
  <c r="DT97" i="63"/>
  <c r="DT101" i="63"/>
  <c r="DT94" i="63"/>
  <c r="DT95" i="63"/>
  <c r="DT104" i="63"/>
  <c r="DO103" i="63"/>
  <c r="DW1" i="63"/>
  <c r="DX53" i="63"/>
  <c r="DX173" i="63" s="1"/>
  <c r="DN110" i="63" l="1"/>
  <c r="DP105" i="63"/>
  <c r="DP107" i="63" s="1"/>
  <c r="DP108" i="63" s="1"/>
  <c r="DO105" i="63"/>
  <c r="DO107" i="63" s="1"/>
  <c r="DO108" i="63" s="1"/>
  <c r="DR82" i="63"/>
  <c r="DR83" i="63"/>
  <c r="DQ85" i="63"/>
  <c r="DQ87" i="63" s="1"/>
  <c r="DQ103" i="63" s="1"/>
  <c r="DT116" i="63"/>
  <c r="DT79" i="63"/>
  <c r="DR81" i="63"/>
  <c r="DV185" i="63"/>
  <c r="DV186" i="63"/>
  <c r="DV138" i="63" s="1"/>
  <c r="DV177" i="63"/>
  <c r="DV134" i="63" s="1"/>
  <c r="DV136" i="63"/>
  <c r="DV167" i="63"/>
  <c r="DV135" i="63"/>
  <c r="DV64" i="63"/>
  <c r="DV65" i="63" s="1"/>
  <c r="DW55" i="63"/>
  <c r="DW176" i="63" s="1"/>
  <c r="DV62" i="63"/>
  <c r="DV63" i="63" s="1"/>
  <c r="DV60" i="63"/>
  <c r="DV61" i="63" s="1"/>
  <c r="DV2" i="63"/>
  <c r="DV58" i="63"/>
  <c r="DV59" i="63" s="1"/>
  <c r="DV54" i="63"/>
  <c r="DU114" i="63"/>
  <c r="DU115" i="63"/>
  <c r="DU101" i="63"/>
  <c r="DU97" i="63"/>
  <c r="DU93" i="63"/>
  <c r="DU95" i="63"/>
  <c r="DU102" i="63"/>
  <c r="DU76" i="63" s="1"/>
  <c r="DU94" i="63"/>
  <c r="DU113" i="63"/>
  <c r="DU92" i="63"/>
  <c r="DU91" i="63"/>
  <c r="DU96" i="63"/>
  <c r="DU104" i="63"/>
  <c r="DS72" i="63"/>
  <c r="DS73" i="63" s="1"/>
  <c r="DU77" i="63"/>
  <c r="DU78" i="63"/>
  <c r="DT98" i="63"/>
  <c r="DX1" i="63"/>
  <c r="DY53" i="63"/>
  <c r="DY173" i="63" s="1"/>
  <c r="DT71" i="63"/>
  <c r="DU68" i="63"/>
  <c r="DU84" i="63" s="1"/>
  <c r="DP110" i="63"/>
  <c r="DO110" i="63" l="1"/>
  <c r="DQ105" i="63"/>
  <c r="DQ107" i="63" s="1"/>
  <c r="DQ108" i="63" s="1"/>
  <c r="DS82" i="63"/>
  <c r="DS83" i="63"/>
  <c r="DU116" i="63"/>
  <c r="DR85" i="63"/>
  <c r="DR87" i="63" s="1"/>
  <c r="DR103" i="63" s="1"/>
  <c r="DS81" i="63"/>
  <c r="DV78" i="63"/>
  <c r="DV77" i="63"/>
  <c r="DV114" i="63"/>
  <c r="DV115" i="63"/>
  <c r="DV96" i="63"/>
  <c r="DV95" i="63"/>
  <c r="DV101" i="63"/>
  <c r="DV92" i="63"/>
  <c r="DV97" i="63"/>
  <c r="DV91" i="63"/>
  <c r="DV113" i="63"/>
  <c r="DV94" i="63"/>
  <c r="DV102" i="63"/>
  <c r="DV76" i="63" s="1"/>
  <c r="DV93" i="63"/>
  <c r="DV104" i="63"/>
  <c r="DU71" i="63"/>
  <c r="DV68" i="63"/>
  <c r="DV84" i="63" s="1"/>
  <c r="DW185" i="63"/>
  <c r="DW186" i="63"/>
  <c r="DW138" i="63" s="1"/>
  <c r="DW177" i="63"/>
  <c r="DW134" i="63" s="1"/>
  <c r="DW136" i="63"/>
  <c r="DW167" i="63"/>
  <c r="DW135" i="63"/>
  <c r="DW62" i="63"/>
  <c r="DW63" i="63" s="1"/>
  <c r="DW60" i="63"/>
  <c r="DW61" i="63" s="1"/>
  <c r="DW2" i="63"/>
  <c r="DW58" i="63"/>
  <c r="DW59" i="63" s="1"/>
  <c r="DW54" i="63"/>
  <c r="DX55" i="63"/>
  <c r="DX176" i="63" s="1"/>
  <c r="DW64" i="63"/>
  <c r="DW65" i="63" s="1"/>
  <c r="DQ110" i="63"/>
  <c r="DT72" i="63"/>
  <c r="DT73" i="63" s="1"/>
  <c r="DU98" i="63"/>
  <c r="DY1" i="63"/>
  <c r="DZ53" i="63"/>
  <c r="DZ173" i="63" s="1"/>
  <c r="DU79" i="63"/>
  <c r="DR105" i="63" l="1"/>
  <c r="DR107" i="63" s="1"/>
  <c r="DR108" i="63" s="1"/>
  <c r="DT82" i="63"/>
  <c r="DT83" i="63"/>
  <c r="DS85" i="63"/>
  <c r="DS87" i="63" s="1"/>
  <c r="DS103" i="63" s="1"/>
  <c r="DV116" i="63"/>
  <c r="DV79" i="63"/>
  <c r="DW115" i="63"/>
  <c r="DW114" i="63"/>
  <c r="DW96" i="63"/>
  <c r="DW102" i="63"/>
  <c r="DW76" i="63" s="1"/>
  <c r="DW93" i="63"/>
  <c r="DW92" i="63"/>
  <c r="DW94" i="63"/>
  <c r="DW113" i="63"/>
  <c r="DW97" i="63"/>
  <c r="DW91" i="63"/>
  <c r="DW95" i="63"/>
  <c r="DW101" i="63"/>
  <c r="DW104" i="63"/>
  <c r="DT81" i="63"/>
  <c r="DZ1" i="63"/>
  <c r="EA53" i="63"/>
  <c r="EA173" i="63" s="1"/>
  <c r="DW68" i="63"/>
  <c r="DW84" i="63" s="1"/>
  <c r="DV71" i="63"/>
  <c r="DU72" i="63"/>
  <c r="DU73" i="63" s="1"/>
  <c r="DV98" i="63"/>
  <c r="DX186" i="63"/>
  <c r="DX138" i="63" s="1"/>
  <c r="DX185" i="63"/>
  <c r="DX177" i="63"/>
  <c r="DX134" i="63" s="1"/>
  <c r="DX136" i="63"/>
  <c r="DX167" i="63"/>
  <c r="DX135" i="63"/>
  <c r="DX62" i="63"/>
  <c r="DX63" i="63" s="1"/>
  <c r="DX60" i="63"/>
  <c r="DX61" i="63" s="1"/>
  <c r="DX2" i="63"/>
  <c r="DX58" i="63"/>
  <c r="DX59" i="63" s="1"/>
  <c r="DX54" i="63"/>
  <c r="DY55" i="63"/>
  <c r="DY176" i="63" s="1"/>
  <c r="DX64" i="63"/>
  <c r="DX65" i="63" s="1"/>
  <c r="DW78" i="63"/>
  <c r="DW77" i="63"/>
  <c r="DR110" i="63" l="1"/>
  <c r="DS105" i="63"/>
  <c r="DS107" i="63" s="1"/>
  <c r="DS108" i="63" s="1"/>
  <c r="DU83" i="63"/>
  <c r="DU82" i="63"/>
  <c r="DW116" i="63"/>
  <c r="DU81" i="63"/>
  <c r="DX115" i="63"/>
  <c r="DX114" i="63"/>
  <c r="DX102" i="63"/>
  <c r="DX76" i="63" s="1"/>
  <c r="DX101" i="63"/>
  <c r="DX95" i="63"/>
  <c r="DX96" i="63"/>
  <c r="DX94" i="63"/>
  <c r="DX92" i="63"/>
  <c r="DX91" i="63"/>
  <c r="DX97" i="63"/>
  <c r="DX113" i="63"/>
  <c r="DX93" i="63"/>
  <c r="DX104" i="63"/>
  <c r="DW71" i="63"/>
  <c r="DX68" i="63"/>
  <c r="DX84" i="63" s="1"/>
  <c r="DY186" i="63"/>
  <c r="DY138" i="63" s="1"/>
  <c r="DY185" i="63"/>
  <c r="DY177" i="63"/>
  <c r="DY134" i="63" s="1"/>
  <c r="DY136" i="63"/>
  <c r="DY167" i="63"/>
  <c r="DY135" i="63"/>
  <c r="DY62" i="63"/>
  <c r="DY63" i="63" s="1"/>
  <c r="DY64" i="63"/>
  <c r="DY65" i="63" s="1"/>
  <c r="DY60" i="63"/>
  <c r="DY61" i="63" s="1"/>
  <c r="DY2" i="63"/>
  <c r="DY58" i="63"/>
  <c r="DY59" i="63" s="1"/>
  <c r="DY54" i="63"/>
  <c r="DZ55" i="63"/>
  <c r="DZ176" i="63" s="1"/>
  <c r="EA1" i="63"/>
  <c r="EB53" i="63"/>
  <c r="EB173" i="63" s="1"/>
  <c r="DW79" i="63"/>
  <c r="DW98" i="63"/>
  <c r="DT85" i="63"/>
  <c r="DT87" i="63" s="1"/>
  <c r="DV72" i="63"/>
  <c r="DV73" i="63" s="1"/>
  <c r="DX77" i="63"/>
  <c r="DX78" i="63"/>
  <c r="DS110" i="63" l="1"/>
  <c r="DV83" i="63"/>
  <c r="DV82" i="63"/>
  <c r="DU85" i="63"/>
  <c r="DU87" i="63" s="1"/>
  <c r="DU103" i="63" s="1"/>
  <c r="DX79" i="63"/>
  <c r="DY115" i="63"/>
  <c r="DY114" i="63"/>
  <c r="DY93" i="63"/>
  <c r="DY101" i="63"/>
  <c r="DY92" i="63"/>
  <c r="DY96" i="63"/>
  <c r="DY94" i="63"/>
  <c r="DY95" i="63"/>
  <c r="DY102" i="63"/>
  <c r="DY76" i="63" s="1"/>
  <c r="DY97" i="63"/>
  <c r="DY113" i="63"/>
  <c r="DY91" i="63"/>
  <c r="DY104" i="63"/>
  <c r="DV81" i="63"/>
  <c r="DX98" i="63"/>
  <c r="DZ186" i="63"/>
  <c r="DZ138" i="63" s="1"/>
  <c r="DZ185" i="63"/>
  <c r="DZ177" i="63"/>
  <c r="DZ134" i="63" s="1"/>
  <c r="DZ136" i="63"/>
  <c r="DZ167" i="63"/>
  <c r="DZ135" i="63"/>
  <c r="DZ60" i="63"/>
  <c r="DZ61" i="63" s="1"/>
  <c r="DZ64" i="63"/>
  <c r="DZ65" i="63" s="1"/>
  <c r="DZ62" i="63"/>
  <c r="DZ63" i="63" s="1"/>
  <c r="DZ58" i="63"/>
  <c r="DZ59" i="63" s="1"/>
  <c r="DZ54" i="63"/>
  <c r="EA55" i="63"/>
  <c r="EA176" i="63" s="1"/>
  <c r="DZ2" i="63"/>
  <c r="DW72" i="63"/>
  <c r="DW73" i="63" s="1"/>
  <c r="EB1" i="63"/>
  <c r="EC53" i="63"/>
  <c r="EC173" i="63" s="1"/>
  <c r="DT103" i="63"/>
  <c r="DY77" i="63"/>
  <c r="DY78" i="63"/>
  <c r="DX71" i="63"/>
  <c r="DY68" i="63"/>
  <c r="DY84" i="63" s="1"/>
  <c r="DX116" i="63"/>
  <c r="DT105" i="63" l="1"/>
  <c r="DT107" i="63" s="1"/>
  <c r="DT108" i="63" s="1"/>
  <c r="DU105" i="63"/>
  <c r="DU107" i="63" s="1"/>
  <c r="DU108" i="63" s="1"/>
  <c r="DW83" i="63"/>
  <c r="DW82" i="63"/>
  <c r="DV85" i="63"/>
  <c r="DV87" i="63" s="1"/>
  <c r="DV103" i="63" s="1"/>
  <c r="DY116" i="63"/>
  <c r="DZ115" i="63"/>
  <c r="DZ114" i="63"/>
  <c r="DZ113" i="63"/>
  <c r="DZ92" i="63"/>
  <c r="DZ96" i="63"/>
  <c r="DZ94" i="63"/>
  <c r="DZ97" i="63"/>
  <c r="DZ93" i="63"/>
  <c r="DZ102" i="63"/>
  <c r="DZ76" i="63" s="1"/>
  <c r="DZ95" i="63"/>
  <c r="DZ91" i="63"/>
  <c r="DZ101" i="63"/>
  <c r="DZ104" i="63"/>
  <c r="DZ78" i="63"/>
  <c r="DZ77" i="63"/>
  <c r="DW81" i="63"/>
  <c r="EA186" i="63"/>
  <c r="EA138" i="63" s="1"/>
  <c r="EA185" i="63"/>
  <c r="EA177" i="63"/>
  <c r="EA134" i="63" s="1"/>
  <c r="EA167" i="63"/>
  <c r="EA135" i="63"/>
  <c r="EA136" i="63"/>
  <c r="EA60" i="63"/>
  <c r="EA61" i="63" s="1"/>
  <c r="EB55" i="63"/>
  <c r="EB176" i="63" s="1"/>
  <c r="EA62" i="63"/>
  <c r="EA63" i="63" s="1"/>
  <c r="EA54" i="63"/>
  <c r="EA64" i="63"/>
  <c r="EA65" i="63" s="1"/>
  <c r="EA2" i="63"/>
  <c r="EA58" i="63"/>
  <c r="EA59" i="63" s="1"/>
  <c r="DY79" i="63"/>
  <c r="ED53" i="63"/>
  <c r="ED173" i="63" s="1"/>
  <c r="EC1" i="63"/>
  <c r="DY71" i="63"/>
  <c r="DZ68" i="63"/>
  <c r="DZ84" i="63" s="1"/>
  <c r="DY98" i="63"/>
  <c r="DX72" i="63"/>
  <c r="DX73" i="63" s="1"/>
  <c r="DU110" i="63" l="1"/>
  <c r="DT110" i="63"/>
  <c r="DV105" i="63"/>
  <c r="DV107" i="63" s="1"/>
  <c r="DV108" i="63" s="1"/>
  <c r="DX83" i="63"/>
  <c r="DX82" i="63"/>
  <c r="EA78" i="63"/>
  <c r="EA77" i="63"/>
  <c r="DX81" i="63"/>
  <c r="DY72" i="63"/>
  <c r="DY73" i="63" s="1"/>
  <c r="DW85" i="63"/>
  <c r="DW87" i="63" s="1"/>
  <c r="EA68" i="63"/>
  <c r="EA84" i="63" s="1"/>
  <c r="DZ71" i="63"/>
  <c r="EB185" i="63"/>
  <c r="EB186" i="63"/>
  <c r="EB138" i="63" s="1"/>
  <c r="EB177" i="63"/>
  <c r="EB134" i="63" s="1"/>
  <c r="EB167" i="63"/>
  <c r="EB135" i="63"/>
  <c r="EB136" i="63"/>
  <c r="EB60" i="63"/>
  <c r="EB61" i="63" s="1"/>
  <c r="EB64" i="63"/>
  <c r="EB65" i="63" s="1"/>
  <c r="EB62" i="63"/>
  <c r="EB63" i="63" s="1"/>
  <c r="EC55" i="63"/>
  <c r="EC176" i="63" s="1"/>
  <c r="EB54" i="63"/>
  <c r="EB2" i="63"/>
  <c r="EB58" i="63"/>
  <c r="EB59" i="63" s="1"/>
  <c r="EA115" i="63"/>
  <c r="EA114" i="63"/>
  <c r="EA113" i="63"/>
  <c r="EA92" i="63"/>
  <c r="EA102" i="63"/>
  <c r="EA76" i="63" s="1"/>
  <c r="EA96" i="63"/>
  <c r="EA95" i="63"/>
  <c r="EA93" i="63"/>
  <c r="EA97" i="63"/>
  <c r="EA91" i="63"/>
  <c r="EA94" i="63"/>
  <c r="EA101" i="63"/>
  <c r="EA104" i="63"/>
  <c r="EE53" i="63"/>
  <c r="EE173" i="63" s="1"/>
  <c r="ED1" i="63"/>
  <c r="DZ98" i="63"/>
  <c r="DZ116" i="63"/>
  <c r="DZ79" i="63"/>
  <c r="DV110" i="63" l="1"/>
  <c r="EA79" i="63"/>
  <c r="DY83" i="63"/>
  <c r="DY82" i="63"/>
  <c r="DX85" i="63"/>
  <c r="DX87" i="63" s="1"/>
  <c r="DX103" i="63" s="1"/>
  <c r="DY81" i="63"/>
  <c r="EB78" i="63"/>
  <c r="EB77" i="63"/>
  <c r="EC185" i="63"/>
  <c r="EC186" i="63"/>
  <c r="EC138" i="63" s="1"/>
  <c r="EC177" i="63"/>
  <c r="EC134" i="63" s="1"/>
  <c r="EC167" i="63"/>
  <c r="EC135" i="63"/>
  <c r="EC136" i="63"/>
  <c r="EC64" i="63"/>
  <c r="EC65" i="63" s="1"/>
  <c r="EC62" i="63"/>
  <c r="EC63" i="63" s="1"/>
  <c r="ED55" i="63"/>
  <c r="ED176" i="63" s="1"/>
  <c r="EC2" i="63"/>
  <c r="EC54" i="63"/>
  <c r="EC60" i="63"/>
  <c r="EC61" i="63" s="1"/>
  <c r="EC58" i="63"/>
  <c r="EC59" i="63" s="1"/>
  <c r="DW103" i="63"/>
  <c r="DZ72" i="63"/>
  <c r="DZ73" i="63" s="1"/>
  <c r="EB114" i="63"/>
  <c r="EB113" i="63"/>
  <c r="EB115" i="63"/>
  <c r="EB96" i="63"/>
  <c r="EB102" i="63"/>
  <c r="EB76" i="63" s="1"/>
  <c r="EB92" i="63"/>
  <c r="EB95" i="63"/>
  <c r="EB93" i="63"/>
  <c r="EB97" i="63"/>
  <c r="EB94" i="63"/>
  <c r="EB91" i="63"/>
  <c r="EB101" i="63"/>
  <c r="EB104" i="63"/>
  <c r="EA98" i="63"/>
  <c r="EA116" i="63"/>
  <c r="EB68" i="63"/>
  <c r="EB84" i="63" s="1"/>
  <c r="EA71" i="63"/>
  <c r="EF53" i="63"/>
  <c r="EF173" i="63" s="1"/>
  <c r="EE1" i="63"/>
  <c r="DX105" i="63" l="1"/>
  <c r="DX107" i="63" s="1"/>
  <c r="DX108" i="63" s="1"/>
  <c r="DW105" i="63"/>
  <c r="DW107" i="63" s="1"/>
  <c r="DW108" i="63" s="1"/>
  <c r="DZ82" i="63"/>
  <c r="DZ83" i="63"/>
  <c r="EB79" i="63"/>
  <c r="DY85" i="63"/>
  <c r="DY87" i="63" s="1"/>
  <c r="DY103" i="63" s="1"/>
  <c r="DZ81" i="63"/>
  <c r="EC77" i="63"/>
  <c r="EC78" i="63"/>
  <c r="EA72" i="63"/>
  <c r="EA73" i="63" s="1"/>
  <c r="EB71" i="63"/>
  <c r="EC68" i="63"/>
  <c r="EC84" i="63" s="1"/>
  <c r="EB98" i="63"/>
  <c r="EB116" i="63"/>
  <c r="EF1" i="63"/>
  <c r="EG53" i="63"/>
  <c r="EG173" i="63" s="1"/>
  <c r="EC114" i="63"/>
  <c r="EC115" i="63"/>
  <c r="EC97" i="63"/>
  <c r="EC94" i="63"/>
  <c r="EC101" i="63"/>
  <c r="EC113" i="63"/>
  <c r="EC96" i="63"/>
  <c r="EC95" i="63"/>
  <c r="EC93" i="63"/>
  <c r="EC92" i="63"/>
  <c r="EC102" i="63"/>
  <c r="EC76" i="63" s="1"/>
  <c r="EC91" i="63"/>
  <c r="EC104" i="63"/>
  <c r="ED185" i="63"/>
  <c r="ED186" i="63"/>
  <c r="ED138" i="63" s="1"/>
  <c r="ED177" i="63"/>
  <c r="ED134" i="63" s="1"/>
  <c r="ED136" i="63"/>
  <c r="ED135" i="63"/>
  <c r="ED167" i="63"/>
  <c r="ED64" i="63"/>
  <c r="ED65" i="63" s="1"/>
  <c r="EE55" i="63"/>
  <c r="EE176" i="63" s="1"/>
  <c r="ED2" i="63"/>
  <c r="ED58" i="63"/>
  <c r="ED59" i="63" s="1"/>
  <c r="ED54" i="63"/>
  <c r="ED62" i="63"/>
  <c r="ED63" i="63" s="1"/>
  <c r="ED60" i="63"/>
  <c r="ED61" i="63" s="1"/>
  <c r="DW110" i="63" l="1"/>
  <c r="DX110" i="63"/>
  <c r="DY105" i="63"/>
  <c r="DY107" i="63" s="1"/>
  <c r="DY108" i="63" s="1"/>
  <c r="EA82" i="63"/>
  <c r="EA83" i="63"/>
  <c r="EC116" i="63"/>
  <c r="EC79" i="63"/>
  <c r="EA81" i="63"/>
  <c r="ED114" i="63"/>
  <c r="ED115" i="63"/>
  <c r="ED101" i="63"/>
  <c r="ED96" i="63"/>
  <c r="ED92" i="63"/>
  <c r="ED97" i="63"/>
  <c r="ED94" i="63"/>
  <c r="ED93" i="63"/>
  <c r="ED95" i="63"/>
  <c r="ED102" i="63"/>
  <c r="ED76" i="63" s="1"/>
  <c r="ED113" i="63"/>
  <c r="ED91" i="63"/>
  <c r="ED104" i="63"/>
  <c r="ED77" i="63"/>
  <c r="ED78" i="63"/>
  <c r="EB72" i="63"/>
  <c r="EB73" i="63" s="1"/>
  <c r="EC98" i="63"/>
  <c r="EE185" i="63"/>
  <c r="EE186" i="63"/>
  <c r="EE138" i="63" s="1"/>
  <c r="EE177" i="63"/>
  <c r="EE134" i="63" s="1"/>
  <c r="EE136" i="63"/>
  <c r="EE135" i="63"/>
  <c r="EE167" i="63"/>
  <c r="EE62" i="63"/>
  <c r="EE63" i="63" s="1"/>
  <c r="EE2" i="63"/>
  <c r="EE58" i="63"/>
  <c r="EE59" i="63" s="1"/>
  <c r="EE54" i="63"/>
  <c r="EE64" i="63"/>
  <c r="EE65" i="63" s="1"/>
  <c r="EE60" i="63"/>
  <c r="EE61" i="63" s="1"/>
  <c r="EF55" i="63"/>
  <c r="EF176" i="63" s="1"/>
  <c r="EG1" i="63"/>
  <c r="EH53" i="63"/>
  <c r="EH173" i="63" s="1"/>
  <c r="EC71" i="63"/>
  <c r="ED68" i="63"/>
  <c r="ED84" i="63" s="1"/>
  <c r="DZ85" i="63"/>
  <c r="DZ87" i="63" s="1"/>
  <c r="DY110" i="63" l="1"/>
  <c r="EB82" i="63"/>
  <c r="EB83" i="63"/>
  <c r="ED79" i="63"/>
  <c r="EB81" i="63"/>
  <c r="EE115" i="63"/>
  <c r="EE114" i="63"/>
  <c r="EE92" i="63"/>
  <c r="EE102" i="63"/>
  <c r="EE76" i="63" s="1"/>
  <c r="EE97" i="63"/>
  <c r="EE96" i="63"/>
  <c r="EE95" i="63"/>
  <c r="EE93" i="63"/>
  <c r="EE101" i="63"/>
  <c r="EE113" i="63"/>
  <c r="EE91" i="63"/>
  <c r="EE94" i="63"/>
  <c r="EE104" i="63"/>
  <c r="EE77" i="63"/>
  <c r="EE78" i="63"/>
  <c r="EH1" i="63"/>
  <c r="EI53" i="63"/>
  <c r="EI173" i="63" s="1"/>
  <c r="EF186" i="63"/>
  <c r="EF138" i="63" s="1"/>
  <c r="EF177" i="63"/>
  <c r="EF134" i="63" s="1"/>
  <c r="EF185" i="63"/>
  <c r="EF136" i="63"/>
  <c r="EF167" i="63"/>
  <c r="EF135" i="63"/>
  <c r="EF62" i="63"/>
  <c r="EF63" i="63" s="1"/>
  <c r="EF60" i="63"/>
  <c r="EF61" i="63" s="1"/>
  <c r="EF2" i="63"/>
  <c r="EF58" i="63"/>
  <c r="EF59" i="63" s="1"/>
  <c r="EF54" i="63"/>
  <c r="EF64" i="63"/>
  <c r="EF65" i="63" s="1"/>
  <c r="EG55" i="63"/>
  <c r="EG176" i="63" s="1"/>
  <c r="EA85" i="63"/>
  <c r="EA87" i="63" s="1"/>
  <c r="EC72" i="63"/>
  <c r="EC73" i="63" s="1"/>
  <c r="EE68" i="63"/>
  <c r="EE84" i="63" s="1"/>
  <c r="ED71" i="63"/>
  <c r="DZ103" i="63"/>
  <c r="ED98" i="63"/>
  <c r="ED116" i="63"/>
  <c r="DZ105" i="63" l="1"/>
  <c r="DZ107" i="63" s="1"/>
  <c r="DZ108" i="63" s="1"/>
  <c r="EE116" i="63"/>
  <c r="EC82" i="63"/>
  <c r="EC83" i="63"/>
  <c r="EB85" i="63"/>
  <c r="EB87" i="63" s="1"/>
  <c r="EB103" i="63" s="1"/>
  <c r="EE98" i="63"/>
  <c r="EF77" i="63"/>
  <c r="EF78" i="63"/>
  <c r="EC81" i="63"/>
  <c r="EF115" i="63"/>
  <c r="EF96" i="63"/>
  <c r="EF114" i="63"/>
  <c r="EF102" i="63"/>
  <c r="EF76" i="63" s="1"/>
  <c r="EF92" i="63"/>
  <c r="EF94" i="63"/>
  <c r="EF95" i="63"/>
  <c r="EF101" i="63"/>
  <c r="EF91" i="63"/>
  <c r="EF113" i="63"/>
  <c r="EF97" i="63"/>
  <c r="EF93" i="63"/>
  <c r="EF104" i="63"/>
  <c r="EE79" i="63"/>
  <c r="EA103" i="63"/>
  <c r="EI1" i="63"/>
  <c r="EJ53" i="63"/>
  <c r="EJ173" i="63" s="1"/>
  <c r="ED72" i="63"/>
  <c r="ED73" i="63" s="1"/>
  <c r="EE71" i="63"/>
  <c r="EF68" i="63"/>
  <c r="EF84" i="63" s="1"/>
  <c r="EG186" i="63"/>
  <c r="EG138" i="63" s="1"/>
  <c r="EG185" i="63"/>
  <c r="EG177" i="63"/>
  <c r="EG134" i="63" s="1"/>
  <c r="EG136" i="63"/>
  <c r="EG167" i="63"/>
  <c r="EG135" i="63"/>
  <c r="EG62" i="63"/>
  <c r="EG63" i="63" s="1"/>
  <c r="EG64" i="63"/>
  <c r="EG65" i="63" s="1"/>
  <c r="EG2" i="63"/>
  <c r="EG58" i="63"/>
  <c r="EG59" i="63" s="1"/>
  <c r="EG54" i="63"/>
  <c r="EG60" i="63"/>
  <c r="EG61" i="63" s="1"/>
  <c r="EH55" i="63"/>
  <c r="EH176" i="63" s="1"/>
  <c r="DZ110" i="63" l="1"/>
  <c r="EA105" i="63"/>
  <c r="EA107" i="63" s="1"/>
  <c r="EA108" i="63" s="1"/>
  <c r="EB105" i="63"/>
  <c r="EB107" i="63" s="1"/>
  <c r="EB108" i="63" s="1"/>
  <c r="ED83" i="63"/>
  <c r="ED82" i="63"/>
  <c r="EF79" i="63"/>
  <c r="ED81" i="63"/>
  <c r="EG78" i="63"/>
  <c r="EG77" i="63"/>
  <c r="EG115" i="63"/>
  <c r="EG114" i="63"/>
  <c r="EG102" i="63"/>
  <c r="EG76" i="63" s="1"/>
  <c r="EG101" i="63"/>
  <c r="EG97" i="63"/>
  <c r="EG96" i="63"/>
  <c r="EG95" i="63"/>
  <c r="EG93" i="63"/>
  <c r="EG92" i="63"/>
  <c r="EG91" i="63"/>
  <c r="EG94" i="63"/>
  <c r="EG113" i="63"/>
  <c r="EG104" i="63"/>
  <c r="EH186" i="63"/>
  <c r="EH138" i="63" s="1"/>
  <c r="EH185" i="63"/>
  <c r="EH177" i="63"/>
  <c r="EH134" i="63" s="1"/>
  <c r="EH136" i="63"/>
  <c r="EH167" i="63"/>
  <c r="EH135" i="63"/>
  <c r="EH60" i="63"/>
  <c r="EH61" i="63" s="1"/>
  <c r="EH64" i="63"/>
  <c r="EH65" i="63" s="1"/>
  <c r="EH58" i="63"/>
  <c r="EH59" i="63" s="1"/>
  <c r="EH54" i="63"/>
  <c r="EI55" i="63"/>
  <c r="EI176" i="63" s="1"/>
  <c r="EH62" i="63"/>
  <c r="EH63" i="63" s="1"/>
  <c r="EH2" i="63"/>
  <c r="EC85" i="63"/>
  <c r="EC87" i="63" s="1"/>
  <c r="EF71" i="63"/>
  <c r="EG68" i="63"/>
  <c r="EG84" i="63" s="1"/>
  <c r="EJ1" i="63"/>
  <c r="EK53" i="63"/>
  <c r="EK173" i="63" s="1"/>
  <c r="EE72" i="63"/>
  <c r="EE73" i="63" s="1"/>
  <c r="EF116" i="63"/>
  <c r="EF98" i="63"/>
  <c r="EA110" i="63" l="1"/>
  <c r="EB110" i="63"/>
  <c r="EG116" i="63"/>
  <c r="EE83" i="63"/>
  <c r="EE82" i="63"/>
  <c r="EG98" i="63"/>
  <c r="EE81" i="63"/>
  <c r="EH77" i="63"/>
  <c r="EH78" i="63"/>
  <c r="EH115" i="63"/>
  <c r="EH114" i="63"/>
  <c r="EH113" i="63"/>
  <c r="EH92" i="63"/>
  <c r="EH96" i="63"/>
  <c r="EH93" i="63"/>
  <c r="EH95" i="63"/>
  <c r="EH91" i="63"/>
  <c r="EH97" i="63"/>
  <c r="EH101" i="63"/>
  <c r="EH102" i="63"/>
  <c r="EH76" i="63" s="1"/>
  <c r="EH94" i="63"/>
  <c r="EH104" i="63"/>
  <c r="EF72" i="63"/>
  <c r="EF73" i="63" s="1"/>
  <c r="EL53" i="63"/>
  <c r="EL173" i="63" s="1"/>
  <c r="EK1" i="63"/>
  <c r="EC103" i="63"/>
  <c r="EG79" i="63"/>
  <c r="ED85" i="63"/>
  <c r="ED87" i="63" s="1"/>
  <c r="EG71" i="63"/>
  <c r="EH68" i="63"/>
  <c r="EH84" i="63" s="1"/>
  <c r="EI186" i="63"/>
  <c r="EI138" i="63" s="1"/>
  <c r="EI185" i="63"/>
  <c r="EI177" i="63"/>
  <c r="EI134" i="63" s="1"/>
  <c r="EI167" i="63"/>
  <c r="EI135" i="63"/>
  <c r="EI136" i="63"/>
  <c r="EI60" i="63"/>
  <c r="EI61" i="63" s="1"/>
  <c r="EI64" i="63"/>
  <c r="EI65" i="63" s="1"/>
  <c r="EJ55" i="63"/>
  <c r="EJ176" i="63" s="1"/>
  <c r="EI62" i="63"/>
  <c r="EI63" i="63" s="1"/>
  <c r="EI2" i="63"/>
  <c r="EI58" i="63"/>
  <c r="EI59" i="63" s="1"/>
  <c r="EI54" i="63"/>
  <c r="EC105" i="63" l="1"/>
  <c r="EC107" i="63" s="1"/>
  <c r="EC108" i="63" s="1"/>
  <c r="EF83" i="63"/>
  <c r="EF82" i="63"/>
  <c r="EI78" i="63"/>
  <c r="EI77" i="63"/>
  <c r="EI115" i="63"/>
  <c r="EI114" i="63"/>
  <c r="EI113" i="63"/>
  <c r="EI102" i="63"/>
  <c r="EI76" i="63" s="1"/>
  <c r="EI92" i="63"/>
  <c r="EI96" i="63"/>
  <c r="EI95" i="63"/>
  <c r="EI93" i="63"/>
  <c r="EI94" i="63"/>
  <c r="EI91" i="63"/>
  <c r="EI97" i="63"/>
  <c r="EI101" i="63"/>
  <c r="EI104" i="63"/>
  <c r="ED103" i="63"/>
  <c r="EC110" i="63"/>
  <c r="EJ185" i="63"/>
  <c r="EJ186" i="63"/>
  <c r="EJ138" i="63" s="1"/>
  <c r="EJ177" i="63"/>
  <c r="EJ134" i="63" s="1"/>
  <c r="EJ167" i="63"/>
  <c r="EJ135" i="63"/>
  <c r="EJ136" i="63"/>
  <c r="EJ60" i="63"/>
  <c r="EJ61" i="63" s="1"/>
  <c r="EJ64" i="63"/>
  <c r="EJ65" i="63" s="1"/>
  <c r="EJ62" i="63"/>
  <c r="EJ63" i="63" s="1"/>
  <c r="EK55" i="63"/>
  <c r="EK176" i="63" s="1"/>
  <c r="EJ58" i="63"/>
  <c r="EJ59" i="63" s="1"/>
  <c r="EJ54" i="63"/>
  <c r="EJ2" i="63"/>
  <c r="EM53" i="63"/>
  <c r="EM173" i="63" s="1"/>
  <c r="EL1" i="63"/>
  <c r="EH98" i="63"/>
  <c r="EI68" i="63"/>
  <c r="EI84" i="63" s="1"/>
  <c r="EH71" i="63"/>
  <c r="EH79" i="63"/>
  <c r="EE85" i="63"/>
  <c r="EE87" i="63" s="1"/>
  <c r="EF81" i="63"/>
  <c r="EG72" i="63"/>
  <c r="EG73" i="63" s="1"/>
  <c r="EH116" i="63"/>
  <c r="ED105" i="63" l="1"/>
  <c r="ED107" i="63" s="1"/>
  <c r="ED108" i="63" s="1"/>
  <c r="EI116" i="63"/>
  <c r="EG83" i="63"/>
  <c r="EG82" i="63"/>
  <c r="EF85" i="63"/>
  <c r="EF87" i="63" s="1"/>
  <c r="EF103" i="63" s="1"/>
  <c r="EJ78" i="63"/>
  <c r="EJ77" i="63"/>
  <c r="EJ114" i="63"/>
  <c r="EJ115" i="63"/>
  <c r="EJ102" i="63"/>
  <c r="EJ76" i="63" s="1"/>
  <c r="EJ113" i="63"/>
  <c r="EJ101" i="63"/>
  <c r="EJ95" i="63"/>
  <c r="EJ93" i="63"/>
  <c r="EJ92" i="63"/>
  <c r="EJ94" i="63"/>
  <c r="EJ96" i="63"/>
  <c r="EJ91" i="63"/>
  <c r="EJ97" i="63"/>
  <c r="EJ104" i="63"/>
  <c r="EK185" i="63"/>
  <c r="EK186" i="63"/>
  <c r="EK138" i="63" s="1"/>
  <c r="EK177" i="63"/>
  <c r="EK134" i="63" s="1"/>
  <c r="EK167" i="63"/>
  <c r="EK135" i="63"/>
  <c r="EK136" i="63"/>
  <c r="EK64" i="63"/>
  <c r="EK65" i="63" s="1"/>
  <c r="EK62" i="63"/>
  <c r="EK63" i="63" s="1"/>
  <c r="EL55" i="63"/>
  <c r="EL176" i="63" s="1"/>
  <c r="EK60" i="63"/>
  <c r="EK61" i="63" s="1"/>
  <c r="EK2" i="63"/>
  <c r="EK58" i="63"/>
  <c r="EK59" i="63" s="1"/>
  <c r="EK54" i="63"/>
  <c r="EG81" i="63"/>
  <c r="EH72" i="63"/>
  <c r="EH73" i="63" s="1"/>
  <c r="EJ68" i="63"/>
  <c r="EJ84" i="63" s="1"/>
  <c r="EI71" i="63"/>
  <c r="EN53" i="63"/>
  <c r="EN173" i="63" s="1"/>
  <c r="EM1" i="63"/>
  <c r="EI79" i="63"/>
  <c r="EI98" i="63"/>
  <c r="EE103" i="63"/>
  <c r="ED110" i="63" l="1"/>
  <c r="EF105" i="63"/>
  <c r="EF107" i="63" s="1"/>
  <c r="EF108" i="63" s="1"/>
  <c r="EE105" i="63"/>
  <c r="EE107" i="63" s="1"/>
  <c r="EE108" i="63" s="1"/>
  <c r="EH83" i="63"/>
  <c r="EH82" i="63"/>
  <c r="EJ79" i="63"/>
  <c r="EJ116" i="63"/>
  <c r="EH81" i="63"/>
  <c r="EK114" i="63"/>
  <c r="EK97" i="63"/>
  <c r="EK101" i="63"/>
  <c r="EK115" i="63"/>
  <c r="EK95" i="63"/>
  <c r="EK113" i="63"/>
  <c r="EK94" i="63"/>
  <c r="EK93" i="63"/>
  <c r="EK91" i="63"/>
  <c r="EK96" i="63"/>
  <c r="EK92" i="63"/>
  <c r="EK102" i="63"/>
  <c r="EK76" i="63" s="1"/>
  <c r="EK104" i="63"/>
  <c r="EI72" i="63"/>
  <c r="EI73" i="63" s="1"/>
  <c r="EJ98" i="63"/>
  <c r="EK78" i="63"/>
  <c r="EK77" i="63"/>
  <c r="EL185" i="63"/>
  <c r="EL186" i="63"/>
  <c r="EL138" i="63" s="1"/>
  <c r="EL177" i="63"/>
  <c r="EL134" i="63" s="1"/>
  <c r="EL136" i="63"/>
  <c r="EL167" i="63"/>
  <c r="EL135" i="63"/>
  <c r="EL64" i="63"/>
  <c r="EL65" i="63" s="1"/>
  <c r="EM55" i="63"/>
  <c r="EM176" i="63" s="1"/>
  <c r="EL60" i="63"/>
  <c r="EL61" i="63" s="1"/>
  <c r="EL62" i="63"/>
  <c r="EL63" i="63" s="1"/>
  <c r="EL2" i="63"/>
  <c r="EL58" i="63"/>
  <c r="EL59" i="63" s="1"/>
  <c r="EL54" i="63"/>
  <c r="EJ71" i="63"/>
  <c r="EK68" i="63"/>
  <c r="EK84" i="63" s="1"/>
  <c r="EN1" i="63"/>
  <c r="EO53" i="63"/>
  <c r="EO173" i="63" s="1"/>
  <c r="EG85" i="63"/>
  <c r="EG87" i="63" s="1"/>
  <c r="EF110" i="63" l="1"/>
  <c r="EE110" i="63"/>
  <c r="EI82" i="63"/>
  <c r="EI83" i="63"/>
  <c r="EK98" i="63"/>
  <c r="EL114" i="63"/>
  <c r="EL115" i="63"/>
  <c r="EL96" i="63"/>
  <c r="EL92" i="63"/>
  <c r="EL101" i="63"/>
  <c r="EL94" i="63"/>
  <c r="EL95" i="63"/>
  <c r="EL91" i="63"/>
  <c r="EL93" i="63"/>
  <c r="EL102" i="63"/>
  <c r="EL76" i="63" s="1"/>
  <c r="EL113" i="63"/>
  <c r="EL97" i="63"/>
  <c r="EL104" i="63"/>
  <c r="EL77" i="63"/>
  <c r="EL78" i="63"/>
  <c r="EG103" i="63"/>
  <c r="EK71" i="63"/>
  <c r="EL68" i="63"/>
  <c r="EL84" i="63" s="1"/>
  <c r="EH85" i="63"/>
  <c r="EH87" i="63" s="1"/>
  <c r="EJ72" i="63"/>
  <c r="EJ73" i="63" s="1"/>
  <c r="EI81" i="63"/>
  <c r="EK116" i="63"/>
  <c r="EO1" i="63"/>
  <c r="EP53" i="63"/>
  <c r="EP173" i="63" s="1"/>
  <c r="EM185" i="63"/>
  <c r="EM186" i="63"/>
  <c r="EM138" i="63" s="1"/>
  <c r="EM177" i="63"/>
  <c r="EM134" i="63" s="1"/>
  <c r="EM136" i="63"/>
  <c r="EM135" i="63"/>
  <c r="EM167" i="63"/>
  <c r="EM62" i="63"/>
  <c r="EM63" i="63" s="1"/>
  <c r="EM64" i="63"/>
  <c r="EM65" i="63" s="1"/>
  <c r="EM60" i="63"/>
  <c r="EM61" i="63" s="1"/>
  <c r="EM2" i="63"/>
  <c r="EM58" i="63"/>
  <c r="EM59" i="63" s="1"/>
  <c r="EM54" i="63"/>
  <c r="EN55" i="63"/>
  <c r="EN176" i="63" s="1"/>
  <c r="EK79" i="63"/>
  <c r="EG105" i="63" l="1"/>
  <c r="EG107" i="63" s="1"/>
  <c r="EG108" i="63" s="1"/>
  <c r="EJ82" i="63"/>
  <c r="EJ83" i="63"/>
  <c r="EL116" i="63"/>
  <c r="EL79" i="63"/>
  <c r="EM115" i="63"/>
  <c r="EM96" i="63"/>
  <c r="EM102" i="63"/>
  <c r="EM76" i="63" s="1"/>
  <c r="EM92" i="63"/>
  <c r="EM114" i="63"/>
  <c r="EM97" i="63"/>
  <c r="EM93" i="63"/>
  <c r="EM91" i="63"/>
  <c r="EM95" i="63"/>
  <c r="EM94" i="63"/>
  <c r="EM101" i="63"/>
  <c r="EM113" i="63"/>
  <c r="EM104" i="63"/>
  <c r="EN186" i="63"/>
  <c r="EN138" i="63" s="1"/>
  <c r="EN185" i="63"/>
  <c r="EN177" i="63"/>
  <c r="EN134" i="63" s="1"/>
  <c r="EN136" i="63"/>
  <c r="EN167" i="63"/>
  <c r="EN135" i="63"/>
  <c r="EN62" i="63"/>
  <c r="EN63" i="63" s="1"/>
  <c r="EN60" i="63"/>
  <c r="EN61" i="63" s="1"/>
  <c r="EN64" i="63"/>
  <c r="EN65" i="63" s="1"/>
  <c r="EN2" i="63"/>
  <c r="EN58" i="63"/>
  <c r="EN59" i="63" s="1"/>
  <c r="EN54" i="63"/>
  <c r="EO55" i="63"/>
  <c r="EO176" i="63" s="1"/>
  <c r="EJ81" i="63"/>
  <c r="EK72" i="63"/>
  <c r="EK73" i="63" s="1"/>
  <c r="EI85" i="63"/>
  <c r="EI87" i="63" s="1"/>
  <c r="EH103" i="63"/>
  <c r="EH105" i="63" s="1"/>
  <c r="EH107" i="63" s="1"/>
  <c r="EH108" i="63" s="1"/>
  <c r="EM78" i="63"/>
  <c r="EM77" i="63"/>
  <c r="EP1" i="63"/>
  <c r="EQ53" i="63"/>
  <c r="EQ173" i="63" s="1"/>
  <c r="EM68" i="63"/>
  <c r="EM84" i="63" s="1"/>
  <c r="EL71" i="63"/>
  <c r="EL98" i="63"/>
  <c r="EG110" i="63" l="1"/>
  <c r="EK83" i="63"/>
  <c r="EK82" i="63"/>
  <c r="EJ85" i="63"/>
  <c r="EJ87" i="63" s="1"/>
  <c r="EJ103" i="63" s="1"/>
  <c r="EJ105" i="63" s="1"/>
  <c r="EJ107" i="63" s="1"/>
  <c r="EJ108" i="63" s="1"/>
  <c r="EN78" i="63"/>
  <c r="EN77" i="63"/>
  <c r="EN115" i="63"/>
  <c r="EN114" i="63"/>
  <c r="EN102" i="63"/>
  <c r="EN76" i="63" s="1"/>
  <c r="EN92" i="63"/>
  <c r="EN94" i="63"/>
  <c r="EN95" i="63"/>
  <c r="EN96" i="63"/>
  <c r="EN97" i="63"/>
  <c r="EN93" i="63"/>
  <c r="EN101" i="63"/>
  <c r="EN113" i="63"/>
  <c r="EN91" i="63"/>
  <c r="EN104" i="63"/>
  <c r="EK81" i="63"/>
  <c r="EM71" i="63"/>
  <c r="EN68" i="63"/>
  <c r="EN84" i="63" s="1"/>
  <c r="EQ1" i="63"/>
  <c r="ER53" i="63"/>
  <c r="ER173" i="63" s="1"/>
  <c r="EL72" i="63"/>
  <c r="EL73" i="63" s="1"/>
  <c r="EM116" i="63"/>
  <c r="EH110" i="63"/>
  <c r="EM79" i="63"/>
  <c r="EI103" i="63"/>
  <c r="EI105" i="63" s="1"/>
  <c r="EI107" i="63" s="1"/>
  <c r="EI108" i="63" s="1"/>
  <c r="EO186" i="63"/>
  <c r="EO138" i="63" s="1"/>
  <c r="EO185" i="63"/>
  <c r="EO177" i="63"/>
  <c r="EO134" i="63" s="1"/>
  <c r="EO136" i="63"/>
  <c r="EO167" i="63"/>
  <c r="EO135" i="63"/>
  <c r="EO62" i="63"/>
  <c r="EO63" i="63" s="1"/>
  <c r="EO64" i="63"/>
  <c r="EO65" i="63" s="1"/>
  <c r="EO60" i="63"/>
  <c r="EO61" i="63" s="1"/>
  <c r="EO2" i="63"/>
  <c r="EO58" i="63"/>
  <c r="EO59" i="63" s="1"/>
  <c r="EO54" i="63"/>
  <c r="EP55" i="63"/>
  <c r="EP176" i="63" s="1"/>
  <c r="EM98" i="63"/>
  <c r="EL83" i="63" l="1"/>
  <c r="EL82" i="63"/>
  <c r="EN79" i="63"/>
  <c r="EO77" i="63"/>
  <c r="EO78" i="63"/>
  <c r="EO115" i="63"/>
  <c r="EO114" i="63"/>
  <c r="EO96" i="63"/>
  <c r="EO92" i="63"/>
  <c r="EO102" i="63"/>
  <c r="EO76" i="63" s="1"/>
  <c r="EO93" i="63"/>
  <c r="EO97" i="63"/>
  <c r="EO91" i="63"/>
  <c r="EO101" i="63"/>
  <c r="EO94" i="63"/>
  <c r="EO113" i="63"/>
  <c r="EO95" i="63"/>
  <c r="EO104" i="63"/>
  <c r="EL81" i="63"/>
  <c r="EI110" i="63"/>
  <c r="EK85" i="63"/>
  <c r="EK87" i="63" s="1"/>
  <c r="EN71" i="63"/>
  <c r="EO68" i="63"/>
  <c r="EO84" i="63" s="1"/>
  <c r="EM72" i="63"/>
  <c r="EM73" i="63" s="1"/>
  <c r="ER1" i="63"/>
  <c r="ES53" i="63"/>
  <c r="ES173" i="63" s="1"/>
  <c r="EN98" i="63"/>
  <c r="EP186" i="63"/>
  <c r="EP138" i="63" s="1"/>
  <c r="EP185" i="63"/>
  <c r="EP177" i="63"/>
  <c r="EP134" i="63" s="1"/>
  <c r="EP136" i="63"/>
  <c r="EP167" i="63"/>
  <c r="EP135" i="63"/>
  <c r="EP60" i="63"/>
  <c r="EP61" i="63" s="1"/>
  <c r="EP64" i="63"/>
  <c r="EP65" i="63" s="1"/>
  <c r="EP58" i="63"/>
  <c r="EP59" i="63" s="1"/>
  <c r="EP54" i="63"/>
  <c r="EP62" i="63"/>
  <c r="EP63" i="63" s="1"/>
  <c r="EQ55" i="63"/>
  <c r="EQ176" i="63" s="1"/>
  <c r="EP2" i="63"/>
  <c r="EN116" i="63"/>
  <c r="EJ110" i="63"/>
  <c r="EM83" i="63" l="1"/>
  <c r="EM82" i="63"/>
  <c r="EO79" i="63"/>
  <c r="EL85" i="63"/>
  <c r="EL87" i="63" s="1"/>
  <c r="EL103" i="63" s="1"/>
  <c r="EL105" i="63" s="1"/>
  <c r="EL107" i="63" s="1"/>
  <c r="EL108" i="63" s="1"/>
  <c r="EO98" i="63"/>
  <c r="EP77" i="63"/>
  <c r="EP78" i="63"/>
  <c r="EP115" i="63"/>
  <c r="EP114" i="63"/>
  <c r="EP113" i="63"/>
  <c r="EP92" i="63"/>
  <c r="EP94" i="63"/>
  <c r="EP97" i="63"/>
  <c r="EP93" i="63"/>
  <c r="EP96" i="63"/>
  <c r="EP95" i="63"/>
  <c r="EP102" i="63"/>
  <c r="EP76" i="63" s="1"/>
  <c r="EP91" i="63"/>
  <c r="EP101" i="63"/>
  <c r="EP104" i="63"/>
  <c r="EO71" i="63"/>
  <c r="EP68" i="63"/>
  <c r="EP84" i="63" s="1"/>
  <c r="ET53" i="63"/>
  <c r="ET173" i="63" s="1"/>
  <c r="ES1" i="63"/>
  <c r="EN72" i="63"/>
  <c r="EN73" i="63" s="1"/>
  <c r="EK103" i="63"/>
  <c r="EK105" i="63" s="1"/>
  <c r="EK107" i="63" s="1"/>
  <c r="EK108" i="63" s="1"/>
  <c r="EO116" i="63"/>
  <c r="EM81" i="63"/>
  <c r="EQ186" i="63"/>
  <c r="EQ138" i="63" s="1"/>
  <c r="EQ185" i="63"/>
  <c r="EQ177" i="63"/>
  <c r="EQ134" i="63" s="1"/>
  <c r="EQ167" i="63"/>
  <c r="EQ135" i="63"/>
  <c r="EQ136" i="63"/>
  <c r="EQ60" i="63"/>
  <c r="EQ61" i="63" s="1"/>
  <c r="EQ62" i="63"/>
  <c r="EQ63" i="63" s="1"/>
  <c r="ER55" i="63"/>
  <c r="ER176" i="63" s="1"/>
  <c r="EQ2" i="63"/>
  <c r="EQ64" i="63"/>
  <c r="EQ65" i="63" s="1"/>
  <c r="EQ54" i="63"/>
  <c r="EQ58" i="63"/>
  <c r="EQ59" i="63" s="1"/>
  <c r="EN83" i="63" l="1"/>
  <c r="EN82" i="63"/>
  <c r="EQ77" i="63"/>
  <c r="EQ78" i="63"/>
  <c r="EN81" i="63"/>
  <c r="EO72" i="63"/>
  <c r="EO73" i="63" s="1"/>
  <c r="EQ115" i="63"/>
  <c r="EQ114" i="63"/>
  <c r="EQ113" i="63"/>
  <c r="EQ92" i="63"/>
  <c r="EQ97" i="63"/>
  <c r="EQ96" i="63"/>
  <c r="EQ93" i="63"/>
  <c r="EQ102" i="63"/>
  <c r="EQ76" i="63" s="1"/>
  <c r="EQ95" i="63"/>
  <c r="EQ91" i="63"/>
  <c r="EQ94" i="63"/>
  <c r="EQ101" i="63"/>
  <c r="EQ104" i="63"/>
  <c r="EL110" i="63"/>
  <c r="ER185" i="63"/>
  <c r="ER186" i="63"/>
  <c r="ER138" i="63" s="1"/>
  <c r="ER177" i="63"/>
  <c r="ER134" i="63" s="1"/>
  <c r="ER167" i="63"/>
  <c r="ER135" i="63"/>
  <c r="ER136" i="63"/>
  <c r="ER60" i="63"/>
  <c r="ER61" i="63" s="1"/>
  <c r="ER64" i="63"/>
  <c r="ER65" i="63" s="1"/>
  <c r="ER62" i="63"/>
  <c r="ER63" i="63" s="1"/>
  <c r="ES55" i="63"/>
  <c r="ES176" i="63" s="1"/>
  <c r="ER54" i="63"/>
  <c r="ER58" i="63"/>
  <c r="ER59" i="63" s="1"/>
  <c r="ER2" i="63"/>
  <c r="EM85" i="63"/>
  <c r="EM87" i="63" s="1"/>
  <c r="EK110" i="63"/>
  <c r="EP98" i="63"/>
  <c r="EU53" i="63"/>
  <c r="EU173" i="63" s="1"/>
  <c r="ET1" i="63"/>
  <c r="EQ68" i="63"/>
  <c r="EQ84" i="63" s="1"/>
  <c r="EP71" i="63"/>
  <c r="EP79" i="63"/>
  <c r="EP116" i="63"/>
  <c r="EQ79" i="63" l="1"/>
  <c r="EO83" i="63"/>
  <c r="EO82" i="63"/>
  <c r="EN85" i="63"/>
  <c r="EN87" i="63" s="1"/>
  <c r="EN103" i="63" s="1"/>
  <c r="EN105" i="63" s="1"/>
  <c r="EN107" i="63" s="1"/>
  <c r="EN108" i="63" s="1"/>
  <c r="EQ116" i="63"/>
  <c r="ER78" i="63"/>
  <c r="ER77" i="63"/>
  <c r="EO81" i="63"/>
  <c r="ER114" i="63"/>
  <c r="ER113" i="63"/>
  <c r="ER115" i="63"/>
  <c r="ER101" i="63"/>
  <c r="ER102" i="63"/>
  <c r="ER76" i="63" s="1"/>
  <c r="ER92" i="63"/>
  <c r="ER96" i="63"/>
  <c r="ER94" i="63"/>
  <c r="ER93" i="63"/>
  <c r="ER95" i="63"/>
  <c r="ER91" i="63"/>
  <c r="ER97" i="63"/>
  <c r="ER104" i="63"/>
  <c r="ES185" i="63"/>
  <c r="ES186" i="63"/>
  <c r="ES138" i="63" s="1"/>
  <c r="ES177" i="63"/>
  <c r="ES134" i="63" s="1"/>
  <c r="ES167" i="63"/>
  <c r="ES135" i="63"/>
  <c r="ES136" i="63"/>
  <c r="ES64" i="63"/>
  <c r="ES65" i="63" s="1"/>
  <c r="ES62" i="63"/>
  <c r="ES63" i="63" s="1"/>
  <c r="ET55" i="63"/>
  <c r="ET176" i="63" s="1"/>
  <c r="ES2" i="63"/>
  <c r="ES54" i="63"/>
  <c r="ES58" i="63"/>
  <c r="ES59" i="63" s="1"/>
  <c r="ES60" i="63"/>
  <c r="ES61" i="63" s="1"/>
  <c r="EQ98" i="63"/>
  <c r="EQ71" i="63"/>
  <c r="ER68" i="63"/>
  <c r="ER84" i="63" s="1"/>
  <c r="EP72" i="63"/>
  <c r="EP73" i="63" s="1"/>
  <c r="EV53" i="63"/>
  <c r="EV173" i="63" s="1"/>
  <c r="EU1" i="63"/>
  <c r="EM103" i="63"/>
  <c r="EM105" i="63" s="1"/>
  <c r="EM107" i="63" s="1"/>
  <c r="EM108" i="63" s="1"/>
  <c r="EP82" i="63" l="1"/>
  <c r="EP83" i="63"/>
  <c r="EO85" i="63"/>
  <c r="EO87" i="63" s="1"/>
  <c r="EO103" i="63" s="1"/>
  <c r="EO105" i="63" s="1"/>
  <c r="EO107" i="63" s="1"/>
  <c r="EO108" i="63" s="1"/>
  <c r="ER98" i="63"/>
  <c r="ES114" i="63"/>
  <c r="ES115" i="63"/>
  <c r="ES95" i="63"/>
  <c r="ES91" i="63"/>
  <c r="ES92" i="63"/>
  <c r="ES94" i="63"/>
  <c r="ES113" i="63"/>
  <c r="ES96" i="63"/>
  <c r="ES93" i="63"/>
  <c r="ES97" i="63"/>
  <c r="ES101" i="63"/>
  <c r="ES102" i="63"/>
  <c r="ES76" i="63" s="1"/>
  <c r="ES104" i="63"/>
  <c r="EP81" i="63"/>
  <c r="ES78" i="63"/>
  <c r="ES77" i="63"/>
  <c r="ER116" i="63"/>
  <c r="EM110" i="63"/>
  <c r="EN110" i="63"/>
  <c r="ET185" i="63"/>
  <c r="ET186" i="63"/>
  <c r="ET138" i="63" s="1"/>
  <c r="ET177" i="63"/>
  <c r="ET134" i="63" s="1"/>
  <c r="ET136" i="63"/>
  <c r="ET135" i="63"/>
  <c r="ET167" i="63"/>
  <c r="ET64" i="63"/>
  <c r="ET65" i="63" s="1"/>
  <c r="ET62" i="63"/>
  <c r="ET63" i="63" s="1"/>
  <c r="EU55" i="63"/>
  <c r="EU176" i="63" s="1"/>
  <c r="ET2" i="63"/>
  <c r="ET58" i="63"/>
  <c r="ET59" i="63" s="1"/>
  <c r="ET54" i="63"/>
  <c r="ET60" i="63"/>
  <c r="ET61" i="63" s="1"/>
  <c r="ER79" i="63"/>
  <c r="EQ72" i="63"/>
  <c r="EQ73" i="63" s="1"/>
  <c r="EV1" i="63"/>
  <c r="EW53" i="63"/>
  <c r="EW173" i="63" s="1"/>
  <c r="ER71" i="63"/>
  <c r="ES68" i="63"/>
  <c r="ES84" i="63" s="1"/>
  <c r="EQ82" i="63" l="1"/>
  <c r="EQ83" i="63"/>
  <c r="EQ81" i="63"/>
  <c r="ET77" i="63"/>
  <c r="ET78" i="63"/>
  <c r="ET114" i="63"/>
  <c r="ET115" i="63"/>
  <c r="ET92" i="63"/>
  <c r="ET96" i="63"/>
  <c r="ET95" i="63"/>
  <c r="ET101" i="63"/>
  <c r="ET113" i="63"/>
  <c r="ET94" i="63"/>
  <c r="ET93" i="63"/>
  <c r="ET97" i="63"/>
  <c r="ET91" i="63"/>
  <c r="ET102" i="63"/>
  <c r="ET76" i="63" s="1"/>
  <c r="ET104" i="63"/>
  <c r="ER72" i="63"/>
  <c r="ER73" i="63" s="1"/>
  <c r="EP85" i="63"/>
  <c r="EP87" i="63" s="1"/>
  <c r="EO110" i="63"/>
  <c r="EU185" i="63"/>
  <c r="EU186" i="63"/>
  <c r="EU138" i="63" s="1"/>
  <c r="EU177" i="63"/>
  <c r="EU134" i="63" s="1"/>
  <c r="EU136" i="63"/>
  <c r="EU167" i="63"/>
  <c r="EU135" i="63"/>
  <c r="EU62" i="63"/>
  <c r="EU63" i="63" s="1"/>
  <c r="EU2" i="63"/>
  <c r="EU58" i="63"/>
  <c r="EU59" i="63" s="1"/>
  <c r="EU54" i="63"/>
  <c r="EU64" i="63"/>
  <c r="EU65" i="63" s="1"/>
  <c r="EV55" i="63"/>
  <c r="EV176" i="63" s="1"/>
  <c r="EU60" i="63"/>
  <c r="EU61" i="63" s="1"/>
  <c r="ES79" i="63"/>
  <c r="ES98" i="63"/>
  <c r="ES71" i="63"/>
  <c r="ET68" i="63"/>
  <c r="ET84" i="63" s="1"/>
  <c r="ES116" i="63"/>
  <c r="EW1" i="63"/>
  <c r="EX53" i="63"/>
  <c r="EX173" i="63" s="1"/>
  <c r="ER82" i="63" l="1"/>
  <c r="ER83" i="63"/>
  <c r="ER81" i="63"/>
  <c r="EU115" i="63"/>
  <c r="EU114" i="63"/>
  <c r="EU102" i="63"/>
  <c r="EU76" i="63" s="1"/>
  <c r="EU96" i="63"/>
  <c r="EU93" i="63"/>
  <c r="EU97" i="63"/>
  <c r="EU92" i="63"/>
  <c r="EU91" i="63"/>
  <c r="EU95" i="63"/>
  <c r="EU101" i="63"/>
  <c r="EU113" i="63"/>
  <c r="EU94" i="63"/>
  <c r="EU104" i="63"/>
  <c r="EU77" i="63"/>
  <c r="EU78" i="63"/>
  <c r="EV186" i="63"/>
  <c r="EV138" i="63" s="1"/>
  <c r="EV185" i="63"/>
  <c r="EV177" i="63"/>
  <c r="EV134" i="63" s="1"/>
  <c r="EV136" i="63"/>
  <c r="EV167" i="63"/>
  <c r="EV135" i="63"/>
  <c r="EV62" i="63"/>
  <c r="EV63" i="63" s="1"/>
  <c r="EV60" i="63"/>
  <c r="EV61" i="63" s="1"/>
  <c r="EV2" i="63"/>
  <c r="EV58" i="63"/>
  <c r="EV59" i="63" s="1"/>
  <c r="EV54" i="63"/>
  <c r="EV64" i="63"/>
  <c r="EV65" i="63" s="1"/>
  <c r="EW55" i="63"/>
  <c r="EW176" i="63" s="1"/>
  <c r="ET79" i="63"/>
  <c r="ET98" i="63"/>
  <c r="EP103" i="63"/>
  <c r="EP105" i="63" s="1"/>
  <c r="EP107" i="63" s="1"/>
  <c r="EP108" i="63" s="1"/>
  <c r="EX1" i="63"/>
  <c r="EY53" i="63"/>
  <c r="EY173" i="63" s="1"/>
  <c r="EQ85" i="63"/>
  <c r="EQ87" i="63" s="1"/>
  <c r="ES72" i="63"/>
  <c r="ES73" i="63" s="1"/>
  <c r="EU68" i="63"/>
  <c r="EU84" i="63" s="1"/>
  <c r="ET71" i="63"/>
  <c r="ET116" i="63"/>
  <c r="ES82" i="63" l="1"/>
  <c r="ES83" i="63"/>
  <c r="EU98" i="63"/>
  <c r="EV78" i="63"/>
  <c r="EV77" i="63"/>
  <c r="EV115" i="63"/>
  <c r="EV114" i="63"/>
  <c r="EV102" i="63"/>
  <c r="EV76" i="63" s="1"/>
  <c r="EV96" i="63"/>
  <c r="EV101" i="63"/>
  <c r="EV92" i="63"/>
  <c r="EV93" i="63"/>
  <c r="EV91" i="63"/>
  <c r="EV97" i="63"/>
  <c r="EV95" i="63"/>
  <c r="EV113" i="63"/>
  <c r="EV94" i="63"/>
  <c r="EV104" i="63"/>
  <c r="ET72" i="63"/>
  <c r="ET73" i="63" s="1"/>
  <c r="EU71" i="63"/>
  <c r="EV68" i="63"/>
  <c r="EV84" i="63" s="1"/>
  <c r="EY1" i="63"/>
  <c r="EZ53" i="63"/>
  <c r="EZ173" i="63" s="1"/>
  <c r="ER85" i="63"/>
  <c r="ER87" i="63" s="1"/>
  <c r="EQ103" i="63"/>
  <c r="EQ105" i="63" s="1"/>
  <c r="EQ107" i="63" s="1"/>
  <c r="EQ108" i="63" s="1"/>
  <c r="EU116" i="63"/>
  <c r="ES81" i="63"/>
  <c r="EW186" i="63"/>
  <c r="EW138" i="63" s="1"/>
  <c r="EW185" i="63"/>
  <c r="EW177" i="63"/>
  <c r="EW134" i="63" s="1"/>
  <c r="EW136" i="63"/>
  <c r="EW167" i="63"/>
  <c r="EW135" i="63"/>
  <c r="EW62" i="63"/>
  <c r="EW63" i="63" s="1"/>
  <c r="EW64" i="63"/>
  <c r="EW65" i="63" s="1"/>
  <c r="EW2" i="63"/>
  <c r="EW58" i="63"/>
  <c r="EW59" i="63" s="1"/>
  <c r="EW54" i="63"/>
  <c r="EW60" i="63"/>
  <c r="EW61" i="63" s="1"/>
  <c r="EX55" i="63"/>
  <c r="EX176" i="63" s="1"/>
  <c r="EU79" i="63"/>
  <c r="EP110" i="63"/>
  <c r="ET83" i="63" l="1"/>
  <c r="ET82" i="63"/>
  <c r="EV116" i="63"/>
  <c r="ET81" i="63"/>
  <c r="EW77" i="63"/>
  <c r="EW78" i="63"/>
  <c r="EW115" i="63"/>
  <c r="EW114" i="63"/>
  <c r="EW102" i="63"/>
  <c r="EW76" i="63" s="1"/>
  <c r="EW96" i="63"/>
  <c r="EW95" i="63"/>
  <c r="EW93" i="63"/>
  <c r="EW101" i="63"/>
  <c r="EW92" i="63"/>
  <c r="EW91" i="63"/>
  <c r="EW113" i="63"/>
  <c r="EW97" i="63"/>
  <c r="EW94" i="63"/>
  <c r="EW104" i="63"/>
  <c r="EQ110" i="63"/>
  <c r="ES85" i="63"/>
  <c r="ES87" i="63" s="1"/>
  <c r="ER103" i="63"/>
  <c r="ER105" i="63" s="1"/>
  <c r="ER107" i="63" s="1"/>
  <c r="ER108" i="63" s="1"/>
  <c r="EU72" i="63"/>
  <c r="EU73" i="63" s="1"/>
  <c r="EV79" i="63"/>
  <c r="EZ1" i="63"/>
  <c r="FA53" i="63"/>
  <c r="FA173" i="63" s="1"/>
  <c r="EV98" i="63"/>
  <c r="EX186" i="63"/>
  <c r="EX138" i="63" s="1"/>
  <c r="EX185" i="63"/>
  <c r="EX177" i="63"/>
  <c r="EX134" i="63" s="1"/>
  <c r="EX136" i="63"/>
  <c r="EX167" i="63"/>
  <c r="EX135" i="63"/>
  <c r="EX60" i="63"/>
  <c r="EX61" i="63" s="1"/>
  <c r="EX64" i="63"/>
  <c r="EX65" i="63" s="1"/>
  <c r="EX58" i="63"/>
  <c r="EX59" i="63" s="1"/>
  <c r="EX54" i="63"/>
  <c r="EY55" i="63"/>
  <c r="EY176" i="63" s="1"/>
  <c r="EX2" i="63"/>
  <c r="EX62" i="63"/>
  <c r="EX63" i="63" s="1"/>
  <c r="EV71" i="63"/>
  <c r="EW68" i="63"/>
  <c r="EW84" i="63" s="1"/>
  <c r="EU83" i="63" l="1"/>
  <c r="EU82" i="63"/>
  <c r="ET85" i="63"/>
  <c r="ET87" i="63" s="1"/>
  <c r="ET103" i="63" s="1"/>
  <c r="ET105" i="63" s="1"/>
  <c r="ET107" i="63" s="1"/>
  <c r="ET108" i="63" s="1"/>
  <c r="EX78" i="63"/>
  <c r="EX77" i="63"/>
  <c r="EX115" i="63"/>
  <c r="EX114" i="63"/>
  <c r="EX113" i="63"/>
  <c r="EX96" i="63"/>
  <c r="EX92" i="63"/>
  <c r="EX93" i="63"/>
  <c r="EX97" i="63"/>
  <c r="EX91" i="63"/>
  <c r="EX101" i="63"/>
  <c r="EX102" i="63"/>
  <c r="EX76" i="63" s="1"/>
  <c r="EX94" i="63"/>
  <c r="EX95" i="63"/>
  <c r="EX104" i="63"/>
  <c r="FB53" i="63"/>
  <c r="FB173" i="63" s="1"/>
  <c r="FA1" i="63"/>
  <c r="EY186" i="63"/>
  <c r="EY138" i="63" s="1"/>
  <c r="EY185" i="63"/>
  <c r="EY177" i="63"/>
  <c r="EY134" i="63" s="1"/>
  <c r="EY167" i="63"/>
  <c r="EY135" i="63"/>
  <c r="EY136" i="63"/>
  <c r="EY60" i="63"/>
  <c r="EY61" i="63" s="1"/>
  <c r="EZ55" i="63"/>
  <c r="EZ176" i="63" s="1"/>
  <c r="EY64" i="63"/>
  <c r="EY65" i="63" s="1"/>
  <c r="EY54" i="63"/>
  <c r="EY2" i="63"/>
  <c r="EY58" i="63"/>
  <c r="EY59" i="63" s="1"/>
  <c r="EY62" i="63"/>
  <c r="EY63" i="63" s="1"/>
  <c r="ER110" i="63"/>
  <c r="EV72" i="63"/>
  <c r="EV73" i="63" s="1"/>
  <c r="ES103" i="63"/>
  <c r="ES105" i="63" s="1"/>
  <c r="ES107" i="63" s="1"/>
  <c r="ES108" i="63" s="1"/>
  <c r="EW116" i="63"/>
  <c r="EW79" i="63"/>
  <c r="EU81" i="63"/>
  <c r="EW98" i="63"/>
  <c r="EW71" i="63"/>
  <c r="EX68" i="63"/>
  <c r="EX84" i="63" s="1"/>
  <c r="EX98" i="63" l="1"/>
  <c r="EV83" i="63"/>
  <c r="EV82" i="63"/>
  <c r="ES110" i="63"/>
  <c r="ET110" i="63"/>
  <c r="EX116" i="63"/>
  <c r="EX79" i="63"/>
  <c r="EY77" i="63"/>
  <c r="EY78" i="63"/>
  <c r="EV81" i="63"/>
  <c r="EY115" i="63"/>
  <c r="EY114" i="63"/>
  <c r="EY113" i="63"/>
  <c r="EY92" i="63"/>
  <c r="EY96" i="63"/>
  <c r="EY97" i="63"/>
  <c r="EY93" i="63"/>
  <c r="EY102" i="63"/>
  <c r="EY76" i="63" s="1"/>
  <c r="EY94" i="63"/>
  <c r="EY95" i="63"/>
  <c r="EY91" i="63"/>
  <c r="EY101" i="63"/>
  <c r="EY104" i="63"/>
  <c r="EY68" i="63"/>
  <c r="EY84" i="63" s="1"/>
  <c r="EX71" i="63"/>
  <c r="FC53" i="63"/>
  <c r="FC173" i="63" s="1"/>
  <c r="FB1" i="63"/>
  <c r="EU85" i="63"/>
  <c r="EU87" i="63" s="1"/>
  <c r="EZ185" i="63"/>
  <c r="EZ186" i="63"/>
  <c r="EZ138" i="63" s="1"/>
  <c r="EZ177" i="63"/>
  <c r="EZ134" i="63" s="1"/>
  <c r="EZ167" i="63"/>
  <c r="EZ135" i="63"/>
  <c r="EZ136" i="63"/>
  <c r="EZ60" i="63"/>
  <c r="FH60" i="63" s="1"/>
  <c r="EZ64" i="63"/>
  <c r="FH64" i="63" s="1"/>
  <c r="EZ62" i="63"/>
  <c r="FH62" i="63" s="1"/>
  <c r="FA55" i="63"/>
  <c r="FA176" i="63" s="1"/>
  <c r="EZ54" i="63"/>
  <c r="EZ2" i="63"/>
  <c r="EZ58" i="63"/>
  <c r="FH58" i="63" s="1"/>
  <c r="EW72" i="63"/>
  <c r="EW73" i="63" s="1"/>
  <c r="EW83" i="63" l="1"/>
  <c r="EW82" i="63"/>
  <c r="EZ59" i="63"/>
  <c r="FH59" i="63" s="1"/>
  <c r="EV85" i="63"/>
  <c r="EV87" i="63" s="1"/>
  <c r="EV103" i="63" s="1"/>
  <c r="EV105" i="63" s="1"/>
  <c r="EV107" i="63" s="1"/>
  <c r="EV108" i="63" s="1"/>
  <c r="EW81" i="63"/>
  <c r="FD53" i="63"/>
  <c r="FD173" i="63" s="1"/>
  <c r="FC1" i="63"/>
  <c r="EY79" i="63"/>
  <c r="EZ61" i="63"/>
  <c r="EZ63" i="63"/>
  <c r="EU103" i="63"/>
  <c r="EU105" i="63" s="1"/>
  <c r="EU107" i="63" s="1"/>
  <c r="EU108" i="63" s="1"/>
  <c r="EX72" i="63"/>
  <c r="EX73" i="63" s="1"/>
  <c r="EY98" i="63"/>
  <c r="EZ65" i="63"/>
  <c r="FA185" i="63"/>
  <c r="FA186" i="63"/>
  <c r="FA138" i="63" s="1"/>
  <c r="FA177" i="63"/>
  <c r="FA134" i="63" s="1"/>
  <c r="FA167" i="63"/>
  <c r="FA135" i="63"/>
  <c r="FA136" i="63"/>
  <c r="FA64" i="63"/>
  <c r="FM64" i="63" s="1"/>
  <c r="FA62" i="63"/>
  <c r="FM62" i="63" s="1"/>
  <c r="FB55" i="63"/>
  <c r="FB176" i="63" s="1"/>
  <c r="FA60" i="63"/>
  <c r="FM60" i="63" s="1"/>
  <c r="FA2" i="63"/>
  <c r="FA58" i="63"/>
  <c r="FM58" i="63" s="1"/>
  <c r="FA54" i="63"/>
  <c r="EZ68" i="63"/>
  <c r="EZ84" i="63" s="1"/>
  <c r="EY71" i="63"/>
  <c r="EY116" i="63"/>
  <c r="EW85" i="63" l="1"/>
  <c r="EW87" i="63" s="1"/>
  <c r="EW103" i="63" s="1"/>
  <c r="EW105" i="63" s="1"/>
  <c r="EW107" i="63" s="1"/>
  <c r="EW108" i="63" s="1"/>
  <c r="EX82" i="63"/>
  <c r="EX83" i="63"/>
  <c r="EX81" i="63"/>
  <c r="EU110" i="63"/>
  <c r="EZ114" i="63"/>
  <c r="EZ115" i="63"/>
  <c r="EZ113" i="63"/>
  <c r="EZ95" i="63"/>
  <c r="EZ101" i="63"/>
  <c r="EZ102" i="63"/>
  <c r="EZ76" i="63" s="1"/>
  <c r="EZ92" i="63"/>
  <c r="EZ94" i="63"/>
  <c r="EZ93" i="63"/>
  <c r="EZ96" i="63"/>
  <c r="FH63" i="63"/>
  <c r="FA63" i="63"/>
  <c r="EZ91" i="63"/>
  <c r="EZ97" i="63"/>
  <c r="EZ104" i="63"/>
  <c r="EV110" i="63"/>
  <c r="EY72" i="63"/>
  <c r="EY73" i="63" s="1"/>
  <c r="FH68" i="63"/>
  <c r="EZ71" i="63"/>
  <c r="FA68" i="63"/>
  <c r="FA84" i="63" s="1"/>
  <c r="FD1" i="63"/>
  <c r="FE53" i="63"/>
  <c r="FE173" i="63" s="1"/>
  <c r="FA59" i="63"/>
  <c r="FH61" i="63"/>
  <c r="FA61" i="63"/>
  <c r="EZ78" i="63"/>
  <c r="EZ77" i="63"/>
  <c r="FB185" i="63"/>
  <c r="FB186" i="63"/>
  <c r="FB138" i="63" s="1"/>
  <c r="FB177" i="63"/>
  <c r="FB134" i="63" s="1"/>
  <c r="FB136" i="63"/>
  <c r="FB135" i="63"/>
  <c r="FB167" i="63"/>
  <c r="FB64" i="63"/>
  <c r="FN64" i="63" s="1"/>
  <c r="FC55" i="63"/>
  <c r="FC176" i="63" s="1"/>
  <c r="FB60" i="63"/>
  <c r="FN60" i="63" s="1"/>
  <c r="FB2" i="63"/>
  <c r="FB58" i="63"/>
  <c r="FN58" i="63" s="1"/>
  <c r="FB54" i="63"/>
  <c r="FB62" i="63"/>
  <c r="FN62" i="63" s="1"/>
  <c r="FA65" i="63"/>
  <c r="FH65" i="63"/>
  <c r="EY82" i="63" l="1"/>
  <c r="EY83" i="63"/>
  <c r="EY81" i="63"/>
  <c r="FB61" i="63"/>
  <c r="FM61" i="63"/>
  <c r="FA78" i="63"/>
  <c r="FA77" i="63"/>
  <c r="FB59" i="63"/>
  <c r="FM59" i="63"/>
  <c r="FA71" i="63"/>
  <c r="FB68" i="63"/>
  <c r="FB84" i="63" s="1"/>
  <c r="FM68" i="63"/>
  <c r="EZ79" i="63"/>
  <c r="EW110" i="63"/>
  <c r="EZ72" i="63"/>
  <c r="EZ73" i="63" s="1"/>
  <c r="EZ98" i="63"/>
  <c r="FM65" i="63"/>
  <c r="FB65" i="63"/>
  <c r="FC185" i="63"/>
  <c r="FC186" i="63"/>
  <c r="FC138" i="63" s="1"/>
  <c r="FC177" i="63"/>
  <c r="FC134" i="63" s="1"/>
  <c r="FC136" i="63"/>
  <c r="FC135" i="63"/>
  <c r="FC167" i="63"/>
  <c r="FC62" i="63"/>
  <c r="FO62" i="63" s="1"/>
  <c r="FC60" i="63"/>
  <c r="FO60" i="63" s="1"/>
  <c r="FC2" i="63"/>
  <c r="FC64" i="63"/>
  <c r="FO64" i="63" s="1"/>
  <c r="FC58" i="63"/>
  <c r="FO58" i="63" s="1"/>
  <c r="FC54" i="63"/>
  <c r="FD55" i="63"/>
  <c r="FD176" i="63" s="1"/>
  <c r="FF53" i="63"/>
  <c r="FF173" i="63" s="1"/>
  <c r="FA114" i="63"/>
  <c r="FA115" i="63"/>
  <c r="FA97" i="63"/>
  <c r="FA95" i="63"/>
  <c r="FB63" i="63"/>
  <c r="FM63" i="63"/>
  <c r="FA94" i="63"/>
  <c r="FA92" i="63"/>
  <c r="FA93" i="63"/>
  <c r="FA102" i="63"/>
  <c r="FA76" i="63" s="1"/>
  <c r="FA101" i="63"/>
  <c r="FA96" i="63"/>
  <c r="FA91" i="63"/>
  <c r="FA113" i="63"/>
  <c r="FA104" i="63"/>
  <c r="EX85" i="63"/>
  <c r="EX87" i="63" s="1"/>
  <c r="EZ116" i="63"/>
  <c r="EZ82" i="63" l="1"/>
  <c r="EZ83" i="63"/>
  <c r="FA79" i="63"/>
  <c r="EY85" i="63"/>
  <c r="EY87" i="63" s="1"/>
  <c r="EY103" i="63" s="1"/>
  <c r="EY105" i="63" s="1"/>
  <c r="EY107" i="63" s="1"/>
  <c r="EY108" i="63" s="1"/>
  <c r="FA116" i="63"/>
  <c r="EZ81" i="63"/>
  <c r="FA98" i="63"/>
  <c r="FD186" i="63"/>
  <c r="FD138" i="63" s="1"/>
  <c r="FD185" i="63"/>
  <c r="FD177" i="63"/>
  <c r="FD134" i="63" s="1"/>
  <c r="FD136" i="63"/>
  <c r="FD167" i="63"/>
  <c r="FD135" i="63"/>
  <c r="FD62" i="63"/>
  <c r="FP62" i="63" s="1"/>
  <c r="FD60" i="63"/>
  <c r="FP60" i="63" s="1"/>
  <c r="FD2" i="63"/>
  <c r="FD64" i="63"/>
  <c r="FP64" i="63" s="1"/>
  <c r="FD58" i="63"/>
  <c r="FP58" i="63" s="1"/>
  <c r="FD54" i="63"/>
  <c r="FE55" i="63"/>
  <c r="FE176" i="63" s="1"/>
  <c r="FN65" i="63"/>
  <c r="FC65" i="63"/>
  <c r="FB114" i="63"/>
  <c r="FB92" i="63"/>
  <c r="FB97" i="63"/>
  <c r="FB95" i="63"/>
  <c r="FC63" i="63"/>
  <c r="FB115" i="63"/>
  <c r="FB91" i="63"/>
  <c r="FB94" i="63"/>
  <c r="FB96" i="63"/>
  <c r="FN63" i="63"/>
  <c r="FB102" i="63"/>
  <c r="FB76" i="63" s="1"/>
  <c r="FB113" i="63"/>
  <c r="FB101" i="63"/>
  <c r="FB93" i="63"/>
  <c r="FB104" i="63"/>
  <c r="FC68" i="63"/>
  <c r="FC84" i="63" s="1"/>
  <c r="FB71" i="63"/>
  <c r="FN68" i="63"/>
  <c r="FC61" i="63"/>
  <c r="FN61" i="63"/>
  <c r="FB77" i="63"/>
  <c r="FB78" i="63"/>
  <c r="FA72" i="63"/>
  <c r="FA73" i="63" s="1"/>
  <c r="FN59" i="63"/>
  <c r="FC59" i="63"/>
  <c r="EX103" i="63"/>
  <c r="EX105" i="63" s="1"/>
  <c r="EX107" i="63" s="1"/>
  <c r="EX108" i="63" s="1"/>
  <c r="FA82" i="63" l="1"/>
  <c r="FA83" i="63"/>
  <c r="EZ85" i="63"/>
  <c r="EZ87" i="63" s="1"/>
  <c r="EZ103" i="63" s="1"/>
  <c r="EZ105" i="63" s="1"/>
  <c r="EZ107" i="63" s="1"/>
  <c r="EZ108" i="63" s="1"/>
  <c r="FB79" i="63"/>
  <c r="EY110" i="63"/>
  <c r="FA81" i="63"/>
  <c r="FC115" i="63"/>
  <c r="FC114" i="63"/>
  <c r="FC92" i="63"/>
  <c r="FC102" i="63"/>
  <c r="FC76" i="63" s="1"/>
  <c r="FC95" i="63"/>
  <c r="FD63" i="63"/>
  <c r="FC96" i="63"/>
  <c r="FO63" i="63"/>
  <c r="FC93" i="63"/>
  <c r="FC91" i="63"/>
  <c r="FC113" i="63"/>
  <c r="FC97" i="63"/>
  <c r="FC94" i="63"/>
  <c r="FC101" i="63"/>
  <c r="FC104" i="63"/>
  <c r="FE186" i="63"/>
  <c r="FE138" i="63" s="1"/>
  <c r="FE185" i="63"/>
  <c r="FE177" i="63"/>
  <c r="FE134" i="63" s="1"/>
  <c r="FE136" i="63"/>
  <c r="FE167" i="63"/>
  <c r="FE135" i="63"/>
  <c r="FE62" i="63"/>
  <c r="FE64" i="63"/>
  <c r="FE60" i="63"/>
  <c r="FE58" i="63"/>
  <c r="FE54" i="63"/>
  <c r="FF55" i="63"/>
  <c r="FF176" i="63" s="1"/>
  <c r="EX110" i="63"/>
  <c r="FB116" i="63"/>
  <c r="FB72" i="63"/>
  <c r="FB73" i="63" s="1"/>
  <c r="FO61" i="63"/>
  <c r="FD61" i="63"/>
  <c r="FC77" i="63"/>
  <c r="FC78" i="63"/>
  <c r="FC71" i="63"/>
  <c r="FO68" i="63"/>
  <c r="FD68" i="63"/>
  <c r="FD84" i="63" s="1"/>
  <c r="FD65" i="63"/>
  <c r="FO65" i="63"/>
  <c r="FB98" i="63"/>
  <c r="FO59" i="63"/>
  <c r="FD59" i="63"/>
  <c r="I12" i="63" l="1"/>
  <c r="I9" i="63"/>
  <c r="EY118" i="63"/>
  <c r="EJ118" i="63"/>
  <c r="EI118" i="63"/>
  <c r="EL118" i="63"/>
  <c r="EK118" i="63"/>
  <c r="EK205" i="63" s="1"/>
  <c r="EN118" i="63"/>
  <c r="EN120" i="63" s="1"/>
  <c r="EM118" i="63"/>
  <c r="EM120" i="63" s="1"/>
  <c r="EO118" i="63"/>
  <c r="EO120" i="63" s="1"/>
  <c r="EP118" i="63"/>
  <c r="EP120" i="63" s="1"/>
  <c r="EQ118" i="63"/>
  <c r="EQ120" i="63" s="1"/>
  <c r="ER118" i="63"/>
  <c r="ER120" i="63" s="1"/>
  <c r="ES118" i="63"/>
  <c r="ES120" i="63" s="1"/>
  <c r="ET118" i="63"/>
  <c r="ET120" i="63" s="1"/>
  <c r="EV118" i="63"/>
  <c r="EV120" i="63" s="1"/>
  <c r="EU118" i="63"/>
  <c r="EU120" i="63" s="1"/>
  <c r="EW118" i="63"/>
  <c r="EW120" i="63" s="1"/>
  <c r="EX118" i="63"/>
  <c r="DS118" i="63"/>
  <c r="DT118" i="63"/>
  <c r="DU118" i="63"/>
  <c r="DU205" i="63" s="1"/>
  <c r="DV118" i="63"/>
  <c r="DV205" i="63" s="1"/>
  <c r="DX118" i="63"/>
  <c r="DW118" i="63"/>
  <c r="DW205" i="63" s="1"/>
  <c r="DY118" i="63"/>
  <c r="DY205" i="63" s="1"/>
  <c r="DZ118" i="63"/>
  <c r="EA118" i="63"/>
  <c r="EB118" i="63"/>
  <c r="EC118" i="63"/>
  <c r="EC205" i="63" s="1"/>
  <c r="ED118" i="63"/>
  <c r="ED205" i="63" s="1"/>
  <c r="EF118" i="63"/>
  <c r="EE118" i="63"/>
  <c r="EE205" i="63" s="1"/>
  <c r="EG118" i="63"/>
  <c r="EG205" i="63" s="1"/>
  <c r="EH118" i="63"/>
  <c r="F118" i="63"/>
  <c r="F175" i="63" s="1"/>
  <c r="F176" i="63" s="1"/>
  <c r="H118" i="63"/>
  <c r="G118" i="63"/>
  <c r="G205" i="63" s="1"/>
  <c r="J118" i="63"/>
  <c r="J205" i="63" s="1"/>
  <c r="L118" i="63"/>
  <c r="M118" i="63"/>
  <c r="M205" i="63" s="1"/>
  <c r="I118" i="63"/>
  <c r="I205" i="63" s="1"/>
  <c r="N118" i="63"/>
  <c r="K118" i="63"/>
  <c r="P118" i="63"/>
  <c r="S118" i="63"/>
  <c r="S205" i="63" s="1"/>
  <c r="O118" i="63"/>
  <c r="O205" i="63" s="1"/>
  <c r="Q118" i="63"/>
  <c r="R118" i="63"/>
  <c r="R205" i="63" s="1"/>
  <c r="T118" i="63"/>
  <c r="T205" i="63" s="1"/>
  <c r="U118" i="63"/>
  <c r="V118" i="63"/>
  <c r="W118" i="63"/>
  <c r="X118" i="63"/>
  <c r="X205" i="63" s="1"/>
  <c r="Z118" i="63"/>
  <c r="Z205" i="63" s="1"/>
  <c r="Y118" i="63"/>
  <c r="AA118" i="63"/>
  <c r="AA205" i="63" s="1"/>
  <c r="AB118" i="63"/>
  <c r="AB205" i="63" s="1"/>
  <c r="AC118" i="63"/>
  <c r="AC205" i="63" s="1"/>
  <c r="AD118" i="63"/>
  <c r="AD205" i="63" s="1"/>
  <c r="AE118" i="63"/>
  <c r="AF118" i="63"/>
  <c r="AF205" i="63" s="1"/>
  <c r="AH118" i="63"/>
  <c r="AH205" i="63" s="1"/>
  <c r="AI118" i="63"/>
  <c r="AG118" i="63"/>
  <c r="AG205" i="63" s="1"/>
  <c r="AJ118" i="63"/>
  <c r="AJ205" i="63" s="1"/>
  <c r="AK118" i="63"/>
  <c r="AK205" i="63" s="1"/>
  <c r="AL118" i="63"/>
  <c r="AL205" i="63" s="1"/>
  <c r="AM118" i="63"/>
  <c r="AM205" i="63" s="1"/>
  <c r="AN118" i="63"/>
  <c r="AN205" i="63" s="1"/>
  <c r="AP118" i="63"/>
  <c r="AP205" i="63" s="1"/>
  <c r="AQ118" i="63"/>
  <c r="AO118" i="63"/>
  <c r="AO205" i="63" s="1"/>
  <c r="AR118" i="63"/>
  <c r="AR205" i="63" s="1"/>
  <c r="AS118" i="63"/>
  <c r="AS205" i="63" s="1"/>
  <c r="AT118" i="63"/>
  <c r="AU118" i="63"/>
  <c r="AV118" i="63"/>
  <c r="AV205" i="63" s="1"/>
  <c r="AW118" i="63"/>
  <c r="AW205" i="63" s="1"/>
  <c r="AX118" i="63"/>
  <c r="AY118" i="63"/>
  <c r="AY205" i="63" s="1"/>
  <c r="AZ118" i="63"/>
  <c r="AZ205" i="63" s="1"/>
  <c r="BA118" i="63"/>
  <c r="BA205" i="63" s="1"/>
  <c r="BB118" i="63"/>
  <c r="BC118" i="63"/>
  <c r="BC205" i="63" s="1"/>
  <c r="BD118" i="63"/>
  <c r="BD205" i="63" s="1"/>
  <c r="BF118" i="63"/>
  <c r="BF205" i="63" s="1"/>
  <c r="BE118" i="63"/>
  <c r="BG118" i="63"/>
  <c r="BG205" i="63" s="1"/>
  <c r="BH118" i="63"/>
  <c r="BH205" i="63" s="1"/>
  <c r="BI118" i="63"/>
  <c r="BJ118" i="63"/>
  <c r="BJ205" i="63" s="1"/>
  <c r="BK118" i="63"/>
  <c r="BK205" i="63" s="1"/>
  <c r="BL118" i="63"/>
  <c r="BL205" i="63" s="1"/>
  <c r="BM118" i="63"/>
  <c r="BM205" i="63" s="1"/>
  <c r="BN118" i="63"/>
  <c r="BP118" i="63"/>
  <c r="BP205" i="63" s="1"/>
  <c r="BO118" i="63"/>
  <c r="BO205" i="63" s="1"/>
  <c r="BQ118" i="63"/>
  <c r="BQ205" i="63" s="1"/>
  <c r="BR118" i="63"/>
  <c r="BR205" i="63" s="1"/>
  <c r="BS118" i="63"/>
  <c r="BT118" i="63"/>
  <c r="BT205" i="63" s="1"/>
  <c r="BV118" i="63"/>
  <c r="BV205" i="63" s="1"/>
  <c r="BW118" i="63"/>
  <c r="BU118" i="63"/>
  <c r="BU205" i="63" s="1"/>
  <c r="BX118" i="63"/>
  <c r="BX205" i="63" s="1"/>
  <c r="BY118" i="63"/>
  <c r="BY205" i="63" s="1"/>
  <c r="BZ118" i="63"/>
  <c r="BZ205" i="63" s="1"/>
  <c r="CA118" i="63"/>
  <c r="CA205" i="63" s="1"/>
  <c r="CB118" i="63"/>
  <c r="CB205" i="63" s="1"/>
  <c r="CC118" i="63"/>
  <c r="CC205" i="63" s="1"/>
  <c r="CD118" i="63"/>
  <c r="CE118" i="63"/>
  <c r="CE205" i="63" s="1"/>
  <c r="CF118" i="63"/>
  <c r="CF205" i="63" s="1"/>
  <c r="CG118" i="63"/>
  <c r="CG205" i="63" s="1"/>
  <c r="CI118" i="63"/>
  <c r="CI205" i="63" s="1"/>
  <c r="CH118" i="63"/>
  <c r="CH205" i="63" s="1"/>
  <c r="CK118" i="63"/>
  <c r="CK205" i="63" s="1"/>
  <c r="CJ118" i="63"/>
  <c r="CJ205" i="63" s="1"/>
  <c r="CL118" i="63"/>
  <c r="CM118" i="63"/>
  <c r="CM205" i="63" s="1"/>
  <c r="CN118" i="63"/>
  <c r="CN205" i="63" s="1"/>
  <c r="CO118" i="63"/>
  <c r="CO205" i="63" s="1"/>
  <c r="CP118" i="63"/>
  <c r="CP205" i="63" s="1"/>
  <c r="CQ118" i="63"/>
  <c r="CQ205" i="63" s="1"/>
  <c r="CR118" i="63"/>
  <c r="CR205" i="63" s="1"/>
  <c r="CS118" i="63"/>
  <c r="CS205" i="63" s="1"/>
  <c r="CU118" i="63"/>
  <c r="CT118" i="63"/>
  <c r="CT205" i="63" s="1"/>
  <c r="CV118" i="63"/>
  <c r="CV205" i="63" s="1"/>
  <c r="CW118" i="63"/>
  <c r="CW205" i="63" s="1"/>
  <c r="CZ118" i="63"/>
  <c r="CZ205" i="63" s="1"/>
  <c r="CY118" i="63"/>
  <c r="CY205" i="63" s="1"/>
  <c r="CX118" i="63"/>
  <c r="CX205" i="63" s="1"/>
  <c r="DA118" i="63"/>
  <c r="DA205" i="63" s="1"/>
  <c r="DB118" i="63"/>
  <c r="DC118" i="63"/>
  <c r="DC205" i="63" s="1"/>
  <c r="DD118" i="63"/>
  <c r="DD205" i="63" s="1"/>
  <c r="DE118" i="63"/>
  <c r="DE205" i="63" s="1"/>
  <c r="DF118" i="63"/>
  <c r="DF205" i="63" s="1"/>
  <c r="DG118" i="63"/>
  <c r="DG205" i="63" s="1"/>
  <c r="DH118" i="63"/>
  <c r="DH205" i="63" s="1"/>
  <c r="DI118" i="63"/>
  <c r="DI205" i="63" s="1"/>
  <c r="DK118" i="63"/>
  <c r="DJ118" i="63"/>
  <c r="DJ205" i="63" s="1"/>
  <c r="DL118" i="63"/>
  <c r="DL205" i="63" s="1"/>
  <c r="DM118" i="63"/>
  <c r="DM205" i="63" s="1"/>
  <c r="DN118" i="63"/>
  <c r="DN205" i="63" s="1"/>
  <c r="DO118" i="63"/>
  <c r="DO205" i="63" s="1"/>
  <c r="DP118" i="63"/>
  <c r="DP205" i="63" s="1"/>
  <c r="DQ118" i="63"/>
  <c r="DQ205" i="63" s="1"/>
  <c r="DR118" i="63"/>
  <c r="F207" i="63"/>
  <c r="G207" i="63"/>
  <c r="H207" i="63"/>
  <c r="J207" i="63"/>
  <c r="F205" i="63"/>
  <c r="I207" i="63"/>
  <c r="K207" i="63"/>
  <c r="L207" i="63"/>
  <c r="M207" i="63"/>
  <c r="N207" i="63"/>
  <c r="O207" i="63"/>
  <c r="P207" i="63"/>
  <c r="Q207" i="63"/>
  <c r="H205" i="63"/>
  <c r="R207" i="63"/>
  <c r="S207" i="63"/>
  <c r="T207" i="63"/>
  <c r="L205" i="63"/>
  <c r="U207" i="63"/>
  <c r="V207" i="63"/>
  <c r="N205" i="63"/>
  <c r="W207" i="63"/>
  <c r="X207" i="63"/>
  <c r="Y207" i="63"/>
  <c r="Z207" i="63"/>
  <c r="P205" i="63"/>
  <c r="K205" i="63"/>
  <c r="AA207" i="63"/>
  <c r="Q205" i="63"/>
  <c r="AB207" i="63"/>
  <c r="AC207" i="63"/>
  <c r="AD207" i="63"/>
  <c r="AE207" i="63"/>
  <c r="U205" i="63"/>
  <c r="AF207" i="63"/>
  <c r="V205" i="63"/>
  <c r="AG207" i="63"/>
  <c r="W205" i="63"/>
  <c r="AH207" i="63"/>
  <c r="AI207" i="63"/>
  <c r="Y205" i="63"/>
  <c r="AJ207" i="63"/>
  <c r="AK207" i="63"/>
  <c r="AL207" i="63"/>
  <c r="AM207" i="63"/>
  <c r="AN207" i="63"/>
  <c r="AE205" i="63"/>
  <c r="AO207" i="63"/>
  <c r="AP207" i="63"/>
  <c r="AQ207" i="63"/>
  <c r="AI205" i="63"/>
  <c r="AR207" i="63"/>
  <c r="AS207" i="63"/>
  <c r="AT207" i="63"/>
  <c r="AU207" i="63"/>
  <c r="AV207" i="63"/>
  <c r="AW207" i="63"/>
  <c r="AX207" i="63"/>
  <c r="AY207" i="63"/>
  <c r="AQ205" i="63"/>
  <c r="AZ207" i="63"/>
  <c r="BA207" i="63"/>
  <c r="BB207" i="63"/>
  <c r="BC207" i="63"/>
  <c r="BD207" i="63"/>
  <c r="AT205" i="63"/>
  <c r="BE207" i="63"/>
  <c r="AU205" i="63"/>
  <c r="BF207" i="63"/>
  <c r="AX205" i="63"/>
  <c r="BG207" i="63"/>
  <c r="BH207" i="63"/>
  <c r="BI207" i="63"/>
  <c r="BJ207" i="63"/>
  <c r="BK207" i="63"/>
  <c r="BB205" i="63"/>
  <c r="BL207" i="63"/>
  <c r="BM207" i="63"/>
  <c r="BN207" i="63"/>
  <c r="BE205" i="63"/>
  <c r="BO207" i="63"/>
  <c r="BP207" i="63"/>
  <c r="BQ207" i="63"/>
  <c r="BR207" i="63"/>
  <c r="BI205" i="63"/>
  <c r="BS207" i="63"/>
  <c r="BT207" i="63"/>
  <c r="BU207" i="63"/>
  <c r="BV207" i="63"/>
  <c r="BN205" i="63"/>
  <c r="BW207" i="63"/>
  <c r="BX207" i="63"/>
  <c r="BY207" i="63"/>
  <c r="BZ207" i="63"/>
  <c r="CA207" i="63"/>
  <c r="CB207" i="63"/>
  <c r="BS205" i="63"/>
  <c r="CC207" i="63"/>
  <c r="CD207" i="63"/>
  <c r="CE207" i="63"/>
  <c r="BW205" i="63"/>
  <c r="CF207" i="63"/>
  <c r="CG207" i="63"/>
  <c r="CH207" i="63"/>
  <c r="CI207" i="63"/>
  <c r="CJ207" i="63"/>
  <c r="CK207" i="63"/>
  <c r="CL207" i="63"/>
  <c r="CM207" i="63"/>
  <c r="CD205" i="63"/>
  <c r="CN207" i="63"/>
  <c r="CO207" i="63"/>
  <c r="CP207" i="63"/>
  <c r="CQ207" i="63"/>
  <c r="CR207" i="63"/>
  <c r="CS207" i="63"/>
  <c r="CT207" i="63"/>
  <c r="CU207" i="63"/>
  <c r="CV207" i="63"/>
  <c r="CL205" i="63"/>
  <c r="CW207" i="63"/>
  <c r="CX207" i="63"/>
  <c r="CY207" i="63"/>
  <c r="CZ207" i="63"/>
  <c r="DA207" i="63"/>
  <c r="DB207" i="63"/>
  <c r="DC207" i="63"/>
  <c r="DD207" i="63"/>
  <c r="CU205" i="63"/>
  <c r="DE207" i="63"/>
  <c r="DF207" i="63"/>
  <c r="DG207" i="63"/>
  <c r="DH207" i="63"/>
  <c r="DI207" i="63"/>
  <c r="DJ207" i="63"/>
  <c r="DK207" i="63"/>
  <c r="DB205" i="63"/>
  <c r="DL207" i="63"/>
  <c r="DM207" i="63"/>
  <c r="DN207" i="63"/>
  <c r="DO207" i="63"/>
  <c r="DP207" i="63"/>
  <c r="DQ207" i="63"/>
  <c r="DR207" i="63"/>
  <c r="DS207" i="63"/>
  <c r="DK205" i="63"/>
  <c r="DT207" i="63"/>
  <c r="DU207" i="63"/>
  <c r="DV207" i="63"/>
  <c r="DW207" i="63"/>
  <c r="DX207" i="63"/>
  <c r="DY207" i="63"/>
  <c r="DZ207" i="63"/>
  <c r="DR205" i="63"/>
  <c r="EA207" i="63"/>
  <c r="DS205" i="63"/>
  <c r="EB207" i="63"/>
  <c r="EC207" i="63"/>
  <c r="ED207" i="63"/>
  <c r="DT205" i="63"/>
  <c r="EE207" i="63"/>
  <c r="EF207" i="63"/>
  <c r="EG207" i="63"/>
  <c r="DX205" i="63"/>
  <c r="EH207" i="63"/>
  <c r="EI207" i="63"/>
  <c r="DZ205" i="63"/>
  <c r="EJ207" i="63"/>
  <c r="EA205" i="63"/>
  <c r="EB205" i="63"/>
  <c r="EK207" i="63"/>
  <c r="EL207" i="63"/>
  <c r="EM207" i="63"/>
  <c r="EN207" i="63"/>
  <c r="EO207" i="63"/>
  <c r="EF205" i="63"/>
  <c r="EP207" i="63"/>
  <c r="EQ207" i="63"/>
  <c r="EH205" i="63"/>
  <c r="ER207" i="63"/>
  <c r="ES207" i="63"/>
  <c r="EI205" i="63"/>
  <c r="EJ205" i="63"/>
  <c r="ET207" i="63"/>
  <c r="EL205" i="63"/>
  <c r="EU207" i="63"/>
  <c r="EV207" i="63"/>
  <c r="EN205" i="63"/>
  <c r="EW207" i="63"/>
  <c r="EX207" i="63"/>
  <c r="EY207" i="63"/>
  <c r="EZ207" i="63"/>
  <c r="EP205" i="63"/>
  <c r="FA207" i="63"/>
  <c r="EQ205" i="63"/>
  <c r="ER205" i="63"/>
  <c r="FB207" i="63"/>
  <c r="FC207" i="63"/>
  <c r="ET205" i="63"/>
  <c r="FD207" i="63"/>
  <c r="EV205" i="63"/>
  <c r="FE207" i="63"/>
  <c r="FF207" i="63"/>
  <c r="EX205" i="63"/>
  <c r="EY205" i="63"/>
  <c r="EY120" i="63"/>
  <c r="I16" i="63"/>
  <c r="G123" i="63"/>
  <c r="G124" i="63" s="1"/>
  <c r="G127" i="63" s="1"/>
  <c r="F123" i="63"/>
  <c r="H123" i="63"/>
  <c r="H124" i="63" s="1"/>
  <c r="H127" i="63" s="1"/>
  <c r="I123" i="63"/>
  <c r="I124" i="63" s="1"/>
  <c r="I127" i="63" s="1"/>
  <c r="J123" i="63"/>
  <c r="J124" i="63" s="1"/>
  <c r="J127" i="63" s="1"/>
  <c r="K123" i="63"/>
  <c r="K124" i="63" s="1"/>
  <c r="K127" i="63" s="1"/>
  <c r="L123" i="63"/>
  <c r="L124" i="63" s="1"/>
  <c r="L127" i="63" s="1"/>
  <c r="M123" i="63"/>
  <c r="M124" i="63" s="1"/>
  <c r="M127" i="63" s="1"/>
  <c r="N123" i="63"/>
  <c r="N124" i="63" s="1"/>
  <c r="N127" i="63" s="1"/>
  <c r="O123" i="63"/>
  <c r="O124" i="63" s="1"/>
  <c r="O127" i="63" s="1"/>
  <c r="P123" i="63"/>
  <c r="P124" i="63" s="1"/>
  <c r="P127" i="63" s="1"/>
  <c r="Q123" i="63"/>
  <c r="Q124" i="63" s="1"/>
  <c r="Q127" i="63" s="1"/>
  <c r="R123" i="63"/>
  <c r="R124" i="63" s="1"/>
  <c r="R127" i="63" s="1"/>
  <c r="S123" i="63"/>
  <c r="T123" i="63"/>
  <c r="U123" i="63"/>
  <c r="V123" i="63"/>
  <c r="W123" i="63"/>
  <c r="X123" i="63"/>
  <c r="Y123" i="63"/>
  <c r="Z123" i="63"/>
  <c r="AA123" i="63"/>
  <c r="AB123" i="63"/>
  <c r="AC123" i="63"/>
  <c r="AD123" i="63"/>
  <c r="AE123" i="63"/>
  <c r="AF123" i="63"/>
  <c r="AG123" i="63"/>
  <c r="AH123" i="63"/>
  <c r="AI123" i="63"/>
  <c r="AJ123" i="63"/>
  <c r="AK123" i="63"/>
  <c r="AL123" i="63"/>
  <c r="AM123" i="63"/>
  <c r="AN123" i="63"/>
  <c r="AO123" i="63"/>
  <c r="AP123" i="63"/>
  <c r="AQ123" i="63"/>
  <c r="AR123" i="63"/>
  <c r="AS123" i="63"/>
  <c r="AT123" i="63"/>
  <c r="AU123" i="63"/>
  <c r="AV123" i="63"/>
  <c r="AW123" i="63"/>
  <c r="AX123" i="63"/>
  <c r="AY123" i="63"/>
  <c r="AZ123" i="63"/>
  <c r="BA123" i="63"/>
  <c r="BB123" i="63"/>
  <c r="BC123" i="63"/>
  <c r="BD123" i="63"/>
  <c r="BE123" i="63"/>
  <c r="BF123" i="63"/>
  <c r="BG123" i="63"/>
  <c r="BH123" i="63"/>
  <c r="BI123" i="63"/>
  <c r="BJ123" i="63"/>
  <c r="BK123" i="63"/>
  <c r="BL123" i="63"/>
  <c r="BM123" i="63"/>
  <c r="BN123" i="63"/>
  <c r="BO123" i="63"/>
  <c r="BP123" i="63"/>
  <c r="BQ123" i="63"/>
  <c r="BR123" i="63"/>
  <c r="BS123" i="63"/>
  <c r="BT123" i="63"/>
  <c r="BU123" i="63"/>
  <c r="BV123" i="63"/>
  <c r="BW123" i="63"/>
  <c r="BX123" i="63"/>
  <c r="BY123" i="63"/>
  <c r="BZ123" i="63"/>
  <c r="CA123" i="63"/>
  <c r="CB123" i="63"/>
  <c r="CC123" i="63"/>
  <c r="CD123" i="63"/>
  <c r="CE123" i="63"/>
  <c r="CF123" i="63"/>
  <c r="CG123" i="63"/>
  <c r="CH123" i="63"/>
  <c r="CI123" i="63"/>
  <c r="CJ123" i="63"/>
  <c r="CK123" i="63"/>
  <c r="CL123" i="63"/>
  <c r="CM123" i="63"/>
  <c r="CN123" i="63"/>
  <c r="CO123" i="63"/>
  <c r="CP123" i="63"/>
  <c r="CQ123" i="63"/>
  <c r="CR123" i="63"/>
  <c r="CS123" i="63"/>
  <c r="CT123" i="63"/>
  <c r="CU123" i="63"/>
  <c r="CV123" i="63"/>
  <c r="CW123" i="63"/>
  <c r="CX123" i="63"/>
  <c r="CY123" i="63"/>
  <c r="CZ123" i="63"/>
  <c r="DA123" i="63"/>
  <c r="DB123" i="63"/>
  <c r="DC123" i="63"/>
  <c r="DD123" i="63"/>
  <c r="DE123" i="63"/>
  <c r="DF123" i="63"/>
  <c r="DG123" i="63"/>
  <c r="DH123" i="63"/>
  <c r="DI123" i="63"/>
  <c r="DJ123" i="63"/>
  <c r="DK123" i="63"/>
  <c r="DL123" i="63"/>
  <c r="DM123" i="63"/>
  <c r="DN123" i="63"/>
  <c r="DO123" i="63"/>
  <c r="DP123" i="63"/>
  <c r="DQ123" i="63"/>
  <c r="DR123" i="63"/>
  <c r="DS123" i="63"/>
  <c r="DT123" i="63"/>
  <c r="DU123" i="63"/>
  <c r="DV123" i="63"/>
  <c r="DW123" i="63"/>
  <c r="DX123" i="63"/>
  <c r="DY123" i="63"/>
  <c r="DZ123" i="63"/>
  <c r="EA123" i="63"/>
  <c r="EB123" i="63"/>
  <c r="EC123" i="63"/>
  <c r="ED123" i="63"/>
  <c r="EE123" i="63"/>
  <c r="EF123" i="63"/>
  <c r="EG123" i="63"/>
  <c r="EH123" i="63"/>
  <c r="EI123" i="63"/>
  <c r="EJ123" i="63"/>
  <c r="EK123" i="63"/>
  <c r="EL123" i="63"/>
  <c r="EM123" i="63"/>
  <c r="EN123" i="63"/>
  <c r="EO123" i="63"/>
  <c r="EP123" i="63"/>
  <c r="EQ123" i="63"/>
  <c r="ER123" i="63"/>
  <c r="ES123" i="63"/>
  <c r="ET123" i="63"/>
  <c r="EU123" i="63"/>
  <c r="EV123" i="63"/>
  <c r="EW123" i="63"/>
  <c r="EX123" i="63"/>
  <c r="EY123" i="63"/>
  <c r="EZ123" i="63"/>
  <c r="FA123" i="63"/>
  <c r="FB123" i="63"/>
  <c r="FC123" i="63"/>
  <c r="FD123" i="63"/>
  <c r="FE123" i="63"/>
  <c r="FF123" i="63"/>
  <c r="FB83" i="63"/>
  <c r="FB82" i="63"/>
  <c r="FC116" i="63"/>
  <c r="EZ110" i="63"/>
  <c r="EX120" i="63"/>
  <c r="FB81" i="63"/>
  <c r="FE61" i="63"/>
  <c r="FP61" i="63"/>
  <c r="FD78" i="63"/>
  <c r="FD77" i="63"/>
  <c r="FC79" i="63"/>
  <c r="FD71" i="63"/>
  <c r="FE68" i="63"/>
  <c r="FE84" i="63" s="1"/>
  <c r="FP68" i="63"/>
  <c r="FF186" i="63"/>
  <c r="FF185" i="63"/>
  <c r="FF177" i="63"/>
  <c r="FF136" i="63"/>
  <c r="FF167" i="63"/>
  <c r="FF135" i="63"/>
  <c r="FF60" i="63"/>
  <c r="FF64" i="63"/>
  <c r="FF58" i="63"/>
  <c r="FF54" i="63"/>
  <c r="FF62" i="63"/>
  <c r="I10" i="63"/>
  <c r="I11" i="63"/>
  <c r="E11" i="63"/>
  <c r="E12" i="63"/>
  <c r="G12" i="63" s="1"/>
  <c r="FC98" i="63"/>
  <c r="FA85" i="63"/>
  <c r="FA87" i="63" s="1"/>
  <c r="FD115" i="63"/>
  <c r="FD101" i="63"/>
  <c r="FD96" i="63"/>
  <c r="FD92" i="63"/>
  <c r="FD102" i="63"/>
  <c r="FD76" i="63" s="1"/>
  <c r="FD114" i="63"/>
  <c r="FP63" i="63"/>
  <c r="FE63" i="63"/>
  <c r="FD93" i="63"/>
  <c r="FD94" i="63"/>
  <c r="FD95" i="63"/>
  <c r="FD97" i="63"/>
  <c r="FD91" i="63"/>
  <c r="FD113" i="63"/>
  <c r="FD104" i="63"/>
  <c r="FE65" i="63"/>
  <c r="FP65" i="63"/>
  <c r="FE59" i="63"/>
  <c r="FP59" i="63"/>
  <c r="FC72" i="63"/>
  <c r="FC73" i="63" s="1"/>
  <c r="ES205" i="63" l="1"/>
  <c r="F124" i="63"/>
  <c r="F127" i="63" s="1"/>
  <c r="E123" i="63"/>
  <c r="FJ146" i="63"/>
  <c r="FI146" i="63"/>
  <c r="FL146" i="63"/>
  <c r="FK146" i="63"/>
  <c r="FN146" i="63"/>
  <c r="FM146" i="63"/>
  <c r="FP146" i="63"/>
  <c r="FO146" i="63"/>
  <c r="FQ146" i="63"/>
  <c r="FR146" i="63"/>
  <c r="FS146" i="63"/>
  <c r="FU146" i="63"/>
  <c r="FT146" i="63"/>
  <c r="EU205" i="63"/>
  <c r="EM205" i="63"/>
  <c r="EY122" i="63"/>
  <c r="EY124" i="63" s="1"/>
  <c r="EY127" i="63" s="1"/>
  <c r="EO205" i="63"/>
  <c r="EX122" i="63"/>
  <c r="EX124" i="63" s="1"/>
  <c r="EW205" i="63"/>
  <c r="EG120" i="63"/>
  <c r="ER122" i="63"/>
  <c r="ER124" i="63" s="1"/>
  <c r="DY120" i="63"/>
  <c r="EJ122" i="63"/>
  <c r="EJ124" i="63" s="1"/>
  <c r="EE120" i="63"/>
  <c r="EP122" i="63"/>
  <c r="EP124" i="63" s="1"/>
  <c r="EF120" i="63"/>
  <c r="EQ122" i="63"/>
  <c r="EQ124" i="63" s="1"/>
  <c r="DX120" i="63"/>
  <c r="EI122" i="63"/>
  <c r="EI124" i="63" s="1"/>
  <c r="ED120" i="63"/>
  <c r="EO122" i="63"/>
  <c r="EO124" i="63" s="1"/>
  <c r="EK120" i="63"/>
  <c r="EV122" i="63"/>
  <c r="EV124" i="63" s="1"/>
  <c r="EC120" i="63"/>
  <c r="EN122" i="63"/>
  <c r="EN124" i="63" s="1"/>
  <c r="EL120" i="63"/>
  <c r="EW122" i="63"/>
  <c r="EW124" i="63" s="1"/>
  <c r="EB120" i="63"/>
  <c r="EM122" i="63"/>
  <c r="EM124" i="63" s="1"/>
  <c r="EI120" i="63"/>
  <c r="ET122" i="63"/>
  <c r="ET124" i="63" s="1"/>
  <c r="EA120" i="63"/>
  <c r="EL122" i="63"/>
  <c r="EL124" i="63" s="1"/>
  <c r="EJ120" i="63"/>
  <c r="EU122" i="63"/>
  <c r="EU124" i="63" s="1"/>
  <c r="EH120" i="63"/>
  <c r="ES122" i="63"/>
  <c r="ES124" i="63" s="1"/>
  <c r="DZ120" i="63"/>
  <c r="EK122" i="63"/>
  <c r="EK124" i="63" s="1"/>
  <c r="DR120" i="63"/>
  <c r="EC122" i="63"/>
  <c r="EC124" i="63" s="1"/>
  <c r="DQ120" i="63"/>
  <c r="EB122" i="63"/>
  <c r="EB124" i="63" s="1"/>
  <c r="DP120" i="63"/>
  <c r="EA122" i="63"/>
  <c r="EA124" i="63" s="1"/>
  <c r="DO120" i="63"/>
  <c r="DZ122" i="63"/>
  <c r="DZ124" i="63" s="1"/>
  <c r="DN120" i="63"/>
  <c r="DY122" i="63"/>
  <c r="DY124" i="63" s="1"/>
  <c r="DM120" i="63"/>
  <c r="DX122" i="63"/>
  <c r="DX124" i="63" s="1"/>
  <c r="DL120" i="63"/>
  <c r="DW122" i="63"/>
  <c r="DW124" i="63" s="1"/>
  <c r="DJ120" i="63"/>
  <c r="DU122" i="63"/>
  <c r="DU124" i="63" s="1"/>
  <c r="DK120" i="63"/>
  <c r="DV122" i="63"/>
  <c r="DV124" i="63" s="1"/>
  <c r="DI120" i="63"/>
  <c r="DT122" i="63"/>
  <c r="DT124" i="63" s="1"/>
  <c r="DH120" i="63"/>
  <c r="DS122" i="63"/>
  <c r="DS124" i="63" s="1"/>
  <c r="DW120" i="63"/>
  <c r="EH122" i="63"/>
  <c r="EH124" i="63" s="1"/>
  <c r="DV120" i="63"/>
  <c r="EG122" i="63"/>
  <c r="EG124" i="63" s="1"/>
  <c r="DU120" i="63"/>
  <c r="EF122" i="63"/>
  <c r="EF124" i="63" s="1"/>
  <c r="DT120" i="63"/>
  <c r="EE122" i="63"/>
  <c r="EE124" i="63" s="1"/>
  <c r="DS120" i="63"/>
  <c r="ED122" i="63"/>
  <c r="ED124" i="63" s="1"/>
  <c r="DG120" i="63"/>
  <c r="DR122" i="63"/>
  <c r="DR124" i="63" s="1"/>
  <c r="DF120" i="63"/>
  <c r="DQ122" i="63"/>
  <c r="DQ124" i="63" s="1"/>
  <c r="DE120" i="63"/>
  <c r="DP122" i="63"/>
  <c r="DP124" i="63" s="1"/>
  <c r="DD120" i="63"/>
  <c r="DO122" i="63"/>
  <c r="DO124" i="63" s="1"/>
  <c r="DC120" i="63"/>
  <c r="DN122" i="63"/>
  <c r="DN124" i="63" s="1"/>
  <c r="DB120" i="63"/>
  <c r="DM122" i="63"/>
  <c r="DM124" i="63" s="1"/>
  <c r="DA120" i="63"/>
  <c r="DL122" i="63"/>
  <c r="DL124" i="63" s="1"/>
  <c r="CX120" i="63"/>
  <c r="DI122" i="63"/>
  <c r="DI124" i="63" s="1"/>
  <c r="CY120" i="63"/>
  <c r="DJ122" i="63"/>
  <c r="DJ124" i="63" s="1"/>
  <c r="CZ120" i="63"/>
  <c r="DK122" i="63"/>
  <c r="DK124" i="63" s="1"/>
  <c r="CW120" i="63"/>
  <c r="DH122" i="63"/>
  <c r="DH124" i="63" s="1"/>
  <c r="CV120" i="63"/>
  <c r="DG122" i="63"/>
  <c r="DG124" i="63" s="1"/>
  <c r="CT120" i="63"/>
  <c r="DE122" i="63"/>
  <c r="DE124" i="63" s="1"/>
  <c r="CU120" i="63"/>
  <c r="DF122" i="63"/>
  <c r="DF124" i="63" s="1"/>
  <c r="CS120" i="63"/>
  <c r="DD122" i="63"/>
  <c r="DD124" i="63" s="1"/>
  <c r="CR120" i="63"/>
  <c r="DC122" i="63"/>
  <c r="DC124" i="63" s="1"/>
  <c r="CQ120" i="63"/>
  <c r="DB122" i="63"/>
  <c r="DB124" i="63" s="1"/>
  <c r="CP120" i="63"/>
  <c r="DA122" i="63"/>
  <c r="DA124" i="63" s="1"/>
  <c r="CO120" i="63"/>
  <c r="CZ122" i="63"/>
  <c r="CZ124" i="63" s="1"/>
  <c r="CN120" i="63"/>
  <c r="CY122" i="63"/>
  <c r="CY124" i="63" s="1"/>
  <c r="CM120" i="63"/>
  <c r="CX122" i="63"/>
  <c r="CX124" i="63" s="1"/>
  <c r="CL120" i="63"/>
  <c r="CW122" i="63"/>
  <c r="CW124" i="63" s="1"/>
  <c r="CJ120" i="63"/>
  <c r="CU122" i="63"/>
  <c r="CU124" i="63" s="1"/>
  <c r="CK120" i="63"/>
  <c r="CV122" i="63"/>
  <c r="CV124" i="63" s="1"/>
  <c r="CH120" i="63"/>
  <c r="CS122" i="63"/>
  <c r="CS124" i="63" s="1"/>
  <c r="CI120" i="63"/>
  <c r="CT122" i="63"/>
  <c r="CT124" i="63" s="1"/>
  <c r="CG120" i="63"/>
  <c r="CR122" i="63"/>
  <c r="CR124" i="63" s="1"/>
  <c r="CF120" i="63"/>
  <c r="CQ122" i="63"/>
  <c r="CQ124" i="63" s="1"/>
  <c r="CE120" i="63"/>
  <c r="CP122" i="63"/>
  <c r="CP124" i="63" s="1"/>
  <c r="CD120" i="63"/>
  <c r="CO122" i="63"/>
  <c r="CO124" i="63" s="1"/>
  <c r="CC120" i="63"/>
  <c r="CN122" i="63"/>
  <c r="CN124" i="63" s="1"/>
  <c r="CB120" i="63"/>
  <c r="CM122" i="63"/>
  <c r="CM124" i="63" s="1"/>
  <c r="CA120" i="63"/>
  <c r="CL122" i="63"/>
  <c r="CL124" i="63" s="1"/>
  <c r="BZ120" i="63"/>
  <c r="CK122" i="63"/>
  <c r="CK124" i="63" s="1"/>
  <c r="BY120" i="63"/>
  <c r="CJ122" i="63"/>
  <c r="CJ124" i="63" s="1"/>
  <c r="BX120" i="63"/>
  <c r="CI122" i="63"/>
  <c r="CI124" i="63" s="1"/>
  <c r="BU120" i="63"/>
  <c r="CF122" i="63"/>
  <c r="CF124" i="63" s="1"/>
  <c r="BW120" i="63"/>
  <c r="CH122" i="63"/>
  <c r="CH124" i="63" s="1"/>
  <c r="BV120" i="63"/>
  <c r="CG122" i="63"/>
  <c r="CG124" i="63" s="1"/>
  <c r="BT120" i="63"/>
  <c r="CE122" i="63"/>
  <c r="CE124" i="63" s="1"/>
  <c r="BS120" i="63"/>
  <c r="CD122" i="63"/>
  <c r="CD124" i="63" s="1"/>
  <c r="BR120" i="63"/>
  <c r="CC122" i="63"/>
  <c r="CC124" i="63" s="1"/>
  <c r="BQ120" i="63"/>
  <c r="CB122" i="63"/>
  <c r="CB124" i="63" s="1"/>
  <c r="BO120" i="63"/>
  <c r="BZ122" i="63"/>
  <c r="BZ124" i="63" s="1"/>
  <c r="BP120" i="63"/>
  <c r="CA122" i="63"/>
  <c r="CA124" i="63" s="1"/>
  <c r="BN120" i="63"/>
  <c r="BY122" i="63"/>
  <c r="BY124" i="63" s="1"/>
  <c r="BM120" i="63"/>
  <c r="BX122" i="63"/>
  <c r="BX124" i="63" s="1"/>
  <c r="BL120" i="63"/>
  <c r="BW122" i="63"/>
  <c r="BW124" i="63" s="1"/>
  <c r="BK120" i="63"/>
  <c r="BV122" i="63"/>
  <c r="BV124" i="63" s="1"/>
  <c r="BJ120" i="63"/>
  <c r="BU122" i="63"/>
  <c r="BU124" i="63" s="1"/>
  <c r="BI120" i="63"/>
  <c r="BT122" i="63"/>
  <c r="BT124" i="63" s="1"/>
  <c r="BH120" i="63"/>
  <c r="BS122" i="63"/>
  <c r="BS124" i="63" s="1"/>
  <c r="BG120" i="63"/>
  <c r="BR122" i="63"/>
  <c r="BR124" i="63" s="1"/>
  <c r="BE120" i="63"/>
  <c r="BP122" i="63"/>
  <c r="BP124" i="63" s="1"/>
  <c r="BF120" i="63"/>
  <c r="BQ122" i="63"/>
  <c r="BQ124" i="63" s="1"/>
  <c r="BD120" i="63"/>
  <c r="BO122" i="63"/>
  <c r="BO124" i="63" s="1"/>
  <c r="BC120" i="63"/>
  <c r="BN122" i="63"/>
  <c r="BN124" i="63" s="1"/>
  <c r="BB120" i="63"/>
  <c r="BM122" i="63"/>
  <c r="BM124" i="63" s="1"/>
  <c r="BA120" i="63"/>
  <c r="BL122" i="63"/>
  <c r="BL124" i="63" s="1"/>
  <c r="AZ120" i="63"/>
  <c r="BK122" i="63"/>
  <c r="BK124" i="63" s="1"/>
  <c r="AY120" i="63"/>
  <c r="BJ122" i="63"/>
  <c r="BJ124" i="63" s="1"/>
  <c r="AX120" i="63"/>
  <c r="BI122" i="63"/>
  <c r="BI124" i="63" s="1"/>
  <c r="AW120" i="63"/>
  <c r="BH122" i="63"/>
  <c r="BH124" i="63" s="1"/>
  <c r="AV120" i="63"/>
  <c r="BG122" i="63"/>
  <c r="BG124" i="63" s="1"/>
  <c r="AU120" i="63"/>
  <c r="BF122" i="63"/>
  <c r="BF124" i="63" s="1"/>
  <c r="AT120" i="63"/>
  <c r="BE122" i="63"/>
  <c r="BE124" i="63" s="1"/>
  <c r="AS120" i="63"/>
  <c r="BD122" i="63"/>
  <c r="BD124" i="63" s="1"/>
  <c r="AR120" i="63"/>
  <c r="BC122" i="63"/>
  <c r="BC124" i="63" s="1"/>
  <c r="AO120" i="63"/>
  <c r="AZ122" i="63"/>
  <c r="AZ124" i="63" s="1"/>
  <c r="AQ120" i="63"/>
  <c r="BB122" i="63"/>
  <c r="BB124" i="63" s="1"/>
  <c r="AP120" i="63"/>
  <c r="BA122" i="63"/>
  <c r="BA124" i="63" s="1"/>
  <c r="AN120" i="63"/>
  <c r="AY122" i="63"/>
  <c r="AY124" i="63" s="1"/>
  <c r="AM120" i="63"/>
  <c r="AX122" i="63"/>
  <c r="AX124" i="63" s="1"/>
  <c r="AL120" i="63"/>
  <c r="AW122" i="63"/>
  <c r="AW124" i="63" s="1"/>
  <c r="AK120" i="63"/>
  <c r="AV122" i="63"/>
  <c r="AV124" i="63" s="1"/>
  <c r="AJ120" i="63"/>
  <c r="AU122" i="63"/>
  <c r="AU124" i="63" s="1"/>
  <c r="AG120" i="63"/>
  <c r="AR122" i="63"/>
  <c r="AR124" i="63" s="1"/>
  <c r="AI120" i="63"/>
  <c r="AT122" i="63"/>
  <c r="AT124" i="63" s="1"/>
  <c r="AH120" i="63"/>
  <c r="AS122" i="63"/>
  <c r="AS124" i="63" s="1"/>
  <c r="AF120" i="63"/>
  <c r="AQ122" i="63"/>
  <c r="AQ124" i="63" s="1"/>
  <c r="AE120" i="63"/>
  <c r="AP122" i="63"/>
  <c r="AP124" i="63" s="1"/>
  <c r="AD120" i="63"/>
  <c r="AO122" i="63"/>
  <c r="AO124" i="63" s="1"/>
  <c r="AC120" i="63"/>
  <c r="AN122" i="63"/>
  <c r="AN124" i="63" s="1"/>
  <c r="AB120" i="63"/>
  <c r="AM122" i="63"/>
  <c r="AM124" i="63" s="1"/>
  <c r="AA120" i="63"/>
  <c r="AL122" i="63"/>
  <c r="AL124" i="63" s="1"/>
  <c r="Y120" i="63"/>
  <c r="AJ122" i="63"/>
  <c r="AJ124" i="63" s="1"/>
  <c r="Z120" i="63"/>
  <c r="AK122" i="63"/>
  <c r="AK124" i="63" s="1"/>
  <c r="X120" i="63"/>
  <c r="AI122" i="63"/>
  <c r="AI124" i="63" s="1"/>
  <c r="W120" i="63"/>
  <c r="AH122" i="63"/>
  <c r="AH124" i="63" s="1"/>
  <c r="V120" i="63"/>
  <c r="AG122" i="63"/>
  <c r="AG124" i="63" s="1"/>
  <c r="U120" i="63"/>
  <c r="AF122" i="63"/>
  <c r="AF124" i="63" s="1"/>
  <c r="T120" i="63"/>
  <c r="AE122" i="63"/>
  <c r="AE124" i="63" s="1"/>
  <c r="R120" i="63"/>
  <c r="AC122" i="63"/>
  <c r="AC124" i="63" s="1"/>
  <c r="Q120" i="63"/>
  <c r="AB122" i="63"/>
  <c r="AB124" i="63" s="1"/>
  <c r="O120" i="63"/>
  <c r="Z122" i="63"/>
  <c r="Z124" i="63" s="1"/>
  <c r="S120" i="63"/>
  <c r="AD122" i="63"/>
  <c r="AD124" i="63" s="1"/>
  <c r="P120" i="63"/>
  <c r="AA122" i="63"/>
  <c r="AA124" i="63" s="1"/>
  <c r="K120" i="63"/>
  <c r="V122" i="63"/>
  <c r="V124" i="63" s="1"/>
  <c r="N120" i="63"/>
  <c r="Y122" i="63"/>
  <c r="Y124" i="63" s="1"/>
  <c r="I120" i="63"/>
  <c r="T122" i="63"/>
  <c r="T124" i="63" s="1"/>
  <c r="M120" i="63"/>
  <c r="X122" i="63"/>
  <c r="X124" i="63" s="1"/>
  <c r="L120" i="63"/>
  <c r="W122" i="63"/>
  <c r="W124" i="63" s="1"/>
  <c r="J120" i="63"/>
  <c r="U122" i="63"/>
  <c r="U124" i="63" s="1"/>
  <c r="G120" i="63"/>
  <c r="H120" i="63"/>
  <c r="S122" i="63"/>
  <c r="S124" i="63" s="1"/>
  <c r="F120" i="63"/>
  <c r="F184" i="63"/>
  <c r="F137" i="63" s="1"/>
  <c r="EZ118" i="63"/>
  <c r="EZ205" i="63" s="1"/>
  <c r="E207" i="63"/>
  <c r="Q128" i="63"/>
  <c r="Q125" i="63"/>
  <c r="I128" i="63"/>
  <c r="I125" i="63"/>
  <c r="P125" i="63"/>
  <c r="P128" i="63"/>
  <c r="H128" i="63"/>
  <c r="H125" i="63"/>
  <c r="O128" i="63"/>
  <c r="O125" i="63"/>
  <c r="N128" i="63"/>
  <c r="N125" i="63"/>
  <c r="G125" i="63"/>
  <c r="G128" i="63"/>
  <c r="M128" i="63"/>
  <c r="M125" i="63"/>
  <c r="Y16" i="63"/>
  <c r="Z16" i="63" s="1"/>
  <c r="Y30" i="63"/>
  <c r="Z30" i="63" s="1"/>
  <c r="Y38" i="63"/>
  <c r="Z38" i="63" s="1"/>
  <c r="Y33" i="63"/>
  <c r="Z33" i="63" s="1"/>
  <c r="Y15" i="63"/>
  <c r="Z15" i="63" s="1"/>
  <c r="Y37" i="63"/>
  <c r="Y28" i="63"/>
  <c r="Y22" i="63"/>
  <c r="Z22" i="63" s="1"/>
  <c r="Y29" i="63"/>
  <c r="Z29" i="63" s="1"/>
  <c r="Y34" i="63"/>
  <c r="Z34" i="63" s="1"/>
  <c r="Y40" i="63"/>
  <c r="Z40" i="63" s="1"/>
  <c r="Y32" i="63"/>
  <c r="Z32" i="63" s="1"/>
  <c r="Y31" i="63"/>
  <c r="Z31" i="63" s="1"/>
  <c r="Y10" i="63"/>
  <c r="Y47" i="63"/>
  <c r="Z47" i="63" s="1"/>
  <c r="Y14" i="63"/>
  <c r="Y11" i="63"/>
  <c r="Z11" i="63" s="1"/>
  <c r="Y20" i="63"/>
  <c r="Z20" i="63" s="1"/>
  <c r="Y21" i="63"/>
  <c r="Z21" i="63" s="1"/>
  <c r="Y19" i="63"/>
  <c r="Y39" i="63"/>
  <c r="Z39" i="63" s="1"/>
  <c r="R128" i="63"/>
  <c r="R125" i="63"/>
  <c r="L125" i="63"/>
  <c r="L128" i="63"/>
  <c r="J128" i="63"/>
  <c r="J125" i="63"/>
  <c r="K125" i="63"/>
  <c r="FF65" i="63"/>
  <c r="FD79" i="63"/>
  <c r="FC83" i="63"/>
  <c r="FC82" i="63"/>
  <c r="FF59" i="63"/>
  <c r="FD98" i="63"/>
  <c r="FD116" i="63"/>
  <c r="FB85" i="63"/>
  <c r="FB87" i="63" s="1"/>
  <c r="FB103" i="63" s="1"/>
  <c r="FB105" i="63" s="1"/>
  <c r="FB107" i="63" s="1"/>
  <c r="FB108" i="63" s="1"/>
  <c r="FF134" i="63"/>
  <c r="FF61" i="63"/>
  <c r="FE78" i="63"/>
  <c r="FE77" i="63"/>
  <c r="FH123" i="63"/>
  <c r="FH167" i="63"/>
  <c r="FH135" i="63"/>
  <c r="FI101" i="63"/>
  <c r="FI97" i="63"/>
  <c r="FH92" i="63"/>
  <c r="FI105" i="63"/>
  <c r="FI78" i="63"/>
  <c r="FI96" i="63"/>
  <c r="FH134" i="63"/>
  <c r="FH96" i="63"/>
  <c r="FH102" i="63"/>
  <c r="FI107" i="63"/>
  <c r="FJ97" i="63"/>
  <c r="FJ116" i="63"/>
  <c r="FJ135" i="63"/>
  <c r="FI173" i="63"/>
  <c r="FH91" i="63"/>
  <c r="FI135" i="63"/>
  <c r="FI169" i="63"/>
  <c r="FH169" i="63"/>
  <c r="FI77" i="63"/>
  <c r="FJ177" i="63"/>
  <c r="FI71" i="63"/>
  <c r="FI85" i="63"/>
  <c r="FI177" i="63"/>
  <c r="FI115" i="63"/>
  <c r="FI134" i="63"/>
  <c r="FJ186" i="63"/>
  <c r="FJ101" i="63"/>
  <c r="FI76" i="63"/>
  <c r="FI91" i="63"/>
  <c r="FI94" i="63"/>
  <c r="FI72" i="63"/>
  <c r="FJ134" i="63"/>
  <c r="FJ94" i="63"/>
  <c r="FH177" i="63"/>
  <c r="FI104" i="63"/>
  <c r="FI103" i="63"/>
  <c r="FI92" i="63"/>
  <c r="FI186" i="63"/>
  <c r="FH138" i="63"/>
  <c r="FH168" i="63"/>
  <c r="FK185" i="63"/>
  <c r="FI84" i="63"/>
  <c r="FJ82" i="63"/>
  <c r="FI73" i="63"/>
  <c r="FI83" i="63"/>
  <c r="FK71" i="63"/>
  <c r="FI79" i="63"/>
  <c r="FI136" i="63"/>
  <c r="FJ77" i="63"/>
  <c r="FK115" i="63"/>
  <c r="FI113" i="63"/>
  <c r="FI167" i="63"/>
  <c r="FI87" i="63"/>
  <c r="FK173" i="63"/>
  <c r="FI168" i="63"/>
  <c r="FK79" i="63"/>
  <c r="FJ114" i="63"/>
  <c r="FJ118" i="63"/>
  <c r="FJ83" i="63"/>
  <c r="FJ73" i="63"/>
  <c r="FJ105" i="63"/>
  <c r="FI81" i="63"/>
  <c r="FH186" i="63"/>
  <c r="FI185" i="63"/>
  <c r="FK101" i="63"/>
  <c r="FI114" i="63"/>
  <c r="FJ173" i="63"/>
  <c r="FK105" i="63"/>
  <c r="FJ103" i="63"/>
  <c r="FI93" i="63"/>
  <c r="FI118" i="63"/>
  <c r="FJ185" i="63"/>
  <c r="FJ72" i="63"/>
  <c r="FI95" i="63"/>
  <c r="FJ115" i="63"/>
  <c r="FK73" i="63"/>
  <c r="FL85" i="63"/>
  <c r="FJ107" i="63"/>
  <c r="FJ79" i="63"/>
  <c r="FL138" i="63"/>
  <c r="FK107" i="63"/>
  <c r="FI138" i="63"/>
  <c r="FJ81" i="63"/>
  <c r="FJ96" i="63"/>
  <c r="FK76" i="63"/>
  <c r="FJ167" i="63"/>
  <c r="FK93" i="63"/>
  <c r="FK72" i="63"/>
  <c r="FK78" i="63"/>
  <c r="FK96" i="63"/>
  <c r="FJ169" i="63"/>
  <c r="FJ123" i="63"/>
  <c r="FK94" i="63"/>
  <c r="FI123" i="63"/>
  <c r="FJ71" i="63"/>
  <c r="FI98" i="63"/>
  <c r="FI82" i="63"/>
  <c r="FK81" i="63"/>
  <c r="FL94" i="63"/>
  <c r="FK92" i="63"/>
  <c r="FJ93" i="63"/>
  <c r="FK168" i="63"/>
  <c r="FL185" i="63"/>
  <c r="FK138" i="63"/>
  <c r="FK114" i="63"/>
  <c r="FL71" i="63"/>
  <c r="FI102" i="63"/>
  <c r="FJ168" i="63"/>
  <c r="FK102" i="63"/>
  <c r="FJ92" i="63"/>
  <c r="FK95" i="63"/>
  <c r="FJ76" i="63"/>
  <c r="FK85" i="63"/>
  <c r="FK123" i="63"/>
  <c r="FK104" i="63"/>
  <c r="FJ91" i="63"/>
  <c r="FL77" i="63"/>
  <c r="FL84" i="63"/>
  <c r="FL176" i="63"/>
  <c r="FH76" i="63"/>
  <c r="FK91" i="63"/>
  <c r="FL73" i="63"/>
  <c r="FK77" i="63"/>
  <c r="FK169" i="63"/>
  <c r="FK97" i="63"/>
  <c r="FK186" i="63"/>
  <c r="FJ78" i="63"/>
  <c r="FL186" i="63"/>
  <c r="FL92" i="63"/>
  <c r="FK116" i="63"/>
  <c r="FL169" i="63"/>
  <c r="FJ98" i="63"/>
  <c r="FJ95" i="63"/>
  <c r="FJ136" i="63"/>
  <c r="FL107" i="63"/>
  <c r="FM167" i="63"/>
  <c r="FL102" i="63"/>
  <c r="FL101" i="63"/>
  <c r="FH185" i="63"/>
  <c r="FK118" i="63"/>
  <c r="FL104" i="63"/>
  <c r="FK82" i="63"/>
  <c r="FL136" i="63"/>
  <c r="FL116" i="63"/>
  <c r="FL97" i="63"/>
  <c r="FJ102" i="63"/>
  <c r="FL110" i="63"/>
  <c r="FK167" i="63"/>
  <c r="FL114" i="63"/>
  <c r="FL115" i="63"/>
  <c r="FM116" i="63"/>
  <c r="FJ104" i="63"/>
  <c r="FL81" i="63"/>
  <c r="FK110" i="63"/>
  <c r="FK84" i="63"/>
  <c r="FK103" i="63"/>
  <c r="FL134" i="63"/>
  <c r="FL113" i="63"/>
  <c r="FK83" i="63"/>
  <c r="FJ87" i="63"/>
  <c r="FJ84" i="63"/>
  <c r="FM71" i="63"/>
  <c r="FL95" i="63"/>
  <c r="FL105" i="63"/>
  <c r="FM101" i="63"/>
  <c r="FL83" i="63"/>
  <c r="FM105" i="63"/>
  <c r="FL72" i="63"/>
  <c r="FM95" i="63"/>
  <c r="FJ138" i="63"/>
  <c r="FM136" i="63"/>
  <c r="FJ113" i="63"/>
  <c r="FK87" i="63"/>
  <c r="FJ110" i="63"/>
  <c r="FM186" i="63"/>
  <c r="FM81" i="63"/>
  <c r="FM93" i="63"/>
  <c r="FJ85" i="63"/>
  <c r="FL167" i="63"/>
  <c r="FL78" i="63"/>
  <c r="FL98" i="63"/>
  <c r="FM134" i="63"/>
  <c r="FM177" i="63"/>
  <c r="FK113" i="63"/>
  <c r="FL96" i="63"/>
  <c r="FM78" i="63"/>
  <c r="FK98" i="63"/>
  <c r="FL177" i="63"/>
  <c r="FN113" i="63"/>
  <c r="FN83" i="63"/>
  <c r="FM135" i="63"/>
  <c r="FN105" i="63"/>
  <c r="FM169" i="63"/>
  <c r="FL87" i="63"/>
  <c r="FM114" i="63"/>
  <c r="FN81" i="63"/>
  <c r="FN73" i="63"/>
  <c r="FL82" i="63"/>
  <c r="FN167" i="63"/>
  <c r="FM173" i="63"/>
  <c r="FN97" i="63"/>
  <c r="FH81" i="63"/>
  <c r="FN135" i="63"/>
  <c r="FM77" i="63"/>
  <c r="FM91" i="63"/>
  <c r="FM79" i="63"/>
  <c r="FL76" i="63"/>
  <c r="FM176" i="63"/>
  <c r="FM72" i="63"/>
  <c r="FL91" i="63"/>
  <c r="FL79" i="63"/>
  <c r="FM82" i="63"/>
  <c r="FM138" i="63"/>
  <c r="FL168" i="63"/>
  <c r="FM84" i="63"/>
  <c r="FL103" i="63"/>
  <c r="FM76" i="63"/>
  <c r="FN98" i="63"/>
  <c r="FL118" i="63"/>
  <c r="FM87" i="63"/>
  <c r="FL173" i="63"/>
  <c r="FL135" i="63"/>
  <c r="FM118" i="63"/>
  <c r="FL93" i="63"/>
  <c r="FL123" i="63"/>
  <c r="FM110" i="63"/>
  <c r="FM98" i="63"/>
  <c r="FM97" i="63"/>
  <c r="FM83" i="63"/>
  <c r="FM123" i="63"/>
  <c r="FN168" i="63"/>
  <c r="FM115" i="63"/>
  <c r="FM102" i="63"/>
  <c r="FM92" i="63"/>
  <c r="FN91" i="63"/>
  <c r="FM103" i="63"/>
  <c r="FN101" i="63"/>
  <c r="FM113" i="63"/>
  <c r="FN177" i="63"/>
  <c r="FN103" i="63"/>
  <c r="FH82" i="63"/>
  <c r="FN186" i="63"/>
  <c r="FN136" i="63"/>
  <c r="FN138" i="63"/>
  <c r="FM104" i="63"/>
  <c r="FN93" i="63"/>
  <c r="FN96" i="63"/>
  <c r="FM85" i="63"/>
  <c r="FN134" i="63"/>
  <c r="FN84" i="63"/>
  <c r="FM94" i="63"/>
  <c r="FN72" i="63"/>
  <c r="FN102" i="63"/>
  <c r="FN110" i="63"/>
  <c r="FN78" i="63"/>
  <c r="FN118" i="63"/>
  <c r="FN115" i="63"/>
  <c r="FM168" i="63"/>
  <c r="FN169" i="63"/>
  <c r="FN82" i="63"/>
  <c r="FN123" i="63"/>
  <c r="FN176" i="63"/>
  <c r="FM96" i="63"/>
  <c r="FN71" i="63"/>
  <c r="FM73" i="63"/>
  <c r="FN79" i="63"/>
  <c r="FN87" i="63"/>
  <c r="FN92" i="63"/>
  <c r="FN76" i="63"/>
  <c r="FN104" i="63"/>
  <c r="FM107" i="63"/>
  <c r="FN94" i="63"/>
  <c r="FN85" i="63"/>
  <c r="FP84" i="63"/>
  <c r="FP110" i="63"/>
  <c r="FO102" i="63"/>
  <c r="FO96" i="63"/>
  <c r="FP136" i="63"/>
  <c r="FP77" i="63"/>
  <c r="FN114" i="63"/>
  <c r="FO73" i="63"/>
  <c r="FP169" i="63"/>
  <c r="FP134" i="63"/>
  <c r="FP177" i="63"/>
  <c r="FP98" i="63"/>
  <c r="FO115" i="63"/>
  <c r="FO167" i="63"/>
  <c r="FO105" i="63"/>
  <c r="FO83" i="63"/>
  <c r="FP82" i="63"/>
  <c r="FP85" i="63"/>
  <c r="FP176" i="63"/>
  <c r="FO76" i="63"/>
  <c r="FO113" i="63"/>
  <c r="FO136" i="63"/>
  <c r="FP95" i="63"/>
  <c r="FO186" i="63"/>
  <c r="FP93" i="63"/>
  <c r="FO123" i="63"/>
  <c r="FP168" i="63"/>
  <c r="FN95" i="63"/>
  <c r="FP118" i="63"/>
  <c r="FP104" i="63"/>
  <c r="FO91" i="63"/>
  <c r="FP81" i="63"/>
  <c r="FO93" i="63"/>
  <c r="FP116" i="63"/>
  <c r="FO118" i="63"/>
  <c r="FO98" i="63"/>
  <c r="FO82" i="63"/>
  <c r="FP92" i="63"/>
  <c r="FO103" i="63"/>
  <c r="FR110" i="63"/>
  <c r="FO176" i="63"/>
  <c r="FH87" i="63"/>
  <c r="FP107" i="63"/>
  <c r="FO116" i="63"/>
  <c r="FO134" i="63"/>
  <c r="FP94" i="63"/>
  <c r="FP115" i="63"/>
  <c r="FO168" i="63"/>
  <c r="FO95" i="63"/>
  <c r="FO79" i="63"/>
  <c r="FP97" i="63"/>
  <c r="FN77" i="63"/>
  <c r="FN116" i="63"/>
  <c r="FP91" i="63"/>
  <c r="FP101" i="63"/>
  <c r="FO71" i="63"/>
  <c r="FO72" i="63"/>
  <c r="FO177" i="63"/>
  <c r="FP167" i="63"/>
  <c r="FP123" i="63"/>
  <c r="FO97" i="63"/>
  <c r="FO92" i="63"/>
  <c r="FP96" i="63"/>
  <c r="FO84" i="63"/>
  <c r="FN107" i="63"/>
  <c r="FO87" i="63"/>
  <c r="FO77" i="63"/>
  <c r="FP103" i="63"/>
  <c r="FO85" i="63"/>
  <c r="FP87" i="63"/>
  <c r="FP73" i="63"/>
  <c r="FP105" i="63"/>
  <c r="FR123" i="63"/>
  <c r="FQ113" i="63"/>
  <c r="FQ97" i="63"/>
  <c r="FQ78" i="63"/>
  <c r="FQ101" i="63"/>
  <c r="FR92" i="63"/>
  <c r="FQ85" i="63"/>
  <c r="FQ73" i="63"/>
  <c r="FR73" i="63"/>
  <c r="FQ105" i="63"/>
  <c r="FP79" i="63"/>
  <c r="FP83" i="63"/>
  <c r="FQ93" i="63"/>
  <c r="FP71" i="63"/>
  <c r="FQ176" i="63"/>
  <c r="FQ79" i="63"/>
  <c r="FQ102" i="63"/>
  <c r="FO135" i="63"/>
  <c r="FQ114" i="63"/>
  <c r="FO81" i="63"/>
  <c r="FQ186" i="63"/>
  <c r="FP114" i="63"/>
  <c r="FO138" i="63"/>
  <c r="FR115" i="63"/>
  <c r="FQ76" i="63"/>
  <c r="FQ94" i="63"/>
  <c r="FO94" i="63"/>
  <c r="FO101" i="63"/>
  <c r="FH103" i="63"/>
  <c r="FQ91" i="63"/>
  <c r="FR138" i="63"/>
  <c r="FO107" i="63"/>
  <c r="FQ95" i="63"/>
  <c r="FO78" i="63"/>
  <c r="FR105" i="63"/>
  <c r="FQ77" i="63"/>
  <c r="FP113" i="63"/>
  <c r="FQ103" i="63"/>
  <c r="FR135" i="63"/>
  <c r="FO114" i="63"/>
  <c r="FQ116" i="63"/>
  <c r="FQ71" i="63"/>
  <c r="FR103" i="63"/>
  <c r="FR81" i="63"/>
  <c r="FQ177" i="63"/>
  <c r="FP135" i="63"/>
  <c r="FQ98" i="63"/>
  <c r="FO104" i="63"/>
  <c r="FR93" i="63"/>
  <c r="FO110" i="63"/>
  <c r="FP72" i="63"/>
  <c r="FQ185" i="63"/>
  <c r="FO169" i="63"/>
  <c r="FR134" i="63"/>
  <c r="FQ81" i="63"/>
  <c r="FP76" i="63"/>
  <c r="FQ118" i="63"/>
  <c r="FS169" i="63"/>
  <c r="FR169" i="63"/>
  <c r="FR116" i="63"/>
  <c r="FS76" i="63"/>
  <c r="FS135" i="63"/>
  <c r="FQ92" i="63"/>
  <c r="FQ83" i="63"/>
  <c r="FQ136" i="63"/>
  <c r="FQ138" i="63"/>
  <c r="FS97" i="63"/>
  <c r="FS105" i="63"/>
  <c r="FS77" i="63"/>
  <c r="FS95" i="63"/>
  <c r="FR87" i="63"/>
  <c r="FS123" i="63"/>
  <c r="FQ110" i="63"/>
  <c r="FR118" i="63"/>
  <c r="FP102" i="63"/>
  <c r="FR77" i="63"/>
  <c r="FR71" i="63"/>
  <c r="FQ123" i="63"/>
  <c r="FS85" i="63"/>
  <c r="FR136" i="63"/>
  <c r="FR176" i="63"/>
  <c r="FQ84" i="63"/>
  <c r="FP78" i="63"/>
  <c r="FR102" i="63"/>
  <c r="FQ104" i="63"/>
  <c r="FR79" i="63"/>
  <c r="FR101" i="63"/>
  <c r="FR96" i="63"/>
  <c r="FH105" i="63"/>
  <c r="FQ135" i="63"/>
  <c r="FQ87" i="63"/>
  <c r="FQ168" i="63"/>
  <c r="FR91" i="63"/>
  <c r="FR85" i="63"/>
  <c r="FR84" i="63"/>
  <c r="FS96" i="63"/>
  <c r="FQ72" i="63"/>
  <c r="FR94" i="63"/>
  <c r="FQ115" i="63"/>
  <c r="FQ96" i="63"/>
  <c r="FS83" i="63"/>
  <c r="FS177" i="63"/>
  <c r="FS136" i="63"/>
  <c r="FS87" i="63"/>
  <c r="FQ134" i="63"/>
  <c r="FS168" i="63"/>
  <c r="FQ82" i="63"/>
  <c r="FQ107" i="63"/>
  <c r="FR97" i="63"/>
  <c r="FS116" i="63"/>
  <c r="FS73" i="63"/>
  <c r="FS115" i="63"/>
  <c r="FR98" i="63"/>
  <c r="FS71" i="63"/>
  <c r="FS167" i="63"/>
  <c r="FR83" i="63"/>
  <c r="FR113" i="63"/>
  <c r="FR104" i="63"/>
  <c r="FQ167" i="63"/>
  <c r="FS176" i="63"/>
  <c r="FR177" i="63"/>
  <c r="FS94" i="63"/>
  <c r="FS118" i="63"/>
  <c r="FS82" i="63"/>
  <c r="FS103" i="63"/>
  <c r="FS104" i="63"/>
  <c r="FS72" i="63"/>
  <c r="FS186" i="63"/>
  <c r="FS113" i="63"/>
  <c r="FS79" i="63"/>
  <c r="FS98" i="63"/>
  <c r="FR168" i="63"/>
  <c r="FR72" i="63"/>
  <c r="FS81" i="63"/>
  <c r="FT77" i="63"/>
  <c r="FR186" i="63"/>
  <c r="FR114" i="63"/>
  <c r="FS84" i="63"/>
  <c r="FS134" i="63"/>
  <c r="FR107" i="63"/>
  <c r="FR76" i="63"/>
  <c r="FR95" i="63"/>
  <c r="FS101" i="63"/>
  <c r="FS92" i="63"/>
  <c r="FR167" i="63"/>
  <c r="FS78" i="63"/>
  <c r="FQ169" i="63"/>
  <c r="FS185" i="63"/>
  <c r="FR82" i="63"/>
  <c r="FR185" i="63"/>
  <c r="FH107" i="63"/>
  <c r="FT91" i="63"/>
  <c r="FT84" i="63"/>
  <c r="FT97" i="63"/>
  <c r="FT116" i="63"/>
  <c r="FT138" i="63"/>
  <c r="FS110" i="63"/>
  <c r="FT94" i="63"/>
  <c r="FT136" i="63"/>
  <c r="FT72" i="63"/>
  <c r="FT176" i="63"/>
  <c r="FT134" i="63"/>
  <c r="FT102" i="63"/>
  <c r="FT186" i="63"/>
  <c r="FS93" i="63"/>
  <c r="FT101" i="63"/>
  <c r="FT73" i="63"/>
  <c r="FT168" i="63"/>
  <c r="FT92" i="63"/>
  <c r="FT71" i="63"/>
  <c r="FR78" i="63"/>
  <c r="FS138" i="63"/>
  <c r="FT83" i="63"/>
  <c r="FT95" i="63"/>
  <c r="FS102" i="63"/>
  <c r="FT123" i="63"/>
  <c r="FT114" i="63"/>
  <c r="FT76" i="63"/>
  <c r="FT115" i="63"/>
  <c r="FH118" i="63"/>
  <c r="FT87" i="63"/>
  <c r="FS107" i="63"/>
  <c r="FT78" i="63"/>
  <c r="FT167" i="63"/>
  <c r="FT79" i="63"/>
  <c r="FU169" i="63"/>
  <c r="FT177" i="63"/>
  <c r="FT82" i="63"/>
  <c r="FT169" i="63"/>
  <c r="FT113" i="63"/>
  <c r="FT135" i="63"/>
  <c r="FT96" i="63"/>
  <c r="FT85" i="63"/>
  <c r="FT104" i="63"/>
  <c r="FS91" i="63"/>
  <c r="FT98" i="63"/>
  <c r="FU135" i="63"/>
  <c r="FU176" i="63"/>
  <c r="FS114" i="63"/>
  <c r="FT185" i="63"/>
  <c r="FT81" i="63"/>
  <c r="FU177" i="63"/>
  <c r="FT93" i="63"/>
  <c r="FU167" i="63"/>
  <c r="FU123" i="63"/>
  <c r="FU136" i="63"/>
  <c r="FU168" i="63"/>
  <c r="FU186" i="63"/>
  <c r="FU185" i="63"/>
  <c r="FF138" i="63"/>
  <c r="FE71" i="63"/>
  <c r="FF68" i="63"/>
  <c r="FF84" i="63" s="1"/>
  <c r="FC81" i="63"/>
  <c r="FA103" i="63"/>
  <c r="FA105" i="63" s="1"/>
  <c r="FA107" i="63" s="1"/>
  <c r="FA108" i="63" s="1"/>
  <c r="FD72" i="63"/>
  <c r="FD73" i="63" s="1"/>
  <c r="FE115" i="63"/>
  <c r="FE96" i="63"/>
  <c r="FE102" i="63"/>
  <c r="FE76" i="63" s="1"/>
  <c r="FE92" i="63"/>
  <c r="FE93" i="63"/>
  <c r="FE114" i="63"/>
  <c r="FE91" i="63"/>
  <c r="FF63" i="63"/>
  <c r="FE113" i="63"/>
  <c r="FE95" i="63"/>
  <c r="FE101" i="63"/>
  <c r="FE97" i="63"/>
  <c r="FE94" i="63"/>
  <c r="FE104" i="63"/>
  <c r="F182" i="63"/>
  <c r="G16" i="63"/>
  <c r="H182" i="63"/>
  <c r="G182" i="63"/>
  <c r="I182" i="63"/>
  <c r="J182" i="63"/>
  <c r="K182" i="63"/>
  <c r="L182" i="63"/>
  <c r="M182" i="63"/>
  <c r="N182" i="63"/>
  <c r="O182" i="63"/>
  <c r="P182" i="63"/>
  <c r="Q182" i="63"/>
  <c r="R182" i="63"/>
  <c r="S182" i="63"/>
  <c r="T182" i="63"/>
  <c r="U182" i="63"/>
  <c r="V182" i="63"/>
  <c r="W182" i="63"/>
  <c r="X182" i="63"/>
  <c r="Y182" i="63"/>
  <c r="Z182" i="63"/>
  <c r="AA182" i="63"/>
  <c r="AB182" i="63"/>
  <c r="AC182" i="63"/>
  <c r="AD182" i="63"/>
  <c r="AE182" i="63"/>
  <c r="AF182" i="63"/>
  <c r="AG182" i="63"/>
  <c r="AH182" i="63"/>
  <c r="AI182" i="63"/>
  <c r="AJ182" i="63"/>
  <c r="AK182" i="63"/>
  <c r="AL182" i="63"/>
  <c r="AM182" i="63"/>
  <c r="AN182" i="63"/>
  <c r="AO182" i="63"/>
  <c r="AR182" i="63"/>
  <c r="AS182" i="63"/>
  <c r="AT182" i="63"/>
  <c r="AU182" i="63"/>
  <c r="AV182" i="63"/>
  <c r="AW182" i="63"/>
  <c r="AX182" i="63"/>
  <c r="AY182" i="63"/>
  <c r="AZ182" i="63"/>
  <c r="BA182" i="63"/>
  <c r="BB182" i="63"/>
  <c r="BC182" i="63"/>
  <c r="BD182" i="63"/>
  <c r="BE182" i="63"/>
  <c r="BF182" i="63"/>
  <c r="BG182" i="63"/>
  <c r="BH182" i="63"/>
  <c r="BI182" i="63"/>
  <c r="BJ182" i="63"/>
  <c r="BK182" i="63"/>
  <c r="BL182" i="63"/>
  <c r="BM182" i="63"/>
  <c r="BN182" i="63"/>
  <c r="BO182" i="63"/>
  <c r="BP182" i="63"/>
  <c r="BQ182" i="63"/>
  <c r="BR182" i="63"/>
  <c r="BS182" i="63"/>
  <c r="BT182" i="63"/>
  <c r="BU182" i="63"/>
  <c r="BV182" i="63"/>
  <c r="BW182" i="63"/>
  <c r="BX182" i="63"/>
  <c r="BY182" i="63"/>
  <c r="BZ182" i="63"/>
  <c r="CA182" i="63"/>
  <c r="CB182" i="63"/>
  <c r="CC182" i="63"/>
  <c r="CD182" i="63"/>
  <c r="CE182" i="63"/>
  <c r="CF182" i="63"/>
  <c r="CG182" i="63"/>
  <c r="CH182" i="63"/>
  <c r="CI182" i="63"/>
  <c r="CJ182" i="63"/>
  <c r="CK182" i="63"/>
  <c r="CL182" i="63"/>
  <c r="CM182" i="63"/>
  <c r="CN182" i="63"/>
  <c r="CO182" i="63"/>
  <c r="CP182" i="63"/>
  <c r="CQ182" i="63"/>
  <c r="CR182" i="63"/>
  <c r="CS182" i="63"/>
  <c r="CT182" i="63"/>
  <c r="CU182" i="63"/>
  <c r="CV182" i="63"/>
  <c r="CW182" i="63"/>
  <c r="CX182" i="63"/>
  <c r="CY182" i="63"/>
  <c r="CZ182" i="63"/>
  <c r="DA182" i="63"/>
  <c r="DB182" i="63"/>
  <c r="DC182" i="63"/>
  <c r="DD182" i="63"/>
  <c r="DE182" i="63"/>
  <c r="DF182" i="63"/>
  <c r="DG182" i="63"/>
  <c r="DH182" i="63"/>
  <c r="DI182" i="63"/>
  <c r="DJ182" i="63"/>
  <c r="DK182" i="63"/>
  <c r="DL182" i="63"/>
  <c r="DM182" i="63"/>
  <c r="DN182" i="63"/>
  <c r="DO182" i="63"/>
  <c r="DP182" i="63"/>
  <c r="DQ182" i="63"/>
  <c r="DR182" i="63"/>
  <c r="DS182" i="63"/>
  <c r="DT182" i="63"/>
  <c r="DU182" i="63"/>
  <c r="DV182" i="63"/>
  <c r="DW182" i="63"/>
  <c r="DX182" i="63"/>
  <c r="DY182" i="63"/>
  <c r="DZ182" i="63"/>
  <c r="EA182" i="63"/>
  <c r="EB182" i="63"/>
  <c r="EC182" i="63"/>
  <c r="ED182" i="63"/>
  <c r="EE182" i="63"/>
  <c r="EF182" i="63"/>
  <c r="EG182" i="63"/>
  <c r="EH182" i="63"/>
  <c r="EI182" i="63"/>
  <c r="EJ182" i="63"/>
  <c r="EK182" i="63"/>
  <c r="EL182" i="63"/>
  <c r="EM182" i="63"/>
  <c r="EN182" i="63"/>
  <c r="EO182" i="63"/>
  <c r="EP182" i="63"/>
  <c r="EQ182" i="63"/>
  <c r="ER182" i="63"/>
  <c r="ES182" i="63"/>
  <c r="ET182" i="63"/>
  <c r="EU182" i="63"/>
  <c r="EV182" i="63"/>
  <c r="EW182" i="63"/>
  <c r="EX182" i="63"/>
  <c r="EY182" i="63"/>
  <c r="EZ182" i="63"/>
  <c r="FA182" i="63"/>
  <c r="FB182" i="63"/>
  <c r="FC182" i="63"/>
  <c r="FD182" i="63"/>
  <c r="FE182" i="63"/>
  <c r="FF182" i="63"/>
  <c r="FH136" i="63"/>
  <c r="FH124" i="63" l="1"/>
  <c r="FH125" i="63" s="1"/>
  <c r="F125" i="63"/>
  <c r="F128" i="63"/>
  <c r="EZ120" i="63"/>
  <c r="FN120" i="63"/>
  <c r="FQ120" i="63"/>
  <c r="EZ122" i="63"/>
  <c r="EZ124" i="63" s="1"/>
  <c r="EZ127" i="63" s="1"/>
  <c r="EZ128" i="63" s="1"/>
  <c r="H17" i="63"/>
  <c r="H19" i="63" s="1"/>
  <c r="I19" i="63" s="1"/>
  <c r="FH120" i="63"/>
  <c r="FS120" i="63"/>
  <c r="FI120" i="63"/>
  <c r="FJ120" i="63"/>
  <c r="FK120" i="63"/>
  <c r="FL120" i="63"/>
  <c r="FM120" i="63"/>
  <c r="FO120" i="63"/>
  <c r="FP120" i="63"/>
  <c r="FR120" i="63"/>
  <c r="EU127" i="63"/>
  <c r="EU128" i="63" s="1"/>
  <c r="EU125" i="63"/>
  <c r="EM127" i="63"/>
  <c r="EM128" i="63" s="1"/>
  <c r="EM125" i="63"/>
  <c r="EJ127" i="63"/>
  <c r="EJ128" i="63" s="1"/>
  <c r="EJ125" i="63"/>
  <c r="ER127" i="63"/>
  <c r="ER128" i="63" s="1"/>
  <c r="ER125" i="63"/>
  <c r="EV127" i="63"/>
  <c r="EV128" i="63" s="1"/>
  <c r="EV125" i="63"/>
  <c r="EP127" i="63"/>
  <c r="EP128" i="63" s="1"/>
  <c r="EP125" i="63"/>
  <c r="DF127" i="63"/>
  <c r="DF128" i="63" s="1"/>
  <c r="DF125" i="63"/>
  <c r="DQ127" i="63"/>
  <c r="DQ128" i="63" s="1"/>
  <c r="DQ125" i="63"/>
  <c r="X127" i="63"/>
  <c r="X128" i="63" s="1"/>
  <c r="X125" i="63"/>
  <c r="DW127" i="63"/>
  <c r="DW128" i="63" s="1"/>
  <c r="DW125" i="63"/>
  <c r="T127" i="63"/>
  <c r="T128" i="63" s="1"/>
  <c r="T125" i="63"/>
  <c r="AD127" i="63"/>
  <c r="AD128" i="63" s="1"/>
  <c r="AD125" i="63"/>
  <c r="AE127" i="63"/>
  <c r="AE128" i="63" s="1"/>
  <c r="AE125" i="63"/>
  <c r="AI127" i="63"/>
  <c r="AI128" i="63" s="1"/>
  <c r="AI125" i="63"/>
  <c r="AM127" i="63"/>
  <c r="AM128" i="63" s="1"/>
  <c r="AM125" i="63"/>
  <c r="AQ127" i="63"/>
  <c r="AQ128" i="63" s="1"/>
  <c r="AQ125" i="63"/>
  <c r="AU127" i="63"/>
  <c r="AU128" i="63" s="1"/>
  <c r="AU125" i="63"/>
  <c r="AY127" i="63"/>
  <c r="AY128" i="63" s="1"/>
  <c r="AY125" i="63"/>
  <c r="BC127" i="63"/>
  <c r="BC128" i="63" s="1"/>
  <c r="BC125" i="63"/>
  <c r="BG127" i="63"/>
  <c r="BG128" i="63" s="1"/>
  <c r="BG125" i="63"/>
  <c r="BK127" i="63"/>
  <c r="BK128" i="63" s="1"/>
  <c r="BK125" i="63"/>
  <c r="BO127" i="63"/>
  <c r="BO128" i="63" s="1"/>
  <c r="BO125" i="63"/>
  <c r="BS127" i="63"/>
  <c r="BS128" i="63" s="1"/>
  <c r="BS125" i="63"/>
  <c r="BW127" i="63"/>
  <c r="BW128" i="63" s="1"/>
  <c r="BW125" i="63"/>
  <c r="BZ127" i="63"/>
  <c r="BZ128" i="63" s="1"/>
  <c r="BZ125" i="63"/>
  <c r="CE127" i="63"/>
  <c r="CE128" i="63" s="1"/>
  <c r="CE125" i="63"/>
  <c r="CI127" i="63"/>
  <c r="CI128" i="63" s="1"/>
  <c r="CI125" i="63"/>
  <c r="CM127" i="63"/>
  <c r="CM128" i="63" s="1"/>
  <c r="CM125" i="63"/>
  <c r="CQ127" i="63"/>
  <c r="CQ128" i="63" s="1"/>
  <c r="CQ125" i="63"/>
  <c r="CV127" i="63"/>
  <c r="CV128" i="63" s="1"/>
  <c r="CV125" i="63"/>
  <c r="CY127" i="63"/>
  <c r="CY128" i="63" s="1"/>
  <c r="CY125" i="63"/>
  <c r="DC127" i="63"/>
  <c r="DC128" i="63" s="1"/>
  <c r="DC125" i="63"/>
  <c r="DG127" i="63"/>
  <c r="DG128" i="63" s="1"/>
  <c r="FQ124" i="63"/>
  <c r="DG125" i="63"/>
  <c r="DI127" i="63"/>
  <c r="DI128" i="63" s="1"/>
  <c r="DI125" i="63"/>
  <c r="DO127" i="63"/>
  <c r="DO128" i="63" s="1"/>
  <c r="DO125" i="63"/>
  <c r="ED127" i="63"/>
  <c r="ED128" i="63" s="1"/>
  <c r="ED125" i="63"/>
  <c r="FS124" i="63"/>
  <c r="EH127" i="63"/>
  <c r="EH128" i="63" s="1"/>
  <c r="EH125" i="63"/>
  <c r="DU127" i="63"/>
  <c r="DU128" i="63" s="1"/>
  <c r="DU125" i="63"/>
  <c r="DZ127" i="63"/>
  <c r="DZ128" i="63" s="1"/>
  <c r="DZ125" i="63"/>
  <c r="EK127" i="63"/>
  <c r="EK128" i="63" s="1"/>
  <c r="EK125" i="63"/>
  <c r="EO127" i="63"/>
  <c r="EO128" i="63" s="1"/>
  <c r="EO125" i="63"/>
  <c r="U127" i="63"/>
  <c r="U128" i="63" s="1"/>
  <c r="U125" i="63"/>
  <c r="Y127" i="63"/>
  <c r="Y128" i="63" s="1"/>
  <c r="Y125" i="63"/>
  <c r="Z127" i="63"/>
  <c r="Z128" i="63" s="1"/>
  <c r="FJ124" i="63"/>
  <c r="Z125" i="63"/>
  <c r="AF127" i="63"/>
  <c r="AF128" i="63" s="1"/>
  <c r="AF125" i="63"/>
  <c r="AK127" i="63"/>
  <c r="AK128" i="63" s="1"/>
  <c r="AK125" i="63"/>
  <c r="AN127" i="63"/>
  <c r="AN128" i="63" s="1"/>
  <c r="AN125" i="63"/>
  <c r="AS127" i="63"/>
  <c r="AS128" i="63" s="1"/>
  <c r="AS125" i="63"/>
  <c r="AV127" i="63"/>
  <c r="AV128" i="63" s="1"/>
  <c r="AV125" i="63"/>
  <c r="BA127" i="63"/>
  <c r="BA128" i="63" s="1"/>
  <c r="BA125" i="63"/>
  <c r="BD127" i="63"/>
  <c r="BD128" i="63" s="1"/>
  <c r="BD125" i="63"/>
  <c r="BH127" i="63"/>
  <c r="BH128" i="63" s="1"/>
  <c r="BH125" i="63"/>
  <c r="BL127" i="63"/>
  <c r="BL128" i="63" s="1"/>
  <c r="BL125" i="63"/>
  <c r="BQ127" i="63"/>
  <c r="BQ128" i="63" s="1"/>
  <c r="BQ125" i="63"/>
  <c r="BT127" i="63"/>
  <c r="BT128" i="63" s="1"/>
  <c r="BT125" i="63"/>
  <c r="BX127" i="63"/>
  <c r="BX128" i="63" s="1"/>
  <c r="BX125" i="63"/>
  <c r="CB127" i="63"/>
  <c r="CB128" i="63" s="1"/>
  <c r="CB125" i="63"/>
  <c r="CG127" i="63"/>
  <c r="CG128" i="63" s="1"/>
  <c r="CG125" i="63"/>
  <c r="CJ127" i="63"/>
  <c r="CJ128" i="63" s="1"/>
  <c r="CJ125" i="63"/>
  <c r="CN127" i="63"/>
  <c r="CN128" i="63" s="1"/>
  <c r="CN125" i="63"/>
  <c r="CR127" i="63"/>
  <c r="CR128" i="63" s="1"/>
  <c r="CR125" i="63"/>
  <c r="CU127" i="63"/>
  <c r="CU128" i="63" s="1"/>
  <c r="CU125" i="63"/>
  <c r="CZ127" i="63"/>
  <c r="CZ128" i="63" s="1"/>
  <c r="CZ125" i="63"/>
  <c r="DD127" i="63"/>
  <c r="DD128" i="63" s="1"/>
  <c r="DD125" i="63"/>
  <c r="DH127" i="63"/>
  <c r="DH128" i="63" s="1"/>
  <c r="DH125" i="63"/>
  <c r="DL127" i="63"/>
  <c r="DL128" i="63" s="1"/>
  <c r="DL125" i="63"/>
  <c r="DP127" i="63"/>
  <c r="DP128" i="63" s="1"/>
  <c r="DP125" i="63"/>
  <c r="EE127" i="63"/>
  <c r="EE128" i="63" s="1"/>
  <c r="EE125" i="63"/>
  <c r="DS127" i="63"/>
  <c r="DS128" i="63" s="1"/>
  <c r="DS125" i="63"/>
  <c r="EA127" i="63"/>
  <c r="EA128" i="63" s="1"/>
  <c r="EA125" i="63"/>
  <c r="ES127" i="63"/>
  <c r="ES128" i="63" s="1"/>
  <c r="ES125" i="63"/>
  <c r="EW127" i="63"/>
  <c r="EW128" i="63" s="1"/>
  <c r="EW125" i="63"/>
  <c r="W127" i="63"/>
  <c r="W128" i="63" s="1"/>
  <c r="W125" i="63"/>
  <c r="V127" i="63"/>
  <c r="V128" i="63" s="1"/>
  <c r="V125" i="63"/>
  <c r="AB127" i="63"/>
  <c r="AB128" i="63" s="1"/>
  <c r="AB125" i="63"/>
  <c r="AG127" i="63"/>
  <c r="AG128" i="63" s="1"/>
  <c r="AG125" i="63"/>
  <c r="AJ127" i="63"/>
  <c r="AJ128" i="63" s="1"/>
  <c r="AJ125" i="63"/>
  <c r="AO127" i="63"/>
  <c r="AO128" i="63" s="1"/>
  <c r="AO125" i="63"/>
  <c r="AT127" i="63"/>
  <c r="AT128" i="63" s="1"/>
  <c r="AT125" i="63"/>
  <c r="AW127" i="63"/>
  <c r="AW128" i="63" s="1"/>
  <c r="AW125" i="63"/>
  <c r="BB127" i="63"/>
  <c r="BB128" i="63" s="1"/>
  <c r="BB125" i="63"/>
  <c r="BE127" i="63"/>
  <c r="BE128" i="63" s="1"/>
  <c r="BE125" i="63"/>
  <c r="BI127" i="63"/>
  <c r="BI128" i="63" s="1"/>
  <c r="BI125" i="63"/>
  <c r="BM127" i="63"/>
  <c r="BM128" i="63" s="1"/>
  <c r="BM125" i="63"/>
  <c r="BP127" i="63"/>
  <c r="BP128" i="63" s="1"/>
  <c r="BP125" i="63"/>
  <c r="BU127" i="63"/>
  <c r="BU128" i="63" s="1"/>
  <c r="BU125" i="63"/>
  <c r="BY127" i="63"/>
  <c r="BY128" i="63" s="1"/>
  <c r="BY125" i="63"/>
  <c r="CC127" i="63"/>
  <c r="CC128" i="63" s="1"/>
  <c r="CC125" i="63"/>
  <c r="CH127" i="63"/>
  <c r="FO124" i="63"/>
  <c r="FO125" i="63" s="1"/>
  <c r="CH125" i="63"/>
  <c r="CK127" i="63"/>
  <c r="CK128" i="63" s="1"/>
  <c r="CK125" i="63"/>
  <c r="CO127" i="63"/>
  <c r="CO128" i="63" s="1"/>
  <c r="CO125" i="63"/>
  <c r="CT127" i="63"/>
  <c r="CT128" i="63" s="1"/>
  <c r="FP124" i="63"/>
  <c r="FP125" i="63" s="1"/>
  <c r="CT125" i="63"/>
  <c r="CW127" i="63"/>
  <c r="CW128" i="63" s="1"/>
  <c r="CW125" i="63"/>
  <c r="DA127" i="63"/>
  <c r="DA128" i="63" s="1"/>
  <c r="DA125" i="63"/>
  <c r="DK127" i="63"/>
  <c r="DK128" i="63" s="1"/>
  <c r="DK125" i="63"/>
  <c r="DM127" i="63"/>
  <c r="DM128" i="63" s="1"/>
  <c r="DM125" i="63"/>
  <c r="EF127" i="63"/>
  <c r="EF128" i="63" s="1"/>
  <c r="EF125" i="63"/>
  <c r="DT127" i="63"/>
  <c r="DT128" i="63" s="1"/>
  <c r="DT125" i="63"/>
  <c r="DX127" i="63"/>
  <c r="DX128" i="63" s="1"/>
  <c r="DX125" i="63"/>
  <c r="EB127" i="63"/>
  <c r="EB128" i="63" s="1"/>
  <c r="EB125" i="63"/>
  <c r="ET127" i="63"/>
  <c r="ET128" i="63" s="1"/>
  <c r="ET125" i="63"/>
  <c r="EN127" i="63"/>
  <c r="EN128" i="63" s="1"/>
  <c r="EN125" i="63"/>
  <c r="EI127" i="63"/>
  <c r="EI128" i="63" s="1"/>
  <c r="EI125" i="63"/>
  <c r="AA127" i="63"/>
  <c r="AA128" i="63" s="1"/>
  <c r="AA125" i="63"/>
  <c r="AC127" i="63"/>
  <c r="AC128" i="63" s="1"/>
  <c r="AC125" i="63"/>
  <c r="AH127" i="63"/>
  <c r="AH128" i="63" s="1"/>
  <c r="AH125" i="63"/>
  <c r="AL127" i="63"/>
  <c r="AL128" i="63" s="1"/>
  <c r="FK124" i="63"/>
  <c r="AL125" i="63"/>
  <c r="AP127" i="63"/>
  <c r="AP128" i="63" s="1"/>
  <c r="AP125" i="63"/>
  <c r="AR127" i="63"/>
  <c r="AR128" i="63" s="1"/>
  <c r="AR125" i="63"/>
  <c r="AX127" i="63"/>
  <c r="AX128" i="63" s="1"/>
  <c r="AX125" i="63"/>
  <c r="FL124" i="63"/>
  <c r="AZ127" i="63"/>
  <c r="AZ128" i="63" s="1"/>
  <c r="AZ125" i="63"/>
  <c r="BF127" i="63"/>
  <c r="BF128" i="63" s="1"/>
  <c r="BF125" i="63"/>
  <c r="BJ127" i="63"/>
  <c r="BJ128" i="63" s="1"/>
  <c r="FM124" i="63"/>
  <c r="FM125" i="63" s="1"/>
  <c r="BJ125" i="63"/>
  <c r="BN127" i="63"/>
  <c r="BN128" i="63" s="1"/>
  <c r="BN125" i="63"/>
  <c r="BR127" i="63"/>
  <c r="BR128" i="63" s="1"/>
  <c r="BR125" i="63"/>
  <c r="BV127" i="63"/>
  <c r="BV128" i="63" s="1"/>
  <c r="BV125" i="63"/>
  <c r="FN124" i="63"/>
  <c r="FN125" i="63" s="1"/>
  <c r="CA127" i="63"/>
  <c r="CA128" i="63" s="1"/>
  <c r="CA125" i="63"/>
  <c r="CD127" i="63"/>
  <c r="CD128" i="63" s="1"/>
  <c r="CD125" i="63"/>
  <c r="CF127" i="63"/>
  <c r="CF128" i="63" s="1"/>
  <c r="CF125" i="63"/>
  <c r="CL127" i="63"/>
  <c r="CL128" i="63" s="1"/>
  <c r="CL125" i="63"/>
  <c r="CP127" i="63"/>
  <c r="CP128" i="63" s="1"/>
  <c r="CP125" i="63"/>
  <c r="CS127" i="63"/>
  <c r="CS128" i="63" s="1"/>
  <c r="CS125" i="63"/>
  <c r="CX127" i="63"/>
  <c r="CX128" i="63" s="1"/>
  <c r="CX125" i="63"/>
  <c r="DB127" i="63"/>
  <c r="DB128" i="63" s="1"/>
  <c r="DB125" i="63"/>
  <c r="DE127" i="63"/>
  <c r="DE128" i="63" s="1"/>
  <c r="DE125" i="63"/>
  <c r="DJ127" i="63"/>
  <c r="DJ128" i="63" s="1"/>
  <c r="DJ125" i="63"/>
  <c r="DN127" i="63"/>
  <c r="DN128" i="63" s="1"/>
  <c r="DN125" i="63"/>
  <c r="DR127" i="63"/>
  <c r="DR128" i="63" s="1"/>
  <c r="FR124" i="63"/>
  <c r="DR125" i="63"/>
  <c r="EG127" i="63"/>
  <c r="EG128" i="63" s="1"/>
  <c r="EG125" i="63"/>
  <c r="DV127" i="63"/>
  <c r="DV128" i="63" s="1"/>
  <c r="DV125" i="63"/>
  <c r="DY127" i="63"/>
  <c r="DY128" i="63" s="1"/>
  <c r="DY125" i="63"/>
  <c r="EC127" i="63"/>
  <c r="EC128" i="63" s="1"/>
  <c r="EC125" i="63"/>
  <c r="EQ127" i="63"/>
  <c r="EQ128" i="63" s="1"/>
  <c r="EQ125" i="63"/>
  <c r="S127" i="63"/>
  <c r="S128" i="63" s="1"/>
  <c r="S125" i="63"/>
  <c r="FI124" i="63"/>
  <c r="EL127" i="63"/>
  <c r="EL128" i="63" s="1"/>
  <c r="EL125" i="63"/>
  <c r="F206" i="63"/>
  <c r="F208" i="63" s="1"/>
  <c r="F209" i="63" s="1"/>
  <c r="F133" i="63"/>
  <c r="F139" i="63" s="1"/>
  <c r="F178" i="63"/>
  <c r="G172" i="63" s="1"/>
  <c r="EX125" i="63"/>
  <c r="EX127" i="63"/>
  <c r="EX128" i="63" s="1"/>
  <c r="FN108" i="63"/>
  <c r="FH127" i="63"/>
  <c r="Y12" i="63"/>
  <c r="Z10" i="63"/>
  <c r="Z37" i="63"/>
  <c r="Y41" i="63"/>
  <c r="Z41" i="63" s="1"/>
  <c r="Z28" i="63"/>
  <c r="Z35" i="63" s="1"/>
  <c r="Y35" i="63"/>
  <c r="Z19" i="63"/>
  <c r="Y23" i="63"/>
  <c r="Z23" i="63" s="1"/>
  <c r="FU134" i="63"/>
  <c r="EY128" i="63"/>
  <c r="EY125" i="63"/>
  <c r="K128" i="63"/>
  <c r="Y17" i="63"/>
  <c r="Z17" i="63" s="1"/>
  <c r="Z14" i="63"/>
  <c r="FM108" i="63"/>
  <c r="FT182" i="63"/>
  <c r="FE79" i="63"/>
  <c r="FJ182" i="63"/>
  <c r="FN182" i="63"/>
  <c r="FL182" i="63"/>
  <c r="FD83" i="63"/>
  <c r="FD82" i="63"/>
  <c r="FP182" i="63"/>
  <c r="FI182" i="63"/>
  <c r="FR182" i="63"/>
  <c r="FU182" i="63"/>
  <c r="FS182" i="63"/>
  <c r="FQ182" i="63"/>
  <c r="FO182" i="63"/>
  <c r="FM182" i="63"/>
  <c r="FE116" i="63"/>
  <c r="FT105" i="63"/>
  <c r="FO108" i="63"/>
  <c r="FC85" i="63"/>
  <c r="FC87" i="63" s="1"/>
  <c r="FC103" i="63" s="1"/>
  <c r="FA110" i="63"/>
  <c r="FD81" i="63"/>
  <c r="FU84" i="63"/>
  <c r="FP108" i="63"/>
  <c r="FF115" i="63"/>
  <c r="FU115" i="63" s="1"/>
  <c r="FF114" i="63"/>
  <c r="FF92" i="63"/>
  <c r="E92" i="63" s="1"/>
  <c r="FF93" i="63"/>
  <c r="FU93" i="63" s="1"/>
  <c r="FF96" i="63"/>
  <c r="E96" i="63" s="1"/>
  <c r="FF97" i="63"/>
  <c r="FU97" i="63" s="1"/>
  <c r="FF113" i="63"/>
  <c r="FU113" i="63" s="1"/>
  <c r="FF91" i="63"/>
  <c r="FU91" i="63" s="1"/>
  <c r="FF95" i="63"/>
  <c r="FU95" i="63" s="1"/>
  <c r="FF94" i="63"/>
  <c r="FU94" i="63" s="1"/>
  <c r="FF101" i="63"/>
  <c r="FF102" i="63"/>
  <c r="FU102" i="63" s="1"/>
  <c r="FF104" i="63"/>
  <c r="FU104" i="63" s="1"/>
  <c r="FT103" i="63"/>
  <c r="F187" i="63"/>
  <c r="G181" i="63" s="1"/>
  <c r="FH182" i="63"/>
  <c r="FE72" i="63"/>
  <c r="FE73" i="63" s="1"/>
  <c r="FE98" i="63"/>
  <c r="FT107" i="63"/>
  <c r="W30" i="63"/>
  <c r="X30" i="63" s="1"/>
  <c r="W29" i="63"/>
  <c r="X29" i="63" s="1"/>
  <c r="W19" i="63"/>
  <c r="W47" i="63"/>
  <c r="X47" i="63" s="1"/>
  <c r="W39" i="63"/>
  <c r="X39" i="63" s="1"/>
  <c r="W21" i="63"/>
  <c r="X21" i="63" s="1"/>
  <c r="W14" i="63"/>
  <c r="W11" i="63"/>
  <c r="X11" i="63" s="1"/>
  <c r="W40" i="63"/>
  <c r="X40" i="63" s="1"/>
  <c r="W38" i="63"/>
  <c r="X38" i="63" s="1"/>
  <c r="W34" i="63"/>
  <c r="X34" i="63" s="1"/>
  <c r="W28" i="63"/>
  <c r="F17" i="63"/>
  <c r="W20" i="63"/>
  <c r="X20" i="63" s="1"/>
  <c r="W33" i="63"/>
  <c r="X33" i="63" s="1"/>
  <c r="W32" i="63"/>
  <c r="X32" i="63" s="1"/>
  <c r="W22" i="63"/>
  <c r="X22" i="63" s="1"/>
  <c r="W37" i="63"/>
  <c r="W31" i="63"/>
  <c r="X31" i="63" s="1"/>
  <c r="W10" i="63"/>
  <c r="W15" i="63"/>
  <c r="X15" i="63" s="1"/>
  <c r="W16" i="63"/>
  <c r="X16" i="63" s="1"/>
  <c r="FF71" i="63"/>
  <c r="FF78" i="63"/>
  <c r="FF77" i="63"/>
  <c r="FB110" i="63"/>
  <c r="FB118" i="63" s="1"/>
  <c r="FU138" i="63"/>
  <c r="EZ125" i="63" l="1"/>
  <c r="H21" i="63"/>
  <c r="H24" i="63" s="1"/>
  <c r="FQ127" i="63"/>
  <c r="FL127" i="63"/>
  <c r="FJ127" i="63"/>
  <c r="FO127" i="63"/>
  <c r="FK127" i="63"/>
  <c r="FS127" i="63"/>
  <c r="CH128" i="63"/>
  <c r="FO128" i="63" s="1"/>
  <c r="FR127" i="63"/>
  <c r="FP127" i="63"/>
  <c r="FN127" i="63"/>
  <c r="FM127" i="63"/>
  <c r="FI127" i="63"/>
  <c r="FL128" i="63"/>
  <c r="FJ128" i="63"/>
  <c r="FP128" i="63"/>
  <c r="FK128" i="63"/>
  <c r="FR128" i="63"/>
  <c r="FQ128" i="63"/>
  <c r="FM128" i="63"/>
  <c r="FS128" i="63"/>
  <c r="FI128" i="63"/>
  <c r="FN128" i="63"/>
  <c r="G174" i="63"/>
  <c r="G175" i="63" s="1"/>
  <c r="G176" i="63" s="1"/>
  <c r="FA118" i="63"/>
  <c r="FA205" i="63" s="1"/>
  <c r="FT110" i="63"/>
  <c r="Y42" i="63"/>
  <c r="Z12" i="63"/>
  <c r="Z25" i="63" s="1"/>
  <c r="Y25" i="63"/>
  <c r="FT118" i="63"/>
  <c r="FH128" i="63"/>
  <c r="F141" i="63"/>
  <c r="F148" i="63" s="1"/>
  <c r="FE83" i="63"/>
  <c r="FE82" i="63"/>
  <c r="FU96" i="63"/>
  <c r="FE81" i="63"/>
  <c r="FB205" i="63"/>
  <c r="FH114" i="63"/>
  <c r="E114" i="63"/>
  <c r="FU114" i="63"/>
  <c r="FH78" i="63"/>
  <c r="E78" i="63"/>
  <c r="FU78" i="63"/>
  <c r="W41" i="63"/>
  <c r="X41" i="63" s="1"/>
  <c r="X37" i="63"/>
  <c r="FF98" i="63"/>
  <c r="FU98" i="63" s="1"/>
  <c r="E91" i="63"/>
  <c r="FC105" i="63"/>
  <c r="FH84" i="63"/>
  <c r="E84" i="63"/>
  <c r="G183" i="63"/>
  <c r="FF116" i="63"/>
  <c r="FH113" i="63"/>
  <c r="E113" i="63"/>
  <c r="FU92" i="63"/>
  <c r="FH97" i="63"/>
  <c r="E97" i="63"/>
  <c r="FD85" i="63"/>
  <c r="FF72" i="63"/>
  <c r="FF73" i="63" s="1"/>
  <c r="FH71" i="63"/>
  <c r="E71" i="63"/>
  <c r="W17" i="63"/>
  <c r="X17" i="63" s="1"/>
  <c r="X14" i="63"/>
  <c r="FH104" i="63"/>
  <c r="E104" i="63"/>
  <c r="FF76" i="63"/>
  <c r="E102" i="63"/>
  <c r="FH93" i="63"/>
  <c r="E93" i="63"/>
  <c r="FH101" i="63"/>
  <c r="E101" i="63"/>
  <c r="W12" i="63"/>
  <c r="X10" i="63"/>
  <c r="I41" i="63"/>
  <c r="I40" i="63"/>
  <c r="I34" i="63" s="1"/>
  <c r="AP182" i="63" s="1"/>
  <c r="AP135" i="63" s="1"/>
  <c r="F19" i="63"/>
  <c r="FH94" i="63"/>
  <c r="E94" i="63"/>
  <c r="W23" i="63"/>
  <c r="X23" i="63" s="1"/>
  <c r="X19" i="63"/>
  <c r="FU101" i="63"/>
  <c r="E77" i="63"/>
  <c r="FH77" i="63"/>
  <c r="FU77" i="63"/>
  <c r="X28" i="63"/>
  <c r="X35" i="63" s="1"/>
  <c r="W35" i="63"/>
  <c r="FH95" i="63"/>
  <c r="E95" i="63"/>
  <c r="FH115" i="63"/>
  <c r="E115" i="63"/>
  <c r="FU71" i="63"/>
  <c r="FA122" i="63" l="1"/>
  <c r="FA124" i="63" s="1"/>
  <c r="FA125" i="63" s="1"/>
  <c r="FA120" i="63"/>
  <c r="FT120" i="63" s="1"/>
  <c r="H27" i="63"/>
  <c r="I27" i="63" s="1"/>
  <c r="I21" i="63"/>
  <c r="H25" i="63"/>
  <c r="I25" i="63" s="1"/>
  <c r="H26" i="63"/>
  <c r="I26" i="63" s="1"/>
  <c r="F151" i="63"/>
  <c r="G133" i="63"/>
  <c r="FT124" i="63"/>
  <c r="Y45" i="63"/>
  <c r="Z45" i="63" s="1"/>
  <c r="I24" i="63"/>
  <c r="Z42" i="63"/>
  <c r="Y43" i="63"/>
  <c r="FU72" i="63"/>
  <c r="FU73" i="63"/>
  <c r="FF79" i="63"/>
  <c r="FF81" i="63" s="1"/>
  <c r="FU81" i="63" s="1"/>
  <c r="E76" i="63"/>
  <c r="FU76" i="63"/>
  <c r="X12" i="63"/>
  <c r="X25" i="63" s="1"/>
  <c r="W25" i="63"/>
  <c r="FD87" i="63"/>
  <c r="E98" i="63"/>
  <c r="FH98" i="63"/>
  <c r="W42" i="63"/>
  <c r="FH72" i="63"/>
  <c r="E72" i="63"/>
  <c r="G184" i="63"/>
  <c r="G206" i="63" s="1"/>
  <c r="G208" i="63" s="1"/>
  <c r="G209" i="63" s="1"/>
  <c r="F21" i="63"/>
  <c r="G19" i="63"/>
  <c r="FB120" i="63"/>
  <c r="FB122" i="63"/>
  <c r="FB124" i="63" s="1"/>
  <c r="FB127" i="63" s="1"/>
  <c r="FE85" i="63"/>
  <c r="FE87" i="63" s="1"/>
  <c r="I37" i="63"/>
  <c r="I38" i="63"/>
  <c r="AQ182" i="63"/>
  <c r="FH73" i="63"/>
  <c r="E73" i="63"/>
  <c r="FH116" i="63"/>
  <c r="E116" i="63"/>
  <c r="FI116" i="63"/>
  <c r="FU116" i="63"/>
  <c r="FC107" i="63"/>
  <c r="FA127" i="63" l="1"/>
  <c r="FT127" i="63" s="1"/>
  <c r="AQ136" i="63"/>
  <c r="AP136" i="63"/>
  <c r="H28" i="63"/>
  <c r="I28" i="63" s="1"/>
  <c r="I29" i="63" s="1"/>
  <c r="G178" i="63"/>
  <c r="H172" i="63" s="1"/>
  <c r="F153" i="63"/>
  <c r="F24" i="63"/>
  <c r="F26" i="63"/>
  <c r="F25" i="63"/>
  <c r="G25" i="63" s="1"/>
  <c r="F27" i="63"/>
  <c r="G27" i="63" s="1"/>
  <c r="Y48" i="63"/>
  <c r="Y49" i="63" s="1"/>
  <c r="FF83" i="63"/>
  <c r="FU83" i="63" s="1"/>
  <c r="FF82" i="63"/>
  <c r="E82" i="63" s="1"/>
  <c r="W45" i="63"/>
  <c r="X42" i="63"/>
  <c r="W43" i="63"/>
  <c r="I42" i="63"/>
  <c r="G21" i="63"/>
  <c r="FD103" i="63"/>
  <c r="FH83" i="63"/>
  <c r="G137" i="63"/>
  <c r="G139" i="63" s="1"/>
  <c r="G187" i="63"/>
  <c r="H181" i="63" s="1"/>
  <c r="FB128" i="63"/>
  <c r="FB125" i="63"/>
  <c r="AQ135" i="63"/>
  <c r="FK182" i="63"/>
  <c r="E182" i="63"/>
  <c r="FE103" i="63"/>
  <c r="FE105" i="63" s="1"/>
  <c r="FE107" i="63" s="1"/>
  <c r="FE108" i="63" s="1"/>
  <c r="FC108" i="63"/>
  <c r="FC110" i="63"/>
  <c r="FC118" i="63" s="1"/>
  <c r="E81" i="63"/>
  <c r="FH79" i="63"/>
  <c r="FH108" i="63" s="1"/>
  <c r="E79" i="63"/>
  <c r="FU79" i="63"/>
  <c r="FA128" i="63" l="1"/>
  <c r="G141" i="63"/>
  <c r="FK136" i="63"/>
  <c r="E136" i="63"/>
  <c r="H29" i="63"/>
  <c r="G26" i="63"/>
  <c r="F156" i="63"/>
  <c r="Z48" i="63"/>
  <c r="H174" i="63"/>
  <c r="H175" i="63" s="1"/>
  <c r="H176" i="63" s="1"/>
  <c r="FT128" i="63"/>
  <c r="FU82" i="63"/>
  <c r="FF85" i="63"/>
  <c r="FU85" i="63" s="1"/>
  <c r="E83" i="63"/>
  <c r="FE110" i="63"/>
  <c r="W48" i="63"/>
  <c r="X45" i="63"/>
  <c r="FH85" i="63"/>
  <c r="H183" i="63"/>
  <c r="F28" i="63"/>
  <c r="G24" i="63"/>
  <c r="FC205" i="63"/>
  <c r="FD105" i="63"/>
  <c r="FK135" i="63"/>
  <c r="E135" i="63"/>
  <c r="W50" i="63" l="1"/>
  <c r="W49" i="63"/>
  <c r="F158" i="63"/>
  <c r="E146" i="63"/>
  <c r="FH146" i="63"/>
  <c r="Y50" i="63"/>
  <c r="H133" i="63"/>
  <c r="FE118" i="63"/>
  <c r="FE205" i="63" s="1"/>
  <c r="E85" i="63"/>
  <c r="FF87" i="63"/>
  <c r="E87" i="63" s="1"/>
  <c r="FE120" i="63"/>
  <c r="FD107" i="63"/>
  <c r="G28" i="63"/>
  <c r="G29" i="63" s="1"/>
  <c r="F29" i="63"/>
  <c r="X48" i="63"/>
  <c r="H184" i="63"/>
  <c r="H206" i="63" s="1"/>
  <c r="H208" i="63" s="1"/>
  <c r="H209" i="63" s="1"/>
  <c r="FC120" i="63"/>
  <c r="FC122" i="63"/>
  <c r="FC124" i="63" s="1"/>
  <c r="FC127" i="63" s="1"/>
  <c r="G159" i="63" l="1"/>
  <c r="FF103" i="63"/>
  <c r="E103" i="63" s="1"/>
  <c r="H178" i="63"/>
  <c r="I172" i="63" s="1"/>
  <c r="FU87" i="63"/>
  <c r="FC128" i="63"/>
  <c r="FC125" i="63"/>
  <c r="H137" i="63"/>
  <c r="H139" i="63" s="1"/>
  <c r="H187" i="63"/>
  <c r="I181" i="63" s="1"/>
  <c r="FU103" i="63"/>
  <c r="FD108" i="63"/>
  <c r="FD110" i="63"/>
  <c r="FD118" i="63" s="1"/>
  <c r="H141" i="63" l="1"/>
  <c r="H159" i="63"/>
  <c r="FF105" i="63"/>
  <c r="I174" i="63"/>
  <c r="I175" i="63" s="1"/>
  <c r="I176" i="63" s="1"/>
  <c r="E105" i="63"/>
  <c r="FF107" i="63"/>
  <c r="FU105" i="63"/>
  <c r="FD205" i="63"/>
  <c r="I183" i="63"/>
  <c r="I133" i="63" l="1"/>
  <c r="FF108" i="63"/>
  <c r="E107" i="63"/>
  <c r="FF110" i="63"/>
  <c r="FF118" i="63" s="1"/>
  <c r="FU107" i="63"/>
  <c r="I184" i="63"/>
  <c r="I206" i="63" s="1"/>
  <c r="I208" i="63" s="1"/>
  <c r="I209" i="63" s="1"/>
  <c r="FD120" i="63"/>
  <c r="FD122" i="63"/>
  <c r="FD124" i="63" s="1"/>
  <c r="FD127" i="63" s="1"/>
  <c r="FE122" i="63"/>
  <c r="FE124" i="63" s="1"/>
  <c r="FE127" i="63" s="1"/>
  <c r="I178" i="63" l="1"/>
  <c r="J172" i="63" s="1"/>
  <c r="FE128" i="63"/>
  <c r="FE125" i="63"/>
  <c r="FN173" i="63"/>
  <c r="I137" i="63"/>
  <c r="I139" i="63" s="1"/>
  <c r="I187" i="63"/>
  <c r="J181" i="63" s="1"/>
  <c r="FI110" i="63"/>
  <c r="FH110" i="63"/>
  <c r="E110" i="63"/>
  <c r="FU110" i="63"/>
  <c r="FD125" i="63"/>
  <c r="FD128" i="63"/>
  <c r="I141" i="63" l="1"/>
  <c r="I159" i="63"/>
  <c r="J174" i="63"/>
  <c r="J175" i="63" s="1"/>
  <c r="J176" i="63" s="1"/>
  <c r="FF205" i="63"/>
  <c r="E205" i="63" s="1"/>
  <c r="FF120" i="63"/>
  <c r="E118" i="63"/>
  <c r="FF122" i="63"/>
  <c r="FF124" i="63" s="1"/>
  <c r="FF127" i="63" s="1"/>
  <c r="FU118" i="63"/>
  <c r="J183" i="63"/>
  <c r="J133" i="63" l="1"/>
  <c r="J184" i="63"/>
  <c r="E120" i="63"/>
  <c r="FU120" i="63"/>
  <c r="FF128" i="63"/>
  <c r="FF125" i="63"/>
  <c r="E125" i="63" s="1"/>
  <c r="E124" i="63"/>
  <c r="FU124" i="63"/>
  <c r="J178" i="63" l="1"/>
  <c r="K172" i="63" s="1"/>
  <c r="J206" i="63"/>
  <c r="J208" i="63" s="1"/>
  <c r="J209" i="63" s="1"/>
  <c r="J187" i="63"/>
  <c r="K181" i="63" s="1"/>
  <c r="K183" i="63" s="1"/>
  <c r="E128" i="63"/>
  <c r="FU128" i="63"/>
  <c r="J137" i="63"/>
  <c r="J139" i="63" s="1"/>
  <c r="E127" i="63"/>
  <c r="FU127" i="63"/>
  <c r="J141" i="63" l="1"/>
  <c r="J159" i="63"/>
  <c r="K174" i="63"/>
  <c r="K175" i="63" s="1"/>
  <c r="K176" i="63" s="1"/>
  <c r="K184" i="63"/>
  <c r="K206" i="63" l="1"/>
  <c r="K208" i="63" s="1"/>
  <c r="K209" i="63" s="1"/>
  <c r="K133" i="63"/>
  <c r="K137" i="63"/>
  <c r="K187" i="63"/>
  <c r="L181" i="63" s="1"/>
  <c r="K139" i="63" l="1"/>
  <c r="K159" i="63"/>
  <c r="K178" i="63"/>
  <c r="L172" i="63" s="1"/>
  <c r="L183" i="63"/>
  <c r="L184" i="63" s="1"/>
  <c r="L174" i="63" l="1"/>
  <c r="L175" i="63" s="1"/>
  <c r="L176" i="63" s="1"/>
  <c r="K141" i="63"/>
  <c r="L137" i="63"/>
  <c r="L187" i="63"/>
  <c r="M181" i="63" s="1"/>
  <c r="L178" i="63" l="1"/>
  <c r="M172" i="63" s="1"/>
  <c r="L206" i="63"/>
  <c r="L208" i="63" s="1"/>
  <c r="L209" i="63" s="1"/>
  <c r="M183" i="63"/>
  <c r="M184" i="63" s="1"/>
  <c r="M174" i="63" l="1"/>
  <c r="L133" i="63"/>
  <c r="L139" i="63" s="1"/>
  <c r="M137" i="63"/>
  <c r="M187" i="63"/>
  <c r="N181" i="63" s="1"/>
  <c r="M175" i="63" l="1"/>
  <c r="L159" i="63"/>
  <c r="L141" i="63"/>
  <c r="N183" i="63"/>
  <c r="M206" i="63" l="1"/>
  <c r="M208" i="63" s="1"/>
  <c r="M209" i="63" s="1"/>
  <c r="M176" i="63"/>
  <c r="M133" i="63" s="1"/>
  <c r="N184" i="63"/>
  <c r="M139" i="63" l="1"/>
  <c r="M141" i="63" s="1"/>
  <c r="M159" i="63"/>
  <c r="M178" i="63"/>
  <c r="N172" i="63" s="1"/>
  <c r="N174" i="63" s="1"/>
  <c r="N175" i="63" s="1"/>
  <c r="N176" i="63" s="1"/>
  <c r="N187" i="63"/>
  <c r="O181" i="63" s="1"/>
  <c r="O183" i="63" s="1"/>
  <c r="N137" i="63"/>
  <c r="N206" i="63" l="1"/>
  <c r="N208" i="63" s="1"/>
  <c r="N209" i="63" s="1"/>
  <c r="N133" i="63"/>
  <c r="N139" i="63" s="1"/>
  <c r="O184" i="63"/>
  <c r="N159" i="63" l="1"/>
  <c r="N141" i="63"/>
  <c r="N178" i="63"/>
  <c r="O172" i="63" s="1"/>
  <c r="O174" i="63" s="1"/>
  <c r="O175" i="63" s="1"/>
  <c r="O176" i="63" s="1"/>
  <c r="O137" i="63"/>
  <c r="O187" i="63"/>
  <c r="P181" i="63" s="1"/>
  <c r="P183" i="63" l="1"/>
  <c r="O133" i="63" l="1"/>
  <c r="O139" i="63" s="1"/>
  <c r="O206" i="63"/>
  <c r="O208" i="63" s="1"/>
  <c r="O209" i="63" s="1"/>
  <c r="P184" i="63"/>
  <c r="O159" i="63" l="1"/>
  <c r="O178" i="63"/>
  <c r="P172" i="63" s="1"/>
  <c r="P174" i="63" s="1"/>
  <c r="P175" i="63" s="1"/>
  <c r="P176" i="63" s="1"/>
  <c r="P187" i="63"/>
  <c r="Q181" i="63" s="1"/>
  <c r="Q183" i="63" s="1"/>
  <c r="P137" i="63"/>
  <c r="O141" i="63" l="1"/>
  <c r="Q184" i="63"/>
  <c r="P178" i="63" l="1"/>
  <c r="Q172" i="63" s="1"/>
  <c r="P206" i="63"/>
  <c r="P208" i="63" s="1"/>
  <c r="P209" i="63" s="1"/>
  <c r="Q137" i="63"/>
  <c r="Q187" i="63"/>
  <c r="R181" i="63" s="1"/>
  <c r="Q174" i="63" l="1"/>
  <c r="Q175" i="63" s="1"/>
  <c r="Q176" i="63" s="1"/>
  <c r="P133" i="63"/>
  <c r="P139" i="63" s="1"/>
  <c r="R183" i="63"/>
  <c r="R184" i="63" s="1"/>
  <c r="P159" i="63" l="1"/>
  <c r="R137" i="63"/>
  <c r="R187" i="63"/>
  <c r="S181" i="63" s="1"/>
  <c r="P141" i="63" l="1"/>
  <c r="Q133" i="63"/>
  <c r="Q139" i="63" s="1"/>
  <c r="Q206" i="63"/>
  <c r="Q208" i="63" s="1"/>
  <c r="Q209" i="63" s="1"/>
  <c r="S183" i="63"/>
  <c r="S184" i="63" s="1"/>
  <c r="Q159" i="63" l="1"/>
  <c r="Q178" i="63"/>
  <c r="R172" i="63" s="1"/>
  <c r="R174" i="63" s="1"/>
  <c r="R175" i="63" s="1"/>
  <c r="R176" i="63" s="1"/>
  <c r="S137" i="63"/>
  <c r="S187" i="63"/>
  <c r="T181" i="63" s="1"/>
  <c r="Q141" i="63" l="1"/>
  <c r="T183" i="63"/>
  <c r="T184" i="63" s="1"/>
  <c r="R133" i="63" l="1"/>
  <c r="R139" i="63" s="1"/>
  <c r="R206" i="63"/>
  <c r="R208" i="63" s="1"/>
  <c r="R209" i="63" s="1"/>
  <c r="T137" i="63"/>
  <c r="T187" i="63"/>
  <c r="U181" i="63" s="1"/>
  <c r="R159" i="63" l="1"/>
  <c r="R178" i="63"/>
  <c r="S172" i="63" s="1"/>
  <c r="U183" i="63"/>
  <c r="U184" i="63" s="1"/>
  <c r="S174" i="63" l="1"/>
  <c r="S175" i="63" s="1"/>
  <c r="S176" i="63" s="1"/>
  <c r="R141" i="63"/>
  <c r="U137" i="63"/>
  <c r="U187" i="63"/>
  <c r="V181" i="63" s="1"/>
  <c r="S178" i="63" l="1"/>
  <c r="T172" i="63" s="1"/>
  <c r="S206" i="63"/>
  <c r="S208" i="63" s="1"/>
  <c r="S209" i="63" s="1"/>
  <c r="V183" i="63"/>
  <c r="V184" i="63" s="1"/>
  <c r="T174" i="63" l="1"/>
  <c r="T175" i="63" s="1"/>
  <c r="T176" i="63" s="1"/>
  <c r="S133" i="63"/>
  <c r="S139" i="63" s="1"/>
  <c r="V137" i="63"/>
  <c r="V187" i="63"/>
  <c r="W181" i="63" s="1"/>
  <c r="S159" i="63" l="1"/>
  <c r="S141" i="63"/>
  <c r="T178" i="63"/>
  <c r="U172" i="63" s="1"/>
  <c r="T206" i="63"/>
  <c r="T208" i="63" s="1"/>
  <c r="T209" i="63" s="1"/>
  <c r="W183" i="63"/>
  <c r="W184" i="63" s="1"/>
  <c r="U174" i="63" l="1"/>
  <c r="U175" i="63" s="1"/>
  <c r="U176" i="63" s="1"/>
  <c r="T133" i="63"/>
  <c r="T139" i="63" s="1"/>
  <c r="W137" i="63"/>
  <c r="W187" i="63"/>
  <c r="X181" i="63" s="1"/>
  <c r="T159" i="63" l="1"/>
  <c r="U133" i="63"/>
  <c r="U139" i="63" s="1"/>
  <c r="U206" i="63"/>
  <c r="U208" i="63" s="1"/>
  <c r="U209" i="63" s="1"/>
  <c r="T141" i="63"/>
  <c r="X183" i="63"/>
  <c r="X184" i="63" s="1"/>
  <c r="U159" i="63" l="1"/>
  <c r="U141" i="63"/>
  <c r="U178" i="63"/>
  <c r="V172" i="63" s="1"/>
  <c r="X137" i="63"/>
  <c r="X187" i="63"/>
  <c r="Y181" i="63" s="1"/>
  <c r="V174" i="63" l="1"/>
  <c r="V175" i="63" s="1"/>
  <c r="V176" i="63" s="1"/>
  <c r="Y183" i="63"/>
  <c r="Y184" i="63" s="1"/>
  <c r="V133" i="63" l="1"/>
  <c r="V139" i="63" s="1"/>
  <c r="V206" i="63"/>
  <c r="V208" i="63" s="1"/>
  <c r="V209" i="63" s="1"/>
  <c r="Y137" i="63"/>
  <c r="Y187" i="63"/>
  <c r="Z181" i="63" s="1"/>
  <c r="V159" i="63" l="1"/>
  <c r="V141" i="63"/>
  <c r="V178" i="63"/>
  <c r="W172" i="63" s="1"/>
  <c r="Z183" i="63"/>
  <c r="W174" i="63" l="1"/>
  <c r="W175" i="63" s="1"/>
  <c r="W176" i="63" s="1"/>
  <c r="Z184" i="63"/>
  <c r="W133" i="63" l="1"/>
  <c r="W139" i="63" s="1"/>
  <c r="W206" i="63"/>
  <c r="W208" i="63" s="1"/>
  <c r="W209" i="63" s="1"/>
  <c r="Z187" i="63"/>
  <c r="AA181" i="63" s="1"/>
  <c r="AA183" i="63" s="1"/>
  <c r="Z137" i="63"/>
  <c r="W159" i="63" l="1"/>
  <c r="W178" i="63"/>
  <c r="X172" i="63" s="1"/>
  <c r="X174" i="63" s="1"/>
  <c r="X175" i="63" s="1"/>
  <c r="X176" i="63" s="1"/>
  <c r="W141" i="63"/>
  <c r="AA184" i="63"/>
  <c r="X178" i="63" l="1"/>
  <c r="Y172" i="63" s="1"/>
  <c r="X206" i="63"/>
  <c r="X208" i="63" s="1"/>
  <c r="X209" i="63" s="1"/>
  <c r="AA187" i="63"/>
  <c r="AB181" i="63" s="1"/>
  <c r="AB183" i="63" s="1"/>
  <c r="AA137" i="63"/>
  <c r="X133" i="63" l="1"/>
  <c r="X139" i="63" s="1"/>
  <c r="Y174" i="63"/>
  <c r="Y175" i="63" s="1"/>
  <c r="Y176" i="63" s="1"/>
  <c r="AB184" i="63"/>
  <c r="X159" i="63" l="1"/>
  <c r="Y178" i="63"/>
  <c r="Z172" i="63" s="1"/>
  <c r="Y206" i="63"/>
  <c r="Y208" i="63" s="1"/>
  <c r="Y209" i="63" s="1"/>
  <c r="X141" i="63"/>
  <c r="AB137" i="63"/>
  <c r="AB187" i="63"/>
  <c r="AC181" i="63" s="1"/>
  <c r="Z174" i="63" l="1"/>
  <c r="Z175" i="63" s="1"/>
  <c r="Z176" i="63" s="1"/>
  <c r="Y133" i="63"/>
  <c r="Y139" i="63" s="1"/>
  <c r="AC183" i="63"/>
  <c r="Y159" i="63" l="1"/>
  <c r="Y141" i="63"/>
  <c r="AC184" i="63"/>
  <c r="Z133" i="63" l="1"/>
  <c r="Z139" i="63" s="1"/>
  <c r="Z206" i="63"/>
  <c r="Z208" i="63" s="1"/>
  <c r="Z209" i="63" s="1"/>
  <c r="AC187" i="63"/>
  <c r="AD181" i="63" s="1"/>
  <c r="AD183" i="63" s="1"/>
  <c r="AD184" i="63" s="1"/>
  <c r="AC137" i="63"/>
  <c r="Z159" i="63" l="1"/>
  <c r="Z178" i="63"/>
  <c r="AA172" i="63" s="1"/>
  <c r="AD137" i="63"/>
  <c r="AD187" i="63"/>
  <c r="AE181" i="63" s="1"/>
  <c r="AA174" i="63" l="1"/>
  <c r="AA175" i="63" s="1"/>
  <c r="AA176" i="63" s="1"/>
  <c r="Z141" i="63"/>
  <c r="AE183" i="63"/>
  <c r="AE184" i="63" s="1"/>
  <c r="AE137" i="63" l="1"/>
  <c r="AE187" i="63"/>
  <c r="AF181" i="63" s="1"/>
  <c r="AA133" i="63" l="1"/>
  <c r="AA139" i="63" s="1"/>
  <c r="AA206" i="63"/>
  <c r="AA208" i="63" s="1"/>
  <c r="AA209" i="63" s="1"/>
  <c r="AF183" i="63"/>
  <c r="AF184" i="63" s="1"/>
  <c r="AA159" i="63" l="1"/>
  <c r="AA178" i="63"/>
  <c r="AB172" i="63" s="1"/>
  <c r="AF137" i="63"/>
  <c r="AF187" i="63"/>
  <c r="AG181" i="63" s="1"/>
  <c r="AB174" i="63" l="1"/>
  <c r="AB175" i="63" s="1"/>
  <c r="AB176" i="63" s="1"/>
  <c r="AA141" i="63"/>
  <c r="AG183" i="63"/>
  <c r="AG184" i="63" s="1"/>
  <c r="AG137" i="63" l="1"/>
  <c r="AG187" i="63"/>
  <c r="AH181" i="63" s="1"/>
  <c r="AB206" i="63" l="1"/>
  <c r="AB208" i="63" s="1"/>
  <c r="AB209" i="63" s="1"/>
  <c r="AH183" i="63"/>
  <c r="AH184" i="63" s="1"/>
  <c r="AB178" i="63" l="1"/>
  <c r="AC172" i="63" s="1"/>
  <c r="AB133" i="63"/>
  <c r="AB139" i="63" s="1"/>
  <c r="AH137" i="63"/>
  <c r="AH187" i="63"/>
  <c r="AI181" i="63" s="1"/>
  <c r="AB159" i="63" l="1"/>
  <c r="AC174" i="63"/>
  <c r="AC175" i="63" s="1"/>
  <c r="AC176" i="63" s="1"/>
  <c r="AI183" i="63"/>
  <c r="AI184" i="63" s="1"/>
  <c r="AB141" i="63" l="1"/>
  <c r="AI137" i="63"/>
  <c r="AI187" i="63"/>
  <c r="AJ181" i="63" s="1"/>
  <c r="AJ183" i="63" s="1"/>
  <c r="AJ184" i="63" s="1"/>
  <c r="AC206" i="63" l="1"/>
  <c r="AC208" i="63" s="1"/>
  <c r="AC209" i="63" s="1"/>
  <c r="AJ137" i="63"/>
  <c r="AJ187" i="63"/>
  <c r="AK181" i="63" s="1"/>
  <c r="AC178" i="63" l="1"/>
  <c r="AD172" i="63" s="1"/>
  <c r="AC133" i="63"/>
  <c r="AC139" i="63" s="1"/>
  <c r="AK183" i="63"/>
  <c r="AK184" i="63" s="1"/>
  <c r="AC159" i="63" l="1"/>
  <c r="AD174" i="63"/>
  <c r="AD175" i="63" s="1"/>
  <c r="AD176" i="63" s="1"/>
  <c r="AK137" i="63"/>
  <c r="AK187" i="63"/>
  <c r="AL181" i="63" s="1"/>
  <c r="AC141" i="63" l="1"/>
  <c r="AL183" i="63"/>
  <c r="AD206" i="63" l="1"/>
  <c r="AD208" i="63" s="1"/>
  <c r="AD209" i="63" s="1"/>
  <c r="AL184" i="63"/>
  <c r="AD133" i="63" l="1"/>
  <c r="AD139" i="63" s="1"/>
  <c r="AD178" i="63"/>
  <c r="AE172" i="63" s="1"/>
  <c r="AL187" i="63"/>
  <c r="AM181" i="63" s="1"/>
  <c r="AM183" i="63" s="1"/>
  <c r="AL137" i="63"/>
  <c r="AD159" i="63" l="1"/>
  <c r="AE174" i="63"/>
  <c r="AE175" i="63" s="1"/>
  <c r="AE176" i="63" s="1"/>
  <c r="AM184" i="63"/>
  <c r="AE133" i="63" l="1"/>
  <c r="AE139" i="63" s="1"/>
  <c r="AE206" i="63"/>
  <c r="AE208" i="63" s="1"/>
  <c r="AE209" i="63" s="1"/>
  <c r="AD141" i="63"/>
  <c r="AM137" i="63"/>
  <c r="AM187" i="63"/>
  <c r="AN181" i="63" s="1"/>
  <c r="AE159" i="63" l="1"/>
  <c r="AE141" i="63"/>
  <c r="AE178" i="63"/>
  <c r="AF172" i="63" s="1"/>
  <c r="AN183" i="63"/>
  <c r="AF174" i="63" l="1"/>
  <c r="AF175" i="63" s="1"/>
  <c r="AF176" i="63" s="1"/>
  <c r="AN184" i="63"/>
  <c r="AF133" i="63" l="1"/>
  <c r="AF139" i="63" s="1"/>
  <c r="AF206" i="63"/>
  <c r="AF208" i="63" s="1"/>
  <c r="AF209" i="63" s="1"/>
  <c r="AN137" i="63"/>
  <c r="AN187" i="63"/>
  <c r="AO181" i="63" s="1"/>
  <c r="AF159" i="63" l="1"/>
  <c r="AF178" i="63"/>
  <c r="AG172" i="63" s="1"/>
  <c r="AF141" i="63"/>
  <c r="AO183" i="63"/>
  <c r="AG174" i="63" l="1"/>
  <c r="AG175" i="63" s="1"/>
  <c r="AG176" i="63" s="1"/>
  <c r="AO184" i="63"/>
  <c r="AG133" i="63" l="1"/>
  <c r="AG139" i="63" s="1"/>
  <c r="AG206" i="63"/>
  <c r="AG208" i="63" s="1"/>
  <c r="AG209" i="63" s="1"/>
  <c r="AO137" i="63"/>
  <c r="AO187" i="63"/>
  <c r="AP181" i="63" s="1"/>
  <c r="AG159" i="63" l="1"/>
  <c r="AG141" i="63"/>
  <c r="AG178" i="63"/>
  <c r="AH172" i="63" s="1"/>
  <c r="AP183" i="63"/>
  <c r="AP184" i="63" s="1"/>
  <c r="AH174" i="63" l="1"/>
  <c r="AH175" i="63" s="1"/>
  <c r="AH176" i="63" s="1"/>
  <c r="AP137" i="63"/>
  <c r="AP187" i="63"/>
  <c r="AQ181" i="63" s="1"/>
  <c r="AH133" i="63" l="1"/>
  <c r="AH139" i="63" s="1"/>
  <c r="AH206" i="63"/>
  <c r="AH208" i="63" s="1"/>
  <c r="AH209" i="63" s="1"/>
  <c r="AQ183" i="63"/>
  <c r="AQ184" i="63" s="1"/>
  <c r="AH159" i="63" l="1"/>
  <c r="AH178" i="63"/>
  <c r="AI172" i="63" s="1"/>
  <c r="AI174" i="63" s="1"/>
  <c r="AI175" i="63" s="1"/>
  <c r="AI176" i="63" s="1"/>
  <c r="AH141" i="63"/>
  <c r="AQ137" i="63"/>
  <c r="AQ187" i="63"/>
  <c r="AR181" i="63" s="1"/>
  <c r="AI178" i="63" l="1"/>
  <c r="AJ172" i="63" s="1"/>
  <c r="AJ174" i="63" s="1"/>
  <c r="AJ175" i="63" s="1"/>
  <c r="AJ176" i="63" s="1"/>
  <c r="AI206" i="63"/>
  <c r="AI208" i="63" s="1"/>
  <c r="AI209" i="63" s="1"/>
  <c r="AR183" i="63"/>
  <c r="AR184" i="63" s="1"/>
  <c r="AJ178" i="63" l="1"/>
  <c r="AK172" i="63" s="1"/>
  <c r="AK174" i="63" s="1"/>
  <c r="AK175" i="63" s="1"/>
  <c r="AK176" i="63" s="1"/>
  <c r="AJ206" i="63"/>
  <c r="AJ208" i="63" s="1"/>
  <c r="AJ209" i="63" s="1"/>
  <c r="AI133" i="63"/>
  <c r="AI139" i="63" s="1"/>
  <c r="AR137" i="63"/>
  <c r="AR187" i="63"/>
  <c r="AS181" i="63" s="1"/>
  <c r="AI159" i="63" l="1"/>
  <c r="AI141" i="63"/>
  <c r="AJ133" i="63"/>
  <c r="AJ139" i="63" s="1"/>
  <c r="AK178" i="63"/>
  <c r="AL172" i="63" s="1"/>
  <c r="AL174" i="63" s="1"/>
  <c r="AL175" i="63" s="1"/>
  <c r="AL176" i="63" s="1"/>
  <c r="AK206" i="63"/>
  <c r="AK208" i="63" s="1"/>
  <c r="AK209" i="63" s="1"/>
  <c r="AS183" i="63"/>
  <c r="AS184" i="63" s="1"/>
  <c r="AJ159" i="63" l="1"/>
  <c r="AK133" i="63"/>
  <c r="AK139" i="63" s="1"/>
  <c r="AJ141" i="63"/>
  <c r="AS137" i="63"/>
  <c r="AS187" i="63"/>
  <c r="AT181" i="63" s="1"/>
  <c r="AK141" i="63" l="1"/>
  <c r="AK159" i="63"/>
  <c r="AL133" i="63"/>
  <c r="AL139" i="63" s="1"/>
  <c r="AL206" i="63"/>
  <c r="AL208" i="63" s="1"/>
  <c r="AL209" i="63" s="1"/>
  <c r="AT183" i="63"/>
  <c r="AT184" i="63" s="1"/>
  <c r="AL159" i="63" l="1"/>
  <c r="AL178" i="63"/>
  <c r="AM172" i="63" s="1"/>
  <c r="AT137" i="63"/>
  <c r="AT187" i="63"/>
  <c r="AU181" i="63" s="1"/>
  <c r="AM174" i="63" l="1"/>
  <c r="AM175" i="63" s="1"/>
  <c r="AM176" i="63" s="1"/>
  <c r="AL141" i="63"/>
  <c r="AU183" i="63"/>
  <c r="AU184" i="63" s="1"/>
  <c r="AU137" i="63" l="1"/>
  <c r="AU187" i="63"/>
  <c r="AV181" i="63" s="1"/>
  <c r="AV183" i="63" s="1"/>
  <c r="AV184" i="63" s="1"/>
  <c r="AM178" i="63" l="1"/>
  <c r="AN172" i="63" s="1"/>
  <c r="AN174" i="63" s="1"/>
  <c r="AN175" i="63" s="1"/>
  <c r="AN176" i="63" s="1"/>
  <c r="AM206" i="63"/>
  <c r="AM208" i="63" s="1"/>
  <c r="AM209" i="63" s="1"/>
  <c r="AV137" i="63"/>
  <c r="AV187" i="63"/>
  <c r="AW181" i="63" s="1"/>
  <c r="AM133" i="63" l="1"/>
  <c r="AM139" i="63" s="1"/>
  <c r="AW183" i="63"/>
  <c r="AW184" i="63" s="1"/>
  <c r="AM159" i="63" l="1"/>
  <c r="AN206" i="63"/>
  <c r="AN208" i="63" s="1"/>
  <c r="AN209" i="63" s="1"/>
  <c r="AW137" i="63"/>
  <c r="AW187" i="63"/>
  <c r="AX181" i="63" s="1"/>
  <c r="AN178" i="63" l="1"/>
  <c r="AO172" i="63" s="1"/>
  <c r="AO174" i="63" s="1"/>
  <c r="AO175" i="63" s="1"/>
  <c r="AO176" i="63" s="1"/>
  <c r="AM141" i="63"/>
  <c r="AN133" i="63"/>
  <c r="AN139" i="63" s="1"/>
  <c r="AX183" i="63"/>
  <c r="AN159" i="63" l="1"/>
  <c r="AX184" i="63"/>
  <c r="AN141" i="63" l="1"/>
  <c r="AO133" i="63"/>
  <c r="AO139" i="63" s="1"/>
  <c r="AO206" i="63"/>
  <c r="AO208" i="63" s="1"/>
  <c r="AO209" i="63" s="1"/>
  <c r="AX187" i="63"/>
  <c r="AY181" i="63" s="1"/>
  <c r="AY183" i="63" s="1"/>
  <c r="AX137" i="63"/>
  <c r="AO159" i="63" l="1"/>
  <c r="AO178" i="63"/>
  <c r="AP172" i="63" s="1"/>
  <c r="AY184" i="63"/>
  <c r="AP174" i="63" l="1"/>
  <c r="AP175" i="63" s="1"/>
  <c r="AP176" i="63" s="1"/>
  <c r="AO141" i="63"/>
  <c r="AY137" i="63"/>
  <c r="AY187" i="63"/>
  <c r="AZ181" i="63" s="1"/>
  <c r="AZ183" i="63" l="1"/>
  <c r="AP177" i="63" l="1"/>
  <c r="AP134" i="63" s="1"/>
  <c r="AP206" i="63"/>
  <c r="AP208" i="63" s="1"/>
  <c r="AP209" i="63" s="1"/>
  <c r="AZ184" i="63"/>
  <c r="AP133" i="63" l="1"/>
  <c r="AP139" i="63" s="1"/>
  <c r="AP178" i="63"/>
  <c r="AQ172" i="63" s="1"/>
  <c r="AZ187" i="63"/>
  <c r="BA181" i="63" s="1"/>
  <c r="BA183" i="63" s="1"/>
  <c r="AZ137" i="63"/>
  <c r="AP159" i="63" l="1"/>
  <c r="AQ174" i="63"/>
  <c r="AQ175" i="63" s="1"/>
  <c r="BA184" i="63"/>
  <c r="AQ177" i="63" l="1"/>
  <c r="AQ178" i="63" s="1"/>
  <c r="AR172" i="63" s="1"/>
  <c r="AQ206" i="63"/>
  <c r="AQ208" i="63" s="1"/>
  <c r="AQ209" i="63" s="1"/>
  <c r="AP141" i="63"/>
  <c r="BA187" i="63"/>
  <c r="BB181" i="63" s="1"/>
  <c r="BB183" i="63" s="1"/>
  <c r="BB184" i="63" s="1"/>
  <c r="BA137" i="63"/>
  <c r="AR174" i="63" l="1"/>
  <c r="AR175" i="63" s="1"/>
  <c r="AQ134" i="63"/>
  <c r="E177" i="63"/>
  <c r="FK177" i="63"/>
  <c r="AQ133" i="63"/>
  <c r="AQ139" i="63" s="1"/>
  <c r="E176" i="63"/>
  <c r="FH176" i="63"/>
  <c r="FI176" i="63"/>
  <c r="FJ176" i="63"/>
  <c r="FK176" i="63"/>
  <c r="BB137" i="63"/>
  <c r="BB187" i="63"/>
  <c r="BC181" i="63" s="1"/>
  <c r="AQ159" i="63" l="1"/>
  <c r="FK134" i="63"/>
  <c r="E134" i="63"/>
  <c r="AR133" i="63"/>
  <c r="AR139" i="63" s="1"/>
  <c r="AR206" i="63"/>
  <c r="AR208" i="63" s="1"/>
  <c r="AR209" i="63" s="1"/>
  <c r="AR178" i="63"/>
  <c r="AS172" i="63" s="1"/>
  <c r="BC183" i="63"/>
  <c r="BC184" i="63" s="1"/>
  <c r="AR159" i="63" l="1"/>
  <c r="AS174" i="63"/>
  <c r="AS175" i="63" s="1"/>
  <c r="AQ141" i="63"/>
  <c r="AR141" i="63"/>
  <c r="BC137" i="63"/>
  <c r="BC187" i="63"/>
  <c r="BD181" i="63" s="1"/>
  <c r="AS178" i="63" l="1"/>
  <c r="AT172" i="63" s="1"/>
  <c r="AT174" i="63" s="1"/>
  <c r="AT175" i="63" s="1"/>
  <c r="AS133" i="63"/>
  <c r="AS139" i="63" s="1"/>
  <c r="AS206" i="63"/>
  <c r="AS208" i="63" s="1"/>
  <c r="AS209" i="63" s="1"/>
  <c r="BD183" i="63"/>
  <c r="BD184" i="63" s="1"/>
  <c r="AS159" i="63" l="1"/>
  <c r="AS141" i="63"/>
  <c r="AT133" i="63"/>
  <c r="AT139" i="63" s="1"/>
  <c r="AT206" i="63"/>
  <c r="AT208" i="63" s="1"/>
  <c r="AT209" i="63" s="1"/>
  <c r="AT178" i="63"/>
  <c r="AU172" i="63" s="1"/>
  <c r="BD137" i="63"/>
  <c r="BD187" i="63"/>
  <c r="BE181" i="63" s="1"/>
  <c r="AT159" i="63" l="1"/>
  <c r="AU174" i="63"/>
  <c r="AT141" i="63"/>
  <c r="BE183" i="63"/>
  <c r="BE184" i="63" s="1"/>
  <c r="AU175" i="63" l="1"/>
  <c r="AU178" i="63" s="1"/>
  <c r="AV172" i="63" s="1"/>
  <c r="AV174" i="63" s="1"/>
  <c r="AU206" i="63"/>
  <c r="AU208" i="63" s="1"/>
  <c r="AU209" i="63" s="1"/>
  <c r="BE137" i="63"/>
  <c r="BE187" i="63"/>
  <c r="BF181" i="63" s="1"/>
  <c r="AV175" i="63" l="1"/>
  <c r="AV178" i="63" s="1"/>
  <c r="AW172" i="63" s="1"/>
  <c r="AW174" i="63" s="1"/>
  <c r="AW175" i="63" s="1"/>
  <c r="AU133" i="63"/>
  <c r="AU159" i="63" s="1"/>
  <c r="BF183" i="63"/>
  <c r="BF184" i="63" s="1"/>
  <c r="AV206" i="63" l="1"/>
  <c r="AV208" i="63" s="1"/>
  <c r="AV209" i="63" s="1"/>
  <c r="AV133" i="63"/>
  <c r="AV139" i="63" s="1"/>
  <c r="AV141" i="63" s="1"/>
  <c r="AU139" i="63"/>
  <c r="AU141" i="63" s="1"/>
  <c r="AV159" i="63"/>
  <c r="AW178" i="63"/>
  <c r="AX172" i="63" s="1"/>
  <c r="AW133" i="63"/>
  <c r="AW139" i="63" s="1"/>
  <c r="AW206" i="63"/>
  <c r="AW208" i="63" s="1"/>
  <c r="AW209" i="63" s="1"/>
  <c r="BF137" i="63"/>
  <c r="BF187" i="63"/>
  <c r="BG181" i="63" s="1"/>
  <c r="AW159" i="63" l="1"/>
  <c r="AW141" i="63"/>
  <c r="AX174" i="63"/>
  <c r="AX175" i="63" s="1"/>
  <c r="BG183" i="63"/>
  <c r="BG184" i="63" s="1"/>
  <c r="BG137" i="63" l="1"/>
  <c r="BG187" i="63"/>
  <c r="BH181" i="63" s="1"/>
  <c r="AX133" i="63" l="1"/>
  <c r="AX139" i="63" s="1"/>
  <c r="AX206" i="63"/>
  <c r="AX208" i="63" s="1"/>
  <c r="AX209" i="63" s="1"/>
  <c r="AX178" i="63"/>
  <c r="AY172" i="63" s="1"/>
  <c r="BH183" i="63"/>
  <c r="BH184" i="63" s="1"/>
  <c r="AX159" i="63" l="1"/>
  <c r="AY174" i="63"/>
  <c r="AY175" i="63" s="1"/>
  <c r="BH137" i="63"/>
  <c r="BH187" i="63"/>
  <c r="BI181" i="63" s="1"/>
  <c r="BI183" i="63" s="1"/>
  <c r="BI184" i="63" s="1"/>
  <c r="AX141" i="63" l="1"/>
  <c r="BI137" i="63"/>
  <c r="BI187" i="63"/>
  <c r="BJ181" i="63" s="1"/>
  <c r="AY133" i="63" l="1"/>
  <c r="AY139" i="63" s="1"/>
  <c r="AY206" i="63"/>
  <c r="AY208" i="63" s="1"/>
  <c r="AY209" i="63" s="1"/>
  <c r="AY178" i="63"/>
  <c r="AZ172" i="63" s="1"/>
  <c r="BJ183" i="63"/>
  <c r="AY159" i="63" l="1"/>
  <c r="AZ174" i="63"/>
  <c r="AZ175" i="63" s="1"/>
  <c r="BJ184" i="63"/>
  <c r="AZ178" i="63" l="1"/>
  <c r="BA172" i="63" s="1"/>
  <c r="AY141" i="63"/>
  <c r="BJ187" i="63"/>
  <c r="BK181" i="63" s="1"/>
  <c r="BK183" i="63" s="1"/>
  <c r="BJ137" i="63"/>
  <c r="BA174" i="63" l="1"/>
  <c r="BA175" i="63" s="1"/>
  <c r="AZ133" i="63"/>
  <c r="AZ139" i="63" s="1"/>
  <c r="AZ206" i="63"/>
  <c r="AZ208" i="63" s="1"/>
  <c r="AZ209" i="63" s="1"/>
  <c r="BK184" i="63"/>
  <c r="AZ159" i="63" l="1"/>
  <c r="BK137" i="63"/>
  <c r="BK187" i="63"/>
  <c r="BL181" i="63" s="1"/>
  <c r="BA133" i="63" l="1"/>
  <c r="BA139" i="63" s="1"/>
  <c r="BA206" i="63"/>
  <c r="BA208" i="63" s="1"/>
  <c r="BA209" i="63" s="1"/>
  <c r="BA178" i="63"/>
  <c r="BB172" i="63" s="1"/>
  <c r="AZ141" i="63"/>
  <c r="BL183" i="63"/>
  <c r="BA159" i="63" l="1"/>
  <c r="BB174" i="63"/>
  <c r="BB175" i="63" s="1"/>
  <c r="BL184" i="63"/>
  <c r="BA141" i="63" l="1"/>
  <c r="BL137" i="63"/>
  <c r="BL187" i="63"/>
  <c r="BM181" i="63" s="1"/>
  <c r="BB133" i="63" l="1"/>
  <c r="BB139" i="63" s="1"/>
  <c r="BB206" i="63"/>
  <c r="BB208" i="63" s="1"/>
  <c r="BB209" i="63" s="1"/>
  <c r="BB178" i="63"/>
  <c r="BC172" i="63" s="1"/>
  <c r="BM183" i="63"/>
  <c r="BB159" i="63" l="1"/>
  <c r="BC174" i="63"/>
  <c r="BC175" i="63" s="1"/>
  <c r="BM184" i="63"/>
  <c r="BC133" i="63" l="1"/>
  <c r="BC139" i="63" s="1"/>
  <c r="BC206" i="63"/>
  <c r="BC208" i="63" s="1"/>
  <c r="BC209" i="63" s="1"/>
  <c r="BB141" i="63"/>
  <c r="BC178" i="63"/>
  <c r="BD172" i="63" s="1"/>
  <c r="BM137" i="63"/>
  <c r="BM187" i="63"/>
  <c r="BN181" i="63" s="1"/>
  <c r="BC159" i="63" l="1"/>
  <c r="BD174" i="63"/>
  <c r="BC141" i="63"/>
  <c r="BN183" i="63"/>
  <c r="BN184" i="63" s="1"/>
  <c r="BD175" i="63" l="1"/>
  <c r="BD178" i="63" s="1"/>
  <c r="BE172" i="63" s="1"/>
  <c r="BE174" i="63" s="1"/>
  <c r="BD133" i="63"/>
  <c r="BD139" i="63" s="1"/>
  <c r="BN137" i="63"/>
  <c r="BN187" i="63"/>
  <c r="BO181" i="63" s="1"/>
  <c r="BD206" i="63" l="1"/>
  <c r="BD208" i="63" s="1"/>
  <c r="BD209" i="63" s="1"/>
  <c r="BE175" i="63"/>
  <c r="BE178" i="63" s="1"/>
  <c r="BF172" i="63" s="1"/>
  <c r="BF174" i="63" s="1"/>
  <c r="BF175" i="63" s="1"/>
  <c r="BD159" i="63"/>
  <c r="BD141" i="63"/>
  <c r="BO183" i="63"/>
  <c r="BO184" i="63" s="1"/>
  <c r="BO185" i="63" s="1"/>
  <c r="BE206" i="63" l="1"/>
  <c r="BE208" i="63" s="1"/>
  <c r="BE209" i="63" s="1"/>
  <c r="BE133" i="63"/>
  <c r="BE139" i="63" s="1"/>
  <c r="BE159" i="63"/>
  <c r="BF133" i="63"/>
  <c r="BF139" i="63" s="1"/>
  <c r="BF206" i="63"/>
  <c r="BF208" i="63" s="1"/>
  <c r="BF209" i="63" s="1"/>
  <c r="BF178" i="63"/>
  <c r="BG172" i="63" s="1"/>
  <c r="BE141" i="63"/>
  <c r="BO137" i="63"/>
  <c r="BO187" i="63"/>
  <c r="BP181" i="63" s="1"/>
  <c r="BF141" i="63" l="1"/>
  <c r="BF159" i="63"/>
  <c r="BG174" i="63"/>
  <c r="BG175" i="63" s="1"/>
  <c r="BP183" i="63"/>
  <c r="BP184" i="63" s="1"/>
  <c r="BG133" i="63" l="1"/>
  <c r="BG139" i="63" s="1"/>
  <c r="BG206" i="63"/>
  <c r="BG208" i="63" s="1"/>
  <c r="BG209" i="63" s="1"/>
  <c r="BG178" i="63"/>
  <c r="BH172" i="63" s="1"/>
  <c r="BP185" i="63"/>
  <c r="BG141" i="63" l="1"/>
  <c r="BG159" i="63"/>
  <c r="BH174" i="63"/>
  <c r="BP187" i="63"/>
  <c r="BQ181" i="63" s="1"/>
  <c r="BP137" i="63"/>
  <c r="BH175" i="63" l="1"/>
  <c r="BH178" i="63" s="1"/>
  <c r="BI172" i="63" s="1"/>
  <c r="BI174" i="63" s="1"/>
  <c r="BQ183" i="63"/>
  <c r="BQ184" i="63" s="1"/>
  <c r="BH206" i="63" l="1"/>
  <c r="BH208" i="63" s="1"/>
  <c r="BH209" i="63" s="1"/>
  <c r="BI175" i="63"/>
  <c r="BI178" i="63" s="1"/>
  <c r="BJ172" i="63" s="1"/>
  <c r="BJ174" i="63" s="1"/>
  <c r="BJ175" i="63" s="1"/>
  <c r="BH133" i="63"/>
  <c r="BQ185" i="63"/>
  <c r="BQ187" i="63" s="1"/>
  <c r="BR181" i="63" s="1"/>
  <c r="BI206" i="63" l="1"/>
  <c r="BI208" i="63" s="1"/>
  <c r="BI209" i="63" s="1"/>
  <c r="BI133" i="63"/>
  <c r="BI139" i="63" s="1"/>
  <c r="BH139" i="63"/>
  <c r="BH141" i="63" s="1"/>
  <c r="BH159" i="63"/>
  <c r="BI159" i="63"/>
  <c r="BI141" i="63"/>
  <c r="BR183" i="63"/>
  <c r="BR184" i="63" s="1"/>
  <c r="BQ137" i="63"/>
  <c r="BJ133" i="63" l="1"/>
  <c r="BJ139" i="63" s="1"/>
  <c r="BJ206" i="63"/>
  <c r="BJ208" i="63" s="1"/>
  <c r="BJ209" i="63" s="1"/>
  <c r="BJ178" i="63"/>
  <c r="BK172" i="63" s="1"/>
  <c r="BR185" i="63"/>
  <c r="BR137" i="63" s="1"/>
  <c r="BJ159" i="63" l="1"/>
  <c r="BK174" i="63"/>
  <c r="BK175" i="63" s="1"/>
  <c r="BR187" i="63"/>
  <c r="BS181" i="63" s="1"/>
  <c r="BJ141" i="63" l="1"/>
  <c r="BK178" i="63"/>
  <c r="BL172" i="63" s="1"/>
  <c r="BS183" i="63"/>
  <c r="BS184" i="63" s="1"/>
  <c r="BL174" i="63" l="1"/>
  <c r="BL175" i="63" s="1"/>
  <c r="BK133" i="63"/>
  <c r="BK139" i="63" s="1"/>
  <c r="BK206" i="63"/>
  <c r="BK208" i="63" s="1"/>
  <c r="BK209" i="63" s="1"/>
  <c r="BS185" i="63"/>
  <c r="BS187" i="63" s="1"/>
  <c r="BT181" i="63" s="1"/>
  <c r="BK159" i="63" l="1"/>
  <c r="BT183" i="63"/>
  <c r="BT184" i="63" s="1"/>
  <c r="BS137" i="63"/>
  <c r="BL133" i="63" l="1"/>
  <c r="BL139" i="63" s="1"/>
  <c r="BL206" i="63"/>
  <c r="BL208" i="63" s="1"/>
  <c r="BL209" i="63" s="1"/>
  <c r="BK141" i="63"/>
  <c r="BL178" i="63"/>
  <c r="BM172" i="63" s="1"/>
  <c r="BT185" i="63"/>
  <c r="BT187" i="63" s="1"/>
  <c r="BU181" i="63" s="1"/>
  <c r="BL159" i="63" l="1"/>
  <c r="BM174" i="63"/>
  <c r="BM175" i="63" s="1"/>
  <c r="BU183" i="63"/>
  <c r="BU184" i="63" s="1"/>
  <c r="BT137" i="63"/>
  <c r="BL141" i="63" l="1"/>
  <c r="BU185" i="63"/>
  <c r="BU187" i="63" s="1"/>
  <c r="BV181" i="63" s="1"/>
  <c r="BM133" i="63" l="1"/>
  <c r="BM139" i="63" s="1"/>
  <c r="BM206" i="63"/>
  <c r="BM208" i="63" s="1"/>
  <c r="BM209" i="63" s="1"/>
  <c r="BM178" i="63"/>
  <c r="BN172" i="63" s="1"/>
  <c r="BV183" i="63"/>
  <c r="BU137" i="63"/>
  <c r="BM159" i="63" l="1"/>
  <c r="BN174" i="63"/>
  <c r="BN175" i="63" s="1"/>
  <c r="BV184" i="63"/>
  <c r="BN178" i="63" l="1"/>
  <c r="BO172" i="63" s="1"/>
  <c r="BM141" i="63"/>
  <c r="BV185" i="63"/>
  <c r="BV187" i="63" s="1"/>
  <c r="BW181" i="63" s="1"/>
  <c r="BO174" i="63" l="1"/>
  <c r="BN133" i="63"/>
  <c r="BN139" i="63" s="1"/>
  <c r="BN206" i="63"/>
  <c r="BN208" i="63" s="1"/>
  <c r="BN209" i="63" s="1"/>
  <c r="BW183" i="63"/>
  <c r="BV137" i="63"/>
  <c r="BO175" i="63" l="1"/>
  <c r="BO178" i="63" s="1"/>
  <c r="BP172" i="63" s="1"/>
  <c r="BP174" i="63" s="1"/>
  <c r="BP175" i="63" s="1"/>
  <c r="BN159" i="63"/>
  <c r="BO133" i="63"/>
  <c r="BO139" i="63" s="1"/>
  <c r="BO206" i="63"/>
  <c r="BO208" i="63" s="1"/>
  <c r="BO209" i="63" s="1"/>
  <c r="BW184" i="63"/>
  <c r="BO159" i="63" l="1"/>
  <c r="BO141" i="63"/>
  <c r="BN141" i="63"/>
  <c r="BP133" i="63"/>
  <c r="BP139" i="63" s="1"/>
  <c r="BP206" i="63"/>
  <c r="BP208" i="63" s="1"/>
  <c r="BP209" i="63" s="1"/>
  <c r="BP178" i="63"/>
  <c r="BQ172" i="63" s="1"/>
  <c r="BW185" i="63"/>
  <c r="BW137" i="63" s="1"/>
  <c r="FH57" i="57"/>
  <c r="FI57" i="57" s="1"/>
  <c r="F57" i="57"/>
  <c r="FH133" i="57"/>
  <c r="FF175" i="57"/>
  <c r="FF174" i="57"/>
  <c r="F108" i="57"/>
  <c r="F101" i="57"/>
  <c r="F88" i="57"/>
  <c r="AE41" i="57"/>
  <c r="AC41" i="57"/>
  <c r="AA41" i="57"/>
  <c r="AE35" i="57"/>
  <c r="AC35" i="57"/>
  <c r="AA35" i="57"/>
  <c r="AE23" i="57"/>
  <c r="AC23" i="57"/>
  <c r="AA23" i="57"/>
  <c r="AE17" i="57"/>
  <c r="AC17" i="57"/>
  <c r="AA17" i="57"/>
  <c r="AE12" i="57"/>
  <c r="AC12" i="57"/>
  <c r="AA12" i="57"/>
  <c r="F125" i="57"/>
  <c r="F195" i="57"/>
  <c r="D86" i="57"/>
  <c r="D85" i="57"/>
  <c r="F1" i="57"/>
  <c r="F58" i="57"/>
  <c r="M21" i="57"/>
  <c r="N21" i="57" s="1"/>
  <c r="O21" i="57" s="1"/>
  <c r="P21" i="57" s="1"/>
  <c r="Q21" i="57" s="1"/>
  <c r="S22" i="57"/>
  <c r="S21" i="57"/>
  <c r="S20" i="57"/>
  <c r="S19" i="57"/>
  <c r="BP159" i="63" l="1"/>
  <c r="BP141" i="63"/>
  <c r="BQ174" i="63"/>
  <c r="BQ175" i="63" s="1"/>
  <c r="BW187" i="63"/>
  <c r="BX181" i="63" s="1"/>
  <c r="FJ57" i="57"/>
  <c r="AE25" i="57"/>
  <c r="AC25" i="57"/>
  <c r="AA25" i="57"/>
  <c r="AE42" i="57"/>
  <c r="AC42" i="57"/>
  <c r="AA42" i="57"/>
  <c r="BQ178" i="63" l="1"/>
  <c r="BR172" i="63" s="1"/>
  <c r="BQ133" i="63"/>
  <c r="BQ139" i="63" s="1"/>
  <c r="BQ206" i="63"/>
  <c r="BQ208" i="63" s="1"/>
  <c r="BQ209" i="63" s="1"/>
  <c r="BX183" i="63"/>
  <c r="FK57" i="57"/>
  <c r="FO133" i="57"/>
  <c r="FN133" i="57"/>
  <c r="FM133" i="57"/>
  <c r="AE45" i="57"/>
  <c r="AC45" i="57"/>
  <c r="AA45" i="57"/>
  <c r="BQ159" i="63" l="1"/>
  <c r="BQ141" i="63"/>
  <c r="BR174" i="63"/>
  <c r="BR175" i="63" s="1"/>
  <c r="BX184" i="63"/>
  <c r="FL57" i="57"/>
  <c r="AC48" i="57"/>
  <c r="AA48" i="57"/>
  <c r="AE48" i="57"/>
  <c r="BR178" i="63" l="1"/>
  <c r="BS172" i="63" s="1"/>
  <c r="BS174" i="63" s="1"/>
  <c r="BR133" i="63"/>
  <c r="BR139" i="63" s="1"/>
  <c r="BR206" i="63"/>
  <c r="BR208" i="63" s="1"/>
  <c r="BR209" i="63" s="1"/>
  <c r="BX185" i="63"/>
  <c r="BX187" i="63" s="1"/>
  <c r="BY181" i="63" s="1"/>
  <c r="FM57" i="57"/>
  <c r="FH125" i="57"/>
  <c r="BS175" i="63" l="1"/>
  <c r="BS178" i="63" s="1"/>
  <c r="BT172" i="63" s="1"/>
  <c r="BT174" i="63" s="1"/>
  <c r="BR159" i="63"/>
  <c r="BR141" i="63"/>
  <c r="BY183" i="63"/>
  <c r="BX137" i="63"/>
  <c r="FN57" i="57"/>
  <c r="FN125" i="57"/>
  <c r="FM125" i="57"/>
  <c r="FO125" i="57"/>
  <c r="BS133" i="63" l="1"/>
  <c r="BS139" i="63" s="1"/>
  <c r="BS141" i="63" s="1"/>
  <c r="BS206" i="63"/>
  <c r="BS208" i="63" s="1"/>
  <c r="BS209" i="63" s="1"/>
  <c r="BT175" i="63"/>
  <c r="BT178" i="63" s="1"/>
  <c r="BU172" i="63" s="1"/>
  <c r="BU174" i="63" s="1"/>
  <c r="BU175" i="63" s="1"/>
  <c r="BS159" i="63"/>
  <c r="BT133" i="63"/>
  <c r="BT139" i="63" s="1"/>
  <c r="BY184" i="63"/>
  <c r="FO57" i="57"/>
  <c r="N36" i="57"/>
  <c r="F140" i="57"/>
  <c r="F134" i="57"/>
  <c r="FE174" i="57"/>
  <c r="FD174" i="57"/>
  <c r="D18" i="57"/>
  <c r="D17" i="57"/>
  <c r="N13" i="57"/>
  <c r="AJ37" i="57"/>
  <c r="AK37" i="57" s="1"/>
  <c r="AL37" i="57" s="1"/>
  <c r="AM37" i="57" s="1"/>
  <c r="AN37" i="57" s="1"/>
  <c r="BT206" i="63" l="1"/>
  <c r="BT208" i="63" s="1"/>
  <c r="BT209" i="63" s="1"/>
  <c r="BT159" i="63"/>
  <c r="BU178" i="63"/>
  <c r="BV172" i="63" s="1"/>
  <c r="BV174" i="63" s="1"/>
  <c r="BV175" i="63" s="1"/>
  <c r="BT141" i="63"/>
  <c r="BU133" i="63"/>
  <c r="BU139" i="63" s="1"/>
  <c r="BU206" i="63"/>
  <c r="BU208" i="63" s="1"/>
  <c r="BU209" i="63" s="1"/>
  <c r="BY185" i="63"/>
  <c r="BY187" i="63" s="1"/>
  <c r="BZ181" i="63" s="1"/>
  <c r="FP57" i="57"/>
  <c r="F136" i="57"/>
  <c r="F135" i="57"/>
  <c r="D19" i="57"/>
  <c r="AB32" i="57"/>
  <c r="AB19" i="57"/>
  <c r="AD39" i="57"/>
  <c r="AD29" i="57"/>
  <c r="AD15" i="57"/>
  <c r="AF37" i="57"/>
  <c r="AF22" i="57"/>
  <c r="AF10" i="57"/>
  <c r="AB47" i="57"/>
  <c r="AB31" i="57"/>
  <c r="AB16" i="57"/>
  <c r="AD38" i="57"/>
  <c r="AD28" i="57"/>
  <c r="AD14" i="57"/>
  <c r="AF34" i="57"/>
  <c r="AF21" i="57"/>
  <c r="AB40" i="57"/>
  <c r="AB30" i="57"/>
  <c r="AB15" i="57"/>
  <c r="AD37" i="57"/>
  <c r="AD23" i="57"/>
  <c r="AD11" i="57"/>
  <c r="AF33" i="57"/>
  <c r="AF20" i="57"/>
  <c r="AB39" i="57"/>
  <c r="AB29" i="57"/>
  <c r="AB14" i="57"/>
  <c r="AD34" i="57"/>
  <c r="AD22" i="57"/>
  <c r="AD10" i="57"/>
  <c r="AF32" i="57"/>
  <c r="AF19" i="57"/>
  <c r="AB33" i="57"/>
  <c r="AF11" i="57"/>
  <c r="AB38" i="57"/>
  <c r="AB28" i="57"/>
  <c r="AB11" i="57"/>
  <c r="AD33" i="57"/>
  <c r="AD21" i="57"/>
  <c r="AF47" i="57"/>
  <c r="AF31" i="57"/>
  <c r="AF16" i="57"/>
  <c r="AD30" i="57"/>
  <c r="AB37" i="57"/>
  <c r="AB22" i="57"/>
  <c r="AB10" i="57"/>
  <c r="AD32" i="57"/>
  <c r="AD20" i="57"/>
  <c r="AF40" i="57"/>
  <c r="AF30" i="57"/>
  <c r="AF15" i="57"/>
  <c r="AB20" i="57"/>
  <c r="AD16" i="57"/>
  <c r="AF28" i="57"/>
  <c r="AB34" i="57"/>
  <c r="AB21" i="57"/>
  <c r="AD47" i="57"/>
  <c r="AD31" i="57"/>
  <c r="AD19" i="57"/>
  <c r="AF39" i="57"/>
  <c r="AF29" i="57"/>
  <c r="AF14" i="57"/>
  <c r="AD40" i="57"/>
  <c r="AF38" i="57"/>
  <c r="AD12" i="57"/>
  <c r="AB23" i="57"/>
  <c r="AF35" i="57"/>
  <c r="AF12" i="57"/>
  <c r="AF41" i="57"/>
  <c r="AF23" i="57"/>
  <c r="AB35" i="57"/>
  <c r="AD17" i="57"/>
  <c r="AB12" i="57"/>
  <c r="AD41" i="57"/>
  <c r="AD35" i="57"/>
  <c r="AF17" i="57"/>
  <c r="AB17" i="57"/>
  <c r="AB41" i="57"/>
  <c r="AF42" i="57"/>
  <c r="AD42" i="57"/>
  <c r="AB42" i="57"/>
  <c r="AB45" i="57"/>
  <c r="AF45" i="57"/>
  <c r="AD45" i="57"/>
  <c r="AD48" i="57"/>
  <c r="AF48" i="57"/>
  <c r="AB48" i="57"/>
  <c r="U28" i="57"/>
  <c r="O16" i="57"/>
  <c r="O17" i="57"/>
  <c r="O18" i="57"/>
  <c r="P13" i="57"/>
  <c r="F22" i="57" s="1"/>
  <c r="O13" i="57"/>
  <c r="E22" i="57"/>
  <c r="E16" i="57"/>
  <c r="E52" i="57"/>
  <c r="BU141" i="63" l="1"/>
  <c r="BU159" i="63"/>
  <c r="BY137" i="63"/>
  <c r="BZ183" i="63"/>
  <c r="BZ184" i="63" s="1"/>
  <c r="FQ57" i="57"/>
  <c r="F137" i="57"/>
  <c r="Q18" i="57"/>
  <c r="AD25" i="57"/>
  <c r="AF25" i="57"/>
  <c r="AB25" i="57"/>
  <c r="F71" i="57"/>
  <c r="U22" i="57"/>
  <c r="F16" i="57"/>
  <c r="B3" i="56"/>
  <c r="B4" i="56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1" i="56"/>
  <c r="B62" i="56"/>
  <c r="B63" i="56"/>
  <c r="B64" i="56"/>
  <c r="B65" i="56"/>
  <c r="B66" i="56"/>
  <c r="B67" i="56"/>
  <c r="B68" i="56"/>
  <c r="B69" i="56"/>
  <c r="B70" i="56"/>
  <c r="B71" i="56"/>
  <c r="B72" i="56"/>
  <c r="B73" i="56"/>
  <c r="B74" i="56"/>
  <c r="B75" i="56"/>
  <c r="B76" i="56"/>
  <c r="B77" i="56"/>
  <c r="B78" i="56"/>
  <c r="B79" i="56"/>
  <c r="B80" i="56"/>
  <c r="B81" i="56"/>
  <c r="B82" i="56"/>
  <c r="B83" i="56"/>
  <c r="B84" i="56"/>
  <c r="B85" i="56"/>
  <c r="B86" i="56"/>
  <c r="B87" i="56"/>
  <c r="B88" i="56"/>
  <c r="B89" i="56"/>
  <c r="B90" i="56"/>
  <c r="B91" i="56"/>
  <c r="B92" i="56"/>
  <c r="B93" i="56"/>
  <c r="B94" i="56"/>
  <c r="B95" i="56"/>
  <c r="B96" i="56"/>
  <c r="B97" i="56"/>
  <c r="B98" i="56"/>
  <c r="B99" i="56"/>
  <c r="B100" i="56"/>
  <c r="B101" i="56"/>
  <c r="B102" i="56"/>
  <c r="B103" i="56"/>
  <c r="B104" i="56"/>
  <c r="B105" i="56"/>
  <c r="B106" i="56"/>
  <c r="B107" i="56"/>
  <c r="B108" i="56"/>
  <c r="B109" i="56"/>
  <c r="B110" i="56"/>
  <c r="B111" i="56"/>
  <c r="B112" i="56"/>
  <c r="B113" i="56"/>
  <c r="B114" i="56"/>
  <c r="B115" i="56"/>
  <c r="B116" i="56"/>
  <c r="B117" i="56"/>
  <c r="B118" i="56"/>
  <c r="B119" i="56"/>
  <c r="B120" i="56"/>
  <c r="B121" i="56"/>
  <c r="B122" i="56"/>
  <c r="B123" i="56"/>
  <c r="BV133" i="63" l="1"/>
  <c r="BV139" i="63" s="1"/>
  <c r="BV206" i="63"/>
  <c r="BV208" i="63" s="1"/>
  <c r="BV209" i="63" s="1"/>
  <c r="BV178" i="63"/>
  <c r="BW172" i="63" s="1"/>
  <c r="BZ185" i="63"/>
  <c r="BZ187" i="63" s="1"/>
  <c r="CA181" i="63" s="1"/>
  <c r="FR57" i="57"/>
  <c r="Q12" i="57"/>
  <c r="Q11" i="57"/>
  <c r="Q10" i="57"/>
  <c r="H12" i="57"/>
  <c r="U15" i="57"/>
  <c r="I12" i="57"/>
  <c r="D81" i="57"/>
  <c r="D80" i="57"/>
  <c r="D79" i="57"/>
  <c r="AD55" i="57"/>
  <c r="AP55" i="57" s="1"/>
  <c r="BB55" i="57" s="1"/>
  <c r="BN55" i="57" s="1"/>
  <c r="BZ55" i="57" s="1"/>
  <c r="CL55" i="57" s="1"/>
  <c r="CX55" i="57" s="1"/>
  <c r="DJ55" i="57" s="1"/>
  <c r="DV55" i="57" s="1"/>
  <c r="EH55" i="57" s="1"/>
  <c r="ET55" i="57" s="1"/>
  <c r="AC55" i="57"/>
  <c r="AO55" i="57" s="1"/>
  <c r="BA55" i="57" s="1"/>
  <c r="BM55" i="57" s="1"/>
  <c r="BY55" i="57" s="1"/>
  <c r="CK55" i="57" s="1"/>
  <c r="CW55" i="57" s="1"/>
  <c r="DI55" i="57" s="1"/>
  <c r="DU55" i="57" s="1"/>
  <c r="EG55" i="57" s="1"/>
  <c r="ES55" i="57" s="1"/>
  <c r="AB55" i="57"/>
  <c r="AN55" i="57" s="1"/>
  <c r="AZ55" i="57" s="1"/>
  <c r="BL55" i="57" s="1"/>
  <c r="BX55" i="57" s="1"/>
  <c r="CJ55" i="57" s="1"/>
  <c r="CV55" i="57" s="1"/>
  <c r="DH55" i="57" s="1"/>
  <c r="DT55" i="57" s="1"/>
  <c r="EF55" i="57" s="1"/>
  <c r="ER55" i="57" s="1"/>
  <c r="FD55" i="57" s="1"/>
  <c r="AA55" i="57"/>
  <c r="AM55" i="57" s="1"/>
  <c r="AY55" i="57" s="1"/>
  <c r="BK55" i="57" s="1"/>
  <c r="BW55" i="57" s="1"/>
  <c r="CI55" i="57" s="1"/>
  <c r="CU55" i="57" s="1"/>
  <c r="DG55" i="57" s="1"/>
  <c r="DS55" i="57" s="1"/>
  <c r="EE55" i="57" s="1"/>
  <c r="EQ55" i="57" s="1"/>
  <c r="FC55" i="57" s="1"/>
  <c r="Z55" i="57"/>
  <c r="AL55" i="57" s="1"/>
  <c r="AX55" i="57" s="1"/>
  <c r="BJ55" i="57" s="1"/>
  <c r="BV55" i="57" s="1"/>
  <c r="CH55" i="57" s="1"/>
  <c r="CT55" i="57" s="1"/>
  <c r="DF55" i="57" s="1"/>
  <c r="DR55" i="57" s="1"/>
  <c r="ED55" i="57" s="1"/>
  <c r="EP55" i="57" s="1"/>
  <c r="FB55" i="57" s="1"/>
  <c r="Y55" i="57"/>
  <c r="AK55" i="57" s="1"/>
  <c r="AW55" i="57" s="1"/>
  <c r="BI55" i="57" s="1"/>
  <c r="BU55" i="57" s="1"/>
  <c r="CG55" i="57" s="1"/>
  <c r="CS55" i="57" s="1"/>
  <c r="DE55" i="57" s="1"/>
  <c r="DQ55" i="57" s="1"/>
  <c r="EC55" i="57" s="1"/>
  <c r="EO55" i="57" s="1"/>
  <c r="FA55" i="57" s="1"/>
  <c r="X55" i="57"/>
  <c r="AJ55" i="57" s="1"/>
  <c r="AV55" i="57" s="1"/>
  <c r="BH55" i="57" s="1"/>
  <c r="BT55" i="57" s="1"/>
  <c r="CF55" i="57" s="1"/>
  <c r="CR55" i="57" s="1"/>
  <c r="DD55" i="57" s="1"/>
  <c r="DP55" i="57" s="1"/>
  <c r="EB55" i="57" s="1"/>
  <c r="EN55" i="57" s="1"/>
  <c r="EZ55" i="57" s="1"/>
  <c r="W55" i="57"/>
  <c r="AI55" i="57" s="1"/>
  <c r="AU55" i="57" s="1"/>
  <c r="BG55" i="57" s="1"/>
  <c r="BS55" i="57" s="1"/>
  <c r="CE55" i="57" s="1"/>
  <c r="CQ55" i="57" s="1"/>
  <c r="DC55" i="57" s="1"/>
  <c r="DO55" i="57" s="1"/>
  <c r="EA55" i="57" s="1"/>
  <c r="EM55" i="57" s="1"/>
  <c r="EY55" i="57" s="1"/>
  <c r="V55" i="57"/>
  <c r="AH55" i="57" s="1"/>
  <c r="AT55" i="57" s="1"/>
  <c r="BF55" i="57" s="1"/>
  <c r="BR55" i="57" s="1"/>
  <c r="CD55" i="57" s="1"/>
  <c r="CP55" i="57" s="1"/>
  <c r="DB55" i="57" s="1"/>
  <c r="DN55" i="57" s="1"/>
  <c r="DZ55" i="57" s="1"/>
  <c r="EL55" i="57" s="1"/>
  <c r="EX55" i="57" s="1"/>
  <c r="C140" i="57"/>
  <c r="C139" i="57"/>
  <c r="C138" i="57"/>
  <c r="C137" i="57"/>
  <c r="C136" i="57"/>
  <c r="C135" i="57"/>
  <c r="C134" i="57"/>
  <c r="D116" i="57"/>
  <c r="D105" i="57"/>
  <c r="D104" i="57"/>
  <c r="D100" i="57"/>
  <c r="D99" i="57"/>
  <c r="D98" i="57"/>
  <c r="D97" i="57"/>
  <c r="D96" i="57"/>
  <c r="D95" i="57"/>
  <c r="C67" i="57"/>
  <c r="C65" i="57"/>
  <c r="C63" i="57"/>
  <c r="C61" i="57"/>
  <c r="BV159" i="63" l="1"/>
  <c r="BW174" i="63"/>
  <c r="BW175" i="63" s="1"/>
  <c r="BV141" i="63"/>
  <c r="CA183" i="63"/>
  <c r="CA184" i="63" s="1"/>
  <c r="BZ137" i="63"/>
  <c r="FS57" i="57"/>
  <c r="I40" i="57"/>
  <c r="FE55" i="57"/>
  <c r="FF55" i="57"/>
  <c r="H40" i="57"/>
  <c r="F198" i="57"/>
  <c r="F126" i="57"/>
  <c r="S16" i="57"/>
  <c r="S15" i="57"/>
  <c r="S14" i="57"/>
  <c r="CA185" i="63" l="1"/>
  <c r="CA187" i="63" s="1"/>
  <c r="CB181" i="63" s="1"/>
  <c r="FT57" i="57"/>
  <c r="F161" i="57"/>
  <c r="M27" i="57"/>
  <c r="H9" i="57"/>
  <c r="FC174" i="57"/>
  <c r="FB174" i="57"/>
  <c r="FA174" i="57"/>
  <c r="EZ174" i="57"/>
  <c r="EY174" i="57"/>
  <c r="EX174" i="57"/>
  <c r="EW174" i="57"/>
  <c r="EV174" i="57"/>
  <c r="EU174" i="57"/>
  <c r="ET174" i="57"/>
  <c r="ES174" i="57"/>
  <c r="ER174" i="57"/>
  <c r="EQ174" i="57"/>
  <c r="EP174" i="57"/>
  <c r="EO174" i="57"/>
  <c r="EN174" i="57"/>
  <c r="EM174" i="57"/>
  <c r="EL174" i="57"/>
  <c r="EK174" i="57"/>
  <c r="EJ174" i="57"/>
  <c r="EI174" i="57"/>
  <c r="EH174" i="57"/>
  <c r="EG174" i="57"/>
  <c r="EF174" i="57"/>
  <c r="EE174" i="57"/>
  <c r="ED174" i="57"/>
  <c r="EC174" i="57"/>
  <c r="EB174" i="57"/>
  <c r="EA174" i="57"/>
  <c r="DZ174" i="57"/>
  <c r="DY174" i="57"/>
  <c r="DX174" i="57"/>
  <c r="DW174" i="57"/>
  <c r="DV174" i="57"/>
  <c r="DU174" i="57"/>
  <c r="DT174" i="57"/>
  <c r="DS174" i="57"/>
  <c r="DR174" i="57"/>
  <c r="DQ174" i="57"/>
  <c r="DP174" i="57"/>
  <c r="DO174" i="57"/>
  <c r="DN174" i="57"/>
  <c r="DM174" i="57"/>
  <c r="DL174" i="57"/>
  <c r="DK174" i="57"/>
  <c r="DJ174" i="57"/>
  <c r="DI174" i="57"/>
  <c r="DH174" i="57"/>
  <c r="DG174" i="57"/>
  <c r="DF174" i="57"/>
  <c r="DE174" i="57"/>
  <c r="DD174" i="57"/>
  <c r="DC174" i="57"/>
  <c r="DB174" i="57"/>
  <c r="DA174" i="57"/>
  <c r="CZ174" i="57"/>
  <c r="CY174" i="57"/>
  <c r="CX174" i="57"/>
  <c r="CW174" i="57"/>
  <c r="CV174" i="57"/>
  <c r="CU174" i="57"/>
  <c r="CT174" i="57"/>
  <c r="CS174" i="57"/>
  <c r="CR174" i="57"/>
  <c r="CQ174" i="57"/>
  <c r="CP174" i="57"/>
  <c r="CO174" i="57"/>
  <c r="CN174" i="57"/>
  <c r="CM174" i="57"/>
  <c r="CL174" i="57"/>
  <c r="CK174" i="57"/>
  <c r="CJ174" i="57"/>
  <c r="CI174" i="57"/>
  <c r="CH174" i="57"/>
  <c r="CG174" i="57"/>
  <c r="CF174" i="57"/>
  <c r="CE174" i="57"/>
  <c r="CD174" i="57"/>
  <c r="CC174" i="57"/>
  <c r="CB174" i="57"/>
  <c r="CA174" i="57"/>
  <c r="BZ174" i="57"/>
  <c r="BY174" i="57"/>
  <c r="BX174" i="57"/>
  <c r="BW174" i="57"/>
  <c r="BV174" i="57"/>
  <c r="BU174" i="57"/>
  <c r="BT174" i="57"/>
  <c r="BS174" i="57"/>
  <c r="BR174" i="57"/>
  <c r="BQ174" i="57"/>
  <c r="BP174" i="57"/>
  <c r="BO174" i="57"/>
  <c r="BN174" i="57"/>
  <c r="BM174" i="57"/>
  <c r="BL174" i="57"/>
  <c r="BK174" i="57"/>
  <c r="BJ174" i="57"/>
  <c r="BI174" i="57"/>
  <c r="BH174" i="57"/>
  <c r="BG174" i="57"/>
  <c r="BF174" i="57"/>
  <c r="BE174" i="57"/>
  <c r="BD174" i="57"/>
  <c r="BC174" i="57"/>
  <c r="BB174" i="57"/>
  <c r="BA174" i="57"/>
  <c r="AZ174" i="57"/>
  <c r="AY174" i="57"/>
  <c r="AX174" i="57"/>
  <c r="AW174" i="57"/>
  <c r="AV174" i="57"/>
  <c r="AU174" i="57"/>
  <c r="AT174" i="57"/>
  <c r="AS174" i="57"/>
  <c r="AR174" i="57"/>
  <c r="AQ174" i="57"/>
  <c r="AP174" i="57"/>
  <c r="AO174" i="57"/>
  <c r="AN174" i="57"/>
  <c r="AM174" i="57"/>
  <c r="AL174" i="57"/>
  <c r="AK174" i="57"/>
  <c r="AJ174" i="57"/>
  <c r="AI174" i="57"/>
  <c r="AH174" i="57"/>
  <c r="AG174" i="57"/>
  <c r="AF174" i="57"/>
  <c r="AE174" i="57"/>
  <c r="AD174" i="57"/>
  <c r="AC174" i="57"/>
  <c r="AB174" i="57"/>
  <c r="AA174" i="57"/>
  <c r="Z174" i="57"/>
  <c r="Y174" i="57"/>
  <c r="X174" i="57"/>
  <c r="W174" i="57"/>
  <c r="V174" i="57"/>
  <c r="U174" i="57"/>
  <c r="T174" i="57"/>
  <c r="S174" i="57"/>
  <c r="R174" i="57"/>
  <c r="Q174" i="57"/>
  <c r="P174" i="57"/>
  <c r="O174" i="57"/>
  <c r="N174" i="57"/>
  <c r="M174" i="57"/>
  <c r="L174" i="57"/>
  <c r="K174" i="57"/>
  <c r="J174" i="57"/>
  <c r="I174" i="57"/>
  <c r="H174" i="57"/>
  <c r="G174" i="57"/>
  <c r="F174" i="57"/>
  <c r="C105" i="57"/>
  <c r="C104" i="57"/>
  <c r="C100" i="57"/>
  <c r="C99" i="57"/>
  <c r="C98" i="57"/>
  <c r="C97" i="57"/>
  <c r="C96" i="57"/>
  <c r="C95" i="57"/>
  <c r="C94" i="57"/>
  <c r="GV133" i="57"/>
  <c r="GU133" i="57"/>
  <c r="GT133" i="57"/>
  <c r="GS133" i="57"/>
  <c r="GR133" i="57"/>
  <c r="GQ133" i="57"/>
  <c r="GP133" i="57"/>
  <c r="GO133" i="57"/>
  <c r="GN133" i="57"/>
  <c r="GM133" i="57"/>
  <c r="GL133" i="57"/>
  <c r="GK133" i="57"/>
  <c r="GJ133" i="57"/>
  <c r="GI133" i="57"/>
  <c r="GH133" i="57"/>
  <c r="GG133" i="57"/>
  <c r="GF133" i="57"/>
  <c r="GE133" i="57"/>
  <c r="GD133" i="57"/>
  <c r="GC133" i="57"/>
  <c r="GB133" i="57"/>
  <c r="GA133" i="57"/>
  <c r="FZ133" i="57"/>
  <c r="FY133" i="57"/>
  <c r="FX133" i="57"/>
  <c r="FW133" i="57"/>
  <c r="AB133" i="57"/>
  <c r="AA133" i="57"/>
  <c r="Z133" i="57"/>
  <c r="Y133" i="57"/>
  <c r="X133" i="57"/>
  <c r="W133" i="57"/>
  <c r="V133" i="57"/>
  <c r="U133" i="57"/>
  <c r="T133" i="57"/>
  <c r="S133" i="57"/>
  <c r="G56" i="57"/>
  <c r="U55" i="57"/>
  <c r="AG55" i="57" s="1"/>
  <c r="AS55" i="57" s="1"/>
  <c r="BE55" i="57" s="1"/>
  <c r="BQ55" i="57" s="1"/>
  <c r="CC55" i="57" s="1"/>
  <c r="CO55" i="57" s="1"/>
  <c r="DA55" i="57" s="1"/>
  <c r="DM55" i="57" s="1"/>
  <c r="DY55" i="57" s="1"/>
  <c r="EK55" i="57" s="1"/>
  <c r="EW55" i="57" s="1"/>
  <c r="T55" i="57"/>
  <c r="AF55" i="57" s="1"/>
  <c r="AR55" i="57" s="1"/>
  <c r="BD55" i="57" s="1"/>
  <c r="BP55" i="57" s="1"/>
  <c r="CB55" i="57" s="1"/>
  <c r="CN55" i="57" s="1"/>
  <c r="CZ55" i="57" s="1"/>
  <c r="DL55" i="57" s="1"/>
  <c r="DX55" i="57" s="1"/>
  <c r="EJ55" i="57" s="1"/>
  <c r="EV55" i="57" s="1"/>
  <c r="S55" i="57"/>
  <c r="AE55" i="57" s="1"/>
  <c r="AQ55" i="57" s="1"/>
  <c r="BC55" i="57" s="1"/>
  <c r="BO55" i="57" s="1"/>
  <c r="CA55" i="57" s="1"/>
  <c r="CM55" i="57" s="1"/>
  <c r="CY55" i="57" s="1"/>
  <c r="DK55" i="57" s="1"/>
  <c r="DW55" i="57" s="1"/>
  <c r="EI55" i="57" s="1"/>
  <c r="EU55" i="57" s="1"/>
  <c r="N37" i="57"/>
  <c r="U16" i="57"/>
  <c r="Q17" i="57"/>
  <c r="F29" i="57"/>
  <c r="Q9" i="57"/>
  <c r="Q13" i="57" s="1"/>
  <c r="BW133" i="63" l="1"/>
  <c r="BW139" i="63" s="1"/>
  <c r="BW206" i="63"/>
  <c r="BW208" i="63" s="1"/>
  <c r="BW209" i="63" s="1"/>
  <c r="BW178" i="63"/>
  <c r="BX172" i="63" s="1"/>
  <c r="CB183" i="63"/>
  <c r="CB184" i="63" s="1"/>
  <c r="CA137" i="63"/>
  <c r="FU57" i="57"/>
  <c r="F158" i="57"/>
  <c r="G1" i="57"/>
  <c r="G58" i="57"/>
  <c r="G125" i="57"/>
  <c r="G126" i="57"/>
  <c r="F10" i="57"/>
  <c r="H10" i="57" s="1"/>
  <c r="H16" i="57"/>
  <c r="H19" i="57"/>
  <c r="H22" i="57"/>
  <c r="H21" i="57"/>
  <c r="H20" i="57"/>
  <c r="H18" i="57"/>
  <c r="H17" i="57"/>
  <c r="N27" i="57"/>
  <c r="I29" i="57"/>
  <c r="F159" i="57"/>
  <c r="H56" i="57"/>
  <c r="F2" i="57"/>
  <c r="F189" i="57"/>
  <c r="F173" i="57"/>
  <c r="F133" i="57"/>
  <c r="BW159" i="63" l="1"/>
  <c r="BW141" i="63"/>
  <c r="BX174" i="63"/>
  <c r="BX175" i="63" s="1"/>
  <c r="CB185" i="63"/>
  <c r="CB137" i="63" s="1"/>
  <c r="G158" i="57"/>
  <c r="G57" i="57"/>
  <c r="F175" i="57"/>
  <c r="H1" i="57"/>
  <c r="G198" i="57"/>
  <c r="F11" i="57"/>
  <c r="I9" i="57"/>
  <c r="G2" i="57"/>
  <c r="G67" i="57"/>
  <c r="G127" i="57"/>
  <c r="G128" i="57" s="1"/>
  <c r="H125" i="57"/>
  <c r="H126" i="57"/>
  <c r="G140" i="57"/>
  <c r="G134" i="57"/>
  <c r="G136" i="57"/>
  <c r="G135" i="57"/>
  <c r="G138" i="57"/>
  <c r="G137" i="57"/>
  <c r="G139" i="57"/>
  <c r="O27" i="57"/>
  <c r="G159" i="57"/>
  <c r="N35" i="57"/>
  <c r="N40" i="57" s="1"/>
  <c r="N41" i="57" s="1"/>
  <c r="V40" i="57" s="1"/>
  <c r="D107" i="57" s="1"/>
  <c r="U37" i="57"/>
  <c r="V16" i="57"/>
  <c r="U47" i="57"/>
  <c r="U38" i="57"/>
  <c r="U14" i="57" s="1"/>
  <c r="V15" i="57"/>
  <c r="F127" i="57"/>
  <c r="U34" i="57"/>
  <c r="V11" i="57"/>
  <c r="U33" i="57"/>
  <c r="U32" i="57"/>
  <c r="U31" i="57"/>
  <c r="U30" i="57"/>
  <c r="U29" i="57"/>
  <c r="I56" i="57"/>
  <c r="G61" i="57"/>
  <c r="G65" i="57"/>
  <c r="G66" i="57" s="1"/>
  <c r="G63" i="57"/>
  <c r="G64" i="57" s="1"/>
  <c r="G189" i="57"/>
  <c r="G157" i="57" s="1"/>
  <c r="G173" i="57"/>
  <c r="G175" i="57" s="1"/>
  <c r="G133" i="57"/>
  <c r="H58" i="57"/>
  <c r="F157" i="57"/>
  <c r="V10" i="57"/>
  <c r="CB187" i="63" l="1"/>
  <c r="CC181" i="63" s="1"/>
  <c r="H158" i="57"/>
  <c r="H57" i="57"/>
  <c r="G161" i="57"/>
  <c r="F186" i="57"/>
  <c r="F197" i="57"/>
  <c r="H188" i="57"/>
  <c r="H198" i="57"/>
  <c r="H161" i="57" s="1"/>
  <c r="H197" i="57"/>
  <c r="G197" i="57"/>
  <c r="I1" i="57"/>
  <c r="G68" i="57"/>
  <c r="G188" i="57"/>
  <c r="F188" i="57"/>
  <c r="F40" i="57"/>
  <c r="H11" i="57"/>
  <c r="F12" i="57" s="1"/>
  <c r="H2" i="57"/>
  <c r="G130" i="57"/>
  <c r="I125" i="57"/>
  <c r="I126" i="57"/>
  <c r="H127" i="57"/>
  <c r="F130" i="57"/>
  <c r="F128" i="57"/>
  <c r="G117" i="57"/>
  <c r="G118" i="57"/>
  <c r="G116" i="57"/>
  <c r="G96" i="57"/>
  <c r="G95" i="57"/>
  <c r="G105" i="57"/>
  <c r="G104" i="57"/>
  <c r="G100" i="57"/>
  <c r="G99" i="57"/>
  <c r="G98" i="57"/>
  <c r="G97" i="57"/>
  <c r="G107" i="57"/>
  <c r="H159" i="57"/>
  <c r="H134" i="57"/>
  <c r="H135" i="57"/>
  <c r="U40" i="57"/>
  <c r="H137" i="57"/>
  <c r="H139" i="57"/>
  <c r="J56" i="57"/>
  <c r="H138" i="57"/>
  <c r="H140" i="57"/>
  <c r="H136" i="57"/>
  <c r="E10" i="57"/>
  <c r="P27" i="57"/>
  <c r="U10" i="57"/>
  <c r="U12" i="57" s="1"/>
  <c r="V12" i="57"/>
  <c r="V14" i="57"/>
  <c r="V17" i="57" s="1"/>
  <c r="U17" i="57"/>
  <c r="V22" i="57"/>
  <c r="G71" i="57"/>
  <c r="G62" i="57"/>
  <c r="H61" i="57"/>
  <c r="H67" i="57"/>
  <c r="H65" i="57"/>
  <c r="H66" i="57" s="1"/>
  <c r="H107" i="57" s="1"/>
  <c r="H63" i="57"/>
  <c r="H64" i="57" s="1"/>
  <c r="H189" i="57"/>
  <c r="H173" i="57"/>
  <c r="H175" i="57" s="1"/>
  <c r="H133" i="57"/>
  <c r="I58" i="57"/>
  <c r="BX133" i="63" l="1"/>
  <c r="BX139" i="63" s="1"/>
  <c r="BX206" i="63"/>
  <c r="BX208" i="63" s="1"/>
  <c r="BX209" i="63" s="1"/>
  <c r="BX178" i="63"/>
  <c r="BY172" i="63" s="1"/>
  <c r="FH173" i="63"/>
  <c r="E173" i="63"/>
  <c r="FO173" i="63"/>
  <c r="FP173" i="63"/>
  <c r="FQ173" i="63"/>
  <c r="FR173" i="63"/>
  <c r="FS173" i="63"/>
  <c r="FT173" i="63"/>
  <c r="FU173" i="63"/>
  <c r="CC183" i="63"/>
  <c r="CC184" i="63" s="1"/>
  <c r="I158" i="57"/>
  <c r="I57" i="57"/>
  <c r="Q27" i="57"/>
  <c r="I188" i="57"/>
  <c r="I198" i="57"/>
  <c r="I197" i="57"/>
  <c r="F131" i="57"/>
  <c r="H68" i="57"/>
  <c r="G131" i="57"/>
  <c r="K56" i="57"/>
  <c r="K125" i="57" s="1"/>
  <c r="J1" i="57"/>
  <c r="I2" i="57"/>
  <c r="J125" i="57"/>
  <c r="J126" i="57"/>
  <c r="H128" i="57"/>
  <c r="H130" i="57"/>
  <c r="I127" i="57"/>
  <c r="H117" i="57"/>
  <c r="H118" i="57"/>
  <c r="H116" i="57"/>
  <c r="G74" i="57"/>
  <c r="I140" i="57"/>
  <c r="H104" i="57"/>
  <c r="H95" i="57"/>
  <c r="H96" i="57"/>
  <c r="H105" i="57"/>
  <c r="H97" i="57"/>
  <c r="H100" i="57"/>
  <c r="H98" i="57"/>
  <c r="H99" i="57"/>
  <c r="U21" i="57"/>
  <c r="V21" i="57" s="1"/>
  <c r="U20" i="57"/>
  <c r="U19" i="57"/>
  <c r="I134" i="57"/>
  <c r="I137" i="57"/>
  <c r="I139" i="57"/>
  <c r="I136" i="57"/>
  <c r="I135" i="57"/>
  <c r="I138" i="57"/>
  <c r="I159" i="57"/>
  <c r="H80" i="57"/>
  <c r="H71" i="57"/>
  <c r="H62" i="57"/>
  <c r="I61" i="57"/>
  <c r="I63" i="57"/>
  <c r="I64" i="57" s="1"/>
  <c r="I67" i="57"/>
  <c r="I65" i="57"/>
  <c r="I66" i="57" s="1"/>
  <c r="H157" i="57"/>
  <c r="I189" i="57"/>
  <c r="I157" i="57" s="1"/>
  <c r="I173" i="57"/>
  <c r="I175" i="57" s="1"/>
  <c r="J58" i="57"/>
  <c r="I133" i="57"/>
  <c r="BX159" i="63" l="1"/>
  <c r="BY174" i="63"/>
  <c r="BY175" i="63" s="1"/>
  <c r="BX141" i="63"/>
  <c r="CC185" i="63"/>
  <c r="CC187" i="63" s="1"/>
  <c r="CD181" i="63" s="1"/>
  <c r="J158" i="57"/>
  <c r="J57" i="57"/>
  <c r="I161" i="57"/>
  <c r="G75" i="57"/>
  <c r="K1" i="57"/>
  <c r="J188" i="57"/>
  <c r="J197" i="57"/>
  <c r="J198" i="57"/>
  <c r="J161" i="57" s="1"/>
  <c r="I68" i="57"/>
  <c r="H131" i="57"/>
  <c r="L56" i="57"/>
  <c r="K126" i="57"/>
  <c r="K127" i="57" s="1"/>
  <c r="J2" i="57"/>
  <c r="J127" i="57"/>
  <c r="J128" i="57" s="1"/>
  <c r="I130" i="57"/>
  <c r="I128" i="57"/>
  <c r="I117" i="57"/>
  <c r="I118" i="57"/>
  <c r="I116" i="57"/>
  <c r="H74" i="57"/>
  <c r="H75" i="57" s="1"/>
  <c r="I96" i="57"/>
  <c r="I105" i="57"/>
  <c r="I104" i="57"/>
  <c r="I95" i="57"/>
  <c r="I99" i="57"/>
  <c r="I97" i="57"/>
  <c r="I100" i="57"/>
  <c r="I98" i="57"/>
  <c r="I107" i="57"/>
  <c r="J136" i="57"/>
  <c r="J135" i="57"/>
  <c r="J138" i="57"/>
  <c r="J134" i="57"/>
  <c r="J137" i="57"/>
  <c r="J139" i="57"/>
  <c r="J140" i="57"/>
  <c r="J159" i="57"/>
  <c r="H81" i="57"/>
  <c r="G80" i="57"/>
  <c r="G81" i="57"/>
  <c r="I80" i="57"/>
  <c r="I81" i="57"/>
  <c r="I71" i="57"/>
  <c r="I62" i="57"/>
  <c r="J61" i="57"/>
  <c r="J67" i="57"/>
  <c r="J65" i="57"/>
  <c r="J66" i="57" s="1"/>
  <c r="J63" i="57"/>
  <c r="J64" i="57" s="1"/>
  <c r="J189" i="57"/>
  <c r="J157" i="57" s="1"/>
  <c r="J173" i="57"/>
  <c r="J175" i="57" s="1"/>
  <c r="K58" i="57"/>
  <c r="J133" i="57"/>
  <c r="CD183" i="63" l="1"/>
  <c r="CD184" i="63" s="1"/>
  <c r="CC137" i="63"/>
  <c r="K158" i="57"/>
  <c r="K57" i="57"/>
  <c r="L1" i="57"/>
  <c r="K188" i="57"/>
  <c r="K197" i="57"/>
  <c r="K198" i="57"/>
  <c r="J68" i="57"/>
  <c r="I131" i="57"/>
  <c r="L125" i="57"/>
  <c r="M56" i="57"/>
  <c r="L126" i="57"/>
  <c r="K2" i="57"/>
  <c r="J130" i="57"/>
  <c r="K128" i="57"/>
  <c r="K130" i="57"/>
  <c r="J117" i="57"/>
  <c r="J118" i="57"/>
  <c r="J116" i="57"/>
  <c r="J104" i="57"/>
  <c r="J96" i="57"/>
  <c r="J98" i="57"/>
  <c r="J95" i="57"/>
  <c r="J105" i="57"/>
  <c r="J97" i="57"/>
  <c r="J100" i="57"/>
  <c r="J99" i="57"/>
  <c r="J107" i="57"/>
  <c r="I74" i="57"/>
  <c r="I75" i="57" s="1"/>
  <c r="K136" i="57"/>
  <c r="K134" i="57"/>
  <c r="K137" i="57"/>
  <c r="K135" i="57"/>
  <c r="K139" i="57"/>
  <c r="K140" i="57"/>
  <c r="K138" i="57"/>
  <c r="K159" i="57"/>
  <c r="J80" i="57"/>
  <c r="J81" i="57"/>
  <c r="J71" i="57"/>
  <c r="J62" i="57"/>
  <c r="K67" i="57"/>
  <c r="K65" i="57"/>
  <c r="K66" i="57" s="1"/>
  <c r="K61" i="57"/>
  <c r="K63" i="57"/>
  <c r="K64" i="57" s="1"/>
  <c r="K189" i="57"/>
  <c r="K157" i="57" s="1"/>
  <c r="K173" i="57"/>
  <c r="K175" i="57" s="1"/>
  <c r="K133" i="57"/>
  <c r="L58" i="57"/>
  <c r="BY133" i="63" l="1"/>
  <c r="BY139" i="63" s="1"/>
  <c r="BY206" i="63"/>
  <c r="BY208" i="63" s="1"/>
  <c r="BY209" i="63" s="1"/>
  <c r="BY178" i="63"/>
  <c r="BZ172" i="63" s="1"/>
  <c r="CD185" i="63"/>
  <c r="CD137" i="63" s="1"/>
  <c r="L158" i="57"/>
  <c r="L57" i="57"/>
  <c r="K161" i="57"/>
  <c r="L188" i="57"/>
  <c r="L198" i="57"/>
  <c r="L161" i="57" s="1"/>
  <c r="L197" i="57"/>
  <c r="M1" i="57"/>
  <c r="M126" i="57"/>
  <c r="K68" i="57"/>
  <c r="N56" i="57"/>
  <c r="N125" i="57" s="1"/>
  <c r="J131" i="57"/>
  <c r="K131" i="57"/>
  <c r="M125" i="57"/>
  <c r="L127" i="57"/>
  <c r="L128" i="57" s="1"/>
  <c r="L2" i="57"/>
  <c r="K118" i="57"/>
  <c r="K117" i="57"/>
  <c r="K116" i="57"/>
  <c r="K105" i="57"/>
  <c r="K104" i="57"/>
  <c r="K95" i="57"/>
  <c r="K96" i="57"/>
  <c r="K98" i="57"/>
  <c r="K97" i="57"/>
  <c r="K99" i="57"/>
  <c r="K100" i="57"/>
  <c r="K107" i="57"/>
  <c r="L159" i="57"/>
  <c r="L135" i="57"/>
  <c r="L140" i="57"/>
  <c r="L134" i="57"/>
  <c r="L138" i="57"/>
  <c r="L139" i="57"/>
  <c r="L136" i="57"/>
  <c r="L137" i="57"/>
  <c r="J74" i="57"/>
  <c r="J75" i="57" s="1"/>
  <c r="K81" i="57"/>
  <c r="K80" i="57"/>
  <c r="K71" i="57"/>
  <c r="K62" i="57"/>
  <c r="L67" i="57"/>
  <c r="L65" i="57"/>
  <c r="L66" i="57" s="1"/>
  <c r="L63" i="57"/>
  <c r="L64" i="57" s="1"/>
  <c r="L61" i="57"/>
  <c r="L189" i="57"/>
  <c r="L173" i="57"/>
  <c r="L175" i="57" s="1"/>
  <c r="L133" i="57"/>
  <c r="M58" i="57"/>
  <c r="BY159" i="63" l="1"/>
  <c r="BZ174" i="63"/>
  <c r="BZ175" i="63" s="1"/>
  <c r="BY141" i="63"/>
  <c r="CD187" i="63"/>
  <c r="CE181" i="63" s="1"/>
  <c r="M158" i="57"/>
  <c r="M57" i="57"/>
  <c r="N1" i="57"/>
  <c r="O56" i="57"/>
  <c r="O125" i="57" s="1"/>
  <c r="M127" i="57"/>
  <c r="M130" i="57" s="1"/>
  <c r="M188" i="57"/>
  <c r="M198" i="57"/>
  <c r="M161" i="57" s="1"/>
  <c r="M197" i="57"/>
  <c r="L130" i="57"/>
  <c r="L131" i="57" s="1"/>
  <c r="N126" i="57"/>
  <c r="N127" i="57" s="1"/>
  <c r="L68" i="57"/>
  <c r="M2" i="57"/>
  <c r="O126" i="57"/>
  <c r="L118" i="57"/>
  <c r="L117" i="57"/>
  <c r="L116" i="57"/>
  <c r="L104" i="57"/>
  <c r="L96" i="57"/>
  <c r="L105" i="57"/>
  <c r="L95" i="57"/>
  <c r="L100" i="57"/>
  <c r="L98" i="57"/>
  <c r="L99" i="57"/>
  <c r="L97" i="57"/>
  <c r="L107" i="57"/>
  <c r="K74" i="57"/>
  <c r="K75" i="57" s="1"/>
  <c r="M134" i="57"/>
  <c r="M139" i="57"/>
  <c r="M140" i="57"/>
  <c r="M138" i="57"/>
  <c r="M136" i="57"/>
  <c r="M137" i="57"/>
  <c r="M135" i="57"/>
  <c r="M159" i="57"/>
  <c r="L80" i="57"/>
  <c r="L81" i="57"/>
  <c r="L71" i="57"/>
  <c r="L62" i="57"/>
  <c r="M65" i="57"/>
  <c r="M66" i="57" s="1"/>
  <c r="M63" i="57"/>
  <c r="M64" i="57" s="1"/>
  <c r="M61" i="57"/>
  <c r="M67" i="57"/>
  <c r="M189" i="57"/>
  <c r="M157" i="57" s="1"/>
  <c r="M173" i="57"/>
  <c r="M175" i="57" s="1"/>
  <c r="M133" i="57"/>
  <c r="N58" i="57"/>
  <c r="L157" i="57"/>
  <c r="CE183" i="63" l="1"/>
  <c r="CE184" i="63" s="1"/>
  <c r="P56" i="57"/>
  <c r="N158" i="57"/>
  <c r="N57" i="57"/>
  <c r="M128" i="57"/>
  <c r="P1" i="57"/>
  <c r="O1" i="57"/>
  <c r="N188" i="57"/>
  <c r="N198" i="57"/>
  <c r="N197" i="57"/>
  <c r="M68" i="57"/>
  <c r="M131" i="57"/>
  <c r="N2" i="57"/>
  <c r="O127" i="57"/>
  <c r="N130" i="57"/>
  <c r="N128" i="57"/>
  <c r="P125" i="57"/>
  <c r="P126" i="57"/>
  <c r="M118" i="57"/>
  <c r="M117" i="57"/>
  <c r="M116" i="57"/>
  <c r="M104" i="57"/>
  <c r="M105" i="57"/>
  <c r="M95" i="57"/>
  <c r="M96" i="57"/>
  <c r="M98" i="57"/>
  <c r="M97" i="57"/>
  <c r="M100" i="57"/>
  <c r="M99" i="57"/>
  <c r="M107" i="57"/>
  <c r="L74" i="57"/>
  <c r="L75" i="57" s="1"/>
  <c r="N140" i="57"/>
  <c r="N138" i="57"/>
  <c r="N137" i="57"/>
  <c r="N135" i="57"/>
  <c r="N134" i="57"/>
  <c r="N136" i="57"/>
  <c r="N139" i="57"/>
  <c r="N159" i="57"/>
  <c r="M80" i="57"/>
  <c r="M81" i="57"/>
  <c r="M71" i="57"/>
  <c r="M62" i="57"/>
  <c r="N63" i="57"/>
  <c r="N64" i="57" s="1"/>
  <c r="N61" i="57"/>
  <c r="N67" i="57"/>
  <c r="N65" i="57"/>
  <c r="N66" i="57" s="1"/>
  <c r="Q56" i="57"/>
  <c r="N189" i="57"/>
  <c r="N173" i="57"/>
  <c r="N133" i="57"/>
  <c r="O58" i="57"/>
  <c r="BZ133" i="63" l="1"/>
  <c r="BZ139" i="63" s="1"/>
  <c r="BZ206" i="63"/>
  <c r="BZ208" i="63" s="1"/>
  <c r="BZ209" i="63" s="1"/>
  <c r="BZ178" i="63"/>
  <c r="CA172" i="63" s="1"/>
  <c r="CE185" i="63"/>
  <c r="CE187" i="63" s="1"/>
  <c r="CF181" i="63" s="1"/>
  <c r="O158" i="57"/>
  <c r="O57" i="57"/>
  <c r="N175" i="57"/>
  <c r="N161" i="57"/>
  <c r="N157" i="57"/>
  <c r="Q1" i="57"/>
  <c r="O188" i="57"/>
  <c r="O198" i="57"/>
  <c r="O161" i="57" s="1"/>
  <c r="O197" i="57"/>
  <c r="N68" i="57"/>
  <c r="N131" i="57"/>
  <c r="O2" i="57"/>
  <c r="Q125" i="57"/>
  <c r="Q126" i="57"/>
  <c r="P127" i="57"/>
  <c r="O130" i="57"/>
  <c r="O128" i="57"/>
  <c r="N118" i="57"/>
  <c r="N117" i="57"/>
  <c r="N116" i="57"/>
  <c r="N96" i="57"/>
  <c r="N104" i="57"/>
  <c r="N95" i="57"/>
  <c r="N105" i="57"/>
  <c r="N98" i="57"/>
  <c r="N99" i="57"/>
  <c r="N97" i="57"/>
  <c r="N100" i="57"/>
  <c r="N107" i="57"/>
  <c r="M74" i="57"/>
  <c r="M75" i="57" s="1"/>
  <c r="O138" i="57"/>
  <c r="O140" i="57"/>
  <c r="O137" i="57"/>
  <c r="O136" i="57"/>
  <c r="O135" i="57"/>
  <c r="O134" i="57"/>
  <c r="O139" i="57"/>
  <c r="O159" i="57"/>
  <c r="N81" i="57"/>
  <c r="N80" i="57"/>
  <c r="N71" i="57"/>
  <c r="N62" i="57"/>
  <c r="O67" i="57"/>
  <c r="O65" i="57"/>
  <c r="O66" i="57" s="1"/>
  <c r="O61" i="57"/>
  <c r="O63" i="57"/>
  <c r="O64" i="57" s="1"/>
  <c r="R56" i="57"/>
  <c r="O173" i="57"/>
  <c r="O175" i="57" s="1"/>
  <c r="O189" i="57"/>
  <c r="O157" i="57" s="1"/>
  <c r="O133" i="57"/>
  <c r="P58" i="57"/>
  <c r="BZ159" i="63" l="1"/>
  <c r="CA174" i="63"/>
  <c r="CA175" i="63" s="1"/>
  <c r="BZ141" i="63"/>
  <c r="CF183" i="63"/>
  <c r="CF184" i="63" s="1"/>
  <c r="CE137" i="63"/>
  <c r="P158" i="57"/>
  <c r="P57" i="57"/>
  <c r="P188" i="57"/>
  <c r="P198" i="57"/>
  <c r="P161" i="57" s="1"/>
  <c r="P197" i="57"/>
  <c r="R1" i="57"/>
  <c r="O68" i="57"/>
  <c r="O131" i="57"/>
  <c r="P2" i="57"/>
  <c r="R125" i="57"/>
  <c r="R126" i="57"/>
  <c r="P130" i="57"/>
  <c r="P128" i="57"/>
  <c r="Q127" i="57"/>
  <c r="O117" i="57"/>
  <c r="O118" i="57"/>
  <c r="O116" i="57"/>
  <c r="O105" i="57"/>
  <c r="O104" i="57"/>
  <c r="O96" i="57"/>
  <c r="O95" i="57"/>
  <c r="O98" i="57"/>
  <c r="O100" i="57"/>
  <c r="O97" i="57"/>
  <c r="O99" i="57"/>
  <c r="O107" i="57"/>
  <c r="N74" i="57"/>
  <c r="N75" i="57" s="1"/>
  <c r="P138" i="57"/>
  <c r="P139" i="57"/>
  <c r="P137" i="57"/>
  <c r="P140" i="57"/>
  <c r="P135" i="57"/>
  <c r="P136" i="57"/>
  <c r="P134" i="57"/>
  <c r="P159" i="57"/>
  <c r="O80" i="57"/>
  <c r="O81" i="57"/>
  <c r="O71" i="57"/>
  <c r="O62" i="57"/>
  <c r="P61" i="57"/>
  <c r="P65" i="57"/>
  <c r="P66" i="57" s="1"/>
  <c r="P67" i="57"/>
  <c r="P63" i="57"/>
  <c r="P64" i="57" s="1"/>
  <c r="S56" i="57"/>
  <c r="P189" i="57"/>
  <c r="P157" i="57" s="1"/>
  <c r="P173" i="57"/>
  <c r="P175" i="57" s="1"/>
  <c r="P133" i="57"/>
  <c r="Q58" i="57"/>
  <c r="CA178" i="63" l="1"/>
  <c r="CB172" i="63" s="1"/>
  <c r="CA133" i="63"/>
  <c r="CA139" i="63" s="1"/>
  <c r="CA206" i="63"/>
  <c r="CA208" i="63" s="1"/>
  <c r="CA209" i="63" s="1"/>
  <c r="CF185" i="63"/>
  <c r="CF137" i="63" s="1"/>
  <c r="Q158" i="57"/>
  <c r="Q57" i="57"/>
  <c r="Q188" i="57"/>
  <c r="Q198" i="57"/>
  <c r="Q161" i="57" s="1"/>
  <c r="Q197" i="57"/>
  <c r="P68" i="57"/>
  <c r="P131" i="57"/>
  <c r="S126" i="57"/>
  <c r="S1" i="57"/>
  <c r="Q2" i="57"/>
  <c r="Q130" i="57"/>
  <c r="Q128" i="57"/>
  <c r="R127" i="57"/>
  <c r="P117" i="57"/>
  <c r="P118" i="57"/>
  <c r="P116" i="57"/>
  <c r="P95" i="57"/>
  <c r="P96" i="57"/>
  <c r="P105" i="57"/>
  <c r="P104" i="57"/>
  <c r="P99" i="57"/>
  <c r="P100" i="57"/>
  <c r="P98" i="57"/>
  <c r="P97" i="57"/>
  <c r="P107" i="57"/>
  <c r="O74" i="57"/>
  <c r="O75" i="57" s="1"/>
  <c r="Q134" i="57"/>
  <c r="Q140" i="57"/>
  <c r="Q138" i="57"/>
  <c r="Q135" i="57"/>
  <c r="Q139" i="57"/>
  <c r="Q137" i="57"/>
  <c r="Q136" i="57"/>
  <c r="Q159" i="57"/>
  <c r="P81" i="57"/>
  <c r="P80" i="57"/>
  <c r="P71" i="57"/>
  <c r="P62" i="57"/>
  <c r="Q61" i="57"/>
  <c r="Q67" i="57"/>
  <c r="Q65" i="57"/>
  <c r="Q66" i="57" s="1"/>
  <c r="Q63" i="57"/>
  <c r="Q64" i="57" s="1"/>
  <c r="Q173" i="57"/>
  <c r="Q175" i="57" s="1"/>
  <c r="Q189" i="57"/>
  <c r="R58" i="57"/>
  <c r="Q133" i="57"/>
  <c r="T56" i="57"/>
  <c r="CA159" i="63" l="1"/>
  <c r="CA141" i="63"/>
  <c r="CB174" i="63"/>
  <c r="CF187" i="63"/>
  <c r="CG181" i="63" s="1"/>
  <c r="R158" i="57"/>
  <c r="R57" i="57"/>
  <c r="Q157" i="57"/>
  <c r="R188" i="57"/>
  <c r="R197" i="57"/>
  <c r="R198" i="57"/>
  <c r="R161" i="57" s="1"/>
  <c r="Q68" i="57"/>
  <c r="Q131" i="57"/>
  <c r="T126" i="57"/>
  <c r="T1" i="57"/>
  <c r="R2" i="57"/>
  <c r="R130" i="57"/>
  <c r="R128" i="57"/>
  <c r="Q117" i="57"/>
  <c r="Q118" i="57"/>
  <c r="Q116" i="57"/>
  <c r="Q105" i="57"/>
  <c r="Q95" i="57"/>
  <c r="Q104" i="57"/>
  <c r="Q96" i="57"/>
  <c r="Q99" i="57"/>
  <c r="Q97" i="57"/>
  <c r="Q100" i="57"/>
  <c r="Q98" i="57"/>
  <c r="Q107" i="57"/>
  <c r="P74" i="57"/>
  <c r="P75" i="57" s="1"/>
  <c r="R134" i="57"/>
  <c r="R138" i="57"/>
  <c r="R135" i="57"/>
  <c r="R139" i="57"/>
  <c r="R137" i="57"/>
  <c r="R136" i="57"/>
  <c r="R140" i="57"/>
  <c r="R159" i="57"/>
  <c r="Q80" i="57"/>
  <c r="Q81" i="57"/>
  <c r="Q71" i="57"/>
  <c r="Q62" i="57"/>
  <c r="R61" i="57"/>
  <c r="R67" i="57"/>
  <c r="R65" i="57"/>
  <c r="R66" i="57" s="1"/>
  <c r="R63" i="57"/>
  <c r="R64" i="57" s="1"/>
  <c r="U56" i="57"/>
  <c r="R189" i="57"/>
  <c r="R157" i="57" s="1"/>
  <c r="R173" i="57"/>
  <c r="R175" i="57" s="1"/>
  <c r="S58" i="57"/>
  <c r="R133" i="57"/>
  <c r="CB175" i="63" l="1"/>
  <c r="CB178" i="63" s="1"/>
  <c r="CC172" i="63" s="1"/>
  <c r="CC174" i="63" s="1"/>
  <c r="FH174" i="63"/>
  <c r="CG183" i="63"/>
  <c r="CG184" i="63" s="1"/>
  <c r="S158" i="57"/>
  <c r="S57" i="57"/>
  <c r="S188" i="57"/>
  <c r="S197" i="57"/>
  <c r="S198" i="57"/>
  <c r="R68" i="57"/>
  <c r="R131" i="57"/>
  <c r="U126" i="57"/>
  <c r="U1" i="57"/>
  <c r="S2" i="57"/>
  <c r="R117" i="57"/>
  <c r="R118" i="57"/>
  <c r="R116" i="57"/>
  <c r="R95" i="57"/>
  <c r="R96" i="57"/>
  <c r="R105" i="57"/>
  <c r="R104" i="57"/>
  <c r="R97" i="57"/>
  <c r="R98" i="57"/>
  <c r="R100" i="57"/>
  <c r="R99" i="57"/>
  <c r="R107" i="57"/>
  <c r="Q74" i="57"/>
  <c r="Q75" i="57" s="1"/>
  <c r="S137" i="57"/>
  <c r="S138" i="57"/>
  <c r="S139" i="57"/>
  <c r="S136" i="57"/>
  <c r="S135" i="57"/>
  <c r="S140" i="57"/>
  <c r="S134" i="57"/>
  <c r="S159" i="57"/>
  <c r="R80" i="57"/>
  <c r="R81" i="57"/>
  <c r="R71" i="57"/>
  <c r="R62" i="57"/>
  <c r="S67" i="57"/>
  <c r="S65" i="57"/>
  <c r="S66" i="57" s="1"/>
  <c r="S61" i="57"/>
  <c r="S63" i="57"/>
  <c r="S64" i="57" s="1"/>
  <c r="V56" i="57"/>
  <c r="S189" i="57"/>
  <c r="S173" i="57"/>
  <c r="T58" i="57"/>
  <c r="CB206" i="63" l="1"/>
  <c r="CB208" i="63" s="1"/>
  <c r="CB209" i="63" s="1"/>
  <c r="CB133" i="63"/>
  <c r="CB139" i="63" s="1"/>
  <c r="CB141" i="63" s="1"/>
  <c r="CC175" i="63"/>
  <c r="CC178" i="63" s="1"/>
  <c r="CD172" i="63" s="1"/>
  <c r="CD174" i="63" s="1"/>
  <c r="CD175" i="63" s="1"/>
  <c r="CB159" i="63"/>
  <c r="CG185" i="63"/>
  <c r="CG137" i="63" s="1"/>
  <c r="FH175" i="63"/>
  <c r="T158" i="57"/>
  <c r="T57" i="57"/>
  <c r="S161" i="57"/>
  <c r="S175" i="57"/>
  <c r="S157" i="57"/>
  <c r="T188" i="57"/>
  <c r="T198" i="57"/>
  <c r="T161" i="57" s="1"/>
  <c r="T197" i="57"/>
  <c r="S68" i="57"/>
  <c r="V126" i="57"/>
  <c r="V1" i="57"/>
  <c r="T2" i="57"/>
  <c r="S118" i="57"/>
  <c r="S117" i="57"/>
  <c r="S116" i="57"/>
  <c r="S96" i="57"/>
  <c r="S105" i="57"/>
  <c r="S104" i="57"/>
  <c r="S95" i="57"/>
  <c r="S97" i="57"/>
  <c r="S99" i="57"/>
  <c r="S98" i="57"/>
  <c r="S100" i="57"/>
  <c r="S107" i="57"/>
  <c r="R74" i="57"/>
  <c r="R75" i="57" s="1"/>
  <c r="T139" i="57"/>
  <c r="T136" i="57"/>
  <c r="T140" i="57"/>
  <c r="T137" i="57"/>
  <c r="T134" i="57"/>
  <c r="T138" i="57"/>
  <c r="T135" i="57"/>
  <c r="T159" i="57"/>
  <c r="S81" i="57"/>
  <c r="S80" i="57"/>
  <c r="S71" i="57"/>
  <c r="S62" i="57"/>
  <c r="T67" i="57"/>
  <c r="T65" i="57"/>
  <c r="T66" i="57" s="1"/>
  <c r="T63" i="57"/>
  <c r="T64" i="57" s="1"/>
  <c r="T61" i="57"/>
  <c r="W56" i="57"/>
  <c r="T189" i="57"/>
  <c r="T157" i="57" s="1"/>
  <c r="T173" i="57"/>
  <c r="T175" i="57" s="1"/>
  <c r="U58" i="57"/>
  <c r="CC206" i="63" l="1"/>
  <c r="CC208" i="63" s="1"/>
  <c r="CC209" i="63" s="1"/>
  <c r="CC133" i="63"/>
  <c r="CC139" i="63" s="1"/>
  <c r="CC141" i="63" s="1"/>
  <c r="CC159" i="63"/>
  <c r="FH133" i="63"/>
  <c r="CG187" i="63"/>
  <c r="CH181" i="63" s="1"/>
  <c r="U158" i="57"/>
  <c r="U57" i="57"/>
  <c r="U188" i="57"/>
  <c r="U198" i="57"/>
  <c r="U161" i="57" s="1"/>
  <c r="U197" i="57"/>
  <c r="T68" i="57"/>
  <c r="W126" i="57"/>
  <c r="W1" i="57"/>
  <c r="U2" i="57"/>
  <c r="T118" i="57"/>
  <c r="T117" i="57"/>
  <c r="T116" i="57"/>
  <c r="T96" i="57"/>
  <c r="T95" i="57"/>
  <c r="T104" i="57"/>
  <c r="T105" i="57"/>
  <c r="T100" i="57"/>
  <c r="T98" i="57"/>
  <c r="T99" i="57"/>
  <c r="T97" i="57"/>
  <c r="T107" i="57"/>
  <c r="S74" i="57"/>
  <c r="S75" i="57" s="1"/>
  <c r="U139" i="57"/>
  <c r="U140" i="57"/>
  <c r="U138" i="57"/>
  <c r="U134" i="57"/>
  <c r="U136" i="57"/>
  <c r="U137" i="57"/>
  <c r="U135" i="57"/>
  <c r="U159" i="57"/>
  <c r="T81" i="57"/>
  <c r="T80" i="57"/>
  <c r="T71" i="57"/>
  <c r="T62" i="57"/>
  <c r="U65" i="57"/>
  <c r="U66" i="57" s="1"/>
  <c r="U63" i="57"/>
  <c r="U64" i="57" s="1"/>
  <c r="U61" i="57"/>
  <c r="U67" i="57"/>
  <c r="X56" i="57"/>
  <c r="U173" i="57"/>
  <c r="U175" i="57" s="1"/>
  <c r="U189" i="57"/>
  <c r="V58" i="57"/>
  <c r="CD133" i="63" l="1"/>
  <c r="CD139" i="63" s="1"/>
  <c r="CD206" i="63"/>
  <c r="CD208" i="63" s="1"/>
  <c r="CD209" i="63" s="1"/>
  <c r="CD178" i="63"/>
  <c r="CE172" i="63" s="1"/>
  <c r="CH183" i="63"/>
  <c r="V158" i="57"/>
  <c r="V57" i="57"/>
  <c r="U157" i="57"/>
  <c r="V188" i="57"/>
  <c r="V198" i="57"/>
  <c r="V161" i="57" s="1"/>
  <c r="V197" i="57"/>
  <c r="U68" i="57"/>
  <c r="X126" i="57"/>
  <c r="X1" i="57"/>
  <c r="V2" i="57"/>
  <c r="U118" i="57"/>
  <c r="U117" i="57"/>
  <c r="U116" i="57"/>
  <c r="U95" i="57"/>
  <c r="U96" i="57"/>
  <c r="U104" i="57"/>
  <c r="U105" i="57"/>
  <c r="U100" i="57"/>
  <c r="U99" i="57"/>
  <c r="U97" i="57"/>
  <c r="U98" i="57"/>
  <c r="U107" i="57"/>
  <c r="T74" i="57"/>
  <c r="T75" i="57" s="1"/>
  <c r="V139" i="57"/>
  <c r="V140" i="57"/>
  <c r="V137" i="57"/>
  <c r="V134" i="57"/>
  <c r="V136" i="57"/>
  <c r="V135" i="57"/>
  <c r="V138" i="57"/>
  <c r="V159" i="57"/>
  <c r="U81" i="57"/>
  <c r="U80" i="57"/>
  <c r="U71" i="57"/>
  <c r="U62" i="57"/>
  <c r="V63" i="57"/>
  <c r="V64" i="57" s="1"/>
  <c r="V61" i="57"/>
  <c r="V67" i="57"/>
  <c r="V65" i="57"/>
  <c r="V66" i="57" s="1"/>
  <c r="Y56" i="57"/>
  <c r="V189" i="57"/>
  <c r="V157" i="57" s="1"/>
  <c r="V173" i="57"/>
  <c r="V175" i="57" s="1"/>
  <c r="W58" i="57"/>
  <c r="CD159" i="63" l="1"/>
  <c r="CE174" i="63"/>
  <c r="CE175" i="63" s="1"/>
  <c r="CH184" i="63"/>
  <c r="W158" i="57"/>
  <c r="W57" i="57"/>
  <c r="W188" i="57"/>
  <c r="W198" i="57"/>
  <c r="W161" i="57" s="1"/>
  <c r="W197" i="57"/>
  <c r="V68" i="57"/>
  <c r="Y126" i="57"/>
  <c r="Y1" i="57"/>
  <c r="W2" i="57"/>
  <c r="V118" i="57"/>
  <c r="V117" i="57"/>
  <c r="V116" i="57"/>
  <c r="V96" i="57"/>
  <c r="V95" i="57"/>
  <c r="V105" i="57"/>
  <c r="V104" i="57"/>
  <c r="V100" i="57"/>
  <c r="V98" i="57"/>
  <c r="V99" i="57"/>
  <c r="V97" i="57"/>
  <c r="V107" i="57"/>
  <c r="U74" i="57"/>
  <c r="U75" i="57" s="1"/>
  <c r="W140" i="57"/>
  <c r="W137" i="57"/>
  <c r="W139" i="57"/>
  <c r="W135" i="57"/>
  <c r="W138" i="57"/>
  <c r="W136" i="57"/>
  <c r="W134" i="57"/>
  <c r="W159" i="57"/>
  <c r="V71" i="57"/>
  <c r="V80" i="57"/>
  <c r="V81" i="57"/>
  <c r="V62" i="57"/>
  <c r="W67" i="57"/>
  <c r="W65" i="57"/>
  <c r="W66" i="57" s="1"/>
  <c r="W61" i="57"/>
  <c r="W63" i="57"/>
  <c r="W64" i="57" s="1"/>
  <c r="Z56" i="57"/>
  <c r="W189" i="57"/>
  <c r="W157" i="57" s="1"/>
  <c r="W173" i="57"/>
  <c r="W175" i="57" s="1"/>
  <c r="X58" i="57"/>
  <c r="CD141" i="63" l="1"/>
  <c r="CE178" i="63"/>
  <c r="CF172" i="63" s="1"/>
  <c r="CF174" i="63" s="1"/>
  <c r="CF175" i="63" s="1"/>
  <c r="CH185" i="63"/>
  <c r="X158" i="57"/>
  <c r="X57" i="57"/>
  <c r="X188" i="57"/>
  <c r="X198" i="57"/>
  <c r="X161" i="57" s="1"/>
  <c r="X197" i="57"/>
  <c r="W68" i="57"/>
  <c r="Z126" i="57"/>
  <c r="Z1" i="57"/>
  <c r="X2" i="57"/>
  <c r="W117" i="57"/>
  <c r="W118" i="57"/>
  <c r="W116" i="57"/>
  <c r="W105" i="57"/>
  <c r="W104" i="57"/>
  <c r="W95" i="57"/>
  <c r="W96" i="57"/>
  <c r="W97" i="57"/>
  <c r="W99" i="57"/>
  <c r="W100" i="57"/>
  <c r="W98" i="57"/>
  <c r="W107" i="57"/>
  <c r="X140" i="57"/>
  <c r="X138" i="57"/>
  <c r="X139" i="57"/>
  <c r="X137" i="57"/>
  <c r="X135" i="57"/>
  <c r="X134" i="57"/>
  <c r="X136" i="57"/>
  <c r="V74" i="57"/>
  <c r="V75" i="57" s="1"/>
  <c r="X159" i="57"/>
  <c r="W71" i="57"/>
  <c r="W80" i="57"/>
  <c r="W81" i="57"/>
  <c r="W62" i="57"/>
  <c r="X61" i="57"/>
  <c r="X65" i="57"/>
  <c r="X66" i="57" s="1"/>
  <c r="X67" i="57"/>
  <c r="X63" i="57"/>
  <c r="X64" i="57" s="1"/>
  <c r="AA56" i="57"/>
  <c r="X189" i="57"/>
  <c r="X157" i="57" s="1"/>
  <c r="X173" i="57"/>
  <c r="X175" i="57" s="1"/>
  <c r="Y58" i="57"/>
  <c r="CF178" i="63" l="1"/>
  <c r="CG172" i="63" s="1"/>
  <c r="CG174" i="63" s="1"/>
  <c r="CG175" i="63" s="1"/>
  <c r="CF133" i="63"/>
  <c r="CF139" i="63" s="1"/>
  <c r="CF206" i="63"/>
  <c r="CF208" i="63" s="1"/>
  <c r="CF209" i="63" s="1"/>
  <c r="CE133" i="63"/>
  <c r="CE139" i="63" s="1"/>
  <c r="CE206" i="63"/>
  <c r="CE208" i="63" s="1"/>
  <c r="CE209" i="63" s="1"/>
  <c r="CH187" i="63"/>
  <c r="CI181" i="63" s="1"/>
  <c r="CH137" i="63"/>
  <c r="Y158" i="57"/>
  <c r="Y57" i="57"/>
  <c r="Y188" i="57"/>
  <c r="Y198" i="57"/>
  <c r="Y161" i="57" s="1"/>
  <c r="Y197" i="57"/>
  <c r="X68" i="57"/>
  <c r="AA126" i="57"/>
  <c r="AA1" i="57"/>
  <c r="Y2" i="57"/>
  <c r="X117" i="57"/>
  <c r="X118" i="57"/>
  <c r="X116" i="57"/>
  <c r="X95" i="57"/>
  <c r="X105" i="57"/>
  <c r="X104" i="57"/>
  <c r="X96" i="57"/>
  <c r="X100" i="57"/>
  <c r="X99" i="57"/>
  <c r="X98" i="57"/>
  <c r="X97" i="57"/>
  <c r="X107" i="57"/>
  <c r="W74" i="57"/>
  <c r="W75" i="57" s="1"/>
  <c r="Y139" i="57"/>
  <c r="Y140" i="57"/>
  <c r="Y136" i="57"/>
  <c r="Y138" i="57"/>
  <c r="Y137" i="57"/>
  <c r="Y135" i="57"/>
  <c r="Y134" i="57"/>
  <c r="Y159" i="57"/>
  <c r="X71" i="57"/>
  <c r="X80" i="57"/>
  <c r="X81" i="57"/>
  <c r="X62" i="57"/>
  <c r="Y61" i="57"/>
  <c r="Y67" i="57"/>
  <c r="Y63" i="57"/>
  <c r="Y64" i="57" s="1"/>
  <c r="Y65" i="57"/>
  <c r="Y66" i="57" s="1"/>
  <c r="AB56" i="57"/>
  <c r="Y189" i="57"/>
  <c r="Y157" i="57" s="1"/>
  <c r="Y173" i="57"/>
  <c r="Y175" i="57" s="1"/>
  <c r="Z58" i="57"/>
  <c r="CE159" i="63" l="1"/>
  <c r="CF141" i="63"/>
  <c r="CF159" i="63"/>
  <c r="CG178" i="63"/>
  <c r="CH172" i="63" s="1"/>
  <c r="CG133" i="63"/>
  <c r="CG139" i="63" s="1"/>
  <c r="CG206" i="63"/>
  <c r="CG208" i="63" s="1"/>
  <c r="CG209" i="63" s="1"/>
  <c r="CI183" i="63"/>
  <c r="Z158" i="57"/>
  <c r="Z57" i="57"/>
  <c r="Z188" i="57"/>
  <c r="Z197" i="57"/>
  <c r="Z198" i="57"/>
  <c r="Y68" i="57"/>
  <c r="AB126" i="57"/>
  <c r="AB1" i="57"/>
  <c r="Z2" i="57"/>
  <c r="Y117" i="57"/>
  <c r="Y118" i="57"/>
  <c r="Y116" i="57"/>
  <c r="Y105" i="57"/>
  <c r="Y104" i="57"/>
  <c r="Y96" i="57"/>
  <c r="Y95" i="57"/>
  <c r="Y97" i="57"/>
  <c r="Y100" i="57"/>
  <c r="Y98" i="57"/>
  <c r="Y99" i="57"/>
  <c r="Y107" i="57"/>
  <c r="Z138" i="57"/>
  <c r="Z139" i="57"/>
  <c r="Z135" i="57"/>
  <c r="Z140" i="57"/>
  <c r="Z136" i="57"/>
  <c r="Z137" i="57"/>
  <c r="Z134" i="57"/>
  <c r="X74" i="57"/>
  <c r="X75" i="57" s="1"/>
  <c r="Z159" i="57"/>
  <c r="Y71" i="57"/>
  <c r="Y80" i="57"/>
  <c r="Y81" i="57"/>
  <c r="Y62" i="57"/>
  <c r="Z61" i="57"/>
  <c r="Z67" i="57"/>
  <c r="Z65" i="57"/>
  <c r="Z66" i="57" s="1"/>
  <c r="Z63" i="57"/>
  <c r="Z64" i="57" s="1"/>
  <c r="AC56" i="57"/>
  <c r="Z189" i="57"/>
  <c r="Z173" i="57"/>
  <c r="AA58" i="57"/>
  <c r="CG159" i="63" l="1"/>
  <c r="FN133" i="63"/>
  <c r="CE141" i="63"/>
  <c r="CG141" i="63"/>
  <c r="CH174" i="63"/>
  <c r="CH175" i="63" s="1"/>
  <c r="CI184" i="63"/>
  <c r="AA158" i="57"/>
  <c r="AA57" i="57"/>
  <c r="Z157" i="57"/>
  <c r="Z161" i="57"/>
  <c r="Z175" i="57"/>
  <c r="AA188" i="57"/>
  <c r="AA197" i="57"/>
  <c r="AA198" i="57"/>
  <c r="AA161" i="57" s="1"/>
  <c r="Z68" i="57"/>
  <c r="AC126" i="57"/>
  <c r="AC1" i="57"/>
  <c r="AA2" i="57"/>
  <c r="Z117" i="57"/>
  <c r="Z118" i="57"/>
  <c r="Z116" i="57"/>
  <c r="Z98" i="57"/>
  <c r="Z95" i="57"/>
  <c r="Z105" i="57"/>
  <c r="Z96" i="57"/>
  <c r="Z104" i="57"/>
  <c r="Z99" i="57"/>
  <c r="Z97" i="57"/>
  <c r="Z100" i="57"/>
  <c r="Z107" i="57"/>
  <c r="AA138" i="57"/>
  <c r="AA139" i="57"/>
  <c r="AA140" i="57"/>
  <c r="AA136" i="57"/>
  <c r="AA137" i="57"/>
  <c r="AA135" i="57"/>
  <c r="AA134" i="57"/>
  <c r="Y74" i="57"/>
  <c r="Y75" i="57" s="1"/>
  <c r="AA159" i="57"/>
  <c r="Z71" i="57"/>
  <c r="Z80" i="57"/>
  <c r="Z81" i="57"/>
  <c r="Z62" i="57"/>
  <c r="AA67" i="57"/>
  <c r="AA65" i="57"/>
  <c r="AA66" i="57" s="1"/>
  <c r="AA61" i="57"/>
  <c r="AA63" i="57"/>
  <c r="AA64" i="57" s="1"/>
  <c r="AD56" i="57"/>
  <c r="AA189" i="57"/>
  <c r="AA157" i="57" s="1"/>
  <c r="AA173" i="57"/>
  <c r="AA175" i="57" s="1"/>
  <c r="AB58" i="57"/>
  <c r="CI185" i="63" l="1"/>
  <c r="CI187" i="63" s="1"/>
  <c r="CJ181" i="63" s="1"/>
  <c r="AB158" i="57"/>
  <c r="AB57" i="57"/>
  <c r="AB188" i="57"/>
  <c r="AB198" i="57"/>
  <c r="AB197" i="57"/>
  <c r="AA68" i="57"/>
  <c r="AD126" i="57"/>
  <c r="AD1" i="57"/>
  <c r="AB2" i="57"/>
  <c r="AA118" i="57"/>
  <c r="AA117" i="57"/>
  <c r="AA116" i="57"/>
  <c r="AA105" i="57"/>
  <c r="AA104" i="57"/>
  <c r="AA96" i="57"/>
  <c r="AA95" i="57"/>
  <c r="AA98" i="57"/>
  <c r="AA97" i="57"/>
  <c r="AA99" i="57"/>
  <c r="AA100" i="57"/>
  <c r="AA107" i="57"/>
  <c r="AB139" i="57"/>
  <c r="AB140" i="57"/>
  <c r="AB136" i="57"/>
  <c r="AB138" i="57"/>
  <c r="AB137" i="57"/>
  <c r="AB135" i="57"/>
  <c r="AB134" i="57"/>
  <c r="Z74" i="57"/>
  <c r="Z75" i="57" s="1"/>
  <c r="AB159" i="57"/>
  <c r="AA71" i="57"/>
  <c r="AA81" i="57"/>
  <c r="AA80" i="57"/>
  <c r="AA62" i="57"/>
  <c r="AB67" i="57"/>
  <c r="AB65" i="57"/>
  <c r="AB66" i="57" s="1"/>
  <c r="AB63" i="57"/>
  <c r="AB64" i="57" s="1"/>
  <c r="AB61" i="57"/>
  <c r="AE56" i="57"/>
  <c r="AB189" i="57"/>
  <c r="AB157" i="57" s="1"/>
  <c r="AB173" i="57"/>
  <c r="AB175" i="57" s="1"/>
  <c r="AC58" i="57"/>
  <c r="CH133" i="63" l="1"/>
  <c r="CH139" i="63" s="1"/>
  <c r="CH206" i="63"/>
  <c r="CH208" i="63" s="1"/>
  <c r="CH209" i="63" s="1"/>
  <c r="CH178" i="63"/>
  <c r="CI172" i="63" s="1"/>
  <c r="CJ183" i="63"/>
  <c r="CI137" i="63"/>
  <c r="AC158" i="57"/>
  <c r="AC57" i="57"/>
  <c r="AB161" i="57"/>
  <c r="AC188" i="57"/>
  <c r="AC198" i="57"/>
  <c r="AC161" i="57" s="1"/>
  <c r="AC197" i="57"/>
  <c r="AB68" i="57"/>
  <c r="AE126" i="57"/>
  <c r="AE1" i="57"/>
  <c r="AC2" i="57"/>
  <c r="AB118" i="57"/>
  <c r="AB117" i="57"/>
  <c r="AB116" i="57"/>
  <c r="AB104" i="57"/>
  <c r="AB105" i="57"/>
  <c r="AB96" i="57"/>
  <c r="AB98" i="57"/>
  <c r="AB99" i="57"/>
  <c r="AB100" i="57"/>
  <c r="AB95" i="57"/>
  <c r="AB97" i="57"/>
  <c r="AB107" i="57"/>
  <c r="AC137" i="57"/>
  <c r="AC134" i="57"/>
  <c r="AC139" i="57"/>
  <c r="AC140" i="57"/>
  <c r="AC138" i="57"/>
  <c r="AC136" i="57"/>
  <c r="AC135" i="57"/>
  <c r="AA74" i="57"/>
  <c r="AA75" i="57" s="1"/>
  <c r="AB71" i="57"/>
  <c r="AC159" i="57"/>
  <c r="AB81" i="57"/>
  <c r="AB80" i="57"/>
  <c r="AB62" i="57"/>
  <c r="AC65" i="57"/>
  <c r="AC66" i="57" s="1"/>
  <c r="AC63" i="57"/>
  <c r="AC64" i="57" s="1"/>
  <c r="AC61" i="57"/>
  <c r="AC67" i="57"/>
  <c r="AF56" i="57"/>
  <c r="AC189" i="57"/>
  <c r="AC173" i="57"/>
  <c r="AC133" i="57"/>
  <c r="AD58" i="57"/>
  <c r="CH159" i="63" l="1"/>
  <c r="CI174" i="63"/>
  <c r="CI175" i="63" s="1"/>
  <c r="CJ184" i="63"/>
  <c r="AD158" i="57"/>
  <c r="AD57" i="57"/>
  <c r="AC175" i="57"/>
  <c r="AC157" i="57"/>
  <c r="AD188" i="57"/>
  <c r="AD198" i="57"/>
  <c r="AD161" i="57" s="1"/>
  <c r="AD197" i="57"/>
  <c r="AC68" i="57"/>
  <c r="AF126" i="57"/>
  <c r="AF1" i="57"/>
  <c r="AD2" i="57"/>
  <c r="AC118" i="57"/>
  <c r="AC117" i="57"/>
  <c r="AC116" i="57"/>
  <c r="AC96" i="57"/>
  <c r="AC95" i="57"/>
  <c r="AC104" i="57"/>
  <c r="AC105" i="57"/>
  <c r="AC100" i="57"/>
  <c r="AC98" i="57"/>
  <c r="AC99" i="57"/>
  <c r="AC97" i="57"/>
  <c r="AC107" i="57"/>
  <c r="AD139" i="57"/>
  <c r="AD135" i="57"/>
  <c r="AD140" i="57"/>
  <c r="AD134" i="57"/>
  <c r="AD138" i="57"/>
  <c r="AD137" i="57"/>
  <c r="AD136" i="57"/>
  <c r="AB74" i="57"/>
  <c r="AB75" i="57" s="1"/>
  <c r="AC71" i="57"/>
  <c r="AC81" i="57"/>
  <c r="AC80" i="57"/>
  <c r="AC62" i="57"/>
  <c r="AD63" i="57"/>
  <c r="AD64" i="57" s="1"/>
  <c r="AD61" i="57"/>
  <c r="AD67" i="57"/>
  <c r="AD65" i="57"/>
  <c r="AD66" i="57" s="1"/>
  <c r="AG56" i="57"/>
  <c r="AD173" i="57"/>
  <c r="AD175" i="57" s="1"/>
  <c r="AD133" i="57"/>
  <c r="AE58" i="57"/>
  <c r="CH141" i="63" l="1"/>
  <c r="CJ185" i="63"/>
  <c r="AE158" i="57"/>
  <c r="AE57" i="57"/>
  <c r="AE198" i="57"/>
  <c r="AE161" i="57" s="1"/>
  <c r="AE197" i="57"/>
  <c r="AD68" i="57"/>
  <c r="AG126" i="57"/>
  <c r="AG1" i="57"/>
  <c r="AE2" i="57"/>
  <c r="AD118" i="57"/>
  <c r="AD117" i="57"/>
  <c r="AD116" i="57"/>
  <c r="AD96" i="57"/>
  <c r="AD95" i="57"/>
  <c r="AD105" i="57"/>
  <c r="AD104" i="57"/>
  <c r="AD99" i="57"/>
  <c r="AD100" i="57"/>
  <c r="AD98" i="57"/>
  <c r="AD97" i="57"/>
  <c r="AD107" i="57"/>
  <c r="AE140" i="57"/>
  <c r="AE138" i="57"/>
  <c r="AE137" i="57"/>
  <c r="AE135" i="57"/>
  <c r="AE136" i="57"/>
  <c r="AE134" i="57"/>
  <c r="AE139" i="57"/>
  <c r="AC74" i="57"/>
  <c r="AC75" i="57" s="1"/>
  <c r="AD71" i="57"/>
  <c r="AD80" i="57"/>
  <c r="AD81" i="57"/>
  <c r="AD62" i="57"/>
  <c r="AE67" i="57"/>
  <c r="AE65" i="57"/>
  <c r="AE66" i="57" s="1"/>
  <c r="AE61" i="57"/>
  <c r="AE63" i="57"/>
  <c r="AE64" i="57" s="1"/>
  <c r="AH56" i="57"/>
  <c r="AE173" i="57"/>
  <c r="AE175" i="57" s="1"/>
  <c r="AE133" i="57"/>
  <c r="AF58" i="57"/>
  <c r="CI133" i="63" l="1"/>
  <c r="CI139" i="63" s="1"/>
  <c r="CI206" i="63"/>
  <c r="CI208" i="63" s="1"/>
  <c r="CI209" i="63" s="1"/>
  <c r="CI178" i="63"/>
  <c r="CJ172" i="63" s="1"/>
  <c r="CJ187" i="63"/>
  <c r="CK181" i="63" s="1"/>
  <c r="CJ137" i="63"/>
  <c r="AF158" i="57"/>
  <c r="AF57" i="57"/>
  <c r="AF198" i="57"/>
  <c r="AF161" i="57" s="1"/>
  <c r="AF197" i="57"/>
  <c r="AE68" i="57"/>
  <c r="AH126" i="57"/>
  <c r="AH1" i="57"/>
  <c r="AF2" i="57"/>
  <c r="AE117" i="57"/>
  <c r="AE118" i="57"/>
  <c r="AE116" i="57"/>
  <c r="AE104" i="57"/>
  <c r="AE95" i="57"/>
  <c r="AE96" i="57"/>
  <c r="AE105" i="57"/>
  <c r="AE100" i="57"/>
  <c r="AE97" i="57"/>
  <c r="AE98" i="57"/>
  <c r="AE99" i="57"/>
  <c r="AE107" i="57"/>
  <c r="AF138" i="57"/>
  <c r="AF139" i="57"/>
  <c r="AF137" i="57"/>
  <c r="AF134" i="57"/>
  <c r="AF140" i="57"/>
  <c r="AF135" i="57"/>
  <c r="AF136" i="57"/>
  <c r="AD74" i="57"/>
  <c r="AD75" i="57" s="1"/>
  <c r="AE71" i="57"/>
  <c r="AF159" i="57"/>
  <c r="AE80" i="57"/>
  <c r="AE81" i="57"/>
  <c r="AE62" i="57"/>
  <c r="AF61" i="57"/>
  <c r="AF65" i="57"/>
  <c r="AF66" i="57" s="1"/>
  <c r="AF67" i="57"/>
  <c r="AF63" i="57"/>
  <c r="AF64" i="57" s="1"/>
  <c r="AI56" i="57"/>
  <c r="AF189" i="57"/>
  <c r="AF157" i="57" s="1"/>
  <c r="AF173" i="57"/>
  <c r="AF175" i="57" s="1"/>
  <c r="AF133" i="57"/>
  <c r="AG58" i="57"/>
  <c r="CI159" i="63" l="1"/>
  <c r="CJ174" i="63"/>
  <c r="CJ175" i="63" s="1"/>
  <c r="CK183" i="63"/>
  <c r="AG158" i="57"/>
  <c r="AG57" i="57"/>
  <c r="AG198" i="57"/>
  <c r="AG161" i="57" s="1"/>
  <c r="AG197" i="57"/>
  <c r="AF68" i="57"/>
  <c r="AI126" i="57"/>
  <c r="AI1" i="57"/>
  <c r="AG2" i="57"/>
  <c r="AF117" i="57"/>
  <c r="AF118" i="57"/>
  <c r="AF116" i="57"/>
  <c r="AF104" i="57"/>
  <c r="AF95" i="57"/>
  <c r="AF105" i="57"/>
  <c r="AF96" i="57"/>
  <c r="AF98" i="57"/>
  <c r="AF97" i="57"/>
  <c r="AF100" i="57"/>
  <c r="AF99" i="57"/>
  <c r="AF107" i="57"/>
  <c r="AG140" i="57"/>
  <c r="AG138" i="57"/>
  <c r="AG135" i="57"/>
  <c r="AG136" i="57"/>
  <c r="AG139" i="57"/>
  <c r="AG137" i="57"/>
  <c r="AG134" i="57"/>
  <c r="AE74" i="57"/>
  <c r="AE75" i="57" s="1"/>
  <c r="AF71" i="57"/>
  <c r="AG159" i="57"/>
  <c r="AF81" i="57"/>
  <c r="AF80" i="57"/>
  <c r="AF62" i="57"/>
  <c r="AG61" i="57"/>
  <c r="AG63" i="57"/>
  <c r="AG64" i="57" s="1"/>
  <c r="AG67" i="57"/>
  <c r="AG65" i="57"/>
  <c r="AG66" i="57" s="1"/>
  <c r="AJ56" i="57"/>
  <c r="AG189" i="57"/>
  <c r="AG157" i="57" s="1"/>
  <c r="AG173" i="57"/>
  <c r="AG175" i="57" s="1"/>
  <c r="AH58" i="57"/>
  <c r="AG133" i="57"/>
  <c r="CI141" i="63" l="1"/>
  <c r="CK184" i="63"/>
  <c r="AH158" i="57"/>
  <c r="AH57" i="57"/>
  <c r="AH197" i="57"/>
  <c r="AH198" i="57"/>
  <c r="AH161" i="57" s="1"/>
  <c r="AG68" i="57"/>
  <c r="AJ126" i="57"/>
  <c r="AJ1" i="57"/>
  <c r="AH2" i="57"/>
  <c r="AG117" i="57"/>
  <c r="AG118" i="57"/>
  <c r="AG116" i="57"/>
  <c r="AG104" i="57"/>
  <c r="AG96" i="57"/>
  <c r="AG95" i="57"/>
  <c r="AG98" i="57"/>
  <c r="AG105" i="57"/>
  <c r="AG100" i="57"/>
  <c r="AG97" i="57"/>
  <c r="AG99" i="57"/>
  <c r="AG107" i="57"/>
  <c r="AH138" i="57"/>
  <c r="AH140" i="57"/>
  <c r="AH135" i="57"/>
  <c r="AH136" i="57"/>
  <c r="AH137" i="57"/>
  <c r="AH139" i="57"/>
  <c r="AH134" i="57"/>
  <c r="AF74" i="57"/>
  <c r="AF75" i="57" s="1"/>
  <c r="AG71" i="57"/>
  <c r="AH159" i="57"/>
  <c r="AG80" i="57"/>
  <c r="AG81" i="57"/>
  <c r="AG62" i="57"/>
  <c r="AH61" i="57"/>
  <c r="AH67" i="57"/>
  <c r="AH65" i="57"/>
  <c r="AH66" i="57" s="1"/>
  <c r="AH63" i="57"/>
  <c r="AH64" i="57" s="1"/>
  <c r="AK56" i="57"/>
  <c r="AH189" i="57"/>
  <c r="AH157" i="57" s="1"/>
  <c r="AH173" i="57"/>
  <c r="AH175" i="57" s="1"/>
  <c r="AI58" i="57"/>
  <c r="AH133" i="57"/>
  <c r="CJ133" i="63" l="1"/>
  <c r="CJ139" i="63" s="1"/>
  <c r="CJ206" i="63"/>
  <c r="CJ208" i="63" s="1"/>
  <c r="CJ209" i="63" s="1"/>
  <c r="CJ178" i="63"/>
  <c r="CK172" i="63" s="1"/>
  <c r="CK174" i="63" s="1"/>
  <c r="CK175" i="63" s="1"/>
  <c r="CK185" i="63"/>
  <c r="CK187" i="63" s="1"/>
  <c r="CL181" i="63" s="1"/>
  <c r="AI158" i="57"/>
  <c r="AI57" i="57"/>
  <c r="AI197" i="57"/>
  <c r="AI198" i="57"/>
  <c r="AI161" i="57" s="1"/>
  <c r="AH68" i="57"/>
  <c r="AK126" i="57"/>
  <c r="AK1" i="57"/>
  <c r="AI2" i="57"/>
  <c r="AH117" i="57"/>
  <c r="AH118" i="57"/>
  <c r="AH116" i="57"/>
  <c r="AH98" i="57"/>
  <c r="AH96" i="57"/>
  <c r="AH105" i="57"/>
  <c r="AH104" i="57"/>
  <c r="AH95" i="57"/>
  <c r="AH100" i="57"/>
  <c r="AH99" i="57"/>
  <c r="AH97" i="57"/>
  <c r="AH107" i="57"/>
  <c r="AI139" i="57"/>
  <c r="AI140" i="57"/>
  <c r="AI137" i="57"/>
  <c r="AI136" i="57"/>
  <c r="AI138" i="57"/>
  <c r="AI134" i="57"/>
  <c r="AI135" i="57"/>
  <c r="AG74" i="57"/>
  <c r="AG75" i="57" s="1"/>
  <c r="AH71" i="57"/>
  <c r="AI159" i="57"/>
  <c r="AH80" i="57"/>
  <c r="AH81" i="57"/>
  <c r="AH62" i="57"/>
  <c r="AI67" i="57"/>
  <c r="AI65" i="57"/>
  <c r="AI66" i="57" s="1"/>
  <c r="AI61" i="57"/>
  <c r="AI63" i="57"/>
  <c r="AI64" i="57" s="1"/>
  <c r="AL56" i="57"/>
  <c r="AI189" i="57"/>
  <c r="AI157" i="57" s="1"/>
  <c r="AI173" i="57"/>
  <c r="AI175" i="57" s="1"/>
  <c r="AI133" i="57"/>
  <c r="AJ58" i="57"/>
  <c r="CJ159" i="63" l="1"/>
  <c r="CL183" i="63"/>
  <c r="CL184" i="63" s="1"/>
  <c r="CK137" i="63"/>
  <c r="AJ158" i="57"/>
  <c r="AJ57" i="57"/>
  <c r="AJ198" i="57"/>
  <c r="AJ161" i="57" s="1"/>
  <c r="AJ197" i="57"/>
  <c r="AI68" i="57"/>
  <c r="AL126" i="57"/>
  <c r="AL1" i="57"/>
  <c r="AJ2" i="57"/>
  <c r="AI118" i="57"/>
  <c r="AI117" i="57"/>
  <c r="AI116" i="57"/>
  <c r="AI104" i="57"/>
  <c r="AI95" i="57"/>
  <c r="AI98" i="57"/>
  <c r="AI96" i="57"/>
  <c r="AI105" i="57"/>
  <c r="AI97" i="57"/>
  <c r="AI100" i="57"/>
  <c r="AI99" i="57"/>
  <c r="AI107" i="57"/>
  <c r="AJ139" i="57"/>
  <c r="AJ138" i="57"/>
  <c r="AJ136" i="57"/>
  <c r="AJ137" i="57"/>
  <c r="AJ140" i="57"/>
  <c r="AJ135" i="57"/>
  <c r="AJ134" i="57"/>
  <c r="AH74" i="57"/>
  <c r="AH75" i="57" s="1"/>
  <c r="AI71" i="57"/>
  <c r="AJ159" i="57"/>
  <c r="AI81" i="57"/>
  <c r="AI80" i="57"/>
  <c r="AI62" i="57"/>
  <c r="AJ67" i="57"/>
  <c r="AJ65" i="57"/>
  <c r="AJ66" i="57" s="1"/>
  <c r="AJ63" i="57"/>
  <c r="AJ64" i="57" s="1"/>
  <c r="AJ61" i="57"/>
  <c r="AM56" i="57"/>
  <c r="AJ189" i="57"/>
  <c r="AJ157" i="57" s="1"/>
  <c r="AJ173" i="57"/>
  <c r="AJ175" i="57" s="1"/>
  <c r="AJ133" i="57"/>
  <c r="AK58" i="57"/>
  <c r="CJ141" i="63" l="1"/>
  <c r="CK178" i="63"/>
  <c r="CL172" i="63" s="1"/>
  <c r="CK133" i="63"/>
  <c r="CK159" i="63" s="1"/>
  <c r="CK206" i="63"/>
  <c r="CK208" i="63" s="1"/>
  <c r="CK209" i="63" s="1"/>
  <c r="CL185" i="63"/>
  <c r="CL137" i="63" s="1"/>
  <c r="AK158" i="57"/>
  <c r="AK57" i="57"/>
  <c r="AK198" i="57"/>
  <c r="AK161" i="57" s="1"/>
  <c r="AK197" i="57"/>
  <c r="AJ68" i="57"/>
  <c r="AM126" i="57"/>
  <c r="AM1" i="57"/>
  <c r="AK2" i="57"/>
  <c r="AJ118" i="57"/>
  <c r="AJ117" i="57"/>
  <c r="AJ116" i="57"/>
  <c r="AJ104" i="57"/>
  <c r="AJ96" i="57"/>
  <c r="AJ105" i="57"/>
  <c r="AJ95" i="57"/>
  <c r="AJ98" i="57"/>
  <c r="AJ99" i="57"/>
  <c r="AJ100" i="57"/>
  <c r="AJ97" i="57"/>
  <c r="AJ107" i="57"/>
  <c r="AK139" i="57"/>
  <c r="AK140" i="57"/>
  <c r="AK138" i="57"/>
  <c r="AK136" i="57"/>
  <c r="AK137" i="57"/>
  <c r="AK134" i="57"/>
  <c r="AK135" i="57"/>
  <c r="AI74" i="57"/>
  <c r="AI75" i="57" s="1"/>
  <c r="AJ71" i="57"/>
  <c r="AK159" i="57"/>
  <c r="AJ80" i="57"/>
  <c r="AJ81" i="57"/>
  <c r="AJ62" i="57"/>
  <c r="AK65" i="57"/>
  <c r="AK66" i="57" s="1"/>
  <c r="AK63" i="57"/>
  <c r="AK64" i="57" s="1"/>
  <c r="AK61" i="57"/>
  <c r="AK67" i="57"/>
  <c r="AN56" i="57"/>
  <c r="AK189" i="57"/>
  <c r="AK157" i="57" s="1"/>
  <c r="AK173" i="57"/>
  <c r="AK175" i="57" s="1"/>
  <c r="AK133" i="57"/>
  <c r="AL58" i="57"/>
  <c r="CK139" i="63" l="1"/>
  <c r="CK141" i="63" s="1"/>
  <c r="CL174" i="63"/>
  <c r="CL175" i="63" s="1"/>
  <c r="CL187" i="63"/>
  <c r="CM181" i="63" s="1"/>
  <c r="CM183" i="63" s="1"/>
  <c r="CM184" i="63" s="1"/>
  <c r="AL158" i="57"/>
  <c r="AL57" i="57"/>
  <c r="AL198" i="57"/>
  <c r="AL197" i="57"/>
  <c r="AK68" i="57"/>
  <c r="AN126" i="57"/>
  <c r="AN1" i="57"/>
  <c r="AL2" i="57"/>
  <c r="AK118" i="57"/>
  <c r="AK117" i="57"/>
  <c r="AK116" i="57"/>
  <c r="AK104" i="57"/>
  <c r="AK96" i="57"/>
  <c r="AK105" i="57"/>
  <c r="AK95" i="57"/>
  <c r="AK99" i="57"/>
  <c r="AK97" i="57"/>
  <c r="AK98" i="57"/>
  <c r="AK100" i="57"/>
  <c r="AK107" i="57"/>
  <c r="AL140" i="57"/>
  <c r="AL137" i="57"/>
  <c r="AL135" i="57"/>
  <c r="AL134" i="57"/>
  <c r="AL138" i="57"/>
  <c r="AL136" i="57"/>
  <c r="AL139" i="57"/>
  <c r="AJ74" i="57"/>
  <c r="AJ75" i="57" s="1"/>
  <c r="AK71" i="57"/>
  <c r="AL159" i="57"/>
  <c r="AK80" i="57"/>
  <c r="AK81" i="57"/>
  <c r="AK62" i="57"/>
  <c r="AL63" i="57"/>
  <c r="AL64" i="57" s="1"/>
  <c r="AL61" i="57"/>
  <c r="AL67" i="57"/>
  <c r="AL65" i="57"/>
  <c r="AL66" i="57" s="1"/>
  <c r="AO56" i="57"/>
  <c r="AL189" i="57"/>
  <c r="AL173" i="57"/>
  <c r="AL133" i="57"/>
  <c r="AM58" i="57"/>
  <c r="CM185" i="63" l="1"/>
  <c r="CM187" i="63" s="1"/>
  <c r="CN181" i="63" s="1"/>
  <c r="AM158" i="57"/>
  <c r="AM57" i="57"/>
  <c r="AL175" i="57"/>
  <c r="AL157" i="57"/>
  <c r="AL161" i="57"/>
  <c r="AM198" i="57"/>
  <c r="AM161" i="57" s="1"/>
  <c r="AM197" i="57"/>
  <c r="AL68" i="57"/>
  <c r="AO126" i="57"/>
  <c r="AO1" i="57"/>
  <c r="AM2" i="57"/>
  <c r="AL118" i="57"/>
  <c r="AL117" i="57"/>
  <c r="AL116" i="57"/>
  <c r="AL96" i="57"/>
  <c r="AL105" i="57"/>
  <c r="AL104" i="57"/>
  <c r="AL95" i="57"/>
  <c r="AL100" i="57"/>
  <c r="AL97" i="57"/>
  <c r="AL98" i="57"/>
  <c r="AL99" i="57"/>
  <c r="AL107" i="57"/>
  <c r="AM140" i="57"/>
  <c r="AM137" i="57"/>
  <c r="AM135" i="57"/>
  <c r="AM136" i="57"/>
  <c r="AM139" i="57"/>
  <c r="AM138" i="57"/>
  <c r="AM134" i="57"/>
  <c r="AK74" i="57"/>
  <c r="AK75" i="57" s="1"/>
  <c r="AL71" i="57"/>
  <c r="AM159" i="57"/>
  <c r="AL80" i="57"/>
  <c r="AL81" i="57"/>
  <c r="AL62" i="57"/>
  <c r="AM67" i="57"/>
  <c r="AM65" i="57"/>
  <c r="AM66" i="57" s="1"/>
  <c r="AM61" i="57"/>
  <c r="AM63" i="57"/>
  <c r="AM64" i="57" s="1"/>
  <c r="AP56" i="57"/>
  <c r="AM189" i="57"/>
  <c r="AM157" i="57" s="1"/>
  <c r="AM173" i="57"/>
  <c r="AM175" i="57" s="1"/>
  <c r="AM133" i="57"/>
  <c r="AN58" i="57"/>
  <c r="CL133" i="63" l="1"/>
  <c r="CL139" i="63" s="1"/>
  <c r="CL206" i="63"/>
  <c r="CL208" i="63" s="1"/>
  <c r="CL209" i="63" s="1"/>
  <c r="CL178" i="63"/>
  <c r="CM172" i="63" s="1"/>
  <c r="CN183" i="63"/>
  <c r="CN184" i="63" s="1"/>
  <c r="CM137" i="63"/>
  <c r="AN158" i="57"/>
  <c r="AN57" i="57"/>
  <c r="AN198" i="57"/>
  <c r="AN197" i="57"/>
  <c r="AM68" i="57"/>
  <c r="AP126" i="57"/>
  <c r="AP1" i="57"/>
  <c r="AN2" i="57"/>
  <c r="AM117" i="57"/>
  <c r="AM118" i="57"/>
  <c r="AM116" i="57"/>
  <c r="AM95" i="57"/>
  <c r="AM96" i="57"/>
  <c r="AM105" i="57"/>
  <c r="AM104" i="57"/>
  <c r="AM98" i="57"/>
  <c r="AM100" i="57"/>
  <c r="AM99" i="57"/>
  <c r="AM97" i="57"/>
  <c r="AM107" i="57"/>
  <c r="AN140" i="57"/>
  <c r="AN138" i="57"/>
  <c r="AN134" i="57"/>
  <c r="AN139" i="57"/>
  <c r="AN137" i="57"/>
  <c r="AN135" i="57"/>
  <c r="AN136" i="57"/>
  <c r="AL74" i="57"/>
  <c r="AL75" i="57" s="1"/>
  <c r="AM71" i="57"/>
  <c r="AN159" i="57"/>
  <c r="AM80" i="57"/>
  <c r="AM81" i="57"/>
  <c r="AM62" i="57"/>
  <c r="AN61" i="57"/>
  <c r="AN65" i="57"/>
  <c r="AN66" i="57" s="1"/>
  <c r="AN67" i="57"/>
  <c r="AN63" i="57"/>
  <c r="AN64" i="57" s="1"/>
  <c r="AQ56" i="57"/>
  <c r="AN189" i="57"/>
  <c r="AN173" i="57"/>
  <c r="AN175" i="57" s="1"/>
  <c r="AN133" i="57"/>
  <c r="AO58" i="57"/>
  <c r="CL141" i="63" l="1"/>
  <c r="CL159" i="63"/>
  <c r="CM174" i="63"/>
  <c r="CM175" i="63" s="1"/>
  <c r="CN185" i="63"/>
  <c r="CN137" i="63" s="1"/>
  <c r="AO158" i="57"/>
  <c r="AO57" i="57"/>
  <c r="AN161" i="57"/>
  <c r="AN157" i="57"/>
  <c r="AO198" i="57"/>
  <c r="AO161" i="57" s="1"/>
  <c r="AO197" i="57"/>
  <c r="AN68" i="57"/>
  <c r="AQ126" i="57"/>
  <c r="AQ1" i="57"/>
  <c r="AO2" i="57"/>
  <c r="AN117" i="57"/>
  <c r="AN118" i="57"/>
  <c r="AN116" i="57"/>
  <c r="AN95" i="57"/>
  <c r="AN105" i="57"/>
  <c r="AN96" i="57"/>
  <c r="AN104" i="57"/>
  <c r="AN98" i="57"/>
  <c r="AN100" i="57"/>
  <c r="AN97" i="57"/>
  <c r="AN99" i="57"/>
  <c r="AN107" i="57"/>
  <c r="AO138" i="57"/>
  <c r="AO140" i="57"/>
  <c r="AO135" i="57"/>
  <c r="AO137" i="57"/>
  <c r="AO139" i="57"/>
  <c r="AO136" i="57"/>
  <c r="AO134" i="57"/>
  <c r="AM74" i="57"/>
  <c r="AM75" i="57" s="1"/>
  <c r="AN71" i="57"/>
  <c r="AO159" i="57"/>
  <c r="AN80" i="57"/>
  <c r="AN81" i="57"/>
  <c r="AN62" i="57"/>
  <c r="AO61" i="57"/>
  <c r="AO67" i="57"/>
  <c r="AO65" i="57"/>
  <c r="AO66" i="57" s="1"/>
  <c r="AO63" i="57"/>
  <c r="AO64" i="57" s="1"/>
  <c r="AR56" i="57"/>
  <c r="AO189" i="57"/>
  <c r="AO157" i="57" s="1"/>
  <c r="AO173" i="57"/>
  <c r="AO175" i="57" s="1"/>
  <c r="AP58" i="57"/>
  <c r="AO133" i="57"/>
  <c r="CM178" i="63" l="1"/>
  <c r="CN172" i="63" s="1"/>
  <c r="CM133" i="63"/>
  <c r="CM139" i="63" s="1"/>
  <c r="CM206" i="63"/>
  <c r="CM208" i="63" s="1"/>
  <c r="CM209" i="63" s="1"/>
  <c r="CN187" i="63"/>
  <c r="CO181" i="63" s="1"/>
  <c r="AP158" i="57"/>
  <c r="AP57" i="57"/>
  <c r="AP197" i="57"/>
  <c r="AP198" i="57"/>
  <c r="AP161" i="57" s="1"/>
  <c r="AO68" i="57"/>
  <c r="AR126" i="57"/>
  <c r="AR1" i="57"/>
  <c r="AP2" i="57"/>
  <c r="AO117" i="57"/>
  <c r="AO118" i="57"/>
  <c r="AO116" i="57"/>
  <c r="AO104" i="57"/>
  <c r="AO95" i="57"/>
  <c r="AO96" i="57"/>
  <c r="AO98" i="57"/>
  <c r="AO105" i="57"/>
  <c r="AO97" i="57"/>
  <c r="AO99" i="57"/>
  <c r="AO100" i="57"/>
  <c r="AO107" i="57"/>
  <c r="AP135" i="57"/>
  <c r="AP138" i="57"/>
  <c r="AP139" i="57"/>
  <c r="AP136" i="57"/>
  <c r="AP140" i="57"/>
  <c r="AP137" i="57"/>
  <c r="AP134" i="57"/>
  <c r="AN74" i="57"/>
  <c r="AN75" i="57" s="1"/>
  <c r="AO71" i="57"/>
  <c r="AO80" i="57"/>
  <c r="AO81" i="57"/>
  <c r="AO62" i="57"/>
  <c r="AP61" i="57"/>
  <c r="AP67" i="57"/>
  <c r="AP65" i="57"/>
  <c r="AP66" i="57" s="1"/>
  <c r="AP63" i="57"/>
  <c r="AP64" i="57" s="1"/>
  <c r="AS56" i="57"/>
  <c r="AP173" i="57"/>
  <c r="AP175" i="57" s="1"/>
  <c r="AQ58" i="57"/>
  <c r="AQ57" i="57" s="1"/>
  <c r="AP133" i="57"/>
  <c r="CM159" i="63" l="1"/>
  <c r="CM141" i="63"/>
  <c r="CN174" i="63"/>
  <c r="CN175" i="63" s="1"/>
  <c r="CO183" i="63"/>
  <c r="CO184" i="63" s="1"/>
  <c r="AQ198" i="57"/>
  <c r="AQ161" i="57" s="1"/>
  <c r="AQ197" i="57"/>
  <c r="AP68" i="57"/>
  <c r="AS126" i="57"/>
  <c r="AS1" i="57"/>
  <c r="AQ2" i="57"/>
  <c r="AP117" i="57"/>
  <c r="AP118" i="57"/>
  <c r="AP116" i="57"/>
  <c r="AP95" i="57"/>
  <c r="AP96" i="57"/>
  <c r="AP105" i="57"/>
  <c r="AP104" i="57"/>
  <c r="AP98" i="57"/>
  <c r="AP99" i="57"/>
  <c r="AP97" i="57"/>
  <c r="AP100" i="57"/>
  <c r="AP107" i="57"/>
  <c r="AQ138" i="57"/>
  <c r="AQ139" i="57"/>
  <c r="AQ140" i="57"/>
  <c r="AQ135" i="57"/>
  <c r="AQ136" i="57"/>
  <c r="AQ134" i="57"/>
  <c r="AQ137" i="57"/>
  <c r="AO74" i="57"/>
  <c r="AO75" i="57" s="1"/>
  <c r="AP71" i="57"/>
  <c r="AP80" i="57"/>
  <c r="AP81" i="57"/>
  <c r="AP62" i="57"/>
  <c r="AQ67" i="57"/>
  <c r="AQ65" i="57"/>
  <c r="AQ66" i="57" s="1"/>
  <c r="AQ61" i="57"/>
  <c r="AQ63" i="57"/>
  <c r="AQ64" i="57" s="1"/>
  <c r="AT56" i="57"/>
  <c r="AQ173" i="57"/>
  <c r="AQ175" i="57" s="1"/>
  <c r="AQ133" i="57"/>
  <c r="AR58" i="57"/>
  <c r="CN133" i="63" l="1"/>
  <c r="CN139" i="63" s="1"/>
  <c r="CN206" i="63"/>
  <c r="CN208" i="63" s="1"/>
  <c r="CN209" i="63" s="1"/>
  <c r="CN178" i="63"/>
  <c r="CO172" i="63" s="1"/>
  <c r="CO185" i="63"/>
  <c r="CO137" i="63" s="1"/>
  <c r="AR158" i="57"/>
  <c r="AR57" i="57"/>
  <c r="AR198" i="57"/>
  <c r="AR197" i="57"/>
  <c r="AQ68" i="57"/>
  <c r="AT126" i="57"/>
  <c r="AT1" i="57"/>
  <c r="AR2" i="57"/>
  <c r="AQ118" i="57"/>
  <c r="AQ117" i="57"/>
  <c r="AQ116" i="57"/>
  <c r="AQ104" i="57"/>
  <c r="AQ95" i="57"/>
  <c r="AQ105" i="57"/>
  <c r="AQ96" i="57"/>
  <c r="AQ100" i="57"/>
  <c r="AQ98" i="57"/>
  <c r="AQ99" i="57"/>
  <c r="AQ97" i="57"/>
  <c r="AQ107" i="57"/>
  <c r="AR139" i="57"/>
  <c r="AR136" i="57"/>
  <c r="AR137" i="57"/>
  <c r="AR134" i="57"/>
  <c r="AR135" i="57"/>
  <c r="AR138" i="57"/>
  <c r="AR140" i="57"/>
  <c r="AP74" i="57"/>
  <c r="AP75" i="57" s="1"/>
  <c r="AQ71" i="57"/>
  <c r="AR159" i="57"/>
  <c r="AQ81" i="57"/>
  <c r="AQ80" i="57"/>
  <c r="AQ62" i="57"/>
  <c r="AR67" i="57"/>
  <c r="AR65" i="57"/>
  <c r="AR66" i="57" s="1"/>
  <c r="AR63" i="57"/>
  <c r="AR64" i="57" s="1"/>
  <c r="AR61" i="57"/>
  <c r="AU56" i="57"/>
  <c r="AR189" i="57"/>
  <c r="AR157" i="57" s="1"/>
  <c r="AR173" i="57"/>
  <c r="AR175" i="57" s="1"/>
  <c r="AR133" i="57"/>
  <c r="AS58" i="57"/>
  <c r="CN141" i="63" l="1"/>
  <c r="CN159" i="63"/>
  <c r="CO174" i="63"/>
  <c r="CO175" i="63" s="1"/>
  <c r="CO187" i="63"/>
  <c r="CP181" i="63" s="1"/>
  <c r="AS158" i="57"/>
  <c r="AS57" i="57"/>
  <c r="AR161" i="57"/>
  <c r="AS188" i="57"/>
  <c r="AS198" i="57"/>
  <c r="AS161" i="57" s="1"/>
  <c r="AS197" i="57"/>
  <c r="AR68" i="57"/>
  <c r="AU126" i="57"/>
  <c r="AU1" i="57"/>
  <c r="AS2" i="57"/>
  <c r="AR118" i="57"/>
  <c r="AR117" i="57"/>
  <c r="AR116" i="57"/>
  <c r="AR105" i="57"/>
  <c r="AR96" i="57"/>
  <c r="AR95" i="57"/>
  <c r="AR104" i="57"/>
  <c r="AR99" i="57"/>
  <c r="AR100" i="57"/>
  <c r="AR98" i="57"/>
  <c r="AR97" i="57"/>
  <c r="AR107" i="57"/>
  <c r="AS140" i="57"/>
  <c r="AS138" i="57"/>
  <c r="AS134" i="57"/>
  <c r="AS136" i="57"/>
  <c r="AS139" i="57"/>
  <c r="AS137" i="57"/>
  <c r="AS135" i="57"/>
  <c r="AQ74" i="57"/>
  <c r="AQ75" i="57" s="1"/>
  <c r="AR71" i="57"/>
  <c r="AS159" i="57"/>
  <c r="AR80" i="57"/>
  <c r="AR81" i="57"/>
  <c r="AR62" i="57"/>
  <c r="AS65" i="57"/>
  <c r="AS66" i="57" s="1"/>
  <c r="AS63" i="57"/>
  <c r="AS64" i="57" s="1"/>
  <c r="AS61" i="57"/>
  <c r="AS67" i="57"/>
  <c r="AV56" i="57"/>
  <c r="AS189" i="57"/>
  <c r="AS157" i="57" s="1"/>
  <c r="AS173" i="57"/>
  <c r="AS175" i="57" s="1"/>
  <c r="AS133" i="57"/>
  <c r="AT58" i="57"/>
  <c r="CO178" i="63" l="1"/>
  <c r="CP172" i="63" s="1"/>
  <c r="CO133" i="63"/>
  <c r="CO139" i="63" s="1"/>
  <c r="CO206" i="63"/>
  <c r="CO208" i="63" s="1"/>
  <c r="CO209" i="63" s="1"/>
  <c r="CP183" i="63"/>
  <c r="CP184" i="63" s="1"/>
  <c r="AT158" i="57"/>
  <c r="AT57" i="57"/>
  <c r="AT188" i="57"/>
  <c r="AT198" i="57"/>
  <c r="AT161" i="57" s="1"/>
  <c r="AT197" i="57"/>
  <c r="AS68" i="57"/>
  <c r="AV126" i="57"/>
  <c r="AV1" i="57"/>
  <c r="AT2" i="57"/>
  <c r="AS118" i="57"/>
  <c r="AS117" i="57"/>
  <c r="AS116" i="57"/>
  <c r="AS96" i="57"/>
  <c r="AS104" i="57"/>
  <c r="AS105" i="57"/>
  <c r="AS99" i="57"/>
  <c r="AS95" i="57"/>
  <c r="AS98" i="57"/>
  <c r="AS97" i="57"/>
  <c r="AS100" i="57"/>
  <c r="AS107" i="57"/>
  <c r="AT140" i="57"/>
  <c r="AT139" i="57"/>
  <c r="AT137" i="57"/>
  <c r="AT138" i="57"/>
  <c r="AT134" i="57"/>
  <c r="AT135" i="57"/>
  <c r="AT136" i="57"/>
  <c r="AR74" i="57"/>
  <c r="AR75" i="57" s="1"/>
  <c r="AS71" i="57"/>
  <c r="AT159" i="57"/>
  <c r="AS81" i="57"/>
  <c r="AS80" i="57"/>
  <c r="AS62" i="57"/>
  <c r="AT63" i="57"/>
  <c r="AT64" i="57" s="1"/>
  <c r="AT61" i="57"/>
  <c r="AT67" i="57"/>
  <c r="AT65" i="57"/>
  <c r="AT66" i="57" s="1"/>
  <c r="AW56" i="57"/>
  <c r="AT189" i="57"/>
  <c r="AT157" i="57" s="1"/>
  <c r="AT173" i="57"/>
  <c r="AT175" i="57" s="1"/>
  <c r="AT133" i="57"/>
  <c r="AU58" i="57"/>
  <c r="CO159" i="63" l="1"/>
  <c r="CO141" i="63"/>
  <c r="CP174" i="63"/>
  <c r="CP185" i="63"/>
  <c r="CP137" i="63" s="1"/>
  <c r="AU158" i="57"/>
  <c r="AU57" i="57"/>
  <c r="AU188" i="57"/>
  <c r="AU198" i="57"/>
  <c r="AU161" i="57" s="1"/>
  <c r="AU197" i="57"/>
  <c r="AT68" i="57"/>
  <c r="AW126" i="57"/>
  <c r="AW1" i="57"/>
  <c r="AU2" i="57"/>
  <c r="AT118" i="57"/>
  <c r="AT117" i="57"/>
  <c r="AT116" i="57"/>
  <c r="AT105" i="57"/>
  <c r="AT104" i="57"/>
  <c r="AT96" i="57"/>
  <c r="AT95" i="57"/>
  <c r="AT97" i="57"/>
  <c r="AT98" i="57"/>
  <c r="AT99" i="57"/>
  <c r="AT100" i="57"/>
  <c r="AT107" i="57"/>
  <c r="AU139" i="57"/>
  <c r="AU135" i="57"/>
  <c r="AU136" i="57"/>
  <c r="AU137" i="57"/>
  <c r="AU134" i="57"/>
  <c r="AU138" i="57"/>
  <c r="AU140" i="57"/>
  <c r="AS74" i="57"/>
  <c r="AS75" i="57" s="1"/>
  <c r="AT71" i="57"/>
  <c r="AU159" i="57"/>
  <c r="AT81" i="57"/>
  <c r="AT80" i="57"/>
  <c r="AT62" i="57"/>
  <c r="AU67" i="57"/>
  <c r="AU65" i="57"/>
  <c r="AU66" i="57" s="1"/>
  <c r="AU61" i="57"/>
  <c r="AU63" i="57"/>
  <c r="AU64" i="57" s="1"/>
  <c r="AX56" i="57"/>
  <c r="AU189" i="57"/>
  <c r="AU157" i="57" s="1"/>
  <c r="AU173" i="57"/>
  <c r="AU175" i="57" s="1"/>
  <c r="AU133" i="57"/>
  <c r="AV58" i="57"/>
  <c r="CP175" i="63" l="1"/>
  <c r="CP133" i="63" s="1"/>
  <c r="CP139" i="63" s="1"/>
  <c r="CP187" i="63"/>
  <c r="CQ181" i="63" s="1"/>
  <c r="AV158" i="57"/>
  <c r="AV57" i="57"/>
  <c r="AV188" i="57"/>
  <c r="AV198" i="57"/>
  <c r="AV161" i="57" s="1"/>
  <c r="AV197" i="57"/>
  <c r="AU68" i="57"/>
  <c r="AX126" i="57"/>
  <c r="AX1" i="57"/>
  <c r="AV2" i="57"/>
  <c r="AU117" i="57"/>
  <c r="AU118" i="57"/>
  <c r="AU116" i="57"/>
  <c r="AU95" i="57"/>
  <c r="AU96" i="57"/>
  <c r="AU105" i="57"/>
  <c r="AU104" i="57"/>
  <c r="AU100" i="57"/>
  <c r="AU99" i="57"/>
  <c r="AU97" i="57"/>
  <c r="AU98" i="57"/>
  <c r="AU107" i="57"/>
  <c r="AV140" i="57"/>
  <c r="AV138" i="57"/>
  <c r="AV139" i="57"/>
  <c r="AV137" i="57"/>
  <c r="AV134" i="57"/>
  <c r="AV135" i="57"/>
  <c r="AV136" i="57"/>
  <c r="AT74" i="57"/>
  <c r="AT75" i="57" s="1"/>
  <c r="AU71" i="57"/>
  <c r="AV159" i="57"/>
  <c r="AU80" i="57"/>
  <c r="AU81" i="57"/>
  <c r="AU62" i="57"/>
  <c r="AV61" i="57"/>
  <c r="AV67" i="57"/>
  <c r="AV65" i="57"/>
  <c r="AV66" i="57" s="1"/>
  <c r="AV63" i="57"/>
  <c r="AV64" i="57" s="1"/>
  <c r="AY56" i="57"/>
  <c r="AV189" i="57"/>
  <c r="AV157" i="57" s="1"/>
  <c r="AV173" i="57"/>
  <c r="AV175" i="57" s="1"/>
  <c r="AV133" i="57"/>
  <c r="AW58" i="57"/>
  <c r="CP206" i="63" l="1"/>
  <c r="CP208" i="63" s="1"/>
  <c r="CP209" i="63" s="1"/>
  <c r="CP178" i="63"/>
  <c r="CQ172" i="63" s="1"/>
  <c r="CQ174" i="63" s="1"/>
  <c r="CP141" i="63"/>
  <c r="CP159" i="63"/>
  <c r="CQ175" i="63"/>
  <c r="CQ178" i="63" s="1"/>
  <c r="CR172" i="63" s="1"/>
  <c r="CR174" i="63" s="1"/>
  <c r="CQ183" i="63"/>
  <c r="CQ184" i="63" s="1"/>
  <c r="AW158" i="57"/>
  <c r="AW57" i="57"/>
  <c r="AW188" i="57"/>
  <c r="AW198" i="57"/>
  <c r="AW161" i="57" s="1"/>
  <c r="AW197" i="57"/>
  <c r="AV68" i="57"/>
  <c r="AY126" i="57"/>
  <c r="AY1" i="57"/>
  <c r="AW2" i="57"/>
  <c r="AV117" i="57"/>
  <c r="AV118" i="57"/>
  <c r="AV116" i="57"/>
  <c r="AV95" i="57"/>
  <c r="AV105" i="57"/>
  <c r="AV104" i="57"/>
  <c r="AV96" i="57"/>
  <c r="AV100" i="57"/>
  <c r="AV99" i="57"/>
  <c r="AV98" i="57"/>
  <c r="AV97" i="57"/>
  <c r="AV107" i="57"/>
  <c r="AW138" i="57"/>
  <c r="AW139" i="57"/>
  <c r="AW140" i="57"/>
  <c r="AW135" i="57"/>
  <c r="AW136" i="57"/>
  <c r="AW134" i="57"/>
  <c r="AW137" i="57"/>
  <c r="AU74" i="57"/>
  <c r="AU75" i="57" s="1"/>
  <c r="AV71" i="57"/>
  <c r="AW159" i="57"/>
  <c r="AV81" i="57"/>
  <c r="AV80" i="57"/>
  <c r="AV62" i="57"/>
  <c r="AW61" i="57"/>
  <c r="AW67" i="57"/>
  <c r="AW63" i="57"/>
  <c r="AW64" i="57" s="1"/>
  <c r="AW65" i="57"/>
  <c r="AW66" i="57" s="1"/>
  <c r="AZ56" i="57"/>
  <c r="AW189" i="57"/>
  <c r="AW157" i="57" s="1"/>
  <c r="AW173" i="57"/>
  <c r="AW175" i="57" s="1"/>
  <c r="AX58" i="57"/>
  <c r="AW133" i="57"/>
  <c r="CQ206" i="63" l="1"/>
  <c r="CQ208" i="63" s="1"/>
  <c r="CQ209" i="63" s="1"/>
  <c r="CR175" i="63"/>
  <c r="CR133" i="63" s="1"/>
  <c r="CQ133" i="63"/>
  <c r="CQ185" i="63"/>
  <c r="CQ137" i="63" s="1"/>
  <c r="CQ139" i="63" s="1"/>
  <c r="AX158" i="57"/>
  <c r="AX57" i="57"/>
  <c r="AX188" i="57"/>
  <c r="AX198" i="57"/>
  <c r="AX197" i="57"/>
  <c r="AW68" i="57"/>
  <c r="AZ126" i="57"/>
  <c r="AZ1" i="57"/>
  <c r="AX2" i="57"/>
  <c r="AW117" i="57"/>
  <c r="AW118" i="57"/>
  <c r="AW116" i="57"/>
  <c r="AW96" i="57"/>
  <c r="AW105" i="57"/>
  <c r="AW104" i="57"/>
  <c r="AW95" i="57"/>
  <c r="AW98" i="57"/>
  <c r="AW97" i="57"/>
  <c r="AW99" i="57"/>
  <c r="AW100" i="57"/>
  <c r="AW107" i="57"/>
  <c r="AX135" i="57"/>
  <c r="AX139" i="57"/>
  <c r="AX134" i="57"/>
  <c r="AX138" i="57"/>
  <c r="AX136" i="57"/>
  <c r="AX140" i="57"/>
  <c r="AX137" i="57"/>
  <c r="AV74" i="57"/>
  <c r="AV75" i="57" s="1"/>
  <c r="AW71" i="57"/>
  <c r="AX159" i="57"/>
  <c r="AW80" i="57"/>
  <c r="AW81" i="57"/>
  <c r="AW62" i="57"/>
  <c r="AX61" i="57"/>
  <c r="AX67" i="57"/>
  <c r="AX65" i="57"/>
  <c r="AX66" i="57" s="1"/>
  <c r="AX63" i="57"/>
  <c r="AX64" i="57" s="1"/>
  <c r="BA56" i="57"/>
  <c r="AX189" i="57"/>
  <c r="AX173" i="57"/>
  <c r="AY58" i="57"/>
  <c r="AX133" i="57"/>
  <c r="CR178" i="63" l="1"/>
  <c r="CS172" i="63" s="1"/>
  <c r="CS174" i="63" s="1"/>
  <c r="CQ141" i="63"/>
  <c r="CQ159" i="63"/>
  <c r="CQ187" i="63"/>
  <c r="CR181" i="63" s="1"/>
  <c r="AY158" i="57"/>
  <c r="AY57" i="57"/>
  <c r="AX175" i="57"/>
  <c r="AX157" i="57"/>
  <c r="AX161" i="57"/>
  <c r="AY188" i="57"/>
  <c r="AY197" i="57"/>
  <c r="AY198" i="57"/>
  <c r="AY161" i="57" s="1"/>
  <c r="AX68" i="57"/>
  <c r="BA126" i="57"/>
  <c r="BA1" i="57"/>
  <c r="AY2" i="57"/>
  <c r="AX117" i="57"/>
  <c r="AX118" i="57"/>
  <c r="AX116" i="57"/>
  <c r="AX95" i="57"/>
  <c r="AX105" i="57"/>
  <c r="AX104" i="57"/>
  <c r="AX96" i="57"/>
  <c r="AX98" i="57"/>
  <c r="AX99" i="57"/>
  <c r="AX97" i="57"/>
  <c r="AX100" i="57"/>
  <c r="AX107" i="57"/>
  <c r="AY138" i="57"/>
  <c r="AY137" i="57"/>
  <c r="AY139" i="57"/>
  <c r="AY140" i="57"/>
  <c r="AY136" i="57"/>
  <c r="AY135" i="57"/>
  <c r="AY134" i="57"/>
  <c r="AW74" i="57"/>
  <c r="AW75" i="57" s="1"/>
  <c r="AX71" i="57"/>
  <c r="AY159" i="57"/>
  <c r="AX80" i="57"/>
  <c r="AX81" i="57"/>
  <c r="AX62" i="57"/>
  <c r="AY67" i="57"/>
  <c r="AY65" i="57"/>
  <c r="AY66" i="57" s="1"/>
  <c r="AY61" i="57"/>
  <c r="AY63" i="57"/>
  <c r="AY64" i="57" s="1"/>
  <c r="BB56" i="57"/>
  <c r="AY189" i="57"/>
  <c r="AY157" i="57" s="1"/>
  <c r="AY173" i="57"/>
  <c r="AY175" i="57" s="1"/>
  <c r="AY133" i="57"/>
  <c r="AZ58" i="57"/>
  <c r="CS175" i="63" l="1"/>
  <c r="CS133" i="63" s="1"/>
  <c r="CS178" i="63"/>
  <c r="CT172" i="63" s="1"/>
  <c r="CT174" i="63" s="1"/>
  <c r="CT175" i="63" s="1"/>
  <c r="CR183" i="63"/>
  <c r="CR184" i="63" s="1"/>
  <c r="CR206" i="63" s="1"/>
  <c r="CR208" i="63" s="1"/>
  <c r="CR209" i="63" s="1"/>
  <c r="AZ158" i="57"/>
  <c r="AZ57" i="57"/>
  <c r="AZ188" i="57"/>
  <c r="AZ197" i="57"/>
  <c r="AZ198" i="57"/>
  <c r="AY68" i="57"/>
  <c r="BB126" i="57"/>
  <c r="BB1" i="57"/>
  <c r="AZ2" i="57"/>
  <c r="AY118" i="57"/>
  <c r="AY117" i="57"/>
  <c r="AY116" i="57"/>
  <c r="AY95" i="57"/>
  <c r="AY96" i="57"/>
  <c r="AY105" i="57"/>
  <c r="AY104" i="57"/>
  <c r="AY98" i="57"/>
  <c r="AY99" i="57"/>
  <c r="AY100" i="57"/>
  <c r="AY97" i="57"/>
  <c r="AY107" i="57"/>
  <c r="AZ139" i="57"/>
  <c r="AZ136" i="57"/>
  <c r="AZ138" i="57"/>
  <c r="AZ140" i="57"/>
  <c r="AZ137" i="57"/>
  <c r="AZ134" i="57"/>
  <c r="AZ135" i="57"/>
  <c r="AX74" i="57"/>
  <c r="AX75" i="57" s="1"/>
  <c r="AY71" i="57"/>
  <c r="AZ159" i="57"/>
  <c r="AY81" i="57"/>
  <c r="AY80" i="57"/>
  <c r="AY62" i="57"/>
  <c r="AZ67" i="57"/>
  <c r="AZ65" i="57"/>
  <c r="AZ66" i="57" s="1"/>
  <c r="AZ63" i="57"/>
  <c r="AZ64" i="57" s="1"/>
  <c r="AZ61" i="57"/>
  <c r="BC56" i="57"/>
  <c r="AZ189" i="57"/>
  <c r="AZ173" i="57"/>
  <c r="AZ175" i="57" s="1"/>
  <c r="AZ133" i="57"/>
  <c r="BA58" i="57"/>
  <c r="CT178" i="63" l="1"/>
  <c r="CU172" i="63" s="1"/>
  <c r="CU174" i="63" s="1"/>
  <c r="CU175" i="63" s="1"/>
  <c r="CT133" i="63"/>
  <c r="CR185" i="63"/>
  <c r="CR137" i="63" s="1"/>
  <c r="CR139" i="63" s="1"/>
  <c r="BA158" i="57"/>
  <c r="BA57" i="57"/>
  <c r="AZ157" i="57"/>
  <c r="AZ161" i="57"/>
  <c r="BA188" i="57"/>
  <c r="BA198" i="57"/>
  <c r="BA161" i="57" s="1"/>
  <c r="BA197" i="57"/>
  <c r="AZ68" i="57"/>
  <c r="BC126" i="57"/>
  <c r="BC1" i="57"/>
  <c r="BA2" i="57"/>
  <c r="AZ118" i="57"/>
  <c r="AZ117" i="57"/>
  <c r="AZ116" i="57"/>
  <c r="AZ105" i="57"/>
  <c r="AZ96" i="57"/>
  <c r="AZ104" i="57"/>
  <c r="AZ95" i="57"/>
  <c r="AZ98" i="57"/>
  <c r="AZ97" i="57"/>
  <c r="AZ99" i="57"/>
  <c r="AZ100" i="57"/>
  <c r="AZ107" i="57"/>
  <c r="BA139" i="57"/>
  <c r="BA140" i="57"/>
  <c r="BA138" i="57"/>
  <c r="BA134" i="57"/>
  <c r="BA136" i="57"/>
  <c r="BA137" i="57"/>
  <c r="BA135" i="57"/>
  <c r="AY74" i="57"/>
  <c r="AY75" i="57" s="1"/>
  <c r="AZ71" i="57"/>
  <c r="BA159" i="57"/>
  <c r="AZ81" i="57"/>
  <c r="AZ80" i="57"/>
  <c r="AZ62" i="57"/>
  <c r="BA65" i="57"/>
  <c r="BA66" i="57" s="1"/>
  <c r="BA63" i="57"/>
  <c r="BA64" i="57" s="1"/>
  <c r="BA61" i="57"/>
  <c r="BA67" i="57"/>
  <c r="BD56" i="57"/>
  <c r="BA189" i="57"/>
  <c r="BA157" i="57" s="1"/>
  <c r="BA173" i="57"/>
  <c r="BA175" i="57" s="1"/>
  <c r="BA133" i="57"/>
  <c r="BB58" i="57"/>
  <c r="CR141" i="63" l="1"/>
  <c r="CR159" i="63"/>
  <c r="CR187" i="63"/>
  <c r="CS181" i="63" s="1"/>
  <c r="BB158" i="57"/>
  <c r="BB57" i="57"/>
  <c r="BB188" i="57"/>
  <c r="BB198" i="57"/>
  <c r="BB197" i="57"/>
  <c r="BA68" i="57"/>
  <c r="BD126" i="57"/>
  <c r="BD1" i="57"/>
  <c r="BB2" i="57"/>
  <c r="BA118" i="57"/>
  <c r="BA117" i="57"/>
  <c r="BA116" i="57"/>
  <c r="BA96" i="57"/>
  <c r="BA104" i="57"/>
  <c r="BA105" i="57"/>
  <c r="BA95" i="57"/>
  <c r="BA99" i="57"/>
  <c r="BA98" i="57"/>
  <c r="BA100" i="57"/>
  <c r="BA97" i="57"/>
  <c r="BA107" i="57"/>
  <c r="BB139" i="57"/>
  <c r="BB140" i="57"/>
  <c r="BB138" i="57"/>
  <c r="BB137" i="57"/>
  <c r="BB135" i="57"/>
  <c r="BB134" i="57"/>
  <c r="BB136" i="57"/>
  <c r="AZ74" i="57"/>
  <c r="AZ75" i="57" s="1"/>
  <c r="BA71" i="57"/>
  <c r="BB159" i="57"/>
  <c r="BA81" i="57"/>
  <c r="BA80" i="57"/>
  <c r="BA62" i="57"/>
  <c r="BB63" i="57"/>
  <c r="BB64" i="57" s="1"/>
  <c r="BB61" i="57"/>
  <c r="BB67" i="57"/>
  <c r="BB65" i="57"/>
  <c r="BB66" i="57" s="1"/>
  <c r="BE56" i="57"/>
  <c r="BB189" i="57"/>
  <c r="BB173" i="57"/>
  <c r="BB175" i="57" s="1"/>
  <c r="BB133" i="57"/>
  <c r="BC58" i="57"/>
  <c r="CU178" i="63" l="1"/>
  <c r="CV172" i="63" s="1"/>
  <c r="CU133" i="63"/>
  <c r="CS183" i="63"/>
  <c r="CS184" i="63" s="1"/>
  <c r="CS206" i="63" s="1"/>
  <c r="CS208" i="63" s="1"/>
  <c r="CS209" i="63" s="1"/>
  <c r="BC158" i="57"/>
  <c r="BC57" i="57"/>
  <c r="BB157" i="57"/>
  <c r="BB161" i="57"/>
  <c r="BC188" i="57"/>
  <c r="BC198" i="57"/>
  <c r="BC161" i="57" s="1"/>
  <c r="BC197" i="57"/>
  <c r="BB68" i="57"/>
  <c r="BB71" i="57"/>
  <c r="BE126" i="57"/>
  <c r="BE1" i="57"/>
  <c r="BC2" i="57"/>
  <c r="BB118" i="57"/>
  <c r="BB117" i="57"/>
  <c r="BB116" i="57"/>
  <c r="BB105" i="57"/>
  <c r="BB104" i="57"/>
  <c r="BB95" i="57"/>
  <c r="BB96" i="57"/>
  <c r="BB97" i="57"/>
  <c r="BB100" i="57"/>
  <c r="BB99" i="57"/>
  <c r="BB98" i="57"/>
  <c r="BB107" i="57"/>
  <c r="BC138" i="57"/>
  <c r="BC137" i="57"/>
  <c r="BC134" i="57"/>
  <c r="BC140" i="57"/>
  <c r="BC135" i="57"/>
  <c r="BC139" i="57"/>
  <c r="BC136" i="57"/>
  <c r="BA74" i="57"/>
  <c r="BA75" i="57" s="1"/>
  <c r="BC159" i="57"/>
  <c r="BB80" i="57"/>
  <c r="BB81" i="57"/>
  <c r="BB62" i="57"/>
  <c r="BC67" i="57"/>
  <c r="BC65" i="57"/>
  <c r="BC66" i="57" s="1"/>
  <c r="BC61" i="57"/>
  <c r="BC63" i="57"/>
  <c r="BC64" i="57" s="1"/>
  <c r="BF56" i="57"/>
  <c r="BC189" i="57"/>
  <c r="BC157" i="57" s="1"/>
  <c r="BC173" i="57"/>
  <c r="BC175" i="57" s="1"/>
  <c r="BC133" i="57"/>
  <c r="BD58" i="57"/>
  <c r="CV174" i="63" l="1"/>
  <c r="CV175" i="63" s="1"/>
  <c r="CS185" i="63"/>
  <c r="CS187" i="63" s="1"/>
  <c r="CT181" i="63" s="1"/>
  <c r="BD158" i="57"/>
  <c r="BD57" i="57"/>
  <c r="BC71" i="57"/>
  <c r="BD188" i="57"/>
  <c r="BD198" i="57"/>
  <c r="BD161" i="57" s="1"/>
  <c r="BD197" i="57"/>
  <c r="BB74" i="57"/>
  <c r="BB75" i="57" s="1"/>
  <c r="BC68" i="57"/>
  <c r="BF126" i="57"/>
  <c r="BF1" i="57"/>
  <c r="BD2" i="57"/>
  <c r="BC117" i="57"/>
  <c r="BC118" i="57"/>
  <c r="BC116" i="57"/>
  <c r="BC95" i="57"/>
  <c r="BC98" i="57"/>
  <c r="BC96" i="57"/>
  <c r="BC105" i="57"/>
  <c r="BC104" i="57"/>
  <c r="BC99" i="57"/>
  <c r="BC100" i="57"/>
  <c r="BC97" i="57"/>
  <c r="BC107" i="57"/>
  <c r="BD138" i="57"/>
  <c r="BD139" i="57"/>
  <c r="BD134" i="57"/>
  <c r="BD137" i="57"/>
  <c r="BD135" i="57"/>
  <c r="BD140" i="57"/>
  <c r="BD136" i="57"/>
  <c r="BD159" i="57"/>
  <c r="BC80" i="57"/>
  <c r="BC81" i="57"/>
  <c r="BC62" i="57"/>
  <c r="BD61" i="57"/>
  <c r="BD65" i="57"/>
  <c r="BD66" i="57" s="1"/>
  <c r="BD67" i="57"/>
  <c r="BD63" i="57"/>
  <c r="BD64" i="57" s="1"/>
  <c r="BG56" i="57"/>
  <c r="BD173" i="57"/>
  <c r="BD175" i="57" s="1"/>
  <c r="BD189" i="57"/>
  <c r="BD157" i="57" s="1"/>
  <c r="BD133" i="57"/>
  <c r="BE58" i="57"/>
  <c r="CT183" i="63" l="1"/>
  <c r="CS137" i="63"/>
  <c r="CS139" i="63" s="1"/>
  <c r="BE158" i="57"/>
  <c r="BE57" i="57"/>
  <c r="BC74" i="57"/>
  <c r="BC75" i="57" s="1"/>
  <c r="BD71" i="57"/>
  <c r="BE188" i="57"/>
  <c r="BE198" i="57"/>
  <c r="BE161" i="57" s="1"/>
  <c r="BE197" i="57"/>
  <c r="BD68" i="57"/>
  <c r="BG126" i="57"/>
  <c r="BG1" i="57"/>
  <c r="BE2" i="57"/>
  <c r="BD117" i="57"/>
  <c r="BD118" i="57"/>
  <c r="BD116" i="57"/>
  <c r="BD96" i="57"/>
  <c r="BD105" i="57"/>
  <c r="BD104" i="57"/>
  <c r="BD95" i="57"/>
  <c r="BD98" i="57"/>
  <c r="BD100" i="57"/>
  <c r="BD97" i="57"/>
  <c r="BD99" i="57"/>
  <c r="BD107" i="57"/>
  <c r="BE140" i="57"/>
  <c r="BE138" i="57"/>
  <c r="BE135" i="57"/>
  <c r="BE136" i="57"/>
  <c r="BE137" i="57"/>
  <c r="BE139" i="57"/>
  <c r="BE134" i="57"/>
  <c r="BE159" i="57"/>
  <c r="BD80" i="57"/>
  <c r="BD81" i="57"/>
  <c r="BD62" i="57"/>
  <c r="BE61" i="57"/>
  <c r="BE71" i="57" s="1"/>
  <c r="BE63" i="57"/>
  <c r="BE64" i="57" s="1"/>
  <c r="BE67" i="57"/>
  <c r="BE65" i="57"/>
  <c r="BE66" i="57" s="1"/>
  <c r="BH56" i="57"/>
  <c r="BE173" i="57"/>
  <c r="BE175" i="57" s="1"/>
  <c r="BE189" i="57"/>
  <c r="BE157" i="57" s="1"/>
  <c r="BF58" i="57"/>
  <c r="BE133" i="57"/>
  <c r="CS141" i="63" l="1"/>
  <c r="CS159" i="63"/>
  <c r="CV133" i="63"/>
  <c r="CV178" i="63"/>
  <c r="CW172" i="63" s="1"/>
  <c r="CT184" i="63"/>
  <c r="CT206" i="63" s="1"/>
  <c r="CT208" i="63" s="1"/>
  <c r="CT209" i="63" s="1"/>
  <c r="BF158" i="57"/>
  <c r="BF57" i="57"/>
  <c r="BD74" i="57"/>
  <c r="BD75" i="57" s="1"/>
  <c r="BF188" i="57"/>
  <c r="BF197" i="57"/>
  <c r="BF198" i="57"/>
  <c r="BF161" i="57" s="1"/>
  <c r="BE68" i="57"/>
  <c r="BH126" i="57"/>
  <c r="BH1" i="57"/>
  <c r="BF2" i="57"/>
  <c r="BE117" i="57"/>
  <c r="BE118" i="57"/>
  <c r="BE116" i="57"/>
  <c r="BE98" i="57"/>
  <c r="BE105" i="57"/>
  <c r="BE104" i="57"/>
  <c r="BE96" i="57"/>
  <c r="BE95" i="57"/>
  <c r="BE97" i="57"/>
  <c r="BE99" i="57"/>
  <c r="BE100" i="57"/>
  <c r="BE107" i="57"/>
  <c r="BE74" i="57"/>
  <c r="BE75" i="57" s="1"/>
  <c r="BF135" i="57"/>
  <c r="BF140" i="57"/>
  <c r="BF134" i="57"/>
  <c r="BF136" i="57"/>
  <c r="BF139" i="57"/>
  <c r="BF137" i="57"/>
  <c r="BF138" i="57"/>
  <c r="BF159" i="57"/>
  <c r="BE80" i="57"/>
  <c r="BE81" i="57"/>
  <c r="BE62" i="57"/>
  <c r="BF61" i="57"/>
  <c r="BF71" i="57" s="1"/>
  <c r="BF67" i="57"/>
  <c r="BF65" i="57"/>
  <c r="BF66" i="57" s="1"/>
  <c r="BF63" i="57"/>
  <c r="BF64" i="57" s="1"/>
  <c r="BI56" i="57"/>
  <c r="BF189" i="57"/>
  <c r="BF157" i="57" s="1"/>
  <c r="BF173" i="57"/>
  <c r="BF175" i="57" s="1"/>
  <c r="BG58" i="57"/>
  <c r="BF133" i="57"/>
  <c r="CW174" i="63" l="1"/>
  <c r="CW175" i="63" s="1"/>
  <c r="CT185" i="63"/>
  <c r="BG158" i="57"/>
  <c r="BG57" i="57"/>
  <c r="BG188" i="57"/>
  <c r="BG197" i="57"/>
  <c r="BG198" i="57"/>
  <c r="BG161" i="57" s="1"/>
  <c r="BF68" i="57"/>
  <c r="BI126" i="57"/>
  <c r="BI1" i="57"/>
  <c r="BG2" i="57"/>
  <c r="BF117" i="57"/>
  <c r="BF118" i="57"/>
  <c r="BF116" i="57"/>
  <c r="BF105" i="57"/>
  <c r="BF104" i="57"/>
  <c r="BF96" i="57"/>
  <c r="BF95" i="57"/>
  <c r="BF97" i="57"/>
  <c r="BF100" i="57"/>
  <c r="BF98" i="57"/>
  <c r="BF99" i="57"/>
  <c r="BF107" i="57"/>
  <c r="BF74" i="57"/>
  <c r="BF75" i="57" s="1"/>
  <c r="BG139" i="57"/>
  <c r="BG134" i="57"/>
  <c r="BG140" i="57"/>
  <c r="BG136" i="57"/>
  <c r="BG137" i="57"/>
  <c r="BG138" i="57"/>
  <c r="BG135" i="57"/>
  <c r="BG159" i="57"/>
  <c r="BF80" i="57"/>
  <c r="BF81" i="57"/>
  <c r="BF62" i="57"/>
  <c r="BG67" i="57"/>
  <c r="BG65" i="57"/>
  <c r="BG66" i="57" s="1"/>
  <c r="BG61" i="57"/>
  <c r="BG71" i="57" s="1"/>
  <c r="BG63" i="57"/>
  <c r="BG64" i="57" s="1"/>
  <c r="BJ56" i="57"/>
  <c r="BG189" i="57"/>
  <c r="BG157" i="57" s="1"/>
  <c r="BG173" i="57"/>
  <c r="BG175" i="57" s="1"/>
  <c r="BG133" i="57"/>
  <c r="BH58" i="57"/>
  <c r="CT187" i="63" l="1"/>
  <c r="CU181" i="63" s="1"/>
  <c r="CT137" i="63"/>
  <c r="CT139" i="63" s="1"/>
  <c r="BH158" i="57"/>
  <c r="BH57" i="57"/>
  <c r="BH188" i="57"/>
  <c r="BH197" i="57"/>
  <c r="BH198" i="57"/>
  <c r="BH161" i="57" s="1"/>
  <c r="BG68" i="57"/>
  <c r="BJ126" i="57"/>
  <c r="BJ1" i="57"/>
  <c r="BH2" i="57"/>
  <c r="BG118" i="57"/>
  <c r="BG117" i="57"/>
  <c r="BG116" i="57"/>
  <c r="BG95" i="57"/>
  <c r="BG96" i="57"/>
  <c r="BG105" i="57"/>
  <c r="BG104" i="57"/>
  <c r="BG100" i="57"/>
  <c r="BG99" i="57"/>
  <c r="BG97" i="57"/>
  <c r="BG98" i="57"/>
  <c r="BG107" i="57"/>
  <c r="BH139" i="57"/>
  <c r="BH140" i="57"/>
  <c r="BH136" i="57"/>
  <c r="BH137" i="57"/>
  <c r="BH138" i="57"/>
  <c r="BH135" i="57"/>
  <c r="BH134" i="57"/>
  <c r="BG74" i="57"/>
  <c r="BG75" i="57" s="1"/>
  <c r="BH159" i="57"/>
  <c r="BG81" i="57"/>
  <c r="BG80" i="57"/>
  <c r="BG62" i="57"/>
  <c r="BH67" i="57"/>
  <c r="BH65" i="57"/>
  <c r="BH66" i="57" s="1"/>
  <c r="BH63" i="57"/>
  <c r="BH64" i="57" s="1"/>
  <c r="BH61" i="57"/>
  <c r="BH71" i="57" s="1"/>
  <c r="BK56" i="57"/>
  <c r="BH189" i="57"/>
  <c r="BH157" i="57" s="1"/>
  <c r="BH173" i="57"/>
  <c r="BH175" i="57" s="1"/>
  <c r="BH133" i="57"/>
  <c r="BI58" i="57"/>
  <c r="CT141" i="63" l="1"/>
  <c r="CT159" i="63"/>
  <c r="CW133" i="63"/>
  <c r="CW178" i="63"/>
  <c r="CX172" i="63" s="1"/>
  <c r="CU183" i="63"/>
  <c r="BI158" i="57"/>
  <c r="BI57" i="57"/>
  <c r="BI188" i="57"/>
  <c r="BI198" i="57"/>
  <c r="BI161" i="57" s="1"/>
  <c r="BI197" i="57"/>
  <c r="BH68" i="57"/>
  <c r="BK126" i="57"/>
  <c r="BK1" i="57"/>
  <c r="BI2" i="57"/>
  <c r="BH118" i="57"/>
  <c r="BH117" i="57"/>
  <c r="BH116" i="57"/>
  <c r="BH96" i="57"/>
  <c r="BH105" i="57"/>
  <c r="BH104" i="57"/>
  <c r="BH95" i="57"/>
  <c r="BH98" i="57"/>
  <c r="BH99" i="57"/>
  <c r="BH97" i="57"/>
  <c r="BH100" i="57"/>
  <c r="BH107" i="57"/>
  <c r="BI135" i="57"/>
  <c r="BI137" i="57"/>
  <c r="BI139" i="57"/>
  <c r="BI136" i="57"/>
  <c r="BI140" i="57"/>
  <c r="BI138" i="57"/>
  <c r="BI134" i="57"/>
  <c r="BH74" i="57"/>
  <c r="BH75" i="57" s="1"/>
  <c r="BI159" i="57"/>
  <c r="BH81" i="57"/>
  <c r="BH80" i="57"/>
  <c r="BH62" i="57"/>
  <c r="BI65" i="57"/>
  <c r="BI66" i="57" s="1"/>
  <c r="BI63" i="57"/>
  <c r="BI64" i="57" s="1"/>
  <c r="BI61" i="57"/>
  <c r="BI71" i="57" s="1"/>
  <c r="BI67" i="57"/>
  <c r="BL56" i="57"/>
  <c r="BI189" i="57"/>
  <c r="BI157" i="57" s="1"/>
  <c r="BI173" i="57"/>
  <c r="BI175" i="57" s="1"/>
  <c r="BI133" i="57"/>
  <c r="BJ58" i="57"/>
  <c r="CX174" i="63" l="1"/>
  <c r="CX175" i="63" s="1"/>
  <c r="CU184" i="63"/>
  <c r="CU206" i="63" s="1"/>
  <c r="CU208" i="63" s="1"/>
  <c r="CU209" i="63" s="1"/>
  <c r="BJ158" i="57"/>
  <c r="BJ57" i="57"/>
  <c r="BJ188" i="57"/>
  <c r="BJ198" i="57"/>
  <c r="BJ197" i="57"/>
  <c r="BI68" i="57"/>
  <c r="BL126" i="57"/>
  <c r="BL1" i="57"/>
  <c r="BJ2" i="57"/>
  <c r="BI118" i="57"/>
  <c r="BI117" i="57"/>
  <c r="BI116" i="57"/>
  <c r="BI104" i="57"/>
  <c r="BI105" i="57"/>
  <c r="BI96" i="57"/>
  <c r="BI95" i="57"/>
  <c r="BI97" i="57"/>
  <c r="BI100" i="57"/>
  <c r="BI98" i="57"/>
  <c r="BI99" i="57"/>
  <c r="BI107" i="57"/>
  <c r="BJ140" i="57"/>
  <c r="BJ136" i="57"/>
  <c r="BJ137" i="57"/>
  <c r="BJ139" i="57"/>
  <c r="BJ135" i="57"/>
  <c r="BJ138" i="57"/>
  <c r="BJ134" i="57"/>
  <c r="BI74" i="57"/>
  <c r="BI75" i="57" s="1"/>
  <c r="BJ159" i="57"/>
  <c r="BI80" i="57"/>
  <c r="BI81" i="57"/>
  <c r="BI62" i="57"/>
  <c r="BJ63" i="57"/>
  <c r="BJ64" i="57" s="1"/>
  <c r="BJ61" i="57"/>
  <c r="BJ71" i="57" s="1"/>
  <c r="BJ67" i="57"/>
  <c r="BJ65" i="57"/>
  <c r="BJ66" i="57" s="1"/>
  <c r="BM56" i="57"/>
  <c r="BJ189" i="57"/>
  <c r="BJ173" i="57"/>
  <c r="BJ133" i="57"/>
  <c r="BK58" i="57"/>
  <c r="CU185" i="63" l="1"/>
  <c r="BK158" i="57"/>
  <c r="BK57" i="57"/>
  <c r="BJ175" i="57"/>
  <c r="BJ157" i="57"/>
  <c r="BJ161" i="57"/>
  <c r="BK188" i="57"/>
  <c r="BK198" i="57"/>
  <c r="BK161" i="57" s="1"/>
  <c r="BK197" i="57"/>
  <c r="BJ68" i="57"/>
  <c r="BM126" i="57"/>
  <c r="BM1" i="57"/>
  <c r="BK2" i="57"/>
  <c r="BJ118" i="57"/>
  <c r="BJ117" i="57"/>
  <c r="BJ116" i="57"/>
  <c r="BJ104" i="57"/>
  <c r="BJ95" i="57"/>
  <c r="BJ96" i="57"/>
  <c r="BJ105" i="57"/>
  <c r="BJ97" i="57"/>
  <c r="BJ98" i="57"/>
  <c r="BJ100" i="57"/>
  <c r="BJ99" i="57"/>
  <c r="BJ107" i="57"/>
  <c r="BJ74" i="57"/>
  <c r="BJ75" i="57" s="1"/>
  <c r="BK137" i="57"/>
  <c r="BK139" i="57"/>
  <c r="BK135" i="57"/>
  <c r="BK136" i="57"/>
  <c r="BK134" i="57"/>
  <c r="BK138" i="57"/>
  <c r="BK140" i="57"/>
  <c r="BK159" i="57"/>
  <c r="BJ80" i="57"/>
  <c r="BJ81" i="57"/>
  <c r="BJ62" i="57"/>
  <c r="BK67" i="57"/>
  <c r="BK65" i="57"/>
  <c r="BK66" i="57" s="1"/>
  <c r="BK61" i="57"/>
  <c r="BK63" i="57"/>
  <c r="BK64" i="57" s="1"/>
  <c r="BN56" i="57"/>
  <c r="BK189" i="57"/>
  <c r="BK157" i="57" s="1"/>
  <c r="BK173" i="57"/>
  <c r="BK175" i="57" s="1"/>
  <c r="BK133" i="57"/>
  <c r="BL58" i="57"/>
  <c r="CX133" i="63" l="1"/>
  <c r="CX178" i="63"/>
  <c r="CY172" i="63" s="1"/>
  <c r="CU187" i="63"/>
  <c r="CV181" i="63" s="1"/>
  <c r="CU137" i="63"/>
  <c r="CU139" i="63" s="1"/>
  <c r="BL158" i="57"/>
  <c r="BL57" i="57"/>
  <c r="BL188" i="57"/>
  <c r="BL198" i="57"/>
  <c r="BL197" i="57"/>
  <c r="BK68" i="57"/>
  <c r="BN126" i="57"/>
  <c r="BN1" i="57"/>
  <c r="BL2" i="57"/>
  <c r="BK117" i="57"/>
  <c r="BK118" i="57"/>
  <c r="BK116" i="57"/>
  <c r="BK96" i="57"/>
  <c r="BK105" i="57"/>
  <c r="BK104" i="57"/>
  <c r="BK95" i="57"/>
  <c r="BK98" i="57"/>
  <c r="BK97" i="57"/>
  <c r="BK100" i="57"/>
  <c r="BK99" i="57"/>
  <c r="BK107" i="57"/>
  <c r="BL138" i="57"/>
  <c r="BL139" i="57"/>
  <c r="BL134" i="57"/>
  <c r="BL140" i="57"/>
  <c r="BL137" i="57"/>
  <c r="BL135" i="57"/>
  <c r="BL136" i="57"/>
  <c r="BL159" i="57"/>
  <c r="BK80" i="57"/>
  <c r="BK81" i="57"/>
  <c r="BK62" i="57"/>
  <c r="BL63" i="57"/>
  <c r="BL64" i="57" s="1"/>
  <c r="BL61" i="57"/>
  <c r="BL65" i="57"/>
  <c r="BL66" i="57" s="1"/>
  <c r="BL67" i="57"/>
  <c r="BK71" i="57"/>
  <c r="BO56" i="57"/>
  <c r="BL189" i="57"/>
  <c r="BL157" i="57" s="1"/>
  <c r="BL173" i="57"/>
  <c r="BL175" i="57" s="1"/>
  <c r="BL133" i="57"/>
  <c r="BM58" i="57"/>
  <c r="CU141" i="63" l="1"/>
  <c r="CU159" i="63"/>
  <c r="CY174" i="63"/>
  <c r="CV183" i="63"/>
  <c r="BM158" i="57"/>
  <c r="BM57" i="57"/>
  <c r="BL161" i="57"/>
  <c r="BM188" i="57"/>
  <c r="BM198" i="57"/>
  <c r="BM161" i="57" s="1"/>
  <c r="BM197" i="57"/>
  <c r="BL68" i="57"/>
  <c r="BO126" i="57"/>
  <c r="BO1" i="57"/>
  <c r="BM2" i="57"/>
  <c r="BL117" i="57"/>
  <c r="BL118" i="57"/>
  <c r="BL116" i="57"/>
  <c r="BL104" i="57"/>
  <c r="BL96" i="57"/>
  <c r="BL105" i="57"/>
  <c r="BL95" i="57"/>
  <c r="BL99" i="57"/>
  <c r="BL100" i="57"/>
  <c r="BL97" i="57"/>
  <c r="BL98" i="57"/>
  <c r="BL107" i="57"/>
  <c r="BM140" i="57"/>
  <c r="BM138" i="57"/>
  <c r="BM139" i="57"/>
  <c r="BM135" i="57"/>
  <c r="BM134" i="57"/>
  <c r="BM136" i="57"/>
  <c r="BM137" i="57"/>
  <c r="BK74" i="57"/>
  <c r="BK75" i="57" s="1"/>
  <c r="BM159" i="57"/>
  <c r="BL81" i="57"/>
  <c r="BL80" i="57"/>
  <c r="BL71" i="57"/>
  <c r="BL62" i="57"/>
  <c r="BM67" i="57"/>
  <c r="BM65" i="57"/>
  <c r="BM66" i="57" s="1"/>
  <c r="BM61" i="57"/>
  <c r="BM63" i="57"/>
  <c r="BM64" i="57" s="1"/>
  <c r="BP56" i="57"/>
  <c r="BM173" i="57"/>
  <c r="BM175" i="57" s="1"/>
  <c r="BM189" i="57"/>
  <c r="BN58" i="57"/>
  <c r="BM133" i="57"/>
  <c r="CY175" i="63" l="1"/>
  <c r="CY133" i="63" s="1"/>
  <c r="CY178" i="63"/>
  <c r="CZ172" i="63" s="1"/>
  <c r="CV184" i="63"/>
  <c r="CV206" i="63" s="1"/>
  <c r="CV208" i="63" s="1"/>
  <c r="CV209" i="63" s="1"/>
  <c r="BN158" i="57"/>
  <c r="BN57" i="57"/>
  <c r="BM157" i="57"/>
  <c r="BN188" i="57"/>
  <c r="BN197" i="57"/>
  <c r="BN198" i="57"/>
  <c r="BM68" i="57"/>
  <c r="BP126" i="57"/>
  <c r="BP1" i="57"/>
  <c r="BN2" i="57"/>
  <c r="BM117" i="57"/>
  <c r="BM118" i="57"/>
  <c r="BM116" i="57"/>
  <c r="BM98" i="57"/>
  <c r="BM96" i="57"/>
  <c r="BM95" i="57"/>
  <c r="BM105" i="57"/>
  <c r="BM104" i="57"/>
  <c r="BM99" i="57"/>
  <c r="BM97" i="57"/>
  <c r="BM100" i="57"/>
  <c r="BM107" i="57"/>
  <c r="BL74" i="57"/>
  <c r="BL75" i="57" s="1"/>
  <c r="BN140" i="57"/>
  <c r="BN138" i="57"/>
  <c r="BN135" i="57"/>
  <c r="BN139" i="57"/>
  <c r="BN137" i="57"/>
  <c r="BN136" i="57"/>
  <c r="BN134" i="57"/>
  <c r="BN159" i="57"/>
  <c r="BM80" i="57"/>
  <c r="BM81" i="57"/>
  <c r="BM62" i="57"/>
  <c r="BN63" i="57"/>
  <c r="BN64" i="57" s="1"/>
  <c r="BN61" i="57"/>
  <c r="BN65" i="57"/>
  <c r="BN66" i="57" s="1"/>
  <c r="BN67" i="57"/>
  <c r="BM71" i="57"/>
  <c r="BQ56" i="57"/>
  <c r="BN189" i="57"/>
  <c r="BN157" i="57" s="1"/>
  <c r="BN173" i="57"/>
  <c r="BN175" i="57" s="1"/>
  <c r="BO58" i="57"/>
  <c r="BN133" i="57"/>
  <c r="CZ174" i="63" l="1"/>
  <c r="CV185" i="63"/>
  <c r="CV187" i="63" s="1"/>
  <c r="CW181" i="63" s="1"/>
  <c r="BO158" i="57"/>
  <c r="BO57" i="57"/>
  <c r="BN161" i="57"/>
  <c r="BO188" i="57"/>
  <c r="BO197" i="57"/>
  <c r="BO198" i="57"/>
  <c r="BO161" i="57" s="1"/>
  <c r="BN68" i="57"/>
  <c r="BQ126" i="57"/>
  <c r="BQ1" i="57"/>
  <c r="BO2" i="57"/>
  <c r="BN117" i="57"/>
  <c r="BN118" i="57"/>
  <c r="BN116" i="57"/>
  <c r="BN96" i="57"/>
  <c r="BN104" i="57"/>
  <c r="BN98" i="57"/>
  <c r="BN95" i="57"/>
  <c r="BN105" i="57"/>
  <c r="BN97" i="57"/>
  <c r="BN99" i="57"/>
  <c r="BN100" i="57"/>
  <c r="BN107" i="57"/>
  <c r="BO140" i="57"/>
  <c r="BO136" i="57"/>
  <c r="BO139" i="57"/>
  <c r="BO135" i="57"/>
  <c r="BO134" i="57"/>
  <c r="BO137" i="57"/>
  <c r="BO138" i="57"/>
  <c r="BM74" i="57"/>
  <c r="BM75" i="57" s="1"/>
  <c r="BO159" i="57"/>
  <c r="BN80" i="57"/>
  <c r="BN81" i="57"/>
  <c r="BO63" i="57"/>
  <c r="BO64" i="57" s="1"/>
  <c r="BN71" i="57"/>
  <c r="BN62" i="57"/>
  <c r="BO67" i="57"/>
  <c r="BO65" i="57"/>
  <c r="BO66" i="57" s="1"/>
  <c r="BO61" i="57"/>
  <c r="BR56" i="57"/>
  <c r="BO189" i="57"/>
  <c r="BO173" i="57"/>
  <c r="BO175" i="57" s="1"/>
  <c r="BO133" i="57"/>
  <c r="BP58" i="57"/>
  <c r="CZ175" i="63" l="1"/>
  <c r="CZ133" i="63" s="1"/>
  <c r="CZ178" i="63"/>
  <c r="DA172" i="63" s="1"/>
  <c r="CW183" i="63"/>
  <c r="CV137" i="63"/>
  <c r="CV139" i="63" s="1"/>
  <c r="BP158" i="57"/>
  <c r="BP57" i="57"/>
  <c r="BO157" i="57"/>
  <c r="BP188" i="57"/>
  <c r="BP198" i="57"/>
  <c r="BP161" i="57" s="1"/>
  <c r="BO68" i="57"/>
  <c r="BR126" i="57"/>
  <c r="BR1" i="57"/>
  <c r="BP2" i="57"/>
  <c r="BO118" i="57"/>
  <c r="BO117" i="57"/>
  <c r="BO116" i="57"/>
  <c r="BO98" i="57"/>
  <c r="BO105" i="57"/>
  <c r="BO104" i="57"/>
  <c r="BO96" i="57"/>
  <c r="BO95" i="57"/>
  <c r="BO97" i="57"/>
  <c r="BO100" i="57"/>
  <c r="BO99" i="57"/>
  <c r="BO107" i="57"/>
  <c r="BN74" i="57"/>
  <c r="BN75" i="57" s="1"/>
  <c r="BP138" i="57"/>
  <c r="BP139" i="57"/>
  <c r="BP136" i="57"/>
  <c r="BP134" i="57"/>
  <c r="BP140" i="57"/>
  <c r="BP137" i="57"/>
  <c r="BP135" i="57"/>
  <c r="BP159" i="57"/>
  <c r="BO81" i="57"/>
  <c r="BO80" i="57"/>
  <c r="BP63" i="57"/>
  <c r="BP64" i="57" s="1"/>
  <c r="BO62" i="57"/>
  <c r="BP61" i="57"/>
  <c r="BP65" i="57"/>
  <c r="BP66" i="57" s="1"/>
  <c r="BP67" i="57"/>
  <c r="BO71" i="57"/>
  <c r="BS56" i="57"/>
  <c r="BP189" i="57"/>
  <c r="BP157" i="57" s="1"/>
  <c r="BP173" i="57"/>
  <c r="BP175" i="57" s="1"/>
  <c r="BP133" i="57"/>
  <c r="BQ58" i="57"/>
  <c r="CV141" i="63" l="1"/>
  <c r="CV159" i="63"/>
  <c r="DA174" i="63"/>
  <c r="CW184" i="63"/>
  <c r="CW206" i="63" s="1"/>
  <c r="CW208" i="63" s="1"/>
  <c r="CW209" i="63" s="1"/>
  <c r="BQ158" i="57"/>
  <c r="BQ57" i="57"/>
  <c r="BQ188" i="57"/>
  <c r="BQ198" i="57"/>
  <c r="BQ161" i="57" s="1"/>
  <c r="BP68" i="57"/>
  <c r="BS126" i="57"/>
  <c r="BS1" i="57"/>
  <c r="BQ2" i="57"/>
  <c r="BP118" i="57"/>
  <c r="BP117" i="57"/>
  <c r="BP116" i="57"/>
  <c r="BP96" i="57"/>
  <c r="BP104" i="57"/>
  <c r="BP105" i="57"/>
  <c r="BP95" i="57"/>
  <c r="BP100" i="57"/>
  <c r="BP97" i="57"/>
  <c r="BP99" i="57"/>
  <c r="BP98" i="57"/>
  <c r="BP107" i="57"/>
  <c r="BQ139" i="57"/>
  <c r="BQ140" i="57"/>
  <c r="BQ136" i="57"/>
  <c r="BQ138" i="57"/>
  <c r="BQ137" i="57"/>
  <c r="BQ134" i="57"/>
  <c r="BQ135" i="57"/>
  <c r="BO74" i="57"/>
  <c r="BO75" i="57" s="1"/>
  <c r="BQ159" i="57"/>
  <c r="BP80" i="57"/>
  <c r="BP81" i="57"/>
  <c r="BQ63" i="57"/>
  <c r="BQ64" i="57" s="1"/>
  <c r="BP71" i="57"/>
  <c r="BP62" i="57"/>
  <c r="BQ67" i="57"/>
  <c r="BQ65" i="57"/>
  <c r="BQ66" i="57" s="1"/>
  <c r="BQ61" i="57"/>
  <c r="BT56" i="57"/>
  <c r="BQ189" i="57"/>
  <c r="BQ173" i="57"/>
  <c r="BQ175" i="57" s="1"/>
  <c r="BQ133" i="57"/>
  <c r="BR58" i="57"/>
  <c r="DA175" i="63" l="1"/>
  <c r="DA133" i="63" s="1"/>
  <c r="CW185" i="63"/>
  <c r="CW187" i="63" s="1"/>
  <c r="CX181" i="63" s="1"/>
  <c r="BR158" i="57"/>
  <c r="BR57" i="57"/>
  <c r="BQ157" i="57"/>
  <c r="BR188" i="57"/>
  <c r="BR198" i="57"/>
  <c r="BR161" i="57" s="1"/>
  <c r="BQ68" i="57"/>
  <c r="BT126" i="57"/>
  <c r="BT1" i="57"/>
  <c r="BR2" i="57"/>
  <c r="BQ118" i="57"/>
  <c r="BQ117" i="57"/>
  <c r="BQ116" i="57"/>
  <c r="BQ104" i="57"/>
  <c r="BQ105" i="57"/>
  <c r="BQ95" i="57"/>
  <c r="BQ96" i="57"/>
  <c r="BQ100" i="57"/>
  <c r="BQ98" i="57"/>
  <c r="BQ97" i="57"/>
  <c r="BQ99" i="57"/>
  <c r="BQ107" i="57"/>
  <c r="BP74" i="57"/>
  <c r="BP75" i="57" s="1"/>
  <c r="BR139" i="57"/>
  <c r="BR138" i="57"/>
  <c r="BR136" i="57"/>
  <c r="BR140" i="57"/>
  <c r="BR137" i="57"/>
  <c r="BR135" i="57"/>
  <c r="BR134" i="57"/>
  <c r="BR159" i="57"/>
  <c r="BQ81" i="57"/>
  <c r="BQ80" i="57"/>
  <c r="BR63" i="57"/>
  <c r="BR64" i="57" s="1"/>
  <c r="BQ62" i="57"/>
  <c r="BR61" i="57"/>
  <c r="BR65" i="57"/>
  <c r="BR66" i="57" s="1"/>
  <c r="BR67" i="57"/>
  <c r="BQ71" i="57"/>
  <c r="BU56" i="57"/>
  <c r="BR189" i="57"/>
  <c r="BR157" i="57" s="1"/>
  <c r="BR173" i="57"/>
  <c r="BR175" i="57" s="1"/>
  <c r="BR133" i="57"/>
  <c r="BS58" i="57"/>
  <c r="DA178" i="63" l="1"/>
  <c r="DB172" i="63" s="1"/>
  <c r="DB174" i="63" s="1"/>
  <c r="CX183" i="63"/>
  <c r="CX184" i="63" s="1"/>
  <c r="CX206" i="63" s="1"/>
  <c r="CX208" i="63" s="1"/>
  <c r="CX209" i="63" s="1"/>
  <c r="CW137" i="63"/>
  <c r="CW139" i="63" s="1"/>
  <c r="BS158" i="57"/>
  <c r="BS57" i="57"/>
  <c r="BS188" i="57"/>
  <c r="BS198" i="57"/>
  <c r="BS161" i="57" s="1"/>
  <c r="BR68" i="57"/>
  <c r="BU126" i="57"/>
  <c r="BU1" i="57"/>
  <c r="BS2" i="57"/>
  <c r="BR118" i="57"/>
  <c r="BR117" i="57"/>
  <c r="BR116" i="57"/>
  <c r="BR96" i="57"/>
  <c r="BR105" i="57"/>
  <c r="BR104" i="57"/>
  <c r="BR95" i="57"/>
  <c r="BR98" i="57"/>
  <c r="BR99" i="57"/>
  <c r="BR97" i="57"/>
  <c r="BR100" i="57"/>
  <c r="BR107" i="57"/>
  <c r="BS137" i="57"/>
  <c r="BS139" i="57"/>
  <c r="BS138" i="57"/>
  <c r="BS136" i="57"/>
  <c r="BS135" i="57"/>
  <c r="BS134" i="57"/>
  <c r="BS140" i="57"/>
  <c r="BQ74" i="57"/>
  <c r="BQ75" i="57" s="1"/>
  <c r="BS159" i="57"/>
  <c r="BR80" i="57"/>
  <c r="BR81" i="57"/>
  <c r="BS63" i="57"/>
  <c r="BS64" i="57" s="1"/>
  <c r="BR71" i="57"/>
  <c r="BR62" i="57"/>
  <c r="BS67" i="57"/>
  <c r="BS65" i="57"/>
  <c r="BS66" i="57" s="1"/>
  <c r="BS61" i="57"/>
  <c r="BV56" i="57"/>
  <c r="BS189" i="57"/>
  <c r="BS157" i="57" s="1"/>
  <c r="BS173" i="57"/>
  <c r="BS175" i="57" s="1"/>
  <c r="BS133" i="57"/>
  <c r="BT58" i="57"/>
  <c r="DB175" i="63" l="1"/>
  <c r="DB178" i="63" s="1"/>
  <c r="DC172" i="63" s="1"/>
  <c r="CW141" i="63"/>
  <c r="CW159" i="63"/>
  <c r="DC174" i="63"/>
  <c r="CX185" i="63"/>
  <c r="CX137" i="63" s="1"/>
  <c r="BT158" i="57"/>
  <c r="BT57" i="57"/>
  <c r="BT188" i="57"/>
  <c r="BT198" i="57"/>
  <c r="BT161" i="57" s="1"/>
  <c r="BS68" i="57"/>
  <c r="BV126" i="57"/>
  <c r="BV1" i="57"/>
  <c r="BT2" i="57"/>
  <c r="BS117" i="57"/>
  <c r="BS118" i="57"/>
  <c r="BS116" i="57"/>
  <c r="BS96" i="57"/>
  <c r="BS105" i="57"/>
  <c r="BS95" i="57"/>
  <c r="BS104" i="57"/>
  <c r="BS98" i="57"/>
  <c r="BS97" i="57"/>
  <c r="BS99" i="57"/>
  <c r="BS100" i="57"/>
  <c r="BS107" i="57"/>
  <c r="BR74" i="57"/>
  <c r="BR75" i="57" s="1"/>
  <c r="BT140" i="57"/>
  <c r="BT138" i="57"/>
  <c r="BT137" i="57"/>
  <c r="BT139" i="57"/>
  <c r="BT135" i="57"/>
  <c r="BT134" i="57"/>
  <c r="BT136" i="57"/>
  <c r="BT159" i="57"/>
  <c r="BS80" i="57"/>
  <c r="BS81" i="57"/>
  <c r="BT63" i="57"/>
  <c r="BT64" i="57" s="1"/>
  <c r="BS62" i="57"/>
  <c r="BT61" i="57"/>
  <c r="BT65" i="57"/>
  <c r="BT66" i="57" s="1"/>
  <c r="BT67" i="57"/>
  <c r="BS71" i="57"/>
  <c r="BW56" i="57"/>
  <c r="BT189" i="57"/>
  <c r="BT157" i="57" s="1"/>
  <c r="BT173" i="57"/>
  <c r="BT175" i="57" s="1"/>
  <c r="BT133" i="57"/>
  <c r="BU58" i="57"/>
  <c r="DC175" i="63" l="1"/>
  <c r="DC133" i="63" s="1"/>
  <c r="DB133" i="63"/>
  <c r="CX159" i="63"/>
  <c r="CX186" i="63"/>
  <c r="CX138" i="63" s="1"/>
  <c r="CX139" i="63" s="1"/>
  <c r="BU158" i="57"/>
  <c r="BU57" i="57"/>
  <c r="BU188" i="57"/>
  <c r="BU198" i="57"/>
  <c r="BU161" i="57" s="1"/>
  <c r="BT68" i="57"/>
  <c r="BW126" i="57"/>
  <c r="BW1" i="57"/>
  <c r="BU2" i="57"/>
  <c r="BT117" i="57"/>
  <c r="BT118" i="57"/>
  <c r="BT116" i="57"/>
  <c r="BT96" i="57"/>
  <c r="BT104" i="57"/>
  <c r="BT95" i="57"/>
  <c r="BT105" i="57"/>
  <c r="BT98" i="57"/>
  <c r="BT99" i="57"/>
  <c r="BT97" i="57"/>
  <c r="BT100" i="57"/>
  <c r="BT107" i="57"/>
  <c r="BU140" i="57"/>
  <c r="BU138" i="57"/>
  <c r="BU135" i="57"/>
  <c r="BU134" i="57"/>
  <c r="BU136" i="57"/>
  <c r="BU139" i="57"/>
  <c r="BU137" i="57"/>
  <c r="BS74" i="57"/>
  <c r="BS75" i="57" s="1"/>
  <c r="BU159" i="57"/>
  <c r="BT80" i="57"/>
  <c r="BT81" i="57"/>
  <c r="BU63" i="57"/>
  <c r="BU64" i="57" s="1"/>
  <c r="BT71" i="57"/>
  <c r="BT62" i="57"/>
  <c r="BU67" i="57"/>
  <c r="BU65" i="57"/>
  <c r="BU66" i="57" s="1"/>
  <c r="BU61" i="57"/>
  <c r="BX56" i="57"/>
  <c r="BU189" i="57"/>
  <c r="BU157" i="57" s="1"/>
  <c r="BU173" i="57"/>
  <c r="BU175" i="57" s="1"/>
  <c r="BV58" i="57"/>
  <c r="BU133" i="57"/>
  <c r="DC178" i="63" l="1"/>
  <c r="DD172" i="63" s="1"/>
  <c r="CX141" i="63"/>
  <c r="CX187" i="63"/>
  <c r="CY181" i="63" s="1"/>
  <c r="CY183" i="63" s="1"/>
  <c r="CY184" i="63" s="1"/>
  <c r="CY206" i="63" s="1"/>
  <c r="CY208" i="63" s="1"/>
  <c r="CY209" i="63" s="1"/>
  <c r="DD174" i="63"/>
  <c r="CY185" i="63"/>
  <c r="BV158" i="57"/>
  <c r="BV57" i="57"/>
  <c r="BV188" i="57"/>
  <c r="BV198" i="57"/>
  <c r="BU68" i="57"/>
  <c r="BX126" i="57"/>
  <c r="BX1" i="57"/>
  <c r="BV2" i="57"/>
  <c r="BU117" i="57"/>
  <c r="BU118" i="57"/>
  <c r="BU116" i="57"/>
  <c r="BU105" i="57"/>
  <c r="BU104" i="57"/>
  <c r="BU96" i="57"/>
  <c r="BU98" i="57"/>
  <c r="BU99" i="57"/>
  <c r="BU97" i="57"/>
  <c r="BU100" i="57"/>
  <c r="BU95" i="57"/>
  <c r="BU107" i="57"/>
  <c r="BV134" i="57"/>
  <c r="BV138" i="57"/>
  <c r="BV136" i="57"/>
  <c r="BV140" i="57"/>
  <c r="BV139" i="57"/>
  <c r="BV135" i="57"/>
  <c r="BV137" i="57"/>
  <c r="BT74" i="57"/>
  <c r="BT75" i="57" s="1"/>
  <c r="BV159" i="57"/>
  <c r="BU80" i="57"/>
  <c r="BU81" i="57"/>
  <c r="BV63" i="57"/>
  <c r="BV64" i="57" s="1"/>
  <c r="BU62" i="57"/>
  <c r="BV61" i="57"/>
  <c r="BV65" i="57"/>
  <c r="BV66" i="57" s="1"/>
  <c r="BV67" i="57"/>
  <c r="BU71" i="57"/>
  <c r="BY56" i="57"/>
  <c r="BV189" i="57"/>
  <c r="BV173" i="57"/>
  <c r="BW58" i="57"/>
  <c r="BV133" i="57"/>
  <c r="DD175" i="63" l="1"/>
  <c r="DD133" i="63" s="1"/>
  <c r="DD178" i="63"/>
  <c r="DE172" i="63" s="1"/>
  <c r="E185" i="63"/>
  <c r="FM185" i="63"/>
  <c r="FN185" i="63"/>
  <c r="FO185" i="63"/>
  <c r="FP185" i="63"/>
  <c r="CY137" i="63"/>
  <c r="CY186" i="63"/>
  <c r="BW158" i="57"/>
  <c r="BW57" i="57"/>
  <c r="BV175" i="57"/>
  <c r="BV157" i="57"/>
  <c r="BV161" i="57"/>
  <c r="BW188" i="57"/>
  <c r="BW198" i="57"/>
  <c r="BW161" i="57" s="1"/>
  <c r="BV68" i="57"/>
  <c r="BY126" i="57"/>
  <c r="BY1" i="57"/>
  <c r="BW2" i="57"/>
  <c r="BV117" i="57"/>
  <c r="BV118" i="57"/>
  <c r="BV116" i="57"/>
  <c r="BV104" i="57"/>
  <c r="BV96" i="57"/>
  <c r="BV98" i="57"/>
  <c r="BV105" i="57"/>
  <c r="BV95" i="57"/>
  <c r="BV99" i="57"/>
  <c r="BV97" i="57"/>
  <c r="BV100" i="57"/>
  <c r="BV107" i="57"/>
  <c r="BW139" i="57"/>
  <c r="BW140" i="57"/>
  <c r="BW136" i="57"/>
  <c r="BW138" i="57"/>
  <c r="BW137" i="57"/>
  <c r="BW135" i="57"/>
  <c r="BW134" i="57"/>
  <c r="BU74" i="57"/>
  <c r="BU75" i="57" s="1"/>
  <c r="BW159" i="57"/>
  <c r="BV80" i="57"/>
  <c r="BV81" i="57"/>
  <c r="BW63" i="57"/>
  <c r="BW64" i="57" s="1"/>
  <c r="BV71" i="57"/>
  <c r="BV62" i="57"/>
  <c r="BW67" i="57"/>
  <c r="BW65" i="57"/>
  <c r="BW66" i="57" s="1"/>
  <c r="BW61" i="57"/>
  <c r="BZ56" i="57"/>
  <c r="BW189" i="57"/>
  <c r="BW157" i="57" s="1"/>
  <c r="BW173" i="57"/>
  <c r="BW175" i="57" s="1"/>
  <c r="BW133" i="57"/>
  <c r="BX58" i="57"/>
  <c r="CY159" i="63" l="1"/>
  <c r="DE174" i="63"/>
  <c r="CY138" i="63"/>
  <c r="CY139" i="63" s="1"/>
  <c r="FP186" i="63"/>
  <c r="E186" i="63"/>
  <c r="CY187" i="63"/>
  <c r="CZ181" i="63" s="1"/>
  <c r="BX158" i="57"/>
  <c r="BX57" i="57"/>
  <c r="BX188" i="57"/>
  <c r="BX198" i="57"/>
  <c r="BW68" i="57"/>
  <c r="BZ126" i="57"/>
  <c r="BZ1" i="57"/>
  <c r="BX2" i="57"/>
  <c r="BW118" i="57"/>
  <c r="BW117" i="57"/>
  <c r="BW116" i="57"/>
  <c r="BW105" i="57"/>
  <c r="BW104" i="57"/>
  <c r="BW96" i="57"/>
  <c r="BW95" i="57"/>
  <c r="BW100" i="57"/>
  <c r="BW97" i="57"/>
  <c r="BW98" i="57"/>
  <c r="BW99" i="57"/>
  <c r="BW107" i="57"/>
  <c r="BX139" i="57"/>
  <c r="BX138" i="57"/>
  <c r="BX136" i="57"/>
  <c r="BX137" i="57"/>
  <c r="BX134" i="57"/>
  <c r="BX135" i="57"/>
  <c r="BX140" i="57"/>
  <c r="BV74" i="57"/>
  <c r="BV75" i="57" s="1"/>
  <c r="BX159" i="57"/>
  <c r="BW81" i="57"/>
  <c r="BW80" i="57"/>
  <c r="BX63" i="57"/>
  <c r="BX64" i="57" s="1"/>
  <c r="BW62" i="57"/>
  <c r="BX61" i="57"/>
  <c r="BX65" i="57"/>
  <c r="BX66" i="57" s="1"/>
  <c r="BX67" i="57"/>
  <c r="BW71" i="57"/>
  <c r="CA56" i="57"/>
  <c r="BX189" i="57"/>
  <c r="BX157" i="57" s="1"/>
  <c r="BX173" i="57"/>
  <c r="BX175" i="57" s="1"/>
  <c r="BX133" i="57"/>
  <c r="BY58" i="57"/>
  <c r="CY141" i="63" l="1"/>
  <c r="DE175" i="63"/>
  <c r="DE133" i="63" s="1"/>
  <c r="CZ183" i="63"/>
  <c r="CZ184" i="63" s="1"/>
  <c r="CZ206" i="63" s="1"/>
  <c r="CZ208" i="63" s="1"/>
  <c r="CZ209" i="63" s="1"/>
  <c r="FP138" i="63"/>
  <c r="E138" i="63"/>
  <c r="BY158" i="57"/>
  <c r="BY57" i="57"/>
  <c r="BX161" i="57"/>
  <c r="BY188" i="57"/>
  <c r="BY198" i="57"/>
  <c r="BY161" i="57" s="1"/>
  <c r="BX68" i="57"/>
  <c r="CA126" i="57"/>
  <c r="CA1" i="57"/>
  <c r="BY2" i="57"/>
  <c r="BX118" i="57"/>
  <c r="BX117" i="57"/>
  <c r="BX116" i="57"/>
  <c r="BX96" i="57"/>
  <c r="BX105" i="57"/>
  <c r="BX104" i="57"/>
  <c r="BX95" i="57"/>
  <c r="BX97" i="57"/>
  <c r="BX98" i="57"/>
  <c r="BX100" i="57"/>
  <c r="BX99" i="57"/>
  <c r="BX107" i="57"/>
  <c r="BY139" i="57"/>
  <c r="BY140" i="57"/>
  <c r="BY138" i="57"/>
  <c r="BY135" i="57"/>
  <c r="BY136" i="57"/>
  <c r="BY137" i="57"/>
  <c r="BY134" i="57"/>
  <c r="BW74" i="57"/>
  <c r="BW75" i="57" s="1"/>
  <c r="BY159" i="57"/>
  <c r="BX80" i="57"/>
  <c r="BX81" i="57"/>
  <c r="BY63" i="57"/>
  <c r="BY64" i="57" s="1"/>
  <c r="BX71" i="57"/>
  <c r="BX62" i="57"/>
  <c r="BY67" i="57"/>
  <c r="BY65" i="57"/>
  <c r="BY66" i="57" s="1"/>
  <c r="BY61" i="57"/>
  <c r="CB56" i="57"/>
  <c r="BY189" i="57"/>
  <c r="BY173" i="57"/>
  <c r="BY133" i="57"/>
  <c r="BZ58" i="57"/>
  <c r="DE178" i="63" l="1"/>
  <c r="DF172" i="63" s="1"/>
  <c r="DF174" i="63" s="1"/>
  <c r="DF175" i="63" s="1"/>
  <c r="CZ137" i="63"/>
  <c r="CZ139" i="63" s="1"/>
  <c r="CZ187" i="63"/>
  <c r="DA181" i="63" s="1"/>
  <c r="BZ158" i="57"/>
  <c r="BZ57" i="57"/>
  <c r="BY157" i="57"/>
  <c r="BY175" i="57"/>
  <c r="BZ188" i="57"/>
  <c r="BZ198" i="57"/>
  <c r="BZ161" i="57" s="1"/>
  <c r="BY68" i="57"/>
  <c r="CB126" i="57"/>
  <c r="CB1" i="57"/>
  <c r="BZ2" i="57"/>
  <c r="BY118" i="57"/>
  <c r="BY117" i="57"/>
  <c r="BY116" i="57"/>
  <c r="BY104" i="57"/>
  <c r="BY105" i="57"/>
  <c r="BY95" i="57"/>
  <c r="BY96" i="57"/>
  <c r="BY100" i="57"/>
  <c r="BY98" i="57"/>
  <c r="BY99" i="57"/>
  <c r="BY97" i="57"/>
  <c r="BY107" i="57"/>
  <c r="BX74" i="57"/>
  <c r="BX75" i="57" s="1"/>
  <c r="BZ139" i="57"/>
  <c r="BZ137" i="57"/>
  <c r="BZ140" i="57"/>
  <c r="BZ138" i="57"/>
  <c r="BZ135" i="57"/>
  <c r="BZ134" i="57"/>
  <c r="BZ136" i="57"/>
  <c r="BZ159" i="57"/>
  <c r="BY81" i="57"/>
  <c r="BY80" i="57"/>
  <c r="BZ63" i="57"/>
  <c r="BZ64" i="57" s="1"/>
  <c r="BY62" i="57"/>
  <c r="BZ61" i="57"/>
  <c r="BZ65" i="57"/>
  <c r="BZ66" i="57" s="1"/>
  <c r="BZ67" i="57"/>
  <c r="BY71" i="57"/>
  <c r="CC56" i="57"/>
  <c r="BZ189" i="57"/>
  <c r="BZ157" i="57" s="1"/>
  <c r="BZ173" i="57"/>
  <c r="BZ175" i="57" s="1"/>
  <c r="BZ133" i="57"/>
  <c r="CA58" i="57"/>
  <c r="CZ141" i="63" l="1"/>
  <c r="CZ159" i="63"/>
  <c r="DF178" i="63"/>
  <c r="DG172" i="63" s="1"/>
  <c r="DG174" i="63" s="1"/>
  <c r="DG175" i="63" s="1"/>
  <c r="DF133" i="63"/>
  <c r="DA183" i="63"/>
  <c r="DA184" i="63" s="1"/>
  <c r="DA206" i="63" s="1"/>
  <c r="DA208" i="63" s="1"/>
  <c r="DA209" i="63" s="1"/>
  <c r="CA158" i="57"/>
  <c r="CA57" i="57"/>
  <c r="CA188" i="57"/>
  <c r="CA198" i="57"/>
  <c r="CA161" i="57" s="1"/>
  <c r="BZ68" i="57"/>
  <c r="CC126" i="57"/>
  <c r="CC1" i="57"/>
  <c r="CA2" i="57"/>
  <c r="BZ118" i="57"/>
  <c r="BZ117" i="57"/>
  <c r="BZ116" i="57"/>
  <c r="BZ96" i="57"/>
  <c r="BZ105" i="57"/>
  <c r="BZ95" i="57"/>
  <c r="BZ104" i="57"/>
  <c r="BZ99" i="57"/>
  <c r="BZ100" i="57"/>
  <c r="BZ98" i="57"/>
  <c r="BZ97" i="57"/>
  <c r="BZ107" i="57"/>
  <c r="CA135" i="57"/>
  <c r="CA138" i="57"/>
  <c r="CA136" i="57"/>
  <c r="CA134" i="57"/>
  <c r="CA137" i="57"/>
  <c r="CA139" i="57"/>
  <c r="CA140" i="57"/>
  <c r="BY74" i="57"/>
  <c r="BY75" i="57" s="1"/>
  <c r="CA159" i="57"/>
  <c r="BZ80" i="57"/>
  <c r="BZ81" i="57"/>
  <c r="CA63" i="57"/>
  <c r="CA64" i="57" s="1"/>
  <c r="BZ71" i="57"/>
  <c r="BZ62" i="57"/>
  <c r="CA67" i="57"/>
  <c r="CA65" i="57"/>
  <c r="CA66" i="57" s="1"/>
  <c r="CA61" i="57"/>
  <c r="CD56" i="57"/>
  <c r="CA189" i="57"/>
  <c r="CA157" i="57" s="1"/>
  <c r="CA173" i="57"/>
  <c r="CA175" i="57" s="1"/>
  <c r="CA133" i="57"/>
  <c r="CB58" i="57"/>
  <c r="DA137" i="63" l="1"/>
  <c r="DA139" i="63" s="1"/>
  <c r="DA187" i="63"/>
  <c r="DB181" i="63" s="1"/>
  <c r="CB158" i="57"/>
  <c r="CB57" i="57"/>
  <c r="CB188" i="57"/>
  <c r="CB198" i="57"/>
  <c r="CA68" i="57"/>
  <c r="CD126" i="57"/>
  <c r="CD1" i="57"/>
  <c r="CB2" i="57"/>
  <c r="CA117" i="57"/>
  <c r="CA118" i="57"/>
  <c r="CA116" i="57"/>
  <c r="CA95" i="57"/>
  <c r="CA105" i="57"/>
  <c r="CA104" i="57"/>
  <c r="CA96" i="57"/>
  <c r="CA100" i="57"/>
  <c r="CA99" i="57"/>
  <c r="CA98" i="57"/>
  <c r="CA97" i="57"/>
  <c r="CA107" i="57"/>
  <c r="BZ74" i="57"/>
  <c r="BZ75" i="57" s="1"/>
  <c r="CB140" i="57"/>
  <c r="CB139" i="57"/>
  <c r="CB136" i="57"/>
  <c r="CB138" i="57"/>
  <c r="CB137" i="57"/>
  <c r="CB134" i="57"/>
  <c r="CB135" i="57"/>
  <c r="CB159" i="57"/>
  <c r="CA80" i="57"/>
  <c r="CA81" i="57"/>
  <c r="CB63" i="57"/>
  <c r="CB64" i="57" s="1"/>
  <c r="CA62" i="57"/>
  <c r="CB61" i="57"/>
  <c r="CB65" i="57"/>
  <c r="CB66" i="57" s="1"/>
  <c r="CB67" i="57"/>
  <c r="CA71" i="57"/>
  <c r="CE56" i="57"/>
  <c r="CB189" i="57"/>
  <c r="CB173" i="57"/>
  <c r="CB175" i="57" s="1"/>
  <c r="CB133" i="57"/>
  <c r="CC58" i="57"/>
  <c r="DA141" i="63" l="1"/>
  <c r="DA159" i="63"/>
  <c r="DG178" i="63"/>
  <c r="DH172" i="63" s="1"/>
  <c r="DG133" i="63"/>
  <c r="DB183" i="63"/>
  <c r="DB184" i="63" s="1"/>
  <c r="DB206" i="63" s="1"/>
  <c r="DB208" i="63" s="1"/>
  <c r="DB209" i="63" s="1"/>
  <c r="CC158" i="57"/>
  <c r="CC57" i="57"/>
  <c r="CB157" i="57"/>
  <c r="CB161" i="57"/>
  <c r="CC188" i="57"/>
  <c r="CC198" i="57"/>
  <c r="CC161" i="57" s="1"/>
  <c r="CB68" i="57"/>
  <c r="CE126" i="57"/>
  <c r="CE1" i="57"/>
  <c r="CC2" i="57"/>
  <c r="CB117" i="57"/>
  <c r="CB118" i="57"/>
  <c r="CB116" i="57"/>
  <c r="CB104" i="57"/>
  <c r="CB95" i="57"/>
  <c r="CB96" i="57"/>
  <c r="CB105" i="57"/>
  <c r="CB97" i="57"/>
  <c r="CB98" i="57"/>
  <c r="CB99" i="57"/>
  <c r="CB100" i="57"/>
  <c r="CB107" i="57"/>
  <c r="CC135" i="57"/>
  <c r="CC139" i="57"/>
  <c r="CC136" i="57"/>
  <c r="CC137" i="57"/>
  <c r="CC134" i="57"/>
  <c r="CC140" i="57"/>
  <c r="CC138" i="57"/>
  <c r="CA74" i="57"/>
  <c r="CA75" i="57" s="1"/>
  <c r="CC159" i="57"/>
  <c r="CB81" i="57"/>
  <c r="CB80" i="57"/>
  <c r="CC63" i="57"/>
  <c r="CC64" i="57" s="1"/>
  <c r="CB71" i="57"/>
  <c r="CB62" i="57"/>
  <c r="CC67" i="57"/>
  <c r="CC65" i="57"/>
  <c r="CC66" i="57" s="1"/>
  <c r="CC61" i="57"/>
  <c r="CF56" i="57"/>
  <c r="CC173" i="57"/>
  <c r="CC175" i="57" s="1"/>
  <c r="CC189" i="57"/>
  <c r="CC157" i="57" s="1"/>
  <c r="CD58" i="57"/>
  <c r="CC133" i="57"/>
  <c r="DH174" i="63" l="1"/>
  <c r="DH175" i="63" s="1"/>
  <c r="DB137" i="63"/>
  <c r="DB139" i="63" s="1"/>
  <c r="DB187" i="63"/>
  <c r="DC181" i="63" s="1"/>
  <c r="CD158" i="57"/>
  <c r="CD57" i="57"/>
  <c r="CD188" i="57"/>
  <c r="CD198" i="57"/>
  <c r="CD161" i="57" s="1"/>
  <c r="CC68" i="57"/>
  <c r="CF126" i="57"/>
  <c r="CF1" i="57"/>
  <c r="CD2" i="57"/>
  <c r="CC117" i="57"/>
  <c r="CC118" i="57"/>
  <c r="CC116" i="57"/>
  <c r="CC95" i="57"/>
  <c r="CC105" i="57"/>
  <c r="CC96" i="57"/>
  <c r="CC104" i="57"/>
  <c r="CC98" i="57"/>
  <c r="CC99" i="57"/>
  <c r="CC100" i="57"/>
  <c r="CC97" i="57"/>
  <c r="CC107" i="57"/>
  <c r="CB74" i="57"/>
  <c r="CB75" i="57" s="1"/>
  <c r="CD139" i="57"/>
  <c r="CD134" i="57"/>
  <c r="CD138" i="57"/>
  <c r="CD135" i="57"/>
  <c r="CD136" i="57"/>
  <c r="CD140" i="57"/>
  <c r="CD137" i="57"/>
  <c r="CD159" i="57"/>
  <c r="CC80" i="57"/>
  <c r="CC81" i="57"/>
  <c r="CD63" i="57"/>
  <c r="CD64" i="57" s="1"/>
  <c r="CC62" i="57"/>
  <c r="CD61" i="57"/>
  <c r="CD65" i="57"/>
  <c r="CD66" i="57" s="1"/>
  <c r="CD67" i="57"/>
  <c r="CC71" i="57"/>
  <c r="CG56" i="57"/>
  <c r="CD189" i="57"/>
  <c r="CD157" i="57" s="1"/>
  <c r="CD173" i="57"/>
  <c r="CD175" i="57" s="1"/>
  <c r="CE58" i="57"/>
  <c r="CD133" i="57"/>
  <c r="DB141" i="63" l="1"/>
  <c r="DB159" i="63"/>
  <c r="DC183" i="63"/>
  <c r="DC184" i="63" s="1"/>
  <c r="DC206" i="63" s="1"/>
  <c r="DC208" i="63" s="1"/>
  <c r="DC209" i="63" s="1"/>
  <c r="CE158" i="57"/>
  <c r="CE57" i="57"/>
  <c r="CE188" i="57"/>
  <c r="CE198" i="57"/>
  <c r="CE161" i="57" s="1"/>
  <c r="CD68" i="57"/>
  <c r="CG126" i="57"/>
  <c r="CG1" i="57"/>
  <c r="CE2" i="57"/>
  <c r="CD117" i="57"/>
  <c r="CD118" i="57"/>
  <c r="CD116" i="57"/>
  <c r="CD96" i="57"/>
  <c r="CD95" i="57"/>
  <c r="CD105" i="57"/>
  <c r="CD104" i="57"/>
  <c r="CD97" i="57"/>
  <c r="CD99" i="57"/>
  <c r="CD100" i="57"/>
  <c r="CD98" i="57"/>
  <c r="CD107" i="57"/>
  <c r="CE140" i="57"/>
  <c r="CE136" i="57"/>
  <c r="CE135" i="57"/>
  <c r="CE134" i="57"/>
  <c r="CE139" i="57"/>
  <c r="CE137" i="57"/>
  <c r="CE138" i="57"/>
  <c r="CC74" i="57"/>
  <c r="CC75" i="57" s="1"/>
  <c r="CE159" i="57"/>
  <c r="CD80" i="57"/>
  <c r="CD81" i="57"/>
  <c r="CE63" i="57"/>
  <c r="CE64" i="57" s="1"/>
  <c r="CD71" i="57"/>
  <c r="CD62" i="57"/>
  <c r="CE67" i="57"/>
  <c r="CE65" i="57"/>
  <c r="CE66" i="57" s="1"/>
  <c r="CE61" i="57"/>
  <c r="CH56" i="57"/>
  <c r="CE189" i="57"/>
  <c r="CE157" i="57" s="1"/>
  <c r="CE173" i="57"/>
  <c r="CE175" i="57" s="1"/>
  <c r="CE133" i="57"/>
  <c r="CF58" i="57"/>
  <c r="DH133" i="63" l="1"/>
  <c r="DH178" i="63"/>
  <c r="DI172" i="63" s="1"/>
  <c r="DI174" i="63" s="1"/>
  <c r="DI175" i="63" s="1"/>
  <c r="DC137" i="63"/>
  <c r="DC139" i="63" s="1"/>
  <c r="DC187" i="63"/>
  <c r="DD181" i="63" s="1"/>
  <c r="CF158" i="57"/>
  <c r="CF57" i="57"/>
  <c r="CF188" i="57"/>
  <c r="CF198" i="57"/>
  <c r="CF161" i="57" s="1"/>
  <c r="CE68" i="57"/>
  <c r="CH126" i="57"/>
  <c r="CH1" i="57"/>
  <c r="CF2" i="57"/>
  <c r="CE118" i="57"/>
  <c r="CE117" i="57"/>
  <c r="CE116" i="57"/>
  <c r="CE105" i="57"/>
  <c r="CE104" i="57"/>
  <c r="CE96" i="57"/>
  <c r="CE95" i="57"/>
  <c r="CE97" i="57"/>
  <c r="CE98" i="57"/>
  <c r="CE99" i="57"/>
  <c r="CE100" i="57"/>
  <c r="CE107" i="57"/>
  <c r="CD74" i="57"/>
  <c r="CD75" i="57" s="1"/>
  <c r="CF139" i="57"/>
  <c r="CF140" i="57"/>
  <c r="CF134" i="57"/>
  <c r="CF136" i="57"/>
  <c r="CF137" i="57"/>
  <c r="CF135" i="57"/>
  <c r="CF138" i="57"/>
  <c r="CF159" i="57"/>
  <c r="CE81" i="57"/>
  <c r="CE80" i="57"/>
  <c r="CF63" i="57"/>
  <c r="CF64" i="57" s="1"/>
  <c r="CE62" i="57"/>
  <c r="CF61" i="57"/>
  <c r="CF65" i="57"/>
  <c r="CF66" i="57" s="1"/>
  <c r="CF67" i="57"/>
  <c r="CE71" i="57"/>
  <c r="CI56" i="57"/>
  <c r="CF189" i="57"/>
  <c r="CF157" i="57" s="1"/>
  <c r="CF173" i="57"/>
  <c r="CF175" i="57" s="1"/>
  <c r="CF133" i="57"/>
  <c r="CG58" i="57"/>
  <c r="DC141" i="63" l="1"/>
  <c r="DC159" i="63"/>
  <c r="DD183" i="63"/>
  <c r="DD184" i="63" s="1"/>
  <c r="DD206" i="63" s="1"/>
  <c r="DD208" i="63" s="1"/>
  <c r="DD209" i="63" s="1"/>
  <c r="CG158" i="57"/>
  <c r="CG57" i="57"/>
  <c r="CG188" i="57"/>
  <c r="CG198" i="57"/>
  <c r="CG161" i="57" s="1"/>
  <c r="CF68" i="57"/>
  <c r="CI126" i="57"/>
  <c r="CI1" i="57"/>
  <c r="CG2" i="57"/>
  <c r="CF118" i="57"/>
  <c r="CF117" i="57"/>
  <c r="CF116" i="57"/>
  <c r="CF96" i="57"/>
  <c r="CF105" i="57"/>
  <c r="CF95" i="57"/>
  <c r="CF104" i="57"/>
  <c r="CF97" i="57"/>
  <c r="CF99" i="57"/>
  <c r="CF100" i="57"/>
  <c r="CF98" i="57"/>
  <c r="CF107" i="57"/>
  <c r="CG140" i="57"/>
  <c r="CG138" i="57"/>
  <c r="CG137" i="57"/>
  <c r="CG136" i="57"/>
  <c r="CG135" i="57"/>
  <c r="CG134" i="57"/>
  <c r="CG139" i="57"/>
  <c r="CE74" i="57"/>
  <c r="CE75" i="57" s="1"/>
  <c r="CG159" i="57"/>
  <c r="CF81" i="57"/>
  <c r="CF80" i="57"/>
  <c r="CG63" i="57"/>
  <c r="CG64" i="57" s="1"/>
  <c r="CF71" i="57"/>
  <c r="CF62" i="57"/>
  <c r="CG67" i="57"/>
  <c r="CG65" i="57"/>
  <c r="CG66" i="57" s="1"/>
  <c r="CG61" i="57"/>
  <c r="CJ56" i="57"/>
  <c r="CG189" i="57"/>
  <c r="CG157" i="57" s="1"/>
  <c r="CG173" i="57"/>
  <c r="CG175" i="57" s="1"/>
  <c r="CG133" i="57"/>
  <c r="CH58" i="57"/>
  <c r="DI178" i="63" l="1"/>
  <c r="DJ172" i="63" s="1"/>
  <c r="DI133" i="63"/>
  <c r="DD137" i="63"/>
  <c r="DD139" i="63" s="1"/>
  <c r="DD187" i="63"/>
  <c r="DE181" i="63" s="1"/>
  <c r="CH158" i="57"/>
  <c r="CH57" i="57"/>
  <c r="CH188" i="57"/>
  <c r="CH198" i="57"/>
  <c r="CG68" i="57"/>
  <c r="CJ126" i="57"/>
  <c r="CJ1" i="57"/>
  <c r="CH2" i="57"/>
  <c r="CG118" i="57"/>
  <c r="CG117" i="57"/>
  <c r="CG116" i="57"/>
  <c r="CG95" i="57"/>
  <c r="CG96" i="57"/>
  <c r="CG104" i="57"/>
  <c r="CG105" i="57"/>
  <c r="CG98" i="57"/>
  <c r="CG100" i="57"/>
  <c r="CG99" i="57"/>
  <c r="CG97" i="57"/>
  <c r="CG107" i="57"/>
  <c r="CF74" i="57"/>
  <c r="CF75" i="57" s="1"/>
  <c r="CH139" i="57"/>
  <c r="CH136" i="57"/>
  <c r="CH140" i="57"/>
  <c r="CH135" i="57"/>
  <c r="CH137" i="57"/>
  <c r="CH138" i="57"/>
  <c r="CH134" i="57"/>
  <c r="CH159" i="57"/>
  <c r="CG80" i="57"/>
  <c r="CG81" i="57"/>
  <c r="CH63" i="57"/>
  <c r="CH64" i="57" s="1"/>
  <c r="CG62" i="57"/>
  <c r="CH61" i="57"/>
  <c r="CH65" i="57"/>
  <c r="CH66" i="57" s="1"/>
  <c r="CH67" i="57"/>
  <c r="CG71" i="57"/>
  <c r="CK56" i="57"/>
  <c r="CH189" i="57"/>
  <c r="CH173" i="57"/>
  <c r="CH133" i="57"/>
  <c r="CI58" i="57"/>
  <c r="DD159" i="63" l="1"/>
  <c r="DJ174" i="63"/>
  <c r="DJ175" i="63" s="1"/>
  <c r="DE183" i="63"/>
  <c r="DE184" i="63" s="1"/>
  <c r="DE206" i="63" s="1"/>
  <c r="DE208" i="63" s="1"/>
  <c r="DE209" i="63" s="1"/>
  <c r="CI158" i="57"/>
  <c r="CI57" i="57"/>
  <c r="CH175" i="57"/>
  <c r="CH157" i="57"/>
  <c r="CH161" i="57"/>
  <c r="CI188" i="57"/>
  <c r="CI198" i="57"/>
  <c r="CI161" i="57" s="1"/>
  <c r="CH68" i="57"/>
  <c r="CK126" i="57"/>
  <c r="CK1" i="57"/>
  <c r="CI2" i="57"/>
  <c r="CH118" i="57"/>
  <c r="CH117" i="57"/>
  <c r="CH116" i="57"/>
  <c r="CH96" i="57"/>
  <c r="CH95" i="57"/>
  <c r="CH98" i="57"/>
  <c r="CH105" i="57"/>
  <c r="CH104" i="57"/>
  <c r="CH99" i="57"/>
  <c r="CH100" i="57"/>
  <c r="CH97" i="57"/>
  <c r="CH107" i="57"/>
  <c r="CI140" i="57"/>
  <c r="CI137" i="57"/>
  <c r="CI139" i="57"/>
  <c r="CI138" i="57"/>
  <c r="CI135" i="57"/>
  <c r="CI136" i="57"/>
  <c r="CI134" i="57"/>
  <c r="CG74" i="57"/>
  <c r="CG75" i="57" s="1"/>
  <c r="CI159" i="57"/>
  <c r="CH80" i="57"/>
  <c r="CH81" i="57"/>
  <c r="CI63" i="57"/>
  <c r="CI64" i="57" s="1"/>
  <c r="CH71" i="57"/>
  <c r="CH62" i="57"/>
  <c r="CI67" i="57"/>
  <c r="CI65" i="57"/>
  <c r="CI66" i="57" s="1"/>
  <c r="CI61" i="57"/>
  <c r="CL56" i="57"/>
  <c r="CI189" i="57"/>
  <c r="CI157" i="57" s="1"/>
  <c r="CI173" i="57"/>
  <c r="CI175" i="57" s="1"/>
  <c r="CI133" i="57"/>
  <c r="CJ58" i="57"/>
  <c r="DD141" i="63" l="1"/>
  <c r="DE137" i="63"/>
  <c r="DE139" i="63" s="1"/>
  <c r="DE187" i="63"/>
  <c r="DF181" i="63" s="1"/>
  <c r="CJ158" i="57"/>
  <c r="CJ57" i="57"/>
  <c r="CJ188" i="57"/>
  <c r="CJ198" i="57"/>
  <c r="CI68" i="57"/>
  <c r="CL126" i="57"/>
  <c r="CL1" i="57"/>
  <c r="CJ2" i="57"/>
  <c r="CI117" i="57"/>
  <c r="CI118" i="57"/>
  <c r="CI116" i="57"/>
  <c r="CI105" i="57"/>
  <c r="CI104" i="57"/>
  <c r="CI95" i="57"/>
  <c r="CI96" i="57"/>
  <c r="CI100" i="57"/>
  <c r="CI98" i="57"/>
  <c r="CI99" i="57"/>
  <c r="CI97" i="57"/>
  <c r="CI107" i="57"/>
  <c r="CH74" i="57"/>
  <c r="CH75" i="57" s="1"/>
  <c r="CJ140" i="57"/>
  <c r="CJ138" i="57"/>
  <c r="CJ139" i="57"/>
  <c r="CJ137" i="57"/>
  <c r="CJ136" i="57"/>
  <c r="CJ135" i="57"/>
  <c r="CJ134" i="57"/>
  <c r="CJ159" i="57"/>
  <c r="CI80" i="57"/>
  <c r="CI81" i="57"/>
  <c r="CJ63" i="57"/>
  <c r="CJ64" i="57" s="1"/>
  <c r="CI62" i="57"/>
  <c r="CJ61" i="57"/>
  <c r="CJ65" i="57"/>
  <c r="CJ66" i="57" s="1"/>
  <c r="CJ67" i="57"/>
  <c r="CI71" i="57"/>
  <c r="CM56" i="57"/>
  <c r="CJ189" i="57"/>
  <c r="CJ173" i="57"/>
  <c r="CJ175" i="57" s="1"/>
  <c r="CJ133" i="57"/>
  <c r="CK58" i="57"/>
  <c r="DE141" i="63" l="1"/>
  <c r="DE159" i="63"/>
  <c r="DJ133" i="63"/>
  <c r="DJ178" i="63"/>
  <c r="DK172" i="63" s="1"/>
  <c r="DF183" i="63"/>
  <c r="CK158" i="57"/>
  <c r="CK57" i="57"/>
  <c r="CJ161" i="57"/>
  <c r="CJ157" i="57"/>
  <c r="CK188" i="57"/>
  <c r="CK198" i="57"/>
  <c r="CK161" i="57" s="1"/>
  <c r="CJ68" i="57"/>
  <c r="CM126" i="57"/>
  <c r="CM1" i="57"/>
  <c r="CK2" i="57"/>
  <c r="CJ117" i="57"/>
  <c r="CJ118" i="57"/>
  <c r="CJ116" i="57"/>
  <c r="CJ105" i="57"/>
  <c r="CJ95" i="57"/>
  <c r="CJ104" i="57"/>
  <c r="CJ96" i="57"/>
  <c r="CJ100" i="57"/>
  <c r="CJ97" i="57"/>
  <c r="CJ99" i="57"/>
  <c r="CJ98" i="57"/>
  <c r="CJ107" i="57"/>
  <c r="CK138" i="57"/>
  <c r="CK139" i="57"/>
  <c r="CK140" i="57"/>
  <c r="CK135" i="57"/>
  <c r="CK137" i="57"/>
  <c r="CK136" i="57"/>
  <c r="CK134" i="57"/>
  <c r="CI74" i="57"/>
  <c r="CI75" i="57" s="1"/>
  <c r="CK159" i="57"/>
  <c r="CJ80" i="57"/>
  <c r="CJ81" i="57"/>
  <c r="CK63" i="57"/>
  <c r="CK64" i="57" s="1"/>
  <c r="CJ71" i="57"/>
  <c r="CJ62" i="57"/>
  <c r="CK67" i="57"/>
  <c r="CK65" i="57"/>
  <c r="CK66" i="57" s="1"/>
  <c r="CK61" i="57"/>
  <c r="CN56" i="57"/>
  <c r="CK189" i="57"/>
  <c r="CK157" i="57" s="1"/>
  <c r="CK173" i="57"/>
  <c r="CL58" i="57"/>
  <c r="CK133" i="57"/>
  <c r="DK174" i="63" l="1"/>
  <c r="DF184" i="63"/>
  <c r="DF206" i="63" s="1"/>
  <c r="DF208" i="63" s="1"/>
  <c r="DF209" i="63" s="1"/>
  <c r="CL158" i="57"/>
  <c r="CL57" i="57"/>
  <c r="CK175" i="57"/>
  <c r="CL188" i="57"/>
  <c r="CL198" i="57"/>
  <c r="CL161" i="57" s="1"/>
  <c r="CK68" i="57"/>
  <c r="CN126" i="57"/>
  <c r="CN1" i="57"/>
  <c r="CL2" i="57"/>
  <c r="CK117" i="57"/>
  <c r="CK118" i="57"/>
  <c r="CK116" i="57"/>
  <c r="CK105" i="57"/>
  <c r="CK95" i="57"/>
  <c r="CK104" i="57"/>
  <c r="CK96" i="57"/>
  <c r="CK100" i="57"/>
  <c r="CK97" i="57"/>
  <c r="CK98" i="57"/>
  <c r="CK99" i="57"/>
  <c r="CK107" i="57"/>
  <c r="CJ74" i="57"/>
  <c r="CJ75" i="57" s="1"/>
  <c r="CL138" i="57"/>
  <c r="CL139" i="57"/>
  <c r="CL135" i="57"/>
  <c r="CL137" i="57"/>
  <c r="CL140" i="57"/>
  <c r="CL136" i="57"/>
  <c r="CL134" i="57"/>
  <c r="CL159" i="57"/>
  <c r="CK80" i="57"/>
  <c r="CK81" i="57"/>
  <c r="CL63" i="57"/>
  <c r="CL64" i="57" s="1"/>
  <c r="CK62" i="57"/>
  <c r="CL61" i="57"/>
  <c r="CL65" i="57"/>
  <c r="CL66" i="57" s="1"/>
  <c r="CL67" i="57"/>
  <c r="CK71" i="57"/>
  <c r="CO56" i="57"/>
  <c r="CL189" i="57"/>
  <c r="CL173" i="57"/>
  <c r="CL175" i="57" s="1"/>
  <c r="CM58" i="57"/>
  <c r="CL133" i="57"/>
  <c r="DK175" i="63" l="1"/>
  <c r="DK133" i="63" s="1"/>
  <c r="DK178" i="63"/>
  <c r="DL172" i="63" s="1"/>
  <c r="DF187" i="63"/>
  <c r="DG181" i="63" s="1"/>
  <c r="DG183" i="63" s="1"/>
  <c r="DF137" i="63"/>
  <c r="DF139" i="63" s="1"/>
  <c r="CM158" i="57"/>
  <c r="CM57" i="57"/>
  <c r="CL157" i="57"/>
  <c r="CM188" i="57"/>
  <c r="CM198" i="57"/>
  <c r="CM161" i="57" s="1"/>
  <c r="CL68" i="57"/>
  <c r="CO126" i="57"/>
  <c r="CO1" i="57"/>
  <c r="CM2" i="57"/>
  <c r="CL117" i="57"/>
  <c r="CL118" i="57"/>
  <c r="CL116" i="57"/>
  <c r="CL98" i="57"/>
  <c r="CL96" i="57"/>
  <c r="CL105" i="57"/>
  <c r="CL104" i="57"/>
  <c r="CL95" i="57"/>
  <c r="CL100" i="57"/>
  <c r="CL97" i="57"/>
  <c r="CL99" i="57"/>
  <c r="CL107" i="57"/>
  <c r="CM138" i="57"/>
  <c r="CM140" i="57"/>
  <c r="CM136" i="57"/>
  <c r="CM135" i="57"/>
  <c r="CM139" i="57"/>
  <c r="CM137" i="57"/>
  <c r="CM134" i="57"/>
  <c r="CK74" i="57"/>
  <c r="CK75" i="57" s="1"/>
  <c r="CM159" i="57"/>
  <c r="CL80" i="57"/>
  <c r="CL81" i="57"/>
  <c r="CM63" i="57"/>
  <c r="CM64" i="57" s="1"/>
  <c r="CL71" i="57"/>
  <c r="CL62" i="57"/>
  <c r="CM67" i="57"/>
  <c r="CM65" i="57"/>
  <c r="CM66" i="57" s="1"/>
  <c r="CM61" i="57"/>
  <c r="CP56" i="57"/>
  <c r="CM189" i="57"/>
  <c r="CM157" i="57" s="1"/>
  <c r="CM173" i="57"/>
  <c r="CM133" i="57"/>
  <c r="CN58" i="57"/>
  <c r="DF141" i="63" l="1"/>
  <c r="DF159" i="63"/>
  <c r="DL174" i="63"/>
  <c r="DG184" i="63"/>
  <c r="DG206" i="63" s="1"/>
  <c r="DG208" i="63" s="1"/>
  <c r="DG209" i="63" s="1"/>
  <c r="CN158" i="57"/>
  <c r="CN57" i="57"/>
  <c r="CM175" i="57"/>
  <c r="CN188" i="57"/>
  <c r="CN198" i="57"/>
  <c r="CN161" i="57" s="1"/>
  <c r="CM68" i="57"/>
  <c r="CP126" i="57"/>
  <c r="CP1" i="57"/>
  <c r="CN2" i="57"/>
  <c r="CM118" i="57"/>
  <c r="CM117" i="57"/>
  <c r="CM116" i="57"/>
  <c r="CM105" i="57"/>
  <c r="CM104" i="57"/>
  <c r="CM96" i="57"/>
  <c r="CM95" i="57"/>
  <c r="CM97" i="57"/>
  <c r="CM99" i="57"/>
  <c r="CM100" i="57"/>
  <c r="CM98" i="57"/>
  <c r="CM107" i="57"/>
  <c r="CL74" i="57"/>
  <c r="CL75" i="57" s="1"/>
  <c r="CN134" i="57"/>
  <c r="CN135" i="57"/>
  <c r="CN139" i="57"/>
  <c r="CN140" i="57"/>
  <c r="CN136" i="57"/>
  <c r="CN138" i="57"/>
  <c r="CN137" i="57"/>
  <c r="CN159" i="57"/>
  <c r="CM81" i="57"/>
  <c r="CM80" i="57"/>
  <c r="CN63" i="57"/>
  <c r="CN64" i="57" s="1"/>
  <c r="CM62" i="57"/>
  <c r="CN61" i="57"/>
  <c r="CN65" i="57"/>
  <c r="CN66" i="57" s="1"/>
  <c r="CN67" i="57"/>
  <c r="CM71" i="57"/>
  <c r="CQ56" i="57"/>
  <c r="CN189" i="57"/>
  <c r="CN173" i="57"/>
  <c r="CN175" i="57" s="1"/>
  <c r="CN133" i="57"/>
  <c r="CO58" i="57"/>
  <c r="DL175" i="63" l="1"/>
  <c r="DL133" i="63" s="1"/>
  <c r="DG187" i="63"/>
  <c r="DH181" i="63" s="1"/>
  <c r="DH183" i="63" s="1"/>
  <c r="DG137" i="63"/>
  <c r="DG139" i="63" s="1"/>
  <c r="CO158" i="57"/>
  <c r="CO57" i="57"/>
  <c r="CN157" i="57"/>
  <c r="CO188" i="57"/>
  <c r="CO198" i="57"/>
  <c r="CO161" i="57" s="1"/>
  <c r="CN68" i="57"/>
  <c r="CQ126" i="57"/>
  <c r="CQ1" i="57"/>
  <c r="CO2" i="57"/>
  <c r="CN118" i="57"/>
  <c r="CN117" i="57"/>
  <c r="CN116" i="57"/>
  <c r="CN104" i="57"/>
  <c r="CN105" i="57"/>
  <c r="CN95" i="57"/>
  <c r="CN96" i="57"/>
  <c r="CN97" i="57"/>
  <c r="CN98" i="57"/>
  <c r="CN99" i="57"/>
  <c r="CN100" i="57"/>
  <c r="CN107" i="57"/>
  <c r="CO140" i="57"/>
  <c r="CO138" i="57"/>
  <c r="CO135" i="57"/>
  <c r="CO136" i="57"/>
  <c r="CO139" i="57"/>
  <c r="CO137" i="57"/>
  <c r="CO134" i="57"/>
  <c r="CM74" i="57"/>
  <c r="CO159" i="57"/>
  <c r="CN81" i="57"/>
  <c r="CN80" i="57"/>
  <c r="CO63" i="57"/>
  <c r="CO64" i="57" s="1"/>
  <c r="CN71" i="57"/>
  <c r="CN62" i="57"/>
  <c r="CO67" i="57"/>
  <c r="CO65" i="57"/>
  <c r="CO66" i="57" s="1"/>
  <c r="CO61" i="57"/>
  <c r="CR56" i="57"/>
  <c r="CO173" i="57"/>
  <c r="CO175" i="57" s="1"/>
  <c r="CO189" i="57"/>
  <c r="CO157" i="57" s="1"/>
  <c r="CO133" i="57"/>
  <c r="CP58" i="57"/>
  <c r="DL178" i="63" l="1"/>
  <c r="DM172" i="63" s="1"/>
  <c r="DG141" i="63"/>
  <c r="DG159" i="63"/>
  <c r="DM174" i="63"/>
  <c r="DH184" i="63"/>
  <c r="DH206" i="63" s="1"/>
  <c r="DH208" i="63" s="1"/>
  <c r="DH209" i="63" s="1"/>
  <c r="CP158" i="57"/>
  <c r="CP57" i="57"/>
  <c r="CM75" i="57"/>
  <c r="CP188" i="57"/>
  <c r="CP198" i="57"/>
  <c r="CP161" i="57" s="1"/>
  <c r="CO68" i="57"/>
  <c r="CR126" i="57"/>
  <c r="CR1" i="57"/>
  <c r="CP2" i="57"/>
  <c r="CO118" i="57"/>
  <c r="CO117" i="57"/>
  <c r="CO116" i="57"/>
  <c r="CO95" i="57"/>
  <c r="CO98" i="57"/>
  <c r="CO96" i="57"/>
  <c r="CO104" i="57"/>
  <c r="CO105" i="57"/>
  <c r="CO100" i="57"/>
  <c r="CO99" i="57"/>
  <c r="CO97" i="57"/>
  <c r="CO107" i="57"/>
  <c r="CN74" i="57"/>
  <c r="CN75" i="57" s="1"/>
  <c r="CP139" i="57"/>
  <c r="CP140" i="57"/>
  <c r="CP137" i="57"/>
  <c r="CP138" i="57"/>
  <c r="CP136" i="57"/>
  <c r="CP134" i="57"/>
  <c r="CP135" i="57"/>
  <c r="CP159" i="57"/>
  <c r="CO81" i="57"/>
  <c r="CO80" i="57"/>
  <c r="CP63" i="57"/>
  <c r="CP64" i="57" s="1"/>
  <c r="CO62" i="57"/>
  <c r="CP61" i="57"/>
  <c r="CP65" i="57"/>
  <c r="CP66" i="57" s="1"/>
  <c r="CP67" i="57"/>
  <c r="CO71" i="57"/>
  <c r="CS56" i="57"/>
  <c r="CP189" i="57"/>
  <c r="CP173" i="57"/>
  <c r="CP175" i="57" s="1"/>
  <c r="CP133" i="57"/>
  <c r="CQ58" i="57"/>
  <c r="DM175" i="63" l="1"/>
  <c r="DM133" i="63" s="1"/>
  <c r="DH187" i="63"/>
  <c r="DI181" i="63" s="1"/>
  <c r="DI183" i="63" s="1"/>
  <c r="DH137" i="63"/>
  <c r="DH139" i="63" s="1"/>
  <c r="CQ158" i="57"/>
  <c r="CQ57" i="57"/>
  <c r="CP157" i="57"/>
  <c r="CQ188" i="57"/>
  <c r="CQ198" i="57"/>
  <c r="CQ161" i="57" s="1"/>
  <c r="CP68" i="57"/>
  <c r="CS126" i="57"/>
  <c r="CS1" i="57"/>
  <c r="CQ2" i="57"/>
  <c r="CP118" i="57"/>
  <c r="CP117" i="57"/>
  <c r="CP116" i="57"/>
  <c r="CP96" i="57"/>
  <c r="CP105" i="57"/>
  <c r="CP95" i="57"/>
  <c r="CP104" i="57"/>
  <c r="CP99" i="57"/>
  <c r="CP98" i="57"/>
  <c r="CP97" i="57"/>
  <c r="CP100" i="57"/>
  <c r="CP107" i="57"/>
  <c r="CQ137" i="57"/>
  <c r="CQ139" i="57"/>
  <c r="CQ135" i="57"/>
  <c r="CQ136" i="57"/>
  <c r="CQ140" i="57"/>
  <c r="CQ138" i="57"/>
  <c r="CQ134" i="57"/>
  <c r="CO74" i="57"/>
  <c r="CO75" i="57" s="1"/>
  <c r="CQ159" i="57"/>
  <c r="CP80" i="57"/>
  <c r="CP81" i="57"/>
  <c r="CQ63" i="57"/>
  <c r="CQ64" i="57" s="1"/>
  <c r="CP71" i="57"/>
  <c r="CP62" i="57"/>
  <c r="CQ67" i="57"/>
  <c r="CQ65" i="57"/>
  <c r="CQ66" i="57" s="1"/>
  <c r="CQ61" i="57"/>
  <c r="CT56" i="57"/>
  <c r="CQ189" i="57"/>
  <c r="CQ157" i="57" s="1"/>
  <c r="CQ173" i="57"/>
  <c r="CQ175" i="57" s="1"/>
  <c r="CQ133" i="57"/>
  <c r="CR58" i="57"/>
  <c r="DM178" i="63" l="1"/>
  <c r="DN172" i="63" s="1"/>
  <c r="DN174" i="63" s="1"/>
  <c r="DN175" i="63"/>
  <c r="DN133" i="63" s="1"/>
  <c r="DH141" i="63"/>
  <c r="DH159" i="63"/>
  <c r="DN178" i="63"/>
  <c r="DO172" i="63" s="1"/>
  <c r="DI184" i="63"/>
  <c r="DI206" i="63" s="1"/>
  <c r="DI208" i="63" s="1"/>
  <c r="DI209" i="63" s="1"/>
  <c r="CR158" i="57"/>
  <c r="CR57" i="57"/>
  <c r="CR188" i="57"/>
  <c r="CR198" i="57"/>
  <c r="CR161" i="57" s="1"/>
  <c r="CQ68" i="57"/>
  <c r="CT126" i="57"/>
  <c r="CT1" i="57"/>
  <c r="CR2" i="57"/>
  <c r="CQ117" i="57"/>
  <c r="CQ118" i="57"/>
  <c r="CQ116" i="57"/>
  <c r="CQ104" i="57"/>
  <c r="CQ95" i="57"/>
  <c r="CQ96" i="57"/>
  <c r="CQ105" i="57"/>
  <c r="CQ99" i="57"/>
  <c r="CQ100" i="57"/>
  <c r="CQ98" i="57"/>
  <c r="CQ97" i="57"/>
  <c r="CQ107" i="57"/>
  <c r="CP74" i="57"/>
  <c r="CP75" i="57" s="1"/>
  <c r="CR138" i="57"/>
  <c r="CR139" i="57"/>
  <c r="CR135" i="57"/>
  <c r="CR137" i="57"/>
  <c r="CR136" i="57"/>
  <c r="CR140" i="57"/>
  <c r="CR134" i="57"/>
  <c r="CR159" i="57"/>
  <c r="CQ80" i="57"/>
  <c r="CQ81" i="57"/>
  <c r="CR63" i="57"/>
  <c r="CR64" i="57" s="1"/>
  <c r="CQ62" i="57"/>
  <c r="CR61" i="57"/>
  <c r="CR65" i="57"/>
  <c r="CR66" i="57" s="1"/>
  <c r="CR67" i="57"/>
  <c r="CQ71" i="57"/>
  <c r="CU56" i="57"/>
  <c r="CR189" i="57"/>
  <c r="CR157" i="57" s="1"/>
  <c r="CR173" i="57"/>
  <c r="CR175" i="57" s="1"/>
  <c r="CR133" i="57"/>
  <c r="CS58" i="57"/>
  <c r="DO174" i="63" l="1"/>
  <c r="DI137" i="63"/>
  <c r="DI139" i="63" s="1"/>
  <c r="DI187" i="63"/>
  <c r="DJ181" i="63" s="1"/>
  <c r="CS158" i="57"/>
  <c r="CS57" i="57"/>
  <c r="CS188" i="57"/>
  <c r="CS198" i="57"/>
  <c r="CS161" i="57" s="1"/>
  <c r="CR68" i="57"/>
  <c r="CU126" i="57"/>
  <c r="CU1" i="57"/>
  <c r="CS2" i="57"/>
  <c r="CR117" i="57"/>
  <c r="CR118" i="57"/>
  <c r="CR116" i="57"/>
  <c r="CR104" i="57"/>
  <c r="CR96" i="57"/>
  <c r="CR105" i="57"/>
  <c r="CR95" i="57"/>
  <c r="CR98" i="57"/>
  <c r="CR99" i="57"/>
  <c r="CR97" i="57"/>
  <c r="CR100" i="57"/>
  <c r="CR107" i="57"/>
  <c r="CS138" i="57"/>
  <c r="CS140" i="57"/>
  <c r="CS135" i="57"/>
  <c r="CS136" i="57"/>
  <c r="CS134" i="57"/>
  <c r="CS139" i="57"/>
  <c r="CS137" i="57"/>
  <c r="CQ74" i="57"/>
  <c r="CQ75" i="57" s="1"/>
  <c r="CS159" i="57"/>
  <c r="CR81" i="57"/>
  <c r="CR80" i="57"/>
  <c r="CS63" i="57"/>
  <c r="CS64" i="57" s="1"/>
  <c r="CR71" i="57"/>
  <c r="CR62" i="57"/>
  <c r="CS67" i="57"/>
  <c r="CS65" i="57"/>
  <c r="CS66" i="57" s="1"/>
  <c r="CS61" i="57"/>
  <c r="CV56" i="57"/>
  <c r="CS189" i="57"/>
  <c r="CS157" i="57" s="1"/>
  <c r="CS173" i="57"/>
  <c r="CS175" i="57" s="1"/>
  <c r="CT58" i="57"/>
  <c r="CS133" i="57"/>
  <c r="DO175" i="63" l="1"/>
  <c r="DO133" i="63" s="1"/>
  <c r="DI141" i="63"/>
  <c r="DI159" i="63"/>
  <c r="DO178" i="63"/>
  <c r="DP172" i="63" s="1"/>
  <c r="DP174" i="63" s="1"/>
  <c r="DJ183" i="63"/>
  <c r="DJ184" i="63" s="1"/>
  <c r="DJ206" i="63" s="1"/>
  <c r="DJ208" i="63" s="1"/>
  <c r="DJ209" i="63" s="1"/>
  <c r="CT158" i="57"/>
  <c r="CT57" i="57"/>
  <c r="CT188" i="57"/>
  <c r="CT198" i="57"/>
  <c r="CT161" i="57" s="1"/>
  <c r="CS68" i="57"/>
  <c r="CV126" i="57"/>
  <c r="CV1" i="57"/>
  <c r="CT2" i="57"/>
  <c r="CS117" i="57"/>
  <c r="CS118" i="57"/>
  <c r="CS116" i="57"/>
  <c r="CS104" i="57"/>
  <c r="CS95" i="57"/>
  <c r="CS96" i="57"/>
  <c r="CS98" i="57"/>
  <c r="CS105" i="57"/>
  <c r="CS100" i="57"/>
  <c r="CS97" i="57"/>
  <c r="CS99" i="57"/>
  <c r="CS107" i="57"/>
  <c r="CR74" i="57"/>
  <c r="CR75" i="57" s="1"/>
  <c r="CT138" i="57"/>
  <c r="CT140" i="57"/>
  <c r="CT135" i="57"/>
  <c r="CT136" i="57"/>
  <c r="CT137" i="57"/>
  <c r="CT134" i="57"/>
  <c r="CT139" i="57"/>
  <c r="CT159" i="57"/>
  <c r="CS80" i="57"/>
  <c r="CS81" i="57"/>
  <c r="CT63" i="57"/>
  <c r="CT64" i="57" s="1"/>
  <c r="CS62" i="57"/>
  <c r="CT61" i="57"/>
  <c r="CT65" i="57"/>
  <c r="CT66" i="57" s="1"/>
  <c r="CT67" i="57"/>
  <c r="CS71" i="57"/>
  <c r="CW56" i="57"/>
  <c r="CT189" i="57"/>
  <c r="CT173" i="57"/>
  <c r="CU58" i="57"/>
  <c r="CT133" i="57"/>
  <c r="DP175" i="63" l="1"/>
  <c r="DP133" i="63" s="1"/>
  <c r="DJ137" i="63"/>
  <c r="DJ139" i="63" s="1"/>
  <c r="DJ187" i="63"/>
  <c r="DK181" i="63" s="1"/>
  <c r="CU158" i="57"/>
  <c r="CU57" i="57"/>
  <c r="CT157" i="57"/>
  <c r="CT175" i="57"/>
  <c r="CU188" i="57"/>
  <c r="CU198" i="57"/>
  <c r="CU161" i="57" s="1"/>
  <c r="CT68" i="57"/>
  <c r="CW126" i="57"/>
  <c r="CW1" i="57"/>
  <c r="CU2" i="57"/>
  <c r="CT117" i="57"/>
  <c r="CT118" i="57"/>
  <c r="CT116" i="57"/>
  <c r="CT98" i="57"/>
  <c r="CT96" i="57"/>
  <c r="CT105" i="57"/>
  <c r="CT104" i="57"/>
  <c r="CT95" i="57"/>
  <c r="CT97" i="57"/>
  <c r="CT100" i="57"/>
  <c r="CT99" i="57"/>
  <c r="CT107" i="57"/>
  <c r="CU139" i="57"/>
  <c r="CU140" i="57"/>
  <c r="CU136" i="57"/>
  <c r="CU134" i="57"/>
  <c r="CU137" i="57"/>
  <c r="CU135" i="57"/>
  <c r="CU138" i="57"/>
  <c r="CS74" i="57"/>
  <c r="CS75" i="57" s="1"/>
  <c r="CU159" i="57"/>
  <c r="CT80" i="57"/>
  <c r="CT81" i="57"/>
  <c r="CU63" i="57"/>
  <c r="CU64" i="57" s="1"/>
  <c r="CT71" i="57"/>
  <c r="CT62" i="57"/>
  <c r="CU67" i="57"/>
  <c r="CU65" i="57"/>
  <c r="CU66" i="57" s="1"/>
  <c r="CU61" i="57"/>
  <c r="CX56" i="57"/>
  <c r="CU189" i="57"/>
  <c r="CU157" i="57" s="1"/>
  <c r="CU173" i="57"/>
  <c r="CU175" i="57" s="1"/>
  <c r="CU133" i="57"/>
  <c r="CV58" i="57"/>
  <c r="DP178" i="63" l="1"/>
  <c r="DQ172" i="63" s="1"/>
  <c r="DJ159" i="63"/>
  <c r="DQ174" i="63"/>
  <c r="DK183" i="63"/>
  <c r="DK184" i="63" s="1"/>
  <c r="DK206" i="63" s="1"/>
  <c r="DK208" i="63" s="1"/>
  <c r="DK209" i="63" s="1"/>
  <c r="CV158" i="57"/>
  <c r="CV57" i="57"/>
  <c r="CV188" i="57"/>
  <c r="CV198" i="57"/>
  <c r="CV161" i="57" s="1"/>
  <c r="CU68" i="57"/>
  <c r="CX126" i="57"/>
  <c r="CX1" i="57"/>
  <c r="CV2" i="57"/>
  <c r="CU118" i="57"/>
  <c r="CU117" i="57"/>
  <c r="CU116" i="57"/>
  <c r="CU104" i="57"/>
  <c r="CU96" i="57"/>
  <c r="CU95" i="57"/>
  <c r="CU105" i="57"/>
  <c r="CU99" i="57"/>
  <c r="CU97" i="57"/>
  <c r="CU98" i="57"/>
  <c r="CU100" i="57"/>
  <c r="CU107" i="57"/>
  <c r="CT74" i="57"/>
  <c r="CT75" i="57" s="1"/>
  <c r="CV134" i="57"/>
  <c r="CV139" i="57"/>
  <c r="CV138" i="57"/>
  <c r="CV136" i="57"/>
  <c r="CV137" i="57"/>
  <c r="CV135" i="57"/>
  <c r="CV140" i="57"/>
  <c r="CV159" i="57"/>
  <c r="CU81" i="57"/>
  <c r="CU80" i="57"/>
  <c r="CV63" i="57"/>
  <c r="CV64" i="57" s="1"/>
  <c r="CU62" i="57"/>
  <c r="CV61" i="57"/>
  <c r="CV65" i="57"/>
  <c r="CV66" i="57" s="1"/>
  <c r="CV67" i="57"/>
  <c r="CU71" i="57"/>
  <c r="CY56" i="57"/>
  <c r="CV189" i="57"/>
  <c r="CV173" i="57"/>
  <c r="CV133" i="57"/>
  <c r="CW58" i="57"/>
  <c r="DQ175" i="63" l="1"/>
  <c r="DQ133" i="63" s="1"/>
  <c r="DJ141" i="63"/>
  <c r="DK137" i="63"/>
  <c r="DK139" i="63" s="1"/>
  <c r="DK187" i="63"/>
  <c r="DL181" i="63" s="1"/>
  <c r="CW158" i="57"/>
  <c r="CW57" i="57"/>
  <c r="CV175" i="57"/>
  <c r="CV157" i="57"/>
  <c r="CW188" i="57"/>
  <c r="CW198" i="57"/>
  <c r="CW161" i="57" s="1"/>
  <c r="CV68" i="57"/>
  <c r="CY126" i="57"/>
  <c r="CY1" i="57"/>
  <c r="CW2" i="57"/>
  <c r="CV118" i="57"/>
  <c r="CV117" i="57"/>
  <c r="CV116" i="57"/>
  <c r="CV104" i="57"/>
  <c r="CV95" i="57"/>
  <c r="CV96" i="57"/>
  <c r="CV105" i="57"/>
  <c r="CV97" i="57"/>
  <c r="CV98" i="57"/>
  <c r="CV99" i="57"/>
  <c r="CV100" i="57"/>
  <c r="CV107" i="57"/>
  <c r="CW139" i="57"/>
  <c r="CW138" i="57"/>
  <c r="CW136" i="57"/>
  <c r="CW137" i="57"/>
  <c r="CW135" i="57"/>
  <c r="CW140" i="57"/>
  <c r="CW134" i="57"/>
  <c r="CU74" i="57"/>
  <c r="CU75" i="57" s="1"/>
  <c r="CW159" i="57"/>
  <c r="CV80" i="57"/>
  <c r="CV81" i="57"/>
  <c r="CW63" i="57"/>
  <c r="CW64" i="57" s="1"/>
  <c r="CV71" i="57"/>
  <c r="CV62" i="57"/>
  <c r="CW61" i="57"/>
  <c r="CW67" i="57"/>
  <c r="CW65" i="57"/>
  <c r="CW66" i="57" s="1"/>
  <c r="CZ56" i="57"/>
  <c r="CW189" i="57"/>
  <c r="CW157" i="57" s="1"/>
  <c r="CW173" i="57"/>
  <c r="CW175" i="57" s="1"/>
  <c r="CW133" i="57"/>
  <c r="CX58" i="57"/>
  <c r="DQ178" i="63" l="1"/>
  <c r="DR172" i="63" s="1"/>
  <c r="DR174" i="63" s="1"/>
  <c r="DR175" i="63" s="1"/>
  <c r="DK141" i="63"/>
  <c r="DK159" i="63"/>
  <c r="DL183" i="63"/>
  <c r="DL184" i="63" s="1"/>
  <c r="DL206" i="63" s="1"/>
  <c r="DL208" i="63" s="1"/>
  <c r="DL209" i="63" s="1"/>
  <c r="CX158" i="57"/>
  <c r="CX57" i="57"/>
  <c r="CX188" i="57"/>
  <c r="CX198" i="57"/>
  <c r="CX161" i="57" s="1"/>
  <c r="CW68" i="57"/>
  <c r="CZ126" i="57"/>
  <c r="CZ1" i="57"/>
  <c r="CX2" i="57"/>
  <c r="CW118" i="57"/>
  <c r="CW117" i="57"/>
  <c r="CW116" i="57"/>
  <c r="CW96" i="57"/>
  <c r="CW104" i="57"/>
  <c r="CW105" i="57"/>
  <c r="CW98" i="57"/>
  <c r="CW99" i="57"/>
  <c r="CW95" i="57"/>
  <c r="CW97" i="57"/>
  <c r="CW100" i="57"/>
  <c r="CW107" i="57"/>
  <c r="CV74" i="57"/>
  <c r="CV75" i="57" s="1"/>
  <c r="CX139" i="57"/>
  <c r="CX140" i="57"/>
  <c r="CX134" i="57"/>
  <c r="CX137" i="57"/>
  <c r="CX135" i="57"/>
  <c r="CX138" i="57"/>
  <c r="CX136" i="57"/>
  <c r="CX159" i="57"/>
  <c r="CW81" i="57"/>
  <c r="CW80" i="57"/>
  <c r="CX63" i="57"/>
  <c r="CX64" i="57" s="1"/>
  <c r="CW71" i="57"/>
  <c r="CW62" i="57"/>
  <c r="CX65" i="57"/>
  <c r="CX66" i="57" s="1"/>
  <c r="CX67" i="57"/>
  <c r="CX61" i="57"/>
  <c r="DA56" i="57"/>
  <c r="CX189" i="57"/>
  <c r="CX173" i="57"/>
  <c r="CX175" i="57" s="1"/>
  <c r="CX133" i="57"/>
  <c r="CY58" i="57"/>
  <c r="CY57" i="57" s="1"/>
  <c r="DR178" i="63" l="1"/>
  <c r="DS172" i="63" s="1"/>
  <c r="DS174" i="63" s="1"/>
  <c r="DS175" i="63" s="1"/>
  <c r="DR133" i="63"/>
  <c r="DL137" i="63"/>
  <c r="DL139" i="63" s="1"/>
  <c r="DL187" i="63"/>
  <c r="DM181" i="63" s="1"/>
  <c r="CX157" i="57"/>
  <c r="CY188" i="57"/>
  <c r="CY158" i="57"/>
  <c r="CX68" i="57"/>
  <c r="DA126" i="57"/>
  <c r="DA1" i="57"/>
  <c r="CY2" i="57"/>
  <c r="CX118" i="57"/>
  <c r="CX117" i="57"/>
  <c r="CX116" i="57"/>
  <c r="CX96" i="57"/>
  <c r="Y30" i="57" s="1"/>
  <c r="Z30" i="57" s="1"/>
  <c r="CX105" i="57"/>
  <c r="Y38" i="57" s="1"/>
  <c r="Z38" i="57" s="1"/>
  <c r="CX104" i="57"/>
  <c r="CX95" i="57"/>
  <c r="Y29" i="57" s="1"/>
  <c r="Z29" i="57" s="1"/>
  <c r="CX100" i="57"/>
  <c r="Y34" i="57" s="1"/>
  <c r="Z34" i="57" s="1"/>
  <c r="CX97" i="57"/>
  <c r="Y31" i="57" s="1"/>
  <c r="Z31" i="57" s="1"/>
  <c r="CX98" i="57"/>
  <c r="Y32" i="57" s="1"/>
  <c r="Z32" i="57" s="1"/>
  <c r="CX99" i="57"/>
  <c r="Y33" i="57" s="1"/>
  <c r="Z33" i="57" s="1"/>
  <c r="CX107" i="57"/>
  <c r="Y40" i="57" s="1"/>
  <c r="Z40" i="57" s="1"/>
  <c r="CW74" i="57"/>
  <c r="CW75" i="57" s="1"/>
  <c r="CY134" i="57"/>
  <c r="CY137" i="57"/>
  <c r="CY135" i="57"/>
  <c r="CY136" i="57"/>
  <c r="CY139" i="57"/>
  <c r="CY138" i="57"/>
  <c r="CY140" i="57"/>
  <c r="CY159" i="57"/>
  <c r="CX80" i="57"/>
  <c r="Y15" i="57" s="1"/>
  <c r="Z15" i="57" s="1"/>
  <c r="CX81" i="57"/>
  <c r="Y16" i="57" s="1"/>
  <c r="Z16" i="57" s="1"/>
  <c r="CY63" i="57"/>
  <c r="CY64" i="57" s="1"/>
  <c r="CX62" i="57"/>
  <c r="CY61" i="57"/>
  <c r="CX71" i="57"/>
  <c r="Y22" i="57" s="1"/>
  <c r="Z22" i="57" s="1"/>
  <c r="CY67" i="57"/>
  <c r="CY65" i="57"/>
  <c r="CY66" i="57" s="1"/>
  <c r="DB56" i="57"/>
  <c r="CY189" i="57"/>
  <c r="CY157" i="57" s="1"/>
  <c r="CY173" i="57"/>
  <c r="CY175" i="57" s="1"/>
  <c r="CY133" i="57"/>
  <c r="CZ58" i="57"/>
  <c r="DL141" i="63" l="1"/>
  <c r="DL159" i="63"/>
  <c r="DM183" i="63"/>
  <c r="DM184" i="63" s="1"/>
  <c r="DM206" i="63" s="1"/>
  <c r="DM208" i="63" s="1"/>
  <c r="DM209" i="63" s="1"/>
  <c r="CZ158" i="57"/>
  <c r="CZ57" i="57"/>
  <c r="Y37" i="57"/>
  <c r="Z37" i="57" s="1"/>
  <c r="CZ188" i="57"/>
  <c r="CZ198" i="57"/>
  <c r="CZ161" i="57" s="1"/>
  <c r="CZ197" i="57"/>
  <c r="CY68" i="57"/>
  <c r="DB126" i="57"/>
  <c r="DB1" i="57"/>
  <c r="CZ2" i="57"/>
  <c r="CY117" i="57"/>
  <c r="CY118" i="57"/>
  <c r="CY116" i="57"/>
  <c r="CY95" i="57"/>
  <c r="CY96" i="57"/>
  <c r="CY105" i="57"/>
  <c r="CY104" i="57"/>
  <c r="CY100" i="57"/>
  <c r="CY98" i="57"/>
  <c r="CY99" i="57"/>
  <c r="CY97" i="57"/>
  <c r="CY107" i="57"/>
  <c r="CZ136" i="57"/>
  <c r="CZ140" i="57"/>
  <c r="CZ138" i="57"/>
  <c r="CZ139" i="57"/>
  <c r="CZ137" i="57"/>
  <c r="CZ134" i="57"/>
  <c r="CZ135" i="57"/>
  <c r="CX74" i="57"/>
  <c r="CZ159" i="57"/>
  <c r="CY80" i="57"/>
  <c r="CY81" i="57"/>
  <c r="CZ63" i="57"/>
  <c r="CZ64" i="57" s="1"/>
  <c r="CY71" i="57"/>
  <c r="CY62" i="57"/>
  <c r="CZ65" i="57"/>
  <c r="CZ66" i="57" s="1"/>
  <c r="CZ67" i="57"/>
  <c r="CZ61" i="57"/>
  <c r="DC56" i="57"/>
  <c r="CZ189" i="57"/>
  <c r="CZ157" i="57" s="1"/>
  <c r="CZ173" i="57"/>
  <c r="CZ175" i="57" s="1"/>
  <c r="CZ133" i="57"/>
  <c r="DA58" i="57"/>
  <c r="DS178" i="63" l="1"/>
  <c r="DT172" i="63" s="1"/>
  <c r="DT174" i="63" s="1"/>
  <c r="DT175" i="63" s="1"/>
  <c r="DS133" i="63"/>
  <c r="DM137" i="63"/>
  <c r="DM139" i="63" s="1"/>
  <c r="DM187" i="63"/>
  <c r="DN181" i="63" s="1"/>
  <c r="DA158" i="57"/>
  <c r="DA57" i="57"/>
  <c r="CX75" i="57"/>
  <c r="Y11" i="57" s="1"/>
  <c r="Z11" i="57" s="1"/>
  <c r="Y10" i="57"/>
  <c r="Z10" i="57" s="1"/>
  <c r="DA188" i="57"/>
  <c r="DA198" i="57"/>
  <c r="DA161" i="57" s="1"/>
  <c r="DA197" i="57"/>
  <c r="CZ68" i="57"/>
  <c r="DC126" i="57"/>
  <c r="DC1" i="57"/>
  <c r="DA2" i="57"/>
  <c r="CZ117" i="57"/>
  <c r="CZ118" i="57"/>
  <c r="CZ116" i="57"/>
  <c r="CZ96" i="57"/>
  <c r="CZ95" i="57"/>
  <c r="CZ105" i="57"/>
  <c r="CZ104" i="57"/>
  <c r="CZ99" i="57"/>
  <c r="CZ98" i="57"/>
  <c r="CZ97" i="57"/>
  <c r="CZ100" i="57"/>
  <c r="CZ107" i="57"/>
  <c r="CY74" i="57"/>
  <c r="CY75" i="57" s="1"/>
  <c r="DA137" i="57"/>
  <c r="DA134" i="57"/>
  <c r="DA140" i="57"/>
  <c r="DA138" i="57"/>
  <c r="DA135" i="57"/>
  <c r="DA139" i="57"/>
  <c r="DA136" i="57"/>
  <c r="DA159" i="57"/>
  <c r="CZ80" i="57"/>
  <c r="CZ81" i="57"/>
  <c r="DA63" i="57"/>
  <c r="DA64" i="57" s="1"/>
  <c r="CZ62" i="57"/>
  <c r="DA61" i="57"/>
  <c r="CZ71" i="57"/>
  <c r="DA67" i="57"/>
  <c r="DA65" i="57"/>
  <c r="DA66" i="57" s="1"/>
  <c r="DD56" i="57"/>
  <c r="DA189" i="57"/>
  <c r="DA157" i="57" s="1"/>
  <c r="DA173" i="57"/>
  <c r="DA175" i="57" s="1"/>
  <c r="DB58" i="57"/>
  <c r="DA133" i="57"/>
  <c r="DM141" i="63" l="1"/>
  <c r="DM159" i="63"/>
  <c r="DN183" i="63"/>
  <c r="DN184" i="63" s="1"/>
  <c r="DN206" i="63" s="1"/>
  <c r="DN208" i="63" s="1"/>
  <c r="DN209" i="63" s="1"/>
  <c r="DB158" i="57"/>
  <c r="DB57" i="57"/>
  <c r="DB188" i="57"/>
  <c r="DB198" i="57"/>
  <c r="DB161" i="57" s="1"/>
  <c r="DB197" i="57"/>
  <c r="DA68" i="57"/>
  <c r="DD126" i="57"/>
  <c r="DD1" i="57"/>
  <c r="DB2" i="57"/>
  <c r="DA117" i="57"/>
  <c r="DA118" i="57"/>
  <c r="DA116" i="57"/>
  <c r="DA104" i="57"/>
  <c r="DA96" i="57"/>
  <c r="DA95" i="57"/>
  <c r="DA98" i="57"/>
  <c r="DA105" i="57"/>
  <c r="DA97" i="57"/>
  <c r="DA99" i="57"/>
  <c r="DA100" i="57"/>
  <c r="DA107" i="57"/>
  <c r="DB135" i="57"/>
  <c r="DB138" i="57"/>
  <c r="DB139" i="57"/>
  <c r="DB136" i="57"/>
  <c r="DB140" i="57"/>
  <c r="DB137" i="57"/>
  <c r="DB134" i="57"/>
  <c r="CZ74" i="57"/>
  <c r="CZ75" i="57" s="1"/>
  <c r="DB159" i="57"/>
  <c r="DA80" i="57"/>
  <c r="DA81" i="57"/>
  <c r="DB63" i="57"/>
  <c r="DB64" i="57" s="1"/>
  <c r="DA71" i="57"/>
  <c r="DA62" i="57"/>
  <c r="DB65" i="57"/>
  <c r="DB66" i="57" s="1"/>
  <c r="DB67" i="57"/>
  <c r="DB61" i="57"/>
  <c r="DE56" i="57"/>
  <c r="DB189" i="57"/>
  <c r="DB157" i="57" s="1"/>
  <c r="DB173" i="57"/>
  <c r="DB175" i="57" s="1"/>
  <c r="DC58" i="57"/>
  <c r="DB133" i="57"/>
  <c r="DT178" i="63" l="1"/>
  <c r="DU172" i="63" s="1"/>
  <c r="DT133" i="63"/>
  <c r="DN137" i="63"/>
  <c r="DN139" i="63" s="1"/>
  <c r="DN187" i="63"/>
  <c r="DO181" i="63" s="1"/>
  <c r="DC158" i="57"/>
  <c r="DC57" i="57"/>
  <c r="DC188" i="57"/>
  <c r="DC198" i="57"/>
  <c r="DC161" i="57" s="1"/>
  <c r="DC197" i="57"/>
  <c r="DB68" i="57"/>
  <c r="DE126" i="57"/>
  <c r="DE1" i="57"/>
  <c r="DC2" i="57"/>
  <c r="DB117" i="57"/>
  <c r="DB118" i="57"/>
  <c r="DB116" i="57"/>
  <c r="DB105" i="57"/>
  <c r="DB104" i="57"/>
  <c r="DB96" i="57"/>
  <c r="DB95" i="57"/>
  <c r="DB97" i="57"/>
  <c r="DB99" i="57"/>
  <c r="DB98" i="57"/>
  <c r="DB100" i="57"/>
  <c r="DB107" i="57"/>
  <c r="DA74" i="57"/>
  <c r="DA75" i="57" s="1"/>
  <c r="DC134" i="57"/>
  <c r="DC138" i="57"/>
  <c r="DC139" i="57"/>
  <c r="DC140" i="57"/>
  <c r="DC135" i="57"/>
  <c r="DC136" i="57"/>
  <c r="DC137" i="57"/>
  <c r="DC159" i="57"/>
  <c r="DB80" i="57"/>
  <c r="DB81" i="57"/>
  <c r="DC63" i="57"/>
  <c r="DC64" i="57" s="1"/>
  <c r="DB62" i="57"/>
  <c r="DC61" i="57"/>
  <c r="DB71" i="57"/>
  <c r="DC67" i="57"/>
  <c r="DC65" i="57"/>
  <c r="DC66" i="57" s="1"/>
  <c r="DF56" i="57"/>
  <c r="DC189" i="57"/>
  <c r="DC157" i="57" s="1"/>
  <c r="DC173" i="57"/>
  <c r="DC175" i="57" s="1"/>
  <c r="DC133" i="57"/>
  <c r="DD58" i="57"/>
  <c r="DN141" i="63" l="1"/>
  <c r="DN159" i="63"/>
  <c r="DU174" i="63"/>
  <c r="DU175" i="63" s="1"/>
  <c r="DO183" i="63"/>
  <c r="DO184" i="63" s="1"/>
  <c r="DO206" i="63" s="1"/>
  <c r="DO208" i="63" s="1"/>
  <c r="DO209" i="63" s="1"/>
  <c r="DD158" i="57"/>
  <c r="DD57" i="57"/>
  <c r="DD188" i="57"/>
  <c r="DD197" i="57"/>
  <c r="DD198" i="57"/>
  <c r="DD161" i="57" s="1"/>
  <c r="DC68" i="57"/>
  <c r="DF126" i="57"/>
  <c r="DF1" i="57"/>
  <c r="DD2" i="57"/>
  <c r="DC118" i="57"/>
  <c r="DC117" i="57"/>
  <c r="DC116" i="57"/>
  <c r="DC104" i="57"/>
  <c r="DC96" i="57"/>
  <c r="DC95" i="57"/>
  <c r="DC105" i="57"/>
  <c r="DC99" i="57"/>
  <c r="DC98" i="57"/>
  <c r="DC97" i="57"/>
  <c r="DC100" i="57"/>
  <c r="DC107" i="57"/>
  <c r="DB74" i="57"/>
  <c r="DB75" i="57" s="1"/>
  <c r="DD139" i="57"/>
  <c r="DD136" i="57"/>
  <c r="DD137" i="57"/>
  <c r="DD135" i="57"/>
  <c r="DD134" i="57"/>
  <c r="DD140" i="57"/>
  <c r="DD138" i="57"/>
  <c r="DD159" i="57"/>
  <c r="DC81" i="57"/>
  <c r="DC80" i="57"/>
  <c r="DD63" i="57"/>
  <c r="DD64" i="57" s="1"/>
  <c r="DC71" i="57"/>
  <c r="DC62" i="57"/>
  <c r="DD65" i="57"/>
  <c r="DD66" i="57" s="1"/>
  <c r="DD67" i="57"/>
  <c r="DD61" i="57"/>
  <c r="DG56" i="57"/>
  <c r="DD189" i="57"/>
  <c r="DD157" i="57" s="1"/>
  <c r="DD173" i="57"/>
  <c r="DD175" i="57" s="1"/>
  <c r="DD133" i="57"/>
  <c r="DE58" i="57"/>
  <c r="DO137" i="63" l="1"/>
  <c r="DO139" i="63" s="1"/>
  <c r="DO187" i="63"/>
  <c r="DP181" i="63" s="1"/>
  <c r="DE158" i="57"/>
  <c r="DE57" i="57"/>
  <c r="DE188" i="57"/>
  <c r="DE197" i="57"/>
  <c r="DE198" i="57"/>
  <c r="DE161" i="57" s="1"/>
  <c r="DD68" i="57"/>
  <c r="DG126" i="57"/>
  <c r="DG1" i="57"/>
  <c r="DE2" i="57"/>
  <c r="DD118" i="57"/>
  <c r="DD117" i="57"/>
  <c r="DD116" i="57"/>
  <c r="DD105" i="57"/>
  <c r="DD95" i="57"/>
  <c r="DD96" i="57"/>
  <c r="DD104" i="57"/>
  <c r="DD97" i="57"/>
  <c r="DD99" i="57"/>
  <c r="DD100" i="57"/>
  <c r="DD98" i="57"/>
  <c r="DD107" i="57"/>
  <c r="DC74" i="57"/>
  <c r="DC75" i="57" s="1"/>
  <c r="DE139" i="57"/>
  <c r="DE137" i="57"/>
  <c r="DE140" i="57"/>
  <c r="DE138" i="57"/>
  <c r="DE134" i="57"/>
  <c r="DE135" i="57"/>
  <c r="DE136" i="57"/>
  <c r="DE159" i="57"/>
  <c r="DD81" i="57"/>
  <c r="DD80" i="57"/>
  <c r="DE63" i="57"/>
  <c r="DE64" i="57" s="1"/>
  <c r="DD62" i="57"/>
  <c r="DE61" i="57"/>
  <c r="DD71" i="57"/>
  <c r="DE67" i="57"/>
  <c r="DE65" i="57"/>
  <c r="DE66" i="57" s="1"/>
  <c r="DH56" i="57"/>
  <c r="DE189" i="57"/>
  <c r="DE157" i="57" s="1"/>
  <c r="DE173" i="57"/>
  <c r="DE175" i="57" s="1"/>
  <c r="DE133" i="57"/>
  <c r="DF58" i="57"/>
  <c r="DO141" i="63" l="1"/>
  <c r="DO159" i="63"/>
  <c r="DU133" i="63"/>
  <c r="DU178" i="63"/>
  <c r="DV172" i="63" s="1"/>
  <c r="DP183" i="63"/>
  <c r="DP184" i="63" s="1"/>
  <c r="DP206" i="63" s="1"/>
  <c r="DP208" i="63" s="1"/>
  <c r="DP209" i="63" s="1"/>
  <c r="DF158" i="57"/>
  <c r="DF57" i="57"/>
  <c r="DF188" i="57"/>
  <c r="DF197" i="57"/>
  <c r="DF198" i="57"/>
  <c r="DE68" i="57"/>
  <c r="DH126" i="57"/>
  <c r="DH1" i="57"/>
  <c r="DF2" i="57"/>
  <c r="DE118" i="57"/>
  <c r="DE117" i="57"/>
  <c r="DE116" i="57"/>
  <c r="DE96" i="57"/>
  <c r="DE104" i="57"/>
  <c r="DE105" i="57"/>
  <c r="DE95" i="57"/>
  <c r="DE98" i="57"/>
  <c r="DE99" i="57"/>
  <c r="DE100" i="57"/>
  <c r="DE97" i="57"/>
  <c r="DE107" i="57"/>
  <c r="DF139" i="57"/>
  <c r="DF140" i="57"/>
  <c r="DF134" i="57"/>
  <c r="DF138" i="57"/>
  <c r="DF136" i="57"/>
  <c r="DF137" i="57"/>
  <c r="DF135" i="57"/>
  <c r="DD74" i="57"/>
  <c r="DD75" i="57" s="1"/>
  <c r="DF159" i="57"/>
  <c r="DE81" i="57"/>
  <c r="DE80" i="57"/>
  <c r="DF63" i="57"/>
  <c r="DF64" i="57" s="1"/>
  <c r="DE71" i="57"/>
  <c r="DE62" i="57"/>
  <c r="DF65" i="57"/>
  <c r="DF66" i="57" s="1"/>
  <c r="DF67" i="57"/>
  <c r="DF61" i="57"/>
  <c r="DI56" i="57"/>
  <c r="DF189" i="57"/>
  <c r="DF173" i="57"/>
  <c r="DF133" i="57"/>
  <c r="DG58" i="57"/>
  <c r="DV174" i="63" l="1"/>
  <c r="DV175" i="63" s="1"/>
  <c r="DP137" i="63"/>
  <c r="DP139" i="63" s="1"/>
  <c r="DP187" i="63"/>
  <c r="DQ181" i="63" s="1"/>
  <c r="DG158" i="57"/>
  <c r="DG57" i="57"/>
  <c r="DF157" i="57"/>
  <c r="DF175" i="57"/>
  <c r="DF161" i="57"/>
  <c r="DG188" i="57"/>
  <c r="DG197" i="57"/>
  <c r="DG198" i="57"/>
  <c r="DG161" i="57" s="1"/>
  <c r="DF68" i="57"/>
  <c r="DI126" i="57"/>
  <c r="DI1" i="57"/>
  <c r="DG2" i="57"/>
  <c r="DF118" i="57"/>
  <c r="DF117" i="57"/>
  <c r="DF116" i="57"/>
  <c r="DF105" i="57"/>
  <c r="DF104" i="57"/>
  <c r="DF95" i="57"/>
  <c r="DF96" i="57"/>
  <c r="DF97" i="57"/>
  <c r="DF100" i="57"/>
  <c r="DF99" i="57"/>
  <c r="DF98" i="57"/>
  <c r="DF107" i="57"/>
  <c r="DE74" i="57"/>
  <c r="DE75" i="57" s="1"/>
  <c r="DG134" i="57"/>
  <c r="DG136" i="57"/>
  <c r="DG140" i="57"/>
  <c r="DG139" i="57"/>
  <c r="DG138" i="57"/>
  <c r="DG137" i="57"/>
  <c r="DG135" i="57"/>
  <c r="DG159" i="57"/>
  <c r="DF80" i="57"/>
  <c r="DF81" i="57"/>
  <c r="DG63" i="57"/>
  <c r="DG64" i="57" s="1"/>
  <c r="DF62" i="57"/>
  <c r="DG61" i="57"/>
  <c r="DF71" i="57"/>
  <c r="DG67" i="57"/>
  <c r="DG65" i="57"/>
  <c r="DG66" i="57" s="1"/>
  <c r="DJ56" i="57"/>
  <c r="DG189" i="57"/>
  <c r="DG157" i="57" s="1"/>
  <c r="DG173" i="57"/>
  <c r="DG175" i="57" s="1"/>
  <c r="DG133" i="57"/>
  <c r="DH58" i="57"/>
  <c r="DP141" i="63" l="1"/>
  <c r="DP159" i="63"/>
  <c r="DQ183" i="63"/>
  <c r="DQ184" i="63" s="1"/>
  <c r="DQ206" i="63" s="1"/>
  <c r="DQ208" i="63" s="1"/>
  <c r="DQ209" i="63" s="1"/>
  <c r="DH158" i="57"/>
  <c r="DH57" i="57"/>
  <c r="DH188" i="57"/>
  <c r="DH198" i="57"/>
  <c r="DH197" i="57"/>
  <c r="DG68" i="57"/>
  <c r="DJ126" i="57"/>
  <c r="DJ1" i="57"/>
  <c r="DH2" i="57"/>
  <c r="DG117" i="57"/>
  <c r="DG118" i="57"/>
  <c r="DG116" i="57"/>
  <c r="DG98" i="57"/>
  <c r="DG96" i="57"/>
  <c r="DG95" i="57"/>
  <c r="DG105" i="57"/>
  <c r="DG104" i="57"/>
  <c r="DG97" i="57"/>
  <c r="DG99" i="57"/>
  <c r="DG100" i="57"/>
  <c r="DG107" i="57"/>
  <c r="DH140" i="57"/>
  <c r="DH138" i="57"/>
  <c r="DH139" i="57"/>
  <c r="DH137" i="57"/>
  <c r="DH135" i="57"/>
  <c r="DH136" i="57"/>
  <c r="DH134" i="57"/>
  <c r="DF74" i="57"/>
  <c r="DF75" i="57" s="1"/>
  <c r="DH159" i="57"/>
  <c r="DG80" i="57"/>
  <c r="DG81" i="57"/>
  <c r="DH63" i="57"/>
  <c r="DH64" i="57" s="1"/>
  <c r="DG71" i="57"/>
  <c r="DG62" i="57"/>
  <c r="DH65" i="57"/>
  <c r="DH66" i="57" s="1"/>
  <c r="DH67" i="57"/>
  <c r="DH61" i="57"/>
  <c r="DK56" i="57"/>
  <c r="DH189" i="57"/>
  <c r="DH157" i="57" s="1"/>
  <c r="DH173" i="57"/>
  <c r="DH175" i="57" s="1"/>
  <c r="DH133" i="57"/>
  <c r="DI58" i="57"/>
  <c r="DV133" i="63" l="1"/>
  <c r="DV178" i="63"/>
  <c r="DW172" i="63" s="1"/>
  <c r="DQ137" i="63"/>
  <c r="DQ139" i="63" s="1"/>
  <c r="DQ187" i="63"/>
  <c r="DR181" i="63" s="1"/>
  <c r="DI158" i="57"/>
  <c r="DI57" i="57"/>
  <c r="DH161" i="57"/>
  <c r="DI188" i="57"/>
  <c r="DI198" i="57"/>
  <c r="DI161" i="57" s="1"/>
  <c r="DI197" i="57"/>
  <c r="DH68" i="57"/>
  <c r="DK126" i="57"/>
  <c r="DK1" i="57"/>
  <c r="DI2" i="57"/>
  <c r="DH117" i="57"/>
  <c r="DH118" i="57"/>
  <c r="DH116" i="57"/>
  <c r="DH105" i="57"/>
  <c r="DH98" i="57"/>
  <c r="DH104" i="57"/>
  <c r="DH96" i="57"/>
  <c r="DH95" i="57"/>
  <c r="DH100" i="57"/>
  <c r="DH99" i="57"/>
  <c r="DH97" i="57"/>
  <c r="DH107" i="57"/>
  <c r="DG74" i="57"/>
  <c r="DG75" i="57" s="1"/>
  <c r="DI134" i="57"/>
  <c r="DI136" i="57"/>
  <c r="DI140" i="57"/>
  <c r="DI138" i="57"/>
  <c r="DI139" i="57"/>
  <c r="DI137" i="57"/>
  <c r="DI135" i="57"/>
  <c r="DI159" i="57"/>
  <c r="DH81" i="57"/>
  <c r="DH80" i="57"/>
  <c r="DI63" i="57"/>
  <c r="DI64" i="57" s="1"/>
  <c r="DH62" i="57"/>
  <c r="DI61" i="57"/>
  <c r="DH71" i="57"/>
  <c r="DI67" i="57"/>
  <c r="DI65" i="57"/>
  <c r="DI66" i="57" s="1"/>
  <c r="DL56" i="57"/>
  <c r="DI189" i="57"/>
  <c r="DI173" i="57"/>
  <c r="DI175" i="57" s="1"/>
  <c r="DJ58" i="57"/>
  <c r="DI133" i="57"/>
  <c r="DQ159" i="63" l="1"/>
  <c r="DW174" i="63"/>
  <c r="DR183" i="63"/>
  <c r="DJ158" i="57"/>
  <c r="DJ57" i="57"/>
  <c r="DI157" i="57"/>
  <c r="DJ188" i="57"/>
  <c r="DJ198" i="57"/>
  <c r="DJ161" i="57" s="1"/>
  <c r="DJ197" i="57"/>
  <c r="DI68" i="57"/>
  <c r="DL126" i="57"/>
  <c r="DL1" i="57"/>
  <c r="DJ2" i="57"/>
  <c r="DI117" i="57"/>
  <c r="DI118" i="57"/>
  <c r="DI116" i="57"/>
  <c r="DI105" i="57"/>
  <c r="DI96" i="57"/>
  <c r="DI95" i="57"/>
  <c r="DI104" i="57"/>
  <c r="DI100" i="57"/>
  <c r="DI97" i="57"/>
  <c r="DI99" i="57"/>
  <c r="DI98" i="57"/>
  <c r="DI107" i="57"/>
  <c r="DJ138" i="57"/>
  <c r="DJ135" i="57"/>
  <c r="DJ136" i="57"/>
  <c r="DJ140" i="57"/>
  <c r="DJ134" i="57"/>
  <c r="DJ137" i="57"/>
  <c r="DJ139" i="57"/>
  <c r="DH74" i="57"/>
  <c r="DH75" i="57" s="1"/>
  <c r="DJ159" i="57"/>
  <c r="DI80" i="57"/>
  <c r="DI81" i="57"/>
  <c r="DJ63" i="57"/>
  <c r="DJ64" i="57" s="1"/>
  <c r="DI71" i="57"/>
  <c r="DI62" i="57"/>
  <c r="DJ65" i="57"/>
  <c r="DJ66" i="57" s="1"/>
  <c r="DJ67" i="57"/>
  <c r="DJ61" i="57"/>
  <c r="DM56" i="57"/>
  <c r="DJ189" i="57"/>
  <c r="DJ157" i="57" s="1"/>
  <c r="DJ173" i="57"/>
  <c r="DJ175" i="57" s="1"/>
  <c r="DK58" i="57"/>
  <c r="DJ133" i="57"/>
  <c r="DW175" i="63" l="1"/>
  <c r="DW133" i="63" s="1"/>
  <c r="DW178" i="63"/>
  <c r="DX172" i="63" s="1"/>
  <c r="DQ141" i="63"/>
  <c r="DR184" i="63"/>
  <c r="DR206" i="63" s="1"/>
  <c r="DR208" i="63" s="1"/>
  <c r="DR209" i="63" s="1"/>
  <c r="DK158" i="57"/>
  <c r="DK57" i="57"/>
  <c r="DK188" i="57"/>
  <c r="DK198" i="57"/>
  <c r="DK197" i="57"/>
  <c r="DJ68" i="57"/>
  <c r="DM126" i="57"/>
  <c r="DM1" i="57"/>
  <c r="DK2" i="57"/>
  <c r="DJ117" i="57"/>
  <c r="DJ118" i="57"/>
  <c r="DJ116" i="57"/>
  <c r="DJ105" i="57"/>
  <c r="DJ104" i="57"/>
  <c r="DJ95" i="57"/>
  <c r="DJ96" i="57"/>
  <c r="DJ99" i="57"/>
  <c r="DJ98" i="57"/>
  <c r="DJ100" i="57"/>
  <c r="DJ97" i="57"/>
  <c r="DJ107" i="57"/>
  <c r="DI74" i="57"/>
  <c r="DI75" i="57" s="1"/>
  <c r="DK139" i="57"/>
  <c r="DK134" i="57"/>
  <c r="DK138" i="57"/>
  <c r="DK140" i="57"/>
  <c r="DK137" i="57"/>
  <c r="DK135" i="57"/>
  <c r="DK136" i="57"/>
  <c r="DK159" i="57"/>
  <c r="DJ80" i="57"/>
  <c r="DJ81" i="57"/>
  <c r="DK63" i="57"/>
  <c r="DK64" i="57" s="1"/>
  <c r="DJ62" i="57"/>
  <c r="DK61" i="57"/>
  <c r="DJ71" i="57"/>
  <c r="DK67" i="57"/>
  <c r="DK65" i="57"/>
  <c r="DK66" i="57" s="1"/>
  <c r="DN56" i="57"/>
  <c r="DK189" i="57"/>
  <c r="DK157" i="57" s="1"/>
  <c r="DK173" i="57"/>
  <c r="DK175" i="57" s="1"/>
  <c r="DK133" i="57"/>
  <c r="DL58" i="57"/>
  <c r="DX174" i="63" l="1"/>
  <c r="DR187" i="63"/>
  <c r="DS181" i="63" s="1"/>
  <c r="DS183" i="63" s="1"/>
  <c r="DR137" i="63"/>
  <c r="DR139" i="63" s="1"/>
  <c r="DL158" i="57"/>
  <c r="DL57" i="57"/>
  <c r="DK161" i="57"/>
  <c r="DL188" i="57"/>
  <c r="DL197" i="57"/>
  <c r="DL198" i="57"/>
  <c r="DL161" i="57" s="1"/>
  <c r="DK68" i="57"/>
  <c r="DN126" i="57"/>
  <c r="DN1" i="57"/>
  <c r="DL2" i="57"/>
  <c r="DK118" i="57"/>
  <c r="DK117" i="57"/>
  <c r="DK116" i="57"/>
  <c r="DK95" i="57"/>
  <c r="DK105" i="57"/>
  <c r="DK104" i="57"/>
  <c r="DK96" i="57"/>
  <c r="DK99" i="57"/>
  <c r="DK97" i="57"/>
  <c r="DK100" i="57"/>
  <c r="DK98" i="57"/>
  <c r="DK107" i="57"/>
  <c r="DL139" i="57"/>
  <c r="DL136" i="57"/>
  <c r="DL138" i="57"/>
  <c r="DL140" i="57"/>
  <c r="DL135" i="57"/>
  <c r="DL134" i="57"/>
  <c r="DL137" i="57"/>
  <c r="DJ74" i="57"/>
  <c r="DJ75" i="57" s="1"/>
  <c r="DL159" i="57"/>
  <c r="DK81" i="57"/>
  <c r="DK80" i="57"/>
  <c r="DL63" i="57"/>
  <c r="DL64" i="57" s="1"/>
  <c r="DK71" i="57"/>
  <c r="DK62" i="57"/>
  <c r="DL65" i="57"/>
  <c r="DL66" i="57" s="1"/>
  <c r="DL67" i="57"/>
  <c r="DL61" i="57"/>
  <c r="DO56" i="57"/>
  <c r="DL189" i="57"/>
  <c r="DL173" i="57"/>
  <c r="DL175" i="57" s="1"/>
  <c r="DL133" i="57"/>
  <c r="DM58" i="57"/>
  <c r="DX175" i="63" l="1"/>
  <c r="DX133" i="63" s="1"/>
  <c r="DR141" i="63"/>
  <c r="DR159" i="63"/>
  <c r="DX178" i="63"/>
  <c r="DY172" i="63" s="1"/>
  <c r="DS184" i="63"/>
  <c r="DS206" i="63" s="1"/>
  <c r="DS208" i="63" s="1"/>
  <c r="DS209" i="63" s="1"/>
  <c r="DM158" i="57"/>
  <c r="DM57" i="57"/>
  <c r="DL157" i="57"/>
  <c r="DM188" i="57"/>
  <c r="DM197" i="57"/>
  <c r="DM198" i="57"/>
  <c r="DM161" i="57" s="1"/>
  <c r="DL68" i="57"/>
  <c r="DO126" i="57"/>
  <c r="DO1" i="57"/>
  <c r="DM2" i="57"/>
  <c r="DL118" i="57"/>
  <c r="DL117" i="57"/>
  <c r="DL116" i="57"/>
  <c r="DL95" i="57"/>
  <c r="DL96" i="57"/>
  <c r="DL104" i="57"/>
  <c r="DL105" i="57"/>
  <c r="DL98" i="57"/>
  <c r="DL97" i="57"/>
  <c r="DL100" i="57"/>
  <c r="DL99" i="57"/>
  <c r="DL107" i="57"/>
  <c r="DK74" i="57"/>
  <c r="DK75" i="57" s="1"/>
  <c r="DM134" i="57"/>
  <c r="DM139" i="57"/>
  <c r="DM137" i="57"/>
  <c r="DM140" i="57"/>
  <c r="DM138" i="57"/>
  <c r="DM136" i="57"/>
  <c r="DM135" i="57"/>
  <c r="DM159" i="57"/>
  <c r="DL81" i="57"/>
  <c r="DL80" i="57"/>
  <c r="DM63" i="57"/>
  <c r="DM64" i="57" s="1"/>
  <c r="DL62" i="57"/>
  <c r="DM61" i="57"/>
  <c r="DL71" i="57"/>
  <c r="DM67" i="57"/>
  <c r="DM65" i="57"/>
  <c r="DM66" i="57" s="1"/>
  <c r="DP56" i="57"/>
  <c r="DM189" i="57"/>
  <c r="DM157" i="57" s="1"/>
  <c r="DM173" i="57"/>
  <c r="DM175" i="57" s="1"/>
  <c r="DM133" i="57"/>
  <c r="DN58" i="57"/>
  <c r="DY174" i="63" l="1"/>
  <c r="DS187" i="63"/>
  <c r="DT181" i="63" s="1"/>
  <c r="DT183" i="63" s="1"/>
  <c r="DS137" i="63"/>
  <c r="DS139" i="63" s="1"/>
  <c r="DN158" i="57"/>
  <c r="DN57" i="57"/>
  <c r="DN188" i="57"/>
  <c r="DN197" i="57"/>
  <c r="DN198" i="57"/>
  <c r="DN161" i="57" s="1"/>
  <c r="DM68" i="57"/>
  <c r="DP126" i="57"/>
  <c r="DP1" i="57"/>
  <c r="DN2" i="57"/>
  <c r="DM118" i="57"/>
  <c r="DM117" i="57"/>
  <c r="DM116" i="57"/>
  <c r="DM95" i="57"/>
  <c r="DM96" i="57"/>
  <c r="DM104" i="57"/>
  <c r="DM105" i="57"/>
  <c r="DM99" i="57"/>
  <c r="DM100" i="57"/>
  <c r="DM98" i="57"/>
  <c r="DM97" i="57"/>
  <c r="DM107" i="57"/>
  <c r="DN139" i="57"/>
  <c r="DN140" i="57"/>
  <c r="DN138" i="57"/>
  <c r="DN134" i="57"/>
  <c r="DN137" i="57"/>
  <c r="DN135" i="57"/>
  <c r="DN136" i="57"/>
  <c r="DL74" i="57"/>
  <c r="DL75" i="57" s="1"/>
  <c r="DN159" i="57"/>
  <c r="DM80" i="57"/>
  <c r="DM81" i="57"/>
  <c r="DN63" i="57"/>
  <c r="DN64" i="57" s="1"/>
  <c r="DM71" i="57"/>
  <c r="DM62" i="57"/>
  <c r="DN65" i="57"/>
  <c r="DN66" i="57" s="1"/>
  <c r="DN67" i="57"/>
  <c r="DN61" i="57"/>
  <c r="DQ56" i="57"/>
  <c r="DN189" i="57"/>
  <c r="DN157" i="57" s="1"/>
  <c r="DN173" i="57"/>
  <c r="DN175" i="57" s="1"/>
  <c r="DN133" i="57"/>
  <c r="DO58" i="57"/>
  <c r="DY175" i="63" l="1"/>
  <c r="DY133" i="63" s="1"/>
  <c r="DS141" i="63"/>
  <c r="DS159" i="63"/>
  <c r="DT184" i="63"/>
  <c r="DT206" i="63" s="1"/>
  <c r="DT208" i="63" s="1"/>
  <c r="DT209" i="63" s="1"/>
  <c r="DO158" i="57"/>
  <c r="DO57" i="57"/>
  <c r="DO188" i="57"/>
  <c r="DO197" i="57"/>
  <c r="DO198" i="57"/>
  <c r="DO161" i="57" s="1"/>
  <c r="DN68" i="57"/>
  <c r="DQ126" i="57"/>
  <c r="DQ1" i="57"/>
  <c r="DO2" i="57"/>
  <c r="DN118" i="57"/>
  <c r="DN117" i="57"/>
  <c r="DN116" i="57"/>
  <c r="DN105" i="57"/>
  <c r="DN104" i="57"/>
  <c r="DN95" i="57"/>
  <c r="DN96" i="57"/>
  <c r="DN98" i="57"/>
  <c r="DN97" i="57"/>
  <c r="DN100" i="57"/>
  <c r="DN99" i="57"/>
  <c r="DN107" i="57"/>
  <c r="DM74" i="57"/>
  <c r="DM75" i="57" s="1"/>
  <c r="DO137" i="57"/>
  <c r="DO140" i="57"/>
  <c r="DO138" i="57"/>
  <c r="DO134" i="57"/>
  <c r="DO135" i="57"/>
  <c r="DO139" i="57"/>
  <c r="DO136" i="57"/>
  <c r="DO159" i="57"/>
  <c r="DN80" i="57"/>
  <c r="DN81" i="57"/>
  <c r="DO63" i="57"/>
  <c r="DO64" i="57" s="1"/>
  <c r="DN62" i="57"/>
  <c r="DO61" i="57"/>
  <c r="DN71" i="57"/>
  <c r="DO67" i="57"/>
  <c r="DO65" i="57"/>
  <c r="DO66" i="57" s="1"/>
  <c r="DR56" i="57"/>
  <c r="DO189" i="57"/>
  <c r="DO157" i="57" s="1"/>
  <c r="DO173" i="57"/>
  <c r="DO175" i="57" s="1"/>
  <c r="DO133" i="57"/>
  <c r="DP58" i="57"/>
  <c r="DY178" i="63" l="1"/>
  <c r="DZ172" i="63" s="1"/>
  <c r="DZ174" i="63" s="1"/>
  <c r="DT187" i="63"/>
  <c r="DU181" i="63" s="1"/>
  <c r="DU183" i="63" s="1"/>
  <c r="DT137" i="63"/>
  <c r="DT139" i="63" s="1"/>
  <c r="DP158" i="57"/>
  <c r="DP57" i="57"/>
  <c r="DP188" i="57"/>
  <c r="DP197" i="57"/>
  <c r="DP198" i="57"/>
  <c r="DP161" i="57" s="1"/>
  <c r="DO68" i="57"/>
  <c r="DR126" i="57"/>
  <c r="DR1" i="57"/>
  <c r="DP2" i="57"/>
  <c r="DO117" i="57"/>
  <c r="DO118" i="57"/>
  <c r="DO116" i="57"/>
  <c r="DO96" i="57"/>
  <c r="DO105" i="57"/>
  <c r="DO104" i="57"/>
  <c r="DO95" i="57"/>
  <c r="DO98" i="57"/>
  <c r="DO99" i="57"/>
  <c r="DO100" i="57"/>
  <c r="DO97" i="57"/>
  <c r="DO107" i="57"/>
  <c r="DP140" i="57"/>
  <c r="DP138" i="57"/>
  <c r="DP139" i="57"/>
  <c r="DP136" i="57"/>
  <c r="DP135" i="57"/>
  <c r="DP134" i="57"/>
  <c r="DP137" i="57"/>
  <c r="DN74" i="57"/>
  <c r="DN75" i="57" s="1"/>
  <c r="DP159" i="57"/>
  <c r="DO80" i="57"/>
  <c r="DO81" i="57"/>
  <c r="DP63" i="57"/>
  <c r="DP64" i="57" s="1"/>
  <c r="DO71" i="57"/>
  <c r="DO62" i="57"/>
  <c r="DP65" i="57"/>
  <c r="DP66" i="57" s="1"/>
  <c r="DP67" i="57"/>
  <c r="DP61" i="57"/>
  <c r="DS56" i="57"/>
  <c r="DP173" i="57"/>
  <c r="DP175" i="57" s="1"/>
  <c r="DP189" i="57"/>
  <c r="DP157" i="57" s="1"/>
  <c r="DP133" i="57"/>
  <c r="DQ58" i="57"/>
  <c r="DZ175" i="63" l="1"/>
  <c r="DZ178" i="63" s="1"/>
  <c r="EA172" i="63" s="1"/>
  <c r="EA174" i="63" s="1"/>
  <c r="DT141" i="63"/>
  <c r="DT159" i="63"/>
  <c r="DU184" i="63"/>
  <c r="DU206" i="63" s="1"/>
  <c r="DU208" i="63" s="1"/>
  <c r="DU209" i="63" s="1"/>
  <c r="DQ158" i="57"/>
  <c r="DQ57" i="57"/>
  <c r="DQ188" i="57"/>
  <c r="DQ198" i="57"/>
  <c r="DQ161" i="57" s="1"/>
  <c r="DQ197" i="57"/>
  <c r="DP68" i="57"/>
  <c r="DS126" i="57"/>
  <c r="DS1" i="57"/>
  <c r="DQ2" i="57"/>
  <c r="DP117" i="57"/>
  <c r="DP118" i="57"/>
  <c r="DP116" i="57"/>
  <c r="DP105" i="57"/>
  <c r="DP104" i="57"/>
  <c r="DP96" i="57"/>
  <c r="DP95" i="57"/>
  <c r="DP98" i="57"/>
  <c r="DP97" i="57"/>
  <c r="DP100" i="57"/>
  <c r="DP99" i="57"/>
  <c r="DP107" i="57"/>
  <c r="DO74" i="57"/>
  <c r="DO75" i="57" s="1"/>
  <c r="DQ134" i="57"/>
  <c r="DQ139" i="57"/>
  <c r="DQ140" i="57"/>
  <c r="DQ138" i="57"/>
  <c r="DQ135" i="57"/>
  <c r="DQ137" i="57"/>
  <c r="DQ136" i="57"/>
  <c r="DQ159" i="57"/>
  <c r="DP80" i="57"/>
  <c r="DP81" i="57"/>
  <c r="DQ63" i="57"/>
  <c r="DQ64" i="57" s="1"/>
  <c r="DP62" i="57"/>
  <c r="DQ61" i="57"/>
  <c r="DP71" i="57"/>
  <c r="DQ67" i="57"/>
  <c r="DQ65" i="57"/>
  <c r="DQ66" i="57" s="1"/>
  <c r="DT56" i="57"/>
  <c r="DQ173" i="57"/>
  <c r="DQ175" i="57" s="1"/>
  <c r="DQ189" i="57"/>
  <c r="DQ157" i="57" s="1"/>
  <c r="DR58" i="57"/>
  <c r="DQ133" i="57"/>
  <c r="EA175" i="63" l="1"/>
  <c r="EA133" i="63" s="1"/>
  <c r="DZ133" i="63"/>
  <c r="EA178" i="63"/>
  <c r="EB172" i="63" s="1"/>
  <c r="DU187" i="63"/>
  <c r="DV181" i="63" s="1"/>
  <c r="DV183" i="63" s="1"/>
  <c r="DV184" i="63" s="1"/>
  <c r="DV206" i="63" s="1"/>
  <c r="DV208" i="63" s="1"/>
  <c r="DV209" i="63" s="1"/>
  <c r="DU137" i="63"/>
  <c r="DU139" i="63" s="1"/>
  <c r="DR158" i="57"/>
  <c r="DR57" i="57"/>
  <c r="DR188" i="57"/>
  <c r="DR198" i="57"/>
  <c r="DR197" i="57"/>
  <c r="DQ68" i="57"/>
  <c r="DT126" i="57"/>
  <c r="DT1" i="57"/>
  <c r="DR2" i="57"/>
  <c r="DQ117" i="57"/>
  <c r="DQ118" i="57"/>
  <c r="DQ116" i="57"/>
  <c r="DQ96" i="57"/>
  <c r="DQ98" i="57"/>
  <c r="DQ105" i="57"/>
  <c r="DQ95" i="57"/>
  <c r="DQ104" i="57"/>
  <c r="DQ99" i="57"/>
  <c r="DQ97" i="57"/>
  <c r="DQ100" i="57"/>
  <c r="DQ107" i="57"/>
  <c r="DR137" i="57"/>
  <c r="DR135" i="57"/>
  <c r="DR134" i="57"/>
  <c r="DR140" i="57"/>
  <c r="DR136" i="57"/>
  <c r="DR139" i="57"/>
  <c r="DR138" i="57"/>
  <c r="DP74" i="57"/>
  <c r="DP75" i="57" s="1"/>
  <c r="DR159" i="57"/>
  <c r="DQ80" i="57"/>
  <c r="DQ81" i="57"/>
  <c r="DR63" i="57"/>
  <c r="DR64" i="57" s="1"/>
  <c r="DQ62" i="57"/>
  <c r="DR65" i="57"/>
  <c r="DR66" i="57" s="1"/>
  <c r="DR67" i="57"/>
  <c r="DQ71" i="57"/>
  <c r="DR61" i="57"/>
  <c r="DU56" i="57"/>
  <c r="DR189" i="57"/>
  <c r="DR173" i="57"/>
  <c r="DS58" i="57"/>
  <c r="DR133" i="57"/>
  <c r="DU141" i="63" l="1"/>
  <c r="DU159" i="63"/>
  <c r="EB174" i="63"/>
  <c r="DV137" i="63"/>
  <c r="DV139" i="63" s="1"/>
  <c r="DV187" i="63"/>
  <c r="DW181" i="63" s="1"/>
  <c r="DS158" i="57"/>
  <c r="DS57" i="57"/>
  <c r="DR175" i="57"/>
  <c r="DR157" i="57"/>
  <c r="DR161" i="57"/>
  <c r="DS188" i="57"/>
  <c r="DS198" i="57"/>
  <c r="DS161" i="57" s="1"/>
  <c r="DS197" i="57"/>
  <c r="DR68" i="57"/>
  <c r="DU126" i="57"/>
  <c r="DU1" i="57"/>
  <c r="DS2" i="57"/>
  <c r="DR117" i="57"/>
  <c r="DR118" i="57"/>
  <c r="DR116" i="57"/>
  <c r="DR96" i="57"/>
  <c r="DR105" i="57"/>
  <c r="DR104" i="57"/>
  <c r="DR95" i="57"/>
  <c r="DR100" i="57"/>
  <c r="DR99" i="57"/>
  <c r="DR98" i="57"/>
  <c r="DR97" i="57"/>
  <c r="DR107" i="57"/>
  <c r="DS138" i="57"/>
  <c r="DS136" i="57"/>
  <c r="DS134" i="57"/>
  <c r="DS139" i="57"/>
  <c r="DS140" i="57"/>
  <c r="DS135" i="57"/>
  <c r="DS137" i="57"/>
  <c r="DQ74" i="57"/>
  <c r="DQ75" i="57" s="1"/>
  <c r="DS159" i="57"/>
  <c r="DR80" i="57"/>
  <c r="DR81" i="57"/>
  <c r="DS63" i="57"/>
  <c r="DS64" i="57" s="1"/>
  <c r="DR62" i="57"/>
  <c r="DS61" i="57"/>
  <c r="DR71" i="57"/>
  <c r="DS67" i="57"/>
  <c r="DS65" i="57"/>
  <c r="DS66" i="57" s="1"/>
  <c r="DV56" i="57"/>
  <c r="DS189" i="57"/>
  <c r="DS157" i="57" s="1"/>
  <c r="DS173" i="57"/>
  <c r="DS175" i="57" s="1"/>
  <c r="DS133" i="57"/>
  <c r="DT58" i="57"/>
  <c r="EB175" i="63" l="1"/>
  <c r="EB133" i="63" s="1"/>
  <c r="DV159" i="63"/>
  <c r="DW183" i="63"/>
  <c r="DW184" i="63" s="1"/>
  <c r="DW206" i="63" s="1"/>
  <c r="DW208" i="63" s="1"/>
  <c r="DW209" i="63" s="1"/>
  <c r="DT158" i="57"/>
  <c r="DT57" i="57"/>
  <c r="DT188" i="57"/>
  <c r="DT197" i="57"/>
  <c r="DT198" i="57"/>
  <c r="DS68" i="57"/>
  <c r="DV126" i="57"/>
  <c r="DV1" i="57"/>
  <c r="DT2" i="57"/>
  <c r="DS118" i="57"/>
  <c r="DS117" i="57"/>
  <c r="DS116" i="57"/>
  <c r="DS95" i="57"/>
  <c r="DS105" i="57"/>
  <c r="DS104" i="57"/>
  <c r="DS96" i="57"/>
  <c r="DS100" i="57"/>
  <c r="DS97" i="57"/>
  <c r="DS99" i="57"/>
  <c r="DS98" i="57"/>
  <c r="DS107" i="57"/>
  <c r="DT139" i="57"/>
  <c r="DT140" i="57"/>
  <c r="DT137" i="57"/>
  <c r="DT136" i="57"/>
  <c r="DT134" i="57"/>
  <c r="DT135" i="57"/>
  <c r="DT138" i="57"/>
  <c r="DR74" i="57"/>
  <c r="DR75" i="57" s="1"/>
  <c r="DT159" i="57"/>
  <c r="DS81" i="57"/>
  <c r="DS80" i="57"/>
  <c r="DT63" i="57"/>
  <c r="DT64" i="57" s="1"/>
  <c r="DS71" i="57"/>
  <c r="DS62" i="57"/>
  <c r="DT65" i="57"/>
  <c r="DT66" i="57" s="1"/>
  <c r="DT67" i="57"/>
  <c r="DT61" i="57"/>
  <c r="DW56" i="57"/>
  <c r="DT189" i="57"/>
  <c r="DT173" i="57"/>
  <c r="DT175" i="57" s="1"/>
  <c r="DT133" i="57"/>
  <c r="DU58" i="57"/>
  <c r="EB178" i="63" l="1"/>
  <c r="EC172" i="63" s="1"/>
  <c r="EC174" i="63" s="1"/>
  <c r="EC175" i="63" s="1"/>
  <c r="EC133" i="63" s="1"/>
  <c r="DV141" i="63"/>
  <c r="DW137" i="63"/>
  <c r="DW139" i="63" s="1"/>
  <c r="DW187" i="63"/>
  <c r="DX181" i="63" s="1"/>
  <c r="DU158" i="57"/>
  <c r="DU57" i="57"/>
  <c r="DT157" i="57"/>
  <c r="DT161" i="57"/>
  <c r="DU188" i="57"/>
  <c r="DU197" i="57"/>
  <c r="DU198" i="57"/>
  <c r="DU161" i="57" s="1"/>
  <c r="DT68" i="57"/>
  <c r="DW126" i="57"/>
  <c r="DW1" i="57"/>
  <c r="DU2" i="57"/>
  <c r="DT118" i="57"/>
  <c r="DT117" i="57"/>
  <c r="DT116" i="57"/>
  <c r="DT98" i="57"/>
  <c r="DT96" i="57"/>
  <c r="DT105" i="57"/>
  <c r="DT104" i="57"/>
  <c r="DT95" i="57"/>
  <c r="DT97" i="57"/>
  <c r="DT99" i="57"/>
  <c r="DT100" i="57"/>
  <c r="DT107" i="57"/>
  <c r="DS74" i="57"/>
  <c r="DS75" i="57" s="1"/>
  <c r="DU139" i="57"/>
  <c r="DU137" i="57"/>
  <c r="DU140" i="57"/>
  <c r="DU138" i="57"/>
  <c r="DU136" i="57"/>
  <c r="DU134" i="57"/>
  <c r="DU135" i="57"/>
  <c r="DU159" i="57"/>
  <c r="DT81" i="57"/>
  <c r="DT80" i="57"/>
  <c r="DU63" i="57"/>
  <c r="DU64" i="57" s="1"/>
  <c r="DT62" i="57"/>
  <c r="DU61" i="57"/>
  <c r="DT71" i="57"/>
  <c r="DU67" i="57"/>
  <c r="DU65" i="57"/>
  <c r="DU66" i="57" s="1"/>
  <c r="DX56" i="57"/>
  <c r="DU189" i="57"/>
  <c r="DU157" i="57" s="1"/>
  <c r="DU173" i="57"/>
  <c r="DU133" i="57"/>
  <c r="DV58" i="57"/>
  <c r="EC178" i="63" l="1"/>
  <c r="ED172" i="63" s="1"/>
  <c r="ED174" i="63" s="1"/>
  <c r="ED175" i="63" s="1"/>
  <c r="DW141" i="63"/>
  <c r="DW159" i="63"/>
  <c r="DX183" i="63"/>
  <c r="DX184" i="63" s="1"/>
  <c r="DX206" i="63" s="1"/>
  <c r="DX208" i="63" s="1"/>
  <c r="DX209" i="63" s="1"/>
  <c r="DV158" i="57"/>
  <c r="DV57" i="57"/>
  <c r="DU175" i="57"/>
  <c r="DV188" i="57"/>
  <c r="DV197" i="57"/>
  <c r="DV198" i="57"/>
  <c r="DU68" i="57"/>
  <c r="DX126" i="57"/>
  <c r="DX1" i="57"/>
  <c r="DV2" i="57"/>
  <c r="DU118" i="57"/>
  <c r="DU117" i="57"/>
  <c r="DU116" i="57"/>
  <c r="DU96" i="57"/>
  <c r="DU104" i="57"/>
  <c r="DU105" i="57"/>
  <c r="DU95" i="57"/>
  <c r="DU98" i="57"/>
  <c r="DU97" i="57"/>
  <c r="DU100" i="57"/>
  <c r="DU99" i="57"/>
  <c r="DU107" i="57"/>
  <c r="DV137" i="57"/>
  <c r="DV140" i="57"/>
  <c r="DV139" i="57"/>
  <c r="DV134" i="57"/>
  <c r="DV136" i="57"/>
  <c r="DV135" i="57"/>
  <c r="DV138" i="57"/>
  <c r="DT74" i="57"/>
  <c r="DT75" i="57" s="1"/>
  <c r="DV159" i="57"/>
  <c r="DU81" i="57"/>
  <c r="DU80" i="57"/>
  <c r="DV63" i="57"/>
  <c r="DV64" i="57" s="1"/>
  <c r="DU71" i="57"/>
  <c r="DU62" i="57"/>
  <c r="DV65" i="57"/>
  <c r="DV66" i="57" s="1"/>
  <c r="DV67" i="57"/>
  <c r="DV61" i="57"/>
  <c r="DY56" i="57"/>
  <c r="DV173" i="57"/>
  <c r="DV175" i="57" s="1"/>
  <c r="DV133" i="57"/>
  <c r="DW58" i="57"/>
  <c r="DX137" i="63" l="1"/>
  <c r="DX139" i="63" s="1"/>
  <c r="DX187" i="63"/>
  <c r="DY181" i="63" s="1"/>
  <c r="DW158" i="57"/>
  <c r="DW57" i="57"/>
  <c r="DV161" i="57"/>
  <c r="DW188" i="57"/>
  <c r="DW197" i="57"/>
  <c r="DW198" i="57"/>
  <c r="DW161" i="57" s="1"/>
  <c r="DV68" i="57"/>
  <c r="DY126" i="57"/>
  <c r="DY1" i="57"/>
  <c r="DW2" i="57"/>
  <c r="DV118" i="57"/>
  <c r="DV117" i="57"/>
  <c r="DV116" i="57"/>
  <c r="DV104" i="57"/>
  <c r="DV98" i="57"/>
  <c r="DV96" i="57"/>
  <c r="DV95" i="57"/>
  <c r="DV105" i="57"/>
  <c r="DV97" i="57"/>
  <c r="DV100" i="57"/>
  <c r="DV99" i="57"/>
  <c r="DV107" i="57"/>
  <c r="DW159" i="57"/>
  <c r="DW138" i="57"/>
  <c r="DW137" i="57"/>
  <c r="DW140" i="57"/>
  <c r="DW134" i="57"/>
  <c r="DW136" i="57"/>
  <c r="DW139" i="57"/>
  <c r="DW135" i="57"/>
  <c r="DU74" i="57"/>
  <c r="DU75" i="57" s="1"/>
  <c r="DV80" i="57"/>
  <c r="DV81" i="57"/>
  <c r="DW63" i="57"/>
  <c r="DW64" i="57" s="1"/>
  <c r="DV62" i="57"/>
  <c r="DW61" i="57"/>
  <c r="DV71" i="57"/>
  <c r="DW67" i="57"/>
  <c r="DW65" i="57"/>
  <c r="DW66" i="57" s="1"/>
  <c r="DZ56" i="57"/>
  <c r="DW189" i="57"/>
  <c r="DW157" i="57" s="1"/>
  <c r="DW173" i="57"/>
  <c r="DW133" i="57"/>
  <c r="DX58" i="57"/>
  <c r="DX141" i="63" l="1"/>
  <c r="DX159" i="63"/>
  <c r="ED133" i="63"/>
  <c r="ED178" i="63"/>
  <c r="EE172" i="63" s="1"/>
  <c r="DY183" i="63"/>
  <c r="DY184" i="63" s="1"/>
  <c r="DY206" i="63" s="1"/>
  <c r="DY208" i="63" s="1"/>
  <c r="DY209" i="63" s="1"/>
  <c r="DX158" i="57"/>
  <c r="DX57" i="57"/>
  <c r="DW175" i="57"/>
  <c r="DX188" i="57"/>
  <c r="DX198" i="57"/>
  <c r="DX161" i="57" s="1"/>
  <c r="DX197" i="57"/>
  <c r="DW68" i="57"/>
  <c r="DZ126" i="57"/>
  <c r="DZ1" i="57"/>
  <c r="DX2" i="57"/>
  <c r="DW117" i="57"/>
  <c r="DW118" i="57"/>
  <c r="DW116" i="57"/>
  <c r="DW95" i="57"/>
  <c r="DW96" i="57"/>
  <c r="DW105" i="57"/>
  <c r="DW104" i="57"/>
  <c r="DW98" i="57"/>
  <c r="DW99" i="57"/>
  <c r="DW100" i="57"/>
  <c r="DW97" i="57"/>
  <c r="DW107" i="57"/>
  <c r="DX159" i="57"/>
  <c r="DX137" i="57"/>
  <c r="DX140" i="57"/>
  <c r="DX138" i="57"/>
  <c r="DX139" i="57"/>
  <c r="DX135" i="57"/>
  <c r="DX134" i="57"/>
  <c r="DX136" i="57"/>
  <c r="DV74" i="57"/>
  <c r="DV75" i="57" s="1"/>
  <c r="DW80" i="57"/>
  <c r="DW81" i="57"/>
  <c r="DX63" i="57"/>
  <c r="DX64" i="57" s="1"/>
  <c r="DW71" i="57"/>
  <c r="DW62" i="57"/>
  <c r="DX65" i="57"/>
  <c r="DX66" i="57" s="1"/>
  <c r="DX67" i="57"/>
  <c r="DX61" i="57"/>
  <c r="EA56" i="57"/>
  <c r="DX189" i="57"/>
  <c r="DX157" i="57" s="1"/>
  <c r="DX173" i="57"/>
  <c r="DX175" i="57" s="1"/>
  <c r="DX133" i="57"/>
  <c r="DY58" i="57"/>
  <c r="EE174" i="63" l="1"/>
  <c r="EE175" i="63" s="1"/>
  <c r="DY137" i="63"/>
  <c r="DY139" i="63" s="1"/>
  <c r="DY187" i="63"/>
  <c r="DZ181" i="63" s="1"/>
  <c r="DY158" i="57"/>
  <c r="DY57" i="57"/>
  <c r="DY188" i="57"/>
  <c r="DY198" i="57"/>
  <c r="DY197" i="57"/>
  <c r="DX68" i="57"/>
  <c r="EA126" i="57"/>
  <c r="EA1" i="57"/>
  <c r="DY2" i="57"/>
  <c r="DX117" i="57"/>
  <c r="DX118" i="57"/>
  <c r="DX116" i="57"/>
  <c r="DX104" i="57"/>
  <c r="DX95" i="57"/>
  <c r="DX96" i="57"/>
  <c r="DX105" i="57"/>
  <c r="DX99" i="57"/>
  <c r="DX97" i="57"/>
  <c r="DX100" i="57"/>
  <c r="DX98" i="57"/>
  <c r="DX107" i="57"/>
  <c r="DW74" i="57"/>
  <c r="DW75" i="57" s="1"/>
  <c r="DY159" i="57"/>
  <c r="DY140" i="57"/>
  <c r="DY138" i="57"/>
  <c r="DY134" i="57"/>
  <c r="DY137" i="57"/>
  <c r="DY135" i="57"/>
  <c r="DY136" i="57"/>
  <c r="DY139" i="57"/>
  <c r="DX80" i="57"/>
  <c r="DX81" i="57"/>
  <c r="DY63" i="57"/>
  <c r="DY64" i="57" s="1"/>
  <c r="DX71" i="57"/>
  <c r="DX62" i="57"/>
  <c r="DY67" i="57"/>
  <c r="DY65" i="57"/>
  <c r="DY66" i="57" s="1"/>
  <c r="DY61" i="57"/>
  <c r="EB56" i="57"/>
  <c r="DY173" i="57"/>
  <c r="DY175" i="57" s="1"/>
  <c r="DY189" i="57"/>
  <c r="DY157" i="57" s="1"/>
  <c r="DZ58" i="57"/>
  <c r="DY133" i="57"/>
  <c r="DY141" i="63" l="1"/>
  <c r="DY159" i="63"/>
  <c r="DZ183" i="63"/>
  <c r="DZ184" i="63" s="1"/>
  <c r="DZ206" i="63" s="1"/>
  <c r="DZ208" i="63" s="1"/>
  <c r="DZ209" i="63" s="1"/>
  <c r="DZ158" i="57"/>
  <c r="DZ57" i="57"/>
  <c r="DY161" i="57"/>
  <c r="DZ188" i="57"/>
  <c r="DZ198" i="57"/>
  <c r="DZ161" i="57" s="1"/>
  <c r="DZ197" i="57"/>
  <c r="DY68" i="57"/>
  <c r="EB126" i="57"/>
  <c r="EB1" i="57"/>
  <c r="DZ2" i="57"/>
  <c r="DY117" i="57"/>
  <c r="DY118" i="57"/>
  <c r="DY116" i="57"/>
  <c r="DY98" i="57"/>
  <c r="DY105" i="57"/>
  <c r="DY104" i="57"/>
  <c r="DY96" i="57"/>
  <c r="DY95" i="57"/>
  <c r="DY99" i="57"/>
  <c r="DY97" i="57"/>
  <c r="DY100" i="57"/>
  <c r="DY107" i="57"/>
  <c r="DX74" i="57"/>
  <c r="DX75" i="57" s="1"/>
  <c r="DZ159" i="57"/>
  <c r="DZ138" i="57"/>
  <c r="DZ136" i="57"/>
  <c r="DZ137" i="57"/>
  <c r="DZ140" i="57"/>
  <c r="DZ134" i="57"/>
  <c r="DZ135" i="57"/>
  <c r="DZ139" i="57"/>
  <c r="DY80" i="57"/>
  <c r="DY81" i="57"/>
  <c r="DZ63" i="57"/>
  <c r="DZ64" i="57" s="1"/>
  <c r="DY62" i="57"/>
  <c r="DZ61" i="57"/>
  <c r="DZ65" i="57"/>
  <c r="DZ66" i="57" s="1"/>
  <c r="DZ67" i="57"/>
  <c r="DY71" i="57"/>
  <c r="EC56" i="57"/>
  <c r="DZ189" i="57"/>
  <c r="DZ157" i="57" s="1"/>
  <c r="DZ173" i="57"/>
  <c r="DZ175" i="57" s="1"/>
  <c r="EA58" i="57"/>
  <c r="DZ133" i="57"/>
  <c r="EE133" i="63" l="1"/>
  <c r="EE178" i="63"/>
  <c r="EF172" i="63" s="1"/>
  <c r="DZ137" i="63"/>
  <c r="DZ139" i="63" s="1"/>
  <c r="DZ187" i="63"/>
  <c r="EA181" i="63" s="1"/>
  <c r="EA158" i="57"/>
  <c r="EA57" i="57"/>
  <c r="EA188" i="57"/>
  <c r="EA198" i="57"/>
  <c r="EA161" i="57" s="1"/>
  <c r="EA197" i="57"/>
  <c r="DZ68" i="57"/>
  <c r="EC126" i="57"/>
  <c r="EC1" i="57"/>
  <c r="EA2" i="57"/>
  <c r="DZ117" i="57"/>
  <c r="DZ118" i="57"/>
  <c r="DZ116" i="57"/>
  <c r="DZ104" i="57"/>
  <c r="DZ95" i="57"/>
  <c r="DZ96" i="57"/>
  <c r="DZ98" i="57"/>
  <c r="DZ105" i="57"/>
  <c r="DZ97" i="57"/>
  <c r="DZ100" i="57"/>
  <c r="DZ99" i="57"/>
  <c r="DZ107" i="57"/>
  <c r="EA159" i="57"/>
  <c r="EA138" i="57"/>
  <c r="EA139" i="57"/>
  <c r="EA137" i="57"/>
  <c r="EA135" i="57"/>
  <c r="EA140" i="57"/>
  <c r="EA136" i="57"/>
  <c r="EA134" i="57"/>
  <c r="DY74" i="57"/>
  <c r="DY75" i="57" s="1"/>
  <c r="DZ80" i="57"/>
  <c r="DZ81" i="57"/>
  <c r="EA63" i="57"/>
  <c r="EA64" i="57" s="1"/>
  <c r="DZ71" i="57"/>
  <c r="DZ62" i="57"/>
  <c r="EA61" i="57"/>
  <c r="EA67" i="57"/>
  <c r="EA65" i="57"/>
  <c r="EA66" i="57" s="1"/>
  <c r="ED56" i="57"/>
  <c r="EA189" i="57"/>
  <c r="EA157" i="57" s="1"/>
  <c r="EA173" i="57"/>
  <c r="EA175" i="57" s="1"/>
  <c r="EA133" i="57"/>
  <c r="EB58" i="57"/>
  <c r="DZ141" i="63" l="1"/>
  <c r="DZ159" i="63"/>
  <c r="EF174" i="63"/>
  <c r="EF175" i="63" s="1"/>
  <c r="EA183" i="63"/>
  <c r="EA184" i="63" s="1"/>
  <c r="EA206" i="63" s="1"/>
  <c r="EA208" i="63" s="1"/>
  <c r="EA209" i="63" s="1"/>
  <c r="EB158" i="57"/>
  <c r="EB57" i="57"/>
  <c r="EB188" i="57"/>
  <c r="EB197" i="57"/>
  <c r="EB198" i="57"/>
  <c r="EB161" i="57" s="1"/>
  <c r="EA68" i="57"/>
  <c r="ED126" i="57"/>
  <c r="ED1" i="57"/>
  <c r="EB2" i="57"/>
  <c r="EA118" i="57"/>
  <c r="EA117" i="57"/>
  <c r="EA116" i="57"/>
  <c r="EA105" i="57"/>
  <c r="EA104" i="57"/>
  <c r="EA96" i="57"/>
  <c r="EA95" i="57"/>
  <c r="EA98" i="57"/>
  <c r="EA97" i="57"/>
  <c r="EA99" i="57"/>
  <c r="EA100" i="57"/>
  <c r="EA107" i="57"/>
  <c r="EB159" i="57"/>
  <c r="EB140" i="57"/>
  <c r="EB134" i="57"/>
  <c r="EB139" i="57"/>
  <c r="EB136" i="57"/>
  <c r="EB137" i="57"/>
  <c r="EB138" i="57"/>
  <c r="EB135" i="57"/>
  <c r="DZ74" i="57"/>
  <c r="DZ75" i="57" s="1"/>
  <c r="EA81" i="57"/>
  <c r="EA80" i="57"/>
  <c r="EA71" i="57"/>
  <c r="EB63" i="57"/>
  <c r="EB64" i="57" s="1"/>
  <c r="EA62" i="57"/>
  <c r="EB65" i="57"/>
  <c r="EB66" i="57" s="1"/>
  <c r="EB67" i="57"/>
  <c r="EB61" i="57"/>
  <c r="EE56" i="57"/>
  <c r="EB189" i="57"/>
  <c r="EB157" i="57" s="1"/>
  <c r="EB173" i="57"/>
  <c r="EB175" i="57" s="1"/>
  <c r="EB133" i="57"/>
  <c r="EC58" i="57"/>
  <c r="EA137" i="63" l="1"/>
  <c r="EA139" i="63" s="1"/>
  <c r="EA187" i="63"/>
  <c r="EB181" i="63" s="1"/>
  <c r="EC158" i="57"/>
  <c r="EC57" i="57"/>
  <c r="EC188" i="57"/>
  <c r="EC197" i="57"/>
  <c r="EC198" i="57"/>
  <c r="EC161" i="57" s="1"/>
  <c r="EB68" i="57"/>
  <c r="EE126" i="57"/>
  <c r="EE1" i="57"/>
  <c r="EC2" i="57"/>
  <c r="EB118" i="57"/>
  <c r="EB117" i="57"/>
  <c r="EB116" i="57"/>
  <c r="EB95" i="57"/>
  <c r="EB96" i="57"/>
  <c r="EB104" i="57"/>
  <c r="EB105" i="57"/>
  <c r="EB98" i="57"/>
  <c r="EB97" i="57"/>
  <c r="EB100" i="57"/>
  <c r="EB99" i="57"/>
  <c r="EB107" i="57"/>
  <c r="EA74" i="57"/>
  <c r="EA75" i="57" s="1"/>
  <c r="EC159" i="57"/>
  <c r="EC139" i="57"/>
  <c r="EC137" i="57"/>
  <c r="EC140" i="57"/>
  <c r="EC135" i="57"/>
  <c r="EC138" i="57"/>
  <c r="EC136" i="57"/>
  <c r="EC134" i="57"/>
  <c r="EB80" i="57"/>
  <c r="EB81" i="57"/>
  <c r="EC63" i="57"/>
  <c r="EC64" i="57" s="1"/>
  <c r="EB62" i="57"/>
  <c r="EC61" i="57"/>
  <c r="EC67" i="57"/>
  <c r="EC65" i="57"/>
  <c r="EC66" i="57" s="1"/>
  <c r="EB71" i="57"/>
  <c r="EF56" i="57"/>
  <c r="EC189" i="57"/>
  <c r="EC157" i="57" s="1"/>
  <c r="EC173" i="57"/>
  <c r="EC175" i="57" s="1"/>
  <c r="EC133" i="57"/>
  <c r="ED58" i="57"/>
  <c r="EA141" i="63" l="1"/>
  <c r="EA159" i="63"/>
  <c r="EF133" i="63"/>
  <c r="EF178" i="63"/>
  <c r="EG172" i="63" s="1"/>
  <c r="EB183" i="63"/>
  <c r="EB184" i="63" s="1"/>
  <c r="EB206" i="63" s="1"/>
  <c r="EB208" i="63" s="1"/>
  <c r="EB209" i="63" s="1"/>
  <c r="ED158" i="57"/>
  <c r="ED57" i="57"/>
  <c r="ED188" i="57"/>
  <c r="ED197" i="57"/>
  <c r="ED198" i="57"/>
  <c r="EC68" i="57"/>
  <c r="EF126" i="57"/>
  <c r="EF1" i="57"/>
  <c r="ED2" i="57"/>
  <c r="EC118" i="57"/>
  <c r="EC117" i="57"/>
  <c r="EC116" i="57"/>
  <c r="EC104" i="57"/>
  <c r="EC105" i="57"/>
  <c r="EC95" i="57"/>
  <c r="EC98" i="57"/>
  <c r="EC96" i="57"/>
  <c r="EC100" i="57"/>
  <c r="EC99" i="57"/>
  <c r="EC97" i="57"/>
  <c r="EC107" i="57"/>
  <c r="ED159" i="57"/>
  <c r="ED139" i="57"/>
  <c r="ED137" i="57"/>
  <c r="ED140" i="57"/>
  <c r="ED134" i="57"/>
  <c r="ED136" i="57"/>
  <c r="ED138" i="57"/>
  <c r="ED135" i="57"/>
  <c r="EB74" i="57"/>
  <c r="EB75" i="57" s="1"/>
  <c r="EC81" i="57"/>
  <c r="EC80" i="57"/>
  <c r="ED63" i="57"/>
  <c r="ED64" i="57" s="1"/>
  <c r="EC71" i="57"/>
  <c r="EC62" i="57"/>
  <c r="ED65" i="57"/>
  <c r="ED66" i="57" s="1"/>
  <c r="ED67" i="57"/>
  <c r="ED61" i="57"/>
  <c r="EG56" i="57"/>
  <c r="ED189" i="57"/>
  <c r="ED173" i="57"/>
  <c r="ED133" i="57"/>
  <c r="EE58" i="57"/>
  <c r="EG174" i="63" l="1"/>
  <c r="EG175" i="63" s="1"/>
  <c r="EB137" i="63"/>
  <c r="EB139" i="63" s="1"/>
  <c r="EB187" i="63"/>
  <c r="EC181" i="63" s="1"/>
  <c r="EE158" i="57"/>
  <c r="EE57" i="57"/>
  <c r="ED175" i="57"/>
  <c r="ED157" i="57"/>
  <c r="ED161" i="57"/>
  <c r="EE188" i="57"/>
  <c r="EE197" i="57"/>
  <c r="EE198" i="57"/>
  <c r="EE161" i="57" s="1"/>
  <c r="ED68" i="57"/>
  <c r="EG126" i="57"/>
  <c r="EG1" i="57"/>
  <c r="EE2" i="57"/>
  <c r="ED118" i="57"/>
  <c r="ED117" i="57"/>
  <c r="ED116" i="57"/>
  <c r="ED96" i="57"/>
  <c r="ED95" i="57"/>
  <c r="ED105" i="57"/>
  <c r="ED104" i="57"/>
  <c r="ED100" i="57"/>
  <c r="ED98" i="57"/>
  <c r="ED99" i="57"/>
  <c r="ED97" i="57"/>
  <c r="ED107" i="57"/>
  <c r="EE159" i="57"/>
  <c r="EE137" i="57"/>
  <c r="EE140" i="57"/>
  <c r="EE139" i="57"/>
  <c r="EE135" i="57"/>
  <c r="EE134" i="57"/>
  <c r="EE138" i="57"/>
  <c r="EE136" i="57"/>
  <c r="EC74" i="57"/>
  <c r="EC75" i="57" s="1"/>
  <c r="ED80" i="57"/>
  <c r="ED81" i="57"/>
  <c r="EE63" i="57"/>
  <c r="EE64" i="57" s="1"/>
  <c r="ED62" i="57"/>
  <c r="EE67" i="57"/>
  <c r="EE65" i="57"/>
  <c r="EE66" i="57" s="1"/>
  <c r="EE61" i="57"/>
  <c r="ED71" i="57"/>
  <c r="EH56" i="57"/>
  <c r="EE189" i="57"/>
  <c r="EE157" i="57" s="1"/>
  <c r="EE173" i="57"/>
  <c r="EE175" i="57" s="1"/>
  <c r="EE133" i="57"/>
  <c r="EF58" i="57"/>
  <c r="EB141" i="63" l="1"/>
  <c r="EB159" i="63"/>
  <c r="EC183" i="63"/>
  <c r="EC184" i="63" s="1"/>
  <c r="EC206" i="63" s="1"/>
  <c r="EC208" i="63" s="1"/>
  <c r="EC209" i="63" s="1"/>
  <c r="EF158" i="57"/>
  <c r="EF57" i="57"/>
  <c r="EF188" i="57"/>
  <c r="EF198" i="57"/>
  <c r="EF197" i="57"/>
  <c r="EE68" i="57"/>
  <c r="EH126" i="57"/>
  <c r="EH1" i="57"/>
  <c r="EF2" i="57"/>
  <c r="EE117" i="57"/>
  <c r="EE118" i="57"/>
  <c r="EE116" i="57"/>
  <c r="EE96" i="57"/>
  <c r="EE105" i="57"/>
  <c r="EE104" i="57"/>
  <c r="EE99" i="57"/>
  <c r="EE100" i="57"/>
  <c r="EE95" i="57"/>
  <c r="EE98" i="57"/>
  <c r="EE97" i="57"/>
  <c r="EE107" i="57"/>
  <c r="EF159" i="57"/>
  <c r="EF137" i="57"/>
  <c r="EF138" i="57"/>
  <c r="EF134" i="57"/>
  <c r="EF140" i="57"/>
  <c r="EF136" i="57"/>
  <c r="EF139" i="57"/>
  <c r="EF135" i="57"/>
  <c r="ED74" i="57"/>
  <c r="ED75" i="57" s="1"/>
  <c r="EE80" i="57"/>
  <c r="EE81" i="57"/>
  <c r="EF63" i="57"/>
  <c r="EF64" i="57" s="1"/>
  <c r="EE62" i="57"/>
  <c r="EF61" i="57"/>
  <c r="EE71" i="57"/>
  <c r="EF65" i="57"/>
  <c r="EF66" i="57" s="1"/>
  <c r="EF67" i="57"/>
  <c r="EI56" i="57"/>
  <c r="EF189" i="57"/>
  <c r="EF173" i="57"/>
  <c r="EF175" i="57" s="1"/>
  <c r="EF133" i="57"/>
  <c r="EG58" i="57"/>
  <c r="EG133" i="63" l="1"/>
  <c r="EG178" i="63"/>
  <c r="EH172" i="63" s="1"/>
  <c r="EC137" i="63"/>
  <c r="EC139" i="63" s="1"/>
  <c r="EC187" i="63"/>
  <c r="ED181" i="63" s="1"/>
  <c r="EG158" i="57"/>
  <c r="EG57" i="57"/>
  <c r="EF161" i="57"/>
  <c r="EF157" i="57"/>
  <c r="EG188" i="57"/>
  <c r="EG198" i="57"/>
  <c r="EG161" i="57" s="1"/>
  <c r="EG197" i="57"/>
  <c r="EF68" i="57"/>
  <c r="EI126" i="57"/>
  <c r="EI1" i="57"/>
  <c r="EG2" i="57"/>
  <c r="EF117" i="57"/>
  <c r="EF118" i="57"/>
  <c r="EF116" i="57"/>
  <c r="EF95" i="57"/>
  <c r="EF96" i="57"/>
  <c r="EF104" i="57"/>
  <c r="EF105" i="57"/>
  <c r="EF98" i="57"/>
  <c r="EF100" i="57"/>
  <c r="EF99" i="57"/>
  <c r="EF97" i="57"/>
  <c r="EF107" i="57"/>
  <c r="EG159" i="57"/>
  <c r="EG140" i="57"/>
  <c r="EG138" i="57"/>
  <c r="EG139" i="57"/>
  <c r="EG135" i="57"/>
  <c r="EG136" i="57"/>
  <c r="EG137" i="57"/>
  <c r="EG134" i="57"/>
  <c r="EE74" i="57"/>
  <c r="EE75" i="57" s="1"/>
  <c r="EF81" i="57"/>
  <c r="EF80" i="57"/>
  <c r="EG63" i="57"/>
  <c r="EG64" i="57" s="1"/>
  <c r="EF62" i="57"/>
  <c r="EF71" i="57"/>
  <c r="EG61" i="57"/>
  <c r="EG67" i="57"/>
  <c r="EG65" i="57"/>
  <c r="EG66" i="57" s="1"/>
  <c r="EJ56" i="57"/>
  <c r="EG189" i="57"/>
  <c r="EG157" i="57" s="1"/>
  <c r="EG173" i="57"/>
  <c r="EG175" i="57" s="1"/>
  <c r="EH58" i="57"/>
  <c r="EG133" i="57"/>
  <c r="EC141" i="63" l="1"/>
  <c r="EC159" i="63"/>
  <c r="EH174" i="63"/>
  <c r="EH175" i="63" s="1"/>
  <c r="ED183" i="63"/>
  <c r="EH158" i="57"/>
  <c r="EH57" i="57"/>
  <c r="EH188" i="57"/>
  <c r="EH198" i="57"/>
  <c r="EH197" i="57"/>
  <c r="EG68" i="57"/>
  <c r="EJ126" i="57"/>
  <c r="EJ1" i="57"/>
  <c r="EH2" i="57"/>
  <c r="EG117" i="57"/>
  <c r="EG118" i="57"/>
  <c r="EG116" i="57"/>
  <c r="EG105" i="57"/>
  <c r="EG96" i="57"/>
  <c r="EG104" i="57"/>
  <c r="EG99" i="57"/>
  <c r="EG95" i="57"/>
  <c r="EG97" i="57"/>
  <c r="EG98" i="57"/>
  <c r="EG100" i="57"/>
  <c r="EG107" i="57"/>
  <c r="EF74" i="57"/>
  <c r="EF75" i="57" s="1"/>
  <c r="EH159" i="57"/>
  <c r="EH138" i="57"/>
  <c r="EH137" i="57"/>
  <c r="EH139" i="57"/>
  <c r="EH136" i="57"/>
  <c r="EH135" i="57"/>
  <c r="EH140" i="57"/>
  <c r="EH134" i="57"/>
  <c r="EG80" i="57"/>
  <c r="EG81" i="57"/>
  <c r="EH63" i="57"/>
  <c r="EH64" i="57" s="1"/>
  <c r="EG71" i="57"/>
  <c r="EG62" i="57"/>
  <c r="EH67" i="57"/>
  <c r="EH65" i="57"/>
  <c r="EH66" i="57" s="1"/>
  <c r="EH61" i="57"/>
  <c r="EK56" i="57"/>
  <c r="EH189" i="57"/>
  <c r="EH173" i="57"/>
  <c r="EH175" i="57" s="1"/>
  <c r="EI58" i="57"/>
  <c r="EH133" i="57"/>
  <c r="ED184" i="63" l="1"/>
  <c r="ED206" i="63" s="1"/>
  <c r="ED208" i="63" s="1"/>
  <c r="ED209" i="63" s="1"/>
  <c r="EI158" i="57"/>
  <c r="EI57" i="57"/>
  <c r="EH161" i="57"/>
  <c r="EH157" i="57"/>
  <c r="EI188" i="57"/>
  <c r="EI197" i="57"/>
  <c r="EI198" i="57"/>
  <c r="EI161" i="57" s="1"/>
  <c r="EH68" i="57"/>
  <c r="EK126" i="57"/>
  <c r="EK1" i="57"/>
  <c r="EI2" i="57"/>
  <c r="EH117" i="57"/>
  <c r="EH118" i="57"/>
  <c r="EH116" i="57"/>
  <c r="EH104" i="57"/>
  <c r="EH95" i="57"/>
  <c r="EH98" i="57"/>
  <c r="EH105" i="57"/>
  <c r="EH96" i="57"/>
  <c r="EH97" i="57"/>
  <c r="EH99" i="57"/>
  <c r="EH100" i="57"/>
  <c r="EH107" i="57"/>
  <c r="EG74" i="57"/>
  <c r="EG75" i="57" s="1"/>
  <c r="EI159" i="57"/>
  <c r="EI138" i="57"/>
  <c r="EI136" i="57"/>
  <c r="EI139" i="57"/>
  <c r="EI140" i="57"/>
  <c r="EI134" i="57"/>
  <c r="EI137" i="57"/>
  <c r="EI135" i="57"/>
  <c r="EH80" i="57"/>
  <c r="EH81" i="57"/>
  <c r="EI63" i="57"/>
  <c r="EI64" i="57" s="1"/>
  <c r="EH71" i="57"/>
  <c r="EH62" i="57"/>
  <c r="EI65" i="57"/>
  <c r="EI66" i="57" s="1"/>
  <c r="EI67" i="57"/>
  <c r="EI61" i="57"/>
  <c r="EL56" i="57"/>
  <c r="EI189" i="57"/>
  <c r="EI157" i="57" s="1"/>
  <c r="EI173" i="57"/>
  <c r="EI175" i="57" s="1"/>
  <c r="EI133" i="57"/>
  <c r="EJ58" i="57"/>
  <c r="EH133" i="63" l="1"/>
  <c r="EH178" i="63"/>
  <c r="EI172" i="63" s="1"/>
  <c r="ED187" i="63"/>
  <c r="EE181" i="63" s="1"/>
  <c r="EE183" i="63" s="1"/>
  <c r="ED137" i="63"/>
  <c r="ED139" i="63" s="1"/>
  <c r="EJ158" i="57"/>
  <c r="EJ57" i="57"/>
  <c r="EJ188" i="57"/>
  <c r="EJ197" i="57"/>
  <c r="EJ198" i="57"/>
  <c r="EI68" i="57"/>
  <c r="EL126" i="57"/>
  <c r="EL1" i="57"/>
  <c r="EJ2" i="57"/>
  <c r="EI118" i="57"/>
  <c r="EI117" i="57"/>
  <c r="EI116" i="57"/>
  <c r="EI105" i="57"/>
  <c r="EI104" i="57"/>
  <c r="EI96" i="57"/>
  <c r="EI95" i="57"/>
  <c r="EI99" i="57"/>
  <c r="EI98" i="57"/>
  <c r="EI97" i="57"/>
  <c r="EI100" i="57"/>
  <c r="EI107" i="57"/>
  <c r="EH74" i="57"/>
  <c r="EH75" i="57" s="1"/>
  <c r="EJ159" i="57"/>
  <c r="EJ140" i="57"/>
  <c r="EJ138" i="57"/>
  <c r="EJ136" i="57"/>
  <c r="EJ137" i="57"/>
  <c r="EJ139" i="57"/>
  <c r="EJ134" i="57"/>
  <c r="EJ135" i="57"/>
  <c r="EI81" i="57"/>
  <c r="EI80" i="57"/>
  <c r="EI71" i="57"/>
  <c r="EJ63" i="57"/>
  <c r="EJ64" i="57" s="1"/>
  <c r="EI62" i="57"/>
  <c r="EJ65" i="57"/>
  <c r="EJ66" i="57" s="1"/>
  <c r="EJ61" i="57"/>
  <c r="EJ67" i="57"/>
  <c r="EM56" i="57"/>
  <c r="EJ189" i="57"/>
  <c r="EJ173" i="57"/>
  <c r="EJ175" i="57" s="1"/>
  <c r="EJ133" i="57"/>
  <c r="EK58" i="57"/>
  <c r="ED141" i="63" l="1"/>
  <c r="ED159" i="63"/>
  <c r="EI174" i="63"/>
  <c r="EE184" i="63"/>
  <c r="EE206" i="63" s="1"/>
  <c r="EE208" i="63" s="1"/>
  <c r="EE209" i="63" s="1"/>
  <c r="EK158" i="57"/>
  <c r="EK57" i="57"/>
  <c r="EJ157" i="57"/>
  <c r="EJ161" i="57"/>
  <c r="EK188" i="57"/>
  <c r="EK197" i="57"/>
  <c r="EK198" i="57"/>
  <c r="EK161" i="57" s="1"/>
  <c r="EJ68" i="57"/>
  <c r="EM126" i="57"/>
  <c r="EM1" i="57"/>
  <c r="EK2" i="57"/>
  <c r="EJ118" i="57"/>
  <c r="EJ117" i="57"/>
  <c r="EJ116" i="57"/>
  <c r="EJ96" i="57"/>
  <c r="EJ105" i="57"/>
  <c r="EJ104" i="57"/>
  <c r="EJ95" i="57"/>
  <c r="EJ97" i="57"/>
  <c r="EJ99" i="57"/>
  <c r="EJ100" i="57"/>
  <c r="EJ98" i="57"/>
  <c r="EJ107" i="57"/>
  <c r="EK159" i="57"/>
  <c r="EK135" i="57"/>
  <c r="EK139" i="57"/>
  <c r="EK138" i="57"/>
  <c r="EK137" i="57"/>
  <c r="EK140" i="57"/>
  <c r="EK136" i="57"/>
  <c r="EK134" i="57"/>
  <c r="EI74" i="57"/>
  <c r="EI75" i="57" s="1"/>
  <c r="EJ80" i="57"/>
  <c r="EJ81" i="57"/>
  <c r="EK63" i="57"/>
  <c r="EK64" i="57" s="1"/>
  <c r="EJ62" i="57"/>
  <c r="EK67" i="57"/>
  <c r="EK61" i="57"/>
  <c r="EK65" i="57"/>
  <c r="EK66" i="57" s="1"/>
  <c r="EJ71" i="57"/>
  <c r="EN56" i="57"/>
  <c r="EK189" i="57"/>
  <c r="EK157" i="57" s="1"/>
  <c r="EK173" i="57"/>
  <c r="EK175" i="57" s="1"/>
  <c r="EK133" i="57"/>
  <c r="EL58" i="57"/>
  <c r="EI175" i="63" l="1"/>
  <c r="EI133" i="63" s="1"/>
  <c r="EE187" i="63"/>
  <c r="EF181" i="63" s="1"/>
  <c r="EF183" i="63" s="1"/>
  <c r="EE137" i="63"/>
  <c r="EE139" i="63" s="1"/>
  <c r="EL158" i="57"/>
  <c r="EL57" i="57"/>
  <c r="EL188" i="57"/>
  <c r="EL197" i="57"/>
  <c r="EL198" i="57"/>
  <c r="EK68" i="57"/>
  <c r="EN126" i="57"/>
  <c r="EN1" i="57"/>
  <c r="EL2" i="57"/>
  <c r="EK118" i="57"/>
  <c r="EK117" i="57"/>
  <c r="EK116" i="57"/>
  <c r="EK104" i="57"/>
  <c r="EK105" i="57"/>
  <c r="EK96" i="57"/>
  <c r="EK95" i="57"/>
  <c r="EK100" i="57"/>
  <c r="EK97" i="57"/>
  <c r="EK99" i="57"/>
  <c r="EK98" i="57"/>
  <c r="EK107" i="57"/>
  <c r="EJ74" i="57"/>
  <c r="EJ75" i="57" s="1"/>
  <c r="EL159" i="57"/>
  <c r="EL139" i="57"/>
  <c r="EL137" i="57"/>
  <c r="EL140" i="57"/>
  <c r="EL138" i="57"/>
  <c r="EL134" i="57"/>
  <c r="EL135" i="57"/>
  <c r="EL136" i="57"/>
  <c r="EK81" i="57"/>
  <c r="EK80" i="57"/>
  <c r="EL63" i="57"/>
  <c r="EL64" i="57" s="1"/>
  <c r="EK71" i="57"/>
  <c r="EK62" i="57"/>
  <c r="EL65" i="57"/>
  <c r="EL66" i="57" s="1"/>
  <c r="EL61" i="57"/>
  <c r="EL67" i="57"/>
  <c r="EO56" i="57"/>
  <c r="EL189" i="57"/>
  <c r="EL173" i="57"/>
  <c r="EL175" i="57" s="1"/>
  <c r="EL133" i="57"/>
  <c r="EM58" i="57"/>
  <c r="EI178" i="63" l="1"/>
  <c r="EJ172" i="63" s="1"/>
  <c r="EE141" i="63"/>
  <c r="EE159" i="63"/>
  <c r="EJ174" i="63"/>
  <c r="EF184" i="63"/>
  <c r="EF206" i="63" s="1"/>
  <c r="EF208" i="63" s="1"/>
  <c r="EF209" i="63" s="1"/>
  <c r="EM158" i="57"/>
  <c r="EM57" i="57"/>
  <c r="EL157" i="57"/>
  <c r="EL161" i="57"/>
  <c r="EM188" i="57"/>
  <c r="EM197" i="57"/>
  <c r="EM198" i="57"/>
  <c r="EM161" i="57" s="1"/>
  <c r="EL68" i="57"/>
  <c r="EO126" i="57"/>
  <c r="EO1" i="57"/>
  <c r="EM2" i="57"/>
  <c r="EL118" i="57"/>
  <c r="EL117" i="57"/>
  <c r="EL116" i="57"/>
  <c r="EL96" i="57"/>
  <c r="EL105" i="57"/>
  <c r="EL104" i="57"/>
  <c r="EL95" i="57"/>
  <c r="EL100" i="57"/>
  <c r="EL99" i="57"/>
  <c r="EL98" i="57"/>
  <c r="EL97" i="57"/>
  <c r="EL107" i="57"/>
  <c r="EK74" i="57"/>
  <c r="EK75" i="57" s="1"/>
  <c r="EM159" i="57"/>
  <c r="EM137" i="57"/>
  <c r="EM135" i="57"/>
  <c r="EM139" i="57"/>
  <c r="EM140" i="57"/>
  <c r="EM134" i="57"/>
  <c r="EM136" i="57"/>
  <c r="EM138" i="57"/>
  <c r="EL80" i="57"/>
  <c r="EL81" i="57"/>
  <c r="EM63" i="57"/>
  <c r="EM64" i="57" s="1"/>
  <c r="EL62" i="57"/>
  <c r="EM67" i="57"/>
  <c r="EM61" i="57"/>
  <c r="EM65" i="57"/>
  <c r="EM66" i="57" s="1"/>
  <c r="EL71" i="57"/>
  <c r="EP56" i="57"/>
  <c r="EM189" i="57"/>
  <c r="EM157" i="57" s="1"/>
  <c r="EM173" i="57"/>
  <c r="EM175" i="57" s="1"/>
  <c r="EM133" i="57"/>
  <c r="EN58" i="57"/>
  <c r="EJ175" i="63" l="1"/>
  <c r="EJ133" i="63" s="1"/>
  <c r="EJ178" i="63"/>
  <c r="EK172" i="63" s="1"/>
  <c r="EF187" i="63"/>
  <c r="EG181" i="63" s="1"/>
  <c r="EG183" i="63" s="1"/>
  <c r="EF137" i="63"/>
  <c r="EF139" i="63" s="1"/>
  <c r="EN158" i="57"/>
  <c r="EN57" i="57"/>
  <c r="EN188" i="57"/>
  <c r="EN198" i="57"/>
  <c r="EN161" i="57" s="1"/>
  <c r="EN197" i="57"/>
  <c r="EM68" i="57"/>
  <c r="EP126" i="57"/>
  <c r="EP1" i="57"/>
  <c r="EN2" i="57"/>
  <c r="EM117" i="57"/>
  <c r="EM118" i="57"/>
  <c r="EM116" i="57"/>
  <c r="EM105" i="57"/>
  <c r="EM104" i="57"/>
  <c r="EM96" i="57"/>
  <c r="EM95" i="57"/>
  <c r="EM98" i="57"/>
  <c r="EM100" i="57"/>
  <c r="EM99" i="57"/>
  <c r="EM97" i="57"/>
  <c r="EM107" i="57"/>
  <c r="EN159" i="57"/>
  <c r="EN137" i="57"/>
  <c r="EN140" i="57"/>
  <c r="EN138" i="57"/>
  <c r="EN139" i="57"/>
  <c r="EN135" i="57"/>
  <c r="EN136" i="57"/>
  <c r="EN134" i="57"/>
  <c r="EL74" i="57"/>
  <c r="EL75" i="57" s="1"/>
  <c r="EM80" i="57"/>
  <c r="EM81" i="57"/>
  <c r="EN63" i="57"/>
  <c r="EN64" i="57" s="1"/>
  <c r="EM71" i="57"/>
  <c r="EM62" i="57"/>
  <c r="EN65" i="57"/>
  <c r="EN66" i="57" s="1"/>
  <c r="EN61" i="57"/>
  <c r="EN67" i="57"/>
  <c r="EQ56" i="57"/>
  <c r="EN189" i="57"/>
  <c r="EN157" i="57" s="1"/>
  <c r="EN173" i="57"/>
  <c r="EN175" i="57" s="1"/>
  <c r="EN133" i="57"/>
  <c r="EO58" i="57"/>
  <c r="EF141" i="63" l="1"/>
  <c r="EF159" i="63"/>
  <c r="EK174" i="63"/>
  <c r="EG184" i="63"/>
  <c r="EG206" i="63" s="1"/>
  <c r="EG208" i="63" s="1"/>
  <c r="EG209" i="63" s="1"/>
  <c r="EO158" i="57"/>
  <c r="EO57" i="57"/>
  <c r="EO188" i="57"/>
  <c r="EO198" i="57"/>
  <c r="EO161" i="57" s="1"/>
  <c r="EO197" i="57"/>
  <c r="EN68" i="57"/>
  <c r="EQ126" i="57"/>
  <c r="EQ1" i="57"/>
  <c r="EO2" i="57"/>
  <c r="EN117" i="57"/>
  <c r="EN118" i="57"/>
  <c r="EN116" i="57"/>
  <c r="EN104" i="57"/>
  <c r="EN96" i="57"/>
  <c r="EN95" i="57"/>
  <c r="EN105" i="57"/>
  <c r="EN98" i="57"/>
  <c r="EN99" i="57"/>
  <c r="EN100" i="57"/>
  <c r="EN97" i="57"/>
  <c r="EN107" i="57"/>
  <c r="EM74" i="57"/>
  <c r="EM75" i="57" s="1"/>
  <c r="EO159" i="57"/>
  <c r="EO134" i="57"/>
  <c r="EO137" i="57"/>
  <c r="EO140" i="57"/>
  <c r="EO138" i="57"/>
  <c r="EO136" i="57"/>
  <c r="EO135" i="57"/>
  <c r="EO139" i="57"/>
  <c r="EN81" i="57"/>
  <c r="EN80" i="57"/>
  <c r="EO63" i="57"/>
  <c r="EO64" i="57" s="1"/>
  <c r="EN62" i="57"/>
  <c r="EO67" i="57"/>
  <c r="EO61" i="57"/>
  <c r="EO65" i="57"/>
  <c r="EO66" i="57" s="1"/>
  <c r="EN71" i="57"/>
  <c r="ER56" i="57"/>
  <c r="EO189" i="57"/>
  <c r="EO157" i="57" s="1"/>
  <c r="EO173" i="57"/>
  <c r="EO175" i="57" s="1"/>
  <c r="EP58" i="57"/>
  <c r="EO133" i="57"/>
  <c r="EK175" i="63" l="1"/>
  <c r="EK133" i="63" s="1"/>
  <c r="EG187" i="63"/>
  <c r="EH181" i="63" s="1"/>
  <c r="EH183" i="63" s="1"/>
  <c r="EH184" i="63" s="1"/>
  <c r="EH206" i="63" s="1"/>
  <c r="EH208" i="63" s="1"/>
  <c r="EH209" i="63" s="1"/>
  <c r="EG137" i="63"/>
  <c r="EG139" i="63" s="1"/>
  <c r="EP158" i="57"/>
  <c r="EP57" i="57"/>
  <c r="EP188" i="57"/>
  <c r="EP198" i="57"/>
  <c r="EP197" i="57"/>
  <c r="EO68" i="57"/>
  <c r="ER126" i="57"/>
  <c r="ER1" i="57"/>
  <c r="EP2" i="57"/>
  <c r="EO117" i="57"/>
  <c r="EO118" i="57"/>
  <c r="EO116" i="57"/>
  <c r="EO105" i="57"/>
  <c r="EO104" i="57"/>
  <c r="EO95" i="57"/>
  <c r="EO96" i="57"/>
  <c r="EO99" i="57"/>
  <c r="EO98" i="57"/>
  <c r="EO97" i="57"/>
  <c r="EO100" i="57"/>
  <c r="EO107" i="57"/>
  <c r="EP159" i="57"/>
  <c r="EP138" i="57"/>
  <c r="EP139" i="57"/>
  <c r="EP140" i="57"/>
  <c r="EP137" i="57"/>
  <c r="EP135" i="57"/>
  <c r="EP136" i="57"/>
  <c r="EP134" i="57"/>
  <c r="EN74" i="57"/>
  <c r="EN75" i="57" s="1"/>
  <c r="EO80" i="57"/>
  <c r="EO81" i="57"/>
  <c r="EP63" i="57"/>
  <c r="EP64" i="57" s="1"/>
  <c r="EO71" i="57"/>
  <c r="EO62" i="57"/>
  <c r="EP65" i="57"/>
  <c r="EP66" i="57" s="1"/>
  <c r="EP61" i="57"/>
  <c r="EP67" i="57"/>
  <c r="ES56" i="57"/>
  <c r="EP189" i="57"/>
  <c r="EP173" i="57"/>
  <c r="EQ58" i="57"/>
  <c r="EP133" i="57"/>
  <c r="EK178" i="63" l="1"/>
  <c r="EL172" i="63" s="1"/>
  <c r="EG141" i="63"/>
  <c r="EG159" i="63"/>
  <c r="EL174" i="63"/>
  <c r="EH137" i="63"/>
  <c r="EH139" i="63" s="1"/>
  <c r="EH187" i="63"/>
  <c r="EI181" i="63" s="1"/>
  <c r="EQ158" i="57"/>
  <c r="EQ57" i="57"/>
  <c r="EP175" i="57"/>
  <c r="EP157" i="57"/>
  <c r="EP161" i="57"/>
  <c r="EQ188" i="57"/>
  <c r="EQ197" i="57"/>
  <c r="EQ198" i="57"/>
  <c r="EQ161" i="57" s="1"/>
  <c r="EP68" i="57"/>
  <c r="ES126" i="57"/>
  <c r="ES1" i="57"/>
  <c r="EQ2" i="57"/>
  <c r="EP117" i="57"/>
  <c r="EP118" i="57"/>
  <c r="EP116" i="57"/>
  <c r="EP95" i="57"/>
  <c r="EP105" i="57"/>
  <c r="EP96" i="57"/>
  <c r="EP104" i="57"/>
  <c r="EP98" i="57"/>
  <c r="EP100" i="57"/>
  <c r="EP97" i="57"/>
  <c r="EP99" i="57"/>
  <c r="EP107" i="57"/>
  <c r="EO74" i="57"/>
  <c r="EO75" i="57" s="1"/>
  <c r="EQ159" i="57"/>
  <c r="EQ138" i="57"/>
  <c r="EQ139" i="57"/>
  <c r="EQ140" i="57"/>
  <c r="EQ134" i="57"/>
  <c r="EQ137" i="57"/>
  <c r="EQ136" i="57"/>
  <c r="EQ135" i="57"/>
  <c r="EP80" i="57"/>
  <c r="EP81" i="57"/>
  <c r="EQ63" i="57"/>
  <c r="EQ64" i="57" s="1"/>
  <c r="EP62" i="57"/>
  <c r="EQ67" i="57"/>
  <c r="EQ61" i="57"/>
  <c r="EQ65" i="57"/>
  <c r="EQ66" i="57" s="1"/>
  <c r="EP71" i="57"/>
  <c r="ET56" i="57"/>
  <c r="EQ189" i="57"/>
  <c r="EQ157" i="57" s="1"/>
  <c r="EQ173" i="57"/>
  <c r="EQ175" i="57" s="1"/>
  <c r="EQ133" i="57"/>
  <c r="ER58" i="57"/>
  <c r="EL175" i="63" l="1"/>
  <c r="EL133" i="63" s="1"/>
  <c r="EH141" i="63"/>
  <c r="EH159" i="63"/>
  <c r="EI183" i="63"/>
  <c r="EI184" i="63" s="1"/>
  <c r="EI206" i="63" s="1"/>
  <c r="EI208" i="63" s="1"/>
  <c r="EI209" i="63" s="1"/>
  <c r="ER158" i="57"/>
  <c r="ER57" i="57"/>
  <c r="ER188" i="57"/>
  <c r="ER197" i="57"/>
  <c r="ER198" i="57"/>
  <c r="EQ68" i="57"/>
  <c r="ET126" i="57"/>
  <c r="ET1" i="57"/>
  <c r="ER2" i="57"/>
  <c r="EQ118" i="57"/>
  <c r="EQ117" i="57"/>
  <c r="EQ116" i="57"/>
  <c r="EQ105" i="57"/>
  <c r="EQ104" i="57"/>
  <c r="EQ96" i="57"/>
  <c r="EQ95" i="57"/>
  <c r="EQ99" i="57"/>
  <c r="EQ98" i="57"/>
  <c r="EQ97" i="57"/>
  <c r="EQ100" i="57"/>
  <c r="EQ107" i="57"/>
  <c r="EP74" i="57"/>
  <c r="EP75" i="57" s="1"/>
  <c r="ER159" i="57"/>
  <c r="ER139" i="57"/>
  <c r="ER137" i="57"/>
  <c r="ER136" i="57"/>
  <c r="ER140" i="57"/>
  <c r="ER134" i="57"/>
  <c r="ER138" i="57"/>
  <c r="ER135" i="57"/>
  <c r="EQ81" i="57"/>
  <c r="EQ80" i="57"/>
  <c r="ER63" i="57"/>
  <c r="ER64" i="57" s="1"/>
  <c r="EQ71" i="57"/>
  <c r="EQ62" i="57"/>
  <c r="ER65" i="57"/>
  <c r="ER66" i="57" s="1"/>
  <c r="ER61" i="57"/>
  <c r="ER67" i="57"/>
  <c r="EU56" i="57"/>
  <c r="ER189" i="57"/>
  <c r="ER173" i="57"/>
  <c r="ER175" i="57" s="1"/>
  <c r="ER133" i="57"/>
  <c r="ES58" i="57"/>
  <c r="EL178" i="63" l="1"/>
  <c r="EM172" i="63" s="1"/>
  <c r="EM174" i="63" s="1"/>
  <c r="EM175" i="63" s="1"/>
  <c r="EM133" i="63" s="1"/>
  <c r="EI137" i="63"/>
  <c r="EI139" i="63" s="1"/>
  <c r="EI187" i="63"/>
  <c r="EJ181" i="63" s="1"/>
  <c r="ES158" i="57"/>
  <c r="ES57" i="57"/>
  <c r="ER157" i="57"/>
  <c r="ER161" i="57"/>
  <c r="ES188" i="57"/>
  <c r="ES197" i="57"/>
  <c r="ES198" i="57"/>
  <c r="ES161" i="57" s="1"/>
  <c r="ER68" i="57"/>
  <c r="EU126" i="57"/>
  <c r="EU1" i="57"/>
  <c r="ES2" i="57"/>
  <c r="ER118" i="57"/>
  <c r="ER117" i="57"/>
  <c r="ER116" i="57"/>
  <c r="ER96" i="57"/>
  <c r="ER104" i="57"/>
  <c r="ER105" i="57"/>
  <c r="ER95" i="57"/>
  <c r="ER97" i="57"/>
  <c r="ER99" i="57"/>
  <c r="ER98" i="57"/>
  <c r="ER100" i="57"/>
  <c r="ER107" i="57"/>
  <c r="EQ74" i="57"/>
  <c r="EQ75" i="57" s="1"/>
  <c r="ES159" i="57"/>
  <c r="ES134" i="57"/>
  <c r="ES139" i="57"/>
  <c r="ES137" i="57"/>
  <c r="ES135" i="57"/>
  <c r="ES140" i="57"/>
  <c r="ES138" i="57"/>
  <c r="ES136" i="57"/>
  <c r="ER81" i="57"/>
  <c r="ER80" i="57"/>
  <c r="ES63" i="57"/>
  <c r="ES64" i="57" s="1"/>
  <c r="ER62" i="57"/>
  <c r="ES67" i="57"/>
  <c r="ES61" i="57"/>
  <c r="ES65" i="57"/>
  <c r="ES66" i="57" s="1"/>
  <c r="ER71" i="57"/>
  <c r="EV56" i="57"/>
  <c r="ES173" i="57"/>
  <c r="ES189" i="57"/>
  <c r="ES157" i="57" s="1"/>
  <c r="ES133" i="57"/>
  <c r="ET58" i="57"/>
  <c r="EM178" i="63" l="1"/>
  <c r="EN172" i="63" s="1"/>
  <c r="EN174" i="63" s="1"/>
  <c r="EI141" i="63"/>
  <c r="EI159" i="63"/>
  <c r="EJ183" i="63"/>
  <c r="EJ184" i="63" s="1"/>
  <c r="EJ206" i="63" s="1"/>
  <c r="EJ208" i="63" s="1"/>
  <c r="EJ209" i="63" s="1"/>
  <c r="ET158" i="57"/>
  <c r="ET57" i="57"/>
  <c r="ES175" i="57"/>
  <c r="ET188" i="57"/>
  <c r="ET197" i="57"/>
  <c r="ET198" i="57"/>
  <c r="ES68" i="57"/>
  <c r="EV126" i="57"/>
  <c r="EV1" i="57"/>
  <c r="ET2" i="57"/>
  <c r="ES118" i="57"/>
  <c r="ES117" i="57"/>
  <c r="ES116" i="57"/>
  <c r="ES95" i="57"/>
  <c r="ES98" i="57"/>
  <c r="ES96" i="57"/>
  <c r="ES104" i="57"/>
  <c r="ES105" i="57"/>
  <c r="ES97" i="57"/>
  <c r="ES99" i="57"/>
  <c r="ES100" i="57"/>
  <c r="ES107" i="57"/>
  <c r="ET159" i="57"/>
  <c r="ET139" i="57"/>
  <c r="ET137" i="57"/>
  <c r="ET136" i="57"/>
  <c r="ET140" i="57"/>
  <c r="ET138" i="57"/>
  <c r="ET134" i="57"/>
  <c r="ET135" i="57"/>
  <c r="ER74" i="57"/>
  <c r="ER75" i="57" s="1"/>
  <c r="ES80" i="57"/>
  <c r="ES81" i="57"/>
  <c r="ET63" i="57"/>
  <c r="ET64" i="57" s="1"/>
  <c r="ES71" i="57"/>
  <c r="ES62" i="57"/>
  <c r="ET65" i="57"/>
  <c r="ET66" i="57" s="1"/>
  <c r="ET61" i="57"/>
  <c r="ET67" i="57"/>
  <c r="EW56" i="57"/>
  <c r="ET189" i="57"/>
  <c r="ET157" i="57" s="1"/>
  <c r="ET173" i="57"/>
  <c r="ET175" i="57" s="1"/>
  <c r="ET133" i="57"/>
  <c r="EU58" i="57"/>
  <c r="EN175" i="63" l="1"/>
  <c r="EN133" i="63" s="1"/>
  <c r="EJ137" i="63"/>
  <c r="EJ139" i="63" s="1"/>
  <c r="EJ187" i="63"/>
  <c r="EK181" i="63" s="1"/>
  <c r="EU158" i="57"/>
  <c r="EU57" i="57"/>
  <c r="ET161" i="57"/>
  <c r="EU188" i="57"/>
  <c r="EU197" i="57"/>
  <c r="EU198" i="57"/>
  <c r="EU161" i="57" s="1"/>
  <c r="ET68" i="57"/>
  <c r="EW126" i="57"/>
  <c r="EW1" i="57"/>
  <c r="EU2" i="57"/>
  <c r="ET118" i="57"/>
  <c r="ET117" i="57"/>
  <c r="ET116" i="57"/>
  <c r="ET96" i="57"/>
  <c r="ET95" i="57"/>
  <c r="ET105" i="57"/>
  <c r="ET104" i="57"/>
  <c r="ET100" i="57"/>
  <c r="ET98" i="57"/>
  <c r="ET99" i="57"/>
  <c r="ET97" i="57"/>
  <c r="ET107" i="57"/>
  <c r="ES74" i="57"/>
  <c r="ES75" i="57" s="1"/>
  <c r="EU159" i="57"/>
  <c r="EU136" i="57"/>
  <c r="EU137" i="57"/>
  <c r="EU140" i="57"/>
  <c r="EU134" i="57"/>
  <c r="EU139" i="57"/>
  <c r="EU138" i="57"/>
  <c r="EU135" i="57"/>
  <c r="ET80" i="57"/>
  <c r="ET81" i="57"/>
  <c r="EU63" i="57"/>
  <c r="EU64" i="57" s="1"/>
  <c r="ET62" i="57"/>
  <c r="EU67" i="57"/>
  <c r="EU61" i="57"/>
  <c r="EU65" i="57"/>
  <c r="EU66" i="57" s="1"/>
  <c r="ET71" i="57"/>
  <c r="EX56" i="57"/>
  <c r="EU189" i="57"/>
  <c r="EU173" i="57"/>
  <c r="EU133" i="57"/>
  <c r="EV58" i="57"/>
  <c r="EN178" i="63" l="1"/>
  <c r="EO172" i="63" s="1"/>
  <c r="EO174" i="63" s="1"/>
  <c r="EJ141" i="63"/>
  <c r="EJ159" i="63"/>
  <c r="EK183" i="63"/>
  <c r="EK184" i="63" s="1"/>
  <c r="EK206" i="63" s="1"/>
  <c r="EK208" i="63" s="1"/>
  <c r="EK209" i="63" s="1"/>
  <c r="EV158" i="57"/>
  <c r="EV57" i="57"/>
  <c r="EU175" i="57"/>
  <c r="EU157" i="57"/>
  <c r="EV188" i="57"/>
  <c r="EV198" i="57"/>
  <c r="EV197" i="57"/>
  <c r="EU68" i="57"/>
  <c r="EX126" i="57"/>
  <c r="EX1" i="57"/>
  <c r="EV2" i="57"/>
  <c r="EU117" i="57"/>
  <c r="EU118" i="57"/>
  <c r="EU116" i="57"/>
  <c r="EU105" i="57"/>
  <c r="EU104" i="57"/>
  <c r="EU98" i="57"/>
  <c r="EU95" i="57"/>
  <c r="EU96" i="57"/>
  <c r="EU100" i="57"/>
  <c r="EU97" i="57"/>
  <c r="EU99" i="57"/>
  <c r="EU107" i="57"/>
  <c r="ET74" i="57"/>
  <c r="ET75" i="57" s="1"/>
  <c r="EV159" i="57"/>
  <c r="EV137" i="57"/>
  <c r="EV140" i="57"/>
  <c r="EV138" i="57"/>
  <c r="EV139" i="57"/>
  <c r="EV135" i="57"/>
  <c r="EV136" i="57"/>
  <c r="EV134" i="57"/>
  <c r="EU80" i="57"/>
  <c r="EU81" i="57"/>
  <c r="EV63" i="57"/>
  <c r="EV64" i="57" s="1"/>
  <c r="EU71" i="57"/>
  <c r="EU62" i="57"/>
  <c r="EV65" i="57"/>
  <c r="EV66" i="57" s="1"/>
  <c r="EV61" i="57"/>
  <c r="EV67" i="57"/>
  <c r="EY56" i="57"/>
  <c r="EV189" i="57"/>
  <c r="EV157" i="57" s="1"/>
  <c r="EV173" i="57"/>
  <c r="EV175" i="57" s="1"/>
  <c r="EV133" i="57"/>
  <c r="EW58" i="57"/>
  <c r="EO175" i="63" l="1"/>
  <c r="EO178" i="63" s="1"/>
  <c r="EP172" i="63" s="1"/>
  <c r="EP174" i="63" s="1"/>
  <c r="EP175" i="63" s="1"/>
  <c r="EK137" i="63"/>
  <c r="EK139" i="63" s="1"/>
  <c r="EK187" i="63"/>
  <c r="EL181" i="63" s="1"/>
  <c r="EW158" i="57"/>
  <c r="EW57" i="57"/>
  <c r="EV161" i="57"/>
  <c r="EW188" i="57"/>
  <c r="EW198" i="57"/>
  <c r="EW161" i="57" s="1"/>
  <c r="EW197" i="57"/>
  <c r="EV68" i="57"/>
  <c r="EY126" i="57"/>
  <c r="EY1" i="57"/>
  <c r="EW2" i="57"/>
  <c r="EV117" i="57"/>
  <c r="EV118" i="57"/>
  <c r="EV116" i="57"/>
  <c r="EV95" i="57"/>
  <c r="EV104" i="57"/>
  <c r="EV96" i="57"/>
  <c r="EV105" i="57"/>
  <c r="EV99" i="57"/>
  <c r="EV100" i="57"/>
  <c r="EV97" i="57"/>
  <c r="EV98" i="57"/>
  <c r="EV107" i="57"/>
  <c r="EU74" i="57"/>
  <c r="EU75" i="57" s="1"/>
  <c r="EW159" i="57"/>
  <c r="EW134" i="57"/>
  <c r="EW137" i="57"/>
  <c r="EW140" i="57"/>
  <c r="EW135" i="57"/>
  <c r="EW138" i="57"/>
  <c r="EW139" i="57"/>
  <c r="EW136" i="57"/>
  <c r="EV80" i="57"/>
  <c r="EV81" i="57"/>
  <c r="EW63" i="57"/>
  <c r="EW64" i="57" s="1"/>
  <c r="EV62" i="57"/>
  <c r="EW67" i="57"/>
  <c r="EW61" i="57"/>
  <c r="EW65" i="57"/>
  <c r="EW66" i="57" s="1"/>
  <c r="EV71" i="57"/>
  <c r="EZ56" i="57"/>
  <c r="EW189" i="57"/>
  <c r="EW173" i="57"/>
  <c r="EX58" i="57"/>
  <c r="EW133" i="57"/>
  <c r="EO133" i="63" l="1"/>
  <c r="EK141" i="63"/>
  <c r="EK159" i="63"/>
  <c r="EP133" i="63"/>
  <c r="EP178" i="63"/>
  <c r="EQ172" i="63" s="1"/>
  <c r="EL183" i="63"/>
  <c r="EL184" i="63" s="1"/>
  <c r="EL206" i="63" s="1"/>
  <c r="EL208" i="63" s="1"/>
  <c r="EL209" i="63" s="1"/>
  <c r="EX158" i="57"/>
  <c r="EX57" i="57"/>
  <c r="EW175" i="57"/>
  <c r="EW157" i="57"/>
  <c r="EX188" i="57"/>
  <c r="EX198" i="57"/>
  <c r="EX161" i="57" s="1"/>
  <c r="EX197" i="57"/>
  <c r="EW68" i="57"/>
  <c r="EZ126" i="57"/>
  <c r="EZ1" i="57"/>
  <c r="EX2" i="57"/>
  <c r="EW117" i="57"/>
  <c r="EW118" i="57"/>
  <c r="EW116" i="57"/>
  <c r="EW105" i="57"/>
  <c r="EW104" i="57"/>
  <c r="EW96" i="57"/>
  <c r="EW95" i="57"/>
  <c r="EW97" i="57"/>
  <c r="EW98" i="57"/>
  <c r="EW100" i="57"/>
  <c r="EW99" i="57"/>
  <c r="EW107" i="57"/>
  <c r="EX159" i="57"/>
  <c r="EX138" i="57"/>
  <c r="EX139" i="57"/>
  <c r="EX137" i="57"/>
  <c r="EX135" i="57"/>
  <c r="EX140" i="57"/>
  <c r="EX136" i="57"/>
  <c r="EX134" i="57"/>
  <c r="EV74" i="57"/>
  <c r="EV75" i="57" s="1"/>
  <c r="EW80" i="57"/>
  <c r="EW81" i="57"/>
  <c r="EX63" i="57"/>
  <c r="EX64" i="57" s="1"/>
  <c r="EW71" i="57"/>
  <c r="EW62" i="57"/>
  <c r="EX65" i="57"/>
  <c r="EX66" i="57" s="1"/>
  <c r="EX61" i="57"/>
  <c r="EX67" i="57"/>
  <c r="FA56" i="57"/>
  <c r="EX189" i="57"/>
  <c r="EX157" i="57" s="1"/>
  <c r="EX173" i="57"/>
  <c r="EX175" i="57" s="1"/>
  <c r="EY58" i="57"/>
  <c r="EX133" i="57"/>
  <c r="EQ174" i="63" l="1"/>
  <c r="EQ175" i="63" s="1"/>
  <c r="EL137" i="63"/>
  <c r="EL139" i="63" s="1"/>
  <c r="EL187" i="63"/>
  <c r="EM181" i="63" s="1"/>
  <c r="EY158" i="57"/>
  <c r="EY57" i="57"/>
  <c r="EY188" i="57"/>
  <c r="EY197" i="57"/>
  <c r="EY198" i="57"/>
  <c r="EY161" i="57" s="1"/>
  <c r="EX68" i="57"/>
  <c r="FA126" i="57"/>
  <c r="FA1" i="57"/>
  <c r="EY2" i="57"/>
  <c r="EX117" i="57"/>
  <c r="EX118" i="57"/>
  <c r="EX116" i="57"/>
  <c r="EX95" i="57"/>
  <c r="EX98" i="57"/>
  <c r="EX96" i="57"/>
  <c r="EX105" i="57"/>
  <c r="EX104" i="57"/>
  <c r="EX100" i="57"/>
  <c r="EX97" i="57"/>
  <c r="EX99" i="57"/>
  <c r="EX107" i="57"/>
  <c r="EW74" i="57"/>
  <c r="EW75" i="57" s="1"/>
  <c r="EY159" i="57"/>
  <c r="EY134" i="57"/>
  <c r="EY138" i="57"/>
  <c r="EY139" i="57"/>
  <c r="EY140" i="57"/>
  <c r="EY136" i="57"/>
  <c r="EY137" i="57"/>
  <c r="EY135" i="57"/>
  <c r="EX80" i="57"/>
  <c r="EX81" i="57"/>
  <c r="EY63" i="57"/>
  <c r="EY64" i="57" s="1"/>
  <c r="EX62" i="57"/>
  <c r="EY67" i="57"/>
  <c r="EY61" i="57"/>
  <c r="EY65" i="57"/>
  <c r="EY66" i="57" s="1"/>
  <c r="EX71" i="57"/>
  <c r="FB56" i="57"/>
  <c r="EY189" i="57"/>
  <c r="EY157" i="57" s="1"/>
  <c r="EY173" i="57"/>
  <c r="EY175" i="57" s="1"/>
  <c r="EY133" i="57"/>
  <c r="EZ58" i="57"/>
  <c r="EL141" i="63" l="1"/>
  <c r="EL159" i="63"/>
  <c r="EM183" i="63"/>
  <c r="EM184" i="63" s="1"/>
  <c r="EM206" i="63" s="1"/>
  <c r="EM208" i="63" s="1"/>
  <c r="EM209" i="63" s="1"/>
  <c r="EZ158" i="57"/>
  <c r="EZ57" i="57"/>
  <c r="EZ188" i="57"/>
  <c r="EZ197" i="57"/>
  <c r="EZ198" i="57"/>
  <c r="EZ161" i="57" s="1"/>
  <c r="EY68" i="57"/>
  <c r="FB126" i="57"/>
  <c r="FB1" i="57"/>
  <c r="EZ2" i="57"/>
  <c r="EY118" i="57"/>
  <c r="EY117" i="57"/>
  <c r="EY116" i="57"/>
  <c r="EY105" i="57"/>
  <c r="EY104" i="57"/>
  <c r="EY96" i="57"/>
  <c r="EY95" i="57"/>
  <c r="EY97" i="57"/>
  <c r="EY99" i="57"/>
  <c r="EY100" i="57"/>
  <c r="EY98" i="57"/>
  <c r="EY107" i="57"/>
  <c r="EZ159" i="57"/>
  <c r="EZ137" i="57"/>
  <c r="EZ139" i="57"/>
  <c r="EZ140" i="57"/>
  <c r="EZ136" i="57"/>
  <c r="EZ138" i="57"/>
  <c r="EZ134" i="57"/>
  <c r="EZ135" i="57"/>
  <c r="EX74" i="57"/>
  <c r="EX75" i="57" s="1"/>
  <c r="EY81" i="57"/>
  <c r="EY80" i="57"/>
  <c r="EY62" i="57"/>
  <c r="EZ63" i="57"/>
  <c r="EY71" i="57"/>
  <c r="EZ65" i="57"/>
  <c r="EZ61" i="57"/>
  <c r="FH61" i="57" s="1"/>
  <c r="EZ67" i="57"/>
  <c r="FH67" i="57" s="1"/>
  <c r="FC56" i="57"/>
  <c r="EZ189" i="57"/>
  <c r="EZ157" i="57" s="1"/>
  <c r="EZ173" i="57"/>
  <c r="EZ175" i="57" s="1"/>
  <c r="EZ133" i="57"/>
  <c r="FA58" i="57"/>
  <c r="EQ133" i="63" l="1"/>
  <c r="EQ178" i="63"/>
  <c r="ER172" i="63" s="1"/>
  <c r="EM137" i="63"/>
  <c r="EM139" i="63" s="1"/>
  <c r="EM187" i="63"/>
  <c r="EN181" i="63" s="1"/>
  <c r="FA158" i="57"/>
  <c r="FA57" i="57"/>
  <c r="EZ66" i="57"/>
  <c r="EZ95" i="57" s="1"/>
  <c r="FH65" i="57"/>
  <c r="FH66" i="57" s="1"/>
  <c r="EZ64" i="57"/>
  <c r="FH63" i="57"/>
  <c r="FH64" i="57" s="1"/>
  <c r="FA188" i="57"/>
  <c r="FA197" i="57"/>
  <c r="FA198" i="57"/>
  <c r="FA161" i="57" s="1"/>
  <c r="EZ68" i="57"/>
  <c r="FH68" i="57" s="1"/>
  <c r="FC126" i="57"/>
  <c r="FC1" i="57"/>
  <c r="FA2" i="57"/>
  <c r="EZ105" i="57"/>
  <c r="EZ104" i="57"/>
  <c r="EZ107" i="57"/>
  <c r="FA159" i="57"/>
  <c r="FA135" i="57"/>
  <c r="FA139" i="57"/>
  <c r="FA137" i="57"/>
  <c r="FA140" i="57"/>
  <c r="FA138" i="57"/>
  <c r="FA134" i="57"/>
  <c r="FA136" i="57"/>
  <c r="EY74" i="57"/>
  <c r="EY75" i="57" s="1"/>
  <c r="FD56" i="57"/>
  <c r="EZ62" i="57"/>
  <c r="FH62" i="57" s="1"/>
  <c r="EZ80" i="57"/>
  <c r="EZ81" i="57"/>
  <c r="FA63" i="57"/>
  <c r="FA67" i="57"/>
  <c r="FM67" i="57" s="1"/>
  <c r="FA61" i="57"/>
  <c r="FM61" i="57" s="1"/>
  <c r="FA65" i="57"/>
  <c r="EZ71" i="57"/>
  <c r="FA189" i="57"/>
  <c r="FA157" i="57" s="1"/>
  <c r="FA173" i="57"/>
  <c r="FA175" i="57" s="1"/>
  <c r="FA133" i="57"/>
  <c r="FB58" i="57"/>
  <c r="EM141" i="63" l="1"/>
  <c r="EM159" i="63"/>
  <c r="ER174" i="63"/>
  <c r="ER175" i="63" s="1"/>
  <c r="EN183" i="63"/>
  <c r="EN184" i="63" s="1"/>
  <c r="EN206" i="63" s="1"/>
  <c r="EN208" i="63" s="1"/>
  <c r="EN209" i="63" s="1"/>
  <c r="FB158" i="57"/>
  <c r="FB57" i="57"/>
  <c r="FA66" i="57"/>
  <c r="FA104" i="57" s="1"/>
  <c r="FM65" i="57"/>
  <c r="FM66" i="57" s="1"/>
  <c r="EZ97" i="57"/>
  <c r="EZ118" i="57"/>
  <c r="FH71" i="57"/>
  <c r="EZ100" i="57"/>
  <c r="EZ116" i="57"/>
  <c r="FA64" i="57"/>
  <c r="FA80" i="57" s="1"/>
  <c r="FM63" i="57"/>
  <c r="EZ98" i="57"/>
  <c r="EZ99" i="57"/>
  <c r="EZ96" i="57"/>
  <c r="EZ117" i="57"/>
  <c r="FE56" i="57"/>
  <c r="FB188" i="57"/>
  <c r="FB197" i="57"/>
  <c r="FB198" i="57"/>
  <c r="FA68" i="57"/>
  <c r="FM68" i="57" s="1"/>
  <c r="FD126" i="57"/>
  <c r="FD1" i="57"/>
  <c r="FB2" i="57"/>
  <c r="FA98" i="57"/>
  <c r="FA96" i="57"/>
  <c r="FA107" i="57"/>
  <c r="FB159" i="57"/>
  <c r="FB139" i="57"/>
  <c r="FB140" i="57"/>
  <c r="FB134" i="57"/>
  <c r="FB138" i="57"/>
  <c r="FB135" i="57"/>
  <c r="FB137" i="57"/>
  <c r="FB136" i="57"/>
  <c r="EZ74" i="57"/>
  <c r="EZ75" i="57" s="1"/>
  <c r="FA62" i="57"/>
  <c r="FM62" i="57" s="1"/>
  <c r="FB63" i="57"/>
  <c r="FA71" i="57"/>
  <c r="FB65" i="57"/>
  <c r="FB61" i="57"/>
  <c r="FN61" i="57" s="1"/>
  <c r="FB67" i="57"/>
  <c r="FN67" i="57" s="1"/>
  <c r="FB189" i="57"/>
  <c r="FB173" i="57"/>
  <c r="FB133" i="57"/>
  <c r="FC58" i="57"/>
  <c r="EN137" i="63" l="1"/>
  <c r="EN139" i="63" s="1"/>
  <c r="EN187" i="63"/>
  <c r="EO181" i="63" s="1"/>
  <c r="FC158" i="57"/>
  <c r="FC57" i="57"/>
  <c r="FB157" i="57"/>
  <c r="FB175" i="57"/>
  <c r="FB161" i="57"/>
  <c r="FM64" i="57"/>
  <c r="FB66" i="57"/>
  <c r="FB118" i="57" s="1"/>
  <c r="FN65" i="57"/>
  <c r="FN66" i="57" s="1"/>
  <c r="FA100" i="57"/>
  <c r="FA116" i="57"/>
  <c r="FA99" i="57"/>
  <c r="FA117" i="57"/>
  <c r="FB64" i="57"/>
  <c r="FB81" i="57" s="1"/>
  <c r="FN63" i="57"/>
  <c r="FA97" i="57"/>
  <c r="FA118" i="57"/>
  <c r="FA95" i="57"/>
  <c r="FM71" i="57"/>
  <c r="FA81" i="57"/>
  <c r="FA105" i="57"/>
  <c r="FF56" i="57"/>
  <c r="FC188" i="57"/>
  <c r="FC197" i="57"/>
  <c r="FC198" i="57"/>
  <c r="FC161" i="57" s="1"/>
  <c r="FE126" i="57"/>
  <c r="FB68" i="57"/>
  <c r="FN68" i="57" s="1"/>
  <c r="FC2" i="57"/>
  <c r="FA74" i="57"/>
  <c r="FA75" i="57" s="1"/>
  <c r="FC136" i="57"/>
  <c r="FC137" i="57"/>
  <c r="FC140" i="57"/>
  <c r="FC135" i="57"/>
  <c r="FC134" i="57"/>
  <c r="FC138" i="57"/>
  <c r="FC139" i="57"/>
  <c r="FB62" i="57"/>
  <c r="FN62" i="57" s="1"/>
  <c r="FC159" i="57"/>
  <c r="FD58" i="57"/>
  <c r="FD57" i="57" s="1"/>
  <c r="FC63" i="57"/>
  <c r="FO63" i="57" s="1"/>
  <c r="FC67" i="57"/>
  <c r="FO67" i="57" s="1"/>
  <c r="FC61" i="57"/>
  <c r="FO61" i="57" s="1"/>
  <c r="FC65" i="57"/>
  <c r="FO65" i="57" s="1"/>
  <c r="FB71" i="57"/>
  <c r="FC173" i="57"/>
  <c r="FC175" i="57" s="1"/>
  <c r="FC189" i="57"/>
  <c r="FC133" i="57"/>
  <c r="EN141" i="63" l="1"/>
  <c r="EN159" i="63"/>
  <c r="ER133" i="63"/>
  <c r="ER178" i="63"/>
  <c r="ES172" i="63" s="1"/>
  <c r="EO183" i="63"/>
  <c r="EO184" i="63" s="1"/>
  <c r="EO206" i="63" s="1"/>
  <c r="EO208" i="63" s="1"/>
  <c r="EO209" i="63" s="1"/>
  <c r="FB99" i="57"/>
  <c r="FB104" i="57"/>
  <c r="FB80" i="57"/>
  <c r="FN64" i="57"/>
  <c r="FB107" i="57"/>
  <c r="FB96" i="57"/>
  <c r="FN71" i="57"/>
  <c r="FB105" i="57"/>
  <c r="FB100" i="57"/>
  <c r="FB116" i="57"/>
  <c r="FB117" i="57"/>
  <c r="FB95" i="57"/>
  <c r="FB98" i="57"/>
  <c r="FB97" i="57"/>
  <c r="FD158" i="57"/>
  <c r="FF126" i="57"/>
  <c r="FD188" i="57"/>
  <c r="FD197" i="57"/>
  <c r="FD198" i="57"/>
  <c r="FD2" i="57"/>
  <c r="FB74" i="57"/>
  <c r="FB75" i="57" s="1"/>
  <c r="FD137" i="57"/>
  <c r="FD140" i="57"/>
  <c r="FD138" i="57"/>
  <c r="FD139" i="57"/>
  <c r="FD136" i="57"/>
  <c r="FD135" i="57"/>
  <c r="FD134" i="57"/>
  <c r="FD159" i="57"/>
  <c r="FD133" i="57"/>
  <c r="FE58" i="57"/>
  <c r="FE57" i="57" s="1"/>
  <c r="FD173" i="57"/>
  <c r="FD189" i="57"/>
  <c r="FC62" i="57"/>
  <c r="FO62" i="57" s="1"/>
  <c r="FD61" i="57"/>
  <c r="FC66" i="57"/>
  <c r="FO66" i="57" s="1"/>
  <c r="FD65" i="57"/>
  <c r="FC64" i="57"/>
  <c r="FC80" i="57" s="1"/>
  <c r="FD63" i="57"/>
  <c r="FC68" i="57"/>
  <c r="FO68" i="57" s="1"/>
  <c r="FD67" i="57"/>
  <c r="I11" i="57"/>
  <c r="E12" i="57"/>
  <c r="G12" i="57" s="1"/>
  <c r="E11" i="57"/>
  <c r="I10" i="57"/>
  <c r="FC71" i="57"/>
  <c r="FO71" i="57" s="1"/>
  <c r="FC157" i="57"/>
  <c r="ES174" i="63" l="1"/>
  <c r="ES175" i="63" s="1"/>
  <c r="EO137" i="63"/>
  <c r="EO139" i="63" s="1"/>
  <c r="EO187" i="63"/>
  <c r="EP181" i="63" s="1"/>
  <c r="FD175" i="57"/>
  <c r="FD161" i="57"/>
  <c r="FD157" i="57"/>
  <c r="FO64" i="57"/>
  <c r="FE158" i="57"/>
  <c r="FF58" i="57"/>
  <c r="FF57" i="57" s="1"/>
  <c r="FF194" i="57"/>
  <c r="FP65" i="57"/>
  <c r="FP133" i="57"/>
  <c r="FP63" i="57"/>
  <c r="FP61" i="57"/>
  <c r="FP67" i="57"/>
  <c r="G40" i="57"/>
  <c r="F194" i="57"/>
  <c r="G194" i="57"/>
  <c r="H194" i="57"/>
  <c r="I194" i="57"/>
  <c r="J194" i="57"/>
  <c r="K194" i="57"/>
  <c r="L194" i="57"/>
  <c r="M194" i="57"/>
  <c r="N194" i="57"/>
  <c r="P194" i="57"/>
  <c r="O194" i="57"/>
  <c r="Q194" i="57"/>
  <c r="R194" i="57"/>
  <c r="S194" i="57"/>
  <c r="T194" i="57"/>
  <c r="U194" i="57"/>
  <c r="V194" i="57"/>
  <c r="W194" i="57"/>
  <c r="X194" i="57"/>
  <c r="Y194" i="57"/>
  <c r="Z194" i="57"/>
  <c r="AA194" i="57"/>
  <c r="AB194" i="57"/>
  <c r="AC194" i="57"/>
  <c r="AD194" i="57"/>
  <c r="AE194" i="57"/>
  <c r="AF194" i="57"/>
  <c r="AG194" i="57"/>
  <c r="AH194" i="57"/>
  <c r="AI194" i="57"/>
  <c r="AJ194" i="57"/>
  <c r="AK194" i="57"/>
  <c r="AL194" i="57"/>
  <c r="AM194" i="57"/>
  <c r="AN194" i="57"/>
  <c r="AO194" i="57"/>
  <c r="AP194" i="57"/>
  <c r="AR194" i="57"/>
  <c r="AS194" i="57"/>
  <c r="AT194" i="57"/>
  <c r="AU194" i="57"/>
  <c r="AV194" i="57"/>
  <c r="AW194" i="57"/>
  <c r="AX194" i="57"/>
  <c r="AY194" i="57"/>
  <c r="AZ194" i="57"/>
  <c r="BA194" i="57"/>
  <c r="BB194" i="57"/>
  <c r="BC194" i="57"/>
  <c r="BD194" i="57"/>
  <c r="BE194" i="57"/>
  <c r="BF194" i="57"/>
  <c r="BG194" i="57"/>
  <c r="BH194" i="57"/>
  <c r="BI194" i="57"/>
  <c r="BJ194" i="57"/>
  <c r="BK194" i="57"/>
  <c r="BL194" i="57"/>
  <c r="BM194" i="57"/>
  <c r="BN194" i="57"/>
  <c r="BO194" i="57"/>
  <c r="BP194" i="57"/>
  <c r="BQ194" i="57"/>
  <c r="BR194" i="57"/>
  <c r="BS194" i="57"/>
  <c r="BT194" i="57"/>
  <c r="BU194" i="57"/>
  <c r="BV194" i="57"/>
  <c r="BW194" i="57"/>
  <c r="BX194" i="57"/>
  <c r="BY194" i="57"/>
  <c r="BZ194" i="57"/>
  <c r="CA194" i="57"/>
  <c r="CB194" i="57"/>
  <c r="CC194" i="57"/>
  <c r="CD194" i="57"/>
  <c r="CE194" i="57"/>
  <c r="CF194" i="57"/>
  <c r="CG194" i="57"/>
  <c r="CH194" i="57"/>
  <c r="CI194" i="57"/>
  <c r="CJ194" i="57"/>
  <c r="CK194" i="57"/>
  <c r="CL194" i="57"/>
  <c r="CM194" i="57"/>
  <c r="CN194" i="57"/>
  <c r="CO194" i="57"/>
  <c r="CP194" i="57"/>
  <c r="CQ194" i="57"/>
  <c r="CR194" i="57"/>
  <c r="CS194" i="57"/>
  <c r="CT194" i="57"/>
  <c r="CU194" i="57"/>
  <c r="CV194" i="57"/>
  <c r="CW194" i="57"/>
  <c r="CX194" i="57"/>
  <c r="CY194" i="57"/>
  <c r="CZ194" i="57"/>
  <c r="DA194" i="57"/>
  <c r="DB194" i="57"/>
  <c r="DC194" i="57"/>
  <c r="DD194" i="57"/>
  <c r="DE194" i="57"/>
  <c r="DF194" i="57"/>
  <c r="DG194" i="57"/>
  <c r="DH194" i="57"/>
  <c r="DI194" i="57"/>
  <c r="DJ194" i="57"/>
  <c r="DK194" i="57"/>
  <c r="DL194" i="57"/>
  <c r="DM194" i="57"/>
  <c r="DN194" i="57"/>
  <c r="DO194" i="57"/>
  <c r="DP194" i="57"/>
  <c r="DQ194" i="57"/>
  <c r="DR194" i="57"/>
  <c r="DS194" i="57"/>
  <c r="DT194" i="57"/>
  <c r="DU194" i="57"/>
  <c r="DV194" i="57"/>
  <c r="DW194" i="57"/>
  <c r="DX194" i="57"/>
  <c r="DY194" i="57"/>
  <c r="DZ194" i="57"/>
  <c r="EA194" i="57"/>
  <c r="EB194" i="57"/>
  <c r="EC194" i="57"/>
  <c r="ED194" i="57"/>
  <c r="EE194" i="57"/>
  <c r="EF194" i="57"/>
  <c r="EG194" i="57"/>
  <c r="EH194" i="57"/>
  <c r="EI194" i="57"/>
  <c r="EJ194" i="57"/>
  <c r="EK194" i="57"/>
  <c r="EL194" i="57"/>
  <c r="EM194" i="57"/>
  <c r="EN194" i="57"/>
  <c r="EO194" i="57"/>
  <c r="EP194" i="57"/>
  <c r="EQ194" i="57"/>
  <c r="ER194" i="57"/>
  <c r="ES194" i="57"/>
  <c r="ET194" i="57"/>
  <c r="EU194" i="57"/>
  <c r="EV194" i="57"/>
  <c r="EW194" i="57"/>
  <c r="EX194" i="57"/>
  <c r="EY194" i="57"/>
  <c r="EZ194" i="57"/>
  <c r="FA194" i="57"/>
  <c r="FB194" i="57"/>
  <c r="FC194" i="57"/>
  <c r="FD194" i="57"/>
  <c r="FE194" i="57"/>
  <c r="FE188" i="57"/>
  <c r="FE198" i="57"/>
  <c r="FE161" i="57" s="1"/>
  <c r="FE197" i="57"/>
  <c r="FC117" i="57"/>
  <c r="FC118" i="57"/>
  <c r="FC116" i="57"/>
  <c r="FC74" i="57"/>
  <c r="FC75" i="57" s="1"/>
  <c r="FC104" i="57"/>
  <c r="FC95" i="57"/>
  <c r="FC96" i="57"/>
  <c r="FC105" i="57"/>
  <c r="FC100" i="57"/>
  <c r="FC98" i="57"/>
  <c r="FC99" i="57"/>
  <c r="FC97" i="57"/>
  <c r="FC107" i="57"/>
  <c r="FD141" i="57"/>
  <c r="FE140" i="57"/>
  <c r="FE138" i="57"/>
  <c r="FE139" i="57"/>
  <c r="FE135" i="57"/>
  <c r="FE136" i="57"/>
  <c r="FE134" i="57"/>
  <c r="FE137" i="57"/>
  <c r="FE67" i="57"/>
  <c r="FE63" i="57"/>
  <c r="FE65" i="57"/>
  <c r="FE61" i="57"/>
  <c r="FE189" i="57"/>
  <c r="FE157" i="57" s="1"/>
  <c r="FE133" i="57"/>
  <c r="FE159" i="57"/>
  <c r="FE173" i="57"/>
  <c r="FE175" i="57" s="1"/>
  <c r="FD71" i="57"/>
  <c r="FD64" i="57"/>
  <c r="FD66" i="57"/>
  <c r="FC81" i="57"/>
  <c r="FD68" i="57"/>
  <c r="FD62" i="57"/>
  <c r="FP62" i="57" s="1"/>
  <c r="N18" i="57"/>
  <c r="EO141" i="63" l="1"/>
  <c r="EO159" i="63"/>
  <c r="EP183" i="63"/>
  <c r="FS194" i="57"/>
  <c r="FH137" i="57"/>
  <c r="FH126" i="57"/>
  <c r="FI116" i="57"/>
  <c r="FU174" i="57"/>
  <c r="FM139" i="57"/>
  <c r="FN139" i="57"/>
  <c r="FL100" i="57"/>
  <c r="FJ80" i="57"/>
  <c r="FL74" i="57"/>
  <c r="FM126" i="57"/>
  <c r="FO117" i="57"/>
  <c r="FM135" i="57"/>
  <c r="FU126" i="57"/>
  <c r="FR96" i="57"/>
  <c r="FJ137" i="57"/>
  <c r="FJ81" i="57"/>
  <c r="FO107" i="57"/>
  <c r="FK97" i="57"/>
  <c r="FM136" i="57"/>
  <c r="FK137" i="57"/>
  <c r="FL95" i="57"/>
  <c r="FQ98" i="57"/>
  <c r="FN136" i="57"/>
  <c r="FN97" i="57"/>
  <c r="FN105" i="57"/>
  <c r="FT87" i="57"/>
  <c r="FJ117" i="57"/>
  <c r="FT81" i="57"/>
  <c r="FQ140" i="57"/>
  <c r="FJ139" i="57"/>
  <c r="FT140" i="57"/>
  <c r="FJ75" i="57"/>
  <c r="FP104" i="57"/>
  <c r="FL126" i="57"/>
  <c r="FR98" i="57"/>
  <c r="FQ97" i="57"/>
  <c r="FP135" i="57"/>
  <c r="FP116" i="57"/>
  <c r="FO98" i="57"/>
  <c r="FK95" i="57"/>
  <c r="FK126" i="57"/>
  <c r="FQ96" i="57"/>
  <c r="FJ136" i="57"/>
  <c r="FI118" i="57"/>
  <c r="FT75" i="57"/>
  <c r="FM75" i="57"/>
  <c r="FR107" i="57"/>
  <c r="FJ99" i="57"/>
  <c r="FM140" i="57"/>
  <c r="FK98" i="57"/>
  <c r="FJ100" i="57"/>
  <c r="FJ104" i="57"/>
  <c r="FO137" i="57"/>
  <c r="FR117" i="57"/>
  <c r="FK135" i="57"/>
  <c r="FQ107" i="57"/>
  <c r="FN98" i="57"/>
  <c r="FK80" i="57"/>
  <c r="FR126" i="57"/>
  <c r="FM116" i="57"/>
  <c r="FS95" i="57"/>
  <c r="FS134" i="57"/>
  <c r="FP105" i="57"/>
  <c r="FP75" i="57"/>
  <c r="FP140" i="57"/>
  <c r="FK136" i="57"/>
  <c r="FM95" i="57"/>
  <c r="FS137" i="57"/>
  <c r="FO81" i="57"/>
  <c r="FJ140" i="57"/>
  <c r="FT95" i="57"/>
  <c r="FS74" i="57"/>
  <c r="FL136" i="57"/>
  <c r="FN99" i="57"/>
  <c r="FT104" i="57"/>
  <c r="FQ75" i="57"/>
  <c r="FJ118" i="57"/>
  <c r="FQ81" i="57"/>
  <c r="FP136" i="57"/>
  <c r="FN87" i="57"/>
  <c r="FN80" i="57"/>
  <c r="FJ116" i="57"/>
  <c r="FO75" i="57"/>
  <c r="FJ97" i="57"/>
  <c r="FL99" i="57"/>
  <c r="FP96" i="57"/>
  <c r="FP99" i="57"/>
  <c r="FP107" i="57"/>
  <c r="FL117" i="57"/>
  <c r="FO100" i="57"/>
  <c r="FS140" i="57"/>
  <c r="FI97" i="57"/>
  <c r="FS116" i="57"/>
  <c r="FN117" i="57"/>
  <c r="FK87" i="57"/>
  <c r="FO87" i="57"/>
  <c r="FT135" i="57"/>
  <c r="FQ80" i="57"/>
  <c r="FP117" i="57"/>
  <c r="FQ100" i="57"/>
  <c r="FJ74" i="57"/>
  <c r="FN126" i="57"/>
  <c r="FL81" i="57"/>
  <c r="FJ87" i="57"/>
  <c r="FS139" i="57"/>
  <c r="FS75" i="57"/>
  <c r="FI99" i="57"/>
  <c r="FM74" i="57"/>
  <c r="FS117" i="57"/>
  <c r="FR104" i="57"/>
  <c r="FT80" i="57"/>
  <c r="FL80" i="57"/>
  <c r="FO74" i="57"/>
  <c r="FO80" i="57"/>
  <c r="FM107" i="57"/>
  <c r="FQ104" i="57"/>
  <c r="FI96" i="57"/>
  <c r="FO138" i="57"/>
  <c r="FM104" i="57"/>
  <c r="FO99" i="57"/>
  <c r="FS80" i="57"/>
  <c r="FL87" i="57"/>
  <c r="FP80" i="57"/>
  <c r="FJ126" i="57"/>
  <c r="FO97" i="57"/>
  <c r="FJ135" i="57"/>
  <c r="FR75" i="57"/>
  <c r="FJ138" i="57"/>
  <c r="FM98" i="57"/>
  <c r="FR80" i="57"/>
  <c r="FN134" i="57"/>
  <c r="FT98" i="57"/>
  <c r="FO96" i="57"/>
  <c r="FI126" i="57"/>
  <c r="FL137" i="57"/>
  <c r="FJ96" i="57"/>
  <c r="FR100" i="57"/>
  <c r="FO134" i="57"/>
  <c r="FL139" i="57"/>
  <c r="FQ126" i="57"/>
  <c r="FS136" i="57"/>
  <c r="FK75" i="57"/>
  <c r="FR116" i="57"/>
  <c r="FP137" i="57"/>
  <c r="FN138" i="57"/>
  <c r="FQ87" i="57"/>
  <c r="FR97" i="57"/>
  <c r="FN107" i="57"/>
  <c r="FS81" i="57"/>
  <c r="FN140" i="57"/>
  <c r="FS105" i="57"/>
  <c r="FK105" i="57"/>
  <c r="FR81" i="57"/>
  <c r="FR99" i="57"/>
  <c r="FO104" i="57"/>
  <c r="FP97" i="57"/>
  <c r="FM96" i="57"/>
  <c r="FK117" i="57"/>
  <c r="FR139" i="57"/>
  <c r="FJ98" i="57"/>
  <c r="FT116" i="57"/>
  <c r="FL75" i="57"/>
  <c r="FL116" i="57"/>
  <c r="FT105" i="57"/>
  <c r="FQ138" i="57"/>
  <c r="FT117" i="57"/>
  <c r="FT137" i="57"/>
  <c r="FI138" i="57"/>
  <c r="FI81" i="57"/>
  <c r="FK99" i="57"/>
  <c r="FO95" i="57"/>
  <c r="FO136" i="57"/>
  <c r="FS135" i="57"/>
  <c r="FT134" i="57"/>
  <c r="FK74" i="57"/>
  <c r="FQ135" i="57"/>
  <c r="FI95" i="57"/>
  <c r="FJ107" i="57"/>
  <c r="FT96" i="57"/>
  <c r="FT74" i="57"/>
  <c r="FN104" i="57"/>
  <c r="FR134" i="57"/>
  <c r="FT118" i="57"/>
  <c r="FL118" i="57"/>
  <c r="FL96" i="57"/>
  <c r="FQ116" i="57"/>
  <c r="FI134" i="57"/>
  <c r="FO139" i="57"/>
  <c r="FO118" i="57"/>
  <c r="FL105" i="57"/>
  <c r="FN95" i="57"/>
  <c r="FM80" i="57"/>
  <c r="FK100" i="57"/>
  <c r="FK140" i="57"/>
  <c r="FN137" i="57"/>
  <c r="FK139" i="57"/>
  <c r="FL140" i="57"/>
  <c r="FS107" i="57"/>
  <c r="FQ134" i="57"/>
  <c r="FQ137" i="57"/>
  <c r="FL104" i="57"/>
  <c r="FR74" i="57"/>
  <c r="FI104" i="57"/>
  <c r="FP87" i="57"/>
  <c r="FN100" i="57"/>
  <c r="FM100" i="57"/>
  <c r="FP100" i="57"/>
  <c r="FQ74" i="57"/>
  <c r="FK96" i="57"/>
  <c r="FM105" i="57"/>
  <c r="FS100" i="57"/>
  <c r="FQ117" i="57"/>
  <c r="FM138" i="57"/>
  <c r="FS138" i="57"/>
  <c r="FQ118" i="57"/>
  <c r="FQ136" i="57"/>
  <c r="FI105" i="57"/>
  <c r="FP81" i="57"/>
  <c r="FI136" i="57"/>
  <c r="FT107" i="57"/>
  <c r="FT136" i="57"/>
  <c r="FT139" i="57"/>
  <c r="FK116" i="57"/>
  <c r="FO135" i="57"/>
  <c r="FI107" i="57"/>
  <c r="FO126" i="57"/>
  <c r="FP74" i="57"/>
  <c r="FQ139" i="57"/>
  <c r="FR105" i="57"/>
  <c r="FQ99" i="57"/>
  <c r="FN96" i="57"/>
  <c r="FK81" i="57"/>
  <c r="FK104" i="57"/>
  <c r="FM99" i="57"/>
  <c r="FP118" i="57"/>
  <c r="FT126" i="57"/>
  <c r="FT99" i="57"/>
  <c r="FJ105" i="57"/>
  <c r="FN118" i="57"/>
  <c r="FR140" i="57"/>
  <c r="FR118" i="57"/>
  <c r="FQ105" i="57"/>
  <c r="FP139" i="57"/>
  <c r="FS118" i="57"/>
  <c r="FN75" i="57"/>
  <c r="FN116" i="57"/>
  <c r="FQ95" i="57"/>
  <c r="FI174" i="57"/>
  <c r="FT174" i="57"/>
  <c r="FI135" i="57"/>
  <c r="FT100" i="57"/>
  <c r="FN174" i="57"/>
  <c r="FR87" i="57"/>
  <c r="FL97" i="57"/>
  <c r="FM97" i="57"/>
  <c r="FR136" i="57"/>
  <c r="FM118" i="57"/>
  <c r="FJ174" i="57"/>
  <c r="FP174" i="57"/>
  <c r="FL134" i="57"/>
  <c r="FI117" i="57"/>
  <c r="FS104" i="57"/>
  <c r="FS87" i="57"/>
  <c r="FJ95" i="57"/>
  <c r="FN135" i="57"/>
  <c r="FL135" i="57"/>
  <c r="FU137" i="57"/>
  <c r="FK118" i="57"/>
  <c r="FK107" i="57"/>
  <c r="FJ134" i="57"/>
  <c r="FI139" i="57"/>
  <c r="FP98" i="57"/>
  <c r="FS126" i="57"/>
  <c r="FO105" i="57"/>
  <c r="FP95" i="57"/>
  <c r="FO140" i="57"/>
  <c r="FI87" i="57"/>
  <c r="FI100" i="57"/>
  <c r="FR138" i="57"/>
  <c r="FI98" i="57"/>
  <c r="FN81" i="57"/>
  <c r="FP126" i="57"/>
  <c r="FI137" i="57"/>
  <c r="FM81" i="57"/>
  <c r="FS97" i="57"/>
  <c r="FK138" i="57"/>
  <c r="FI80" i="57"/>
  <c r="FN74" i="57"/>
  <c r="FS98" i="57"/>
  <c r="FM134" i="57"/>
  <c r="FS96" i="57"/>
  <c r="FR174" i="57"/>
  <c r="FR137" i="57"/>
  <c r="FI140" i="57"/>
  <c r="FR95" i="57"/>
  <c r="FU140" i="57"/>
  <c r="FP138" i="57"/>
  <c r="FP134" i="57"/>
  <c r="FR135" i="57"/>
  <c r="FM137" i="57"/>
  <c r="FT97" i="57"/>
  <c r="FL138" i="57"/>
  <c r="FM174" i="57"/>
  <c r="FO116" i="57"/>
  <c r="FI75" i="57"/>
  <c r="FL107" i="57"/>
  <c r="FL98" i="57"/>
  <c r="FK134" i="57"/>
  <c r="FS99" i="57"/>
  <c r="FM117" i="57"/>
  <c r="FT138" i="57"/>
  <c r="FM87" i="57"/>
  <c r="FK174" i="57"/>
  <c r="FL174" i="57"/>
  <c r="FS174" i="57"/>
  <c r="FO174" i="57"/>
  <c r="FH174" i="57"/>
  <c r="FQ174" i="57"/>
  <c r="FU194" i="57"/>
  <c r="FT194" i="57"/>
  <c r="FR194" i="57"/>
  <c r="FP194" i="57"/>
  <c r="FJ194" i="57"/>
  <c r="FN194" i="57"/>
  <c r="FL194" i="57"/>
  <c r="FH175" i="57"/>
  <c r="FI175" i="57"/>
  <c r="FJ175" i="57"/>
  <c r="FK175" i="57"/>
  <c r="FL175" i="57"/>
  <c r="FM175" i="57"/>
  <c r="FN175" i="57"/>
  <c r="FO175" i="57"/>
  <c r="FP175" i="57"/>
  <c r="FQ175" i="57"/>
  <c r="FR175" i="57"/>
  <c r="FS175" i="57"/>
  <c r="FT175" i="57"/>
  <c r="FI194" i="57"/>
  <c r="FH194" i="57"/>
  <c r="FQ194" i="57"/>
  <c r="FM194" i="57"/>
  <c r="FO194" i="57"/>
  <c r="FU175" i="57"/>
  <c r="FP64" i="57"/>
  <c r="FP66" i="57"/>
  <c r="FP71" i="57"/>
  <c r="FP68" i="57"/>
  <c r="FF189" i="57"/>
  <c r="FF65" i="57"/>
  <c r="FF67" i="57"/>
  <c r="FF197" i="57"/>
  <c r="FF63" i="57"/>
  <c r="FF133" i="57"/>
  <c r="FF188" i="57"/>
  <c r="FF173" i="57"/>
  <c r="FF159" i="57"/>
  <c r="FF198" i="57"/>
  <c r="FF158" i="57"/>
  <c r="FF61" i="57"/>
  <c r="FF134" i="57"/>
  <c r="FF136" i="57"/>
  <c r="FF135" i="57"/>
  <c r="FU135" i="57" s="1"/>
  <c r="FF138" i="57"/>
  <c r="FU138" i="57" s="1"/>
  <c r="FF137" i="57"/>
  <c r="E137" i="57" s="1"/>
  <c r="FF139" i="57"/>
  <c r="FU139" i="57" s="1"/>
  <c r="FF140" i="57"/>
  <c r="W22" i="57"/>
  <c r="X22" i="57" s="1"/>
  <c r="W16" i="57"/>
  <c r="X16" i="57" s="1"/>
  <c r="W15" i="57"/>
  <c r="X15" i="57" s="1"/>
  <c r="W11" i="57"/>
  <c r="X11" i="57" s="1"/>
  <c r="W10" i="57"/>
  <c r="W32" i="57"/>
  <c r="X32" i="57" s="1"/>
  <c r="W37" i="57"/>
  <c r="X37" i="57" s="1"/>
  <c r="W40" i="57"/>
  <c r="X40" i="57" s="1"/>
  <c r="W34" i="57"/>
  <c r="X34" i="57" s="1"/>
  <c r="W31" i="57"/>
  <c r="X31" i="57" s="1"/>
  <c r="W30" i="57"/>
  <c r="X30" i="57" s="1"/>
  <c r="W38" i="57"/>
  <c r="X38" i="57" s="1"/>
  <c r="W29" i="57"/>
  <c r="X29" i="57" s="1"/>
  <c r="W33" i="57"/>
  <c r="X33" i="57" s="1"/>
  <c r="FD117" i="57"/>
  <c r="FD118" i="57"/>
  <c r="FD116" i="57"/>
  <c r="FD74" i="57"/>
  <c r="FD75" i="57" s="1"/>
  <c r="FD105" i="57"/>
  <c r="FD79" i="57" s="1"/>
  <c r="FD96" i="57"/>
  <c r="FD104" i="57"/>
  <c r="FD95" i="57"/>
  <c r="FD97" i="57"/>
  <c r="FD98" i="57"/>
  <c r="FD100" i="57"/>
  <c r="FD99" i="57"/>
  <c r="FD107" i="57"/>
  <c r="FE141" i="57"/>
  <c r="FE62" i="57"/>
  <c r="FE64" i="57"/>
  <c r="FD80" i="57"/>
  <c r="FD81" i="57"/>
  <c r="FE71" i="57"/>
  <c r="FF71" i="57" s="1"/>
  <c r="FF74" i="57" s="1"/>
  <c r="FE68" i="57"/>
  <c r="FE66" i="57"/>
  <c r="Q16" i="57"/>
  <c r="P16" i="57" s="1"/>
  <c r="ES133" i="63" l="1"/>
  <c r="ES178" i="63"/>
  <c r="ET172" i="63" s="1"/>
  <c r="EP184" i="63"/>
  <c r="EP206" i="63" s="1"/>
  <c r="EP208" i="63" s="1"/>
  <c r="EP209" i="63" s="1"/>
  <c r="E140" i="57"/>
  <c r="FH140" i="57"/>
  <c r="E136" i="57"/>
  <c r="FH136" i="57"/>
  <c r="E134" i="57"/>
  <c r="FH134" i="57"/>
  <c r="E126" i="57"/>
  <c r="E135" i="57"/>
  <c r="FH135" i="57"/>
  <c r="FU134" i="57"/>
  <c r="FH74" i="57"/>
  <c r="FI74" i="57"/>
  <c r="FU136" i="57"/>
  <c r="FH159" i="57"/>
  <c r="FI159" i="57"/>
  <c r="FL159" i="57"/>
  <c r="FM159" i="57"/>
  <c r="FN159" i="57"/>
  <c r="FO159" i="57"/>
  <c r="FP159" i="57"/>
  <c r="FQ159" i="57"/>
  <c r="FR159" i="57"/>
  <c r="FS159" i="57"/>
  <c r="FT159" i="57"/>
  <c r="FU159" i="57"/>
  <c r="FH189" i="57"/>
  <c r="FI189" i="57"/>
  <c r="FL189" i="57"/>
  <c r="FM189" i="57"/>
  <c r="FN189" i="57"/>
  <c r="FO189" i="57"/>
  <c r="FP189" i="57"/>
  <c r="FQ189" i="57"/>
  <c r="FS189" i="57"/>
  <c r="FT189" i="57"/>
  <c r="FH173" i="57"/>
  <c r="FI173" i="57"/>
  <c r="FJ173" i="57"/>
  <c r="FK173" i="57"/>
  <c r="FL173" i="57"/>
  <c r="FM173" i="57"/>
  <c r="FN173" i="57"/>
  <c r="FO173" i="57"/>
  <c r="FP173" i="57"/>
  <c r="FQ173" i="57"/>
  <c r="FR173" i="57"/>
  <c r="FS173" i="57"/>
  <c r="FT173" i="57"/>
  <c r="FH188" i="57"/>
  <c r="FI188" i="57"/>
  <c r="FL188" i="57"/>
  <c r="FM188" i="57"/>
  <c r="FN188" i="57"/>
  <c r="FO188" i="57"/>
  <c r="FP188" i="57"/>
  <c r="FQ188" i="57"/>
  <c r="FR188" i="57"/>
  <c r="FS188" i="57"/>
  <c r="FT188" i="57"/>
  <c r="FH197" i="57"/>
  <c r="FI197" i="57"/>
  <c r="FJ197" i="57"/>
  <c r="FK197" i="57"/>
  <c r="FL197" i="57"/>
  <c r="FQ197" i="57"/>
  <c r="FR197" i="57"/>
  <c r="FS197" i="57"/>
  <c r="FT197" i="57"/>
  <c r="FU197" i="57"/>
  <c r="FU189" i="57"/>
  <c r="FH158" i="57"/>
  <c r="FI158" i="57"/>
  <c r="FJ158" i="57"/>
  <c r="FL158" i="57"/>
  <c r="FM158" i="57"/>
  <c r="FN158" i="57"/>
  <c r="FO158" i="57"/>
  <c r="FP158" i="57"/>
  <c r="FQ158" i="57"/>
  <c r="FR158" i="57"/>
  <c r="FS158" i="57"/>
  <c r="FT158" i="57"/>
  <c r="FU158" i="57"/>
  <c r="FF161" i="57"/>
  <c r="FH198" i="57"/>
  <c r="FI198" i="57"/>
  <c r="FJ198" i="57"/>
  <c r="FK198" i="57"/>
  <c r="FL198" i="57"/>
  <c r="FM198" i="57"/>
  <c r="FN198" i="57"/>
  <c r="FO198" i="57"/>
  <c r="FQ198" i="57"/>
  <c r="FR198" i="57"/>
  <c r="FS198" i="57"/>
  <c r="FT198" i="57"/>
  <c r="FU198" i="57"/>
  <c r="FU173" i="57"/>
  <c r="FU188" i="57"/>
  <c r="FF62" i="57"/>
  <c r="FF157" i="57"/>
  <c r="FF75" i="57"/>
  <c r="FH75" i="57" s="1"/>
  <c r="FH87" i="57"/>
  <c r="FF64" i="57"/>
  <c r="FF68" i="57"/>
  <c r="FF141" i="57"/>
  <c r="FF178" i="57" s="1"/>
  <c r="FF66" i="57"/>
  <c r="W12" i="57"/>
  <c r="X12" i="57" s="1"/>
  <c r="X10" i="57"/>
  <c r="FD119" i="57"/>
  <c r="FE117" i="57"/>
  <c r="FE118" i="57"/>
  <c r="FE116" i="57"/>
  <c r="FE74" i="57"/>
  <c r="FE75" i="57" s="1"/>
  <c r="FU75" i="57" s="1"/>
  <c r="FU87" i="57"/>
  <c r="FD82" i="57"/>
  <c r="FE104" i="57"/>
  <c r="FE96" i="57"/>
  <c r="FE95" i="57"/>
  <c r="FE98" i="57"/>
  <c r="FE105" i="57"/>
  <c r="FE79" i="57" s="1"/>
  <c r="FE100" i="57"/>
  <c r="FE97" i="57"/>
  <c r="FE99" i="57"/>
  <c r="FE107" i="57"/>
  <c r="FD76" i="57"/>
  <c r="FE81" i="57"/>
  <c r="FE80" i="57"/>
  <c r="Q19" i="57"/>
  <c r="ET174" i="63" l="1"/>
  <c r="ET175" i="63" s="1"/>
  <c r="EP187" i="63"/>
  <c r="EQ181" i="63" s="1"/>
  <c r="EQ183" i="63" s="1"/>
  <c r="EP137" i="63"/>
  <c r="EP139" i="63" s="1"/>
  <c r="FU99" i="57"/>
  <c r="FU74" i="57"/>
  <c r="FH157" i="57"/>
  <c r="FI157" i="57"/>
  <c r="FL157" i="57"/>
  <c r="FM157" i="57"/>
  <c r="FN157" i="57"/>
  <c r="FO157" i="57"/>
  <c r="FP157" i="57"/>
  <c r="FQ157" i="57"/>
  <c r="FS157" i="57"/>
  <c r="FT157" i="57"/>
  <c r="FU157" i="57"/>
  <c r="FH161" i="57"/>
  <c r="FI161" i="57"/>
  <c r="FJ161" i="57"/>
  <c r="FK161" i="57"/>
  <c r="FL161" i="57"/>
  <c r="FM161" i="57"/>
  <c r="FN161" i="57"/>
  <c r="FO161" i="57"/>
  <c r="FQ161" i="57"/>
  <c r="FR161" i="57"/>
  <c r="FS161" i="57"/>
  <c r="FT161" i="57"/>
  <c r="FU161" i="57"/>
  <c r="E87" i="57"/>
  <c r="E74" i="57"/>
  <c r="FF76" i="57"/>
  <c r="E75" i="57"/>
  <c r="FF117" i="57"/>
  <c r="FF118" i="57"/>
  <c r="FF98" i="57"/>
  <c r="FU98" i="57" s="1"/>
  <c r="FF116" i="57"/>
  <c r="FH116" i="57" s="1"/>
  <c r="FF100" i="57"/>
  <c r="FF105" i="57"/>
  <c r="FH105" i="57" s="1"/>
  <c r="FF97" i="57"/>
  <c r="FF99" i="57"/>
  <c r="FF95" i="57"/>
  <c r="FU95" i="57" s="1"/>
  <c r="FF96" i="57"/>
  <c r="FF104" i="57"/>
  <c r="FU104" i="57" s="1"/>
  <c r="FF107" i="57"/>
  <c r="FU107" i="57" s="1"/>
  <c r="FF80" i="57"/>
  <c r="FH80" i="57" s="1"/>
  <c r="FF81" i="57"/>
  <c r="FE119" i="57"/>
  <c r="FE82" i="57"/>
  <c r="FD84" i="57"/>
  <c r="FE76" i="57"/>
  <c r="C44" i="2"/>
  <c r="D44" i="2" s="1"/>
  <c r="E44" i="2" s="1"/>
  <c r="F44" i="2" s="1"/>
  <c r="G44" i="2" s="1"/>
  <c r="H44" i="2" s="1"/>
  <c r="I44" i="2" s="1"/>
  <c r="J44" i="2" s="1"/>
  <c r="K44" i="2" s="1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AC44" i="2" s="1"/>
  <c r="AD44" i="2" s="1"/>
  <c r="AE44" i="2" s="1"/>
  <c r="AF44" i="2" s="1"/>
  <c r="AG44" i="2" s="1"/>
  <c r="AH44" i="2" s="1"/>
  <c r="AI44" i="2" s="1"/>
  <c r="AJ44" i="2" s="1"/>
  <c r="AK44" i="2" s="1"/>
  <c r="AL44" i="2" s="1"/>
  <c r="AM44" i="2" s="1"/>
  <c r="AN44" i="2" s="1"/>
  <c r="AO44" i="2" s="1"/>
  <c r="AP44" i="2" s="1"/>
  <c r="AQ44" i="2" s="1"/>
  <c r="AR44" i="2" s="1"/>
  <c r="AS44" i="2" s="1"/>
  <c r="AT44" i="2" s="1"/>
  <c r="AU44" i="2" s="1"/>
  <c r="AV44" i="2" s="1"/>
  <c r="AW44" i="2" s="1"/>
  <c r="AX44" i="2" s="1"/>
  <c r="AY44" i="2" s="1"/>
  <c r="AZ44" i="2" s="1"/>
  <c r="BA44" i="2" s="1"/>
  <c r="BB44" i="2" s="1"/>
  <c r="BC44" i="2" s="1"/>
  <c r="BD44" i="2" s="1"/>
  <c r="BE44" i="2" s="1"/>
  <c r="BF44" i="2" s="1"/>
  <c r="BG44" i="2" s="1"/>
  <c r="BH44" i="2" s="1"/>
  <c r="BI44" i="2" s="1"/>
  <c r="BJ44" i="2" s="1"/>
  <c r="BK44" i="2" s="1"/>
  <c r="BL44" i="2" s="1"/>
  <c r="BM44" i="2" s="1"/>
  <c r="BN44" i="2" s="1"/>
  <c r="BO44" i="2" s="1"/>
  <c r="BP44" i="2" s="1"/>
  <c r="BQ44" i="2" s="1"/>
  <c r="BR44" i="2" s="1"/>
  <c r="BS44" i="2" s="1"/>
  <c r="BT44" i="2" s="1"/>
  <c r="BU44" i="2" s="1"/>
  <c r="BV44" i="2" s="1"/>
  <c r="BW44" i="2" s="1"/>
  <c r="BX44" i="2" s="1"/>
  <c r="BY44" i="2" s="1"/>
  <c r="BZ44" i="2" s="1"/>
  <c r="CA44" i="2" s="1"/>
  <c r="CB44" i="2" s="1"/>
  <c r="CC44" i="2" s="1"/>
  <c r="CD44" i="2" s="1"/>
  <c r="CE44" i="2" s="1"/>
  <c r="CF44" i="2" s="1"/>
  <c r="CG44" i="2" s="1"/>
  <c r="CH44" i="2" s="1"/>
  <c r="CI44" i="2" s="1"/>
  <c r="CJ44" i="2" s="1"/>
  <c r="CK44" i="2" s="1"/>
  <c r="CL44" i="2" s="1"/>
  <c r="CM44" i="2" s="1"/>
  <c r="CN44" i="2" s="1"/>
  <c r="CO44" i="2" s="1"/>
  <c r="CP44" i="2" s="1"/>
  <c r="CQ44" i="2" s="1"/>
  <c r="CR44" i="2" s="1"/>
  <c r="CS44" i="2" s="1"/>
  <c r="CT44" i="2" s="1"/>
  <c r="CU44" i="2" s="1"/>
  <c r="CV44" i="2" s="1"/>
  <c r="CW44" i="2" s="1"/>
  <c r="CX44" i="2" s="1"/>
  <c r="CY44" i="2" s="1"/>
  <c r="CZ44" i="2" s="1"/>
  <c r="DA44" i="2" s="1"/>
  <c r="DB44" i="2" s="1"/>
  <c r="DC44" i="2" s="1"/>
  <c r="DD44" i="2" s="1"/>
  <c r="DE44" i="2" s="1"/>
  <c r="DF44" i="2" s="1"/>
  <c r="DG44" i="2" s="1"/>
  <c r="DH44" i="2" s="1"/>
  <c r="DI44" i="2" s="1"/>
  <c r="DJ44" i="2" s="1"/>
  <c r="DK44" i="2" s="1"/>
  <c r="DL44" i="2" s="1"/>
  <c r="DM44" i="2" s="1"/>
  <c r="DN44" i="2" s="1"/>
  <c r="DO44" i="2" s="1"/>
  <c r="DP44" i="2" s="1"/>
  <c r="DQ44" i="2" s="1"/>
  <c r="DR44" i="2" s="1"/>
  <c r="DS44" i="2" s="1"/>
  <c r="DT44" i="2" s="1"/>
  <c r="DU44" i="2" s="1"/>
  <c r="DV44" i="2" s="1"/>
  <c r="DW44" i="2" s="1"/>
  <c r="DX44" i="2" s="1"/>
  <c r="DY44" i="2" s="1"/>
  <c r="DZ44" i="2" s="1"/>
  <c r="EA44" i="2" s="1"/>
  <c r="EB44" i="2" s="1"/>
  <c r="EC44" i="2" s="1"/>
  <c r="ED44" i="2" s="1"/>
  <c r="EE44" i="2" s="1"/>
  <c r="EF44" i="2" s="1"/>
  <c r="EG44" i="2" s="1"/>
  <c r="EH44" i="2" s="1"/>
  <c r="EI44" i="2" s="1"/>
  <c r="EJ44" i="2" s="1"/>
  <c r="EK44" i="2" s="1"/>
  <c r="EL44" i="2" s="1"/>
  <c r="EM44" i="2" s="1"/>
  <c r="EN44" i="2" s="1"/>
  <c r="EO44" i="2" s="1"/>
  <c r="EP44" i="2" s="1"/>
  <c r="EQ44" i="2" s="1"/>
  <c r="ER44" i="2" s="1"/>
  <c r="ES44" i="2" s="1"/>
  <c r="ET44" i="2" s="1"/>
  <c r="EU44" i="2" s="1"/>
  <c r="EV44" i="2" s="1"/>
  <c r="EW44" i="2" s="1"/>
  <c r="EX44" i="2" s="1"/>
  <c r="EY44" i="2" s="1"/>
  <c r="EZ44" i="2" s="1"/>
  <c r="FA44" i="2" s="1"/>
  <c r="FB44" i="2" s="1"/>
  <c r="FC44" i="2" s="1"/>
  <c r="FD44" i="2" s="1"/>
  <c r="FE44" i="2" s="1"/>
  <c r="FF44" i="2" s="1"/>
  <c r="FG44" i="2" s="1"/>
  <c r="FH44" i="2" s="1"/>
  <c r="FI44" i="2" s="1"/>
  <c r="FJ44" i="2" s="1"/>
  <c r="FK44" i="2" s="1"/>
  <c r="FL44" i="2" s="1"/>
  <c r="FM44" i="2" s="1"/>
  <c r="FN44" i="2" s="1"/>
  <c r="FO44" i="2" s="1"/>
  <c r="FP44" i="2" s="1"/>
  <c r="FQ44" i="2" s="1"/>
  <c r="FR44" i="2" s="1"/>
  <c r="FS44" i="2" s="1"/>
  <c r="FT44" i="2" s="1"/>
  <c r="FU44" i="2" s="1"/>
  <c r="FV44" i="2" s="1"/>
  <c r="FW44" i="2" s="1"/>
  <c r="FX44" i="2" s="1"/>
  <c r="FY44" i="2" s="1"/>
  <c r="FZ44" i="2" s="1"/>
  <c r="GA44" i="2" s="1"/>
  <c r="GB44" i="2" s="1"/>
  <c r="GC44" i="2" s="1"/>
  <c r="GD44" i="2" s="1"/>
  <c r="GE44" i="2" s="1"/>
  <c r="GF44" i="2" s="1"/>
  <c r="GG44" i="2" s="1"/>
  <c r="GH44" i="2" s="1"/>
  <c r="GI44" i="2" s="1"/>
  <c r="GJ44" i="2" s="1"/>
  <c r="GK44" i="2" s="1"/>
  <c r="GL44" i="2" s="1"/>
  <c r="GM44" i="2" s="1"/>
  <c r="EP141" i="63" l="1"/>
  <c r="EP159" i="63"/>
  <c r="EQ184" i="63"/>
  <c r="EQ206" i="63" s="1"/>
  <c r="EQ208" i="63" s="1"/>
  <c r="EQ209" i="63" s="1"/>
  <c r="E81" i="57"/>
  <c r="FH81" i="57"/>
  <c r="FU81" i="57"/>
  <c r="E99" i="57"/>
  <c r="FH99" i="57"/>
  <c r="E97" i="57"/>
  <c r="FH97" i="57"/>
  <c r="E100" i="57"/>
  <c r="FH100" i="57"/>
  <c r="FU100" i="57"/>
  <c r="FU97" i="57"/>
  <c r="E98" i="57"/>
  <c r="FH98" i="57"/>
  <c r="E96" i="57"/>
  <c r="FH96" i="57"/>
  <c r="E118" i="57"/>
  <c r="FH118" i="57"/>
  <c r="E107" i="57"/>
  <c r="FH107" i="57"/>
  <c r="E104" i="57"/>
  <c r="FH104" i="57"/>
  <c r="E95" i="57"/>
  <c r="FH95" i="57"/>
  <c r="E117" i="57"/>
  <c r="FH117" i="57"/>
  <c r="FU105" i="57"/>
  <c r="FU80" i="57"/>
  <c r="FU118" i="57"/>
  <c r="FU96" i="57"/>
  <c r="FU116" i="57"/>
  <c r="FU117" i="57"/>
  <c r="FF119" i="57"/>
  <c r="E116" i="57"/>
  <c r="FF79" i="57"/>
  <c r="FF82" i="57" s="1"/>
  <c r="E105" i="57"/>
  <c r="E80" i="57"/>
  <c r="FD88" i="57"/>
  <c r="FD90" i="57" s="1"/>
  <c r="FD106" i="57" s="1"/>
  <c r="FD108" i="57" s="1"/>
  <c r="FE84" i="57"/>
  <c r="B16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12" i="2"/>
  <c r="B11" i="2" s="1"/>
  <c r="B10" i="2" s="1"/>
  <c r="B9" i="2" s="1"/>
  <c r="B8" i="2" s="1"/>
  <c r="B7" i="2" s="1"/>
  <c r="B6" i="2" s="1"/>
  <c r="B5" i="2" s="1"/>
  <c r="B4" i="2" s="1"/>
  <c r="D3" i="2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ET133" i="63" l="1"/>
  <c r="ET178" i="63"/>
  <c r="EU172" i="63" s="1"/>
  <c r="EQ187" i="63"/>
  <c r="ER181" i="63" s="1"/>
  <c r="ER183" i="63" s="1"/>
  <c r="EQ137" i="63"/>
  <c r="EQ139" i="63" s="1"/>
  <c r="FF84" i="57"/>
  <c r="FE88" i="57"/>
  <c r="FE90" i="57" s="1"/>
  <c r="FE106" i="57" s="1"/>
  <c r="FE108" i="57" s="1"/>
  <c r="C46" i="2"/>
  <c r="C47" i="2"/>
  <c r="C45" i="2"/>
  <c r="ET45" i="2"/>
  <c r="EN47" i="2"/>
  <c r="DN47" i="2"/>
  <c r="EF47" i="2"/>
  <c r="DB47" i="2"/>
  <c r="BW47" i="2"/>
  <c r="BU47" i="2"/>
  <c r="DU47" i="2"/>
  <c r="AN47" i="2"/>
  <c r="EX47" i="2"/>
  <c r="DH47" i="2"/>
  <c r="F47" i="2"/>
  <c r="DF47" i="2"/>
  <c r="BA46" i="2"/>
  <c r="DA46" i="2"/>
  <c r="X46" i="2"/>
  <c r="J46" i="2"/>
  <c r="CR46" i="2"/>
  <c r="EL46" i="2"/>
  <c r="AW46" i="2"/>
  <c r="GE46" i="2"/>
  <c r="FD46" i="2"/>
  <c r="EV46" i="2"/>
  <c r="FZ46" i="2"/>
  <c r="AD46" i="2"/>
  <c r="DB45" i="2"/>
  <c r="FS45" i="2"/>
  <c r="AG45" i="2"/>
  <c r="R45" i="2"/>
  <c r="F45" i="2"/>
  <c r="FR45" i="2"/>
  <c r="CD45" i="2"/>
  <c r="BR45" i="2"/>
  <c r="AR45" i="2"/>
  <c r="FL45" i="2"/>
  <c r="N45" i="2"/>
  <c r="EP45" i="2"/>
  <c r="CY45" i="2"/>
  <c r="BT45" i="2"/>
  <c r="EY45" i="2"/>
  <c r="BQ47" i="2"/>
  <c r="M45" i="2"/>
  <c r="BV45" i="2"/>
  <c r="FH47" i="2"/>
  <c r="GA47" i="2"/>
  <c r="DO47" i="2"/>
  <c r="EY47" i="2"/>
  <c r="EL47" i="2"/>
  <c r="DR47" i="2"/>
  <c r="BO47" i="2"/>
  <c r="CK47" i="2"/>
  <c r="EQ47" i="2"/>
  <c r="BM47" i="2"/>
  <c r="GC47" i="2"/>
  <c r="FC47" i="2"/>
  <c r="AM46" i="2"/>
  <c r="BW46" i="2"/>
  <c r="EG46" i="2"/>
  <c r="DS46" i="2"/>
  <c r="CS46" i="2"/>
  <c r="DL46" i="2"/>
  <c r="BF46" i="2"/>
  <c r="L46" i="2"/>
  <c r="FE46" i="2"/>
  <c r="GK46" i="2"/>
  <c r="BC46" i="2"/>
  <c r="EM46" i="2"/>
  <c r="EJ45" i="2"/>
  <c r="FC45" i="2"/>
  <c r="BM45" i="2"/>
  <c r="FY45" i="2"/>
  <c r="CL45" i="2"/>
  <c r="GA45" i="2"/>
  <c r="FW45" i="2"/>
  <c r="AM45" i="2"/>
  <c r="J45" i="2"/>
  <c r="DS45" i="2"/>
  <c r="AU45" i="2"/>
  <c r="GJ45" i="2"/>
  <c r="CJ45" i="2"/>
  <c r="FP45" i="2"/>
  <c r="L45" i="2"/>
  <c r="CA47" i="2"/>
  <c r="EW46" i="2"/>
  <c r="BZ45" i="2"/>
  <c r="GL45" i="2"/>
  <c r="DP47" i="2"/>
  <c r="AO47" i="2"/>
  <c r="CN47" i="2"/>
  <c r="FP47" i="2"/>
  <c r="EA47" i="2"/>
  <c r="FO47" i="2"/>
  <c r="EE47" i="2"/>
  <c r="EH47" i="2"/>
  <c r="N47" i="2"/>
  <c r="DZ47" i="2"/>
  <c r="AA47" i="2"/>
  <c r="GJ47" i="2"/>
  <c r="T46" i="2"/>
  <c r="EZ46" i="2"/>
  <c r="DC46" i="2"/>
  <c r="AS46" i="2"/>
  <c r="CE46" i="2"/>
  <c r="BR46" i="2"/>
  <c r="FO46" i="2"/>
  <c r="DE46" i="2"/>
  <c r="R46" i="2"/>
  <c r="BH46" i="2"/>
  <c r="GB46" i="2"/>
  <c r="CT46" i="2"/>
  <c r="GF45" i="2"/>
  <c r="AF45" i="2"/>
  <c r="DF45" i="2"/>
  <c r="DK45" i="2"/>
  <c r="CN45" i="2"/>
  <c r="GK45" i="2"/>
  <c r="BP45" i="2"/>
  <c r="X45" i="2"/>
  <c r="DI45" i="2"/>
  <c r="O45" i="2"/>
  <c r="AE45" i="2"/>
  <c r="ED45" i="2"/>
  <c r="EV45" i="2"/>
  <c r="AC45" i="2"/>
  <c r="AO45" i="2"/>
  <c r="DA47" i="2"/>
  <c r="EW45" i="2"/>
  <c r="DO45" i="2"/>
  <c r="BZ47" i="2"/>
  <c r="CL47" i="2"/>
  <c r="DI47" i="2"/>
  <c r="GH47" i="2"/>
  <c r="U47" i="2"/>
  <c r="GF47" i="2"/>
  <c r="DD47" i="2"/>
  <c r="GE47" i="2"/>
  <c r="BK47" i="2"/>
  <c r="EB47" i="2"/>
  <c r="AR47" i="2"/>
  <c r="GK47" i="2"/>
  <c r="DM46" i="2"/>
  <c r="BZ46" i="2"/>
  <c r="GF46" i="2"/>
  <c r="DV46" i="2"/>
  <c r="AZ46" i="2"/>
  <c r="BT46" i="2"/>
  <c r="CO46" i="2"/>
  <c r="GH46" i="2"/>
  <c r="EQ46" i="2"/>
  <c r="BX46" i="2"/>
  <c r="AO46" i="2"/>
  <c r="ET46" i="2"/>
  <c r="EM45" i="2"/>
  <c r="DL45" i="2"/>
  <c r="BL45" i="2"/>
  <c r="U45" i="2"/>
  <c r="AA45" i="2"/>
  <c r="DX45" i="2"/>
  <c r="CG45" i="2"/>
  <c r="I45" i="2"/>
  <c r="DC45" i="2"/>
  <c r="DP45" i="2"/>
  <c r="FF45" i="2"/>
  <c r="W45" i="2"/>
  <c r="BD45" i="2"/>
  <c r="BE47" i="2"/>
  <c r="AK45" i="2"/>
  <c r="BX45" i="2"/>
  <c r="FD47" i="2"/>
  <c r="EI47" i="2"/>
  <c r="AP47" i="2"/>
  <c r="O47" i="2"/>
  <c r="BR47" i="2"/>
  <c r="AE47" i="2"/>
  <c r="EO47" i="2"/>
  <c r="DK47" i="2"/>
  <c r="CR47" i="2"/>
  <c r="FI47" i="2"/>
  <c r="BY47" i="2"/>
  <c r="S47" i="2"/>
  <c r="CY46" i="2"/>
  <c r="GI46" i="2"/>
  <c r="AC46" i="2"/>
  <c r="CB46" i="2"/>
  <c r="ES46" i="2"/>
  <c r="GC46" i="2"/>
  <c r="FR46" i="2"/>
  <c r="AU46" i="2"/>
  <c r="U46" i="2"/>
  <c r="W46" i="2"/>
  <c r="EX46" i="2"/>
  <c r="FL46" i="2"/>
  <c r="DW45" i="2"/>
  <c r="BO45" i="2"/>
  <c r="BY45" i="2"/>
  <c r="GC45" i="2"/>
  <c r="FB45" i="2"/>
  <c r="BN45" i="2"/>
  <c r="BB45" i="2"/>
  <c r="GE45" i="2"/>
  <c r="ES45" i="2"/>
  <c r="BH45" i="2"/>
  <c r="BC45" i="2"/>
  <c r="Z47" i="2"/>
  <c r="AQ45" i="2"/>
  <c r="FV45" i="2"/>
  <c r="GB47" i="2"/>
  <c r="EZ47" i="2"/>
  <c r="GM47" i="2"/>
  <c r="AV47" i="2"/>
  <c r="CM47" i="2"/>
  <c r="BL47" i="2"/>
  <c r="D47" i="2"/>
  <c r="AU47" i="2"/>
  <c r="AW47" i="2"/>
  <c r="W47" i="2"/>
  <c r="CP47" i="2"/>
  <c r="AL47" i="2"/>
  <c r="CK46" i="2"/>
  <c r="AF46" i="2"/>
  <c r="DF46" i="2"/>
  <c r="CC46" i="2"/>
  <c r="H46" i="2"/>
  <c r="AP46" i="2"/>
  <c r="AE46" i="2"/>
  <c r="EN46" i="2"/>
  <c r="ED46" i="2"/>
  <c r="FA46" i="2"/>
  <c r="K46" i="2"/>
  <c r="D46" i="2"/>
  <c r="P45" i="2"/>
  <c r="EG45" i="2"/>
  <c r="GD45" i="2"/>
  <c r="AB45" i="2"/>
  <c r="FE45" i="2"/>
  <c r="FG45" i="2"/>
  <c r="CM45" i="2"/>
  <c r="BF45" i="2"/>
  <c r="EH45" i="2"/>
  <c r="EU46" i="2"/>
  <c r="BI46" i="2"/>
  <c r="DA45" i="2"/>
  <c r="S45" i="2"/>
  <c r="GI47" i="2"/>
  <c r="GG47" i="2"/>
  <c r="CH47" i="2"/>
  <c r="FG47" i="2"/>
  <c r="EK47" i="2"/>
  <c r="Q47" i="2"/>
  <c r="EU47" i="2"/>
  <c r="CB47" i="2"/>
  <c r="DJ47" i="2"/>
  <c r="CJ47" i="2"/>
  <c r="EM47" i="2"/>
  <c r="CY47" i="2"/>
  <c r="BG46" i="2"/>
  <c r="AG46" i="2"/>
  <c r="BL46" i="2"/>
  <c r="GL46" i="2"/>
  <c r="DQ46" i="2"/>
  <c r="EY46" i="2"/>
  <c r="DX46" i="2"/>
  <c r="EO46" i="2"/>
  <c r="G46" i="2"/>
  <c r="GG46" i="2"/>
  <c r="CN46" i="2"/>
  <c r="CW46" i="2"/>
  <c r="AZ45" i="2"/>
  <c r="GB45" i="2"/>
  <c r="EC45" i="2"/>
  <c r="K45" i="2"/>
  <c r="CC45" i="2"/>
  <c r="AJ45" i="2"/>
  <c r="H45" i="2"/>
  <c r="FT45" i="2"/>
  <c r="DJ45" i="2"/>
  <c r="FJ45" i="2"/>
  <c r="BE45" i="2"/>
  <c r="CA45" i="2"/>
  <c r="FY47" i="2"/>
  <c r="BQ46" i="2"/>
  <c r="CZ45" i="2"/>
  <c r="AK47" i="2"/>
  <c r="CE47" i="2"/>
  <c r="DC47" i="2"/>
  <c r="BN47" i="2"/>
  <c r="FB47" i="2"/>
  <c r="CD47" i="2"/>
  <c r="DT47" i="2"/>
  <c r="AG47" i="2"/>
  <c r="DL47" i="2"/>
  <c r="EG47" i="2"/>
  <c r="FT47" i="2"/>
  <c r="FL47" i="2"/>
  <c r="EJ46" i="2"/>
  <c r="EP46" i="2"/>
  <c r="BM46" i="2"/>
  <c r="BO46" i="2"/>
  <c r="M46" i="2"/>
  <c r="BY46" i="2"/>
  <c r="DY46" i="2"/>
  <c r="EA46" i="2"/>
  <c r="EF46" i="2"/>
  <c r="CD46" i="2"/>
  <c r="N46" i="2"/>
  <c r="CI46" i="2"/>
  <c r="AY45" i="2"/>
  <c r="EX45" i="2"/>
  <c r="CU45" i="2"/>
  <c r="FZ45" i="2"/>
  <c r="DH45" i="2"/>
  <c r="BQ45" i="2"/>
  <c r="EI45" i="2"/>
  <c r="DY45" i="2"/>
  <c r="DZ45" i="2"/>
  <c r="DN45" i="2"/>
  <c r="BU45" i="2"/>
  <c r="CF45" i="2"/>
  <c r="DO46" i="2"/>
  <c r="BK46" i="2"/>
  <c r="EE45" i="2"/>
  <c r="CK45" i="2"/>
  <c r="BF47" i="2"/>
  <c r="AF47" i="2"/>
  <c r="FR47" i="2"/>
  <c r="CZ47" i="2"/>
  <c r="I47" i="2"/>
  <c r="ER47" i="2"/>
  <c r="R47" i="2"/>
  <c r="CT47" i="2"/>
  <c r="ES47" i="2"/>
  <c r="GD47" i="2"/>
  <c r="FE47" i="2"/>
  <c r="J47" i="2"/>
  <c r="BJ46" i="2"/>
  <c r="S46" i="2"/>
  <c r="FV46" i="2"/>
  <c r="FX46" i="2"/>
  <c r="AV46" i="2"/>
  <c r="FB46" i="2"/>
  <c r="DK46" i="2"/>
  <c r="FH46" i="2"/>
  <c r="DB46" i="2"/>
  <c r="CQ46" i="2"/>
  <c r="DW46" i="2"/>
  <c r="BU46" i="2"/>
  <c r="EF45" i="2"/>
  <c r="FA45" i="2"/>
  <c r="E45" i="2"/>
  <c r="EL45" i="2"/>
  <c r="AX45" i="2"/>
  <c r="AL45" i="2"/>
  <c r="FQ45" i="2"/>
  <c r="AI45" i="2"/>
  <c r="FX45" i="2"/>
  <c r="CI45" i="2"/>
  <c r="DE45" i="2"/>
  <c r="CH45" i="2"/>
  <c r="FJ47" i="2"/>
  <c r="CB45" i="2"/>
  <c r="GG45" i="2"/>
  <c r="FA47" i="2"/>
  <c r="AY47" i="2"/>
  <c r="CX47" i="2"/>
  <c r="L47" i="2"/>
  <c r="FU47" i="2"/>
  <c r="EW47" i="2"/>
  <c r="BA47" i="2"/>
  <c r="AM47" i="2"/>
  <c r="G47" i="2"/>
  <c r="FW47" i="2"/>
  <c r="GL47" i="2"/>
  <c r="BG47" i="2"/>
  <c r="FS46" i="2"/>
  <c r="GJ46" i="2"/>
  <c r="AY46" i="2"/>
  <c r="AK46" i="2"/>
  <c r="FI46" i="2"/>
  <c r="O46" i="2"/>
  <c r="EB46" i="2"/>
  <c r="E46" i="2"/>
  <c r="AR46" i="2"/>
  <c r="FJ46" i="2"/>
  <c r="FW46" i="2"/>
  <c r="GD46" i="2"/>
  <c r="DQ45" i="2"/>
  <c r="CP45" i="2"/>
  <c r="FM45" i="2"/>
  <c r="AW45" i="2"/>
  <c r="EQ45" i="2"/>
  <c r="G45" i="2"/>
  <c r="BW45" i="2"/>
  <c r="EB45" i="2"/>
  <c r="FI45" i="2"/>
  <c r="AD45" i="2"/>
  <c r="BK45" i="2"/>
  <c r="BB47" i="2"/>
  <c r="CW45" i="2"/>
  <c r="DT45" i="2"/>
  <c r="CU47" i="2"/>
  <c r="AX47" i="2"/>
  <c r="DS47" i="2"/>
  <c r="BJ47" i="2"/>
  <c r="FK47" i="2"/>
  <c r="DG47" i="2"/>
  <c r="Y47" i="2"/>
  <c r="CS47" i="2"/>
  <c r="BT47" i="2"/>
  <c r="AC47" i="2"/>
  <c r="V47" i="2"/>
  <c r="BX47" i="2"/>
  <c r="P46" i="2"/>
  <c r="F46" i="2"/>
  <c r="CF46" i="2"/>
  <c r="I46" i="2"/>
  <c r="BB46" i="2"/>
  <c r="DH46" i="2"/>
  <c r="CH46" i="2"/>
  <c r="DN46" i="2"/>
  <c r="EK46" i="2"/>
  <c r="Y46" i="2"/>
  <c r="CG46" i="2"/>
  <c r="AQ46" i="2"/>
  <c r="EO45" i="2"/>
  <c r="GI45" i="2"/>
  <c r="FO45" i="2"/>
  <c r="CR45" i="2"/>
  <c r="T45" i="2"/>
  <c r="FN45" i="2"/>
  <c r="FD45" i="2"/>
  <c r="ER45" i="2"/>
  <c r="CX45" i="2"/>
  <c r="GH45" i="2"/>
  <c r="AX46" i="2"/>
  <c r="FM46" i="2"/>
  <c r="DD46" i="2"/>
  <c r="GM45" i="2"/>
  <c r="AS45" i="2"/>
  <c r="T47" i="2"/>
  <c r="AS47" i="2"/>
  <c r="AZ47" i="2"/>
  <c r="BC47" i="2"/>
  <c r="EJ47" i="2"/>
  <c r="K47" i="2"/>
  <c r="FQ47" i="2"/>
  <c r="CV47" i="2"/>
  <c r="DQ47" i="2"/>
  <c r="AT47" i="2"/>
  <c r="CI47" i="2"/>
  <c r="DE47" i="2"/>
  <c r="Q46" i="2"/>
  <c r="CP46" i="2"/>
  <c r="FY46" i="2"/>
  <c r="EE46" i="2"/>
  <c r="GA46" i="2"/>
  <c r="DI46" i="2"/>
  <c r="CJ46" i="2"/>
  <c r="DP46" i="2"/>
  <c r="CA46" i="2"/>
  <c r="EH46" i="2"/>
  <c r="BS46" i="2"/>
  <c r="DT46" i="2"/>
  <c r="DR45" i="2"/>
  <c r="AV45" i="2"/>
  <c r="CS45" i="2"/>
  <c r="AH45" i="2"/>
  <c r="BA45" i="2"/>
  <c r="CO45" i="2"/>
  <c r="Q45" i="2"/>
  <c r="DM45" i="2"/>
  <c r="BS45" i="2"/>
  <c r="DD45" i="2"/>
  <c r="EP47" i="2"/>
  <c r="BV46" i="2"/>
  <c r="Z45" i="2"/>
  <c r="AT45" i="2"/>
  <c r="BV47" i="2"/>
  <c r="FF47" i="2"/>
  <c r="CG47" i="2"/>
  <c r="AB47" i="2"/>
  <c r="BP47" i="2"/>
  <c r="FV47" i="2"/>
  <c r="P47" i="2"/>
  <c r="EC47" i="2"/>
  <c r="FN47" i="2"/>
  <c r="CQ47" i="2"/>
  <c r="EV47" i="2"/>
  <c r="DV47" i="2"/>
  <c r="DZ46" i="2"/>
  <c r="FF46" i="2"/>
  <c r="AL46" i="2"/>
  <c r="FP46" i="2"/>
  <c r="BD46" i="2"/>
  <c r="GM46" i="2"/>
  <c r="ER46" i="2"/>
  <c r="CL46" i="2"/>
  <c r="FT46" i="2"/>
  <c r="FQ46" i="2"/>
  <c r="BE46" i="2"/>
  <c r="AT46" i="2"/>
  <c r="BI45" i="2"/>
  <c r="BJ45" i="2"/>
  <c r="FU45" i="2"/>
  <c r="FK45" i="2"/>
  <c r="V45" i="2"/>
  <c r="BG45" i="2"/>
  <c r="CT45" i="2"/>
  <c r="AP45" i="2"/>
  <c r="DW47" i="2"/>
  <c r="FG46" i="2"/>
  <c r="DG45" i="2"/>
  <c r="AH47" i="2"/>
  <c r="FM47" i="2"/>
  <c r="ED47" i="2"/>
  <c r="DY47" i="2"/>
  <c r="CW47" i="2"/>
  <c r="FX47" i="2"/>
  <c r="CF47" i="2"/>
  <c r="FZ47" i="2"/>
  <c r="M47" i="2"/>
  <c r="DX47" i="2"/>
  <c r="AQ47" i="2"/>
  <c r="FS47" i="2"/>
  <c r="AJ46" i="2"/>
  <c r="BP46" i="2"/>
  <c r="FK46" i="2"/>
  <c r="AI46" i="2"/>
  <c r="Z46" i="2"/>
  <c r="CU46" i="2"/>
  <c r="CX46" i="2"/>
  <c r="AB46" i="2"/>
  <c r="FU46" i="2"/>
  <c r="DG46" i="2"/>
  <c r="FN46" i="2"/>
  <c r="FC46" i="2"/>
  <c r="DU45" i="2"/>
  <c r="FH45" i="2"/>
  <c r="EU45" i="2"/>
  <c r="EA45" i="2"/>
  <c r="CO47" i="2"/>
  <c r="Y45" i="2"/>
  <c r="CQ45" i="2"/>
  <c r="AJ47" i="2"/>
  <c r="BI47" i="2"/>
  <c r="H47" i="2"/>
  <c r="BS47" i="2"/>
  <c r="ET47" i="2"/>
  <c r="E47" i="2"/>
  <c r="DM47" i="2"/>
  <c r="BD47" i="2"/>
  <c r="AD47" i="2"/>
  <c r="CC47" i="2"/>
  <c r="BH47" i="2"/>
  <c r="AI47" i="2"/>
  <c r="EC46" i="2"/>
  <c r="V46" i="2"/>
  <c r="AN46" i="2"/>
  <c r="CV46" i="2"/>
  <c r="EI46" i="2"/>
  <c r="DR46" i="2"/>
  <c r="CZ46" i="2"/>
  <c r="DU46" i="2"/>
  <c r="AH46" i="2"/>
  <c r="BN46" i="2"/>
  <c r="AA46" i="2"/>
  <c r="DJ46" i="2"/>
  <c r="EK45" i="2"/>
  <c r="CE45" i="2"/>
  <c r="DV45" i="2"/>
  <c r="D45" i="2"/>
  <c r="EZ45" i="2"/>
  <c r="EN45" i="2"/>
  <c r="CV45" i="2"/>
  <c r="AN45" i="2"/>
  <c r="X47" i="2"/>
  <c r="CM46" i="2"/>
  <c r="EQ141" i="63" l="1"/>
  <c r="EQ159" i="63"/>
  <c r="EU174" i="63"/>
  <c r="ER184" i="63"/>
  <c r="ER206" i="63" s="1"/>
  <c r="ER208" i="63" s="1"/>
  <c r="ER209" i="63" s="1"/>
  <c r="FF88" i="57"/>
  <c r="FF90" i="57" s="1"/>
  <c r="FF106" i="57" s="1"/>
  <c r="FF108" i="57" s="1"/>
  <c r="V20" i="57"/>
  <c r="EU175" i="63" l="1"/>
  <c r="EU133" i="63" s="1"/>
  <c r="ER187" i="63"/>
  <c r="ES181" i="63" s="1"/>
  <c r="ES183" i="63" s="1"/>
  <c r="ER137" i="63"/>
  <c r="ER139" i="63" s="1"/>
  <c r="U23" i="57"/>
  <c r="U25" i="57" s="1"/>
  <c r="V19" i="57"/>
  <c r="V23" i="57" s="1"/>
  <c r="V25" i="57" s="1"/>
  <c r="EU178" i="63" l="1"/>
  <c r="EV172" i="63" s="1"/>
  <c r="EV174" i="63" s="1"/>
  <c r="ER141" i="63"/>
  <c r="ER159" i="63"/>
  <c r="ES184" i="63"/>
  <c r="ES206" i="63" s="1"/>
  <c r="ES208" i="63" s="1"/>
  <c r="ES209" i="63" s="1"/>
  <c r="U39" i="57"/>
  <c r="EV175" i="63" l="1"/>
  <c r="EV178" i="63" s="1"/>
  <c r="EW172" i="63" s="1"/>
  <c r="EW174" i="63" s="1"/>
  <c r="ES187" i="63"/>
  <c r="ET181" i="63" s="1"/>
  <c r="ET183" i="63" s="1"/>
  <c r="ET184" i="63" s="1"/>
  <c r="ET206" i="63" s="1"/>
  <c r="ET208" i="63" s="1"/>
  <c r="ET209" i="63" s="1"/>
  <c r="ES137" i="63"/>
  <c r="ES139" i="63" s="1"/>
  <c r="V39" i="57"/>
  <c r="U35" i="57"/>
  <c r="EW175" i="63" l="1"/>
  <c r="EW178" i="63" s="1"/>
  <c r="EX172" i="63" s="1"/>
  <c r="EX174" i="63" s="1"/>
  <c r="EV133" i="63"/>
  <c r="ES141" i="63"/>
  <c r="ES159" i="63"/>
  <c r="ET137" i="63"/>
  <c r="ET139" i="63" s="1"/>
  <c r="ET187" i="63"/>
  <c r="EU181" i="63" s="1"/>
  <c r="V41" i="57"/>
  <c r="D106" i="57"/>
  <c r="D94" i="57"/>
  <c r="V35" i="57"/>
  <c r="EX175" i="63" l="1"/>
  <c r="EX178" i="63" s="1"/>
  <c r="EY172" i="63" s="1"/>
  <c r="EW133" i="63"/>
  <c r="ET141" i="63"/>
  <c r="ET159" i="63"/>
  <c r="EY174" i="63"/>
  <c r="EU183" i="63"/>
  <c r="EU184" i="63" s="1"/>
  <c r="EU206" i="63" s="1"/>
  <c r="EU208" i="63" s="1"/>
  <c r="EU209" i="63" s="1"/>
  <c r="FF94" i="57"/>
  <c r="FF101" i="57" s="1"/>
  <c r="FF110" i="57" s="1"/>
  <c r="V42" i="57"/>
  <c r="FC94" i="57"/>
  <c r="FC101" i="57" s="1"/>
  <c r="EU94" i="57"/>
  <c r="EU101" i="57" s="1"/>
  <c r="FE94" i="57"/>
  <c r="FE101" i="57" s="1"/>
  <c r="FE110" i="57" s="1"/>
  <c r="EV94" i="57"/>
  <c r="EV101" i="57" s="1"/>
  <c r="EM94" i="57"/>
  <c r="EM101" i="57" s="1"/>
  <c r="EE94" i="57"/>
  <c r="EE101" i="57" s="1"/>
  <c r="DW94" i="57"/>
  <c r="DW101" i="57" s="1"/>
  <c r="DO94" i="57"/>
  <c r="DO101" i="57" s="1"/>
  <c r="DG94" i="57"/>
  <c r="DG101" i="57" s="1"/>
  <c r="CY94" i="57"/>
  <c r="CY101" i="57" s="1"/>
  <c r="CQ94" i="57"/>
  <c r="CQ101" i="57" s="1"/>
  <c r="CI94" i="57"/>
  <c r="CI101" i="57" s="1"/>
  <c r="CA94" i="57"/>
  <c r="CA101" i="57" s="1"/>
  <c r="BS94" i="57"/>
  <c r="BS101" i="57" s="1"/>
  <c r="BK94" i="57"/>
  <c r="BK101" i="57" s="1"/>
  <c r="BC94" i="57"/>
  <c r="BC101" i="57" s="1"/>
  <c r="AU94" i="57"/>
  <c r="AU101" i="57" s="1"/>
  <c r="FD94" i="57"/>
  <c r="FD101" i="57" s="1"/>
  <c r="FD110" i="57" s="1"/>
  <c r="ET94" i="57"/>
  <c r="ET101" i="57" s="1"/>
  <c r="EL94" i="57"/>
  <c r="EL101" i="57" s="1"/>
  <c r="ED94" i="57"/>
  <c r="DV94" i="57"/>
  <c r="DV101" i="57" s="1"/>
  <c r="DN94" i="57"/>
  <c r="DN101" i="57" s="1"/>
  <c r="DF94" i="57"/>
  <c r="CX94" i="57"/>
  <c r="CX101" i="57" s="1"/>
  <c r="CP94" i="57"/>
  <c r="CP101" i="57" s="1"/>
  <c r="CH94" i="57"/>
  <c r="BZ94" i="57"/>
  <c r="BZ101" i="57" s="1"/>
  <c r="BR94" i="57"/>
  <c r="BR101" i="57" s="1"/>
  <c r="BJ94" i="57"/>
  <c r="BB94" i="57"/>
  <c r="BB101" i="57" s="1"/>
  <c r="AT94" i="57"/>
  <c r="AT101" i="57" s="1"/>
  <c r="AL94" i="57"/>
  <c r="AD94" i="57"/>
  <c r="AD101" i="57" s="1"/>
  <c r="V94" i="57"/>
  <c r="V101" i="57" s="1"/>
  <c r="N94" i="57"/>
  <c r="FA94" i="57"/>
  <c r="FA101" i="57" s="1"/>
  <c r="EB94" i="57"/>
  <c r="EB101" i="57" s="1"/>
  <c r="DT94" i="57"/>
  <c r="DT101" i="57" s="1"/>
  <c r="FB94" i="57"/>
  <c r="ES94" i="57"/>
  <c r="ES101" i="57" s="1"/>
  <c r="EK94" i="57"/>
  <c r="EK101" i="57" s="1"/>
  <c r="EC94" i="57"/>
  <c r="EC101" i="57" s="1"/>
  <c r="DU94" i="57"/>
  <c r="DU101" i="57" s="1"/>
  <c r="DM94" i="57"/>
  <c r="DM101" i="57" s="1"/>
  <c r="DE94" i="57"/>
  <c r="DE101" i="57" s="1"/>
  <c r="CW94" i="57"/>
  <c r="CW101" i="57" s="1"/>
  <c r="CO94" i="57"/>
  <c r="CO101" i="57" s="1"/>
  <c r="CG94" i="57"/>
  <c r="CG101" i="57" s="1"/>
  <c r="BY94" i="57"/>
  <c r="BY101" i="57" s="1"/>
  <c r="BQ94" i="57"/>
  <c r="BQ101" i="57" s="1"/>
  <c r="BI94" i="57"/>
  <c r="BI101" i="57" s="1"/>
  <c r="BA94" i="57"/>
  <c r="BA101" i="57" s="1"/>
  <c r="AS94" i="57"/>
  <c r="AS101" i="57" s="1"/>
  <c r="AK94" i="57"/>
  <c r="AK101" i="57" s="1"/>
  <c r="AC94" i="57"/>
  <c r="AC101" i="57" s="1"/>
  <c r="U94" i="57"/>
  <c r="U101" i="57" s="1"/>
  <c r="M94" i="57"/>
  <c r="M101" i="57" s="1"/>
  <c r="EJ94" i="57"/>
  <c r="EJ101" i="57" s="1"/>
  <c r="ER94" i="57"/>
  <c r="ER101" i="57" s="1"/>
  <c r="EX94" i="57"/>
  <c r="EX101" i="57" s="1"/>
  <c r="EO94" i="57"/>
  <c r="EO101" i="57" s="1"/>
  <c r="EG94" i="57"/>
  <c r="EG101" i="57" s="1"/>
  <c r="DY94" i="57"/>
  <c r="DY101" i="57" s="1"/>
  <c r="DQ94" i="57"/>
  <c r="DQ101" i="57" s="1"/>
  <c r="DI94" i="57"/>
  <c r="DI101" i="57" s="1"/>
  <c r="DA94" i="57"/>
  <c r="DA101" i="57" s="1"/>
  <c r="CS94" i="57"/>
  <c r="CS101" i="57" s="1"/>
  <c r="CK94" i="57"/>
  <c r="CK101" i="57" s="1"/>
  <c r="CC94" i="57"/>
  <c r="CC101" i="57" s="1"/>
  <c r="BU94" i="57"/>
  <c r="BU101" i="57" s="1"/>
  <c r="BM94" i="57"/>
  <c r="BM101" i="57" s="1"/>
  <c r="BE94" i="57"/>
  <c r="BE101" i="57" s="1"/>
  <c r="AW94" i="57"/>
  <c r="AW101" i="57" s="1"/>
  <c r="AO94" i="57"/>
  <c r="AO101" i="57" s="1"/>
  <c r="AG94" i="57"/>
  <c r="AG101" i="57" s="1"/>
  <c r="Y94" i="57"/>
  <c r="Y101" i="57" s="1"/>
  <c r="Q94" i="57"/>
  <c r="Q101" i="57" s="1"/>
  <c r="I94" i="57"/>
  <c r="I101" i="57" s="1"/>
  <c r="EQ94" i="57"/>
  <c r="EQ101" i="57" s="1"/>
  <c r="DX94" i="57"/>
  <c r="DX101" i="57" s="1"/>
  <c r="DD94" i="57"/>
  <c r="DD101" i="57" s="1"/>
  <c r="CN94" i="57"/>
  <c r="CN101" i="57" s="1"/>
  <c r="BX94" i="57"/>
  <c r="BX101" i="57" s="1"/>
  <c r="BH94" i="57"/>
  <c r="BH101" i="57" s="1"/>
  <c r="AR94" i="57"/>
  <c r="AR101" i="57" s="1"/>
  <c r="AF94" i="57"/>
  <c r="S94" i="57"/>
  <c r="S101" i="57" s="1"/>
  <c r="G94" i="57"/>
  <c r="EP94" i="57"/>
  <c r="DS94" i="57"/>
  <c r="DS101" i="57" s="1"/>
  <c r="DC94" i="57"/>
  <c r="DC101" i="57" s="1"/>
  <c r="CM94" i="57"/>
  <c r="BW94" i="57"/>
  <c r="BW101" i="57" s="1"/>
  <c r="BG94" i="57"/>
  <c r="BG101" i="57" s="1"/>
  <c r="AQ94" i="57"/>
  <c r="AQ101" i="57" s="1"/>
  <c r="AE94" i="57"/>
  <c r="AE101" i="57" s="1"/>
  <c r="R94" i="57"/>
  <c r="R101" i="57" s="1"/>
  <c r="DP94" i="57"/>
  <c r="DP101" i="57" s="1"/>
  <c r="CJ94" i="57"/>
  <c r="CJ101" i="57" s="1"/>
  <c r="BD94" i="57"/>
  <c r="BD101" i="57" s="1"/>
  <c r="AA94" i="57"/>
  <c r="AA101" i="57" s="1"/>
  <c r="AJ94" i="57"/>
  <c r="AJ101" i="57" s="1"/>
  <c r="EY94" i="57"/>
  <c r="EY101" i="57" s="1"/>
  <c r="DJ94" i="57"/>
  <c r="DJ101" i="57" s="1"/>
  <c r="BN94" i="57"/>
  <c r="BN101" i="57" s="1"/>
  <c r="W94" i="57"/>
  <c r="W101" i="57" s="1"/>
  <c r="DZ94" i="57"/>
  <c r="DZ101" i="57" s="1"/>
  <c r="CB94" i="57"/>
  <c r="CB101" i="57" s="1"/>
  <c r="AV94" i="57"/>
  <c r="AV101" i="57" s="1"/>
  <c r="T94" i="57"/>
  <c r="T101" i="57" s="1"/>
  <c r="EN94" i="57"/>
  <c r="EN101" i="57" s="1"/>
  <c r="DR94" i="57"/>
  <c r="DB94" i="57"/>
  <c r="DB101" i="57" s="1"/>
  <c r="CL94" i="57"/>
  <c r="CL101" i="57" s="1"/>
  <c r="BV94" i="57"/>
  <c r="BF94" i="57"/>
  <c r="BF101" i="57" s="1"/>
  <c r="AP94" i="57"/>
  <c r="AP101" i="57" s="1"/>
  <c r="AB94" i="57"/>
  <c r="AB101" i="57" s="1"/>
  <c r="P94" i="57"/>
  <c r="P101" i="57" s="1"/>
  <c r="EI94" i="57"/>
  <c r="EI101" i="57" s="1"/>
  <c r="CZ94" i="57"/>
  <c r="CZ101" i="57" s="1"/>
  <c r="BT94" i="57"/>
  <c r="BT101" i="57" s="1"/>
  <c r="AN94" i="57"/>
  <c r="AN101" i="57" s="1"/>
  <c r="O94" i="57"/>
  <c r="O101" i="57" s="1"/>
  <c r="DK94" i="57"/>
  <c r="DK101" i="57" s="1"/>
  <c r="BO94" i="57"/>
  <c r="BO101" i="57" s="1"/>
  <c r="K94" i="57"/>
  <c r="K101" i="57" s="1"/>
  <c r="EA94" i="57"/>
  <c r="EA101" i="57" s="1"/>
  <c r="CD94" i="57"/>
  <c r="CD101" i="57" s="1"/>
  <c r="AI94" i="57"/>
  <c r="AI101" i="57" s="1"/>
  <c r="EW94" i="57"/>
  <c r="EW101" i="57" s="1"/>
  <c r="CR94" i="57"/>
  <c r="CR101" i="57" s="1"/>
  <c r="BL94" i="57"/>
  <c r="BL101" i="57" s="1"/>
  <c r="AH94" i="57"/>
  <c r="AH101" i="57" s="1"/>
  <c r="H94" i="57"/>
  <c r="H101" i="57" s="1"/>
  <c r="EH94" i="57"/>
  <c r="EH101" i="57" s="1"/>
  <c r="DL94" i="57"/>
  <c r="DL101" i="57" s="1"/>
  <c r="CV94" i="57"/>
  <c r="CV101" i="57" s="1"/>
  <c r="CF94" i="57"/>
  <c r="CF101" i="57" s="1"/>
  <c r="BP94" i="57"/>
  <c r="BP101" i="57" s="1"/>
  <c r="AZ94" i="57"/>
  <c r="AZ101" i="57" s="1"/>
  <c r="AM94" i="57"/>
  <c r="AM101" i="57" s="1"/>
  <c r="Z94" i="57"/>
  <c r="L94" i="57"/>
  <c r="L101" i="57" s="1"/>
  <c r="EZ94" i="57"/>
  <c r="EZ101" i="57" s="1"/>
  <c r="EF94" i="57"/>
  <c r="EF101" i="57" s="1"/>
  <c r="CU94" i="57"/>
  <c r="CU101" i="57" s="1"/>
  <c r="CE94" i="57"/>
  <c r="CE101" i="57" s="1"/>
  <c r="AY94" i="57"/>
  <c r="AY101" i="57" s="1"/>
  <c r="X94" i="57"/>
  <c r="X101" i="57" s="1"/>
  <c r="CT94" i="57"/>
  <c r="AX94" i="57"/>
  <c r="J94" i="57"/>
  <c r="J101" i="57" s="1"/>
  <c r="DH94" i="57"/>
  <c r="DH101" i="57" s="1"/>
  <c r="F90" i="57"/>
  <c r="EY175" i="63" l="1"/>
  <c r="EY133" i="63" s="1"/>
  <c r="EX133" i="63"/>
  <c r="EU137" i="63"/>
  <c r="EU139" i="63" s="1"/>
  <c r="EU187" i="63"/>
  <c r="EV181" i="63" s="1"/>
  <c r="BJ101" i="57"/>
  <c r="FM101" i="57" s="1"/>
  <c r="FM94" i="57"/>
  <c r="ED101" i="57"/>
  <c r="FS101" i="57" s="1"/>
  <c r="FS94" i="57"/>
  <c r="BV101" i="57"/>
  <c r="FN101" i="57" s="1"/>
  <c r="FN94" i="57"/>
  <c r="N101" i="57"/>
  <c r="FI101" i="57" s="1"/>
  <c r="FI94" i="57"/>
  <c r="EP101" i="57"/>
  <c r="FT101" i="57" s="1"/>
  <c r="FT94" i="57"/>
  <c r="DR101" i="57"/>
  <c r="FR101" i="57" s="1"/>
  <c r="FR94" i="57"/>
  <c r="FH94" i="57"/>
  <c r="AL101" i="57"/>
  <c r="FK101" i="57" s="1"/>
  <c r="FK94" i="57"/>
  <c r="CH101" i="57"/>
  <c r="FO101" i="57" s="1"/>
  <c r="FO94" i="57"/>
  <c r="AX101" i="57"/>
  <c r="FL101" i="57" s="1"/>
  <c r="FL94" i="57"/>
  <c r="CT101" i="57"/>
  <c r="FP101" i="57" s="1"/>
  <c r="FP94" i="57"/>
  <c r="Z101" i="57"/>
  <c r="FJ94" i="57"/>
  <c r="FB101" i="57"/>
  <c r="FU101" i="57" s="1"/>
  <c r="FU94" i="57"/>
  <c r="DF101" i="57"/>
  <c r="FQ101" i="57" s="1"/>
  <c r="FQ94" i="57"/>
  <c r="E94" i="57"/>
  <c r="FF111" i="57"/>
  <c r="FF113" i="57"/>
  <c r="FF121" i="57" s="1"/>
  <c r="W28" i="57"/>
  <c r="AF101" i="57"/>
  <c r="CM101" i="57"/>
  <c r="Y28" i="57"/>
  <c r="Z28" i="57" s="1"/>
  <c r="FE113" i="57"/>
  <c r="FE121" i="57" s="1"/>
  <c r="FE123" i="57" s="1"/>
  <c r="FE111" i="57"/>
  <c r="FD113" i="57"/>
  <c r="FD121" i="57" s="1"/>
  <c r="FD123" i="57" s="1"/>
  <c r="FD111" i="57"/>
  <c r="F110" i="57"/>
  <c r="EY178" i="63" l="1"/>
  <c r="EZ172" i="63" s="1"/>
  <c r="EZ174" i="63" s="1"/>
  <c r="EZ175" i="63" s="1"/>
  <c r="EU141" i="63"/>
  <c r="EU159" i="63"/>
  <c r="EV183" i="63"/>
  <c r="EV184" i="63" s="1"/>
  <c r="EV206" i="63" s="1"/>
  <c r="EV208" i="63" s="1"/>
  <c r="EV209" i="63" s="1"/>
  <c r="FJ101" i="57"/>
  <c r="F111" i="57"/>
  <c r="FF123" i="57"/>
  <c r="X28" i="57"/>
  <c r="X35" i="57" s="1"/>
  <c r="W35" i="57"/>
  <c r="F113" i="57"/>
  <c r="EZ133" i="63" l="1"/>
  <c r="EZ178" i="63"/>
  <c r="FA172" i="63"/>
  <c r="FH172" i="63"/>
  <c r="FH178" i="63" s="1"/>
  <c r="FI172" i="63" s="1"/>
  <c r="EV137" i="63"/>
  <c r="EV139" i="63" s="1"/>
  <c r="EV187" i="63"/>
  <c r="EW181" i="63" s="1"/>
  <c r="F121" i="57"/>
  <c r="EV141" i="63" l="1"/>
  <c r="EV159" i="63"/>
  <c r="FA174" i="63"/>
  <c r="EW183" i="63"/>
  <c r="EW184" i="63" s="1"/>
  <c r="EW206" i="63" s="1"/>
  <c r="EW208" i="63" s="1"/>
  <c r="EW209" i="63" s="1"/>
  <c r="F123" i="57"/>
  <c r="F196" i="57"/>
  <c r="F187" i="57"/>
  <c r="U41" i="57"/>
  <c r="U42" i="57" s="1"/>
  <c r="FA175" i="63" l="1"/>
  <c r="FA133" i="63" s="1"/>
  <c r="EW137" i="63"/>
  <c r="EW139" i="63" s="1"/>
  <c r="EW187" i="63"/>
  <c r="EX181" i="63" s="1"/>
  <c r="F160" i="57"/>
  <c r="F156" i="57"/>
  <c r="U43" i="57"/>
  <c r="V45" i="57"/>
  <c r="V48" i="57" s="1"/>
  <c r="U45" i="57"/>
  <c r="U48" i="57" s="1"/>
  <c r="FA178" i="63" l="1"/>
  <c r="FB172" i="63" s="1"/>
  <c r="FB174" i="63" s="1"/>
  <c r="FB175" i="63" s="1"/>
  <c r="FB178" i="63" s="1"/>
  <c r="FC172" i="63" s="1"/>
  <c r="FC174" i="63" s="1"/>
  <c r="FC175" i="63" s="1"/>
  <c r="EW141" i="63"/>
  <c r="EW159" i="63"/>
  <c r="EX183" i="63"/>
  <c r="EX184" i="63" s="1"/>
  <c r="EX206" i="63" s="1"/>
  <c r="EX208" i="63" s="1"/>
  <c r="EX209" i="63" s="1"/>
  <c r="M35" i="57"/>
  <c r="M40" i="57" s="1"/>
  <c r="M41" i="57" s="1"/>
  <c r="FB133" i="63" l="1"/>
  <c r="EX137" i="63"/>
  <c r="EX139" i="63" s="1"/>
  <c r="EX187" i="63"/>
  <c r="EY181" i="63" s="1"/>
  <c r="DV189" i="57"/>
  <c r="EX141" i="63" l="1"/>
  <c r="EX159" i="63"/>
  <c r="FC178" i="63"/>
  <c r="FD172" i="63" s="1"/>
  <c r="FD174" i="63" s="1"/>
  <c r="FD175" i="63" s="1"/>
  <c r="FC133" i="63"/>
  <c r="EY183" i="63"/>
  <c r="EY184" i="63" s="1"/>
  <c r="EY206" i="63" s="1"/>
  <c r="EY208" i="63" s="1"/>
  <c r="EY209" i="63" s="1"/>
  <c r="DV157" i="57"/>
  <c r="FR157" i="57" s="1"/>
  <c r="FR189" i="57"/>
  <c r="AP189" i="57"/>
  <c r="AP159" i="57"/>
  <c r="EY137" i="63" l="1"/>
  <c r="EY139" i="63" s="1"/>
  <c r="EY187" i="63"/>
  <c r="EZ181" i="63" s="1"/>
  <c r="AP157" i="57"/>
  <c r="E17" i="57"/>
  <c r="F17" i="57"/>
  <c r="E18" i="57"/>
  <c r="F18" i="57"/>
  <c r="EY141" i="63" l="1"/>
  <c r="EY159" i="63"/>
  <c r="FD178" i="63"/>
  <c r="FE172" i="63" s="1"/>
  <c r="FE174" i="63" s="1"/>
  <c r="FE175" i="63" s="1"/>
  <c r="FD133" i="63"/>
  <c r="EZ183" i="63"/>
  <c r="EZ184" i="63" s="1"/>
  <c r="EZ206" i="63" s="1"/>
  <c r="EZ208" i="63" s="1"/>
  <c r="EZ209" i="63" s="1"/>
  <c r="F19" i="57"/>
  <c r="D20" i="57"/>
  <c r="D21" i="57"/>
  <c r="EZ137" i="63" l="1"/>
  <c r="EZ139" i="63" s="1"/>
  <c r="EZ187" i="63"/>
  <c r="F139" i="57"/>
  <c r="F138" i="57"/>
  <c r="F21" i="57"/>
  <c r="F20" i="57"/>
  <c r="D23" i="57"/>
  <c r="EZ141" i="63" l="1"/>
  <c r="EZ159" i="63"/>
  <c r="FE178" i="63"/>
  <c r="FF172" i="63" s="1"/>
  <c r="FF174" i="63" s="1"/>
  <c r="FF175" i="63" s="1"/>
  <c r="FE133" i="63"/>
  <c r="FH181" i="63"/>
  <c r="FA181" i="63"/>
  <c r="E138" i="57"/>
  <c r="FH138" i="57"/>
  <c r="E139" i="57"/>
  <c r="FH139" i="57"/>
  <c r="F28" i="57"/>
  <c r="F32" i="57" s="1"/>
  <c r="U49" i="57"/>
  <c r="F23" i="57"/>
  <c r="E23" i="57"/>
  <c r="FI174" i="63" l="1"/>
  <c r="FJ174" i="63"/>
  <c r="FK174" i="63"/>
  <c r="FL174" i="63"/>
  <c r="FM174" i="63"/>
  <c r="FN174" i="63"/>
  <c r="E174" i="63"/>
  <c r="FO174" i="63"/>
  <c r="FP174" i="63"/>
  <c r="FQ174" i="63"/>
  <c r="FR174" i="63"/>
  <c r="FS174" i="63"/>
  <c r="FT174" i="63"/>
  <c r="FU174" i="63"/>
  <c r="FA183" i="63"/>
  <c r="FA184" i="63" s="1"/>
  <c r="FA206" i="63" s="1"/>
  <c r="FA208" i="63" s="1"/>
  <c r="FA209" i="63" s="1"/>
  <c r="F179" i="57"/>
  <c r="F31" i="57"/>
  <c r="FE154" i="57" s="1"/>
  <c r="FF178" i="63" l="1"/>
  <c r="FI175" i="63"/>
  <c r="FI178" i="63" s="1"/>
  <c r="FJ172" i="63" s="1"/>
  <c r="FJ175" i="63"/>
  <c r="FK175" i="63"/>
  <c r="FL175" i="63"/>
  <c r="FM175" i="63"/>
  <c r="FN175" i="63"/>
  <c r="FF133" i="63"/>
  <c r="E175" i="63"/>
  <c r="E178" i="63" s="1"/>
  <c r="FO175" i="63"/>
  <c r="FP175" i="63"/>
  <c r="FQ175" i="63"/>
  <c r="FR175" i="63"/>
  <c r="FS175" i="63"/>
  <c r="FT175" i="63"/>
  <c r="FU175" i="63"/>
  <c r="FA137" i="63"/>
  <c r="FA139" i="63" s="1"/>
  <c r="FA187" i="63"/>
  <c r="FB181" i="63" s="1"/>
  <c r="FD154" i="57"/>
  <c r="DK154" i="57"/>
  <c r="BG154" i="57"/>
  <c r="AY154" i="57"/>
  <c r="EP154" i="57"/>
  <c r="EH154" i="57"/>
  <c r="BV154" i="57"/>
  <c r="CD154" i="57"/>
  <c r="DS154" i="57"/>
  <c r="DQ154" i="57"/>
  <c r="DI154" i="57"/>
  <c r="DZ154" i="57"/>
  <c r="AX154" i="57"/>
  <c r="EY154" i="57"/>
  <c r="AH154" i="57"/>
  <c r="T154" i="57"/>
  <c r="CC154" i="57"/>
  <c r="DR154" i="57"/>
  <c r="DJ154" i="57"/>
  <c r="Z154" i="57"/>
  <c r="L154" i="57"/>
  <c r="AQ154" i="57"/>
  <c r="CU154" i="57"/>
  <c r="BU154" i="57"/>
  <c r="CM154" i="57"/>
  <c r="EQ154" i="57"/>
  <c r="S154" i="57"/>
  <c r="BW154" i="57"/>
  <c r="CT154" i="57"/>
  <c r="FP154" i="57" s="1"/>
  <c r="R154" i="57"/>
  <c r="DC154" i="57"/>
  <c r="BF154" i="57"/>
  <c r="AI154" i="57"/>
  <c r="AA154" i="57"/>
  <c r="CE154" i="57"/>
  <c r="DB154" i="57"/>
  <c r="EI154" i="57"/>
  <c r="K154" i="57"/>
  <c r="EA154" i="57"/>
  <c r="BO154" i="57"/>
  <c r="EX154" i="57"/>
  <c r="CL154" i="57"/>
  <c r="EW154" i="57"/>
  <c r="CR154" i="57"/>
  <c r="BE154" i="57"/>
  <c r="AO154" i="57"/>
  <c r="Y154" i="57"/>
  <c r="DY154" i="57"/>
  <c r="I154" i="57"/>
  <c r="EV154" i="57"/>
  <c r="AP154" i="57"/>
  <c r="CK154" i="57"/>
  <c r="EF154" i="57"/>
  <c r="CZ154" i="57"/>
  <c r="AB154" i="57"/>
  <c r="FF154" i="57"/>
  <c r="BN154" i="57"/>
  <c r="EO154" i="57"/>
  <c r="AW154" i="57"/>
  <c r="CB154" i="57"/>
  <c r="BT154" i="57"/>
  <c r="DA154" i="57"/>
  <c r="Q154" i="57"/>
  <c r="BD154" i="57"/>
  <c r="AN154" i="57"/>
  <c r="EG154" i="57"/>
  <c r="BM154" i="57"/>
  <c r="EN154" i="57"/>
  <c r="H154" i="57"/>
  <c r="DX154" i="57"/>
  <c r="FC154" i="57"/>
  <c r="DW154" i="57"/>
  <c r="DG154" i="57"/>
  <c r="CQ154" i="57"/>
  <c r="BL154" i="57"/>
  <c r="CI154" i="57"/>
  <c r="CA154" i="57"/>
  <c r="J154" i="57"/>
  <c r="CS154" i="57"/>
  <c r="AG154" i="57"/>
  <c r="DP154" i="57"/>
  <c r="P154" i="57"/>
  <c r="BS154" i="57"/>
  <c r="EU154" i="57"/>
  <c r="O154" i="57"/>
  <c r="EM154" i="57"/>
  <c r="G154" i="57"/>
  <c r="FB154" i="57"/>
  <c r="FU154" i="57" s="1"/>
  <c r="DH154" i="57"/>
  <c r="AF154" i="57"/>
  <c r="CY154" i="57"/>
  <c r="ED154" i="57"/>
  <c r="CP154" i="57"/>
  <c r="CH154" i="57"/>
  <c r="AE154" i="57"/>
  <c r="BJ154" i="57"/>
  <c r="W154" i="57"/>
  <c r="BB154" i="57"/>
  <c r="AD154" i="57"/>
  <c r="FA154" i="57"/>
  <c r="AU154" i="57"/>
  <c r="DV154" i="57"/>
  <c r="ES154" i="57"/>
  <c r="AM154" i="57"/>
  <c r="CX154" i="57"/>
  <c r="DE154" i="57"/>
  <c r="CW154" i="57"/>
  <c r="BI154" i="57"/>
  <c r="BA154" i="57"/>
  <c r="AV154" i="57"/>
  <c r="EE154" i="57"/>
  <c r="BK154" i="57"/>
  <c r="EL154" i="57"/>
  <c r="AL154" i="57"/>
  <c r="AK154" i="57"/>
  <c r="DF154" i="57"/>
  <c r="N154" i="57"/>
  <c r="FI154" i="57" s="1"/>
  <c r="U154" i="57"/>
  <c r="EZ154" i="57"/>
  <c r="CJ154" i="57"/>
  <c r="X154" i="57"/>
  <c r="DO154" i="57"/>
  <c r="BC154" i="57"/>
  <c r="ET154" i="57"/>
  <c r="BZ154" i="57"/>
  <c r="EC154" i="57"/>
  <c r="EJ154" i="57"/>
  <c r="CO154" i="57"/>
  <c r="EB154" i="57"/>
  <c r="V154" i="57"/>
  <c r="BQ154" i="57"/>
  <c r="DL154" i="57"/>
  <c r="DD154" i="57"/>
  <c r="CF154" i="57"/>
  <c r="DN154" i="57"/>
  <c r="AT154" i="57"/>
  <c r="DU154" i="57"/>
  <c r="AC154" i="57"/>
  <c r="BX154" i="57"/>
  <c r="BP154" i="57"/>
  <c r="BR154" i="57"/>
  <c r="F154" i="57"/>
  <c r="CG154" i="57"/>
  <c r="ER154" i="57"/>
  <c r="BH154" i="57"/>
  <c r="AZ154" i="57"/>
  <c r="DM154" i="57"/>
  <c r="AS154" i="57"/>
  <c r="DT154" i="57"/>
  <c r="AR154" i="57"/>
  <c r="EK154" i="57"/>
  <c r="BY154" i="57"/>
  <c r="M154" i="57"/>
  <c r="CV154" i="57"/>
  <c r="AJ154" i="57"/>
  <c r="CN154" i="57"/>
  <c r="F141" i="57"/>
  <c r="G141" i="57"/>
  <c r="H141" i="57"/>
  <c r="I141" i="57"/>
  <c r="J141" i="57"/>
  <c r="K141" i="57"/>
  <c r="L141" i="57"/>
  <c r="M141" i="57"/>
  <c r="N141" i="57"/>
  <c r="O141" i="57"/>
  <c r="P141" i="57"/>
  <c r="Q141" i="57"/>
  <c r="R141" i="57"/>
  <c r="S141" i="57"/>
  <c r="T141" i="57"/>
  <c r="U141" i="57"/>
  <c r="V141" i="57"/>
  <c r="W141" i="57"/>
  <c r="X141" i="57"/>
  <c r="Y141" i="57"/>
  <c r="Z141" i="57"/>
  <c r="AA141" i="57"/>
  <c r="AB141" i="57"/>
  <c r="AC141" i="57"/>
  <c r="AD141" i="57"/>
  <c r="AE141" i="57"/>
  <c r="AF141" i="57"/>
  <c r="AG141" i="57"/>
  <c r="AH141" i="57"/>
  <c r="AI141" i="57"/>
  <c r="AJ141" i="57"/>
  <c r="AK141" i="57"/>
  <c r="AL141" i="57"/>
  <c r="AM141" i="57"/>
  <c r="AN141" i="57"/>
  <c r="AO141" i="57"/>
  <c r="AP141" i="57"/>
  <c r="AQ141" i="57"/>
  <c r="AR141" i="57"/>
  <c r="AS141" i="57"/>
  <c r="AT141" i="57"/>
  <c r="AU141" i="57"/>
  <c r="AV141" i="57"/>
  <c r="AW141" i="57"/>
  <c r="AX141" i="57"/>
  <c r="AY141" i="57"/>
  <c r="AZ141" i="57"/>
  <c r="BA141" i="57"/>
  <c r="BB141" i="57"/>
  <c r="BC141" i="57"/>
  <c r="BD141" i="57"/>
  <c r="BE141" i="57"/>
  <c r="BF141" i="57"/>
  <c r="BG141" i="57"/>
  <c r="BH141" i="57"/>
  <c r="BI141" i="57"/>
  <c r="BJ141" i="57"/>
  <c r="BK141" i="57"/>
  <c r="BL141" i="57"/>
  <c r="BM141" i="57"/>
  <c r="BN141" i="57"/>
  <c r="BO141" i="57"/>
  <c r="BP141" i="57"/>
  <c r="BQ141" i="57"/>
  <c r="BR141" i="57"/>
  <c r="BS141" i="57"/>
  <c r="BT141" i="57"/>
  <c r="BU141" i="57"/>
  <c r="BV141" i="57"/>
  <c r="BW141" i="57"/>
  <c r="BX141" i="57"/>
  <c r="BY141" i="57"/>
  <c r="BZ141" i="57"/>
  <c r="CA141" i="57"/>
  <c r="CB141" i="57"/>
  <c r="CC141" i="57"/>
  <c r="CD141" i="57"/>
  <c r="CE141" i="57"/>
  <c r="CF141" i="57"/>
  <c r="CG141" i="57"/>
  <c r="CH141" i="57"/>
  <c r="CI141" i="57"/>
  <c r="CJ141" i="57"/>
  <c r="CK141" i="57"/>
  <c r="CL141" i="57"/>
  <c r="CM141" i="57"/>
  <c r="CN141" i="57"/>
  <c r="CO141" i="57"/>
  <c r="CP141" i="57"/>
  <c r="CQ141" i="57"/>
  <c r="CR141" i="57"/>
  <c r="CS141" i="57"/>
  <c r="CT141" i="57"/>
  <c r="FP141" i="57" s="1"/>
  <c r="CU141" i="57"/>
  <c r="CV141" i="57"/>
  <c r="CW141" i="57"/>
  <c r="CX141" i="57"/>
  <c r="CY141" i="57"/>
  <c r="CZ141" i="57"/>
  <c r="DA141" i="57"/>
  <c r="DB141" i="57"/>
  <c r="DC141" i="57"/>
  <c r="DD141" i="57"/>
  <c r="DE141" i="57"/>
  <c r="DF141" i="57"/>
  <c r="FQ141" i="57" s="1"/>
  <c r="DG141" i="57"/>
  <c r="DH141" i="57"/>
  <c r="DI141" i="57"/>
  <c r="DJ141" i="57"/>
  <c r="DK141" i="57"/>
  <c r="DL141" i="57"/>
  <c r="DM141" i="57"/>
  <c r="DN141" i="57"/>
  <c r="DO141" i="57"/>
  <c r="DP141" i="57"/>
  <c r="DQ141" i="57"/>
  <c r="DR141" i="57"/>
  <c r="FR141" i="57" s="1"/>
  <c r="DS141" i="57"/>
  <c r="DT141" i="57"/>
  <c r="DU141" i="57"/>
  <c r="DV141" i="57"/>
  <c r="DW141" i="57"/>
  <c r="DX141" i="57"/>
  <c r="DY141" i="57"/>
  <c r="DZ141" i="57"/>
  <c r="EA141" i="57"/>
  <c r="EB141" i="57"/>
  <c r="EC141" i="57"/>
  <c r="ED141" i="57"/>
  <c r="FS141" i="57" s="1"/>
  <c r="EE141" i="57"/>
  <c r="EF141" i="57"/>
  <c r="EG141" i="57"/>
  <c r="EH141" i="57"/>
  <c r="EI141" i="57"/>
  <c r="EJ141" i="57"/>
  <c r="EK141" i="57"/>
  <c r="EL141" i="57"/>
  <c r="EM141" i="57"/>
  <c r="EN141" i="57"/>
  <c r="EO141" i="57"/>
  <c r="EP141" i="57"/>
  <c r="FT141" i="57" s="1"/>
  <c r="EQ141" i="57"/>
  <c r="ER141" i="57"/>
  <c r="ES141" i="57"/>
  <c r="ET141" i="57"/>
  <c r="EU141" i="57"/>
  <c r="EV141" i="57"/>
  <c r="EW141" i="57"/>
  <c r="EX141" i="57"/>
  <c r="EY141" i="57"/>
  <c r="EZ141" i="57"/>
  <c r="FA141" i="57"/>
  <c r="FB141" i="57"/>
  <c r="FU141" i="57" s="1"/>
  <c r="FC141" i="57"/>
  <c r="FA141" i="63" l="1"/>
  <c r="FA159" i="63"/>
  <c r="FJ178" i="63"/>
  <c r="FK172" i="63" s="1"/>
  <c r="FK178" i="63" s="1"/>
  <c r="FL172" i="63" s="1"/>
  <c r="FL178" i="63" s="1"/>
  <c r="FM172" i="63" s="1"/>
  <c r="FM178" i="63" s="1"/>
  <c r="FN172" i="63" s="1"/>
  <c r="FN178" i="63" s="1"/>
  <c r="FO172" i="63" s="1"/>
  <c r="FO178" i="63" s="1"/>
  <c r="FP172" i="63" s="1"/>
  <c r="FP178" i="63" s="1"/>
  <c r="FQ172" i="63" s="1"/>
  <c r="FQ178" i="63" s="1"/>
  <c r="FR172" i="63" s="1"/>
  <c r="FR178" i="63" s="1"/>
  <c r="FS172" i="63" s="1"/>
  <c r="FS178" i="63" s="1"/>
  <c r="FT172" i="63" s="1"/>
  <c r="FT178" i="63" s="1"/>
  <c r="FU172" i="63" s="1"/>
  <c r="FU178" i="63" s="1"/>
  <c r="FI133" i="63"/>
  <c r="FJ133" i="63"/>
  <c r="FK133" i="63"/>
  <c r="FL133" i="63"/>
  <c r="FM133" i="63"/>
  <c r="E133" i="63"/>
  <c r="FO133" i="63"/>
  <c r="FP133" i="63"/>
  <c r="FQ133" i="63"/>
  <c r="FR133" i="63"/>
  <c r="FS133" i="63"/>
  <c r="FT133" i="63"/>
  <c r="FU133" i="63"/>
  <c r="FB183" i="63"/>
  <c r="FN154" i="57"/>
  <c r="FM154" i="57"/>
  <c r="FH154" i="57"/>
  <c r="FO154" i="57"/>
  <c r="FT154" i="57"/>
  <c r="FO141" i="57"/>
  <c r="FK141" i="57"/>
  <c r="FH141" i="57"/>
  <c r="FL154" i="57"/>
  <c r="FQ154" i="57"/>
  <c r="FS154" i="57"/>
  <c r="FJ154" i="57"/>
  <c r="FM141" i="57"/>
  <c r="FI141" i="57"/>
  <c r="FK154" i="57"/>
  <c r="FR154" i="57"/>
  <c r="FN141" i="57"/>
  <c r="FL141" i="57"/>
  <c r="FJ141" i="57"/>
  <c r="E154" i="57"/>
  <c r="F143" i="57"/>
  <c r="E141" i="57"/>
  <c r="FB184" i="63" l="1"/>
  <c r="FB206" i="63" s="1"/>
  <c r="FB208" i="63" s="1"/>
  <c r="FB209" i="63" s="1"/>
  <c r="F153" i="57"/>
  <c r="AD159" i="57"/>
  <c r="AE159" i="57"/>
  <c r="FB187" i="63" l="1"/>
  <c r="FC181" i="63" s="1"/>
  <c r="FC183" i="63" s="1"/>
  <c r="FB137" i="63"/>
  <c r="FB139" i="63" s="1"/>
  <c r="FJ159" i="57"/>
  <c r="N76" i="57"/>
  <c r="V76" i="57"/>
  <c r="W76" i="57"/>
  <c r="AE76" i="57"/>
  <c r="AT76" i="57"/>
  <c r="AU76" i="57"/>
  <c r="AW76" i="57"/>
  <c r="BB76" i="57"/>
  <c r="BC76" i="57"/>
  <c r="BD76" i="57"/>
  <c r="BJ76" i="57"/>
  <c r="BK76" i="57"/>
  <c r="BM76" i="57"/>
  <c r="BU76" i="57"/>
  <c r="BZ76" i="57"/>
  <c r="CA76" i="57"/>
  <c r="CB76" i="57"/>
  <c r="CH76" i="57"/>
  <c r="CP76" i="57"/>
  <c r="CR76" i="57"/>
  <c r="CS76" i="57"/>
  <c r="CX76" i="57"/>
  <c r="DN76" i="57"/>
  <c r="DV76" i="57"/>
  <c r="ED76" i="57"/>
  <c r="EG76" i="57"/>
  <c r="EL76" i="57"/>
  <c r="EO76" i="57"/>
  <c r="ET76" i="57"/>
  <c r="EW76" i="57"/>
  <c r="FB76" i="57"/>
  <c r="H76" i="57"/>
  <c r="M76" i="57"/>
  <c r="U76" i="57"/>
  <c r="X76" i="57"/>
  <c r="AC76" i="57"/>
  <c r="AK76" i="57"/>
  <c r="AL76" i="57"/>
  <c r="AS76" i="57"/>
  <c r="BA76" i="57"/>
  <c r="BI76" i="57"/>
  <c r="BQ76" i="57"/>
  <c r="BR76" i="57"/>
  <c r="BT76" i="57"/>
  <c r="CG76" i="57"/>
  <c r="CO76" i="57"/>
  <c r="CW76" i="57"/>
  <c r="DE76" i="57"/>
  <c r="DM76" i="57"/>
  <c r="DU76" i="57"/>
  <c r="EC76" i="57"/>
  <c r="EK76" i="57"/>
  <c r="ES76" i="57"/>
  <c r="FA76" i="57"/>
  <c r="I76" i="57"/>
  <c r="O76" i="57"/>
  <c r="AD76" i="57"/>
  <c r="AM76" i="57"/>
  <c r="AN76" i="57"/>
  <c r="AO76" i="57"/>
  <c r="BS76" i="57"/>
  <c r="BY76" i="57"/>
  <c r="DF76" i="57"/>
  <c r="DH76" i="57"/>
  <c r="G79" i="57"/>
  <c r="H79" i="57"/>
  <c r="H82" i="57" s="1"/>
  <c r="H119" i="57"/>
  <c r="FB141" i="63" l="1"/>
  <c r="FB159" i="63"/>
  <c r="FC184" i="63"/>
  <c r="FC206" i="63" s="1"/>
  <c r="FC208" i="63" s="1"/>
  <c r="FC209" i="63" s="1"/>
  <c r="FK76" i="57"/>
  <c r="H84" i="57"/>
  <c r="G82" i="57"/>
  <c r="EV76" i="57"/>
  <c r="CC76" i="57"/>
  <c r="DP76" i="57"/>
  <c r="EF76" i="57"/>
  <c r="DX76" i="57"/>
  <c r="CJ76" i="57"/>
  <c r="AV76" i="57"/>
  <c r="BL76" i="57"/>
  <c r="FM76" i="57" s="1"/>
  <c r="J76" i="57"/>
  <c r="EN76" i="57"/>
  <c r="CZ76" i="57"/>
  <c r="AF76" i="57"/>
  <c r="P76" i="57"/>
  <c r="FI76" i="57" s="1"/>
  <c r="DQ76" i="57"/>
  <c r="BE76" i="57"/>
  <c r="DC76" i="57"/>
  <c r="EI76" i="57"/>
  <c r="K76" i="57"/>
  <c r="BO76" i="57"/>
  <c r="DA76" i="57"/>
  <c r="CK76" i="57"/>
  <c r="FO76" i="57" s="1"/>
  <c r="Y76" i="57"/>
  <c r="DY76" i="57"/>
  <c r="DI76" i="57"/>
  <c r="AG76" i="57"/>
  <c r="DJ76" i="57"/>
  <c r="Z76" i="57"/>
  <c r="BF76" i="57"/>
  <c r="CL76" i="57"/>
  <c r="Q76" i="57"/>
  <c r="EX76" i="57"/>
  <c r="DZ76" i="57"/>
  <c r="DB76" i="57"/>
  <c r="AX76" i="57"/>
  <c r="R76" i="57"/>
  <c r="EH76" i="57"/>
  <c r="BN76" i="57"/>
  <c r="AH76" i="57"/>
  <c r="EP76" i="57"/>
  <c r="DR76" i="57"/>
  <c r="CT76" i="57"/>
  <c r="BV76" i="57"/>
  <c r="AP76" i="57"/>
  <c r="CD76" i="57"/>
  <c r="L76" i="57"/>
  <c r="BG76" i="57"/>
  <c r="BW76" i="57"/>
  <c r="EQ76" i="57"/>
  <c r="DK76" i="57"/>
  <c r="CE76" i="57"/>
  <c r="S76" i="57"/>
  <c r="AA76" i="57"/>
  <c r="EY76" i="57"/>
  <c r="DS76" i="57"/>
  <c r="CM76" i="57"/>
  <c r="AI76" i="57"/>
  <c r="AQ76" i="57"/>
  <c r="EA76" i="57"/>
  <c r="CU76" i="57"/>
  <c r="AY76" i="57"/>
  <c r="EZ76" i="57"/>
  <c r="ER76" i="57"/>
  <c r="EJ76" i="57"/>
  <c r="EB76" i="57"/>
  <c r="DT76" i="57"/>
  <c r="DL76" i="57"/>
  <c r="DD76" i="57"/>
  <c r="CV76" i="57"/>
  <c r="CN76" i="57"/>
  <c r="CF76" i="57"/>
  <c r="BX76" i="57"/>
  <c r="BP76" i="57"/>
  <c r="BH76" i="57"/>
  <c r="AZ76" i="57"/>
  <c r="AR76" i="57"/>
  <c r="AJ76" i="57"/>
  <c r="AB76" i="57"/>
  <c r="T76" i="57"/>
  <c r="FC76" i="57"/>
  <c r="FU76" i="57" s="1"/>
  <c r="EU76" i="57"/>
  <c r="EM76" i="57"/>
  <c r="EE76" i="57"/>
  <c r="FS76" i="57" s="1"/>
  <c r="DW76" i="57"/>
  <c r="DO76" i="57"/>
  <c r="DG76" i="57"/>
  <c r="FQ76" i="57" s="1"/>
  <c r="CQ76" i="57"/>
  <c r="CI76" i="57"/>
  <c r="G119" i="57"/>
  <c r="G101" i="57"/>
  <c r="FC187" i="63" l="1"/>
  <c r="FD181" i="63" s="1"/>
  <c r="FD183" i="63" s="1"/>
  <c r="FC137" i="63"/>
  <c r="FC139" i="63" s="1"/>
  <c r="FJ76" i="57"/>
  <c r="FN76" i="57"/>
  <c r="FL76" i="57"/>
  <c r="FR76" i="57"/>
  <c r="E101" i="57"/>
  <c r="FH101" i="57"/>
  <c r="FT76" i="57"/>
  <c r="H88" i="57"/>
  <c r="H90" i="57" s="1"/>
  <c r="H106" i="57" s="1"/>
  <c r="CY76" i="57"/>
  <c r="FP76" i="57" s="1"/>
  <c r="G76" i="57"/>
  <c r="I79" i="57"/>
  <c r="I119" i="57"/>
  <c r="FC141" i="63" l="1"/>
  <c r="FC159" i="63"/>
  <c r="FD184" i="63"/>
  <c r="FD206" i="63" s="1"/>
  <c r="FD208" i="63" s="1"/>
  <c r="FD209" i="63" s="1"/>
  <c r="E76" i="57"/>
  <c r="FH76" i="57"/>
  <c r="H108" i="57"/>
  <c r="H110" i="57" s="1"/>
  <c r="Y12" i="57"/>
  <c r="G84" i="57"/>
  <c r="I82" i="57"/>
  <c r="J79" i="57"/>
  <c r="J82" i="57" s="1"/>
  <c r="J119" i="57"/>
  <c r="FD187" i="63" l="1"/>
  <c r="FE181" i="63" s="1"/>
  <c r="FE183" i="63" s="1"/>
  <c r="FD137" i="63"/>
  <c r="FD139" i="63" s="1"/>
  <c r="G88" i="57"/>
  <c r="H111" i="57"/>
  <c r="H113" i="57"/>
  <c r="H121" i="57" s="1"/>
  <c r="H143" i="57" s="1"/>
  <c r="H153" i="57" s="1"/>
  <c r="Z12" i="57"/>
  <c r="J84" i="57"/>
  <c r="I84" i="57"/>
  <c r="K79" i="57"/>
  <c r="K82" i="57" s="1"/>
  <c r="K119" i="57"/>
  <c r="FD141" i="63" l="1"/>
  <c r="FD159" i="63"/>
  <c r="FE184" i="63"/>
  <c r="FE206" i="63" s="1"/>
  <c r="FE208" i="63" s="1"/>
  <c r="FE209" i="63" s="1"/>
  <c r="G90" i="57"/>
  <c r="H123" i="57"/>
  <c r="J88" i="57"/>
  <c r="J90" i="57" s="1"/>
  <c r="J106" i="57" s="1"/>
  <c r="I88" i="57"/>
  <c r="I90" i="57" s="1"/>
  <c r="I106" i="57" s="1"/>
  <c r="K84" i="57"/>
  <c r="L79" i="57"/>
  <c r="L119" i="57"/>
  <c r="FE137" i="63" l="1"/>
  <c r="FE139" i="63" s="1"/>
  <c r="FE187" i="63"/>
  <c r="FF181" i="63" s="1"/>
  <c r="G106" i="57"/>
  <c r="I108" i="57"/>
  <c r="I110" i="57" s="1"/>
  <c r="K88" i="57"/>
  <c r="K90" i="57" s="1"/>
  <c r="K106" i="57" s="1"/>
  <c r="J108" i="57"/>
  <c r="J110" i="57" s="1"/>
  <c r="L82" i="57"/>
  <c r="M79" i="57"/>
  <c r="M82" i="57" s="1"/>
  <c r="M119" i="57"/>
  <c r="FE141" i="63" l="1"/>
  <c r="FE159" i="63"/>
  <c r="FF183" i="63"/>
  <c r="G108" i="57"/>
  <c r="J111" i="57"/>
  <c r="J113" i="57"/>
  <c r="J121" i="57" s="1"/>
  <c r="J143" i="57" s="1"/>
  <c r="J153" i="57" s="1"/>
  <c r="K108" i="57"/>
  <c r="K110" i="57" s="1"/>
  <c r="I111" i="57"/>
  <c r="I113" i="57"/>
  <c r="I121" i="57" s="1"/>
  <c r="L84" i="57"/>
  <c r="M84" i="57"/>
  <c r="N79" i="57"/>
  <c r="N119" i="57"/>
  <c r="FH183" i="63" l="1"/>
  <c r="FF184" i="63"/>
  <c r="FF206" i="63" s="1"/>
  <c r="E183" i="63"/>
  <c r="FI183" i="63"/>
  <c r="FJ183" i="63"/>
  <c r="FK183" i="63"/>
  <c r="FL183" i="63"/>
  <c r="FM183" i="63"/>
  <c r="FN183" i="63"/>
  <c r="FO183" i="63"/>
  <c r="FP183" i="63"/>
  <c r="FQ183" i="63"/>
  <c r="FR183" i="63"/>
  <c r="FS183" i="63"/>
  <c r="FT183" i="63"/>
  <c r="FU183" i="63"/>
  <c r="N82" i="57"/>
  <c r="J123" i="57"/>
  <c r="G110" i="57"/>
  <c r="M88" i="57"/>
  <c r="M90" i="57" s="1"/>
  <c r="M106" i="57" s="1"/>
  <c r="K113" i="57"/>
  <c r="K121" i="57" s="1"/>
  <c r="K143" i="57" s="1"/>
  <c r="K153" i="57" s="1"/>
  <c r="K111" i="57"/>
  <c r="I143" i="57"/>
  <c r="I153" i="57" s="1"/>
  <c r="I123" i="57"/>
  <c r="L88" i="57"/>
  <c r="L90" i="57" s="1"/>
  <c r="N84" i="57"/>
  <c r="G111" i="57"/>
  <c r="O79" i="57"/>
  <c r="O82" i="57" s="1"/>
  <c r="O119" i="57"/>
  <c r="FF208" i="63" l="1"/>
  <c r="E206" i="63"/>
  <c r="FF187" i="63"/>
  <c r="FF137" i="63"/>
  <c r="FF139" i="63" s="1"/>
  <c r="FH184" i="63"/>
  <c r="FH187" i="63" s="1"/>
  <c r="FI181" i="63" s="1"/>
  <c r="E184" i="63"/>
  <c r="E187" i="63" s="1"/>
  <c r="FI184" i="63"/>
  <c r="FJ184" i="63"/>
  <c r="FK184" i="63"/>
  <c r="FL184" i="63"/>
  <c r="FM184" i="63"/>
  <c r="FN184" i="63"/>
  <c r="FO184" i="63"/>
  <c r="FP184" i="63"/>
  <c r="FQ184" i="63"/>
  <c r="FR184" i="63"/>
  <c r="FS184" i="63"/>
  <c r="FT184" i="63"/>
  <c r="FU184" i="63"/>
  <c r="G113" i="57"/>
  <c r="N88" i="57"/>
  <c r="K123" i="57"/>
  <c r="M108" i="57"/>
  <c r="M110" i="57" s="1"/>
  <c r="O84" i="57"/>
  <c r="L106" i="57"/>
  <c r="FH106" i="57" s="1"/>
  <c r="G121" i="57"/>
  <c r="P79" i="57"/>
  <c r="P119" i="57"/>
  <c r="FF141" i="63" l="1"/>
  <c r="FF159" i="63"/>
  <c r="E159" i="63" s="1"/>
  <c r="E208" i="63"/>
  <c r="FF209" i="63"/>
  <c r="E209" i="63" s="1"/>
  <c r="E141" i="63"/>
  <c r="FI187" i="63"/>
  <c r="FJ181" i="63" s="1"/>
  <c r="FJ187" i="63" s="1"/>
  <c r="FK181" i="63" s="1"/>
  <c r="FK187" i="63" s="1"/>
  <c r="FL181" i="63" s="1"/>
  <c r="FL187" i="63" s="1"/>
  <c r="FM181" i="63" s="1"/>
  <c r="FM187" i="63" s="1"/>
  <c r="FN181" i="63" s="1"/>
  <c r="FN187" i="63" s="1"/>
  <c r="FO181" i="63" s="1"/>
  <c r="FO187" i="63" s="1"/>
  <c r="FP181" i="63" s="1"/>
  <c r="FP187" i="63" s="1"/>
  <c r="FQ181" i="63" s="1"/>
  <c r="FQ187" i="63" s="1"/>
  <c r="FR181" i="63" s="1"/>
  <c r="FR187" i="63" s="1"/>
  <c r="FS181" i="63" s="1"/>
  <c r="FS187" i="63" s="1"/>
  <c r="FT181" i="63" s="1"/>
  <c r="FT187" i="63" s="1"/>
  <c r="FU181" i="63" s="1"/>
  <c r="FU187" i="63" s="1"/>
  <c r="FH137" i="63"/>
  <c r="E137" i="63"/>
  <c r="FI137" i="63"/>
  <c r="FJ137" i="63"/>
  <c r="FK137" i="63"/>
  <c r="FL137" i="63"/>
  <c r="FM137" i="63"/>
  <c r="FN137" i="63"/>
  <c r="FO137" i="63"/>
  <c r="FP137" i="63"/>
  <c r="FQ137" i="63"/>
  <c r="FR137" i="63"/>
  <c r="FS137" i="63"/>
  <c r="FT137" i="63"/>
  <c r="FU137" i="63"/>
  <c r="N90" i="57"/>
  <c r="O88" i="57"/>
  <c r="O90" i="57" s="1"/>
  <c r="O106" i="57" s="1"/>
  <c r="M111" i="57"/>
  <c r="M113" i="57"/>
  <c r="M121" i="57" s="1"/>
  <c r="M143" i="57" s="1"/>
  <c r="M153" i="57" s="1"/>
  <c r="L108" i="57"/>
  <c r="FH108" i="57" s="1"/>
  <c r="G123" i="57"/>
  <c r="G143" i="57"/>
  <c r="N106" i="57"/>
  <c r="P82" i="57"/>
  <c r="Q79" i="57"/>
  <c r="Q119" i="57"/>
  <c r="FH139" i="63" l="1"/>
  <c r="E139" i="63"/>
  <c r="FI139" i="63"/>
  <c r="FJ139" i="63"/>
  <c r="FK139" i="63"/>
  <c r="FL139" i="63"/>
  <c r="FM139" i="63"/>
  <c r="FN139" i="63"/>
  <c r="FO139" i="63"/>
  <c r="FP139" i="63"/>
  <c r="FQ139" i="63"/>
  <c r="FR139" i="63"/>
  <c r="FS139" i="63"/>
  <c r="FT139" i="63"/>
  <c r="FU139" i="63"/>
  <c r="Q82" i="57"/>
  <c r="L110" i="57"/>
  <c r="L111" i="57" s="1"/>
  <c r="M123" i="57"/>
  <c r="G153" i="57"/>
  <c r="O108" i="57"/>
  <c r="O110" i="57" s="1"/>
  <c r="N108" i="57"/>
  <c r="Q84" i="57"/>
  <c r="P84" i="57"/>
  <c r="R79" i="57"/>
  <c r="R82" i="57" s="1"/>
  <c r="R119" i="57"/>
  <c r="N110" i="57" l="1"/>
  <c r="L113" i="57"/>
  <c r="L121" i="57"/>
  <c r="N113" i="57"/>
  <c r="N111" i="57"/>
  <c r="O111" i="57"/>
  <c r="O113" i="57"/>
  <c r="O121" i="57" s="1"/>
  <c r="O143" i="57" s="1"/>
  <c r="O153" i="57" s="1"/>
  <c r="P88" i="57"/>
  <c r="Q88" i="57"/>
  <c r="Q90" i="57" s="1"/>
  <c r="Q106" i="57" s="1"/>
  <c r="R84" i="57"/>
  <c r="S79" i="57"/>
  <c r="S119" i="57"/>
  <c r="S82" i="57" l="1"/>
  <c r="N121" i="57"/>
  <c r="P90" i="57"/>
  <c r="O123" i="57"/>
  <c r="L143" i="57"/>
  <c r="L123" i="57"/>
  <c r="N123" i="57"/>
  <c r="Q108" i="57"/>
  <c r="Q110" i="57" s="1"/>
  <c r="Q111" i="57" s="1"/>
  <c r="R88" i="57"/>
  <c r="S84" i="57"/>
  <c r="T79" i="57"/>
  <c r="T82" i="57" s="1"/>
  <c r="T119" i="57"/>
  <c r="P106" i="57" l="1"/>
  <c r="N143" i="57"/>
  <c r="N153" i="57" s="1"/>
  <c r="L153" i="57"/>
  <c r="FH153" i="57" s="1"/>
  <c r="FH143" i="57"/>
  <c r="Q113" i="57"/>
  <c r="Q121" i="57" s="1"/>
  <c r="Q143" i="57" s="1"/>
  <c r="Q153" i="57" s="1"/>
  <c r="S88" i="57"/>
  <c r="R90" i="57"/>
  <c r="R106" i="57" s="1"/>
  <c r="R108" i="57" s="1"/>
  <c r="S90" i="57"/>
  <c r="S106" i="57" s="1"/>
  <c r="T84" i="57"/>
  <c r="U79" i="57"/>
  <c r="U82" i="57" s="1"/>
  <c r="U119" i="57"/>
  <c r="Q123" i="57" l="1"/>
  <c r="P108" i="57"/>
  <c r="T88" i="57"/>
  <c r="T90" i="57" s="1"/>
  <c r="T106" i="57" s="1"/>
  <c r="S108" i="57"/>
  <c r="S110" i="57" s="1"/>
  <c r="R110" i="57"/>
  <c r="U84" i="57"/>
  <c r="V79" i="57"/>
  <c r="V82" i="57" s="1"/>
  <c r="V119" i="57"/>
  <c r="P110" i="57" l="1"/>
  <c r="U88" i="57"/>
  <c r="U90" i="57" s="1"/>
  <c r="U106" i="57" s="1"/>
  <c r="S113" i="57"/>
  <c r="S121" i="57" s="1"/>
  <c r="S111" i="57"/>
  <c r="T108" i="57"/>
  <c r="T110" i="57" s="1"/>
  <c r="S123" i="57"/>
  <c r="V84" i="57"/>
  <c r="R111" i="57"/>
  <c r="R113" i="57"/>
  <c r="W79" i="57"/>
  <c r="W82" i="57" s="1"/>
  <c r="W119" i="57"/>
  <c r="P113" i="57" l="1"/>
  <c r="P111" i="57"/>
  <c r="V88" i="57"/>
  <c r="V90" i="57" s="1"/>
  <c r="V106" i="57" s="1"/>
  <c r="T113" i="57"/>
  <c r="T121" i="57" s="1"/>
  <c r="T123" i="57" s="1"/>
  <c r="T111" i="57"/>
  <c r="U108" i="57"/>
  <c r="U110" i="57" s="1"/>
  <c r="R121" i="57"/>
  <c r="R143" i="57" s="1"/>
  <c r="W84" i="57"/>
  <c r="X79" i="57"/>
  <c r="X82" i="57" s="1"/>
  <c r="X119" i="57"/>
  <c r="P121" i="57" l="1"/>
  <c r="R153" i="57"/>
  <c r="U111" i="57"/>
  <c r="U113" i="57"/>
  <c r="U121" i="57" s="1"/>
  <c r="U123" i="57" s="1"/>
  <c r="V108" i="57"/>
  <c r="V110" i="57" s="1"/>
  <c r="W88" i="57"/>
  <c r="W90" i="57" s="1"/>
  <c r="W106" i="57" s="1"/>
  <c r="R123" i="57"/>
  <c r="S125" i="57"/>
  <c r="S127" i="57" s="1"/>
  <c r="T125" i="57"/>
  <c r="T127" i="57" s="1"/>
  <c r="X84" i="57"/>
  <c r="Y79" i="57"/>
  <c r="Y82" i="57" s="1"/>
  <c r="Y119" i="57"/>
  <c r="U125" i="57" l="1"/>
  <c r="U127" i="57" s="1"/>
  <c r="U128" i="57" s="1"/>
  <c r="P143" i="57"/>
  <c r="P153" i="57" s="1"/>
  <c r="P123" i="57"/>
  <c r="W108" i="57"/>
  <c r="W110" i="57" s="1"/>
  <c r="V111" i="57"/>
  <c r="V113" i="57"/>
  <c r="V121" i="57" s="1"/>
  <c r="V123" i="57" s="1"/>
  <c r="X88" i="57"/>
  <c r="X90" i="57" s="1"/>
  <c r="X106" i="57" s="1"/>
  <c r="T128" i="57"/>
  <c r="T130" i="57"/>
  <c r="S128" i="57"/>
  <c r="S130" i="57"/>
  <c r="Y84" i="57"/>
  <c r="Z79" i="57"/>
  <c r="Z119" i="57"/>
  <c r="U130" i="57" l="1"/>
  <c r="U131" i="57" s="1"/>
  <c r="U143" i="57" s="1"/>
  <c r="U153" i="57" s="1"/>
  <c r="Z82" i="57"/>
  <c r="V125" i="57"/>
  <c r="V127" i="57" s="1"/>
  <c r="V130" i="57" s="1"/>
  <c r="X108" i="57"/>
  <c r="X110" i="57" s="1"/>
  <c r="W111" i="57"/>
  <c r="W113" i="57"/>
  <c r="W121" i="57" s="1"/>
  <c r="W123" i="57" s="1"/>
  <c r="Y88" i="57"/>
  <c r="Y90" i="57" s="1"/>
  <c r="Y106" i="57" s="1"/>
  <c r="S131" i="57"/>
  <c r="S143" i="57" s="1"/>
  <c r="T131" i="57"/>
  <c r="T143" i="57" s="1"/>
  <c r="T153" i="57" s="1"/>
  <c r="Z84" i="57"/>
  <c r="AA79" i="57"/>
  <c r="AA82" i="57" s="1"/>
  <c r="AA119" i="57"/>
  <c r="S153" i="57" l="1"/>
  <c r="V128" i="57"/>
  <c r="W125" i="57"/>
  <c r="W127" i="57" s="1"/>
  <c r="W128" i="57" s="1"/>
  <c r="X111" i="57"/>
  <c r="X113" i="57"/>
  <c r="X121" i="57" s="1"/>
  <c r="X125" i="57" s="1"/>
  <c r="X127" i="57" s="1"/>
  <c r="Y108" i="57"/>
  <c r="Y110" i="57" s="1"/>
  <c r="Z88" i="57"/>
  <c r="V131" i="57"/>
  <c r="V143" i="57" s="1"/>
  <c r="V153" i="57" s="1"/>
  <c r="AA84" i="57"/>
  <c r="AB79" i="57"/>
  <c r="AB82" i="57" s="1"/>
  <c r="AB119" i="57"/>
  <c r="Z90" i="57" l="1"/>
  <c r="W130" i="57"/>
  <c r="W131" i="57" s="1"/>
  <c r="W143" i="57" s="1"/>
  <c r="W153" i="57" s="1"/>
  <c r="X123" i="57"/>
  <c r="AA88" i="57"/>
  <c r="AA90" i="57" s="1"/>
  <c r="AA106" i="57" s="1"/>
  <c r="Y111" i="57"/>
  <c r="Y113" i="57"/>
  <c r="Y121" i="57" s="1"/>
  <c r="Y123" i="57" s="1"/>
  <c r="X128" i="57"/>
  <c r="X130" i="57"/>
  <c r="AB84" i="57"/>
  <c r="AC79" i="57"/>
  <c r="AC82" i="57" s="1"/>
  <c r="AC119" i="57"/>
  <c r="Z106" i="57" l="1"/>
  <c r="AB88" i="57"/>
  <c r="Y125" i="57"/>
  <c r="Y127" i="57" s="1"/>
  <c r="Y128" i="57" s="1"/>
  <c r="AA108" i="57"/>
  <c r="AA110" i="57" s="1"/>
  <c r="X131" i="57"/>
  <c r="X143" i="57" s="1"/>
  <c r="X153" i="57" s="1"/>
  <c r="AC84" i="57"/>
  <c r="AD79" i="57"/>
  <c r="AD119" i="57"/>
  <c r="AB90" i="57" l="1"/>
  <c r="AD82" i="57"/>
  <c r="Z108" i="57"/>
  <c r="AC88" i="57"/>
  <c r="AC90" i="57" s="1"/>
  <c r="AC106" i="57" s="1"/>
  <c r="Y130" i="57"/>
  <c r="Y131" i="57" s="1"/>
  <c r="Y143" i="57" s="1"/>
  <c r="Y153" i="57" s="1"/>
  <c r="AA111" i="57"/>
  <c r="AA113" i="57"/>
  <c r="AA121" i="57" s="1"/>
  <c r="AA123" i="57"/>
  <c r="AD84" i="57"/>
  <c r="AE79" i="57"/>
  <c r="AE82" i="57" s="1"/>
  <c r="AE119" i="57"/>
  <c r="Z110" i="57" l="1"/>
  <c r="AB106" i="57"/>
  <c r="AD88" i="57"/>
  <c r="AC108" i="57"/>
  <c r="AC110" i="57" s="1"/>
  <c r="AD90" i="57"/>
  <c r="AD106" i="57" s="1"/>
  <c r="AD108" i="57" s="1"/>
  <c r="AE84" i="57"/>
  <c r="AF79" i="57"/>
  <c r="AF119" i="57"/>
  <c r="AB108" i="57" l="1"/>
  <c r="Z111" i="57"/>
  <c r="Z113" i="57"/>
  <c r="AC111" i="57"/>
  <c r="AC113" i="57"/>
  <c r="AC121" i="57" s="1"/>
  <c r="AC123" i="57" s="1"/>
  <c r="AF82" i="57"/>
  <c r="AE88" i="57"/>
  <c r="AE90" i="57" s="1"/>
  <c r="AD110" i="57"/>
  <c r="AD111" i="57" s="1"/>
  <c r="AG79" i="57"/>
  <c r="AG82" i="57" s="1"/>
  <c r="AG119" i="57"/>
  <c r="Z121" i="57" l="1"/>
  <c r="AE106" i="57"/>
  <c r="AB110" i="57"/>
  <c r="AF84" i="57"/>
  <c r="AD113" i="57"/>
  <c r="AD121" i="57" s="1"/>
  <c r="AE108" i="57"/>
  <c r="AE110" i="57" s="1"/>
  <c r="AE111" i="57" s="1"/>
  <c r="AG84" i="57"/>
  <c r="AH79" i="57"/>
  <c r="AH119" i="57"/>
  <c r="AB111" i="57" l="1"/>
  <c r="AB113" i="57"/>
  <c r="Z123" i="57"/>
  <c r="Z125" i="57"/>
  <c r="Z127" i="57" s="1"/>
  <c r="AA125" i="57"/>
  <c r="AA127" i="57" s="1"/>
  <c r="AF88" i="57"/>
  <c r="AF90" i="57" s="1"/>
  <c r="AG88" i="57"/>
  <c r="AG90" i="57" s="1"/>
  <c r="AG106" i="57" s="1"/>
  <c r="AD123" i="57"/>
  <c r="AE113" i="57"/>
  <c r="AE121" i="57" s="1"/>
  <c r="AH82" i="57"/>
  <c r="AI79" i="57"/>
  <c r="AI82" i="57" s="1"/>
  <c r="AI119" i="57"/>
  <c r="Z128" i="57" l="1"/>
  <c r="Z130" i="57"/>
  <c r="Z131" i="57" s="1"/>
  <c r="Z143" i="57" s="1"/>
  <c r="Z153" i="57" s="1"/>
  <c r="AB121" i="57"/>
  <c r="AF106" i="57"/>
  <c r="AF108" i="57" s="1"/>
  <c r="AA128" i="57"/>
  <c r="AA130" i="57"/>
  <c r="AA131" i="57" s="1"/>
  <c r="AA143" i="57" s="1"/>
  <c r="AA153" i="57" s="1"/>
  <c r="AE123" i="57"/>
  <c r="AH84" i="57"/>
  <c r="AG108" i="57"/>
  <c r="AG110" i="57" s="1"/>
  <c r="AI84" i="57"/>
  <c r="AJ79" i="57"/>
  <c r="AJ82" i="57" s="1"/>
  <c r="AJ119" i="57"/>
  <c r="AB123" i="57" l="1"/>
  <c r="AC125" i="57"/>
  <c r="AC127" i="57" s="1"/>
  <c r="AB125" i="57"/>
  <c r="AB127" i="57" s="1"/>
  <c r="AD125" i="57"/>
  <c r="AD127" i="57" s="1"/>
  <c r="AF110" i="57"/>
  <c r="AE125" i="57"/>
  <c r="AE127" i="57" s="1"/>
  <c r="AG111" i="57"/>
  <c r="AG113" i="57"/>
  <c r="AG121" i="57" s="1"/>
  <c r="AI88" i="57"/>
  <c r="AI90" i="57" s="1"/>
  <c r="AI106" i="57" s="1"/>
  <c r="AH88" i="57"/>
  <c r="AH90" i="57" s="1"/>
  <c r="AH106" i="57" s="1"/>
  <c r="AJ84" i="57"/>
  <c r="AK79" i="57"/>
  <c r="AK82" i="57" s="1"/>
  <c r="AK119" i="57"/>
  <c r="AF113" i="57" l="1"/>
  <c r="AF111" i="57"/>
  <c r="AD128" i="57"/>
  <c r="AD130" i="57"/>
  <c r="AD131" i="57" s="1"/>
  <c r="AD143" i="57" s="1"/>
  <c r="AD153" i="57" s="1"/>
  <c r="AB128" i="57"/>
  <c r="AB130" i="57"/>
  <c r="AB131" i="57" s="1"/>
  <c r="AB143" i="57" s="1"/>
  <c r="AB153" i="57" s="1"/>
  <c r="AC130" i="57"/>
  <c r="AC131" i="57" s="1"/>
  <c r="AC143" i="57" s="1"/>
  <c r="AC153" i="57" s="1"/>
  <c r="AC128" i="57"/>
  <c r="AE130" i="57"/>
  <c r="AE131" i="57" s="1"/>
  <c r="AE143" i="57" s="1"/>
  <c r="AE153" i="57" s="1"/>
  <c r="AE128" i="57"/>
  <c r="AG123" i="57"/>
  <c r="AH108" i="57"/>
  <c r="AI108" i="57"/>
  <c r="AI110" i="57" s="1"/>
  <c r="AJ88" i="57"/>
  <c r="AJ90" i="57" s="1"/>
  <c r="AJ106" i="57" s="1"/>
  <c r="AK84" i="57"/>
  <c r="AL79" i="57"/>
  <c r="AL119" i="57"/>
  <c r="AH110" i="57" l="1"/>
  <c r="AF121" i="57"/>
  <c r="AJ108" i="57"/>
  <c r="AJ110" i="57" s="1"/>
  <c r="AI111" i="57"/>
  <c r="AI113" i="57"/>
  <c r="AI121" i="57" s="1"/>
  <c r="AI123" i="57" s="1"/>
  <c r="AL82" i="57"/>
  <c r="AK88" i="57"/>
  <c r="AK90" i="57" s="1"/>
  <c r="AK106" i="57" s="1"/>
  <c r="AH113" i="57"/>
  <c r="AH121" i="57" s="1"/>
  <c r="AI125" i="57" s="1"/>
  <c r="AI127" i="57" s="1"/>
  <c r="AH111" i="57"/>
  <c r="AM79" i="57"/>
  <c r="AM82" i="57" s="1"/>
  <c r="AM119" i="57"/>
  <c r="AF125" i="57" l="1"/>
  <c r="AF127" i="57" s="1"/>
  <c r="AF123" i="57"/>
  <c r="AG125" i="57"/>
  <c r="AG127" i="57" s="1"/>
  <c r="FJ110" i="57"/>
  <c r="AL84" i="57"/>
  <c r="AK108" i="57"/>
  <c r="AK110" i="57" s="1"/>
  <c r="AJ111" i="57"/>
  <c r="AJ113" i="57"/>
  <c r="AH125" i="57"/>
  <c r="AH127" i="57" s="1"/>
  <c r="AH123" i="57"/>
  <c r="AI128" i="57"/>
  <c r="AI130" i="57"/>
  <c r="AM84" i="57"/>
  <c r="AN79" i="57"/>
  <c r="AN82" i="57" s="1"/>
  <c r="AN119" i="57"/>
  <c r="AG130" i="57" l="1"/>
  <c r="AG131" i="57" s="1"/>
  <c r="AG143" i="57" s="1"/>
  <c r="AG153" i="57" s="1"/>
  <c r="AG128" i="57"/>
  <c r="AJ121" i="57"/>
  <c r="AJ125" i="57" s="1"/>
  <c r="AJ127" i="57" s="1"/>
  <c r="AJ130" i="57" s="1"/>
  <c r="FJ113" i="57"/>
  <c r="AF128" i="57"/>
  <c r="AF130" i="57"/>
  <c r="AF131" i="57" s="1"/>
  <c r="AF143" i="57" s="1"/>
  <c r="AF153" i="57" s="1"/>
  <c r="AL88" i="57"/>
  <c r="AM88" i="57"/>
  <c r="AM90" i="57" s="1"/>
  <c r="AM106" i="57" s="1"/>
  <c r="AK113" i="57"/>
  <c r="AK121" i="57" s="1"/>
  <c r="AK123" i="57" s="1"/>
  <c r="AK111" i="57"/>
  <c r="AH130" i="57"/>
  <c r="AH131" i="57" s="1"/>
  <c r="AH143" i="57" s="1"/>
  <c r="AH153" i="57" s="1"/>
  <c r="AH128" i="57"/>
  <c r="AI131" i="57"/>
  <c r="AI143" i="57" s="1"/>
  <c r="AI153" i="57" s="1"/>
  <c r="AN84" i="57"/>
  <c r="AO79" i="57"/>
  <c r="AO119" i="57"/>
  <c r="AL90" i="57" l="1"/>
  <c r="AJ123" i="57"/>
  <c r="FJ121" i="57"/>
  <c r="AO82" i="57"/>
  <c r="AN88" i="57"/>
  <c r="AN90" i="57" s="1"/>
  <c r="AN106" i="57" s="1"/>
  <c r="AK125" i="57"/>
  <c r="AK127" i="57" s="1"/>
  <c r="AK128" i="57" s="1"/>
  <c r="AJ128" i="57"/>
  <c r="AM108" i="57"/>
  <c r="AM110" i="57" s="1"/>
  <c r="AJ131" i="57"/>
  <c r="AJ143" i="57" s="1"/>
  <c r="AJ153" i="57" s="1"/>
  <c r="AO84" i="57"/>
  <c r="AP79" i="57"/>
  <c r="AP119" i="57"/>
  <c r="AL106" i="57" l="1"/>
  <c r="AK130" i="57"/>
  <c r="AK131" i="57" s="1"/>
  <c r="AK143" i="57" s="1"/>
  <c r="AK153" i="57" s="1"/>
  <c r="AM111" i="57"/>
  <c r="AM113" i="57"/>
  <c r="AM121" i="57" s="1"/>
  <c r="AN108" i="57"/>
  <c r="AN110" i="57" s="1"/>
  <c r="AP82" i="57"/>
  <c r="AQ79" i="57"/>
  <c r="AQ119" i="57"/>
  <c r="W47" i="57" s="1"/>
  <c r="X47" i="57" s="1"/>
  <c r="AL108" i="57" l="1"/>
  <c r="AO88" i="57"/>
  <c r="AP84" i="57"/>
  <c r="AM123" i="57"/>
  <c r="AN111" i="57"/>
  <c r="AN113" i="57"/>
  <c r="AN121" i="57" s="1"/>
  <c r="AN123" i="57" s="1"/>
  <c r="AQ82" i="57"/>
  <c r="W20" i="57" s="1"/>
  <c r="X20" i="57" s="1"/>
  <c r="W14" i="57"/>
  <c r="AR79" i="57"/>
  <c r="AR82" i="57" s="1"/>
  <c r="AR119" i="57"/>
  <c r="AO90" i="57" l="1"/>
  <c r="AL110" i="57"/>
  <c r="AQ84" i="57"/>
  <c r="W19" i="57" s="1"/>
  <c r="W21" i="57"/>
  <c r="X21" i="57" s="1"/>
  <c r="AP88" i="57"/>
  <c r="AP90" i="57" s="1"/>
  <c r="AP106" i="57" s="1"/>
  <c r="AP108" i="57" s="1"/>
  <c r="AP110" i="57" s="1"/>
  <c r="AP111" i="57" s="1"/>
  <c r="W17" i="57"/>
  <c r="X14" i="57"/>
  <c r="AR84" i="57"/>
  <c r="AS79" i="57"/>
  <c r="AS119" i="57"/>
  <c r="AL113" i="57" l="1"/>
  <c r="AL111" i="57"/>
  <c r="AO106" i="57"/>
  <c r="AQ88" i="57"/>
  <c r="X19" i="57"/>
  <c r="W23" i="57"/>
  <c r="X23" i="57" s="1"/>
  <c r="X17" i="57"/>
  <c r="AR88" i="57"/>
  <c r="AR90" i="57" s="1"/>
  <c r="AR106" i="57" s="1"/>
  <c r="AR108" i="57" s="1"/>
  <c r="AP113" i="57"/>
  <c r="AP121" i="57" s="1"/>
  <c r="AS82" i="57"/>
  <c r="AT79" i="57"/>
  <c r="AT82" i="57" s="1"/>
  <c r="AT119" i="57"/>
  <c r="AO108" i="57" l="1"/>
  <c r="AQ90" i="57"/>
  <c r="AL121" i="57"/>
  <c r="AS84" i="57"/>
  <c r="AS88" i="57" s="1"/>
  <c r="AS90" i="57" s="1"/>
  <c r="AS106" i="57" s="1"/>
  <c r="W25" i="57"/>
  <c r="X25" i="57"/>
  <c r="AP123" i="57"/>
  <c r="AR110" i="57"/>
  <c r="AR111" i="57" s="1"/>
  <c r="AT84" i="57"/>
  <c r="AU79" i="57"/>
  <c r="AU82" i="57" s="1"/>
  <c r="AU119" i="57"/>
  <c r="AQ106" i="57" l="1"/>
  <c r="AL125" i="57"/>
  <c r="AL127" i="57" s="1"/>
  <c r="AL123" i="57"/>
  <c r="AM125" i="57"/>
  <c r="AM127" i="57" s="1"/>
  <c r="AN125" i="57"/>
  <c r="AN127" i="57" s="1"/>
  <c r="AO110" i="57"/>
  <c r="AT88" i="57"/>
  <c r="AS108" i="57"/>
  <c r="AS110" i="57" s="1"/>
  <c r="AR113" i="57"/>
  <c r="AR121" i="57" s="1"/>
  <c r="AU84" i="57"/>
  <c r="AV79" i="57"/>
  <c r="AV82" i="57" s="1"/>
  <c r="AV119" i="57"/>
  <c r="AL128" i="57" l="1"/>
  <c r="AL130" i="57"/>
  <c r="AL131" i="57" s="1"/>
  <c r="AL143" i="57" s="1"/>
  <c r="AL153" i="57" s="1"/>
  <c r="AN130" i="57"/>
  <c r="AN131" i="57" s="1"/>
  <c r="AN143" i="57" s="1"/>
  <c r="AN153" i="57" s="1"/>
  <c r="AN128" i="57"/>
  <c r="AM130" i="57"/>
  <c r="AM131" i="57" s="1"/>
  <c r="AM143" i="57" s="1"/>
  <c r="AM153" i="57" s="1"/>
  <c r="AM128" i="57"/>
  <c r="AO111" i="57"/>
  <c r="AO113" i="57"/>
  <c r="W39" i="57"/>
  <c r="AQ108" i="57"/>
  <c r="AT90" i="57"/>
  <c r="AU88" i="57"/>
  <c r="AU90" i="57" s="1"/>
  <c r="AU106" i="57" s="1"/>
  <c r="AS111" i="57"/>
  <c r="AS113" i="57"/>
  <c r="AS121" i="57" s="1"/>
  <c r="AS123" i="57" s="1"/>
  <c r="AR123" i="57"/>
  <c r="AV84" i="57"/>
  <c r="AW79" i="57"/>
  <c r="AW82" i="57" s="1"/>
  <c r="AW119" i="57"/>
  <c r="AQ110" i="57" l="1"/>
  <c r="AT106" i="57"/>
  <c r="X39" i="57"/>
  <c r="W41" i="57"/>
  <c r="AO121" i="57"/>
  <c r="AV88" i="57"/>
  <c r="AV90" i="57" s="1"/>
  <c r="AV106" i="57" s="1"/>
  <c r="AU108" i="57"/>
  <c r="AU110" i="57" s="1"/>
  <c r="AW84" i="57"/>
  <c r="AX79" i="57"/>
  <c r="AX119" i="57"/>
  <c r="AO123" i="57" l="1"/>
  <c r="AP125" i="57"/>
  <c r="AP127" i="57" s="1"/>
  <c r="AO125" i="57"/>
  <c r="AO127" i="57" s="1"/>
  <c r="AT108" i="57"/>
  <c r="AX82" i="57"/>
  <c r="W42" i="57"/>
  <c r="X41" i="57"/>
  <c r="AQ111" i="57"/>
  <c r="AQ113" i="57"/>
  <c r="AW88" i="57"/>
  <c r="AW90" i="57" s="1"/>
  <c r="AW106" i="57" s="1"/>
  <c r="AU111" i="57"/>
  <c r="AU113" i="57"/>
  <c r="AU121" i="57" s="1"/>
  <c r="AV108" i="57"/>
  <c r="AV110" i="57" s="1"/>
  <c r="AX84" i="57"/>
  <c r="AY79" i="57"/>
  <c r="AY82" i="57" s="1"/>
  <c r="AY119" i="57"/>
  <c r="AT110" i="57" l="1"/>
  <c r="AQ121" i="57"/>
  <c r="X42" i="57"/>
  <c r="W45" i="57"/>
  <c r="W43" i="57"/>
  <c r="AO128" i="57"/>
  <c r="AO130" i="57"/>
  <c r="AO131" i="57" s="1"/>
  <c r="AO143" i="57" s="1"/>
  <c r="AO153" i="57" s="1"/>
  <c r="AP128" i="57"/>
  <c r="AP130" i="57"/>
  <c r="AP131" i="57" s="1"/>
  <c r="AP143" i="57" s="1"/>
  <c r="AP153" i="57" s="1"/>
  <c r="AU123" i="57"/>
  <c r="AV111" i="57"/>
  <c r="AV113" i="57"/>
  <c r="AV121" i="57" s="1"/>
  <c r="AV123" i="57" s="1"/>
  <c r="AW108" i="57"/>
  <c r="AW110" i="57" s="1"/>
  <c r="AX88" i="57"/>
  <c r="AY84" i="57"/>
  <c r="AZ79" i="57"/>
  <c r="AZ119" i="57"/>
  <c r="AX90" i="57" l="1"/>
  <c r="AQ123" i="57"/>
  <c r="AR125" i="57"/>
  <c r="AR127" i="57" s="1"/>
  <c r="AS125" i="57"/>
  <c r="AS127" i="57" s="1"/>
  <c r="AQ125" i="57"/>
  <c r="AZ82" i="57"/>
  <c r="AT111" i="57"/>
  <c r="AT113" i="57"/>
  <c r="FK110" i="57"/>
  <c r="X45" i="57"/>
  <c r="W48" i="57"/>
  <c r="AW111" i="57"/>
  <c r="AW113" i="57"/>
  <c r="AW121" i="57" s="1"/>
  <c r="AW123" i="57" s="1"/>
  <c r="AY88" i="57"/>
  <c r="AY90" i="57" s="1"/>
  <c r="AY106" i="57" s="1"/>
  <c r="AZ84" i="57"/>
  <c r="BA79" i="57"/>
  <c r="BA119" i="57"/>
  <c r="AR130" i="57" l="1"/>
  <c r="AR131" i="57" s="1"/>
  <c r="AR143" i="57" s="1"/>
  <c r="AR153" i="57" s="1"/>
  <c r="AR128" i="57"/>
  <c r="AT121" i="57"/>
  <c r="FK113" i="57"/>
  <c r="AX106" i="57"/>
  <c r="AQ127" i="57"/>
  <c r="F41" i="57"/>
  <c r="W49" i="57"/>
  <c r="X48" i="57"/>
  <c r="AS128" i="57"/>
  <c r="AS130" i="57"/>
  <c r="AS131" i="57" s="1"/>
  <c r="AS143" i="57" s="1"/>
  <c r="AS153" i="57" s="1"/>
  <c r="AW125" i="57"/>
  <c r="AW127" i="57" s="1"/>
  <c r="AW130" i="57" s="1"/>
  <c r="AZ88" i="57"/>
  <c r="AY108" i="57"/>
  <c r="AY110" i="57" s="1"/>
  <c r="BA82" i="57"/>
  <c r="BA84" i="57" s="1"/>
  <c r="BB79" i="57"/>
  <c r="BB119" i="57"/>
  <c r="AX108" i="57" l="1"/>
  <c r="BB82" i="57"/>
  <c r="AT123" i="57"/>
  <c r="AU125" i="57"/>
  <c r="AU127" i="57" s="1"/>
  <c r="AV125" i="57"/>
  <c r="AV127" i="57" s="1"/>
  <c r="FK121" i="57"/>
  <c r="AT125" i="57"/>
  <c r="AT127" i="57" s="1"/>
  <c r="I34" i="57"/>
  <c r="I28" i="57" s="1"/>
  <c r="I35" i="57"/>
  <c r="F43" i="57"/>
  <c r="AZ90" i="57"/>
  <c r="AQ128" i="57"/>
  <c r="AQ130" i="57"/>
  <c r="AQ131" i="57" s="1"/>
  <c r="AQ143" i="57" s="1"/>
  <c r="AQ153" i="57" s="1"/>
  <c r="AW128" i="57"/>
  <c r="AY111" i="57"/>
  <c r="AY113" i="57"/>
  <c r="AY121" i="57" s="1"/>
  <c r="AY123" i="57" s="1"/>
  <c r="AW131" i="57"/>
  <c r="AW143" i="57" s="1"/>
  <c r="AW153" i="57" s="1"/>
  <c r="BB84" i="57"/>
  <c r="BC79" i="57"/>
  <c r="BC82" i="57" s="1"/>
  <c r="BC119" i="57"/>
  <c r="AZ106" i="57" l="1"/>
  <c r="AV130" i="57"/>
  <c r="AV131" i="57" s="1"/>
  <c r="AV143" i="57" s="1"/>
  <c r="AV153" i="57" s="1"/>
  <c r="AV128" i="57"/>
  <c r="G43" i="57"/>
  <c r="F45" i="57"/>
  <c r="AU128" i="57"/>
  <c r="AU130" i="57"/>
  <c r="AU131" i="57" s="1"/>
  <c r="AU143" i="57" s="1"/>
  <c r="AU153" i="57" s="1"/>
  <c r="AQ194" i="57"/>
  <c r="I32" i="57"/>
  <c r="I31" i="57"/>
  <c r="AQ159" i="57" s="1"/>
  <c r="AX110" i="57"/>
  <c r="AT130" i="57"/>
  <c r="AT131" i="57" s="1"/>
  <c r="AT143" i="57" s="1"/>
  <c r="AT153" i="57" s="1"/>
  <c r="AT128" i="57"/>
  <c r="BA88" i="57"/>
  <c r="BB88" i="57"/>
  <c r="BB90" i="57" s="1"/>
  <c r="BB106" i="57" s="1"/>
  <c r="BC84" i="57"/>
  <c r="BD79" i="57"/>
  <c r="BD82" i="57" s="1"/>
  <c r="BD119" i="57"/>
  <c r="F48" i="57" l="1"/>
  <c r="F49" i="57"/>
  <c r="G49" i="57" s="1"/>
  <c r="I36" i="57"/>
  <c r="F51" i="57"/>
  <c r="G51" i="57" s="1"/>
  <c r="F50" i="57"/>
  <c r="G50" i="57" s="1"/>
  <c r="G45" i="57"/>
  <c r="FK194" i="57"/>
  <c r="AQ158" i="57"/>
  <c r="E194" i="57"/>
  <c r="AX111" i="57"/>
  <c r="AX113" i="57"/>
  <c r="E159" i="57"/>
  <c r="FK159" i="57"/>
  <c r="BA90" i="57"/>
  <c r="AZ108" i="57"/>
  <c r="BB108" i="57"/>
  <c r="BB110" i="57" s="1"/>
  <c r="BC88" i="57"/>
  <c r="BD84" i="57"/>
  <c r="BE79" i="57"/>
  <c r="BE82" i="57" s="1"/>
  <c r="BE119" i="57"/>
  <c r="AX121" i="57" l="1"/>
  <c r="BA106" i="57"/>
  <c r="BC90" i="57"/>
  <c r="BC106" i="57" s="1"/>
  <c r="BC108" i="57" s="1"/>
  <c r="BC110" i="57" s="1"/>
  <c r="BC111" i="57" s="1"/>
  <c r="AZ110" i="57"/>
  <c r="FK158" i="57"/>
  <c r="E158" i="57"/>
  <c r="G48" i="57"/>
  <c r="F52" i="57"/>
  <c r="BD88" i="57"/>
  <c r="BD90" i="57" s="1"/>
  <c r="BD106" i="57" s="1"/>
  <c r="BB111" i="57"/>
  <c r="BB113" i="57"/>
  <c r="BB121" i="57" s="1"/>
  <c r="BB123" i="57" s="1"/>
  <c r="BE84" i="57"/>
  <c r="BF79" i="57"/>
  <c r="BF82" i="57" s="1"/>
  <c r="BF119" i="57"/>
  <c r="AZ111" i="57" l="1"/>
  <c r="AZ113" i="57"/>
  <c r="G52" i="57"/>
  <c r="G53" i="57" s="1"/>
  <c r="F53" i="57"/>
  <c r="BA108" i="57"/>
  <c r="AX123" i="57"/>
  <c r="AX125" i="57"/>
  <c r="AX127" i="57" s="1"/>
  <c r="AY125" i="57"/>
  <c r="AY127" i="57" s="1"/>
  <c r="BE88" i="57"/>
  <c r="BE90" i="57" s="1"/>
  <c r="BE106" i="57" s="1"/>
  <c r="BD108" i="57"/>
  <c r="BD110" i="57" s="1"/>
  <c r="BD113" i="57" s="1"/>
  <c r="BD121" i="57" s="1"/>
  <c r="BC113" i="57"/>
  <c r="BC121" i="57" s="1"/>
  <c r="BC123" i="57" s="1"/>
  <c r="BF84" i="57"/>
  <c r="BG79" i="57"/>
  <c r="BG82" i="57" s="1"/>
  <c r="BG119" i="57"/>
  <c r="BA110" i="57" l="1"/>
  <c r="AY130" i="57"/>
  <c r="AY131" i="57" s="1"/>
  <c r="AY143" i="57" s="1"/>
  <c r="AY153" i="57" s="1"/>
  <c r="AY128" i="57"/>
  <c r="AX128" i="57"/>
  <c r="AX130" i="57"/>
  <c r="AX131" i="57" s="1"/>
  <c r="AX143" i="57" s="1"/>
  <c r="AX153" i="57" s="1"/>
  <c r="AZ121" i="57"/>
  <c r="BE108" i="57"/>
  <c r="BE110" i="57" s="1"/>
  <c r="BD111" i="57"/>
  <c r="BF88" i="57"/>
  <c r="BF90" i="57" s="1"/>
  <c r="BF106" i="57" s="1"/>
  <c r="BD123" i="57"/>
  <c r="BG84" i="57"/>
  <c r="BH79" i="57"/>
  <c r="BH82" i="57" s="1"/>
  <c r="BH119" i="57"/>
  <c r="AZ123" i="57" l="1"/>
  <c r="AZ125" i="57"/>
  <c r="AZ127" i="57" s="1"/>
  <c r="BA111" i="57"/>
  <c r="BA113" i="57"/>
  <c r="BG88" i="57"/>
  <c r="BG90" i="57" s="1"/>
  <c r="BG106" i="57" s="1"/>
  <c r="BE111" i="57"/>
  <c r="BE113" i="57"/>
  <c r="BE121" i="57" s="1"/>
  <c r="BE123" i="57" s="1"/>
  <c r="BF108" i="57"/>
  <c r="BF110" i="57" s="1"/>
  <c r="BF113" i="57" s="1"/>
  <c r="BF121" i="57" s="1"/>
  <c r="BH84" i="57"/>
  <c r="BI79" i="57"/>
  <c r="BI82" i="57" s="1"/>
  <c r="BI119" i="57"/>
  <c r="AZ130" i="57" l="1"/>
  <c r="AZ131" i="57" s="1"/>
  <c r="AZ143" i="57" s="1"/>
  <c r="AZ153" i="57" s="1"/>
  <c r="AZ128" i="57"/>
  <c r="BA121" i="57"/>
  <c r="BF125" i="57" s="1"/>
  <c r="BF127" i="57" s="1"/>
  <c r="BF111" i="57"/>
  <c r="BG108" i="57"/>
  <c r="BG110" i="57" s="1"/>
  <c r="BH88" i="57"/>
  <c r="BH90" i="57"/>
  <c r="BH106" i="57" s="1"/>
  <c r="BF123" i="57"/>
  <c r="BI84" i="57"/>
  <c r="BJ79" i="57"/>
  <c r="BJ119" i="57"/>
  <c r="BA123" i="57" l="1"/>
  <c r="BD125" i="57"/>
  <c r="BD127" i="57" s="1"/>
  <c r="BC125" i="57"/>
  <c r="BC127" i="57" s="1"/>
  <c r="BA125" i="57"/>
  <c r="BA127" i="57" s="1"/>
  <c r="BB125" i="57"/>
  <c r="BB127" i="57" s="1"/>
  <c r="BJ82" i="57"/>
  <c r="BE125" i="57"/>
  <c r="BE127" i="57" s="1"/>
  <c r="BE130" i="57" s="1"/>
  <c r="BE131" i="57" s="1"/>
  <c r="BI88" i="57"/>
  <c r="BI90" i="57" s="1"/>
  <c r="BI106" i="57" s="1"/>
  <c r="BG111" i="57"/>
  <c r="BG113" i="57"/>
  <c r="BH108" i="57"/>
  <c r="BH110" i="57" s="1"/>
  <c r="BF128" i="57"/>
  <c r="BF130" i="57"/>
  <c r="BJ84" i="57"/>
  <c r="BK79" i="57"/>
  <c r="BK82" i="57" s="1"/>
  <c r="BK119" i="57"/>
  <c r="BE128" i="57" l="1"/>
  <c r="BG121" i="57"/>
  <c r="BB128" i="57"/>
  <c r="BB130" i="57"/>
  <c r="BB131" i="57" s="1"/>
  <c r="BB143" i="57" s="1"/>
  <c r="BB153" i="57" s="1"/>
  <c r="BA130" i="57"/>
  <c r="BA131" i="57" s="1"/>
  <c r="BA143" i="57" s="1"/>
  <c r="BA153" i="57" s="1"/>
  <c r="BA128" i="57"/>
  <c r="BC128" i="57"/>
  <c r="BC130" i="57"/>
  <c r="BC131" i="57" s="1"/>
  <c r="BC143" i="57" s="1"/>
  <c r="BC153" i="57" s="1"/>
  <c r="BD128" i="57"/>
  <c r="BD130" i="57"/>
  <c r="BD131" i="57" s="1"/>
  <c r="BD143" i="57" s="1"/>
  <c r="BD153" i="57" s="1"/>
  <c r="BE143" i="57"/>
  <c r="BE153" i="57" s="1"/>
  <c r="BG123" i="57"/>
  <c r="BH111" i="57"/>
  <c r="BH113" i="57"/>
  <c r="BH121" i="57" s="1"/>
  <c r="BH123" i="57" s="1"/>
  <c r="BJ88" i="57"/>
  <c r="BI108" i="57"/>
  <c r="BI110" i="57" s="1"/>
  <c r="BI111" i="57" s="1"/>
  <c r="BF131" i="57"/>
  <c r="BF143" i="57" s="1"/>
  <c r="BF153" i="57" s="1"/>
  <c r="BK84" i="57"/>
  <c r="BL79" i="57"/>
  <c r="BL82" i="57" s="1"/>
  <c r="BL119" i="57"/>
  <c r="BJ90" i="57" l="1"/>
  <c r="BG125" i="57"/>
  <c r="BG127" i="57" s="1"/>
  <c r="FL121" i="57"/>
  <c r="BH125" i="57"/>
  <c r="BH127" i="57" s="1"/>
  <c r="BH128" i="57" s="1"/>
  <c r="BK88" i="57"/>
  <c r="BK90" i="57" s="1"/>
  <c r="BK106" i="57" s="1"/>
  <c r="BI113" i="57"/>
  <c r="BI121" i="57" s="1"/>
  <c r="BI123" i="57" s="1"/>
  <c r="BI125" i="57"/>
  <c r="BI127" i="57" s="1"/>
  <c r="BL84" i="57"/>
  <c r="BM79" i="57"/>
  <c r="BM82" i="57" s="1"/>
  <c r="BM119" i="57"/>
  <c r="BG128" i="57" l="1"/>
  <c r="BG130" i="57"/>
  <c r="BG131" i="57" s="1"/>
  <c r="BG143" i="57" s="1"/>
  <c r="BG153" i="57" s="1"/>
  <c r="BJ106" i="57"/>
  <c r="BH130" i="57"/>
  <c r="BH131" i="57" s="1"/>
  <c r="BH143" i="57" s="1"/>
  <c r="BH153" i="57" s="1"/>
  <c r="BL88" i="57"/>
  <c r="BK108" i="57"/>
  <c r="BK110" i="57" s="1"/>
  <c r="BI128" i="57"/>
  <c r="BI130" i="57"/>
  <c r="BM84" i="57"/>
  <c r="BN79" i="57"/>
  <c r="BN82" i="57" s="1"/>
  <c r="BN119" i="57"/>
  <c r="BJ108" i="57" l="1"/>
  <c r="BL90" i="57"/>
  <c r="BM88" i="57"/>
  <c r="BM90" i="57" s="1"/>
  <c r="BM106" i="57" s="1"/>
  <c r="BK111" i="57"/>
  <c r="BK113" i="57"/>
  <c r="BK121" i="57" s="1"/>
  <c r="BI131" i="57"/>
  <c r="BI143" i="57" s="1"/>
  <c r="BN84" i="57"/>
  <c r="BO79" i="57"/>
  <c r="BO82" i="57" s="1"/>
  <c r="BO119" i="57"/>
  <c r="BL106" i="57" l="1"/>
  <c r="BJ110" i="57"/>
  <c r="BI153" i="57"/>
  <c r="FL143" i="57"/>
  <c r="BN88" i="57"/>
  <c r="BK123" i="57"/>
  <c r="BM108" i="57"/>
  <c r="BM110" i="57" s="1"/>
  <c r="BM113" i="57" s="1"/>
  <c r="BM121" i="57" s="1"/>
  <c r="BO84" i="57"/>
  <c r="BP79" i="57"/>
  <c r="BP82" i="57" s="1"/>
  <c r="BP119" i="57"/>
  <c r="BJ111" i="57" l="1"/>
  <c r="BJ113" i="57"/>
  <c r="BN90" i="57"/>
  <c r="BL108" i="57"/>
  <c r="BO88" i="57"/>
  <c r="BM111" i="57"/>
  <c r="BM123" i="57"/>
  <c r="BO90" i="57"/>
  <c r="BO106" i="57" s="1"/>
  <c r="BP84" i="57"/>
  <c r="BQ79" i="57"/>
  <c r="BQ82" i="57" s="1"/>
  <c r="BQ119" i="57"/>
  <c r="BL110" i="57" l="1"/>
  <c r="BN106" i="57"/>
  <c r="BJ121" i="57"/>
  <c r="BP88" i="57"/>
  <c r="BO108" i="57"/>
  <c r="BO110" i="57" s="1"/>
  <c r="BQ84" i="57"/>
  <c r="BR79" i="57"/>
  <c r="BR82" i="57" s="1"/>
  <c r="BR119" i="57"/>
  <c r="BJ125" i="57" l="1"/>
  <c r="BJ127" i="57" s="1"/>
  <c r="BJ123" i="57"/>
  <c r="BK125" i="57"/>
  <c r="BK127" i="57" s="1"/>
  <c r="BN108" i="57"/>
  <c r="BP90" i="57"/>
  <c r="BL111" i="57"/>
  <c r="BL113" i="57"/>
  <c r="BQ88" i="57"/>
  <c r="BQ90" i="57" s="1"/>
  <c r="BQ106" i="57" s="1"/>
  <c r="BO111" i="57"/>
  <c r="BO113" i="57"/>
  <c r="BO121" i="57" s="1"/>
  <c r="BO123" i="57" s="1"/>
  <c r="BR84" i="57"/>
  <c r="BS79" i="57"/>
  <c r="BS82" i="57" s="1"/>
  <c r="BS119" i="57"/>
  <c r="BN110" i="57" l="1"/>
  <c r="BL121" i="57"/>
  <c r="BK128" i="57"/>
  <c r="BK130" i="57"/>
  <c r="BK131" i="57" s="1"/>
  <c r="BK143" i="57" s="1"/>
  <c r="BK153" i="57" s="1"/>
  <c r="BP106" i="57"/>
  <c r="BJ128" i="57"/>
  <c r="BJ130" i="57"/>
  <c r="BJ131" i="57" s="1"/>
  <c r="BJ143" i="57" s="1"/>
  <c r="BJ153" i="57" s="1"/>
  <c r="BQ108" i="57"/>
  <c r="BQ110" i="57" s="1"/>
  <c r="BR88" i="57"/>
  <c r="BR90" i="57" s="1"/>
  <c r="BR106" i="57" s="1"/>
  <c r="BS84" i="57"/>
  <c r="BT79" i="57"/>
  <c r="BT82" i="57" s="1"/>
  <c r="BT119" i="57"/>
  <c r="BL125" i="57" l="1"/>
  <c r="BL127" i="57" s="1"/>
  <c r="BL123" i="57"/>
  <c r="BM125" i="57"/>
  <c r="BM127" i="57" s="1"/>
  <c r="BP108" i="57"/>
  <c r="BN111" i="57"/>
  <c r="BN113" i="57"/>
  <c r="BR108" i="57"/>
  <c r="BR110" i="57" s="1"/>
  <c r="BQ111" i="57"/>
  <c r="BQ113" i="57"/>
  <c r="BQ121" i="57" s="1"/>
  <c r="BQ123" i="57" s="1"/>
  <c r="BS88" i="57"/>
  <c r="BS90" i="57" s="1"/>
  <c r="BS106" i="57" s="1"/>
  <c r="BT84" i="57"/>
  <c r="BU79" i="57"/>
  <c r="BU82" i="57" s="1"/>
  <c r="BU119" i="57"/>
  <c r="BP110" i="57" l="1"/>
  <c r="BM128" i="57"/>
  <c r="BM130" i="57"/>
  <c r="BM131" i="57" s="1"/>
  <c r="BM143" i="57" s="1"/>
  <c r="BM153" i="57" s="1"/>
  <c r="BN121" i="57"/>
  <c r="BL128" i="57"/>
  <c r="BL130" i="57"/>
  <c r="BL131" i="57" s="1"/>
  <c r="BL143" i="57" s="1"/>
  <c r="BL153" i="57" s="1"/>
  <c r="BT88" i="57"/>
  <c r="BT90" i="57" s="1"/>
  <c r="BT106" i="57" s="1"/>
  <c r="BR111" i="57"/>
  <c r="BR113" i="57"/>
  <c r="BR121" i="57" s="1"/>
  <c r="BS108" i="57"/>
  <c r="BS110" i="57" s="1"/>
  <c r="BU84" i="57"/>
  <c r="BV79" i="57"/>
  <c r="BV119" i="57"/>
  <c r="BV82" i="57" l="1"/>
  <c r="BN123" i="57"/>
  <c r="BN125" i="57"/>
  <c r="BN127" i="57" s="1"/>
  <c r="BO125" i="57"/>
  <c r="BO127" i="57" s="1"/>
  <c r="BP111" i="57"/>
  <c r="BP113" i="57"/>
  <c r="BR123" i="57"/>
  <c r="BS113" i="57"/>
  <c r="BS121" i="57" s="1"/>
  <c r="BS123" i="57" s="1"/>
  <c r="BS111" i="57"/>
  <c r="BT108" i="57"/>
  <c r="BT110" i="57" s="1"/>
  <c r="BU88" i="57"/>
  <c r="BU90" i="57" s="1"/>
  <c r="BU106" i="57" s="1"/>
  <c r="BV84" i="57"/>
  <c r="BW79" i="57"/>
  <c r="BW82" i="57" s="1"/>
  <c r="BW119" i="57"/>
  <c r="BO130" i="57" l="1"/>
  <c r="BO131" i="57" s="1"/>
  <c r="BO143" i="57" s="1"/>
  <c r="BO153" i="57" s="1"/>
  <c r="BO128" i="57"/>
  <c r="BN130" i="57"/>
  <c r="BN131" i="57" s="1"/>
  <c r="BN143" i="57" s="1"/>
  <c r="BN153" i="57" s="1"/>
  <c r="BN128" i="57"/>
  <c r="BP121" i="57"/>
  <c r="BS125" i="57" s="1"/>
  <c r="BS127" i="57" s="1"/>
  <c r="BS130" i="57" s="1"/>
  <c r="BU108" i="57"/>
  <c r="BU110" i="57" s="1"/>
  <c r="BT111" i="57"/>
  <c r="BT113" i="57"/>
  <c r="BT121" i="57" s="1"/>
  <c r="BT123" i="57" s="1"/>
  <c r="BV88" i="57"/>
  <c r="BW84" i="57"/>
  <c r="BX79" i="57"/>
  <c r="BX82" i="57" s="1"/>
  <c r="BX119" i="57"/>
  <c r="BV90" i="57" l="1"/>
  <c r="BP125" i="57"/>
  <c r="BP127" i="57" s="1"/>
  <c r="BP123" i="57"/>
  <c r="BQ125" i="57"/>
  <c r="BQ127" i="57" s="1"/>
  <c r="FM121" i="57"/>
  <c r="BR125" i="57"/>
  <c r="BR127" i="57" s="1"/>
  <c r="BS128" i="57"/>
  <c r="BU113" i="57"/>
  <c r="BU121" i="57" s="1"/>
  <c r="BU125" i="57" s="1"/>
  <c r="BU127" i="57" s="1"/>
  <c r="BU111" i="57"/>
  <c r="BT125" i="57"/>
  <c r="BT127" i="57" s="1"/>
  <c r="BT128" i="57" s="1"/>
  <c r="BW88" i="57"/>
  <c r="BW90" i="57" s="1"/>
  <c r="BW106" i="57" s="1"/>
  <c r="BS131" i="57"/>
  <c r="BS143" i="57" s="1"/>
  <c r="BS153" i="57" s="1"/>
  <c r="BX84" i="57"/>
  <c r="BY79" i="57"/>
  <c r="BY82" i="57" s="1"/>
  <c r="BY119" i="57"/>
  <c r="BQ128" i="57" l="1"/>
  <c r="BQ130" i="57"/>
  <c r="BQ131" i="57" s="1"/>
  <c r="BQ143" i="57" s="1"/>
  <c r="BQ153" i="57" s="1"/>
  <c r="BP128" i="57"/>
  <c r="BP130" i="57"/>
  <c r="BP131" i="57" s="1"/>
  <c r="BP143" i="57" s="1"/>
  <c r="BP153" i="57" s="1"/>
  <c r="BV106" i="57"/>
  <c r="BU123" i="57"/>
  <c r="BR128" i="57"/>
  <c r="BR130" i="57"/>
  <c r="BR131" i="57" s="1"/>
  <c r="BR143" i="57" s="1"/>
  <c r="BR153" i="57" s="1"/>
  <c r="BT130" i="57"/>
  <c r="BT131" i="57" s="1"/>
  <c r="BT143" i="57" s="1"/>
  <c r="BT153" i="57" s="1"/>
  <c r="BW108" i="57"/>
  <c r="BW110" i="57" s="1"/>
  <c r="BX88" i="57"/>
  <c r="BX90" i="57" s="1"/>
  <c r="BX106" i="57" s="1"/>
  <c r="BU128" i="57"/>
  <c r="BU130" i="57"/>
  <c r="BY84" i="57"/>
  <c r="BZ79" i="57"/>
  <c r="BZ82" i="57" s="1"/>
  <c r="BZ119" i="57"/>
  <c r="BV108" i="57" l="1"/>
  <c r="BY88" i="57"/>
  <c r="BX108" i="57"/>
  <c r="BX110" i="57" s="1"/>
  <c r="BX113" i="57" s="1"/>
  <c r="BX121" i="57" s="1"/>
  <c r="BW113" i="57"/>
  <c r="BW121" i="57" s="1"/>
  <c r="BW123" i="57" s="1"/>
  <c r="BW111" i="57"/>
  <c r="BU131" i="57"/>
  <c r="BU143" i="57" s="1"/>
  <c r="BU153" i="57" s="1"/>
  <c r="BZ84" i="57"/>
  <c r="CA79" i="57"/>
  <c r="CA82" i="57" s="1"/>
  <c r="CA119" i="57"/>
  <c r="BY90" i="57" l="1"/>
  <c r="BV110" i="57"/>
  <c r="BZ88" i="57"/>
  <c r="BZ90" i="57" s="1"/>
  <c r="BZ106" i="57" s="1"/>
  <c r="BX111" i="57"/>
  <c r="BX123" i="57"/>
  <c r="CA84" i="57"/>
  <c r="CB79" i="57"/>
  <c r="CB82" i="57" s="1"/>
  <c r="CB119" i="57"/>
  <c r="BV111" i="57" l="1"/>
  <c r="BV113" i="57"/>
  <c r="BY106" i="57"/>
  <c r="CA88" i="57"/>
  <c r="BZ108" i="57"/>
  <c r="BZ110" i="57" s="1"/>
  <c r="CB84" i="57"/>
  <c r="CC79" i="57"/>
  <c r="CC82" i="57" s="1"/>
  <c r="CC119" i="57"/>
  <c r="BY108" i="57" l="1"/>
  <c r="BV121" i="57"/>
  <c r="CA90" i="57"/>
  <c r="BZ111" i="57"/>
  <c r="BZ113" i="57"/>
  <c r="BZ121" i="57" s="1"/>
  <c r="CB88" i="57"/>
  <c r="CB90" i="57" s="1"/>
  <c r="CB106" i="57" s="1"/>
  <c r="CC84" i="57"/>
  <c r="CD79" i="57"/>
  <c r="CD82" i="57" s="1"/>
  <c r="CD119" i="57"/>
  <c r="CA106" i="57" l="1"/>
  <c r="BV125" i="57"/>
  <c r="BV127" i="57" s="1"/>
  <c r="BV123" i="57"/>
  <c r="BX125" i="57"/>
  <c r="BX127" i="57" s="1"/>
  <c r="BW125" i="57"/>
  <c r="BW127" i="57" s="1"/>
  <c r="BY110" i="57"/>
  <c r="BZ123" i="57"/>
  <c r="CC88" i="57"/>
  <c r="CC90" i="57" s="1"/>
  <c r="CC106" i="57" s="1"/>
  <c r="CB108" i="57"/>
  <c r="CB110" i="57" s="1"/>
  <c r="CD84" i="57"/>
  <c r="CE79" i="57"/>
  <c r="CE82" i="57" s="1"/>
  <c r="CE119" i="57"/>
  <c r="BW130" i="57" l="1"/>
  <c r="BW131" i="57" s="1"/>
  <c r="BW143" i="57" s="1"/>
  <c r="BW153" i="57" s="1"/>
  <c r="BW128" i="57"/>
  <c r="BX128" i="57"/>
  <c r="BX130" i="57"/>
  <c r="BX131" i="57" s="1"/>
  <c r="BX143" i="57" s="1"/>
  <c r="BX153" i="57" s="1"/>
  <c r="BV128" i="57"/>
  <c r="BV130" i="57"/>
  <c r="BV131" i="57" s="1"/>
  <c r="BV143" i="57" s="1"/>
  <c r="BV153" i="57" s="1"/>
  <c r="BY111" i="57"/>
  <c r="BY113" i="57"/>
  <c r="CA108" i="57"/>
  <c r="CD88" i="57"/>
  <c r="CD90" i="57" s="1"/>
  <c r="CD106" i="57" s="1"/>
  <c r="CB111" i="57"/>
  <c r="CB113" i="57"/>
  <c r="CB121" i="57" s="1"/>
  <c r="CC108" i="57"/>
  <c r="CC110" i="57" s="1"/>
  <c r="CC113" i="57" s="1"/>
  <c r="CC121" i="57" s="1"/>
  <c r="CE84" i="57"/>
  <c r="CF79" i="57"/>
  <c r="CF82" i="57" s="1"/>
  <c r="CF119" i="57"/>
  <c r="BY121" i="57" l="1"/>
  <c r="CA110" i="57"/>
  <c r="CE88" i="57"/>
  <c r="CE90" i="57" s="1"/>
  <c r="CE106" i="57" s="1"/>
  <c r="CB123" i="57"/>
  <c r="CC111" i="57"/>
  <c r="CD108" i="57"/>
  <c r="CD110" i="57" s="1"/>
  <c r="CC123" i="57"/>
  <c r="CF84" i="57"/>
  <c r="CG79" i="57"/>
  <c r="CG82" i="57" s="1"/>
  <c r="CG119" i="57"/>
  <c r="CA111" i="57" l="1"/>
  <c r="CA113" i="57"/>
  <c r="BY125" i="57"/>
  <c r="BY127" i="57" s="1"/>
  <c r="BY123" i="57"/>
  <c r="BZ125" i="57"/>
  <c r="BZ127" i="57" s="1"/>
  <c r="CF88" i="57"/>
  <c r="CF90" i="57" s="1"/>
  <c r="CF106" i="57" s="1"/>
  <c r="CD111" i="57"/>
  <c r="CD113" i="57"/>
  <c r="CD121" i="57" s="1"/>
  <c r="CE108" i="57"/>
  <c r="CG84" i="57"/>
  <c r="CH79" i="57"/>
  <c r="CH119" i="57"/>
  <c r="BZ128" i="57" l="1"/>
  <c r="BZ130" i="57"/>
  <c r="BZ131" i="57" s="1"/>
  <c r="BZ143" i="57" s="1"/>
  <c r="BZ153" i="57" s="1"/>
  <c r="CE110" i="57"/>
  <c r="BY128" i="57"/>
  <c r="BY130" i="57"/>
  <c r="BY131" i="57" s="1"/>
  <c r="BY143" i="57" s="1"/>
  <c r="BY153" i="57" s="1"/>
  <c r="CH82" i="57"/>
  <c r="CA121" i="57"/>
  <c r="CD125" i="57"/>
  <c r="CD127" i="57" s="1"/>
  <c r="CD128" i="57" s="1"/>
  <c r="CG88" i="57"/>
  <c r="CG90" i="57" s="1"/>
  <c r="CG106" i="57" s="1"/>
  <c r="CD123" i="57"/>
  <c r="CE111" i="57"/>
  <c r="CE113" i="57"/>
  <c r="CE121" i="57" s="1"/>
  <c r="CE125" i="57" s="1"/>
  <c r="CE127" i="57" s="1"/>
  <c r="CF108" i="57"/>
  <c r="CF110" i="57" s="1"/>
  <c r="CH84" i="57"/>
  <c r="CI79" i="57"/>
  <c r="CI82" i="57" s="1"/>
  <c r="CI119" i="57"/>
  <c r="CD130" i="57" l="1"/>
  <c r="CD131" i="57" s="1"/>
  <c r="CD143" i="57" s="1"/>
  <c r="CA125" i="57"/>
  <c r="CA127" i="57" s="1"/>
  <c r="CA123" i="57"/>
  <c r="CB125" i="57"/>
  <c r="CB127" i="57" s="1"/>
  <c r="CC125" i="57"/>
  <c r="CC127" i="57" s="1"/>
  <c r="CE123" i="57"/>
  <c r="CH88" i="57"/>
  <c r="CF113" i="57"/>
  <c r="CF111" i="57"/>
  <c r="CG108" i="57"/>
  <c r="CG110" i="57" s="1"/>
  <c r="CE128" i="57"/>
  <c r="CE130" i="57"/>
  <c r="CI84" i="57"/>
  <c r="CJ79" i="57"/>
  <c r="CJ119" i="57"/>
  <c r="CF121" i="57" l="1"/>
  <c r="CH90" i="57"/>
  <c r="CC128" i="57"/>
  <c r="CC130" i="57"/>
  <c r="CC131" i="57" s="1"/>
  <c r="CC143" i="57" s="1"/>
  <c r="CC153" i="57" s="1"/>
  <c r="CB128" i="57"/>
  <c r="CB130" i="57"/>
  <c r="CB131" i="57" s="1"/>
  <c r="CB143" i="57" s="1"/>
  <c r="CB153" i="57" s="1"/>
  <c r="CJ82" i="57"/>
  <c r="CA128" i="57"/>
  <c r="CA130" i="57"/>
  <c r="CA131" i="57" s="1"/>
  <c r="CA143" i="57" s="1"/>
  <c r="CA153" i="57" s="1"/>
  <c r="CD153" i="57"/>
  <c r="CI88" i="57"/>
  <c r="CF125" i="57"/>
  <c r="CF127" i="57" s="1"/>
  <c r="CF130" i="57" s="1"/>
  <c r="CG111" i="57"/>
  <c r="CG113" i="57"/>
  <c r="CG121" i="57" s="1"/>
  <c r="CG125" i="57" s="1"/>
  <c r="CG127" i="57" s="1"/>
  <c r="CE131" i="57"/>
  <c r="CE143" i="57" s="1"/>
  <c r="CE153" i="57" s="1"/>
  <c r="CI90" i="57"/>
  <c r="CI106" i="57" s="1"/>
  <c r="CJ84" i="57"/>
  <c r="CK79" i="57"/>
  <c r="CK82" i="57" s="1"/>
  <c r="CK119" i="57"/>
  <c r="CH106" i="57" l="1"/>
  <c r="CJ88" i="57"/>
  <c r="CF123" i="57"/>
  <c r="FN121" i="57"/>
  <c r="CF128" i="57"/>
  <c r="CG123" i="57"/>
  <c r="CI108" i="57"/>
  <c r="CI110" i="57" s="1"/>
  <c r="CI111" i="57" s="1"/>
  <c r="CF131" i="57"/>
  <c r="CF143" i="57" s="1"/>
  <c r="CF153" i="57" s="1"/>
  <c r="CG128" i="57"/>
  <c r="CG130" i="57"/>
  <c r="CK84" i="57"/>
  <c r="CL79" i="57"/>
  <c r="CL119" i="57"/>
  <c r="CJ90" i="57" l="1"/>
  <c r="CL82" i="57"/>
  <c r="CH108" i="57"/>
  <c r="CK88" i="57"/>
  <c r="CI113" i="57"/>
  <c r="CI121" i="57" s="1"/>
  <c r="CG131" i="57"/>
  <c r="CG143" i="57" s="1"/>
  <c r="CG153" i="57" s="1"/>
  <c r="CI123" i="57"/>
  <c r="CK90" i="57"/>
  <c r="CK106" i="57" s="1"/>
  <c r="CL84" i="57"/>
  <c r="CM79" i="57"/>
  <c r="CM119" i="57"/>
  <c r="CH110" i="57" l="1"/>
  <c r="CJ106" i="57"/>
  <c r="CM82" i="57"/>
  <c r="CK108" i="57"/>
  <c r="CK110" i="57" s="1"/>
  <c r="CL88" i="57"/>
  <c r="CM84" i="57"/>
  <c r="CN79" i="57"/>
  <c r="CN119" i="57"/>
  <c r="CJ108" i="57" l="1"/>
  <c r="CN82" i="57"/>
  <c r="CL90" i="57"/>
  <c r="CH111" i="57"/>
  <c r="CH113" i="57"/>
  <c r="CK113" i="57"/>
  <c r="CK121" i="57" s="1"/>
  <c r="CK123" i="57" s="1"/>
  <c r="CK111" i="57"/>
  <c r="CM88" i="57"/>
  <c r="CM90" i="57" s="1"/>
  <c r="CN84" i="57"/>
  <c r="CO79" i="57"/>
  <c r="CO82" i="57" s="1"/>
  <c r="CO119" i="57"/>
  <c r="CL106" i="57" l="1"/>
  <c r="CH121" i="57"/>
  <c r="CJ110" i="57"/>
  <c r="CN88" i="57"/>
  <c r="CM106" i="57"/>
  <c r="CM108" i="57" s="1"/>
  <c r="CO84" i="57"/>
  <c r="CP79" i="57"/>
  <c r="CP119" i="57"/>
  <c r="CJ111" i="57" l="1"/>
  <c r="CJ113" i="57"/>
  <c r="CH125" i="57"/>
  <c r="CH127" i="57" s="1"/>
  <c r="CH123" i="57"/>
  <c r="CI125" i="57"/>
  <c r="CI127" i="57" s="1"/>
  <c r="CN90" i="57"/>
  <c r="CL108" i="57"/>
  <c r="CP82" i="57"/>
  <c r="CP84" i="57" s="1"/>
  <c r="CO88" i="57"/>
  <c r="CO90" i="57" s="1"/>
  <c r="CO106" i="57" s="1"/>
  <c r="CM110" i="57"/>
  <c r="CQ79" i="57"/>
  <c r="CQ82" i="57" s="1"/>
  <c r="CQ119" i="57"/>
  <c r="CI128" i="57" l="1"/>
  <c r="CI130" i="57"/>
  <c r="CI131" i="57" s="1"/>
  <c r="CI143" i="57" s="1"/>
  <c r="CI153" i="57" s="1"/>
  <c r="CL110" i="57"/>
  <c r="CH128" i="57"/>
  <c r="CH130" i="57"/>
  <c r="CH131" i="57" s="1"/>
  <c r="CH143" i="57" s="1"/>
  <c r="CH153" i="57" s="1"/>
  <c r="CN106" i="57"/>
  <c r="CJ121" i="57"/>
  <c r="CO108" i="57"/>
  <c r="CO110" i="57" s="1"/>
  <c r="CM111" i="57"/>
  <c r="CM113" i="57"/>
  <c r="CM121" i="57" s="1"/>
  <c r="CQ84" i="57"/>
  <c r="CR79" i="57"/>
  <c r="CR119" i="57"/>
  <c r="CL111" i="57" l="1"/>
  <c r="CL113" i="57"/>
  <c r="CN108" i="57"/>
  <c r="CJ123" i="57"/>
  <c r="CK125" i="57"/>
  <c r="CK127" i="57" s="1"/>
  <c r="CJ125" i="57"/>
  <c r="CJ127" i="57" s="1"/>
  <c r="CP88" i="57"/>
  <c r="CP90" i="57" s="1"/>
  <c r="CP106" i="57" s="1"/>
  <c r="CP108" i="57" s="1"/>
  <c r="CP110" i="57" s="1"/>
  <c r="CO111" i="57"/>
  <c r="CO113" i="57"/>
  <c r="CO121" i="57" s="1"/>
  <c r="CO123" i="57" s="1"/>
  <c r="CQ88" i="57"/>
  <c r="CQ90" i="57" s="1"/>
  <c r="CR82" i="57"/>
  <c r="CR84" i="57" s="1"/>
  <c r="CM123" i="57"/>
  <c r="CS79" i="57"/>
  <c r="CS82" i="57" s="1"/>
  <c r="CS119" i="57"/>
  <c r="CN110" i="57" l="1"/>
  <c r="CJ130" i="57"/>
  <c r="CJ131" i="57" s="1"/>
  <c r="CJ143" i="57" s="1"/>
  <c r="CJ153" i="57" s="1"/>
  <c r="CJ128" i="57"/>
  <c r="CL121" i="57"/>
  <c r="CK128" i="57"/>
  <c r="CK130" i="57"/>
  <c r="CK131" i="57" s="1"/>
  <c r="CK143" i="57" s="1"/>
  <c r="CK153" i="57" s="1"/>
  <c r="CP111" i="57"/>
  <c r="CP113" i="57"/>
  <c r="CP121" i="57" s="1"/>
  <c r="CP123" i="57" s="1"/>
  <c r="CQ106" i="57"/>
  <c r="CQ108" i="57" s="1"/>
  <c r="CS84" i="57"/>
  <c r="CT79" i="57"/>
  <c r="CT119" i="57"/>
  <c r="CL123" i="57" l="1"/>
  <c r="CM125" i="57"/>
  <c r="CM127" i="57" s="1"/>
  <c r="CL125" i="57"/>
  <c r="CL127" i="57" s="1"/>
  <c r="CN111" i="57"/>
  <c r="CN113" i="57"/>
  <c r="CR88" i="57"/>
  <c r="CR90" i="57" s="1"/>
  <c r="CR106" i="57" s="1"/>
  <c r="CR108" i="57" s="1"/>
  <c r="CR110" i="57" s="1"/>
  <c r="CR111" i="57" s="1"/>
  <c r="CT82" i="57"/>
  <c r="CS88" i="57"/>
  <c r="CS90" i="57" s="1"/>
  <c r="CS106" i="57" s="1"/>
  <c r="CQ110" i="57"/>
  <c r="CT84" i="57"/>
  <c r="CU79" i="57"/>
  <c r="CU82" i="57" s="1"/>
  <c r="CU119" i="57"/>
  <c r="CL128" i="57" l="1"/>
  <c r="CL130" i="57"/>
  <c r="CL131" i="57" s="1"/>
  <c r="CL143" i="57" s="1"/>
  <c r="CL153" i="57" s="1"/>
  <c r="CM128" i="57"/>
  <c r="CM130" i="57"/>
  <c r="CM131" i="57" s="1"/>
  <c r="CM143" i="57" s="1"/>
  <c r="CM153" i="57" s="1"/>
  <c r="CN121" i="57"/>
  <c r="CS108" i="57"/>
  <c r="CS110" i="57" s="1"/>
  <c r="CR113" i="57"/>
  <c r="CR121" i="57" s="1"/>
  <c r="CR123" i="57" s="1"/>
  <c r="CT88" i="57"/>
  <c r="CQ113" i="57"/>
  <c r="CQ121" i="57" s="1"/>
  <c r="CQ111" i="57"/>
  <c r="CU84" i="57"/>
  <c r="CV79" i="57"/>
  <c r="CV119" i="57"/>
  <c r="CR125" i="57" l="1"/>
  <c r="CR127" i="57" s="1"/>
  <c r="CR128" i="57" s="1"/>
  <c r="CN123" i="57"/>
  <c r="CN125" i="57"/>
  <c r="CN127" i="57" s="1"/>
  <c r="CP125" i="57"/>
  <c r="CP127" i="57" s="1"/>
  <c r="CO125" i="57"/>
  <c r="CO127" i="57" s="1"/>
  <c r="CV82" i="57"/>
  <c r="CT90" i="57"/>
  <c r="CS111" i="57"/>
  <c r="CS113" i="57"/>
  <c r="CS121" i="57" s="1"/>
  <c r="CS125" i="57" s="1"/>
  <c r="CS127" i="57" s="1"/>
  <c r="CU88" i="57"/>
  <c r="CU90" i="57" s="1"/>
  <c r="CU106" i="57" s="1"/>
  <c r="CQ125" i="57"/>
  <c r="CQ127" i="57" s="1"/>
  <c r="CQ123" i="57"/>
  <c r="CV84" i="57"/>
  <c r="CW79" i="57"/>
  <c r="CW82" i="57" s="1"/>
  <c r="CW119" i="57"/>
  <c r="CR130" i="57" l="1"/>
  <c r="CR131" i="57" s="1"/>
  <c r="CR143" i="57" s="1"/>
  <c r="CR153" i="57" s="1"/>
  <c r="CS123" i="57"/>
  <c r="CO128" i="57"/>
  <c r="CO130" i="57"/>
  <c r="CO131" i="57" s="1"/>
  <c r="CO143" i="57" s="1"/>
  <c r="CO153" i="57" s="1"/>
  <c r="CP128" i="57"/>
  <c r="CP130" i="57"/>
  <c r="CP131" i="57" s="1"/>
  <c r="CP143" i="57" s="1"/>
  <c r="CP153" i="57" s="1"/>
  <c r="CT106" i="57"/>
  <c r="CN128" i="57"/>
  <c r="CN130" i="57"/>
  <c r="CN131" i="57" s="1"/>
  <c r="CN143" i="57" s="1"/>
  <c r="CN153" i="57" s="1"/>
  <c r="CU108" i="57"/>
  <c r="CU110" i="57" s="1"/>
  <c r="CV88" i="57"/>
  <c r="CV90" i="57" s="1"/>
  <c r="CV106" i="57" s="1"/>
  <c r="CQ128" i="57"/>
  <c r="CQ130" i="57"/>
  <c r="CQ131" i="57" s="1"/>
  <c r="CQ143" i="57" s="1"/>
  <c r="CQ153" i="57" s="1"/>
  <c r="CS128" i="57"/>
  <c r="CS130" i="57"/>
  <c r="CW84" i="57"/>
  <c r="CX79" i="57"/>
  <c r="CX119" i="57"/>
  <c r="Y47" i="57" s="1"/>
  <c r="Z47" i="57" s="1"/>
  <c r="CT108" i="57" l="1"/>
  <c r="CW88" i="57"/>
  <c r="CV108" i="57"/>
  <c r="CV110" i="57" s="1"/>
  <c r="CU111" i="57"/>
  <c r="CU113" i="57"/>
  <c r="CU121" i="57" s="1"/>
  <c r="CU123" i="57" s="1"/>
  <c r="CX82" i="57"/>
  <c r="Y14" i="57"/>
  <c r="Z14" i="57" s="1"/>
  <c r="CS131" i="57"/>
  <c r="CS143" i="57" s="1"/>
  <c r="CS153" i="57" s="1"/>
  <c r="Y20" i="57" l="1"/>
  <c r="Z20" i="57" s="1"/>
  <c r="CW90" i="57"/>
  <c r="CT110" i="57"/>
  <c r="CX84" i="57"/>
  <c r="Y19" i="57" s="1"/>
  <c r="Z19" i="57" s="1"/>
  <c r="Y21" i="57"/>
  <c r="Z21" i="57" s="1"/>
  <c r="CV113" i="57"/>
  <c r="CV121" i="57" s="1"/>
  <c r="CV123" i="57" s="1"/>
  <c r="CV111" i="57"/>
  <c r="CY119" i="57"/>
  <c r="CZ79" i="57"/>
  <c r="CZ82" i="57" s="1"/>
  <c r="CZ119" i="57"/>
  <c r="CY79" i="57"/>
  <c r="CT111" i="57" l="1"/>
  <c r="CT113" i="57"/>
  <c r="CW106" i="57"/>
  <c r="CX88" i="57"/>
  <c r="CZ84" i="57"/>
  <c r="CY82" i="57"/>
  <c r="Z35" i="57"/>
  <c r="Y35" i="57"/>
  <c r="DA79" i="57"/>
  <c r="DA82" i="57" s="1"/>
  <c r="DA119" i="57"/>
  <c r="CW108" i="57" l="1"/>
  <c r="CT121" i="57"/>
  <c r="CX90" i="57"/>
  <c r="CZ88" i="57"/>
  <c r="CZ90" i="57" s="1"/>
  <c r="CZ106" i="57" s="1"/>
  <c r="DA84" i="57"/>
  <c r="CY84" i="57"/>
  <c r="Y17" i="57"/>
  <c r="DB79" i="57"/>
  <c r="DB82" i="57" s="1"/>
  <c r="DB119" i="57"/>
  <c r="CX106" i="57" l="1"/>
  <c r="CT125" i="57"/>
  <c r="CT127" i="57" s="1"/>
  <c r="CT123" i="57"/>
  <c r="CU125" i="57"/>
  <c r="CU127" i="57" s="1"/>
  <c r="CV125" i="57"/>
  <c r="CV127" i="57" s="1"/>
  <c r="CW110" i="57"/>
  <c r="CZ108" i="57"/>
  <c r="CZ110" i="57" s="1"/>
  <c r="CY88" i="57"/>
  <c r="CY90" i="57" s="1"/>
  <c r="CY106" i="57" s="1"/>
  <c r="DA88" i="57"/>
  <c r="DA90" i="57" s="1"/>
  <c r="DA106" i="57" s="1"/>
  <c r="Z17" i="57"/>
  <c r="DB84" i="57"/>
  <c r="Y23" i="57"/>
  <c r="Y25" i="57" s="1"/>
  <c r="DC79" i="57"/>
  <c r="DC82" i="57" s="1"/>
  <c r="DC119" i="57"/>
  <c r="CU130" i="57" l="1"/>
  <c r="CU131" i="57" s="1"/>
  <c r="CU143" i="57" s="1"/>
  <c r="CU153" i="57" s="1"/>
  <c r="CU128" i="57"/>
  <c r="CT128" i="57"/>
  <c r="CT130" i="57"/>
  <c r="CT131" i="57" s="1"/>
  <c r="CT143" i="57" s="1"/>
  <c r="CT153" i="57" s="1"/>
  <c r="CV128" i="57"/>
  <c r="CV130" i="57"/>
  <c r="CV131" i="57" s="1"/>
  <c r="CV143" i="57" s="1"/>
  <c r="CV153" i="57" s="1"/>
  <c r="CW111" i="57"/>
  <c r="CW113" i="57"/>
  <c r="CX108" i="57"/>
  <c r="Y39" i="57"/>
  <c r="CZ111" i="57"/>
  <c r="CZ113" i="57"/>
  <c r="CZ121" i="57" s="1"/>
  <c r="CZ123" i="57" s="1"/>
  <c r="CY108" i="57"/>
  <c r="CY110" i="57" s="1"/>
  <c r="DB88" i="57"/>
  <c r="DB90" i="57" s="1"/>
  <c r="DB106" i="57" s="1"/>
  <c r="DA108" i="57"/>
  <c r="DA110" i="57" s="1"/>
  <c r="Z23" i="57"/>
  <c r="Z25" i="57" s="1"/>
  <c r="DC84" i="57"/>
  <c r="DD79" i="57"/>
  <c r="DD82" i="57" s="1"/>
  <c r="DD119" i="57"/>
  <c r="CX110" i="57" l="1"/>
  <c r="Z39" i="57"/>
  <c r="Y41" i="57"/>
  <c r="CW121" i="57"/>
  <c r="DC88" i="57"/>
  <c r="DC90" i="57" s="1"/>
  <c r="DC106" i="57" s="1"/>
  <c r="DA113" i="57"/>
  <c r="DA121" i="57" s="1"/>
  <c r="DA123" i="57" s="1"/>
  <c r="DA111" i="57"/>
  <c r="CY111" i="57"/>
  <c r="CY113" i="57"/>
  <c r="CY121" i="57" s="1"/>
  <c r="DB108" i="57"/>
  <c r="DB110" i="57" s="1"/>
  <c r="DD84" i="57"/>
  <c r="DE79" i="57"/>
  <c r="DE82" i="57" s="1"/>
  <c r="DE119" i="57"/>
  <c r="CW125" i="57" l="1"/>
  <c r="CW127" i="57" s="1"/>
  <c r="CW123" i="57"/>
  <c r="Y42" i="57"/>
  <c r="Z41" i="57"/>
  <c r="CX113" i="57"/>
  <c r="CX111" i="57"/>
  <c r="CY123" i="57"/>
  <c r="DD88" i="57"/>
  <c r="DD90" i="57" s="1"/>
  <c r="DD106" i="57" s="1"/>
  <c r="DB111" i="57"/>
  <c r="DB113" i="57"/>
  <c r="DB121" i="57" s="1"/>
  <c r="DC108" i="57"/>
  <c r="DE84" i="57"/>
  <c r="DF79" i="57"/>
  <c r="DF119" i="57"/>
  <c r="CX121" i="57" l="1"/>
  <c r="Z42" i="57"/>
  <c r="Y45" i="57"/>
  <c r="Y43" i="57"/>
  <c r="DF82" i="57"/>
  <c r="DC110" i="57"/>
  <c r="DC111" i="57" s="1"/>
  <c r="DB125" i="57"/>
  <c r="DB127" i="57" s="1"/>
  <c r="DB130" i="57" s="1"/>
  <c r="CW128" i="57"/>
  <c r="CW130" i="57"/>
  <c r="CW131" i="57" s="1"/>
  <c r="CW143" i="57" s="1"/>
  <c r="CW153" i="57" s="1"/>
  <c r="DB123" i="57"/>
  <c r="DD108" i="57"/>
  <c r="DD110" i="57" s="1"/>
  <c r="DE88" i="57"/>
  <c r="DE90" i="57" s="1"/>
  <c r="DE106" i="57" s="1"/>
  <c r="DF84" i="57"/>
  <c r="DG79" i="57"/>
  <c r="DG82" i="57" s="1"/>
  <c r="DG119" i="57"/>
  <c r="DC113" i="57" l="1"/>
  <c r="DC121" i="57" s="1"/>
  <c r="DC123" i="57" s="1"/>
  <c r="DB128" i="57"/>
  <c r="Z45" i="57"/>
  <c r="Y48" i="57"/>
  <c r="FP110" i="57"/>
  <c r="CX123" i="57"/>
  <c r="DA125" i="57"/>
  <c r="DA127" i="57" s="1"/>
  <c r="CX125" i="57"/>
  <c r="CY125" i="57"/>
  <c r="CY127" i="57" s="1"/>
  <c r="CZ125" i="57"/>
  <c r="CZ127" i="57" s="1"/>
  <c r="DC125" i="57"/>
  <c r="DC127" i="57" s="1"/>
  <c r="DC130" i="57" s="1"/>
  <c r="DF88" i="57"/>
  <c r="DE108" i="57"/>
  <c r="DE110" i="57" s="1"/>
  <c r="DD113" i="57"/>
  <c r="DD121" i="57" s="1"/>
  <c r="DD123" i="57" s="1"/>
  <c r="DD111" i="57"/>
  <c r="DB131" i="57"/>
  <c r="DB143" i="57" s="1"/>
  <c r="DB153" i="57" s="1"/>
  <c r="DG84" i="57"/>
  <c r="DH79" i="57"/>
  <c r="DH119" i="57"/>
  <c r="H41" i="57" l="1"/>
  <c r="H43" i="57" s="1"/>
  <c r="CX127" i="57"/>
  <c r="Z48" i="57"/>
  <c r="Y49" i="57"/>
  <c r="CZ130" i="57"/>
  <c r="CZ131" i="57" s="1"/>
  <c r="CZ143" i="57" s="1"/>
  <c r="CZ153" i="57" s="1"/>
  <c r="CZ128" i="57"/>
  <c r="CY128" i="57"/>
  <c r="CY130" i="57"/>
  <c r="CY131" i="57" s="1"/>
  <c r="CY143" i="57" s="1"/>
  <c r="CY153" i="57" s="1"/>
  <c r="DH82" i="57"/>
  <c r="DA128" i="57"/>
  <c r="DA130" i="57"/>
  <c r="DA131" i="57" s="1"/>
  <c r="DA143" i="57" s="1"/>
  <c r="DA153" i="57" s="1"/>
  <c r="DF90" i="57"/>
  <c r="DC128" i="57"/>
  <c r="DG88" i="57"/>
  <c r="DG90" i="57" s="1"/>
  <c r="DG106" i="57" s="1"/>
  <c r="DD125" i="57"/>
  <c r="DD127" i="57" s="1"/>
  <c r="DD130" i="57" s="1"/>
  <c r="DE111" i="57"/>
  <c r="DE113" i="57"/>
  <c r="DE121" i="57" s="1"/>
  <c r="DC131" i="57"/>
  <c r="DH84" i="57"/>
  <c r="DI79" i="57"/>
  <c r="DI82" i="57" s="1"/>
  <c r="DI119" i="57"/>
  <c r="CX128" i="57" l="1"/>
  <c r="CX130" i="57"/>
  <c r="CX131" i="57" s="1"/>
  <c r="CX143" i="57" s="1"/>
  <c r="CX153" i="57" s="1"/>
  <c r="I43" i="57"/>
  <c r="H45" i="57"/>
  <c r="DF106" i="57"/>
  <c r="DE123" i="57"/>
  <c r="FP121" i="57"/>
  <c r="DC143" i="57"/>
  <c r="DD128" i="57"/>
  <c r="DE125" i="57"/>
  <c r="DE127" i="57" s="1"/>
  <c r="DE130" i="57" s="1"/>
  <c r="DG108" i="57"/>
  <c r="DG110" i="57" s="1"/>
  <c r="DH88" i="57"/>
  <c r="DD131" i="57"/>
  <c r="DD143" i="57" s="1"/>
  <c r="DD153" i="57" s="1"/>
  <c r="DI84" i="57"/>
  <c r="DJ79" i="57"/>
  <c r="DJ119" i="57"/>
  <c r="DF108" i="57" l="1"/>
  <c r="H49" i="57"/>
  <c r="I49" i="57" s="1"/>
  <c r="H51" i="57"/>
  <c r="I51" i="57" s="1"/>
  <c r="H48" i="57"/>
  <c r="I45" i="57"/>
  <c r="H50" i="57"/>
  <c r="I50" i="57" s="1"/>
  <c r="DJ82" i="57"/>
  <c r="DH90" i="57"/>
  <c r="DC153" i="57"/>
  <c r="DE128" i="57"/>
  <c r="DI88" i="57"/>
  <c r="DI90" i="57" s="1"/>
  <c r="DI106" i="57" s="1"/>
  <c r="DG111" i="57"/>
  <c r="DG113" i="57"/>
  <c r="DG121" i="57" s="1"/>
  <c r="DE131" i="57"/>
  <c r="DJ84" i="57"/>
  <c r="DK79" i="57"/>
  <c r="DK82" i="57" s="1"/>
  <c r="DK119" i="57"/>
  <c r="I48" i="57" l="1"/>
  <c r="H52" i="57"/>
  <c r="DH106" i="57"/>
  <c r="DF110" i="57"/>
  <c r="DE143" i="57"/>
  <c r="FP131" i="57"/>
  <c r="DG123" i="57"/>
  <c r="DI108" i="57"/>
  <c r="DI110" i="57" s="1"/>
  <c r="DJ88" i="57"/>
  <c r="DK84" i="57"/>
  <c r="DL79" i="57"/>
  <c r="DL82" i="57" s="1"/>
  <c r="DL119" i="57"/>
  <c r="DF113" i="57" l="1"/>
  <c r="DF111" i="57"/>
  <c r="DH108" i="57"/>
  <c r="I52" i="57"/>
  <c r="I53" i="57" s="1"/>
  <c r="H53" i="57"/>
  <c r="DJ90" i="57"/>
  <c r="DE153" i="57"/>
  <c r="FP143" i="57"/>
  <c r="DI111" i="57"/>
  <c r="DI113" i="57"/>
  <c r="DI121" i="57" s="1"/>
  <c r="DI123" i="57" s="1"/>
  <c r="DK88" i="57"/>
  <c r="DK90" i="57" s="1"/>
  <c r="DK106" i="57" s="1"/>
  <c r="DL84" i="57"/>
  <c r="DM79" i="57"/>
  <c r="DM82" i="57" s="1"/>
  <c r="DM119" i="57"/>
  <c r="DJ106" i="57" l="1"/>
  <c r="DH110" i="57"/>
  <c r="DF121" i="57"/>
  <c r="DL88" i="57"/>
  <c r="DK108" i="57"/>
  <c r="DK110" i="57" s="1"/>
  <c r="DM84" i="57"/>
  <c r="DN79" i="57"/>
  <c r="DN82" i="57" s="1"/>
  <c r="DN119" i="57"/>
  <c r="DF123" i="57" l="1"/>
  <c r="DF125" i="57"/>
  <c r="DF127" i="57" s="1"/>
  <c r="DG125" i="57"/>
  <c r="DG127" i="57" s="1"/>
  <c r="DH111" i="57"/>
  <c r="DH113" i="57"/>
  <c r="DL90" i="57"/>
  <c r="DJ108" i="57"/>
  <c r="DM88" i="57"/>
  <c r="DM90" i="57" s="1"/>
  <c r="DM106" i="57" s="1"/>
  <c r="DK111" i="57"/>
  <c r="DK113" i="57"/>
  <c r="DK121" i="57" s="1"/>
  <c r="DK123" i="57" s="1"/>
  <c r="DN84" i="57"/>
  <c r="DO79" i="57"/>
  <c r="DO82" i="57" s="1"/>
  <c r="DO119" i="57"/>
  <c r="DJ110" i="57" l="1"/>
  <c r="DG128" i="57"/>
  <c r="DG130" i="57"/>
  <c r="DG131" i="57"/>
  <c r="DG143" i="57" s="1"/>
  <c r="DG153" i="57" s="1"/>
  <c r="DL106" i="57"/>
  <c r="DF128" i="57"/>
  <c r="DF130" i="57"/>
  <c r="DF131" i="57" s="1"/>
  <c r="DF143" i="57" s="1"/>
  <c r="DF153" i="57" s="1"/>
  <c r="DH121" i="57"/>
  <c r="DN88" i="57"/>
  <c r="DN90" i="57" s="1"/>
  <c r="DN106" i="57" s="1"/>
  <c r="DM108" i="57"/>
  <c r="DM110" i="57" s="1"/>
  <c r="DO84" i="57"/>
  <c r="DP79" i="57"/>
  <c r="DP82" i="57" s="1"/>
  <c r="DP119" i="57"/>
  <c r="DL108" i="57" l="1"/>
  <c r="DH123" i="57"/>
  <c r="DI125" i="57"/>
  <c r="DI127" i="57" s="1"/>
  <c r="DH125" i="57"/>
  <c r="DH127" i="57" s="1"/>
  <c r="DJ111" i="57"/>
  <c r="DJ113" i="57"/>
  <c r="DM111" i="57"/>
  <c r="DM113" i="57"/>
  <c r="DM121" i="57" s="1"/>
  <c r="DO88" i="57"/>
  <c r="DO90" i="57" s="1"/>
  <c r="DO106" i="57" s="1"/>
  <c r="DN108" i="57"/>
  <c r="DN110" i="57" s="1"/>
  <c r="DP84" i="57"/>
  <c r="DQ79" i="57"/>
  <c r="DQ82" i="57" s="1"/>
  <c r="DQ119" i="57"/>
  <c r="DH130" i="57" l="1"/>
  <c r="DH131" i="57" s="1"/>
  <c r="DH143" i="57" s="1"/>
  <c r="DH153" i="57" s="1"/>
  <c r="DH128" i="57"/>
  <c r="DI128" i="57"/>
  <c r="DI130" i="57"/>
  <c r="DI131" i="57" s="1"/>
  <c r="DI143" i="57" s="1"/>
  <c r="DI153" i="57" s="1"/>
  <c r="DJ121" i="57"/>
  <c r="DL110" i="57"/>
  <c r="DM123" i="57"/>
  <c r="DN111" i="57"/>
  <c r="DN113" i="57"/>
  <c r="DN121" i="57" s="1"/>
  <c r="DN123" i="57" s="1"/>
  <c r="DP88" i="57"/>
  <c r="DP90" i="57" s="1"/>
  <c r="DP106" i="57" s="1"/>
  <c r="DO108" i="57"/>
  <c r="DO110" i="57" s="1"/>
  <c r="DQ84" i="57"/>
  <c r="DR79" i="57"/>
  <c r="DR119" i="57"/>
  <c r="DL113" i="57" l="1"/>
  <c r="DL111" i="57"/>
  <c r="DR82" i="57"/>
  <c r="DJ123" i="57"/>
  <c r="DJ125" i="57"/>
  <c r="DJ127" i="57" s="1"/>
  <c r="DK125" i="57"/>
  <c r="DK127" i="57" s="1"/>
  <c r="DQ88" i="57"/>
  <c r="DQ90" i="57" s="1"/>
  <c r="DQ106" i="57" s="1"/>
  <c r="DO111" i="57"/>
  <c r="DO113" i="57"/>
  <c r="DO121" i="57" s="1"/>
  <c r="DO123" i="57" s="1"/>
  <c r="DP108" i="57"/>
  <c r="DP110" i="57" s="1"/>
  <c r="DR84" i="57"/>
  <c r="DS79" i="57"/>
  <c r="DS82" i="57" s="1"/>
  <c r="DS119" i="57"/>
  <c r="DK128" i="57" l="1"/>
  <c r="DK130" i="57"/>
  <c r="DK131" i="57" s="1"/>
  <c r="DK143" i="57" s="1"/>
  <c r="DK153" i="57" s="1"/>
  <c r="DJ130" i="57"/>
  <c r="DJ131" i="57" s="1"/>
  <c r="DJ143" i="57" s="1"/>
  <c r="DJ153" i="57" s="1"/>
  <c r="DJ128" i="57"/>
  <c r="DL121" i="57"/>
  <c r="DR88" i="57"/>
  <c r="DQ108" i="57"/>
  <c r="DQ110" i="57" s="1"/>
  <c r="DP111" i="57"/>
  <c r="DP113" i="57"/>
  <c r="DP121" i="57" s="1"/>
  <c r="DP123" i="57" s="1"/>
  <c r="DS84" i="57"/>
  <c r="DT79" i="57"/>
  <c r="DT119" i="57"/>
  <c r="DL123" i="57" l="1"/>
  <c r="DM125" i="57"/>
  <c r="DM127" i="57" s="1"/>
  <c r="DL125" i="57"/>
  <c r="DL127" i="57" s="1"/>
  <c r="DN125" i="57"/>
  <c r="DN127" i="57" s="1"/>
  <c r="FQ121" i="57"/>
  <c r="DR90" i="57"/>
  <c r="DT82" i="57"/>
  <c r="DO125" i="57"/>
  <c r="DO127" i="57" s="1"/>
  <c r="DO128" i="57" s="1"/>
  <c r="DS88" i="57"/>
  <c r="DS90" i="57" s="1"/>
  <c r="DS106" i="57" s="1"/>
  <c r="DQ111" i="57"/>
  <c r="DQ113" i="57"/>
  <c r="DQ121" i="57" s="1"/>
  <c r="DQ125" i="57" s="1"/>
  <c r="DQ127" i="57" s="1"/>
  <c r="DP125" i="57"/>
  <c r="DP127" i="57" s="1"/>
  <c r="DP128" i="57" s="1"/>
  <c r="DU79" i="57"/>
  <c r="DU82" i="57" s="1"/>
  <c r="DU119" i="57"/>
  <c r="DO130" i="57" l="1"/>
  <c r="DO131" i="57" s="1"/>
  <c r="DO143" i="57" s="1"/>
  <c r="DO153" i="57" s="1"/>
  <c r="DN128" i="57"/>
  <c r="DN130" i="57"/>
  <c r="DN131" i="57" s="1"/>
  <c r="DN143" i="57" s="1"/>
  <c r="DN153" i="57" s="1"/>
  <c r="DQ123" i="57"/>
  <c r="DL130" i="57"/>
  <c r="DL131" i="57" s="1"/>
  <c r="DL143" i="57" s="1"/>
  <c r="DL153" i="57" s="1"/>
  <c r="DL128" i="57"/>
  <c r="DM128" i="57"/>
  <c r="DM130" i="57"/>
  <c r="DM131" i="57" s="1"/>
  <c r="DM143" i="57" s="1"/>
  <c r="DM153" i="57" s="1"/>
  <c r="DT84" i="57"/>
  <c r="DT88" i="57" s="1"/>
  <c r="DR106" i="57"/>
  <c r="DP130" i="57"/>
  <c r="DP131" i="57" s="1"/>
  <c r="DP143" i="57" s="1"/>
  <c r="DS108" i="57"/>
  <c r="DS110" i="57" s="1"/>
  <c r="DQ128" i="57"/>
  <c r="DQ130" i="57"/>
  <c r="DU84" i="57"/>
  <c r="DV79" i="57"/>
  <c r="DV82" i="57" s="1"/>
  <c r="DV119" i="57"/>
  <c r="DT90" i="57" l="1"/>
  <c r="DR108" i="57"/>
  <c r="DP153" i="57"/>
  <c r="DS111" i="57"/>
  <c r="DS113" i="57"/>
  <c r="DS121" i="57" s="1"/>
  <c r="DS123" i="57" s="1"/>
  <c r="DU88" i="57"/>
  <c r="DU90" i="57" s="1"/>
  <c r="DU106" i="57" s="1"/>
  <c r="DQ131" i="57"/>
  <c r="DQ143" i="57" s="1"/>
  <c r="DQ153" i="57" s="1"/>
  <c r="DV84" i="57"/>
  <c r="DW79" i="57"/>
  <c r="DW119" i="57"/>
  <c r="DW82" i="57" l="1"/>
  <c r="DR110" i="57"/>
  <c r="DT106" i="57"/>
  <c r="FQ143" i="57"/>
  <c r="DU108" i="57"/>
  <c r="DU110" i="57" s="1"/>
  <c r="DV88" i="57"/>
  <c r="DW84" i="57"/>
  <c r="DX79" i="57"/>
  <c r="DX82" i="57" s="1"/>
  <c r="DX119" i="57"/>
  <c r="DV90" i="57" l="1"/>
  <c r="DT108" i="57"/>
  <c r="DR113" i="57"/>
  <c r="DR111" i="57"/>
  <c r="DW88" i="57"/>
  <c r="DW90" i="57" s="1"/>
  <c r="DW106" i="57" s="1"/>
  <c r="DU113" i="57"/>
  <c r="DU121" i="57" s="1"/>
  <c r="DU111" i="57"/>
  <c r="DX84" i="57"/>
  <c r="DY79" i="57"/>
  <c r="DY82" i="57" s="1"/>
  <c r="DY119" i="57"/>
  <c r="DR121" i="57" l="1"/>
  <c r="DT110" i="57"/>
  <c r="DV106" i="57"/>
  <c r="DU123" i="57"/>
  <c r="DX88" i="57"/>
  <c r="DW108" i="57"/>
  <c r="DW110" i="57" s="1"/>
  <c r="DY84" i="57"/>
  <c r="DZ79" i="57"/>
  <c r="DZ82" i="57" s="1"/>
  <c r="DZ119" i="57"/>
  <c r="DV108" i="57" l="1"/>
  <c r="DT111" i="57"/>
  <c r="DT113" i="57"/>
  <c r="DX90" i="57"/>
  <c r="DR123" i="57"/>
  <c r="DR125" i="57"/>
  <c r="DR127" i="57" s="1"/>
  <c r="DS125" i="57"/>
  <c r="DS127" i="57" s="1"/>
  <c r="DY88" i="57"/>
  <c r="DY90" i="57" s="1"/>
  <c r="DY106" i="57" s="1"/>
  <c r="DW111" i="57"/>
  <c r="DW113" i="57"/>
  <c r="DW121" i="57" s="1"/>
  <c r="DZ84" i="57"/>
  <c r="EA79" i="57"/>
  <c r="EA82" i="57" s="1"/>
  <c r="EA119" i="57"/>
  <c r="DX106" i="57" l="1"/>
  <c r="DT121" i="57"/>
  <c r="DS128" i="57"/>
  <c r="DS130" i="57"/>
  <c r="DS131" i="57" s="1"/>
  <c r="DS143" i="57" s="1"/>
  <c r="DS153" i="57" s="1"/>
  <c r="DR130" i="57"/>
  <c r="DR131" i="57" s="1"/>
  <c r="DR143" i="57" s="1"/>
  <c r="DR153" i="57" s="1"/>
  <c r="DR128" i="57"/>
  <c r="DV110" i="57"/>
  <c r="DW123" i="57"/>
  <c r="DZ88" i="57"/>
  <c r="DZ90" i="57" s="1"/>
  <c r="DZ106" i="57" s="1"/>
  <c r="DY108" i="57"/>
  <c r="DY110" i="57" s="1"/>
  <c r="EA84" i="57"/>
  <c r="EB79" i="57"/>
  <c r="EB82" i="57" s="1"/>
  <c r="EB119" i="57"/>
  <c r="DT125" i="57" l="1"/>
  <c r="DT127" i="57" s="1"/>
  <c r="DT123" i="57"/>
  <c r="DU125" i="57"/>
  <c r="DU127" i="57" s="1"/>
  <c r="DV111" i="57"/>
  <c r="DV113" i="57"/>
  <c r="DX108" i="57"/>
  <c r="EA88" i="57"/>
  <c r="EA90" i="57" s="1"/>
  <c r="EA106" i="57" s="1"/>
  <c r="DY111" i="57"/>
  <c r="DY113" i="57"/>
  <c r="DY121" i="57" s="1"/>
  <c r="DZ108" i="57"/>
  <c r="DZ110" i="57" s="1"/>
  <c r="EB84" i="57"/>
  <c r="EC79" i="57"/>
  <c r="EC82" i="57" s="1"/>
  <c r="EC119" i="57"/>
  <c r="DX110" i="57" l="1"/>
  <c r="DV121" i="57"/>
  <c r="DU128" i="57"/>
  <c r="DU130" i="57"/>
  <c r="DU131" i="57" s="1"/>
  <c r="DU143" i="57" s="1"/>
  <c r="DU153" i="57" s="1"/>
  <c r="DT128" i="57"/>
  <c r="DT130" i="57"/>
  <c r="DT131" i="57" s="1"/>
  <c r="DT143" i="57" s="1"/>
  <c r="DT153" i="57" s="1"/>
  <c r="DY123" i="57"/>
  <c r="DZ111" i="57"/>
  <c r="DZ113" i="57"/>
  <c r="DZ121" i="57" s="1"/>
  <c r="DZ123" i="57" s="1"/>
  <c r="EB88" i="57"/>
  <c r="EB90" i="57" s="1"/>
  <c r="EB106" i="57" s="1"/>
  <c r="EA108" i="57"/>
  <c r="EA110" i="57" s="1"/>
  <c r="EC84" i="57"/>
  <c r="ED79" i="57"/>
  <c r="ED119" i="57"/>
  <c r="ED82" i="57" l="1"/>
  <c r="DV125" i="57"/>
  <c r="DV127" i="57" s="1"/>
  <c r="DV123" i="57"/>
  <c r="DW125" i="57"/>
  <c r="DW127" i="57" s="1"/>
  <c r="DX111" i="57"/>
  <c r="DX113" i="57"/>
  <c r="EC88" i="57"/>
  <c r="EC90" i="57" s="1"/>
  <c r="EC106" i="57" s="1"/>
  <c r="EA113" i="57"/>
  <c r="EA121" i="57" s="1"/>
  <c r="EA111" i="57"/>
  <c r="EB108" i="57"/>
  <c r="EB110" i="57" s="1"/>
  <c r="ED84" i="57"/>
  <c r="EE79" i="57"/>
  <c r="EE82" i="57" s="1"/>
  <c r="EE119" i="57"/>
  <c r="DW128" i="57" l="1"/>
  <c r="DW130" i="57"/>
  <c r="DW131" i="57" s="1"/>
  <c r="DW143" i="57" s="1"/>
  <c r="DW153" i="57" s="1"/>
  <c r="DV128" i="57"/>
  <c r="DV130" i="57"/>
  <c r="DV131" i="57" s="1"/>
  <c r="DV143" i="57" s="1"/>
  <c r="DV153" i="57" s="1"/>
  <c r="DX121" i="57"/>
  <c r="EA123" i="57"/>
  <c r="ED88" i="57"/>
  <c r="EB111" i="57"/>
  <c r="EB113" i="57"/>
  <c r="EB121" i="57" s="1"/>
  <c r="EC108" i="57"/>
  <c r="EC110" i="57" s="1"/>
  <c r="EE84" i="57"/>
  <c r="EF79" i="57"/>
  <c r="EF82" i="57" s="1"/>
  <c r="EF119" i="57"/>
  <c r="EB125" i="57" l="1"/>
  <c r="EB127" i="57" s="1"/>
  <c r="EB128" i="57" s="1"/>
  <c r="DX125" i="57"/>
  <c r="DX127" i="57" s="1"/>
  <c r="DX123" i="57"/>
  <c r="DZ125" i="57"/>
  <c r="DZ127" i="57" s="1"/>
  <c r="FR121" i="57"/>
  <c r="DY125" i="57"/>
  <c r="DY127" i="57" s="1"/>
  <c r="ED90" i="57"/>
  <c r="EA125" i="57"/>
  <c r="EA127" i="57" s="1"/>
  <c r="EB123" i="57"/>
  <c r="EE88" i="57"/>
  <c r="EE90" i="57" s="1"/>
  <c r="EE106" i="57" s="1"/>
  <c r="EC111" i="57"/>
  <c r="EC113" i="57"/>
  <c r="EC121" i="57" s="1"/>
  <c r="EC123" i="57" s="1"/>
  <c r="EF84" i="57"/>
  <c r="EG79" i="57"/>
  <c r="EG119" i="57"/>
  <c r="EB130" i="57" l="1"/>
  <c r="EB131" i="57" s="1"/>
  <c r="EB143" i="57" s="1"/>
  <c r="EB153" i="57" s="1"/>
  <c r="ED106" i="57"/>
  <c r="DY128" i="57"/>
  <c r="DY130" i="57"/>
  <c r="DY131" i="57" s="1"/>
  <c r="DY143" i="57" s="1"/>
  <c r="DY153" i="57" s="1"/>
  <c r="DZ128" i="57"/>
  <c r="DZ130" i="57"/>
  <c r="DZ131" i="57" s="1"/>
  <c r="DZ143" i="57" s="1"/>
  <c r="DZ153" i="57" s="1"/>
  <c r="EG82" i="57"/>
  <c r="DX128" i="57"/>
  <c r="DX130" i="57"/>
  <c r="DX131" i="57" s="1"/>
  <c r="DX143" i="57" s="1"/>
  <c r="DX153" i="57" s="1"/>
  <c r="EA128" i="57"/>
  <c r="EA130" i="57"/>
  <c r="EA131" i="57" s="1"/>
  <c r="EA143" i="57" s="1"/>
  <c r="EC125" i="57"/>
  <c r="EC127" i="57" s="1"/>
  <c r="EC128" i="57" s="1"/>
  <c r="EE108" i="57"/>
  <c r="EE110" i="57" s="1"/>
  <c r="EF88" i="57"/>
  <c r="EH79" i="57"/>
  <c r="EH82" i="57" s="1"/>
  <c r="EH119" i="57"/>
  <c r="EF90" i="57" l="1"/>
  <c r="ED108" i="57"/>
  <c r="EG84" i="57"/>
  <c r="EG88" i="57" s="1"/>
  <c r="EA153" i="57"/>
  <c r="EC130" i="57"/>
  <c r="EC131" i="57" s="1"/>
  <c r="EC143" i="57" s="1"/>
  <c r="EC153" i="57" s="1"/>
  <c r="EE113" i="57"/>
  <c r="EE121" i="57" s="1"/>
  <c r="EE123" i="57" s="1"/>
  <c r="EE111" i="57"/>
  <c r="EH84" i="57"/>
  <c r="EI79" i="57"/>
  <c r="EI119" i="57"/>
  <c r="EG90" i="57" l="1"/>
  <c r="EG106" i="57" s="1"/>
  <c r="EG108" i="57" s="1"/>
  <c r="EG110" i="57" s="1"/>
  <c r="ED110" i="57"/>
  <c r="EI82" i="57"/>
  <c r="FR143" i="57"/>
  <c r="EF106" i="57"/>
  <c r="EH88" i="57"/>
  <c r="EH90" i="57" s="1"/>
  <c r="EH106" i="57" s="1"/>
  <c r="EI84" i="57"/>
  <c r="EJ79" i="57"/>
  <c r="EJ82" i="57" s="1"/>
  <c r="EJ119" i="57"/>
  <c r="EF108" i="57" l="1"/>
  <c r="ED113" i="57"/>
  <c r="ED111" i="57"/>
  <c r="EH108" i="57"/>
  <c r="EH110" i="57" s="1"/>
  <c r="EG111" i="57"/>
  <c r="EG113" i="57"/>
  <c r="EG121" i="57" s="1"/>
  <c r="EG123" i="57" s="1"/>
  <c r="EI88" i="57"/>
  <c r="EJ84" i="57"/>
  <c r="EK79" i="57"/>
  <c r="EK82" i="57" s="1"/>
  <c r="EK119" i="57"/>
  <c r="ED121" i="57" l="1"/>
  <c r="EI90" i="57"/>
  <c r="EF110" i="57"/>
  <c r="EH113" i="57"/>
  <c r="EH121" i="57" s="1"/>
  <c r="EH123" i="57" s="1"/>
  <c r="EH111" i="57"/>
  <c r="EJ88" i="57"/>
  <c r="EJ90" i="57" s="1"/>
  <c r="EJ106" i="57" s="1"/>
  <c r="EK84" i="57"/>
  <c r="EL79" i="57"/>
  <c r="EL82" i="57" s="1"/>
  <c r="EL119" i="57"/>
  <c r="EF113" i="57" l="1"/>
  <c r="EF111" i="57"/>
  <c r="EI106" i="57"/>
  <c r="ED123" i="57"/>
  <c r="ED125" i="57"/>
  <c r="ED127" i="57" s="1"/>
  <c r="EE125" i="57"/>
  <c r="EE127" i="57" s="1"/>
  <c r="EK88" i="57"/>
  <c r="EK90" i="57" s="1"/>
  <c r="EK106" i="57" s="1"/>
  <c r="EJ108" i="57"/>
  <c r="EJ110" i="57" s="1"/>
  <c r="EL84" i="57"/>
  <c r="EM79" i="57"/>
  <c r="EM82" i="57" s="1"/>
  <c r="EM119" i="57"/>
  <c r="EI108" i="57" l="1"/>
  <c r="ED128" i="57"/>
  <c r="ED130" i="57"/>
  <c r="ED131" i="57" s="1"/>
  <c r="ED143" i="57" s="1"/>
  <c r="ED153" i="57" s="1"/>
  <c r="EE130" i="57"/>
  <c r="EE131" i="57" s="1"/>
  <c r="EE143" i="57" s="1"/>
  <c r="EE153" i="57" s="1"/>
  <c r="EE128" i="57"/>
  <c r="EF121" i="57"/>
  <c r="EL88" i="57"/>
  <c r="EL90" i="57" s="1"/>
  <c r="EJ111" i="57"/>
  <c r="EJ113" i="57"/>
  <c r="EJ121" i="57" s="1"/>
  <c r="EJ123" i="57" s="1"/>
  <c r="EK108" i="57"/>
  <c r="EK110" i="57" s="1"/>
  <c r="EM84" i="57"/>
  <c r="EN79" i="57"/>
  <c r="EN82" i="57" s="1"/>
  <c r="EN119" i="57"/>
  <c r="EL106" i="57" l="1"/>
  <c r="EI110" i="57"/>
  <c r="EF125" i="57"/>
  <c r="EF127" i="57" s="1"/>
  <c r="EF123" i="57"/>
  <c r="EG125" i="57"/>
  <c r="EG127" i="57" s="1"/>
  <c r="EH125" i="57"/>
  <c r="EH127" i="57" s="1"/>
  <c r="EM88" i="57"/>
  <c r="EM90" i="57" s="1"/>
  <c r="EM106" i="57" s="1"/>
  <c r="EK111" i="57"/>
  <c r="EK113" i="57"/>
  <c r="EK121" i="57" s="1"/>
  <c r="EK123" i="57" s="1"/>
  <c r="EL108" i="57"/>
  <c r="EL110" i="57" s="1"/>
  <c r="EN84" i="57"/>
  <c r="EO79" i="57"/>
  <c r="EO82" i="57" s="1"/>
  <c r="EO119" i="57"/>
  <c r="EH128" i="57" l="1"/>
  <c r="EH130" i="57"/>
  <c r="EH131" i="57" s="1"/>
  <c r="EH143" i="57" s="1"/>
  <c r="EH153" i="57" s="1"/>
  <c r="EG130" i="57"/>
  <c r="EG131" i="57" s="1"/>
  <c r="EG143" i="57" s="1"/>
  <c r="EG153" i="57" s="1"/>
  <c r="EG128" i="57"/>
  <c r="EF130" i="57"/>
  <c r="EF131" i="57" s="1"/>
  <c r="EF143" i="57" s="1"/>
  <c r="EF153" i="57" s="1"/>
  <c r="EF128" i="57"/>
  <c r="EI111" i="57"/>
  <c r="EI113" i="57"/>
  <c r="EN88" i="57"/>
  <c r="EN90" i="57" s="1"/>
  <c r="EN106" i="57" s="1"/>
  <c r="EL111" i="57"/>
  <c r="EL113" i="57"/>
  <c r="EL121" i="57" s="1"/>
  <c r="EL123" i="57" s="1"/>
  <c r="EM108" i="57"/>
  <c r="EO84" i="57"/>
  <c r="EP79" i="57"/>
  <c r="EP119" i="57"/>
  <c r="EP82" i="57" l="1"/>
  <c r="EM110" i="57"/>
  <c r="EI121" i="57"/>
  <c r="EO88" i="57"/>
  <c r="EO90" i="57" s="1"/>
  <c r="EO106" i="57" s="1"/>
  <c r="EL125" i="57"/>
  <c r="EL127" i="57" s="1"/>
  <c r="EN108" i="57"/>
  <c r="EN110" i="57" s="1"/>
  <c r="EM111" i="57"/>
  <c r="EP84" i="57"/>
  <c r="EQ79" i="57"/>
  <c r="EQ82" i="57" s="1"/>
  <c r="EQ119" i="57"/>
  <c r="EI125" i="57" l="1"/>
  <c r="EI127" i="57" s="1"/>
  <c r="EI123" i="57"/>
  <c r="EJ125" i="57"/>
  <c r="EJ127" i="57" s="1"/>
  <c r="EK125" i="57"/>
  <c r="EK127" i="57" s="1"/>
  <c r="EM113" i="57"/>
  <c r="EL130" i="57"/>
  <c r="EL131" i="57" s="1"/>
  <c r="EL128" i="57"/>
  <c r="EN111" i="57"/>
  <c r="EN113" i="57"/>
  <c r="EN121" i="57" s="1"/>
  <c r="EN123" i="57" s="1"/>
  <c r="EP88" i="57"/>
  <c r="EO108" i="57"/>
  <c r="EO110" i="57" s="1"/>
  <c r="EQ84" i="57"/>
  <c r="ER79" i="57"/>
  <c r="ER119" i="57"/>
  <c r="EK130" i="57" l="1"/>
  <c r="EK131" i="57" s="1"/>
  <c r="EK143" i="57" s="1"/>
  <c r="EK153" i="57" s="1"/>
  <c r="EK128" i="57"/>
  <c r="EJ128" i="57"/>
  <c r="EJ130" i="57"/>
  <c r="EJ131" i="57" s="1"/>
  <c r="EJ143" i="57" s="1"/>
  <c r="EJ153" i="57" s="1"/>
  <c r="EI130" i="57"/>
  <c r="EI131" i="57" s="1"/>
  <c r="EI143" i="57" s="1"/>
  <c r="EI153" i="57" s="1"/>
  <c r="EI128" i="57"/>
  <c r="EP90" i="57"/>
  <c r="ER82" i="57"/>
  <c r="EM121" i="57"/>
  <c r="FS113" i="57"/>
  <c r="EL143" i="57"/>
  <c r="EL153" i="57" s="1"/>
  <c r="EO111" i="57"/>
  <c r="EO113" i="57"/>
  <c r="EO121" i="57" s="1"/>
  <c r="EO123" i="57" s="1"/>
  <c r="EQ88" i="57"/>
  <c r="EQ90" i="57" s="1"/>
  <c r="EQ106" i="57" s="1"/>
  <c r="ER84" i="57"/>
  <c r="ES79" i="57"/>
  <c r="ES82" i="57" s="1"/>
  <c r="ES119" i="57"/>
  <c r="EM123" i="57" l="1"/>
  <c r="EM125" i="57"/>
  <c r="EM127" i="57" s="1"/>
  <c r="FS121" i="57"/>
  <c r="EN125" i="57"/>
  <c r="EN127" i="57" s="1"/>
  <c r="EN130" i="57" s="1"/>
  <c r="EN131" i="57" s="1"/>
  <c r="EN143" i="57" s="1"/>
  <c r="EP106" i="57"/>
  <c r="ER88" i="57"/>
  <c r="EO125" i="57"/>
  <c r="EO127" i="57" s="1"/>
  <c r="EO130" i="57" s="1"/>
  <c r="EQ108" i="57"/>
  <c r="EQ110" i="57" s="1"/>
  <c r="EQ111" i="57" s="1"/>
  <c r="ES84" i="57"/>
  <c r="ET79" i="57"/>
  <c r="ET119" i="57"/>
  <c r="FS127" i="57" l="1"/>
  <c r="EN128" i="57"/>
  <c r="ER90" i="57"/>
  <c r="EP108" i="57"/>
  <c r="ET82" i="57"/>
  <c r="EM128" i="57"/>
  <c r="EM130" i="57"/>
  <c r="EM131" i="57" s="1"/>
  <c r="EM143" i="57" s="1"/>
  <c r="EM153" i="57" s="1"/>
  <c r="EN153" i="57"/>
  <c r="EO128" i="57"/>
  <c r="ES88" i="57"/>
  <c r="ES90" i="57" s="1"/>
  <c r="ES106" i="57" s="1"/>
  <c r="EQ113" i="57"/>
  <c r="EQ121" i="57" s="1"/>
  <c r="EO131" i="57"/>
  <c r="EO143" i="57" s="1"/>
  <c r="EO153" i="57" s="1"/>
  <c r="ET84" i="57"/>
  <c r="EU79" i="57"/>
  <c r="EU82" i="57" s="1"/>
  <c r="EU119" i="57"/>
  <c r="EP110" i="57" l="1"/>
  <c r="ER106" i="57"/>
  <c r="FS143" i="57"/>
  <c r="EQ123" i="57"/>
  <c r="ET88" i="57"/>
  <c r="ES108" i="57"/>
  <c r="ES110" i="57" s="1"/>
  <c r="EU84" i="57"/>
  <c r="EV79" i="57"/>
  <c r="EV119" i="57"/>
  <c r="EV82" i="57" l="1"/>
  <c r="ER108" i="57"/>
  <c r="ET90" i="57"/>
  <c r="EP113" i="57"/>
  <c r="EP111" i="57"/>
  <c r="ES111" i="57"/>
  <c r="ES113" i="57"/>
  <c r="ES121" i="57" s="1"/>
  <c r="EU88" i="57"/>
  <c r="EU90" i="57" s="1"/>
  <c r="EU106" i="57" s="1"/>
  <c r="EV84" i="57"/>
  <c r="EW79" i="57"/>
  <c r="EW82" i="57" s="1"/>
  <c r="EW119" i="57"/>
  <c r="EP121" i="57" l="1"/>
  <c r="ET106" i="57"/>
  <c r="ER110" i="57"/>
  <c r="ES123" i="57"/>
  <c r="EU108" i="57"/>
  <c r="EU110" i="57" s="1"/>
  <c r="EV88" i="57"/>
  <c r="EV90" i="57" s="1"/>
  <c r="EV106" i="57" s="1"/>
  <c r="EW84" i="57"/>
  <c r="EX79" i="57"/>
  <c r="EX82" i="57" s="1"/>
  <c r="EX119" i="57"/>
  <c r="ER111" i="57" l="1"/>
  <c r="ER113" i="57"/>
  <c r="ET108" i="57"/>
  <c r="EP123" i="57"/>
  <c r="EP125" i="57"/>
  <c r="EP127" i="57" s="1"/>
  <c r="EQ125" i="57"/>
  <c r="EQ127" i="57" s="1"/>
  <c r="EU111" i="57"/>
  <c r="EU113" i="57"/>
  <c r="EU121" i="57" s="1"/>
  <c r="EV108" i="57"/>
  <c r="EV110" i="57" s="1"/>
  <c r="EW88" i="57"/>
  <c r="EW90" i="57" s="1"/>
  <c r="EX84" i="57"/>
  <c r="EY79" i="57"/>
  <c r="EY82" i="57" s="1"/>
  <c r="EY119" i="57"/>
  <c r="EW106" i="57" l="1"/>
  <c r="ET110" i="57"/>
  <c r="ER121" i="57"/>
  <c r="EP130" i="57"/>
  <c r="EP131" i="57" s="1"/>
  <c r="EP143" i="57" s="1"/>
  <c r="EP153" i="57" s="1"/>
  <c r="EP128" i="57"/>
  <c r="EQ130" i="57"/>
  <c r="EQ131" i="57" s="1"/>
  <c r="EQ143" i="57" s="1"/>
  <c r="EQ153" i="57" s="1"/>
  <c r="EQ128" i="57"/>
  <c r="EU123" i="57"/>
  <c r="EX88" i="57"/>
  <c r="EX90" i="57" s="1"/>
  <c r="EX106" i="57" s="1"/>
  <c r="EV113" i="57"/>
  <c r="EV121" i="57" s="1"/>
  <c r="EV123" i="57" s="1"/>
  <c r="EV111" i="57"/>
  <c r="EW108" i="57"/>
  <c r="EW110" i="57" s="1"/>
  <c r="EY84" i="57"/>
  <c r="EZ79" i="57"/>
  <c r="EZ82" i="57" s="1"/>
  <c r="EZ119" i="57"/>
  <c r="ER125" i="57" l="1"/>
  <c r="ER127" i="57" s="1"/>
  <c r="ER123" i="57"/>
  <c r="ES125" i="57"/>
  <c r="ES127" i="57" s="1"/>
  <c r="ET111" i="57"/>
  <c r="ET113" i="57"/>
  <c r="EW111" i="57"/>
  <c r="EW113" i="57"/>
  <c r="EW121" i="57" s="1"/>
  <c r="EY88" i="57"/>
  <c r="EY90" i="57" s="1"/>
  <c r="EY106" i="57" s="1"/>
  <c r="EX108" i="57"/>
  <c r="EZ84" i="57"/>
  <c r="FA79" i="57"/>
  <c r="FA82" i="57" s="1"/>
  <c r="FA119" i="57"/>
  <c r="ET121" i="57" l="1"/>
  <c r="EX110" i="57"/>
  <c r="ES128" i="57"/>
  <c r="ES130" i="57"/>
  <c r="ES131" i="57" s="1"/>
  <c r="ES143" i="57" s="1"/>
  <c r="ES153" i="57" s="1"/>
  <c r="ER128" i="57"/>
  <c r="ER130" i="57"/>
  <c r="ER131" i="57" s="1"/>
  <c r="ER143" i="57" s="1"/>
  <c r="ER153" i="57" s="1"/>
  <c r="EW125" i="57"/>
  <c r="EW127" i="57" s="1"/>
  <c r="EW128" i="57" s="1"/>
  <c r="EW123" i="57"/>
  <c r="EZ88" i="57"/>
  <c r="EZ90" i="57" s="1"/>
  <c r="EZ106" i="57" s="1"/>
  <c r="EX111" i="57"/>
  <c r="EX113" i="57"/>
  <c r="EX121" i="57" s="1"/>
  <c r="EX125" i="57" s="1"/>
  <c r="EX127" i="57" s="1"/>
  <c r="EY108" i="57"/>
  <c r="EY110" i="57" s="1"/>
  <c r="FA84" i="57"/>
  <c r="FB79" i="57"/>
  <c r="FB119" i="57"/>
  <c r="FB82" i="57" l="1"/>
  <c r="FU119" i="57"/>
  <c r="ET123" i="57"/>
  <c r="EU125" i="57"/>
  <c r="EU127" i="57" s="1"/>
  <c r="ET125" i="57"/>
  <c r="ET127" i="57" s="1"/>
  <c r="EV125" i="57"/>
  <c r="EV127" i="57" s="1"/>
  <c r="EW130" i="57"/>
  <c r="EW131" i="57" s="1"/>
  <c r="FA88" i="57"/>
  <c r="FA90" i="57" s="1"/>
  <c r="FA106" i="57" s="1"/>
  <c r="EX123" i="57"/>
  <c r="EY111" i="57"/>
  <c r="EY113" i="57"/>
  <c r="EY121" i="57" s="1"/>
  <c r="EY123" i="57" s="1"/>
  <c r="EZ108" i="57"/>
  <c r="EZ110" i="57" s="1"/>
  <c r="EX128" i="57"/>
  <c r="EX130" i="57"/>
  <c r="FB84" i="57"/>
  <c r="FC79" i="57"/>
  <c r="FC119" i="57"/>
  <c r="E119" i="57" l="1"/>
  <c r="FH119" i="57"/>
  <c r="FI119" i="57"/>
  <c r="FJ119" i="57"/>
  <c r="FK119" i="57"/>
  <c r="FL119" i="57"/>
  <c r="FM119" i="57"/>
  <c r="FN119" i="57"/>
  <c r="FO119" i="57"/>
  <c r="FP119" i="57"/>
  <c r="FQ119" i="57"/>
  <c r="FR119" i="57"/>
  <c r="FS119" i="57"/>
  <c r="FT119" i="57"/>
  <c r="ET130" i="57"/>
  <c r="ET131" i="57" s="1"/>
  <c r="ET143" i="57" s="1"/>
  <c r="ET153" i="57" s="1"/>
  <c r="ET128" i="57"/>
  <c r="FH79" i="57"/>
  <c r="FI79" i="57"/>
  <c r="FJ79" i="57"/>
  <c r="FK79" i="57"/>
  <c r="FL79" i="57"/>
  <c r="FM79" i="57"/>
  <c r="FN79" i="57"/>
  <c r="FO79" i="57"/>
  <c r="FP79" i="57"/>
  <c r="FQ79" i="57"/>
  <c r="FR79" i="57"/>
  <c r="FS79" i="57"/>
  <c r="FT79" i="57"/>
  <c r="EU128" i="57"/>
  <c r="EU130" i="57"/>
  <c r="EU131" i="57" s="1"/>
  <c r="EU143" i="57" s="1"/>
  <c r="EU153" i="57" s="1"/>
  <c r="FU86" i="57"/>
  <c r="FU79" i="57"/>
  <c r="EV128" i="57"/>
  <c r="EV130" i="57"/>
  <c r="EV131" i="57" s="1"/>
  <c r="EV143" i="57" s="1"/>
  <c r="EV153" i="57" s="1"/>
  <c r="FU82" i="57"/>
  <c r="EW143" i="57"/>
  <c r="FC82" i="57"/>
  <c r="E79" i="57"/>
  <c r="EY125" i="57"/>
  <c r="EY127" i="57" s="1"/>
  <c r="EY128" i="57" s="1"/>
  <c r="FB88" i="57"/>
  <c r="EZ111" i="57"/>
  <c r="EZ113" i="57"/>
  <c r="EZ121" i="57" s="1"/>
  <c r="FA108" i="57"/>
  <c r="FA110" i="57" s="1"/>
  <c r="EX131" i="57"/>
  <c r="EX143" i="57" s="1"/>
  <c r="EX153" i="57" s="1"/>
  <c r="FC84" i="57"/>
  <c r="EZ123" i="57" l="1"/>
  <c r="FB90" i="57"/>
  <c r="E85" i="57"/>
  <c r="FH85" i="57"/>
  <c r="FI85" i="57"/>
  <c r="FJ85" i="57"/>
  <c r="FK85" i="57"/>
  <c r="FL85" i="57"/>
  <c r="FM85" i="57"/>
  <c r="FN85" i="57"/>
  <c r="FO85" i="57"/>
  <c r="FP85" i="57"/>
  <c r="FQ85" i="57"/>
  <c r="FR85" i="57"/>
  <c r="FS85" i="57"/>
  <c r="FT85" i="57"/>
  <c r="E84" i="57"/>
  <c r="FH84" i="57"/>
  <c r="FI84" i="57"/>
  <c r="FJ84" i="57"/>
  <c r="FK84" i="57"/>
  <c r="FL84" i="57"/>
  <c r="FM84" i="57"/>
  <c r="FN84" i="57"/>
  <c r="FO84" i="57"/>
  <c r="FP84" i="57"/>
  <c r="FQ84" i="57"/>
  <c r="FR84" i="57"/>
  <c r="FS84" i="57"/>
  <c r="FT84" i="57"/>
  <c r="FU84" i="57"/>
  <c r="E86" i="57"/>
  <c r="FH86" i="57"/>
  <c r="FI86" i="57"/>
  <c r="FJ86" i="57"/>
  <c r="FK86" i="57"/>
  <c r="FL86" i="57"/>
  <c r="FM86" i="57"/>
  <c r="FN86" i="57"/>
  <c r="FO86" i="57"/>
  <c r="FP86" i="57"/>
  <c r="FQ86" i="57"/>
  <c r="FR86" i="57"/>
  <c r="FS86" i="57"/>
  <c r="FT86" i="57"/>
  <c r="E82" i="57"/>
  <c r="FH82" i="57"/>
  <c r="FI82" i="57"/>
  <c r="FJ82" i="57"/>
  <c r="FK82" i="57"/>
  <c r="FL82" i="57"/>
  <c r="FM82" i="57"/>
  <c r="FN82" i="57"/>
  <c r="FO82" i="57"/>
  <c r="FP82" i="57"/>
  <c r="FP111" i="57" s="1"/>
  <c r="FQ82" i="57"/>
  <c r="FR82" i="57"/>
  <c r="FS82" i="57"/>
  <c r="FT82" i="57"/>
  <c r="FU85" i="57"/>
  <c r="EW153" i="57"/>
  <c r="EY130" i="57"/>
  <c r="EY131" i="57" s="1"/>
  <c r="EZ125" i="57"/>
  <c r="EZ127" i="57" s="1"/>
  <c r="EZ130" i="57" s="1"/>
  <c r="FA113" i="57"/>
  <c r="FA121" i="57" s="1"/>
  <c r="FA123" i="57" s="1"/>
  <c r="FA111" i="57"/>
  <c r="FC88" i="57"/>
  <c r="FH88" i="57" l="1"/>
  <c r="FI88" i="57"/>
  <c r="FJ88" i="57"/>
  <c r="FK88" i="57"/>
  <c r="FL88" i="57"/>
  <c r="FM88" i="57"/>
  <c r="FN88" i="57"/>
  <c r="FO88" i="57"/>
  <c r="FP88" i="57"/>
  <c r="FQ88" i="57"/>
  <c r="FR88" i="57"/>
  <c r="FS88" i="57"/>
  <c r="FT88" i="57"/>
  <c r="FU88" i="57"/>
  <c r="FB106" i="57"/>
  <c r="FU90" i="57"/>
  <c r="EY143" i="57"/>
  <c r="FC90" i="57"/>
  <c r="E88" i="57"/>
  <c r="EZ128" i="57"/>
  <c r="FA125" i="57"/>
  <c r="FA127" i="57" s="1"/>
  <c r="FA128" i="57" s="1"/>
  <c r="EZ131" i="57"/>
  <c r="EZ143" i="57" s="1"/>
  <c r="EZ153" i="57" s="1"/>
  <c r="FB108" i="57" l="1"/>
  <c r="FH90" i="57"/>
  <c r="FI90" i="57"/>
  <c r="FJ90" i="57"/>
  <c r="FK90" i="57"/>
  <c r="FL90" i="57"/>
  <c r="FM90" i="57"/>
  <c r="FN90" i="57"/>
  <c r="FO90" i="57"/>
  <c r="FP90" i="57"/>
  <c r="FQ90" i="57"/>
  <c r="FR90" i="57"/>
  <c r="FS90" i="57"/>
  <c r="FT90" i="57"/>
  <c r="EY153" i="57"/>
  <c r="FC106" i="57"/>
  <c r="E90" i="57"/>
  <c r="FA130" i="57"/>
  <c r="FA131" i="57" s="1"/>
  <c r="FA143" i="57" s="1"/>
  <c r="FA153" i="57" s="1"/>
  <c r="AD189" i="57"/>
  <c r="F178" i="57"/>
  <c r="FH178" i="57" s="1"/>
  <c r="G178" i="57"/>
  <c r="H178" i="57"/>
  <c r="I178" i="57"/>
  <c r="J178" i="57"/>
  <c r="K178" i="57"/>
  <c r="L178" i="57"/>
  <c r="M178" i="57"/>
  <c r="N178" i="57"/>
  <c r="FI178" i="57" s="1"/>
  <c r="O178" i="57"/>
  <c r="P178" i="57"/>
  <c r="Q178" i="57"/>
  <c r="R178" i="57"/>
  <c r="S178" i="57"/>
  <c r="T178" i="57"/>
  <c r="U178" i="57"/>
  <c r="V178" i="57"/>
  <c r="W178" i="57"/>
  <c r="X178" i="57"/>
  <c r="Y178" i="57"/>
  <c r="Z178" i="57"/>
  <c r="AA178" i="57"/>
  <c r="AB178" i="57"/>
  <c r="AC178" i="57"/>
  <c r="AD178" i="57"/>
  <c r="AE178" i="57"/>
  <c r="AF178" i="57"/>
  <c r="AG178" i="57"/>
  <c r="AH178" i="57"/>
  <c r="AI178" i="57"/>
  <c r="AJ178" i="57"/>
  <c r="AK178" i="57"/>
  <c r="AL178" i="57"/>
  <c r="AM178" i="57"/>
  <c r="AN178" i="57"/>
  <c r="AO178" i="57"/>
  <c r="AP178" i="57"/>
  <c r="AQ178" i="57"/>
  <c r="AR178" i="57"/>
  <c r="AS178" i="57"/>
  <c r="AT178" i="57"/>
  <c r="AU178" i="57"/>
  <c r="AV178" i="57"/>
  <c r="AW178" i="57"/>
  <c r="AX178" i="57"/>
  <c r="AY178" i="57"/>
  <c r="AZ178" i="57"/>
  <c r="BA178" i="57"/>
  <c r="BB178" i="57"/>
  <c r="BC178" i="57"/>
  <c r="BD178" i="57"/>
  <c r="BE178" i="57"/>
  <c r="BF178" i="57"/>
  <c r="BG178" i="57"/>
  <c r="BH178" i="57"/>
  <c r="BI178" i="57"/>
  <c r="BJ178" i="57"/>
  <c r="FM178" i="57" s="1"/>
  <c r="BK178" i="57"/>
  <c r="BL178" i="57"/>
  <c r="BM178" i="57"/>
  <c r="BN178" i="57"/>
  <c r="BO178" i="57"/>
  <c r="BP178" i="57"/>
  <c r="BQ178" i="57"/>
  <c r="BR178" i="57"/>
  <c r="BS178" i="57"/>
  <c r="BT178" i="57"/>
  <c r="BU178" i="57"/>
  <c r="BV178" i="57"/>
  <c r="BW178" i="57"/>
  <c r="BX178" i="57"/>
  <c r="BY178" i="57"/>
  <c r="BZ178" i="57"/>
  <c r="CA178" i="57"/>
  <c r="CB178" i="57"/>
  <c r="CC178" i="57"/>
  <c r="CD178" i="57"/>
  <c r="CE178" i="57"/>
  <c r="CF178" i="57"/>
  <c r="CG178" i="57"/>
  <c r="CH178" i="57"/>
  <c r="FO178" i="57" s="1"/>
  <c r="CI178" i="57"/>
  <c r="CJ178" i="57"/>
  <c r="CK178" i="57"/>
  <c r="CL178" i="57"/>
  <c r="CM178" i="57"/>
  <c r="CN178" i="57"/>
  <c r="CO178" i="57"/>
  <c r="CP178" i="57"/>
  <c r="CQ178" i="57"/>
  <c r="CR178" i="57"/>
  <c r="CS178" i="57"/>
  <c r="CT178" i="57"/>
  <c r="CU178" i="57"/>
  <c r="CV178" i="57"/>
  <c r="CW178" i="57"/>
  <c r="CX178" i="57"/>
  <c r="CY178" i="57"/>
  <c r="CZ178" i="57"/>
  <c r="DA178" i="57"/>
  <c r="DB178" i="57"/>
  <c r="DC178" i="57"/>
  <c r="DD178" i="57"/>
  <c r="DE178" i="57"/>
  <c r="DF178" i="57"/>
  <c r="FQ178" i="57" s="1"/>
  <c r="DG178" i="57"/>
  <c r="DH178" i="57"/>
  <c r="DI178" i="57"/>
  <c r="DJ178" i="57"/>
  <c r="DK178" i="57"/>
  <c r="DL178" i="57"/>
  <c r="DM178" i="57"/>
  <c r="DN178" i="57"/>
  <c r="DO178" i="57"/>
  <c r="DP178" i="57"/>
  <c r="DQ178" i="57"/>
  <c r="DR178" i="57"/>
  <c r="DS178" i="57"/>
  <c r="DT178" i="57"/>
  <c r="DU178" i="57"/>
  <c r="DV178" i="57"/>
  <c r="DW178" i="57"/>
  <c r="DX178" i="57"/>
  <c r="DY178" i="57"/>
  <c r="DZ178" i="57"/>
  <c r="EA178" i="57"/>
  <c r="EB178" i="57"/>
  <c r="EC178" i="57"/>
  <c r="ED178" i="57"/>
  <c r="FS178" i="57" s="1"/>
  <c r="EE178" i="57"/>
  <c r="EF178" i="57"/>
  <c r="EG178" i="57"/>
  <c r="EH178" i="57"/>
  <c r="EI178" i="57"/>
  <c r="EJ178" i="57"/>
  <c r="EK178" i="57"/>
  <c r="EL178" i="57"/>
  <c r="EM178" i="57"/>
  <c r="EN178" i="57"/>
  <c r="EO178" i="57"/>
  <c r="EP178" i="57"/>
  <c r="EQ178" i="57"/>
  <c r="ER178" i="57"/>
  <c r="ES178" i="57"/>
  <c r="ET178" i="57"/>
  <c r="EU178" i="57"/>
  <c r="EV178" i="57"/>
  <c r="EW178" i="57"/>
  <c r="EX178" i="57"/>
  <c r="EY178" i="57"/>
  <c r="EZ178" i="57"/>
  <c r="FA178" i="57"/>
  <c r="FB178" i="57"/>
  <c r="FU178" i="57" s="1"/>
  <c r="FC178" i="57"/>
  <c r="FD178" i="57"/>
  <c r="FE178" i="57"/>
  <c r="FT143" i="57" l="1"/>
  <c r="FR178" i="57"/>
  <c r="FI106" i="57"/>
  <c r="FJ106" i="57"/>
  <c r="FK106" i="57"/>
  <c r="FL106" i="57"/>
  <c r="FM106" i="57"/>
  <c r="FN106" i="57"/>
  <c r="FO106" i="57"/>
  <c r="FP106" i="57"/>
  <c r="FQ106" i="57"/>
  <c r="FR106" i="57"/>
  <c r="FS106" i="57"/>
  <c r="FT106" i="57"/>
  <c r="FB110" i="57"/>
  <c r="FU106" i="57"/>
  <c r="FP178" i="57"/>
  <c r="FK178" i="57"/>
  <c r="FL178" i="57"/>
  <c r="FJ178" i="57"/>
  <c r="FT178" i="57"/>
  <c r="FN178" i="57"/>
  <c r="AD157" i="57"/>
  <c r="E178" i="57"/>
  <c r="E106" i="57"/>
  <c r="FC108" i="57"/>
  <c r="FU108" i="57" s="1"/>
  <c r="FP125" i="57"/>
  <c r="F180" i="57"/>
  <c r="FB111" i="57" l="1"/>
  <c r="FB113" i="57"/>
  <c r="FI108" i="57"/>
  <c r="FJ108" i="57"/>
  <c r="FK108" i="57"/>
  <c r="FL108" i="57"/>
  <c r="FM108" i="57"/>
  <c r="FN108" i="57"/>
  <c r="FO108" i="57"/>
  <c r="FP108" i="57"/>
  <c r="FQ108" i="57"/>
  <c r="FR108" i="57"/>
  <c r="FS108" i="57"/>
  <c r="FT108" i="57"/>
  <c r="FC110" i="57"/>
  <c r="E108" i="57"/>
  <c r="F181" i="57"/>
  <c r="G179" i="57" s="1"/>
  <c r="F185" i="57"/>
  <c r="G180" i="57"/>
  <c r="G181" i="57" s="1"/>
  <c r="H179" i="57" s="1"/>
  <c r="H180" i="57" s="1"/>
  <c r="H181" i="57" s="1"/>
  <c r="FH110" i="57" l="1"/>
  <c r="FH111" i="57" s="1"/>
  <c r="FI110" i="57"/>
  <c r="FL110" i="57"/>
  <c r="FM110" i="57"/>
  <c r="FM111" i="57" s="1"/>
  <c r="FN110" i="57"/>
  <c r="FN111" i="57" s="1"/>
  <c r="FO110" i="57"/>
  <c r="FO111" i="57" s="1"/>
  <c r="FQ110" i="57"/>
  <c r="FR110" i="57"/>
  <c r="FS110" i="57"/>
  <c r="FT110" i="57"/>
  <c r="FB121" i="57"/>
  <c r="FU113" i="57"/>
  <c r="FU110" i="57"/>
  <c r="F155" i="57"/>
  <c r="F162" i="57" s="1"/>
  <c r="E110" i="57"/>
  <c r="FC111" i="57"/>
  <c r="FC113" i="57"/>
  <c r="F190" i="57"/>
  <c r="G184" i="57" s="1"/>
  <c r="G186" i="57" s="1"/>
  <c r="G185" i="57"/>
  <c r="G155" i="57" s="1"/>
  <c r="I179" i="57"/>
  <c r="H185" i="57"/>
  <c r="FB125" i="57" l="1"/>
  <c r="FB127" i="57" s="1"/>
  <c r="FB123" i="57"/>
  <c r="FH113" i="57"/>
  <c r="FI113" i="57"/>
  <c r="FL113" i="57"/>
  <c r="FM113" i="57"/>
  <c r="FN113" i="57"/>
  <c r="FO113" i="57"/>
  <c r="FP113" i="57"/>
  <c r="FQ113" i="57"/>
  <c r="FR113" i="57"/>
  <c r="FT113" i="57"/>
  <c r="FC121" i="57"/>
  <c r="E113" i="57"/>
  <c r="G187" i="57"/>
  <c r="F199" i="57"/>
  <c r="F163" i="57"/>
  <c r="H155" i="57"/>
  <c r="I180" i="57"/>
  <c r="FH121" i="57" l="1"/>
  <c r="FI121" i="57"/>
  <c r="FO121" i="57"/>
  <c r="FT121" i="57"/>
  <c r="FU123" i="57"/>
  <c r="FU121" i="57"/>
  <c r="FB128" i="57"/>
  <c r="FB130" i="57"/>
  <c r="FB131" i="57" s="1"/>
  <c r="FB143" i="57" s="1"/>
  <c r="FB153" i="57" s="1"/>
  <c r="G190" i="57"/>
  <c r="G156" i="57"/>
  <c r="E121" i="57"/>
  <c r="FC123" i="57"/>
  <c r="FC125" i="57"/>
  <c r="FC127" i="57" s="1"/>
  <c r="FF125" i="57"/>
  <c r="FF127" i="57" s="1"/>
  <c r="FE125" i="57"/>
  <c r="FE127" i="57" s="1"/>
  <c r="FD125" i="57"/>
  <c r="FD127" i="57" s="1"/>
  <c r="G193" i="57"/>
  <c r="G195" i="57" s="1"/>
  <c r="H184" i="57"/>
  <c r="H186" i="57" s="1"/>
  <c r="I181" i="57"/>
  <c r="FU127" i="57" l="1"/>
  <c r="E123" i="57"/>
  <c r="FH123" i="57"/>
  <c r="FI123" i="57"/>
  <c r="FJ123" i="57"/>
  <c r="FK123" i="57"/>
  <c r="FL123" i="57"/>
  <c r="FM123" i="57"/>
  <c r="FN123" i="57"/>
  <c r="FO123" i="57"/>
  <c r="FP123" i="57"/>
  <c r="FQ123" i="57"/>
  <c r="FR123" i="57"/>
  <c r="FS123" i="57"/>
  <c r="FT123" i="57"/>
  <c r="G196" i="57"/>
  <c r="FH127" i="57"/>
  <c r="FI127" i="57"/>
  <c r="FJ127" i="57"/>
  <c r="FK127" i="57"/>
  <c r="FL127" i="57"/>
  <c r="FM127" i="57"/>
  <c r="FN127" i="57"/>
  <c r="FO127" i="57"/>
  <c r="FP127" i="57"/>
  <c r="FQ127" i="57"/>
  <c r="FR127" i="57"/>
  <c r="FT127" i="57"/>
  <c r="E127" i="57"/>
  <c r="FF128" i="57"/>
  <c r="FF130" i="57"/>
  <c r="FC130" i="57"/>
  <c r="FC128" i="57"/>
  <c r="FD128" i="57"/>
  <c r="FD130" i="57"/>
  <c r="FD131" i="57" s="1"/>
  <c r="FD143" i="57" s="1"/>
  <c r="FD153" i="57" s="1"/>
  <c r="H187" i="57"/>
  <c r="FE130" i="57"/>
  <c r="FE131" i="57" s="1"/>
  <c r="FE143" i="57" s="1"/>
  <c r="FE153" i="57" s="1"/>
  <c r="FE128" i="57"/>
  <c r="G199" i="57"/>
  <c r="J179" i="57"/>
  <c r="I185" i="57"/>
  <c r="H190" i="57" l="1"/>
  <c r="G160" i="57"/>
  <c r="FC131" i="57"/>
  <c r="FU130" i="57"/>
  <c r="FF131" i="57"/>
  <c r="FH130" i="57"/>
  <c r="FI130" i="57"/>
  <c r="FJ130" i="57"/>
  <c r="FK130" i="57"/>
  <c r="FL130" i="57"/>
  <c r="FM130" i="57"/>
  <c r="FN130" i="57"/>
  <c r="FO130" i="57"/>
  <c r="FP130" i="57"/>
  <c r="FQ130" i="57"/>
  <c r="FR130" i="57"/>
  <c r="FS130" i="57"/>
  <c r="FT130" i="57"/>
  <c r="FO128" i="57"/>
  <c r="FN128" i="57"/>
  <c r="FM128" i="57"/>
  <c r="FP128" i="57"/>
  <c r="FH128" i="57"/>
  <c r="E130" i="57"/>
  <c r="H156" i="57"/>
  <c r="H193" i="57"/>
  <c r="H195" i="57" s="1"/>
  <c r="I184" i="57"/>
  <c r="I186" i="57" s="1"/>
  <c r="I155" i="57"/>
  <c r="J180" i="57"/>
  <c r="E131" i="57" l="1"/>
  <c r="H196" i="57"/>
  <c r="G162" i="57"/>
  <c r="G163" i="57" s="1"/>
  <c r="FU131" i="57"/>
  <c r="FC143" i="57"/>
  <c r="FC153" i="57" s="1"/>
  <c r="FF143" i="57"/>
  <c r="FH131" i="57"/>
  <c r="FI131" i="57"/>
  <c r="FJ131" i="57"/>
  <c r="FK131" i="57"/>
  <c r="FL131" i="57"/>
  <c r="FM131" i="57"/>
  <c r="FN131" i="57"/>
  <c r="FO131" i="57"/>
  <c r="FQ131" i="57"/>
  <c r="FR131" i="57"/>
  <c r="FS131" i="57"/>
  <c r="FT131" i="57"/>
  <c r="E128" i="57"/>
  <c r="J181" i="57"/>
  <c r="K179" i="57" s="1"/>
  <c r="I187" i="57"/>
  <c r="H199" i="57"/>
  <c r="E148" i="57" l="1"/>
  <c r="I190" i="57"/>
  <c r="H160" i="57"/>
  <c r="E143" i="57"/>
  <c r="E146" i="57" s="1"/>
  <c r="FF153" i="57"/>
  <c r="FU153" i="57" s="1"/>
  <c r="FI143" i="57"/>
  <c r="FJ143" i="57"/>
  <c r="FK143" i="57"/>
  <c r="FM143" i="57"/>
  <c r="FN143" i="57"/>
  <c r="FO143" i="57"/>
  <c r="FU143" i="57"/>
  <c r="J185" i="57"/>
  <c r="I156" i="57"/>
  <c r="L45" i="57"/>
  <c r="L47" i="57"/>
  <c r="I193" i="57"/>
  <c r="J184" i="57"/>
  <c r="J186" i="57" s="1"/>
  <c r="J155" i="57"/>
  <c r="K180" i="57"/>
  <c r="K181" i="57" s="1"/>
  <c r="H162" i="57" l="1"/>
  <c r="H163" i="57" s="1"/>
  <c r="E147" i="57"/>
  <c r="E149" i="57" s="1"/>
  <c r="E153" i="57"/>
  <c r="FI153" i="57"/>
  <c r="FJ153" i="57"/>
  <c r="FK153" i="57"/>
  <c r="FL153" i="57"/>
  <c r="FM153" i="57"/>
  <c r="FN153" i="57"/>
  <c r="FO153" i="57"/>
  <c r="FP153" i="57"/>
  <c r="FQ153" i="57"/>
  <c r="FR153" i="57"/>
  <c r="FS153" i="57"/>
  <c r="FT153" i="57"/>
  <c r="I195" i="57"/>
  <c r="J187" i="57"/>
  <c r="L179" i="57"/>
  <c r="K185" i="57"/>
  <c r="I196" i="57" l="1"/>
  <c r="J190" i="57"/>
  <c r="K184" i="57" s="1"/>
  <c r="K186" i="57" s="1"/>
  <c r="J156" i="57"/>
  <c r="I199" i="57"/>
  <c r="J193" i="57" s="1"/>
  <c r="J195" i="57" s="1"/>
  <c r="J196" i="57" s="1"/>
  <c r="J160" i="57" s="1"/>
  <c r="K155" i="57"/>
  <c r="L180" i="57"/>
  <c r="L181" i="57" s="1"/>
  <c r="I160" i="57" l="1"/>
  <c r="J162" i="57"/>
  <c r="J199" i="57"/>
  <c r="K187" i="57"/>
  <c r="K156" i="57" s="1"/>
  <c r="M179" i="57"/>
  <c r="L185" i="57"/>
  <c r="I162" i="57" l="1"/>
  <c r="I163" i="57" s="1"/>
  <c r="J163" i="57" s="1"/>
  <c r="K193" i="57"/>
  <c r="K190" i="57"/>
  <c r="L155" i="57"/>
  <c r="M180" i="57"/>
  <c r="M181" i="57" s="1"/>
  <c r="K195" i="57" l="1"/>
  <c r="L184" i="57"/>
  <c r="L186" i="57" s="1"/>
  <c r="N179" i="57"/>
  <c r="M185" i="57"/>
  <c r="K196" i="57" l="1"/>
  <c r="L187" i="57"/>
  <c r="L156" i="57" s="1"/>
  <c r="M155" i="57"/>
  <c r="N180" i="57"/>
  <c r="N181" i="57" l="1"/>
  <c r="K199" i="57"/>
  <c r="L193" i="57" s="1"/>
  <c r="L195" i="57" s="1"/>
  <c r="L196" i="57" s="1"/>
  <c r="L160" i="57" s="1"/>
  <c r="L162" i="57" s="1"/>
  <c r="K160" i="57"/>
  <c r="K162" i="57" s="1"/>
  <c r="K163" i="57" s="1"/>
  <c r="L190" i="57"/>
  <c r="O179" i="57"/>
  <c r="N185" i="57"/>
  <c r="L163" i="57" l="1"/>
  <c r="M184" i="57"/>
  <c r="L199" i="57"/>
  <c r="M186" i="57"/>
  <c r="N155" i="57"/>
  <c r="O180" i="57"/>
  <c r="O181" i="57" l="1"/>
  <c r="M193" i="57"/>
  <c r="M187" i="57"/>
  <c r="M156" i="57" s="1"/>
  <c r="P179" i="57"/>
  <c r="O185" i="57"/>
  <c r="M195" i="57" l="1"/>
  <c r="M196" i="57" s="1"/>
  <c r="M160" i="57" s="1"/>
  <c r="M162" i="57" s="1"/>
  <c r="M163" i="57" s="1"/>
  <c r="M190" i="57"/>
  <c r="O155" i="57"/>
  <c r="P180" i="57"/>
  <c r="P181" i="57" l="1"/>
  <c r="N184" i="57"/>
  <c r="N186" i="57" s="1"/>
  <c r="M199" i="57"/>
  <c r="Q179" i="57"/>
  <c r="P185" i="57"/>
  <c r="N193" i="57" l="1"/>
  <c r="N195" i="57" s="1"/>
  <c r="N187" i="57"/>
  <c r="P155" i="57"/>
  <c r="Q180" i="57"/>
  <c r="Q181" i="57" l="1"/>
  <c r="N156" i="57"/>
  <c r="N196" i="57"/>
  <c r="N190" i="57"/>
  <c r="R179" i="57"/>
  <c r="Q185" i="57"/>
  <c r="N160" i="57" l="1"/>
  <c r="O184" i="57"/>
  <c r="O186" i="57" s="1"/>
  <c r="N199" i="57"/>
  <c r="Q155" i="57"/>
  <c r="R180" i="57"/>
  <c r="R181" i="57" l="1"/>
  <c r="N162" i="57"/>
  <c r="N163" i="57" s="1"/>
  <c r="O193" i="57"/>
  <c r="O195" i="57" s="1"/>
  <c r="O187" i="57"/>
  <c r="S179" i="57"/>
  <c r="R185" i="57"/>
  <c r="O156" i="57" l="1"/>
  <c r="O196" i="57"/>
  <c r="O190" i="57"/>
  <c r="R155" i="57"/>
  <c r="S180" i="57"/>
  <c r="S181" i="57" s="1"/>
  <c r="O160" i="57" l="1"/>
  <c r="P184" i="57"/>
  <c r="P186" i="57" s="1"/>
  <c r="O199" i="57"/>
  <c r="T179" i="57"/>
  <c r="S185" i="57"/>
  <c r="O162" i="57" l="1"/>
  <c r="O163" i="57" s="1"/>
  <c r="P193" i="57"/>
  <c r="P195" i="57" s="1"/>
  <c r="P187" i="57"/>
  <c r="S155" i="57"/>
  <c r="T180" i="57"/>
  <c r="T181" i="57" s="1"/>
  <c r="P156" i="57" l="1"/>
  <c r="P196" i="57"/>
  <c r="P190" i="57"/>
  <c r="U179" i="57"/>
  <c r="T185" i="57"/>
  <c r="P160" i="57" l="1"/>
  <c r="Q184" i="57"/>
  <c r="Q186" i="57" s="1"/>
  <c r="P199" i="57"/>
  <c r="T155" i="57"/>
  <c r="U180" i="57"/>
  <c r="U181" i="57" s="1"/>
  <c r="P162" i="57" l="1"/>
  <c r="P163" i="57" s="1"/>
  <c r="Q193" i="57"/>
  <c r="Q187" i="57"/>
  <c r="V179" i="57"/>
  <c r="U185" i="57"/>
  <c r="Q156" i="57" l="1"/>
  <c r="Q195" i="57"/>
  <c r="Q190" i="57"/>
  <c r="U155" i="57"/>
  <c r="V180" i="57"/>
  <c r="V181" i="57" s="1"/>
  <c r="Q196" i="57" l="1"/>
  <c r="R184" i="57"/>
  <c r="R186" i="57" s="1"/>
  <c r="R187" i="57" s="1"/>
  <c r="Q199" i="57"/>
  <c r="W179" i="57"/>
  <c r="V185" i="57"/>
  <c r="R156" i="57" l="1"/>
  <c r="Q160" i="57"/>
  <c r="R193" i="57"/>
  <c r="R195" i="57" s="1"/>
  <c r="R190" i="57"/>
  <c r="V155" i="57"/>
  <c r="W180" i="57"/>
  <c r="W181" i="57" s="1"/>
  <c r="R196" i="57" l="1"/>
  <c r="Q162" i="57"/>
  <c r="Q163" i="57" s="1"/>
  <c r="S184" i="57"/>
  <c r="S186" i="57" s="1"/>
  <c r="X179" i="57"/>
  <c r="W185" i="57"/>
  <c r="R160" i="57" l="1"/>
  <c r="R199" i="57"/>
  <c r="S193" i="57" s="1"/>
  <c r="S187" i="57"/>
  <c r="S156" i="57" s="1"/>
  <c r="W155" i="57"/>
  <c r="X180" i="57"/>
  <c r="X181" i="57" s="1"/>
  <c r="R162" i="57" l="1"/>
  <c r="R163" i="57" s="1"/>
  <c r="S190" i="57"/>
  <c r="T184" i="57" s="1"/>
  <c r="T186" i="57" s="1"/>
  <c r="S195" i="57"/>
  <c r="Y179" i="57"/>
  <c r="X185" i="57"/>
  <c r="S196" i="57" l="1"/>
  <c r="T187" i="57"/>
  <c r="T156" i="57" s="1"/>
  <c r="X155" i="57"/>
  <c r="Y180" i="57"/>
  <c r="Y181" i="57" s="1"/>
  <c r="S199" i="57" l="1"/>
  <c r="T193" i="57" s="1"/>
  <c r="T195" i="57" s="1"/>
  <c r="T196" i="57" s="1"/>
  <c r="T160" i="57" s="1"/>
  <c r="T162" i="57" s="1"/>
  <c r="S160" i="57"/>
  <c r="S162" i="57" s="1"/>
  <c r="S163" i="57" s="1"/>
  <c r="T190" i="57"/>
  <c r="Z179" i="57"/>
  <c r="Y185" i="57"/>
  <c r="T163" i="57" l="1"/>
  <c r="U184" i="57"/>
  <c r="U186" i="57" s="1"/>
  <c r="T199" i="57"/>
  <c r="Y155" i="57"/>
  <c r="Z180" i="57"/>
  <c r="Z181" i="57" l="1"/>
  <c r="U193" i="57"/>
  <c r="U195" i="57" s="1"/>
  <c r="U196" i="57" s="1"/>
  <c r="U160" i="57" s="1"/>
  <c r="U187" i="57"/>
  <c r="U156" i="57" s="1"/>
  <c r="AA179" i="57"/>
  <c r="Z185" i="57"/>
  <c r="U162" i="57" l="1"/>
  <c r="U163" i="57" s="1"/>
  <c r="U190" i="57"/>
  <c r="Z155" i="57"/>
  <c r="AA180" i="57"/>
  <c r="AA181" i="57" l="1"/>
  <c r="V184" i="57"/>
  <c r="V186" i="57" s="1"/>
  <c r="V187" i="57" s="1"/>
  <c r="V156" i="57" s="1"/>
  <c r="U199" i="57"/>
  <c r="AB179" i="57"/>
  <c r="AA185" i="57"/>
  <c r="V193" i="57" l="1"/>
  <c r="V195" i="57" s="1"/>
  <c r="V196" i="57" s="1"/>
  <c r="V160" i="57" s="1"/>
  <c r="V162" i="57" s="1"/>
  <c r="V163" i="57" s="1"/>
  <c r="V190" i="57"/>
  <c r="AA155" i="57"/>
  <c r="AB180" i="57"/>
  <c r="AB181" i="57" l="1"/>
  <c r="W184" i="57"/>
  <c r="W186" i="57" s="1"/>
  <c r="AC179" i="57"/>
  <c r="AB185" i="57"/>
  <c r="V199" i="57" l="1"/>
  <c r="W187" i="57"/>
  <c r="W156" i="57" s="1"/>
  <c r="AB155" i="57"/>
  <c r="AC180" i="57"/>
  <c r="AC181" i="57" l="1"/>
  <c r="W193" i="57"/>
  <c r="W195" i="57" s="1"/>
  <c r="W196" i="57" s="1"/>
  <c r="W160" i="57" s="1"/>
  <c r="W162" i="57" s="1"/>
  <c r="W163" i="57" s="1"/>
  <c r="W190" i="57"/>
  <c r="AD179" i="57"/>
  <c r="AC185" i="57"/>
  <c r="X184" i="57" l="1"/>
  <c r="X186" i="57" s="1"/>
  <c r="AC155" i="57"/>
  <c r="AD180" i="57"/>
  <c r="AD181" i="57" l="1"/>
  <c r="W199" i="57"/>
  <c r="X187" i="57"/>
  <c r="X156" i="57" s="1"/>
  <c r="AE179" i="57"/>
  <c r="AD185" i="57"/>
  <c r="X193" i="57" l="1"/>
  <c r="X195" i="57" s="1"/>
  <c r="X196" i="57" s="1"/>
  <c r="X160" i="57" s="1"/>
  <c r="X162" i="57" s="1"/>
  <c r="X163" i="57" s="1"/>
  <c r="X190" i="57"/>
  <c r="AD155" i="57"/>
  <c r="AE180" i="57"/>
  <c r="AE181" i="57" s="1"/>
  <c r="Y184" i="57" l="1"/>
  <c r="Y186" i="57" s="1"/>
  <c r="X199" i="57"/>
  <c r="AF179" i="57"/>
  <c r="AE185" i="57"/>
  <c r="Y193" i="57" l="1"/>
  <c r="Y187" i="57"/>
  <c r="Y156" i="57" s="1"/>
  <c r="AE155" i="57"/>
  <c r="AF180" i="57"/>
  <c r="AF181" i="57" s="1"/>
  <c r="Y190" i="57" l="1"/>
  <c r="Z184" i="57" s="1"/>
  <c r="Z186" i="57" s="1"/>
  <c r="Y195" i="57"/>
  <c r="Y196" i="57" s="1"/>
  <c r="Y160" i="57" s="1"/>
  <c r="Y162" i="57" s="1"/>
  <c r="Y163" i="57" s="1"/>
  <c r="AG179" i="57"/>
  <c r="AF185" i="57"/>
  <c r="Y199" i="57" l="1"/>
  <c r="Z193" i="57" s="1"/>
  <c r="Z195" i="57" s="1"/>
  <c r="Z187" i="57"/>
  <c r="AF155" i="57"/>
  <c r="AG180" i="57"/>
  <c r="AG181" i="57" s="1"/>
  <c r="Z156" i="57" l="1"/>
  <c r="Z196" i="57"/>
  <c r="Z190" i="57"/>
  <c r="AH179" i="57"/>
  <c r="AG185" i="57"/>
  <c r="Z160" i="57" l="1"/>
  <c r="AA184" i="57"/>
  <c r="AA186" i="57" s="1"/>
  <c r="Z199" i="57"/>
  <c r="AG155" i="57"/>
  <c r="AH180" i="57"/>
  <c r="AH181" i="57" s="1"/>
  <c r="Z162" i="57" l="1"/>
  <c r="Z163" i="57" s="1"/>
  <c r="AA193" i="57"/>
  <c r="AA195" i="57" s="1"/>
  <c r="AA187" i="57"/>
  <c r="AI179" i="57"/>
  <c r="AH185" i="57"/>
  <c r="AA156" i="57" l="1"/>
  <c r="AA196" i="57"/>
  <c r="AA190" i="57"/>
  <c r="AH155" i="57"/>
  <c r="AI180" i="57"/>
  <c r="AI181" i="57" s="1"/>
  <c r="AA160" i="57" l="1"/>
  <c r="AB184" i="57"/>
  <c r="AB186" i="57" s="1"/>
  <c r="AA199" i="57"/>
  <c r="AJ179" i="57"/>
  <c r="AI185" i="57"/>
  <c r="AB187" i="57" l="1"/>
  <c r="AA162" i="57"/>
  <c r="AA163" i="57" s="1"/>
  <c r="AB193" i="57"/>
  <c r="AB190" i="57"/>
  <c r="AI155" i="57"/>
  <c r="AJ180" i="57"/>
  <c r="AJ181" i="57" s="1"/>
  <c r="AB156" i="57" l="1"/>
  <c r="AB195" i="57"/>
  <c r="AC184" i="57"/>
  <c r="AC186" i="57" s="1"/>
  <c r="AK179" i="57"/>
  <c r="AJ185" i="57"/>
  <c r="AB196" i="57" l="1"/>
  <c r="AB199" i="57" s="1"/>
  <c r="AC193" i="57" s="1"/>
  <c r="AC195" i="57" s="1"/>
  <c r="AC196" i="57" s="1"/>
  <c r="AC160" i="57" s="1"/>
  <c r="AC187" i="57"/>
  <c r="AJ155" i="57"/>
  <c r="AK180" i="57"/>
  <c r="AK181" i="57" s="1"/>
  <c r="AC156" i="57" l="1"/>
  <c r="AC162" i="57" s="1"/>
  <c r="AB160" i="57"/>
  <c r="AC190" i="57"/>
  <c r="AL179" i="57"/>
  <c r="AK185" i="57"/>
  <c r="AB162" i="57" l="1"/>
  <c r="AB163" i="57" s="1"/>
  <c r="AC163" i="57" s="1"/>
  <c r="AD184" i="57"/>
  <c r="AD186" i="57" s="1"/>
  <c r="AD187" i="57" s="1"/>
  <c r="AC199" i="57"/>
  <c r="AK155" i="57"/>
  <c r="AL180" i="57"/>
  <c r="AD156" i="57" l="1"/>
  <c r="AL181" i="57"/>
  <c r="AD193" i="57"/>
  <c r="AD195" i="57" s="1"/>
  <c r="AD190" i="57"/>
  <c r="AM179" i="57"/>
  <c r="AL185" i="57"/>
  <c r="AD196" i="57" l="1"/>
  <c r="AE184" i="57"/>
  <c r="AE186" i="57" s="1"/>
  <c r="AL155" i="57"/>
  <c r="AM180" i="57"/>
  <c r="AD160" i="57" l="1"/>
  <c r="AM181" i="57"/>
  <c r="AM185" i="57" s="1"/>
  <c r="AD199" i="57"/>
  <c r="AE187" i="57"/>
  <c r="AN179" i="57"/>
  <c r="AD162" i="57" l="1"/>
  <c r="AD163" i="57" s="1"/>
  <c r="AE188" i="57"/>
  <c r="AE193" i="57"/>
  <c r="AE195" i="57" s="1"/>
  <c r="AE196" i="57" s="1"/>
  <c r="AE189" i="57"/>
  <c r="AM155" i="57"/>
  <c r="AN180" i="57"/>
  <c r="AE160" i="57" l="1"/>
  <c r="AN181" i="57"/>
  <c r="AO179" i="57" s="1"/>
  <c r="AE156" i="57"/>
  <c r="AE190" i="57"/>
  <c r="AF184" i="57" s="1"/>
  <c r="AF186" i="57" s="1"/>
  <c r="AE199" i="57"/>
  <c r="AE157" i="57"/>
  <c r="AN185" i="57" l="1"/>
  <c r="AE162" i="57"/>
  <c r="AE163" i="57" s="1"/>
  <c r="AF193" i="57"/>
  <c r="AF195" i="57" s="1"/>
  <c r="AF196" i="57" s="1"/>
  <c r="AF160" i="57" s="1"/>
  <c r="AF187" i="57"/>
  <c r="AN155" i="57"/>
  <c r="AO180" i="57"/>
  <c r="AO181" i="57" l="1"/>
  <c r="AO185" i="57" s="1"/>
  <c r="AF188" i="57"/>
  <c r="AP179" i="57" l="1"/>
  <c r="AF156" i="57"/>
  <c r="AF162" i="57" s="1"/>
  <c r="AF163" i="57" s="1"/>
  <c r="AF190" i="57"/>
  <c r="AG184" i="57" s="1"/>
  <c r="AG186" i="57" s="1"/>
  <c r="AO155" i="57"/>
  <c r="AP180" i="57"/>
  <c r="AP181" i="57" l="1"/>
  <c r="AF199" i="57"/>
  <c r="AG187" i="57"/>
  <c r="AQ179" i="57"/>
  <c r="AP185" i="57"/>
  <c r="AG193" i="57" l="1"/>
  <c r="AG195" i="57" s="1"/>
  <c r="AG196" i="57" s="1"/>
  <c r="AG160" i="57" s="1"/>
  <c r="AG188" i="57"/>
  <c r="AP155" i="57"/>
  <c r="AQ180" i="57"/>
  <c r="AQ181" i="57" s="1"/>
  <c r="AG190" i="57" l="1"/>
  <c r="AG156" i="57"/>
  <c r="AG162" i="57" s="1"/>
  <c r="AG163" i="57" s="1"/>
  <c r="AH184" i="57"/>
  <c r="AH186" i="57" s="1"/>
  <c r="AH187" i="57" s="1"/>
  <c r="AG199" i="57"/>
  <c r="AR179" i="57"/>
  <c r="AQ185" i="57"/>
  <c r="AH193" i="57" l="1"/>
  <c r="AH195" i="57" s="1"/>
  <c r="AH196" i="57" s="1"/>
  <c r="AH160" i="57" s="1"/>
  <c r="AH188" i="57"/>
  <c r="AH190" i="57" s="1"/>
  <c r="AQ155" i="57"/>
  <c r="AR180" i="57"/>
  <c r="AR181" i="57" s="1"/>
  <c r="AH156" i="57" l="1"/>
  <c r="AH162" i="57" s="1"/>
  <c r="AH163" i="57" s="1"/>
  <c r="AI184" i="57"/>
  <c r="AI186" i="57" s="1"/>
  <c r="AI187" i="57" s="1"/>
  <c r="AS179" i="57"/>
  <c r="AR185" i="57"/>
  <c r="AH199" i="57" l="1"/>
  <c r="AI188" i="57"/>
  <c r="AI190" i="57" s="1"/>
  <c r="AR155" i="57"/>
  <c r="AS180" i="57"/>
  <c r="AS181" i="57" s="1"/>
  <c r="AI156" i="57" l="1"/>
  <c r="AI193" i="57"/>
  <c r="AI195" i="57" s="1"/>
  <c r="AI196" i="57" s="1"/>
  <c r="AI160" i="57" s="1"/>
  <c r="AJ184" i="57"/>
  <c r="AJ186" i="57" s="1"/>
  <c r="AJ187" i="57" s="1"/>
  <c r="AT179" i="57"/>
  <c r="AS185" i="57"/>
  <c r="AI162" i="57" l="1"/>
  <c r="AI163" i="57" s="1"/>
  <c r="AJ188" i="57"/>
  <c r="AJ190" i="57" s="1"/>
  <c r="AS155" i="57"/>
  <c r="AT180" i="57"/>
  <c r="AT181" i="57" s="1"/>
  <c r="AJ156" i="57" l="1"/>
  <c r="AK184" i="57"/>
  <c r="AK186" i="57" s="1"/>
  <c r="AK187" i="57" s="1"/>
  <c r="AI199" i="57"/>
  <c r="AU179" i="57"/>
  <c r="AT185" i="57"/>
  <c r="AK188" i="57" l="1"/>
  <c r="AK156" i="57" s="1"/>
  <c r="AJ193" i="57"/>
  <c r="AJ195" i="57" s="1"/>
  <c r="AJ196" i="57" s="1"/>
  <c r="AJ160" i="57" s="1"/>
  <c r="AJ162" i="57" s="1"/>
  <c r="AJ163" i="57" s="1"/>
  <c r="AT155" i="57"/>
  <c r="AU180" i="57"/>
  <c r="AU181" i="57" s="1"/>
  <c r="AK190" i="57" l="1"/>
  <c r="AL184" i="57" s="1"/>
  <c r="AL186" i="57" s="1"/>
  <c r="AV179" i="57"/>
  <c r="AU185" i="57"/>
  <c r="AJ199" i="57" l="1"/>
  <c r="AL187" i="57"/>
  <c r="AU155" i="57"/>
  <c r="AV180" i="57"/>
  <c r="AV181" i="57" s="1"/>
  <c r="AK193" i="57" l="1"/>
  <c r="AL188" i="57"/>
  <c r="AW179" i="57"/>
  <c r="AV185" i="57"/>
  <c r="AL190" i="57" l="1"/>
  <c r="AM184" i="57" s="1"/>
  <c r="AM186" i="57" s="1"/>
  <c r="AL156" i="57"/>
  <c r="AK195" i="57"/>
  <c r="AV155" i="57"/>
  <c r="AW180" i="57"/>
  <c r="AW181" i="57" s="1"/>
  <c r="AM187" i="57" l="1"/>
  <c r="AK196" i="57"/>
  <c r="AK160" i="57" s="1"/>
  <c r="AK162" i="57" s="1"/>
  <c r="AK163" i="57" s="1"/>
  <c r="AM188" i="57"/>
  <c r="AX179" i="57"/>
  <c r="AW185" i="57"/>
  <c r="AM190" i="57" l="1"/>
  <c r="AM156" i="57"/>
  <c r="AK199" i="57"/>
  <c r="AL193" i="57" s="1"/>
  <c r="AL195" i="57" s="1"/>
  <c r="AN184" i="57"/>
  <c r="AN186" i="57" s="1"/>
  <c r="AW155" i="57"/>
  <c r="AX180" i="57"/>
  <c r="AN187" i="57" l="1"/>
  <c r="AX181" i="57"/>
  <c r="AX185" i="57" s="1"/>
  <c r="AL196" i="57"/>
  <c r="AL160" i="57" s="1"/>
  <c r="AL162" i="57" s="1"/>
  <c r="AN188" i="57"/>
  <c r="AY179" i="57"/>
  <c r="AN190" i="57" l="1"/>
  <c r="AL163" i="57"/>
  <c r="AN156" i="57"/>
  <c r="AL199" i="57"/>
  <c r="AM193" i="57" s="1"/>
  <c r="AM195" i="57" s="1"/>
  <c r="AO184" i="57"/>
  <c r="AO186" i="57" s="1"/>
  <c r="AX155" i="57"/>
  <c r="AY180" i="57"/>
  <c r="AY181" i="57" l="1"/>
  <c r="AO187" i="57"/>
  <c r="AM196" i="57"/>
  <c r="AM160" i="57" s="1"/>
  <c r="AM162" i="57" s="1"/>
  <c r="AO188" i="57"/>
  <c r="AZ179" i="57"/>
  <c r="AY185" i="57"/>
  <c r="AO190" i="57" l="1"/>
  <c r="AP184" i="57" s="1"/>
  <c r="AP186" i="57" s="1"/>
  <c r="AP187" i="57" s="1"/>
  <c r="AM163" i="57"/>
  <c r="AO156" i="57"/>
  <c r="AM199" i="57"/>
  <c r="AY155" i="57"/>
  <c r="AZ180" i="57"/>
  <c r="AZ181" i="57" l="1"/>
  <c r="AP188" i="57"/>
  <c r="AN193" i="57"/>
  <c r="AN195" i="57" s="1"/>
  <c r="AN196" i="57" s="1"/>
  <c r="AN160" i="57" s="1"/>
  <c r="AN162" i="57" s="1"/>
  <c r="BA179" i="57"/>
  <c r="AZ185" i="57"/>
  <c r="AP156" i="57" l="1"/>
  <c r="AN163" i="57"/>
  <c r="AP190" i="57"/>
  <c r="AQ184" i="57" s="1"/>
  <c r="AQ186" i="57" s="1"/>
  <c r="AN199" i="57"/>
  <c r="AO193" i="57" s="1"/>
  <c r="AZ155" i="57"/>
  <c r="BA180" i="57"/>
  <c r="BA181" i="57" l="1"/>
  <c r="AO195" i="57"/>
  <c r="AO196" i="57" s="1"/>
  <c r="AO160" i="57" s="1"/>
  <c r="AO162" i="57" s="1"/>
  <c r="AQ187" i="57"/>
  <c r="BB179" i="57"/>
  <c r="BA185" i="57"/>
  <c r="AO163" i="57" l="1"/>
  <c r="AO199" i="57"/>
  <c r="AQ188" i="57"/>
  <c r="AQ189" i="57" s="1"/>
  <c r="BA155" i="57"/>
  <c r="BB180" i="57"/>
  <c r="BB181" i="57" l="1"/>
  <c r="BB185" i="57" s="1"/>
  <c r="E189" i="57"/>
  <c r="FK189" i="57"/>
  <c r="FJ189" i="57"/>
  <c r="AQ156" i="57"/>
  <c r="AP193" i="57"/>
  <c r="AP195" i="57" s="1"/>
  <c r="AP196" i="57" s="1"/>
  <c r="AP160" i="57" s="1"/>
  <c r="AP162" i="57" s="1"/>
  <c r="AQ157" i="57"/>
  <c r="AQ190" i="57"/>
  <c r="BC179" i="57" l="1"/>
  <c r="E157" i="57"/>
  <c r="FK157" i="57"/>
  <c r="FJ157" i="57"/>
  <c r="AP163" i="57"/>
  <c r="AP199" i="57"/>
  <c r="AR184" i="57"/>
  <c r="AR186" i="57" s="1"/>
  <c r="AR187" i="57" s="1"/>
  <c r="BB155" i="57"/>
  <c r="BC180" i="57"/>
  <c r="BC181" i="57" s="1"/>
  <c r="AQ193" i="57" l="1"/>
  <c r="AR188" i="57"/>
  <c r="BD179" i="57"/>
  <c r="BC185" i="57"/>
  <c r="E188" i="57" l="1"/>
  <c r="FJ188" i="57"/>
  <c r="FK188" i="57"/>
  <c r="AR156" i="57"/>
  <c r="AQ195" i="57"/>
  <c r="AQ196" i="57" s="1"/>
  <c r="AR190" i="57"/>
  <c r="BC155" i="57"/>
  <c r="BD180" i="57"/>
  <c r="BD181" i="57" s="1"/>
  <c r="AQ199" i="57" l="1"/>
  <c r="AR193" i="57" s="1"/>
  <c r="AR195" i="57" s="1"/>
  <c r="AQ160" i="57"/>
  <c r="AQ162" i="57" s="1"/>
  <c r="AQ163" i="57" s="1"/>
  <c r="AS184" i="57"/>
  <c r="AS186" i="57" s="1"/>
  <c r="AS187" i="57" s="1"/>
  <c r="AS156" i="57" s="1"/>
  <c r="BE179" i="57"/>
  <c r="BD185" i="57"/>
  <c r="AR196" i="57" l="1"/>
  <c r="AS190" i="57"/>
  <c r="BD155" i="57"/>
  <c r="BE180" i="57"/>
  <c r="BE181" i="57" s="1"/>
  <c r="AR160" i="57" l="1"/>
  <c r="AR199" i="57"/>
  <c r="AS193" i="57" s="1"/>
  <c r="AS195" i="57" s="1"/>
  <c r="AT184" i="57"/>
  <c r="AT186" i="57" s="1"/>
  <c r="BF179" i="57"/>
  <c r="BE185" i="57"/>
  <c r="AR162" i="57" l="1"/>
  <c r="AR163" i="57" s="1"/>
  <c r="AS196" i="57"/>
  <c r="AT187" i="57"/>
  <c r="AT156" i="57" s="1"/>
  <c r="BE155" i="57"/>
  <c r="BF180" i="57"/>
  <c r="BF181" i="57" s="1"/>
  <c r="AS160" i="57" l="1"/>
  <c r="AS199" i="57"/>
  <c r="AT193" i="57" s="1"/>
  <c r="AT190" i="57"/>
  <c r="BG179" i="57"/>
  <c r="BF185" i="57"/>
  <c r="AS162" i="57" l="1"/>
  <c r="AS163" i="57" s="1"/>
  <c r="AT195" i="57"/>
  <c r="AU184" i="57"/>
  <c r="AU186" i="57" s="1"/>
  <c r="BF155" i="57"/>
  <c r="BG180" i="57"/>
  <c r="BG181" i="57" s="1"/>
  <c r="AT196" i="57" l="1"/>
  <c r="AU187" i="57"/>
  <c r="AU156" i="57" s="1"/>
  <c r="BH179" i="57"/>
  <c r="BG185" i="57"/>
  <c r="AT199" i="57" l="1"/>
  <c r="AU193" i="57" s="1"/>
  <c r="AU195" i="57" s="1"/>
  <c r="AT160" i="57"/>
  <c r="AU190" i="57"/>
  <c r="BG155" i="57"/>
  <c r="BH180" i="57"/>
  <c r="BH181" i="57" s="1"/>
  <c r="AU196" i="57" l="1"/>
  <c r="AU199" i="57" s="1"/>
  <c r="AT162" i="57"/>
  <c r="AT163" i="57" s="1"/>
  <c r="AV184" i="57"/>
  <c r="BH185" i="57"/>
  <c r="BI179" i="57"/>
  <c r="AU160" i="57" l="1"/>
  <c r="AV186" i="57"/>
  <c r="AV193" i="57"/>
  <c r="BI180" i="57"/>
  <c r="BI181" i="57" s="1"/>
  <c r="BH155" i="57"/>
  <c r="AU162" i="57" l="1"/>
  <c r="AU163" i="57" s="1"/>
  <c r="AV195" i="57"/>
  <c r="AV196" i="57" s="1"/>
  <c r="AV160" i="57" s="1"/>
  <c r="AV187" i="57"/>
  <c r="AV156" i="57" s="1"/>
  <c r="BJ179" i="57"/>
  <c r="BI185" i="57"/>
  <c r="AV190" i="57" l="1"/>
  <c r="BI155" i="57"/>
  <c r="BJ180" i="57"/>
  <c r="BJ181" i="57" l="1"/>
  <c r="AW184" i="57"/>
  <c r="AV199" i="57"/>
  <c r="BK179" i="57"/>
  <c r="BJ185" i="57"/>
  <c r="AW193" i="57" l="1"/>
  <c r="AV162" i="57"/>
  <c r="AV163" i="57" s="1"/>
  <c r="AW186" i="57"/>
  <c r="BJ155" i="57"/>
  <c r="BK180" i="57"/>
  <c r="BK181" i="57" l="1"/>
  <c r="AW195" i="57"/>
  <c r="AW196" i="57" s="1"/>
  <c r="AW160" i="57" s="1"/>
  <c r="AW187" i="57"/>
  <c r="AW156" i="57" s="1"/>
  <c r="BL179" i="57"/>
  <c r="BK185" i="57"/>
  <c r="AW190" i="57" l="1"/>
  <c r="BK155" i="57"/>
  <c r="BL180" i="57"/>
  <c r="BL181" i="57" l="1"/>
  <c r="AX184" i="57"/>
  <c r="AW199" i="57"/>
  <c r="BM179" i="57"/>
  <c r="BL185" i="57"/>
  <c r="AX193" i="57" l="1"/>
  <c r="AX195" i="57" s="1"/>
  <c r="AW162" i="57"/>
  <c r="AW163" i="57" s="1"/>
  <c r="AX186" i="57"/>
  <c r="BL155" i="57"/>
  <c r="BM180" i="57"/>
  <c r="BM181" i="57" l="1"/>
  <c r="AX196" i="57"/>
  <c r="AX187" i="57"/>
  <c r="BN179" i="57"/>
  <c r="BM185" i="57"/>
  <c r="AX156" i="57" l="1"/>
  <c r="AX160" i="57"/>
  <c r="AX190" i="57"/>
  <c r="AY184" i="57" s="1"/>
  <c r="AX199" i="57"/>
  <c r="BM155" i="57"/>
  <c r="BN180" i="57"/>
  <c r="BN181" i="57" l="1"/>
  <c r="AY193" i="57"/>
  <c r="AY195" i="57" s="1"/>
  <c r="AX162" i="57"/>
  <c r="AY186" i="57"/>
  <c r="BO179" i="57"/>
  <c r="BN185" i="57"/>
  <c r="AY196" i="57" l="1"/>
  <c r="AX163" i="57"/>
  <c r="AY187" i="57"/>
  <c r="BN155" i="57"/>
  <c r="BO180" i="57"/>
  <c r="BO181" i="57" s="1"/>
  <c r="AY156" i="57" l="1"/>
  <c r="AY160" i="57"/>
  <c r="AY190" i="57"/>
  <c r="BP179" i="57"/>
  <c r="BO185" i="57"/>
  <c r="AZ184" i="57" l="1"/>
  <c r="AY199" i="57"/>
  <c r="BO155" i="57"/>
  <c r="BP180" i="57"/>
  <c r="BP181" i="57" s="1"/>
  <c r="AZ193" i="57" l="1"/>
  <c r="AZ195" i="57" s="1"/>
  <c r="AY162" i="57"/>
  <c r="AZ186" i="57"/>
  <c r="BQ179" i="57"/>
  <c r="BP185" i="57"/>
  <c r="AZ196" i="57" l="1"/>
  <c r="AY163" i="57"/>
  <c r="AZ187" i="57"/>
  <c r="BP155" i="57"/>
  <c r="BQ180" i="57"/>
  <c r="BQ181" i="57" s="1"/>
  <c r="AZ156" i="57" l="1"/>
  <c r="AZ160" i="57"/>
  <c r="AZ190" i="57"/>
  <c r="BR179" i="57"/>
  <c r="BQ185" i="57"/>
  <c r="BA184" i="57" l="1"/>
  <c r="AZ199" i="57"/>
  <c r="BQ155" i="57"/>
  <c r="BR180" i="57"/>
  <c r="BR181" i="57" s="1"/>
  <c r="BA186" i="57" l="1"/>
  <c r="BA193" i="57"/>
  <c r="AZ162" i="57"/>
  <c r="BS179" i="57"/>
  <c r="BR185" i="57"/>
  <c r="AZ163" i="57" l="1"/>
  <c r="BA195" i="57"/>
  <c r="BA187" i="57"/>
  <c r="BR155" i="57"/>
  <c r="BS180" i="57"/>
  <c r="BS181" i="57" s="1"/>
  <c r="BA156" i="57" l="1"/>
  <c r="BA196" i="57"/>
  <c r="BA190" i="57"/>
  <c r="BT179" i="57"/>
  <c r="BS185" i="57"/>
  <c r="BA160" i="57" l="1"/>
  <c r="BB184" i="57"/>
  <c r="BA199" i="57"/>
  <c r="BS155" i="57"/>
  <c r="BT180" i="57"/>
  <c r="BT181" i="57" s="1"/>
  <c r="BB186" i="57" l="1"/>
  <c r="BB193" i="57"/>
  <c r="BB195" i="57" s="1"/>
  <c r="BA162" i="57"/>
  <c r="BU179" i="57"/>
  <c r="BT185" i="57"/>
  <c r="BB196" i="57" l="1"/>
  <c r="BA163" i="57"/>
  <c r="BB187" i="57"/>
  <c r="BT155" i="57"/>
  <c r="BU180" i="57"/>
  <c r="BU181" i="57" s="1"/>
  <c r="BB156" i="57" l="1"/>
  <c r="BB160" i="57"/>
  <c r="BB190" i="57"/>
  <c r="BV179" i="57"/>
  <c r="BU185" i="57"/>
  <c r="BC184" i="57" l="1"/>
  <c r="BB199" i="57"/>
  <c r="BU155" i="57"/>
  <c r="BV180" i="57"/>
  <c r="BV181" i="57" l="1"/>
  <c r="BC186" i="57"/>
  <c r="BC193" i="57"/>
  <c r="BC195" i="57" s="1"/>
  <c r="BC196" i="57" s="1"/>
  <c r="BC160" i="57" s="1"/>
  <c r="BB162" i="57"/>
  <c r="BW179" i="57"/>
  <c r="BV185" i="57"/>
  <c r="BB163" i="57" l="1"/>
  <c r="BC187" i="57"/>
  <c r="BC156" i="57" s="1"/>
  <c r="BV155" i="57"/>
  <c r="BW180" i="57"/>
  <c r="BW181" i="57" l="1"/>
  <c r="BC190" i="57"/>
  <c r="BX179" i="57"/>
  <c r="BW185" i="57"/>
  <c r="BD184" i="57" l="1"/>
  <c r="BC199" i="57"/>
  <c r="BW155" i="57"/>
  <c r="BX180" i="57"/>
  <c r="BX181" i="57" l="1"/>
  <c r="BD193" i="57"/>
  <c r="BD195" i="57" s="1"/>
  <c r="BD196" i="57" s="1"/>
  <c r="BD160" i="57" s="1"/>
  <c r="BC162" i="57"/>
  <c r="BC163" i="57" s="1"/>
  <c r="BD186" i="57"/>
  <c r="BY179" i="57"/>
  <c r="BX185" i="57"/>
  <c r="BD187" i="57" l="1"/>
  <c r="BD156" i="57" s="1"/>
  <c r="BX155" i="57"/>
  <c r="BY180" i="57"/>
  <c r="BY181" i="57" l="1"/>
  <c r="BD190" i="57"/>
  <c r="BZ179" i="57"/>
  <c r="BY185" i="57"/>
  <c r="BE184" i="57" l="1"/>
  <c r="BD199" i="57"/>
  <c r="BY155" i="57"/>
  <c r="BZ180" i="57"/>
  <c r="BZ181" i="57" l="1"/>
  <c r="BE193" i="57"/>
  <c r="BD162" i="57"/>
  <c r="BD163" i="57" s="1"/>
  <c r="BE186" i="57"/>
  <c r="CA179" i="57"/>
  <c r="BZ185" i="57"/>
  <c r="BE195" i="57" l="1"/>
  <c r="BE196" i="57" s="1"/>
  <c r="BE160" i="57" s="1"/>
  <c r="BE187" i="57"/>
  <c r="BE156" i="57" s="1"/>
  <c r="BZ155" i="57"/>
  <c r="CA180" i="57"/>
  <c r="CA181" i="57" s="1"/>
  <c r="BE190" i="57" l="1"/>
  <c r="BF184" i="57" s="1"/>
  <c r="BE199" i="57"/>
  <c r="CB179" i="57"/>
  <c r="CA185" i="57"/>
  <c r="BF193" i="57" l="1"/>
  <c r="BF195" i="57" s="1"/>
  <c r="BF196" i="57" s="1"/>
  <c r="BF160" i="57" s="1"/>
  <c r="BE162" i="57"/>
  <c r="BE163" i="57" s="1"/>
  <c r="BF186" i="57"/>
  <c r="CA155" i="57"/>
  <c r="CB180" i="57"/>
  <c r="CB181" i="57" s="1"/>
  <c r="BF187" i="57" l="1"/>
  <c r="BF156" i="57" s="1"/>
  <c r="CC179" i="57"/>
  <c r="CB185" i="57"/>
  <c r="BF190" i="57" l="1"/>
  <c r="BG184" i="57" s="1"/>
  <c r="BF199" i="57"/>
  <c r="CB155" i="57"/>
  <c r="CC180" i="57"/>
  <c r="CC181" i="57" s="1"/>
  <c r="BG193" i="57" l="1"/>
  <c r="BG195" i="57" s="1"/>
  <c r="BG196" i="57" s="1"/>
  <c r="BG160" i="57" s="1"/>
  <c r="BF162" i="57"/>
  <c r="BF163" i="57" s="1"/>
  <c r="BG186" i="57"/>
  <c r="CD179" i="57"/>
  <c r="CC185" i="57"/>
  <c r="BG187" i="57" l="1"/>
  <c r="BG156" i="57" s="1"/>
  <c r="CC155" i="57"/>
  <c r="CD180" i="57"/>
  <c r="CD181" i="57" s="1"/>
  <c r="BG190" i="57" l="1"/>
  <c r="CE179" i="57"/>
  <c r="CD185" i="57"/>
  <c r="BH184" i="57" l="1"/>
  <c r="BG199" i="57"/>
  <c r="CD155" i="57"/>
  <c r="CE180" i="57"/>
  <c r="CE181" i="57" s="1"/>
  <c r="BH193" i="57" l="1"/>
  <c r="BG162" i="57"/>
  <c r="BG163" i="57" s="1"/>
  <c r="BH186" i="57"/>
  <c r="CF179" i="57"/>
  <c r="CE185" i="57"/>
  <c r="BH195" i="57" l="1"/>
  <c r="BH196" i="57" s="1"/>
  <c r="BH160" i="57" s="1"/>
  <c r="BH187" i="57"/>
  <c r="BH156" i="57" s="1"/>
  <c r="CE155" i="57"/>
  <c r="CF180" i="57"/>
  <c r="CF181" i="57" s="1"/>
  <c r="BH190" i="57" l="1"/>
  <c r="CG179" i="57"/>
  <c r="CF185" i="57"/>
  <c r="BI184" i="57" l="1"/>
  <c r="BH199" i="57"/>
  <c r="CF155" i="57"/>
  <c r="CG180" i="57"/>
  <c r="CG181" i="57" s="1"/>
  <c r="BI193" i="57" l="1"/>
  <c r="BH162" i="57"/>
  <c r="BH163" i="57" s="1"/>
  <c r="BI186" i="57"/>
  <c r="CH179" i="57"/>
  <c r="CG185" i="57"/>
  <c r="BI195" i="57" l="1"/>
  <c r="BI196" i="57" s="1"/>
  <c r="BI160" i="57" s="1"/>
  <c r="BI187" i="57"/>
  <c r="BI156" i="57" s="1"/>
  <c r="CH180" i="57"/>
  <c r="CG155" i="57"/>
  <c r="CH181" i="57" l="1"/>
  <c r="BI190" i="57"/>
  <c r="CI179" i="57"/>
  <c r="CH185" i="57"/>
  <c r="BJ184" i="57" l="1"/>
  <c r="BI199" i="57"/>
  <c r="CH155" i="57"/>
  <c r="CI180" i="57"/>
  <c r="CI181" i="57" l="1"/>
  <c r="BJ193" i="57"/>
  <c r="BJ195" i="57" s="1"/>
  <c r="BI162" i="57"/>
  <c r="BI163" i="57" s="1"/>
  <c r="BJ186" i="57"/>
  <c r="CJ179" i="57"/>
  <c r="CI185" i="57"/>
  <c r="BJ196" i="57" l="1"/>
  <c r="BJ187" i="57"/>
  <c r="CI155" i="57"/>
  <c r="CJ180" i="57"/>
  <c r="BJ156" i="57" l="1"/>
  <c r="CJ181" i="57"/>
  <c r="BJ160" i="57"/>
  <c r="BJ190" i="57"/>
  <c r="BK184" i="57" s="1"/>
  <c r="BJ199" i="57"/>
  <c r="CK179" i="57"/>
  <c r="CJ185" i="57"/>
  <c r="BK193" i="57" l="1"/>
  <c r="BK195" i="57" s="1"/>
  <c r="BJ162" i="57"/>
  <c r="BK186" i="57"/>
  <c r="CJ155" i="57"/>
  <c r="CK180" i="57"/>
  <c r="CK181" i="57" l="1"/>
  <c r="BK196" i="57"/>
  <c r="BJ163" i="57"/>
  <c r="BK187" i="57"/>
  <c r="CL179" i="57"/>
  <c r="CK185" i="57"/>
  <c r="BK156" i="57" l="1"/>
  <c r="BK160" i="57"/>
  <c r="BK190" i="57"/>
  <c r="BL184" i="57" s="1"/>
  <c r="BK199" i="57"/>
  <c r="CK155" i="57"/>
  <c r="CL180" i="57"/>
  <c r="CL181" i="57" l="1"/>
  <c r="BL193" i="57"/>
  <c r="BL195" i="57" s="1"/>
  <c r="BK162" i="57"/>
  <c r="BL186" i="57"/>
  <c r="CM179" i="57"/>
  <c r="CL185" i="57"/>
  <c r="BL196" i="57" l="1"/>
  <c r="BK163" i="57"/>
  <c r="BL187" i="57"/>
  <c r="CL155" i="57"/>
  <c r="CM180" i="57"/>
  <c r="CM181" i="57" s="1"/>
  <c r="BL156" i="57" l="1"/>
  <c r="BL160" i="57"/>
  <c r="BL190" i="57"/>
  <c r="BM184" i="57" s="1"/>
  <c r="BL199" i="57"/>
  <c r="CN179" i="57"/>
  <c r="CM185" i="57"/>
  <c r="BM193" i="57" l="1"/>
  <c r="BL162" i="57"/>
  <c r="BM186" i="57"/>
  <c r="CM155" i="57"/>
  <c r="CN180" i="57"/>
  <c r="CN181" i="57" s="1"/>
  <c r="BL163" i="57" l="1"/>
  <c r="BM195" i="57"/>
  <c r="BM187" i="57"/>
  <c r="CO179" i="57"/>
  <c r="CN185" i="57"/>
  <c r="BM156" i="57" l="1"/>
  <c r="BM196" i="57"/>
  <c r="BM190" i="57"/>
  <c r="CN155" i="57"/>
  <c r="CO180" i="57"/>
  <c r="CO181" i="57" s="1"/>
  <c r="BM160" i="57" l="1"/>
  <c r="BN184" i="57"/>
  <c r="BM199" i="57"/>
  <c r="CP179" i="57"/>
  <c r="CO185" i="57"/>
  <c r="BN193" i="57" l="1"/>
  <c r="BN195" i="57" s="1"/>
  <c r="BM162" i="57"/>
  <c r="BN186" i="57"/>
  <c r="CO155" i="57"/>
  <c r="CP180" i="57"/>
  <c r="CP181" i="57" s="1"/>
  <c r="BN196" i="57" l="1"/>
  <c r="BM163" i="57"/>
  <c r="BN187" i="57"/>
  <c r="CQ179" i="57"/>
  <c r="CP185" i="57"/>
  <c r="BN156" i="57" l="1"/>
  <c r="BN160" i="57"/>
  <c r="BN190" i="57"/>
  <c r="CP155" i="57"/>
  <c r="CQ180" i="57"/>
  <c r="CQ181" i="57" s="1"/>
  <c r="BO184" i="57" l="1"/>
  <c r="BN199" i="57"/>
  <c r="CR179" i="57"/>
  <c r="CQ185" i="57"/>
  <c r="BO193" i="57" l="1"/>
  <c r="BN162" i="57"/>
  <c r="BO186" i="57"/>
  <c r="CQ155" i="57"/>
  <c r="CR180" i="57"/>
  <c r="CR181" i="57" s="1"/>
  <c r="BN163" i="57" l="1"/>
  <c r="BO195" i="57"/>
  <c r="BO196" i="57" s="1"/>
  <c r="BO160" i="57" s="1"/>
  <c r="BO187" i="57"/>
  <c r="BO156" i="57" s="1"/>
  <c r="CS179" i="57"/>
  <c r="CR185" i="57"/>
  <c r="BO190" i="57" l="1"/>
  <c r="CR155" i="57"/>
  <c r="CS180" i="57"/>
  <c r="CS181" i="57" s="1"/>
  <c r="BP184" i="57" l="1"/>
  <c r="BO199" i="57"/>
  <c r="CT179" i="57"/>
  <c r="CS185" i="57"/>
  <c r="BP193" i="57" l="1"/>
  <c r="BP195" i="57" s="1"/>
  <c r="BP196" i="57" s="1"/>
  <c r="BO162" i="57"/>
  <c r="BO163" i="57" s="1"/>
  <c r="BP186" i="57"/>
  <c r="CS155" i="57"/>
  <c r="CT180" i="57"/>
  <c r="CT181" i="57" l="1"/>
  <c r="BP197" i="57"/>
  <c r="BP187" i="57"/>
  <c r="BP156" i="57" s="1"/>
  <c r="CU179" i="57"/>
  <c r="CT185" i="57"/>
  <c r="BP160" i="57" l="1"/>
  <c r="BP190" i="57"/>
  <c r="CT155" i="57"/>
  <c r="CU180" i="57"/>
  <c r="CU181" i="57" l="1"/>
  <c r="BQ184" i="57"/>
  <c r="BP199" i="57"/>
  <c r="CV179" i="57"/>
  <c r="CU185" i="57"/>
  <c r="BQ193" i="57" l="1"/>
  <c r="BQ195" i="57" s="1"/>
  <c r="BQ196" i="57" s="1"/>
  <c r="BP162" i="57"/>
  <c r="BP163" i="57" s="1"/>
  <c r="BQ186" i="57"/>
  <c r="CU155" i="57"/>
  <c r="CV180" i="57"/>
  <c r="CV181" i="57" l="1"/>
  <c r="BQ197" i="57"/>
  <c r="BQ187" i="57"/>
  <c r="BQ156" i="57" s="1"/>
  <c r="CW179" i="57"/>
  <c r="CV185" i="57"/>
  <c r="BQ160" i="57" l="1"/>
  <c r="BQ190" i="57"/>
  <c r="CV155" i="57"/>
  <c r="CW180" i="57"/>
  <c r="CW181" i="57" l="1"/>
  <c r="BR184" i="57"/>
  <c r="BQ199" i="57"/>
  <c r="CX179" i="57"/>
  <c r="CW185" i="57"/>
  <c r="BR193" i="57" l="1"/>
  <c r="BR195" i="57" s="1"/>
  <c r="BR196" i="57" s="1"/>
  <c r="BQ162" i="57"/>
  <c r="BQ163" i="57" s="1"/>
  <c r="BR186" i="57"/>
  <c r="CW155" i="57"/>
  <c r="CX180" i="57"/>
  <c r="CX181" i="57" l="1"/>
  <c r="BR197" i="57"/>
  <c r="BR187" i="57"/>
  <c r="BR156" i="57" s="1"/>
  <c r="CY179" i="57"/>
  <c r="CX185" i="57"/>
  <c r="BR160" i="57" l="1"/>
  <c r="BR190" i="57"/>
  <c r="BS184" i="57" s="1"/>
  <c r="BR199" i="57"/>
  <c r="CX155" i="57"/>
  <c r="CY180" i="57"/>
  <c r="CY181" i="57" s="1"/>
  <c r="BS193" i="57" l="1"/>
  <c r="BS195" i="57" s="1"/>
  <c r="BS196" i="57" s="1"/>
  <c r="BR162" i="57"/>
  <c r="BR163" i="57" s="1"/>
  <c r="BS186" i="57"/>
  <c r="CY185" i="57"/>
  <c r="CZ179" i="57"/>
  <c r="BS197" i="57" l="1"/>
  <c r="BS187" i="57"/>
  <c r="BS156" i="57" s="1"/>
  <c r="CZ180" i="57"/>
  <c r="CZ181" i="57" s="1"/>
  <c r="CY155" i="57"/>
  <c r="BS160" i="57" l="1"/>
  <c r="BS190" i="57"/>
  <c r="DA179" i="57"/>
  <c r="CZ185" i="57"/>
  <c r="BT184" i="57" l="1"/>
  <c r="BS199" i="57"/>
  <c r="CZ155" i="57"/>
  <c r="DA180" i="57"/>
  <c r="DA181" i="57" s="1"/>
  <c r="BT193" i="57" l="1"/>
  <c r="BS162" i="57"/>
  <c r="BS163" i="57" s="1"/>
  <c r="BT186" i="57"/>
  <c r="DB179" i="57"/>
  <c r="DA185" i="57"/>
  <c r="BT195" i="57" l="1"/>
  <c r="BT196" i="57" s="1"/>
  <c r="BT187" i="57"/>
  <c r="BT156" i="57" s="1"/>
  <c r="DA155" i="57"/>
  <c r="DB180" i="57"/>
  <c r="DB181" i="57" s="1"/>
  <c r="BT197" i="57" l="1"/>
  <c r="BT190" i="57"/>
  <c r="DC179" i="57"/>
  <c r="DB185" i="57"/>
  <c r="BT160" i="57" l="1"/>
  <c r="BU184" i="57"/>
  <c r="BT199" i="57"/>
  <c r="DB155" i="57"/>
  <c r="DC180" i="57"/>
  <c r="DC181" i="57" s="1"/>
  <c r="BU193" i="57" l="1"/>
  <c r="BU195" i="57" s="1"/>
  <c r="BU196" i="57" s="1"/>
  <c r="BT162" i="57"/>
  <c r="BT163" i="57" s="1"/>
  <c r="BU186" i="57"/>
  <c r="DD179" i="57"/>
  <c r="DC185" i="57"/>
  <c r="BU197" i="57" l="1"/>
  <c r="BU160" i="57" s="1"/>
  <c r="BU187" i="57"/>
  <c r="BU156" i="57" s="1"/>
  <c r="DC155" i="57"/>
  <c r="DD180" i="57"/>
  <c r="DD181" i="57" s="1"/>
  <c r="BU190" i="57" l="1"/>
  <c r="BV184" i="57" s="1"/>
  <c r="BU199" i="57"/>
  <c r="DE179" i="57"/>
  <c r="DD185" i="57"/>
  <c r="BV193" i="57" l="1"/>
  <c r="BV195" i="57" s="1"/>
  <c r="BU162" i="57"/>
  <c r="BU163" i="57" s="1"/>
  <c r="BV186" i="57"/>
  <c r="DD155" i="57"/>
  <c r="DE180" i="57"/>
  <c r="DE181" i="57" s="1"/>
  <c r="BV196" i="57" l="1"/>
  <c r="BV197" i="57" s="1"/>
  <c r="BV187" i="57"/>
  <c r="DF179" i="57"/>
  <c r="DE185" i="57"/>
  <c r="BV156" i="57" l="1"/>
  <c r="BV160" i="57"/>
  <c r="BV190" i="57"/>
  <c r="DE155" i="57"/>
  <c r="DF180" i="57"/>
  <c r="DF181" i="57" l="1"/>
  <c r="BW184" i="57"/>
  <c r="BV199" i="57"/>
  <c r="DG179" i="57"/>
  <c r="DF185" i="57"/>
  <c r="BW193" i="57" l="1"/>
  <c r="BW195" i="57" s="1"/>
  <c r="BV162" i="57"/>
  <c r="BW186" i="57"/>
  <c r="DF155" i="57"/>
  <c r="DG180" i="57"/>
  <c r="DG181" i="57" l="1"/>
  <c r="BW196" i="57"/>
  <c r="BW197" i="57" s="1"/>
  <c r="BV163" i="57"/>
  <c r="BW187" i="57"/>
  <c r="DH179" i="57"/>
  <c r="DG185" i="57"/>
  <c r="BW156" i="57" l="1"/>
  <c r="BW160" i="57"/>
  <c r="BW190" i="57"/>
  <c r="BX184" i="57" s="1"/>
  <c r="BW199" i="57"/>
  <c r="DG155" i="57"/>
  <c r="DH180" i="57"/>
  <c r="DH181" i="57" l="1"/>
  <c r="BX193" i="57"/>
  <c r="BX195" i="57" s="1"/>
  <c r="BW162" i="57"/>
  <c r="BX186" i="57"/>
  <c r="DI179" i="57"/>
  <c r="DH185" i="57"/>
  <c r="BX196" i="57" l="1"/>
  <c r="BX197" i="57" s="1"/>
  <c r="BW163" i="57"/>
  <c r="BX187" i="57"/>
  <c r="DH155" i="57"/>
  <c r="DI180" i="57"/>
  <c r="DI181" i="57" l="1"/>
  <c r="BX156" i="57"/>
  <c r="BX160" i="57"/>
  <c r="BX190" i="57"/>
  <c r="BY184" i="57" s="1"/>
  <c r="BX199" i="57"/>
  <c r="DJ179" i="57"/>
  <c r="DI185" i="57"/>
  <c r="BY193" i="57" l="1"/>
  <c r="BY195" i="57" s="1"/>
  <c r="BX162" i="57"/>
  <c r="BY186" i="57"/>
  <c r="DI155" i="57"/>
  <c r="DJ180" i="57"/>
  <c r="DJ181" i="57" l="1"/>
  <c r="BY196" i="57"/>
  <c r="BY197" i="57" s="1"/>
  <c r="BX163" i="57"/>
  <c r="BY187" i="57"/>
  <c r="DK179" i="57"/>
  <c r="DJ185" i="57"/>
  <c r="BY156" i="57" l="1"/>
  <c r="BY160" i="57"/>
  <c r="BY190" i="57"/>
  <c r="DJ155" i="57"/>
  <c r="DK180" i="57"/>
  <c r="DK181" i="57" s="1"/>
  <c r="BZ184" i="57" l="1"/>
  <c r="BY199" i="57"/>
  <c r="DL179" i="57"/>
  <c r="DK185" i="57"/>
  <c r="BZ193" i="57" l="1"/>
  <c r="BZ195" i="57" s="1"/>
  <c r="BY162" i="57"/>
  <c r="BZ186" i="57"/>
  <c r="DL180" i="57"/>
  <c r="DL181" i="57" s="1"/>
  <c r="DK155" i="57"/>
  <c r="BZ196" i="57" l="1"/>
  <c r="BZ197" i="57" s="1"/>
  <c r="BY163" i="57"/>
  <c r="BZ187" i="57"/>
  <c r="DM179" i="57"/>
  <c r="DL185" i="57"/>
  <c r="BZ156" i="57" l="1"/>
  <c r="BZ160" i="57"/>
  <c r="BZ190" i="57"/>
  <c r="CA184" i="57" s="1"/>
  <c r="BZ199" i="57"/>
  <c r="DL155" i="57"/>
  <c r="DM180" i="57"/>
  <c r="DM181" i="57" s="1"/>
  <c r="CA193" i="57" l="1"/>
  <c r="CA195" i="57" s="1"/>
  <c r="CA196" i="57" s="1"/>
  <c r="BZ162" i="57"/>
  <c r="CA186" i="57"/>
  <c r="DN179" i="57"/>
  <c r="DM185" i="57"/>
  <c r="BZ163" i="57" l="1"/>
  <c r="CA197" i="57"/>
  <c r="CA160" i="57" s="1"/>
  <c r="CA187" i="57"/>
  <c r="CA156" i="57" s="1"/>
  <c r="DM155" i="57"/>
  <c r="DN180" i="57"/>
  <c r="DN181" i="57" s="1"/>
  <c r="CA190" i="57" l="1"/>
  <c r="CB184" i="57" s="1"/>
  <c r="CA199" i="57"/>
  <c r="DO179" i="57"/>
  <c r="DN185" i="57"/>
  <c r="CB193" i="57" l="1"/>
  <c r="CB195" i="57" s="1"/>
  <c r="CB196" i="57" s="1"/>
  <c r="CA162" i="57"/>
  <c r="CA163" i="57" s="1"/>
  <c r="CB186" i="57"/>
  <c r="DN155" i="57"/>
  <c r="DO180" i="57"/>
  <c r="DO181" i="57" s="1"/>
  <c r="CB197" i="57" l="1"/>
  <c r="CB160" i="57" s="1"/>
  <c r="CB187" i="57"/>
  <c r="CB156" i="57" s="1"/>
  <c r="DP179" i="57"/>
  <c r="DO185" i="57"/>
  <c r="CB190" i="57" l="1"/>
  <c r="CC184" i="57" s="1"/>
  <c r="CB199" i="57"/>
  <c r="DO155" i="57"/>
  <c r="DP180" i="57"/>
  <c r="DP181" i="57" s="1"/>
  <c r="CC193" i="57" l="1"/>
  <c r="CC195" i="57" s="1"/>
  <c r="CC196" i="57" s="1"/>
  <c r="CB162" i="57"/>
  <c r="CB163" i="57" s="1"/>
  <c r="CC186" i="57"/>
  <c r="DQ179" i="57"/>
  <c r="DP185" i="57"/>
  <c r="CC197" i="57" l="1"/>
  <c r="CC160" i="57" s="1"/>
  <c r="CC187" i="57"/>
  <c r="CC156" i="57" s="1"/>
  <c r="DP155" i="57"/>
  <c r="DQ180" i="57"/>
  <c r="DQ181" i="57" s="1"/>
  <c r="CC190" i="57" l="1"/>
  <c r="DR179" i="57"/>
  <c r="DQ185" i="57"/>
  <c r="CD184" i="57" l="1"/>
  <c r="CC199" i="57"/>
  <c r="DQ155" i="57"/>
  <c r="DR180" i="57"/>
  <c r="DR181" i="57" l="1"/>
  <c r="CD193" i="57"/>
  <c r="CD195" i="57" s="1"/>
  <c r="CD196" i="57" s="1"/>
  <c r="CC162" i="57"/>
  <c r="CC163" i="57" s="1"/>
  <c r="CD186" i="57"/>
  <c r="DS179" i="57"/>
  <c r="DR185" i="57"/>
  <c r="CD197" i="57" l="1"/>
  <c r="CD160" i="57" s="1"/>
  <c r="CD187" i="57"/>
  <c r="CD156" i="57" s="1"/>
  <c r="DR155" i="57"/>
  <c r="DS180" i="57"/>
  <c r="DS181" i="57" l="1"/>
  <c r="CD190" i="57"/>
  <c r="DT179" i="57"/>
  <c r="DS185" i="57"/>
  <c r="CE184" i="57" l="1"/>
  <c r="CD199" i="57"/>
  <c r="DS155" i="57"/>
  <c r="DT180" i="57"/>
  <c r="DT181" i="57" l="1"/>
  <c r="CE193" i="57"/>
  <c r="CE195" i="57" s="1"/>
  <c r="CE196" i="57" s="1"/>
  <c r="CD162" i="57"/>
  <c r="CD163" i="57" s="1"/>
  <c r="CE186" i="57"/>
  <c r="DU179" i="57"/>
  <c r="DT185" i="57"/>
  <c r="CE197" i="57" l="1"/>
  <c r="CE160" i="57" s="1"/>
  <c r="CE187" i="57"/>
  <c r="CE156" i="57" s="1"/>
  <c r="DT155" i="57"/>
  <c r="DU180" i="57"/>
  <c r="DU181" i="57" l="1"/>
  <c r="CE190" i="57"/>
  <c r="CF184" i="57" s="1"/>
  <c r="CE199" i="57"/>
  <c r="DV179" i="57"/>
  <c r="DU185" i="57"/>
  <c r="CF193" i="57" l="1"/>
  <c r="CF195" i="57" s="1"/>
  <c r="CF196" i="57" s="1"/>
  <c r="CE162" i="57"/>
  <c r="CE163" i="57" s="1"/>
  <c r="CF186" i="57"/>
  <c r="DU155" i="57"/>
  <c r="DV180" i="57"/>
  <c r="DV181" i="57" l="1"/>
  <c r="CF197" i="57"/>
  <c r="CF160" i="57" s="1"/>
  <c r="CF187" i="57"/>
  <c r="CF156" i="57" s="1"/>
  <c r="DW179" i="57"/>
  <c r="DV185" i="57"/>
  <c r="CF190" i="57" l="1"/>
  <c r="CG184" i="57" s="1"/>
  <c r="CF199" i="57"/>
  <c r="DV155" i="57"/>
  <c r="DW180" i="57"/>
  <c r="DW181" i="57" s="1"/>
  <c r="CG193" i="57" l="1"/>
  <c r="CG195" i="57" s="1"/>
  <c r="CG196" i="57" s="1"/>
  <c r="CF162" i="57"/>
  <c r="CF163" i="57" s="1"/>
  <c r="CG186" i="57"/>
  <c r="DX179" i="57"/>
  <c r="DW185" i="57"/>
  <c r="CG197" i="57" l="1"/>
  <c r="CG160" i="57" s="1"/>
  <c r="CG187" i="57"/>
  <c r="CG156" i="57" s="1"/>
  <c r="DW155" i="57"/>
  <c r="DX180" i="57"/>
  <c r="DX181" i="57" s="1"/>
  <c r="CG190" i="57" l="1"/>
  <c r="CH184" i="57" s="1"/>
  <c r="CG199" i="57"/>
  <c r="DY179" i="57"/>
  <c r="DX185" i="57"/>
  <c r="CH193" i="57" l="1"/>
  <c r="CH195" i="57" s="1"/>
  <c r="CG162" i="57"/>
  <c r="CG163" i="57" s="1"/>
  <c r="CH186" i="57"/>
  <c r="DX155" i="57"/>
  <c r="DY180" i="57"/>
  <c r="DY181" i="57" s="1"/>
  <c r="CH196" i="57" l="1"/>
  <c r="CH197" i="57" s="1"/>
  <c r="CH187" i="57"/>
  <c r="DZ179" i="57"/>
  <c r="DY185" i="57"/>
  <c r="CH156" i="57" l="1"/>
  <c r="CH160" i="57"/>
  <c r="CH190" i="57"/>
  <c r="CI184" i="57" s="1"/>
  <c r="CH199" i="57"/>
  <c r="DY155" i="57"/>
  <c r="DZ180" i="57"/>
  <c r="DZ181" i="57" s="1"/>
  <c r="CI193" i="57" l="1"/>
  <c r="CH162" i="57"/>
  <c r="CI186" i="57"/>
  <c r="EA179" i="57"/>
  <c r="DZ185" i="57"/>
  <c r="CH163" i="57" l="1"/>
  <c r="CI195" i="57"/>
  <c r="CI187" i="57"/>
  <c r="DZ155" i="57"/>
  <c r="EA180" i="57"/>
  <c r="EA181" i="57" s="1"/>
  <c r="CI156" i="57" l="1"/>
  <c r="CI196" i="57"/>
  <c r="CI197" i="57" s="1"/>
  <c r="CI190" i="57"/>
  <c r="EB179" i="57"/>
  <c r="EA185" i="57"/>
  <c r="CI160" i="57" l="1"/>
  <c r="CJ184" i="57"/>
  <c r="CI199" i="57"/>
  <c r="EA155" i="57"/>
  <c r="EB180" i="57"/>
  <c r="EB181" i="57" s="1"/>
  <c r="CJ193" i="57" l="1"/>
  <c r="CI162" i="57"/>
  <c r="CJ186" i="57"/>
  <c r="EC179" i="57"/>
  <c r="EB185" i="57"/>
  <c r="CI163" i="57" l="1"/>
  <c r="CJ195" i="57"/>
  <c r="CJ187" i="57"/>
  <c r="EB155" i="57"/>
  <c r="EC180" i="57"/>
  <c r="EC181" i="57" s="1"/>
  <c r="CJ156" i="57" l="1"/>
  <c r="CJ196" i="57"/>
  <c r="CJ197" i="57" s="1"/>
  <c r="CJ190" i="57"/>
  <c r="ED179" i="57"/>
  <c r="EC185" i="57"/>
  <c r="CJ160" i="57" l="1"/>
  <c r="CK184" i="57"/>
  <c r="CJ199" i="57"/>
  <c r="EC155" i="57"/>
  <c r="ED180" i="57"/>
  <c r="ED181" i="57" l="1"/>
  <c r="CK193" i="57"/>
  <c r="CJ162" i="57"/>
  <c r="CK186" i="57"/>
  <c r="EE179" i="57"/>
  <c r="ED185" i="57"/>
  <c r="CJ163" i="57" l="1"/>
  <c r="CK195" i="57"/>
  <c r="CK187" i="57"/>
  <c r="ED155" i="57"/>
  <c r="EE180" i="57"/>
  <c r="EE181" i="57" l="1"/>
  <c r="CK156" i="57"/>
  <c r="CK196" i="57"/>
  <c r="CK197" i="57" s="1"/>
  <c r="CK190" i="57"/>
  <c r="EF179" i="57"/>
  <c r="EE185" i="57"/>
  <c r="CK160" i="57" l="1"/>
  <c r="CL184" i="57"/>
  <c r="CK199" i="57"/>
  <c r="EE155" i="57"/>
  <c r="EF180" i="57"/>
  <c r="EF181" i="57" l="1"/>
  <c r="CL193" i="57"/>
  <c r="CL195" i="57" s="1"/>
  <c r="CK162" i="57"/>
  <c r="CL186" i="57"/>
  <c r="EG179" i="57"/>
  <c r="EF185" i="57"/>
  <c r="CL196" i="57" l="1"/>
  <c r="CL197" i="57" s="1"/>
  <c r="CK163" i="57"/>
  <c r="CL187" i="57"/>
  <c r="EF155" i="57"/>
  <c r="EG180" i="57"/>
  <c r="EG181" i="57" l="1"/>
  <c r="CL156" i="57"/>
  <c r="CL160" i="57"/>
  <c r="CL190" i="57"/>
  <c r="CM184" i="57" s="1"/>
  <c r="CL199" i="57"/>
  <c r="EH179" i="57"/>
  <c r="EG185" i="57"/>
  <c r="CM193" i="57" l="1"/>
  <c r="CM195" i="57" s="1"/>
  <c r="CM196" i="57" s="1"/>
  <c r="CL162" i="57"/>
  <c r="CM186" i="57"/>
  <c r="EG155" i="57"/>
  <c r="EH180" i="57"/>
  <c r="EH181" i="57" l="1"/>
  <c r="CL163" i="57"/>
  <c r="CM197" i="57"/>
  <c r="CM160" i="57" s="1"/>
  <c r="CM187" i="57"/>
  <c r="CM156" i="57" s="1"/>
  <c r="EI179" i="57"/>
  <c r="EH185" i="57"/>
  <c r="CM190" i="57" l="1"/>
  <c r="CN184" i="57" s="1"/>
  <c r="CM199" i="57"/>
  <c r="EH155" i="57"/>
  <c r="EI180" i="57"/>
  <c r="EI181" i="57" s="1"/>
  <c r="CN193" i="57" l="1"/>
  <c r="CN195" i="57" s="1"/>
  <c r="CN196" i="57" s="1"/>
  <c r="CM162" i="57"/>
  <c r="CM163" i="57" s="1"/>
  <c r="CN186" i="57"/>
  <c r="EJ179" i="57"/>
  <c r="EI185" i="57"/>
  <c r="CN197" i="57" l="1"/>
  <c r="CN160" i="57" s="1"/>
  <c r="CN187" i="57"/>
  <c r="CN156" i="57" s="1"/>
  <c r="EI155" i="57"/>
  <c r="EJ180" i="57"/>
  <c r="EJ181" i="57" s="1"/>
  <c r="CN190" i="57" l="1"/>
  <c r="EK179" i="57"/>
  <c r="EJ185" i="57"/>
  <c r="CO184" i="57" l="1"/>
  <c r="CN199" i="57"/>
  <c r="EJ155" i="57"/>
  <c r="EK180" i="57"/>
  <c r="EK181" i="57" s="1"/>
  <c r="CO193" i="57" l="1"/>
  <c r="CO195" i="57" s="1"/>
  <c r="CO196" i="57" s="1"/>
  <c r="CN162" i="57"/>
  <c r="CN163" i="57" s="1"/>
  <c r="CO186" i="57"/>
  <c r="EL179" i="57"/>
  <c r="EK185" i="57"/>
  <c r="CO197" i="57" l="1"/>
  <c r="CO160" i="57" s="1"/>
  <c r="CO187" i="57"/>
  <c r="CO156" i="57" s="1"/>
  <c r="EK155" i="57"/>
  <c r="EL180" i="57"/>
  <c r="EL181" i="57" s="1"/>
  <c r="CO190" i="57" l="1"/>
  <c r="CP184" i="57" s="1"/>
  <c r="CO199" i="57"/>
  <c r="EM179" i="57"/>
  <c r="EL185" i="57"/>
  <c r="CP193" i="57" l="1"/>
  <c r="CP195" i="57" s="1"/>
  <c r="CP196" i="57" s="1"/>
  <c r="CO162" i="57"/>
  <c r="CO163" i="57" s="1"/>
  <c r="CP186" i="57"/>
  <c r="EL155" i="57"/>
  <c r="EM180" i="57"/>
  <c r="EM181" i="57" s="1"/>
  <c r="CP197" i="57" l="1"/>
  <c r="CP160" i="57" s="1"/>
  <c r="CP187" i="57"/>
  <c r="CP156" i="57" s="1"/>
  <c r="EN179" i="57"/>
  <c r="EM185" i="57"/>
  <c r="CP190" i="57" l="1"/>
  <c r="EM155" i="57"/>
  <c r="EN180" i="57"/>
  <c r="EN181" i="57" s="1"/>
  <c r="CQ184" i="57" l="1"/>
  <c r="CP199" i="57"/>
  <c r="EO179" i="57"/>
  <c r="EN185" i="57"/>
  <c r="CQ193" i="57" l="1"/>
  <c r="CP162" i="57"/>
  <c r="CP163" i="57" s="1"/>
  <c r="CQ186" i="57"/>
  <c r="EN155" i="57"/>
  <c r="EO180" i="57"/>
  <c r="EO181" i="57" s="1"/>
  <c r="CQ195" i="57" l="1"/>
  <c r="CQ196" i="57" s="1"/>
  <c r="CQ187" i="57"/>
  <c r="CQ156" i="57" s="1"/>
  <c r="EP179" i="57"/>
  <c r="EO185" i="57"/>
  <c r="CQ197" i="57" l="1"/>
  <c r="CQ160" i="57" s="1"/>
  <c r="CQ190" i="57"/>
  <c r="EO155" i="57"/>
  <c r="EP180" i="57"/>
  <c r="EP181" i="57" l="1"/>
  <c r="CR184" i="57"/>
  <c r="CQ199" i="57"/>
  <c r="EQ179" i="57"/>
  <c r="EP185" i="57"/>
  <c r="CR193" i="57" l="1"/>
  <c r="CR195" i="57" s="1"/>
  <c r="CR196" i="57" s="1"/>
  <c r="CQ162" i="57"/>
  <c r="CQ163" i="57" s="1"/>
  <c r="CR186" i="57"/>
  <c r="EP155" i="57"/>
  <c r="EQ180" i="57"/>
  <c r="EQ181" i="57" l="1"/>
  <c r="CR197" i="57"/>
  <c r="CR160" i="57" s="1"/>
  <c r="CR187" i="57"/>
  <c r="CR156" i="57" s="1"/>
  <c r="ER179" i="57"/>
  <c r="EQ185" i="57"/>
  <c r="CR190" i="57" l="1"/>
  <c r="CS184" i="57" s="1"/>
  <c r="CR199" i="57"/>
  <c r="EQ155" i="57"/>
  <c r="ER180" i="57"/>
  <c r="ER181" i="57" l="1"/>
  <c r="CS193" i="57"/>
  <c r="CR162" i="57"/>
  <c r="CR163" i="57" s="1"/>
  <c r="CS186" i="57"/>
  <c r="ES179" i="57"/>
  <c r="ER185" i="57"/>
  <c r="CS195" i="57" l="1"/>
  <c r="CS196" i="57" s="1"/>
  <c r="CS187" i="57"/>
  <c r="CS156" i="57" s="1"/>
  <c r="ER155" i="57"/>
  <c r="ES180" i="57"/>
  <c r="ES181" i="57" l="1"/>
  <c r="CS197" i="57"/>
  <c r="CS160" i="57" s="1"/>
  <c r="CS190" i="57"/>
  <c r="ET179" i="57"/>
  <c r="ES185" i="57"/>
  <c r="CT184" i="57" l="1"/>
  <c r="CS199" i="57"/>
  <c r="ES155" i="57"/>
  <c r="ET180" i="57"/>
  <c r="ET181" i="57" l="1"/>
  <c r="CT193" i="57"/>
  <c r="CT195" i="57" s="1"/>
  <c r="CS162" i="57"/>
  <c r="CS163" i="57" s="1"/>
  <c r="CT186" i="57"/>
  <c r="EU179" i="57"/>
  <c r="ET185" i="57"/>
  <c r="CT196" i="57" l="1"/>
  <c r="CT197" i="57" s="1"/>
  <c r="CT187" i="57"/>
  <c r="ET155" i="57"/>
  <c r="EU180" i="57"/>
  <c r="EU181" i="57" s="1"/>
  <c r="CT156" i="57" l="1"/>
  <c r="CT160" i="57"/>
  <c r="CT190" i="57"/>
  <c r="EV179" i="57"/>
  <c r="EU185" i="57"/>
  <c r="CU184" i="57" l="1"/>
  <c r="CT199" i="57"/>
  <c r="EU155" i="57"/>
  <c r="EV180" i="57"/>
  <c r="EV181" i="57" s="1"/>
  <c r="CU193" i="57" l="1"/>
  <c r="CU195" i="57" s="1"/>
  <c r="CT162" i="57"/>
  <c r="CU186" i="57"/>
  <c r="EW179" i="57"/>
  <c r="EV185" i="57"/>
  <c r="CU196" i="57" l="1"/>
  <c r="CU197" i="57" s="1"/>
  <c r="CT163" i="57"/>
  <c r="CU187" i="57"/>
  <c r="EV155" i="57"/>
  <c r="EW180" i="57"/>
  <c r="EW181" i="57" s="1"/>
  <c r="CU156" i="57" l="1"/>
  <c r="CU160" i="57"/>
  <c r="CU190" i="57"/>
  <c r="CV184" i="57" s="1"/>
  <c r="CU199" i="57"/>
  <c r="EX179" i="57"/>
  <c r="EW185" i="57"/>
  <c r="CV193" i="57" l="1"/>
  <c r="CV195" i="57" s="1"/>
  <c r="CU162" i="57"/>
  <c r="CV186" i="57"/>
  <c r="EW155" i="57"/>
  <c r="EX180" i="57"/>
  <c r="EX181" i="57" s="1"/>
  <c r="CV196" i="57" l="1"/>
  <c r="CV197" i="57" s="1"/>
  <c r="CU163" i="57"/>
  <c r="CV187" i="57"/>
  <c r="EY179" i="57"/>
  <c r="EX185" i="57"/>
  <c r="CV156" i="57" l="1"/>
  <c r="CV160" i="57"/>
  <c r="CV190" i="57"/>
  <c r="CW184" i="57" s="1"/>
  <c r="CV199" i="57"/>
  <c r="EX155" i="57"/>
  <c r="EY180" i="57"/>
  <c r="EY181" i="57" s="1"/>
  <c r="CW193" i="57" l="1"/>
  <c r="CV162" i="57"/>
  <c r="CW186" i="57"/>
  <c r="EZ179" i="57"/>
  <c r="EY185" i="57"/>
  <c r="CV163" i="57" l="1"/>
  <c r="CW195" i="57"/>
  <c r="CW187" i="57"/>
  <c r="EY155" i="57"/>
  <c r="EZ180" i="57"/>
  <c r="EZ181" i="57" s="1"/>
  <c r="CW156" i="57" l="1"/>
  <c r="CW196" i="57"/>
  <c r="CW197" i="57" s="1"/>
  <c r="CW190" i="57"/>
  <c r="FA179" i="57"/>
  <c r="EZ185" i="57"/>
  <c r="CW160" i="57" l="1"/>
  <c r="CX184" i="57"/>
  <c r="CW199" i="57"/>
  <c r="EZ155" i="57"/>
  <c r="FA180" i="57"/>
  <c r="FA181" i="57" s="1"/>
  <c r="CX193" i="57" l="1"/>
  <c r="CW162" i="57"/>
  <c r="CX186" i="57"/>
  <c r="FB179" i="57"/>
  <c r="FA185" i="57"/>
  <c r="CW163" i="57" l="1"/>
  <c r="CX195" i="57"/>
  <c r="CX187" i="57"/>
  <c r="FA155" i="57"/>
  <c r="FB180" i="57"/>
  <c r="CX156" i="57" l="1"/>
  <c r="FB181" i="57"/>
  <c r="CX196" i="57"/>
  <c r="CX197" i="57" s="1"/>
  <c r="CX190" i="57"/>
  <c r="FC179" i="57"/>
  <c r="FB185" i="57" l="1"/>
  <c r="CX160" i="57"/>
  <c r="CY184" i="57"/>
  <c r="CX199" i="57"/>
  <c r="FB155" i="57"/>
  <c r="FC180" i="57"/>
  <c r="FC181" i="57" l="1"/>
  <c r="CY193" i="57"/>
  <c r="CX162" i="57"/>
  <c r="CY186" i="57"/>
  <c r="FD179" i="57"/>
  <c r="FC185" i="57"/>
  <c r="CX163" i="57" l="1"/>
  <c r="CY195" i="57"/>
  <c r="CY196" i="57" s="1"/>
  <c r="CY197" i="57" s="1"/>
  <c r="CY187" i="57"/>
  <c r="CY156" i="57" s="1"/>
  <c r="FC155" i="57"/>
  <c r="FD180" i="57"/>
  <c r="FD181" i="57" l="1"/>
  <c r="E197" i="57"/>
  <c r="FM197" i="57"/>
  <c r="FN197" i="57"/>
  <c r="FO197" i="57"/>
  <c r="FP197" i="57"/>
  <c r="CY160" i="57"/>
  <c r="CY190" i="57"/>
  <c r="CZ184" i="57" s="1"/>
  <c r="CY198" i="57"/>
  <c r="FE179" i="57"/>
  <c r="FD185" i="57"/>
  <c r="E198" i="57" l="1"/>
  <c r="FP198" i="57"/>
  <c r="CY161" i="57"/>
  <c r="CY199" i="57"/>
  <c r="CZ193" i="57" s="1"/>
  <c r="CZ186" i="57"/>
  <c r="FD155" i="57"/>
  <c r="FE180" i="57"/>
  <c r="FE181" i="57" l="1"/>
  <c r="FF179" i="57" s="1"/>
  <c r="FU180" i="57"/>
  <c r="E161" i="57"/>
  <c r="FP161" i="57"/>
  <c r="FF180" i="57"/>
  <c r="E179" i="57"/>
  <c r="CY162" i="57"/>
  <c r="CY163" i="57" s="1"/>
  <c r="CZ195" i="57"/>
  <c r="CZ196" i="57" s="1"/>
  <c r="CZ160" i="57" s="1"/>
  <c r="CZ187" i="57"/>
  <c r="CZ156" i="57" s="1"/>
  <c r="FE185" i="57"/>
  <c r="FH180" i="57" l="1"/>
  <c r="FI180" i="57"/>
  <c r="FJ180" i="57"/>
  <c r="FK180" i="57"/>
  <c r="FL180" i="57"/>
  <c r="FM180" i="57"/>
  <c r="FN180" i="57"/>
  <c r="FO180" i="57"/>
  <c r="FP180" i="57"/>
  <c r="FQ180" i="57"/>
  <c r="FR180" i="57"/>
  <c r="FS180" i="57"/>
  <c r="FT180" i="57"/>
  <c r="FH179" i="57"/>
  <c r="FH181" i="57" s="1"/>
  <c r="FI179" i="57"/>
  <c r="FJ179" i="57"/>
  <c r="FK179" i="57"/>
  <c r="FL179" i="57"/>
  <c r="FM179" i="57"/>
  <c r="FM181" i="57" s="1"/>
  <c r="FN179" i="57"/>
  <c r="FN181" i="57" s="1"/>
  <c r="FO179" i="57"/>
  <c r="FP179" i="57"/>
  <c r="FP181" i="57" s="1"/>
  <c r="FQ179" i="57"/>
  <c r="FR179" i="57"/>
  <c r="FS179" i="57"/>
  <c r="FT179" i="57"/>
  <c r="FU179" i="57"/>
  <c r="FF181" i="57"/>
  <c r="FF185" i="57" s="1"/>
  <c r="FU185" i="57" s="1"/>
  <c r="E180" i="57"/>
  <c r="CZ190" i="57"/>
  <c r="DA184" i="57" s="1"/>
  <c r="CZ199" i="57"/>
  <c r="FE155" i="57"/>
  <c r="FO181" i="57" l="1"/>
  <c r="FH185" i="57"/>
  <c r="FI185" i="57"/>
  <c r="FJ185" i="57"/>
  <c r="FK185" i="57"/>
  <c r="FL185" i="57"/>
  <c r="FM185" i="57"/>
  <c r="FN185" i="57"/>
  <c r="FO185" i="57"/>
  <c r="FP185" i="57"/>
  <c r="FQ185" i="57"/>
  <c r="FR185" i="57"/>
  <c r="FS185" i="57"/>
  <c r="FT185" i="57"/>
  <c r="FF155" i="57"/>
  <c r="E185" i="57"/>
  <c r="DA193" i="57"/>
  <c r="DA195" i="57" s="1"/>
  <c r="DA196" i="57" s="1"/>
  <c r="DA160" i="57" s="1"/>
  <c r="CZ162" i="57"/>
  <c r="CZ163" i="57" s="1"/>
  <c r="DA186" i="57"/>
  <c r="E155" i="57" l="1"/>
  <c r="FH155" i="57"/>
  <c r="FI155" i="57"/>
  <c r="FJ155" i="57"/>
  <c r="FK155" i="57"/>
  <c r="FL155" i="57"/>
  <c r="FM155" i="57"/>
  <c r="FN155" i="57"/>
  <c r="FO155" i="57"/>
  <c r="FP155" i="57"/>
  <c r="FQ155" i="57"/>
  <c r="FR155" i="57"/>
  <c r="FS155" i="57"/>
  <c r="FT155" i="57"/>
  <c r="FU155" i="57"/>
  <c r="DA187" i="57"/>
  <c r="DA156" i="57" s="1"/>
  <c r="DA190" i="57" l="1"/>
  <c r="DB184" i="57" l="1"/>
  <c r="DA199" i="57"/>
  <c r="DB193" i="57" l="1"/>
  <c r="DB195" i="57" s="1"/>
  <c r="DB196" i="57" s="1"/>
  <c r="DB160" i="57" s="1"/>
  <c r="DA162" i="57"/>
  <c r="DA163" i="57" s="1"/>
  <c r="DB186" i="57"/>
  <c r="DB187" i="57" l="1"/>
  <c r="DB156" i="57" s="1"/>
  <c r="DB190" i="57" l="1"/>
  <c r="DC184" i="57" s="1"/>
  <c r="DB199" i="57"/>
  <c r="DC193" i="57" l="1"/>
  <c r="DC195" i="57" s="1"/>
  <c r="DC196" i="57" s="1"/>
  <c r="DC160" i="57" s="1"/>
  <c r="DB162" i="57"/>
  <c r="DB163" i="57" s="1"/>
  <c r="DC186" i="57"/>
  <c r="DC187" i="57" l="1"/>
  <c r="DC156" i="57" s="1"/>
  <c r="DC190" i="57" l="1"/>
  <c r="DD184" i="57" s="1"/>
  <c r="DC199" i="57"/>
  <c r="DD193" i="57" l="1"/>
  <c r="DD195" i="57" s="1"/>
  <c r="DD196" i="57" s="1"/>
  <c r="DD160" i="57" s="1"/>
  <c r="DC162" i="57"/>
  <c r="DC163" i="57" s="1"/>
  <c r="DD186" i="57"/>
  <c r="DD187" i="57" l="1"/>
  <c r="DD156" i="57" s="1"/>
  <c r="DD190" i="57" l="1"/>
  <c r="DE184" i="57" s="1"/>
  <c r="DD199" i="57"/>
  <c r="DE193" i="57" l="1"/>
  <c r="DE195" i="57" s="1"/>
  <c r="DE196" i="57" s="1"/>
  <c r="DE160" i="57" s="1"/>
  <c r="DD162" i="57"/>
  <c r="DD163" i="57" s="1"/>
  <c r="DE186" i="57"/>
  <c r="DE187" i="57" l="1"/>
  <c r="DE156" i="57" s="1"/>
  <c r="DE190" i="57" l="1"/>
  <c r="DF184" i="57" s="1"/>
  <c r="DE199" i="57"/>
  <c r="DF193" i="57" l="1"/>
  <c r="DE162" i="57"/>
  <c r="DE163" i="57" s="1"/>
  <c r="DF186" i="57"/>
  <c r="DF195" i="57" l="1"/>
  <c r="DF187" i="57"/>
  <c r="DF156" i="57" l="1"/>
  <c r="DF196" i="57"/>
  <c r="DF190" i="57"/>
  <c r="DF160" i="57" l="1"/>
  <c r="DG184" i="57"/>
  <c r="DF199" i="57"/>
  <c r="DG193" i="57" l="1"/>
  <c r="DG195" i="57" s="1"/>
  <c r="DF162" i="57"/>
  <c r="DG186" i="57"/>
  <c r="DG196" i="57" l="1"/>
  <c r="DF163" i="57"/>
  <c r="DG187" i="57"/>
  <c r="DG156" i="57" l="1"/>
  <c r="DG160" i="57"/>
  <c r="DG190" i="57"/>
  <c r="DH184" i="57" s="1"/>
  <c r="DG199" i="57"/>
  <c r="DH193" i="57" l="1"/>
  <c r="DH195" i="57" s="1"/>
  <c r="DG162" i="57"/>
  <c r="DH186" i="57"/>
  <c r="DH196" i="57" l="1"/>
  <c r="DG163" i="57"/>
  <c r="DH187" i="57"/>
  <c r="DH156" i="57" l="1"/>
  <c r="DH160" i="57"/>
  <c r="DH190" i="57"/>
  <c r="DI184" i="57" s="1"/>
  <c r="DH199" i="57"/>
  <c r="DI193" i="57" l="1"/>
  <c r="DH162" i="57"/>
  <c r="DI186" i="57"/>
  <c r="DH163" i="57" l="1"/>
  <c r="DI195" i="57"/>
  <c r="DI187" i="57"/>
  <c r="DI156" i="57" l="1"/>
  <c r="DI196" i="57"/>
  <c r="DI190" i="57"/>
  <c r="DI160" i="57" l="1"/>
  <c r="DJ184" i="57"/>
  <c r="DI199" i="57"/>
  <c r="DJ193" i="57" l="1"/>
  <c r="DJ195" i="57" s="1"/>
  <c r="DI162" i="57"/>
  <c r="DJ186" i="57"/>
  <c r="DJ196" i="57" l="1"/>
  <c r="DI163" i="57"/>
  <c r="DJ187" i="57"/>
  <c r="DJ156" i="57" l="1"/>
  <c r="DJ160" i="57"/>
  <c r="DJ190" i="57"/>
  <c r="DK184" i="57" s="1"/>
  <c r="DJ199" i="57"/>
  <c r="DK193" i="57" l="1"/>
  <c r="DJ162" i="57"/>
  <c r="DK186" i="57"/>
  <c r="DJ163" i="57" l="1"/>
  <c r="DK195" i="57"/>
  <c r="DK196" i="57" s="1"/>
  <c r="DK160" i="57" s="1"/>
  <c r="DK187" i="57"/>
  <c r="DK156" i="57" s="1"/>
  <c r="DK190" i="57" l="1"/>
  <c r="DL184" i="57" l="1"/>
  <c r="DK199" i="57"/>
  <c r="DL193" i="57" l="1"/>
  <c r="DL195" i="57" s="1"/>
  <c r="DL196" i="57" s="1"/>
  <c r="DL160" i="57" s="1"/>
  <c r="DK162" i="57"/>
  <c r="DK163" i="57" s="1"/>
  <c r="DL186" i="57"/>
  <c r="DL187" i="57" l="1"/>
  <c r="DL156" i="57" s="1"/>
  <c r="DL190" i="57" l="1"/>
  <c r="DM184" i="57" s="1"/>
  <c r="DL199" i="57"/>
  <c r="DM193" i="57" l="1"/>
  <c r="DM195" i="57" s="1"/>
  <c r="DM196" i="57" s="1"/>
  <c r="DM160" i="57" s="1"/>
  <c r="DL162" i="57"/>
  <c r="DL163" i="57" s="1"/>
  <c r="DM186" i="57"/>
  <c r="DM187" i="57" l="1"/>
  <c r="DM156" i="57" s="1"/>
  <c r="DM190" i="57" l="1"/>
  <c r="DN184" i="57" s="1"/>
  <c r="DM199" i="57"/>
  <c r="DN193" i="57" l="1"/>
  <c r="DM162" i="57"/>
  <c r="DM163" i="57" s="1"/>
  <c r="DN186" i="57"/>
  <c r="DN195" i="57" l="1"/>
  <c r="DN196" i="57" s="1"/>
  <c r="DN160" i="57" s="1"/>
  <c r="DN187" i="57"/>
  <c r="DN156" i="57" s="1"/>
  <c r="DN190" i="57" l="1"/>
  <c r="DO184" i="57" l="1"/>
  <c r="DN199" i="57"/>
  <c r="DO193" i="57" l="1"/>
  <c r="DO195" i="57" s="1"/>
  <c r="DO196" i="57" s="1"/>
  <c r="DO160" i="57" s="1"/>
  <c r="DN162" i="57"/>
  <c r="DN163" i="57" s="1"/>
  <c r="DO186" i="57"/>
  <c r="DO187" i="57" l="1"/>
  <c r="DO156" i="57" s="1"/>
  <c r="DO190" i="57" l="1"/>
  <c r="DP184" i="57" s="1"/>
  <c r="DO199" i="57"/>
  <c r="DP193" i="57" l="1"/>
  <c r="DO162" i="57"/>
  <c r="DO163" i="57" s="1"/>
  <c r="DP186" i="57"/>
  <c r="DP195" i="57" l="1"/>
  <c r="DP196" i="57" s="1"/>
  <c r="DP160" i="57" s="1"/>
  <c r="DP187" i="57"/>
  <c r="DP156" i="57" s="1"/>
  <c r="DP190" i="57" l="1"/>
  <c r="DQ184" i="57" l="1"/>
  <c r="DP199" i="57"/>
  <c r="DQ193" i="57" l="1"/>
  <c r="DQ195" i="57" s="1"/>
  <c r="DQ196" i="57" s="1"/>
  <c r="DQ160" i="57" s="1"/>
  <c r="DP162" i="57"/>
  <c r="DP163" i="57" s="1"/>
  <c r="DQ186" i="57"/>
  <c r="DQ187" i="57" l="1"/>
  <c r="DQ156" i="57" s="1"/>
  <c r="DQ190" i="57" l="1"/>
  <c r="DR184" i="57" s="1"/>
  <c r="DQ199" i="57"/>
  <c r="DR193" i="57" l="1"/>
  <c r="DR195" i="57" s="1"/>
  <c r="DQ162" i="57"/>
  <c r="DQ163" i="57" s="1"/>
  <c r="DR186" i="57"/>
  <c r="DR196" i="57" l="1"/>
  <c r="DR187" i="57"/>
  <c r="DR156" i="57" l="1"/>
  <c r="DR160" i="57"/>
  <c r="DR190" i="57"/>
  <c r="DS184" i="57" l="1"/>
  <c r="DR199" i="57"/>
  <c r="DS193" i="57" l="1"/>
  <c r="DS195" i="57" s="1"/>
  <c r="DR162" i="57"/>
  <c r="DS186" i="57"/>
  <c r="DS196" i="57" l="1"/>
  <c r="DR163" i="57"/>
  <c r="DS187" i="57"/>
  <c r="DS156" i="57" l="1"/>
  <c r="DS160" i="57"/>
  <c r="DS190" i="57"/>
  <c r="DT184" i="57" s="1"/>
  <c r="DS199" i="57"/>
  <c r="DT193" i="57" l="1"/>
  <c r="DT195" i="57" s="1"/>
  <c r="DS162" i="57"/>
  <c r="DT186" i="57"/>
  <c r="DT196" i="57" l="1"/>
  <c r="DS163" i="57"/>
  <c r="DT187" i="57"/>
  <c r="DT156" i="57" l="1"/>
  <c r="DT160" i="57"/>
  <c r="DT190" i="57"/>
  <c r="DU184" i="57" l="1"/>
  <c r="DT199" i="57"/>
  <c r="DU193" i="57" l="1"/>
  <c r="DU195" i="57" s="1"/>
  <c r="DT162" i="57"/>
  <c r="DU186" i="57"/>
  <c r="DU196" i="57" l="1"/>
  <c r="DT163" i="57"/>
  <c r="DU187" i="57"/>
  <c r="DU160" i="57" l="1"/>
  <c r="DU190" i="57"/>
  <c r="DV184" i="57" s="1"/>
  <c r="DU156" i="57"/>
  <c r="DU199" i="57"/>
  <c r="DV193" i="57" l="1"/>
  <c r="DV195" i="57" s="1"/>
  <c r="DU162" i="57"/>
  <c r="DV186" i="57"/>
  <c r="DV196" i="57" l="1"/>
  <c r="DU163" i="57"/>
  <c r="DV187" i="57"/>
  <c r="DV156" i="57" s="1"/>
  <c r="DV160" i="57" l="1"/>
  <c r="DV190" i="57"/>
  <c r="DW184" i="57" l="1"/>
  <c r="DV199" i="57"/>
  <c r="DW193" i="57" l="1"/>
  <c r="DW195" i="57" s="1"/>
  <c r="DW196" i="57" s="1"/>
  <c r="DW160" i="57" s="1"/>
  <c r="DV162" i="57"/>
  <c r="DW186" i="57"/>
  <c r="DV163" i="57" l="1"/>
  <c r="DW187" i="57"/>
  <c r="DW156" i="57" s="1"/>
  <c r="DW190" i="57" l="1"/>
  <c r="DX184" i="57" s="1"/>
  <c r="DW199" i="57"/>
  <c r="DX193" i="57" l="1"/>
  <c r="DX195" i="57" s="1"/>
  <c r="DX196" i="57" s="1"/>
  <c r="DX160" i="57" s="1"/>
  <c r="DW162" i="57"/>
  <c r="DW163" i="57" s="1"/>
  <c r="DX186" i="57"/>
  <c r="DX187" i="57" l="1"/>
  <c r="DX190" i="57" l="1"/>
  <c r="DY184" i="57" s="1"/>
  <c r="DX156" i="57"/>
  <c r="DX199" i="57"/>
  <c r="DY193" i="57" l="1"/>
  <c r="DY195" i="57" s="1"/>
  <c r="DY196" i="57" s="1"/>
  <c r="DY160" i="57" s="1"/>
  <c r="DX162" i="57"/>
  <c r="DX163" i="57" s="1"/>
  <c r="DY186" i="57"/>
  <c r="DY187" i="57" l="1"/>
  <c r="DY156" i="57" s="1"/>
  <c r="DY190" i="57" l="1"/>
  <c r="DZ184" i="57" s="1"/>
  <c r="DY199" i="57"/>
  <c r="DZ193" i="57" l="1"/>
  <c r="DZ195" i="57" s="1"/>
  <c r="DZ196" i="57" s="1"/>
  <c r="DZ160" i="57" s="1"/>
  <c r="DY162" i="57"/>
  <c r="DY163" i="57" s="1"/>
  <c r="DZ186" i="57"/>
  <c r="DZ187" i="57" l="1"/>
  <c r="DZ156" i="57" s="1"/>
  <c r="DZ190" i="57" l="1"/>
  <c r="EA184" i="57" s="1"/>
  <c r="DZ199" i="57"/>
  <c r="EA193" i="57" l="1"/>
  <c r="EA195" i="57" s="1"/>
  <c r="EA196" i="57" s="1"/>
  <c r="EA160" i="57" s="1"/>
  <c r="DZ162" i="57"/>
  <c r="DZ163" i="57" s="1"/>
  <c r="EA186" i="57"/>
  <c r="EA187" i="57" l="1"/>
  <c r="EA156" i="57" s="1"/>
  <c r="EA190" i="57" l="1"/>
  <c r="EB184" i="57" s="1"/>
  <c r="EA199" i="57"/>
  <c r="EB193" i="57" l="1"/>
  <c r="EB195" i="57" s="1"/>
  <c r="EB196" i="57" s="1"/>
  <c r="EB160" i="57" s="1"/>
  <c r="EA162" i="57"/>
  <c r="EA163" i="57" s="1"/>
  <c r="EB186" i="57"/>
  <c r="EB187" i="57" l="1"/>
  <c r="EB156" i="57" s="1"/>
  <c r="EB190" i="57" l="1"/>
  <c r="EC184" i="57" s="1"/>
  <c r="EB199" i="57"/>
  <c r="EC193" i="57" l="1"/>
  <c r="EC195" i="57" s="1"/>
  <c r="EC196" i="57" s="1"/>
  <c r="EC160" i="57" s="1"/>
  <c r="EB162" i="57"/>
  <c r="EB163" i="57" s="1"/>
  <c r="EC186" i="57"/>
  <c r="EC187" i="57" l="1"/>
  <c r="EC156" i="57" s="1"/>
  <c r="EC190" i="57" l="1"/>
  <c r="ED184" i="57" l="1"/>
  <c r="EC199" i="57"/>
  <c r="ED193" i="57" l="1"/>
  <c r="EC162" i="57"/>
  <c r="EC163" i="57" s="1"/>
  <c r="ED186" i="57"/>
  <c r="ED195" i="57" l="1"/>
  <c r="ED187" i="57"/>
  <c r="ED156" i="57" l="1"/>
  <c r="ED196" i="57"/>
  <c r="ED190" i="57"/>
  <c r="ED160" i="57" l="1"/>
  <c r="EE184" i="57"/>
  <c r="ED199" i="57"/>
  <c r="EE186" i="57" l="1"/>
  <c r="EE193" i="57"/>
  <c r="ED162" i="57"/>
  <c r="ED163" i="57" l="1"/>
  <c r="EE195" i="57"/>
  <c r="EE187" i="57"/>
  <c r="EE156" i="57" l="1"/>
  <c r="EE196" i="57"/>
  <c r="EE190" i="57"/>
  <c r="EE160" i="57" l="1"/>
  <c r="EF184" i="57"/>
  <c r="EE199" i="57"/>
  <c r="EF193" i="57" l="1"/>
  <c r="EE162" i="57"/>
  <c r="EF186" i="57"/>
  <c r="EE163" i="57" l="1"/>
  <c r="EF195" i="57"/>
  <c r="EF187" i="57"/>
  <c r="EF156" i="57" l="1"/>
  <c r="EF196" i="57"/>
  <c r="EF190" i="57"/>
  <c r="EF160" i="57" l="1"/>
  <c r="EG184" i="57"/>
  <c r="EF199" i="57"/>
  <c r="EG193" i="57" l="1"/>
  <c r="EG195" i="57" s="1"/>
  <c r="EF162" i="57"/>
  <c r="EG186" i="57"/>
  <c r="EG196" i="57" l="1"/>
  <c r="EF163" i="57"/>
  <c r="EG187" i="57"/>
  <c r="EG156" i="57" l="1"/>
  <c r="EG160" i="57"/>
  <c r="EG190" i="57"/>
  <c r="EH184" i="57" l="1"/>
  <c r="EG199" i="57"/>
  <c r="EH193" i="57" l="1"/>
  <c r="EH195" i="57" s="1"/>
  <c r="EG162" i="57"/>
  <c r="EH186" i="57"/>
  <c r="EH196" i="57" l="1"/>
  <c r="EG163" i="57"/>
  <c r="EH187" i="57"/>
  <c r="EH156" i="57" l="1"/>
  <c r="EH160" i="57"/>
  <c r="EH190" i="57"/>
  <c r="EI184" i="57" l="1"/>
  <c r="EH199" i="57"/>
  <c r="EI193" i="57" l="1"/>
  <c r="EI195" i="57" s="1"/>
  <c r="EI196" i="57" s="1"/>
  <c r="EI160" i="57" s="1"/>
  <c r="EH162" i="57"/>
  <c r="EI186" i="57"/>
  <c r="EH163" i="57" l="1"/>
  <c r="EI187" i="57"/>
  <c r="EI156" i="57" s="1"/>
  <c r="EI190" i="57" l="1"/>
  <c r="EJ184" i="57" l="1"/>
  <c r="EI199" i="57"/>
  <c r="EJ193" i="57" l="1"/>
  <c r="EJ195" i="57" s="1"/>
  <c r="EJ196" i="57" s="1"/>
  <c r="EJ160" i="57" s="1"/>
  <c r="EI162" i="57"/>
  <c r="EI163" i="57" s="1"/>
  <c r="EJ186" i="57"/>
  <c r="EJ187" i="57" l="1"/>
  <c r="EJ156" i="57" s="1"/>
  <c r="EJ190" i="57" l="1"/>
  <c r="EK184" i="57" l="1"/>
  <c r="EJ199" i="57"/>
  <c r="EK193" i="57" l="1"/>
  <c r="EK195" i="57" s="1"/>
  <c r="EK196" i="57" s="1"/>
  <c r="EK160" i="57" s="1"/>
  <c r="EJ162" i="57"/>
  <c r="EJ163" i="57" s="1"/>
  <c r="EK186" i="57"/>
  <c r="EK187" i="57" l="1"/>
  <c r="EK156" i="57" s="1"/>
  <c r="EK190" i="57" l="1"/>
  <c r="EL184" i="57" l="1"/>
  <c r="EK199" i="57"/>
  <c r="EL193" i="57" l="1"/>
  <c r="EK162" i="57"/>
  <c r="EK163" i="57" s="1"/>
  <c r="EL186" i="57"/>
  <c r="EL195" i="57" l="1"/>
  <c r="EL196" i="57" s="1"/>
  <c r="EL160" i="57" s="1"/>
  <c r="EL187" i="57"/>
  <c r="EL156" i="57" s="1"/>
  <c r="EL190" i="57" l="1"/>
  <c r="EM184" i="57" l="1"/>
  <c r="EL199" i="57"/>
  <c r="EM193" i="57" l="1"/>
  <c r="EM195" i="57" s="1"/>
  <c r="EM196" i="57" s="1"/>
  <c r="EM160" i="57" s="1"/>
  <c r="EL162" i="57"/>
  <c r="EL163" i="57" s="1"/>
  <c r="EM186" i="57"/>
  <c r="EM187" i="57" l="1"/>
  <c r="EM156" i="57" s="1"/>
  <c r="EM190" i="57" l="1"/>
  <c r="EN184" i="57" l="1"/>
  <c r="EM199" i="57"/>
  <c r="EN193" i="57" l="1"/>
  <c r="EN195" i="57" s="1"/>
  <c r="EN196" i="57" s="1"/>
  <c r="EN160" i="57" s="1"/>
  <c r="EM162" i="57"/>
  <c r="EM163" i="57" s="1"/>
  <c r="EN186" i="57"/>
  <c r="EN187" i="57" l="1"/>
  <c r="EN156" i="57" s="1"/>
  <c r="EN190" i="57" l="1"/>
  <c r="EO184" i="57" s="1"/>
  <c r="EN199" i="57"/>
  <c r="EO193" i="57" l="1"/>
  <c r="EN162" i="57"/>
  <c r="EN163" i="57" s="1"/>
  <c r="EO186" i="57"/>
  <c r="EO195" i="57" l="1"/>
  <c r="EO196" i="57" s="1"/>
  <c r="EO160" i="57" s="1"/>
  <c r="EO187" i="57"/>
  <c r="EO156" i="57" s="1"/>
  <c r="EO190" i="57" l="1"/>
  <c r="EP184" i="57" l="1"/>
  <c r="EO199" i="57"/>
  <c r="EP193" i="57" l="1"/>
  <c r="EP195" i="57" s="1"/>
  <c r="EO162" i="57"/>
  <c r="EO163" i="57" s="1"/>
  <c r="EP186" i="57"/>
  <c r="EP196" i="57" l="1"/>
  <c r="EP187" i="57"/>
  <c r="EP156" i="57" l="1"/>
  <c r="EP160" i="57"/>
  <c r="EP190" i="57"/>
  <c r="EQ184" i="57" l="1"/>
  <c r="EP199" i="57"/>
  <c r="EQ193" i="57" l="1"/>
  <c r="EQ195" i="57" s="1"/>
  <c r="EP162" i="57"/>
  <c r="EQ186" i="57"/>
  <c r="EQ196" i="57" l="1"/>
  <c r="EP163" i="57"/>
  <c r="EQ187" i="57"/>
  <c r="EQ156" i="57" l="1"/>
  <c r="EQ160" i="57"/>
  <c r="EQ190" i="57"/>
  <c r="ER184" i="57" s="1"/>
  <c r="EQ199" i="57"/>
  <c r="ER193" i="57" l="1"/>
  <c r="ER195" i="57" s="1"/>
  <c r="EQ162" i="57"/>
  <c r="ER186" i="57"/>
  <c r="ER196" i="57" l="1"/>
  <c r="EQ163" i="57"/>
  <c r="ER187" i="57"/>
  <c r="ER156" i="57" l="1"/>
  <c r="ER160" i="57"/>
  <c r="ER190" i="57"/>
  <c r="ES184" i="57" s="1"/>
  <c r="ER199" i="57"/>
  <c r="ES193" i="57" l="1"/>
  <c r="ER162" i="57"/>
  <c r="ES186" i="57"/>
  <c r="ER163" i="57" l="1"/>
  <c r="ES195" i="57"/>
  <c r="ES187" i="57"/>
  <c r="ES156" i="57" l="1"/>
  <c r="ES196" i="57"/>
  <c r="ES190" i="57"/>
  <c r="ES160" i="57" l="1"/>
  <c r="ET184" i="57"/>
  <c r="ES199" i="57"/>
  <c r="ET193" i="57" l="1"/>
  <c r="ET195" i="57" s="1"/>
  <c r="ES162" i="57"/>
  <c r="ET186" i="57"/>
  <c r="ET196" i="57" l="1"/>
  <c r="ES163" i="57"/>
  <c r="ET187" i="57"/>
  <c r="ET156" i="57" l="1"/>
  <c r="ET160" i="57"/>
  <c r="ET190" i="57"/>
  <c r="EU184" i="57" s="1"/>
  <c r="ET199" i="57"/>
  <c r="EU193" i="57" l="1"/>
  <c r="EU195" i="57" s="1"/>
  <c r="EU196" i="57" s="1"/>
  <c r="EU160" i="57" s="1"/>
  <c r="ET162" i="57"/>
  <c r="EU186" i="57"/>
  <c r="ET163" i="57" l="1"/>
  <c r="EU187" i="57"/>
  <c r="EU156" i="57" s="1"/>
  <c r="EU190" i="57" l="1"/>
  <c r="EV184" i="57" s="1"/>
  <c r="EU199" i="57"/>
  <c r="EV193" i="57" l="1"/>
  <c r="EV195" i="57" s="1"/>
  <c r="EV196" i="57" s="1"/>
  <c r="EV160" i="57" s="1"/>
  <c r="EU162" i="57"/>
  <c r="EU163" i="57" s="1"/>
  <c r="EV186" i="57"/>
  <c r="EV187" i="57" l="1"/>
  <c r="EV156" i="57" s="1"/>
  <c r="EV190" i="57" l="1"/>
  <c r="EW184" i="57" s="1"/>
  <c r="EV199" i="57"/>
  <c r="EW193" i="57" l="1"/>
  <c r="EW195" i="57" s="1"/>
  <c r="EW196" i="57" s="1"/>
  <c r="EW160" i="57" s="1"/>
  <c r="EV162" i="57"/>
  <c r="EV163" i="57" s="1"/>
  <c r="EW186" i="57"/>
  <c r="EW187" i="57" l="1"/>
  <c r="EW156" i="57" s="1"/>
  <c r="EW190" i="57" l="1"/>
  <c r="EX184" i="57" s="1"/>
  <c r="EW199" i="57"/>
  <c r="EX193" i="57" l="1"/>
  <c r="EX195" i="57" s="1"/>
  <c r="EX196" i="57" s="1"/>
  <c r="EX160" i="57" s="1"/>
  <c r="EW162" i="57"/>
  <c r="EW163" i="57" s="1"/>
  <c r="EX186" i="57"/>
  <c r="EX187" i="57" l="1"/>
  <c r="EX156" i="57" s="1"/>
  <c r="EX190" i="57" l="1"/>
  <c r="EY184" i="57" s="1"/>
  <c r="EX199" i="57"/>
  <c r="EY193" i="57" l="1"/>
  <c r="EY195" i="57" s="1"/>
  <c r="EY196" i="57" s="1"/>
  <c r="EY160" i="57" s="1"/>
  <c r="EX162" i="57"/>
  <c r="EX163" i="57" s="1"/>
  <c r="EY186" i="57"/>
  <c r="EY187" i="57" l="1"/>
  <c r="EY156" i="57" s="1"/>
  <c r="EY190" i="57" l="1"/>
  <c r="EZ184" i="57" s="1"/>
  <c r="EY199" i="57"/>
  <c r="EZ193" i="57" l="1"/>
  <c r="EZ195" i="57" s="1"/>
  <c r="EZ196" i="57" s="1"/>
  <c r="EZ160" i="57" s="1"/>
  <c r="EY162" i="57"/>
  <c r="EY163" i="57" s="1"/>
  <c r="EZ186" i="57"/>
  <c r="EZ187" i="57" l="1"/>
  <c r="EZ156" i="57" s="1"/>
  <c r="EZ190" i="57" l="1"/>
  <c r="FH184" i="57" s="1"/>
  <c r="FA184" i="57"/>
  <c r="EZ199" i="57"/>
  <c r="FH193" i="57" s="1"/>
  <c r="FA193" i="57" l="1"/>
  <c r="FA195" i="57" s="1"/>
  <c r="FA196" i="57" s="1"/>
  <c r="FA160" i="57" s="1"/>
  <c r="EZ162" i="57"/>
  <c r="EZ163" i="57" s="1"/>
  <c r="FA186" i="57"/>
  <c r="FA187" i="57" l="1"/>
  <c r="FA156" i="57" s="1"/>
  <c r="FA190" i="57" l="1"/>
  <c r="FB184" i="57"/>
  <c r="FA199" i="57"/>
  <c r="FB193" i="57" l="1"/>
  <c r="FB195" i="57" s="1"/>
  <c r="FA162" i="57"/>
  <c r="FA163" i="57" s="1"/>
  <c r="FB186" i="57"/>
  <c r="FB196" i="57" l="1"/>
  <c r="FB187" i="57"/>
  <c r="FB156" i="57" l="1"/>
  <c r="FB160" i="57"/>
  <c r="FB190" i="57"/>
  <c r="FB199" i="57"/>
  <c r="FC184" i="57" l="1"/>
  <c r="FC193" i="57"/>
  <c r="FC195" i="57" s="1"/>
  <c r="FB162" i="57"/>
  <c r="FC186" i="57"/>
  <c r="FC196" i="57" l="1"/>
  <c r="FB163" i="57"/>
  <c r="FC187" i="57"/>
  <c r="FC156" i="57" l="1"/>
  <c r="FC160" i="57"/>
  <c r="FC190" i="57"/>
  <c r="L46" i="57"/>
  <c r="L48" i="57" s="1"/>
  <c r="FD184" i="57"/>
  <c r="FC199" i="57"/>
  <c r="FD193" i="57" l="1"/>
  <c r="FD195" i="57" s="1"/>
  <c r="FC162" i="57"/>
  <c r="FD186" i="57"/>
  <c r="FD196" i="57" l="1"/>
  <c r="M46" i="57"/>
  <c r="FC163" i="57"/>
  <c r="E167" i="57" s="1"/>
  <c r="M47" i="57"/>
  <c r="E166" i="57"/>
  <c r="M45" i="57"/>
  <c r="E168" i="57"/>
  <c r="FD187" i="57"/>
  <c r="FD156" i="57" l="1"/>
  <c r="M48" i="57"/>
  <c r="FD160" i="57"/>
  <c r="FD190" i="57"/>
  <c r="E169" i="57"/>
  <c r="FD199" i="57"/>
  <c r="FE184" i="57" l="1"/>
  <c r="FE193" i="57"/>
  <c r="FE195" i="57" s="1"/>
  <c r="FD162" i="57"/>
  <c r="FE186" i="57"/>
  <c r="FE196" i="57" l="1"/>
  <c r="FD163" i="57"/>
  <c r="FE187" i="57"/>
  <c r="FE156" i="57" l="1"/>
  <c r="FE160" i="57"/>
  <c r="FE190" i="57"/>
  <c r="FE199" i="57"/>
  <c r="FF193" i="57" s="1"/>
  <c r="FF184" i="57" l="1"/>
  <c r="FF195" i="57"/>
  <c r="FE162" i="57"/>
  <c r="FH195" i="57" l="1"/>
  <c r="FI195" i="57"/>
  <c r="FJ195" i="57"/>
  <c r="FK195" i="57"/>
  <c r="FL195" i="57"/>
  <c r="FM195" i="57"/>
  <c r="FN195" i="57"/>
  <c r="FO195" i="57"/>
  <c r="FP195" i="57"/>
  <c r="FQ195" i="57"/>
  <c r="FR195" i="57"/>
  <c r="FS195" i="57"/>
  <c r="FT195" i="57"/>
  <c r="FU195" i="57"/>
  <c r="FE163" i="57"/>
  <c r="FF196" i="57"/>
  <c r="E195" i="57"/>
  <c r="FF186" i="57"/>
  <c r="FH196" i="57" l="1"/>
  <c r="FI196" i="57"/>
  <c r="FJ196" i="57"/>
  <c r="E186" i="57"/>
  <c r="FH186" i="57"/>
  <c r="FI186" i="57"/>
  <c r="FJ186" i="57"/>
  <c r="FK186" i="57"/>
  <c r="FL186" i="57"/>
  <c r="FM186" i="57"/>
  <c r="FN186" i="57"/>
  <c r="FO186" i="57"/>
  <c r="FP186" i="57"/>
  <c r="FQ186" i="57"/>
  <c r="FR186" i="57"/>
  <c r="FS186" i="57"/>
  <c r="FT186" i="57"/>
  <c r="FU186" i="57"/>
  <c r="FH199" i="57"/>
  <c r="FI193" i="57" s="1"/>
  <c r="FF199" i="57"/>
  <c r="FK196" i="57"/>
  <c r="FL196" i="57"/>
  <c r="FM196" i="57"/>
  <c r="FN196" i="57"/>
  <c r="FO196" i="57"/>
  <c r="FP196" i="57"/>
  <c r="FQ196" i="57"/>
  <c r="FR196" i="57"/>
  <c r="FS196" i="57"/>
  <c r="FT196" i="57"/>
  <c r="FU196" i="57"/>
  <c r="FF160" i="57"/>
  <c r="E196" i="57"/>
  <c r="FF187" i="57"/>
  <c r="FI199" i="57" l="1"/>
  <c r="FJ193" i="57" s="1"/>
  <c r="FJ199" i="57" s="1"/>
  <c r="FK193" i="57" s="1"/>
  <c r="FK199" i="57" s="1"/>
  <c r="FL193" i="57" s="1"/>
  <c r="FL199" i="57" s="1"/>
  <c r="FM193" i="57" s="1"/>
  <c r="FM199" i="57" s="1"/>
  <c r="FN193" i="57" s="1"/>
  <c r="FN199" i="57" s="1"/>
  <c r="FO193" i="57" s="1"/>
  <c r="FO199" i="57" s="1"/>
  <c r="FP193" i="57" s="1"/>
  <c r="FP199" i="57" s="1"/>
  <c r="FQ193" i="57" s="1"/>
  <c r="FQ199" i="57" s="1"/>
  <c r="FR193" i="57" s="1"/>
  <c r="FR199" i="57" s="1"/>
  <c r="FS193" i="57" s="1"/>
  <c r="FS199" i="57" s="1"/>
  <c r="FT193" i="57" s="1"/>
  <c r="FT199" i="57" s="1"/>
  <c r="FU193" i="57" s="1"/>
  <c r="FU199" i="57" s="1"/>
  <c r="FH160" i="57"/>
  <c r="FI160" i="57"/>
  <c r="FJ160" i="57"/>
  <c r="E187" i="57"/>
  <c r="FH187" i="57"/>
  <c r="FH190" i="57" s="1"/>
  <c r="FI184" i="57" s="1"/>
  <c r="FI187" i="57"/>
  <c r="FJ187" i="57"/>
  <c r="FK187" i="57"/>
  <c r="FL187" i="57"/>
  <c r="FM187" i="57"/>
  <c r="FN187" i="57"/>
  <c r="FO187" i="57"/>
  <c r="FP187" i="57"/>
  <c r="FQ187" i="57"/>
  <c r="FR187" i="57"/>
  <c r="FS187" i="57"/>
  <c r="FT187" i="57"/>
  <c r="FU187" i="57"/>
  <c r="E160" i="57"/>
  <c r="FK160" i="57"/>
  <c r="FL160" i="57"/>
  <c r="FM160" i="57"/>
  <c r="FN160" i="57"/>
  <c r="FO160" i="57"/>
  <c r="FP160" i="57"/>
  <c r="FQ160" i="57"/>
  <c r="FR160" i="57"/>
  <c r="FS160" i="57"/>
  <c r="FT160" i="57"/>
  <c r="FU160" i="57"/>
  <c r="FF190" i="57"/>
  <c r="FF156" i="57"/>
  <c r="FI190" i="57" l="1"/>
  <c r="FJ184" i="57" s="1"/>
  <c r="FJ190" i="57" s="1"/>
  <c r="FK184" i="57" s="1"/>
  <c r="FK190" i="57" s="1"/>
  <c r="FL184" i="57" s="1"/>
  <c r="FL190" i="57" s="1"/>
  <c r="FM184" i="57" s="1"/>
  <c r="FM190" i="57" s="1"/>
  <c r="FN184" i="57" s="1"/>
  <c r="FN190" i="57" s="1"/>
  <c r="FO184" i="57" s="1"/>
  <c r="FO190" i="57" s="1"/>
  <c r="FP184" i="57" s="1"/>
  <c r="FP190" i="57" s="1"/>
  <c r="FQ184" i="57" s="1"/>
  <c r="FQ190" i="57" s="1"/>
  <c r="FR184" i="57" s="1"/>
  <c r="FR190" i="57" s="1"/>
  <c r="FS184" i="57" s="1"/>
  <c r="FS190" i="57" s="1"/>
  <c r="FT184" i="57" s="1"/>
  <c r="FT190" i="57" s="1"/>
  <c r="FU184" i="57" s="1"/>
  <c r="FU190" i="57" s="1"/>
  <c r="E156" i="57"/>
  <c r="FH156" i="57"/>
  <c r="FI156" i="57"/>
  <c r="FJ156" i="57"/>
  <c r="FK156" i="57"/>
  <c r="FL156" i="57"/>
  <c r="FM156" i="57"/>
  <c r="FN156" i="57"/>
  <c r="FO156" i="57"/>
  <c r="FP156" i="57"/>
  <c r="FQ156" i="57"/>
  <c r="FR156" i="57"/>
  <c r="FS156" i="57"/>
  <c r="FT156" i="57"/>
  <c r="FU156" i="57"/>
  <c r="FF162" i="57"/>
  <c r="FH162" i="57" l="1"/>
  <c r="FH163" i="57" s="1"/>
  <c r="FI162" i="57"/>
  <c r="FJ162" i="57"/>
  <c r="FK162" i="57"/>
  <c r="FL162" i="57"/>
  <c r="FM162" i="57"/>
  <c r="FM163" i="57" s="1"/>
  <c r="FN162" i="57"/>
  <c r="FN163" i="57" s="1"/>
  <c r="FO162" i="57"/>
  <c r="FO163" i="57" s="1"/>
  <c r="FP162" i="57"/>
  <c r="FP163" i="57" s="1"/>
  <c r="FQ162" i="57"/>
  <c r="FR162" i="57"/>
  <c r="FS162" i="57"/>
  <c r="FT162" i="57"/>
  <c r="FU162" i="57"/>
  <c r="FF163" i="57"/>
  <c r="E162" i="57"/>
  <c r="F149" i="63" l="1"/>
  <c r="G145" i="63" s="1"/>
  <c r="G147" i="63" l="1"/>
  <c r="G148" i="63" s="1"/>
  <c r="G151" i="63" l="1"/>
  <c r="G149" i="63" l="1"/>
  <c r="H145" i="63" s="1"/>
  <c r="G153" i="63"/>
  <c r="G156" i="63" s="1"/>
  <c r="H147" i="63" l="1"/>
  <c r="H148" i="63" s="1"/>
  <c r="G158" i="63"/>
  <c r="H149" i="63" l="1"/>
  <c r="I145" i="63" s="1"/>
  <c r="I147" i="63" s="1"/>
  <c r="H153" i="63"/>
  <c r="H156" i="63" s="1"/>
  <c r="H151" i="63"/>
  <c r="I148" i="63" l="1"/>
  <c r="I151" i="63" s="1"/>
  <c r="H158" i="63"/>
  <c r="I149" i="63" l="1"/>
  <c r="J145" i="63" s="1"/>
  <c r="I153" i="63"/>
  <c r="J147" i="63" l="1"/>
  <c r="I156" i="63"/>
  <c r="J148" i="63" l="1"/>
  <c r="J151" i="63" s="1"/>
  <c r="I158" i="63"/>
  <c r="J149" i="63" l="1"/>
  <c r="K145" i="63" s="1"/>
  <c r="K147" i="63" s="1"/>
  <c r="J153" i="63"/>
  <c r="J156" i="63" s="1"/>
  <c r="J158" i="63" s="1"/>
  <c r="K148" i="63" l="1"/>
  <c r="K151" i="63" s="1"/>
  <c r="K149" i="63" l="1"/>
  <c r="L145" i="63" s="1"/>
  <c r="L147" i="63" s="1"/>
  <c r="K153" i="63"/>
  <c r="K156" i="63" s="1"/>
  <c r="K158" i="63" s="1"/>
  <c r="L148" i="63" l="1"/>
  <c r="L151" i="63" s="1"/>
  <c r="L153" i="63" l="1"/>
  <c r="L156" i="63" s="1"/>
  <c r="L158" i="63" s="1"/>
  <c r="L149" i="63"/>
  <c r="M145" i="63" s="1"/>
  <c r="M147" i="63" s="1"/>
  <c r="M148" i="63" s="1"/>
  <c r="M151" i="63" s="1"/>
  <c r="M149" i="63" l="1"/>
  <c r="N145" i="63" s="1"/>
  <c r="N147" i="63" s="1"/>
  <c r="M153" i="63"/>
  <c r="M156" i="63" s="1"/>
  <c r="M158" i="63" s="1"/>
  <c r="N148" i="63" l="1"/>
  <c r="N151" i="63" s="1"/>
  <c r="N149" i="63" l="1"/>
  <c r="O145" i="63" s="1"/>
  <c r="N153" i="63"/>
  <c r="N156" i="63" s="1"/>
  <c r="N158" i="63" s="1"/>
  <c r="O147" i="63" l="1"/>
  <c r="O148" i="63" s="1"/>
  <c r="O151" i="63" s="1"/>
  <c r="O149" i="63" l="1"/>
  <c r="P145" i="63" s="1"/>
  <c r="P147" i="63" s="1"/>
  <c r="O153" i="63"/>
  <c r="O156" i="63" s="1"/>
  <c r="P148" i="63" l="1"/>
  <c r="P151" i="63" s="1"/>
  <c r="O158" i="63"/>
  <c r="P149" i="63" l="1"/>
  <c r="Q145" i="63" s="1"/>
  <c r="Q147" i="63" s="1"/>
  <c r="P153" i="63"/>
  <c r="P156" i="63" s="1"/>
  <c r="Q148" i="63" l="1"/>
  <c r="Q153" i="63" s="1"/>
  <c r="Q156" i="63" s="1"/>
  <c r="P158" i="63"/>
  <c r="Q151" i="63" l="1"/>
  <c r="Q158" i="63" s="1"/>
  <c r="Q149" i="63"/>
  <c r="R145" i="63" s="1"/>
  <c r="R147" i="63" l="1"/>
  <c r="R148" i="63" l="1"/>
  <c r="R151" i="63" l="1"/>
  <c r="R153" i="63"/>
  <c r="R156" i="63" s="1"/>
  <c r="R149" i="63"/>
  <c r="S145" i="63" s="1"/>
  <c r="S147" i="63" l="1"/>
  <c r="R158" i="63"/>
  <c r="S148" i="63" l="1"/>
  <c r="S151" i="63" l="1"/>
  <c r="S153" i="63"/>
  <c r="S156" i="63" s="1"/>
  <c r="S149" i="63"/>
  <c r="T145" i="63" s="1"/>
  <c r="T147" i="63" l="1"/>
  <c r="T148" i="63" s="1"/>
  <c r="S158" i="63"/>
  <c r="T153" i="63" l="1"/>
  <c r="T156" i="63" s="1"/>
  <c r="T151" i="63"/>
  <c r="T149" i="63"/>
  <c r="U145" i="63" s="1"/>
  <c r="T158" i="63" l="1"/>
  <c r="U147" i="63"/>
  <c r="U148" i="63" s="1"/>
  <c r="U153" i="63" l="1"/>
  <c r="U156" i="63" s="1"/>
  <c r="U151" i="63"/>
  <c r="U149" i="63"/>
  <c r="V145" i="63" s="1"/>
  <c r="U158" i="63" l="1"/>
  <c r="V147" i="63"/>
  <c r="V148" i="63" s="1"/>
  <c r="V153" i="63" l="1"/>
  <c r="V156" i="63" s="1"/>
  <c r="V151" i="63"/>
  <c r="V149" i="63"/>
  <c r="W145" i="63" s="1"/>
  <c r="V158" i="63" l="1"/>
  <c r="W147" i="63"/>
  <c r="W148" i="63" s="1"/>
  <c r="W151" i="63" l="1"/>
  <c r="W153" i="63"/>
  <c r="W156" i="63" s="1"/>
  <c r="W149" i="63"/>
  <c r="X145" i="63" s="1"/>
  <c r="X147" i="63" l="1"/>
  <c r="X148" i="63" s="1"/>
  <c r="W158" i="63"/>
  <c r="X153" i="63" l="1"/>
  <c r="X156" i="63" s="1"/>
  <c r="X151" i="63"/>
  <c r="X149" i="63"/>
  <c r="Y145" i="63" s="1"/>
  <c r="X158" i="63" l="1"/>
  <c r="Y147" i="63"/>
  <c r="Y148" i="63" s="1"/>
  <c r="Y153" i="63" l="1"/>
  <c r="Y156" i="63" s="1"/>
  <c r="Y151" i="63"/>
  <c r="Y149" i="63"/>
  <c r="Z145" i="63" s="1"/>
  <c r="Y158" i="63" l="1"/>
  <c r="Z147" i="63"/>
  <c r="Z148" i="63" s="1"/>
  <c r="Z151" i="63" l="1"/>
  <c r="Z153" i="63"/>
  <c r="Z156" i="63" s="1"/>
  <c r="Z149" i="63"/>
  <c r="AA145" i="63" s="1"/>
  <c r="Z158" i="63" l="1"/>
  <c r="AA147" i="63"/>
  <c r="AA148" i="63" l="1"/>
  <c r="AA151" i="63" l="1"/>
  <c r="AA153" i="63"/>
  <c r="AA156" i="63" s="1"/>
  <c r="AA149" i="63"/>
  <c r="AB145" i="63" s="1"/>
  <c r="AA158" i="63" l="1"/>
  <c r="AB147" i="63"/>
  <c r="AB148" i="63" l="1"/>
  <c r="AB153" i="63" s="1"/>
  <c r="AB156" i="63" s="1"/>
  <c r="AB151" i="63" l="1"/>
  <c r="AB158" i="63" s="1"/>
  <c r="AB149" i="63"/>
  <c r="AC145" i="63" s="1"/>
  <c r="AC147" i="63" l="1"/>
  <c r="AC148" i="63" l="1"/>
  <c r="AC153" i="63" s="1"/>
  <c r="AC156" i="63" s="1"/>
  <c r="AC151" i="63" l="1"/>
  <c r="AC158" i="63" s="1"/>
  <c r="AC149" i="63"/>
  <c r="AD145" i="63" s="1"/>
  <c r="AD147" i="63" l="1"/>
  <c r="AD148" i="63" s="1"/>
  <c r="AD151" i="63" l="1"/>
  <c r="AD153" i="63"/>
  <c r="AD156" i="63" s="1"/>
  <c r="AD149" i="63"/>
  <c r="AE145" i="63" s="1"/>
  <c r="AD158" i="63" l="1"/>
  <c r="AE147" i="63"/>
  <c r="AE148" i="63" s="1"/>
  <c r="AE153" i="63" l="1"/>
  <c r="AE156" i="63" s="1"/>
  <c r="AE151" i="63"/>
  <c r="AE149" i="63"/>
  <c r="AF145" i="63" s="1"/>
  <c r="AE158" i="63" l="1"/>
  <c r="AF147" i="63"/>
  <c r="AF148" i="63" s="1"/>
  <c r="AF151" i="63" l="1"/>
  <c r="AF153" i="63"/>
  <c r="AF156" i="63" s="1"/>
  <c r="AF149" i="63"/>
  <c r="AG145" i="63" s="1"/>
  <c r="AG147" i="63" l="1"/>
  <c r="AG148" i="63" s="1"/>
  <c r="AF158" i="63"/>
  <c r="AG151" i="63" l="1"/>
  <c r="AG153" i="63"/>
  <c r="AG156" i="63" s="1"/>
  <c r="AG149" i="63"/>
  <c r="AH145" i="63" s="1"/>
  <c r="AH147" i="63" l="1"/>
  <c r="AH148" i="63" s="1"/>
  <c r="AG158" i="63"/>
  <c r="AH153" i="63" l="1"/>
  <c r="AH156" i="63" s="1"/>
  <c r="AH151" i="63"/>
  <c r="AH149" i="63"/>
  <c r="AI145" i="63" s="1"/>
  <c r="AH158" i="63" l="1"/>
  <c r="AI147" i="63"/>
  <c r="AI148" i="63" s="1"/>
  <c r="AI151" i="63" l="1"/>
  <c r="AI153" i="63"/>
  <c r="AI156" i="63" s="1"/>
  <c r="AI149" i="63"/>
  <c r="AJ145" i="63" s="1"/>
  <c r="AJ147" i="63" l="1"/>
  <c r="AJ148" i="63" s="1"/>
  <c r="AI158" i="63"/>
  <c r="AJ151" i="63" l="1"/>
  <c r="AJ153" i="63"/>
  <c r="AJ156" i="63" s="1"/>
  <c r="AJ149" i="63"/>
  <c r="AK145" i="63" s="1"/>
  <c r="AK147" i="63" l="1"/>
  <c r="AK148" i="63" s="1"/>
  <c r="AJ158" i="63"/>
  <c r="AK151" i="63" l="1"/>
  <c r="AK153" i="63"/>
  <c r="AK156" i="63" s="1"/>
  <c r="AK149" i="63"/>
  <c r="AL145" i="63" s="1"/>
  <c r="AL147" i="63" l="1"/>
  <c r="AL148" i="63" s="1"/>
  <c r="AK158" i="63"/>
  <c r="AL151" i="63" l="1"/>
  <c r="AL153" i="63"/>
  <c r="AL156" i="63" s="1"/>
  <c r="AL149" i="63"/>
  <c r="AM145" i="63" s="1"/>
  <c r="AL158" i="63" l="1"/>
  <c r="AM147" i="63"/>
  <c r="AM148" i="63" s="1"/>
  <c r="AM151" i="63" l="1"/>
  <c r="AM153" i="63"/>
  <c r="AM156" i="63" s="1"/>
  <c r="AM149" i="63"/>
  <c r="AN145" i="63" s="1"/>
  <c r="AM158" i="63" l="1"/>
  <c r="AN147" i="63"/>
  <c r="AN148" i="63" s="1"/>
  <c r="AN153" i="63" l="1"/>
  <c r="AN156" i="63" s="1"/>
  <c r="AN151" i="63"/>
  <c r="AN149" i="63"/>
  <c r="AO145" i="63" s="1"/>
  <c r="AN158" i="63" l="1"/>
  <c r="AO147" i="63"/>
  <c r="AO148" i="63" s="1"/>
  <c r="AO151" i="63" l="1"/>
  <c r="AO153" i="63"/>
  <c r="AO156" i="63" s="1"/>
  <c r="AO149" i="63"/>
  <c r="AP145" i="63" s="1"/>
  <c r="AO158" i="63" l="1"/>
  <c r="AP147" i="63"/>
  <c r="AP148" i="63" s="1"/>
  <c r="AP151" i="63" l="1"/>
  <c r="AP153" i="63"/>
  <c r="AP156" i="63" s="1"/>
  <c r="AP149" i="63"/>
  <c r="AQ145" i="63" s="1"/>
  <c r="AP158" i="63" l="1"/>
  <c r="AQ147" i="63"/>
  <c r="AQ148" i="63" s="1"/>
  <c r="AQ153" i="63" l="1"/>
  <c r="AQ156" i="63" s="1"/>
  <c r="AQ151" i="63"/>
  <c r="AQ149" i="63"/>
  <c r="AR145" i="63" s="1"/>
  <c r="AQ158" i="63" l="1"/>
  <c r="AR147" i="63"/>
  <c r="AR148" i="63" s="1"/>
  <c r="AR153" i="63" l="1"/>
  <c r="AR156" i="63" s="1"/>
  <c r="AR151" i="63"/>
  <c r="AR149" i="63"/>
  <c r="AS145" i="63" s="1"/>
  <c r="AR158" i="63" l="1"/>
  <c r="AS147" i="63"/>
  <c r="AS148" i="63" s="1"/>
  <c r="AS153" i="63" l="1"/>
  <c r="AS156" i="63" s="1"/>
  <c r="AS151" i="63"/>
  <c r="AS149" i="63"/>
  <c r="AT145" i="63" s="1"/>
  <c r="AS158" i="63" l="1"/>
  <c r="AT147" i="63"/>
  <c r="AT148" i="63" s="1"/>
  <c r="AT153" i="63" l="1"/>
  <c r="AT156" i="63" s="1"/>
  <c r="AT151" i="63"/>
  <c r="AT149" i="63"/>
  <c r="AU145" i="63" s="1"/>
  <c r="AT158" i="63" l="1"/>
  <c r="AU147" i="63"/>
  <c r="AU148" i="63" s="1"/>
  <c r="AU153" i="63" l="1"/>
  <c r="AU156" i="63" s="1"/>
  <c r="AU151" i="63"/>
  <c r="AU149" i="63"/>
  <c r="AV145" i="63" s="1"/>
  <c r="AU158" i="63" l="1"/>
  <c r="AV147" i="63"/>
  <c r="AV148" i="63" s="1"/>
  <c r="AV153" i="63" l="1"/>
  <c r="AV156" i="63" s="1"/>
  <c r="AV151" i="63"/>
  <c r="AV149" i="63"/>
  <c r="AW145" i="63" s="1"/>
  <c r="AV158" i="63" l="1"/>
  <c r="AW147" i="63"/>
  <c r="AW148" i="63" s="1"/>
  <c r="AW151" i="63" l="1"/>
  <c r="AW153" i="63"/>
  <c r="AW156" i="63" s="1"/>
  <c r="AW149" i="63"/>
  <c r="AX145" i="63" s="1"/>
  <c r="AX147" i="63" l="1"/>
  <c r="AX148" i="63" s="1"/>
  <c r="AW158" i="63"/>
  <c r="AX151" i="63" l="1"/>
  <c r="AX153" i="63"/>
  <c r="AX156" i="63" s="1"/>
  <c r="AX149" i="63"/>
  <c r="AY145" i="63" s="1"/>
  <c r="AX158" i="63" l="1"/>
  <c r="AY147" i="63"/>
  <c r="AY148" i="63" s="1"/>
  <c r="AY153" i="63" l="1"/>
  <c r="AY156" i="63" s="1"/>
  <c r="AY151" i="63"/>
  <c r="AY149" i="63"/>
  <c r="AZ145" i="63" s="1"/>
  <c r="AY158" i="63" l="1"/>
  <c r="AZ147" i="63"/>
  <c r="AZ148" i="63" l="1"/>
  <c r="AZ153" i="63" s="1"/>
  <c r="AZ156" i="63" s="1"/>
  <c r="AZ151" i="63" l="1"/>
  <c r="AZ158" i="63" s="1"/>
  <c r="AZ149" i="63"/>
  <c r="BA145" i="63" s="1"/>
  <c r="BA147" i="63" l="1"/>
  <c r="BA148" i="63" l="1"/>
  <c r="BA151" i="63" s="1"/>
  <c r="BA153" i="63" l="1"/>
  <c r="BA156" i="63" s="1"/>
  <c r="BA158" i="63" s="1"/>
  <c r="BA149" i="63"/>
  <c r="BB145" i="63" s="1"/>
  <c r="BB147" i="63" l="1"/>
  <c r="BB148" i="63" l="1"/>
  <c r="BB151" i="63" s="1"/>
  <c r="BB153" i="63" l="1"/>
  <c r="BB156" i="63" s="1"/>
  <c r="BB158" i="63" s="1"/>
  <c r="BB149" i="63"/>
  <c r="BC145" i="63" s="1"/>
  <c r="BC147" i="63" l="1"/>
  <c r="BC148" i="63" s="1"/>
  <c r="BC153" i="63" l="1"/>
  <c r="BC156" i="63" s="1"/>
  <c r="BC151" i="63"/>
  <c r="BC149" i="63"/>
  <c r="BD145" i="63" s="1"/>
  <c r="BC158" i="63" l="1"/>
  <c r="BD147" i="63"/>
  <c r="BD148" i="63" s="1"/>
  <c r="BD153" i="63" l="1"/>
  <c r="BD156" i="63" s="1"/>
  <c r="BD151" i="63"/>
  <c r="BD149" i="63"/>
  <c r="BE145" i="63" s="1"/>
  <c r="BD158" i="63" l="1"/>
  <c r="BE147" i="63"/>
  <c r="BE148" i="63" s="1"/>
  <c r="BE151" i="63" l="1"/>
  <c r="BE153" i="63"/>
  <c r="BE156" i="63" s="1"/>
  <c r="BE149" i="63"/>
  <c r="BF145" i="63" s="1"/>
  <c r="BF147" i="63" l="1"/>
  <c r="BF148" i="63" s="1"/>
  <c r="BE158" i="63"/>
  <c r="BF151" i="63" l="1"/>
  <c r="BF153" i="63"/>
  <c r="BF156" i="63" s="1"/>
  <c r="BF149" i="63"/>
  <c r="BG145" i="63" s="1"/>
  <c r="BG147" i="63" l="1"/>
  <c r="BG148" i="63" s="1"/>
  <c r="BF158" i="63"/>
  <c r="BG153" i="63" l="1"/>
  <c r="BG156" i="63" s="1"/>
  <c r="BG151" i="63"/>
  <c r="BG149" i="63"/>
  <c r="BH145" i="63" s="1"/>
  <c r="BG158" i="63" l="1"/>
  <c r="BH147" i="63"/>
  <c r="BH148" i="63" s="1"/>
  <c r="BH151" i="63" l="1"/>
  <c r="BH153" i="63"/>
  <c r="BH156" i="63" s="1"/>
  <c r="BH149" i="63"/>
  <c r="BI145" i="63" s="1"/>
  <c r="BI147" i="63" l="1"/>
  <c r="BI148" i="63" s="1"/>
  <c r="BH158" i="63"/>
  <c r="BI151" i="63" l="1"/>
  <c r="BI153" i="63"/>
  <c r="BI156" i="63" s="1"/>
  <c r="BI149" i="63"/>
  <c r="BJ145" i="63" s="1"/>
  <c r="BJ147" i="63" l="1"/>
  <c r="BJ148" i="63" s="1"/>
  <c r="BI158" i="63"/>
  <c r="BJ151" i="63" l="1"/>
  <c r="BJ153" i="63"/>
  <c r="BJ156" i="63" s="1"/>
  <c r="BJ149" i="63"/>
  <c r="BK145" i="63" s="1"/>
  <c r="BK147" i="63" l="1"/>
  <c r="BJ158" i="63"/>
  <c r="BK148" i="63" l="1"/>
  <c r="BK151" i="63" s="1"/>
  <c r="BK149" i="63" l="1"/>
  <c r="BL145" i="63" s="1"/>
  <c r="BK153" i="63"/>
  <c r="BK156" i="63" s="1"/>
  <c r="BK158" i="63" s="1"/>
  <c r="BL147" i="63" l="1"/>
  <c r="BL148" i="63" l="1"/>
  <c r="BL151" i="63" l="1"/>
  <c r="BL149" i="63"/>
  <c r="BM145" i="63" s="1"/>
  <c r="BL153" i="63"/>
  <c r="BL156" i="63" s="1"/>
  <c r="BM147" i="63" l="1"/>
  <c r="BM148" i="63" s="1"/>
  <c r="BL158" i="63"/>
  <c r="BM153" i="63" l="1"/>
  <c r="BM156" i="63" s="1"/>
  <c r="BM151" i="63"/>
  <c r="BM149" i="63"/>
  <c r="BN145" i="63" s="1"/>
  <c r="BM158" i="63" l="1"/>
  <c r="BN147" i="63"/>
  <c r="BN148" i="63" l="1"/>
  <c r="BN151" i="63" l="1"/>
  <c r="BN149" i="63"/>
  <c r="BO145" i="63" s="1"/>
  <c r="BN153" i="63"/>
  <c r="BN156" i="63" s="1"/>
  <c r="BO147" i="63" l="1"/>
  <c r="BO148" i="63" s="1"/>
  <c r="BN158" i="63"/>
  <c r="BO153" i="63" l="1"/>
  <c r="BO156" i="63" s="1"/>
  <c r="BO151" i="63"/>
  <c r="BO149" i="63"/>
  <c r="BP145" i="63" s="1"/>
  <c r="BO158" i="63" l="1"/>
  <c r="BP147" i="63"/>
  <c r="BP148" i="63" s="1"/>
  <c r="BP153" i="63" l="1"/>
  <c r="BP156" i="63" s="1"/>
  <c r="BP151" i="63"/>
  <c r="BP149" i="63"/>
  <c r="BQ145" i="63" s="1"/>
  <c r="BP158" i="63" l="1"/>
  <c r="BQ147" i="63"/>
  <c r="BQ148" i="63" s="1"/>
  <c r="BQ153" i="63" l="1"/>
  <c r="BQ156" i="63" s="1"/>
  <c r="BQ151" i="63"/>
  <c r="BQ149" i="63"/>
  <c r="BR145" i="63" s="1"/>
  <c r="BQ158" i="63" l="1"/>
  <c r="BR147" i="63"/>
  <c r="BR148" i="63" s="1"/>
  <c r="BR153" i="63" l="1"/>
  <c r="BR156" i="63" s="1"/>
  <c r="BR151" i="63"/>
  <c r="BR149" i="63"/>
  <c r="BS145" i="63" s="1"/>
  <c r="BR158" i="63" l="1"/>
  <c r="BS147" i="63"/>
  <c r="BS148" i="63" s="1"/>
  <c r="BS153" i="63" l="1"/>
  <c r="BS156" i="63" s="1"/>
  <c r="BS151" i="63"/>
  <c r="BS149" i="63"/>
  <c r="BT145" i="63" s="1"/>
  <c r="BS158" i="63" l="1"/>
  <c r="BT147" i="63"/>
  <c r="BT148" i="63" s="1"/>
  <c r="BT153" i="63" l="1"/>
  <c r="BT156" i="63" s="1"/>
  <c r="BT151" i="63"/>
  <c r="BT149" i="63"/>
  <c r="BU145" i="63" s="1"/>
  <c r="BT158" i="63" l="1"/>
  <c r="BU147" i="63"/>
  <c r="BU148" i="63" s="1"/>
  <c r="BU151" i="63" l="1"/>
  <c r="BU153" i="63"/>
  <c r="BU156" i="63" s="1"/>
  <c r="BU149" i="63"/>
  <c r="BV145" i="63" s="1"/>
  <c r="BV147" i="63" l="1"/>
  <c r="BV148" i="63" s="1"/>
  <c r="BU158" i="63"/>
  <c r="BV151" i="63" l="1"/>
  <c r="BV153" i="63"/>
  <c r="BV156" i="63" s="1"/>
  <c r="BV149" i="63"/>
  <c r="BW145" i="63" s="1"/>
  <c r="BV158" i="63" l="1"/>
  <c r="BW147" i="63"/>
  <c r="BW148" i="63" l="1"/>
  <c r="BW153" i="63" l="1"/>
  <c r="BW156" i="63" s="1"/>
  <c r="BW149" i="63"/>
  <c r="BX145" i="63" s="1"/>
  <c r="BW151" i="63"/>
  <c r="BX147" i="63" l="1"/>
  <c r="BW158" i="63"/>
  <c r="BX148" i="63" l="1"/>
  <c r="BX151" i="63" l="1"/>
  <c r="BX149" i="63"/>
  <c r="BY145" i="63" s="1"/>
  <c r="BX153" i="63"/>
  <c r="BX156" i="63" s="1"/>
  <c r="BY147" i="63" l="1"/>
  <c r="BY148" i="63" s="1"/>
  <c r="BX158" i="63"/>
  <c r="BY153" i="63" l="1"/>
  <c r="BY156" i="63" s="1"/>
  <c r="BY151" i="63"/>
  <c r="BY149" i="63"/>
  <c r="BZ145" i="63" s="1"/>
  <c r="BZ147" i="63" l="1"/>
  <c r="BZ148" i="63" s="1"/>
  <c r="BY158" i="63"/>
  <c r="BZ153" i="63" l="1"/>
  <c r="BZ156" i="63" s="1"/>
  <c r="BZ151" i="63"/>
  <c r="BZ149" i="63"/>
  <c r="CA145" i="63" s="1"/>
  <c r="BZ158" i="63" l="1"/>
  <c r="CA147" i="63"/>
  <c r="CA148" i="63" l="1"/>
  <c r="CA153" i="63" s="1"/>
  <c r="CA156" i="63" s="1"/>
  <c r="CA151" i="63" l="1"/>
  <c r="CA158" i="63" s="1"/>
  <c r="CA149" i="63"/>
  <c r="CB145" i="63" s="1"/>
  <c r="CB147" i="63" l="1"/>
  <c r="CB148" i="63" s="1"/>
  <c r="CB151" i="63" l="1"/>
  <c r="CB153" i="63"/>
  <c r="CB156" i="63" s="1"/>
  <c r="CB149" i="63"/>
  <c r="CC145" i="63" s="1"/>
  <c r="CC147" i="63" l="1"/>
  <c r="CC148" i="63" s="1"/>
  <c r="CB158" i="63"/>
  <c r="CC153" i="63" l="1"/>
  <c r="CC156" i="63" s="1"/>
  <c r="CC151" i="63"/>
  <c r="CC149" i="63"/>
  <c r="CD145" i="63" s="1"/>
  <c r="CC158" i="63" l="1"/>
  <c r="CD147" i="63"/>
  <c r="CD148" i="63" s="1"/>
  <c r="CD153" i="63" l="1"/>
  <c r="CD156" i="63" s="1"/>
  <c r="CD151" i="63"/>
  <c r="CD149" i="63"/>
  <c r="CE145" i="63" s="1"/>
  <c r="CD158" i="63" l="1"/>
  <c r="CE147" i="63"/>
  <c r="CE148" i="63" s="1"/>
  <c r="CE151" i="63" l="1"/>
  <c r="CE153" i="63"/>
  <c r="CE156" i="63" s="1"/>
  <c r="CE149" i="63"/>
  <c r="CF145" i="63" s="1"/>
  <c r="CF147" i="63" l="1"/>
  <c r="CF148" i="63" s="1"/>
  <c r="CE158" i="63"/>
  <c r="CF153" i="63" l="1"/>
  <c r="CF156" i="63" s="1"/>
  <c r="CF151" i="63"/>
  <c r="CF149" i="63"/>
  <c r="CG145" i="63" s="1"/>
  <c r="CF158" i="63" l="1"/>
  <c r="CG147" i="63"/>
  <c r="CG148" i="63" s="1"/>
  <c r="CG153" i="63" l="1"/>
  <c r="CG156" i="63" s="1"/>
  <c r="CG151" i="63"/>
  <c r="CG149" i="63"/>
  <c r="CH145" i="63" s="1"/>
  <c r="CG158" i="63" l="1"/>
  <c r="CH147" i="63"/>
  <c r="CH148" i="63" s="1"/>
  <c r="CH153" i="63" l="1"/>
  <c r="CH156" i="63" s="1"/>
  <c r="CH151" i="63"/>
  <c r="CH149" i="63"/>
  <c r="CI145" i="63" s="1"/>
  <c r="CH158" i="63" l="1"/>
  <c r="CI147" i="63"/>
  <c r="CI148" i="63" s="1"/>
  <c r="CI151" i="63" l="1"/>
  <c r="CI153" i="63"/>
  <c r="CI156" i="63" s="1"/>
  <c r="CI149" i="63"/>
  <c r="CJ145" i="63" s="1"/>
  <c r="CI158" i="63" l="1"/>
  <c r="CJ147" i="63"/>
  <c r="CJ148" i="63" l="1"/>
  <c r="CJ151" i="63" s="1"/>
  <c r="CJ153" i="63" l="1"/>
  <c r="CJ156" i="63" s="1"/>
  <c r="CJ158" i="63" s="1"/>
  <c r="CJ149" i="63"/>
  <c r="CK145" i="63" s="1"/>
  <c r="CK147" i="63" l="1"/>
  <c r="CK148" i="63" l="1"/>
  <c r="CK151" i="63" s="1"/>
  <c r="CK153" i="63" l="1"/>
  <c r="CK156" i="63" s="1"/>
  <c r="CK158" i="63" s="1"/>
  <c r="CK149" i="63"/>
  <c r="CL145" i="63" s="1"/>
  <c r="CL147" i="63" l="1"/>
  <c r="CL148" i="63" s="1"/>
  <c r="CL151" i="63" l="1"/>
  <c r="CL153" i="63"/>
  <c r="CL156" i="63" s="1"/>
  <c r="CL149" i="63"/>
  <c r="CM145" i="63" s="1"/>
  <c r="CL158" i="63" l="1"/>
  <c r="CM147" i="63"/>
  <c r="CM148" i="63" l="1"/>
  <c r="CM151" i="63" s="1"/>
  <c r="CM153" i="63" l="1"/>
  <c r="CM156" i="63" s="1"/>
  <c r="CM158" i="63" s="1"/>
  <c r="CM149" i="63"/>
  <c r="CN145" i="63" s="1"/>
  <c r="CN147" i="63" l="1"/>
  <c r="CN148" i="63" s="1"/>
  <c r="CN153" i="63" l="1"/>
  <c r="CN156" i="63" s="1"/>
  <c r="CN151" i="63"/>
  <c r="CN149" i="63"/>
  <c r="CO145" i="63" s="1"/>
  <c r="CN158" i="63" l="1"/>
  <c r="CO147" i="63"/>
  <c r="CO148" i="63" s="1"/>
  <c r="CO153" i="63" l="1"/>
  <c r="CO156" i="63" s="1"/>
  <c r="CO151" i="63"/>
  <c r="CO149" i="63"/>
  <c r="CP145" i="63" s="1"/>
  <c r="CO158" i="63" l="1"/>
  <c r="CP147" i="63"/>
  <c r="CP148" i="63" s="1"/>
  <c r="CP153" i="63" l="1"/>
  <c r="CP156" i="63" s="1"/>
  <c r="CP151" i="63"/>
  <c r="CP149" i="63"/>
  <c r="CQ145" i="63" s="1"/>
  <c r="CP158" i="63" l="1"/>
  <c r="CQ147" i="63"/>
  <c r="CQ148" i="63" s="1"/>
  <c r="CQ153" i="63" l="1"/>
  <c r="CQ156" i="63" s="1"/>
  <c r="CQ151" i="63"/>
  <c r="CQ149" i="63"/>
  <c r="CR145" i="63" s="1"/>
  <c r="CQ158" i="63" l="1"/>
  <c r="CR147" i="63"/>
  <c r="CR148" i="63" s="1"/>
  <c r="CR153" i="63" l="1"/>
  <c r="CR156" i="63" s="1"/>
  <c r="CR151" i="63"/>
  <c r="CR149" i="63"/>
  <c r="CS145" i="63" s="1"/>
  <c r="CR158" i="63" l="1"/>
  <c r="CS147" i="63"/>
  <c r="CS148" i="63" s="1"/>
  <c r="CS151" i="63" l="1"/>
  <c r="CS153" i="63"/>
  <c r="CS156" i="63" s="1"/>
  <c r="CS149" i="63"/>
  <c r="CT145" i="63" s="1"/>
  <c r="CT147" i="63" l="1"/>
  <c r="CT148" i="63" s="1"/>
  <c r="CS158" i="63"/>
  <c r="CT153" i="63" l="1"/>
  <c r="CT156" i="63" s="1"/>
  <c r="CT151" i="63"/>
  <c r="CT149" i="63"/>
  <c r="CU145" i="63" s="1"/>
  <c r="CT158" i="63" l="1"/>
  <c r="CU147" i="63"/>
  <c r="CU148" i="63" l="1"/>
  <c r="CU151" i="63" s="1"/>
  <c r="CU153" i="63" l="1"/>
  <c r="CU156" i="63" s="1"/>
  <c r="CU158" i="63" s="1"/>
  <c r="CU149" i="63"/>
  <c r="CV145" i="63" s="1"/>
  <c r="CV147" i="63" l="1"/>
  <c r="CV148" i="63" s="1"/>
  <c r="CV153" i="63" l="1"/>
  <c r="CV156" i="63" s="1"/>
  <c r="CV151" i="63"/>
  <c r="CV149" i="63"/>
  <c r="CW145" i="63" s="1"/>
  <c r="CV158" i="63" l="1"/>
  <c r="CW147" i="63"/>
  <c r="CW148" i="63" l="1"/>
  <c r="CW151" i="63" s="1"/>
  <c r="CW153" i="63" l="1"/>
  <c r="CW156" i="63" s="1"/>
  <c r="CW158" i="63" s="1"/>
  <c r="CW149" i="63"/>
  <c r="CX145" i="63" s="1"/>
  <c r="CX147" i="63" l="1"/>
  <c r="CX148" i="63" l="1"/>
  <c r="CX153" i="63" s="1"/>
  <c r="CX156" i="63" s="1"/>
  <c r="CX151" i="63" l="1"/>
  <c r="CX158" i="63" s="1"/>
  <c r="CX149" i="63"/>
  <c r="CY145" i="63" s="1"/>
  <c r="CY147" i="63" l="1"/>
  <c r="CY148" i="63" s="1"/>
  <c r="CY153" i="63" l="1"/>
  <c r="CY156" i="63" s="1"/>
  <c r="CY151" i="63"/>
  <c r="CY149" i="63"/>
  <c r="CZ145" i="63" s="1"/>
  <c r="CY158" i="63" l="1"/>
  <c r="CZ147" i="63"/>
  <c r="CZ148" i="63" s="1"/>
  <c r="CZ151" i="63" l="1"/>
  <c r="CZ153" i="63"/>
  <c r="CZ156" i="63" s="1"/>
  <c r="CZ149" i="63"/>
  <c r="DA145" i="63" s="1"/>
  <c r="DA147" i="63" l="1"/>
  <c r="DA148" i="63" s="1"/>
  <c r="CZ158" i="63"/>
  <c r="DA151" i="63" l="1"/>
  <c r="DA153" i="63"/>
  <c r="DA156" i="63" s="1"/>
  <c r="DA149" i="63"/>
  <c r="DB145" i="63" s="1"/>
  <c r="DB147" i="63" l="1"/>
  <c r="DB148" i="63" s="1"/>
  <c r="DA158" i="63"/>
  <c r="DB151" i="63" l="1"/>
  <c r="DB153" i="63"/>
  <c r="DB156" i="63" s="1"/>
  <c r="DB149" i="63"/>
  <c r="DC145" i="63" s="1"/>
  <c r="DC147" i="63" l="1"/>
  <c r="DC148" i="63" s="1"/>
  <c r="DB158" i="63"/>
  <c r="DC153" i="63" l="1"/>
  <c r="DC156" i="63" s="1"/>
  <c r="DC151" i="63"/>
  <c r="DC149" i="63"/>
  <c r="DD145" i="63" s="1"/>
  <c r="DC158" i="63" l="1"/>
  <c r="DD147" i="63"/>
  <c r="DD148" i="63" s="1"/>
  <c r="DD151" i="63" l="1"/>
  <c r="DD153" i="63"/>
  <c r="DD156" i="63" s="1"/>
  <c r="DD149" i="63"/>
  <c r="DE145" i="63" s="1"/>
  <c r="DE147" i="63" l="1"/>
  <c r="DE148" i="63" s="1"/>
  <c r="DD158" i="63"/>
  <c r="DE151" i="63" l="1"/>
  <c r="DE153" i="63"/>
  <c r="DE156" i="63" s="1"/>
  <c r="DE149" i="63"/>
  <c r="DF145" i="63" s="1"/>
  <c r="DF147" i="63" l="1"/>
  <c r="DF148" i="63" s="1"/>
  <c r="DE158" i="63"/>
  <c r="DF153" i="63" l="1"/>
  <c r="DF156" i="63" s="1"/>
  <c r="DF151" i="63"/>
  <c r="DF149" i="63"/>
  <c r="DG145" i="63" s="1"/>
  <c r="DF158" i="63" l="1"/>
  <c r="DG147" i="63"/>
  <c r="DG148" i="63" l="1"/>
  <c r="DG151" i="63" s="1"/>
  <c r="DG153" i="63" l="1"/>
  <c r="DG156" i="63" s="1"/>
  <c r="DG158" i="63" s="1"/>
  <c r="DG149" i="63"/>
  <c r="DH145" i="63" s="1"/>
  <c r="DH147" i="63" l="1"/>
  <c r="DH148" i="63" s="1"/>
  <c r="DH153" i="63" l="1"/>
  <c r="DH156" i="63" s="1"/>
  <c r="DH151" i="63"/>
  <c r="DH149" i="63"/>
  <c r="DI145" i="63" s="1"/>
  <c r="DH158" i="63" l="1"/>
  <c r="DI147" i="63"/>
  <c r="DI148" i="63" s="1"/>
  <c r="DI153" i="63" l="1"/>
  <c r="DI156" i="63" s="1"/>
  <c r="DI151" i="63"/>
  <c r="DI149" i="63"/>
  <c r="DJ145" i="63" s="1"/>
  <c r="DI158" i="63" l="1"/>
  <c r="DJ147" i="63"/>
  <c r="DJ148" i="63" s="1"/>
  <c r="DJ153" i="63" l="1"/>
  <c r="DJ156" i="63" s="1"/>
  <c r="DJ151" i="63"/>
  <c r="DJ149" i="63"/>
  <c r="DK145" i="63" s="1"/>
  <c r="DJ158" i="63" l="1"/>
  <c r="DK147" i="63"/>
  <c r="DK148" i="63" s="1"/>
  <c r="DK153" i="63" l="1"/>
  <c r="DK156" i="63" s="1"/>
  <c r="DK151" i="63"/>
  <c r="DK149" i="63"/>
  <c r="DL145" i="63" s="1"/>
  <c r="DK158" i="63" l="1"/>
  <c r="DL147" i="63"/>
  <c r="DL148" i="63" s="1"/>
  <c r="DL153" i="63" l="1"/>
  <c r="DL156" i="63" s="1"/>
  <c r="DL151" i="63"/>
  <c r="DL149" i="63"/>
  <c r="DM145" i="63" s="1"/>
  <c r="DL158" i="63" l="1"/>
  <c r="DM147" i="63"/>
  <c r="DM148" i="63" s="1"/>
  <c r="DM153" i="63" l="1"/>
  <c r="DM156" i="63" s="1"/>
  <c r="DM151" i="63"/>
  <c r="DM149" i="63"/>
  <c r="DN145" i="63" s="1"/>
  <c r="DM158" i="63" l="1"/>
  <c r="DN147" i="63"/>
  <c r="DN148" i="63" s="1"/>
  <c r="DN151" i="63" l="1"/>
  <c r="DN153" i="63"/>
  <c r="DN156" i="63" s="1"/>
  <c r="DN149" i="63"/>
  <c r="DO145" i="63" s="1"/>
  <c r="DO147" i="63" l="1"/>
  <c r="DO148" i="63" s="1"/>
  <c r="DN158" i="63"/>
  <c r="DO151" i="63" l="1"/>
  <c r="DO153" i="63"/>
  <c r="DO156" i="63" s="1"/>
  <c r="DO149" i="63"/>
  <c r="DP145" i="63" s="1"/>
  <c r="DP147" i="63" l="1"/>
  <c r="DP148" i="63" s="1"/>
  <c r="DO158" i="63"/>
  <c r="DP151" i="63" l="1"/>
  <c r="DP153" i="63"/>
  <c r="DP156" i="63" s="1"/>
  <c r="DP149" i="63"/>
  <c r="DQ145" i="63" s="1"/>
  <c r="DQ147" i="63" l="1"/>
  <c r="DQ148" i="63" s="1"/>
  <c r="DP158" i="63"/>
  <c r="DQ151" i="63" l="1"/>
  <c r="DQ153" i="63"/>
  <c r="DQ156" i="63" s="1"/>
  <c r="DQ149" i="63"/>
  <c r="DR145" i="63" s="1"/>
  <c r="DR147" i="63" l="1"/>
  <c r="DR148" i="63" s="1"/>
  <c r="DQ158" i="63"/>
  <c r="DR153" i="63" l="1"/>
  <c r="DR156" i="63" s="1"/>
  <c r="DR151" i="63"/>
  <c r="DR149" i="63"/>
  <c r="DS145" i="63" s="1"/>
  <c r="DR158" i="63" l="1"/>
  <c r="DS147" i="63"/>
  <c r="DS148" i="63" s="1"/>
  <c r="DS151" i="63" l="1"/>
  <c r="DS153" i="63"/>
  <c r="DS156" i="63" s="1"/>
  <c r="DS149" i="63"/>
  <c r="DT145" i="63" s="1"/>
  <c r="DS158" i="63" l="1"/>
  <c r="DT147" i="63"/>
  <c r="DT148" i="63" l="1"/>
  <c r="DT151" i="63" s="1"/>
  <c r="DT153" i="63" l="1"/>
  <c r="DT156" i="63" s="1"/>
  <c r="DT158" i="63" s="1"/>
  <c r="DT149" i="63"/>
  <c r="DU145" i="63" s="1"/>
  <c r="DU147" i="63" l="1"/>
  <c r="DU148" i="63" s="1"/>
  <c r="DU151" i="63" l="1"/>
  <c r="DU153" i="63"/>
  <c r="DU156" i="63" s="1"/>
  <c r="DU149" i="63"/>
  <c r="DV145" i="63" s="1"/>
  <c r="DU158" i="63" l="1"/>
  <c r="DV147" i="63"/>
  <c r="DV148" i="63" s="1"/>
  <c r="DV151" i="63" l="1"/>
  <c r="DV153" i="63"/>
  <c r="DV156" i="63" s="1"/>
  <c r="DV149" i="63"/>
  <c r="DW145" i="63" s="1"/>
  <c r="DV158" i="63" l="1"/>
  <c r="DW147" i="63"/>
  <c r="DW148" i="63" s="1"/>
  <c r="DW151" i="63" l="1"/>
  <c r="DW153" i="63"/>
  <c r="DW156" i="63" s="1"/>
  <c r="DW149" i="63"/>
  <c r="DX145" i="63" s="1"/>
  <c r="DW158" i="63" l="1"/>
  <c r="DX147" i="63"/>
  <c r="DX148" i="63" s="1"/>
  <c r="DX153" i="63" l="1"/>
  <c r="DX156" i="63" s="1"/>
  <c r="DX151" i="63"/>
  <c r="DX149" i="63"/>
  <c r="DY145" i="63" s="1"/>
  <c r="DX158" i="63" l="1"/>
  <c r="DY147" i="63"/>
  <c r="DY148" i="63" s="1"/>
  <c r="DY151" i="63" l="1"/>
  <c r="DY153" i="63"/>
  <c r="DY156" i="63" s="1"/>
  <c r="DY149" i="63"/>
  <c r="DZ145" i="63" s="1"/>
  <c r="DZ147" i="63" l="1"/>
  <c r="DZ148" i="63" s="1"/>
  <c r="DY158" i="63"/>
  <c r="DZ153" i="63" l="1"/>
  <c r="DZ156" i="63" s="1"/>
  <c r="DZ151" i="63"/>
  <c r="DZ149" i="63"/>
  <c r="EA145" i="63" s="1"/>
  <c r="DZ158" i="63" l="1"/>
  <c r="EA147" i="63"/>
  <c r="EA148" i="63" s="1"/>
  <c r="EA151" i="63" l="1"/>
  <c r="EA153" i="63"/>
  <c r="EA156" i="63" s="1"/>
  <c r="EA149" i="63"/>
  <c r="EB145" i="63" s="1"/>
  <c r="EB147" i="63" l="1"/>
  <c r="EB148" i="63" s="1"/>
  <c r="EA158" i="63"/>
  <c r="EB151" i="63" l="1"/>
  <c r="EB153" i="63"/>
  <c r="EB156" i="63" s="1"/>
  <c r="EB149" i="63"/>
  <c r="EC145" i="63" s="1"/>
  <c r="EC147" i="63" l="1"/>
  <c r="EC148" i="63" s="1"/>
  <c r="EB158" i="63"/>
  <c r="EC151" i="63" l="1"/>
  <c r="EC153" i="63"/>
  <c r="EC156" i="63" s="1"/>
  <c r="EC149" i="63"/>
  <c r="ED145" i="63" s="1"/>
  <c r="ED147" i="63" l="1"/>
  <c r="ED148" i="63" s="1"/>
  <c r="EC158" i="63"/>
  <c r="ED151" i="63" l="1"/>
  <c r="ED153" i="63"/>
  <c r="ED156" i="63" s="1"/>
  <c r="ED149" i="63"/>
  <c r="EE145" i="63" s="1"/>
  <c r="ED158" i="63" l="1"/>
  <c r="EE147" i="63"/>
  <c r="EE148" i="63" l="1"/>
  <c r="EE151" i="63" s="1"/>
  <c r="EE153" i="63" l="1"/>
  <c r="EE156" i="63" s="1"/>
  <c r="EE158" i="63" s="1"/>
  <c r="EE149" i="63"/>
  <c r="EF145" i="63" s="1"/>
  <c r="EF147" i="63" l="1"/>
  <c r="EF148" i="63" l="1"/>
  <c r="EF151" i="63" s="1"/>
  <c r="EF153" i="63" l="1"/>
  <c r="EF156" i="63" s="1"/>
  <c r="EF158" i="63" s="1"/>
  <c r="EF149" i="63"/>
  <c r="EG145" i="63" s="1"/>
  <c r="EG147" i="63" l="1"/>
  <c r="EG148" i="63" l="1"/>
  <c r="EG153" i="63" s="1"/>
  <c r="EG156" i="63" s="1"/>
  <c r="EG151" i="63" l="1"/>
  <c r="EG158" i="63" s="1"/>
  <c r="EG149" i="63"/>
  <c r="EH145" i="63" s="1"/>
  <c r="EH147" i="63" l="1"/>
  <c r="EH148" i="63" s="1"/>
  <c r="EH153" i="63" l="1"/>
  <c r="EH156" i="63" s="1"/>
  <c r="EH151" i="63"/>
  <c r="EH149" i="63"/>
  <c r="EI145" i="63" s="1"/>
  <c r="EH158" i="63" l="1"/>
  <c r="EI147" i="63"/>
  <c r="EI148" i="63" l="1"/>
  <c r="EI153" i="63" s="1"/>
  <c r="EI156" i="63" s="1"/>
  <c r="EI151" i="63" l="1"/>
  <c r="EI158" i="63" s="1"/>
  <c r="EI149" i="63"/>
  <c r="EJ145" i="63" s="1"/>
  <c r="EJ147" i="63" l="1"/>
  <c r="EJ148" i="63" s="1"/>
  <c r="EJ153" i="63" l="1"/>
  <c r="EJ156" i="63" s="1"/>
  <c r="EJ151" i="63"/>
  <c r="EJ149" i="63"/>
  <c r="EK145" i="63" s="1"/>
  <c r="EJ158" i="63" l="1"/>
  <c r="EK147" i="63"/>
  <c r="EK148" i="63" s="1"/>
  <c r="EK153" i="63" l="1"/>
  <c r="EK156" i="63" s="1"/>
  <c r="EK151" i="63"/>
  <c r="EK149" i="63"/>
  <c r="EL145" i="63" s="1"/>
  <c r="EK158" i="63" l="1"/>
  <c r="EL147" i="63"/>
  <c r="EL148" i="63" s="1"/>
  <c r="EL151" i="63" l="1"/>
  <c r="EL153" i="63"/>
  <c r="EL156" i="63" s="1"/>
  <c r="EL149" i="63"/>
  <c r="EM145" i="63" s="1"/>
  <c r="EM147" i="63" l="1"/>
  <c r="EM148" i="63" s="1"/>
  <c r="EL158" i="63"/>
  <c r="EM153" i="63" l="1"/>
  <c r="EM156" i="63" s="1"/>
  <c r="EM151" i="63"/>
  <c r="EM149" i="63"/>
  <c r="EN145" i="63" s="1"/>
  <c r="EM158" i="63" l="1"/>
  <c r="EN147" i="63"/>
  <c r="EN148" i="63" s="1"/>
  <c r="EN153" i="63" l="1"/>
  <c r="EN156" i="63" s="1"/>
  <c r="EN151" i="63"/>
  <c r="EN149" i="63"/>
  <c r="EO145" i="63" s="1"/>
  <c r="EN158" i="63" l="1"/>
  <c r="EO147" i="63"/>
  <c r="EO148" i="63" s="1"/>
  <c r="EO151" i="63" l="1"/>
  <c r="EO153" i="63"/>
  <c r="EO156" i="63" s="1"/>
  <c r="EO149" i="63"/>
  <c r="EP145" i="63" s="1"/>
  <c r="EP147" i="63" l="1"/>
  <c r="EP148" i="63" s="1"/>
  <c r="EO158" i="63"/>
  <c r="EP151" i="63" l="1"/>
  <c r="EP153" i="63"/>
  <c r="EP156" i="63" s="1"/>
  <c r="EP149" i="63"/>
  <c r="EQ145" i="63" s="1"/>
  <c r="EP158" i="63" l="1"/>
  <c r="EQ147" i="63"/>
  <c r="EQ148" i="63" s="1"/>
  <c r="EQ151" i="63" l="1"/>
  <c r="EQ153" i="63"/>
  <c r="EQ156" i="63" s="1"/>
  <c r="EQ149" i="63"/>
  <c r="ER145" i="63" s="1"/>
  <c r="EQ158" i="63" l="1"/>
  <c r="ER147" i="63"/>
  <c r="ER148" i="63" l="1"/>
  <c r="ER153" i="63" s="1"/>
  <c r="ER156" i="63" s="1"/>
  <c r="FH147" i="63"/>
  <c r="FI147" i="63"/>
  <c r="FJ147" i="63"/>
  <c r="FK147" i="63"/>
  <c r="FL147" i="63"/>
  <c r="FM147" i="63"/>
  <c r="FN147" i="63"/>
  <c r="FO147" i="63"/>
  <c r="FP147" i="63"/>
  <c r="FQ147" i="63"/>
  <c r="FR147" i="63"/>
  <c r="FS147" i="63"/>
  <c r="ER151" i="63" l="1"/>
  <c r="ER158" i="63" s="1"/>
  <c r="ER149" i="63"/>
  <c r="ES145" i="63" s="1"/>
  <c r="FH148" i="63"/>
  <c r="FH149" i="63" s="1"/>
  <c r="FI145" i="63" s="1"/>
  <c r="FI148" i="63"/>
  <c r="FJ148" i="63"/>
  <c r="FK148" i="63"/>
  <c r="FL148" i="63"/>
  <c r="FM148" i="63"/>
  <c r="FN148" i="63"/>
  <c r="FO148" i="63"/>
  <c r="FP148" i="63"/>
  <c r="FQ148" i="63"/>
  <c r="FR148" i="63"/>
  <c r="FS148" i="63"/>
  <c r="ES147" i="63" l="1"/>
  <c r="FH153" i="63"/>
  <c r="FI153" i="63"/>
  <c r="FJ153" i="63"/>
  <c r="FK153" i="63"/>
  <c r="FL153" i="63"/>
  <c r="FM153" i="63"/>
  <c r="FN153" i="63"/>
  <c r="FO153" i="63"/>
  <c r="FP153" i="63"/>
  <c r="FQ153" i="63"/>
  <c r="FR153" i="63"/>
  <c r="FS153" i="63"/>
  <c r="FH151" i="63"/>
  <c r="FI151" i="63"/>
  <c r="FJ151" i="63"/>
  <c r="FK151" i="63"/>
  <c r="FL151" i="63"/>
  <c r="FM151" i="63"/>
  <c r="FN151" i="63"/>
  <c r="FO151" i="63"/>
  <c r="FP151" i="63"/>
  <c r="FQ151" i="63"/>
  <c r="FR151" i="63"/>
  <c r="FS151" i="63"/>
  <c r="FI149" i="63"/>
  <c r="FJ145" i="63" s="1"/>
  <c r="FJ149" i="63" s="1"/>
  <c r="FK145" i="63" s="1"/>
  <c r="FK149" i="63" s="1"/>
  <c r="FL145" i="63" s="1"/>
  <c r="FL149" i="63" s="1"/>
  <c r="FM145" i="63" s="1"/>
  <c r="FM149" i="63" s="1"/>
  <c r="FN145" i="63" s="1"/>
  <c r="FN149" i="63" s="1"/>
  <c r="FO145" i="63" s="1"/>
  <c r="FO149" i="63" s="1"/>
  <c r="FP145" i="63" s="1"/>
  <c r="FP149" i="63" s="1"/>
  <c r="FQ145" i="63" s="1"/>
  <c r="FQ149" i="63" s="1"/>
  <c r="FR145" i="63" s="1"/>
  <c r="FR149" i="63" s="1"/>
  <c r="FS145" i="63" s="1"/>
  <c r="FS149" i="63" s="1"/>
  <c r="FT145" i="63" s="1"/>
  <c r="ES148" i="63" l="1"/>
  <c r="FH158" i="63"/>
  <c r="FI158" i="63"/>
  <c r="FJ158" i="63"/>
  <c r="FK158" i="63"/>
  <c r="FL158" i="63"/>
  <c r="FM158" i="63"/>
  <c r="FN158" i="63"/>
  <c r="FO158" i="63"/>
  <c r="FP158" i="63"/>
  <c r="FQ158" i="63"/>
  <c r="FR158" i="63"/>
  <c r="FS158" i="63"/>
  <c r="FH156" i="63"/>
  <c r="FI156" i="63"/>
  <c r="FJ156" i="63"/>
  <c r="FK156" i="63"/>
  <c r="FL156" i="63"/>
  <c r="FM156" i="63"/>
  <c r="FN156" i="63"/>
  <c r="FO156" i="63"/>
  <c r="FP156" i="63"/>
  <c r="FQ156" i="63"/>
  <c r="FR156" i="63"/>
  <c r="FS156" i="63"/>
  <c r="ES151" i="63" l="1"/>
  <c r="ES149" i="63"/>
  <c r="ET145" i="63" s="1"/>
  <c r="ES153" i="63"/>
  <c r="ET147" i="63" l="1"/>
  <c r="ES156" i="63"/>
  <c r="ES158" i="63" s="1"/>
  <c r="ET148" i="63" l="1"/>
  <c r="ET151" i="63" l="1"/>
  <c r="ET153" i="63"/>
  <c r="ET149" i="63"/>
  <c r="EU145" i="63" s="1"/>
  <c r="EU147" i="63" l="1"/>
  <c r="ET156" i="63"/>
  <c r="ET158" i="63" l="1"/>
  <c r="EU148" i="63"/>
  <c r="EU151" i="63" l="1"/>
  <c r="EU149" i="63"/>
  <c r="EV145" i="63" s="1"/>
  <c r="EU153" i="63"/>
  <c r="EU156" i="63" l="1"/>
  <c r="EV147" i="63"/>
  <c r="EV148" i="63" s="1"/>
  <c r="EV151" i="63" l="1"/>
  <c r="EV153" i="63"/>
  <c r="EV149" i="63"/>
  <c r="EW145" i="63" s="1"/>
  <c r="EU158" i="63"/>
  <c r="EV156" i="63" l="1"/>
  <c r="EV158" i="63" s="1"/>
  <c r="EW147" i="63"/>
  <c r="EW148" i="63" l="1"/>
  <c r="EW151" i="63" l="1"/>
  <c r="EW153" i="63"/>
  <c r="EW149" i="63"/>
  <c r="EX145" i="63" s="1"/>
  <c r="EX147" i="63" l="1"/>
  <c r="EX148" i="63" s="1"/>
  <c r="EW156" i="63"/>
  <c r="EW158" i="63" s="1"/>
  <c r="EX151" i="63" l="1"/>
  <c r="EX153" i="63"/>
  <c r="EX156" i="63" s="1"/>
  <c r="EX149" i="63"/>
  <c r="EY145" i="63" s="1"/>
  <c r="EY147" i="63" l="1"/>
  <c r="EY148" i="63" s="1"/>
  <c r="EX158" i="63"/>
  <c r="EY151" i="63" l="1"/>
  <c r="EY153" i="63"/>
  <c r="EY156" i="63" s="1"/>
  <c r="EY149" i="63"/>
  <c r="EZ145" i="63" s="1"/>
  <c r="EZ147" i="63" l="1"/>
  <c r="EZ148" i="63" s="1"/>
  <c r="EY158" i="63"/>
  <c r="EZ153" i="63" l="1"/>
  <c r="EZ156" i="63" s="1"/>
  <c r="EZ151" i="63"/>
  <c r="EZ149" i="63"/>
  <c r="FA145" i="63" s="1"/>
  <c r="EZ158" i="63" l="1"/>
  <c r="FA147" i="63"/>
  <c r="FA148" i="63" s="1"/>
  <c r="FA151" i="63" l="1"/>
  <c r="FA153" i="63"/>
  <c r="FA156" i="63" s="1"/>
  <c r="FA149" i="63"/>
  <c r="FB145" i="63" s="1"/>
  <c r="FB147" i="63" l="1"/>
  <c r="FA158" i="63"/>
  <c r="FB148" i="63" l="1"/>
  <c r="FB151" i="63" l="1"/>
  <c r="FB153" i="63"/>
  <c r="FB149" i="63"/>
  <c r="FC145" i="63" s="1"/>
  <c r="FC147" i="63" l="1"/>
  <c r="FB156" i="63"/>
  <c r="FB158" i="63" l="1"/>
  <c r="FC148" i="63"/>
  <c r="FC151" i="63" l="1"/>
  <c r="FC153" i="63"/>
  <c r="FC149" i="63"/>
  <c r="FD145" i="63" s="1"/>
  <c r="FD147" i="63" l="1"/>
  <c r="FC156" i="63"/>
  <c r="FC158" i="63" l="1"/>
  <c r="FD148" i="63"/>
  <c r="FD151" i="63" l="1"/>
  <c r="FD153" i="63"/>
  <c r="E162" i="63"/>
  <c r="G48" i="63" s="1"/>
  <c r="FD149" i="63"/>
  <c r="FE145" i="63" s="1"/>
  <c r="FE147" i="63" l="1"/>
  <c r="FD156" i="63"/>
  <c r="FD158" i="63" s="1"/>
  <c r="FE148" i="63" l="1"/>
  <c r="FE151" i="63" l="1"/>
  <c r="FE153" i="63"/>
  <c r="FE149" i="63"/>
  <c r="FF145" i="63" s="1"/>
  <c r="FF147" i="63" l="1"/>
  <c r="FE156" i="63"/>
  <c r="FE158" i="63" l="1"/>
  <c r="FT147" i="63"/>
  <c r="E147" i="63"/>
  <c r="FU147" i="63"/>
  <c r="FF148" i="63"/>
  <c r="FF151" i="63" l="1"/>
  <c r="D151" i="63" s="1"/>
  <c r="FF153" i="63"/>
  <c r="E148" i="63"/>
  <c r="E149" i="63" s="1"/>
  <c r="FT148" i="63"/>
  <c r="FT149" i="63" s="1"/>
  <c r="FU145" i="63" s="1"/>
  <c r="FU148" i="63"/>
  <c r="FF149" i="63"/>
  <c r="FU149" i="63" l="1"/>
  <c r="FF156" i="63"/>
  <c r="FF158" i="63" s="1"/>
  <c r="FT153" i="63"/>
  <c r="E153" i="63"/>
  <c r="FU153" i="63"/>
  <c r="E151" i="63"/>
  <c r="FT151" i="63"/>
  <c r="FU151" i="63"/>
  <c r="E158" i="63" l="1"/>
  <c r="FT158" i="63"/>
  <c r="E161" i="63"/>
  <c r="G47" i="63" s="1"/>
  <c r="E160" i="63"/>
  <c r="FU158" i="63"/>
  <c r="E156" i="63"/>
  <c r="FT156" i="63"/>
  <c r="FU156" i="63"/>
  <c r="G46" i="63" l="1"/>
  <c r="E163" i="63"/>
  <c r="G49" i="63" s="1"/>
  <c r="AH13" i="63" s="1"/>
  <c r="AH9" i="63" l="1"/>
  <c r="AH11" i="63"/>
</calcChain>
</file>

<file path=xl/sharedStrings.xml><?xml version="1.0" encoding="utf-8"?>
<sst xmlns="http://schemas.openxmlformats.org/spreadsheetml/2006/main" count="628" uniqueCount="273">
  <si>
    <t>Hold Period</t>
  </si>
  <si>
    <t>Duration</t>
  </si>
  <si>
    <t>Market Rent</t>
  </si>
  <si>
    <t>Total Costs</t>
  </si>
  <si>
    <t>Other</t>
  </si>
  <si>
    <t>Total</t>
  </si>
  <si>
    <t>Operating Expenses</t>
  </si>
  <si>
    <t>Rent PSF</t>
  </si>
  <si>
    <t>Unlevered Costs</t>
  </si>
  <si>
    <t>Property Cash Flows</t>
  </si>
  <si>
    <t>Studio</t>
  </si>
  <si>
    <t>1 Bedroom</t>
  </si>
  <si>
    <t>2 Bedroom</t>
  </si>
  <si>
    <t>3 Bedroom</t>
  </si>
  <si>
    <t>Vacancy Loss</t>
  </si>
  <si>
    <t xml:space="preserve">Total Vacancy &amp; Collection </t>
  </si>
  <si>
    <t xml:space="preserve">Parking Income </t>
  </si>
  <si>
    <t>Other Income</t>
  </si>
  <si>
    <t>Total Other Income</t>
  </si>
  <si>
    <t>Property Taxes</t>
  </si>
  <si>
    <t>Management (% EGI)</t>
  </si>
  <si>
    <t>Turnover</t>
  </si>
  <si>
    <t>Marketing</t>
  </si>
  <si>
    <t>Insurance</t>
  </si>
  <si>
    <t>Capital Expenditures</t>
  </si>
  <si>
    <t>Add: Other Costs</t>
  </si>
  <si>
    <t>Project Costs</t>
  </si>
  <si>
    <t>Base Assumptions</t>
  </si>
  <si>
    <t>Acquisition Date</t>
  </si>
  <si>
    <t>Unit Count</t>
  </si>
  <si>
    <t>Average Size</t>
  </si>
  <si>
    <t>$ / Unit / Mo</t>
  </si>
  <si>
    <t>Parking</t>
  </si>
  <si>
    <t>Millage Rate</t>
  </si>
  <si>
    <t>Property Tax</t>
  </si>
  <si>
    <t>Lucia</t>
  </si>
  <si>
    <t>REVO</t>
  </si>
  <si>
    <t>The Current</t>
  </si>
  <si>
    <t>Construction Cost Curve</t>
  </si>
  <si>
    <t>Month</t>
  </si>
  <si>
    <t>LIBOR Curve</t>
  </si>
  <si>
    <t>Cap Rate</t>
  </si>
  <si>
    <t>Total Project Costs</t>
  </si>
  <si>
    <t>Model Unit Loss</t>
  </si>
  <si>
    <t>Rent/Unit</t>
  </si>
  <si>
    <t>Controllable Expenses</t>
  </si>
  <si>
    <t>Gross Value</t>
  </si>
  <si>
    <t>Model Units</t>
  </si>
  <si>
    <t>Annual Total</t>
  </si>
  <si>
    <t>Value Adjustments</t>
  </si>
  <si>
    <t>Assessed Value</t>
  </si>
  <si>
    <t>Net Gross Value</t>
  </si>
  <si>
    <t>Assessed Value/Unit</t>
  </si>
  <si>
    <t>Cap Reserve</t>
  </si>
  <si>
    <t>NOI after Cap Reserve</t>
  </si>
  <si>
    <t>Special Assessment</t>
  </si>
  <si>
    <t>Gross Potential Rent</t>
  </si>
  <si>
    <t>Timeline</t>
  </si>
  <si>
    <t>Income Adjustments</t>
  </si>
  <si>
    <t>Total Property Tax</t>
  </si>
  <si>
    <t>MR Unit Breakdown</t>
  </si>
  <si>
    <t>RUBS</t>
  </si>
  <si>
    <t>%</t>
  </si>
  <si>
    <t>Total Income Adjustments</t>
  </si>
  <si>
    <t>$/Unit</t>
  </si>
  <si>
    <t>EGI</t>
  </si>
  <si>
    <t>Opex</t>
  </si>
  <si>
    <t>Payroll</t>
  </si>
  <si>
    <t>Admin</t>
  </si>
  <si>
    <t>R&amp;M</t>
  </si>
  <si>
    <t>Contract Service</t>
  </si>
  <si>
    <t>Total Controllable Expenses</t>
  </si>
  <si>
    <t>Total Non-controllable Expenses</t>
  </si>
  <si>
    <t>Total Opex</t>
  </si>
  <si>
    <t>ROC</t>
  </si>
  <si>
    <t>% Growth</t>
  </si>
  <si>
    <t>Assessment %</t>
  </si>
  <si>
    <t>Current</t>
  </si>
  <si>
    <t>Next Buyer</t>
  </si>
  <si>
    <t>Property Name:</t>
  </si>
  <si>
    <t>$/RSF</t>
  </si>
  <si>
    <t>Date</t>
  </si>
  <si>
    <t>Total Controllable Opex</t>
  </si>
  <si>
    <t>Non-controllable Expenses</t>
  </si>
  <si>
    <t>Total Non-controllable Opex</t>
  </si>
  <si>
    <t>Management Fee</t>
  </si>
  <si>
    <t>Note</t>
  </si>
  <si>
    <t>Resi NOI</t>
  </si>
  <si>
    <t>Mo</t>
  </si>
  <si>
    <t>Yr</t>
  </si>
  <si>
    <t>Opex Margin</t>
  </si>
  <si>
    <t>Effective Gross Income</t>
  </si>
  <si>
    <t>Total Property Tax/Unit</t>
  </si>
  <si>
    <t>Total/Avg (MR+BMR)</t>
  </si>
  <si>
    <t>Financing Assumptions</t>
  </si>
  <si>
    <t>Lender</t>
  </si>
  <si>
    <t>TBD</t>
  </si>
  <si>
    <t>Term</t>
  </si>
  <si>
    <t>DY</t>
  </si>
  <si>
    <t>DSCR</t>
  </si>
  <si>
    <t>Financing Costs</t>
  </si>
  <si>
    <t>Fixed</t>
  </si>
  <si>
    <t>Sales Costs</t>
  </si>
  <si>
    <t>Transfer Tax</t>
  </si>
  <si>
    <t>Broker Fee</t>
  </si>
  <si>
    <t>Escrow</t>
  </si>
  <si>
    <t>Misc.</t>
  </si>
  <si>
    <t>Total Sales Costs</t>
  </si>
  <si>
    <t>Net Sales Proceeds</t>
  </si>
  <si>
    <t>Returns Metrics</t>
  </si>
  <si>
    <t>Unlevered CF</t>
  </si>
  <si>
    <t>Levered CF</t>
  </si>
  <si>
    <t>Net Profit</t>
  </si>
  <si>
    <t>Peak Equity</t>
  </si>
  <si>
    <t>IRR</t>
  </si>
  <si>
    <t>Equity Multiple</t>
  </si>
  <si>
    <t>Refi Proceeds</t>
  </si>
  <si>
    <t>LTV</t>
  </si>
  <si>
    <t>EOM</t>
  </si>
  <si>
    <t>1 Month Term SOFR Forward Curve</t>
  </si>
  <si>
    <t>Interest Rate</t>
  </si>
  <si>
    <t>SOFR</t>
  </si>
  <si>
    <t>Spread</t>
  </si>
  <si>
    <t>Equity Draw</t>
  </si>
  <si>
    <t>Unlevered Project Costs</t>
  </si>
  <si>
    <t>BOP Equity</t>
  </si>
  <si>
    <t>EOB</t>
  </si>
  <si>
    <t>Loan Draw</t>
  </si>
  <si>
    <t>Loan BOE</t>
  </si>
  <si>
    <t>Accrued Interest</t>
  </si>
  <si>
    <t>Interest Paydown</t>
  </si>
  <si>
    <t>Principal Payoff</t>
  </si>
  <si>
    <t>Loan Payoff</t>
  </si>
  <si>
    <t>EOD Balance</t>
  </si>
  <si>
    <t>Loan Proceeds</t>
  </si>
  <si>
    <t>Refi Payoff</t>
  </si>
  <si>
    <t>T-12</t>
  </si>
  <si>
    <t>T-6</t>
  </si>
  <si>
    <t>T-3</t>
  </si>
  <si>
    <t>Cost Schedule</t>
  </si>
  <si>
    <t>Untrended</t>
  </si>
  <si>
    <t>At Exit</t>
  </si>
  <si>
    <t>Potential Market Rent</t>
  </si>
  <si>
    <t>BOP Date</t>
  </si>
  <si>
    <t>BOP Mo</t>
  </si>
  <si>
    <t>EOP Date</t>
  </si>
  <si>
    <t>EOP Mo</t>
  </si>
  <si>
    <t>In Lease Up</t>
  </si>
  <si>
    <t>ACF Analysis</t>
  </si>
  <si>
    <t>Income Analysis</t>
  </si>
  <si>
    <t>Growth Assumptions</t>
  </si>
  <si>
    <t>Rent Analysis</t>
  </si>
  <si>
    <t>Potential Gross MR Rent/Unit</t>
  </si>
  <si>
    <t>Loss to Lease</t>
  </si>
  <si>
    <t>Compounded Rate</t>
  </si>
  <si>
    <t>Loss-to-Lease (Market Rate Units)</t>
  </si>
  <si>
    <t>Gross Potential Revenue (Market Rate Units)</t>
  </si>
  <si>
    <t>Operating Shortfall</t>
  </si>
  <si>
    <t>Levered Cash Flow</t>
  </si>
  <si>
    <t>Utilities</t>
  </si>
  <si>
    <t>Under Construction</t>
  </si>
  <si>
    <t>Debt Metrics</t>
  </si>
  <si>
    <t>Levered CF Return Metrics</t>
  </si>
  <si>
    <t>Unlevered CF Return Metrics</t>
  </si>
  <si>
    <t>Straight Line</t>
  </si>
  <si>
    <t>Refi Financing Costs</t>
  </si>
  <si>
    <t>Refinance</t>
  </si>
  <si>
    <t>Residual Analysis</t>
  </si>
  <si>
    <t>Acquisition Cost</t>
  </si>
  <si>
    <t>Closing Cost</t>
  </si>
  <si>
    <t>Acquisition Fee</t>
  </si>
  <si>
    <t>Capital Improvements</t>
  </si>
  <si>
    <t>Senior Financing</t>
  </si>
  <si>
    <t>NOI (TTM)</t>
  </si>
  <si>
    <t>Pro Forma</t>
  </si>
  <si>
    <t>% at Closing</t>
  </si>
  <si>
    <t>Start Date</t>
  </si>
  <si>
    <t>Exit</t>
  </si>
  <si>
    <t>Date | Month</t>
  </si>
  <si>
    <t>NOI</t>
  </si>
  <si>
    <t>IO Periods/Amortization</t>
  </si>
  <si>
    <t>Count</t>
  </si>
  <si>
    <t>Concessions</t>
  </si>
  <si>
    <t>Bad Debt</t>
  </si>
  <si>
    <t>Total Capex</t>
  </si>
  <si>
    <t>NOI After Cap Reserve</t>
  </si>
  <si>
    <t>TTM NOI</t>
  </si>
  <si>
    <t>Gross Sales Proceeds</t>
  </si>
  <si>
    <t>Senior Loan</t>
  </si>
  <si>
    <t>Loan Schedule</t>
  </si>
  <si>
    <t>Senior Loan Proceeds</t>
  </si>
  <si>
    <t>Senior Loan Debt Service</t>
  </si>
  <si>
    <t>Senior Loan Payoff</t>
  </si>
  <si>
    <t>Refinance Debt Service</t>
  </si>
  <si>
    <t>Historical Financials</t>
  </si>
  <si>
    <t>Annual Cash Flow</t>
  </si>
  <si>
    <t>Calendar Year</t>
  </si>
  <si>
    <t>#</t>
  </si>
  <si>
    <t>Cash Available for Distribution</t>
  </si>
  <si>
    <t>Contributions</t>
  </si>
  <si>
    <t>Address:</t>
  </si>
  <si>
    <t>1424 Wake Forest Dr</t>
  </si>
  <si>
    <t>1424 Wake Forest Dr, Davis, CA</t>
  </si>
  <si>
    <t>Depreciation</t>
  </si>
  <si>
    <t>Taxable Income</t>
  </si>
  <si>
    <t>Depreciation Schedule</t>
  </si>
  <si>
    <t>Accelerated Dep</t>
  </si>
  <si>
    <t>Interest Expense</t>
  </si>
  <si>
    <t>Depreciable Building Basis</t>
  </si>
  <si>
    <t>Accelerated Depreciation %</t>
  </si>
  <si>
    <t>Yr1 Bonus Depreciation</t>
  </si>
  <si>
    <t>Remaining Depreciation</t>
  </si>
  <si>
    <t>Remaining Accelerated Depreciation</t>
  </si>
  <si>
    <t>Yr1 Total Depreciation</t>
  </si>
  <si>
    <t>Yr2+ Depreciation</t>
  </si>
  <si>
    <t>Waterfall</t>
  </si>
  <si>
    <t>Equity Investment</t>
  </si>
  <si>
    <t>Thereafter</t>
  </si>
  <si>
    <t>Pref Return</t>
  </si>
  <si>
    <t>Aequitas</t>
  </si>
  <si>
    <t>Partner</t>
  </si>
  <si>
    <t>Capex Reserve</t>
  </si>
  <si>
    <t>Adjusted EBITDA/NOI</t>
  </si>
  <si>
    <t>TTM EBITDA/NOI</t>
  </si>
  <si>
    <t>Valuation Analysis</t>
  </si>
  <si>
    <t>Residual Analysi:</t>
  </si>
  <si>
    <t>Less: Deferred Capex</t>
  </si>
  <si>
    <t>Less: Outstanding Debt</t>
  </si>
  <si>
    <t>Equity Value</t>
  </si>
  <si>
    <t>Aequitas Equity Contributions</t>
  </si>
  <si>
    <t>Debt Service/Capital Event</t>
  </si>
  <si>
    <t>BOP</t>
  </si>
  <si>
    <t>Pref Return Accrual</t>
  </si>
  <si>
    <t>Pref Distributions</t>
  </si>
  <si>
    <t>EOP</t>
  </si>
  <si>
    <t>CF After Pref</t>
  </si>
  <si>
    <t>Cash to Aequitas</t>
  </si>
  <si>
    <t>Total Aequitas Cash Flow</t>
  </si>
  <si>
    <t>Aequitas Return</t>
  </si>
  <si>
    <t>Entry/Equity Valuation</t>
  </si>
  <si>
    <t>Aequitas Pref Cash Flow</t>
  </si>
  <si>
    <t>Aequitas Portion</t>
  </si>
  <si>
    <t>Cash-on-Cash</t>
  </si>
  <si>
    <t>YOC</t>
  </si>
  <si>
    <t>Senior Loan Financing Costs</t>
  </si>
  <si>
    <t>Closing Costs %</t>
  </si>
  <si>
    <t>Closing Costs $</t>
  </si>
  <si>
    <t>Deal Closing Costs</t>
  </si>
  <si>
    <t>Senior Loan Interest Rate</t>
  </si>
  <si>
    <t>Sensitivities - Aequitas IRR/EM</t>
  </si>
  <si>
    <t>General Inflation</t>
  </si>
  <si>
    <t>Cap Reserve ($/Unit)</t>
  </si>
  <si>
    <t>16.80% / 2.40x</t>
  </si>
  <si>
    <t>15.30% / 2.36x</t>
  </si>
  <si>
    <t>15.77% / 2.37x</t>
  </si>
  <si>
    <t>16.27% / 2.39x</t>
  </si>
  <si>
    <t>17.37% / 2.42x</t>
  </si>
  <si>
    <t>17.98% / 2.44x</t>
  </si>
  <si>
    <t>18.63% / 2.45x</t>
  </si>
  <si>
    <t>18.49% / 2.61x</t>
  </si>
  <si>
    <t>17.93% / 2.54x</t>
  </si>
  <si>
    <t>17.37% / 2.47x</t>
  </si>
  <si>
    <t>15.66% / 2.27x</t>
  </si>
  <si>
    <t>14.50% / 2.14x</t>
  </si>
  <si>
    <t>13.32% / 2.02x</t>
  </si>
  <si>
    <t>15.90% / 2.33x</t>
  </si>
  <si>
    <t>15.00% / 2.25x</t>
  </si>
  <si>
    <t>14.10% / 2.17x</t>
  </si>
  <si>
    <t>13.20% / 2.09x</t>
  </si>
  <si>
    <t>12.29% / 2.02x</t>
  </si>
  <si>
    <t>11.38% / 1.94x</t>
  </si>
  <si>
    <t>Inputs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</si>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</sst>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(* #,##0.00_);_(* \(#,##0.00\);_(* &quot;-&quot;??_);_(@_)"/>
    <numFmt numFmtId="164" formatCode="0.0%"/>
    <numFmt numFmtId="165" formatCode="0\ &quot;Months&quot;"/>
    <numFmt numFmtId="166" formatCode="_(* #,##0_);_(* \(#,##0\);_(* &quot;-&quot;_)"/>
    <numFmt numFmtId="167" formatCode="&quot;$&quot;#,##0"/>
    <numFmt numFmtId="168" formatCode="_(* #,##0.00%_);_(* \(#,##0\);_(* &quot;-&quot;_);_(@_)"/>
    <numFmt numFmtId="169" formatCode="_(* #,##0%_);_(* \(#,##0\);_(* &quot;-&quot;_);_(@_)"/>
    <numFmt numFmtId="170" formatCode="0.000"/>
    <numFmt numFmtId="171" formatCode="&quot;$&quot;#,##0.00"/>
    <numFmt numFmtId="172" formatCode="0.0000000%"/>
    <numFmt numFmtId="173" formatCode="#&quot; Model Unit&quot;"/>
    <numFmt numFmtId="174" formatCode="0.00%&quot; of EGI&quot;"/>
    <numFmt numFmtId="175" formatCode="0.00%\ &quot;of EGI&quot;"/>
    <numFmt numFmtId="176" formatCode="&quot;$&quot;#,##0&quot;/Unit&quot;"/>
    <numFmt numFmtId="177" formatCode="#&quot; Units/Mo&quot;"/>
    <numFmt numFmtId="178" formatCode="0.00000"/>
    <numFmt numFmtId="179" formatCode="#,###\ &quot;Month Max&quot;"/>
    <numFmt numFmtId="180" formatCode="&quot;Floating&quot;;;&quot;Fixed&quot;"/>
    <numFmt numFmtId="181" formatCode="#,###\ &quot;Months&quot;"/>
    <numFmt numFmtId="182" formatCode="0.00\x\ &quot;Min DSCR&quot;"/>
    <numFmt numFmtId="183" formatCode="0.00%\ &quot;of GPR&quot;"/>
    <numFmt numFmtId="184" formatCode="0\ &quot;Yrs&quot;"/>
    <numFmt numFmtId="185" formatCode="#,##0.00&quot;x&quot;"/>
    <numFmt numFmtId="186" formatCode="[$-409]mmm\-yy;@"/>
    <numFmt numFmtId="187" formatCode="0.0\ &quot;Yrs&quot;"/>
    <numFmt numFmtId="188" formatCode="&quot;Pref Return - &quot;0.00%"/>
    <numFmt numFmtId="189" formatCode="&quot;Transfer Tax &quot;0.00%"/>
    <numFmt numFmtId="190" formatCode="&quot;Broker Fee &quot;0.00%"/>
    <numFmt numFmtId="191" formatCode="&quot;Escrow &quot;0.00%"/>
    <numFmt numFmtId="192" formatCode="&quot;Total Sales Cost &quot;0.00%"/>
  </numFmts>
  <fonts count="38" x14ac:knownFonts="1">
    <font>
      <sz val="11"/>
      <color theme="1"/>
      <name val="Euphemia"/>
      <family val="2"/>
      <scheme val="minor"/>
    </font>
    <font>
      <sz val="11"/>
      <color theme="1"/>
      <name val="Euphemia"/>
      <family val="2"/>
      <scheme val="minor"/>
    </font>
    <font>
      <sz val="11"/>
      <color rgb="FF0000FF"/>
      <name val="Euphemia"/>
      <family val="2"/>
      <scheme val="minor"/>
    </font>
    <font>
      <sz val="11"/>
      <name val="Euphemia"/>
      <family val="2"/>
      <scheme val="minor"/>
    </font>
    <font>
      <b/>
      <sz val="11"/>
      <color theme="0"/>
      <name val="Euphemia"/>
      <family val="2"/>
      <scheme val="minor"/>
    </font>
    <font>
      <b/>
      <sz val="10"/>
      <name val="Times New Roman"/>
      <family val="1"/>
    </font>
    <font>
      <sz val="10"/>
      <name val="Arial"/>
      <family val="2"/>
    </font>
    <font>
      <sz val="10"/>
      <color rgb="FF0000FF"/>
      <name val="Euphemia"/>
      <family val="2"/>
      <scheme val="minor"/>
    </font>
    <font>
      <sz val="10"/>
      <name val="Times New Roman"/>
      <family val="1"/>
    </font>
    <font>
      <sz val="11"/>
      <color theme="1"/>
      <name val="Arial"/>
      <family val="2"/>
    </font>
    <font>
      <sz val="8"/>
      <name val="Arial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0"/>
      <color theme="1"/>
      <name val="Euphemia"/>
      <family val="2"/>
      <scheme val="minor"/>
    </font>
    <font>
      <sz val="11"/>
      <color theme="1"/>
      <name val="Calibri"/>
      <family val="2"/>
    </font>
    <font>
      <sz val="11"/>
      <color rgb="FF000000"/>
      <name val="Euphemia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FF"/>
      <name val="Calibri"/>
      <family val="2"/>
    </font>
    <font>
      <sz val="11"/>
      <color theme="0"/>
      <name val="Calibri"/>
      <family val="2"/>
    </font>
    <font>
      <sz val="11"/>
      <color indexed="12"/>
      <name val="Calibri"/>
      <family val="2"/>
    </font>
    <font>
      <sz val="11"/>
      <color rgb="FF008000"/>
      <name val="Calibri"/>
      <family val="2"/>
    </font>
    <font>
      <i/>
      <sz val="11"/>
      <name val="Calibri"/>
      <family val="2"/>
    </font>
    <font>
      <sz val="11"/>
      <color rgb="FF006600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0" tint="-4.9989318521683403E-2"/>
      <name val="Calibri"/>
      <family val="2"/>
    </font>
    <font>
      <b/>
      <sz val="10"/>
      <name val="Lato"/>
      <family val="2"/>
    </font>
    <font>
      <b/>
      <sz val="10"/>
      <color theme="1"/>
      <name val="Lato"/>
      <family val="2"/>
    </font>
    <font>
      <sz val="10"/>
      <color theme="1"/>
      <name val="Lato"/>
      <family val="2"/>
    </font>
    <font>
      <sz val="10"/>
      <name val="Lato"/>
      <family val="2"/>
    </font>
    <font>
      <b/>
      <sz val="12"/>
      <color theme="1"/>
      <name val="Euphemia"/>
      <family val="2"/>
      <scheme val="minor"/>
    </font>
    <font>
      <sz val="8"/>
      <color rgb="FF000000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E3E3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89999084444715716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8" fillId="0" borderId="0" applyFont="0" applyFill="0" applyBorder="0" applyAlignment="0" applyProtection="0"/>
    <xf numFmtId="0" fontId="6" fillId="0" borderId="0"/>
    <xf numFmtId="0" fontId="9" fillId="0" borderId="0"/>
    <xf numFmtId="43" fontId="10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5" fillId="0" borderId="0"/>
    <xf numFmtId="9" fontId="16" fillId="0" borderId="0" applyFont="0" applyFill="0" applyBorder="0" applyAlignment="0" applyProtection="0"/>
    <xf numFmtId="0" fontId="1" fillId="0" borderId="0"/>
  </cellStyleXfs>
  <cellXfs count="432">
    <xf numFmtId="0" fontId="0" fillId="0" borderId="0" xfId="0"/>
    <xf numFmtId="0" fontId="4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37" fontId="5" fillId="0" borderId="2" xfId="1" applyNumberFormat="1" applyFont="1" applyBorder="1" applyAlignment="1">
      <alignment horizontal="center"/>
    </xf>
    <xf numFmtId="10" fontId="7" fillId="5" borderId="3" xfId="3" applyNumberFormat="1" applyFont="1" applyFill="1" applyBorder="1"/>
    <xf numFmtId="0" fontId="7" fillId="5" borderId="3" xfId="4" applyFont="1" applyFill="1" applyBorder="1"/>
    <xf numFmtId="37" fontId="5" fillId="0" borderId="5" xfId="1" applyNumberFormat="1" applyFont="1" applyBorder="1" applyAlignment="1">
      <alignment horizontal="center"/>
    </xf>
    <xf numFmtId="10" fontId="7" fillId="5" borderId="0" xfId="3" applyNumberFormat="1" applyFont="1" applyFill="1"/>
    <xf numFmtId="0" fontId="7" fillId="5" borderId="0" xfId="4" applyFont="1" applyFill="1"/>
    <xf numFmtId="37" fontId="5" fillId="0" borderId="6" xfId="1" applyNumberFormat="1" applyFont="1" applyBorder="1" applyAlignment="1">
      <alignment horizontal="center"/>
    </xf>
    <xf numFmtId="10" fontId="7" fillId="5" borderId="7" xfId="3" applyNumberFormat="1" applyFont="1" applyFill="1" applyBorder="1"/>
    <xf numFmtId="10" fontId="0" fillId="0" borderId="1" xfId="2" applyNumberFormat="1" applyFont="1" applyBorder="1"/>
    <xf numFmtId="14" fontId="0" fillId="4" borderId="9" xfId="0" applyNumberFormat="1" applyFill="1" applyBorder="1"/>
    <xf numFmtId="14" fontId="0" fillId="4" borderId="8" xfId="0" applyNumberFormat="1" applyFill="1" applyBorder="1"/>
    <xf numFmtId="14" fontId="0" fillId="4" borderId="10" xfId="0" applyNumberFormat="1" applyFill="1" applyBorder="1"/>
    <xf numFmtId="0" fontId="0" fillId="0" borderId="9" xfId="0" applyBorder="1"/>
    <xf numFmtId="10" fontId="2" fillId="0" borderId="8" xfId="2" applyNumberFormat="1" applyFont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172" fontId="0" fillId="0" borderId="0" xfId="0" applyNumberFormat="1"/>
    <xf numFmtId="10" fontId="3" fillId="0" borderId="8" xfId="2" applyNumberFormat="1" applyFont="1" applyBorder="1"/>
    <xf numFmtId="0" fontId="7" fillId="5" borderId="4" xfId="4" applyFont="1" applyFill="1" applyBorder="1"/>
    <xf numFmtId="0" fontId="7" fillId="5" borderId="1" xfId="4" applyFont="1" applyFill="1" applyBorder="1"/>
    <xf numFmtId="10" fontId="7" fillId="5" borderId="1" xfId="3" applyNumberFormat="1" applyFont="1" applyFill="1" applyBorder="1"/>
    <xf numFmtId="10" fontId="7" fillId="5" borderId="11" xfId="3" applyNumberFormat="1" applyFont="1" applyFill="1" applyBorder="1"/>
    <xf numFmtId="10" fontId="0" fillId="0" borderId="3" xfId="2" applyNumberFormat="1" applyFont="1" applyBorder="1"/>
    <xf numFmtId="10" fontId="0" fillId="0" borderId="4" xfId="2" applyNumberFormat="1" applyFont="1" applyBorder="1"/>
    <xf numFmtId="10" fontId="0" fillId="0" borderId="0" xfId="2" applyNumberFormat="1" applyFont="1" applyBorder="1"/>
    <xf numFmtId="10" fontId="0" fillId="0" borderId="7" xfId="2" applyNumberFormat="1" applyFont="1" applyBorder="1"/>
    <xf numFmtId="10" fontId="0" fillId="0" borderId="11" xfId="2" applyNumberFormat="1" applyFont="1" applyBorder="1"/>
    <xf numFmtId="0" fontId="11" fillId="6" borderId="0" xfId="0" applyFont="1" applyFill="1"/>
    <xf numFmtId="14" fontId="12" fillId="0" borderId="0" xfId="0" applyNumberFormat="1" applyFont="1"/>
    <xf numFmtId="14" fontId="13" fillId="0" borderId="0" xfId="0" applyNumberFormat="1" applyFont="1"/>
    <xf numFmtId="10" fontId="13" fillId="0" borderId="0" xfId="0" applyNumberFormat="1" applyFont="1" applyAlignment="1">
      <alignment horizontal="center" vertical="center"/>
    </xf>
    <xf numFmtId="0" fontId="15" fillId="0" borderId="0" xfId="0" applyFont="1"/>
    <xf numFmtId="0" fontId="17" fillId="2" borderId="8" xfId="0" applyFont="1" applyFill="1" applyBorder="1"/>
    <xf numFmtId="0" fontId="17" fillId="2" borderId="3" xfId="0" applyFont="1" applyFill="1" applyBorder="1"/>
    <xf numFmtId="0" fontId="18" fillId="5" borderId="0" xfId="0" applyFont="1" applyFill="1" applyAlignment="1">
      <alignment horizontal="center"/>
    </xf>
    <xf numFmtId="0" fontId="19" fillId="5" borderId="0" xfId="0" applyFont="1" applyFill="1"/>
    <xf numFmtId="0" fontId="20" fillId="5" borderId="0" xfId="0" applyFont="1" applyFill="1" applyAlignment="1">
      <alignment horizontal="center"/>
    </xf>
    <xf numFmtId="0" fontId="15" fillId="5" borderId="0" xfId="0" applyFont="1" applyFill="1"/>
    <xf numFmtId="0" fontId="21" fillId="0" borderId="0" xfId="0" applyFont="1"/>
    <xf numFmtId="0" fontId="19" fillId="0" borderId="0" xfId="0" applyFont="1"/>
    <xf numFmtId="0" fontId="17" fillId="2" borderId="0" xfId="0" applyFont="1" applyFill="1"/>
    <xf numFmtId="0" fontId="17" fillId="2" borderId="0" xfId="0" applyFont="1" applyFill="1" applyAlignment="1">
      <alignment horizontal="center"/>
    </xf>
    <xf numFmtId="0" fontId="19" fillId="4" borderId="0" xfId="0" applyFont="1" applyFill="1"/>
    <xf numFmtId="0" fontId="19" fillId="4" borderId="0" xfId="0" applyFont="1" applyFill="1" applyAlignment="1">
      <alignment horizontal="centerContinuous"/>
    </xf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19" fillId="4" borderId="0" xfId="0" applyFont="1" applyFill="1" applyAlignment="1">
      <alignment horizontal="right"/>
    </xf>
    <xf numFmtId="0" fontId="19" fillId="4" borderId="0" xfId="0" applyFont="1" applyFill="1" applyAlignment="1">
      <alignment horizontal="left"/>
    </xf>
    <xf numFmtId="0" fontId="19" fillId="4" borderId="12" xfId="0" applyFont="1" applyFill="1" applyBorder="1" applyAlignment="1">
      <alignment horizontal="right"/>
    </xf>
    <xf numFmtId="0" fontId="19" fillId="4" borderId="13" xfId="0" applyFont="1" applyFill="1" applyBorder="1" applyAlignment="1">
      <alignment horizontal="right"/>
    </xf>
    <xf numFmtId="0" fontId="19" fillId="7" borderId="12" xfId="0" applyFont="1" applyFill="1" applyBorder="1" applyAlignment="1">
      <alignment horizontal="right"/>
    </xf>
    <xf numFmtId="0" fontId="19" fillId="7" borderId="13" xfId="0" applyFont="1" applyFill="1" applyBorder="1" applyAlignment="1">
      <alignment horizontal="right"/>
    </xf>
    <xf numFmtId="0" fontId="19" fillId="7" borderId="0" xfId="0" applyFont="1" applyFill="1" applyAlignment="1">
      <alignment horizontal="right"/>
    </xf>
    <xf numFmtId="165" fontId="13" fillId="5" borderId="0" xfId="0" applyNumberFormat="1" applyFont="1" applyFill="1" applyAlignment="1">
      <alignment horizontal="centerContinuous"/>
    </xf>
    <xf numFmtId="14" fontId="13" fillId="5" borderId="0" xfId="0" applyNumberFormat="1" applyFont="1" applyFill="1" applyAlignment="1">
      <alignment horizontal="center"/>
    </xf>
    <xf numFmtId="0" fontId="15" fillId="0" borderId="0" xfId="0" applyFont="1" applyAlignment="1">
      <alignment horizontal="center"/>
    </xf>
    <xf numFmtId="0" fontId="13" fillId="5" borderId="0" xfId="0" applyFont="1" applyFill="1" applyAlignment="1">
      <alignment horizontal="right"/>
    </xf>
    <xf numFmtId="167" fontId="22" fillId="5" borderId="0" xfId="0" applyNumberFormat="1" applyFont="1" applyFill="1" applyAlignment="1">
      <alignment horizontal="right"/>
    </xf>
    <xf numFmtId="3" fontId="13" fillId="5" borderId="0" xfId="0" applyNumberFormat="1" applyFont="1" applyFill="1" applyAlignment="1">
      <alignment horizontal="right"/>
    </xf>
    <xf numFmtId="171" fontId="12" fillId="5" borderId="0" xfId="0" applyNumberFormat="1" applyFont="1" applyFill="1" applyAlignment="1">
      <alignment horizontal="right"/>
    </xf>
    <xf numFmtId="167" fontId="15" fillId="5" borderId="0" xfId="0" applyNumberFormat="1" applyFont="1" applyFill="1" applyAlignment="1">
      <alignment horizontal="right"/>
    </xf>
    <xf numFmtId="167" fontId="15" fillId="0" borderId="0" xfId="0" applyNumberFormat="1" applyFont="1" applyAlignment="1">
      <alignment horizontal="right"/>
    </xf>
    <xf numFmtId="167" fontId="15" fillId="5" borderId="12" xfId="0" applyNumberFormat="1" applyFont="1" applyFill="1" applyBorder="1" applyAlignment="1">
      <alignment horizontal="right"/>
    </xf>
    <xf numFmtId="167" fontId="15" fillId="0" borderId="13" xfId="0" applyNumberFormat="1" applyFont="1" applyBorder="1" applyAlignment="1">
      <alignment horizontal="right"/>
    </xf>
    <xf numFmtId="167" fontId="12" fillId="5" borderId="13" xfId="0" applyNumberFormat="1" applyFont="1" applyFill="1" applyBorder="1"/>
    <xf numFmtId="167" fontId="15" fillId="0" borderId="12" xfId="0" applyNumberFormat="1" applyFont="1" applyBorder="1" applyAlignment="1">
      <alignment horizontal="right"/>
    </xf>
    <xf numFmtId="14" fontId="15" fillId="5" borderId="0" xfId="0" applyNumberFormat="1" applyFont="1" applyFill="1" applyAlignment="1">
      <alignment horizontal="center"/>
    </xf>
    <xf numFmtId="167" fontId="15" fillId="0" borderId="12" xfId="0" applyNumberFormat="1" applyFont="1" applyBorder="1"/>
    <xf numFmtId="167" fontId="12" fillId="0" borderId="13" xfId="0" applyNumberFormat="1" applyFont="1" applyBorder="1"/>
    <xf numFmtId="167" fontId="15" fillId="0" borderId="0" xfId="0" applyNumberFormat="1" applyFont="1"/>
    <xf numFmtId="165" fontId="12" fillId="5" borderId="0" xfId="0" applyNumberFormat="1" applyFont="1" applyFill="1" applyAlignment="1">
      <alignment horizontal="centerContinuous"/>
    </xf>
    <xf numFmtId="0" fontId="19" fillId="0" borderId="3" xfId="0" applyFont="1" applyBorder="1"/>
    <xf numFmtId="167" fontId="19" fillId="0" borderId="3" xfId="0" applyNumberFormat="1" applyFont="1" applyBorder="1"/>
    <xf numFmtId="167" fontId="19" fillId="0" borderId="14" xfId="0" applyNumberFormat="1" applyFont="1" applyBorder="1"/>
    <xf numFmtId="167" fontId="19" fillId="0" borderId="15" xfId="0" applyNumberFormat="1" applyFont="1" applyBorder="1"/>
    <xf numFmtId="167" fontId="18" fillId="0" borderId="15" xfId="0" applyNumberFormat="1" applyFont="1" applyBorder="1"/>
    <xf numFmtId="184" fontId="12" fillId="5" borderId="0" xfId="0" applyNumberFormat="1" applyFont="1" applyFill="1" applyAlignment="1">
      <alignment horizontal="center"/>
    </xf>
    <xf numFmtId="165" fontId="12" fillId="5" borderId="0" xfId="0" applyNumberFormat="1" applyFont="1" applyFill="1" applyAlignment="1">
      <alignment horizontal="center"/>
    </xf>
    <xf numFmtId="14" fontId="15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14" fontId="23" fillId="5" borderId="0" xfId="0" applyNumberFormat="1" applyFont="1" applyFill="1" applyAlignment="1">
      <alignment horizontal="center"/>
    </xf>
    <xf numFmtId="167" fontId="15" fillId="0" borderId="13" xfId="0" applyNumberFormat="1" applyFont="1" applyBorder="1"/>
    <xf numFmtId="165" fontId="24" fillId="5" borderId="0" xfId="0" applyNumberFormat="1" applyFont="1" applyFill="1" applyAlignment="1">
      <alignment horizontal="right"/>
    </xf>
    <xf numFmtId="177" fontId="13" fillId="5" borderId="0" xfId="0" applyNumberFormat="1" applyFont="1" applyFill="1" applyAlignment="1">
      <alignment horizontal="center"/>
    </xf>
    <xf numFmtId="0" fontId="19" fillId="5" borderId="3" xfId="0" applyFont="1" applyFill="1" applyBorder="1"/>
    <xf numFmtId="3" fontId="18" fillId="5" borderId="3" xfId="0" applyNumberFormat="1" applyFont="1" applyFill="1" applyBorder="1" applyAlignment="1">
      <alignment horizontal="center"/>
    </xf>
    <xf numFmtId="3" fontId="18" fillId="5" borderId="3" xfId="0" applyNumberFormat="1" applyFont="1" applyFill="1" applyBorder="1" applyAlignment="1">
      <alignment horizontal="right"/>
    </xf>
    <xf numFmtId="167" fontId="18" fillId="5" borderId="3" xfId="0" applyNumberFormat="1" applyFont="1" applyFill="1" applyBorder="1" applyAlignment="1">
      <alignment horizontal="right"/>
    </xf>
    <xf numFmtId="171" fontId="18" fillId="5" borderId="3" xfId="0" applyNumberFormat="1" applyFont="1" applyFill="1" applyBorder="1" applyAlignment="1">
      <alignment horizontal="right"/>
    </xf>
    <xf numFmtId="3" fontId="19" fillId="5" borderId="0" xfId="0" applyNumberFormat="1" applyFont="1" applyFill="1" applyAlignment="1">
      <alignment horizontal="center"/>
    </xf>
    <xf numFmtId="171" fontId="19" fillId="5" borderId="0" xfId="0" applyNumberFormat="1" applyFont="1" applyFill="1" applyAlignment="1">
      <alignment horizontal="center"/>
    </xf>
    <xf numFmtId="167" fontId="19" fillId="5" borderId="0" xfId="0" applyNumberFormat="1" applyFont="1" applyFill="1" applyAlignment="1">
      <alignment horizontal="center"/>
    </xf>
    <xf numFmtId="167" fontId="12" fillId="5" borderId="0" xfId="0" applyNumberFormat="1" applyFont="1" applyFill="1" applyAlignment="1">
      <alignment horizontal="right"/>
    </xf>
    <xf numFmtId="167" fontId="13" fillId="0" borderId="0" xfId="0" applyNumberFormat="1" applyFont="1" applyAlignment="1">
      <alignment horizontal="right"/>
    </xf>
    <xf numFmtId="9" fontId="13" fillId="5" borderId="0" xfId="0" applyNumberFormat="1" applyFont="1" applyFill="1" applyAlignment="1">
      <alignment horizontal="center"/>
    </xf>
    <xf numFmtId="14" fontId="12" fillId="5" borderId="0" xfId="0" applyNumberFormat="1" applyFont="1" applyFill="1" applyAlignment="1">
      <alignment horizontal="center"/>
    </xf>
    <xf numFmtId="165" fontId="13" fillId="5" borderId="0" xfId="0" applyNumberFormat="1" applyFont="1" applyFill="1" applyAlignment="1">
      <alignment horizontal="center"/>
    </xf>
    <xf numFmtId="9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167" fontId="12" fillId="0" borderId="0" xfId="0" applyNumberFormat="1" applyFont="1" applyAlignment="1">
      <alignment horizontal="right"/>
    </xf>
    <xf numFmtId="167" fontId="19" fillId="5" borderId="3" xfId="0" applyNumberFormat="1" applyFont="1" applyFill="1" applyBorder="1" applyAlignment="1">
      <alignment horizontal="right"/>
    </xf>
    <xf numFmtId="167" fontId="19" fillId="0" borderId="3" xfId="0" applyNumberFormat="1" applyFont="1" applyBorder="1" applyAlignment="1">
      <alignment horizontal="right"/>
    </xf>
    <xf numFmtId="167" fontId="19" fillId="5" borderId="14" xfId="0" applyNumberFormat="1" applyFont="1" applyFill="1" applyBorder="1" applyAlignment="1">
      <alignment horizontal="right"/>
    </xf>
    <xf numFmtId="167" fontId="18" fillId="0" borderId="15" xfId="0" applyNumberFormat="1" applyFont="1" applyBorder="1" applyAlignment="1">
      <alignment horizontal="right"/>
    </xf>
    <xf numFmtId="167" fontId="18" fillId="0" borderId="3" xfId="0" applyNumberFormat="1" applyFont="1" applyBorder="1" applyAlignment="1">
      <alignment horizontal="right"/>
    </xf>
    <xf numFmtId="167" fontId="18" fillId="5" borderId="15" xfId="0" applyNumberFormat="1" applyFont="1" applyFill="1" applyBorder="1"/>
    <xf numFmtId="167" fontId="19" fillId="0" borderId="14" xfId="0" applyNumberFormat="1" applyFont="1" applyBorder="1" applyAlignment="1">
      <alignment horizontal="right"/>
    </xf>
    <xf numFmtId="0" fontId="15" fillId="0" borderId="0" xfId="0" applyFont="1" applyAlignment="1">
      <alignment horizontal="right"/>
    </xf>
    <xf numFmtId="3" fontId="13" fillId="5" borderId="0" xfId="1" applyNumberFormat="1" applyFont="1" applyFill="1" applyBorder="1" applyAlignment="1">
      <alignment horizontal="right"/>
    </xf>
    <xf numFmtId="167" fontId="13" fillId="5" borderId="0" xfId="1" applyNumberFormat="1" applyFont="1" applyFill="1" applyBorder="1" applyAlignment="1">
      <alignment horizontal="right"/>
    </xf>
    <xf numFmtId="167" fontId="12" fillId="0" borderId="0" xfId="0" applyNumberFormat="1" applyFont="1"/>
    <xf numFmtId="0" fontId="12" fillId="5" borderId="0" xfId="0" applyFont="1" applyFill="1"/>
    <xf numFmtId="183" fontId="13" fillId="5" borderId="0" xfId="2" applyNumberFormat="1" applyFont="1" applyFill="1" applyBorder="1" applyAlignment="1">
      <alignment horizontal="right"/>
    </xf>
    <xf numFmtId="167" fontId="13" fillId="5" borderId="0" xfId="0" applyNumberFormat="1" applyFont="1" applyFill="1" applyAlignment="1">
      <alignment horizontal="right"/>
    </xf>
    <xf numFmtId="167" fontId="12" fillId="0" borderId="13" xfId="0" applyNumberFormat="1" applyFont="1" applyBorder="1" applyAlignment="1">
      <alignment horizontal="right"/>
    </xf>
    <xf numFmtId="0" fontId="19" fillId="5" borderId="3" xfId="0" applyFont="1" applyFill="1" applyBorder="1" applyAlignment="1">
      <alignment horizontal="right"/>
    </xf>
    <xf numFmtId="10" fontId="19" fillId="5" borderId="3" xfId="2" applyNumberFormat="1" applyFont="1" applyFill="1" applyBorder="1" applyAlignment="1">
      <alignment horizontal="right"/>
    </xf>
    <xf numFmtId="9" fontId="13" fillId="5" borderId="0" xfId="2" applyFont="1" applyFill="1" applyBorder="1" applyAlignment="1">
      <alignment horizontal="center"/>
    </xf>
    <xf numFmtId="10" fontId="13" fillId="5" borderId="0" xfId="2" applyNumberFormat="1" applyFont="1" applyFill="1" applyBorder="1" applyAlignment="1">
      <alignment horizontal="center"/>
    </xf>
    <xf numFmtId="167" fontId="18" fillId="5" borderId="15" xfId="0" applyNumberFormat="1" applyFont="1" applyFill="1" applyBorder="1" applyAlignment="1">
      <alignment horizontal="right"/>
    </xf>
    <xf numFmtId="167" fontId="15" fillId="0" borderId="3" xfId="0" applyNumberFormat="1" applyFont="1" applyBorder="1"/>
    <xf numFmtId="0" fontId="18" fillId="5" borderId="3" xfId="0" applyFont="1" applyFill="1" applyBorder="1"/>
    <xf numFmtId="3" fontId="18" fillId="5" borderId="3" xfId="2" applyNumberFormat="1" applyFont="1" applyFill="1" applyBorder="1" applyAlignment="1">
      <alignment horizontal="right"/>
    </xf>
    <xf numFmtId="14" fontId="13" fillId="5" borderId="3" xfId="0" applyNumberFormat="1" applyFont="1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167" fontId="19" fillId="0" borderId="12" xfId="0" applyNumberFormat="1" applyFont="1" applyBorder="1" applyAlignment="1">
      <alignment horizontal="right"/>
    </xf>
    <xf numFmtId="10" fontId="12" fillId="5" borderId="0" xfId="0" applyNumberFormat="1" applyFont="1" applyFill="1" applyAlignment="1">
      <alignment horizontal="center"/>
    </xf>
    <xf numFmtId="0" fontId="19" fillId="5" borderId="8" xfId="0" applyFont="1" applyFill="1" applyBorder="1"/>
    <xf numFmtId="167" fontId="19" fillId="5" borderId="8" xfId="0" applyNumberFormat="1" applyFont="1" applyFill="1" applyBorder="1" applyAlignment="1">
      <alignment horizontal="right"/>
    </xf>
    <xf numFmtId="167" fontId="19" fillId="5" borderId="16" xfId="0" applyNumberFormat="1" applyFont="1" applyFill="1" applyBorder="1" applyAlignment="1">
      <alignment horizontal="right"/>
    </xf>
    <xf numFmtId="167" fontId="18" fillId="5" borderId="17" xfId="0" applyNumberFormat="1" applyFont="1" applyFill="1" applyBorder="1" applyAlignment="1">
      <alignment horizontal="right"/>
    </xf>
    <xf numFmtId="167" fontId="18" fillId="5" borderId="8" xfId="0" applyNumberFormat="1" applyFont="1" applyFill="1" applyBorder="1" applyAlignment="1">
      <alignment horizontal="right"/>
    </xf>
    <xf numFmtId="167" fontId="18" fillId="5" borderId="17" xfId="0" applyNumberFormat="1" applyFont="1" applyFill="1" applyBorder="1"/>
    <xf numFmtId="0" fontId="19" fillId="4" borderId="12" xfId="0" applyFont="1" applyFill="1" applyBorder="1"/>
    <xf numFmtId="173" fontId="13" fillId="5" borderId="0" xfId="0" applyNumberFormat="1" applyFont="1" applyFill="1" applyAlignment="1">
      <alignment horizontal="center"/>
    </xf>
    <xf numFmtId="9" fontId="15" fillId="5" borderId="0" xfId="2" applyFont="1" applyFill="1" applyBorder="1" applyAlignment="1">
      <alignment horizontal="right"/>
    </xf>
    <xf numFmtId="0" fontId="12" fillId="0" borderId="0" xfId="0" applyFont="1" applyAlignment="1">
      <alignment vertical="center"/>
    </xf>
    <xf numFmtId="0" fontId="12" fillId="5" borderId="0" xfId="0" applyFont="1" applyFill="1" applyAlignment="1">
      <alignment horizontal="right" vertical="center" indent="1"/>
    </xf>
    <xf numFmtId="0" fontId="13" fillId="5" borderId="0" xfId="0" applyFont="1" applyFill="1" applyAlignment="1">
      <alignment horizontal="right" vertical="center"/>
    </xf>
    <xf numFmtId="0" fontId="12" fillId="0" borderId="12" xfId="0" applyFont="1" applyBorder="1" applyAlignment="1">
      <alignment vertical="center"/>
    </xf>
    <xf numFmtId="182" fontId="25" fillId="5" borderId="0" xfId="0" applyNumberFormat="1" applyFont="1" applyFill="1" applyAlignment="1">
      <alignment vertical="center"/>
    </xf>
    <xf numFmtId="0" fontId="13" fillId="5" borderId="0" xfId="0" applyFont="1" applyFill="1"/>
    <xf numFmtId="167" fontId="12" fillId="5" borderId="13" xfId="0" applyNumberFormat="1" applyFont="1" applyFill="1" applyBorder="1" applyAlignment="1">
      <alignment horizontal="right"/>
    </xf>
    <xf numFmtId="164" fontId="13" fillId="5" borderId="0" xfId="0" applyNumberFormat="1" applyFont="1" applyFill="1" applyAlignment="1">
      <alignment vertical="center"/>
    </xf>
    <xf numFmtId="167" fontId="12" fillId="5" borderId="0" xfId="0" applyNumberFormat="1" applyFont="1" applyFill="1" applyAlignment="1">
      <alignment vertical="center"/>
    </xf>
    <xf numFmtId="167" fontId="19" fillId="5" borderId="0" xfId="0" applyNumberFormat="1" applyFont="1" applyFill="1" applyAlignment="1">
      <alignment horizontal="right"/>
    </xf>
    <xf numFmtId="179" fontId="25" fillId="5" borderId="0" xfId="0" applyNumberFormat="1" applyFont="1" applyFill="1" applyAlignment="1">
      <alignment vertical="center"/>
    </xf>
    <xf numFmtId="14" fontId="12" fillId="5" borderId="0" xfId="0" applyNumberFormat="1" applyFont="1" applyFill="1" applyAlignment="1">
      <alignment vertical="center"/>
    </xf>
    <xf numFmtId="181" fontId="12" fillId="5" borderId="0" xfId="0" applyNumberFormat="1" applyFont="1" applyFill="1" applyAlignment="1">
      <alignment vertical="center"/>
    </xf>
    <xf numFmtId="10" fontId="25" fillId="5" borderId="0" xfId="0" applyNumberFormat="1" applyFont="1" applyFill="1" applyAlignment="1">
      <alignment horizontal="right" vertical="center"/>
    </xf>
    <xf numFmtId="10" fontId="13" fillId="5" borderId="0" xfId="2" applyNumberFormat="1" applyFont="1" applyFill="1" applyBorder="1" applyAlignment="1">
      <alignment vertical="center"/>
    </xf>
    <xf numFmtId="180" fontId="13" fillId="5" borderId="0" xfId="0" applyNumberFormat="1" applyFont="1" applyFill="1" applyAlignment="1">
      <alignment horizontal="right" vertical="center"/>
    </xf>
    <xf numFmtId="10" fontId="13" fillId="5" borderId="0" xfId="0" applyNumberFormat="1" applyFont="1" applyFill="1" applyAlignment="1">
      <alignment vertical="center"/>
    </xf>
    <xf numFmtId="10" fontId="13" fillId="0" borderId="0" xfId="0" applyNumberFormat="1" applyFont="1"/>
    <xf numFmtId="3" fontId="15" fillId="0" borderId="0" xfId="0" applyNumberFormat="1" applyFont="1"/>
    <xf numFmtId="181" fontId="13" fillId="5" borderId="0" xfId="0" applyNumberFormat="1" applyFont="1" applyFill="1" applyAlignment="1">
      <alignment vertical="center"/>
    </xf>
    <xf numFmtId="167" fontId="25" fillId="5" borderId="0" xfId="0" applyNumberFormat="1" applyFont="1" applyFill="1" applyAlignment="1">
      <alignment vertical="center"/>
    </xf>
    <xf numFmtId="0" fontId="19" fillId="4" borderId="0" xfId="0" quotePrefix="1" applyFont="1" applyFill="1"/>
    <xf numFmtId="4" fontId="15" fillId="0" borderId="0" xfId="0" applyNumberFormat="1" applyFont="1"/>
    <xf numFmtId="0" fontId="13" fillId="0" borderId="0" xfId="0" applyFont="1" applyAlignment="1">
      <alignment horizontal="center"/>
    </xf>
    <xf numFmtId="167" fontId="18" fillId="0" borderId="3" xfId="0" applyNumberFormat="1" applyFont="1" applyBorder="1"/>
    <xf numFmtId="10" fontId="25" fillId="5" borderId="0" xfId="0" applyNumberFormat="1" applyFont="1" applyFill="1" applyAlignment="1">
      <alignment vertical="center"/>
    </xf>
    <xf numFmtId="10" fontId="12" fillId="5" borderId="0" xfId="2" applyNumberFormat="1" applyFont="1" applyFill="1" applyBorder="1" applyAlignment="1">
      <alignment vertical="center"/>
    </xf>
    <xf numFmtId="9" fontId="13" fillId="0" borderId="0" xfId="0" applyNumberFormat="1" applyFont="1" applyAlignment="1">
      <alignment horizontal="center"/>
    </xf>
    <xf numFmtId="167" fontId="13" fillId="5" borderId="0" xfId="0" applyNumberFormat="1" applyFont="1" applyFill="1" applyAlignment="1">
      <alignment horizontal="center"/>
    </xf>
    <xf numFmtId="0" fontId="15" fillId="0" borderId="12" xfId="0" applyFont="1" applyBorder="1"/>
    <xf numFmtId="176" fontId="13" fillId="5" borderId="0" xfId="0" applyNumberFormat="1" applyFont="1" applyFill="1" applyAlignment="1">
      <alignment horizontal="center"/>
    </xf>
    <xf numFmtId="4" fontId="21" fillId="0" borderId="0" xfId="0" applyNumberFormat="1" applyFont="1" applyAlignment="1">
      <alignment horizontal="center"/>
    </xf>
    <xf numFmtId="0" fontId="17" fillId="2" borderId="0" xfId="0" applyFont="1" applyFill="1" applyAlignment="1">
      <alignment horizontal="centerContinuous"/>
    </xf>
    <xf numFmtId="178" fontId="15" fillId="5" borderId="0" xfId="0" applyNumberFormat="1" applyFont="1" applyFill="1" applyAlignment="1">
      <alignment horizontal="center"/>
    </xf>
    <xf numFmtId="175" fontId="13" fillId="5" borderId="0" xfId="2" applyNumberFormat="1" applyFont="1" applyFill="1" applyBorder="1" applyAlignment="1">
      <alignment horizontal="right"/>
    </xf>
    <xf numFmtId="167" fontId="12" fillId="5" borderId="13" xfId="2" applyNumberFormat="1" applyFont="1" applyFill="1" applyBorder="1" applyAlignment="1">
      <alignment horizontal="right"/>
    </xf>
    <xf numFmtId="167" fontId="15" fillId="5" borderId="0" xfId="0" applyNumberFormat="1" applyFont="1" applyFill="1" applyAlignment="1">
      <alignment horizontal="center"/>
    </xf>
    <xf numFmtId="14" fontId="15" fillId="0" borderId="0" xfId="0" applyNumberFormat="1" applyFont="1" applyAlignment="1">
      <alignment horizontal="left"/>
    </xf>
    <xf numFmtId="165" fontId="15" fillId="0" borderId="0" xfId="0" applyNumberFormat="1" applyFont="1"/>
    <xf numFmtId="14" fontId="15" fillId="0" borderId="0" xfId="0" applyNumberFormat="1" applyFont="1" applyAlignment="1">
      <alignment horizontal="right"/>
    </xf>
    <xf numFmtId="14" fontId="15" fillId="0" borderId="12" xfId="0" applyNumberFormat="1" applyFont="1" applyBorder="1"/>
    <xf numFmtId="165" fontId="12" fillId="0" borderId="0" xfId="0" applyNumberFormat="1" applyFont="1"/>
    <xf numFmtId="167" fontId="12" fillId="0" borderId="12" xfId="0" applyNumberFormat="1" applyFont="1" applyBorder="1" applyAlignment="1">
      <alignment horizontal="right"/>
    </xf>
    <xf numFmtId="10" fontId="20" fillId="0" borderId="0" xfId="2" applyNumberFormat="1" applyFont="1" applyBorder="1"/>
    <xf numFmtId="171" fontId="13" fillId="0" borderId="0" xfId="0" applyNumberFormat="1" applyFont="1"/>
    <xf numFmtId="10" fontId="20" fillId="0" borderId="12" xfId="2" applyNumberFormat="1" applyFont="1" applyBorder="1"/>
    <xf numFmtId="9" fontId="26" fillId="5" borderId="0" xfId="2" applyFont="1" applyFill="1" applyBorder="1" applyAlignment="1">
      <alignment horizontal="right"/>
    </xf>
    <xf numFmtId="171" fontId="20" fillId="0" borderId="3" xfId="0" applyNumberFormat="1" applyFont="1" applyBorder="1"/>
    <xf numFmtId="167" fontId="18" fillId="0" borderId="14" xfId="0" applyNumberFormat="1" applyFont="1" applyBorder="1"/>
    <xf numFmtId="167" fontId="12" fillId="5" borderId="0" xfId="0" applyNumberFormat="1" applyFont="1" applyFill="1"/>
    <xf numFmtId="167" fontId="12" fillId="5" borderId="12" xfId="0" applyNumberFormat="1" applyFont="1" applyFill="1" applyBorder="1"/>
    <xf numFmtId="3" fontId="19" fillId="5" borderId="3" xfId="0" applyNumberFormat="1" applyFont="1" applyFill="1" applyBorder="1"/>
    <xf numFmtId="3" fontId="19" fillId="0" borderId="3" xfId="0" applyNumberFormat="1" applyFont="1" applyBorder="1"/>
    <xf numFmtId="167" fontId="12" fillId="0" borderId="12" xfId="0" applyNumberFormat="1" applyFont="1" applyBorder="1"/>
    <xf numFmtId="0" fontId="19" fillId="0" borderId="0" xfId="0" applyFont="1" applyAlignment="1">
      <alignment horizontal="right"/>
    </xf>
    <xf numFmtId="171" fontId="18" fillId="0" borderId="0" xfId="0" applyNumberFormat="1" applyFont="1" applyAlignment="1">
      <alignment horizontal="center"/>
    </xf>
    <xf numFmtId="0" fontId="19" fillId="0" borderId="12" xfId="0" applyFont="1" applyBorder="1" applyAlignment="1">
      <alignment horizontal="right"/>
    </xf>
    <xf numFmtId="10" fontId="19" fillId="0" borderId="0" xfId="2" applyNumberFormat="1" applyFont="1" applyFill="1" applyBorder="1"/>
    <xf numFmtId="167" fontId="12" fillId="0" borderId="0" xfId="2" applyNumberFormat="1" applyFont="1" applyBorder="1" applyAlignment="1">
      <alignment horizontal="right"/>
    </xf>
    <xf numFmtId="10" fontId="13" fillId="0" borderId="0" xfId="2" applyNumberFormat="1" applyFont="1" applyBorder="1" applyAlignment="1">
      <alignment horizontal="center"/>
    </xf>
    <xf numFmtId="167" fontId="12" fillId="0" borderId="12" xfId="2" applyNumberFormat="1" applyFont="1" applyBorder="1" applyAlignment="1">
      <alignment horizontal="right"/>
    </xf>
    <xf numFmtId="4" fontId="19" fillId="0" borderId="0" xfId="0" applyNumberFormat="1" applyFont="1"/>
    <xf numFmtId="0" fontId="26" fillId="5" borderId="0" xfId="0" applyFont="1" applyFill="1"/>
    <xf numFmtId="167" fontId="19" fillId="0" borderId="0" xfId="0" applyNumberFormat="1" applyFont="1"/>
    <xf numFmtId="10" fontId="15" fillId="0" borderId="0" xfId="2" applyNumberFormat="1" applyFont="1" applyBorder="1"/>
    <xf numFmtId="170" fontId="15" fillId="0" borderId="0" xfId="0" applyNumberFormat="1" applyFont="1"/>
    <xf numFmtId="167" fontId="19" fillId="0" borderId="3" xfId="2" applyNumberFormat="1" applyFont="1" applyBorder="1" applyAlignment="1">
      <alignment horizontal="right"/>
    </xf>
    <xf numFmtId="10" fontId="19" fillId="0" borderId="3" xfId="2" applyNumberFormat="1" applyFont="1" applyBorder="1" applyAlignment="1">
      <alignment horizontal="center"/>
    </xf>
    <xf numFmtId="167" fontId="19" fillId="0" borderId="14" xfId="2" applyNumberFormat="1" applyFont="1" applyBorder="1" applyAlignment="1">
      <alignment horizontal="right"/>
    </xf>
    <xf numFmtId="171" fontId="19" fillId="0" borderId="0" xfId="0" applyNumberFormat="1" applyFont="1" applyAlignment="1">
      <alignment horizontal="right"/>
    </xf>
    <xf numFmtId="0" fontId="15" fillId="0" borderId="3" xfId="0" applyFont="1" applyBorder="1"/>
    <xf numFmtId="0" fontId="26" fillId="0" borderId="0" xfId="0" applyFont="1"/>
    <xf numFmtId="10" fontId="26" fillId="5" borderId="0" xfId="2" applyNumberFormat="1" applyFont="1" applyFill="1" applyBorder="1" applyAlignment="1"/>
    <xf numFmtId="14" fontId="17" fillId="2" borderId="1" xfId="0" applyNumberFormat="1" applyFont="1" applyFill="1" applyBorder="1" applyAlignment="1">
      <alignment horizontal="right"/>
    </xf>
    <xf numFmtId="3" fontId="17" fillId="2" borderId="0" xfId="0" applyNumberFormat="1" applyFont="1" applyFill="1"/>
    <xf numFmtId="14" fontId="17" fillId="2" borderId="0" xfId="0" applyNumberFormat="1" applyFont="1" applyFill="1"/>
    <xf numFmtId="0" fontId="19" fillId="4" borderId="9" xfId="0" applyFont="1" applyFill="1" applyBorder="1"/>
    <xf numFmtId="0" fontId="15" fillId="4" borderId="8" xfId="0" applyFont="1" applyFill="1" applyBorder="1"/>
    <xf numFmtId="0" fontId="15" fillId="4" borderId="10" xfId="0" applyFont="1" applyFill="1" applyBorder="1"/>
    <xf numFmtId="0" fontId="15" fillId="0" borderId="1" xfId="0" applyFont="1" applyBorder="1"/>
    <xf numFmtId="10" fontId="15" fillId="0" borderId="0" xfId="2" applyNumberFormat="1" applyFont="1"/>
    <xf numFmtId="0" fontId="27" fillId="0" borderId="0" xfId="0" applyFont="1"/>
    <xf numFmtId="0" fontId="26" fillId="0" borderId="1" xfId="0" applyFont="1" applyBorder="1"/>
    <xf numFmtId="10" fontId="26" fillId="0" borderId="0" xfId="2" applyNumberFormat="1" applyFont="1"/>
    <xf numFmtId="0" fontId="28" fillId="0" borderId="0" xfId="0" applyFont="1"/>
    <xf numFmtId="9" fontId="15" fillId="0" borderId="0" xfId="0" applyNumberFormat="1" applyFont="1"/>
    <xf numFmtId="166" fontId="15" fillId="0" borderId="1" xfId="0" applyNumberFormat="1" applyFont="1" applyBorder="1"/>
    <xf numFmtId="166" fontId="15" fillId="0" borderId="0" xfId="0" applyNumberFormat="1" applyFont="1"/>
    <xf numFmtId="166" fontId="15" fillId="0" borderId="11" xfId="0" applyNumberFormat="1" applyFont="1" applyBorder="1"/>
    <xf numFmtId="166" fontId="15" fillId="0" borderId="7" xfId="0" applyNumberFormat="1" applyFont="1" applyBorder="1"/>
    <xf numFmtId="166" fontId="19" fillId="0" borderId="0" xfId="0" applyNumberFormat="1" applyFont="1"/>
    <xf numFmtId="168" fontId="15" fillId="0" borderId="1" xfId="0" applyNumberFormat="1" applyFont="1" applyBorder="1"/>
    <xf numFmtId="168" fontId="15" fillId="0" borderId="0" xfId="5" applyNumberFormat="1" applyFont="1"/>
    <xf numFmtId="174" fontId="15" fillId="0" borderId="0" xfId="0" applyNumberFormat="1" applyFont="1"/>
    <xf numFmtId="0" fontId="28" fillId="0" borderId="0" xfId="0" applyFont="1" applyAlignment="1">
      <alignment horizontal="right"/>
    </xf>
    <xf numFmtId="0" fontId="28" fillId="0" borderId="1" xfId="0" applyFont="1" applyBorder="1" applyAlignment="1">
      <alignment horizontal="right"/>
    </xf>
    <xf numFmtId="0" fontId="15" fillId="0" borderId="7" xfId="0" applyFont="1" applyBorder="1"/>
    <xf numFmtId="167" fontId="15" fillId="0" borderId="7" xfId="0" applyNumberFormat="1" applyFont="1" applyBorder="1"/>
    <xf numFmtId="169" fontId="26" fillId="0" borderId="0" xfId="5" applyNumberFormat="1" applyFont="1"/>
    <xf numFmtId="9" fontId="26" fillId="0" borderId="0" xfId="2" applyFont="1"/>
    <xf numFmtId="0" fontId="15" fillId="0" borderId="4" xfId="0" applyFont="1" applyBorder="1"/>
    <xf numFmtId="166" fontId="29" fillId="0" borderId="5" xfId="0" applyNumberFormat="1" applyFont="1" applyBorder="1"/>
    <xf numFmtId="166" fontId="29" fillId="0" borderId="0" xfId="0" applyNumberFormat="1" applyFont="1"/>
    <xf numFmtId="166" fontId="19" fillId="0" borderId="5" xfId="0" applyNumberFormat="1" applyFont="1" applyBorder="1"/>
    <xf numFmtId="10" fontId="15" fillId="0" borderId="5" xfId="2" applyNumberFormat="1" applyFont="1" applyBorder="1"/>
    <xf numFmtId="166" fontId="26" fillId="0" borderId="0" xfId="0" applyNumberFormat="1" applyFont="1"/>
    <xf numFmtId="166" fontId="27" fillId="0" borderId="5" xfId="0" applyNumberFormat="1" applyFont="1" applyBorder="1"/>
    <xf numFmtId="166" fontId="27" fillId="0" borderId="0" xfId="0" applyNumberFormat="1" applyFont="1"/>
    <xf numFmtId="166" fontId="19" fillId="0" borderId="11" xfId="0" applyNumberFormat="1" applyFont="1" applyBorder="1"/>
    <xf numFmtId="166" fontId="19" fillId="0" borderId="7" xfId="0" applyNumberFormat="1" applyFont="1" applyBorder="1"/>
    <xf numFmtId="0" fontId="15" fillId="0" borderId="5" xfId="0" applyFont="1" applyBorder="1"/>
    <xf numFmtId="166" fontId="15" fillId="0" borderId="1" xfId="0" applyNumberFormat="1" applyFont="1" applyBorder="1" applyAlignment="1">
      <alignment horizontal="center"/>
    </xf>
    <xf numFmtId="166" fontId="15" fillId="0" borderId="0" xfId="0" applyNumberFormat="1" applyFont="1" applyAlignment="1">
      <alignment horizontal="center"/>
    </xf>
    <xf numFmtId="0" fontId="15" fillId="0" borderId="6" xfId="0" applyFont="1" applyBorder="1"/>
    <xf numFmtId="166" fontId="15" fillId="0" borderId="5" xfId="0" applyNumberFormat="1" applyFont="1" applyBorder="1"/>
    <xf numFmtId="0" fontId="15" fillId="4" borderId="0" xfId="0" applyFont="1" applyFill="1"/>
    <xf numFmtId="3" fontId="15" fillId="0" borderId="5" xfId="0" applyNumberFormat="1" applyFont="1" applyBorder="1"/>
    <xf numFmtId="3" fontId="19" fillId="0" borderId="0" xfId="0" applyNumberFormat="1" applyFont="1"/>
    <xf numFmtId="10" fontId="19" fillId="0" borderId="0" xfId="2" applyNumberFormat="1" applyFont="1" applyBorder="1"/>
    <xf numFmtId="185" fontId="19" fillId="0" borderId="0" xfId="2" applyNumberFormat="1" applyFont="1" applyBorder="1"/>
    <xf numFmtId="166" fontId="26" fillId="0" borderId="5" xfId="0" applyNumberFormat="1" applyFont="1" applyBorder="1"/>
    <xf numFmtId="10" fontId="15" fillId="0" borderId="5" xfId="2" applyNumberFormat="1" applyFont="1" applyFill="1" applyBorder="1"/>
    <xf numFmtId="10" fontId="15" fillId="0" borderId="0" xfId="2" applyNumberFormat="1" applyFont="1" applyFill="1" applyBorder="1"/>
    <xf numFmtId="10" fontId="19" fillId="0" borderId="2" xfId="2" applyNumberFormat="1" applyFont="1" applyFill="1" applyBorder="1"/>
    <xf numFmtId="10" fontId="19" fillId="0" borderId="3" xfId="2" applyNumberFormat="1" applyFont="1" applyFill="1" applyBorder="1"/>
    <xf numFmtId="3" fontId="15" fillId="0" borderId="1" xfId="0" applyNumberFormat="1" applyFont="1" applyBorder="1"/>
    <xf numFmtId="3" fontId="15" fillId="0" borderId="0" xfId="2" applyNumberFormat="1" applyFont="1"/>
    <xf numFmtId="167" fontId="19" fillId="0" borderId="4" xfId="0" applyNumberFormat="1" applyFont="1" applyBorder="1"/>
    <xf numFmtId="167" fontId="19" fillId="0" borderId="1" xfId="0" applyNumberFormat="1" applyFont="1" applyBorder="1"/>
    <xf numFmtId="167" fontId="19" fillId="5" borderId="8" xfId="0" applyNumberFormat="1" applyFont="1" applyFill="1" applyBorder="1"/>
    <xf numFmtId="167" fontId="15" fillId="5" borderId="8" xfId="0" applyNumberFormat="1" applyFont="1" applyFill="1" applyBorder="1"/>
    <xf numFmtId="167" fontId="19" fillId="5" borderId="10" xfId="0" applyNumberFormat="1" applyFont="1" applyFill="1" applyBorder="1"/>
    <xf numFmtId="167" fontId="15" fillId="5" borderId="0" xfId="0" applyNumberFormat="1" applyFont="1" applyFill="1"/>
    <xf numFmtId="167" fontId="28" fillId="0" borderId="3" xfId="0" applyNumberFormat="1" applyFont="1" applyBorder="1"/>
    <xf numFmtId="167" fontId="19" fillId="0" borderId="2" xfId="0" applyNumberFormat="1" applyFont="1" applyBorder="1"/>
    <xf numFmtId="167" fontId="28" fillId="0" borderId="0" xfId="0" applyNumberFormat="1" applyFont="1"/>
    <xf numFmtId="167" fontId="30" fillId="0" borderId="4" xfId="0" applyNumberFormat="1" applyFont="1" applyBorder="1"/>
    <xf numFmtId="167" fontId="30" fillId="0" borderId="2" xfId="0" applyNumberFormat="1" applyFont="1" applyBorder="1"/>
    <xf numFmtId="167" fontId="30" fillId="0" borderId="3" xfId="0" applyNumberFormat="1" applyFont="1" applyBorder="1"/>
    <xf numFmtId="0" fontId="31" fillId="4" borderId="0" xfId="0" applyFont="1" applyFill="1"/>
    <xf numFmtId="0" fontId="31" fillId="4" borderId="5" xfId="0" applyFont="1" applyFill="1" applyBorder="1"/>
    <xf numFmtId="0" fontId="15" fillId="4" borderId="5" xfId="0" applyFont="1" applyFill="1" applyBorder="1"/>
    <xf numFmtId="167" fontId="19" fillId="0" borderId="0" xfId="0" applyNumberFormat="1" applyFont="1" applyAlignment="1">
      <alignment horizontal="right"/>
    </xf>
    <xf numFmtId="167" fontId="19" fillId="5" borderId="0" xfId="0" applyNumberFormat="1" applyFont="1" applyFill="1"/>
    <xf numFmtId="167" fontId="18" fillId="5" borderId="0" xfId="0" applyNumberFormat="1" applyFont="1" applyFill="1"/>
    <xf numFmtId="167" fontId="18" fillId="0" borderId="0" xfId="0" applyNumberFormat="1" applyFont="1"/>
    <xf numFmtId="9" fontId="15" fillId="0" borderId="0" xfId="2" applyFont="1" applyBorder="1"/>
    <xf numFmtId="9" fontId="26" fillId="5" borderId="12" xfId="2" applyFont="1" applyFill="1" applyBorder="1" applyAlignment="1">
      <alignment horizontal="right"/>
    </xf>
    <xf numFmtId="9" fontId="12" fillId="0" borderId="13" xfId="2" applyFont="1" applyBorder="1"/>
    <xf numFmtId="10" fontId="15" fillId="5" borderId="0" xfId="2" applyNumberFormat="1" applyFont="1" applyFill="1" applyBorder="1" applyAlignment="1">
      <alignment horizontal="right"/>
    </xf>
    <xf numFmtId="167" fontId="19" fillId="0" borderId="16" xfId="0" applyNumberFormat="1" applyFont="1" applyBorder="1"/>
    <xf numFmtId="167" fontId="19" fillId="0" borderId="8" xfId="0" applyNumberFormat="1" applyFont="1" applyBorder="1"/>
    <xf numFmtId="167" fontId="12" fillId="5" borderId="12" xfId="0" applyNumberFormat="1" applyFont="1" applyFill="1" applyBorder="1" applyAlignment="1">
      <alignment horizontal="right"/>
    </xf>
    <xf numFmtId="0" fontId="19" fillId="7" borderId="5" xfId="0" applyFont="1" applyFill="1" applyBorder="1" applyAlignment="1">
      <alignment horizontal="right"/>
    </xf>
    <xf numFmtId="167" fontId="15" fillId="5" borderId="5" xfId="0" applyNumberFormat="1" applyFont="1" applyFill="1" applyBorder="1"/>
    <xf numFmtId="167" fontId="15" fillId="0" borderId="5" xfId="0" applyNumberFormat="1" applyFont="1" applyBorder="1"/>
    <xf numFmtId="167" fontId="19" fillId="5" borderId="2" xfId="0" applyNumberFormat="1" applyFont="1" applyFill="1" applyBorder="1"/>
    <xf numFmtId="167" fontId="19" fillId="5" borderId="9" xfId="0" applyNumberFormat="1" applyFont="1" applyFill="1" applyBorder="1"/>
    <xf numFmtId="167" fontId="13" fillId="5" borderId="5" xfId="0" applyNumberFormat="1" applyFont="1" applyFill="1" applyBorder="1"/>
    <xf numFmtId="167" fontId="13" fillId="5" borderId="5" xfId="2" applyNumberFormat="1" applyFont="1" applyFill="1" applyBorder="1" applyAlignment="1">
      <alignment horizontal="right"/>
    </xf>
    <xf numFmtId="167" fontId="19" fillId="5" borderId="5" xfId="0" applyNumberFormat="1" applyFont="1" applyFill="1" applyBorder="1"/>
    <xf numFmtId="0" fontId="19" fillId="7" borderId="5" xfId="0" applyFont="1" applyFill="1" applyBorder="1" applyAlignment="1">
      <alignment horizontal="centerContinuous"/>
    </xf>
    <xf numFmtId="0" fontId="19" fillId="7" borderId="13" xfId="0" applyFont="1" applyFill="1" applyBorder="1" applyAlignment="1">
      <alignment horizontal="centerContinuous"/>
    </xf>
    <xf numFmtId="0" fontId="19" fillId="7" borderId="12" xfId="0" applyFont="1" applyFill="1" applyBorder="1" applyAlignment="1">
      <alignment horizontal="centerContinuous"/>
    </xf>
    <xf numFmtId="0" fontId="19" fillId="7" borderId="0" xfId="0" applyFont="1" applyFill="1" applyAlignment="1">
      <alignment horizontal="centerContinuous"/>
    </xf>
    <xf numFmtId="0" fontId="19" fillId="4" borderId="12" xfId="0" applyFont="1" applyFill="1" applyBorder="1" applyAlignment="1">
      <alignment horizontal="centerContinuous"/>
    </xf>
    <xf numFmtId="0" fontId="19" fillId="4" borderId="13" xfId="0" applyFont="1" applyFill="1" applyBorder="1" applyAlignment="1">
      <alignment horizontal="centerContinuous"/>
    </xf>
    <xf numFmtId="0" fontId="17" fillId="5" borderId="0" xfId="0" applyFont="1" applyFill="1"/>
    <xf numFmtId="0" fontId="18" fillId="5" borderId="0" xfId="0" applyFont="1" applyFill="1"/>
    <xf numFmtId="3" fontId="15" fillId="5" borderId="0" xfId="0" applyNumberFormat="1" applyFont="1" applyFill="1"/>
    <xf numFmtId="10" fontId="15" fillId="5" borderId="0" xfId="2" applyNumberFormat="1" applyFont="1" applyFill="1" applyBorder="1"/>
    <xf numFmtId="0" fontId="31" fillId="5" borderId="0" xfId="0" applyFont="1" applyFill="1"/>
    <xf numFmtId="3" fontId="17" fillId="5" borderId="0" xfId="0" applyNumberFormat="1" applyFont="1" applyFill="1"/>
    <xf numFmtId="14" fontId="17" fillId="5" borderId="0" xfId="0" applyNumberFormat="1" applyFont="1" applyFill="1"/>
    <xf numFmtId="10" fontId="26" fillId="5" borderId="0" xfId="2" applyNumberFormat="1" applyFont="1" applyFill="1" applyBorder="1"/>
    <xf numFmtId="3" fontId="15" fillId="5" borderId="0" xfId="2" applyNumberFormat="1" applyFont="1" applyFill="1" applyBorder="1"/>
    <xf numFmtId="166" fontId="15" fillId="5" borderId="0" xfId="0" applyNumberFormat="1" applyFont="1" applyFill="1"/>
    <xf numFmtId="168" fontId="15" fillId="5" borderId="0" xfId="5" applyNumberFormat="1" applyFont="1" applyFill="1" applyBorder="1"/>
    <xf numFmtId="9" fontId="26" fillId="5" borderId="0" xfId="2" applyFont="1" applyFill="1" applyBorder="1"/>
    <xf numFmtId="166" fontId="29" fillId="5" borderId="0" xfId="0" applyNumberFormat="1" applyFont="1" applyFill="1"/>
    <xf numFmtId="167" fontId="30" fillId="5" borderId="0" xfId="0" applyNumberFormat="1" applyFont="1" applyFill="1"/>
    <xf numFmtId="166" fontId="19" fillId="5" borderId="0" xfId="0" applyNumberFormat="1" applyFont="1" applyFill="1"/>
    <xf numFmtId="166" fontId="27" fillId="5" borderId="0" xfId="0" applyNumberFormat="1" applyFont="1" applyFill="1"/>
    <xf numFmtId="166" fontId="15" fillId="5" borderId="0" xfId="0" applyNumberFormat="1" applyFont="1" applyFill="1" applyAlignment="1">
      <alignment horizontal="center"/>
    </xf>
    <xf numFmtId="166" fontId="26" fillId="5" borderId="0" xfId="0" applyNumberFormat="1" applyFont="1" applyFill="1"/>
    <xf numFmtId="10" fontId="19" fillId="5" borderId="0" xfId="2" applyNumberFormat="1" applyFont="1" applyFill="1" applyBorder="1"/>
    <xf numFmtId="0" fontId="18" fillId="0" borderId="0" xfId="0" applyFont="1"/>
    <xf numFmtId="14" fontId="18" fillId="0" borderId="0" xfId="0" applyNumberFormat="1" applyFont="1" applyAlignment="1">
      <alignment horizontal="right"/>
    </xf>
    <xf numFmtId="3" fontId="18" fillId="0" borderId="0" xfId="0" applyNumberFormat="1" applyFont="1"/>
    <xf numFmtId="186" fontId="18" fillId="0" borderId="0" xfId="0" applyNumberFormat="1" applyFont="1"/>
    <xf numFmtId="0" fontId="19" fillId="5" borderId="0" xfId="0" applyFont="1" applyFill="1" applyAlignment="1">
      <alignment horizontal="right"/>
    </xf>
    <xf numFmtId="9" fontId="12" fillId="5" borderId="0" xfId="2" applyFont="1" applyFill="1" applyBorder="1" applyAlignment="1">
      <alignment vertical="center"/>
    </xf>
    <xf numFmtId="0" fontId="20" fillId="5" borderId="0" xfId="0" applyFont="1" applyFill="1" applyAlignment="1">
      <alignment horizontal="right"/>
    </xf>
    <xf numFmtId="171" fontId="15" fillId="0" borderId="5" xfId="0" applyNumberFormat="1" applyFont="1" applyBorder="1"/>
    <xf numFmtId="167" fontId="18" fillId="0" borderId="2" xfId="0" applyNumberFormat="1" applyFont="1" applyBorder="1"/>
    <xf numFmtId="9" fontId="13" fillId="0" borderId="0" xfId="0" applyNumberFormat="1" applyFont="1"/>
    <xf numFmtId="184" fontId="13" fillId="5" borderId="0" xfId="0" applyNumberFormat="1" applyFont="1" applyFill="1" applyAlignment="1">
      <alignment horizontal="right"/>
    </xf>
    <xf numFmtId="187" fontId="13" fillId="5" borderId="0" xfId="0" applyNumberFormat="1" applyFont="1" applyFill="1" applyAlignment="1">
      <alignment horizontal="right"/>
    </xf>
    <xf numFmtId="0" fontId="13" fillId="0" borderId="0" xfId="0" applyFont="1" applyAlignment="1">
      <alignment horizontal="right"/>
    </xf>
    <xf numFmtId="0" fontId="15" fillId="5" borderId="7" xfId="0" applyFont="1" applyFill="1" applyBorder="1"/>
    <xf numFmtId="167" fontId="15" fillId="5" borderId="7" xfId="0" applyNumberFormat="1" applyFont="1" applyFill="1" applyBorder="1" applyAlignment="1">
      <alignment horizontal="center"/>
    </xf>
    <xf numFmtId="185" fontId="19" fillId="0" borderId="0" xfId="0" applyNumberFormat="1" applyFont="1"/>
    <xf numFmtId="0" fontId="17" fillId="2" borderId="5" xfId="0" applyFont="1" applyFill="1" applyBorder="1" applyAlignment="1">
      <alignment horizontal="centerContinuous"/>
    </xf>
    <xf numFmtId="0" fontId="19" fillId="4" borderId="5" xfId="0" applyFont="1" applyFill="1" applyBorder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5" fillId="5" borderId="5" xfId="0" applyFont="1" applyFill="1" applyBorder="1"/>
    <xf numFmtId="0" fontId="19" fillId="5" borderId="2" xfId="0" applyFont="1" applyFill="1" applyBorder="1"/>
    <xf numFmtId="3" fontId="19" fillId="5" borderId="2" xfId="0" applyNumberFormat="1" applyFont="1" applyFill="1" applyBorder="1"/>
    <xf numFmtId="0" fontId="19" fillId="5" borderId="5" xfId="0" applyFont="1" applyFill="1" applyBorder="1"/>
    <xf numFmtId="189" fontId="15" fillId="5" borderId="5" xfId="0" applyNumberFormat="1" applyFont="1" applyFill="1" applyBorder="1" applyAlignment="1">
      <alignment horizontal="left"/>
    </xf>
    <xf numFmtId="190" fontId="15" fillId="5" borderId="5" xfId="0" applyNumberFormat="1" applyFont="1" applyFill="1" applyBorder="1" applyAlignment="1">
      <alignment horizontal="left"/>
    </xf>
    <xf numFmtId="191" fontId="15" fillId="0" borderId="5" xfId="0" applyNumberFormat="1" applyFont="1" applyBorder="1" applyAlignment="1">
      <alignment horizontal="left"/>
    </xf>
    <xf numFmtId="192" fontId="19" fillId="0" borderId="2" xfId="0" applyNumberFormat="1" applyFont="1" applyBorder="1" applyAlignment="1">
      <alignment horizontal="left"/>
    </xf>
    <xf numFmtId="10" fontId="13" fillId="0" borderId="0" xfId="2" applyNumberFormat="1" applyFont="1" applyBorder="1"/>
    <xf numFmtId="3" fontId="18" fillId="0" borderId="4" xfId="2" applyNumberFormat="1" applyFont="1" applyBorder="1"/>
    <xf numFmtId="167" fontId="18" fillId="5" borderId="4" xfId="0" applyNumberFormat="1" applyFont="1" applyFill="1" applyBorder="1"/>
    <xf numFmtId="167" fontId="24" fillId="0" borderId="0" xfId="0" applyNumberFormat="1" applyFont="1"/>
    <xf numFmtId="167" fontId="18" fillId="0" borderId="0" xfId="2" applyNumberFormat="1" applyFont="1" applyBorder="1" applyAlignment="1">
      <alignment horizontal="right"/>
    </xf>
    <xf numFmtId="167" fontId="18" fillId="0" borderId="4" xfId="2" applyNumberFormat="1" applyFont="1" applyBorder="1" applyAlignment="1">
      <alignment horizontal="right"/>
    </xf>
    <xf numFmtId="0" fontId="19" fillId="0" borderId="8" xfId="0" applyFont="1" applyBorder="1"/>
    <xf numFmtId="167" fontId="19" fillId="0" borderId="9" xfId="0" applyNumberFormat="1" applyFont="1" applyBorder="1"/>
    <xf numFmtId="0" fontId="32" fillId="5" borderId="0" xfId="13" applyFont="1" applyFill="1"/>
    <xf numFmtId="0" fontId="34" fillId="5" borderId="0" xfId="13" applyFont="1" applyFill="1"/>
    <xf numFmtId="3" fontId="34" fillId="5" borderId="0" xfId="13" applyNumberFormat="1" applyFont="1" applyFill="1"/>
    <xf numFmtId="167" fontId="33" fillId="5" borderId="3" xfId="13" applyNumberFormat="1" applyFont="1" applyFill="1" applyBorder="1"/>
    <xf numFmtId="0" fontId="34" fillId="0" borderId="0" xfId="13" applyFont="1"/>
    <xf numFmtId="4" fontId="34" fillId="0" borderId="0" xfId="13" applyNumberFormat="1" applyFont="1"/>
    <xf numFmtId="3" fontId="0" fillId="0" borderId="0" xfId="0" applyNumberFormat="1"/>
    <xf numFmtId="3" fontId="34" fillId="0" borderId="0" xfId="13" applyNumberFormat="1" applyFont="1"/>
    <xf numFmtId="9" fontId="0" fillId="0" borderId="0" xfId="2" applyFont="1"/>
    <xf numFmtId="167" fontId="36" fillId="0" borderId="0" xfId="0" applyNumberFormat="1" applyFont="1"/>
    <xf numFmtId="167" fontId="33" fillId="0" borderId="3" xfId="13" applyNumberFormat="1" applyFont="1" applyBorder="1"/>
    <xf numFmtId="167" fontId="33" fillId="5" borderId="0" xfId="13" applyNumberFormat="1" applyFont="1" applyFill="1"/>
    <xf numFmtId="167" fontId="34" fillId="0" borderId="0" xfId="13" applyNumberFormat="1" applyFont="1"/>
    <xf numFmtId="0" fontId="33" fillId="5" borderId="0" xfId="13" applyFont="1" applyFill="1"/>
    <xf numFmtId="0" fontId="33" fillId="0" borderId="0" xfId="13" applyFont="1"/>
    <xf numFmtId="167" fontId="33" fillId="0" borderId="0" xfId="13" applyNumberFormat="1" applyFont="1"/>
    <xf numFmtId="0" fontId="33" fillId="0" borderId="8" xfId="13" applyFont="1" applyBorder="1"/>
    <xf numFmtId="167" fontId="33" fillId="5" borderId="8" xfId="13" applyNumberFormat="1" applyFont="1" applyFill="1" applyBorder="1"/>
    <xf numFmtId="9" fontId="0" fillId="0" borderId="0" xfId="0" applyNumberFormat="1"/>
    <xf numFmtId="0" fontId="0" fillId="5" borderId="0" xfId="0" applyFill="1"/>
    <xf numFmtId="167" fontId="36" fillId="0" borderId="3" xfId="0" applyNumberFormat="1" applyFont="1" applyBorder="1"/>
    <xf numFmtId="0" fontId="15" fillId="0" borderId="8" xfId="0" applyFont="1" applyBorder="1"/>
    <xf numFmtId="0" fontId="34" fillId="5" borderId="5" xfId="13" applyFont="1" applyFill="1" applyBorder="1"/>
    <xf numFmtId="3" fontId="34" fillId="5" borderId="5" xfId="13" applyNumberFormat="1" applyFont="1" applyFill="1" applyBorder="1"/>
    <xf numFmtId="167" fontId="33" fillId="5" borderId="2" xfId="13" applyNumberFormat="1" applyFont="1" applyFill="1" applyBorder="1"/>
    <xf numFmtId="0" fontId="33" fillId="5" borderId="5" xfId="13" applyFont="1" applyFill="1" applyBorder="1"/>
    <xf numFmtId="167" fontId="33" fillId="5" borderId="5" xfId="13" applyNumberFormat="1" applyFont="1" applyFill="1" applyBorder="1"/>
    <xf numFmtId="167" fontId="33" fillId="5" borderId="9" xfId="13" applyNumberFormat="1" applyFont="1" applyFill="1" applyBorder="1"/>
    <xf numFmtId="0" fontId="15" fillId="4" borderId="5" xfId="0" quotePrefix="1" applyFont="1" applyFill="1" applyBorder="1"/>
    <xf numFmtId="171" fontId="15" fillId="0" borderId="0" xfId="0" applyNumberFormat="1" applyFont="1"/>
    <xf numFmtId="0" fontId="32" fillId="5" borderId="5" xfId="13" applyFont="1" applyFill="1" applyBorder="1"/>
    <xf numFmtId="167" fontId="34" fillId="5" borderId="5" xfId="13" applyNumberFormat="1" applyFont="1" applyFill="1" applyBorder="1"/>
    <xf numFmtId="167" fontId="34" fillId="5" borderId="0" xfId="13" applyNumberFormat="1" applyFont="1" applyFill="1"/>
    <xf numFmtId="167" fontId="33" fillId="0" borderId="8" xfId="13" applyNumberFormat="1" applyFont="1" applyBorder="1"/>
    <xf numFmtId="167" fontId="35" fillId="0" borderId="0" xfId="13" applyNumberFormat="1" applyFont="1"/>
    <xf numFmtId="10" fontId="33" fillId="5" borderId="5" xfId="2" applyNumberFormat="1" applyFont="1" applyFill="1" applyBorder="1"/>
    <xf numFmtId="188" fontId="13" fillId="0" borderId="0" xfId="0" applyNumberFormat="1" applyFont="1" applyAlignment="1">
      <alignment horizontal="left"/>
    </xf>
    <xf numFmtId="9" fontId="13" fillId="0" borderId="0" xfId="2" applyFont="1" applyAlignment="1">
      <alignment horizontal="center"/>
    </xf>
    <xf numFmtId="9" fontId="15" fillId="0" borderId="0" xfId="2" applyFont="1" applyAlignment="1">
      <alignment horizontal="center"/>
    </xf>
    <xf numFmtId="0" fontId="19" fillId="0" borderId="5" xfId="0" applyFont="1" applyBorder="1"/>
    <xf numFmtId="164" fontId="13" fillId="0" borderId="0" xfId="0" applyNumberFormat="1" applyFont="1" applyAlignment="1">
      <alignment horizontal="right"/>
    </xf>
    <xf numFmtId="185" fontId="15" fillId="0" borderId="0" xfId="0" applyNumberFormat="1" applyFont="1"/>
    <xf numFmtId="185" fontId="13" fillId="0" borderId="0" xfId="0" applyNumberFormat="1" applyFont="1" applyAlignment="1">
      <alignment horizontal="right"/>
    </xf>
    <xf numFmtId="0" fontId="19" fillId="4" borderId="1" xfId="0" applyFont="1" applyFill="1" applyBorder="1" applyAlignment="1">
      <alignment horizontal="center"/>
    </xf>
    <xf numFmtId="167" fontId="13" fillId="5" borderId="1" xfId="0" applyNumberFormat="1" applyFont="1" applyFill="1" applyBorder="1" applyAlignment="1">
      <alignment horizontal="center"/>
    </xf>
    <xf numFmtId="176" fontId="13" fillId="5" borderId="1" xfId="0" applyNumberFormat="1" applyFont="1" applyFill="1" applyBorder="1" applyAlignment="1">
      <alignment horizontal="center"/>
    </xf>
    <xf numFmtId="9" fontId="13" fillId="5" borderId="1" xfId="2" applyFont="1" applyFill="1" applyBorder="1" applyAlignment="1">
      <alignment horizontal="center"/>
    </xf>
    <xf numFmtId="178" fontId="15" fillId="5" borderId="1" xfId="0" applyNumberFormat="1" applyFont="1" applyFill="1" applyBorder="1" applyAlignment="1">
      <alignment horizontal="center"/>
    </xf>
    <xf numFmtId="167" fontId="15" fillId="5" borderId="11" xfId="0" applyNumberFormat="1" applyFont="1" applyFill="1" applyBorder="1" applyAlignment="1">
      <alignment horizontal="center"/>
    </xf>
    <xf numFmtId="167" fontId="19" fillId="5" borderId="1" xfId="0" applyNumberFormat="1" applyFont="1" applyFill="1" applyBorder="1" applyAlignment="1">
      <alignment horizontal="center"/>
    </xf>
    <xf numFmtId="167" fontId="13" fillId="0" borderId="5" xfId="0" applyNumberFormat="1" applyFont="1" applyBorder="1"/>
    <xf numFmtId="167" fontId="13" fillId="0" borderId="12" xfId="0" applyNumberFormat="1" applyFont="1" applyBorder="1" applyAlignment="1">
      <alignment horizontal="right"/>
    </xf>
    <xf numFmtId="167" fontId="13" fillId="0" borderId="12" xfId="0" applyNumberFormat="1" applyFont="1" applyBorder="1"/>
    <xf numFmtId="167" fontId="13" fillId="0" borderId="0" xfId="0" applyNumberFormat="1" applyFont="1"/>
    <xf numFmtId="10" fontId="19" fillId="0" borderId="8" xfId="2" applyNumberFormat="1" applyFont="1" applyBorder="1"/>
    <xf numFmtId="167" fontId="27" fillId="0" borderId="0" xfId="0" applyNumberFormat="1" applyFont="1"/>
    <xf numFmtId="171" fontId="26" fillId="0" borderId="5" xfId="0" applyNumberFormat="1" applyFont="1" applyBorder="1"/>
    <xf numFmtId="167" fontId="26" fillId="0" borderId="5" xfId="0" applyNumberFormat="1" applyFont="1" applyBorder="1"/>
    <xf numFmtId="167" fontId="26" fillId="0" borderId="0" xfId="0" applyNumberFormat="1" applyFont="1"/>
    <xf numFmtId="10" fontId="33" fillId="5" borderId="0" xfId="2" applyNumberFormat="1" applyFont="1" applyFill="1" applyBorder="1"/>
    <xf numFmtId="10" fontId="33" fillId="0" borderId="0" xfId="2" applyNumberFormat="1" applyFont="1" applyBorder="1"/>
    <xf numFmtId="0" fontId="17" fillId="2" borderId="0" xfId="0" applyFont="1" applyFill="1" applyAlignment="1">
      <alignment horizontal="left"/>
    </xf>
    <xf numFmtId="10" fontId="19" fillId="4" borderId="0" xfId="2" applyNumberFormat="1" applyFont="1" applyFill="1" applyBorder="1" applyAlignment="1">
      <alignment horizontal="center"/>
    </xf>
    <xf numFmtId="3" fontId="19" fillId="4" borderId="0" xfId="2" applyNumberFormat="1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  <xf numFmtId="9" fontId="13" fillId="0" borderId="0" xfId="2" applyFont="1" applyBorder="1" applyAlignment="1">
      <alignment horizontal="right"/>
    </xf>
  </cellXfs>
  <cellStyles count="14">
    <cellStyle name="Comma" xfId="1" builtinId="3"/>
    <cellStyle name="Comma 4" xfId="8" xr:uid="{00000000-0005-0000-0000-000001000000}"/>
    <cellStyle name="Normal" xfId="0" builtinId="0"/>
    <cellStyle name="Normal 2" xfId="4" xr:uid="{00000000-0005-0000-0000-000003000000}"/>
    <cellStyle name="Normal 2 4" xfId="9" xr:uid="{7E5DCCFF-4C95-4144-A0FE-D11C238E0EF7}"/>
    <cellStyle name="Normal 3" xfId="7" xr:uid="{00000000-0005-0000-0000-000004000000}"/>
    <cellStyle name="Normal 3 2" xfId="11" xr:uid="{D68BE306-510D-4F01-86FE-04C128554EDE}"/>
    <cellStyle name="Normal 4" xfId="6" xr:uid="{00000000-0005-0000-0000-000005000000}"/>
    <cellStyle name="Normal 5" xfId="13" xr:uid="{8A2ACD6D-E2BF-4390-BA96-2E60E2592BC0}"/>
    <cellStyle name="Percent" xfId="2" builtinId="5"/>
    <cellStyle name="Percent 104" xfId="5" xr:uid="{00000000-0005-0000-0000-000007000000}"/>
    <cellStyle name="Percent 2 2" xfId="10" xr:uid="{96F697DB-31C8-4E01-B0D0-473677C91426}"/>
    <cellStyle name="Percent 3 2 2" xfId="3" xr:uid="{00000000-0005-0000-0000-000008000000}"/>
    <cellStyle name="Percent 4" xfId="12" xr:uid="{B0BF11BD-E3BC-41F0-901C-49895C1C52BA}"/>
  </cellStyles>
  <dxfs count="0"/>
  <tableStyles count="0" defaultTableStyle="TableStyleMedium2" defaultPivotStyle="PivotStyleLight16"/>
  <colors>
    <mruColors>
      <color rgb="FF0000FF"/>
      <color rgb="FFFED6D6"/>
      <color rgb="FFFFFF99"/>
      <color rgb="FF008000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C$50" lockText="1" noThreeD="1"/>
</file>

<file path=xl/ctrlProps/ctrlProp2.xml><?xml version="1.0" encoding="utf-8"?>
<formControlPr xmlns="http://schemas.microsoft.com/office/spreadsheetml/2009/9/main" objectType="CheckBox" fmlaLink="$K$50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48</xdr:row>
          <xdr:rowOff>139700</xdr:rowOff>
        </xdr:from>
        <xdr:to>
          <xdr:col>4</xdr:col>
          <xdr:colOff>939800</xdr:colOff>
          <xdr:row>50</xdr:row>
          <xdr:rowOff>63500</xdr:rowOff>
        </xdr:to>
        <xdr:sp macro="" textlink="">
          <xdr:nvSpPr>
            <xdr:cNvPr id="59393" name="Check Box 1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00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Circuit Breaker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1117600</xdr:colOff>
          <xdr:row>48</xdr:row>
          <xdr:rowOff>152400</xdr:rowOff>
        </xdr:from>
        <xdr:to>
          <xdr:col>12</xdr:col>
          <xdr:colOff>647700</xdr:colOff>
          <xdr:row>50</xdr:row>
          <xdr:rowOff>88900</xdr:rowOff>
        </xdr:to>
        <xdr:sp macro="" textlink="">
          <xdr:nvSpPr>
            <xdr:cNvPr id="51208" name="Check Box 8" hidden="1">
              <a:extLst>
                <a:ext uri="{63B3BB69-23CF-44E3-9099-C40C66FF867C}">
                  <a14:compatExt spid="_x0000_s51208"/>
                </a:ext>
                <a:ext uri="{FF2B5EF4-FFF2-40B4-BE49-F238E27FC236}">
                  <a16:creationId xmlns:a16="http://schemas.microsoft.com/office/drawing/2014/main" id="{00000000-0008-0000-0200-000008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Circuit Breaker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tockbridge">
  <a:themeElements>
    <a:clrScheme name="Excel - Stockbridge">
      <a:dk1>
        <a:srgbClr val="000000"/>
      </a:dk1>
      <a:lt1>
        <a:srgbClr val="FFFFFF"/>
      </a:lt1>
      <a:dk2>
        <a:srgbClr val="102640"/>
      </a:dk2>
      <a:lt2>
        <a:srgbClr val="204D84"/>
      </a:lt2>
      <a:accent1>
        <a:srgbClr val="102640"/>
      </a:accent1>
      <a:accent2>
        <a:srgbClr val="204D84"/>
      </a:accent2>
      <a:accent3>
        <a:srgbClr val="A0B6C8"/>
      </a:accent3>
      <a:accent4>
        <a:srgbClr val="414651"/>
      </a:accent4>
      <a:accent5>
        <a:srgbClr val="7D8597"/>
      </a:accent5>
      <a:accent6>
        <a:srgbClr val="CDCCCE"/>
      </a:accent6>
      <a:hlink>
        <a:srgbClr val="464646"/>
      </a:hlink>
      <a:folHlink>
        <a:srgbClr val="464646"/>
      </a:folHlink>
    </a:clrScheme>
    <a:fontScheme name="Stockbridge">
      <a:majorFont>
        <a:latin typeface="Century Gothic"/>
        <a:ea typeface=""/>
        <a:cs typeface=""/>
      </a:majorFont>
      <a:minorFont>
        <a:latin typeface="Euphem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CE84-200F-4C7D-8A2C-F66018140201}">
  <sheetPr>
    <pageSetUpPr autoPageBreaks="0"/>
  </sheetPr>
  <dimension ref="A1:FX210"/>
  <sheetViews>
    <sheetView showGridLines="0" tabSelected="1" topLeftCell="B1" zoomScale="85" zoomScaleNormal="85" workbookViewId="0">
      <pane xSplit="2" ySplit="6" topLeftCell="D7" activePane="bottomRight" state="frozen"/>
      <selection activeCell="B1" sqref="B1"/>
      <selection pane="topRight" activeCell="D1" sqref="D1"/>
      <selection pane="bottomLeft" activeCell="B8" sqref="B8"/>
      <selection pane="bottomRight" activeCell="D7" sqref="D7"/>
    </sheetView>
  </sheetViews>
  <sheetFormatPr baseColWidth="10" defaultColWidth="0" defaultRowHeight="15" outlineLevelRow="1" x14ac:dyDescent="0.2"/>
  <cols>
    <col min="1" max="1" width="3.6640625" style="39" customWidth="1"/>
    <col min="2" max="2" width="5" style="39" bestFit="1" customWidth="1"/>
    <col min="3" max="3" width="38.33203125" style="39" bestFit="1" customWidth="1"/>
    <col min="4" max="4" width="15.6640625" style="39" customWidth="1"/>
    <col min="5" max="5" width="17" style="39" bestFit="1" customWidth="1"/>
    <col min="6" max="6" width="18" style="39" bestFit="1" customWidth="1"/>
    <col min="7" max="7" width="20.5" style="39" bestFit="1" customWidth="1"/>
    <col min="8" max="13" width="15.6640625" style="39" customWidth="1"/>
    <col min="14" max="14" width="19.1640625" style="39" bestFit="1" customWidth="1"/>
    <col min="15" max="15" width="20.33203125" style="39" bestFit="1" customWidth="1"/>
    <col min="16" max="16" width="17" style="39" bestFit="1" customWidth="1"/>
    <col min="17" max="20" width="15.6640625" style="39" customWidth="1"/>
    <col min="21" max="21" width="18.33203125" style="39" bestFit="1" customWidth="1"/>
    <col min="22" max="22" width="18.1640625" style="39" customWidth="1"/>
    <col min="23" max="33" width="15.6640625" style="39" customWidth="1"/>
    <col min="34" max="34" width="18.6640625" style="39" bestFit="1" customWidth="1"/>
    <col min="35" max="36" width="15.6640625" style="39" customWidth="1"/>
    <col min="37" max="37" width="18.33203125" style="39" bestFit="1" customWidth="1"/>
    <col min="38" max="38" width="17.6640625" style="39" bestFit="1" customWidth="1"/>
    <col min="39" max="39" width="16.6640625" style="39" bestFit="1" customWidth="1"/>
    <col min="40" max="162" width="15.6640625" style="39" customWidth="1"/>
    <col min="163" max="163" width="3.6640625" style="45" customWidth="1"/>
    <col min="164" max="177" width="15.6640625" style="39" customWidth="1"/>
    <col min="178" max="178" width="3.6640625" style="45" customWidth="1"/>
    <col min="179" max="16384" width="9" style="39" hidden="1"/>
  </cols>
  <sheetData>
    <row r="1" spans="3:178" s="331" customFormat="1" x14ac:dyDescent="0.2">
      <c r="D1" s="332"/>
      <c r="E1" s="332" t="s">
        <v>88</v>
      </c>
      <c r="F1" s="333">
        <f>F53</f>
        <v>0</v>
      </c>
      <c r="G1" s="333">
        <f t="shared" ref="G1:BR1" si="0">G53</f>
        <v>1</v>
      </c>
      <c r="H1" s="333">
        <f t="shared" si="0"/>
        <v>2</v>
      </c>
      <c r="I1" s="333">
        <f t="shared" si="0"/>
        <v>3</v>
      </c>
      <c r="J1" s="333">
        <f t="shared" si="0"/>
        <v>4</v>
      </c>
      <c r="K1" s="333">
        <f t="shared" si="0"/>
        <v>5</v>
      </c>
      <c r="L1" s="333">
        <f t="shared" si="0"/>
        <v>6</v>
      </c>
      <c r="M1" s="333">
        <f t="shared" si="0"/>
        <v>7</v>
      </c>
      <c r="N1" s="333">
        <f t="shared" si="0"/>
        <v>8</v>
      </c>
      <c r="O1" s="333">
        <f t="shared" si="0"/>
        <v>9</v>
      </c>
      <c r="P1" s="333">
        <f t="shared" si="0"/>
        <v>10</v>
      </c>
      <c r="Q1" s="333">
        <f t="shared" si="0"/>
        <v>11</v>
      </c>
      <c r="R1" s="333">
        <f t="shared" si="0"/>
        <v>12</v>
      </c>
      <c r="S1" s="333">
        <f t="shared" si="0"/>
        <v>13</v>
      </c>
      <c r="T1" s="333">
        <f t="shared" si="0"/>
        <v>14</v>
      </c>
      <c r="U1" s="333">
        <f t="shared" si="0"/>
        <v>15</v>
      </c>
      <c r="V1" s="333">
        <f t="shared" si="0"/>
        <v>16</v>
      </c>
      <c r="W1" s="333">
        <f t="shared" si="0"/>
        <v>17</v>
      </c>
      <c r="X1" s="333">
        <f t="shared" si="0"/>
        <v>18</v>
      </c>
      <c r="Y1" s="333">
        <f t="shared" si="0"/>
        <v>19</v>
      </c>
      <c r="Z1" s="333">
        <f t="shared" si="0"/>
        <v>20</v>
      </c>
      <c r="AA1" s="333">
        <f t="shared" si="0"/>
        <v>21</v>
      </c>
      <c r="AB1" s="333">
        <f t="shared" si="0"/>
        <v>22</v>
      </c>
      <c r="AC1" s="333">
        <f t="shared" si="0"/>
        <v>23</v>
      </c>
      <c r="AD1" s="333">
        <f t="shared" si="0"/>
        <v>24</v>
      </c>
      <c r="AE1" s="333">
        <f t="shared" si="0"/>
        <v>25</v>
      </c>
      <c r="AF1" s="333">
        <f t="shared" si="0"/>
        <v>26</v>
      </c>
      <c r="AG1" s="333">
        <f t="shared" si="0"/>
        <v>27</v>
      </c>
      <c r="AH1" s="333">
        <f t="shared" si="0"/>
        <v>28</v>
      </c>
      <c r="AI1" s="333">
        <f t="shared" si="0"/>
        <v>29</v>
      </c>
      <c r="AJ1" s="333">
        <f t="shared" si="0"/>
        <v>30</v>
      </c>
      <c r="AK1" s="333">
        <f t="shared" si="0"/>
        <v>31</v>
      </c>
      <c r="AL1" s="333">
        <f t="shared" si="0"/>
        <v>32</v>
      </c>
      <c r="AM1" s="333">
        <f t="shared" si="0"/>
        <v>33</v>
      </c>
      <c r="AN1" s="333">
        <f t="shared" si="0"/>
        <v>34</v>
      </c>
      <c r="AO1" s="333">
        <f t="shared" si="0"/>
        <v>35</v>
      </c>
      <c r="AP1" s="333">
        <f t="shared" si="0"/>
        <v>36</v>
      </c>
      <c r="AQ1" s="333">
        <f t="shared" si="0"/>
        <v>37</v>
      </c>
      <c r="AR1" s="333">
        <f t="shared" si="0"/>
        <v>38</v>
      </c>
      <c r="AS1" s="333">
        <f t="shared" si="0"/>
        <v>39</v>
      </c>
      <c r="AT1" s="333">
        <f t="shared" si="0"/>
        <v>40</v>
      </c>
      <c r="AU1" s="333">
        <f t="shared" si="0"/>
        <v>41</v>
      </c>
      <c r="AV1" s="333">
        <f t="shared" si="0"/>
        <v>42</v>
      </c>
      <c r="AW1" s="333">
        <f t="shared" si="0"/>
        <v>43</v>
      </c>
      <c r="AX1" s="333">
        <f t="shared" si="0"/>
        <v>44</v>
      </c>
      <c r="AY1" s="333">
        <f t="shared" si="0"/>
        <v>45</v>
      </c>
      <c r="AZ1" s="333">
        <f t="shared" si="0"/>
        <v>46</v>
      </c>
      <c r="BA1" s="333">
        <f t="shared" si="0"/>
        <v>47</v>
      </c>
      <c r="BB1" s="333">
        <f t="shared" si="0"/>
        <v>48</v>
      </c>
      <c r="BC1" s="333">
        <f t="shared" si="0"/>
        <v>49</v>
      </c>
      <c r="BD1" s="333">
        <f t="shared" si="0"/>
        <v>50</v>
      </c>
      <c r="BE1" s="333">
        <f t="shared" si="0"/>
        <v>51</v>
      </c>
      <c r="BF1" s="333">
        <f t="shared" si="0"/>
        <v>52</v>
      </c>
      <c r="BG1" s="333">
        <f t="shared" si="0"/>
        <v>53</v>
      </c>
      <c r="BH1" s="333">
        <f t="shared" si="0"/>
        <v>54</v>
      </c>
      <c r="BI1" s="333">
        <f t="shared" si="0"/>
        <v>55</v>
      </c>
      <c r="BJ1" s="333">
        <f t="shared" si="0"/>
        <v>56</v>
      </c>
      <c r="BK1" s="333">
        <f t="shared" si="0"/>
        <v>57</v>
      </c>
      <c r="BL1" s="333">
        <f t="shared" si="0"/>
        <v>58</v>
      </c>
      <c r="BM1" s="333">
        <f t="shared" si="0"/>
        <v>59</v>
      </c>
      <c r="BN1" s="333">
        <f t="shared" si="0"/>
        <v>60</v>
      </c>
      <c r="BO1" s="333">
        <f t="shared" si="0"/>
        <v>61</v>
      </c>
      <c r="BP1" s="333">
        <f t="shared" si="0"/>
        <v>62</v>
      </c>
      <c r="BQ1" s="333">
        <f t="shared" si="0"/>
        <v>63</v>
      </c>
      <c r="BR1" s="333">
        <f t="shared" si="0"/>
        <v>64</v>
      </c>
      <c r="BS1" s="333">
        <f t="shared" ref="BS1:ED1" si="1">BS53</f>
        <v>65</v>
      </c>
      <c r="BT1" s="333">
        <f t="shared" si="1"/>
        <v>66</v>
      </c>
      <c r="BU1" s="333">
        <f t="shared" si="1"/>
        <v>67</v>
      </c>
      <c r="BV1" s="333">
        <f t="shared" si="1"/>
        <v>68</v>
      </c>
      <c r="BW1" s="333">
        <f t="shared" si="1"/>
        <v>69</v>
      </c>
      <c r="BX1" s="333">
        <f t="shared" si="1"/>
        <v>70</v>
      </c>
      <c r="BY1" s="333">
        <f t="shared" si="1"/>
        <v>71</v>
      </c>
      <c r="BZ1" s="333">
        <f t="shared" si="1"/>
        <v>72</v>
      </c>
      <c r="CA1" s="333">
        <f t="shared" si="1"/>
        <v>73</v>
      </c>
      <c r="CB1" s="333">
        <f t="shared" si="1"/>
        <v>74</v>
      </c>
      <c r="CC1" s="333">
        <f t="shared" si="1"/>
        <v>75</v>
      </c>
      <c r="CD1" s="333">
        <f t="shared" si="1"/>
        <v>76</v>
      </c>
      <c r="CE1" s="333">
        <f t="shared" si="1"/>
        <v>77</v>
      </c>
      <c r="CF1" s="333">
        <f t="shared" si="1"/>
        <v>78</v>
      </c>
      <c r="CG1" s="333">
        <f t="shared" si="1"/>
        <v>79</v>
      </c>
      <c r="CH1" s="333">
        <f t="shared" si="1"/>
        <v>80</v>
      </c>
      <c r="CI1" s="333">
        <f t="shared" si="1"/>
        <v>81</v>
      </c>
      <c r="CJ1" s="333">
        <f t="shared" si="1"/>
        <v>82</v>
      </c>
      <c r="CK1" s="333">
        <f t="shared" si="1"/>
        <v>83</v>
      </c>
      <c r="CL1" s="333">
        <f t="shared" si="1"/>
        <v>84</v>
      </c>
      <c r="CM1" s="333">
        <f t="shared" si="1"/>
        <v>85</v>
      </c>
      <c r="CN1" s="333">
        <f t="shared" si="1"/>
        <v>86</v>
      </c>
      <c r="CO1" s="333">
        <f t="shared" si="1"/>
        <v>87</v>
      </c>
      <c r="CP1" s="333">
        <f t="shared" si="1"/>
        <v>88</v>
      </c>
      <c r="CQ1" s="333">
        <f t="shared" si="1"/>
        <v>89</v>
      </c>
      <c r="CR1" s="333">
        <f t="shared" si="1"/>
        <v>90</v>
      </c>
      <c r="CS1" s="333">
        <f t="shared" si="1"/>
        <v>91</v>
      </c>
      <c r="CT1" s="333">
        <f t="shared" si="1"/>
        <v>92</v>
      </c>
      <c r="CU1" s="333">
        <f t="shared" si="1"/>
        <v>93</v>
      </c>
      <c r="CV1" s="333">
        <f t="shared" si="1"/>
        <v>94</v>
      </c>
      <c r="CW1" s="333">
        <f t="shared" si="1"/>
        <v>95</v>
      </c>
      <c r="CX1" s="333">
        <f t="shared" si="1"/>
        <v>96</v>
      </c>
      <c r="CY1" s="333">
        <f t="shared" si="1"/>
        <v>97</v>
      </c>
      <c r="CZ1" s="333">
        <f t="shared" si="1"/>
        <v>98</v>
      </c>
      <c r="DA1" s="333">
        <f t="shared" si="1"/>
        <v>99</v>
      </c>
      <c r="DB1" s="333">
        <f t="shared" si="1"/>
        <v>100</v>
      </c>
      <c r="DC1" s="333">
        <f t="shared" si="1"/>
        <v>101</v>
      </c>
      <c r="DD1" s="333">
        <f t="shared" si="1"/>
        <v>102</v>
      </c>
      <c r="DE1" s="333">
        <f t="shared" si="1"/>
        <v>103</v>
      </c>
      <c r="DF1" s="333">
        <f t="shared" si="1"/>
        <v>104</v>
      </c>
      <c r="DG1" s="333">
        <f t="shared" si="1"/>
        <v>105</v>
      </c>
      <c r="DH1" s="333">
        <f t="shared" si="1"/>
        <v>106</v>
      </c>
      <c r="DI1" s="333">
        <f t="shared" si="1"/>
        <v>107</v>
      </c>
      <c r="DJ1" s="333">
        <f t="shared" si="1"/>
        <v>108</v>
      </c>
      <c r="DK1" s="333">
        <f t="shared" si="1"/>
        <v>109</v>
      </c>
      <c r="DL1" s="333">
        <f t="shared" si="1"/>
        <v>110</v>
      </c>
      <c r="DM1" s="333">
        <f t="shared" si="1"/>
        <v>111</v>
      </c>
      <c r="DN1" s="333">
        <f t="shared" si="1"/>
        <v>112</v>
      </c>
      <c r="DO1" s="333">
        <f t="shared" si="1"/>
        <v>113</v>
      </c>
      <c r="DP1" s="333">
        <f t="shared" si="1"/>
        <v>114</v>
      </c>
      <c r="DQ1" s="333">
        <f t="shared" si="1"/>
        <v>115</v>
      </c>
      <c r="DR1" s="333">
        <f t="shared" si="1"/>
        <v>116</v>
      </c>
      <c r="DS1" s="333">
        <f t="shared" si="1"/>
        <v>117</v>
      </c>
      <c r="DT1" s="333">
        <f t="shared" si="1"/>
        <v>118</v>
      </c>
      <c r="DU1" s="333">
        <f t="shared" si="1"/>
        <v>119</v>
      </c>
      <c r="DV1" s="333">
        <f t="shared" si="1"/>
        <v>120</v>
      </c>
      <c r="DW1" s="333">
        <f t="shared" si="1"/>
        <v>121</v>
      </c>
      <c r="DX1" s="333">
        <f t="shared" si="1"/>
        <v>122</v>
      </c>
      <c r="DY1" s="333">
        <f t="shared" si="1"/>
        <v>123</v>
      </c>
      <c r="DZ1" s="333">
        <f t="shared" si="1"/>
        <v>124</v>
      </c>
      <c r="EA1" s="333">
        <f t="shared" si="1"/>
        <v>125</v>
      </c>
      <c r="EB1" s="333">
        <f t="shared" si="1"/>
        <v>126</v>
      </c>
      <c r="EC1" s="333">
        <f t="shared" si="1"/>
        <v>127</v>
      </c>
      <c r="ED1" s="333">
        <f t="shared" si="1"/>
        <v>128</v>
      </c>
      <c r="EE1" s="333">
        <f t="shared" ref="EE1:FD1" si="2">EE53</f>
        <v>129</v>
      </c>
      <c r="EF1" s="333">
        <f t="shared" si="2"/>
        <v>130</v>
      </c>
      <c r="EG1" s="333">
        <f t="shared" si="2"/>
        <v>131</v>
      </c>
      <c r="EH1" s="333">
        <f t="shared" si="2"/>
        <v>132</v>
      </c>
      <c r="EI1" s="333">
        <f t="shared" si="2"/>
        <v>133</v>
      </c>
      <c r="EJ1" s="333">
        <f t="shared" si="2"/>
        <v>134</v>
      </c>
      <c r="EK1" s="333">
        <f t="shared" si="2"/>
        <v>135</v>
      </c>
      <c r="EL1" s="333">
        <f t="shared" si="2"/>
        <v>136</v>
      </c>
      <c r="EM1" s="333">
        <f t="shared" si="2"/>
        <v>137</v>
      </c>
      <c r="EN1" s="333">
        <f t="shared" si="2"/>
        <v>138</v>
      </c>
      <c r="EO1" s="333">
        <f t="shared" si="2"/>
        <v>139</v>
      </c>
      <c r="EP1" s="333">
        <f t="shared" si="2"/>
        <v>140</v>
      </c>
      <c r="EQ1" s="333">
        <f t="shared" si="2"/>
        <v>141</v>
      </c>
      <c r="ER1" s="333">
        <f t="shared" si="2"/>
        <v>142</v>
      </c>
      <c r="ES1" s="333">
        <f t="shared" si="2"/>
        <v>143</v>
      </c>
      <c r="ET1" s="333">
        <f t="shared" si="2"/>
        <v>144</v>
      </c>
      <c r="EU1" s="333">
        <f t="shared" si="2"/>
        <v>145</v>
      </c>
      <c r="EV1" s="333">
        <f t="shared" si="2"/>
        <v>146</v>
      </c>
      <c r="EW1" s="333">
        <f t="shared" si="2"/>
        <v>147</v>
      </c>
      <c r="EX1" s="333">
        <f t="shared" si="2"/>
        <v>148</v>
      </c>
      <c r="EY1" s="333">
        <f t="shared" si="2"/>
        <v>149</v>
      </c>
      <c r="EZ1" s="333">
        <f t="shared" si="2"/>
        <v>150</v>
      </c>
      <c r="FA1" s="333">
        <f t="shared" si="2"/>
        <v>151</v>
      </c>
      <c r="FB1" s="333">
        <f t="shared" si="2"/>
        <v>152</v>
      </c>
      <c r="FC1" s="333">
        <f t="shared" si="2"/>
        <v>153</v>
      </c>
      <c r="FD1" s="333">
        <f t="shared" si="2"/>
        <v>154</v>
      </c>
      <c r="FG1" s="313"/>
      <c r="FV1" s="313"/>
    </row>
    <row r="2" spans="3:178" s="331" customFormat="1" x14ac:dyDescent="0.2">
      <c r="D2" s="332"/>
      <c r="E2" s="332" t="s">
        <v>81</v>
      </c>
      <c r="F2" s="334">
        <f>F55</f>
        <v>46203</v>
      </c>
      <c r="G2" s="334">
        <f t="shared" ref="G2:BR2" si="3">G55</f>
        <v>46234</v>
      </c>
      <c r="H2" s="334">
        <f t="shared" si="3"/>
        <v>46265</v>
      </c>
      <c r="I2" s="334">
        <f t="shared" si="3"/>
        <v>46295</v>
      </c>
      <c r="J2" s="334">
        <f t="shared" si="3"/>
        <v>46326</v>
      </c>
      <c r="K2" s="334">
        <f t="shared" si="3"/>
        <v>46356</v>
      </c>
      <c r="L2" s="334">
        <f t="shared" si="3"/>
        <v>46387</v>
      </c>
      <c r="M2" s="334">
        <f t="shared" si="3"/>
        <v>46418</v>
      </c>
      <c r="N2" s="334">
        <f t="shared" si="3"/>
        <v>46446</v>
      </c>
      <c r="O2" s="334">
        <f t="shared" si="3"/>
        <v>46477</v>
      </c>
      <c r="P2" s="334">
        <f t="shared" si="3"/>
        <v>46507</v>
      </c>
      <c r="Q2" s="334">
        <f t="shared" si="3"/>
        <v>46538</v>
      </c>
      <c r="R2" s="334">
        <f t="shared" si="3"/>
        <v>46568</v>
      </c>
      <c r="S2" s="334">
        <f t="shared" si="3"/>
        <v>46599</v>
      </c>
      <c r="T2" s="334">
        <f t="shared" si="3"/>
        <v>46630</v>
      </c>
      <c r="U2" s="334">
        <f t="shared" si="3"/>
        <v>46660</v>
      </c>
      <c r="V2" s="334">
        <f t="shared" si="3"/>
        <v>46691</v>
      </c>
      <c r="W2" s="334">
        <f t="shared" si="3"/>
        <v>46721</v>
      </c>
      <c r="X2" s="334">
        <f t="shared" si="3"/>
        <v>46752</v>
      </c>
      <c r="Y2" s="334">
        <f t="shared" si="3"/>
        <v>46783</v>
      </c>
      <c r="Z2" s="334">
        <f t="shared" si="3"/>
        <v>46812</v>
      </c>
      <c r="AA2" s="334">
        <f t="shared" si="3"/>
        <v>46843</v>
      </c>
      <c r="AB2" s="334">
        <f t="shared" si="3"/>
        <v>46873</v>
      </c>
      <c r="AC2" s="334">
        <f t="shared" si="3"/>
        <v>46904</v>
      </c>
      <c r="AD2" s="334">
        <f t="shared" si="3"/>
        <v>46934</v>
      </c>
      <c r="AE2" s="334">
        <f t="shared" si="3"/>
        <v>46965</v>
      </c>
      <c r="AF2" s="334">
        <f t="shared" si="3"/>
        <v>46996</v>
      </c>
      <c r="AG2" s="334">
        <f t="shared" si="3"/>
        <v>47026</v>
      </c>
      <c r="AH2" s="334">
        <f t="shared" si="3"/>
        <v>47057</v>
      </c>
      <c r="AI2" s="334">
        <f t="shared" si="3"/>
        <v>47087</v>
      </c>
      <c r="AJ2" s="334">
        <f t="shared" si="3"/>
        <v>47118</v>
      </c>
      <c r="AK2" s="334">
        <f t="shared" si="3"/>
        <v>47149</v>
      </c>
      <c r="AL2" s="334">
        <f t="shared" si="3"/>
        <v>47177</v>
      </c>
      <c r="AM2" s="334">
        <f t="shared" si="3"/>
        <v>47208</v>
      </c>
      <c r="AN2" s="334">
        <f t="shared" si="3"/>
        <v>47238</v>
      </c>
      <c r="AO2" s="334">
        <f t="shared" si="3"/>
        <v>47269</v>
      </c>
      <c r="AP2" s="334">
        <f t="shared" si="3"/>
        <v>47299</v>
      </c>
      <c r="AQ2" s="334">
        <f t="shared" si="3"/>
        <v>47330</v>
      </c>
      <c r="AR2" s="334">
        <f t="shared" si="3"/>
        <v>47361</v>
      </c>
      <c r="AS2" s="334">
        <f t="shared" si="3"/>
        <v>47391</v>
      </c>
      <c r="AT2" s="334">
        <f t="shared" si="3"/>
        <v>47422</v>
      </c>
      <c r="AU2" s="334">
        <f t="shared" si="3"/>
        <v>47452</v>
      </c>
      <c r="AV2" s="334">
        <f t="shared" si="3"/>
        <v>47483</v>
      </c>
      <c r="AW2" s="334">
        <f t="shared" si="3"/>
        <v>47514</v>
      </c>
      <c r="AX2" s="334">
        <f t="shared" si="3"/>
        <v>47542</v>
      </c>
      <c r="AY2" s="334">
        <f t="shared" si="3"/>
        <v>47573</v>
      </c>
      <c r="AZ2" s="334">
        <f t="shared" si="3"/>
        <v>47603</v>
      </c>
      <c r="BA2" s="334">
        <f t="shared" si="3"/>
        <v>47634</v>
      </c>
      <c r="BB2" s="334">
        <f t="shared" si="3"/>
        <v>47664</v>
      </c>
      <c r="BC2" s="334">
        <f t="shared" si="3"/>
        <v>47695</v>
      </c>
      <c r="BD2" s="334">
        <f t="shared" si="3"/>
        <v>47726</v>
      </c>
      <c r="BE2" s="334">
        <f t="shared" si="3"/>
        <v>47756</v>
      </c>
      <c r="BF2" s="334">
        <f t="shared" si="3"/>
        <v>47787</v>
      </c>
      <c r="BG2" s="334">
        <f t="shared" si="3"/>
        <v>47817</v>
      </c>
      <c r="BH2" s="334">
        <f t="shared" si="3"/>
        <v>47848</v>
      </c>
      <c r="BI2" s="334">
        <f t="shared" si="3"/>
        <v>47879</v>
      </c>
      <c r="BJ2" s="334">
        <f t="shared" si="3"/>
        <v>47907</v>
      </c>
      <c r="BK2" s="334">
        <f t="shared" si="3"/>
        <v>47938</v>
      </c>
      <c r="BL2" s="334">
        <f t="shared" si="3"/>
        <v>47968</v>
      </c>
      <c r="BM2" s="334">
        <f t="shared" si="3"/>
        <v>47999</v>
      </c>
      <c r="BN2" s="334">
        <f t="shared" si="3"/>
        <v>48029</v>
      </c>
      <c r="BO2" s="334">
        <f t="shared" si="3"/>
        <v>48060</v>
      </c>
      <c r="BP2" s="334">
        <f t="shared" si="3"/>
        <v>48091</v>
      </c>
      <c r="BQ2" s="334">
        <f t="shared" si="3"/>
        <v>48121</v>
      </c>
      <c r="BR2" s="334">
        <f t="shared" si="3"/>
        <v>48152</v>
      </c>
      <c r="BS2" s="334">
        <f t="shared" ref="BS2:ED2" si="4">BS55</f>
        <v>48182</v>
      </c>
      <c r="BT2" s="334">
        <f t="shared" si="4"/>
        <v>48213</v>
      </c>
      <c r="BU2" s="334">
        <f t="shared" si="4"/>
        <v>48244</v>
      </c>
      <c r="BV2" s="334">
        <f t="shared" si="4"/>
        <v>48273</v>
      </c>
      <c r="BW2" s="334">
        <f t="shared" si="4"/>
        <v>48304</v>
      </c>
      <c r="BX2" s="334">
        <f t="shared" si="4"/>
        <v>48334</v>
      </c>
      <c r="BY2" s="334">
        <f t="shared" si="4"/>
        <v>48365</v>
      </c>
      <c r="BZ2" s="334">
        <f t="shared" si="4"/>
        <v>48395</v>
      </c>
      <c r="CA2" s="334">
        <f t="shared" si="4"/>
        <v>48426</v>
      </c>
      <c r="CB2" s="334">
        <f t="shared" si="4"/>
        <v>48457</v>
      </c>
      <c r="CC2" s="334">
        <f t="shared" si="4"/>
        <v>48487</v>
      </c>
      <c r="CD2" s="334">
        <f t="shared" si="4"/>
        <v>48518</v>
      </c>
      <c r="CE2" s="334">
        <f t="shared" si="4"/>
        <v>48548</v>
      </c>
      <c r="CF2" s="334">
        <f t="shared" si="4"/>
        <v>48579</v>
      </c>
      <c r="CG2" s="334">
        <f t="shared" si="4"/>
        <v>48610</v>
      </c>
      <c r="CH2" s="334">
        <f t="shared" si="4"/>
        <v>48638</v>
      </c>
      <c r="CI2" s="334">
        <f t="shared" si="4"/>
        <v>48669</v>
      </c>
      <c r="CJ2" s="334">
        <f t="shared" si="4"/>
        <v>48699</v>
      </c>
      <c r="CK2" s="334">
        <f t="shared" si="4"/>
        <v>48730</v>
      </c>
      <c r="CL2" s="334">
        <f t="shared" si="4"/>
        <v>48760</v>
      </c>
      <c r="CM2" s="334">
        <f t="shared" si="4"/>
        <v>48791</v>
      </c>
      <c r="CN2" s="334">
        <f t="shared" si="4"/>
        <v>48822</v>
      </c>
      <c r="CO2" s="334">
        <f t="shared" si="4"/>
        <v>48852</v>
      </c>
      <c r="CP2" s="334">
        <f t="shared" si="4"/>
        <v>48883</v>
      </c>
      <c r="CQ2" s="334">
        <f t="shared" si="4"/>
        <v>48913</v>
      </c>
      <c r="CR2" s="334">
        <f t="shared" si="4"/>
        <v>48944</v>
      </c>
      <c r="CS2" s="334">
        <f t="shared" si="4"/>
        <v>48975</v>
      </c>
      <c r="CT2" s="334">
        <f t="shared" si="4"/>
        <v>49003</v>
      </c>
      <c r="CU2" s="334">
        <f t="shared" si="4"/>
        <v>49034</v>
      </c>
      <c r="CV2" s="334">
        <f t="shared" si="4"/>
        <v>49064</v>
      </c>
      <c r="CW2" s="334">
        <f t="shared" si="4"/>
        <v>49095</v>
      </c>
      <c r="CX2" s="334">
        <f t="shared" si="4"/>
        <v>49125</v>
      </c>
      <c r="CY2" s="334">
        <f t="shared" si="4"/>
        <v>49156</v>
      </c>
      <c r="CZ2" s="334">
        <f t="shared" si="4"/>
        <v>49187</v>
      </c>
      <c r="DA2" s="334">
        <f t="shared" si="4"/>
        <v>49217</v>
      </c>
      <c r="DB2" s="334">
        <f t="shared" si="4"/>
        <v>49248</v>
      </c>
      <c r="DC2" s="334">
        <f t="shared" si="4"/>
        <v>49278</v>
      </c>
      <c r="DD2" s="334">
        <f t="shared" si="4"/>
        <v>49309</v>
      </c>
      <c r="DE2" s="334">
        <f t="shared" si="4"/>
        <v>49340</v>
      </c>
      <c r="DF2" s="334">
        <f t="shared" si="4"/>
        <v>49368</v>
      </c>
      <c r="DG2" s="334">
        <f t="shared" si="4"/>
        <v>49399</v>
      </c>
      <c r="DH2" s="334">
        <f t="shared" si="4"/>
        <v>49429</v>
      </c>
      <c r="DI2" s="334">
        <f t="shared" si="4"/>
        <v>49460</v>
      </c>
      <c r="DJ2" s="334">
        <f t="shared" si="4"/>
        <v>49490</v>
      </c>
      <c r="DK2" s="334">
        <f t="shared" si="4"/>
        <v>49521</v>
      </c>
      <c r="DL2" s="334">
        <f t="shared" si="4"/>
        <v>49552</v>
      </c>
      <c r="DM2" s="334">
        <f t="shared" si="4"/>
        <v>49582</v>
      </c>
      <c r="DN2" s="334">
        <f t="shared" si="4"/>
        <v>49613</v>
      </c>
      <c r="DO2" s="334">
        <f t="shared" si="4"/>
        <v>49643</v>
      </c>
      <c r="DP2" s="334">
        <f t="shared" si="4"/>
        <v>49674</v>
      </c>
      <c r="DQ2" s="334">
        <f t="shared" si="4"/>
        <v>49705</v>
      </c>
      <c r="DR2" s="334">
        <f t="shared" si="4"/>
        <v>49734</v>
      </c>
      <c r="DS2" s="334">
        <f t="shared" si="4"/>
        <v>49765</v>
      </c>
      <c r="DT2" s="334">
        <f t="shared" si="4"/>
        <v>49795</v>
      </c>
      <c r="DU2" s="334">
        <f t="shared" si="4"/>
        <v>49826</v>
      </c>
      <c r="DV2" s="334">
        <f t="shared" si="4"/>
        <v>49856</v>
      </c>
      <c r="DW2" s="334">
        <f t="shared" si="4"/>
        <v>49887</v>
      </c>
      <c r="DX2" s="334">
        <f t="shared" si="4"/>
        <v>49918</v>
      </c>
      <c r="DY2" s="334">
        <f t="shared" si="4"/>
        <v>49948</v>
      </c>
      <c r="DZ2" s="334">
        <f t="shared" si="4"/>
        <v>49979</v>
      </c>
      <c r="EA2" s="334">
        <f t="shared" si="4"/>
        <v>50009</v>
      </c>
      <c r="EB2" s="334">
        <f t="shared" si="4"/>
        <v>50040</v>
      </c>
      <c r="EC2" s="334">
        <f t="shared" si="4"/>
        <v>50071</v>
      </c>
      <c r="ED2" s="334">
        <f t="shared" si="4"/>
        <v>50099</v>
      </c>
      <c r="EE2" s="334">
        <f t="shared" ref="EE2:FD2" si="5">EE55</f>
        <v>50130</v>
      </c>
      <c r="EF2" s="334">
        <f t="shared" si="5"/>
        <v>50160</v>
      </c>
      <c r="EG2" s="334">
        <f t="shared" si="5"/>
        <v>50191</v>
      </c>
      <c r="EH2" s="334">
        <f t="shared" si="5"/>
        <v>50221</v>
      </c>
      <c r="EI2" s="334">
        <f t="shared" si="5"/>
        <v>50252</v>
      </c>
      <c r="EJ2" s="334">
        <f t="shared" si="5"/>
        <v>50283</v>
      </c>
      <c r="EK2" s="334">
        <f t="shared" si="5"/>
        <v>50313</v>
      </c>
      <c r="EL2" s="334">
        <f t="shared" si="5"/>
        <v>50344</v>
      </c>
      <c r="EM2" s="334">
        <f t="shared" si="5"/>
        <v>50374</v>
      </c>
      <c r="EN2" s="334">
        <f t="shared" si="5"/>
        <v>50405</v>
      </c>
      <c r="EO2" s="334">
        <f t="shared" si="5"/>
        <v>50436</v>
      </c>
      <c r="EP2" s="334">
        <f t="shared" si="5"/>
        <v>50464</v>
      </c>
      <c r="EQ2" s="334">
        <f t="shared" si="5"/>
        <v>50495</v>
      </c>
      <c r="ER2" s="334">
        <f t="shared" si="5"/>
        <v>50525</v>
      </c>
      <c r="ES2" s="334">
        <f t="shared" si="5"/>
        <v>50556</v>
      </c>
      <c r="ET2" s="334">
        <f t="shared" si="5"/>
        <v>50586</v>
      </c>
      <c r="EU2" s="334">
        <f t="shared" si="5"/>
        <v>50617</v>
      </c>
      <c r="EV2" s="334">
        <f t="shared" si="5"/>
        <v>50648</v>
      </c>
      <c r="EW2" s="334">
        <f t="shared" si="5"/>
        <v>50678</v>
      </c>
      <c r="EX2" s="334">
        <f t="shared" si="5"/>
        <v>50709</v>
      </c>
      <c r="EY2" s="334">
        <f t="shared" si="5"/>
        <v>50739</v>
      </c>
      <c r="EZ2" s="334">
        <f t="shared" si="5"/>
        <v>50770</v>
      </c>
      <c r="FA2" s="334">
        <f t="shared" si="5"/>
        <v>50801</v>
      </c>
      <c r="FB2" s="334">
        <f t="shared" si="5"/>
        <v>50829</v>
      </c>
      <c r="FC2" s="334">
        <f t="shared" si="5"/>
        <v>50860</v>
      </c>
      <c r="FD2" s="334">
        <f t="shared" si="5"/>
        <v>50890</v>
      </c>
      <c r="FG2" s="313"/>
      <c r="FV2" s="313"/>
    </row>
    <row r="3" spans="3:178" x14ac:dyDescent="0.2">
      <c r="C3" s="40" t="s">
        <v>27</v>
      </c>
      <c r="D3" s="40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312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312"/>
    </row>
    <row r="4" spans="3:178" x14ac:dyDescent="0.2">
      <c r="C4" s="199" t="s">
        <v>197</v>
      </c>
      <c r="D4" s="42">
        <v>101</v>
      </c>
      <c r="E4" s="45"/>
      <c r="AA4" s="45"/>
      <c r="AN4" s="46" t="s">
        <v>160</v>
      </c>
    </row>
    <row r="5" spans="3:178" x14ac:dyDescent="0.2">
      <c r="C5" s="335" t="s">
        <v>79</v>
      </c>
      <c r="D5" s="43" t="s">
        <v>201</v>
      </c>
      <c r="E5" s="199"/>
      <c r="F5" s="43"/>
      <c r="AA5" s="45"/>
      <c r="AN5" s="46"/>
    </row>
    <row r="6" spans="3:178" x14ac:dyDescent="0.2">
      <c r="C6" s="199" t="s">
        <v>200</v>
      </c>
      <c r="D6" s="43" t="s">
        <v>202</v>
      </c>
      <c r="E6" s="45"/>
      <c r="F6" s="47"/>
      <c r="G6" s="44"/>
      <c r="AA6" s="45"/>
      <c r="AN6" s="46" t="s">
        <v>147</v>
      </c>
    </row>
    <row r="7" spans="3:178" x14ac:dyDescent="0.2">
      <c r="C7" s="48" t="s">
        <v>57</v>
      </c>
      <c r="D7" s="48"/>
      <c r="E7" s="48"/>
      <c r="F7" s="48"/>
      <c r="G7" s="48"/>
      <c r="H7" s="48"/>
      <c r="I7" s="48"/>
      <c r="K7" s="48" t="s">
        <v>149</v>
      </c>
      <c r="L7" s="48"/>
      <c r="M7" s="48"/>
      <c r="N7" s="48"/>
      <c r="O7" s="48"/>
      <c r="P7" s="48"/>
      <c r="Q7" s="48"/>
      <c r="S7" s="49" t="s">
        <v>148</v>
      </c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6"/>
      <c r="AH7" s="427" t="s">
        <v>249</v>
      </c>
      <c r="AI7" s="49"/>
      <c r="AJ7" s="49"/>
      <c r="AK7" s="49"/>
      <c r="AL7" s="49"/>
      <c r="AM7" s="49"/>
      <c r="AN7" s="49"/>
      <c r="AO7" s="49"/>
    </row>
    <row r="8" spans="3:178" x14ac:dyDescent="0.2">
      <c r="C8" s="50"/>
      <c r="D8" s="50"/>
      <c r="E8" s="51" t="s">
        <v>144</v>
      </c>
      <c r="F8" s="52" t="s">
        <v>143</v>
      </c>
      <c r="G8" s="53" t="s">
        <v>1</v>
      </c>
      <c r="H8" s="52" t="s">
        <v>145</v>
      </c>
      <c r="I8" s="52" t="s">
        <v>146</v>
      </c>
      <c r="K8" s="50" t="s">
        <v>60</v>
      </c>
      <c r="L8" s="50"/>
      <c r="M8" s="50"/>
      <c r="N8" s="54" t="s">
        <v>29</v>
      </c>
      <c r="O8" s="54" t="s">
        <v>44</v>
      </c>
      <c r="P8" s="54" t="s">
        <v>30</v>
      </c>
      <c r="Q8" s="54" t="s">
        <v>7</v>
      </c>
      <c r="S8" s="55"/>
      <c r="T8" s="54"/>
      <c r="U8" s="51" t="s">
        <v>174</v>
      </c>
      <c r="V8" s="51"/>
      <c r="W8" s="310"/>
      <c r="X8" s="311"/>
      <c r="Y8" s="51"/>
      <c r="Z8" s="51"/>
      <c r="AA8" s="306" t="s">
        <v>194</v>
      </c>
      <c r="AB8" s="307"/>
      <c r="AC8" s="308"/>
      <c r="AD8" s="307"/>
      <c r="AE8" s="309"/>
      <c r="AF8" s="309"/>
      <c r="AH8" s="52" t="s">
        <v>248</v>
      </c>
      <c r="AI8" s="428">
        <f t="shared" ref="AI8:AJ10" si="6">AJ8+0.25%</f>
        <v>7.7500000000000013E-2</v>
      </c>
      <c r="AJ8" s="428">
        <f t="shared" si="6"/>
        <v>7.5000000000000011E-2</v>
      </c>
      <c r="AK8" s="428">
        <f>AL8+0.25%</f>
        <v>7.2500000000000009E-2</v>
      </c>
      <c r="AL8" s="428">
        <v>7.0000000000000007E-2</v>
      </c>
      <c r="AM8" s="428">
        <f>AL8-0.25%</f>
        <v>6.7500000000000004E-2</v>
      </c>
      <c r="AN8" s="428">
        <f t="shared" ref="AN8:AO8" si="7">AM8-0.25%</f>
        <v>6.5000000000000002E-2</v>
      </c>
      <c r="AO8" s="428">
        <f t="shared" si="7"/>
        <v>6.25E-2</v>
      </c>
    </row>
    <row r="9" spans="3:178" x14ac:dyDescent="0.2">
      <c r="C9" s="45" t="s">
        <v>28</v>
      </c>
      <c r="D9" s="45"/>
      <c r="E9" s="61">
        <v>0</v>
      </c>
      <c r="F9" s="62">
        <v>46203</v>
      </c>
      <c r="G9" s="63">
        <v>1</v>
      </c>
      <c r="H9" s="62">
        <f>EOMONTH(F9,E9)</f>
        <v>46203</v>
      </c>
      <c r="I9" s="63">
        <f>INDEX($F$53:$FV$53,MATCH(H9,$F$55:$FV$55,0))</f>
        <v>0</v>
      </c>
      <c r="K9" s="45" t="s">
        <v>10</v>
      </c>
      <c r="N9" s="64">
        <v>0</v>
      </c>
      <c r="O9" s="65">
        <v>0</v>
      </c>
      <c r="P9" s="66">
        <v>0</v>
      </c>
      <c r="Q9" s="67">
        <f>IFERROR(+O9/P9,0)</f>
        <v>0</v>
      </c>
      <c r="S9" s="55"/>
      <c r="T9" s="54"/>
      <c r="U9" s="54" t="s">
        <v>140</v>
      </c>
      <c r="V9" s="54" t="s">
        <v>64</v>
      </c>
      <c r="W9" s="56" t="s">
        <v>166</v>
      </c>
      <c r="X9" s="57" t="s">
        <v>64</v>
      </c>
      <c r="Y9" s="54" t="s">
        <v>141</v>
      </c>
      <c r="Z9" s="54" t="s">
        <v>64</v>
      </c>
      <c r="AA9" s="298" t="s">
        <v>138</v>
      </c>
      <c r="AB9" s="59" t="s">
        <v>64</v>
      </c>
      <c r="AC9" s="58" t="s">
        <v>137</v>
      </c>
      <c r="AD9" s="59" t="s">
        <v>64</v>
      </c>
      <c r="AE9" s="60" t="s">
        <v>136</v>
      </c>
      <c r="AF9" s="60" t="s">
        <v>64</v>
      </c>
      <c r="AG9" s="163"/>
      <c r="AH9" s="63" t="str">
        <f ca="1">CONCATENATE(TEXT($G$48,"0.00%")," / ",TEXT($G$49,"0.00x"))</f>
        <v>16.80% / 2.40x</v>
      </c>
      <c r="AI9" s="63" t="s">
        <v>253</v>
      </c>
      <c r="AJ9" s="63" t="s">
        <v>254</v>
      </c>
      <c r="AK9" s="63" t="s">
        <v>255</v>
      </c>
      <c r="AL9" s="430" t="s">
        <v>252</v>
      </c>
      <c r="AM9" s="63" t="s">
        <v>256</v>
      </c>
      <c r="AN9" s="63" t="s">
        <v>257</v>
      </c>
      <c r="AO9" s="63" t="s">
        <v>258</v>
      </c>
    </row>
    <row r="10" spans="3:178" x14ac:dyDescent="0.2">
      <c r="C10" s="45" t="s">
        <v>0</v>
      </c>
      <c r="D10" s="45"/>
      <c r="E10" s="61">
        <f>INDEX($F$53:$FV$53,MATCH(F10,$F$55:$FV$55,0))</f>
        <v>1</v>
      </c>
      <c r="F10" s="74">
        <f>EOMONTH(H9,1)</f>
        <v>46234</v>
      </c>
      <c r="G10" s="63">
        <v>36</v>
      </c>
      <c r="H10" s="62">
        <f>EOMONTH(F10,G10-1)</f>
        <v>47299</v>
      </c>
      <c r="I10" s="63">
        <f>INDEX($F$53:$FV$53,MATCH(H10,$F$55:$FV$55,0))</f>
        <v>36</v>
      </c>
      <c r="K10" s="45" t="s">
        <v>11</v>
      </c>
      <c r="N10" s="64">
        <v>63</v>
      </c>
      <c r="O10" s="65">
        <v>1900</v>
      </c>
      <c r="P10" s="66">
        <v>766</v>
      </c>
      <c r="Q10" s="67">
        <f>IFERROR(+O10/P10,0)</f>
        <v>2.4804177545691908</v>
      </c>
      <c r="S10" s="45" t="s">
        <v>142</v>
      </c>
      <c r="T10" s="45"/>
      <c r="U10" s="68">
        <f>V10*$N$13*12</f>
        <v>1436400</v>
      </c>
      <c r="V10" s="69">
        <f>O13</f>
        <v>1900</v>
      </c>
      <c r="W10" s="70">
        <f ca="1">SUM(OFFSET(F71,0,$G$16,1,-12))</f>
        <v>1550119.4242155363</v>
      </c>
      <c r="X10" s="71">
        <f ca="1">W10/$N$13</f>
        <v>24605.070225643434</v>
      </c>
      <c r="Y10" s="68">
        <f ca="1">SUM(OFFSET(F71,0,$I$16,1,-12))</f>
        <v>1800644.7365835591</v>
      </c>
      <c r="Z10" s="69">
        <f ca="1">Y10/$N$13</f>
        <v>28581.662485453318</v>
      </c>
      <c r="AA10" s="303">
        <v>0</v>
      </c>
      <c r="AB10" s="72">
        <f>AA10/$N$13</f>
        <v>0</v>
      </c>
      <c r="AC10" s="417">
        <v>0</v>
      </c>
      <c r="AD10" s="72">
        <f>AC10/$N$13</f>
        <v>0</v>
      </c>
      <c r="AE10" s="101">
        <v>0</v>
      </c>
      <c r="AF10" s="69">
        <f>AE10/$N$13</f>
        <v>0</v>
      </c>
      <c r="AG10" s="163"/>
      <c r="AH10" s="52" t="s">
        <v>250</v>
      </c>
      <c r="AI10" s="428">
        <f t="shared" si="6"/>
        <v>3.7500000000000006E-2</v>
      </c>
      <c r="AJ10" s="428">
        <f t="shared" si="6"/>
        <v>3.5000000000000003E-2</v>
      </c>
      <c r="AK10" s="428">
        <f>AL10+0.25%</f>
        <v>3.2500000000000001E-2</v>
      </c>
      <c r="AL10" s="428">
        <v>0.03</v>
      </c>
      <c r="AM10" s="428">
        <f t="shared" ref="AM10" si="8">AL10-0.5%</f>
        <v>2.4999999999999998E-2</v>
      </c>
      <c r="AN10" s="428">
        <f t="shared" ref="AN10:AO10" si="9">AM10-0.5%</f>
        <v>1.9999999999999997E-2</v>
      </c>
      <c r="AO10" s="428">
        <f t="shared" si="9"/>
        <v>1.4999999999999996E-2</v>
      </c>
    </row>
    <row r="11" spans="3:178" x14ac:dyDescent="0.2">
      <c r="C11" s="45" t="s">
        <v>166</v>
      </c>
      <c r="E11" s="78">
        <f>INDEX($F$53:$FV$53,MATCH(F11,$F$55:$FV$55,0))</f>
        <v>36</v>
      </c>
      <c r="F11" s="74">
        <f>EOMONTH(H10,0)</f>
        <v>47299</v>
      </c>
      <c r="G11" s="63">
        <v>1</v>
      </c>
      <c r="H11" s="62">
        <f>EOMONTH(F11,G11-1)</f>
        <v>47299</v>
      </c>
      <c r="I11" s="63">
        <f>INDEX($F$53:$FV$53,MATCH(H11,$F$55:$FV$55,0))</f>
        <v>36</v>
      </c>
      <c r="K11" s="45" t="s">
        <v>12</v>
      </c>
      <c r="N11" s="64">
        <v>0</v>
      </c>
      <c r="O11" s="65">
        <v>0</v>
      </c>
      <c r="P11" s="66">
        <v>0</v>
      </c>
      <c r="Q11" s="67">
        <f>IFERROR(+O11/P11,0)</f>
        <v>0</v>
      </c>
      <c r="S11" s="39" t="s">
        <v>153</v>
      </c>
      <c r="U11" s="39">
        <v>0</v>
      </c>
      <c r="V11" s="69">
        <f>U11/$N$13</f>
        <v>0</v>
      </c>
      <c r="W11" s="70">
        <f ca="1">SUM(OFFSET(F72,0,$G$16,1,-12))</f>
        <v>-19376.492802694203</v>
      </c>
      <c r="X11" s="71">
        <f ca="1">W11/$N$13</f>
        <v>-307.56337782054294</v>
      </c>
      <c r="Y11" s="68">
        <f ca="1">SUM(OFFSET(F72,0,$I$16,1,-12))</f>
        <v>-22508.059207294496</v>
      </c>
      <c r="Z11" s="69">
        <f ca="1">Y11/$N$13</f>
        <v>-357.27078106816663</v>
      </c>
      <c r="AA11" s="416">
        <v>0</v>
      </c>
      <c r="AB11" s="76">
        <f t="shared" ref="AB11:AB12" si="10">AA11/$N$13</f>
        <v>0</v>
      </c>
      <c r="AC11" s="418">
        <v>0</v>
      </c>
      <c r="AD11" s="76">
        <f t="shared" ref="AD11:AF12" si="11">AC11/$N$13</f>
        <v>0</v>
      </c>
      <c r="AE11" s="419">
        <v>0</v>
      </c>
      <c r="AF11" s="77">
        <f t="shared" si="11"/>
        <v>0</v>
      </c>
      <c r="AG11" s="163"/>
      <c r="AH11" s="63" t="str">
        <f ca="1">CONCATENATE(TEXT($G$48,"0.00%")," / ",TEXT($G$49,"0.00x"))</f>
        <v>16.80% / 2.40x</v>
      </c>
      <c r="AI11" s="63" t="s">
        <v>259</v>
      </c>
      <c r="AJ11" s="63" t="s">
        <v>260</v>
      </c>
      <c r="AK11" s="63" t="s">
        <v>261</v>
      </c>
      <c r="AL11" s="430" t="s">
        <v>252</v>
      </c>
      <c r="AM11" s="63" t="s">
        <v>262</v>
      </c>
      <c r="AN11" s="63" t="s">
        <v>263</v>
      </c>
      <c r="AO11" s="63" t="s">
        <v>264</v>
      </c>
    </row>
    <row r="12" spans="3:178" x14ac:dyDescent="0.2">
      <c r="C12" s="45" t="s">
        <v>0</v>
      </c>
      <c r="D12" s="84">
        <v>8</v>
      </c>
      <c r="E12" s="85">
        <f>INDEX($F$53:$FV$53,MATCH(F12,$F$55:$FV$55,0))</f>
        <v>37</v>
      </c>
      <c r="F12" s="86">
        <f>EOMONTH(H11,1)</f>
        <v>47330</v>
      </c>
      <c r="G12" s="87">
        <f>I12-E12+1</f>
        <v>60</v>
      </c>
      <c r="H12" s="88">
        <f>EOMONTH(F9,D12*12)</f>
        <v>49125</v>
      </c>
      <c r="I12" s="63">
        <f>INDEX($F$53:$FV$53,MATCH(H12,$F$55:$FV$55,0))</f>
        <v>96</v>
      </c>
      <c r="K12" s="45" t="s">
        <v>13</v>
      </c>
      <c r="N12" s="64">
        <v>0</v>
      </c>
      <c r="O12" s="65">
        <v>0</v>
      </c>
      <c r="P12" s="66">
        <v>0</v>
      </c>
      <c r="Q12" s="67">
        <f>IFERROR(+O12/P12,0)</f>
        <v>0</v>
      </c>
      <c r="S12" s="79" t="s">
        <v>56</v>
      </c>
      <c r="T12" s="79"/>
      <c r="U12" s="80">
        <f>SUM(U10:U11)</f>
        <v>1436400</v>
      </c>
      <c r="V12" s="80">
        <f t="shared" ref="V12" si="12">SUM(V10:V11)</f>
        <v>1900</v>
      </c>
      <c r="W12" s="81">
        <f ca="1">SUM(W10:W11)</f>
        <v>1530742.9314128421</v>
      </c>
      <c r="X12" s="82">
        <f ca="1">W12/$N$13</f>
        <v>24297.50684782289</v>
      </c>
      <c r="Y12" s="80">
        <f ca="1">SUM(Y10:Y11)</f>
        <v>1778136.6773762645</v>
      </c>
      <c r="Z12" s="80">
        <f ca="1">Y12/$N$13</f>
        <v>28224.391704385151</v>
      </c>
      <c r="AA12" s="279">
        <f>SUM(AA10:AA11)</f>
        <v>0</v>
      </c>
      <c r="AB12" s="83">
        <f t="shared" si="10"/>
        <v>0</v>
      </c>
      <c r="AC12" s="81">
        <f>SUM(AC10:AC11)</f>
        <v>0</v>
      </c>
      <c r="AD12" s="83">
        <f t="shared" si="11"/>
        <v>0</v>
      </c>
      <c r="AE12" s="80">
        <f>SUM(AE10:AE11)</f>
        <v>0</v>
      </c>
      <c r="AF12" s="80">
        <f t="shared" si="11"/>
        <v>0</v>
      </c>
      <c r="AH12" s="52" t="s">
        <v>251</v>
      </c>
      <c r="AI12" s="429">
        <v>500</v>
      </c>
      <c r="AJ12" s="429">
        <f>AI12+250</f>
        <v>750</v>
      </c>
      <c r="AK12" s="429">
        <f t="shared" ref="AK12:AO12" si="13">AJ12+250</f>
        <v>1000</v>
      </c>
      <c r="AL12" s="429">
        <f t="shared" si="13"/>
        <v>1250</v>
      </c>
      <c r="AM12" s="429">
        <f t="shared" si="13"/>
        <v>1500</v>
      </c>
      <c r="AN12" s="429">
        <f t="shared" si="13"/>
        <v>1750</v>
      </c>
      <c r="AO12" s="429">
        <f t="shared" si="13"/>
        <v>2000</v>
      </c>
    </row>
    <row r="13" spans="3:178" x14ac:dyDescent="0.2">
      <c r="C13" s="90"/>
      <c r="D13" s="90"/>
      <c r="E13" s="90"/>
      <c r="F13" s="90"/>
      <c r="G13" s="90"/>
      <c r="H13" s="90"/>
      <c r="I13" s="90"/>
      <c r="K13" s="92" t="s">
        <v>93</v>
      </c>
      <c r="L13" s="93"/>
      <c r="M13" s="93"/>
      <c r="N13" s="94">
        <f>SUM(N9:N12)</f>
        <v>63</v>
      </c>
      <c r="O13" s="95">
        <f>SUMPRODUCT(O9:O12,$N$9:$N$12)/$N$13</f>
        <v>1900</v>
      </c>
      <c r="P13" s="94">
        <f>SUMPRODUCT(P9:P12,$N$9:$N$12)/$N$13</f>
        <v>766</v>
      </c>
      <c r="Q13" s="96">
        <f>SUMPRODUCT(Q9:Q12,$N$9:$N$12)/$N$13</f>
        <v>2.4804177545691908</v>
      </c>
      <c r="W13" s="70"/>
      <c r="X13" s="89"/>
      <c r="Y13" s="68"/>
      <c r="Z13" s="77"/>
      <c r="AA13" s="300"/>
      <c r="AB13" s="76"/>
      <c r="AC13" s="75"/>
      <c r="AD13" s="76"/>
      <c r="AE13" s="77"/>
      <c r="AF13" s="77"/>
      <c r="AG13" s="163"/>
      <c r="AH13" s="63" t="str">
        <f ca="1">CONCATENATE(TEXT($G$48,"0.00%")," / ",TEXT($G$49,"0.00x"))</f>
        <v>16.80% / 2.40x</v>
      </c>
      <c r="AI13" s="430" t="s">
        <v>252</v>
      </c>
      <c r="AJ13" s="63" t="s">
        <v>265</v>
      </c>
      <c r="AK13" s="63" t="s">
        <v>266</v>
      </c>
      <c r="AL13" s="63" t="s">
        <v>267</v>
      </c>
      <c r="AM13" s="63" t="s">
        <v>268</v>
      </c>
      <c r="AN13" s="63" t="s">
        <v>269</v>
      </c>
      <c r="AO13" s="63" t="s">
        <v>270</v>
      </c>
    </row>
    <row r="14" spans="3:178" x14ac:dyDescent="0.2">
      <c r="C14" s="177" t="s">
        <v>224</v>
      </c>
      <c r="D14" s="177"/>
      <c r="E14" s="177"/>
      <c r="F14" s="177"/>
      <c r="G14" s="177"/>
      <c r="H14" s="177"/>
      <c r="I14" s="177"/>
      <c r="K14" s="43"/>
      <c r="L14" s="43"/>
      <c r="M14" s="43"/>
      <c r="N14" s="97"/>
      <c r="O14" s="97"/>
      <c r="P14" s="98"/>
      <c r="Q14" s="99"/>
      <c r="S14" s="39" t="str">
        <f>K16</f>
        <v>RUBS</v>
      </c>
      <c r="U14" s="77">
        <f>U38*$N$16</f>
        <v>0</v>
      </c>
      <c r="V14" s="77">
        <f>U14/$N$13</f>
        <v>0</v>
      </c>
      <c r="W14" s="70">
        <f ca="1">SUM(OFFSET(F76,0,$G$16,1,-12))</f>
        <v>0</v>
      </c>
      <c r="X14" s="71">
        <f ca="1">W14/$N$13</f>
        <v>0</v>
      </c>
      <c r="Y14" s="68">
        <f ca="1">SUM(OFFSET(F76,0,$I$16,1,-12))</f>
        <v>0</v>
      </c>
      <c r="Z14" s="69">
        <f ca="1">Y14/$N$13</f>
        <v>0</v>
      </c>
      <c r="AA14" s="416">
        <v>0</v>
      </c>
      <c r="AB14" s="76">
        <f t="shared" ref="AB14:AB17" si="14">AA14/$N$13</f>
        <v>0</v>
      </c>
      <c r="AC14" s="418">
        <v>0</v>
      </c>
      <c r="AD14" s="76">
        <f t="shared" ref="AD14:AF17" si="15">AC14/$N$13</f>
        <v>0</v>
      </c>
      <c r="AE14" s="419">
        <v>0</v>
      </c>
      <c r="AF14" s="77">
        <f t="shared" si="15"/>
        <v>0</v>
      </c>
      <c r="AG14" s="163"/>
    </row>
    <row r="15" spans="3:178" x14ac:dyDescent="0.2">
      <c r="C15" s="51" t="s">
        <v>239</v>
      </c>
      <c r="D15" s="51"/>
      <c r="E15" s="348" t="s">
        <v>225</v>
      </c>
      <c r="F15" s="54" t="s">
        <v>166</v>
      </c>
      <c r="G15" s="54" t="s">
        <v>64</v>
      </c>
      <c r="H15" s="56" t="s">
        <v>177</v>
      </c>
      <c r="I15" s="54" t="s">
        <v>64</v>
      </c>
      <c r="K15" s="50" t="s">
        <v>17</v>
      </c>
      <c r="L15" s="50"/>
      <c r="M15" s="50"/>
      <c r="N15" s="54" t="s">
        <v>62</v>
      </c>
      <c r="O15" s="54" t="s">
        <v>181</v>
      </c>
      <c r="P15" s="54" t="s">
        <v>31</v>
      </c>
      <c r="Q15" s="54" t="s">
        <v>48</v>
      </c>
      <c r="S15" s="39" t="str">
        <f>K17</f>
        <v>Parking</v>
      </c>
      <c r="U15" s="77">
        <f>O17*P17*12</f>
        <v>0</v>
      </c>
      <c r="V15" s="77">
        <f>U15/$N$13</f>
        <v>0</v>
      </c>
      <c r="W15" s="70">
        <f ca="1">SUM(OFFSET(F77,0,$G$16,1,-12))</f>
        <v>0</v>
      </c>
      <c r="X15" s="71">
        <f ca="1">W15/$N$13</f>
        <v>0</v>
      </c>
      <c r="Y15" s="68">
        <f ca="1">SUM(OFFSET(F77,0,$I$16,1,-12))</f>
        <v>0</v>
      </c>
      <c r="Z15" s="69">
        <f ca="1">Y15/$N$13</f>
        <v>0</v>
      </c>
      <c r="AA15" s="416">
        <v>0</v>
      </c>
      <c r="AB15" s="76">
        <f t="shared" si="14"/>
        <v>0</v>
      </c>
      <c r="AC15" s="418">
        <v>0</v>
      </c>
      <c r="AD15" s="76">
        <f t="shared" si="15"/>
        <v>0</v>
      </c>
      <c r="AE15" s="419">
        <v>0</v>
      </c>
      <c r="AF15" s="77">
        <f t="shared" si="15"/>
        <v>0</v>
      </c>
      <c r="AG15" s="163"/>
      <c r="AH15" s="55" t="s">
        <v>271</v>
      </c>
      <c r="AI15" s="52" t="s">
        <v>272</v>
      </c>
    </row>
    <row r="16" spans="3:178" x14ac:dyDescent="0.2">
      <c r="C16" s="39" t="s">
        <v>223</v>
      </c>
      <c r="D16" s="163">
        <v>796926.06</v>
      </c>
      <c r="E16" s="349" t="s">
        <v>178</v>
      </c>
      <c r="F16" s="184">
        <f>F11</f>
        <v>47299</v>
      </c>
      <c r="G16" s="183">
        <f>E11</f>
        <v>36</v>
      </c>
      <c r="H16" s="185">
        <f>H12</f>
        <v>49125</v>
      </c>
      <c r="I16" s="186">
        <f>I12</f>
        <v>96</v>
      </c>
      <c r="K16" s="45" t="s">
        <v>61</v>
      </c>
      <c r="L16" s="45"/>
      <c r="M16" s="45"/>
      <c r="N16" s="105">
        <v>0</v>
      </c>
      <c r="O16" s="106">
        <f>$N$13</f>
        <v>63</v>
      </c>
      <c r="P16" s="107">
        <f>IFERROR(Q16/O16,0)</f>
        <v>0</v>
      </c>
      <c r="Q16" s="107">
        <f>N16*U38</f>
        <v>0</v>
      </c>
      <c r="S16" s="39" t="str">
        <f>K18</f>
        <v>Other</v>
      </c>
      <c r="U16" s="77">
        <f>Q18</f>
        <v>0</v>
      </c>
      <c r="V16" s="77">
        <f>U16/$N$13</f>
        <v>0</v>
      </c>
      <c r="W16" s="70">
        <f ca="1">SUM(OFFSET(F78,0,$G$16,1,-12))</f>
        <v>0</v>
      </c>
      <c r="X16" s="71">
        <f ca="1">W16/$N$13</f>
        <v>0</v>
      </c>
      <c r="Y16" s="68">
        <f ca="1">SUM(OFFSET(F78,0,$I$16,1,-12))</f>
        <v>0</v>
      </c>
      <c r="Z16" s="69">
        <f ca="1">Y16/$N$13</f>
        <v>0</v>
      </c>
      <c r="AA16" s="416">
        <v>0</v>
      </c>
      <c r="AB16" s="76">
        <f t="shared" si="14"/>
        <v>0</v>
      </c>
      <c r="AC16" s="418">
        <v>0</v>
      </c>
      <c r="AD16" s="76">
        <f t="shared" si="15"/>
        <v>0</v>
      </c>
      <c r="AE16" s="419">
        <v>0</v>
      </c>
      <c r="AF16" s="77">
        <f t="shared" si="15"/>
        <v>0</v>
      </c>
      <c r="AG16" s="45"/>
      <c r="AH16" s="39" t="s">
        <v>248</v>
      </c>
      <c r="AI16" s="172">
        <v>7.0000000000000007E-2</v>
      </c>
    </row>
    <row r="17" spans="3:71" x14ac:dyDescent="0.2">
      <c r="C17" s="39" t="s">
        <v>221</v>
      </c>
      <c r="D17" s="107">
        <v>0</v>
      </c>
      <c r="E17" s="350" t="s">
        <v>173</v>
      </c>
      <c r="F17" s="107">
        <f ca="1">INDEX($F$122:$FV$122,MATCH(G16,$F$53:$FV$53,0))</f>
        <v>842257.03221211815</v>
      </c>
      <c r="G17" s="107"/>
      <c r="H17" s="187">
        <f ca="1">INDEX($F$122:$FV$122,MATCH(I16,$F$53:$FV$53,0))</f>
        <v>978379.90300053405</v>
      </c>
      <c r="I17" s="107"/>
      <c r="K17" s="45" t="s">
        <v>32</v>
      </c>
      <c r="L17" s="45"/>
      <c r="M17" s="45"/>
      <c r="N17" s="115"/>
      <c r="O17" s="116">
        <f t="shared" ref="O17:O18" si="16">$N$13</f>
        <v>63</v>
      </c>
      <c r="P17" s="117">
        <v>0</v>
      </c>
      <c r="Q17" s="69">
        <f>P17*O17*12</f>
        <v>0</v>
      </c>
      <c r="S17" s="92" t="s">
        <v>18</v>
      </c>
      <c r="T17" s="92"/>
      <c r="U17" s="108">
        <f>SUM(U14:U16)</f>
        <v>0</v>
      </c>
      <c r="V17" s="109">
        <f>SUM(V14:V16)</f>
        <v>0</v>
      </c>
      <c r="W17" s="110">
        <f ca="1">SUM(W14:W16)</f>
        <v>0</v>
      </c>
      <c r="X17" s="111">
        <f ca="1">W17/$N$13</f>
        <v>0</v>
      </c>
      <c r="Y17" s="108">
        <f ca="1">SUM(Y14:Y16)</f>
        <v>0</v>
      </c>
      <c r="Z17" s="112">
        <f ca="1">Y17/$N$13</f>
        <v>0</v>
      </c>
      <c r="AA17" s="301">
        <f>SUM(AA14:AA16)</f>
        <v>0</v>
      </c>
      <c r="AB17" s="113">
        <f t="shared" si="14"/>
        <v>0</v>
      </c>
      <c r="AC17" s="114">
        <f>SUM(AC14:AC16)</f>
        <v>0</v>
      </c>
      <c r="AD17" s="113">
        <f t="shared" si="15"/>
        <v>0</v>
      </c>
      <c r="AE17" s="109">
        <f>SUM(AE14:AE16)</f>
        <v>0</v>
      </c>
      <c r="AF17" s="109">
        <f t="shared" si="15"/>
        <v>0</v>
      </c>
      <c r="AG17" s="45"/>
      <c r="AH17" s="39" t="s">
        <v>250</v>
      </c>
      <c r="AI17" s="172">
        <v>0.03</v>
      </c>
      <c r="BQ17" s="63"/>
      <c r="BR17" s="63"/>
      <c r="BS17" s="63"/>
    </row>
    <row r="18" spans="3:71" x14ac:dyDescent="0.2">
      <c r="C18" s="79" t="s">
        <v>222</v>
      </c>
      <c r="D18" s="359">
        <f>D16-D17</f>
        <v>796926.06</v>
      </c>
      <c r="E18" s="350" t="s">
        <v>41</v>
      </c>
      <c r="F18" s="188">
        <v>0.06</v>
      </c>
      <c r="G18" s="188"/>
      <c r="H18" s="190">
        <f>F18</f>
        <v>0.06</v>
      </c>
      <c r="I18" s="188"/>
      <c r="K18" s="119" t="s">
        <v>4</v>
      </c>
      <c r="L18" s="119"/>
      <c r="M18" s="119"/>
      <c r="N18" s="120">
        <f>Q18/U10</f>
        <v>0</v>
      </c>
      <c r="O18" s="66">
        <f t="shared" si="16"/>
        <v>63</v>
      </c>
      <c r="P18" s="121">
        <v>0</v>
      </c>
      <c r="Q18" s="68">
        <f>O18*P18*12</f>
        <v>0</v>
      </c>
      <c r="W18" s="75"/>
      <c r="X18" s="76"/>
      <c r="Y18" s="77"/>
      <c r="Z18" s="118"/>
      <c r="AA18" s="300"/>
      <c r="AB18" s="76"/>
      <c r="AC18" s="75"/>
      <c r="AD18" s="76"/>
      <c r="AE18" s="77"/>
      <c r="AF18" s="77"/>
      <c r="AG18" s="163"/>
      <c r="AH18" s="39" t="s">
        <v>251</v>
      </c>
      <c r="AI18" s="168">
        <v>500</v>
      </c>
    </row>
    <row r="19" spans="3:71" x14ac:dyDescent="0.2">
      <c r="C19" s="39" t="s">
        <v>41</v>
      </c>
      <c r="D19" s="358">
        <v>6.9949622821287818E-2</v>
      </c>
      <c r="E19" s="351" t="s">
        <v>46</v>
      </c>
      <c r="F19" s="169">
        <f ca="1">F17/F18</f>
        <v>14037617.203535303</v>
      </c>
      <c r="G19" s="169">
        <f ca="1">F19/$N$13</f>
        <v>222819.32069103656</v>
      </c>
      <c r="H19" s="193">
        <f ca="1">H17/H18</f>
        <v>16306331.716675568</v>
      </c>
      <c r="I19" s="169">
        <f ca="1">H19/$N$13</f>
        <v>258830.66216945346</v>
      </c>
      <c r="K19" s="92" t="s">
        <v>18</v>
      </c>
      <c r="L19" s="92"/>
      <c r="M19" s="92"/>
      <c r="N19" s="123"/>
      <c r="O19" s="123"/>
      <c r="P19" s="124"/>
      <c r="Q19" s="108">
        <f>SUM(Q16:Q18)</f>
        <v>0</v>
      </c>
      <c r="S19" s="39" t="str">
        <f>K23</f>
        <v>Vacancy Loss</v>
      </c>
      <c r="U19" s="77">
        <f>-SUM($U$12,$U$17)*$M23</f>
        <v>-71820</v>
      </c>
      <c r="V19" s="77">
        <f>U19/$N$13</f>
        <v>-1140</v>
      </c>
      <c r="W19" s="70">
        <f ca="1">SUM(OFFSET(F81,0,$G$16,1,-12))</f>
        <v>-76537.146570642086</v>
      </c>
      <c r="X19" s="122">
        <f ca="1">W19/$N$13</f>
        <v>-1214.8753423911442</v>
      </c>
      <c r="Y19" s="68">
        <f ca="1">SUM(OFFSET(F81,0,$I$16,1,-12))</f>
        <v>-88906.83386881325</v>
      </c>
      <c r="Z19" s="107">
        <f ca="1">Y19/$N$13</f>
        <v>-1411.2195852192579</v>
      </c>
      <c r="AA19" s="416">
        <v>0</v>
      </c>
      <c r="AB19" s="76">
        <f t="shared" ref="AB19:AB23" si="17">AA19/$N$13</f>
        <v>0</v>
      </c>
      <c r="AC19" s="418">
        <v>0</v>
      </c>
      <c r="AD19" s="76">
        <f t="shared" ref="AD19:AF23" si="18">AC19/$N$13</f>
        <v>0</v>
      </c>
      <c r="AE19" s="419">
        <v>0</v>
      </c>
      <c r="AF19" s="77">
        <f t="shared" si="18"/>
        <v>0</v>
      </c>
      <c r="AG19" s="163"/>
    </row>
    <row r="20" spans="3:71" x14ac:dyDescent="0.2">
      <c r="C20" s="79" t="s">
        <v>46</v>
      </c>
      <c r="D20" s="360">
        <f>D18/D19</f>
        <v>11392857.142861834</v>
      </c>
      <c r="E20" s="350" t="s">
        <v>49</v>
      </c>
      <c r="F20" s="194">
        <v>0</v>
      </c>
      <c r="G20" s="194"/>
      <c r="H20" s="195">
        <v>0</v>
      </c>
      <c r="I20" s="194"/>
      <c r="K20" s="45"/>
      <c r="L20" s="45"/>
      <c r="M20" s="45"/>
      <c r="N20" s="45"/>
      <c r="O20" s="45"/>
      <c r="P20" s="45"/>
      <c r="Q20" s="45"/>
      <c r="S20" s="39" t="str">
        <f>K24</f>
        <v>Bad Debt</v>
      </c>
      <c r="U20" s="77">
        <f>-SUM($U$12,$U$17)*$M24</f>
        <v>-3591</v>
      </c>
      <c r="V20" s="77">
        <f>U20/$N$13</f>
        <v>-57</v>
      </c>
      <c r="W20" s="70">
        <f ca="1">SUM(OFFSET(F82,0,$G$16,1,-12))</f>
        <v>-3826.8573285321054</v>
      </c>
      <c r="X20" s="122">
        <f ca="1">W20/$N$13</f>
        <v>-60.743767119557226</v>
      </c>
      <c r="Y20" s="68">
        <f ca="1">SUM(OFFSET(F82,0,$I$16,1,-12))</f>
        <v>-4445.3416934406623</v>
      </c>
      <c r="Z20" s="107">
        <f ca="1">Y20/$N$13</f>
        <v>-70.560979260962895</v>
      </c>
      <c r="AA20" s="416">
        <v>0</v>
      </c>
      <c r="AB20" s="76">
        <f t="shared" si="17"/>
        <v>0</v>
      </c>
      <c r="AC20" s="418">
        <v>0</v>
      </c>
      <c r="AD20" s="76">
        <f t="shared" si="18"/>
        <v>0</v>
      </c>
      <c r="AE20" s="419">
        <v>0</v>
      </c>
      <c r="AF20" s="77">
        <f t="shared" si="18"/>
        <v>0</v>
      </c>
      <c r="AG20" s="163"/>
    </row>
    <row r="21" spans="3:71" x14ac:dyDescent="0.2">
      <c r="C21" s="216" t="s">
        <v>64</v>
      </c>
      <c r="D21" s="361">
        <f>D20/N13</f>
        <v>180839.00226764815</v>
      </c>
      <c r="E21" s="352" t="s">
        <v>51</v>
      </c>
      <c r="F21" s="169">
        <f ca="1">F19+F20</f>
        <v>14037617.203535303</v>
      </c>
      <c r="G21" s="169">
        <f ca="1">F21/$N$13</f>
        <v>222819.32069103656</v>
      </c>
      <c r="H21" s="193">
        <f ca="1">H19+H20</f>
        <v>16306331.716675568</v>
      </c>
      <c r="I21" s="169">
        <f ca="1">H21/$N$13</f>
        <v>258830.66216945346</v>
      </c>
      <c r="K21" s="50" t="s">
        <v>58</v>
      </c>
      <c r="L21" s="52"/>
      <c r="M21" s="52">
        <f>IF(MONTH(F9)=12,YEAR(F9)+1,YEAR(F9))</f>
        <v>2026</v>
      </c>
      <c r="N21" s="52">
        <f>M21+1</f>
        <v>2027</v>
      </c>
      <c r="O21" s="52">
        <f>N21+1</f>
        <v>2028</v>
      </c>
      <c r="P21" s="52">
        <f>O21+1</f>
        <v>2029</v>
      </c>
      <c r="Q21" s="52">
        <f>P21+1</f>
        <v>2030</v>
      </c>
      <c r="S21" s="39" t="str">
        <f>K25</f>
        <v>Concessions</v>
      </c>
      <c r="U21" s="77">
        <f>-SUM($U$12,$U$17)*$M25</f>
        <v>-3591</v>
      </c>
      <c r="V21" s="77">
        <f>U21/$N$13</f>
        <v>-57</v>
      </c>
      <c r="W21" s="70">
        <f ca="1">SUM(OFFSET(F83,0,$G$16,1,-12))</f>
        <v>-3826.8573285321054</v>
      </c>
      <c r="X21" s="122">
        <f ca="1">W21/$N$13</f>
        <v>-60.743767119557226</v>
      </c>
      <c r="Y21" s="68">
        <f ca="1">SUM(OFFSET(F83,0,$I$16,1,-12))</f>
        <v>-4445.3416934406623</v>
      </c>
      <c r="Z21" s="107">
        <f ca="1">Y21/$N$13</f>
        <v>-70.560979260962895</v>
      </c>
      <c r="AA21" s="416">
        <v>0</v>
      </c>
      <c r="AB21" s="76">
        <f t="shared" si="17"/>
        <v>0</v>
      </c>
      <c r="AC21" s="418">
        <v>0</v>
      </c>
      <c r="AD21" s="76">
        <f t="shared" si="18"/>
        <v>0</v>
      </c>
      <c r="AE21" s="419">
        <v>0</v>
      </c>
      <c r="AF21" s="77">
        <f t="shared" si="18"/>
        <v>0</v>
      </c>
      <c r="AG21" s="163"/>
    </row>
    <row r="22" spans="3:71" x14ac:dyDescent="0.2">
      <c r="D22" s="118"/>
      <c r="E22" s="350"/>
      <c r="F22" s="118"/>
      <c r="G22" s="118"/>
      <c r="H22" s="198"/>
      <c r="I22" s="118"/>
      <c r="K22" s="45" t="s">
        <v>153</v>
      </c>
      <c r="L22" s="45"/>
      <c r="M22" s="126">
        <v>1.2500000000000001E-2</v>
      </c>
      <c r="N22" s="126">
        <v>1.2500000000000001E-2</v>
      </c>
      <c r="O22" s="126">
        <v>1.2500000000000001E-2</v>
      </c>
      <c r="P22" s="126">
        <v>1.2500000000000001E-2</v>
      </c>
      <c r="Q22" s="126">
        <v>1.2500000000000001E-2</v>
      </c>
      <c r="S22" s="39" t="str">
        <f>K26</f>
        <v>Model Units</v>
      </c>
      <c r="U22" s="77">
        <f>-O13*M26*12</f>
        <v>0</v>
      </c>
      <c r="V22" s="77">
        <f>U22/$N$13</f>
        <v>0</v>
      </c>
      <c r="W22" s="70">
        <f ca="1">SUM(OFFSET(F84,0,$G$16,1,-12))</f>
        <v>0</v>
      </c>
      <c r="X22" s="122">
        <f ca="1">W22/$N$13</f>
        <v>0</v>
      </c>
      <c r="Y22" s="68">
        <f ca="1">SUM(OFFSET(F84,0,$I$16,1,-12))</f>
        <v>0</v>
      </c>
      <c r="Z22" s="107">
        <f ca="1">Y22/$N$13</f>
        <v>0</v>
      </c>
      <c r="AA22" s="416">
        <v>0</v>
      </c>
      <c r="AB22" s="76">
        <f t="shared" si="17"/>
        <v>0</v>
      </c>
      <c r="AC22" s="418">
        <v>0</v>
      </c>
      <c r="AD22" s="76">
        <f t="shared" si="18"/>
        <v>0</v>
      </c>
      <c r="AE22" s="419">
        <v>0</v>
      </c>
      <c r="AF22" s="77">
        <f t="shared" si="18"/>
        <v>0</v>
      </c>
    </row>
    <row r="23" spans="3:71" x14ac:dyDescent="0.2">
      <c r="C23" s="39" t="s">
        <v>226</v>
      </c>
      <c r="D23" s="69">
        <v>0</v>
      </c>
      <c r="E23" s="353" t="s">
        <v>102</v>
      </c>
      <c r="F23" s="199" t="s">
        <v>5</v>
      </c>
      <c r="G23" s="199" t="s">
        <v>64</v>
      </c>
      <c r="H23" s="201" t="s">
        <v>5</v>
      </c>
      <c r="I23" s="199" t="s">
        <v>64</v>
      </c>
      <c r="K23" s="45" t="s">
        <v>14</v>
      </c>
      <c r="L23" s="45"/>
      <c r="M23" s="126">
        <v>0.05</v>
      </c>
      <c r="N23" s="126">
        <v>0.05</v>
      </c>
      <c r="O23" s="126">
        <v>0.05</v>
      </c>
      <c r="P23" s="126">
        <v>0.05</v>
      </c>
      <c r="Q23" s="126">
        <v>0.05</v>
      </c>
      <c r="S23" s="92" t="s">
        <v>63</v>
      </c>
      <c r="T23" s="92"/>
      <c r="U23" s="108">
        <f>SUM(U19:U22)</f>
        <v>-79002</v>
      </c>
      <c r="V23" s="108">
        <f>SUM(V19:V22)</f>
        <v>-1254</v>
      </c>
      <c r="W23" s="110">
        <f ca="1">SUM(W19:W22)</f>
        <v>-84190.861227706293</v>
      </c>
      <c r="X23" s="127">
        <f ca="1">W23/$N$13</f>
        <v>-1336.3628766302586</v>
      </c>
      <c r="Y23" s="108">
        <f ca="1">SUM(Y19:Y22)</f>
        <v>-97797.517255694562</v>
      </c>
      <c r="Z23" s="95">
        <f ca="1">Y23/$N$13</f>
        <v>-1552.3415437411836</v>
      </c>
      <c r="AA23" s="301">
        <f>SUM(AA19:AA22)</f>
        <v>0</v>
      </c>
      <c r="AB23" s="113">
        <f t="shared" si="17"/>
        <v>0</v>
      </c>
      <c r="AC23" s="81">
        <f>SUM(AC19:AC22)</f>
        <v>0</v>
      </c>
      <c r="AD23" s="113">
        <f t="shared" si="18"/>
        <v>0</v>
      </c>
      <c r="AE23" s="80">
        <f>SUM(AE19:AE22)</f>
        <v>0</v>
      </c>
      <c r="AF23" s="80">
        <f t="shared" si="18"/>
        <v>0</v>
      </c>
    </row>
    <row r="24" spans="3:71" x14ac:dyDescent="0.2">
      <c r="C24" s="39" t="s">
        <v>227</v>
      </c>
      <c r="D24" s="69">
        <v>6266071.4285714282</v>
      </c>
      <c r="E24" s="354">
        <v>2.5000000000000001E-3</v>
      </c>
      <c r="F24" s="203">
        <f ca="1">F$21*$E24</f>
        <v>35094.043008838256</v>
      </c>
      <c r="G24" s="203">
        <f ca="1">F24/$N$13</f>
        <v>557.04830172759137</v>
      </c>
      <c r="H24" s="205">
        <f ca="1">H$21*$E24</f>
        <v>40765.829291688919</v>
      </c>
      <c r="I24" s="203">
        <f ca="1">H24/$N$13</f>
        <v>647.07665542363361</v>
      </c>
      <c r="K24" s="45" t="s">
        <v>183</v>
      </c>
      <c r="M24" s="135">
        <v>2.5000000000000001E-3</v>
      </c>
      <c r="N24" s="135">
        <v>2.5000000000000001E-3</v>
      </c>
      <c r="O24" s="135">
        <v>2.5000000000000001E-3</v>
      </c>
      <c r="P24" s="135">
        <v>2.5000000000000001E-3</v>
      </c>
      <c r="Q24" s="135">
        <v>2.5000000000000001E-3</v>
      </c>
      <c r="W24" s="75"/>
      <c r="X24" s="76"/>
      <c r="Y24" s="77"/>
      <c r="Z24" s="118"/>
      <c r="AA24" s="300"/>
      <c r="AB24" s="76"/>
      <c r="AC24" s="134"/>
      <c r="AD24" s="76"/>
      <c r="AE24" s="77"/>
      <c r="AF24" s="77"/>
      <c r="AG24" s="163"/>
    </row>
    <row r="25" spans="3:71" x14ac:dyDescent="0.2">
      <c r="C25" s="79" t="s">
        <v>228</v>
      </c>
      <c r="D25" s="363">
        <f>D20-SUM(D23:D24)</f>
        <v>5126785.7142904056</v>
      </c>
      <c r="E25" s="355">
        <v>2.5000000000000001E-3</v>
      </c>
      <c r="F25" s="203">
        <f ca="1">F$21*$E25</f>
        <v>35094.043008838256</v>
      </c>
      <c r="G25" s="203">
        <f ca="1">F25/$N$13</f>
        <v>557.04830172759137</v>
      </c>
      <c r="H25" s="205">
        <f ca="1">H$21*$E25</f>
        <v>40765.829291688919</v>
      </c>
      <c r="I25" s="203">
        <f ca="1">H25/$N$13</f>
        <v>647.07665542363361</v>
      </c>
      <c r="K25" s="45" t="s">
        <v>182</v>
      </c>
      <c r="M25" s="135">
        <v>2.5000000000000001E-3</v>
      </c>
      <c r="N25" s="135">
        <v>2.5000000000000001E-3</v>
      </c>
      <c r="O25" s="135">
        <v>2.5000000000000001E-3</v>
      </c>
      <c r="P25" s="135">
        <v>2.5000000000000001E-3</v>
      </c>
      <c r="Q25" s="135">
        <v>2.5000000000000001E-3</v>
      </c>
      <c r="S25" s="136" t="s">
        <v>65</v>
      </c>
      <c r="T25" s="136"/>
      <c r="U25" s="137">
        <f t="shared" ref="U25:AF25" si="19">SUM(U12,U17,U23)</f>
        <v>1357398</v>
      </c>
      <c r="V25" s="137">
        <f t="shared" si="19"/>
        <v>646</v>
      </c>
      <c r="W25" s="138">
        <f ca="1">SUM(W12,W17,W23)</f>
        <v>1446552.0701851358</v>
      </c>
      <c r="X25" s="139">
        <f ca="1">SUM(X12,X17,X23)</f>
        <v>22961.143971192632</v>
      </c>
      <c r="Y25" s="137">
        <f ca="1">SUM(Y12,Y17,Y23)</f>
        <v>1680339.1601205699</v>
      </c>
      <c r="Z25" s="140">
        <f ca="1">SUM(Z12,Z17,Z23)</f>
        <v>26672.050160643968</v>
      </c>
      <c r="AA25" s="302">
        <f t="shared" si="19"/>
        <v>0</v>
      </c>
      <c r="AB25" s="141">
        <f t="shared" si="19"/>
        <v>0</v>
      </c>
      <c r="AC25" s="295">
        <f t="shared" si="19"/>
        <v>0</v>
      </c>
      <c r="AD25" s="141">
        <f t="shared" si="19"/>
        <v>0</v>
      </c>
      <c r="AE25" s="296">
        <f t="shared" si="19"/>
        <v>0</v>
      </c>
      <c r="AF25" s="296">
        <f t="shared" si="19"/>
        <v>0</v>
      </c>
    </row>
    <row r="26" spans="3:71" x14ac:dyDescent="0.2">
      <c r="C26" s="47" t="s">
        <v>229</v>
      </c>
      <c r="D26" s="362">
        <f>D25*D46</f>
        <v>769017.85714356077</v>
      </c>
      <c r="E26" s="356">
        <v>2.5000000000000001E-3</v>
      </c>
      <c r="F26" s="203">
        <f ca="1">F$21*$E26</f>
        <v>35094.043008838256</v>
      </c>
      <c r="G26" s="203">
        <f ca="1">F26/$N$13</f>
        <v>557.04830172759137</v>
      </c>
      <c r="H26" s="205">
        <f ca="1">H$21*$E26</f>
        <v>40765.829291688919</v>
      </c>
      <c r="I26" s="203">
        <f ca="1">H26/$N$13</f>
        <v>647.07665542363361</v>
      </c>
      <c r="K26" s="45" t="s">
        <v>47</v>
      </c>
      <c r="M26" s="143">
        <v>0</v>
      </c>
      <c r="N26" s="143">
        <v>0</v>
      </c>
      <c r="O26" s="143">
        <v>0</v>
      </c>
      <c r="P26" s="143">
        <v>0</v>
      </c>
      <c r="Q26" s="143">
        <v>0</v>
      </c>
      <c r="W26" s="75"/>
      <c r="X26" s="76"/>
      <c r="Y26" s="77"/>
      <c r="Z26" s="118"/>
      <c r="AA26" s="300"/>
      <c r="AB26" s="76"/>
      <c r="AC26" s="134"/>
      <c r="AD26" s="76"/>
      <c r="AE26" s="77"/>
      <c r="AF26" s="77"/>
    </row>
    <row r="27" spans="3:71" x14ac:dyDescent="0.2">
      <c r="C27" s="39" t="s">
        <v>245</v>
      </c>
      <c r="D27" s="431">
        <v>0.01</v>
      </c>
      <c r="E27" s="356">
        <v>2.5000000000000001E-3</v>
      </c>
      <c r="F27" s="203">
        <f ca="1">F$21*$E27</f>
        <v>35094.043008838256</v>
      </c>
      <c r="G27" s="203">
        <f ca="1">F27/$N$13</f>
        <v>557.04830172759137</v>
      </c>
      <c r="H27" s="205">
        <f ca="1">H$21*$E27</f>
        <v>40765.829291688919</v>
      </c>
      <c r="I27" s="203">
        <f ca="1">H27/$N$13</f>
        <v>647.07665542363361</v>
      </c>
      <c r="K27" s="55" t="s">
        <v>150</v>
      </c>
      <c r="L27" s="54"/>
      <c r="M27" s="52">
        <f>IF(MONTH(F9)=12,YEAR(F9)+1,YEAR(F9))</f>
        <v>2026</v>
      </c>
      <c r="N27" s="52">
        <f>M27+1</f>
        <v>2027</v>
      </c>
      <c r="O27" s="52">
        <f>N27+1</f>
        <v>2028</v>
      </c>
      <c r="P27" s="52">
        <f>O27+1</f>
        <v>2029</v>
      </c>
      <c r="Q27" s="52">
        <f>P27+1</f>
        <v>2030</v>
      </c>
      <c r="S27" s="43" t="s">
        <v>66</v>
      </c>
      <c r="T27" s="45"/>
      <c r="U27" s="144"/>
      <c r="W27" s="70"/>
      <c r="X27" s="76"/>
      <c r="Y27" s="68"/>
      <c r="Z27" s="118"/>
      <c r="AA27" s="299"/>
      <c r="AB27" s="72"/>
      <c r="AC27" s="75"/>
      <c r="AD27" s="72"/>
      <c r="AE27" s="77"/>
      <c r="AF27" s="77"/>
      <c r="AG27" s="163"/>
    </row>
    <row r="28" spans="3:71" x14ac:dyDescent="0.2">
      <c r="C28" s="39" t="s">
        <v>246</v>
      </c>
      <c r="D28" s="203">
        <f>D27*D20</f>
        <v>113928.57142861834</v>
      </c>
      <c r="E28" s="357">
        <f>SUM(E24:E27)</f>
        <v>0.01</v>
      </c>
      <c r="F28" s="211">
        <f ca="1">SUM(F24:F27)</f>
        <v>140376.17203535303</v>
      </c>
      <c r="G28" s="211">
        <f ca="1">F28/$N$13</f>
        <v>2228.1932069103655</v>
      </c>
      <c r="H28" s="213">
        <f ca="1">SUM(H24:H27)</f>
        <v>163063.31716675567</v>
      </c>
      <c r="I28" s="211">
        <f ca="1">H28/$N$13</f>
        <v>2588.3066216945344</v>
      </c>
      <c r="K28" s="45" t="s">
        <v>2</v>
      </c>
      <c r="L28" s="45"/>
      <c r="M28" s="126">
        <f>AI17</f>
        <v>0.03</v>
      </c>
      <c r="N28" s="126">
        <f>M28</f>
        <v>0.03</v>
      </c>
      <c r="O28" s="126">
        <f t="shared" ref="O28:Q28" si="20">N28</f>
        <v>0.03</v>
      </c>
      <c r="P28" s="126">
        <f t="shared" si="20"/>
        <v>0.03</v>
      </c>
      <c r="Q28" s="126">
        <f t="shared" si="20"/>
        <v>0.03</v>
      </c>
      <c r="S28" s="119" t="s">
        <v>67</v>
      </c>
      <c r="T28" s="150"/>
      <c r="U28" s="68">
        <f t="shared" ref="U28:U34" si="21">V28*$N$13</f>
        <v>431550</v>
      </c>
      <c r="V28" s="121">
        <v>6850</v>
      </c>
      <c r="W28" s="70">
        <f t="shared" ref="W28:W34" ca="1" si="22">SUM(OFFSET(F91,0,$G$16,1,-12))</f>
        <v>465715.70420510607</v>
      </c>
      <c r="X28" s="151">
        <f t="shared" ref="X28:X34" ca="1" si="23">W28/$N$13</f>
        <v>7392.3127651604136</v>
      </c>
      <c r="Y28" s="68">
        <f t="shared" ref="Y28:Y34" ca="1" si="24">SUM(OFFSET(F91,0,$I$16,1,-12))</f>
        <v>540983.17743848148</v>
      </c>
      <c r="Z28" s="100">
        <f t="shared" ref="Z28:Z34" ca="1" si="25">Y28/$N$13</f>
        <v>8587.0345625155787</v>
      </c>
      <c r="AA28" s="303">
        <v>0</v>
      </c>
      <c r="AB28" s="72">
        <f t="shared" ref="AB28:AB35" si="26">AA28/$N$13</f>
        <v>0</v>
      </c>
      <c r="AC28" s="417">
        <v>0</v>
      </c>
      <c r="AD28" s="72">
        <f t="shared" ref="AD28:AF35" si="27">AC28/$N$13</f>
        <v>0</v>
      </c>
      <c r="AE28" s="419">
        <v>0</v>
      </c>
      <c r="AF28" s="77">
        <f t="shared" si="27"/>
        <v>0</v>
      </c>
      <c r="AG28" s="163"/>
    </row>
    <row r="29" spans="3:71" x14ac:dyDescent="0.2">
      <c r="E29" s="279" t="s">
        <v>108</v>
      </c>
      <c r="F29" s="80">
        <f ca="1">F21-F28</f>
        <v>13897241.03149995</v>
      </c>
      <c r="G29" s="80">
        <f ca="1">G21-G28</f>
        <v>220591.12748412619</v>
      </c>
      <c r="H29" s="81">
        <f ca="1">H21-H28</f>
        <v>16143268.399508813</v>
      </c>
      <c r="I29" s="80">
        <f ca="1">I21-I28</f>
        <v>256242.35554775893</v>
      </c>
      <c r="K29" s="45" t="s">
        <v>17</v>
      </c>
      <c r="L29" s="45"/>
      <c r="M29" s="126">
        <f>M28</f>
        <v>0.03</v>
      </c>
      <c r="N29" s="126">
        <f t="shared" ref="N29:Q29" si="28">M29</f>
        <v>0.03</v>
      </c>
      <c r="O29" s="126">
        <f t="shared" si="28"/>
        <v>0.03</v>
      </c>
      <c r="P29" s="126">
        <f t="shared" si="28"/>
        <v>0.03</v>
      </c>
      <c r="Q29" s="126">
        <f t="shared" si="28"/>
        <v>0.03</v>
      </c>
      <c r="S29" s="119" t="s">
        <v>68</v>
      </c>
      <c r="T29" s="150"/>
      <c r="U29" s="68">
        <f t="shared" si="21"/>
        <v>0</v>
      </c>
      <c r="V29" s="121">
        <v>0</v>
      </c>
      <c r="W29" s="70">
        <f t="shared" ca="1" si="22"/>
        <v>0</v>
      </c>
      <c r="X29" s="151">
        <f t="shared" ca="1" si="23"/>
        <v>0</v>
      </c>
      <c r="Y29" s="68">
        <f t="shared" ca="1" si="24"/>
        <v>0</v>
      </c>
      <c r="Z29" s="100">
        <f t="shared" ca="1" si="25"/>
        <v>0</v>
      </c>
      <c r="AA29" s="303">
        <v>0</v>
      </c>
      <c r="AB29" s="72">
        <f t="shared" si="26"/>
        <v>0</v>
      </c>
      <c r="AC29" s="417">
        <v>0</v>
      </c>
      <c r="AD29" s="72">
        <f t="shared" si="27"/>
        <v>0</v>
      </c>
      <c r="AE29" s="419">
        <v>0</v>
      </c>
      <c r="AF29" s="77">
        <f t="shared" si="27"/>
        <v>0</v>
      </c>
      <c r="AG29" s="163"/>
    </row>
    <row r="30" spans="3:71" x14ac:dyDescent="0.2">
      <c r="K30" s="45" t="s">
        <v>6</v>
      </c>
      <c r="L30" s="45"/>
      <c r="M30" s="126">
        <f t="shared" ref="M30:M31" si="29">M29</f>
        <v>0.03</v>
      </c>
      <c r="N30" s="126">
        <f t="shared" ref="N30:Q30" si="30">M30</f>
        <v>0.03</v>
      </c>
      <c r="O30" s="126">
        <f t="shared" si="30"/>
        <v>0.03</v>
      </c>
      <c r="P30" s="126">
        <f t="shared" si="30"/>
        <v>0.03</v>
      </c>
      <c r="Q30" s="126">
        <f t="shared" si="30"/>
        <v>0.03</v>
      </c>
      <c r="S30" s="119" t="s">
        <v>22</v>
      </c>
      <c r="T30" s="150"/>
      <c r="U30" s="68">
        <f t="shared" si="21"/>
        <v>0</v>
      </c>
      <c r="V30" s="121">
        <v>0</v>
      </c>
      <c r="W30" s="70">
        <f t="shared" ca="1" si="22"/>
        <v>0</v>
      </c>
      <c r="X30" s="151">
        <f t="shared" ca="1" si="23"/>
        <v>0</v>
      </c>
      <c r="Y30" s="68">
        <f t="shared" ca="1" si="24"/>
        <v>0</v>
      </c>
      <c r="Z30" s="100">
        <f t="shared" ca="1" si="25"/>
        <v>0</v>
      </c>
      <c r="AA30" s="303">
        <v>0</v>
      </c>
      <c r="AB30" s="72">
        <f t="shared" si="26"/>
        <v>0</v>
      </c>
      <c r="AC30" s="417">
        <v>0</v>
      </c>
      <c r="AD30" s="72">
        <f t="shared" si="27"/>
        <v>0</v>
      </c>
      <c r="AE30" s="419">
        <v>0</v>
      </c>
      <c r="AF30" s="77">
        <f t="shared" si="27"/>
        <v>0</v>
      </c>
      <c r="AG30" s="163"/>
    </row>
    <row r="31" spans="3:71" x14ac:dyDescent="0.2">
      <c r="C31" s="48" t="s">
        <v>94</v>
      </c>
      <c r="D31" s="48"/>
      <c r="E31" s="48"/>
      <c r="F31" s="48"/>
      <c r="G31" s="48"/>
      <c r="H31" s="48"/>
      <c r="I31" s="48"/>
      <c r="K31" s="45" t="s">
        <v>19</v>
      </c>
      <c r="L31" s="45"/>
      <c r="M31" s="126">
        <f t="shared" si="29"/>
        <v>0.03</v>
      </c>
      <c r="N31" s="126">
        <f t="shared" ref="N31:Q31" si="31">M31</f>
        <v>0.03</v>
      </c>
      <c r="O31" s="126">
        <f t="shared" si="31"/>
        <v>0.03</v>
      </c>
      <c r="P31" s="126">
        <f t="shared" si="31"/>
        <v>0.03</v>
      </c>
      <c r="Q31" s="126">
        <f t="shared" si="31"/>
        <v>0.03</v>
      </c>
      <c r="S31" s="119" t="s">
        <v>69</v>
      </c>
      <c r="T31" s="150"/>
      <c r="U31" s="68">
        <f t="shared" si="21"/>
        <v>0</v>
      </c>
      <c r="V31" s="121">
        <v>0</v>
      </c>
      <c r="W31" s="70">
        <f t="shared" ca="1" si="22"/>
        <v>0</v>
      </c>
      <c r="X31" s="151">
        <f t="shared" ca="1" si="23"/>
        <v>0</v>
      </c>
      <c r="Y31" s="68">
        <f t="shared" ca="1" si="24"/>
        <v>0</v>
      </c>
      <c r="Z31" s="100">
        <f t="shared" ca="1" si="25"/>
        <v>0</v>
      </c>
      <c r="AA31" s="303">
        <v>0</v>
      </c>
      <c r="AB31" s="72">
        <f t="shared" si="26"/>
        <v>0</v>
      </c>
      <c r="AC31" s="417">
        <v>0</v>
      </c>
      <c r="AD31" s="72">
        <f t="shared" si="27"/>
        <v>0</v>
      </c>
      <c r="AE31" s="419">
        <v>0</v>
      </c>
      <c r="AF31" s="77">
        <f t="shared" si="27"/>
        <v>0</v>
      </c>
      <c r="AG31" s="163"/>
    </row>
    <row r="32" spans="3:71" x14ac:dyDescent="0.2">
      <c r="C32" s="50" t="s">
        <v>172</v>
      </c>
      <c r="D32" s="50"/>
      <c r="E32" s="51" t="s">
        <v>172</v>
      </c>
      <c r="F32" s="51"/>
      <c r="G32" s="142"/>
      <c r="H32" s="51" t="s">
        <v>166</v>
      </c>
      <c r="I32" s="51"/>
      <c r="S32" s="119" t="s">
        <v>70</v>
      </c>
      <c r="T32" s="150"/>
      <c r="U32" s="68">
        <f t="shared" si="21"/>
        <v>0</v>
      </c>
      <c r="V32" s="121">
        <v>0</v>
      </c>
      <c r="W32" s="70">
        <f t="shared" ca="1" si="22"/>
        <v>0</v>
      </c>
      <c r="X32" s="151">
        <f t="shared" ca="1" si="23"/>
        <v>0</v>
      </c>
      <c r="Y32" s="68">
        <f t="shared" ca="1" si="24"/>
        <v>0</v>
      </c>
      <c r="Z32" s="100">
        <f t="shared" ca="1" si="25"/>
        <v>0</v>
      </c>
      <c r="AA32" s="303">
        <v>0</v>
      </c>
      <c r="AB32" s="72">
        <f t="shared" si="26"/>
        <v>0</v>
      </c>
      <c r="AC32" s="417">
        <v>0</v>
      </c>
      <c r="AD32" s="72">
        <f t="shared" si="27"/>
        <v>0</v>
      </c>
      <c r="AE32" s="419">
        <v>0</v>
      </c>
      <c r="AF32" s="77">
        <f t="shared" si="27"/>
        <v>0</v>
      </c>
      <c r="AG32" s="163"/>
    </row>
    <row r="33" spans="3:40" x14ac:dyDescent="0.2">
      <c r="C33" s="145" t="s">
        <v>95</v>
      </c>
      <c r="D33" s="145"/>
      <c r="E33" s="146"/>
      <c r="F33" s="147" t="s">
        <v>96</v>
      </c>
      <c r="G33" s="148" t="s">
        <v>95</v>
      </c>
      <c r="H33" s="149"/>
      <c r="I33" s="147" t="s">
        <v>96</v>
      </c>
      <c r="K33" s="48" t="s">
        <v>19</v>
      </c>
      <c r="L33" s="48"/>
      <c r="M33" s="48"/>
      <c r="N33" s="48"/>
      <c r="O33" s="48"/>
      <c r="P33" s="48"/>
      <c r="Q33" s="48"/>
      <c r="S33" s="119" t="s">
        <v>21</v>
      </c>
      <c r="T33" s="150"/>
      <c r="U33" s="68">
        <f t="shared" si="21"/>
        <v>0</v>
      </c>
      <c r="V33" s="121">
        <v>0</v>
      </c>
      <c r="W33" s="70">
        <f t="shared" ca="1" si="22"/>
        <v>0</v>
      </c>
      <c r="X33" s="151">
        <f t="shared" ca="1" si="23"/>
        <v>0</v>
      </c>
      <c r="Y33" s="68">
        <f t="shared" ca="1" si="24"/>
        <v>0</v>
      </c>
      <c r="Z33" s="100">
        <f t="shared" ca="1" si="25"/>
        <v>0</v>
      </c>
      <c r="AA33" s="303">
        <v>0</v>
      </c>
      <c r="AB33" s="72">
        <f t="shared" si="26"/>
        <v>0</v>
      </c>
      <c r="AC33" s="417">
        <v>0</v>
      </c>
      <c r="AD33" s="72">
        <f t="shared" si="27"/>
        <v>0</v>
      </c>
      <c r="AE33" s="419">
        <v>0</v>
      </c>
      <c r="AF33" s="77">
        <f t="shared" si="27"/>
        <v>0</v>
      </c>
      <c r="AG33" s="163"/>
    </row>
    <row r="34" spans="3:40" x14ac:dyDescent="0.2">
      <c r="C34" s="145" t="s">
        <v>134</v>
      </c>
      <c r="D34" s="145"/>
      <c r="E34" s="152">
        <v>0.55000000000000004</v>
      </c>
      <c r="F34" s="153">
        <v>6266071.4285714282</v>
      </c>
      <c r="G34" s="148" t="s">
        <v>134</v>
      </c>
      <c r="H34" s="337" t="s">
        <v>99</v>
      </c>
      <c r="I34" s="154">
        <f ca="1">INDEX($I$40:$I$42,MATCH(H34,$G$40:$G$42,0))</f>
        <v>8883611.6884761341</v>
      </c>
      <c r="K34" s="50"/>
      <c r="L34" s="52"/>
      <c r="M34" s="52" t="s">
        <v>77</v>
      </c>
      <c r="N34" s="409" t="s">
        <v>78</v>
      </c>
      <c r="O34" s="51" t="s">
        <v>86</v>
      </c>
      <c r="P34" s="51"/>
      <c r="Q34" s="51"/>
      <c r="S34" s="119" t="s">
        <v>4</v>
      </c>
      <c r="T34" s="45"/>
      <c r="U34" s="68">
        <f t="shared" si="21"/>
        <v>0</v>
      </c>
      <c r="V34" s="77">
        <v>0</v>
      </c>
      <c r="W34" s="70">
        <f t="shared" ca="1" si="22"/>
        <v>0</v>
      </c>
      <c r="X34" s="76">
        <f t="shared" ca="1" si="23"/>
        <v>0</v>
      </c>
      <c r="Y34" s="68">
        <f t="shared" ca="1" si="24"/>
        <v>0</v>
      </c>
      <c r="Z34" s="118">
        <f t="shared" ca="1" si="25"/>
        <v>0</v>
      </c>
      <c r="AA34" s="299">
        <v>0</v>
      </c>
      <c r="AB34" s="72">
        <f t="shared" si="26"/>
        <v>0</v>
      </c>
      <c r="AC34" s="417">
        <v>0</v>
      </c>
      <c r="AD34" s="72">
        <f t="shared" si="27"/>
        <v>0</v>
      </c>
      <c r="AE34" s="419">
        <v>0</v>
      </c>
      <c r="AF34" s="77">
        <f t="shared" si="27"/>
        <v>0</v>
      </c>
      <c r="AG34" s="163"/>
    </row>
    <row r="35" spans="3:40" x14ac:dyDescent="0.2">
      <c r="C35" s="145" t="s">
        <v>97</v>
      </c>
      <c r="D35" s="145"/>
      <c r="E35" s="155">
        <v>36</v>
      </c>
      <c r="F35" s="156">
        <f>EOMONTH(F9,E35)</f>
        <v>47299</v>
      </c>
      <c r="G35" s="148" t="s">
        <v>97</v>
      </c>
      <c r="H35" s="157">
        <v>360</v>
      </c>
      <c r="I35" s="156">
        <f>EOMONTH(F35,H35-1)</f>
        <v>58226</v>
      </c>
      <c r="K35" s="45" t="s">
        <v>50</v>
      </c>
      <c r="M35" s="173">
        <v>0</v>
      </c>
      <c r="N35" s="410">
        <v>0</v>
      </c>
      <c r="S35" s="129" t="s">
        <v>71</v>
      </c>
      <c r="T35" s="92"/>
      <c r="U35" s="108">
        <f t="shared" ref="U35:AE35" si="32">SUM(U28:U34)</f>
        <v>431550</v>
      </c>
      <c r="V35" s="80">
        <f t="shared" si="32"/>
        <v>6850</v>
      </c>
      <c r="W35" s="110">
        <f ca="1">SUM(W28:W34)</f>
        <v>465715.70420510607</v>
      </c>
      <c r="X35" s="83">
        <f ca="1">SUM(X28:X34)</f>
        <v>7392.3127651604136</v>
      </c>
      <c r="Y35" s="108">
        <f ca="1">SUM(Y28:Y34)</f>
        <v>540983.17743848148</v>
      </c>
      <c r="Z35" s="169">
        <f ca="1">SUM(Z28:Z34)</f>
        <v>8587.0345625155787</v>
      </c>
      <c r="AA35" s="301">
        <f t="shared" si="32"/>
        <v>0</v>
      </c>
      <c r="AB35" s="113">
        <f t="shared" si="26"/>
        <v>0</v>
      </c>
      <c r="AC35" s="114">
        <f t="shared" si="32"/>
        <v>0</v>
      </c>
      <c r="AD35" s="113">
        <f t="shared" si="27"/>
        <v>0</v>
      </c>
      <c r="AE35" s="80">
        <f t="shared" si="32"/>
        <v>0</v>
      </c>
      <c r="AF35" s="80">
        <f t="shared" si="27"/>
        <v>0</v>
      </c>
    </row>
    <row r="36" spans="3:40" x14ac:dyDescent="0.2">
      <c r="C36" s="145" t="s">
        <v>120</v>
      </c>
      <c r="D36" s="145"/>
      <c r="E36" s="158" t="s">
        <v>101</v>
      </c>
      <c r="F36" s="159">
        <f>AI16</f>
        <v>7.0000000000000007E-2</v>
      </c>
      <c r="G36" s="148" t="s">
        <v>120</v>
      </c>
      <c r="H36" s="160" t="s">
        <v>101</v>
      </c>
      <c r="I36" s="161">
        <f>F36-0.5%</f>
        <v>6.5000000000000002E-2</v>
      </c>
      <c r="K36" s="45" t="s">
        <v>52</v>
      </c>
      <c r="M36" s="175">
        <v>0</v>
      </c>
      <c r="N36" s="411">
        <v>0</v>
      </c>
      <c r="S36" s="119"/>
      <c r="T36" s="150"/>
      <c r="U36" s="68"/>
      <c r="V36" s="121"/>
      <c r="W36" s="70"/>
      <c r="X36" s="151"/>
      <c r="Y36" s="68"/>
      <c r="Z36" s="100"/>
      <c r="AA36" s="303"/>
      <c r="AB36" s="72"/>
      <c r="AC36" s="134"/>
      <c r="AD36" s="72"/>
      <c r="AE36" s="77"/>
      <c r="AF36" s="77"/>
      <c r="AG36" s="163"/>
    </row>
    <row r="37" spans="3:40" x14ac:dyDescent="0.2">
      <c r="C37" s="145" t="s">
        <v>100</v>
      </c>
      <c r="D37" s="145"/>
      <c r="E37" s="162">
        <v>0.01</v>
      </c>
      <c r="F37" s="163">
        <f>E37*F34</f>
        <v>62660.714285714283</v>
      </c>
      <c r="G37" s="148" t="s">
        <v>100</v>
      </c>
      <c r="H37" s="161">
        <v>5.0000000000000001E-3</v>
      </c>
      <c r="I37" s="153">
        <f ca="1">H37*I34</f>
        <v>44418.058442380672</v>
      </c>
      <c r="K37" s="45" t="s">
        <v>76</v>
      </c>
      <c r="M37" s="125">
        <v>1</v>
      </c>
      <c r="N37" s="412">
        <f>M37</f>
        <v>1</v>
      </c>
      <c r="S37" s="119" t="s">
        <v>23</v>
      </c>
      <c r="T37" s="150"/>
      <c r="U37" s="68">
        <f>V37*$N$13</f>
        <v>12600</v>
      </c>
      <c r="V37" s="121">
        <v>200</v>
      </c>
      <c r="W37" s="70">
        <f ca="1">SUM(OFFSET(F101,0,$G$16,1,-12))</f>
        <v>13597.538808908206</v>
      </c>
      <c r="X37" s="151">
        <f t="shared" ref="X37:X42" ca="1" si="33">W37/$N$13</f>
        <v>215.8339493477493</v>
      </c>
      <c r="Y37" s="68">
        <f ca="1">SUM(OFFSET(F101,0,$I$16,1,-12))</f>
        <v>15795.129268276833</v>
      </c>
      <c r="Z37" s="100">
        <f t="shared" ref="Z37:Z42" ca="1" si="34">Y37/$N$13</f>
        <v>250.71633759169575</v>
      </c>
      <c r="AA37" s="303">
        <v>0</v>
      </c>
      <c r="AB37" s="72">
        <f t="shared" ref="AB37:AB42" si="35">AA37/$N$13</f>
        <v>0</v>
      </c>
      <c r="AC37" s="417">
        <v>0</v>
      </c>
      <c r="AD37" s="72">
        <f t="shared" ref="AD37:AF42" si="36">AC37/$N$13</f>
        <v>0</v>
      </c>
      <c r="AE37" s="419">
        <v>0</v>
      </c>
      <c r="AF37" s="77">
        <f t="shared" si="36"/>
        <v>0</v>
      </c>
      <c r="AG37" s="163"/>
      <c r="AI37" s="176">
        <v>1</v>
      </c>
      <c r="AJ37" s="176">
        <f t="shared" ref="AJ37:AN37" si="37">AI37*(1+AJ31)</f>
        <v>1</v>
      </c>
      <c r="AK37" s="176">
        <f t="shared" si="37"/>
        <v>1</v>
      </c>
      <c r="AL37" s="176">
        <f t="shared" si="37"/>
        <v>1</v>
      </c>
      <c r="AM37" s="176">
        <f t="shared" si="37"/>
        <v>1</v>
      </c>
      <c r="AN37" s="176">
        <f t="shared" si="37"/>
        <v>1</v>
      </c>
    </row>
    <row r="38" spans="3:40" x14ac:dyDescent="0.2">
      <c r="C38" s="145" t="s">
        <v>180</v>
      </c>
      <c r="D38" s="145"/>
      <c r="E38" s="164">
        <v>0</v>
      </c>
      <c r="F38" s="165">
        <f>PMT(F36/12,360,-F34,0,)</f>
        <v>41688.329563995598</v>
      </c>
      <c r="G38" s="148" t="s">
        <v>180</v>
      </c>
      <c r="H38" s="164">
        <v>24</v>
      </c>
      <c r="I38" s="165">
        <f ca="1">PMT(I36/12,360,-I34,0,)</f>
        <v>56150.468814141001</v>
      </c>
      <c r="K38" s="45" t="s">
        <v>33</v>
      </c>
      <c r="L38" s="45"/>
      <c r="M38" s="178">
        <v>1.8926798044730162E-2</v>
      </c>
      <c r="N38" s="413">
        <v>1.8926798044730162E-2</v>
      </c>
      <c r="S38" s="119" t="s">
        <v>159</v>
      </c>
      <c r="T38" s="150"/>
      <c r="U38" s="68">
        <f>V38*$N$13</f>
        <v>0</v>
      </c>
      <c r="V38" s="121">
        <v>0</v>
      </c>
      <c r="W38" s="70">
        <f ca="1">SUM(OFFSET(F102,0,$G$16,1,-12))</f>
        <v>0</v>
      </c>
      <c r="X38" s="151">
        <f t="shared" ca="1" si="33"/>
        <v>0</v>
      </c>
      <c r="Y38" s="68">
        <f ca="1">SUM(OFFSET(F102,0,$I$16,1,-12))</f>
        <v>0</v>
      </c>
      <c r="Z38" s="100">
        <f t="shared" ca="1" si="34"/>
        <v>0</v>
      </c>
      <c r="AA38" s="303">
        <v>0</v>
      </c>
      <c r="AB38" s="72">
        <f t="shared" si="35"/>
        <v>0</v>
      </c>
      <c r="AC38" s="417">
        <v>0</v>
      </c>
      <c r="AD38" s="72">
        <f t="shared" si="36"/>
        <v>0</v>
      </c>
      <c r="AE38" s="419">
        <v>0</v>
      </c>
      <c r="AF38" s="77">
        <f t="shared" si="36"/>
        <v>0</v>
      </c>
      <c r="AG38" s="163"/>
    </row>
    <row r="39" spans="3:40" x14ac:dyDescent="0.2">
      <c r="C39" s="50" t="s">
        <v>161</v>
      </c>
      <c r="D39" s="50"/>
      <c r="E39" s="50"/>
      <c r="F39" s="166"/>
      <c r="G39" s="142" t="s">
        <v>161</v>
      </c>
      <c r="H39" s="50"/>
      <c r="I39" s="50"/>
      <c r="K39" s="344" t="s">
        <v>55</v>
      </c>
      <c r="L39" s="344"/>
      <c r="M39" s="345">
        <v>0</v>
      </c>
      <c r="N39" s="414">
        <v>0</v>
      </c>
      <c r="S39" s="45" t="s">
        <v>85</v>
      </c>
      <c r="T39" s="179">
        <v>0.03</v>
      </c>
      <c r="U39" s="68">
        <f>T39*U25</f>
        <v>40721.939999999995</v>
      </c>
      <c r="V39" s="121">
        <f>U39/N13</f>
        <v>646.37999999999988</v>
      </c>
      <c r="W39" s="70">
        <f ca="1">SUM(OFFSET(F103,0,$G$16,1,-12))</f>
        <v>43396.562105554076</v>
      </c>
      <c r="X39" s="151">
        <f t="shared" ca="1" si="33"/>
        <v>688.83431913577897</v>
      </c>
      <c r="Y39" s="68">
        <f ca="1">SUM(OFFSET(F103,0,$I$16,1,-12))</f>
        <v>50410.174803617105</v>
      </c>
      <c r="Z39" s="100">
        <f t="shared" ca="1" si="34"/>
        <v>800.16150481931913</v>
      </c>
      <c r="AA39" s="304">
        <v>0</v>
      </c>
      <c r="AB39" s="180">
        <f t="shared" si="35"/>
        <v>0</v>
      </c>
      <c r="AC39" s="417">
        <v>0</v>
      </c>
      <c r="AD39" s="180">
        <f t="shared" si="36"/>
        <v>0</v>
      </c>
      <c r="AE39" s="419">
        <v>0</v>
      </c>
      <c r="AF39" s="77">
        <f t="shared" si="36"/>
        <v>0</v>
      </c>
      <c r="AG39" s="163"/>
    </row>
    <row r="40" spans="3:40" x14ac:dyDescent="0.2">
      <c r="C40" s="145" t="s">
        <v>99</v>
      </c>
      <c r="D40" s="145"/>
      <c r="F40" s="407">
        <f>U48/(PMT(6%/12,360,-F34,0)*12)</f>
        <v>1.7677288661367181</v>
      </c>
      <c r="G40" s="148" t="s">
        <v>99</v>
      </c>
      <c r="H40" s="408">
        <v>1.25</v>
      </c>
      <c r="I40" s="77">
        <f ca="1">PV(I36/12,H35,-F17/12/H40)</f>
        <v>8883611.6884761341</v>
      </c>
      <c r="K40" s="43" t="s">
        <v>59</v>
      </c>
      <c r="L40" s="43"/>
      <c r="M40" s="99">
        <f>M35*M38</f>
        <v>0</v>
      </c>
      <c r="N40" s="415">
        <f>N35*N38</f>
        <v>0</v>
      </c>
      <c r="S40" s="45" t="s">
        <v>34</v>
      </c>
      <c r="T40" s="45"/>
      <c r="U40" s="68">
        <f>V40*$N$13</f>
        <v>44100</v>
      </c>
      <c r="V40" s="77">
        <v>700</v>
      </c>
      <c r="W40" s="70">
        <f ca="1">SUM(OFFSET(F104,0,$G$16,1,-12))</f>
        <v>47591.385831178719</v>
      </c>
      <c r="X40" s="151">
        <f t="shared" ca="1" si="33"/>
        <v>755.41882271712257</v>
      </c>
      <c r="Y40" s="68">
        <f ca="1">SUM(OFFSET(F104,0,$I$16,1,-12))</f>
        <v>55282.95243896891</v>
      </c>
      <c r="Z40" s="100">
        <f t="shared" ca="1" si="34"/>
        <v>877.50718157093513</v>
      </c>
      <c r="AA40" s="303">
        <v>0</v>
      </c>
      <c r="AB40" s="72">
        <f t="shared" si="35"/>
        <v>0</v>
      </c>
      <c r="AC40" s="417">
        <v>0</v>
      </c>
      <c r="AD40" s="72">
        <f t="shared" si="36"/>
        <v>0</v>
      </c>
      <c r="AE40" s="419">
        <v>0</v>
      </c>
      <c r="AF40" s="77">
        <f t="shared" si="36"/>
        <v>0</v>
      </c>
      <c r="AG40" s="163"/>
    </row>
    <row r="41" spans="3:40" x14ac:dyDescent="0.2">
      <c r="C41" s="145" t="s">
        <v>98</v>
      </c>
      <c r="D41" s="145"/>
      <c r="E41" s="170"/>
      <c r="F41" s="336">
        <f>U48/F34</f>
        <v>0.12718113240239387</v>
      </c>
      <c r="G41" s="148" t="s">
        <v>98</v>
      </c>
      <c r="H41" s="406">
        <v>0.09</v>
      </c>
      <c r="I41" s="77">
        <f ca="1">F17/H41</f>
        <v>9358411.469023535</v>
      </c>
      <c r="K41" s="43" t="s">
        <v>92</v>
      </c>
      <c r="L41" s="45"/>
      <c r="M41" s="99">
        <f>M40/$N$13</f>
        <v>0</v>
      </c>
      <c r="N41" s="415">
        <f>N40/$N$13</f>
        <v>0</v>
      </c>
      <c r="S41" s="92" t="s">
        <v>72</v>
      </c>
      <c r="T41" s="92"/>
      <c r="U41" s="108">
        <f>SUM(U37:U40)</f>
        <v>97421.94</v>
      </c>
      <c r="V41" s="80">
        <f>SUM(V37:V40)</f>
        <v>1546.3799999999999</v>
      </c>
      <c r="W41" s="110">
        <f ca="1">SUM(W37:W40)</f>
        <v>104585.486745641</v>
      </c>
      <c r="X41" s="83">
        <f t="shared" ca="1" si="33"/>
        <v>1660.0870912006508</v>
      </c>
      <c r="Y41" s="108">
        <f ca="1">SUM(Y37:Y40)</f>
        <v>121488.25651086285</v>
      </c>
      <c r="Z41" s="169">
        <f t="shared" ca="1" si="34"/>
        <v>1928.3850239819499</v>
      </c>
      <c r="AA41" s="301">
        <f>SUM(AA37:AA40)</f>
        <v>0</v>
      </c>
      <c r="AB41" s="113">
        <f t="shared" si="35"/>
        <v>0</v>
      </c>
      <c r="AC41" s="114">
        <f>SUM(AC37:AC40)</f>
        <v>0</v>
      </c>
      <c r="AD41" s="113">
        <f t="shared" si="36"/>
        <v>0</v>
      </c>
      <c r="AE41" s="80">
        <f>SUM(AE37:AE40)</f>
        <v>0</v>
      </c>
      <c r="AF41" s="80">
        <f t="shared" si="36"/>
        <v>0</v>
      </c>
      <c r="AN41" s="45"/>
    </row>
    <row r="42" spans="3:40" x14ac:dyDescent="0.2">
      <c r="G42" s="174" t="s">
        <v>117</v>
      </c>
      <c r="H42" s="105">
        <v>0.65</v>
      </c>
      <c r="I42" s="77">
        <f ca="1">H42*F21</f>
        <v>9124451.1822979469</v>
      </c>
      <c r="S42" s="92" t="s">
        <v>73</v>
      </c>
      <c r="T42" s="92"/>
      <c r="U42" s="108">
        <f>SUM(U35,U41)</f>
        <v>528971.93999999994</v>
      </c>
      <c r="V42" s="80">
        <f>SUM(V35,V41)</f>
        <v>8396.3799999999992</v>
      </c>
      <c r="W42" s="110">
        <f ca="1">SUM(W35,W41)</f>
        <v>570301.19095074711</v>
      </c>
      <c r="X42" s="83">
        <f t="shared" ca="1" si="33"/>
        <v>9052.3998563610658</v>
      </c>
      <c r="Y42" s="108">
        <f ca="1">SUM(Y35,Y41)</f>
        <v>662471.43394934433</v>
      </c>
      <c r="Z42" s="169">
        <f t="shared" ca="1" si="34"/>
        <v>10515.419586497528</v>
      </c>
      <c r="AA42" s="301">
        <f>SUM(AA35,AA41)</f>
        <v>0</v>
      </c>
      <c r="AB42" s="113">
        <f t="shared" si="35"/>
        <v>0</v>
      </c>
      <c r="AC42" s="114">
        <f>SUM(AC35,AC41)</f>
        <v>0</v>
      </c>
      <c r="AD42" s="113">
        <f t="shared" si="36"/>
        <v>0</v>
      </c>
      <c r="AE42" s="128">
        <f>SUM(AE35,AE41)</f>
        <v>0</v>
      </c>
      <c r="AF42" s="128">
        <f t="shared" si="36"/>
        <v>0</v>
      </c>
    </row>
    <row r="43" spans="3:40" x14ac:dyDescent="0.2">
      <c r="S43" s="45" t="s">
        <v>90</v>
      </c>
      <c r="T43" s="45"/>
      <c r="U43" s="191">
        <f>U42/U25</f>
        <v>0.38969553513413158</v>
      </c>
      <c r="V43" s="291"/>
      <c r="W43" s="292">
        <f ca="1">W42/W25</f>
        <v>0.39424864317380404</v>
      </c>
      <c r="X43" s="293"/>
      <c r="Y43" s="191">
        <f ca="1">Y42/Y25</f>
        <v>0.39424864317380415</v>
      </c>
      <c r="Z43" s="118"/>
      <c r="AA43" s="299"/>
      <c r="AB43" s="72"/>
      <c r="AC43" s="134"/>
      <c r="AD43" s="72"/>
      <c r="AE43" s="77"/>
      <c r="AF43" s="77"/>
    </row>
    <row r="44" spans="3:40" x14ac:dyDescent="0.2">
      <c r="C44" s="177" t="s">
        <v>215</v>
      </c>
      <c r="D44" s="177"/>
      <c r="E44" s="177"/>
      <c r="F44" s="347" t="s">
        <v>109</v>
      </c>
      <c r="G44" s="177"/>
      <c r="S44" s="45"/>
      <c r="T44" s="45"/>
      <c r="U44" s="68"/>
      <c r="W44" s="70"/>
      <c r="X44" s="76"/>
      <c r="Y44" s="68"/>
      <c r="Z44" s="118"/>
      <c r="AA44" s="299"/>
      <c r="AB44" s="72"/>
      <c r="AC44" s="73"/>
      <c r="AD44" s="72"/>
      <c r="AE44" s="77"/>
      <c r="AF44" s="77"/>
      <c r="AG44" s="163"/>
    </row>
    <row r="45" spans="3:40" x14ac:dyDescent="0.2">
      <c r="C45" s="54"/>
      <c r="D45" s="52" t="s">
        <v>219</v>
      </c>
      <c r="E45" s="52" t="s">
        <v>220</v>
      </c>
      <c r="F45" s="348"/>
      <c r="G45" s="54" t="s">
        <v>238</v>
      </c>
      <c r="S45" s="92" t="s">
        <v>179</v>
      </c>
      <c r="T45" s="92"/>
      <c r="U45" s="108">
        <f>U25-U42</f>
        <v>828426.06</v>
      </c>
      <c r="V45" s="80">
        <f>V25+V42</f>
        <v>9042.3799999999992</v>
      </c>
      <c r="W45" s="110">
        <f ca="1">W25-W42</f>
        <v>876250.8792343887</v>
      </c>
      <c r="X45" s="83">
        <f ca="1">W45/$N$13</f>
        <v>13908.744114831567</v>
      </c>
      <c r="Y45" s="108">
        <f ca="1">Y25-Y42</f>
        <v>1017867.7261712255</v>
      </c>
      <c r="Z45" s="169">
        <f ca="1">Y45/$N$13</f>
        <v>16156.630574146437</v>
      </c>
      <c r="AA45" s="301">
        <f>AA25-AA42</f>
        <v>0</v>
      </c>
      <c r="AB45" s="113">
        <f>AA45/$N$13</f>
        <v>0</v>
      </c>
      <c r="AC45" s="114">
        <f>AC25-AC42</f>
        <v>0</v>
      </c>
      <c r="AD45" s="113">
        <f>AC45/$N$13</f>
        <v>0</v>
      </c>
      <c r="AE45" s="80">
        <f>AE25-AE42</f>
        <v>0</v>
      </c>
      <c r="AF45" s="80">
        <f>AE45/$N$13</f>
        <v>0</v>
      </c>
    </row>
    <row r="46" spans="3:40" x14ac:dyDescent="0.2">
      <c r="C46" s="39" t="s">
        <v>216</v>
      </c>
      <c r="D46" s="403">
        <v>0.15</v>
      </c>
      <c r="E46" s="404">
        <f>1-D46</f>
        <v>0.85</v>
      </c>
      <c r="F46" s="405" t="s">
        <v>112</v>
      </c>
      <c r="G46" s="163">
        <f ca="1">E160</f>
        <v>1116018.8948377941</v>
      </c>
      <c r="S46" s="119"/>
      <c r="T46" s="150"/>
      <c r="U46" s="68"/>
      <c r="V46" s="121"/>
      <c r="W46" s="70"/>
      <c r="X46" s="151"/>
      <c r="Y46" s="68"/>
      <c r="Z46" s="100"/>
      <c r="AA46" s="303"/>
      <c r="AB46" s="72"/>
      <c r="AC46" s="134"/>
      <c r="AD46" s="72"/>
      <c r="AE46" s="77"/>
      <c r="AF46" s="77"/>
      <c r="AG46" s="163"/>
    </row>
    <row r="47" spans="3:40" x14ac:dyDescent="0.2">
      <c r="C47" s="402">
        <v>0</v>
      </c>
      <c r="D47" s="404">
        <v>0</v>
      </c>
      <c r="E47" s="404">
        <f t="shared" ref="E47:E48" si="38">1-D47</f>
        <v>1</v>
      </c>
      <c r="F47" s="405" t="s">
        <v>113</v>
      </c>
      <c r="G47" s="163">
        <f ca="1">E161</f>
        <v>-795506.25000071072</v>
      </c>
      <c r="S47" s="119" t="s">
        <v>53</v>
      </c>
      <c r="T47" s="150"/>
      <c r="U47" s="68">
        <f>V47*$N$13</f>
        <v>31500</v>
      </c>
      <c r="V47" s="121">
        <f>AI18</f>
        <v>500</v>
      </c>
      <c r="W47" s="297">
        <f ca="1">SUM(OFFSET(F116,0,$G$16,1,-12))</f>
        <v>33993.847022270507</v>
      </c>
      <c r="X47" s="151">
        <f ca="1">W47/$N$13</f>
        <v>539.5848733693731</v>
      </c>
      <c r="Y47" s="100">
        <f ca="1">SUM(OFFSET(F116,0,$I$16,1,-12))</f>
        <v>39487.823170692078</v>
      </c>
      <c r="Z47" s="100">
        <f ca="1">Y47/$N$13</f>
        <v>626.7908439792393</v>
      </c>
      <c r="AA47" s="303">
        <v>0</v>
      </c>
      <c r="AB47" s="72">
        <f t="shared" ref="AB47:AB48" si="39">AA47/$N$13</f>
        <v>0</v>
      </c>
      <c r="AC47" s="417">
        <v>0</v>
      </c>
      <c r="AD47" s="72">
        <f t="shared" ref="AD47:AF48" si="40">AC47/$N$13</f>
        <v>0</v>
      </c>
      <c r="AE47" s="419">
        <v>0</v>
      </c>
      <c r="AF47" s="77">
        <f t="shared" si="40"/>
        <v>0</v>
      </c>
    </row>
    <row r="48" spans="3:40" x14ac:dyDescent="0.2">
      <c r="C48" s="39" t="s">
        <v>217</v>
      </c>
      <c r="D48" s="404">
        <v>0.15</v>
      </c>
      <c r="E48" s="404">
        <f t="shared" si="38"/>
        <v>0.85</v>
      </c>
      <c r="F48" s="405" t="s">
        <v>114</v>
      </c>
      <c r="G48" s="202">
        <f ca="1">E162</f>
        <v>0.16801553804521419</v>
      </c>
      <c r="S48" s="92" t="s">
        <v>54</v>
      </c>
      <c r="T48" s="92"/>
      <c r="U48" s="108">
        <f>U45-U47</f>
        <v>796926.06</v>
      </c>
      <c r="V48" s="80">
        <f>V45-V47</f>
        <v>8542.3799999999992</v>
      </c>
      <c r="W48" s="110">
        <f ca="1">W45-W47</f>
        <v>842257.03221211815</v>
      </c>
      <c r="X48" s="82">
        <f ca="1">W48/$N$13</f>
        <v>13369.159241462194</v>
      </c>
      <c r="Y48" s="108">
        <f ca="1">Y45-Y47</f>
        <v>978379.90300053346</v>
      </c>
      <c r="Z48" s="80">
        <f ca="1">Y48/$N$13</f>
        <v>15529.839730167198</v>
      </c>
      <c r="AA48" s="301">
        <f>AA45-AA47</f>
        <v>0</v>
      </c>
      <c r="AB48" s="113">
        <f t="shared" si="39"/>
        <v>0</v>
      </c>
      <c r="AC48" s="114">
        <f>AC45-AC47</f>
        <v>0</v>
      </c>
      <c r="AD48" s="113">
        <f t="shared" si="40"/>
        <v>0</v>
      </c>
      <c r="AE48" s="80">
        <f>AE45-AE47</f>
        <v>0</v>
      </c>
      <c r="AF48" s="80">
        <f t="shared" si="40"/>
        <v>0</v>
      </c>
    </row>
    <row r="49" spans="2:180" x14ac:dyDescent="0.2">
      <c r="F49" s="405" t="s">
        <v>115</v>
      </c>
      <c r="G49" s="346">
        <f ca="1">E163</f>
        <v>2.402903993320979</v>
      </c>
      <c r="S49" s="39" t="s">
        <v>243</v>
      </c>
      <c r="U49" s="225">
        <f>U48/$D$20</f>
        <v>6.9949622821287818E-2</v>
      </c>
      <c r="W49" s="225">
        <f ca="1">W48/$D$20</f>
        <v>7.3928516933948585E-2</v>
      </c>
      <c r="Y49" s="225">
        <f ca="1">Y48/$D$20</f>
        <v>8.5876605905967573E-2</v>
      </c>
      <c r="Z49" s="208"/>
      <c r="AA49" s="288"/>
      <c r="AB49" s="289"/>
      <c r="AC49" s="287"/>
      <c r="AD49" s="289"/>
      <c r="AE49" s="77"/>
      <c r="AF49" s="77"/>
      <c r="AN49" s="45"/>
    </row>
    <row r="50" spans="2:180" x14ac:dyDescent="0.2">
      <c r="C50" s="39" t="b">
        <v>0</v>
      </c>
      <c r="S50" s="45" t="s">
        <v>75</v>
      </c>
      <c r="T50" s="43"/>
      <c r="U50" s="294"/>
      <c r="V50" s="208"/>
      <c r="W50" s="294">
        <f ca="1">W48/U48-1</f>
        <v>5.6882281164350568E-2</v>
      </c>
      <c r="X50" s="208"/>
      <c r="Y50" s="294">
        <f ca="1">Y48/W48-1</f>
        <v>0.16161678155526937</v>
      </c>
      <c r="Z50" s="208"/>
      <c r="AA50" s="208"/>
      <c r="AB50" s="290"/>
      <c r="AC50" s="287"/>
      <c r="AD50" s="290"/>
      <c r="AE50" s="77"/>
      <c r="AF50" s="77"/>
      <c r="AM50" s="209"/>
      <c r="AN50" s="45"/>
    </row>
    <row r="51" spans="2:180" x14ac:dyDescent="0.2">
      <c r="S51" s="43"/>
      <c r="U51" s="154"/>
      <c r="V51" s="208"/>
      <c r="W51" s="154"/>
      <c r="X51" s="208"/>
      <c r="Y51" s="154"/>
      <c r="Z51" s="208"/>
      <c r="AA51" s="77"/>
      <c r="AB51" s="118"/>
      <c r="AC51" s="287"/>
      <c r="AD51" s="118"/>
      <c r="AE51" s="77"/>
      <c r="AF51" s="77"/>
      <c r="FX51" s="210"/>
    </row>
    <row r="52" spans="2:180" s="47" customFormat="1" x14ac:dyDescent="0.2">
      <c r="C52" s="48" t="s">
        <v>89</v>
      </c>
      <c r="D52" s="48"/>
      <c r="E52" s="218"/>
      <c r="F52" s="219">
        <v>0</v>
      </c>
      <c r="G52" s="219">
        <v>1</v>
      </c>
      <c r="H52" s="219">
        <v>1</v>
      </c>
      <c r="I52" s="219">
        <v>1</v>
      </c>
      <c r="J52" s="219">
        <v>1</v>
      </c>
      <c r="K52" s="219">
        <v>1</v>
      </c>
      <c r="L52" s="219">
        <v>1</v>
      </c>
      <c r="M52" s="219">
        <v>1</v>
      </c>
      <c r="N52" s="219">
        <v>1</v>
      </c>
      <c r="O52" s="219">
        <v>1</v>
      </c>
      <c r="P52" s="219">
        <v>1</v>
      </c>
      <c r="Q52" s="219">
        <v>1</v>
      </c>
      <c r="R52" s="219">
        <v>1</v>
      </c>
      <c r="S52" s="219">
        <f>G52+1</f>
        <v>2</v>
      </c>
      <c r="T52" s="219">
        <f>H52+1</f>
        <v>2</v>
      </c>
      <c r="U52" s="219">
        <f>I52+1</f>
        <v>2</v>
      </c>
      <c r="V52" s="219">
        <f t="shared" ref="V52:CG52" si="41">J52+1</f>
        <v>2</v>
      </c>
      <c r="W52" s="219">
        <f t="shared" si="41"/>
        <v>2</v>
      </c>
      <c r="X52" s="219">
        <f t="shared" si="41"/>
        <v>2</v>
      </c>
      <c r="Y52" s="219">
        <f t="shared" si="41"/>
        <v>2</v>
      </c>
      <c r="Z52" s="219">
        <f t="shared" si="41"/>
        <v>2</v>
      </c>
      <c r="AA52" s="219">
        <f t="shared" si="41"/>
        <v>2</v>
      </c>
      <c r="AB52" s="219">
        <f t="shared" si="41"/>
        <v>2</v>
      </c>
      <c r="AC52" s="219">
        <f t="shared" si="41"/>
        <v>2</v>
      </c>
      <c r="AD52" s="219">
        <f t="shared" si="41"/>
        <v>2</v>
      </c>
      <c r="AE52" s="219">
        <f t="shared" si="41"/>
        <v>3</v>
      </c>
      <c r="AF52" s="219">
        <f t="shared" si="41"/>
        <v>3</v>
      </c>
      <c r="AG52" s="219">
        <f t="shared" si="41"/>
        <v>3</v>
      </c>
      <c r="AH52" s="219">
        <f t="shared" si="41"/>
        <v>3</v>
      </c>
      <c r="AI52" s="219">
        <f t="shared" si="41"/>
        <v>3</v>
      </c>
      <c r="AJ52" s="219">
        <f t="shared" si="41"/>
        <v>3</v>
      </c>
      <c r="AK52" s="219">
        <f t="shared" si="41"/>
        <v>3</v>
      </c>
      <c r="AL52" s="219">
        <f t="shared" si="41"/>
        <v>3</v>
      </c>
      <c r="AM52" s="219">
        <f t="shared" si="41"/>
        <v>3</v>
      </c>
      <c r="AN52" s="219">
        <f t="shared" si="41"/>
        <v>3</v>
      </c>
      <c r="AO52" s="219">
        <f t="shared" si="41"/>
        <v>3</v>
      </c>
      <c r="AP52" s="219">
        <f t="shared" si="41"/>
        <v>3</v>
      </c>
      <c r="AQ52" s="219">
        <f t="shared" si="41"/>
        <v>4</v>
      </c>
      <c r="AR52" s="219">
        <f t="shared" si="41"/>
        <v>4</v>
      </c>
      <c r="AS52" s="219">
        <f t="shared" si="41"/>
        <v>4</v>
      </c>
      <c r="AT52" s="219">
        <f t="shared" si="41"/>
        <v>4</v>
      </c>
      <c r="AU52" s="219">
        <f t="shared" si="41"/>
        <v>4</v>
      </c>
      <c r="AV52" s="219">
        <f t="shared" si="41"/>
        <v>4</v>
      </c>
      <c r="AW52" s="219">
        <f t="shared" si="41"/>
        <v>4</v>
      </c>
      <c r="AX52" s="219">
        <f t="shared" si="41"/>
        <v>4</v>
      </c>
      <c r="AY52" s="219">
        <f t="shared" si="41"/>
        <v>4</v>
      </c>
      <c r="AZ52" s="219">
        <f t="shared" si="41"/>
        <v>4</v>
      </c>
      <c r="BA52" s="219">
        <f t="shared" si="41"/>
        <v>4</v>
      </c>
      <c r="BB52" s="219">
        <f t="shared" si="41"/>
        <v>4</v>
      </c>
      <c r="BC52" s="219">
        <f t="shared" si="41"/>
        <v>5</v>
      </c>
      <c r="BD52" s="219">
        <f t="shared" si="41"/>
        <v>5</v>
      </c>
      <c r="BE52" s="219">
        <f t="shared" si="41"/>
        <v>5</v>
      </c>
      <c r="BF52" s="219">
        <f t="shared" si="41"/>
        <v>5</v>
      </c>
      <c r="BG52" s="219">
        <f t="shared" si="41"/>
        <v>5</v>
      </c>
      <c r="BH52" s="219">
        <f t="shared" si="41"/>
        <v>5</v>
      </c>
      <c r="BI52" s="219">
        <f t="shared" si="41"/>
        <v>5</v>
      </c>
      <c r="BJ52" s="219">
        <f t="shared" si="41"/>
        <v>5</v>
      </c>
      <c r="BK52" s="219">
        <f t="shared" si="41"/>
        <v>5</v>
      </c>
      <c r="BL52" s="219">
        <f t="shared" si="41"/>
        <v>5</v>
      </c>
      <c r="BM52" s="219">
        <f t="shared" si="41"/>
        <v>5</v>
      </c>
      <c r="BN52" s="219">
        <f t="shared" si="41"/>
        <v>5</v>
      </c>
      <c r="BO52" s="219">
        <f t="shared" si="41"/>
        <v>6</v>
      </c>
      <c r="BP52" s="219">
        <f t="shared" si="41"/>
        <v>6</v>
      </c>
      <c r="BQ52" s="219">
        <f t="shared" si="41"/>
        <v>6</v>
      </c>
      <c r="BR52" s="219">
        <f t="shared" si="41"/>
        <v>6</v>
      </c>
      <c r="BS52" s="219">
        <f t="shared" si="41"/>
        <v>6</v>
      </c>
      <c r="BT52" s="219">
        <f t="shared" si="41"/>
        <v>6</v>
      </c>
      <c r="BU52" s="219">
        <f t="shared" si="41"/>
        <v>6</v>
      </c>
      <c r="BV52" s="219">
        <f t="shared" si="41"/>
        <v>6</v>
      </c>
      <c r="BW52" s="219">
        <f t="shared" si="41"/>
        <v>6</v>
      </c>
      <c r="BX52" s="219">
        <f t="shared" si="41"/>
        <v>6</v>
      </c>
      <c r="BY52" s="219">
        <f t="shared" si="41"/>
        <v>6</v>
      </c>
      <c r="BZ52" s="219">
        <f t="shared" si="41"/>
        <v>6</v>
      </c>
      <c r="CA52" s="219">
        <f t="shared" si="41"/>
        <v>7</v>
      </c>
      <c r="CB52" s="219">
        <f t="shared" si="41"/>
        <v>7</v>
      </c>
      <c r="CC52" s="219">
        <f t="shared" si="41"/>
        <v>7</v>
      </c>
      <c r="CD52" s="219">
        <f t="shared" si="41"/>
        <v>7</v>
      </c>
      <c r="CE52" s="219">
        <f t="shared" si="41"/>
        <v>7</v>
      </c>
      <c r="CF52" s="219">
        <f t="shared" si="41"/>
        <v>7</v>
      </c>
      <c r="CG52" s="219">
        <f t="shared" si="41"/>
        <v>7</v>
      </c>
      <c r="CH52" s="219">
        <f t="shared" ref="CH52:ES52" si="42">BV52+1</f>
        <v>7</v>
      </c>
      <c r="CI52" s="219">
        <f t="shared" si="42"/>
        <v>7</v>
      </c>
      <c r="CJ52" s="219">
        <f t="shared" si="42"/>
        <v>7</v>
      </c>
      <c r="CK52" s="219">
        <f t="shared" si="42"/>
        <v>7</v>
      </c>
      <c r="CL52" s="219">
        <f t="shared" si="42"/>
        <v>7</v>
      </c>
      <c r="CM52" s="219">
        <f t="shared" si="42"/>
        <v>8</v>
      </c>
      <c r="CN52" s="219">
        <f t="shared" si="42"/>
        <v>8</v>
      </c>
      <c r="CO52" s="219">
        <f t="shared" si="42"/>
        <v>8</v>
      </c>
      <c r="CP52" s="219">
        <f t="shared" si="42"/>
        <v>8</v>
      </c>
      <c r="CQ52" s="219">
        <f t="shared" si="42"/>
        <v>8</v>
      </c>
      <c r="CR52" s="219">
        <f t="shared" si="42"/>
        <v>8</v>
      </c>
      <c r="CS52" s="219">
        <f t="shared" si="42"/>
        <v>8</v>
      </c>
      <c r="CT52" s="219">
        <f t="shared" si="42"/>
        <v>8</v>
      </c>
      <c r="CU52" s="219">
        <f t="shared" si="42"/>
        <v>8</v>
      </c>
      <c r="CV52" s="219">
        <f t="shared" si="42"/>
        <v>8</v>
      </c>
      <c r="CW52" s="219">
        <f t="shared" si="42"/>
        <v>8</v>
      </c>
      <c r="CX52" s="219">
        <f t="shared" si="42"/>
        <v>8</v>
      </c>
      <c r="CY52" s="219">
        <f t="shared" si="42"/>
        <v>9</v>
      </c>
      <c r="CZ52" s="219">
        <f t="shared" si="42"/>
        <v>9</v>
      </c>
      <c r="DA52" s="219">
        <f t="shared" si="42"/>
        <v>9</v>
      </c>
      <c r="DB52" s="219">
        <f t="shared" si="42"/>
        <v>9</v>
      </c>
      <c r="DC52" s="219">
        <f t="shared" si="42"/>
        <v>9</v>
      </c>
      <c r="DD52" s="219">
        <f t="shared" si="42"/>
        <v>9</v>
      </c>
      <c r="DE52" s="219">
        <f t="shared" si="42"/>
        <v>9</v>
      </c>
      <c r="DF52" s="219">
        <f t="shared" si="42"/>
        <v>9</v>
      </c>
      <c r="DG52" s="219">
        <f t="shared" si="42"/>
        <v>9</v>
      </c>
      <c r="DH52" s="219">
        <f t="shared" si="42"/>
        <v>9</v>
      </c>
      <c r="DI52" s="219">
        <f t="shared" si="42"/>
        <v>9</v>
      </c>
      <c r="DJ52" s="219">
        <f t="shared" si="42"/>
        <v>9</v>
      </c>
      <c r="DK52" s="219">
        <f t="shared" si="42"/>
        <v>10</v>
      </c>
      <c r="DL52" s="219">
        <f t="shared" si="42"/>
        <v>10</v>
      </c>
      <c r="DM52" s="219">
        <f t="shared" si="42"/>
        <v>10</v>
      </c>
      <c r="DN52" s="219">
        <f t="shared" si="42"/>
        <v>10</v>
      </c>
      <c r="DO52" s="219">
        <f t="shared" si="42"/>
        <v>10</v>
      </c>
      <c r="DP52" s="219">
        <f t="shared" si="42"/>
        <v>10</v>
      </c>
      <c r="DQ52" s="219">
        <f t="shared" si="42"/>
        <v>10</v>
      </c>
      <c r="DR52" s="219">
        <f t="shared" si="42"/>
        <v>10</v>
      </c>
      <c r="DS52" s="219">
        <f t="shared" si="42"/>
        <v>10</v>
      </c>
      <c r="DT52" s="219">
        <f t="shared" si="42"/>
        <v>10</v>
      </c>
      <c r="DU52" s="219">
        <f t="shared" si="42"/>
        <v>10</v>
      </c>
      <c r="DV52" s="219">
        <f t="shared" si="42"/>
        <v>10</v>
      </c>
      <c r="DW52" s="219">
        <f t="shared" si="42"/>
        <v>11</v>
      </c>
      <c r="DX52" s="219">
        <f t="shared" si="42"/>
        <v>11</v>
      </c>
      <c r="DY52" s="219">
        <f t="shared" si="42"/>
        <v>11</v>
      </c>
      <c r="DZ52" s="219">
        <f t="shared" si="42"/>
        <v>11</v>
      </c>
      <c r="EA52" s="219">
        <f t="shared" si="42"/>
        <v>11</v>
      </c>
      <c r="EB52" s="219">
        <f t="shared" si="42"/>
        <v>11</v>
      </c>
      <c r="EC52" s="219">
        <f t="shared" si="42"/>
        <v>11</v>
      </c>
      <c r="ED52" s="219">
        <f t="shared" si="42"/>
        <v>11</v>
      </c>
      <c r="EE52" s="219">
        <f t="shared" si="42"/>
        <v>11</v>
      </c>
      <c r="EF52" s="219">
        <f t="shared" si="42"/>
        <v>11</v>
      </c>
      <c r="EG52" s="219">
        <f t="shared" si="42"/>
        <v>11</v>
      </c>
      <c r="EH52" s="219">
        <f t="shared" si="42"/>
        <v>11</v>
      </c>
      <c r="EI52" s="219">
        <f t="shared" si="42"/>
        <v>12</v>
      </c>
      <c r="EJ52" s="219">
        <f t="shared" si="42"/>
        <v>12</v>
      </c>
      <c r="EK52" s="219">
        <f t="shared" si="42"/>
        <v>12</v>
      </c>
      <c r="EL52" s="219">
        <f t="shared" si="42"/>
        <v>12</v>
      </c>
      <c r="EM52" s="219">
        <f t="shared" si="42"/>
        <v>12</v>
      </c>
      <c r="EN52" s="219">
        <f t="shared" si="42"/>
        <v>12</v>
      </c>
      <c r="EO52" s="219">
        <f t="shared" si="42"/>
        <v>12</v>
      </c>
      <c r="EP52" s="219">
        <f t="shared" si="42"/>
        <v>12</v>
      </c>
      <c r="EQ52" s="219">
        <f t="shared" si="42"/>
        <v>12</v>
      </c>
      <c r="ER52" s="219">
        <f t="shared" si="42"/>
        <v>12</v>
      </c>
      <c r="ES52" s="219">
        <f t="shared" si="42"/>
        <v>12</v>
      </c>
      <c r="ET52" s="219">
        <f t="shared" ref="ET52:FF52" si="43">EH52+1</f>
        <v>12</v>
      </c>
      <c r="EU52" s="219">
        <f t="shared" si="43"/>
        <v>13</v>
      </c>
      <c r="EV52" s="219">
        <f t="shared" si="43"/>
        <v>13</v>
      </c>
      <c r="EW52" s="219">
        <f t="shared" si="43"/>
        <v>13</v>
      </c>
      <c r="EX52" s="219">
        <f t="shared" si="43"/>
        <v>13</v>
      </c>
      <c r="EY52" s="219">
        <f t="shared" si="43"/>
        <v>13</v>
      </c>
      <c r="EZ52" s="219">
        <f t="shared" si="43"/>
        <v>13</v>
      </c>
      <c r="FA52" s="219">
        <f t="shared" si="43"/>
        <v>13</v>
      </c>
      <c r="FB52" s="219">
        <f t="shared" si="43"/>
        <v>13</v>
      </c>
      <c r="FC52" s="219">
        <f t="shared" si="43"/>
        <v>13</v>
      </c>
      <c r="FD52" s="219">
        <f t="shared" si="43"/>
        <v>13</v>
      </c>
      <c r="FE52" s="219">
        <f t="shared" si="43"/>
        <v>13</v>
      </c>
      <c r="FF52" s="219">
        <f t="shared" si="43"/>
        <v>13</v>
      </c>
      <c r="FG52" s="317"/>
      <c r="FH52" s="219" t="s">
        <v>195</v>
      </c>
      <c r="FI52" s="219"/>
      <c r="FJ52" s="219"/>
      <c r="FK52" s="219"/>
      <c r="FL52" s="219"/>
      <c r="FM52" s="219"/>
      <c r="FN52" s="219"/>
      <c r="FO52" s="219"/>
      <c r="FP52" s="219"/>
      <c r="FQ52" s="219"/>
      <c r="FR52" s="219"/>
      <c r="FS52" s="219"/>
      <c r="FT52" s="219"/>
      <c r="FU52" s="219"/>
      <c r="FV52" s="317"/>
    </row>
    <row r="53" spans="2:180" s="47" customFormat="1" x14ac:dyDescent="0.2">
      <c r="C53" s="48" t="s">
        <v>88</v>
      </c>
      <c r="D53" s="48"/>
      <c r="E53" s="218"/>
      <c r="F53" s="219">
        <v>0</v>
      </c>
      <c r="G53" s="219">
        <f t="shared" ref="G53:Q53" si="44">F53+1</f>
        <v>1</v>
      </c>
      <c r="H53" s="219">
        <f t="shared" si="44"/>
        <v>2</v>
      </c>
      <c r="I53" s="219">
        <f t="shared" si="44"/>
        <v>3</v>
      </c>
      <c r="J53" s="219">
        <f>I53+1</f>
        <v>4</v>
      </c>
      <c r="K53" s="219">
        <f t="shared" si="44"/>
        <v>5</v>
      </c>
      <c r="L53" s="219">
        <f t="shared" si="44"/>
        <v>6</v>
      </c>
      <c r="M53" s="219">
        <f t="shared" si="44"/>
        <v>7</v>
      </c>
      <c r="N53" s="219">
        <f t="shared" si="44"/>
        <v>8</v>
      </c>
      <c r="O53" s="219">
        <f t="shared" si="44"/>
        <v>9</v>
      </c>
      <c r="P53" s="219">
        <f t="shared" si="44"/>
        <v>10</v>
      </c>
      <c r="Q53" s="219">
        <f t="shared" si="44"/>
        <v>11</v>
      </c>
      <c r="R53" s="219">
        <f>Q53+1</f>
        <v>12</v>
      </c>
      <c r="S53" s="219">
        <f t="shared" ref="S53:CD53" si="45">R53+1</f>
        <v>13</v>
      </c>
      <c r="T53" s="219">
        <f t="shared" si="45"/>
        <v>14</v>
      </c>
      <c r="U53" s="219">
        <f t="shared" si="45"/>
        <v>15</v>
      </c>
      <c r="V53" s="219">
        <f t="shared" si="45"/>
        <v>16</v>
      </c>
      <c r="W53" s="219">
        <f t="shared" si="45"/>
        <v>17</v>
      </c>
      <c r="X53" s="219">
        <f t="shared" si="45"/>
        <v>18</v>
      </c>
      <c r="Y53" s="219">
        <f t="shared" si="45"/>
        <v>19</v>
      </c>
      <c r="Z53" s="219">
        <f t="shared" si="45"/>
        <v>20</v>
      </c>
      <c r="AA53" s="219">
        <f t="shared" si="45"/>
        <v>21</v>
      </c>
      <c r="AB53" s="219">
        <f t="shared" si="45"/>
        <v>22</v>
      </c>
      <c r="AC53" s="219">
        <f t="shared" si="45"/>
        <v>23</v>
      </c>
      <c r="AD53" s="219">
        <f t="shared" si="45"/>
        <v>24</v>
      </c>
      <c r="AE53" s="219">
        <f t="shared" si="45"/>
        <v>25</v>
      </c>
      <c r="AF53" s="219">
        <f t="shared" si="45"/>
        <v>26</v>
      </c>
      <c r="AG53" s="219">
        <f t="shared" si="45"/>
        <v>27</v>
      </c>
      <c r="AH53" s="219">
        <f t="shared" si="45"/>
        <v>28</v>
      </c>
      <c r="AI53" s="219">
        <f t="shared" si="45"/>
        <v>29</v>
      </c>
      <c r="AJ53" s="219">
        <f t="shared" si="45"/>
        <v>30</v>
      </c>
      <c r="AK53" s="219">
        <f t="shared" si="45"/>
        <v>31</v>
      </c>
      <c r="AL53" s="219">
        <f t="shared" si="45"/>
        <v>32</v>
      </c>
      <c r="AM53" s="219">
        <f t="shared" si="45"/>
        <v>33</v>
      </c>
      <c r="AN53" s="219">
        <f t="shared" si="45"/>
        <v>34</v>
      </c>
      <c r="AO53" s="219">
        <f t="shared" si="45"/>
        <v>35</v>
      </c>
      <c r="AP53" s="219">
        <f t="shared" si="45"/>
        <v>36</v>
      </c>
      <c r="AQ53" s="219">
        <f t="shared" si="45"/>
        <v>37</v>
      </c>
      <c r="AR53" s="219">
        <f t="shared" si="45"/>
        <v>38</v>
      </c>
      <c r="AS53" s="219">
        <f t="shared" si="45"/>
        <v>39</v>
      </c>
      <c r="AT53" s="219">
        <f t="shared" si="45"/>
        <v>40</v>
      </c>
      <c r="AU53" s="219">
        <f t="shared" si="45"/>
        <v>41</v>
      </c>
      <c r="AV53" s="219">
        <f t="shared" si="45"/>
        <v>42</v>
      </c>
      <c r="AW53" s="219">
        <f t="shared" si="45"/>
        <v>43</v>
      </c>
      <c r="AX53" s="219">
        <f t="shared" si="45"/>
        <v>44</v>
      </c>
      <c r="AY53" s="219">
        <f t="shared" si="45"/>
        <v>45</v>
      </c>
      <c r="AZ53" s="219">
        <f t="shared" si="45"/>
        <v>46</v>
      </c>
      <c r="BA53" s="219">
        <f t="shared" si="45"/>
        <v>47</v>
      </c>
      <c r="BB53" s="219">
        <f t="shared" si="45"/>
        <v>48</v>
      </c>
      <c r="BC53" s="219">
        <f t="shared" si="45"/>
        <v>49</v>
      </c>
      <c r="BD53" s="219">
        <f t="shared" si="45"/>
        <v>50</v>
      </c>
      <c r="BE53" s="219">
        <f t="shared" si="45"/>
        <v>51</v>
      </c>
      <c r="BF53" s="219">
        <f t="shared" si="45"/>
        <v>52</v>
      </c>
      <c r="BG53" s="219">
        <f t="shared" si="45"/>
        <v>53</v>
      </c>
      <c r="BH53" s="219">
        <f t="shared" si="45"/>
        <v>54</v>
      </c>
      <c r="BI53" s="219">
        <f t="shared" si="45"/>
        <v>55</v>
      </c>
      <c r="BJ53" s="219">
        <f t="shared" si="45"/>
        <v>56</v>
      </c>
      <c r="BK53" s="219">
        <f t="shared" si="45"/>
        <v>57</v>
      </c>
      <c r="BL53" s="219">
        <f t="shared" si="45"/>
        <v>58</v>
      </c>
      <c r="BM53" s="219">
        <f t="shared" si="45"/>
        <v>59</v>
      </c>
      <c r="BN53" s="219">
        <f t="shared" si="45"/>
        <v>60</v>
      </c>
      <c r="BO53" s="219">
        <f t="shared" si="45"/>
        <v>61</v>
      </c>
      <c r="BP53" s="219">
        <f t="shared" si="45"/>
        <v>62</v>
      </c>
      <c r="BQ53" s="219">
        <f t="shared" si="45"/>
        <v>63</v>
      </c>
      <c r="BR53" s="219">
        <f t="shared" si="45"/>
        <v>64</v>
      </c>
      <c r="BS53" s="219">
        <f t="shared" si="45"/>
        <v>65</v>
      </c>
      <c r="BT53" s="219">
        <f t="shared" si="45"/>
        <v>66</v>
      </c>
      <c r="BU53" s="219">
        <f t="shared" si="45"/>
        <v>67</v>
      </c>
      <c r="BV53" s="219">
        <f t="shared" si="45"/>
        <v>68</v>
      </c>
      <c r="BW53" s="219">
        <f t="shared" si="45"/>
        <v>69</v>
      </c>
      <c r="BX53" s="219">
        <f t="shared" si="45"/>
        <v>70</v>
      </c>
      <c r="BY53" s="219">
        <f t="shared" si="45"/>
        <v>71</v>
      </c>
      <c r="BZ53" s="219">
        <f t="shared" si="45"/>
        <v>72</v>
      </c>
      <c r="CA53" s="219">
        <f t="shared" si="45"/>
        <v>73</v>
      </c>
      <c r="CB53" s="219">
        <f t="shared" si="45"/>
        <v>74</v>
      </c>
      <c r="CC53" s="219">
        <f t="shared" si="45"/>
        <v>75</v>
      </c>
      <c r="CD53" s="219">
        <f t="shared" si="45"/>
        <v>76</v>
      </c>
      <c r="CE53" s="219">
        <f t="shared" ref="CE53:EP53" si="46">CD53+1</f>
        <v>77</v>
      </c>
      <c r="CF53" s="219">
        <f t="shared" si="46"/>
        <v>78</v>
      </c>
      <c r="CG53" s="219">
        <f t="shared" si="46"/>
        <v>79</v>
      </c>
      <c r="CH53" s="219">
        <f t="shared" si="46"/>
        <v>80</v>
      </c>
      <c r="CI53" s="219">
        <f t="shared" si="46"/>
        <v>81</v>
      </c>
      <c r="CJ53" s="219">
        <f t="shared" si="46"/>
        <v>82</v>
      </c>
      <c r="CK53" s="219">
        <f t="shared" si="46"/>
        <v>83</v>
      </c>
      <c r="CL53" s="219">
        <f t="shared" si="46"/>
        <v>84</v>
      </c>
      <c r="CM53" s="219">
        <f t="shared" si="46"/>
        <v>85</v>
      </c>
      <c r="CN53" s="219">
        <f t="shared" si="46"/>
        <v>86</v>
      </c>
      <c r="CO53" s="219">
        <f t="shared" si="46"/>
        <v>87</v>
      </c>
      <c r="CP53" s="219">
        <f t="shared" si="46"/>
        <v>88</v>
      </c>
      <c r="CQ53" s="219">
        <f t="shared" si="46"/>
        <v>89</v>
      </c>
      <c r="CR53" s="219">
        <f t="shared" si="46"/>
        <v>90</v>
      </c>
      <c r="CS53" s="219">
        <f t="shared" si="46"/>
        <v>91</v>
      </c>
      <c r="CT53" s="219">
        <f t="shared" si="46"/>
        <v>92</v>
      </c>
      <c r="CU53" s="219">
        <f t="shared" si="46"/>
        <v>93</v>
      </c>
      <c r="CV53" s="219">
        <f t="shared" si="46"/>
        <v>94</v>
      </c>
      <c r="CW53" s="219">
        <f t="shared" si="46"/>
        <v>95</v>
      </c>
      <c r="CX53" s="219">
        <f t="shared" si="46"/>
        <v>96</v>
      </c>
      <c r="CY53" s="219">
        <f t="shared" si="46"/>
        <v>97</v>
      </c>
      <c r="CZ53" s="219">
        <f t="shared" si="46"/>
        <v>98</v>
      </c>
      <c r="DA53" s="219">
        <f t="shared" si="46"/>
        <v>99</v>
      </c>
      <c r="DB53" s="219">
        <f t="shared" si="46"/>
        <v>100</v>
      </c>
      <c r="DC53" s="219">
        <f t="shared" si="46"/>
        <v>101</v>
      </c>
      <c r="DD53" s="219">
        <f t="shared" si="46"/>
        <v>102</v>
      </c>
      <c r="DE53" s="219">
        <f t="shared" si="46"/>
        <v>103</v>
      </c>
      <c r="DF53" s="219">
        <f t="shared" si="46"/>
        <v>104</v>
      </c>
      <c r="DG53" s="219">
        <f t="shared" si="46"/>
        <v>105</v>
      </c>
      <c r="DH53" s="219">
        <f t="shared" si="46"/>
        <v>106</v>
      </c>
      <c r="DI53" s="219">
        <f t="shared" si="46"/>
        <v>107</v>
      </c>
      <c r="DJ53" s="219">
        <f t="shared" si="46"/>
        <v>108</v>
      </c>
      <c r="DK53" s="219">
        <f t="shared" si="46"/>
        <v>109</v>
      </c>
      <c r="DL53" s="219">
        <f t="shared" si="46"/>
        <v>110</v>
      </c>
      <c r="DM53" s="219">
        <f t="shared" si="46"/>
        <v>111</v>
      </c>
      <c r="DN53" s="219">
        <f t="shared" si="46"/>
        <v>112</v>
      </c>
      <c r="DO53" s="219">
        <f t="shared" si="46"/>
        <v>113</v>
      </c>
      <c r="DP53" s="219">
        <f t="shared" si="46"/>
        <v>114</v>
      </c>
      <c r="DQ53" s="219">
        <f t="shared" si="46"/>
        <v>115</v>
      </c>
      <c r="DR53" s="219">
        <f t="shared" si="46"/>
        <v>116</v>
      </c>
      <c r="DS53" s="219">
        <f t="shared" si="46"/>
        <v>117</v>
      </c>
      <c r="DT53" s="219">
        <f t="shared" si="46"/>
        <v>118</v>
      </c>
      <c r="DU53" s="219">
        <f t="shared" si="46"/>
        <v>119</v>
      </c>
      <c r="DV53" s="219">
        <f t="shared" si="46"/>
        <v>120</v>
      </c>
      <c r="DW53" s="219">
        <f t="shared" si="46"/>
        <v>121</v>
      </c>
      <c r="DX53" s="219">
        <f t="shared" si="46"/>
        <v>122</v>
      </c>
      <c r="DY53" s="219">
        <f t="shared" si="46"/>
        <v>123</v>
      </c>
      <c r="DZ53" s="219">
        <f t="shared" si="46"/>
        <v>124</v>
      </c>
      <c r="EA53" s="219">
        <f t="shared" si="46"/>
        <v>125</v>
      </c>
      <c r="EB53" s="219">
        <f t="shared" si="46"/>
        <v>126</v>
      </c>
      <c r="EC53" s="219">
        <f t="shared" si="46"/>
        <v>127</v>
      </c>
      <c r="ED53" s="219">
        <f t="shared" si="46"/>
        <v>128</v>
      </c>
      <c r="EE53" s="219">
        <f t="shared" si="46"/>
        <v>129</v>
      </c>
      <c r="EF53" s="219">
        <f t="shared" si="46"/>
        <v>130</v>
      </c>
      <c r="EG53" s="219">
        <f t="shared" si="46"/>
        <v>131</v>
      </c>
      <c r="EH53" s="219">
        <f t="shared" si="46"/>
        <v>132</v>
      </c>
      <c r="EI53" s="219">
        <f t="shared" si="46"/>
        <v>133</v>
      </c>
      <c r="EJ53" s="219">
        <f t="shared" si="46"/>
        <v>134</v>
      </c>
      <c r="EK53" s="219">
        <f t="shared" si="46"/>
        <v>135</v>
      </c>
      <c r="EL53" s="219">
        <f t="shared" si="46"/>
        <v>136</v>
      </c>
      <c r="EM53" s="219">
        <f t="shared" si="46"/>
        <v>137</v>
      </c>
      <c r="EN53" s="219">
        <f t="shared" si="46"/>
        <v>138</v>
      </c>
      <c r="EO53" s="219">
        <f t="shared" si="46"/>
        <v>139</v>
      </c>
      <c r="EP53" s="219">
        <f t="shared" si="46"/>
        <v>140</v>
      </c>
      <c r="EQ53" s="219">
        <f t="shared" ref="EQ53:FF53" si="47">EP53+1</f>
        <v>141</v>
      </c>
      <c r="ER53" s="219">
        <f t="shared" si="47"/>
        <v>142</v>
      </c>
      <c r="ES53" s="219">
        <f t="shared" si="47"/>
        <v>143</v>
      </c>
      <c r="ET53" s="219">
        <f t="shared" si="47"/>
        <v>144</v>
      </c>
      <c r="EU53" s="219">
        <f t="shared" si="47"/>
        <v>145</v>
      </c>
      <c r="EV53" s="219">
        <f t="shared" si="47"/>
        <v>146</v>
      </c>
      <c r="EW53" s="219">
        <f t="shared" si="47"/>
        <v>147</v>
      </c>
      <c r="EX53" s="219">
        <f t="shared" si="47"/>
        <v>148</v>
      </c>
      <c r="EY53" s="219">
        <f t="shared" si="47"/>
        <v>149</v>
      </c>
      <c r="EZ53" s="219">
        <f t="shared" si="47"/>
        <v>150</v>
      </c>
      <c r="FA53" s="219">
        <f t="shared" si="47"/>
        <v>151</v>
      </c>
      <c r="FB53" s="219">
        <f t="shared" si="47"/>
        <v>152</v>
      </c>
      <c r="FC53" s="219">
        <f t="shared" si="47"/>
        <v>153</v>
      </c>
      <c r="FD53" s="219">
        <f t="shared" si="47"/>
        <v>154</v>
      </c>
      <c r="FE53" s="219">
        <f t="shared" si="47"/>
        <v>155</v>
      </c>
      <c r="FF53" s="219">
        <f t="shared" si="47"/>
        <v>156</v>
      </c>
      <c r="FG53" s="317"/>
      <c r="FH53" s="219"/>
      <c r="FI53" s="219"/>
      <c r="FJ53" s="219"/>
      <c r="FK53" s="219"/>
      <c r="FL53" s="219"/>
      <c r="FM53" s="219"/>
      <c r="FN53" s="219"/>
      <c r="FO53" s="219"/>
      <c r="FP53" s="219"/>
      <c r="FQ53" s="219"/>
      <c r="FR53" s="219"/>
      <c r="FS53" s="219"/>
      <c r="FT53" s="219"/>
      <c r="FU53" s="219"/>
      <c r="FV53" s="317"/>
    </row>
    <row r="54" spans="2:180" s="47" customFormat="1" x14ac:dyDescent="0.2">
      <c r="C54" s="48" t="s">
        <v>196</v>
      </c>
      <c r="D54" s="48"/>
      <c r="E54" s="218"/>
      <c r="F54" s="48">
        <f>YEAR(F55)</f>
        <v>2026</v>
      </c>
      <c r="G54" s="48">
        <f t="shared" ref="G54:BR54" si="48">YEAR(G55)</f>
        <v>2026</v>
      </c>
      <c r="H54" s="48">
        <f t="shared" si="48"/>
        <v>2026</v>
      </c>
      <c r="I54" s="48">
        <f t="shared" si="48"/>
        <v>2026</v>
      </c>
      <c r="J54" s="48">
        <f t="shared" si="48"/>
        <v>2026</v>
      </c>
      <c r="K54" s="48">
        <f t="shared" si="48"/>
        <v>2026</v>
      </c>
      <c r="L54" s="48">
        <f t="shared" si="48"/>
        <v>2026</v>
      </c>
      <c r="M54" s="48">
        <f t="shared" si="48"/>
        <v>2027</v>
      </c>
      <c r="N54" s="48">
        <f t="shared" si="48"/>
        <v>2027</v>
      </c>
      <c r="O54" s="48">
        <f t="shared" si="48"/>
        <v>2027</v>
      </c>
      <c r="P54" s="48">
        <f t="shared" si="48"/>
        <v>2027</v>
      </c>
      <c r="Q54" s="48">
        <f t="shared" si="48"/>
        <v>2027</v>
      </c>
      <c r="R54" s="48">
        <f t="shared" si="48"/>
        <v>2027</v>
      </c>
      <c r="S54" s="48">
        <f t="shared" si="48"/>
        <v>2027</v>
      </c>
      <c r="T54" s="48">
        <f t="shared" si="48"/>
        <v>2027</v>
      </c>
      <c r="U54" s="48">
        <f t="shared" si="48"/>
        <v>2027</v>
      </c>
      <c r="V54" s="48">
        <f t="shared" si="48"/>
        <v>2027</v>
      </c>
      <c r="W54" s="48">
        <f t="shared" si="48"/>
        <v>2027</v>
      </c>
      <c r="X54" s="48">
        <f t="shared" si="48"/>
        <v>2027</v>
      </c>
      <c r="Y54" s="48">
        <f t="shared" si="48"/>
        <v>2028</v>
      </c>
      <c r="Z54" s="48">
        <f t="shared" si="48"/>
        <v>2028</v>
      </c>
      <c r="AA54" s="48">
        <f t="shared" si="48"/>
        <v>2028</v>
      </c>
      <c r="AB54" s="48">
        <f t="shared" si="48"/>
        <v>2028</v>
      </c>
      <c r="AC54" s="48">
        <f t="shared" si="48"/>
        <v>2028</v>
      </c>
      <c r="AD54" s="48">
        <f t="shared" si="48"/>
        <v>2028</v>
      </c>
      <c r="AE54" s="48">
        <f t="shared" si="48"/>
        <v>2028</v>
      </c>
      <c r="AF54" s="48">
        <f t="shared" si="48"/>
        <v>2028</v>
      </c>
      <c r="AG54" s="48">
        <f t="shared" si="48"/>
        <v>2028</v>
      </c>
      <c r="AH54" s="48">
        <f t="shared" si="48"/>
        <v>2028</v>
      </c>
      <c r="AI54" s="48">
        <f t="shared" si="48"/>
        <v>2028</v>
      </c>
      <c r="AJ54" s="48">
        <f t="shared" si="48"/>
        <v>2028</v>
      </c>
      <c r="AK54" s="48">
        <f t="shared" si="48"/>
        <v>2029</v>
      </c>
      <c r="AL54" s="48">
        <f t="shared" si="48"/>
        <v>2029</v>
      </c>
      <c r="AM54" s="48">
        <f t="shared" si="48"/>
        <v>2029</v>
      </c>
      <c r="AN54" s="48">
        <f t="shared" si="48"/>
        <v>2029</v>
      </c>
      <c r="AO54" s="48">
        <f t="shared" si="48"/>
        <v>2029</v>
      </c>
      <c r="AP54" s="48">
        <f t="shared" si="48"/>
        <v>2029</v>
      </c>
      <c r="AQ54" s="48">
        <f t="shared" si="48"/>
        <v>2029</v>
      </c>
      <c r="AR54" s="48">
        <f t="shared" si="48"/>
        <v>2029</v>
      </c>
      <c r="AS54" s="48">
        <f t="shared" si="48"/>
        <v>2029</v>
      </c>
      <c r="AT54" s="48">
        <f t="shared" si="48"/>
        <v>2029</v>
      </c>
      <c r="AU54" s="48">
        <f t="shared" si="48"/>
        <v>2029</v>
      </c>
      <c r="AV54" s="48">
        <f t="shared" si="48"/>
        <v>2029</v>
      </c>
      <c r="AW54" s="48">
        <f t="shared" si="48"/>
        <v>2030</v>
      </c>
      <c r="AX54" s="48">
        <f t="shared" si="48"/>
        <v>2030</v>
      </c>
      <c r="AY54" s="48">
        <f t="shared" si="48"/>
        <v>2030</v>
      </c>
      <c r="AZ54" s="48">
        <f t="shared" si="48"/>
        <v>2030</v>
      </c>
      <c r="BA54" s="48">
        <f t="shared" si="48"/>
        <v>2030</v>
      </c>
      <c r="BB54" s="48">
        <f t="shared" si="48"/>
        <v>2030</v>
      </c>
      <c r="BC54" s="48">
        <f t="shared" si="48"/>
        <v>2030</v>
      </c>
      <c r="BD54" s="48">
        <f t="shared" si="48"/>
        <v>2030</v>
      </c>
      <c r="BE54" s="48">
        <f t="shared" si="48"/>
        <v>2030</v>
      </c>
      <c r="BF54" s="48">
        <f t="shared" si="48"/>
        <v>2030</v>
      </c>
      <c r="BG54" s="48">
        <f t="shared" si="48"/>
        <v>2030</v>
      </c>
      <c r="BH54" s="48">
        <f t="shared" si="48"/>
        <v>2030</v>
      </c>
      <c r="BI54" s="48">
        <f t="shared" si="48"/>
        <v>2031</v>
      </c>
      <c r="BJ54" s="48">
        <f t="shared" si="48"/>
        <v>2031</v>
      </c>
      <c r="BK54" s="48">
        <f t="shared" si="48"/>
        <v>2031</v>
      </c>
      <c r="BL54" s="48">
        <f t="shared" si="48"/>
        <v>2031</v>
      </c>
      <c r="BM54" s="48">
        <f t="shared" si="48"/>
        <v>2031</v>
      </c>
      <c r="BN54" s="48">
        <f t="shared" si="48"/>
        <v>2031</v>
      </c>
      <c r="BO54" s="48">
        <f t="shared" si="48"/>
        <v>2031</v>
      </c>
      <c r="BP54" s="48">
        <f t="shared" si="48"/>
        <v>2031</v>
      </c>
      <c r="BQ54" s="48">
        <f t="shared" si="48"/>
        <v>2031</v>
      </c>
      <c r="BR54" s="48">
        <f t="shared" si="48"/>
        <v>2031</v>
      </c>
      <c r="BS54" s="48">
        <f t="shared" ref="BS54:ED54" si="49">YEAR(BS55)</f>
        <v>2031</v>
      </c>
      <c r="BT54" s="48">
        <f t="shared" si="49"/>
        <v>2031</v>
      </c>
      <c r="BU54" s="48">
        <f t="shared" si="49"/>
        <v>2032</v>
      </c>
      <c r="BV54" s="48">
        <f t="shared" si="49"/>
        <v>2032</v>
      </c>
      <c r="BW54" s="48">
        <f t="shared" si="49"/>
        <v>2032</v>
      </c>
      <c r="BX54" s="48">
        <f t="shared" si="49"/>
        <v>2032</v>
      </c>
      <c r="BY54" s="48">
        <f t="shared" si="49"/>
        <v>2032</v>
      </c>
      <c r="BZ54" s="48">
        <f t="shared" si="49"/>
        <v>2032</v>
      </c>
      <c r="CA54" s="48">
        <f t="shared" si="49"/>
        <v>2032</v>
      </c>
      <c r="CB54" s="48">
        <f t="shared" si="49"/>
        <v>2032</v>
      </c>
      <c r="CC54" s="48">
        <f t="shared" si="49"/>
        <v>2032</v>
      </c>
      <c r="CD54" s="48">
        <f t="shared" si="49"/>
        <v>2032</v>
      </c>
      <c r="CE54" s="48">
        <f t="shared" si="49"/>
        <v>2032</v>
      </c>
      <c r="CF54" s="48">
        <f t="shared" si="49"/>
        <v>2032</v>
      </c>
      <c r="CG54" s="48">
        <f t="shared" si="49"/>
        <v>2033</v>
      </c>
      <c r="CH54" s="48">
        <f t="shared" si="49"/>
        <v>2033</v>
      </c>
      <c r="CI54" s="48">
        <f t="shared" si="49"/>
        <v>2033</v>
      </c>
      <c r="CJ54" s="48">
        <f t="shared" si="49"/>
        <v>2033</v>
      </c>
      <c r="CK54" s="48">
        <f t="shared" si="49"/>
        <v>2033</v>
      </c>
      <c r="CL54" s="48">
        <f t="shared" si="49"/>
        <v>2033</v>
      </c>
      <c r="CM54" s="48">
        <f t="shared" si="49"/>
        <v>2033</v>
      </c>
      <c r="CN54" s="48">
        <f t="shared" si="49"/>
        <v>2033</v>
      </c>
      <c r="CO54" s="48">
        <f t="shared" si="49"/>
        <v>2033</v>
      </c>
      <c r="CP54" s="48">
        <f t="shared" si="49"/>
        <v>2033</v>
      </c>
      <c r="CQ54" s="48">
        <f t="shared" si="49"/>
        <v>2033</v>
      </c>
      <c r="CR54" s="48">
        <f t="shared" si="49"/>
        <v>2033</v>
      </c>
      <c r="CS54" s="48">
        <f t="shared" si="49"/>
        <v>2034</v>
      </c>
      <c r="CT54" s="48">
        <f t="shared" si="49"/>
        <v>2034</v>
      </c>
      <c r="CU54" s="48">
        <f t="shared" si="49"/>
        <v>2034</v>
      </c>
      <c r="CV54" s="48">
        <f t="shared" si="49"/>
        <v>2034</v>
      </c>
      <c r="CW54" s="48">
        <f t="shared" si="49"/>
        <v>2034</v>
      </c>
      <c r="CX54" s="48">
        <f t="shared" si="49"/>
        <v>2034</v>
      </c>
      <c r="CY54" s="48">
        <f t="shared" si="49"/>
        <v>2034</v>
      </c>
      <c r="CZ54" s="48">
        <f t="shared" si="49"/>
        <v>2034</v>
      </c>
      <c r="DA54" s="48">
        <f t="shared" si="49"/>
        <v>2034</v>
      </c>
      <c r="DB54" s="48">
        <f t="shared" si="49"/>
        <v>2034</v>
      </c>
      <c r="DC54" s="48">
        <f t="shared" si="49"/>
        <v>2034</v>
      </c>
      <c r="DD54" s="48">
        <f t="shared" si="49"/>
        <v>2034</v>
      </c>
      <c r="DE54" s="48">
        <f t="shared" si="49"/>
        <v>2035</v>
      </c>
      <c r="DF54" s="48">
        <f t="shared" si="49"/>
        <v>2035</v>
      </c>
      <c r="DG54" s="48">
        <f t="shared" si="49"/>
        <v>2035</v>
      </c>
      <c r="DH54" s="48">
        <f t="shared" si="49"/>
        <v>2035</v>
      </c>
      <c r="DI54" s="48">
        <f t="shared" si="49"/>
        <v>2035</v>
      </c>
      <c r="DJ54" s="48">
        <f t="shared" si="49"/>
        <v>2035</v>
      </c>
      <c r="DK54" s="48">
        <f t="shared" si="49"/>
        <v>2035</v>
      </c>
      <c r="DL54" s="48">
        <f t="shared" si="49"/>
        <v>2035</v>
      </c>
      <c r="DM54" s="48">
        <f t="shared" si="49"/>
        <v>2035</v>
      </c>
      <c r="DN54" s="48">
        <f t="shared" si="49"/>
        <v>2035</v>
      </c>
      <c r="DO54" s="48">
        <f t="shared" si="49"/>
        <v>2035</v>
      </c>
      <c r="DP54" s="48">
        <f t="shared" si="49"/>
        <v>2035</v>
      </c>
      <c r="DQ54" s="48">
        <f t="shared" si="49"/>
        <v>2036</v>
      </c>
      <c r="DR54" s="48">
        <f t="shared" si="49"/>
        <v>2036</v>
      </c>
      <c r="DS54" s="48">
        <f t="shared" si="49"/>
        <v>2036</v>
      </c>
      <c r="DT54" s="48">
        <f t="shared" si="49"/>
        <v>2036</v>
      </c>
      <c r="DU54" s="48">
        <f t="shared" si="49"/>
        <v>2036</v>
      </c>
      <c r="DV54" s="48">
        <f t="shared" si="49"/>
        <v>2036</v>
      </c>
      <c r="DW54" s="48">
        <f t="shared" si="49"/>
        <v>2036</v>
      </c>
      <c r="DX54" s="48">
        <f t="shared" si="49"/>
        <v>2036</v>
      </c>
      <c r="DY54" s="48">
        <f t="shared" si="49"/>
        <v>2036</v>
      </c>
      <c r="DZ54" s="48">
        <f t="shared" si="49"/>
        <v>2036</v>
      </c>
      <c r="EA54" s="48">
        <f t="shared" si="49"/>
        <v>2036</v>
      </c>
      <c r="EB54" s="48">
        <f t="shared" si="49"/>
        <v>2036</v>
      </c>
      <c r="EC54" s="48">
        <f t="shared" si="49"/>
        <v>2037</v>
      </c>
      <c r="ED54" s="48">
        <f t="shared" si="49"/>
        <v>2037</v>
      </c>
      <c r="EE54" s="48">
        <f t="shared" ref="EE54:FF54" si="50">YEAR(EE55)</f>
        <v>2037</v>
      </c>
      <c r="EF54" s="48">
        <f t="shared" si="50"/>
        <v>2037</v>
      </c>
      <c r="EG54" s="48">
        <f t="shared" si="50"/>
        <v>2037</v>
      </c>
      <c r="EH54" s="48">
        <f t="shared" si="50"/>
        <v>2037</v>
      </c>
      <c r="EI54" s="48">
        <f t="shared" si="50"/>
        <v>2037</v>
      </c>
      <c r="EJ54" s="48">
        <f t="shared" si="50"/>
        <v>2037</v>
      </c>
      <c r="EK54" s="48">
        <f t="shared" si="50"/>
        <v>2037</v>
      </c>
      <c r="EL54" s="48">
        <f t="shared" si="50"/>
        <v>2037</v>
      </c>
      <c r="EM54" s="48">
        <f t="shared" si="50"/>
        <v>2037</v>
      </c>
      <c r="EN54" s="48">
        <f t="shared" si="50"/>
        <v>2037</v>
      </c>
      <c r="EO54" s="48">
        <f t="shared" si="50"/>
        <v>2038</v>
      </c>
      <c r="EP54" s="48">
        <f t="shared" si="50"/>
        <v>2038</v>
      </c>
      <c r="EQ54" s="48">
        <f t="shared" si="50"/>
        <v>2038</v>
      </c>
      <c r="ER54" s="48">
        <f t="shared" si="50"/>
        <v>2038</v>
      </c>
      <c r="ES54" s="48">
        <f t="shared" si="50"/>
        <v>2038</v>
      </c>
      <c r="ET54" s="48">
        <f t="shared" si="50"/>
        <v>2038</v>
      </c>
      <c r="EU54" s="48">
        <f t="shared" si="50"/>
        <v>2038</v>
      </c>
      <c r="EV54" s="48">
        <f t="shared" si="50"/>
        <v>2038</v>
      </c>
      <c r="EW54" s="48">
        <f t="shared" si="50"/>
        <v>2038</v>
      </c>
      <c r="EX54" s="48">
        <f t="shared" si="50"/>
        <v>2038</v>
      </c>
      <c r="EY54" s="48">
        <f t="shared" si="50"/>
        <v>2038</v>
      </c>
      <c r="EZ54" s="48">
        <f t="shared" si="50"/>
        <v>2038</v>
      </c>
      <c r="FA54" s="48">
        <f t="shared" si="50"/>
        <v>2039</v>
      </c>
      <c r="FB54" s="48">
        <f t="shared" si="50"/>
        <v>2039</v>
      </c>
      <c r="FC54" s="48">
        <f t="shared" si="50"/>
        <v>2039</v>
      </c>
      <c r="FD54" s="48">
        <f t="shared" si="50"/>
        <v>2039</v>
      </c>
      <c r="FE54" s="48">
        <f t="shared" si="50"/>
        <v>2039</v>
      </c>
      <c r="FF54" s="48">
        <f t="shared" si="50"/>
        <v>2039</v>
      </c>
      <c r="FG54" s="317"/>
      <c r="FH54" s="48">
        <f>YEAR(F9)</f>
        <v>2026</v>
      </c>
      <c r="FI54" s="48">
        <f>FH54+1</f>
        <v>2027</v>
      </c>
      <c r="FJ54" s="48">
        <f t="shared" ref="FJ54:FU54" si="51">FI54+1</f>
        <v>2028</v>
      </c>
      <c r="FK54" s="48">
        <f t="shared" si="51"/>
        <v>2029</v>
      </c>
      <c r="FL54" s="48">
        <f t="shared" si="51"/>
        <v>2030</v>
      </c>
      <c r="FM54" s="48">
        <f t="shared" si="51"/>
        <v>2031</v>
      </c>
      <c r="FN54" s="48">
        <f t="shared" si="51"/>
        <v>2032</v>
      </c>
      <c r="FO54" s="48">
        <f t="shared" si="51"/>
        <v>2033</v>
      </c>
      <c r="FP54" s="48">
        <f t="shared" si="51"/>
        <v>2034</v>
      </c>
      <c r="FQ54" s="48">
        <f t="shared" si="51"/>
        <v>2035</v>
      </c>
      <c r="FR54" s="48">
        <f t="shared" si="51"/>
        <v>2036</v>
      </c>
      <c r="FS54" s="48">
        <f t="shared" si="51"/>
        <v>2037</v>
      </c>
      <c r="FT54" s="48">
        <f t="shared" si="51"/>
        <v>2038</v>
      </c>
      <c r="FU54" s="48">
        <f t="shared" si="51"/>
        <v>2039</v>
      </c>
      <c r="FV54" s="312"/>
    </row>
    <row r="55" spans="2:180" s="47" customFormat="1" x14ac:dyDescent="0.2">
      <c r="C55" s="48" t="s">
        <v>9</v>
      </c>
      <c r="D55" s="48"/>
      <c r="E55" s="218" t="s">
        <v>5</v>
      </c>
      <c r="F55" s="220">
        <f>F9</f>
        <v>46203</v>
      </c>
      <c r="G55" s="220">
        <f t="shared" ref="G55:BS55" si="52">EOMONTH(F55,1)</f>
        <v>46234</v>
      </c>
      <c r="H55" s="220">
        <f t="shared" si="52"/>
        <v>46265</v>
      </c>
      <c r="I55" s="220">
        <f t="shared" si="52"/>
        <v>46295</v>
      </c>
      <c r="J55" s="220">
        <f>EOMONTH(I55,1)</f>
        <v>46326</v>
      </c>
      <c r="K55" s="220">
        <f t="shared" si="52"/>
        <v>46356</v>
      </c>
      <c r="L55" s="220">
        <f t="shared" si="52"/>
        <v>46387</v>
      </c>
      <c r="M55" s="220">
        <f t="shared" si="52"/>
        <v>46418</v>
      </c>
      <c r="N55" s="220">
        <f t="shared" si="52"/>
        <v>46446</v>
      </c>
      <c r="O55" s="220">
        <f t="shared" si="52"/>
        <v>46477</v>
      </c>
      <c r="P55" s="220">
        <f t="shared" si="52"/>
        <v>46507</v>
      </c>
      <c r="Q55" s="220">
        <f t="shared" si="52"/>
        <v>46538</v>
      </c>
      <c r="R55" s="220">
        <f>EOMONTH(Q55,1)</f>
        <v>46568</v>
      </c>
      <c r="S55" s="220">
        <f t="shared" ref="S55:AG55" si="53">EOMONTH(R55,1)</f>
        <v>46599</v>
      </c>
      <c r="T55" s="220">
        <f t="shared" si="53"/>
        <v>46630</v>
      </c>
      <c r="U55" s="220">
        <f t="shared" si="53"/>
        <v>46660</v>
      </c>
      <c r="V55" s="220">
        <f>EOMONTH(U55,1)</f>
        <v>46691</v>
      </c>
      <c r="W55" s="220">
        <f t="shared" si="53"/>
        <v>46721</v>
      </c>
      <c r="X55" s="220">
        <f t="shared" si="53"/>
        <v>46752</v>
      </c>
      <c r="Y55" s="220">
        <f t="shared" si="53"/>
        <v>46783</v>
      </c>
      <c r="Z55" s="220">
        <f t="shared" si="53"/>
        <v>46812</v>
      </c>
      <c r="AA55" s="220">
        <f t="shared" si="53"/>
        <v>46843</v>
      </c>
      <c r="AB55" s="220">
        <f t="shared" si="53"/>
        <v>46873</v>
      </c>
      <c r="AC55" s="220">
        <f t="shared" si="53"/>
        <v>46904</v>
      </c>
      <c r="AD55" s="220">
        <f t="shared" si="53"/>
        <v>46934</v>
      </c>
      <c r="AE55" s="220">
        <f t="shared" si="53"/>
        <v>46965</v>
      </c>
      <c r="AF55" s="220">
        <f t="shared" si="53"/>
        <v>46996</v>
      </c>
      <c r="AG55" s="220">
        <f t="shared" si="53"/>
        <v>47026</v>
      </c>
      <c r="AH55" s="220">
        <f t="shared" si="52"/>
        <v>47057</v>
      </c>
      <c r="AI55" s="220">
        <f t="shared" si="52"/>
        <v>47087</v>
      </c>
      <c r="AJ55" s="220">
        <f t="shared" si="52"/>
        <v>47118</v>
      </c>
      <c r="AK55" s="220">
        <f t="shared" si="52"/>
        <v>47149</v>
      </c>
      <c r="AL55" s="220">
        <f t="shared" si="52"/>
        <v>47177</v>
      </c>
      <c r="AM55" s="220">
        <f t="shared" si="52"/>
        <v>47208</v>
      </c>
      <c r="AN55" s="220">
        <f t="shared" si="52"/>
        <v>47238</v>
      </c>
      <c r="AO55" s="220">
        <f t="shared" si="52"/>
        <v>47269</v>
      </c>
      <c r="AP55" s="220">
        <f t="shared" si="52"/>
        <v>47299</v>
      </c>
      <c r="AQ55" s="220">
        <f t="shared" si="52"/>
        <v>47330</v>
      </c>
      <c r="AR55" s="220">
        <f t="shared" si="52"/>
        <v>47361</v>
      </c>
      <c r="AS55" s="220">
        <f t="shared" si="52"/>
        <v>47391</v>
      </c>
      <c r="AT55" s="220">
        <f t="shared" si="52"/>
        <v>47422</v>
      </c>
      <c r="AU55" s="220">
        <f t="shared" si="52"/>
        <v>47452</v>
      </c>
      <c r="AV55" s="220">
        <f t="shared" si="52"/>
        <v>47483</v>
      </c>
      <c r="AW55" s="220">
        <f t="shared" si="52"/>
        <v>47514</v>
      </c>
      <c r="AX55" s="220">
        <f t="shared" si="52"/>
        <v>47542</v>
      </c>
      <c r="AY55" s="220">
        <f t="shared" si="52"/>
        <v>47573</v>
      </c>
      <c r="AZ55" s="220">
        <f t="shared" si="52"/>
        <v>47603</v>
      </c>
      <c r="BA55" s="220">
        <f t="shared" si="52"/>
        <v>47634</v>
      </c>
      <c r="BB55" s="220">
        <f t="shared" si="52"/>
        <v>47664</v>
      </c>
      <c r="BC55" s="220">
        <f t="shared" si="52"/>
        <v>47695</v>
      </c>
      <c r="BD55" s="220">
        <f t="shared" si="52"/>
        <v>47726</v>
      </c>
      <c r="BE55" s="220">
        <f t="shared" si="52"/>
        <v>47756</v>
      </c>
      <c r="BF55" s="220">
        <f t="shared" si="52"/>
        <v>47787</v>
      </c>
      <c r="BG55" s="220">
        <f t="shared" si="52"/>
        <v>47817</v>
      </c>
      <c r="BH55" s="220">
        <f t="shared" si="52"/>
        <v>47848</v>
      </c>
      <c r="BI55" s="220">
        <f t="shared" si="52"/>
        <v>47879</v>
      </c>
      <c r="BJ55" s="220">
        <f t="shared" si="52"/>
        <v>47907</v>
      </c>
      <c r="BK55" s="220">
        <f t="shared" si="52"/>
        <v>47938</v>
      </c>
      <c r="BL55" s="220">
        <f t="shared" si="52"/>
        <v>47968</v>
      </c>
      <c r="BM55" s="220">
        <f t="shared" si="52"/>
        <v>47999</v>
      </c>
      <c r="BN55" s="220">
        <f t="shared" si="52"/>
        <v>48029</v>
      </c>
      <c r="BO55" s="220">
        <f t="shared" si="52"/>
        <v>48060</v>
      </c>
      <c r="BP55" s="220">
        <f t="shared" si="52"/>
        <v>48091</v>
      </c>
      <c r="BQ55" s="220">
        <f t="shared" si="52"/>
        <v>48121</v>
      </c>
      <c r="BR55" s="220">
        <f t="shared" si="52"/>
        <v>48152</v>
      </c>
      <c r="BS55" s="220">
        <f t="shared" si="52"/>
        <v>48182</v>
      </c>
      <c r="BT55" s="220">
        <f t="shared" ref="BT55:EE55" si="54">EOMONTH(BS55,1)</f>
        <v>48213</v>
      </c>
      <c r="BU55" s="220">
        <f t="shared" si="54"/>
        <v>48244</v>
      </c>
      <c r="BV55" s="220">
        <f t="shared" si="54"/>
        <v>48273</v>
      </c>
      <c r="BW55" s="220">
        <f t="shared" si="54"/>
        <v>48304</v>
      </c>
      <c r="BX55" s="220">
        <f t="shared" si="54"/>
        <v>48334</v>
      </c>
      <c r="BY55" s="220">
        <f t="shared" si="54"/>
        <v>48365</v>
      </c>
      <c r="BZ55" s="220">
        <f t="shared" si="54"/>
        <v>48395</v>
      </c>
      <c r="CA55" s="220">
        <f t="shared" si="54"/>
        <v>48426</v>
      </c>
      <c r="CB55" s="220">
        <f t="shared" si="54"/>
        <v>48457</v>
      </c>
      <c r="CC55" s="220">
        <f t="shared" si="54"/>
        <v>48487</v>
      </c>
      <c r="CD55" s="220">
        <f t="shared" si="54"/>
        <v>48518</v>
      </c>
      <c r="CE55" s="220">
        <f t="shared" si="54"/>
        <v>48548</v>
      </c>
      <c r="CF55" s="220">
        <f t="shared" si="54"/>
        <v>48579</v>
      </c>
      <c r="CG55" s="220">
        <f t="shared" si="54"/>
        <v>48610</v>
      </c>
      <c r="CH55" s="220">
        <f t="shared" si="54"/>
        <v>48638</v>
      </c>
      <c r="CI55" s="220">
        <f t="shared" si="54"/>
        <v>48669</v>
      </c>
      <c r="CJ55" s="220">
        <f t="shared" si="54"/>
        <v>48699</v>
      </c>
      <c r="CK55" s="220">
        <f t="shared" si="54"/>
        <v>48730</v>
      </c>
      <c r="CL55" s="220">
        <f t="shared" si="54"/>
        <v>48760</v>
      </c>
      <c r="CM55" s="220">
        <f t="shared" si="54"/>
        <v>48791</v>
      </c>
      <c r="CN55" s="220">
        <f t="shared" si="54"/>
        <v>48822</v>
      </c>
      <c r="CO55" s="220">
        <f t="shared" si="54"/>
        <v>48852</v>
      </c>
      <c r="CP55" s="220">
        <f t="shared" si="54"/>
        <v>48883</v>
      </c>
      <c r="CQ55" s="220">
        <f t="shared" si="54"/>
        <v>48913</v>
      </c>
      <c r="CR55" s="220">
        <f t="shared" si="54"/>
        <v>48944</v>
      </c>
      <c r="CS55" s="220">
        <f t="shared" si="54"/>
        <v>48975</v>
      </c>
      <c r="CT55" s="220">
        <f t="shared" si="54"/>
        <v>49003</v>
      </c>
      <c r="CU55" s="220">
        <f t="shared" si="54"/>
        <v>49034</v>
      </c>
      <c r="CV55" s="220">
        <f t="shared" si="54"/>
        <v>49064</v>
      </c>
      <c r="CW55" s="220">
        <f t="shared" si="54"/>
        <v>49095</v>
      </c>
      <c r="CX55" s="220">
        <f t="shared" si="54"/>
        <v>49125</v>
      </c>
      <c r="CY55" s="220">
        <f t="shared" si="54"/>
        <v>49156</v>
      </c>
      <c r="CZ55" s="220">
        <f t="shared" si="54"/>
        <v>49187</v>
      </c>
      <c r="DA55" s="220">
        <f t="shared" si="54"/>
        <v>49217</v>
      </c>
      <c r="DB55" s="220">
        <f t="shared" si="54"/>
        <v>49248</v>
      </c>
      <c r="DC55" s="220">
        <f t="shared" si="54"/>
        <v>49278</v>
      </c>
      <c r="DD55" s="220">
        <f t="shared" si="54"/>
        <v>49309</v>
      </c>
      <c r="DE55" s="220">
        <f t="shared" si="54"/>
        <v>49340</v>
      </c>
      <c r="DF55" s="220">
        <f t="shared" si="54"/>
        <v>49368</v>
      </c>
      <c r="DG55" s="220">
        <f t="shared" si="54"/>
        <v>49399</v>
      </c>
      <c r="DH55" s="220">
        <f t="shared" si="54"/>
        <v>49429</v>
      </c>
      <c r="DI55" s="220">
        <f t="shared" si="54"/>
        <v>49460</v>
      </c>
      <c r="DJ55" s="220">
        <f t="shared" si="54"/>
        <v>49490</v>
      </c>
      <c r="DK55" s="220">
        <f t="shared" si="54"/>
        <v>49521</v>
      </c>
      <c r="DL55" s="220">
        <f t="shared" si="54"/>
        <v>49552</v>
      </c>
      <c r="DM55" s="220">
        <f t="shared" si="54"/>
        <v>49582</v>
      </c>
      <c r="DN55" s="220">
        <f t="shared" si="54"/>
        <v>49613</v>
      </c>
      <c r="DO55" s="220">
        <f t="shared" si="54"/>
        <v>49643</v>
      </c>
      <c r="DP55" s="220">
        <f t="shared" si="54"/>
        <v>49674</v>
      </c>
      <c r="DQ55" s="220">
        <f t="shared" si="54"/>
        <v>49705</v>
      </c>
      <c r="DR55" s="220">
        <f t="shared" si="54"/>
        <v>49734</v>
      </c>
      <c r="DS55" s="220">
        <f t="shared" si="54"/>
        <v>49765</v>
      </c>
      <c r="DT55" s="220">
        <f t="shared" si="54"/>
        <v>49795</v>
      </c>
      <c r="DU55" s="220">
        <f t="shared" si="54"/>
        <v>49826</v>
      </c>
      <c r="DV55" s="220">
        <f t="shared" si="54"/>
        <v>49856</v>
      </c>
      <c r="DW55" s="220">
        <f t="shared" si="54"/>
        <v>49887</v>
      </c>
      <c r="DX55" s="220">
        <f t="shared" si="54"/>
        <v>49918</v>
      </c>
      <c r="DY55" s="220">
        <f t="shared" si="54"/>
        <v>49948</v>
      </c>
      <c r="DZ55" s="220">
        <f t="shared" si="54"/>
        <v>49979</v>
      </c>
      <c r="EA55" s="220">
        <f t="shared" si="54"/>
        <v>50009</v>
      </c>
      <c r="EB55" s="220">
        <f t="shared" si="54"/>
        <v>50040</v>
      </c>
      <c r="EC55" s="220">
        <f t="shared" si="54"/>
        <v>50071</v>
      </c>
      <c r="ED55" s="220">
        <f t="shared" si="54"/>
        <v>50099</v>
      </c>
      <c r="EE55" s="220">
        <f t="shared" si="54"/>
        <v>50130</v>
      </c>
      <c r="EF55" s="220">
        <f t="shared" ref="EF55:FF55" si="55">EOMONTH(EE55,1)</f>
        <v>50160</v>
      </c>
      <c r="EG55" s="220">
        <f t="shared" si="55"/>
        <v>50191</v>
      </c>
      <c r="EH55" s="220">
        <f t="shared" si="55"/>
        <v>50221</v>
      </c>
      <c r="EI55" s="220">
        <f t="shared" si="55"/>
        <v>50252</v>
      </c>
      <c r="EJ55" s="220">
        <f t="shared" si="55"/>
        <v>50283</v>
      </c>
      <c r="EK55" s="220">
        <f t="shared" si="55"/>
        <v>50313</v>
      </c>
      <c r="EL55" s="220">
        <f t="shared" si="55"/>
        <v>50344</v>
      </c>
      <c r="EM55" s="220">
        <f t="shared" si="55"/>
        <v>50374</v>
      </c>
      <c r="EN55" s="220">
        <f t="shared" si="55"/>
        <v>50405</v>
      </c>
      <c r="EO55" s="220">
        <f t="shared" si="55"/>
        <v>50436</v>
      </c>
      <c r="EP55" s="220">
        <f t="shared" si="55"/>
        <v>50464</v>
      </c>
      <c r="EQ55" s="220">
        <f t="shared" si="55"/>
        <v>50495</v>
      </c>
      <c r="ER55" s="220">
        <f t="shared" si="55"/>
        <v>50525</v>
      </c>
      <c r="ES55" s="220">
        <f t="shared" si="55"/>
        <v>50556</v>
      </c>
      <c r="ET55" s="220">
        <f t="shared" si="55"/>
        <v>50586</v>
      </c>
      <c r="EU55" s="220">
        <f t="shared" si="55"/>
        <v>50617</v>
      </c>
      <c r="EV55" s="220">
        <f t="shared" si="55"/>
        <v>50648</v>
      </c>
      <c r="EW55" s="220">
        <f t="shared" si="55"/>
        <v>50678</v>
      </c>
      <c r="EX55" s="220">
        <f t="shared" si="55"/>
        <v>50709</v>
      </c>
      <c r="EY55" s="220">
        <f t="shared" si="55"/>
        <v>50739</v>
      </c>
      <c r="EZ55" s="220">
        <f t="shared" si="55"/>
        <v>50770</v>
      </c>
      <c r="FA55" s="220">
        <f t="shared" si="55"/>
        <v>50801</v>
      </c>
      <c r="FB55" s="220">
        <f t="shared" si="55"/>
        <v>50829</v>
      </c>
      <c r="FC55" s="220">
        <f t="shared" si="55"/>
        <v>50860</v>
      </c>
      <c r="FD55" s="220">
        <f t="shared" si="55"/>
        <v>50890</v>
      </c>
      <c r="FE55" s="220">
        <f t="shared" si="55"/>
        <v>50921</v>
      </c>
      <c r="FF55" s="220">
        <f t="shared" si="55"/>
        <v>50951</v>
      </c>
      <c r="FG55" s="318"/>
      <c r="FH55" s="48"/>
      <c r="FI55" s="48"/>
      <c r="FJ55" s="48"/>
      <c r="FK55" s="48"/>
      <c r="FL55" s="48"/>
      <c r="FM55" s="48"/>
      <c r="FN55" s="48"/>
      <c r="FO55" s="48"/>
      <c r="FP55" s="48"/>
      <c r="FQ55" s="48"/>
      <c r="FR55" s="48"/>
      <c r="FS55" s="48"/>
      <c r="FT55" s="48"/>
      <c r="FU55" s="48"/>
      <c r="FV55" s="312"/>
    </row>
    <row r="56" spans="2:180" x14ac:dyDescent="0.2">
      <c r="C56" s="221" t="s">
        <v>174</v>
      </c>
      <c r="D56" s="222"/>
      <c r="E56" s="223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  <c r="AF56" s="22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22"/>
      <c r="AT56" s="222"/>
      <c r="AU56" s="222"/>
      <c r="AV56" s="222"/>
      <c r="AW56" s="222"/>
      <c r="AX56" s="222"/>
      <c r="AY56" s="222"/>
      <c r="AZ56" s="222"/>
      <c r="BA56" s="222"/>
      <c r="BB56" s="222"/>
      <c r="BC56" s="222"/>
      <c r="BD56" s="222"/>
      <c r="BE56" s="222"/>
      <c r="BF56" s="222"/>
      <c r="BG56" s="222"/>
      <c r="BH56" s="222"/>
      <c r="BI56" s="222"/>
      <c r="BJ56" s="222"/>
      <c r="BK56" s="222"/>
      <c r="BL56" s="222"/>
      <c r="BM56" s="222"/>
      <c r="BN56" s="222"/>
      <c r="BO56" s="222"/>
      <c r="BP56" s="222"/>
      <c r="BQ56" s="222"/>
      <c r="BR56" s="222"/>
      <c r="BS56" s="222"/>
      <c r="BT56" s="222"/>
      <c r="BU56" s="222"/>
      <c r="BV56" s="222"/>
      <c r="BW56" s="222"/>
      <c r="BX56" s="222"/>
      <c r="BY56" s="222"/>
      <c r="BZ56" s="222"/>
      <c r="CA56" s="222"/>
      <c r="CB56" s="222"/>
      <c r="CC56" s="222"/>
      <c r="CD56" s="222"/>
      <c r="CE56" s="222"/>
      <c r="CF56" s="222"/>
      <c r="CG56" s="222"/>
      <c r="CH56" s="222"/>
      <c r="CI56" s="222"/>
      <c r="CJ56" s="222"/>
      <c r="CK56" s="222"/>
      <c r="CL56" s="222"/>
      <c r="CM56" s="222"/>
      <c r="CN56" s="222"/>
      <c r="CO56" s="222"/>
      <c r="CP56" s="222"/>
      <c r="CQ56" s="222"/>
      <c r="CR56" s="222"/>
      <c r="CS56" s="222"/>
      <c r="CT56" s="222"/>
      <c r="CU56" s="222"/>
      <c r="CV56" s="222"/>
      <c r="CW56" s="222"/>
      <c r="CX56" s="222"/>
      <c r="CY56" s="222"/>
      <c r="CZ56" s="222"/>
      <c r="DA56" s="222"/>
      <c r="DB56" s="222"/>
      <c r="DC56" s="222"/>
      <c r="DD56" s="222"/>
      <c r="DE56" s="222"/>
      <c r="DF56" s="222"/>
      <c r="DG56" s="222"/>
      <c r="DH56" s="222"/>
      <c r="DI56" s="222"/>
      <c r="DJ56" s="222"/>
      <c r="DK56" s="222"/>
      <c r="DL56" s="222"/>
      <c r="DM56" s="222"/>
      <c r="DN56" s="222"/>
      <c r="DO56" s="222"/>
      <c r="DP56" s="222"/>
      <c r="DQ56" s="222"/>
      <c r="DR56" s="222"/>
      <c r="DS56" s="222"/>
      <c r="DT56" s="222"/>
      <c r="DU56" s="222"/>
      <c r="DV56" s="222"/>
      <c r="DW56" s="222"/>
      <c r="DX56" s="222"/>
      <c r="DY56" s="222"/>
      <c r="DZ56" s="222"/>
      <c r="EA56" s="222"/>
      <c r="EB56" s="222"/>
      <c r="EC56" s="222"/>
      <c r="ED56" s="222"/>
      <c r="EE56" s="222"/>
      <c r="EF56" s="222"/>
      <c r="EG56" s="222"/>
      <c r="EH56" s="222"/>
      <c r="EI56" s="222"/>
      <c r="EJ56" s="222"/>
      <c r="EK56" s="222"/>
      <c r="EL56" s="222"/>
      <c r="EM56" s="222"/>
      <c r="EN56" s="222"/>
      <c r="EO56" s="222"/>
      <c r="EP56" s="222"/>
      <c r="EQ56" s="222"/>
      <c r="ER56" s="222"/>
      <c r="ES56" s="222"/>
      <c r="ET56" s="222"/>
      <c r="EU56" s="222"/>
      <c r="EV56" s="222"/>
      <c r="EW56" s="222"/>
      <c r="EX56" s="222"/>
      <c r="EY56" s="222"/>
      <c r="EZ56" s="222"/>
      <c r="FA56" s="222"/>
      <c r="FB56" s="222"/>
      <c r="FC56" s="222"/>
      <c r="FD56" s="222"/>
      <c r="FE56" s="222"/>
      <c r="FF56" s="222"/>
      <c r="FH56" s="222"/>
      <c r="FI56" s="222"/>
      <c r="FJ56" s="222"/>
      <c r="FK56" s="222"/>
      <c r="FL56" s="222"/>
      <c r="FM56" s="222"/>
      <c r="FN56" s="222"/>
      <c r="FO56" s="222"/>
      <c r="FP56" s="222"/>
      <c r="FQ56" s="222"/>
      <c r="FR56" s="222"/>
      <c r="FS56" s="222"/>
      <c r="FT56" s="222"/>
      <c r="FU56" s="222"/>
    </row>
    <row r="57" spans="2:180" hidden="1" outlineLevel="1" x14ac:dyDescent="0.2">
      <c r="C57" s="47" t="s">
        <v>150</v>
      </c>
      <c r="E57" s="224"/>
    </row>
    <row r="58" spans="2:180" hidden="1" outlineLevel="1" x14ac:dyDescent="0.2">
      <c r="B58" s="47"/>
      <c r="C58" s="39" t="str">
        <f>K28</f>
        <v>Market Rent</v>
      </c>
      <c r="E58" s="224"/>
      <c r="F58" s="225">
        <v>0</v>
      </c>
      <c r="G58" s="225">
        <f t="shared" ref="G58:AL58" si="56">IFERROR(INDEX($M28:$Q28,MATCH(YEAR(G$55),$M$27:$Q$27,0))/12,F58)</f>
        <v>2.5000000000000001E-3</v>
      </c>
      <c r="H58" s="225">
        <f t="shared" si="56"/>
        <v>2.5000000000000001E-3</v>
      </c>
      <c r="I58" s="225">
        <f t="shared" si="56"/>
        <v>2.5000000000000001E-3</v>
      </c>
      <c r="J58" s="225">
        <f t="shared" si="56"/>
        <v>2.5000000000000001E-3</v>
      </c>
      <c r="K58" s="225">
        <f t="shared" si="56"/>
        <v>2.5000000000000001E-3</v>
      </c>
      <c r="L58" s="225">
        <f t="shared" si="56"/>
        <v>2.5000000000000001E-3</v>
      </c>
      <c r="M58" s="225">
        <f t="shared" si="56"/>
        <v>2.5000000000000001E-3</v>
      </c>
      <c r="N58" s="225">
        <f t="shared" si="56"/>
        <v>2.5000000000000001E-3</v>
      </c>
      <c r="O58" s="225">
        <f t="shared" si="56"/>
        <v>2.5000000000000001E-3</v>
      </c>
      <c r="P58" s="225">
        <f t="shared" si="56"/>
        <v>2.5000000000000001E-3</v>
      </c>
      <c r="Q58" s="225">
        <f t="shared" si="56"/>
        <v>2.5000000000000001E-3</v>
      </c>
      <c r="R58" s="225">
        <f t="shared" si="56"/>
        <v>2.5000000000000001E-3</v>
      </c>
      <c r="S58" s="225">
        <f t="shared" si="56"/>
        <v>2.5000000000000001E-3</v>
      </c>
      <c r="T58" s="225">
        <f t="shared" si="56"/>
        <v>2.5000000000000001E-3</v>
      </c>
      <c r="U58" s="225">
        <f t="shared" si="56"/>
        <v>2.5000000000000001E-3</v>
      </c>
      <c r="V58" s="225">
        <f t="shared" si="56"/>
        <v>2.5000000000000001E-3</v>
      </c>
      <c r="W58" s="225">
        <f t="shared" si="56"/>
        <v>2.5000000000000001E-3</v>
      </c>
      <c r="X58" s="225">
        <f t="shared" si="56"/>
        <v>2.5000000000000001E-3</v>
      </c>
      <c r="Y58" s="225">
        <f t="shared" si="56"/>
        <v>2.5000000000000001E-3</v>
      </c>
      <c r="Z58" s="225">
        <f t="shared" si="56"/>
        <v>2.5000000000000001E-3</v>
      </c>
      <c r="AA58" s="225">
        <f t="shared" si="56"/>
        <v>2.5000000000000001E-3</v>
      </c>
      <c r="AB58" s="225">
        <f t="shared" si="56"/>
        <v>2.5000000000000001E-3</v>
      </c>
      <c r="AC58" s="225">
        <f t="shared" si="56"/>
        <v>2.5000000000000001E-3</v>
      </c>
      <c r="AD58" s="225">
        <f t="shared" si="56"/>
        <v>2.5000000000000001E-3</v>
      </c>
      <c r="AE58" s="225">
        <f t="shared" si="56"/>
        <v>2.5000000000000001E-3</v>
      </c>
      <c r="AF58" s="225">
        <f t="shared" si="56"/>
        <v>2.5000000000000001E-3</v>
      </c>
      <c r="AG58" s="225">
        <f t="shared" si="56"/>
        <v>2.5000000000000001E-3</v>
      </c>
      <c r="AH58" s="225">
        <f t="shared" si="56"/>
        <v>2.5000000000000001E-3</v>
      </c>
      <c r="AI58" s="225">
        <f t="shared" si="56"/>
        <v>2.5000000000000001E-3</v>
      </c>
      <c r="AJ58" s="225">
        <f t="shared" si="56"/>
        <v>2.5000000000000001E-3</v>
      </c>
      <c r="AK58" s="225">
        <f t="shared" si="56"/>
        <v>2.5000000000000001E-3</v>
      </c>
      <c r="AL58" s="225">
        <f t="shared" si="56"/>
        <v>2.5000000000000001E-3</v>
      </c>
      <c r="AM58" s="225">
        <f t="shared" ref="AM58:BR58" si="57">IFERROR(INDEX($M28:$Q28,MATCH(YEAR(AM$55),$M$27:$Q$27,0))/12,AL58)</f>
        <v>2.5000000000000001E-3</v>
      </c>
      <c r="AN58" s="225">
        <f t="shared" si="57"/>
        <v>2.5000000000000001E-3</v>
      </c>
      <c r="AO58" s="225">
        <f t="shared" si="57"/>
        <v>2.5000000000000001E-3</v>
      </c>
      <c r="AP58" s="225">
        <f t="shared" si="57"/>
        <v>2.5000000000000001E-3</v>
      </c>
      <c r="AQ58" s="225">
        <f t="shared" si="57"/>
        <v>2.5000000000000001E-3</v>
      </c>
      <c r="AR58" s="225">
        <f t="shared" si="57"/>
        <v>2.5000000000000001E-3</v>
      </c>
      <c r="AS58" s="225">
        <f t="shared" si="57"/>
        <v>2.5000000000000001E-3</v>
      </c>
      <c r="AT58" s="225">
        <f t="shared" si="57"/>
        <v>2.5000000000000001E-3</v>
      </c>
      <c r="AU58" s="225">
        <f t="shared" si="57"/>
        <v>2.5000000000000001E-3</v>
      </c>
      <c r="AV58" s="225">
        <f t="shared" si="57"/>
        <v>2.5000000000000001E-3</v>
      </c>
      <c r="AW58" s="225">
        <f t="shared" si="57"/>
        <v>2.5000000000000001E-3</v>
      </c>
      <c r="AX58" s="225">
        <f t="shared" si="57"/>
        <v>2.5000000000000001E-3</v>
      </c>
      <c r="AY58" s="225">
        <f t="shared" si="57"/>
        <v>2.5000000000000001E-3</v>
      </c>
      <c r="AZ58" s="225">
        <f t="shared" si="57"/>
        <v>2.5000000000000001E-3</v>
      </c>
      <c r="BA58" s="225">
        <f t="shared" si="57"/>
        <v>2.5000000000000001E-3</v>
      </c>
      <c r="BB58" s="225">
        <f t="shared" si="57"/>
        <v>2.5000000000000001E-3</v>
      </c>
      <c r="BC58" s="225">
        <f t="shared" si="57"/>
        <v>2.5000000000000001E-3</v>
      </c>
      <c r="BD58" s="225">
        <f t="shared" si="57"/>
        <v>2.5000000000000001E-3</v>
      </c>
      <c r="BE58" s="225">
        <f t="shared" si="57"/>
        <v>2.5000000000000001E-3</v>
      </c>
      <c r="BF58" s="225">
        <f t="shared" si="57"/>
        <v>2.5000000000000001E-3</v>
      </c>
      <c r="BG58" s="225">
        <f t="shared" si="57"/>
        <v>2.5000000000000001E-3</v>
      </c>
      <c r="BH58" s="225">
        <f t="shared" si="57"/>
        <v>2.5000000000000001E-3</v>
      </c>
      <c r="BI58" s="225">
        <f t="shared" si="57"/>
        <v>2.5000000000000001E-3</v>
      </c>
      <c r="BJ58" s="225">
        <f t="shared" si="57"/>
        <v>2.5000000000000001E-3</v>
      </c>
      <c r="BK58" s="225">
        <f t="shared" si="57"/>
        <v>2.5000000000000001E-3</v>
      </c>
      <c r="BL58" s="225">
        <f t="shared" si="57"/>
        <v>2.5000000000000001E-3</v>
      </c>
      <c r="BM58" s="225">
        <f t="shared" si="57"/>
        <v>2.5000000000000001E-3</v>
      </c>
      <c r="BN58" s="225">
        <f t="shared" si="57"/>
        <v>2.5000000000000001E-3</v>
      </c>
      <c r="BO58" s="225">
        <f t="shared" si="57"/>
        <v>2.5000000000000001E-3</v>
      </c>
      <c r="BP58" s="225">
        <f t="shared" si="57"/>
        <v>2.5000000000000001E-3</v>
      </c>
      <c r="BQ58" s="225">
        <f t="shared" si="57"/>
        <v>2.5000000000000001E-3</v>
      </c>
      <c r="BR58" s="225">
        <f t="shared" si="57"/>
        <v>2.5000000000000001E-3</v>
      </c>
      <c r="BS58" s="225">
        <f t="shared" ref="BS58:CX58" si="58">IFERROR(INDEX($M28:$Q28,MATCH(YEAR(BS$55),$M$27:$Q$27,0))/12,BR58)</f>
        <v>2.5000000000000001E-3</v>
      </c>
      <c r="BT58" s="225">
        <f t="shared" si="58"/>
        <v>2.5000000000000001E-3</v>
      </c>
      <c r="BU58" s="225">
        <f t="shared" si="58"/>
        <v>2.5000000000000001E-3</v>
      </c>
      <c r="BV58" s="225">
        <f t="shared" si="58"/>
        <v>2.5000000000000001E-3</v>
      </c>
      <c r="BW58" s="225">
        <f t="shared" si="58"/>
        <v>2.5000000000000001E-3</v>
      </c>
      <c r="BX58" s="225">
        <f t="shared" si="58"/>
        <v>2.5000000000000001E-3</v>
      </c>
      <c r="BY58" s="225">
        <f t="shared" si="58"/>
        <v>2.5000000000000001E-3</v>
      </c>
      <c r="BZ58" s="225">
        <f t="shared" si="58"/>
        <v>2.5000000000000001E-3</v>
      </c>
      <c r="CA58" s="225">
        <f t="shared" si="58"/>
        <v>2.5000000000000001E-3</v>
      </c>
      <c r="CB58" s="225">
        <f t="shared" si="58"/>
        <v>2.5000000000000001E-3</v>
      </c>
      <c r="CC58" s="225">
        <f t="shared" si="58"/>
        <v>2.5000000000000001E-3</v>
      </c>
      <c r="CD58" s="225">
        <f t="shared" si="58"/>
        <v>2.5000000000000001E-3</v>
      </c>
      <c r="CE58" s="225">
        <f t="shared" si="58"/>
        <v>2.5000000000000001E-3</v>
      </c>
      <c r="CF58" s="225">
        <f t="shared" si="58"/>
        <v>2.5000000000000001E-3</v>
      </c>
      <c r="CG58" s="225">
        <f t="shared" si="58"/>
        <v>2.5000000000000001E-3</v>
      </c>
      <c r="CH58" s="225">
        <f t="shared" si="58"/>
        <v>2.5000000000000001E-3</v>
      </c>
      <c r="CI58" s="225">
        <f t="shared" si="58"/>
        <v>2.5000000000000001E-3</v>
      </c>
      <c r="CJ58" s="225">
        <f t="shared" si="58"/>
        <v>2.5000000000000001E-3</v>
      </c>
      <c r="CK58" s="225">
        <f t="shared" si="58"/>
        <v>2.5000000000000001E-3</v>
      </c>
      <c r="CL58" s="225">
        <f t="shared" si="58"/>
        <v>2.5000000000000001E-3</v>
      </c>
      <c r="CM58" s="225">
        <f t="shared" si="58"/>
        <v>2.5000000000000001E-3</v>
      </c>
      <c r="CN58" s="225">
        <f t="shared" si="58"/>
        <v>2.5000000000000001E-3</v>
      </c>
      <c r="CO58" s="225">
        <f t="shared" si="58"/>
        <v>2.5000000000000001E-3</v>
      </c>
      <c r="CP58" s="225">
        <f t="shared" si="58"/>
        <v>2.5000000000000001E-3</v>
      </c>
      <c r="CQ58" s="225">
        <f t="shared" si="58"/>
        <v>2.5000000000000001E-3</v>
      </c>
      <c r="CR58" s="225">
        <f t="shared" si="58"/>
        <v>2.5000000000000001E-3</v>
      </c>
      <c r="CS58" s="225">
        <f t="shared" si="58"/>
        <v>2.5000000000000001E-3</v>
      </c>
      <c r="CT58" s="225">
        <f t="shared" si="58"/>
        <v>2.5000000000000001E-3</v>
      </c>
      <c r="CU58" s="225">
        <f t="shared" si="58"/>
        <v>2.5000000000000001E-3</v>
      </c>
      <c r="CV58" s="225">
        <f t="shared" si="58"/>
        <v>2.5000000000000001E-3</v>
      </c>
      <c r="CW58" s="225">
        <f t="shared" si="58"/>
        <v>2.5000000000000001E-3</v>
      </c>
      <c r="CX58" s="225">
        <f t="shared" si="58"/>
        <v>2.5000000000000001E-3</v>
      </c>
      <c r="CY58" s="225">
        <f t="shared" ref="CY58:ED58" si="59">IFERROR(INDEX($M28:$Q28,MATCH(YEAR(CY$55),$M$27:$Q$27,0))/12,CX58)</f>
        <v>2.5000000000000001E-3</v>
      </c>
      <c r="CZ58" s="225">
        <f t="shared" si="59"/>
        <v>2.5000000000000001E-3</v>
      </c>
      <c r="DA58" s="225">
        <f t="shared" si="59"/>
        <v>2.5000000000000001E-3</v>
      </c>
      <c r="DB58" s="225">
        <f t="shared" si="59"/>
        <v>2.5000000000000001E-3</v>
      </c>
      <c r="DC58" s="225">
        <f t="shared" si="59"/>
        <v>2.5000000000000001E-3</v>
      </c>
      <c r="DD58" s="225">
        <f t="shared" si="59"/>
        <v>2.5000000000000001E-3</v>
      </c>
      <c r="DE58" s="225">
        <f t="shared" si="59"/>
        <v>2.5000000000000001E-3</v>
      </c>
      <c r="DF58" s="225">
        <f t="shared" si="59"/>
        <v>2.5000000000000001E-3</v>
      </c>
      <c r="DG58" s="225">
        <f t="shared" si="59"/>
        <v>2.5000000000000001E-3</v>
      </c>
      <c r="DH58" s="225">
        <f t="shared" si="59"/>
        <v>2.5000000000000001E-3</v>
      </c>
      <c r="DI58" s="225">
        <f t="shared" si="59"/>
        <v>2.5000000000000001E-3</v>
      </c>
      <c r="DJ58" s="225">
        <f t="shared" si="59"/>
        <v>2.5000000000000001E-3</v>
      </c>
      <c r="DK58" s="225">
        <f t="shared" si="59"/>
        <v>2.5000000000000001E-3</v>
      </c>
      <c r="DL58" s="225">
        <f t="shared" si="59"/>
        <v>2.5000000000000001E-3</v>
      </c>
      <c r="DM58" s="225">
        <f t="shared" si="59"/>
        <v>2.5000000000000001E-3</v>
      </c>
      <c r="DN58" s="225">
        <f t="shared" si="59"/>
        <v>2.5000000000000001E-3</v>
      </c>
      <c r="DO58" s="225">
        <f t="shared" si="59"/>
        <v>2.5000000000000001E-3</v>
      </c>
      <c r="DP58" s="225">
        <f t="shared" si="59"/>
        <v>2.5000000000000001E-3</v>
      </c>
      <c r="DQ58" s="225">
        <f t="shared" si="59"/>
        <v>2.5000000000000001E-3</v>
      </c>
      <c r="DR58" s="225">
        <f t="shared" si="59"/>
        <v>2.5000000000000001E-3</v>
      </c>
      <c r="DS58" s="225">
        <f t="shared" si="59"/>
        <v>2.5000000000000001E-3</v>
      </c>
      <c r="DT58" s="225">
        <f t="shared" si="59"/>
        <v>2.5000000000000001E-3</v>
      </c>
      <c r="DU58" s="225">
        <f t="shared" si="59"/>
        <v>2.5000000000000001E-3</v>
      </c>
      <c r="DV58" s="225">
        <f t="shared" si="59"/>
        <v>2.5000000000000001E-3</v>
      </c>
      <c r="DW58" s="225">
        <f t="shared" si="59"/>
        <v>2.5000000000000001E-3</v>
      </c>
      <c r="DX58" s="225">
        <f t="shared" si="59"/>
        <v>2.5000000000000001E-3</v>
      </c>
      <c r="DY58" s="225">
        <f t="shared" si="59"/>
        <v>2.5000000000000001E-3</v>
      </c>
      <c r="DZ58" s="225">
        <f t="shared" si="59"/>
        <v>2.5000000000000001E-3</v>
      </c>
      <c r="EA58" s="225">
        <f t="shared" si="59"/>
        <v>2.5000000000000001E-3</v>
      </c>
      <c r="EB58" s="225">
        <f t="shared" si="59"/>
        <v>2.5000000000000001E-3</v>
      </c>
      <c r="EC58" s="225">
        <f t="shared" si="59"/>
        <v>2.5000000000000001E-3</v>
      </c>
      <c r="ED58" s="225">
        <f t="shared" si="59"/>
        <v>2.5000000000000001E-3</v>
      </c>
      <c r="EE58" s="225">
        <f t="shared" ref="EE58:FF58" si="60">IFERROR(INDEX($M28:$Q28,MATCH(YEAR(EE$55),$M$27:$Q$27,0))/12,ED58)</f>
        <v>2.5000000000000001E-3</v>
      </c>
      <c r="EF58" s="225">
        <f t="shared" si="60"/>
        <v>2.5000000000000001E-3</v>
      </c>
      <c r="EG58" s="225">
        <f t="shared" si="60"/>
        <v>2.5000000000000001E-3</v>
      </c>
      <c r="EH58" s="225">
        <f t="shared" si="60"/>
        <v>2.5000000000000001E-3</v>
      </c>
      <c r="EI58" s="225">
        <f t="shared" si="60"/>
        <v>2.5000000000000001E-3</v>
      </c>
      <c r="EJ58" s="225">
        <f t="shared" si="60"/>
        <v>2.5000000000000001E-3</v>
      </c>
      <c r="EK58" s="225">
        <f t="shared" si="60"/>
        <v>2.5000000000000001E-3</v>
      </c>
      <c r="EL58" s="225">
        <f t="shared" si="60"/>
        <v>2.5000000000000001E-3</v>
      </c>
      <c r="EM58" s="225">
        <f t="shared" si="60"/>
        <v>2.5000000000000001E-3</v>
      </c>
      <c r="EN58" s="225">
        <f t="shared" si="60"/>
        <v>2.5000000000000001E-3</v>
      </c>
      <c r="EO58" s="225">
        <f t="shared" si="60"/>
        <v>2.5000000000000001E-3</v>
      </c>
      <c r="EP58" s="225">
        <f t="shared" si="60"/>
        <v>2.5000000000000001E-3</v>
      </c>
      <c r="EQ58" s="225">
        <f t="shared" si="60"/>
        <v>2.5000000000000001E-3</v>
      </c>
      <c r="ER58" s="225">
        <f t="shared" si="60"/>
        <v>2.5000000000000001E-3</v>
      </c>
      <c r="ES58" s="225">
        <f t="shared" si="60"/>
        <v>2.5000000000000001E-3</v>
      </c>
      <c r="ET58" s="225">
        <f t="shared" si="60"/>
        <v>2.5000000000000001E-3</v>
      </c>
      <c r="EU58" s="225">
        <f t="shared" si="60"/>
        <v>2.5000000000000001E-3</v>
      </c>
      <c r="EV58" s="225">
        <f t="shared" si="60"/>
        <v>2.5000000000000001E-3</v>
      </c>
      <c r="EW58" s="225">
        <f t="shared" si="60"/>
        <v>2.5000000000000001E-3</v>
      </c>
      <c r="EX58" s="225">
        <f t="shared" si="60"/>
        <v>2.5000000000000001E-3</v>
      </c>
      <c r="EY58" s="225">
        <f t="shared" si="60"/>
        <v>2.5000000000000001E-3</v>
      </c>
      <c r="EZ58" s="225">
        <f t="shared" si="60"/>
        <v>2.5000000000000001E-3</v>
      </c>
      <c r="FA58" s="225">
        <f t="shared" si="60"/>
        <v>2.5000000000000001E-3</v>
      </c>
      <c r="FB58" s="225">
        <f t="shared" si="60"/>
        <v>2.5000000000000001E-3</v>
      </c>
      <c r="FC58" s="225">
        <f t="shared" si="60"/>
        <v>2.5000000000000001E-3</v>
      </c>
      <c r="FD58" s="225">
        <f t="shared" si="60"/>
        <v>2.5000000000000001E-3</v>
      </c>
      <c r="FE58" s="225">
        <f t="shared" si="60"/>
        <v>2.5000000000000001E-3</v>
      </c>
      <c r="FF58" s="225">
        <f t="shared" si="60"/>
        <v>2.5000000000000001E-3</v>
      </c>
      <c r="FG58" s="315"/>
      <c r="FH58" s="225">
        <f>IFERROR(INDEX($M28:$Q28,MATCH(YEAR(FH$55),$M$27:$Q$27,0))/12,EZ58)</f>
        <v>2.5000000000000001E-3</v>
      </c>
      <c r="FI58" s="225"/>
      <c r="FJ58" s="225"/>
      <c r="FK58" s="225"/>
      <c r="FL58" s="225"/>
      <c r="FM58" s="225">
        <f>IFERROR(INDEX($M28:$Q28,MATCH(YEAR(FM$55),$M$27:$Q$27,0))/12,FA58)</f>
        <v>2.5000000000000001E-3</v>
      </c>
      <c r="FN58" s="225">
        <f>IFERROR(INDEX($M28:$Q28,MATCH(YEAR(FN$55),$M$27:$Q$27,0))/12,FB58)</f>
        <v>2.5000000000000001E-3</v>
      </c>
      <c r="FO58" s="225">
        <f>IFERROR(INDEX($M28:$Q28,MATCH(YEAR(FO$55),$M$27:$Q$27,0))/12,FC58)</f>
        <v>2.5000000000000001E-3</v>
      </c>
      <c r="FP58" s="225">
        <f>IFERROR(INDEX($M28:$Q28,MATCH(YEAR(FP$55),$M$27:$Q$27,0))/12,FD58)</f>
        <v>2.5000000000000001E-3</v>
      </c>
      <c r="FQ58" s="225"/>
      <c r="FR58" s="225"/>
      <c r="FS58" s="225"/>
      <c r="FT58" s="225"/>
      <c r="FU58" s="225"/>
      <c r="FV58" s="315"/>
    </row>
    <row r="59" spans="2:180" s="216" customFormat="1" hidden="1" outlineLevel="1" x14ac:dyDescent="0.2">
      <c r="B59" s="226"/>
      <c r="C59" s="216" t="s">
        <v>154</v>
      </c>
      <c r="E59" s="227"/>
      <c r="F59" s="228">
        <v>1</v>
      </c>
      <c r="G59" s="228">
        <f>F59*(1+G58)</f>
        <v>1.0024999999999999</v>
      </c>
      <c r="H59" s="228">
        <f t="shared" ref="H59:BS59" si="61">G59*(1+H58)</f>
        <v>1.0050062499999999</v>
      </c>
      <c r="I59" s="228">
        <f t="shared" si="61"/>
        <v>1.0075187656249998</v>
      </c>
      <c r="J59" s="228">
        <f t="shared" si="61"/>
        <v>1.0100375625390623</v>
      </c>
      <c r="K59" s="228">
        <f t="shared" si="61"/>
        <v>1.01256265644541</v>
      </c>
      <c r="L59" s="228">
        <f t="shared" si="61"/>
        <v>1.0150940630865235</v>
      </c>
      <c r="M59" s="228">
        <f t="shared" si="61"/>
        <v>1.0176317982442398</v>
      </c>
      <c r="N59" s="228">
        <f t="shared" si="61"/>
        <v>1.0201758777398504</v>
      </c>
      <c r="O59" s="228">
        <f t="shared" si="61"/>
        <v>1.0227263174342001</v>
      </c>
      <c r="P59" s="228">
        <f t="shared" si="61"/>
        <v>1.0252831332277854</v>
      </c>
      <c r="Q59" s="228">
        <f t="shared" si="61"/>
        <v>1.0278463410608549</v>
      </c>
      <c r="R59" s="228">
        <f t="shared" si="61"/>
        <v>1.030415956913507</v>
      </c>
      <c r="S59" s="228">
        <f t="shared" si="61"/>
        <v>1.0329919968057906</v>
      </c>
      <c r="T59" s="228">
        <f t="shared" si="61"/>
        <v>1.035574476797805</v>
      </c>
      <c r="U59" s="228">
        <f t="shared" si="61"/>
        <v>1.0381634129897994</v>
      </c>
      <c r="V59" s="228">
        <f t="shared" si="61"/>
        <v>1.0407588215222738</v>
      </c>
      <c r="W59" s="228">
        <f t="shared" si="61"/>
        <v>1.0433607185760794</v>
      </c>
      <c r="X59" s="228">
        <f t="shared" si="61"/>
        <v>1.0459691203725194</v>
      </c>
      <c r="Y59" s="228">
        <f t="shared" si="61"/>
        <v>1.0485840431734508</v>
      </c>
      <c r="Z59" s="228">
        <f t="shared" si="61"/>
        <v>1.0512055032813843</v>
      </c>
      <c r="AA59" s="228">
        <f t="shared" si="61"/>
        <v>1.0538335170395876</v>
      </c>
      <c r="AB59" s="228">
        <f t="shared" si="61"/>
        <v>1.0564681008321866</v>
      </c>
      <c r="AC59" s="228">
        <f t="shared" si="61"/>
        <v>1.0591092710842669</v>
      </c>
      <c r="AD59" s="228">
        <f t="shared" si="61"/>
        <v>1.0617570442619775</v>
      </c>
      <c r="AE59" s="228">
        <f t="shared" si="61"/>
        <v>1.0644114368726323</v>
      </c>
      <c r="AF59" s="228">
        <f t="shared" si="61"/>
        <v>1.0670724654648138</v>
      </c>
      <c r="AG59" s="228">
        <f t="shared" si="61"/>
        <v>1.0697401466284757</v>
      </c>
      <c r="AH59" s="228">
        <f t="shared" si="61"/>
        <v>1.0724144969950469</v>
      </c>
      <c r="AI59" s="228">
        <f t="shared" si="61"/>
        <v>1.0750955332375345</v>
      </c>
      <c r="AJ59" s="228">
        <f t="shared" si="61"/>
        <v>1.0777832720706282</v>
      </c>
      <c r="AK59" s="228">
        <f t="shared" si="61"/>
        <v>1.0804777302508046</v>
      </c>
      <c r="AL59" s="228">
        <f t="shared" si="61"/>
        <v>1.0831789245764316</v>
      </c>
      <c r="AM59" s="228">
        <f t="shared" si="61"/>
        <v>1.0858868718878727</v>
      </c>
      <c r="AN59" s="228">
        <f t="shared" si="61"/>
        <v>1.0886015890675924</v>
      </c>
      <c r="AO59" s="228">
        <f t="shared" si="61"/>
        <v>1.0913230930402613</v>
      </c>
      <c r="AP59" s="228">
        <f t="shared" si="61"/>
        <v>1.0940514007728619</v>
      </c>
      <c r="AQ59" s="228">
        <f t="shared" si="61"/>
        <v>1.096786529274794</v>
      </c>
      <c r="AR59" s="228">
        <f t="shared" si="61"/>
        <v>1.0995284955979809</v>
      </c>
      <c r="AS59" s="228">
        <f t="shared" si="61"/>
        <v>1.1022773168369759</v>
      </c>
      <c r="AT59" s="228">
        <f t="shared" si="61"/>
        <v>1.1050330101290684</v>
      </c>
      <c r="AU59" s="228">
        <f t="shared" si="61"/>
        <v>1.107795592654391</v>
      </c>
      <c r="AV59" s="228">
        <f t="shared" si="61"/>
        <v>1.1105650816360269</v>
      </c>
      <c r="AW59" s="228">
        <f t="shared" si="61"/>
        <v>1.1133414943401168</v>
      </c>
      <c r="AX59" s="228">
        <f t="shared" si="61"/>
        <v>1.1161248480759669</v>
      </c>
      <c r="AY59" s="228">
        <f t="shared" si="61"/>
        <v>1.1189151601961567</v>
      </c>
      <c r="AZ59" s="228">
        <f t="shared" si="61"/>
        <v>1.1217124480966469</v>
      </c>
      <c r="BA59" s="228">
        <f t="shared" si="61"/>
        <v>1.1245167292168885</v>
      </c>
      <c r="BB59" s="228">
        <f t="shared" si="61"/>
        <v>1.1273280210399306</v>
      </c>
      <c r="BC59" s="228">
        <f t="shared" si="61"/>
        <v>1.1301463410925303</v>
      </c>
      <c r="BD59" s="228">
        <f t="shared" si="61"/>
        <v>1.1329717069452616</v>
      </c>
      <c r="BE59" s="228">
        <f t="shared" si="61"/>
        <v>1.1358041362126248</v>
      </c>
      <c r="BF59" s="228">
        <f t="shared" si="61"/>
        <v>1.1386436465531562</v>
      </c>
      <c r="BG59" s="228">
        <f t="shared" si="61"/>
        <v>1.141490255669539</v>
      </c>
      <c r="BH59" s="228">
        <f t="shared" si="61"/>
        <v>1.1443439813087128</v>
      </c>
      <c r="BI59" s="228">
        <f t="shared" si="61"/>
        <v>1.1472048412619846</v>
      </c>
      <c r="BJ59" s="228">
        <f t="shared" si="61"/>
        <v>1.1500728533651394</v>
      </c>
      <c r="BK59" s="228">
        <f t="shared" si="61"/>
        <v>1.1529480354985522</v>
      </c>
      <c r="BL59" s="228">
        <f t="shared" si="61"/>
        <v>1.1558304055872985</v>
      </c>
      <c r="BM59" s="228">
        <f t="shared" si="61"/>
        <v>1.1587199816012668</v>
      </c>
      <c r="BN59" s="228">
        <f t="shared" si="61"/>
        <v>1.1616167815552698</v>
      </c>
      <c r="BO59" s="228">
        <f t="shared" si="61"/>
        <v>1.164520823509158</v>
      </c>
      <c r="BP59" s="228">
        <f t="shared" si="61"/>
        <v>1.1674321255679307</v>
      </c>
      <c r="BQ59" s="228">
        <f t="shared" si="61"/>
        <v>1.1703507058818505</v>
      </c>
      <c r="BR59" s="228">
        <f t="shared" si="61"/>
        <v>1.173276582646555</v>
      </c>
      <c r="BS59" s="228">
        <f t="shared" si="61"/>
        <v>1.1762097741031714</v>
      </c>
      <c r="BT59" s="228">
        <f t="shared" ref="BT59:EE59" si="62">BS59*(1+BT58)</f>
        <v>1.1791502985384292</v>
      </c>
      <c r="BU59" s="228">
        <f t="shared" si="62"/>
        <v>1.1820981742847751</v>
      </c>
      <c r="BV59" s="228">
        <f t="shared" si="62"/>
        <v>1.1850534197204869</v>
      </c>
      <c r="BW59" s="228">
        <f t="shared" si="62"/>
        <v>1.1880160532697881</v>
      </c>
      <c r="BX59" s="228">
        <f t="shared" si="62"/>
        <v>1.1909860934029626</v>
      </c>
      <c r="BY59" s="228">
        <f t="shared" si="62"/>
        <v>1.1939635586364699</v>
      </c>
      <c r="BZ59" s="228">
        <f t="shared" si="62"/>
        <v>1.1969484675330611</v>
      </c>
      <c r="CA59" s="228">
        <f t="shared" si="62"/>
        <v>1.1999408387018937</v>
      </c>
      <c r="CB59" s="228">
        <f t="shared" si="62"/>
        <v>1.2029406907986484</v>
      </c>
      <c r="CC59" s="228">
        <f t="shared" si="62"/>
        <v>1.205948042525645</v>
      </c>
      <c r="CD59" s="228">
        <f t="shared" si="62"/>
        <v>1.208962912631959</v>
      </c>
      <c r="CE59" s="228">
        <f t="shared" si="62"/>
        <v>1.2119853199135389</v>
      </c>
      <c r="CF59" s="228">
        <f t="shared" si="62"/>
        <v>1.2150152832133227</v>
      </c>
      <c r="CG59" s="228">
        <f t="shared" si="62"/>
        <v>1.218052821421356</v>
      </c>
      <c r="CH59" s="228">
        <f t="shared" si="62"/>
        <v>1.2210979534749093</v>
      </c>
      <c r="CI59" s="228">
        <f t="shared" si="62"/>
        <v>1.2241506983585966</v>
      </c>
      <c r="CJ59" s="228">
        <f t="shared" si="62"/>
        <v>1.2272110751044929</v>
      </c>
      <c r="CK59" s="228">
        <f t="shared" si="62"/>
        <v>1.2302791027922542</v>
      </c>
      <c r="CL59" s="228">
        <f t="shared" si="62"/>
        <v>1.2333548005492347</v>
      </c>
      <c r="CM59" s="228">
        <f t="shared" si="62"/>
        <v>1.2364381875506079</v>
      </c>
      <c r="CN59" s="228">
        <f t="shared" si="62"/>
        <v>1.2395292830194844</v>
      </c>
      <c r="CO59" s="228">
        <f t="shared" si="62"/>
        <v>1.242628106227033</v>
      </c>
      <c r="CP59" s="228">
        <f t="shared" si="62"/>
        <v>1.2457346764926005</v>
      </c>
      <c r="CQ59" s="228">
        <f t="shared" si="62"/>
        <v>1.2488490131838319</v>
      </c>
      <c r="CR59" s="228">
        <f t="shared" si="62"/>
        <v>1.2519711357167913</v>
      </c>
      <c r="CS59" s="228">
        <f t="shared" si="62"/>
        <v>1.2551010635560833</v>
      </c>
      <c r="CT59" s="228">
        <f t="shared" si="62"/>
        <v>1.2582388162149734</v>
      </c>
      <c r="CU59" s="228">
        <f t="shared" si="62"/>
        <v>1.2613844132555108</v>
      </c>
      <c r="CV59" s="228">
        <f t="shared" si="62"/>
        <v>1.2645378742886495</v>
      </c>
      <c r="CW59" s="228">
        <f t="shared" si="62"/>
        <v>1.267699218974371</v>
      </c>
      <c r="CX59" s="228">
        <f t="shared" si="62"/>
        <v>1.2708684670218069</v>
      </c>
      <c r="CY59" s="228">
        <f t="shared" si="62"/>
        <v>1.2740456381893615</v>
      </c>
      <c r="CZ59" s="228">
        <f t="shared" si="62"/>
        <v>1.2772307522848347</v>
      </c>
      <c r="DA59" s="228">
        <f t="shared" si="62"/>
        <v>1.2804238291655468</v>
      </c>
      <c r="DB59" s="228">
        <f t="shared" si="62"/>
        <v>1.2836248887384605</v>
      </c>
      <c r="DC59" s="228">
        <f t="shared" si="62"/>
        <v>1.2868339509603066</v>
      </c>
      <c r="DD59" s="228">
        <f t="shared" si="62"/>
        <v>1.2900510358377073</v>
      </c>
      <c r="DE59" s="228">
        <f t="shared" si="62"/>
        <v>1.2932761634273016</v>
      </c>
      <c r="DF59" s="228">
        <f t="shared" si="62"/>
        <v>1.2965093538358698</v>
      </c>
      <c r="DG59" s="228">
        <f t="shared" si="62"/>
        <v>1.2997506272204595</v>
      </c>
      <c r="DH59" s="228">
        <f t="shared" si="62"/>
        <v>1.3030000037885106</v>
      </c>
      <c r="DI59" s="228">
        <f t="shared" si="62"/>
        <v>1.3062575037979818</v>
      </c>
      <c r="DJ59" s="228">
        <f t="shared" si="62"/>
        <v>1.3095231475574767</v>
      </c>
      <c r="DK59" s="228">
        <f t="shared" si="62"/>
        <v>1.3127969554263703</v>
      </c>
      <c r="DL59" s="228">
        <f t="shared" si="62"/>
        <v>1.3160789478149362</v>
      </c>
      <c r="DM59" s="228">
        <f t="shared" si="62"/>
        <v>1.3193691451844733</v>
      </c>
      <c r="DN59" s="228">
        <f t="shared" si="62"/>
        <v>1.3226675680474345</v>
      </c>
      <c r="DO59" s="228">
        <f t="shared" si="62"/>
        <v>1.3259742369675529</v>
      </c>
      <c r="DP59" s="228">
        <f t="shared" si="62"/>
        <v>1.3292891725599718</v>
      </c>
      <c r="DQ59" s="228">
        <f t="shared" si="62"/>
        <v>1.3326123954913716</v>
      </c>
      <c r="DR59" s="228">
        <f t="shared" si="62"/>
        <v>1.3359439264800999</v>
      </c>
      <c r="DS59" s="228">
        <f t="shared" si="62"/>
        <v>1.3392837862963001</v>
      </c>
      <c r="DT59" s="228">
        <f t="shared" si="62"/>
        <v>1.3426319957620407</v>
      </c>
      <c r="DU59" s="228">
        <f t="shared" si="62"/>
        <v>1.3459885757514458</v>
      </c>
      <c r="DV59" s="228">
        <f t="shared" si="62"/>
        <v>1.3493535471908245</v>
      </c>
      <c r="DW59" s="228">
        <f t="shared" si="62"/>
        <v>1.3527269310588015</v>
      </c>
      <c r="DX59" s="228">
        <f t="shared" si="62"/>
        <v>1.3561087483864485</v>
      </c>
      <c r="DY59" s="228">
        <f t="shared" si="62"/>
        <v>1.3594990202574144</v>
      </c>
      <c r="DZ59" s="228">
        <f t="shared" si="62"/>
        <v>1.3628977678080578</v>
      </c>
      <c r="EA59" s="228">
        <f t="shared" si="62"/>
        <v>1.3663050122275779</v>
      </c>
      <c r="EB59" s="228">
        <f t="shared" si="62"/>
        <v>1.3697207747581468</v>
      </c>
      <c r="EC59" s="228">
        <f t="shared" si="62"/>
        <v>1.3731450766950422</v>
      </c>
      <c r="ED59" s="228">
        <f t="shared" si="62"/>
        <v>1.3765779393867796</v>
      </c>
      <c r="EE59" s="228">
        <f t="shared" si="62"/>
        <v>1.3800193842352466</v>
      </c>
      <c r="EF59" s="228">
        <f t="shared" ref="EF59:FF59" si="63">EE59*(1+EF58)</f>
        <v>1.3834694326958346</v>
      </c>
      <c r="EG59" s="228">
        <f t="shared" si="63"/>
        <v>1.386928106277574</v>
      </c>
      <c r="EH59" s="228">
        <f t="shared" si="63"/>
        <v>1.3903954265432679</v>
      </c>
      <c r="EI59" s="228">
        <f t="shared" si="63"/>
        <v>1.3938714151096259</v>
      </c>
      <c r="EJ59" s="228">
        <f t="shared" si="63"/>
        <v>1.3973560936473999</v>
      </c>
      <c r="EK59" s="228">
        <f t="shared" si="63"/>
        <v>1.4008494838815182</v>
      </c>
      <c r="EL59" s="228">
        <f t="shared" si="63"/>
        <v>1.4043516075912219</v>
      </c>
      <c r="EM59" s="228">
        <f t="shared" si="63"/>
        <v>1.4078624866101999</v>
      </c>
      <c r="EN59" s="228">
        <f t="shared" si="63"/>
        <v>1.4113821428267253</v>
      </c>
      <c r="EO59" s="228">
        <f t="shared" si="63"/>
        <v>1.4149105981837919</v>
      </c>
      <c r="EP59" s="228">
        <f t="shared" si="63"/>
        <v>1.4184478746792513</v>
      </c>
      <c r="EQ59" s="228">
        <f t="shared" si="63"/>
        <v>1.4219939943659494</v>
      </c>
      <c r="ER59" s="228">
        <f t="shared" si="63"/>
        <v>1.4255489793518643</v>
      </c>
      <c r="ES59" s="228">
        <f t="shared" si="63"/>
        <v>1.4291128518002438</v>
      </c>
      <c r="ET59" s="228">
        <f t="shared" si="63"/>
        <v>1.4326856339297445</v>
      </c>
      <c r="EU59" s="228">
        <f t="shared" si="63"/>
        <v>1.4362673480145687</v>
      </c>
      <c r="EV59" s="228">
        <f t="shared" si="63"/>
        <v>1.4398580163846051</v>
      </c>
      <c r="EW59" s="228">
        <f t="shared" si="63"/>
        <v>1.4434576614255665</v>
      </c>
      <c r="EX59" s="228">
        <f t="shared" si="63"/>
        <v>1.4470663055791304</v>
      </c>
      <c r="EY59" s="228">
        <f t="shared" si="63"/>
        <v>1.4506839713430781</v>
      </c>
      <c r="EZ59" s="228">
        <f t="shared" si="63"/>
        <v>1.4543106812714357</v>
      </c>
      <c r="FA59" s="228">
        <f t="shared" si="63"/>
        <v>1.4579464579746142</v>
      </c>
      <c r="FB59" s="228">
        <f t="shared" si="63"/>
        <v>1.4615913241195506</v>
      </c>
      <c r="FC59" s="228">
        <f t="shared" si="63"/>
        <v>1.4652453024298495</v>
      </c>
      <c r="FD59" s="228">
        <f t="shared" si="63"/>
        <v>1.468908415685924</v>
      </c>
      <c r="FE59" s="228">
        <f t="shared" si="63"/>
        <v>1.4725806867251388</v>
      </c>
      <c r="FF59" s="228">
        <f t="shared" si="63"/>
        <v>1.4762621384419514</v>
      </c>
      <c r="FG59" s="319"/>
      <c r="FH59" s="228">
        <f t="shared" ref="FH59" si="64">EZ59*(1+FH58)</f>
        <v>1.4579464579746142</v>
      </c>
      <c r="FI59" s="228"/>
      <c r="FJ59" s="228"/>
      <c r="FK59" s="228"/>
      <c r="FL59" s="228"/>
      <c r="FM59" s="228">
        <f>FA59*(1+FM58)</f>
        <v>1.4615913241195506</v>
      </c>
      <c r="FN59" s="228">
        <f>FB59*(1+FN58)</f>
        <v>1.4652453024298495</v>
      </c>
      <c r="FO59" s="228">
        <f>FC59*(1+FO58)</f>
        <v>1.468908415685924</v>
      </c>
      <c r="FP59" s="228">
        <f>FD59*(1+FP58)</f>
        <v>1.4725806867251388</v>
      </c>
      <c r="FQ59" s="228"/>
      <c r="FR59" s="228"/>
      <c r="FS59" s="228"/>
      <c r="FT59" s="228"/>
      <c r="FU59" s="228"/>
      <c r="FV59" s="319"/>
    </row>
    <row r="60" spans="2:180" hidden="1" outlineLevel="1" x14ac:dyDescent="0.2">
      <c r="B60" s="47"/>
      <c r="C60" s="39" t="str">
        <f>K29</f>
        <v>Other Income</v>
      </c>
      <c r="E60" s="224"/>
      <c r="F60" s="225">
        <v>0</v>
      </c>
      <c r="G60" s="225">
        <f t="shared" ref="G60:AL60" si="65">IFERROR(INDEX($M29:$Q29,MATCH(YEAR(G$55),$M$27:$Q$27,0))/12,F60)</f>
        <v>2.5000000000000001E-3</v>
      </c>
      <c r="H60" s="225">
        <f t="shared" si="65"/>
        <v>2.5000000000000001E-3</v>
      </c>
      <c r="I60" s="225">
        <f t="shared" si="65"/>
        <v>2.5000000000000001E-3</v>
      </c>
      <c r="J60" s="225">
        <f t="shared" si="65"/>
        <v>2.5000000000000001E-3</v>
      </c>
      <c r="K60" s="225">
        <f t="shared" si="65"/>
        <v>2.5000000000000001E-3</v>
      </c>
      <c r="L60" s="225">
        <f t="shared" si="65"/>
        <v>2.5000000000000001E-3</v>
      </c>
      <c r="M60" s="225">
        <f t="shared" si="65"/>
        <v>2.5000000000000001E-3</v>
      </c>
      <c r="N60" s="225">
        <f t="shared" si="65"/>
        <v>2.5000000000000001E-3</v>
      </c>
      <c r="O60" s="225">
        <f t="shared" si="65"/>
        <v>2.5000000000000001E-3</v>
      </c>
      <c r="P60" s="225">
        <f t="shared" si="65"/>
        <v>2.5000000000000001E-3</v>
      </c>
      <c r="Q60" s="225">
        <f t="shared" si="65"/>
        <v>2.5000000000000001E-3</v>
      </c>
      <c r="R60" s="225">
        <f t="shared" si="65"/>
        <v>2.5000000000000001E-3</v>
      </c>
      <c r="S60" s="225">
        <f t="shared" si="65"/>
        <v>2.5000000000000001E-3</v>
      </c>
      <c r="T60" s="225">
        <f t="shared" si="65"/>
        <v>2.5000000000000001E-3</v>
      </c>
      <c r="U60" s="225">
        <f t="shared" si="65"/>
        <v>2.5000000000000001E-3</v>
      </c>
      <c r="V60" s="225">
        <f t="shared" si="65"/>
        <v>2.5000000000000001E-3</v>
      </c>
      <c r="W60" s="225">
        <f t="shared" si="65"/>
        <v>2.5000000000000001E-3</v>
      </c>
      <c r="X60" s="225">
        <f t="shared" si="65"/>
        <v>2.5000000000000001E-3</v>
      </c>
      <c r="Y60" s="225">
        <f t="shared" si="65"/>
        <v>2.5000000000000001E-3</v>
      </c>
      <c r="Z60" s="225">
        <f t="shared" si="65"/>
        <v>2.5000000000000001E-3</v>
      </c>
      <c r="AA60" s="225">
        <f t="shared" si="65"/>
        <v>2.5000000000000001E-3</v>
      </c>
      <c r="AB60" s="225">
        <f t="shared" si="65"/>
        <v>2.5000000000000001E-3</v>
      </c>
      <c r="AC60" s="225">
        <f t="shared" si="65"/>
        <v>2.5000000000000001E-3</v>
      </c>
      <c r="AD60" s="225">
        <f t="shared" si="65"/>
        <v>2.5000000000000001E-3</v>
      </c>
      <c r="AE60" s="225">
        <f t="shared" si="65"/>
        <v>2.5000000000000001E-3</v>
      </c>
      <c r="AF60" s="225">
        <f t="shared" si="65"/>
        <v>2.5000000000000001E-3</v>
      </c>
      <c r="AG60" s="225">
        <f t="shared" si="65"/>
        <v>2.5000000000000001E-3</v>
      </c>
      <c r="AH60" s="225">
        <f t="shared" si="65"/>
        <v>2.5000000000000001E-3</v>
      </c>
      <c r="AI60" s="225">
        <f t="shared" si="65"/>
        <v>2.5000000000000001E-3</v>
      </c>
      <c r="AJ60" s="225">
        <f t="shared" si="65"/>
        <v>2.5000000000000001E-3</v>
      </c>
      <c r="AK60" s="225">
        <f t="shared" si="65"/>
        <v>2.5000000000000001E-3</v>
      </c>
      <c r="AL60" s="225">
        <f t="shared" si="65"/>
        <v>2.5000000000000001E-3</v>
      </c>
      <c r="AM60" s="225">
        <f t="shared" ref="AM60:BR60" si="66">IFERROR(INDEX($M29:$Q29,MATCH(YEAR(AM$55),$M$27:$Q$27,0))/12,AL60)</f>
        <v>2.5000000000000001E-3</v>
      </c>
      <c r="AN60" s="225">
        <f t="shared" si="66"/>
        <v>2.5000000000000001E-3</v>
      </c>
      <c r="AO60" s="225">
        <f t="shared" si="66"/>
        <v>2.5000000000000001E-3</v>
      </c>
      <c r="AP60" s="225">
        <f t="shared" si="66"/>
        <v>2.5000000000000001E-3</v>
      </c>
      <c r="AQ60" s="225">
        <f t="shared" si="66"/>
        <v>2.5000000000000001E-3</v>
      </c>
      <c r="AR60" s="225">
        <f t="shared" si="66"/>
        <v>2.5000000000000001E-3</v>
      </c>
      <c r="AS60" s="225">
        <f t="shared" si="66"/>
        <v>2.5000000000000001E-3</v>
      </c>
      <c r="AT60" s="225">
        <f t="shared" si="66"/>
        <v>2.5000000000000001E-3</v>
      </c>
      <c r="AU60" s="225">
        <f t="shared" si="66"/>
        <v>2.5000000000000001E-3</v>
      </c>
      <c r="AV60" s="225">
        <f t="shared" si="66"/>
        <v>2.5000000000000001E-3</v>
      </c>
      <c r="AW60" s="225">
        <f t="shared" si="66"/>
        <v>2.5000000000000001E-3</v>
      </c>
      <c r="AX60" s="225">
        <f t="shared" si="66"/>
        <v>2.5000000000000001E-3</v>
      </c>
      <c r="AY60" s="225">
        <f t="shared" si="66"/>
        <v>2.5000000000000001E-3</v>
      </c>
      <c r="AZ60" s="225">
        <f t="shared" si="66"/>
        <v>2.5000000000000001E-3</v>
      </c>
      <c r="BA60" s="225">
        <f t="shared" si="66"/>
        <v>2.5000000000000001E-3</v>
      </c>
      <c r="BB60" s="225">
        <f t="shared" si="66"/>
        <v>2.5000000000000001E-3</v>
      </c>
      <c r="BC60" s="225">
        <f t="shared" si="66"/>
        <v>2.5000000000000001E-3</v>
      </c>
      <c r="BD60" s="225">
        <f t="shared" si="66"/>
        <v>2.5000000000000001E-3</v>
      </c>
      <c r="BE60" s="225">
        <f t="shared" si="66"/>
        <v>2.5000000000000001E-3</v>
      </c>
      <c r="BF60" s="225">
        <f t="shared" si="66"/>
        <v>2.5000000000000001E-3</v>
      </c>
      <c r="BG60" s="225">
        <f t="shared" si="66"/>
        <v>2.5000000000000001E-3</v>
      </c>
      <c r="BH60" s="225">
        <f t="shared" si="66"/>
        <v>2.5000000000000001E-3</v>
      </c>
      <c r="BI60" s="225">
        <f t="shared" si="66"/>
        <v>2.5000000000000001E-3</v>
      </c>
      <c r="BJ60" s="225">
        <f t="shared" si="66"/>
        <v>2.5000000000000001E-3</v>
      </c>
      <c r="BK60" s="225">
        <f t="shared" si="66"/>
        <v>2.5000000000000001E-3</v>
      </c>
      <c r="BL60" s="225">
        <f t="shared" si="66"/>
        <v>2.5000000000000001E-3</v>
      </c>
      <c r="BM60" s="225">
        <f t="shared" si="66"/>
        <v>2.5000000000000001E-3</v>
      </c>
      <c r="BN60" s="225">
        <f t="shared" si="66"/>
        <v>2.5000000000000001E-3</v>
      </c>
      <c r="BO60" s="225">
        <f t="shared" si="66"/>
        <v>2.5000000000000001E-3</v>
      </c>
      <c r="BP60" s="225">
        <f t="shared" si="66"/>
        <v>2.5000000000000001E-3</v>
      </c>
      <c r="BQ60" s="225">
        <f t="shared" si="66"/>
        <v>2.5000000000000001E-3</v>
      </c>
      <c r="BR60" s="225">
        <f t="shared" si="66"/>
        <v>2.5000000000000001E-3</v>
      </c>
      <c r="BS60" s="225">
        <f t="shared" ref="BS60:CX60" si="67">IFERROR(INDEX($M29:$Q29,MATCH(YEAR(BS$55),$M$27:$Q$27,0))/12,BR60)</f>
        <v>2.5000000000000001E-3</v>
      </c>
      <c r="BT60" s="225">
        <f t="shared" si="67"/>
        <v>2.5000000000000001E-3</v>
      </c>
      <c r="BU60" s="225">
        <f t="shared" si="67"/>
        <v>2.5000000000000001E-3</v>
      </c>
      <c r="BV60" s="225">
        <f t="shared" si="67"/>
        <v>2.5000000000000001E-3</v>
      </c>
      <c r="BW60" s="225">
        <f t="shared" si="67"/>
        <v>2.5000000000000001E-3</v>
      </c>
      <c r="BX60" s="225">
        <f t="shared" si="67"/>
        <v>2.5000000000000001E-3</v>
      </c>
      <c r="BY60" s="225">
        <f t="shared" si="67"/>
        <v>2.5000000000000001E-3</v>
      </c>
      <c r="BZ60" s="225">
        <f t="shared" si="67"/>
        <v>2.5000000000000001E-3</v>
      </c>
      <c r="CA60" s="225">
        <f t="shared" si="67"/>
        <v>2.5000000000000001E-3</v>
      </c>
      <c r="CB60" s="225">
        <f t="shared" si="67"/>
        <v>2.5000000000000001E-3</v>
      </c>
      <c r="CC60" s="225">
        <f t="shared" si="67"/>
        <v>2.5000000000000001E-3</v>
      </c>
      <c r="CD60" s="225">
        <f t="shared" si="67"/>
        <v>2.5000000000000001E-3</v>
      </c>
      <c r="CE60" s="225">
        <f t="shared" si="67"/>
        <v>2.5000000000000001E-3</v>
      </c>
      <c r="CF60" s="225">
        <f t="shared" si="67"/>
        <v>2.5000000000000001E-3</v>
      </c>
      <c r="CG60" s="225">
        <f t="shared" si="67"/>
        <v>2.5000000000000001E-3</v>
      </c>
      <c r="CH60" s="225">
        <f t="shared" si="67"/>
        <v>2.5000000000000001E-3</v>
      </c>
      <c r="CI60" s="225">
        <f t="shared" si="67"/>
        <v>2.5000000000000001E-3</v>
      </c>
      <c r="CJ60" s="225">
        <f t="shared" si="67"/>
        <v>2.5000000000000001E-3</v>
      </c>
      <c r="CK60" s="225">
        <f t="shared" si="67"/>
        <v>2.5000000000000001E-3</v>
      </c>
      <c r="CL60" s="225">
        <f t="shared" si="67"/>
        <v>2.5000000000000001E-3</v>
      </c>
      <c r="CM60" s="225">
        <f t="shared" si="67"/>
        <v>2.5000000000000001E-3</v>
      </c>
      <c r="CN60" s="225">
        <f t="shared" si="67"/>
        <v>2.5000000000000001E-3</v>
      </c>
      <c r="CO60" s="225">
        <f t="shared" si="67"/>
        <v>2.5000000000000001E-3</v>
      </c>
      <c r="CP60" s="225">
        <f t="shared" si="67"/>
        <v>2.5000000000000001E-3</v>
      </c>
      <c r="CQ60" s="225">
        <f t="shared" si="67"/>
        <v>2.5000000000000001E-3</v>
      </c>
      <c r="CR60" s="225">
        <f t="shared" si="67"/>
        <v>2.5000000000000001E-3</v>
      </c>
      <c r="CS60" s="225">
        <f t="shared" si="67"/>
        <v>2.5000000000000001E-3</v>
      </c>
      <c r="CT60" s="225">
        <f t="shared" si="67"/>
        <v>2.5000000000000001E-3</v>
      </c>
      <c r="CU60" s="225">
        <f t="shared" si="67"/>
        <v>2.5000000000000001E-3</v>
      </c>
      <c r="CV60" s="225">
        <f t="shared" si="67"/>
        <v>2.5000000000000001E-3</v>
      </c>
      <c r="CW60" s="225">
        <f t="shared" si="67"/>
        <v>2.5000000000000001E-3</v>
      </c>
      <c r="CX60" s="225">
        <f t="shared" si="67"/>
        <v>2.5000000000000001E-3</v>
      </c>
      <c r="CY60" s="225">
        <f t="shared" ref="CY60:ED60" si="68">IFERROR(INDEX($M29:$Q29,MATCH(YEAR(CY$55),$M$27:$Q$27,0))/12,CX60)</f>
        <v>2.5000000000000001E-3</v>
      </c>
      <c r="CZ60" s="225">
        <f t="shared" si="68"/>
        <v>2.5000000000000001E-3</v>
      </c>
      <c r="DA60" s="225">
        <f t="shared" si="68"/>
        <v>2.5000000000000001E-3</v>
      </c>
      <c r="DB60" s="225">
        <f t="shared" si="68"/>
        <v>2.5000000000000001E-3</v>
      </c>
      <c r="DC60" s="225">
        <f t="shared" si="68"/>
        <v>2.5000000000000001E-3</v>
      </c>
      <c r="DD60" s="225">
        <f t="shared" si="68"/>
        <v>2.5000000000000001E-3</v>
      </c>
      <c r="DE60" s="225">
        <f t="shared" si="68"/>
        <v>2.5000000000000001E-3</v>
      </c>
      <c r="DF60" s="225">
        <f t="shared" si="68"/>
        <v>2.5000000000000001E-3</v>
      </c>
      <c r="DG60" s="225">
        <f t="shared" si="68"/>
        <v>2.5000000000000001E-3</v>
      </c>
      <c r="DH60" s="225">
        <f t="shared" si="68"/>
        <v>2.5000000000000001E-3</v>
      </c>
      <c r="DI60" s="225">
        <f t="shared" si="68"/>
        <v>2.5000000000000001E-3</v>
      </c>
      <c r="DJ60" s="225">
        <f t="shared" si="68"/>
        <v>2.5000000000000001E-3</v>
      </c>
      <c r="DK60" s="225">
        <f t="shared" si="68"/>
        <v>2.5000000000000001E-3</v>
      </c>
      <c r="DL60" s="225">
        <f t="shared" si="68"/>
        <v>2.5000000000000001E-3</v>
      </c>
      <c r="DM60" s="225">
        <f t="shared" si="68"/>
        <v>2.5000000000000001E-3</v>
      </c>
      <c r="DN60" s="225">
        <f t="shared" si="68"/>
        <v>2.5000000000000001E-3</v>
      </c>
      <c r="DO60" s="225">
        <f t="shared" si="68"/>
        <v>2.5000000000000001E-3</v>
      </c>
      <c r="DP60" s="225">
        <f t="shared" si="68"/>
        <v>2.5000000000000001E-3</v>
      </c>
      <c r="DQ60" s="225">
        <f t="shared" si="68"/>
        <v>2.5000000000000001E-3</v>
      </c>
      <c r="DR60" s="225">
        <f t="shared" si="68"/>
        <v>2.5000000000000001E-3</v>
      </c>
      <c r="DS60" s="225">
        <f t="shared" si="68"/>
        <v>2.5000000000000001E-3</v>
      </c>
      <c r="DT60" s="225">
        <f t="shared" si="68"/>
        <v>2.5000000000000001E-3</v>
      </c>
      <c r="DU60" s="225">
        <f t="shared" si="68"/>
        <v>2.5000000000000001E-3</v>
      </c>
      <c r="DV60" s="225">
        <f t="shared" si="68"/>
        <v>2.5000000000000001E-3</v>
      </c>
      <c r="DW60" s="225">
        <f t="shared" si="68"/>
        <v>2.5000000000000001E-3</v>
      </c>
      <c r="DX60" s="225">
        <f t="shared" si="68"/>
        <v>2.5000000000000001E-3</v>
      </c>
      <c r="DY60" s="225">
        <f t="shared" si="68"/>
        <v>2.5000000000000001E-3</v>
      </c>
      <c r="DZ60" s="225">
        <f t="shared" si="68"/>
        <v>2.5000000000000001E-3</v>
      </c>
      <c r="EA60" s="225">
        <f t="shared" si="68"/>
        <v>2.5000000000000001E-3</v>
      </c>
      <c r="EB60" s="225">
        <f t="shared" si="68"/>
        <v>2.5000000000000001E-3</v>
      </c>
      <c r="EC60" s="225">
        <f t="shared" si="68"/>
        <v>2.5000000000000001E-3</v>
      </c>
      <c r="ED60" s="225">
        <f t="shared" si="68"/>
        <v>2.5000000000000001E-3</v>
      </c>
      <c r="EE60" s="225">
        <f t="shared" ref="EE60:FF60" si="69">IFERROR(INDEX($M29:$Q29,MATCH(YEAR(EE$55),$M$27:$Q$27,0))/12,ED60)</f>
        <v>2.5000000000000001E-3</v>
      </c>
      <c r="EF60" s="225">
        <f t="shared" si="69"/>
        <v>2.5000000000000001E-3</v>
      </c>
      <c r="EG60" s="225">
        <f t="shared" si="69"/>
        <v>2.5000000000000001E-3</v>
      </c>
      <c r="EH60" s="225">
        <f t="shared" si="69"/>
        <v>2.5000000000000001E-3</v>
      </c>
      <c r="EI60" s="225">
        <f t="shared" si="69"/>
        <v>2.5000000000000001E-3</v>
      </c>
      <c r="EJ60" s="225">
        <f t="shared" si="69"/>
        <v>2.5000000000000001E-3</v>
      </c>
      <c r="EK60" s="225">
        <f t="shared" si="69"/>
        <v>2.5000000000000001E-3</v>
      </c>
      <c r="EL60" s="225">
        <f t="shared" si="69"/>
        <v>2.5000000000000001E-3</v>
      </c>
      <c r="EM60" s="225">
        <f t="shared" si="69"/>
        <v>2.5000000000000001E-3</v>
      </c>
      <c r="EN60" s="225">
        <f t="shared" si="69"/>
        <v>2.5000000000000001E-3</v>
      </c>
      <c r="EO60" s="225">
        <f t="shared" si="69"/>
        <v>2.5000000000000001E-3</v>
      </c>
      <c r="EP60" s="225">
        <f t="shared" si="69"/>
        <v>2.5000000000000001E-3</v>
      </c>
      <c r="EQ60" s="225">
        <f t="shared" si="69"/>
        <v>2.5000000000000001E-3</v>
      </c>
      <c r="ER60" s="225">
        <f t="shared" si="69"/>
        <v>2.5000000000000001E-3</v>
      </c>
      <c r="ES60" s="225">
        <f t="shared" si="69"/>
        <v>2.5000000000000001E-3</v>
      </c>
      <c r="ET60" s="225">
        <f t="shared" si="69"/>
        <v>2.5000000000000001E-3</v>
      </c>
      <c r="EU60" s="225">
        <f t="shared" si="69"/>
        <v>2.5000000000000001E-3</v>
      </c>
      <c r="EV60" s="225">
        <f t="shared" si="69"/>
        <v>2.5000000000000001E-3</v>
      </c>
      <c r="EW60" s="225">
        <f t="shared" si="69"/>
        <v>2.5000000000000001E-3</v>
      </c>
      <c r="EX60" s="225">
        <f t="shared" si="69"/>
        <v>2.5000000000000001E-3</v>
      </c>
      <c r="EY60" s="225">
        <f t="shared" si="69"/>
        <v>2.5000000000000001E-3</v>
      </c>
      <c r="EZ60" s="225">
        <f t="shared" si="69"/>
        <v>2.5000000000000001E-3</v>
      </c>
      <c r="FA60" s="225">
        <f t="shared" si="69"/>
        <v>2.5000000000000001E-3</v>
      </c>
      <c r="FB60" s="225">
        <f t="shared" si="69"/>
        <v>2.5000000000000001E-3</v>
      </c>
      <c r="FC60" s="225">
        <f t="shared" si="69"/>
        <v>2.5000000000000001E-3</v>
      </c>
      <c r="FD60" s="225">
        <f t="shared" si="69"/>
        <v>2.5000000000000001E-3</v>
      </c>
      <c r="FE60" s="225">
        <f t="shared" si="69"/>
        <v>2.5000000000000001E-3</v>
      </c>
      <c r="FF60" s="225">
        <f t="shared" si="69"/>
        <v>2.5000000000000001E-3</v>
      </c>
      <c r="FG60" s="315"/>
      <c r="FH60" s="225">
        <f>IFERROR(INDEX($M29:$Q29,MATCH(YEAR(FH$55),$M$27:$Q$27,0))/12,EZ60)</f>
        <v>2.5000000000000001E-3</v>
      </c>
      <c r="FI60" s="225"/>
      <c r="FJ60" s="225"/>
      <c r="FK60" s="225"/>
      <c r="FL60" s="225"/>
      <c r="FM60" s="225">
        <f>IFERROR(INDEX($M29:$Q29,MATCH(YEAR(FM$55),$M$27:$Q$27,0))/12,FA60)</f>
        <v>2.5000000000000001E-3</v>
      </c>
      <c r="FN60" s="225">
        <f>IFERROR(INDEX($M29:$Q29,MATCH(YEAR(FN$55),$M$27:$Q$27,0))/12,FB60)</f>
        <v>2.5000000000000001E-3</v>
      </c>
      <c r="FO60" s="225">
        <f>IFERROR(INDEX($M29:$Q29,MATCH(YEAR(FO$55),$M$27:$Q$27,0))/12,FC60)</f>
        <v>2.5000000000000001E-3</v>
      </c>
      <c r="FP60" s="225">
        <f>IFERROR(INDEX($M29:$Q29,MATCH(YEAR(FP$55),$M$27:$Q$27,0))/12,FD60)</f>
        <v>2.5000000000000001E-3</v>
      </c>
      <c r="FQ60" s="225"/>
      <c r="FR60" s="225"/>
      <c r="FS60" s="225"/>
      <c r="FT60" s="225"/>
      <c r="FU60" s="225"/>
      <c r="FV60" s="315"/>
    </row>
    <row r="61" spans="2:180" s="216" customFormat="1" hidden="1" outlineLevel="1" x14ac:dyDescent="0.2">
      <c r="B61" s="226"/>
      <c r="C61" s="216" t="s">
        <v>154</v>
      </c>
      <c r="E61" s="227"/>
      <c r="F61" s="228">
        <v>1</v>
      </c>
      <c r="G61" s="228">
        <f>F61*(1+G60)</f>
        <v>1.0024999999999999</v>
      </c>
      <c r="H61" s="228">
        <f t="shared" ref="H61:BS61" si="70">G61*(1+H60)</f>
        <v>1.0050062499999999</v>
      </c>
      <c r="I61" s="228">
        <f t="shared" si="70"/>
        <v>1.0075187656249998</v>
      </c>
      <c r="J61" s="228">
        <f t="shared" si="70"/>
        <v>1.0100375625390623</v>
      </c>
      <c r="K61" s="228">
        <f t="shared" si="70"/>
        <v>1.01256265644541</v>
      </c>
      <c r="L61" s="228">
        <f t="shared" si="70"/>
        <v>1.0150940630865235</v>
      </c>
      <c r="M61" s="228">
        <f t="shared" si="70"/>
        <v>1.0176317982442398</v>
      </c>
      <c r="N61" s="228">
        <f t="shared" si="70"/>
        <v>1.0201758777398504</v>
      </c>
      <c r="O61" s="228">
        <f t="shared" si="70"/>
        <v>1.0227263174342001</v>
      </c>
      <c r="P61" s="228">
        <f t="shared" si="70"/>
        <v>1.0252831332277854</v>
      </c>
      <c r="Q61" s="228">
        <f t="shared" si="70"/>
        <v>1.0278463410608549</v>
      </c>
      <c r="R61" s="228">
        <f t="shared" si="70"/>
        <v>1.030415956913507</v>
      </c>
      <c r="S61" s="228">
        <f t="shared" si="70"/>
        <v>1.0329919968057906</v>
      </c>
      <c r="T61" s="228">
        <f t="shared" si="70"/>
        <v>1.035574476797805</v>
      </c>
      <c r="U61" s="228">
        <f t="shared" si="70"/>
        <v>1.0381634129897994</v>
      </c>
      <c r="V61" s="228">
        <f t="shared" si="70"/>
        <v>1.0407588215222738</v>
      </c>
      <c r="W61" s="228">
        <f t="shared" si="70"/>
        <v>1.0433607185760794</v>
      </c>
      <c r="X61" s="228">
        <f t="shared" si="70"/>
        <v>1.0459691203725194</v>
      </c>
      <c r="Y61" s="228">
        <f t="shared" si="70"/>
        <v>1.0485840431734508</v>
      </c>
      <c r="Z61" s="228">
        <f t="shared" si="70"/>
        <v>1.0512055032813843</v>
      </c>
      <c r="AA61" s="228">
        <f t="shared" si="70"/>
        <v>1.0538335170395876</v>
      </c>
      <c r="AB61" s="228">
        <f t="shared" si="70"/>
        <v>1.0564681008321866</v>
      </c>
      <c r="AC61" s="228">
        <f t="shared" si="70"/>
        <v>1.0591092710842669</v>
      </c>
      <c r="AD61" s="228">
        <f t="shared" si="70"/>
        <v>1.0617570442619775</v>
      </c>
      <c r="AE61" s="228">
        <f t="shared" si="70"/>
        <v>1.0644114368726323</v>
      </c>
      <c r="AF61" s="228">
        <f t="shared" si="70"/>
        <v>1.0670724654648138</v>
      </c>
      <c r="AG61" s="228">
        <f t="shared" si="70"/>
        <v>1.0697401466284757</v>
      </c>
      <c r="AH61" s="228">
        <f t="shared" si="70"/>
        <v>1.0724144969950469</v>
      </c>
      <c r="AI61" s="228">
        <f t="shared" si="70"/>
        <v>1.0750955332375345</v>
      </c>
      <c r="AJ61" s="228">
        <f t="shared" si="70"/>
        <v>1.0777832720706282</v>
      </c>
      <c r="AK61" s="228">
        <f t="shared" si="70"/>
        <v>1.0804777302508046</v>
      </c>
      <c r="AL61" s="228">
        <f t="shared" si="70"/>
        <v>1.0831789245764316</v>
      </c>
      <c r="AM61" s="228">
        <f t="shared" si="70"/>
        <v>1.0858868718878727</v>
      </c>
      <c r="AN61" s="228">
        <f t="shared" si="70"/>
        <v>1.0886015890675924</v>
      </c>
      <c r="AO61" s="228">
        <f t="shared" si="70"/>
        <v>1.0913230930402613</v>
      </c>
      <c r="AP61" s="228">
        <f t="shared" si="70"/>
        <v>1.0940514007728619</v>
      </c>
      <c r="AQ61" s="228">
        <f t="shared" si="70"/>
        <v>1.096786529274794</v>
      </c>
      <c r="AR61" s="228">
        <f t="shared" si="70"/>
        <v>1.0995284955979809</v>
      </c>
      <c r="AS61" s="228">
        <f t="shared" si="70"/>
        <v>1.1022773168369759</v>
      </c>
      <c r="AT61" s="228">
        <f t="shared" si="70"/>
        <v>1.1050330101290684</v>
      </c>
      <c r="AU61" s="228">
        <f t="shared" si="70"/>
        <v>1.107795592654391</v>
      </c>
      <c r="AV61" s="228">
        <f t="shared" si="70"/>
        <v>1.1105650816360269</v>
      </c>
      <c r="AW61" s="228">
        <f t="shared" si="70"/>
        <v>1.1133414943401168</v>
      </c>
      <c r="AX61" s="228">
        <f t="shared" si="70"/>
        <v>1.1161248480759669</v>
      </c>
      <c r="AY61" s="228">
        <f t="shared" si="70"/>
        <v>1.1189151601961567</v>
      </c>
      <c r="AZ61" s="228">
        <f t="shared" si="70"/>
        <v>1.1217124480966469</v>
      </c>
      <c r="BA61" s="228">
        <f t="shared" si="70"/>
        <v>1.1245167292168885</v>
      </c>
      <c r="BB61" s="228">
        <f t="shared" si="70"/>
        <v>1.1273280210399306</v>
      </c>
      <c r="BC61" s="228">
        <f t="shared" si="70"/>
        <v>1.1301463410925303</v>
      </c>
      <c r="BD61" s="228">
        <f t="shared" si="70"/>
        <v>1.1329717069452616</v>
      </c>
      <c r="BE61" s="228">
        <f t="shared" si="70"/>
        <v>1.1358041362126248</v>
      </c>
      <c r="BF61" s="228">
        <f t="shared" si="70"/>
        <v>1.1386436465531562</v>
      </c>
      <c r="BG61" s="228">
        <f t="shared" si="70"/>
        <v>1.141490255669539</v>
      </c>
      <c r="BH61" s="228">
        <f t="shared" si="70"/>
        <v>1.1443439813087128</v>
      </c>
      <c r="BI61" s="228">
        <f t="shared" si="70"/>
        <v>1.1472048412619846</v>
      </c>
      <c r="BJ61" s="228">
        <f t="shared" si="70"/>
        <v>1.1500728533651394</v>
      </c>
      <c r="BK61" s="228">
        <f t="shared" si="70"/>
        <v>1.1529480354985522</v>
      </c>
      <c r="BL61" s="228">
        <f t="shared" si="70"/>
        <v>1.1558304055872985</v>
      </c>
      <c r="BM61" s="228">
        <f t="shared" si="70"/>
        <v>1.1587199816012668</v>
      </c>
      <c r="BN61" s="228">
        <f t="shared" si="70"/>
        <v>1.1616167815552698</v>
      </c>
      <c r="BO61" s="228">
        <f t="shared" si="70"/>
        <v>1.164520823509158</v>
      </c>
      <c r="BP61" s="228">
        <f t="shared" si="70"/>
        <v>1.1674321255679307</v>
      </c>
      <c r="BQ61" s="228">
        <f t="shared" si="70"/>
        <v>1.1703507058818505</v>
      </c>
      <c r="BR61" s="228">
        <f t="shared" si="70"/>
        <v>1.173276582646555</v>
      </c>
      <c r="BS61" s="228">
        <f t="shared" si="70"/>
        <v>1.1762097741031714</v>
      </c>
      <c r="BT61" s="228">
        <f t="shared" ref="BT61:EE61" si="71">BS61*(1+BT60)</f>
        <v>1.1791502985384292</v>
      </c>
      <c r="BU61" s="228">
        <f t="shared" si="71"/>
        <v>1.1820981742847751</v>
      </c>
      <c r="BV61" s="228">
        <f t="shared" si="71"/>
        <v>1.1850534197204869</v>
      </c>
      <c r="BW61" s="228">
        <f t="shared" si="71"/>
        <v>1.1880160532697881</v>
      </c>
      <c r="BX61" s="228">
        <f t="shared" si="71"/>
        <v>1.1909860934029626</v>
      </c>
      <c r="BY61" s="228">
        <f t="shared" si="71"/>
        <v>1.1939635586364699</v>
      </c>
      <c r="BZ61" s="228">
        <f t="shared" si="71"/>
        <v>1.1969484675330611</v>
      </c>
      <c r="CA61" s="228">
        <f t="shared" si="71"/>
        <v>1.1999408387018937</v>
      </c>
      <c r="CB61" s="228">
        <f t="shared" si="71"/>
        <v>1.2029406907986484</v>
      </c>
      <c r="CC61" s="228">
        <f t="shared" si="71"/>
        <v>1.205948042525645</v>
      </c>
      <c r="CD61" s="228">
        <f t="shared" si="71"/>
        <v>1.208962912631959</v>
      </c>
      <c r="CE61" s="228">
        <f t="shared" si="71"/>
        <v>1.2119853199135389</v>
      </c>
      <c r="CF61" s="228">
        <f t="shared" si="71"/>
        <v>1.2150152832133227</v>
      </c>
      <c r="CG61" s="228">
        <f t="shared" si="71"/>
        <v>1.218052821421356</v>
      </c>
      <c r="CH61" s="228">
        <f t="shared" si="71"/>
        <v>1.2210979534749093</v>
      </c>
      <c r="CI61" s="228">
        <f t="shared" si="71"/>
        <v>1.2241506983585966</v>
      </c>
      <c r="CJ61" s="228">
        <f t="shared" si="71"/>
        <v>1.2272110751044929</v>
      </c>
      <c r="CK61" s="228">
        <f t="shared" si="71"/>
        <v>1.2302791027922542</v>
      </c>
      <c r="CL61" s="228">
        <f t="shared" si="71"/>
        <v>1.2333548005492347</v>
      </c>
      <c r="CM61" s="228">
        <f t="shared" si="71"/>
        <v>1.2364381875506079</v>
      </c>
      <c r="CN61" s="228">
        <f t="shared" si="71"/>
        <v>1.2395292830194844</v>
      </c>
      <c r="CO61" s="228">
        <f t="shared" si="71"/>
        <v>1.242628106227033</v>
      </c>
      <c r="CP61" s="228">
        <f t="shared" si="71"/>
        <v>1.2457346764926005</v>
      </c>
      <c r="CQ61" s="228">
        <f t="shared" si="71"/>
        <v>1.2488490131838319</v>
      </c>
      <c r="CR61" s="228">
        <f t="shared" si="71"/>
        <v>1.2519711357167913</v>
      </c>
      <c r="CS61" s="228">
        <f t="shared" si="71"/>
        <v>1.2551010635560833</v>
      </c>
      <c r="CT61" s="228">
        <f t="shared" si="71"/>
        <v>1.2582388162149734</v>
      </c>
      <c r="CU61" s="228">
        <f t="shared" si="71"/>
        <v>1.2613844132555108</v>
      </c>
      <c r="CV61" s="228">
        <f t="shared" si="71"/>
        <v>1.2645378742886495</v>
      </c>
      <c r="CW61" s="228">
        <f t="shared" si="71"/>
        <v>1.267699218974371</v>
      </c>
      <c r="CX61" s="228">
        <f t="shared" si="71"/>
        <v>1.2708684670218069</v>
      </c>
      <c r="CY61" s="228">
        <f t="shared" si="71"/>
        <v>1.2740456381893615</v>
      </c>
      <c r="CZ61" s="228">
        <f t="shared" si="71"/>
        <v>1.2772307522848347</v>
      </c>
      <c r="DA61" s="228">
        <f t="shared" si="71"/>
        <v>1.2804238291655468</v>
      </c>
      <c r="DB61" s="228">
        <f t="shared" si="71"/>
        <v>1.2836248887384605</v>
      </c>
      <c r="DC61" s="228">
        <f t="shared" si="71"/>
        <v>1.2868339509603066</v>
      </c>
      <c r="DD61" s="228">
        <f t="shared" si="71"/>
        <v>1.2900510358377073</v>
      </c>
      <c r="DE61" s="228">
        <f t="shared" si="71"/>
        <v>1.2932761634273016</v>
      </c>
      <c r="DF61" s="228">
        <f t="shared" si="71"/>
        <v>1.2965093538358698</v>
      </c>
      <c r="DG61" s="228">
        <f t="shared" si="71"/>
        <v>1.2997506272204595</v>
      </c>
      <c r="DH61" s="228">
        <f t="shared" si="71"/>
        <v>1.3030000037885106</v>
      </c>
      <c r="DI61" s="228">
        <f t="shared" si="71"/>
        <v>1.3062575037979818</v>
      </c>
      <c r="DJ61" s="228">
        <f t="shared" si="71"/>
        <v>1.3095231475574767</v>
      </c>
      <c r="DK61" s="228">
        <f t="shared" si="71"/>
        <v>1.3127969554263703</v>
      </c>
      <c r="DL61" s="228">
        <f t="shared" si="71"/>
        <v>1.3160789478149362</v>
      </c>
      <c r="DM61" s="228">
        <f t="shared" si="71"/>
        <v>1.3193691451844733</v>
      </c>
      <c r="DN61" s="228">
        <f t="shared" si="71"/>
        <v>1.3226675680474345</v>
      </c>
      <c r="DO61" s="228">
        <f t="shared" si="71"/>
        <v>1.3259742369675529</v>
      </c>
      <c r="DP61" s="228">
        <f t="shared" si="71"/>
        <v>1.3292891725599718</v>
      </c>
      <c r="DQ61" s="228">
        <f t="shared" si="71"/>
        <v>1.3326123954913716</v>
      </c>
      <c r="DR61" s="228">
        <f t="shared" si="71"/>
        <v>1.3359439264800999</v>
      </c>
      <c r="DS61" s="228">
        <f t="shared" si="71"/>
        <v>1.3392837862963001</v>
      </c>
      <c r="DT61" s="228">
        <f t="shared" si="71"/>
        <v>1.3426319957620407</v>
      </c>
      <c r="DU61" s="228">
        <f t="shared" si="71"/>
        <v>1.3459885757514458</v>
      </c>
      <c r="DV61" s="228">
        <f t="shared" si="71"/>
        <v>1.3493535471908245</v>
      </c>
      <c r="DW61" s="228">
        <f t="shared" si="71"/>
        <v>1.3527269310588015</v>
      </c>
      <c r="DX61" s="228">
        <f t="shared" si="71"/>
        <v>1.3561087483864485</v>
      </c>
      <c r="DY61" s="228">
        <f t="shared" si="71"/>
        <v>1.3594990202574144</v>
      </c>
      <c r="DZ61" s="228">
        <f t="shared" si="71"/>
        <v>1.3628977678080578</v>
      </c>
      <c r="EA61" s="228">
        <f t="shared" si="71"/>
        <v>1.3663050122275779</v>
      </c>
      <c r="EB61" s="228">
        <f t="shared" si="71"/>
        <v>1.3697207747581468</v>
      </c>
      <c r="EC61" s="228">
        <f t="shared" si="71"/>
        <v>1.3731450766950422</v>
      </c>
      <c r="ED61" s="228">
        <f t="shared" si="71"/>
        <v>1.3765779393867796</v>
      </c>
      <c r="EE61" s="228">
        <f t="shared" si="71"/>
        <v>1.3800193842352466</v>
      </c>
      <c r="EF61" s="228">
        <f t="shared" ref="EF61:FF61" si="72">EE61*(1+EF60)</f>
        <v>1.3834694326958346</v>
      </c>
      <c r="EG61" s="228">
        <f t="shared" si="72"/>
        <v>1.386928106277574</v>
      </c>
      <c r="EH61" s="228">
        <f t="shared" si="72"/>
        <v>1.3903954265432679</v>
      </c>
      <c r="EI61" s="228">
        <f t="shared" si="72"/>
        <v>1.3938714151096259</v>
      </c>
      <c r="EJ61" s="228">
        <f t="shared" si="72"/>
        <v>1.3973560936473999</v>
      </c>
      <c r="EK61" s="228">
        <f t="shared" si="72"/>
        <v>1.4008494838815182</v>
      </c>
      <c r="EL61" s="228">
        <f t="shared" si="72"/>
        <v>1.4043516075912219</v>
      </c>
      <c r="EM61" s="228">
        <f t="shared" si="72"/>
        <v>1.4078624866101999</v>
      </c>
      <c r="EN61" s="228">
        <f t="shared" si="72"/>
        <v>1.4113821428267253</v>
      </c>
      <c r="EO61" s="228">
        <f t="shared" si="72"/>
        <v>1.4149105981837919</v>
      </c>
      <c r="EP61" s="228">
        <f t="shared" si="72"/>
        <v>1.4184478746792513</v>
      </c>
      <c r="EQ61" s="228">
        <f t="shared" si="72"/>
        <v>1.4219939943659494</v>
      </c>
      <c r="ER61" s="228">
        <f t="shared" si="72"/>
        <v>1.4255489793518643</v>
      </c>
      <c r="ES61" s="228">
        <f t="shared" si="72"/>
        <v>1.4291128518002438</v>
      </c>
      <c r="ET61" s="228">
        <f t="shared" si="72"/>
        <v>1.4326856339297445</v>
      </c>
      <c r="EU61" s="228">
        <f t="shared" si="72"/>
        <v>1.4362673480145687</v>
      </c>
      <c r="EV61" s="228">
        <f t="shared" si="72"/>
        <v>1.4398580163846051</v>
      </c>
      <c r="EW61" s="228">
        <f t="shared" si="72"/>
        <v>1.4434576614255665</v>
      </c>
      <c r="EX61" s="228">
        <f t="shared" si="72"/>
        <v>1.4470663055791304</v>
      </c>
      <c r="EY61" s="228">
        <f t="shared" si="72"/>
        <v>1.4506839713430781</v>
      </c>
      <c r="EZ61" s="228">
        <f t="shared" si="72"/>
        <v>1.4543106812714357</v>
      </c>
      <c r="FA61" s="228">
        <f t="shared" si="72"/>
        <v>1.4579464579746142</v>
      </c>
      <c r="FB61" s="228">
        <f t="shared" si="72"/>
        <v>1.4615913241195506</v>
      </c>
      <c r="FC61" s="228">
        <f t="shared" si="72"/>
        <v>1.4652453024298495</v>
      </c>
      <c r="FD61" s="228">
        <f t="shared" si="72"/>
        <v>1.468908415685924</v>
      </c>
      <c r="FE61" s="228">
        <f t="shared" si="72"/>
        <v>1.4725806867251388</v>
      </c>
      <c r="FF61" s="228">
        <f t="shared" si="72"/>
        <v>1.4762621384419514</v>
      </c>
      <c r="FG61" s="319"/>
      <c r="FH61" s="228">
        <f t="shared" ref="FH61" si="73">EZ61*(1+FH60)</f>
        <v>1.4579464579746142</v>
      </c>
      <c r="FI61" s="228"/>
      <c r="FJ61" s="228"/>
      <c r="FK61" s="228"/>
      <c r="FL61" s="228"/>
      <c r="FM61" s="228">
        <f>FA61*(1+FM60)</f>
        <v>1.4615913241195506</v>
      </c>
      <c r="FN61" s="228">
        <f>FB61*(1+FN60)</f>
        <v>1.4652453024298495</v>
      </c>
      <c r="FO61" s="228">
        <f>FC61*(1+FO60)</f>
        <v>1.468908415685924</v>
      </c>
      <c r="FP61" s="228">
        <f>FD61*(1+FP60)</f>
        <v>1.4725806867251388</v>
      </c>
      <c r="FQ61" s="228"/>
      <c r="FR61" s="228"/>
      <c r="FS61" s="228"/>
      <c r="FT61" s="228"/>
      <c r="FU61" s="228"/>
      <c r="FV61" s="319"/>
    </row>
    <row r="62" spans="2:180" hidden="1" outlineLevel="1" x14ac:dyDescent="0.2">
      <c r="B62" s="47"/>
      <c r="C62" s="39" t="str">
        <f>K30</f>
        <v>Operating Expenses</v>
      </c>
      <c r="E62" s="224"/>
      <c r="F62" s="225">
        <v>0</v>
      </c>
      <c r="G62" s="225">
        <f t="shared" ref="G62:AL62" si="74">IFERROR(INDEX($M30:$Q30,MATCH(YEAR(G$55),$M$27:$Q$27,0))/12,F62)</f>
        <v>2.5000000000000001E-3</v>
      </c>
      <c r="H62" s="225">
        <f t="shared" si="74"/>
        <v>2.5000000000000001E-3</v>
      </c>
      <c r="I62" s="225">
        <f t="shared" si="74"/>
        <v>2.5000000000000001E-3</v>
      </c>
      <c r="J62" s="225">
        <f t="shared" si="74"/>
        <v>2.5000000000000001E-3</v>
      </c>
      <c r="K62" s="225">
        <f t="shared" si="74"/>
        <v>2.5000000000000001E-3</v>
      </c>
      <c r="L62" s="225">
        <f t="shared" si="74"/>
        <v>2.5000000000000001E-3</v>
      </c>
      <c r="M62" s="225">
        <f t="shared" si="74"/>
        <v>2.5000000000000001E-3</v>
      </c>
      <c r="N62" s="225">
        <f t="shared" si="74"/>
        <v>2.5000000000000001E-3</v>
      </c>
      <c r="O62" s="225">
        <f t="shared" si="74"/>
        <v>2.5000000000000001E-3</v>
      </c>
      <c r="P62" s="225">
        <f t="shared" si="74"/>
        <v>2.5000000000000001E-3</v>
      </c>
      <c r="Q62" s="225">
        <f t="shared" si="74"/>
        <v>2.5000000000000001E-3</v>
      </c>
      <c r="R62" s="225">
        <f t="shared" si="74"/>
        <v>2.5000000000000001E-3</v>
      </c>
      <c r="S62" s="225">
        <f t="shared" si="74"/>
        <v>2.5000000000000001E-3</v>
      </c>
      <c r="T62" s="225">
        <f t="shared" si="74"/>
        <v>2.5000000000000001E-3</v>
      </c>
      <c r="U62" s="225">
        <f t="shared" si="74"/>
        <v>2.5000000000000001E-3</v>
      </c>
      <c r="V62" s="225">
        <f t="shared" si="74"/>
        <v>2.5000000000000001E-3</v>
      </c>
      <c r="W62" s="225">
        <f t="shared" si="74"/>
        <v>2.5000000000000001E-3</v>
      </c>
      <c r="X62" s="225">
        <f t="shared" si="74"/>
        <v>2.5000000000000001E-3</v>
      </c>
      <c r="Y62" s="225">
        <f t="shared" si="74"/>
        <v>2.5000000000000001E-3</v>
      </c>
      <c r="Z62" s="225">
        <f t="shared" si="74"/>
        <v>2.5000000000000001E-3</v>
      </c>
      <c r="AA62" s="225">
        <f t="shared" si="74"/>
        <v>2.5000000000000001E-3</v>
      </c>
      <c r="AB62" s="225">
        <f t="shared" si="74"/>
        <v>2.5000000000000001E-3</v>
      </c>
      <c r="AC62" s="225">
        <f t="shared" si="74"/>
        <v>2.5000000000000001E-3</v>
      </c>
      <c r="AD62" s="225">
        <f t="shared" si="74"/>
        <v>2.5000000000000001E-3</v>
      </c>
      <c r="AE62" s="225">
        <f t="shared" si="74"/>
        <v>2.5000000000000001E-3</v>
      </c>
      <c r="AF62" s="225">
        <f t="shared" si="74"/>
        <v>2.5000000000000001E-3</v>
      </c>
      <c r="AG62" s="225">
        <f t="shared" si="74"/>
        <v>2.5000000000000001E-3</v>
      </c>
      <c r="AH62" s="225">
        <f t="shared" si="74"/>
        <v>2.5000000000000001E-3</v>
      </c>
      <c r="AI62" s="225">
        <f t="shared" si="74"/>
        <v>2.5000000000000001E-3</v>
      </c>
      <c r="AJ62" s="225">
        <f t="shared" si="74"/>
        <v>2.5000000000000001E-3</v>
      </c>
      <c r="AK62" s="225">
        <f t="shared" si="74"/>
        <v>2.5000000000000001E-3</v>
      </c>
      <c r="AL62" s="225">
        <f t="shared" si="74"/>
        <v>2.5000000000000001E-3</v>
      </c>
      <c r="AM62" s="225">
        <f t="shared" ref="AM62:BR62" si="75">IFERROR(INDEX($M30:$Q30,MATCH(YEAR(AM$55),$M$27:$Q$27,0))/12,AL62)</f>
        <v>2.5000000000000001E-3</v>
      </c>
      <c r="AN62" s="225">
        <f t="shared" si="75"/>
        <v>2.5000000000000001E-3</v>
      </c>
      <c r="AO62" s="225">
        <f t="shared" si="75"/>
        <v>2.5000000000000001E-3</v>
      </c>
      <c r="AP62" s="225">
        <f t="shared" si="75"/>
        <v>2.5000000000000001E-3</v>
      </c>
      <c r="AQ62" s="225">
        <f t="shared" si="75"/>
        <v>2.5000000000000001E-3</v>
      </c>
      <c r="AR62" s="225">
        <f t="shared" si="75"/>
        <v>2.5000000000000001E-3</v>
      </c>
      <c r="AS62" s="225">
        <f t="shared" si="75"/>
        <v>2.5000000000000001E-3</v>
      </c>
      <c r="AT62" s="225">
        <f t="shared" si="75"/>
        <v>2.5000000000000001E-3</v>
      </c>
      <c r="AU62" s="225">
        <f t="shared" si="75"/>
        <v>2.5000000000000001E-3</v>
      </c>
      <c r="AV62" s="225">
        <f t="shared" si="75"/>
        <v>2.5000000000000001E-3</v>
      </c>
      <c r="AW62" s="225">
        <f t="shared" si="75"/>
        <v>2.5000000000000001E-3</v>
      </c>
      <c r="AX62" s="225">
        <f t="shared" si="75"/>
        <v>2.5000000000000001E-3</v>
      </c>
      <c r="AY62" s="225">
        <f t="shared" si="75"/>
        <v>2.5000000000000001E-3</v>
      </c>
      <c r="AZ62" s="225">
        <f t="shared" si="75"/>
        <v>2.5000000000000001E-3</v>
      </c>
      <c r="BA62" s="225">
        <f t="shared" si="75"/>
        <v>2.5000000000000001E-3</v>
      </c>
      <c r="BB62" s="225">
        <f t="shared" si="75"/>
        <v>2.5000000000000001E-3</v>
      </c>
      <c r="BC62" s="225">
        <f t="shared" si="75"/>
        <v>2.5000000000000001E-3</v>
      </c>
      <c r="BD62" s="225">
        <f t="shared" si="75"/>
        <v>2.5000000000000001E-3</v>
      </c>
      <c r="BE62" s="225">
        <f t="shared" si="75"/>
        <v>2.5000000000000001E-3</v>
      </c>
      <c r="BF62" s="225">
        <f t="shared" si="75"/>
        <v>2.5000000000000001E-3</v>
      </c>
      <c r="BG62" s="225">
        <f t="shared" si="75"/>
        <v>2.5000000000000001E-3</v>
      </c>
      <c r="BH62" s="225">
        <f t="shared" si="75"/>
        <v>2.5000000000000001E-3</v>
      </c>
      <c r="BI62" s="225">
        <f t="shared" si="75"/>
        <v>2.5000000000000001E-3</v>
      </c>
      <c r="BJ62" s="225">
        <f t="shared" si="75"/>
        <v>2.5000000000000001E-3</v>
      </c>
      <c r="BK62" s="225">
        <f t="shared" si="75"/>
        <v>2.5000000000000001E-3</v>
      </c>
      <c r="BL62" s="225">
        <f t="shared" si="75"/>
        <v>2.5000000000000001E-3</v>
      </c>
      <c r="BM62" s="225">
        <f t="shared" si="75"/>
        <v>2.5000000000000001E-3</v>
      </c>
      <c r="BN62" s="225">
        <f t="shared" si="75"/>
        <v>2.5000000000000001E-3</v>
      </c>
      <c r="BO62" s="225">
        <f t="shared" si="75"/>
        <v>2.5000000000000001E-3</v>
      </c>
      <c r="BP62" s="225">
        <f t="shared" si="75"/>
        <v>2.5000000000000001E-3</v>
      </c>
      <c r="BQ62" s="225">
        <f t="shared" si="75"/>
        <v>2.5000000000000001E-3</v>
      </c>
      <c r="BR62" s="225">
        <f t="shared" si="75"/>
        <v>2.5000000000000001E-3</v>
      </c>
      <c r="BS62" s="225">
        <f t="shared" ref="BS62:CX62" si="76">IFERROR(INDEX($M30:$Q30,MATCH(YEAR(BS$55),$M$27:$Q$27,0))/12,BR62)</f>
        <v>2.5000000000000001E-3</v>
      </c>
      <c r="BT62" s="225">
        <f t="shared" si="76"/>
        <v>2.5000000000000001E-3</v>
      </c>
      <c r="BU62" s="225">
        <f t="shared" si="76"/>
        <v>2.5000000000000001E-3</v>
      </c>
      <c r="BV62" s="225">
        <f t="shared" si="76"/>
        <v>2.5000000000000001E-3</v>
      </c>
      <c r="BW62" s="225">
        <f t="shared" si="76"/>
        <v>2.5000000000000001E-3</v>
      </c>
      <c r="BX62" s="225">
        <f t="shared" si="76"/>
        <v>2.5000000000000001E-3</v>
      </c>
      <c r="BY62" s="225">
        <f t="shared" si="76"/>
        <v>2.5000000000000001E-3</v>
      </c>
      <c r="BZ62" s="225">
        <f t="shared" si="76"/>
        <v>2.5000000000000001E-3</v>
      </c>
      <c r="CA62" s="225">
        <f t="shared" si="76"/>
        <v>2.5000000000000001E-3</v>
      </c>
      <c r="CB62" s="225">
        <f t="shared" si="76"/>
        <v>2.5000000000000001E-3</v>
      </c>
      <c r="CC62" s="225">
        <f t="shared" si="76"/>
        <v>2.5000000000000001E-3</v>
      </c>
      <c r="CD62" s="225">
        <f t="shared" si="76"/>
        <v>2.5000000000000001E-3</v>
      </c>
      <c r="CE62" s="225">
        <f t="shared" si="76"/>
        <v>2.5000000000000001E-3</v>
      </c>
      <c r="CF62" s="225">
        <f t="shared" si="76"/>
        <v>2.5000000000000001E-3</v>
      </c>
      <c r="CG62" s="225">
        <f t="shared" si="76"/>
        <v>2.5000000000000001E-3</v>
      </c>
      <c r="CH62" s="225">
        <f t="shared" si="76"/>
        <v>2.5000000000000001E-3</v>
      </c>
      <c r="CI62" s="225">
        <f t="shared" si="76"/>
        <v>2.5000000000000001E-3</v>
      </c>
      <c r="CJ62" s="225">
        <f t="shared" si="76"/>
        <v>2.5000000000000001E-3</v>
      </c>
      <c r="CK62" s="225">
        <f t="shared" si="76"/>
        <v>2.5000000000000001E-3</v>
      </c>
      <c r="CL62" s="225">
        <f t="shared" si="76"/>
        <v>2.5000000000000001E-3</v>
      </c>
      <c r="CM62" s="225">
        <f t="shared" si="76"/>
        <v>2.5000000000000001E-3</v>
      </c>
      <c r="CN62" s="225">
        <f t="shared" si="76"/>
        <v>2.5000000000000001E-3</v>
      </c>
      <c r="CO62" s="225">
        <f t="shared" si="76"/>
        <v>2.5000000000000001E-3</v>
      </c>
      <c r="CP62" s="225">
        <f t="shared" si="76"/>
        <v>2.5000000000000001E-3</v>
      </c>
      <c r="CQ62" s="225">
        <f t="shared" si="76"/>
        <v>2.5000000000000001E-3</v>
      </c>
      <c r="CR62" s="225">
        <f t="shared" si="76"/>
        <v>2.5000000000000001E-3</v>
      </c>
      <c r="CS62" s="225">
        <f t="shared" si="76"/>
        <v>2.5000000000000001E-3</v>
      </c>
      <c r="CT62" s="225">
        <f t="shared" si="76"/>
        <v>2.5000000000000001E-3</v>
      </c>
      <c r="CU62" s="225">
        <f t="shared" si="76"/>
        <v>2.5000000000000001E-3</v>
      </c>
      <c r="CV62" s="225">
        <f t="shared" si="76"/>
        <v>2.5000000000000001E-3</v>
      </c>
      <c r="CW62" s="225">
        <f t="shared" si="76"/>
        <v>2.5000000000000001E-3</v>
      </c>
      <c r="CX62" s="225">
        <f t="shared" si="76"/>
        <v>2.5000000000000001E-3</v>
      </c>
      <c r="CY62" s="225">
        <f t="shared" ref="CY62:ED62" si="77">IFERROR(INDEX($M30:$Q30,MATCH(YEAR(CY$55),$M$27:$Q$27,0))/12,CX62)</f>
        <v>2.5000000000000001E-3</v>
      </c>
      <c r="CZ62" s="225">
        <f t="shared" si="77"/>
        <v>2.5000000000000001E-3</v>
      </c>
      <c r="DA62" s="225">
        <f t="shared" si="77"/>
        <v>2.5000000000000001E-3</v>
      </c>
      <c r="DB62" s="225">
        <f t="shared" si="77"/>
        <v>2.5000000000000001E-3</v>
      </c>
      <c r="DC62" s="225">
        <f t="shared" si="77"/>
        <v>2.5000000000000001E-3</v>
      </c>
      <c r="DD62" s="225">
        <f t="shared" si="77"/>
        <v>2.5000000000000001E-3</v>
      </c>
      <c r="DE62" s="225">
        <f t="shared" si="77"/>
        <v>2.5000000000000001E-3</v>
      </c>
      <c r="DF62" s="225">
        <f t="shared" si="77"/>
        <v>2.5000000000000001E-3</v>
      </c>
      <c r="DG62" s="225">
        <f t="shared" si="77"/>
        <v>2.5000000000000001E-3</v>
      </c>
      <c r="DH62" s="225">
        <f t="shared" si="77"/>
        <v>2.5000000000000001E-3</v>
      </c>
      <c r="DI62" s="225">
        <f t="shared" si="77"/>
        <v>2.5000000000000001E-3</v>
      </c>
      <c r="DJ62" s="225">
        <f t="shared" si="77"/>
        <v>2.5000000000000001E-3</v>
      </c>
      <c r="DK62" s="225">
        <f t="shared" si="77"/>
        <v>2.5000000000000001E-3</v>
      </c>
      <c r="DL62" s="225">
        <f t="shared" si="77"/>
        <v>2.5000000000000001E-3</v>
      </c>
      <c r="DM62" s="225">
        <f t="shared" si="77"/>
        <v>2.5000000000000001E-3</v>
      </c>
      <c r="DN62" s="225">
        <f t="shared" si="77"/>
        <v>2.5000000000000001E-3</v>
      </c>
      <c r="DO62" s="225">
        <f t="shared" si="77"/>
        <v>2.5000000000000001E-3</v>
      </c>
      <c r="DP62" s="225">
        <f t="shared" si="77"/>
        <v>2.5000000000000001E-3</v>
      </c>
      <c r="DQ62" s="225">
        <f t="shared" si="77"/>
        <v>2.5000000000000001E-3</v>
      </c>
      <c r="DR62" s="225">
        <f t="shared" si="77"/>
        <v>2.5000000000000001E-3</v>
      </c>
      <c r="DS62" s="225">
        <f t="shared" si="77"/>
        <v>2.5000000000000001E-3</v>
      </c>
      <c r="DT62" s="225">
        <f t="shared" si="77"/>
        <v>2.5000000000000001E-3</v>
      </c>
      <c r="DU62" s="225">
        <f t="shared" si="77"/>
        <v>2.5000000000000001E-3</v>
      </c>
      <c r="DV62" s="225">
        <f t="shared" si="77"/>
        <v>2.5000000000000001E-3</v>
      </c>
      <c r="DW62" s="225">
        <f t="shared" si="77"/>
        <v>2.5000000000000001E-3</v>
      </c>
      <c r="DX62" s="225">
        <f t="shared" si="77"/>
        <v>2.5000000000000001E-3</v>
      </c>
      <c r="DY62" s="225">
        <f t="shared" si="77"/>
        <v>2.5000000000000001E-3</v>
      </c>
      <c r="DZ62" s="225">
        <f t="shared" si="77"/>
        <v>2.5000000000000001E-3</v>
      </c>
      <c r="EA62" s="225">
        <f t="shared" si="77"/>
        <v>2.5000000000000001E-3</v>
      </c>
      <c r="EB62" s="225">
        <f t="shared" si="77"/>
        <v>2.5000000000000001E-3</v>
      </c>
      <c r="EC62" s="225">
        <f t="shared" si="77"/>
        <v>2.5000000000000001E-3</v>
      </c>
      <c r="ED62" s="225">
        <f t="shared" si="77"/>
        <v>2.5000000000000001E-3</v>
      </c>
      <c r="EE62" s="225">
        <f t="shared" ref="EE62:FF62" si="78">IFERROR(INDEX($M30:$Q30,MATCH(YEAR(EE$55),$M$27:$Q$27,0))/12,ED62)</f>
        <v>2.5000000000000001E-3</v>
      </c>
      <c r="EF62" s="225">
        <f t="shared" si="78"/>
        <v>2.5000000000000001E-3</v>
      </c>
      <c r="EG62" s="225">
        <f t="shared" si="78"/>
        <v>2.5000000000000001E-3</v>
      </c>
      <c r="EH62" s="225">
        <f t="shared" si="78"/>
        <v>2.5000000000000001E-3</v>
      </c>
      <c r="EI62" s="225">
        <f t="shared" si="78"/>
        <v>2.5000000000000001E-3</v>
      </c>
      <c r="EJ62" s="225">
        <f t="shared" si="78"/>
        <v>2.5000000000000001E-3</v>
      </c>
      <c r="EK62" s="225">
        <f t="shared" si="78"/>
        <v>2.5000000000000001E-3</v>
      </c>
      <c r="EL62" s="225">
        <f t="shared" si="78"/>
        <v>2.5000000000000001E-3</v>
      </c>
      <c r="EM62" s="225">
        <f t="shared" si="78"/>
        <v>2.5000000000000001E-3</v>
      </c>
      <c r="EN62" s="225">
        <f t="shared" si="78"/>
        <v>2.5000000000000001E-3</v>
      </c>
      <c r="EO62" s="225">
        <f t="shared" si="78"/>
        <v>2.5000000000000001E-3</v>
      </c>
      <c r="EP62" s="225">
        <f t="shared" si="78"/>
        <v>2.5000000000000001E-3</v>
      </c>
      <c r="EQ62" s="225">
        <f t="shared" si="78"/>
        <v>2.5000000000000001E-3</v>
      </c>
      <c r="ER62" s="225">
        <f t="shared" si="78"/>
        <v>2.5000000000000001E-3</v>
      </c>
      <c r="ES62" s="225">
        <f t="shared" si="78"/>
        <v>2.5000000000000001E-3</v>
      </c>
      <c r="ET62" s="225">
        <f t="shared" si="78"/>
        <v>2.5000000000000001E-3</v>
      </c>
      <c r="EU62" s="225">
        <f t="shared" si="78"/>
        <v>2.5000000000000001E-3</v>
      </c>
      <c r="EV62" s="225">
        <f t="shared" si="78"/>
        <v>2.5000000000000001E-3</v>
      </c>
      <c r="EW62" s="225">
        <f t="shared" si="78"/>
        <v>2.5000000000000001E-3</v>
      </c>
      <c r="EX62" s="225">
        <f t="shared" si="78"/>
        <v>2.5000000000000001E-3</v>
      </c>
      <c r="EY62" s="225">
        <f t="shared" si="78"/>
        <v>2.5000000000000001E-3</v>
      </c>
      <c r="EZ62" s="225">
        <f t="shared" si="78"/>
        <v>2.5000000000000001E-3</v>
      </c>
      <c r="FA62" s="225">
        <f t="shared" si="78"/>
        <v>2.5000000000000001E-3</v>
      </c>
      <c r="FB62" s="225">
        <f t="shared" si="78"/>
        <v>2.5000000000000001E-3</v>
      </c>
      <c r="FC62" s="225">
        <f t="shared" si="78"/>
        <v>2.5000000000000001E-3</v>
      </c>
      <c r="FD62" s="225">
        <f t="shared" si="78"/>
        <v>2.5000000000000001E-3</v>
      </c>
      <c r="FE62" s="225">
        <f t="shared" si="78"/>
        <v>2.5000000000000001E-3</v>
      </c>
      <c r="FF62" s="225">
        <f t="shared" si="78"/>
        <v>2.5000000000000001E-3</v>
      </c>
      <c r="FG62" s="315"/>
      <c r="FH62" s="225">
        <f>IFERROR(INDEX($M30:$Q30,MATCH(YEAR(FH$55),$M$27:$Q$27,0))/12,EZ62)</f>
        <v>2.5000000000000001E-3</v>
      </c>
      <c r="FI62" s="225"/>
      <c r="FJ62" s="225"/>
      <c r="FK62" s="225"/>
      <c r="FL62" s="225"/>
      <c r="FM62" s="225">
        <f>IFERROR(INDEX($M30:$Q30,MATCH(YEAR(FM$55),$M$27:$Q$27,0))/12,FA62)</f>
        <v>2.5000000000000001E-3</v>
      </c>
      <c r="FN62" s="225">
        <f>IFERROR(INDEX($M30:$Q30,MATCH(YEAR(FN$55),$M$27:$Q$27,0))/12,FB62)</f>
        <v>2.5000000000000001E-3</v>
      </c>
      <c r="FO62" s="225">
        <f>IFERROR(INDEX($M30:$Q30,MATCH(YEAR(FO$55),$M$27:$Q$27,0))/12,FC62)</f>
        <v>2.5000000000000001E-3</v>
      </c>
      <c r="FP62" s="225">
        <f>IFERROR(INDEX($M30:$Q30,MATCH(YEAR(FP$55),$M$27:$Q$27,0))/12,FD62)</f>
        <v>2.5000000000000001E-3</v>
      </c>
      <c r="FQ62" s="225"/>
      <c r="FR62" s="225"/>
      <c r="FS62" s="225"/>
      <c r="FT62" s="225"/>
      <c r="FU62" s="225"/>
      <c r="FV62" s="315"/>
    </row>
    <row r="63" spans="2:180" s="216" customFormat="1" hidden="1" outlineLevel="1" x14ac:dyDescent="0.2">
      <c r="B63" s="226"/>
      <c r="C63" s="216" t="s">
        <v>154</v>
      </c>
      <c r="E63" s="227"/>
      <c r="F63" s="228">
        <v>1</v>
      </c>
      <c r="G63" s="228">
        <f>F63*(1+G62)</f>
        <v>1.0024999999999999</v>
      </c>
      <c r="H63" s="228">
        <f t="shared" ref="H63:BS63" si="79">G63*(1+H62)</f>
        <v>1.0050062499999999</v>
      </c>
      <c r="I63" s="228">
        <f t="shared" si="79"/>
        <v>1.0075187656249998</v>
      </c>
      <c r="J63" s="228">
        <f t="shared" si="79"/>
        <v>1.0100375625390623</v>
      </c>
      <c r="K63" s="228">
        <f t="shared" si="79"/>
        <v>1.01256265644541</v>
      </c>
      <c r="L63" s="228">
        <f t="shared" si="79"/>
        <v>1.0150940630865235</v>
      </c>
      <c r="M63" s="228">
        <f t="shared" si="79"/>
        <v>1.0176317982442398</v>
      </c>
      <c r="N63" s="228">
        <f t="shared" si="79"/>
        <v>1.0201758777398504</v>
      </c>
      <c r="O63" s="228">
        <f t="shared" si="79"/>
        <v>1.0227263174342001</v>
      </c>
      <c r="P63" s="228">
        <f t="shared" si="79"/>
        <v>1.0252831332277854</v>
      </c>
      <c r="Q63" s="228">
        <f t="shared" si="79"/>
        <v>1.0278463410608549</v>
      </c>
      <c r="R63" s="228">
        <f t="shared" si="79"/>
        <v>1.030415956913507</v>
      </c>
      <c r="S63" s="228">
        <f t="shared" si="79"/>
        <v>1.0329919968057906</v>
      </c>
      <c r="T63" s="228">
        <f t="shared" si="79"/>
        <v>1.035574476797805</v>
      </c>
      <c r="U63" s="228">
        <f t="shared" si="79"/>
        <v>1.0381634129897994</v>
      </c>
      <c r="V63" s="228">
        <f t="shared" si="79"/>
        <v>1.0407588215222738</v>
      </c>
      <c r="W63" s="228">
        <f t="shared" si="79"/>
        <v>1.0433607185760794</v>
      </c>
      <c r="X63" s="228">
        <f t="shared" si="79"/>
        <v>1.0459691203725194</v>
      </c>
      <c r="Y63" s="228">
        <f t="shared" si="79"/>
        <v>1.0485840431734508</v>
      </c>
      <c r="Z63" s="228">
        <f t="shared" si="79"/>
        <v>1.0512055032813843</v>
      </c>
      <c r="AA63" s="228">
        <f t="shared" si="79"/>
        <v>1.0538335170395876</v>
      </c>
      <c r="AB63" s="228">
        <f t="shared" si="79"/>
        <v>1.0564681008321866</v>
      </c>
      <c r="AC63" s="228">
        <f t="shared" si="79"/>
        <v>1.0591092710842669</v>
      </c>
      <c r="AD63" s="228">
        <f t="shared" si="79"/>
        <v>1.0617570442619775</v>
      </c>
      <c r="AE63" s="228">
        <f t="shared" si="79"/>
        <v>1.0644114368726323</v>
      </c>
      <c r="AF63" s="228">
        <f t="shared" si="79"/>
        <v>1.0670724654648138</v>
      </c>
      <c r="AG63" s="228">
        <f t="shared" si="79"/>
        <v>1.0697401466284757</v>
      </c>
      <c r="AH63" s="228">
        <f t="shared" si="79"/>
        <v>1.0724144969950469</v>
      </c>
      <c r="AI63" s="228">
        <f t="shared" si="79"/>
        <v>1.0750955332375345</v>
      </c>
      <c r="AJ63" s="228">
        <f t="shared" si="79"/>
        <v>1.0777832720706282</v>
      </c>
      <c r="AK63" s="228">
        <f t="shared" si="79"/>
        <v>1.0804777302508046</v>
      </c>
      <c r="AL63" s="228">
        <f t="shared" si="79"/>
        <v>1.0831789245764316</v>
      </c>
      <c r="AM63" s="228">
        <f t="shared" si="79"/>
        <v>1.0858868718878727</v>
      </c>
      <c r="AN63" s="228">
        <f t="shared" si="79"/>
        <v>1.0886015890675924</v>
      </c>
      <c r="AO63" s="228">
        <f t="shared" si="79"/>
        <v>1.0913230930402613</v>
      </c>
      <c r="AP63" s="228">
        <f t="shared" si="79"/>
        <v>1.0940514007728619</v>
      </c>
      <c r="AQ63" s="228">
        <f t="shared" si="79"/>
        <v>1.096786529274794</v>
      </c>
      <c r="AR63" s="228">
        <f t="shared" si="79"/>
        <v>1.0995284955979809</v>
      </c>
      <c r="AS63" s="228">
        <f t="shared" si="79"/>
        <v>1.1022773168369759</v>
      </c>
      <c r="AT63" s="228">
        <f t="shared" si="79"/>
        <v>1.1050330101290684</v>
      </c>
      <c r="AU63" s="228">
        <f t="shared" si="79"/>
        <v>1.107795592654391</v>
      </c>
      <c r="AV63" s="228">
        <f t="shared" si="79"/>
        <v>1.1105650816360269</v>
      </c>
      <c r="AW63" s="228">
        <f t="shared" si="79"/>
        <v>1.1133414943401168</v>
      </c>
      <c r="AX63" s="228">
        <f t="shared" si="79"/>
        <v>1.1161248480759669</v>
      </c>
      <c r="AY63" s="228">
        <f t="shared" si="79"/>
        <v>1.1189151601961567</v>
      </c>
      <c r="AZ63" s="228">
        <f t="shared" si="79"/>
        <v>1.1217124480966469</v>
      </c>
      <c r="BA63" s="228">
        <f t="shared" si="79"/>
        <v>1.1245167292168885</v>
      </c>
      <c r="BB63" s="228">
        <f t="shared" si="79"/>
        <v>1.1273280210399306</v>
      </c>
      <c r="BC63" s="228">
        <f t="shared" si="79"/>
        <v>1.1301463410925303</v>
      </c>
      <c r="BD63" s="228">
        <f t="shared" si="79"/>
        <v>1.1329717069452616</v>
      </c>
      <c r="BE63" s="228">
        <f t="shared" si="79"/>
        <v>1.1358041362126248</v>
      </c>
      <c r="BF63" s="228">
        <f t="shared" si="79"/>
        <v>1.1386436465531562</v>
      </c>
      <c r="BG63" s="228">
        <f t="shared" si="79"/>
        <v>1.141490255669539</v>
      </c>
      <c r="BH63" s="228">
        <f t="shared" si="79"/>
        <v>1.1443439813087128</v>
      </c>
      <c r="BI63" s="228">
        <f t="shared" si="79"/>
        <v>1.1472048412619846</v>
      </c>
      <c r="BJ63" s="228">
        <f t="shared" si="79"/>
        <v>1.1500728533651394</v>
      </c>
      <c r="BK63" s="228">
        <f t="shared" si="79"/>
        <v>1.1529480354985522</v>
      </c>
      <c r="BL63" s="228">
        <f t="shared" si="79"/>
        <v>1.1558304055872985</v>
      </c>
      <c r="BM63" s="228">
        <f t="shared" si="79"/>
        <v>1.1587199816012668</v>
      </c>
      <c r="BN63" s="228">
        <f t="shared" si="79"/>
        <v>1.1616167815552698</v>
      </c>
      <c r="BO63" s="228">
        <f t="shared" si="79"/>
        <v>1.164520823509158</v>
      </c>
      <c r="BP63" s="228">
        <f t="shared" si="79"/>
        <v>1.1674321255679307</v>
      </c>
      <c r="BQ63" s="228">
        <f t="shared" si="79"/>
        <v>1.1703507058818505</v>
      </c>
      <c r="BR63" s="228">
        <f t="shared" si="79"/>
        <v>1.173276582646555</v>
      </c>
      <c r="BS63" s="228">
        <f t="shared" si="79"/>
        <v>1.1762097741031714</v>
      </c>
      <c r="BT63" s="228">
        <f t="shared" ref="BT63:EE63" si="80">BS63*(1+BT62)</f>
        <v>1.1791502985384292</v>
      </c>
      <c r="BU63" s="228">
        <f t="shared" si="80"/>
        <v>1.1820981742847751</v>
      </c>
      <c r="BV63" s="228">
        <f t="shared" si="80"/>
        <v>1.1850534197204869</v>
      </c>
      <c r="BW63" s="228">
        <f t="shared" si="80"/>
        <v>1.1880160532697881</v>
      </c>
      <c r="BX63" s="228">
        <f t="shared" si="80"/>
        <v>1.1909860934029626</v>
      </c>
      <c r="BY63" s="228">
        <f t="shared" si="80"/>
        <v>1.1939635586364699</v>
      </c>
      <c r="BZ63" s="228">
        <f t="shared" si="80"/>
        <v>1.1969484675330611</v>
      </c>
      <c r="CA63" s="228">
        <f t="shared" si="80"/>
        <v>1.1999408387018937</v>
      </c>
      <c r="CB63" s="228">
        <f t="shared" si="80"/>
        <v>1.2029406907986484</v>
      </c>
      <c r="CC63" s="228">
        <f t="shared" si="80"/>
        <v>1.205948042525645</v>
      </c>
      <c r="CD63" s="228">
        <f t="shared" si="80"/>
        <v>1.208962912631959</v>
      </c>
      <c r="CE63" s="228">
        <f t="shared" si="80"/>
        <v>1.2119853199135389</v>
      </c>
      <c r="CF63" s="228">
        <f t="shared" si="80"/>
        <v>1.2150152832133227</v>
      </c>
      <c r="CG63" s="228">
        <f t="shared" si="80"/>
        <v>1.218052821421356</v>
      </c>
      <c r="CH63" s="228">
        <f t="shared" si="80"/>
        <v>1.2210979534749093</v>
      </c>
      <c r="CI63" s="228">
        <f t="shared" si="80"/>
        <v>1.2241506983585966</v>
      </c>
      <c r="CJ63" s="228">
        <f t="shared" si="80"/>
        <v>1.2272110751044929</v>
      </c>
      <c r="CK63" s="228">
        <f t="shared" si="80"/>
        <v>1.2302791027922542</v>
      </c>
      <c r="CL63" s="228">
        <f t="shared" si="80"/>
        <v>1.2333548005492347</v>
      </c>
      <c r="CM63" s="228">
        <f t="shared" si="80"/>
        <v>1.2364381875506079</v>
      </c>
      <c r="CN63" s="228">
        <f t="shared" si="80"/>
        <v>1.2395292830194844</v>
      </c>
      <c r="CO63" s="228">
        <f t="shared" si="80"/>
        <v>1.242628106227033</v>
      </c>
      <c r="CP63" s="228">
        <f t="shared" si="80"/>
        <v>1.2457346764926005</v>
      </c>
      <c r="CQ63" s="228">
        <f t="shared" si="80"/>
        <v>1.2488490131838319</v>
      </c>
      <c r="CR63" s="228">
        <f t="shared" si="80"/>
        <v>1.2519711357167913</v>
      </c>
      <c r="CS63" s="228">
        <f t="shared" si="80"/>
        <v>1.2551010635560833</v>
      </c>
      <c r="CT63" s="228">
        <f t="shared" si="80"/>
        <v>1.2582388162149734</v>
      </c>
      <c r="CU63" s="228">
        <f t="shared" si="80"/>
        <v>1.2613844132555108</v>
      </c>
      <c r="CV63" s="228">
        <f t="shared" si="80"/>
        <v>1.2645378742886495</v>
      </c>
      <c r="CW63" s="228">
        <f t="shared" si="80"/>
        <v>1.267699218974371</v>
      </c>
      <c r="CX63" s="228">
        <f t="shared" si="80"/>
        <v>1.2708684670218069</v>
      </c>
      <c r="CY63" s="228">
        <f t="shared" si="80"/>
        <v>1.2740456381893615</v>
      </c>
      <c r="CZ63" s="228">
        <f t="shared" si="80"/>
        <v>1.2772307522848347</v>
      </c>
      <c r="DA63" s="228">
        <f t="shared" si="80"/>
        <v>1.2804238291655468</v>
      </c>
      <c r="DB63" s="228">
        <f t="shared" si="80"/>
        <v>1.2836248887384605</v>
      </c>
      <c r="DC63" s="228">
        <f t="shared" si="80"/>
        <v>1.2868339509603066</v>
      </c>
      <c r="DD63" s="228">
        <f t="shared" si="80"/>
        <v>1.2900510358377073</v>
      </c>
      <c r="DE63" s="228">
        <f t="shared" si="80"/>
        <v>1.2932761634273016</v>
      </c>
      <c r="DF63" s="228">
        <f t="shared" si="80"/>
        <v>1.2965093538358698</v>
      </c>
      <c r="DG63" s="228">
        <f t="shared" si="80"/>
        <v>1.2997506272204595</v>
      </c>
      <c r="DH63" s="228">
        <f t="shared" si="80"/>
        <v>1.3030000037885106</v>
      </c>
      <c r="DI63" s="228">
        <f t="shared" si="80"/>
        <v>1.3062575037979818</v>
      </c>
      <c r="DJ63" s="228">
        <f t="shared" si="80"/>
        <v>1.3095231475574767</v>
      </c>
      <c r="DK63" s="228">
        <f t="shared" si="80"/>
        <v>1.3127969554263703</v>
      </c>
      <c r="DL63" s="228">
        <f t="shared" si="80"/>
        <v>1.3160789478149362</v>
      </c>
      <c r="DM63" s="228">
        <f t="shared" si="80"/>
        <v>1.3193691451844733</v>
      </c>
      <c r="DN63" s="228">
        <f t="shared" si="80"/>
        <v>1.3226675680474345</v>
      </c>
      <c r="DO63" s="228">
        <f t="shared" si="80"/>
        <v>1.3259742369675529</v>
      </c>
      <c r="DP63" s="228">
        <f t="shared" si="80"/>
        <v>1.3292891725599718</v>
      </c>
      <c r="DQ63" s="228">
        <f t="shared" si="80"/>
        <v>1.3326123954913716</v>
      </c>
      <c r="DR63" s="228">
        <f t="shared" si="80"/>
        <v>1.3359439264800999</v>
      </c>
      <c r="DS63" s="228">
        <f t="shared" si="80"/>
        <v>1.3392837862963001</v>
      </c>
      <c r="DT63" s="228">
        <f t="shared" si="80"/>
        <v>1.3426319957620407</v>
      </c>
      <c r="DU63" s="228">
        <f t="shared" si="80"/>
        <v>1.3459885757514458</v>
      </c>
      <c r="DV63" s="228">
        <f t="shared" si="80"/>
        <v>1.3493535471908245</v>
      </c>
      <c r="DW63" s="228">
        <f t="shared" si="80"/>
        <v>1.3527269310588015</v>
      </c>
      <c r="DX63" s="228">
        <f t="shared" si="80"/>
        <v>1.3561087483864485</v>
      </c>
      <c r="DY63" s="228">
        <f t="shared" si="80"/>
        <v>1.3594990202574144</v>
      </c>
      <c r="DZ63" s="228">
        <f t="shared" si="80"/>
        <v>1.3628977678080578</v>
      </c>
      <c r="EA63" s="228">
        <f t="shared" si="80"/>
        <v>1.3663050122275779</v>
      </c>
      <c r="EB63" s="228">
        <f t="shared" si="80"/>
        <v>1.3697207747581468</v>
      </c>
      <c r="EC63" s="228">
        <f t="shared" si="80"/>
        <v>1.3731450766950422</v>
      </c>
      <c r="ED63" s="228">
        <f t="shared" si="80"/>
        <v>1.3765779393867796</v>
      </c>
      <c r="EE63" s="228">
        <f t="shared" si="80"/>
        <v>1.3800193842352466</v>
      </c>
      <c r="EF63" s="228">
        <f t="shared" ref="EF63:FF63" si="81">EE63*(1+EF62)</f>
        <v>1.3834694326958346</v>
      </c>
      <c r="EG63" s="228">
        <f t="shared" si="81"/>
        <v>1.386928106277574</v>
      </c>
      <c r="EH63" s="228">
        <f t="shared" si="81"/>
        <v>1.3903954265432679</v>
      </c>
      <c r="EI63" s="228">
        <f t="shared" si="81"/>
        <v>1.3938714151096259</v>
      </c>
      <c r="EJ63" s="228">
        <f t="shared" si="81"/>
        <v>1.3973560936473999</v>
      </c>
      <c r="EK63" s="228">
        <f t="shared" si="81"/>
        <v>1.4008494838815182</v>
      </c>
      <c r="EL63" s="228">
        <f t="shared" si="81"/>
        <v>1.4043516075912219</v>
      </c>
      <c r="EM63" s="228">
        <f t="shared" si="81"/>
        <v>1.4078624866101999</v>
      </c>
      <c r="EN63" s="228">
        <f t="shared" si="81"/>
        <v>1.4113821428267253</v>
      </c>
      <c r="EO63" s="228">
        <f t="shared" si="81"/>
        <v>1.4149105981837919</v>
      </c>
      <c r="EP63" s="228">
        <f t="shared" si="81"/>
        <v>1.4184478746792513</v>
      </c>
      <c r="EQ63" s="228">
        <f t="shared" si="81"/>
        <v>1.4219939943659494</v>
      </c>
      <c r="ER63" s="228">
        <f t="shared" si="81"/>
        <v>1.4255489793518643</v>
      </c>
      <c r="ES63" s="228">
        <f t="shared" si="81"/>
        <v>1.4291128518002438</v>
      </c>
      <c r="ET63" s="228">
        <f t="shared" si="81"/>
        <v>1.4326856339297445</v>
      </c>
      <c r="EU63" s="228">
        <f t="shared" si="81"/>
        <v>1.4362673480145687</v>
      </c>
      <c r="EV63" s="228">
        <f t="shared" si="81"/>
        <v>1.4398580163846051</v>
      </c>
      <c r="EW63" s="228">
        <f t="shared" si="81"/>
        <v>1.4434576614255665</v>
      </c>
      <c r="EX63" s="228">
        <f t="shared" si="81"/>
        <v>1.4470663055791304</v>
      </c>
      <c r="EY63" s="228">
        <f t="shared" si="81"/>
        <v>1.4506839713430781</v>
      </c>
      <c r="EZ63" s="228">
        <f t="shared" si="81"/>
        <v>1.4543106812714357</v>
      </c>
      <c r="FA63" s="228">
        <f t="shared" si="81"/>
        <v>1.4579464579746142</v>
      </c>
      <c r="FB63" s="228">
        <f t="shared" si="81"/>
        <v>1.4615913241195506</v>
      </c>
      <c r="FC63" s="228">
        <f t="shared" si="81"/>
        <v>1.4652453024298495</v>
      </c>
      <c r="FD63" s="228">
        <f t="shared" si="81"/>
        <v>1.468908415685924</v>
      </c>
      <c r="FE63" s="228">
        <f t="shared" si="81"/>
        <v>1.4725806867251388</v>
      </c>
      <c r="FF63" s="228">
        <f t="shared" si="81"/>
        <v>1.4762621384419514</v>
      </c>
      <c r="FG63" s="319"/>
      <c r="FH63" s="228">
        <f t="shared" ref="FH63" si="82">EZ63*(1+FH62)</f>
        <v>1.4579464579746142</v>
      </c>
      <c r="FI63" s="228"/>
      <c r="FJ63" s="228"/>
      <c r="FK63" s="228"/>
      <c r="FL63" s="228"/>
      <c r="FM63" s="228">
        <f>FA63*(1+FM62)</f>
        <v>1.4615913241195506</v>
      </c>
      <c r="FN63" s="228">
        <f>FB63*(1+FN62)</f>
        <v>1.4652453024298495</v>
      </c>
      <c r="FO63" s="228">
        <f>FC63*(1+FO62)</f>
        <v>1.468908415685924</v>
      </c>
      <c r="FP63" s="228">
        <f>FD63*(1+FP62)</f>
        <v>1.4725806867251388</v>
      </c>
      <c r="FQ63" s="228"/>
      <c r="FR63" s="228"/>
      <c r="FS63" s="228"/>
      <c r="FT63" s="228"/>
      <c r="FU63" s="228"/>
      <c r="FV63" s="319"/>
    </row>
    <row r="64" spans="2:180" hidden="1" outlineLevel="1" x14ac:dyDescent="0.2">
      <c r="B64" s="47"/>
      <c r="C64" s="39" t="str">
        <f>K31</f>
        <v>Property Taxes</v>
      </c>
      <c r="E64" s="224"/>
      <c r="F64" s="225">
        <v>0</v>
      </c>
      <c r="G64" s="225">
        <f t="shared" ref="G64:AL64" si="83">IFERROR(INDEX($M31:$Q31,MATCH(YEAR(G$55),$M$27:$Q$27,0))/12,F64)</f>
        <v>2.5000000000000001E-3</v>
      </c>
      <c r="H64" s="225">
        <f t="shared" si="83"/>
        <v>2.5000000000000001E-3</v>
      </c>
      <c r="I64" s="225">
        <f t="shared" si="83"/>
        <v>2.5000000000000001E-3</v>
      </c>
      <c r="J64" s="225">
        <f t="shared" si="83"/>
        <v>2.5000000000000001E-3</v>
      </c>
      <c r="K64" s="225">
        <f t="shared" si="83"/>
        <v>2.5000000000000001E-3</v>
      </c>
      <c r="L64" s="225">
        <f t="shared" si="83"/>
        <v>2.5000000000000001E-3</v>
      </c>
      <c r="M64" s="225">
        <f t="shared" si="83"/>
        <v>2.5000000000000001E-3</v>
      </c>
      <c r="N64" s="225">
        <f t="shared" si="83"/>
        <v>2.5000000000000001E-3</v>
      </c>
      <c r="O64" s="225">
        <f t="shared" si="83"/>
        <v>2.5000000000000001E-3</v>
      </c>
      <c r="P64" s="225">
        <f t="shared" si="83"/>
        <v>2.5000000000000001E-3</v>
      </c>
      <c r="Q64" s="225">
        <f t="shared" si="83"/>
        <v>2.5000000000000001E-3</v>
      </c>
      <c r="R64" s="225">
        <f t="shared" si="83"/>
        <v>2.5000000000000001E-3</v>
      </c>
      <c r="S64" s="225">
        <f t="shared" si="83"/>
        <v>2.5000000000000001E-3</v>
      </c>
      <c r="T64" s="225">
        <f t="shared" si="83"/>
        <v>2.5000000000000001E-3</v>
      </c>
      <c r="U64" s="225">
        <f t="shared" si="83"/>
        <v>2.5000000000000001E-3</v>
      </c>
      <c r="V64" s="225">
        <f t="shared" si="83"/>
        <v>2.5000000000000001E-3</v>
      </c>
      <c r="W64" s="225">
        <f t="shared" si="83"/>
        <v>2.5000000000000001E-3</v>
      </c>
      <c r="X64" s="225">
        <f t="shared" si="83"/>
        <v>2.5000000000000001E-3</v>
      </c>
      <c r="Y64" s="225">
        <f t="shared" si="83"/>
        <v>2.5000000000000001E-3</v>
      </c>
      <c r="Z64" s="225">
        <f t="shared" si="83"/>
        <v>2.5000000000000001E-3</v>
      </c>
      <c r="AA64" s="225">
        <f t="shared" si="83"/>
        <v>2.5000000000000001E-3</v>
      </c>
      <c r="AB64" s="225">
        <f t="shared" si="83"/>
        <v>2.5000000000000001E-3</v>
      </c>
      <c r="AC64" s="225">
        <f t="shared" si="83"/>
        <v>2.5000000000000001E-3</v>
      </c>
      <c r="AD64" s="225">
        <f t="shared" si="83"/>
        <v>2.5000000000000001E-3</v>
      </c>
      <c r="AE64" s="225">
        <f t="shared" si="83"/>
        <v>2.5000000000000001E-3</v>
      </c>
      <c r="AF64" s="225">
        <f t="shared" si="83"/>
        <v>2.5000000000000001E-3</v>
      </c>
      <c r="AG64" s="225">
        <f t="shared" si="83"/>
        <v>2.5000000000000001E-3</v>
      </c>
      <c r="AH64" s="225">
        <f t="shared" si="83"/>
        <v>2.5000000000000001E-3</v>
      </c>
      <c r="AI64" s="225">
        <f t="shared" si="83"/>
        <v>2.5000000000000001E-3</v>
      </c>
      <c r="AJ64" s="225">
        <f t="shared" si="83"/>
        <v>2.5000000000000001E-3</v>
      </c>
      <c r="AK64" s="225">
        <f t="shared" si="83"/>
        <v>2.5000000000000001E-3</v>
      </c>
      <c r="AL64" s="225">
        <f t="shared" si="83"/>
        <v>2.5000000000000001E-3</v>
      </c>
      <c r="AM64" s="225">
        <f t="shared" ref="AM64:BR64" si="84">IFERROR(INDEX($M31:$Q31,MATCH(YEAR(AM$55),$M$27:$Q$27,0))/12,AL64)</f>
        <v>2.5000000000000001E-3</v>
      </c>
      <c r="AN64" s="225">
        <f t="shared" si="84"/>
        <v>2.5000000000000001E-3</v>
      </c>
      <c r="AO64" s="225">
        <f t="shared" si="84"/>
        <v>2.5000000000000001E-3</v>
      </c>
      <c r="AP64" s="225">
        <f t="shared" si="84"/>
        <v>2.5000000000000001E-3</v>
      </c>
      <c r="AQ64" s="225">
        <f t="shared" si="84"/>
        <v>2.5000000000000001E-3</v>
      </c>
      <c r="AR64" s="225">
        <f t="shared" si="84"/>
        <v>2.5000000000000001E-3</v>
      </c>
      <c r="AS64" s="225">
        <f t="shared" si="84"/>
        <v>2.5000000000000001E-3</v>
      </c>
      <c r="AT64" s="225">
        <f t="shared" si="84"/>
        <v>2.5000000000000001E-3</v>
      </c>
      <c r="AU64" s="225">
        <f t="shared" si="84"/>
        <v>2.5000000000000001E-3</v>
      </c>
      <c r="AV64" s="225">
        <f t="shared" si="84"/>
        <v>2.5000000000000001E-3</v>
      </c>
      <c r="AW64" s="225">
        <f t="shared" si="84"/>
        <v>2.5000000000000001E-3</v>
      </c>
      <c r="AX64" s="225">
        <f t="shared" si="84"/>
        <v>2.5000000000000001E-3</v>
      </c>
      <c r="AY64" s="225">
        <f t="shared" si="84"/>
        <v>2.5000000000000001E-3</v>
      </c>
      <c r="AZ64" s="225">
        <f t="shared" si="84"/>
        <v>2.5000000000000001E-3</v>
      </c>
      <c r="BA64" s="225">
        <f t="shared" si="84"/>
        <v>2.5000000000000001E-3</v>
      </c>
      <c r="BB64" s="225">
        <f t="shared" si="84"/>
        <v>2.5000000000000001E-3</v>
      </c>
      <c r="BC64" s="225">
        <f t="shared" si="84"/>
        <v>2.5000000000000001E-3</v>
      </c>
      <c r="BD64" s="225">
        <f t="shared" si="84"/>
        <v>2.5000000000000001E-3</v>
      </c>
      <c r="BE64" s="225">
        <f t="shared" si="84"/>
        <v>2.5000000000000001E-3</v>
      </c>
      <c r="BF64" s="225">
        <f t="shared" si="84"/>
        <v>2.5000000000000001E-3</v>
      </c>
      <c r="BG64" s="225">
        <f t="shared" si="84"/>
        <v>2.5000000000000001E-3</v>
      </c>
      <c r="BH64" s="225">
        <f t="shared" si="84"/>
        <v>2.5000000000000001E-3</v>
      </c>
      <c r="BI64" s="225">
        <f t="shared" si="84"/>
        <v>2.5000000000000001E-3</v>
      </c>
      <c r="BJ64" s="225">
        <f t="shared" si="84"/>
        <v>2.5000000000000001E-3</v>
      </c>
      <c r="BK64" s="225">
        <f t="shared" si="84"/>
        <v>2.5000000000000001E-3</v>
      </c>
      <c r="BL64" s="225">
        <f t="shared" si="84"/>
        <v>2.5000000000000001E-3</v>
      </c>
      <c r="BM64" s="225">
        <f t="shared" si="84"/>
        <v>2.5000000000000001E-3</v>
      </c>
      <c r="BN64" s="225">
        <f t="shared" si="84"/>
        <v>2.5000000000000001E-3</v>
      </c>
      <c r="BO64" s="225">
        <f t="shared" si="84"/>
        <v>2.5000000000000001E-3</v>
      </c>
      <c r="BP64" s="225">
        <f t="shared" si="84"/>
        <v>2.5000000000000001E-3</v>
      </c>
      <c r="BQ64" s="225">
        <f t="shared" si="84"/>
        <v>2.5000000000000001E-3</v>
      </c>
      <c r="BR64" s="225">
        <f t="shared" si="84"/>
        <v>2.5000000000000001E-3</v>
      </c>
      <c r="BS64" s="225">
        <f t="shared" ref="BS64:CX64" si="85">IFERROR(INDEX($M31:$Q31,MATCH(YEAR(BS$55),$M$27:$Q$27,0))/12,BR64)</f>
        <v>2.5000000000000001E-3</v>
      </c>
      <c r="BT64" s="225">
        <f t="shared" si="85"/>
        <v>2.5000000000000001E-3</v>
      </c>
      <c r="BU64" s="225">
        <f t="shared" si="85"/>
        <v>2.5000000000000001E-3</v>
      </c>
      <c r="BV64" s="225">
        <f t="shared" si="85"/>
        <v>2.5000000000000001E-3</v>
      </c>
      <c r="BW64" s="225">
        <f t="shared" si="85"/>
        <v>2.5000000000000001E-3</v>
      </c>
      <c r="BX64" s="225">
        <f t="shared" si="85"/>
        <v>2.5000000000000001E-3</v>
      </c>
      <c r="BY64" s="225">
        <f t="shared" si="85"/>
        <v>2.5000000000000001E-3</v>
      </c>
      <c r="BZ64" s="225">
        <f t="shared" si="85"/>
        <v>2.5000000000000001E-3</v>
      </c>
      <c r="CA64" s="225">
        <f t="shared" si="85"/>
        <v>2.5000000000000001E-3</v>
      </c>
      <c r="CB64" s="225">
        <f t="shared" si="85"/>
        <v>2.5000000000000001E-3</v>
      </c>
      <c r="CC64" s="225">
        <f t="shared" si="85"/>
        <v>2.5000000000000001E-3</v>
      </c>
      <c r="CD64" s="225">
        <f t="shared" si="85"/>
        <v>2.5000000000000001E-3</v>
      </c>
      <c r="CE64" s="225">
        <f t="shared" si="85"/>
        <v>2.5000000000000001E-3</v>
      </c>
      <c r="CF64" s="225">
        <f t="shared" si="85"/>
        <v>2.5000000000000001E-3</v>
      </c>
      <c r="CG64" s="225">
        <f t="shared" si="85"/>
        <v>2.5000000000000001E-3</v>
      </c>
      <c r="CH64" s="225">
        <f t="shared" si="85"/>
        <v>2.5000000000000001E-3</v>
      </c>
      <c r="CI64" s="225">
        <f t="shared" si="85"/>
        <v>2.5000000000000001E-3</v>
      </c>
      <c r="CJ64" s="225">
        <f t="shared" si="85"/>
        <v>2.5000000000000001E-3</v>
      </c>
      <c r="CK64" s="225">
        <f t="shared" si="85"/>
        <v>2.5000000000000001E-3</v>
      </c>
      <c r="CL64" s="225">
        <f t="shared" si="85"/>
        <v>2.5000000000000001E-3</v>
      </c>
      <c r="CM64" s="225">
        <f t="shared" si="85"/>
        <v>2.5000000000000001E-3</v>
      </c>
      <c r="CN64" s="225">
        <f t="shared" si="85"/>
        <v>2.5000000000000001E-3</v>
      </c>
      <c r="CO64" s="225">
        <f t="shared" si="85"/>
        <v>2.5000000000000001E-3</v>
      </c>
      <c r="CP64" s="225">
        <f t="shared" si="85"/>
        <v>2.5000000000000001E-3</v>
      </c>
      <c r="CQ64" s="225">
        <f t="shared" si="85"/>
        <v>2.5000000000000001E-3</v>
      </c>
      <c r="CR64" s="225">
        <f t="shared" si="85"/>
        <v>2.5000000000000001E-3</v>
      </c>
      <c r="CS64" s="225">
        <f t="shared" si="85"/>
        <v>2.5000000000000001E-3</v>
      </c>
      <c r="CT64" s="225">
        <f t="shared" si="85"/>
        <v>2.5000000000000001E-3</v>
      </c>
      <c r="CU64" s="225">
        <f t="shared" si="85"/>
        <v>2.5000000000000001E-3</v>
      </c>
      <c r="CV64" s="225">
        <f t="shared" si="85"/>
        <v>2.5000000000000001E-3</v>
      </c>
      <c r="CW64" s="225">
        <f t="shared" si="85"/>
        <v>2.5000000000000001E-3</v>
      </c>
      <c r="CX64" s="225">
        <f t="shared" si="85"/>
        <v>2.5000000000000001E-3</v>
      </c>
      <c r="CY64" s="225">
        <f t="shared" ref="CY64:ED64" si="86">IFERROR(INDEX($M31:$Q31,MATCH(YEAR(CY$55),$M$27:$Q$27,0))/12,CX64)</f>
        <v>2.5000000000000001E-3</v>
      </c>
      <c r="CZ64" s="225">
        <f t="shared" si="86"/>
        <v>2.5000000000000001E-3</v>
      </c>
      <c r="DA64" s="225">
        <f t="shared" si="86"/>
        <v>2.5000000000000001E-3</v>
      </c>
      <c r="DB64" s="225">
        <f t="shared" si="86"/>
        <v>2.5000000000000001E-3</v>
      </c>
      <c r="DC64" s="225">
        <f t="shared" si="86"/>
        <v>2.5000000000000001E-3</v>
      </c>
      <c r="DD64" s="225">
        <f t="shared" si="86"/>
        <v>2.5000000000000001E-3</v>
      </c>
      <c r="DE64" s="225">
        <f t="shared" si="86"/>
        <v>2.5000000000000001E-3</v>
      </c>
      <c r="DF64" s="225">
        <f t="shared" si="86"/>
        <v>2.5000000000000001E-3</v>
      </c>
      <c r="DG64" s="225">
        <f t="shared" si="86"/>
        <v>2.5000000000000001E-3</v>
      </c>
      <c r="DH64" s="225">
        <f t="shared" si="86"/>
        <v>2.5000000000000001E-3</v>
      </c>
      <c r="DI64" s="225">
        <f t="shared" si="86"/>
        <v>2.5000000000000001E-3</v>
      </c>
      <c r="DJ64" s="225">
        <f t="shared" si="86"/>
        <v>2.5000000000000001E-3</v>
      </c>
      <c r="DK64" s="225">
        <f t="shared" si="86"/>
        <v>2.5000000000000001E-3</v>
      </c>
      <c r="DL64" s="225">
        <f t="shared" si="86"/>
        <v>2.5000000000000001E-3</v>
      </c>
      <c r="DM64" s="225">
        <f t="shared" si="86"/>
        <v>2.5000000000000001E-3</v>
      </c>
      <c r="DN64" s="225">
        <f t="shared" si="86"/>
        <v>2.5000000000000001E-3</v>
      </c>
      <c r="DO64" s="225">
        <f t="shared" si="86"/>
        <v>2.5000000000000001E-3</v>
      </c>
      <c r="DP64" s="225">
        <f t="shared" si="86"/>
        <v>2.5000000000000001E-3</v>
      </c>
      <c r="DQ64" s="225">
        <f t="shared" si="86"/>
        <v>2.5000000000000001E-3</v>
      </c>
      <c r="DR64" s="225">
        <f t="shared" si="86"/>
        <v>2.5000000000000001E-3</v>
      </c>
      <c r="DS64" s="225">
        <f t="shared" si="86"/>
        <v>2.5000000000000001E-3</v>
      </c>
      <c r="DT64" s="225">
        <f t="shared" si="86"/>
        <v>2.5000000000000001E-3</v>
      </c>
      <c r="DU64" s="225">
        <f t="shared" si="86"/>
        <v>2.5000000000000001E-3</v>
      </c>
      <c r="DV64" s="225">
        <f t="shared" si="86"/>
        <v>2.5000000000000001E-3</v>
      </c>
      <c r="DW64" s="225">
        <f t="shared" si="86"/>
        <v>2.5000000000000001E-3</v>
      </c>
      <c r="DX64" s="225">
        <f t="shared" si="86"/>
        <v>2.5000000000000001E-3</v>
      </c>
      <c r="DY64" s="225">
        <f t="shared" si="86"/>
        <v>2.5000000000000001E-3</v>
      </c>
      <c r="DZ64" s="225">
        <f t="shared" si="86"/>
        <v>2.5000000000000001E-3</v>
      </c>
      <c r="EA64" s="225">
        <f t="shared" si="86"/>
        <v>2.5000000000000001E-3</v>
      </c>
      <c r="EB64" s="225">
        <f t="shared" si="86"/>
        <v>2.5000000000000001E-3</v>
      </c>
      <c r="EC64" s="225">
        <f t="shared" si="86"/>
        <v>2.5000000000000001E-3</v>
      </c>
      <c r="ED64" s="225">
        <f t="shared" si="86"/>
        <v>2.5000000000000001E-3</v>
      </c>
      <c r="EE64" s="225">
        <f t="shared" ref="EE64:FF64" si="87">IFERROR(INDEX($M31:$Q31,MATCH(YEAR(EE$55),$M$27:$Q$27,0))/12,ED64)</f>
        <v>2.5000000000000001E-3</v>
      </c>
      <c r="EF64" s="225">
        <f t="shared" si="87"/>
        <v>2.5000000000000001E-3</v>
      </c>
      <c r="EG64" s="225">
        <f t="shared" si="87"/>
        <v>2.5000000000000001E-3</v>
      </c>
      <c r="EH64" s="225">
        <f t="shared" si="87"/>
        <v>2.5000000000000001E-3</v>
      </c>
      <c r="EI64" s="225">
        <f t="shared" si="87"/>
        <v>2.5000000000000001E-3</v>
      </c>
      <c r="EJ64" s="225">
        <f t="shared" si="87"/>
        <v>2.5000000000000001E-3</v>
      </c>
      <c r="EK64" s="225">
        <f t="shared" si="87"/>
        <v>2.5000000000000001E-3</v>
      </c>
      <c r="EL64" s="225">
        <f t="shared" si="87"/>
        <v>2.5000000000000001E-3</v>
      </c>
      <c r="EM64" s="225">
        <f t="shared" si="87"/>
        <v>2.5000000000000001E-3</v>
      </c>
      <c r="EN64" s="225">
        <f t="shared" si="87"/>
        <v>2.5000000000000001E-3</v>
      </c>
      <c r="EO64" s="225">
        <f t="shared" si="87"/>
        <v>2.5000000000000001E-3</v>
      </c>
      <c r="EP64" s="225">
        <f t="shared" si="87"/>
        <v>2.5000000000000001E-3</v>
      </c>
      <c r="EQ64" s="225">
        <f t="shared" si="87"/>
        <v>2.5000000000000001E-3</v>
      </c>
      <c r="ER64" s="225">
        <f t="shared" si="87"/>
        <v>2.5000000000000001E-3</v>
      </c>
      <c r="ES64" s="225">
        <f t="shared" si="87"/>
        <v>2.5000000000000001E-3</v>
      </c>
      <c r="ET64" s="225">
        <f t="shared" si="87"/>
        <v>2.5000000000000001E-3</v>
      </c>
      <c r="EU64" s="225">
        <f t="shared" si="87"/>
        <v>2.5000000000000001E-3</v>
      </c>
      <c r="EV64" s="225">
        <f t="shared" si="87"/>
        <v>2.5000000000000001E-3</v>
      </c>
      <c r="EW64" s="225">
        <f t="shared" si="87"/>
        <v>2.5000000000000001E-3</v>
      </c>
      <c r="EX64" s="225">
        <f t="shared" si="87"/>
        <v>2.5000000000000001E-3</v>
      </c>
      <c r="EY64" s="225">
        <f t="shared" si="87"/>
        <v>2.5000000000000001E-3</v>
      </c>
      <c r="EZ64" s="225">
        <f t="shared" si="87"/>
        <v>2.5000000000000001E-3</v>
      </c>
      <c r="FA64" s="225">
        <f t="shared" si="87"/>
        <v>2.5000000000000001E-3</v>
      </c>
      <c r="FB64" s="225">
        <f t="shared" si="87"/>
        <v>2.5000000000000001E-3</v>
      </c>
      <c r="FC64" s="225">
        <f t="shared" si="87"/>
        <v>2.5000000000000001E-3</v>
      </c>
      <c r="FD64" s="225">
        <f t="shared" si="87"/>
        <v>2.5000000000000001E-3</v>
      </c>
      <c r="FE64" s="225">
        <f t="shared" si="87"/>
        <v>2.5000000000000001E-3</v>
      </c>
      <c r="FF64" s="225">
        <f t="shared" si="87"/>
        <v>2.5000000000000001E-3</v>
      </c>
      <c r="FG64" s="315"/>
      <c r="FH64" s="225">
        <f>IFERROR(INDEX($M31:$Q31,MATCH(YEAR(FH$55),$M$27:$Q$27,0))/12,EZ64)</f>
        <v>2.5000000000000001E-3</v>
      </c>
      <c r="FI64" s="225"/>
      <c r="FJ64" s="225"/>
      <c r="FK64" s="225"/>
      <c r="FL64" s="225"/>
      <c r="FM64" s="225">
        <f>IFERROR(INDEX($M31:$Q31,MATCH(YEAR(FM$55),$M$27:$Q$27,0))/12,FA64)</f>
        <v>2.5000000000000001E-3</v>
      </c>
      <c r="FN64" s="225">
        <f>IFERROR(INDEX($M31:$Q31,MATCH(YEAR(FN$55),$M$27:$Q$27,0))/12,FB64)</f>
        <v>2.5000000000000001E-3</v>
      </c>
      <c r="FO64" s="225">
        <f>IFERROR(INDEX($M31:$Q31,MATCH(YEAR(FO$55),$M$27:$Q$27,0))/12,FC64)</f>
        <v>2.5000000000000001E-3</v>
      </c>
      <c r="FP64" s="225">
        <f>IFERROR(INDEX($M31:$Q31,MATCH(YEAR(FP$55),$M$27:$Q$27,0))/12,FD64)</f>
        <v>2.5000000000000001E-3</v>
      </c>
      <c r="FQ64" s="225"/>
      <c r="FR64" s="225"/>
      <c r="FS64" s="225"/>
      <c r="FT64" s="225"/>
      <c r="FU64" s="225"/>
      <c r="FV64" s="315"/>
    </row>
    <row r="65" spans="2:178" s="216" customFormat="1" hidden="1" outlineLevel="1" x14ac:dyDescent="0.2">
      <c r="B65" s="226"/>
      <c r="C65" s="216" t="s">
        <v>154</v>
      </c>
      <c r="E65" s="227"/>
      <c r="F65" s="228">
        <v>1</v>
      </c>
      <c r="G65" s="228">
        <f t="shared" ref="G65:BR65" si="88">F65*(1+G64)</f>
        <v>1.0024999999999999</v>
      </c>
      <c r="H65" s="228">
        <f t="shared" si="88"/>
        <v>1.0050062499999999</v>
      </c>
      <c r="I65" s="228">
        <f t="shared" si="88"/>
        <v>1.0075187656249998</v>
      </c>
      <c r="J65" s="228">
        <f t="shared" si="88"/>
        <v>1.0100375625390623</v>
      </c>
      <c r="K65" s="228">
        <f t="shared" si="88"/>
        <v>1.01256265644541</v>
      </c>
      <c r="L65" s="228">
        <f t="shared" si="88"/>
        <v>1.0150940630865235</v>
      </c>
      <c r="M65" s="228">
        <f t="shared" si="88"/>
        <v>1.0176317982442398</v>
      </c>
      <c r="N65" s="228">
        <f t="shared" si="88"/>
        <v>1.0201758777398504</v>
      </c>
      <c r="O65" s="228">
        <f t="shared" si="88"/>
        <v>1.0227263174342001</v>
      </c>
      <c r="P65" s="228">
        <f t="shared" si="88"/>
        <v>1.0252831332277854</v>
      </c>
      <c r="Q65" s="228">
        <f t="shared" si="88"/>
        <v>1.0278463410608549</v>
      </c>
      <c r="R65" s="228">
        <f t="shared" si="88"/>
        <v>1.030415956913507</v>
      </c>
      <c r="S65" s="228">
        <f t="shared" si="88"/>
        <v>1.0329919968057906</v>
      </c>
      <c r="T65" s="228">
        <f t="shared" si="88"/>
        <v>1.035574476797805</v>
      </c>
      <c r="U65" s="228">
        <f t="shared" si="88"/>
        <v>1.0381634129897994</v>
      </c>
      <c r="V65" s="228">
        <f t="shared" si="88"/>
        <v>1.0407588215222738</v>
      </c>
      <c r="W65" s="228">
        <f t="shared" si="88"/>
        <v>1.0433607185760794</v>
      </c>
      <c r="X65" s="228">
        <f t="shared" si="88"/>
        <v>1.0459691203725194</v>
      </c>
      <c r="Y65" s="228">
        <f t="shared" si="88"/>
        <v>1.0485840431734508</v>
      </c>
      <c r="Z65" s="228">
        <f t="shared" si="88"/>
        <v>1.0512055032813843</v>
      </c>
      <c r="AA65" s="228">
        <f t="shared" si="88"/>
        <v>1.0538335170395876</v>
      </c>
      <c r="AB65" s="228">
        <f t="shared" si="88"/>
        <v>1.0564681008321866</v>
      </c>
      <c r="AC65" s="228">
        <f t="shared" si="88"/>
        <v>1.0591092710842669</v>
      </c>
      <c r="AD65" s="228">
        <f t="shared" si="88"/>
        <v>1.0617570442619775</v>
      </c>
      <c r="AE65" s="228">
        <f t="shared" si="88"/>
        <v>1.0644114368726323</v>
      </c>
      <c r="AF65" s="228">
        <f t="shared" si="88"/>
        <v>1.0670724654648138</v>
      </c>
      <c r="AG65" s="228">
        <f t="shared" si="88"/>
        <v>1.0697401466284757</v>
      </c>
      <c r="AH65" s="228">
        <f t="shared" si="88"/>
        <v>1.0724144969950469</v>
      </c>
      <c r="AI65" s="228">
        <f t="shared" si="88"/>
        <v>1.0750955332375345</v>
      </c>
      <c r="AJ65" s="228">
        <f t="shared" si="88"/>
        <v>1.0777832720706282</v>
      </c>
      <c r="AK65" s="228">
        <f t="shared" si="88"/>
        <v>1.0804777302508046</v>
      </c>
      <c r="AL65" s="228">
        <f t="shared" si="88"/>
        <v>1.0831789245764316</v>
      </c>
      <c r="AM65" s="228">
        <f t="shared" si="88"/>
        <v>1.0858868718878727</v>
      </c>
      <c r="AN65" s="228">
        <f t="shared" si="88"/>
        <v>1.0886015890675924</v>
      </c>
      <c r="AO65" s="228">
        <f t="shared" si="88"/>
        <v>1.0913230930402613</v>
      </c>
      <c r="AP65" s="228">
        <f t="shared" si="88"/>
        <v>1.0940514007728619</v>
      </c>
      <c r="AQ65" s="228">
        <f t="shared" si="88"/>
        <v>1.096786529274794</v>
      </c>
      <c r="AR65" s="228">
        <f t="shared" si="88"/>
        <v>1.0995284955979809</v>
      </c>
      <c r="AS65" s="228">
        <f t="shared" si="88"/>
        <v>1.1022773168369759</v>
      </c>
      <c r="AT65" s="228">
        <f t="shared" si="88"/>
        <v>1.1050330101290684</v>
      </c>
      <c r="AU65" s="228">
        <f t="shared" si="88"/>
        <v>1.107795592654391</v>
      </c>
      <c r="AV65" s="228">
        <f t="shared" si="88"/>
        <v>1.1105650816360269</v>
      </c>
      <c r="AW65" s="228">
        <f t="shared" si="88"/>
        <v>1.1133414943401168</v>
      </c>
      <c r="AX65" s="228">
        <f t="shared" si="88"/>
        <v>1.1161248480759669</v>
      </c>
      <c r="AY65" s="228">
        <f t="shared" si="88"/>
        <v>1.1189151601961567</v>
      </c>
      <c r="AZ65" s="228">
        <f t="shared" si="88"/>
        <v>1.1217124480966469</v>
      </c>
      <c r="BA65" s="228">
        <f t="shared" si="88"/>
        <v>1.1245167292168885</v>
      </c>
      <c r="BB65" s="228">
        <f t="shared" si="88"/>
        <v>1.1273280210399306</v>
      </c>
      <c r="BC65" s="228">
        <f t="shared" si="88"/>
        <v>1.1301463410925303</v>
      </c>
      <c r="BD65" s="228">
        <f t="shared" si="88"/>
        <v>1.1329717069452616</v>
      </c>
      <c r="BE65" s="228">
        <f t="shared" si="88"/>
        <v>1.1358041362126248</v>
      </c>
      <c r="BF65" s="228">
        <f t="shared" si="88"/>
        <v>1.1386436465531562</v>
      </c>
      <c r="BG65" s="228">
        <f t="shared" si="88"/>
        <v>1.141490255669539</v>
      </c>
      <c r="BH65" s="228">
        <f t="shared" si="88"/>
        <v>1.1443439813087128</v>
      </c>
      <c r="BI65" s="228">
        <f t="shared" si="88"/>
        <v>1.1472048412619846</v>
      </c>
      <c r="BJ65" s="228">
        <f t="shared" si="88"/>
        <v>1.1500728533651394</v>
      </c>
      <c r="BK65" s="228">
        <f t="shared" si="88"/>
        <v>1.1529480354985522</v>
      </c>
      <c r="BL65" s="228">
        <f t="shared" si="88"/>
        <v>1.1558304055872985</v>
      </c>
      <c r="BM65" s="228">
        <f t="shared" si="88"/>
        <v>1.1587199816012668</v>
      </c>
      <c r="BN65" s="228">
        <f t="shared" si="88"/>
        <v>1.1616167815552698</v>
      </c>
      <c r="BO65" s="228">
        <f t="shared" si="88"/>
        <v>1.164520823509158</v>
      </c>
      <c r="BP65" s="228">
        <f t="shared" si="88"/>
        <v>1.1674321255679307</v>
      </c>
      <c r="BQ65" s="228">
        <f t="shared" si="88"/>
        <v>1.1703507058818505</v>
      </c>
      <c r="BR65" s="228">
        <f t="shared" si="88"/>
        <v>1.173276582646555</v>
      </c>
      <c r="BS65" s="228">
        <f t="shared" ref="BS65:ED65" si="89">BR65*(1+BS64)</f>
        <v>1.1762097741031714</v>
      </c>
      <c r="BT65" s="228">
        <f t="shared" si="89"/>
        <v>1.1791502985384292</v>
      </c>
      <c r="BU65" s="228">
        <f t="shared" si="89"/>
        <v>1.1820981742847751</v>
      </c>
      <c r="BV65" s="228">
        <f t="shared" si="89"/>
        <v>1.1850534197204869</v>
      </c>
      <c r="BW65" s="228">
        <f t="shared" si="89"/>
        <v>1.1880160532697881</v>
      </c>
      <c r="BX65" s="228">
        <f t="shared" si="89"/>
        <v>1.1909860934029626</v>
      </c>
      <c r="BY65" s="228">
        <f t="shared" si="89"/>
        <v>1.1939635586364699</v>
      </c>
      <c r="BZ65" s="228">
        <f t="shared" si="89"/>
        <v>1.1969484675330611</v>
      </c>
      <c r="CA65" s="228">
        <f t="shared" si="89"/>
        <v>1.1999408387018937</v>
      </c>
      <c r="CB65" s="228">
        <f t="shared" si="89"/>
        <v>1.2029406907986484</v>
      </c>
      <c r="CC65" s="228">
        <f t="shared" si="89"/>
        <v>1.205948042525645</v>
      </c>
      <c r="CD65" s="228">
        <f t="shared" si="89"/>
        <v>1.208962912631959</v>
      </c>
      <c r="CE65" s="228">
        <f t="shared" si="89"/>
        <v>1.2119853199135389</v>
      </c>
      <c r="CF65" s="228">
        <f t="shared" si="89"/>
        <v>1.2150152832133227</v>
      </c>
      <c r="CG65" s="228">
        <f t="shared" si="89"/>
        <v>1.218052821421356</v>
      </c>
      <c r="CH65" s="228">
        <f t="shared" si="89"/>
        <v>1.2210979534749093</v>
      </c>
      <c r="CI65" s="228">
        <f t="shared" si="89"/>
        <v>1.2241506983585966</v>
      </c>
      <c r="CJ65" s="228">
        <f t="shared" si="89"/>
        <v>1.2272110751044929</v>
      </c>
      <c r="CK65" s="228">
        <f t="shared" si="89"/>
        <v>1.2302791027922542</v>
      </c>
      <c r="CL65" s="228">
        <f t="shared" si="89"/>
        <v>1.2333548005492347</v>
      </c>
      <c r="CM65" s="228">
        <f t="shared" si="89"/>
        <v>1.2364381875506079</v>
      </c>
      <c r="CN65" s="228">
        <f t="shared" si="89"/>
        <v>1.2395292830194844</v>
      </c>
      <c r="CO65" s="228">
        <f t="shared" si="89"/>
        <v>1.242628106227033</v>
      </c>
      <c r="CP65" s="228">
        <f t="shared" si="89"/>
        <v>1.2457346764926005</v>
      </c>
      <c r="CQ65" s="228">
        <f t="shared" si="89"/>
        <v>1.2488490131838319</v>
      </c>
      <c r="CR65" s="228">
        <f t="shared" si="89"/>
        <v>1.2519711357167913</v>
      </c>
      <c r="CS65" s="228">
        <f t="shared" si="89"/>
        <v>1.2551010635560833</v>
      </c>
      <c r="CT65" s="228">
        <f t="shared" si="89"/>
        <v>1.2582388162149734</v>
      </c>
      <c r="CU65" s="228">
        <f t="shared" si="89"/>
        <v>1.2613844132555108</v>
      </c>
      <c r="CV65" s="228">
        <f t="shared" si="89"/>
        <v>1.2645378742886495</v>
      </c>
      <c r="CW65" s="228">
        <f t="shared" si="89"/>
        <v>1.267699218974371</v>
      </c>
      <c r="CX65" s="228">
        <f t="shared" si="89"/>
        <v>1.2708684670218069</v>
      </c>
      <c r="CY65" s="228">
        <f t="shared" si="89"/>
        <v>1.2740456381893615</v>
      </c>
      <c r="CZ65" s="228">
        <f t="shared" si="89"/>
        <v>1.2772307522848347</v>
      </c>
      <c r="DA65" s="228">
        <f t="shared" si="89"/>
        <v>1.2804238291655468</v>
      </c>
      <c r="DB65" s="228">
        <f t="shared" si="89"/>
        <v>1.2836248887384605</v>
      </c>
      <c r="DC65" s="228">
        <f t="shared" si="89"/>
        <v>1.2868339509603066</v>
      </c>
      <c r="DD65" s="228">
        <f t="shared" si="89"/>
        <v>1.2900510358377073</v>
      </c>
      <c r="DE65" s="228">
        <f t="shared" si="89"/>
        <v>1.2932761634273016</v>
      </c>
      <c r="DF65" s="228">
        <f t="shared" si="89"/>
        <v>1.2965093538358698</v>
      </c>
      <c r="DG65" s="228">
        <f t="shared" si="89"/>
        <v>1.2997506272204595</v>
      </c>
      <c r="DH65" s="228">
        <f t="shared" si="89"/>
        <v>1.3030000037885106</v>
      </c>
      <c r="DI65" s="228">
        <f t="shared" si="89"/>
        <v>1.3062575037979818</v>
      </c>
      <c r="DJ65" s="228">
        <f t="shared" si="89"/>
        <v>1.3095231475574767</v>
      </c>
      <c r="DK65" s="228">
        <f t="shared" si="89"/>
        <v>1.3127969554263703</v>
      </c>
      <c r="DL65" s="228">
        <f t="shared" si="89"/>
        <v>1.3160789478149362</v>
      </c>
      <c r="DM65" s="228">
        <f t="shared" si="89"/>
        <v>1.3193691451844733</v>
      </c>
      <c r="DN65" s="228">
        <f t="shared" si="89"/>
        <v>1.3226675680474345</v>
      </c>
      <c r="DO65" s="228">
        <f t="shared" si="89"/>
        <v>1.3259742369675529</v>
      </c>
      <c r="DP65" s="228">
        <f t="shared" si="89"/>
        <v>1.3292891725599718</v>
      </c>
      <c r="DQ65" s="228">
        <f t="shared" si="89"/>
        <v>1.3326123954913716</v>
      </c>
      <c r="DR65" s="228">
        <f t="shared" si="89"/>
        <v>1.3359439264800999</v>
      </c>
      <c r="DS65" s="228">
        <f t="shared" si="89"/>
        <v>1.3392837862963001</v>
      </c>
      <c r="DT65" s="228">
        <f t="shared" si="89"/>
        <v>1.3426319957620407</v>
      </c>
      <c r="DU65" s="228">
        <f t="shared" si="89"/>
        <v>1.3459885757514458</v>
      </c>
      <c r="DV65" s="228">
        <f t="shared" si="89"/>
        <v>1.3493535471908245</v>
      </c>
      <c r="DW65" s="228">
        <f t="shared" si="89"/>
        <v>1.3527269310588015</v>
      </c>
      <c r="DX65" s="228">
        <f t="shared" si="89"/>
        <v>1.3561087483864485</v>
      </c>
      <c r="DY65" s="228">
        <f t="shared" si="89"/>
        <v>1.3594990202574144</v>
      </c>
      <c r="DZ65" s="228">
        <f t="shared" si="89"/>
        <v>1.3628977678080578</v>
      </c>
      <c r="EA65" s="228">
        <f t="shared" si="89"/>
        <v>1.3663050122275779</v>
      </c>
      <c r="EB65" s="228">
        <f t="shared" si="89"/>
        <v>1.3697207747581468</v>
      </c>
      <c r="EC65" s="228">
        <f t="shared" si="89"/>
        <v>1.3731450766950422</v>
      </c>
      <c r="ED65" s="228">
        <f t="shared" si="89"/>
        <v>1.3765779393867796</v>
      </c>
      <c r="EE65" s="228">
        <f t="shared" ref="EE65:FF65" si="90">ED65*(1+EE64)</f>
        <v>1.3800193842352466</v>
      </c>
      <c r="EF65" s="228">
        <f t="shared" si="90"/>
        <v>1.3834694326958346</v>
      </c>
      <c r="EG65" s="228">
        <f t="shared" si="90"/>
        <v>1.386928106277574</v>
      </c>
      <c r="EH65" s="228">
        <f t="shared" si="90"/>
        <v>1.3903954265432679</v>
      </c>
      <c r="EI65" s="228">
        <f t="shared" si="90"/>
        <v>1.3938714151096259</v>
      </c>
      <c r="EJ65" s="228">
        <f t="shared" si="90"/>
        <v>1.3973560936473999</v>
      </c>
      <c r="EK65" s="228">
        <f t="shared" si="90"/>
        <v>1.4008494838815182</v>
      </c>
      <c r="EL65" s="228">
        <f t="shared" si="90"/>
        <v>1.4043516075912219</v>
      </c>
      <c r="EM65" s="228">
        <f t="shared" si="90"/>
        <v>1.4078624866101999</v>
      </c>
      <c r="EN65" s="228">
        <f t="shared" si="90"/>
        <v>1.4113821428267253</v>
      </c>
      <c r="EO65" s="228">
        <f t="shared" si="90"/>
        <v>1.4149105981837919</v>
      </c>
      <c r="EP65" s="228">
        <f t="shared" si="90"/>
        <v>1.4184478746792513</v>
      </c>
      <c r="EQ65" s="228">
        <f t="shared" si="90"/>
        <v>1.4219939943659494</v>
      </c>
      <c r="ER65" s="228">
        <f t="shared" si="90"/>
        <v>1.4255489793518643</v>
      </c>
      <c r="ES65" s="228">
        <f t="shared" si="90"/>
        <v>1.4291128518002438</v>
      </c>
      <c r="ET65" s="228">
        <f t="shared" si="90"/>
        <v>1.4326856339297445</v>
      </c>
      <c r="EU65" s="228">
        <f t="shared" si="90"/>
        <v>1.4362673480145687</v>
      </c>
      <c r="EV65" s="228">
        <f t="shared" si="90"/>
        <v>1.4398580163846051</v>
      </c>
      <c r="EW65" s="228">
        <f t="shared" si="90"/>
        <v>1.4434576614255665</v>
      </c>
      <c r="EX65" s="228">
        <f t="shared" si="90"/>
        <v>1.4470663055791304</v>
      </c>
      <c r="EY65" s="228">
        <f t="shared" si="90"/>
        <v>1.4506839713430781</v>
      </c>
      <c r="EZ65" s="228">
        <f t="shared" si="90"/>
        <v>1.4543106812714357</v>
      </c>
      <c r="FA65" s="228">
        <f t="shared" si="90"/>
        <v>1.4579464579746142</v>
      </c>
      <c r="FB65" s="228">
        <f t="shared" si="90"/>
        <v>1.4615913241195506</v>
      </c>
      <c r="FC65" s="228">
        <f t="shared" si="90"/>
        <v>1.4652453024298495</v>
      </c>
      <c r="FD65" s="228">
        <f t="shared" si="90"/>
        <v>1.468908415685924</v>
      </c>
      <c r="FE65" s="228">
        <f t="shared" si="90"/>
        <v>1.4725806867251388</v>
      </c>
      <c r="FF65" s="228">
        <f t="shared" si="90"/>
        <v>1.4762621384419514</v>
      </c>
      <c r="FG65" s="319"/>
      <c r="FH65" s="228">
        <f t="shared" ref="FH65" si="91">EZ65*(1+FH64)</f>
        <v>1.4579464579746142</v>
      </c>
      <c r="FI65" s="228"/>
      <c r="FJ65" s="228"/>
      <c r="FK65" s="228"/>
      <c r="FL65" s="228"/>
      <c r="FM65" s="228">
        <f>FA65*(1+FM64)</f>
        <v>1.4615913241195506</v>
      </c>
      <c r="FN65" s="228">
        <f>FB65*(1+FN64)</f>
        <v>1.4652453024298495</v>
      </c>
      <c r="FO65" s="228">
        <f>FC65*(1+FO64)</f>
        <v>1.468908415685924</v>
      </c>
      <c r="FP65" s="228">
        <f>FD65*(1+FP64)</f>
        <v>1.4725806867251388</v>
      </c>
      <c r="FQ65" s="228"/>
      <c r="FR65" s="228"/>
      <c r="FS65" s="228"/>
      <c r="FT65" s="228"/>
      <c r="FU65" s="228"/>
      <c r="FV65" s="319"/>
    </row>
    <row r="66" spans="2:178" hidden="1" outlineLevel="1" x14ac:dyDescent="0.2">
      <c r="B66" s="47"/>
      <c r="E66" s="224"/>
      <c r="F66" s="225"/>
    </row>
    <row r="67" spans="2:178" hidden="1" outlineLevel="1" x14ac:dyDescent="0.2">
      <c r="C67" s="47" t="s">
        <v>151</v>
      </c>
      <c r="E67" s="224"/>
    </row>
    <row r="68" spans="2:178" hidden="1" outlineLevel="1" x14ac:dyDescent="0.2">
      <c r="B68" s="47"/>
      <c r="C68" s="39" t="s">
        <v>152</v>
      </c>
      <c r="E68" s="224"/>
      <c r="F68" s="77">
        <f>O13</f>
        <v>1900</v>
      </c>
      <c r="G68" s="77">
        <f t="shared" ref="G68:AL68" si="92">F68*(1+G58)</f>
        <v>1904.75</v>
      </c>
      <c r="H68" s="77">
        <f t="shared" si="92"/>
        <v>1909.5118749999999</v>
      </c>
      <c r="I68" s="77">
        <f t="shared" si="92"/>
        <v>1914.2856546874998</v>
      </c>
      <c r="J68" s="77">
        <f t="shared" si="92"/>
        <v>1919.0713688242186</v>
      </c>
      <c r="K68" s="77">
        <f t="shared" si="92"/>
        <v>1923.869047246279</v>
      </c>
      <c r="L68" s="77">
        <f t="shared" si="92"/>
        <v>1928.6787198643947</v>
      </c>
      <c r="M68" s="77">
        <f t="shared" si="92"/>
        <v>1933.5004166640556</v>
      </c>
      <c r="N68" s="77">
        <f t="shared" si="92"/>
        <v>1938.3341677057156</v>
      </c>
      <c r="O68" s="77">
        <f t="shared" si="92"/>
        <v>1943.1800031249797</v>
      </c>
      <c r="P68" s="77">
        <f t="shared" si="92"/>
        <v>1948.0379531327922</v>
      </c>
      <c r="Q68" s="77">
        <f t="shared" si="92"/>
        <v>1952.908048015624</v>
      </c>
      <c r="R68" s="77">
        <f t="shared" si="92"/>
        <v>1957.790318135663</v>
      </c>
      <c r="S68" s="77">
        <f t="shared" si="92"/>
        <v>1962.6847939310021</v>
      </c>
      <c r="T68" s="77">
        <f t="shared" si="92"/>
        <v>1967.5915059158294</v>
      </c>
      <c r="U68" s="77">
        <f t="shared" si="92"/>
        <v>1972.5104846806189</v>
      </c>
      <c r="V68" s="77">
        <f t="shared" si="92"/>
        <v>1977.4417608923204</v>
      </c>
      <c r="W68" s="77">
        <f t="shared" si="92"/>
        <v>1982.3853652945511</v>
      </c>
      <c r="X68" s="77">
        <f t="shared" si="92"/>
        <v>1987.3413287077874</v>
      </c>
      <c r="Y68" s="77">
        <f t="shared" si="92"/>
        <v>1992.3096820295568</v>
      </c>
      <c r="Z68" s="77">
        <f t="shared" si="92"/>
        <v>1997.2904562346307</v>
      </c>
      <c r="AA68" s="77">
        <f t="shared" si="92"/>
        <v>2002.2836823752173</v>
      </c>
      <c r="AB68" s="77">
        <f t="shared" si="92"/>
        <v>2007.2893915811553</v>
      </c>
      <c r="AC68" s="77">
        <f t="shared" si="92"/>
        <v>2012.307615060108</v>
      </c>
      <c r="AD68" s="77">
        <f t="shared" si="92"/>
        <v>2017.3383840977581</v>
      </c>
      <c r="AE68" s="77">
        <f t="shared" si="92"/>
        <v>2022.3817300580024</v>
      </c>
      <c r="AF68" s="77">
        <f t="shared" si="92"/>
        <v>2027.4376843831474</v>
      </c>
      <c r="AG68" s="77">
        <f t="shared" si="92"/>
        <v>2032.5062785941052</v>
      </c>
      <c r="AH68" s="77">
        <f t="shared" si="92"/>
        <v>2037.5875442905904</v>
      </c>
      <c r="AI68" s="77">
        <f t="shared" si="92"/>
        <v>2042.6815131513167</v>
      </c>
      <c r="AJ68" s="77">
        <f t="shared" si="92"/>
        <v>2047.7882169341949</v>
      </c>
      <c r="AK68" s="77">
        <f t="shared" si="92"/>
        <v>2052.9076874765301</v>
      </c>
      <c r="AL68" s="77">
        <f t="shared" si="92"/>
        <v>2058.0399566952215</v>
      </c>
      <c r="AM68" s="77">
        <f t="shared" ref="AM68:BR68" si="93">AL68*(1+AM58)</f>
        <v>2063.1850565869595</v>
      </c>
      <c r="AN68" s="77">
        <f t="shared" si="93"/>
        <v>2068.3430192284268</v>
      </c>
      <c r="AO68" s="77">
        <f t="shared" si="93"/>
        <v>2073.5138767764979</v>
      </c>
      <c r="AP68" s="77">
        <f t="shared" si="93"/>
        <v>2078.697661468439</v>
      </c>
      <c r="AQ68" s="77">
        <f t="shared" si="93"/>
        <v>2083.8944056221098</v>
      </c>
      <c r="AR68" s="77">
        <f t="shared" si="93"/>
        <v>2089.104141636165</v>
      </c>
      <c r="AS68" s="77">
        <f t="shared" si="93"/>
        <v>2094.3269019902555</v>
      </c>
      <c r="AT68" s="77">
        <f t="shared" si="93"/>
        <v>2099.5627192452312</v>
      </c>
      <c r="AU68" s="77">
        <f t="shared" si="93"/>
        <v>2104.8116260433439</v>
      </c>
      <c r="AV68" s="77">
        <f t="shared" si="93"/>
        <v>2110.0736551084524</v>
      </c>
      <c r="AW68" s="77">
        <f t="shared" si="93"/>
        <v>2115.3488392462232</v>
      </c>
      <c r="AX68" s="77">
        <f t="shared" si="93"/>
        <v>2120.6372113443385</v>
      </c>
      <c r="AY68" s="77">
        <f t="shared" si="93"/>
        <v>2125.9388043726995</v>
      </c>
      <c r="AZ68" s="77">
        <f t="shared" si="93"/>
        <v>2131.2536513836312</v>
      </c>
      <c r="BA68" s="77">
        <f t="shared" si="93"/>
        <v>2136.5817855120904</v>
      </c>
      <c r="BB68" s="77">
        <f t="shared" si="93"/>
        <v>2141.9232399758707</v>
      </c>
      <c r="BC68" s="77">
        <f t="shared" si="93"/>
        <v>2147.2780480758101</v>
      </c>
      <c r="BD68" s="77">
        <f t="shared" si="93"/>
        <v>2152.6462431959994</v>
      </c>
      <c r="BE68" s="77">
        <f t="shared" si="93"/>
        <v>2158.0278588039891</v>
      </c>
      <c r="BF68" s="77">
        <f t="shared" si="93"/>
        <v>2163.4229284509988</v>
      </c>
      <c r="BG68" s="77">
        <f t="shared" si="93"/>
        <v>2168.8314857721261</v>
      </c>
      <c r="BH68" s="77">
        <f t="shared" si="93"/>
        <v>2174.2535644865566</v>
      </c>
      <c r="BI68" s="77">
        <f t="shared" si="93"/>
        <v>2179.689198397773</v>
      </c>
      <c r="BJ68" s="77">
        <f t="shared" si="93"/>
        <v>2185.1384213937672</v>
      </c>
      <c r="BK68" s="77">
        <f t="shared" si="93"/>
        <v>2190.6012674472513</v>
      </c>
      <c r="BL68" s="77">
        <f t="shared" si="93"/>
        <v>2196.0777706158692</v>
      </c>
      <c r="BM68" s="77">
        <f t="shared" si="93"/>
        <v>2201.5679650424086</v>
      </c>
      <c r="BN68" s="77">
        <f t="shared" si="93"/>
        <v>2207.0718849550144</v>
      </c>
      <c r="BO68" s="77">
        <f t="shared" si="93"/>
        <v>2212.5895646674016</v>
      </c>
      <c r="BP68" s="77">
        <f t="shared" si="93"/>
        <v>2218.12103857907</v>
      </c>
      <c r="BQ68" s="77">
        <f t="shared" si="93"/>
        <v>2223.6663411755176</v>
      </c>
      <c r="BR68" s="77">
        <f t="shared" si="93"/>
        <v>2229.2255070284564</v>
      </c>
      <c r="BS68" s="77">
        <f t="shared" ref="BS68:CX68" si="94">BR68*(1+BS58)</f>
        <v>2234.7985707960274</v>
      </c>
      <c r="BT68" s="77">
        <f t="shared" si="94"/>
        <v>2240.3855672230175</v>
      </c>
      <c r="BU68" s="77">
        <f t="shared" si="94"/>
        <v>2245.9865311410749</v>
      </c>
      <c r="BV68" s="77">
        <f t="shared" si="94"/>
        <v>2251.6014974689274</v>
      </c>
      <c r="BW68" s="77">
        <f t="shared" si="94"/>
        <v>2257.2305012125994</v>
      </c>
      <c r="BX68" s="77">
        <f t="shared" si="94"/>
        <v>2262.8735774656307</v>
      </c>
      <c r="BY68" s="77">
        <f t="shared" si="94"/>
        <v>2268.5307614092944</v>
      </c>
      <c r="BZ68" s="77">
        <f t="shared" si="94"/>
        <v>2274.2020883128175</v>
      </c>
      <c r="CA68" s="77">
        <f t="shared" si="94"/>
        <v>2279.8875935335996</v>
      </c>
      <c r="CB68" s="77">
        <f t="shared" si="94"/>
        <v>2285.5873125174335</v>
      </c>
      <c r="CC68" s="77">
        <f t="shared" si="94"/>
        <v>2291.301280798727</v>
      </c>
      <c r="CD68" s="77">
        <f t="shared" si="94"/>
        <v>2297.0295340007237</v>
      </c>
      <c r="CE68" s="77">
        <f t="shared" si="94"/>
        <v>2302.7721078357254</v>
      </c>
      <c r="CF68" s="77">
        <f t="shared" si="94"/>
        <v>2308.5290381053146</v>
      </c>
      <c r="CG68" s="77">
        <f t="shared" si="94"/>
        <v>2314.3003607005776</v>
      </c>
      <c r="CH68" s="77">
        <f t="shared" si="94"/>
        <v>2320.0861116023289</v>
      </c>
      <c r="CI68" s="77">
        <f t="shared" si="94"/>
        <v>2325.8863268813348</v>
      </c>
      <c r="CJ68" s="77">
        <f t="shared" si="94"/>
        <v>2331.701042698538</v>
      </c>
      <c r="CK68" s="77">
        <f t="shared" si="94"/>
        <v>2337.5302953052842</v>
      </c>
      <c r="CL68" s="77">
        <f t="shared" si="94"/>
        <v>2343.3741210435473</v>
      </c>
      <c r="CM68" s="77">
        <f t="shared" si="94"/>
        <v>2349.2325563461559</v>
      </c>
      <c r="CN68" s="77">
        <f t="shared" si="94"/>
        <v>2355.105637737021</v>
      </c>
      <c r="CO68" s="77">
        <f t="shared" si="94"/>
        <v>2360.9934018313634</v>
      </c>
      <c r="CP68" s="77">
        <f t="shared" si="94"/>
        <v>2366.8958853359418</v>
      </c>
      <c r="CQ68" s="77">
        <f t="shared" si="94"/>
        <v>2372.8131250492816</v>
      </c>
      <c r="CR68" s="77">
        <f t="shared" si="94"/>
        <v>2378.7451578619048</v>
      </c>
      <c r="CS68" s="77">
        <f t="shared" si="94"/>
        <v>2384.6920207565595</v>
      </c>
      <c r="CT68" s="77">
        <f t="shared" si="94"/>
        <v>2390.6537508084507</v>
      </c>
      <c r="CU68" s="77">
        <f t="shared" si="94"/>
        <v>2396.6303851854718</v>
      </c>
      <c r="CV68" s="77">
        <f t="shared" si="94"/>
        <v>2402.6219611484353</v>
      </c>
      <c r="CW68" s="77">
        <f t="shared" si="94"/>
        <v>2408.6285160513062</v>
      </c>
      <c r="CX68" s="77">
        <f t="shared" si="94"/>
        <v>2414.6500873414343</v>
      </c>
      <c r="CY68" s="77">
        <f t="shared" ref="CY68:ED68" si="95">CX68*(1+CY58)</f>
        <v>2420.6867125597878</v>
      </c>
      <c r="CZ68" s="77">
        <f t="shared" si="95"/>
        <v>2426.7384293411869</v>
      </c>
      <c r="DA68" s="77">
        <f t="shared" si="95"/>
        <v>2432.8052754145397</v>
      </c>
      <c r="DB68" s="77">
        <f t="shared" si="95"/>
        <v>2438.8872886030758</v>
      </c>
      <c r="DC68" s="77">
        <f t="shared" si="95"/>
        <v>2444.9845068245836</v>
      </c>
      <c r="DD68" s="77">
        <f t="shared" si="95"/>
        <v>2451.0969680916451</v>
      </c>
      <c r="DE68" s="77">
        <f t="shared" si="95"/>
        <v>2457.224710511874</v>
      </c>
      <c r="DF68" s="77">
        <f t="shared" si="95"/>
        <v>2463.3677722881534</v>
      </c>
      <c r="DG68" s="77">
        <f t="shared" si="95"/>
        <v>2469.5261917188736</v>
      </c>
      <c r="DH68" s="77">
        <f t="shared" si="95"/>
        <v>2475.7000071981706</v>
      </c>
      <c r="DI68" s="77">
        <f t="shared" si="95"/>
        <v>2481.8892572161658</v>
      </c>
      <c r="DJ68" s="77">
        <f t="shared" si="95"/>
        <v>2488.0939803592059</v>
      </c>
      <c r="DK68" s="77">
        <f t="shared" si="95"/>
        <v>2494.3142153101039</v>
      </c>
      <c r="DL68" s="77">
        <f t="shared" si="95"/>
        <v>2500.5500008483791</v>
      </c>
      <c r="DM68" s="77">
        <f t="shared" si="95"/>
        <v>2506.8013758504999</v>
      </c>
      <c r="DN68" s="77">
        <f t="shared" si="95"/>
        <v>2513.0683792901259</v>
      </c>
      <c r="DO68" s="77">
        <f t="shared" si="95"/>
        <v>2519.351050238351</v>
      </c>
      <c r="DP68" s="77">
        <f t="shared" si="95"/>
        <v>2525.6494278639466</v>
      </c>
      <c r="DQ68" s="77">
        <f t="shared" si="95"/>
        <v>2531.9635514336064</v>
      </c>
      <c r="DR68" s="77">
        <f t="shared" si="95"/>
        <v>2538.2934603121903</v>
      </c>
      <c r="DS68" s="77">
        <f t="shared" si="95"/>
        <v>2544.6391939629707</v>
      </c>
      <c r="DT68" s="77">
        <f t="shared" si="95"/>
        <v>2551.000791947878</v>
      </c>
      <c r="DU68" s="77">
        <f t="shared" si="95"/>
        <v>2557.3782939277476</v>
      </c>
      <c r="DV68" s="77">
        <f t="shared" si="95"/>
        <v>2563.7717396625667</v>
      </c>
      <c r="DW68" s="77">
        <f t="shared" si="95"/>
        <v>2570.1811690117229</v>
      </c>
      <c r="DX68" s="77">
        <f t="shared" si="95"/>
        <v>2576.606621934252</v>
      </c>
      <c r="DY68" s="77">
        <f t="shared" si="95"/>
        <v>2583.0481384890873</v>
      </c>
      <c r="DZ68" s="77">
        <f t="shared" si="95"/>
        <v>2589.5057588353097</v>
      </c>
      <c r="EA68" s="77">
        <f t="shared" si="95"/>
        <v>2595.9795232323977</v>
      </c>
      <c r="EB68" s="77">
        <f t="shared" si="95"/>
        <v>2602.4694720404786</v>
      </c>
      <c r="EC68" s="77">
        <f t="shared" si="95"/>
        <v>2608.9756457205799</v>
      </c>
      <c r="ED68" s="77">
        <f t="shared" si="95"/>
        <v>2615.4980848348814</v>
      </c>
      <c r="EE68" s="77">
        <f t="shared" ref="EE68:FF68" si="96">ED68*(1+EE58)</f>
        <v>2622.0368300469686</v>
      </c>
      <c r="EF68" s="77">
        <f t="shared" si="96"/>
        <v>2628.5919221220861</v>
      </c>
      <c r="EG68" s="77">
        <f t="shared" si="96"/>
        <v>2635.1634019273911</v>
      </c>
      <c r="EH68" s="77">
        <f t="shared" si="96"/>
        <v>2641.7513104322093</v>
      </c>
      <c r="EI68" s="77">
        <f t="shared" si="96"/>
        <v>2648.3556887082896</v>
      </c>
      <c r="EJ68" s="77">
        <f t="shared" si="96"/>
        <v>2654.9765779300601</v>
      </c>
      <c r="EK68" s="77">
        <f t="shared" si="96"/>
        <v>2661.6140193748852</v>
      </c>
      <c r="EL68" s="77">
        <f t="shared" si="96"/>
        <v>2668.2680544233222</v>
      </c>
      <c r="EM68" s="77">
        <f t="shared" si="96"/>
        <v>2674.9387245593803</v>
      </c>
      <c r="EN68" s="77">
        <f t="shared" si="96"/>
        <v>2681.6260713707784</v>
      </c>
      <c r="EO68" s="77">
        <f t="shared" si="96"/>
        <v>2688.3301365492052</v>
      </c>
      <c r="EP68" s="77">
        <f t="shared" si="96"/>
        <v>2695.050961890578</v>
      </c>
      <c r="EQ68" s="77">
        <f t="shared" si="96"/>
        <v>2701.7885892953045</v>
      </c>
      <c r="ER68" s="77">
        <f t="shared" si="96"/>
        <v>2708.5430607685425</v>
      </c>
      <c r="ES68" s="77">
        <f t="shared" si="96"/>
        <v>2715.3144184204639</v>
      </c>
      <c r="ET68" s="77">
        <f t="shared" si="96"/>
        <v>2722.1027044665148</v>
      </c>
      <c r="EU68" s="77">
        <f t="shared" si="96"/>
        <v>2728.907961227681</v>
      </c>
      <c r="EV68" s="77">
        <f t="shared" si="96"/>
        <v>2735.7302311307499</v>
      </c>
      <c r="EW68" s="77">
        <f t="shared" si="96"/>
        <v>2742.5695567085768</v>
      </c>
      <c r="EX68" s="77">
        <f t="shared" si="96"/>
        <v>2749.4259806003479</v>
      </c>
      <c r="EY68" s="77">
        <f t="shared" si="96"/>
        <v>2756.2995455518485</v>
      </c>
      <c r="EZ68" s="77">
        <f t="shared" si="96"/>
        <v>2763.1902944157277</v>
      </c>
      <c r="FA68" s="77">
        <f t="shared" si="96"/>
        <v>2770.0982701517669</v>
      </c>
      <c r="FB68" s="77">
        <f t="shared" si="96"/>
        <v>2777.0235158271462</v>
      </c>
      <c r="FC68" s="77">
        <f t="shared" si="96"/>
        <v>2783.9660746167137</v>
      </c>
      <c r="FD68" s="77">
        <f t="shared" si="96"/>
        <v>2790.9259898032556</v>
      </c>
      <c r="FE68" s="77">
        <f t="shared" si="96"/>
        <v>2797.9033047777634</v>
      </c>
      <c r="FF68" s="77">
        <f t="shared" si="96"/>
        <v>2804.8980630397077</v>
      </c>
      <c r="FG68" s="277"/>
      <c r="FH68" s="77">
        <f t="shared" ref="FH68" si="97">EZ68*(1+FH58)</f>
        <v>2770.0982701517669</v>
      </c>
      <c r="FI68" s="77"/>
      <c r="FJ68" s="77"/>
      <c r="FK68" s="77"/>
      <c r="FL68" s="77"/>
      <c r="FM68" s="77">
        <f>FA68*(1+FM58)</f>
        <v>2777.0235158271462</v>
      </c>
      <c r="FN68" s="77">
        <f>FB68*(1+FN58)</f>
        <v>2783.9660746167137</v>
      </c>
      <c r="FO68" s="77">
        <f>FC68*(1+FO58)</f>
        <v>2790.9259898032556</v>
      </c>
      <c r="FP68" s="77">
        <f>FD68*(1+FP58)</f>
        <v>2797.9033047777634</v>
      </c>
      <c r="FQ68" s="77"/>
      <c r="FR68" s="77"/>
      <c r="FS68" s="77"/>
      <c r="FT68" s="77"/>
      <c r="FU68" s="77"/>
      <c r="FV68" s="277"/>
    </row>
    <row r="69" spans="2:178" hidden="1" outlineLevel="1" x14ac:dyDescent="0.2">
      <c r="B69" s="47"/>
      <c r="E69" s="224"/>
      <c r="G69" s="163"/>
      <c r="H69" s="163"/>
      <c r="I69" s="163"/>
      <c r="J69" s="163"/>
      <c r="K69" s="163"/>
    </row>
    <row r="70" spans="2:178" collapsed="1" x14ac:dyDescent="0.2">
      <c r="C70" s="229" t="s">
        <v>56</v>
      </c>
      <c r="E70" s="224"/>
    </row>
    <row r="71" spans="2:178" s="163" customFormat="1" x14ac:dyDescent="0.2">
      <c r="C71" s="163" t="s">
        <v>156</v>
      </c>
      <c r="E71" s="270">
        <f>SUM(F71:FF71)</f>
        <v>22860439.766572662</v>
      </c>
      <c r="F71" s="163">
        <v>0</v>
      </c>
      <c r="G71" s="163">
        <f t="shared" ref="G71:AL71" si="98">G68*$N$13</f>
        <v>119999.25</v>
      </c>
      <c r="H71" s="163">
        <f t="shared" si="98"/>
        <v>120299.248125</v>
      </c>
      <c r="I71" s="163">
        <f t="shared" si="98"/>
        <v>120599.99624531249</v>
      </c>
      <c r="J71" s="163">
        <f t="shared" si="98"/>
        <v>120901.49623592576</v>
      </c>
      <c r="K71" s="163">
        <f t="shared" si="98"/>
        <v>121203.74997651558</v>
      </c>
      <c r="L71" s="163">
        <f t="shared" si="98"/>
        <v>121506.75935145686</v>
      </c>
      <c r="M71" s="163">
        <f t="shared" si="98"/>
        <v>121810.5262498355</v>
      </c>
      <c r="N71" s="163">
        <f t="shared" si="98"/>
        <v>122115.05256546008</v>
      </c>
      <c r="O71" s="163">
        <f t="shared" si="98"/>
        <v>122420.34019687373</v>
      </c>
      <c r="P71" s="163">
        <f t="shared" si="98"/>
        <v>122726.39104736591</v>
      </c>
      <c r="Q71" s="163">
        <f t="shared" si="98"/>
        <v>123033.20702498431</v>
      </c>
      <c r="R71" s="163">
        <f t="shared" si="98"/>
        <v>123340.79004254677</v>
      </c>
      <c r="S71" s="163">
        <f t="shared" si="98"/>
        <v>123649.14201765314</v>
      </c>
      <c r="T71" s="163">
        <f t="shared" si="98"/>
        <v>123958.26487269725</v>
      </c>
      <c r="U71" s="163">
        <f t="shared" si="98"/>
        <v>124268.16053487899</v>
      </c>
      <c r="V71" s="163">
        <f t="shared" si="98"/>
        <v>124578.83093621618</v>
      </c>
      <c r="W71" s="163">
        <f t="shared" si="98"/>
        <v>124890.27801355672</v>
      </c>
      <c r="X71" s="163">
        <f t="shared" si="98"/>
        <v>125202.50370859061</v>
      </c>
      <c r="Y71" s="163">
        <f t="shared" si="98"/>
        <v>125515.50996786208</v>
      </c>
      <c r="Z71" s="163">
        <f t="shared" si="98"/>
        <v>125829.29874278173</v>
      </c>
      <c r="AA71" s="163">
        <f t="shared" si="98"/>
        <v>126143.87198963869</v>
      </c>
      <c r="AB71" s="163">
        <f t="shared" si="98"/>
        <v>126459.23166961278</v>
      </c>
      <c r="AC71" s="163">
        <f t="shared" si="98"/>
        <v>126775.3797487868</v>
      </c>
      <c r="AD71" s="163">
        <f t="shared" si="98"/>
        <v>127092.31819815875</v>
      </c>
      <c r="AE71" s="163">
        <f t="shared" si="98"/>
        <v>127410.04899365416</v>
      </c>
      <c r="AF71" s="163">
        <f t="shared" si="98"/>
        <v>127728.57411613829</v>
      </c>
      <c r="AG71" s="163">
        <f t="shared" si="98"/>
        <v>128047.89555142862</v>
      </c>
      <c r="AH71" s="163">
        <f t="shared" si="98"/>
        <v>128368.01529030719</v>
      </c>
      <c r="AI71" s="163">
        <f t="shared" si="98"/>
        <v>128688.93532853296</v>
      </c>
      <c r="AJ71" s="163">
        <f t="shared" si="98"/>
        <v>129010.65766685428</v>
      </c>
      <c r="AK71" s="163">
        <f t="shared" si="98"/>
        <v>129333.1843110214</v>
      </c>
      <c r="AL71" s="163">
        <f t="shared" si="98"/>
        <v>129656.51727179895</v>
      </c>
      <c r="AM71" s="163">
        <f t="shared" ref="AM71:BR71" si="99">AM68*$N$13</f>
        <v>129980.65856497845</v>
      </c>
      <c r="AN71" s="163">
        <f t="shared" si="99"/>
        <v>130305.61021139089</v>
      </c>
      <c r="AO71" s="163">
        <f t="shared" si="99"/>
        <v>130631.37423691936</v>
      </c>
      <c r="AP71" s="163">
        <f t="shared" si="99"/>
        <v>130957.95267251166</v>
      </c>
      <c r="AQ71" s="163">
        <f t="shared" si="99"/>
        <v>131285.34755419291</v>
      </c>
      <c r="AR71" s="163">
        <f t="shared" si="99"/>
        <v>131613.56092307839</v>
      </c>
      <c r="AS71" s="163">
        <f t="shared" si="99"/>
        <v>131942.5948253861</v>
      </c>
      <c r="AT71" s="163">
        <f t="shared" si="99"/>
        <v>132272.45131244956</v>
      </c>
      <c r="AU71" s="163">
        <f t="shared" si="99"/>
        <v>132603.13244073067</v>
      </c>
      <c r="AV71" s="163">
        <f t="shared" si="99"/>
        <v>132934.6402718325</v>
      </c>
      <c r="AW71" s="163">
        <f t="shared" si="99"/>
        <v>133266.97687251205</v>
      </c>
      <c r="AX71" s="163">
        <f t="shared" si="99"/>
        <v>133600.14431469332</v>
      </c>
      <c r="AY71" s="163">
        <f t="shared" si="99"/>
        <v>133934.14467548006</v>
      </c>
      <c r="AZ71" s="163">
        <f t="shared" si="99"/>
        <v>134268.98003716877</v>
      </c>
      <c r="BA71" s="163">
        <f t="shared" si="99"/>
        <v>134604.65248726169</v>
      </c>
      <c r="BB71" s="163">
        <f t="shared" si="99"/>
        <v>134941.16411847985</v>
      </c>
      <c r="BC71" s="163">
        <f t="shared" si="99"/>
        <v>135278.51702877603</v>
      </c>
      <c r="BD71" s="163">
        <f t="shared" si="99"/>
        <v>135616.71332134795</v>
      </c>
      <c r="BE71" s="163">
        <f t="shared" si="99"/>
        <v>135955.75510465133</v>
      </c>
      <c r="BF71" s="163">
        <f t="shared" si="99"/>
        <v>136295.64449241292</v>
      </c>
      <c r="BG71" s="163">
        <f t="shared" si="99"/>
        <v>136636.38360364395</v>
      </c>
      <c r="BH71" s="163">
        <f t="shared" si="99"/>
        <v>136977.97456265305</v>
      </c>
      <c r="BI71" s="163">
        <f t="shared" si="99"/>
        <v>137320.4194990597</v>
      </c>
      <c r="BJ71" s="163">
        <f t="shared" si="99"/>
        <v>137663.72054780734</v>
      </c>
      <c r="BK71" s="163">
        <f t="shared" si="99"/>
        <v>138007.87984917682</v>
      </c>
      <c r="BL71" s="163">
        <f t="shared" si="99"/>
        <v>138352.89954879976</v>
      </c>
      <c r="BM71" s="163">
        <f t="shared" si="99"/>
        <v>138698.78179767175</v>
      </c>
      <c r="BN71" s="163">
        <f t="shared" si="99"/>
        <v>139045.5287521659</v>
      </c>
      <c r="BO71" s="163">
        <f t="shared" si="99"/>
        <v>139393.1425740463</v>
      </c>
      <c r="BP71" s="163">
        <f t="shared" si="99"/>
        <v>139741.62543048142</v>
      </c>
      <c r="BQ71" s="163">
        <f t="shared" si="99"/>
        <v>140090.9794940576</v>
      </c>
      <c r="BR71" s="163">
        <f t="shared" si="99"/>
        <v>140441.20694279275</v>
      </c>
      <c r="BS71" s="163">
        <f t="shared" ref="BS71:CX71" si="100">BS68*$N$13</f>
        <v>140792.30996014972</v>
      </c>
      <c r="BT71" s="163">
        <f t="shared" si="100"/>
        <v>141144.2907350501</v>
      </c>
      <c r="BU71" s="163">
        <f t="shared" si="100"/>
        <v>141497.15146188773</v>
      </c>
      <c r="BV71" s="163">
        <f t="shared" si="100"/>
        <v>141850.89434054244</v>
      </c>
      <c r="BW71" s="163">
        <f t="shared" si="100"/>
        <v>142205.52157639377</v>
      </c>
      <c r="BX71" s="163">
        <f t="shared" si="100"/>
        <v>142561.03538033474</v>
      </c>
      <c r="BY71" s="163">
        <f t="shared" si="100"/>
        <v>142917.43796878555</v>
      </c>
      <c r="BZ71" s="163">
        <f t="shared" si="100"/>
        <v>143274.73156370749</v>
      </c>
      <c r="CA71" s="163">
        <f t="shared" si="100"/>
        <v>143632.91839261676</v>
      </c>
      <c r="CB71" s="163">
        <f t="shared" si="100"/>
        <v>143992.00068859832</v>
      </c>
      <c r="CC71" s="163">
        <f t="shared" si="100"/>
        <v>144351.98069031979</v>
      </c>
      <c r="CD71" s="163">
        <f t="shared" si="100"/>
        <v>144712.86064204559</v>
      </c>
      <c r="CE71" s="163">
        <f t="shared" si="100"/>
        <v>145074.64279365071</v>
      </c>
      <c r="CF71" s="163">
        <f t="shared" si="100"/>
        <v>145437.32940063483</v>
      </c>
      <c r="CG71" s="163">
        <f t="shared" si="100"/>
        <v>145800.92272413638</v>
      </c>
      <c r="CH71" s="163">
        <f t="shared" si="100"/>
        <v>146165.42503094673</v>
      </c>
      <c r="CI71" s="163">
        <f t="shared" si="100"/>
        <v>146530.83859352409</v>
      </c>
      <c r="CJ71" s="163">
        <f t="shared" si="100"/>
        <v>146897.16569000788</v>
      </c>
      <c r="CK71" s="163">
        <f t="shared" si="100"/>
        <v>147264.40860423291</v>
      </c>
      <c r="CL71" s="163">
        <f t="shared" si="100"/>
        <v>147632.56962574349</v>
      </c>
      <c r="CM71" s="163">
        <f t="shared" si="100"/>
        <v>148001.65104980781</v>
      </c>
      <c r="CN71" s="163">
        <f t="shared" si="100"/>
        <v>148371.65517743232</v>
      </c>
      <c r="CO71" s="163">
        <f t="shared" si="100"/>
        <v>148742.58431537589</v>
      </c>
      <c r="CP71" s="163">
        <f t="shared" si="100"/>
        <v>149114.44077616432</v>
      </c>
      <c r="CQ71" s="163">
        <f t="shared" si="100"/>
        <v>149487.22687810473</v>
      </c>
      <c r="CR71" s="163">
        <f t="shared" si="100"/>
        <v>149860.9449453</v>
      </c>
      <c r="CS71" s="163">
        <f t="shared" si="100"/>
        <v>150235.59730766324</v>
      </c>
      <c r="CT71" s="163">
        <f t="shared" si="100"/>
        <v>150611.1863009324</v>
      </c>
      <c r="CU71" s="163">
        <f t="shared" si="100"/>
        <v>150987.71426668472</v>
      </c>
      <c r="CV71" s="163">
        <f t="shared" si="100"/>
        <v>151365.18355235143</v>
      </c>
      <c r="CW71" s="163">
        <f t="shared" si="100"/>
        <v>151743.59651123229</v>
      </c>
      <c r="CX71" s="163">
        <f t="shared" si="100"/>
        <v>152122.95550251036</v>
      </c>
      <c r="CY71" s="163">
        <f t="shared" ref="CY71:ED71" si="101">CY68*$N$13</f>
        <v>152503.26289126664</v>
      </c>
      <c r="CZ71" s="163">
        <f t="shared" si="101"/>
        <v>152884.52104849479</v>
      </c>
      <c r="DA71" s="163">
        <f t="shared" si="101"/>
        <v>153266.73235111599</v>
      </c>
      <c r="DB71" s="163">
        <f t="shared" si="101"/>
        <v>153649.89918199377</v>
      </c>
      <c r="DC71" s="163">
        <f t="shared" si="101"/>
        <v>154034.02392994877</v>
      </c>
      <c r="DD71" s="163">
        <f t="shared" si="101"/>
        <v>154419.10898977364</v>
      </c>
      <c r="DE71" s="163">
        <f t="shared" si="101"/>
        <v>154805.15676224805</v>
      </c>
      <c r="DF71" s="163">
        <f t="shared" si="101"/>
        <v>155192.16965415367</v>
      </c>
      <c r="DG71" s="163">
        <f t="shared" si="101"/>
        <v>155580.15007828904</v>
      </c>
      <c r="DH71" s="163">
        <f t="shared" si="101"/>
        <v>155969.10045348475</v>
      </c>
      <c r="DI71" s="163">
        <f t="shared" si="101"/>
        <v>156359.02320461845</v>
      </c>
      <c r="DJ71" s="163">
        <f t="shared" si="101"/>
        <v>156749.92076262998</v>
      </c>
      <c r="DK71" s="163">
        <f t="shared" si="101"/>
        <v>157141.79556453656</v>
      </c>
      <c r="DL71" s="163">
        <f t="shared" si="101"/>
        <v>157534.6500534479</v>
      </c>
      <c r="DM71" s="163">
        <f t="shared" si="101"/>
        <v>157928.48667858148</v>
      </c>
      <c r="DN71" s="163">
        <f t="shared" si="101"/>
        <v>158323.30789527792</v>
      </c>
      <c r="DO71" s="163">
        <f t="shared" si="101"/>
        <v>158719.11616501611</v>
      </c>
      <c r="DP71" s="163">
        <f t="shared" si="101"/>
        <v>159115.91395542864</v>
      </c>
      <c r="DQ71" s="163">
        <f t="shared" si="101"/>
        <v>159513.7037403172</v>
      </c>
      <c r="DR71" s="163">
        <f t="shared" si="101"/>
        <v>159912.487999668</v>
      </c>
      <c r="DS71" s="163">
        <f t="shared" si="101"/>
        <v>160312.26921966716</v>
      </c>
      <c r="DT71" s="163">
        <f t="shared" si="101"/>
        <v>160713.04989271631</v>
      </c>
      <c r="DU71" s="163">
        <f t="shared" si="101"/>
        <v>161114.83251744809</v>
      </c>
      <c r="DV71" s="163">
        <f t="shared" si="101"/>
        <v>161517.6195987417</v>
      </c>
      <c r="DW71" s="163">
        <f t="shared" si="101"/>
        <v>161921.41364773855</v>
      </c>
      <c r="DX71" s="163">
        <f t="shared" si="101"/>
        <v>162326.21718185788</v>
      </c>
      <c r="DY71" s="163">
        <f t="shared" si="101"/>
        <v>162732.03272481251</v>
      </c>
      <c r="DZ71" s="163">
        <f t="shared" si="101"/>
        <v>163138.8628066245</v>
      </c>
      <c r="EA71" s="163">
        <f t="shared" si="101"/>
        <v>163546.70996364104</v>
      </c>
      <c r="EB71" s="163">
        <f t="shared" si="101"/>
        <v>163955.57673855015</v>
      </c>
      <c r="EC71" s="163">
        <f t="shared" si="101"/>
        <v>164365.46568039653</v>
      </c>
      <c r="ED71" s="163">
        <f t="shared" si="101"/>
        <v>164776.37934459752</v>
      </c>
      <c r="EE71" s="163">
        <f t="shared" ref="EE71:FF71" si="102">EE68*$N$13</f>
        <v>165188.32029295902</v>
      </c>
      <c r="EF71" s="163">
        <f t="shared" si="102"/>
        <v>165601.29109369143</v>
      </c>
      <c r="EG71" s="163">
        <f t="shared" si="102"/>
        <v>166015.29432142564</v>
      </c>
      <c r="EH71" s="163">
        <f t="shared" si="102"/>
        <v>166430.33255722918</v>
      </c>
      <c r="EI71" s="163">
        <f t="shared" si="102"/>
        <v>166846.40838862225</v>
      </c>
      <c r="EJ71" s="163">
        <f t="shared" si="102"/>
        <v>167263.52440959378</v>
      </c>
      <c r="EK71" s="163">
        <f t="shared" si="102"/>
        <v>167681.68322061776</v>
      </c>
      <c r="EL71" s="163">
        <f t="shared" si="102"/>
        <v>168100.88742866929</v>
      </c>
      <c r="EM71" s="163">
        <f t="shared" si="102"/>
        <v>168521.13964724095</v>
      </c>
      <c r="EN71" s="163">
        <f t="shared" si="102"/>
        <v>168942.44249635903</v>
      </c>
      <c r="EO71" s="163">
        <f t="shared" si="102"/>
        <v>169364.79860259994</v>
      </c>
      <c r="EP71" s="163">
        <f t="shared" si="102"/>
        <v>169788.21059910642</v>
      </c>
      <c r="EQ71" s="163">
        <f t="shared" si="102"/>
        <v>170212.6811256042</v>
      </c>
      <c r="ER71" s="163">
        <f t="shared" si="102"/>
        <v>170638.21282841818</v>
      </c>
      <c r="ES71" s="163">
        <f t="shared" si="102"/>
        <v>171064.80836048923</v>
      </c>
      <c r="ET71" s="163">
        <f t="shared" si="102"/>
        <v>171492.47038139042</v>
      </c>
      <c r="EU71" s="163">
        <f t="shared" si="102"/>
        <v>171921.20155734391</v>
      </c>
      <c r="EV71" s="163">
        <f t="shared" si="102"/>
        <v>172351.00456123723</v>
      </c>
      <c r="EW71" s="163">
        <f t="shared" si="102"/>
        <v>172781.88207264035</v>
      </c>
      <c r="EX71" s="163">
        <f t="shared" si="102"/>
        <v>173213.83677782191</v>
      </c>
      <c r="EY71" s="163">
        <f t="shared" si="102"/>
        <v>173646.87136976645</v>
      </c>
      <c r="EZ71" s="163">
        <f t="shared" si="102"/>
        <v>174080.98854819086</v>
      </c>
      <c r="FA71" s="163">
        <f t="shared" si="102"/>
        <v>174516.19101956132</v>
      </c>
      <c r="FB71" s="163">
        <f t="shared" si="102"/>
        <v>174952.48149711022</v>
      </c>
      <c r="FC71" s="163">
        <f t="shared" si="102"/>
        <v>175389.86270085297</v>
      </c>
      <c r="FD71" s="163">
        <f t="shared" si="102"/>
        <v>175828.33735760511</v>
      </c>
      <c r="FE71" s="163">
        <f t="shared" si="102"/>
        <v>176267.90820099908</v>
      </c>
      <c r="FF71" s="163">
        <f t="shared" si="102"/>
        <v>176708.5779715016</v>
      </c>
      <c r="FG71" s="314"/>
      <c r="FH71" s="163">
        <f>SUMIF($F$54:$FF$54,FH$54,$F71:$FF71)</f>
        <v>724510.49993421067</v>
      </c>
      <c r="FI71" s="163">
        <f t="shared" ref="FI71:FU73" si="103">SUMIF($F$54:$FF$54,FI$54,$F71:$FF71)</f>
        <v>1481993.4872106593</v>
      </c>
      <c r="FJ71" s="163">
        <f t="shared" si="103"/>
        <v>1527069.7372637563</v>
      </c>
      <c r="FK71" s="163">
        <f t="shared" si="103"/>
        <v>1573517.0245962907</v>
      </c>
      <c r="FL71" s="163">
        <f t="shared" si="103"/>
        <v>1621377.0506190807</v>
      </c>
      <c r="FM71" s="163">
        <f t="shared" si="103"/>
        <v>1670692.7851312591</v>
      </c>
      <c r="FN71" s="163">
        <f t="shared" si="103"/>
        <v>1721508.5048995176</v>
      </c>
      <c r="FO71" s="163">
        <f t="shared" si="103"/>
        <v>1773869.8334107765</v>
      </c>
      <c r="FP71" s="163">
        <f t="shared" si="103"/>
        <v>1827823.7818339679</v>
      </c>
      <c r="FQ71" s="163">
        <f t="shared" si="103"/>
        <v>1883418.7912277123</v>
      </c>
      <c r="FR71" s="163">
        <f t="shared" si="103"/>
        <v>1940704.7760317833</v>
      </c>
      <c r="FS71" s="163">
        <f t="shared" si="103"/>
        <v>1999733.1688814026</v>
      </c>
      <c r="FT71" s="163">
        <f t="shared" si="103"/>
        <v>2060556.966784609</v>
      </c>
      <c r="FU71" s="163">
        <f t="shared" si="103"/>
        <v>1053663.3587476301</v>
      </c>
      <c r="FV71" s="314"/>
    </row>
    <row r="72" spans="2:178" s="163" customFormat="1" x14ac:dyDescent="0.2">
      <c r="C72" s="163" t="s">
        <v>155</v>
      </c>
      <c r="E72" s="270">
        <f t="shared" ref="E72:E73" si="104">SUM(F72:FF72)</f>
        <v>-285755.49708215817</v>
      </c>
      <c r="F72" s="271">
        <v>0</v>
      </c>
      <c r="G72" s="271">
        <f t="shared" ref="G72:AL72" si="105">G71*-IFERROR(INDEX($M$22:$Q$22,MATCH(YEAR(G55),$M$21:$Q$21,0)),$Q$22)</f>
        <v>-1499.9906250000001</v>
      </c>
      <c r="H72" s="271">
        <f t="shared" si="105"/>
        <v>-1503.7406015625002</v>
      </c>
      <c r="I72" s="271">
        <f t="shared" si="105"/>
        <v>-1507.4999530664063</v>
      </c>
      <c r="J72" s="271">
        <f t="shared" si="105"/>
        <v>-1511.2687029490721</v>
      </c>
      <c r="K72" s="271">
        <f t="shared" si="105"/>
        <v>-1515.0468747064449</v>
      </c>
      <c r="L72" s="271">
        <f t="shared" si="105"/>
        <v>-1518.8344918932107</v>
      </c>
      <c r="M72" s="271">
        <f t="shared" si="105"/>
        <v>-1522.6315781229439</v>
      </c>
      <c r="N72" s="271">
        <f t="shared" si="105"/>
        <v>-1526.438157068251</v>
      </c>
      <c r="O72" s="271">
        <f t="shared" si="105"/>
        <v>-1530.2542524609216</v>
      </c>
      <c r="P72" s="271">
        <f t="shared" si="105"/>
        <v>-1534.0798880920738</v>
      </c>
      <c r="Q72" s="271">
        <f t="shared" si="105"/>
        <v>-1537.9150878123039</v>
      </c>
      <c r="R72" s="271">
        <f t="shared" si="105"/>
        <v>-1541.7598755318347</v>
      </c>
      <c r="S72" s="271">
        <f t="shared" si="105"/>
        <v>-1545.6142752206642</v>
      </c>
      <c r="T72" s="271">
        <f t="shared" si="105"/>
        <v>-1549.4783109087157</v>
      </c>
      <c r="U72" s="271">
        <f t="shared" si="105"/>
        <v>-1553.3520066859874</v>
      </c>
      <c r="V72" s="271">
        <f t="shared" si="105"/>
        <v>-1557.2353867027023</v>
      </c>
      <c r="W72" s="271">
        <f t="shared" si="105"/>
        <v>-1561.1284751694591</v>
      </c>
      <c r="X72" s="271">
        <f t="shared" si="105"/>
        <v>-1565.0312963573826</v>
      </c>
      <c r="Y72" s="271">
        <f t="shared" si="105"/>
        <v>-1568.9438745982761</v>
      </c>
      <c r="Z72" s="271">
        <f t="shared" si="105"/>
        <v>-1572.8662342847717</v>
      </c>
      <c r="AA72" s="271">
        <f t="shared" si="105"/>
        <v>-1576.7983998704838</v>
      </c>
      <c r="AB72" s="271">
        <f t="shared" si="105"/>
        <v>-1580.7403958701598</v>
      </c>
      <c r="AC72" s="271">
        <f t="shared" si="105"/>
        <v>-1584.692246859835</v>
      </c>
      <c r="AD72" s="271">
        <f t="shared" si="105"/>
        <v>-1588.6539774769844</v>
      </c>
      <c r="AE72" s="271">
        <f t="shared" si="105"/>
        <v>-1592.625612420677</v>
      </c>
      <c r="AF72" s="271">
        <f t="shared" si="105"/>
        <v>-1596.6071764517287</v>
      </c>
      <c r="AG72" s="271">
        <f t="shared" si="105"/>
        <v>-1600.5986943928579</v>
      </c>
      <c r="AH72" s="271">
        <f t="shared" si="105"/>
        <v>-1604.6001911288399</v>
      </c>
      <c r="AI72" s="271">
        <f t="shared" si="105"/>
        <v>-1608.6116916066621</v>
      </c>
      <c r="AJ72" s="271">
        <f t="shared" si="105"/>
        <v>-1612.6332208356787</v>
      </c>
      <c r="AK72" s="271">
        <f t="shared" si="105"/>
        <v>-1616.6648038877674</v>
      </c>
      <c r="AL72" s="271">
        <f t="shared" si="105"/>
        <v>-1620.7064658974869</v>
      </c>
      <c r="AM72" s="271">
        <f t="shared" ref="AM72:BR72" si="106">AM71*-IFERROR(INDEX($M$22:$Q$22,MATCH(YEAR(AM55),$M$21:$Q$21,0)),$Q$22)</f>
        <v>-1624.7582320622307</v>
      </c>
      <c r="AN72" s="271">
        <f t="shared" si="106"/>
        <v>-1628.8201276423861</v>
      </c>
      <c r="AO72" s="271">
        <f t="shared" si="106"/>
        <v>-1632.8921779614921</v>
      </c>
      <c r="AP72" s="271">
        <f t="shared" si="106"/>
        <v>-1636.9744084063959</v>
      </c>
      <c r="AQ72" s="271">
        <f t="shared" si="106"/>
        <v>-1641.0668444274115</v>
      </c>
      <c r="AR72" s="271">
        <f t="shared" si="106"/>
        <v>-1645.16951153848</v>
      </c>
      <c r="AS72" s="271">
        <f t="shared" si="106"/>
        <v>-1649.2824353173264</v>
      </c>
      <c r="AT72" s="271">
        <f t="shared" si="106"/>
        <v>-1653.4056414056195</v>
      </c>
      <c r="AU72" s="271">
        <f t="shared" si="106"/>
        <v>-1657.5391555091335</v>
      </c>
      <c r="AV72" s="271">
        <f t="shared" si="106"/>
        <v>-1661.6830033979063</v>
      </c>
      <c r="AW72" s="271">
        <f t="shared" si="106"/>
        <v>-1665.8372109064007</v>
      </c>
      <c r="AX72" s="271">
        <f t="shared" si="106"/>
        <v>-1670.0018039336665</v>
      </c>
      <c r="AY72" s="271">
        <f t="shared" si="106"/>
        <v>-1674.1768084435007</v>
      </c>
      <c r="AZ72" s="271">
        <f t="shared" si="106"/>
        <v>-1678.3622504646098</v>
      </c>
      <c r="BA72" s="271">
        <f t="shared" si="106"/>
        <v>-1682.5581560907713</v>
      </c>
      <c r="BB72" s="271">
        <f t="shared" si="106"/>
        <v>-1686.7645514809983</v>
      </c>
      <c r="BC72" s="271">
        <f t="shared" si="106"/>
        <v>-1690.9814628597005</v>
      </c>
      <c r="BD72" s="271">
        <f t="shared" si="106"/>
        <v>-1695.2089165168495</v>
      </c>
      <c r="BE72" s="271">
        <f t="shared" si="106"/>
        <v>-1699.4469388081416</v>
      </c>
      <c r="BF72" s="271">
        <f t="shared" si="106"/>
        <v>-1703.6955561551615</v>
      </c>
      <c r="BG72" s="271">
        <f t="shared" si="106"/>
        <v>-1707.9547950455494</v>
      </c>
      <c r="BH72" s="271">
        <f t="shared" si="106"/>
        <v>-1712.2246820331632</v>
      </c>
      <c r="BI72" s="271">
        <f t="shared" si="106"/>
        <v>-1716.5052437382465</v>
      </c>
      <c r="BJ72" s="271">
        <f t="shared" si="106"/>
        <v>-1720.7965068475919</v>
      </c>
      <c r="BK72" s="271">
        <f t="shared" si="106"/>
        <v>-1725.0984981147103</v>
      </c>
      <c r="BL72" s="271">
        <f t="shared" si="106"/>
        <v>-1729.411244359997</v>
      </c>
      <c r="BM72" s="271">
        <f t="shared" si="106"/>
        <v>-1733.734772470897</v>
      </c>
      <c r="BN72" s="271">
        <f t="shared" si="106"/>
        <v>-1738.069109402074</v>
      </c>
      <c r="BO72" s="271">
        <f t="shared" si="106"/>
        <v>-1742.4142821755788</v>
      </c>
      <c r="BP72" s="271">
        <f t="shared" si="106"/>
        <v>-1746.7703178810179</v>
      </c>
      <c r="BQ72" s="271">
        <f t="shared" si="106"/>
        <v>-1751.1372436757201</v>
      </c>
      <c r="BR72" s="271">
        <f t="shared" si="106"/>
        <v>-1755.5150867849095</v>
      </c>
      <c r="BS72" s="271">
        <f t="shared" ref="BS72:CX72" si="107">BS71*-IFERROR(INDEX($M$22:$Q$22,MATCH(YEAR(BS55),$M$21:$Q$21,0)),$Q$22)</f>
        <v>-1759.9038745018715</v>
      </c>
      <c r="BT72" s="271">
        <f t="shared" si="107"/>
        <v>-1764.3036341881264</v>
      </c>
      <c r="BU72" s="271">
        <f t="shared" si="107"/>
        <v>-1768.7143932735967</v>
      </c>
      <c r="BV72" s="271">
        <f t="shared" si="107"/>
        <v>-1773.1361792567805</v>
      </c>
      <c r="BW72" s="271">
        <f t="shared" si="107"/>
        <v>-1777.5690197049223</v>
      </c>
      <c r="BX72" s="271">
        <f t="shared" si="107"/>
        <v>-1782.0129422541843</v>
      </c>
      <c r="BY72" s="271">
        <f t="shared" si="107"/>
        <v>-1786.4679746098195</v>
      </c>
      <c r="BZ72" s="271">
        <f t="shared" si="107"/>
        <v>-1790.9341445463438</v>
      </c>
      <c r="CA72" s="271">
        <f t="shared" si="107"/>
        <v>-1795.4114799077097</v>
      </c>
      <c r="CB72" s="271">
        <f t="shared" si="107"/>
        <v>-1799.9000086074791</v>
      </c>
      <c r="CC72" s="271">
        <f t="shared" si="107"/>
        <v>-1804.3997586289975</v>
      </c>
      <c r="CD72" s="271">
        <f t="shared" si="107"/>
        <v>-1808.91075802557</v>
      </c>
      <c r="CE72" s="271">
        <f t="shared" si="107"/>
        <v>-1813.4330349206339</v>
      </c>
      <c r="CF72" s="271">
        <f t="shared" si="107"/>
        <v>-1817.9666175079356</v>
      </c>
      <c r="CG72" s="271">
        <f t="shared" si="107"/>
        <v>-1822.511534051705</v>
      </c>
      <c r="CH72" s="271">
        <f t="shared" si="107"/>
        <v>-1827.0678128868342</v>
      </c>
      <c r="CI72" s="271">
        <f t="shared" si="107"/>
        <v>-1831.6354824190512</v>
      </c>
      <c r="CJ72" s="271">
        <f t="shared" si="107"/>
        <v>-1836.2145711250987</v>
      </c>
      <c r="CK72" s="271">
        <f t="shared" si="107"/>
        <v>-1840.8051075529115</v>
      </c>
      <c r="CL72" s="271">
        <f t="shared" si="107"/>
        <v>-1845.4071203217936</v>
      </c>
      <c r="CM72" s="271">
        <f t="shared" si="107"/>
        <v>-1850.0206381225978</v>
      </c>
      <c r="CN72" s="271">
        <f t="shared" si="107"/>
        <v>-1854.6456897179041</v>
      </c>
      <c r="CO72" s="271">
        <f t="shared" si="107"/>
        <v>-1859.2823039421987</v>
      </c>
      <c r="CP72" s="271">
        <f t="shared" si="107"/>
        <v>-1863.9305097020542</v>
      </c>
      <c r="CQ72" s="271">
        <f t="shared" si="107"/>
        <v>-1868.5903359763092</v>
      </c>
      <c r="CR72" s="271">
        <f t="shared" si="107"/>
        <v>-1873.26181181625</v>
      </c>
      <c r="CS72" s="271">
        <f t="shared" si="107"/>
        <v>-1877.9449663457906</v>
      </c>
      <c r="CT72" s="271">
        <f t="shared" si="107"/>
        <v>-1882.6398287616551</v>
      </c>
      <c r="CU72" s="271">
        <f t="shared" si="107"/>
        <v>-1887.3464283335591</v>
      </c>
      <c r="CV72" s="271">
        <f t="shared" si="107"/>
        <v>-1892.0647944043931</v>
      </c>
      <c r="CW72" s="271">
        <f t="shared" si="107"/>
        <v>-1896.7949563904037</v>
      </c>
      <c r="CX72" s="271">
        <f t="shared" si="107"/>
        <v>-1901.5369437813797</v>
      </c>
      <c r="CY72" s="271">
        <f t="shared" ref="CY72:ED72" si="108">CY71*-IFERROR(INDEX($M$22:$Q$22,MATCH(YEAR(CY55),$M$21:$Q$21,0)),$Q$22)</f>
        <v>-1906.290786140833</v>
      </c>
      <c r="CZ72" s="271">
        <f t="shared" si="108"/>
        <v>-1911.0565131061849</v>
      </c>
      <c r="DA72" s="271">
        <f t="shared" si="108"/>
        <v>-1915.8341543889501</v>
      </c>
      <c r="DB72" s="271">
        <f t="shared" si="108"/>
        <v>-1920.6237397749221</v>
      </c>
      <c r="DC72" s="271">
        <f t="shared" si="108"/>
        <v>-1925.4252991243598</v>
      </c>
      <c r="DD72" s="271">
        <f t="shared" si="108"/>
        <v>-1930.2388623721706</v>
      </c>
      <c r="DE72" s="271">
        <f t="shared" si="108"/>
        <v>-1935.0644595281008</v>
      </c>
      <c r="DF72" s="271">
        <f t="shared" si="108"/>
        <v>-1939.902120676921</v>
      </c>
      <c r="DG72" s="271">
        <f t="shared" si="108"/>
        <v>-1944.751875978613</v>
      </c>
      <c r="DH72" s="271">
        <f t="shared" si="108"/>
        <v>-1949.6137556685594</v>
      </c>
      <c r="DI72" s="271">
        <f t="shared" si="108"/>
        <v>-1954.4877900577308</v>
      </c>
      <c r="DJ72" s="271">
        <f t="shared" si="108"/>
        <v>-1959.3740095328749</v>
      </c>
      <c r="DK72" s="271">
        <f t="shared" si="108"/>
        <v>-1964.2724445567071</v>
      </c>
      <c r="DL72" s="271">
        <f t="shared" si="108"/>
        <v>-1969.1831256680989</v>
      </c>
      <c r="DM72" s="271">
        <f t="shared" si="108"/>
        <v>-1974.1060834822686</v>
      </c>
      <c r="DN72" s="271">
        <f t="shared" si="108"/>
        <v>-1979.041348690974</v>
      </c>
      <c r="DO72" s="271">
        <f t="shared" si="108"/>
        <v>-1983.9889520627014</v>
      </c>
      <c r="DP72" s="271">
        <f t="shared" si="108"/>
        <v>-1988.948924442858</v>
      </c>
      <c r="DQ72" s="271">
        <f t="shared" si="108"/>
        <v>-1993.9212967539652</v>
      </c>
      <c r="DR72" s="271">
        <f t="shared" si="108"/>
        <v>-1998.9060999958501</v>
      </c>
      <c r="DS72" s="271">
        <f t="shared" si="108"/>
        <v>-2003.9033652458395</v>
      </c>
      <c r="DT72" s="271">
        <f t="shared" si="108"/>
        <v>-2008.913123658954</v>
      </c>
      <c r="DU72" s="271">
        <f t="shared" si="108"/>
        <v>-2013.9354064681011</v>
      </c>
      <c r="DV72" s="271">
        <f t="shared" si="108"/>
        <v>-2018.9702449842714</v>
      </c>
      <c r="DW72" s="271">
        <f t="shared" si="108"/>
        <v>-2024.0176705967319</v>
      </c>
      <c r="DX72" s="271">
        <f t="shared" si="108"/>
        <v>-2029.0777147732235</v>
      </c>
      <c r="DY72" s="271">
        <f t="shared" si="108"/>
        <v>-2034.1504090601566</v>
      </c>
      <c r="DZ72" s="271">
        <f t="shared" si="108"/>
        <v>-2039.2357850828064</v>
      </c>
      <c r="EA72" s="271">
        <f t="shared" si="108"/>
        <v>-2044.333874545513</v>
      </c>
      <c r="EB72" s="271">
        <f t="shared" si="108"/>
        <v>-2049.4447092318769</v>
      </c>
      <c r="EC72" s="271">
        <f t="shared" si="108"/>
        <v>-2054.5683210049569</v>
      </c>
      <c r="ED72" s="271">
        <f t="shared" si="108"/>
        <v>-2059.704741807469</v>
      </c>
      <c r="EE72" s="271">
        <f t="shared" ref="EE72:FF72" si="109">EE71*-IFERROR(INDEX($M$22:$Q$22,MATCH(YEAR(EE55),$M$21:$Q$21,0)),$Q$22)</f>
        <v>-2064.8540036619879</v>
      </c>
      <c r="EF72" s="271">
        <f t="shared" si="109"/>
        <v>-2070.0161386711429</v>
      </c>
      <c r="EG72" s="271">
        <f t="shared" si="109"/>
        <v>-2075.1911790178206</v>
      </c>
      <c r="EH72" s="271">
        <f t="shared" si="109"/>
        <v>-2080.3791569653649</v>
      </c>
      <c r="EI72" s="271">
        <f t="shared" si="109"/>
        <v>-2085.5801048577782</v>
      </c>
      <c r="EJ72" s="271">
        <f t="shared" si="109"/>
        <v>-2090.7940551199222</v>
      </c>
      <c r="EK72" s="271">
        <f t="shared" si="109"/>
        <v>-2096.0210402577222</v>
      </c>
      <c r="EL72" s="271">
        <f t="shared" si="109"/>
        <v>-2101.2610928583663</v>
      </c>
      <c r="EM72" s="271">
        <f t="shared" si="109"/>
        <v>-2106.514245590512</v>
      </c>
      <c r="EN72" s="271">
        <f t="shared" si="109"/>
        <v>-2111.7805312044879</v>
      </c>
      <c r="EO72" s="271">
        <f t="shared" si="109"/>
        <v>-2117.0599825324994</v>
      </c>
      <c r="EP72" s="271">
        <f t="shared" si="109"/>
        <v>-2122.3526324888303</v>
      </c>
      <c r="EQ72" s="271">
        <f t="shared" si="109"/>
        <v>-2127.6585140700527</v>
      </c>
      <c r="ER72" s="271">
        <f t="shared" si="109"/>
        <v>-2132.9776603552273</v>
      </c>
      <c r="ES72" s="271">
        <f t="shared" si="109"/>
        <v>-2138.3101045061153</v>
      </c>
      <c r="ET72" s="271">
        <f t="shared" si="109"/>
        <v>-2143.6558797673802</v>
      </c>
      <c r="EU72" s="271">
        <f t="shared" si="109"/>
        <v>-2149.015019466799</v>
      </c>
      <c r="EV72" s="271">
        <f t="shared" si="109"/>
        <v>-2154.3875570154655</v>
      </c>
      <c r="EW72" s="271">
        <f t="shared" si="109"/>
        <v>-2159.7735259080046</v>
      </c>
      <c r="EX72" s="271">
        <f t="shared" si="109"/>
        <v>-2165.1729597227741</v>
      </c>
      <c r="EY72" s="271">
        <f t="shared" si="109"/>
        <v>-2170.5858921220806</v>
      </c>
      <c r="EZ72" s="271">
        <f t="shared" si="109"/>
        <v>-2176.0123568523859</v>
      </c>
      <c r="FA72" s="271">
        <f t="shared" si="109"/>
        <v>-2181.4523877445167</v>
      </c>
      <c r="FB72" s="271">
        <f t="shared" si="109"/>
        <v>-2186.906018713878</v>
      </c>
      <c r="FC72" s="271">
        <f t="shared" si="109"/>
        <v>-2192.3732837606622</v>
      </c>
      <c r="FD72" s="271">
        <f t="shared" si="109"/>
        <v>-2197.854216970064</v>
      </c>
      <c r="FE72" s="271">
        <f t="shared" si="109"/>
        <v>-2203.3488525124885</v>
      </c>
      <c r="FF72" s="271">
        <f t="shared" si="109"/>
        <v>-2208.8572246437702</v>
      </c>
      <c r="FG72" s="320"/>
      <c r="FH72" s="271">
        <f t="shared" ref="FH72:FH73" si="110">SUMIF($F$54:$FF$54,FH$54,$F72:$FF72)</f>
        <v>-9056.3812491776334</v>
      </c>
      <c r="FI72" s="271">
        <f t="shared" si="103"/>
        <v>-18524.918590133238</v>
      </c>
      <c r="FJ72" s="271">
        <f t="shared" si="103"/>
        <v>-19088.371715796959</v>
      </c>
      <c r="FK72" s="271">
        <f t="shared" si="103"/>
        <v>-19668.962807453634</v>
      </c>
      <c r="FL72" s="271">
        <f t="shared" si="103"/>
        <v>-20267.213132738514</v>
      </c>
      <c r="FM72" s="271">
        <f t="shared" si="103"/>
        <v>-20883.659814140741</v>
      </c>
      <c r="FN72" s="271">
        <f t="shared" si="103"/>
        <v>-21518.85631124397</v>
      </c>
      <c r="FO72" s="271">
        <f t="shared" si="103"/>
        <v>-22173.372917634711</v>
      </c>
      <c r="FP72" s="271">
        <f t="shared" si="103"/>
        <v>-22847.797272924599</v>
      </c>
      <c r="FQ72" s="271">
        <f t="shared" si="103"/>
        <v>-23542.734890346408</v>
      </c>
      <c r="FR72" s="271">
        <f t="shared" si="103"/>
        <v>-24258.809700397291</v>
      </c>
      <c r="FS72" s="271">
        <f t="shared" si="103"/>
        <v>-24996.664611017528</v>
      </c>
      <c r="FT72" s="271">
        <f t="shared" si="103"/>
        <v>-25756.962084807616</v>
      </c>
      <c r="FU72" s="271">
        <f t="shared" si="103"/>
        <v>-13170.79198434538</v>
      </c>
      <c r="FV72" s="320"/>
    </row>
    <row r="73" spans="2:178" s="208" customFormat="1" x14ac:dyDescent="0.2">
      <c r="C73" s="80" t="s">
        <v>56</v>
      </c>
      <c r="D73" s="80"/>
      <c r="E73" s="272">
        <f t="shared" si="104"/>
        <v>22574684.269490495</v>
      </c>
      <c r="F73" s="80">
        <v>0</v>
      </c>
      <c r="G73" s="80">
        <f t="shared" ref="G73:AL73" si="111">SUM(G71:G72)</f>
        <v>118499.25937499999</v>
      </c>
      <c r="H73" s="80">
        <f t="shared" si="111"/>
        <v>118795.5075234375</v>
      </c>
      <c r="I73" s="80">
        <f t="shared" si="111"/>
        <v>119092.49629224608</v>
      </c>
      <c r="J73" s="80">
        <f t="shared" si="111"/>
        <v>119390.22753297669</v>
      </c>
      <c r="K73" s="80">
        <f t="shared" si="111"/>
        <v>119688.70310180914</v>
      </c>
      <c r="L73" s="80">
        <f t="shared" si="111"/>
        <v>119987.92485956365</v>
      </c>
      <c r="M73" s="80">
        <f t="shared" si="111"/>
        <v>120287.89467171255</v>
      </c>
      <c r="N73" s="80">
        <f t="shared" si="111"/>
        <v>120588.61440839183</v>
      </c>
      <c r="O73" s="80">
        <f t="shared" si="111"/>
        <v>120890.08594441281</v>
      </c>
      <c r="P73" s="80">
        <f t="shared" si="111"/>
        <v>121192.31115927383</v>
      </c>
      <c r="Q73" s="80">
        <f t="shared" si="111"/>
        <v>121495.29193717201</v>
      </c>
      <c r="R73" s="80">
        <f t="shared" si="111"/>
        <v>121799.03016701493</v>
      </c>
      <c r="S73" s="80">
        <f t="shared" si="111"/>
        <v>122103.52774243247</v>
      </c>
      <c r="T73" s="80">
        <f t="shared" si="111"/>
        <v>122408.78656178854</v>
      </c>
      <c r="U73" s="80">
        <f t="shared" si="111"/>
        <v>122714.808528193</v>
      </c>
      <c r="V73" s="80">
        <f t="shared" si="111"/>
        <v>123021.59554951348</v>
      </c>
      <c r="W73" s="80">
        <f t="shared" si="111"/>
        <v>123329.14953838725</v>
      </c>
      <c r="X73" s="80">
        <f t="shared" si="111"/>
        <v>123637.47241223323</v>
      </c>
      <c r="Y73" s="80">
        <f t="shared" si="111"/>
        <v>123946.5660932638</v>
      </c>
      <c r="Z73" s="80">
        <f t="shared" si="111"/>
        <v>124256.43250849696</v>
      </c>
      <c r="AA73" s="80">
        <f t="shared" si="111"/>
        <v>124567.0735897682</v>
      </c>
      <c r="AB73" s="80">
        <f t="shared" si="111"/>
        <v>124878.49127374262</v>
      </c>
      <c r="AC73" s="80">
        <f t="shared" si="111"/>
        <v>125190.68750192696</v>
      </c>
      <c r="AD73" s="80">
        <f t="shared" si="111"/>
        <v>125503.66422068176</v>
      </c>
      <c r="AE73" s="80">
        <f t="shared" si="111"/>
        <v>125817.42338123349</v>
      </c>
      <c r="AF73" s="80">
        <f t="shared" si="111"/>
        <v>126131.96693968656</v>
      </c>
      <c r="AG73" s="80">
        <f t="shared" si="111"/>
        <v>126447.29685703576</v>
      </c>
      <c r="AH73" s="80">
        <f t="shared" si="111"/>
        <v>126763.41509917835</v>
      </c>
      <c r="AI73" s="80">
        <f t="shared" si="111"/>
        <v>127080.32363692629</v>
      </c>
      <c r="AJ73" s="80">
        <f t="shared" si="111"/>
        <v>127398.02444601861</v>
      </c>
      <c r="AK73" s="80">
        <f t="shared" si="111"/>
        <v>127716.51950713363</v>
      </c>
      <c r="AL73" s="80">
        <f t="shared" si="111"/>
        <v>128035.81080590146</v>
      </c>
      <c r="AM73" s="80">
        <f t="shared" ref="AM73:BR73" si="112">SUM(AM71:AM72)</f>
        <v>128355.90033291622</v>
      </c>
      <c r="AN73" s="80">
        <f t="shared" si="112"/>
        <v>128676.79008374849</v>
      </c>
      <c r="AO73" s="80">
        <f t="shared" si="112"/>
        <v>128998.48205895787</v>
      </c>
      <c r="AP73" s="80">
        <f t="shared" si="112"/>
        <v>129320.97826410526</v>
      </c>
      <c r="AQ73" s="80">
        <f t="shared" si="112"/>
        <v>129644.2807097655</v>
      </c>
      <c r="AR73" s="80">
        <f t="shared" si="112"/>
        <v>129968.39141153991</v>
      </c>
      <c r="AS73" s="80">
        <f t="shared" si="112"/>
        <v>130293.31239006878</v>
      </c>
      <c r="AT73" s="80">
        <f t="shared" si="112"/>
        <v>130619.04567104393</v>
      </c>
      <c r="AU73" s="80">
        <f t="shared" si="112"/>
        <v>130945.59328522153</v>
      </c>
      <c r="AV73" s="80">
        <f t="shared" si="112"/>
        <v>131272.95726843458</v>
      </c>
      <c r="AW73" s="80">
        <f t="shared" si="112"/>
        <v>131601.13966160564</v>
      </c>
      <c r="AX73" s="80">
        <f t="shared" si="112"/>
        <v>131930.14251075964</v>
      </c>
      <c r="AY73" s="80">
        <f t="shared" si="112"/>
        <v>132259.96786703655</v>
      </c>
      <c r="AZ73" s="80">
        <f t="shared" si="112"/>
        <v>132590.61778670416</v>
      </c>
      <c r="BA73" s="80">
        <f t="shared" si="112"/>
        <v>132922.09433117093</v>
      </c>
      <c r="BB73" s="80">
        <f t="shared" si="112"/>
        <v>133254.39956699885</v>
      </c>
      <c r="BC73" s="80">
        <f t="shared" si="112"/>
        <v>133587.53556591633</v>
      </c>
      <c r="BD73" s="80">
        <f t="shared" si="112"/>
        <v>133921.5044048311</v>
      </c>
      <c r="BE73" s="80">
        <f t="shared" si="112"/>
        <v>134256.30816584319</v>
      </c>
      <c r="BF73" s="80">
        <f t="shared" si="112"/>
        <v>134591.94893625774</v>
      </c>
      <c r="BG73" s="80">
        <f t="shared" si="112"/>
        <v>134928.4288085984</v>
      </c>
      <c r="BH73" s="80">
        <f t="shared" si="112"/>
        <v>135265.7498806199</v>
      </c>
      <c r="BI73" s="80">
        <f t="shared" si="112"/>
        <v>135603.91425532146</v>
      </c>
      <c r="BJ73" s="80">
        <f t="shared" si="112"/>
        <v>135942.92404095974</v>
      </c>
      <c r="BK73" s="80">
        <f t="shared" si="112"/>
        <v>136282.78135106212</v>
      </c>
      <c r="BL73" s="80">
        <f t="shared" si="112"/>
        <v>136623.48830443976</v>
      </c>
      <c r="BM73" s="80">
        <f t="shared" si="112"/>
        <v>136965.04702520085</v>
      </c>
      <c r="BN73" s="80">
        <f t="shared" si="112"/>
        <v>137307.45964276383</v>
      </c>
      <c r="BO73" s="80">
        <f t="shared" si="112"/>
        <v>137650.72829187074</v>
      </c>
      <c r="BP73" s="80">
        <f t="shared" si="112"/>
        <v>137994.8551126004</v>
      </c>
      <c r="BQ73" s="80">
        <f t="shared" si="112"/>
        <v>138339.84225038189</v>
      </c>
      <c r="BR73" s="80">
        <f t="shared" si="112"/>
        <v>138685.69185600785</v>
      </c>
      <c r="BS73" s="80">
        <f t="shared" ref="BS73:CX73" si="113">SUM(BS71:BS72)</f>
        <v>139032.40608564785</v>
      </c>
      <c r="BT73" s="80">
        <f t="shared" si="113"/>
        <v>139379.98710086197</v>
      </c>
      <c r="BU73" s="80">
        <f t="shared" si="113"/>
        <v>139728.43706861412</v>
      </c>
      <c r="BV73" s="80">
        <f t="shared" si="113"/>
        <v>140077.75816128566</v>
      </c>
      <c r="BW73" s="80">
        <f t="shared" si="113"/>
        <v>140427.95255668886</v>
      </c>
      <c r="BX73" s="80">
        <f t="shared" si="113"/>
        <v>140779.02243808054</v>
      </c>
      <c r="BY73" s="80">
        <f t="shared" si="113"/>
        <v>141130.96999417574</v>
      </c>
      <c r="BZ73" s="80">
        <f t="shared" si="113"/>
        <v>141483.79741916116</v>
      </c>
      <c r="CA73" s="80">
        <f t="shared" si="113"/>
        <v>141837.50691270904</v>
      </c>
      <c r="CB73" s="80">
        <f t="shared" si="113"/>
        <v>142192.10067999084</v>
      </c>
      <c r="CC73" s="80">
        <f t="shared" si="113"/>
        <v>142547.58093169078</v>
      </c>
      <c r="CD73" s="80">
        <f t="shared" si="113"/>
        <v>142903.94988402002</v>
      </c>
      <c r="CE73" s="80">
        <f t="shared" si="113"/>
        <v>143261.20975873008</v>
      </c>
      <c r="CF73" s="80">
        <f t="shared" si="113"/>
        <v>143619.36278312688</v>
      </c>
      <c r="CG73" s="80">
        <f t="shared" si="113"/>
        <v>143978.41119008468</v>
      </c>
      <c r="CH73" s="80">
        <f t="shared" si="113"/>
        <v>144338.35721805989</v>
      </c>
      <c r="CI73" s="80">
        <f t="shared" si="113"/>
        <v>144699.20311110505</v>
      </c>
      <c r="CJ73" s="80">
        <f t="shared" si="113"/>
        <v>145060.95111888277</v>
      </c>
      <c r="CK73" s="80">
        <f t="shared" si="113"/>
        <v>145423.60349668001</v>
      </c>
      <c r="CL73" s="80">
        <f t="shared" si="113"/>
        <v>145787.1625054217</v>
      </c>
      <c r="CM73" s="80">
        <f t="shared" si="113"/>
        <v>146151.63041168521</v>
      </c>
      <c r="CN73" s="80">
        <f t="shared" si="113"/>
        <v>146517.00948771441</v>
      </c>
      <c r="CO73" s="80">
        <f t="shared" si="113"/>
        <v>146883.3020114337</v>
      </c>
      <c r="CP73" s="80">
        <f t="shared" si="113"/>
        <v>147250.51026646228</v>
      </c>
      <c r="CQ73" s="80">
        <f t="shared" si="113"/>
        <v>147618.63654212843</v>
      </c>
      <c r="CR73" s="80">
        <f t="shared" si="113"/>
        <v>147987.68313348375</v>
      </c>
      <c r="CS73" s="80">
        <f t="shared" si="113"/>
        <v>148357.65234131744</v>
      </c>
      <c r="CT73" s="80">
        <f t="shared" si="113"/>
        <v>148728.54647217074</v>
      </c>
      <c r="CU73" s="80">
        <f t="shared" si="113"/>
        <v>149100.36783835117</v>
      </c>
      <c r="CV73" s="80">
        <f t="shared" si="113"/>
        <v>149473.11875794703</v>
      </c>
      <c r="CW73" s="80">
        <f t="shared" si="113"/>
        <v>149846.80155484189</v>
      </c>
      <c r="CX73" s="80">
        <f t="shared" si="113"/>
        <v>150221.41855872897</v>
      </c>
      <c r="CY73" s="80">
        <f t="shared" ref="CY73:ED73" si="114">SUM(CY71:CY72)</f>
        <v>150596.97210512581</v>
      </c>
      <c r="CZ73" s="80">
        <f t="shared" si="114"/>
        <v>150973.4645353886</v>
      </c>
      <c r="DA73" s="80">
        <f t="shared" si="114"/>
        <v>151350.89819672704</v>
      </c>
      <c r="DB73" s="80">
        <f t="shared" si="114"/>
        <v>151729.27544221884</v>
      </c>
      <c r="DC73" s="80">
        <f t="shared" si="114"/>
        <v>152108.59863082442</v>
      </c>
      <c r="DD73" s="80">
        <f t="shared" si="114"/>
        <v>152488.87012740146</v>
      </c>
      <c r="DE73" s="80">
        <f t="shared" si="114"/>
        <v>152870.09230271995</v>
      </c>
      <c r="DF73" s="80">
        <f t="shared" si="114"/>
        <v>153252.26753347676</v>
      </c>
      <c r="DG73" s="80">
        <f t="shared" si="114"/>
        <v>153635.39820231043</v>
      </c>
      <c r="DH73" s="80">
        <f t="shared" si="114"/>
        <v>154019.48669781617</v>
      </c>
      <c r="DI73" s="80">
        <f t="shared" si="114"/>
        <v>154404.53541456073</v>
      </c>
      <c r="DJ73" s="80">
        <f t="shared" si="114"/>
        <v>154790.54675309709</v>
      </c>
      <c r="DK73" s="80">
        <f t="shared" si="114"/>
        <v>155177.52311997986</v>
      </c>
      <c r="DL73" s="80">
        <f t="shared" si="114"/>
        <v>155565.46692777981</v>
      </c>
      <c r="DM73" s="80">
        <f t="shared" si="114"/>
        <v>155954.38059509921</v>
      </c>
      <c r="DN73" s="80">
        <f t="shared" si="114"/>
        <v>156344.26654658694</v>
      </c>
      <c r="DO73" s="80">
        <f t="shared" si="114"/>
        <v>156735.1272129534</v>
      </c>
      <c r="DP73" s="80">
        <f t="shared" si="114"/>
        <v>157126.96503098577</v>
      </c>
      <c r="DQ73" s="80">
        <f t="shared" si="114"/>
        <v>157519.78244356322</v>
      </c>
      <c r="DR73" s="80">
        <f t="shared" si="114"/>
        <v>157913.58189967214</v>
      </c>
      <c r="DS73" s="80">
        <f t="shared" si="114"/>
        <v>158308.36585442131</v>
      </c>
      <c r="DT73" s="80">
        <f t="shared" si="114"/>
        <v>158704.13676905737</v>
      </c>
      <c r="DU73" s="80">
        <f t="shared" si="114"/>
        <v>159100.89711097997</v>
      </c>
      <c r="DV73" s="80">
        <f t="shared" si="114"/>
        <v>159498.64935375744</v>
      </c>
      <c r="DW73" s="80">
        <f t="shared" si="114"/>
        <v>159897.3959771418</v>
      </c>
      <c r="DX73" s="80">
        <f t="shared" si="114"/>
        <v>160297.13946708466</v>
      </c>
      <c r="DY73" s="80">
        <f t="shared" si="114"/>
        <v>160697.88231575236</v>
      </c>
      <c r="DZ73" s="80">
        <f t="shared" si="114"/>
        <v>161099.6270215417</v>
      </c>
      <c r="EA73" s="80">
        <f t="shared" si="114"/>
        <v>161502.37608909552</v>
      </c>
      <c r="EB73" s="80">
        <f t="shared" si="114"/>
        <v>161906.13202931828</v>
      </c>
      <c r="EC73" s="80">
        <f t="shared" si="114"/>
        <v>162310.89735939159</v>
      </c>
      <c r="ED73" s="80">
        <f t="shared" si="114"/>
        <v>162716.67460279004</v>
      </c>
      <c r="EE73" s="80">
        <f t="shared" ref="EE73:FF73" si="115">SUM(EE71:EE72)</f>
        <v>163123.46628929704</v>
      </c>
      <c r="EF73" s="80">
        <f t="shared" si="115"/>
        <v>163531.27495502029</v>
      </c>
      <c r="EG73" s="80">
        <f t="shared" si="115"/>
        <v>163940.10314240781</v>
      </c>
      <c r="EH73" s="80">
        <f t="shared" si="115"/>
        <v>164349.95340026382</v>
      </c>
      <c r="EI73" s="80">
        <f t="shared" si="115"/>
        <v>164760.82828376448</v>
      </c>
      <c r="EJ73" s="80">
        <f t="shared" si="115"/>
        <v>165172.73035447387</v>
      </c>
      <c r="EK73" s="80">
        <f t="shared" si="115"/>
        <v>165585.66218036003</v>
      </c>
      <c r="EL73" s="80">
        <f t="shared" si="115"/>
        <v>165999.62633581093</v>
      </c>
      <c r="EM73" s="80">
        <f t="shared" si="115"/>
        <v>166414.62540165044</v>
      </c>
      <c r="EN73" s="80">
        <f t="shared" si="115"/>
        <v>166830.66196515455</v>
      </c>
      <c r="EO73" s="80">
        <f t="shared" si="115"/>
        <v>167247.73862006745</v>
      </c>
      <c r="EP73" s="80">
        <f t="shared" si="115"/>
        <v>167665.85796661759</v>
      </c>
      <c r="EQ73" s="80">
        <f t="shared" si="115"/>
        <v>168085.02261153414</v>
      </c>
      <c r="ER73" s="80">
        <f t="shared" si="115"/>
        <v>168505.23516806297</v>
      </c>
      <c r="ES73" s="80">
        <f t="shared" si="115"/>
        <v>168926.49825598311</v>
      </c>
      <c r="ET73" s="80">
        <f t="shared" si="115"/>
        <v>169348.81450162304</v>
      </c>
      <c r="EU73" s="80">
        <f t="shared" si="115"/>
        <v>169772.1865378771</v>
      </c>
      <c r="EV73" s="80">
        <f t="shared" si="115"/>
        <v>170196.61700422177</v>
      </c>
      <c r="EW73" s="80">
        <f t="shared" si="115"/>
        <v>170622.10854673234</v>
      </c>
      <c r="EX73" s="80">
        <f t="shared" si="115"/>
        <v>171048.66381809913</v>
      </c>
      <c r="EY73" s="80">
        <f t="shared" si="115"/>
        <v>171476.28547764436</v>
      </c>
      <c r="EZ73" s="80">
        <f t="shared" si="115"/>
        <v>171904.97619133847</v>
      </c>
      <c r="FA73" s="80">
        <f t="shared" si="115"/>
        <v>172334.73863181681</v>
      </c>
      <c r="FB73" s="80">
        <f t="shared" si="115"/>
        <v>172765.57547839635</v>
      </c>
      <c r="FC73" s="80">
        <f t="shared" si="115"/>
        <v>173197.48941709232</v>
      </c>
      <c r="FD73" s="80">
        <f t="shared" si="115"/>
        <v>173630.48314063504</v>
      </c>
      <c r="FE73" s="80">
        <f t="shared" si="115"/>
        <v>174064.5593484866</v>
      </c>
      <c r="FF73" s="80">
        <f t="shared" si="115"/>
        <v>174499.72074685781</v>
      </c>
      <c r="FG73" s="288"/>
      <c r="FH73" s="80">
        <f t="shared" si="110"/>
        <v>715454.11868503294</v>
      </c>
      <c r="FI73" s="80">
        <f t="shared" si="103"/>
        <v>1463468.568620526</v>
      </c>
      <c r="FJ73" s="80">
        <f t="shared" si="103"/>
        <v>1507981.3655479592</v>
      </c>
      <c r="FK73" s="80">
        <f t="shared" si="103"/>
        <v>1553848.0617888374</v>
      </c>
      <c r="FL73" s="80">
        <f t="shared" si="103"/>
        <v>1601109.8374863423</v>
      </c>
      <c r="FM73" s="80">
        <f t="shared" si="103"/>
        <v>1649809.1253171184</v>
      </c>
      <c r="FN73" s="80">
        <f t="shared" si="103"/>
        <v>1699989.6485882737</v>
      </c>
      <c r="FO73" s="80">
        <f t="shared" si="103"/>
        <v>1751696.4604931418</v>
      </c>
      <c r="FP73" s="80">
        <f t="shared" si="103"/>
        <v>1804975.9845610436</v>
      </c>
      <c r="FQ73" s="80">
        <f t="shared" si="103"/>
        <v>1859876.0563373663</v>
      </c>
      <c r="FR73" s="80">
        <f t="shared" si="103"/>
        <v>1916445.9663313855</v>
      </c>
      <c r="FS73" s="80">
        <f t="shared" si="103"/>
        <v>1974736.504270385</v>
      </c>
      <c r="FT73" s="80">
        <f t="shared" si="103"/>
        <v>2034800.0046998013</v>
      </c>
      <c r="FU73" s="80">
        <f t="shared" si="103"/>
        <v>1040492.566763285</v>
      </c>
      <c r="FV73" s="288"/>
    </row>
    <row r="74" spans="2:178" x14ac:dyDescent="0.2">
      <c r="E74" s="224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77"/>
      <c r="CQ74" s="77"/>
      <c r="CR74" s="77"/>
      <c r="CS74" s="77"/>
      <c r="CT74" s="77"/>
      <c r="CU74" s="77"/>
      <c r="CV74" s="77"/>
      <c r="CW74" s="77"/>
      <c r="CX74" s="77"/>
      <c r="CY74" s="77"/>
      <c r="CZ74" s="77"/>
      <c r="DA74" s="77"/>
      <c r="DB74" s="77"/>
      <c r="DC74" s="77"/>
      <c r="DD74" s="77"/>
      <c r="DE74" s="77"/>
      <c r="DF74" s="77"/>
      <c r="DG74" s="77"/>
      <c r="DH74" s="77"/>
      <c r="DI74" s="77"/>
      <c r="DJ74" s="77"/>
      <c r="DK74" s="77"/>
      <c r="DL74" s="77"/>
      <c r="DM74" s="77"/>
      <c r="DN74" s="77"/>
      <c r="DO74" s="77"/>
      <c r="DP74" s="77"/>
      <c r="DQ74" s="77"/>
      <c r="DR74" s="77"/>
      <c r="DS74" s="77"/>
      <c r="DT74" s="77"/>
      <c r="DU74" s="77"/>
      <c r="DV74" s="77"/>
      <c r="DW74" s="77"/>
      <c r="DX74" s="77"/>
      <c r="DY74" s="77"/>
      <c r="DZ74" s="77"/>
      <c r="EA74" s="77"/>
      <c r="EB74" s="77"/>
      <c r="EC74" s="77"/>
      <c r="ED74" s="77"/>
      <c r="EE74" s="77"/>
      <c r="EF74" s="77"/>
      <c r="EG74" s="77"/>
      <c r="EH74" s="77"/>
      <c r="EI74" s="77"/>
      <c r="EJ74" s="77"/>
      <c r="EK74" s="77"/>
      <c r="EL74" s="77"/>
      <c r="EM74" s="77"/>
      <c r="EN74" s="77"/>
      <c r="EO74" s="77"/>
      <c r="EP74" s="77"/>
      <c r="EQ74" s="77"/>
      <c r="ER74" s="77"/>
      <c r="ES74" s="77"/>
      <c r="ET74" s="77"/>
      <c r="EU74" s="77"/>
      <c r="EV74" s="77"/>
      <c r="EW74" s="77"/>
      <c r="EX74" s="77"/>
      <c r="EY74" s="77"/>
      <c r="EZ74" s="77"/>
      <c r="FA74" s="77"/>
      <c r="FB74" s="77"/>
      <c r="FC74" s="77"/>
      <c r="FD74" s="77"/>
      <c r="FE74" s="77"/>
      <c r="FF74" s="77"/>
      <c r="FG74" s="277"/>
      <c r="FH74" s="77"/>
      <c r="FI74" s="77"/>
      <c r="FJ74" s="77"/>
      <c r="FK74" s="77"/>
      <c r="FL74" s="77"/>
      <c r="FM74" s="77"/>
      <c r="FN74" s="77"/>
      <c r="FO74" s="77"/>
      <c r="FP74" s="77"/>
      <c r="FQ74" s="77"/>
      <c r="FR74" s="77"/>
      <c r="FS74" s="77"/>
      <c r="FT74" s="77"/>
      <c r="FU74" s="77"/>
      <c r="FV74" s="277"/>
    </row>
    <row r="75" spans="2:178" x14ac:dyDescent="0.2">
      <c r="C75" s="229" t="s">
        <v>17</v>
      </c>
      <c r="E75" s="224"/>
    </row>
    <row r="76" spans="2:178" x14ac:dyDescent="0.2">
      <c r="C76" s="39" t="s">
        <v>61</v>
      </c>
      <c r="D76" s="230">
        <f>N16</f>
        <v>0</v>
      </c>
      <c r="E76" s="231">
        <f t="shared" ref="E76:E79" si="116">SUM(F76:FF76)</f>
        <v>0</v>
      </c>
      <c r="F76" s="232">
        <v>0</v>
      </c>
      <c r="G76" s="232">
        <f t="shared" ref="G76:AL76" si="117">$D$76*G102</f>
        <v>0</v>
      </c>
      <c r="H76" s="232">
        <f t="shared" si="117"/>
        <v>0</v>
      </c>
      <c r="I76" s="232">
        <f t="shared" si="117"/>
        <v>0</v>
      </c>
      <c r="J76" s="232">
        <f t="shared" si="117"/>
        <v>0</v>
      </c>
      <c r="K76" s="232">
        <f t="shared" si="117"/>
        <v>0</v>
      </c>
      <c r="L76" s="232">
        <f t="shared" si="117"/>
        <v>0</v>
      </c>
      <c r="M76" s="232">
        <f t="shared" si="117"/>
        <v>0</v>
      </c>
      <c r="N76" s="232">
        <f t="shared" si="117"/>
        <v>0</v>
      </c>
      <c r="O76" s="232">
        <f t="shared" si="117"/>
        <v>0</v>
      </c>
      <c r="P76" s="232">
        <f t="shared" si="117"/>
        <v>0</v>
      </c>
      <c r="Q76" s="232">
        <f t="shared" si="117"/>
        <v>0</v>
      </c>
      <c r="R76" s="232">
        <f t="shared" si="117"/>
        <v>0</v>
      </c>
      <c r="S76" s="232">
        <f t="shared" si="117"/>
        <v>0</v>
      </c>
      <c r="T76" s="232">
        <f t="shared" si="117"/>
        <v>0</v>
      </c>
      <c r="U76" s="232">
        <f t="shared" si="117"/>
        <v>0</v>
      </c>
      <c r="V76" s="232">
        <f t="shared" si="117"/>
        <v>0</v>
      </c>
      <c r="W76" s="232">
        <f t="shared" si="117"/>
        <v>0</v>
      </c>
      <c r="X76" s="232">
        <f t="shared" si="117"/>
        <v>0</v>
      </c>
      <c r="Y76" s="232">
        <f t="shared" si="117"/>
        <v>0</v>
      </c>
      <c r="Z76" s="232">
        <f t="shared" si="117"/>
        <v>0</v>
      </c>
      <c r="AA76" s="232">
        <f t="shared" si="117"/>
        <v>0</v>
      </c>
      <c r="AB76" s="232">
        <f t="shared" si="117"/>
        <v>0</v>
      </c>
      <c r="AC76" s="232">
        <f t="shared" si="117"/>
        <v>0</v>
      </c>
      <c r="AD76" s="232">
        <f t="shared" si="117"/>
        <v>0</v>
      </c>
      <c r="AE76" s="232">
        <f t="shared" si="117"/>
        <v>0</v>
      </c>
      <c r="AF76" s="232">
        <f t="shared" si="117"/>
        <v>0</v>
      </c>
      <c r="AG76" s="232">
        <f t="shared" si="117"/>
        <v>0</v>
      </c>
      <c r="AH76" s="232">
        <f t="shared" si="117"/>
        <v>0</v>
      </c>
      <c r="AI76" s="232">
        <f t="shared" si="117"/>
        <v>0</v>
      </c>
      <c r="AJ76" s="232">
        <f t="shared" si="117"/>
        <v>0</v>
      </c>
      <c r="AK76" s="232">
        <f t="shared" si="117"/>
        <v>0</v>
      </c>
      <c r="AL76" s="232">
        <f t="shared" si="117"/>
        <v>0</v>
      </c>
      <c r="AM76" s="232">
        <f t="shared" ref="AM76:BR76" si="118">$D$76*AM102</f>
        <v>0</v>
      </c>
      <c r="AN76" s="232">
        <f t="shared" si="118"/>
        <v>0</v>
      </c>
      <c r="AO76" s="232">
        <f t="shared" si="118"/>
        <v>0</v>
      </c>
      <c r="AP76" s="232">
        <f t="shared" si="118"/>
        <v>0</v>
      </c>
      <c r="AQ76" s="232">
        <f t="shared" si="118"/>
        <v>0</v>
      </c>
      <c r="AR76" s="232">
        <f t="shared" si="118"/>
        <v>0</v>
      </c>
      <c r="AS76" s="232">
        <f t="shared" si="118"/>
        <v>0</v>
      </c>
      <c r="AT76" s="232">
        <f t="shared" si="118"/>
        <v>0</v>
      </c>
      <c r="AU76" s="232">
        <f t="shared" si="118"/>
        <v>0</v>
      </c>
      <c r="AV76" s="232">
        <f t="shared" si="118"/>
        <v>0</v>
      </c>
      <c r="AW76" s="232">
        <f t="shared" si="118"/>
        <v>0</v>
      </c>
      <c r="AX76" s="232">
        <f t="shared" si="118"/>
        <v>0</v>
      </c>
      <c r="AY76" s="232">
        <f t="shared" si="118"/>
        <v>0</v>
      </c>
      <c r="AZ76" s="232">
        <f t="shared" si="118"/>
        <v>0</v>
      </c>
      <c r="BA76" s="232">
        <f t="shared" si="118"/>
        <v>0</v>
      </c>
      <c r="BB76" s="232">
        <f t="shared" si="118"/>
        <v>0</v>
      </c>
      <c r="BC76" s="232">
        <f t="shared" si="118"/>
        <v>0</v>
      </c>
      <c r="BD76" s="232">
        <f t="shared" si="118"/>
        <v>0</v>
      </c>
      <c r="BE76" s="232">
        <f t="shared" si="118"/>
        <v>0</v>
      </c>
      <c r="BF76" s="232">
        <f t="shared" si="118"/>
        <v>0</v>
      </c>
      <c r="BG76" s="232">
        <f t="shared" si="118"/>
        <v>0</v>
      </c>
      <c r="BH76" s="232">
        <f t="shared" si="118"/>
        <v>0</v>
      </c>
      <c r="BI76" s="232">
        <f t="shared" si="118"/>
        <v>0</v>
      </c>
      <c r="BJ76" s="232">
        <f t="shared" si="118"/>
        <v>0</v>
      </c>
      <c r="BK76" s="232">
        <f t="shared" si="118"/>
        <v>0</v>
      </c>
      <c r="BL76" s="232">
        <f t="shared" si="118"/>
        <v>0</v>
      </c>
      <c r="BM76" s="232">
        <f t="shared" si="118"/>
        <v>0</v>
      </c>
      <c r="BN76" s="232">
        <f t="shared" si="118"/>
        <v>0</v>
      </c>
      <c r="BO76" s="232">
        <f t="shared" si="118"/>
        <v>0</v>
      </c>
      <c r="BP76" s="232">
        <f t="shared" si="118"/>
        <v>0</v>
      </c>
      <c r="BQ76" s="232">
        <f t="shared" si="118"/>
        <v>0</v>
      </c>
      <c r="BR76" s="232">
        <f t="shared" si="118"/>
        <v>0</v>
      </c>
      <c r="BS76" s="232">
        <f t="shared" ref="BS76:CX76" si="119">$D$76*BS102</f>
        <v>0</v>
      </c>
      <c r="BT76" s="232">
        <f t="shared" si="119"/>
        <v>0</v>
      </c>
      <c r="BU76" s="232">
        <f t="shared" si="119"/>
        <v>0</v>
      </c>
      <c r="BV76" s="232">
        <f t="shared" si="119"/>
        <v>0</v>
      </c>
      <c r="BW76" s="232">
        <f t="shared" si="119"/>
        <v>0</v>
      </c>
      <c r="BX76" s="232">
        <f t="shared" si="119"/>
        <v>0</v>
      </c>
      <c r="BY76" s="232">
        <f t="shared" si="119"/>
        <v>0</v>
      </c>
      <c r="BZ76" s="232">
        <f t="shared" si="119"/>
        <v>0</v>
      </c>
      <c r="CA76" s="232">
        <f t="shared" si="119"/>
        <v>0</v>
      </c>
      <c r="CB76" s="232">
        <f t="shared" si="119"/>
        <v>0</v>
      </c>
      <c r="CC76" s="232">
        <f t="shared" si="119"/>
        <v>0</v>
      </c>
      <c r="CD76" s="232">
        <f t="shared" si="119"/>
        <v>0</v>
      </c>
      <c r="CE76" s="232">
        <f t="shared" si="119"/>
        <v>0</v>
      </c>
      <c r="CF76" s="232">
        <f t="shared" si="119"/>
        <v>0</v>
      </c>
      <c r="CG76" s="232">
        <f t="shared" si="119"/>
        <v>0</v>
      </c>
      <c r="CH76" s="232">
        <f t="shared" si="119"/>
        <v>0</v>
      </c>
      <c r="CI76" s="232">
        <f t="shared" si="119"/>
        <v>0</v>
      </c>
      <c r="CJ76" s="232">
        <f t="shared" si="119"/>
        <v>0</v>
      </c>
      <c r="CK76" s="232">
        <f t="shared" si="119"/>
        <v>0</v>
      </c>
      <c r="CL76" s="232">
        <f t="shared" si="119"/>
        <v>0</v>
      </c>
      <c r="CM76" s="232">
        <f t="shared" si="119"/>
        <v>0</v>
      </c>
      <c r="CN76" s="232">
        <f t="shared" si="119"/>
        <v>0</v>
      </c>
      <c r="CO76" s="232">
        <f t="shared" si="119"/>
        <v>0</v>
      </c>
      <c r="CP76" s="232">
        <f t="shared" si="119"/>
        <v>0</v>
      </c>
      <c r="CQ76" s="232">
        <f t="shared" si="119"/>
        <v>0</v>
      </c>
      <c r="CR76" s="232">
        <f t="shared" si="119"/>
        <v>0</v>
      </c>
      <c r="CS76" s="232">
        <f t="shared" si="119"/>
        <v>0</v>
      </c>
      <c r="CT76" s="232">
        <f t="shared" si="119"/>
        <v>0</v>
      </c>
      <c r="CU76" s="232">
        <f t="shared" si="119"/>
        <v>0</v>
      </c>
      <c r="CV76" s="232">
        <f t="shared" si="119"/>
        <v>0</v>
      </c>
      <c r="CW76" s="232">
        <f t="shared" si="119"/>
        <v>0</v>
      </c>
      <c r="CX76" s="232">
        <f t="shared" si="119"/>
        <v>0</v>
      </c>
      <c r="CY76" s="232">
        <f t="shared" ref="CY76:ED76" si="120">$D$76*CY102</f>
        <v>0</v>
      </c>
      <c r="CZ76" s="232">
        <f t="shared" si="120"/>
        <v>0</v>
      </c>
      <c r="DA76" s="232">
        <f t="shared" si="120"/>
        <v>0</v>
      </c>
      <c r="DB76" s="232">
        <f t="shared" si="120"/>
        <v>0</v>
      </c>
      <c r="DC76" s="232">
        <f t="shared" si="120"/>
        <v>0</v>
      </c>
      <c r="DD76" s="232">
        <f t="shared" si="120"/>
        <v>0</v>
      </c>
      <c r="DE76" s="232">
        <f t="shared" si="120"/>
        <v>0</v>
      </c>
      <c r="DF76" s="232">
        <f t="shared" si="120"/>
        <v>0</v>
      </c>
      <c r="DG76" s="232">
        <f t="shared" si="120"/>
        <v>0</v>
      </c>
      <c r="DH76" s="232">
        <f t="shared" si="120"/>
        <v>0</v>
      </c>
      <c r="DI76" s="232">
        <f t="shared" si="120"/>
        <v>0</v>
      </c>
      <c r="DJ76" s="232">
        <f t="shared" si="120"/>
        <v>0</v>
      </c>
      <c r="DK76" s="232">
        <f t="shared" si="120"/>
        <v>0</v>
      </c>
      <c r="DL76" s="232">
        <f t="shared" si="120"/>
        <v>0</v>
      </c>
      <c r="DM76" s="232">
        <f t="shared" si="120"/>
        <v>0</v>
      </c>
      <c r="DN76" s="232">
        <f t="shared" si="120"/>
        <v>0</v>
      </c>
      <c r="DO76" s="232">
        <f t="shared" si="120"/>
        <v>0</v>
      </c>
      <c r="DP76" s="232">
        <f t="shared" si="120"/>
        <v>0</v>
      </c>
      <c r="DQ76" s="232">
        <f t="shared" si="120"/>
        <v>0</v>
      </c>
      <c r="DR76" s="232">
        <f t="shared" si="120"/>
        <v>0</v>
      </c>
      <c r="DS76" s="232">
        <f t="shared" si="120"/>
        <v>0</v>
      </c>
      <c r="DT76" s="232">
        <f t="shared" si="120"/>
        <v>0</v>
      </c>
      <c r="DU76" s="232">
        <f t="shared" si="120"/>
        <v>0</v>
      </c>
      <c r="DV76" s="232">
        <f t="shared" si="120"/>
        <v>0</v>
      </c>
      <c r="DW76" s="232">
        <f t="shared" si="120"/>
        <v>0</v>
      </c>
      <c r="DX76" s="232">
        <f t="shared" si="120"/>
        <v>0</v>
      </c>
      <c r="DY76" s="232">
        <f t="shared" si="120"/>
        <v>0</v>
      </c>
      <c r="DZ76" s="232">
        <f t="shared" si="120"/>
        <v>0</v>
      </c>
      <c r="EA76" s="232">
        <f t="shared" si="120"/>
        <v>0</v>
      </c>
      <c r="EB76" s="232">
        <f t="shared" si="120"/>
        <v>0</v>
      </c>
      <c r="EC76" s="232">
        <f t="shared" si="120"/>
        <v>0</v>
      </c>
      <c r="ED76" s="232">
        <f t="shared" si="120"/>
        <v>0</v>
      </c>
      <c r="EE76" s="232">
        <f t="shared" ref="EE76:FF76" si="121">$D$76*EE102</f>
        <v>0</v>
      </c>
      <c r="EF76" s="232">
        <f t="shared" si="121"/>
        <v>0</v>
      </c>
      <c r="EG76" s="232">
        <f t="shared" si="121"/>
        <v>0</v>
      </c>
      <c r="EH76" s="232">
        <f t="shared" si="121"/>
        <v>0</v>
      </c>
      <c r="EI76" s="232">
        <f t="shared" si="121"/>
        <v>0</v>
      </c>
      <c r="EJ76" s="232">
        <f t="shared" si="121"/>
        <v>0</v>
      </c>
      <c r="EK76" s="232">
        <f t="shared" si="121"/>
        <v>0</v>
      </c>
      <c r="EL76" s="232">
        <f t="shared" si="121"/>
        <v>0</v>
      </c>
      <c r="EM76" s="232">
        <f t="shared" si="121"/>
        <v>0</v>
      </c>
      <c r="EN76" s="232">
        <f t="shared" si="121"/>
        <v>0</v>
      </c>
      <c r="EO76" s="232">
        <f t="shared" si="121"/>
        <v>0</v>
      </c>
      <c r="EP76" s="232">
        <f t="shared" si="121"/>
        <v>0</v>
      </c>
      <c r="EQ76" s="232">
        <f t="shared" si="121"/>
        <v>0</v>
      </c>
      <c r="ER76" s="232">
        <f t="shared" si="121"/>
        <v>0</v>
      </c>
      <c r="ES76" s="232">
        <f t="shared" si="121"/>
        <v>0</v>
      </c>
      <c r="ET76" s="232">
        <f t="shared" si="121"/>
        <v>0</v>
      </c>
      <c r="EU76" s="232">
        <f t="shared" si="121"/>
        <v>0</v>
      </c>
      <c r="EV76" s="232">
        <f t="shared" si="121"/>
        <v>0</v>
      </c>
      <c r="EW76" s="232">
        <f t="shared" si="121"/>
        <v>0</v>
      </c>
      <c r="EX76" s="232">
        <f t="shared" si="121"/>
        <v>0</v>
      </c>
      <c r="EY76" s="232">
        <f t="shared" si="121"/>
        <v>0</v>
      </c>
      <c r="EZ76" s="232">
        <f t="shared" si="121"/>
        <v>0</v>
      </c>
      <c r="FA76" s="232">
        <f t="shared" si="121"/>
        <v>0</v>
      </c>
      <c r="FB76" s="232">
        <f t="shared" si="121"/>
        <v>0</v>
      </c>
      <c r="FC76" s="232">
        <f t="shared" si="121"/>
        <v>0</v>
      </c>
      <c r="FD76" s="232">
        <f t="shared" si="121"/>
        <v>0</v>
      </c>
      <c r="FE76" s="232">
        <f t="shared" si="121"/>
        <v>0</v>
      </c>
      <c r="FF76" s="232">
        <f t="shared" si="121"/>
        <v>0</v>
      </c>
      <c r="FG76" s="321"/>
      <c r="FH76" s="232">
        <f t="shared" ref="FH76:FU79" si="122">SUMIF($F$54:$FF$54,FH$54,$F76:$FF76)</f>
        <v>0</v>
      </c>
      <c r="FI76" s="232">
        <f t="shared" si="122"/>
        <v>0</v>
      </c>
      <c r="FJ76" s="232">
        <f t="shared" si="122"/>
        <v>0</v>
      </c>
      <c r="FK76" s="232">
        <f t="shared" si="122"/>
        <v>0</v>
      </c>
      <c r="FL76" s="232">
        <f t="shared" si="122"/>
        <v>0</v>
      </c>
      <c r="FM76" s="232">
        <f t="shared" si="122"/>
        <v>0</v>
      </c>
      <c r="FN76" s="232">
        <f t="shared" si="122"/>
        <v>0</v>
      </c>
      <c r="FO76" s="232">
        <f t="shared" si="122"/>
        <v>0</v>
      </c>
      <c r="FP76" s="232">
        <f t="shared" si="122"/>
        <v>0</v>
      </c>
      <c r="FQ76" s="232">
        <f t="shared" si="122"/>
        <v>0</v>
      </c>
      <c r="FR76" s="232">
        <f t="shared" si="122"/>
        <v>0</v>
      </c>
      <c r="FS76" s="232">
        <f t="shared" si="122"/>
        <v>0</v>
      </c>
      <c r="FT76" s="232">
        <f t="shared" si="122"/>
        <v>0</v>
      </c>
      <c r="FU76" s="232">
        <f t="shared" si="122"/>
        <v>0</v>
      </c>
      <c r="FV76" s="321"/>
    </row>
    <row r="77" spans="2:178" x14ac:dyDescent="0.2">
      <c r="C77" s="39" t="s">
        <v>16</v>
      </c>
      <c r="D77" s="77">
        <f>P17</f>
        <v>0</v>
      </c>
      <c r="E77" s="231">
        <f t="shared" si="116"/>
        <v>0</v>
      </c>
      <c r="F77" s="232">
        <v>0</v>
      </c>
      <c r="G77" s="232">
        <f t="shared" ref="G77:AL77" si="123">IFERROR($P$17*$O$17*G61*(G55&gt;=$F$13),0)</f>
        <v>0</v>
      </c>
      <c r="H77" s="232">
        <f t="shared" si="123"/>
        <v>0</v>
      </c>
      <c r="I77" s="232">
        <f t="shared" si="123"/>
        <v>0</v>
      </c>
      <c r="J77" s="232">
        <f t="shared" si="123"/>
        <v>0</v>
      </c>
      <c r="K77" s="232">
        <f t="shared" si="123"/>
        <v>0</v>
      </c>
      <c r="L77" s="232">
        <f t="shared" si="123"/>
        <v>0</v>
      </c>
      <c r="M77" s="232">
        <f t="shared" si="123"/>
        <v>0</v>
      </c>
      <c r="N77" s="232">
        <f t="shared" si="123"/>
        <v>0</v>
      </c>
      <c r="O77" s="232">
        <f t="shared" si="123"/>
        <v>0</v>
      </c>
      <c r="P77" s="232">
        <f t="shared" si="123"/>
        <v>0</v>
      </c>
      <c r="Q77" s="232">
        <f t="shared" si="123"/>
        <v>0</v>
      </c>
      <c r="R77" s="232">
        <f t="shared" si="123"/>
        <v>0</v>
      </c>
      <c r="S77" s="232">
        <f t="shared" si="123"/>
        <v>0</v>
      </c>
      <c r="T77" s="232">
        <f t="shared" si="123"/>
        <v>0</v>
      </c>
      <c r="U77" s="232">
        <f t="shared" si="123"/>
        <v>0</v>
      </c>
      <c r="V77" s="232">
        <f t="shared" si="123"/>
        <v>0</v>
      </c>
      <c r="W77" s="232">
        <f t="shared" si="123"/>
        <v>0</v>
      </c>
      <c r="X77" s="232">
        <f t="shared" si="123"/>
        <v>0</v>
      </c>
      <c r="Y77" s="232">
        <f t="shared" si="123"/>
        <v>0</v>
      </c>
      <c r="Z77" s="232">
        <f t="shared" si="123"/>
        <v>0</v>
      </c>
      <c r="AA77" s="232">
        <f t="shared" si="123"/>
        <v>0</v>
      </c>
      <c r="AB77" s="232">
        <f t="shared" si="123"/>
        <v>0</v>
      </c>
      <c r="AC77" s="232">
        <f t="shared" si="123"/>
        <v>0</v>
      </c>
      <c r="AD77" s="232">
        <f t="shared" si="123"/>
        <v>0</v>
      </c>
      <c r="AE77" s="232">
        <f t="shared" si="123"/>
        <v>0</v>
      </c>
      <c r="AF77" s="232">
        <f t="shared" si="123"/>
        <v>0</v>
      </c>
      <c r="AG77" s="232">
        <f t="shared" si="123"/>
        <v>0</v>
      </c>
      <c r="AH77" s="232">
        <f t="shared" si="123"/>
        <v>0</v>
      </c>
      <c r="AI77" s="232">
        <f t="shared" si="123"/>
        <v>0</v>
      </c>
      <c r="AJ77" s="232">
        <f t="shared" si="123"/>
        <v>0</v>
      </c>
      <c r="AK77" s="232">
        <f t="shared" si="123"/>
        <v>0</v>
      </c>
      <c r="AL77" s="232">
        <f t="shared" si="123"/>
        <v>0</v>
      </c>
      <c r="AM77" s="232">
        <f t="shared" ref="AM77:BR77" si="124">IFERROR($P$17*$O$17*AM61*(AM55&gt;=$F$13),0)</f>
        <v>0</v>
      </c>
      <c r="AN77" s="232">
        <f t="shared" si="124"/>
        <v>0</v>
      </c>
      <c r="AO77" s="232">
        <f t="shared" si="124"/>
        <v>0</v>
      </c>
      <c r="AP77" s="232">
        <f t="shared" si="124"/>
        <v>0</v>
      </c>
      <c r="AQ77" s="232">
        <f t="shared" si="124"/>
        <v>0</v>
      </c>
      <c r="AR77" s="232">
        <f t="shared" si="124"/>
        <v>0</v>
      </c>
      <c r="AS77" s="232">
        <f t="shared" si="124"/>
        <v>0</v>
      </c>
      <c r="AT77" s="232">
        <f t="shared" si="124"/>
        <v>0</v>
      </c>
      <c r="AU77" s="232">
        <f t="shared" si="124"/>
        <v>0</v>
      </c>
      <c r="AV77" s="232">
        <f t="shared" si="124"/>
        <v>0</v>
      </c>
      <c r="AW77" s="232">
        <f t="shared" si="124"/>
        <v>0</v>
      </c>
      <c r="AX77" s="232">
        <f t="shared" si="124"/>
        <v>0</v>
      </c>
      <c r="AY77" s="232">
        <f t="shared" si="124"/>
        <v>0</v>
      </c>
      <c r="AZ77" s="232">
        <f t="shared" si="124"/>
        <v>0</v>
      </c>
      <c r="BA77" s="232">
        <f t="shared" si="124"/>
        <v>0</v>
      </c>
      <c r="BB77" s="232">
        <f t="shared" si="124"/>
        <v>0</v>
      </c>
      <c r="BC77" s="232">
        <f t="shared" si="124"/>
        <v>0</v>
      </c>
      <c r="BD77" s="232">
        <f t="shared" si="124"/>
        <v>0</v>
      </c>
      <c r="BE77" s="232">
        <f t="shared" si="124"/>
        <v>0</v>
      </c>
      <c r="BF77" s="232">
        <f t="shared" si="124"/>
        <v>0</v>
      </c>
      <c r="BG77" s="232">
        <f t="shared" si="124"/>
        <v>0</v>
      </c>
      <c r="BH77" s="232">
        <f t="shared" si="124"/>
        <v>0</v>
      </c>
      <c r="BI77" s="232">
        <f t="shared" si="124"/>
        <v>0</v>
      </c>
      <c r="BJ77" s="232">
        <f t="shared" si="124"/>
        <v>0</v>
      </c>
      <c r="BK77" s="232">
        <f t="shared" si="124"/>
        <v>0</v>
      </c>
      <c r="BL77" s="232">
        <f t="shared" si="124"/>
        <v>0</v>
      </c>
      <c r="BM77" s="232">
        <f t="shared" si="124"/>
        <v>0</v>
      </c>
      <c r="BN77" s="232">
        <f t="shared" si="124"/>
        <v>0</v>
      </c>
      <c r="BO77" s="232">
        <f t="shared" si="124"/>
        <v>0</v>
      </c>
      <c r="BP77" s="232">
        <f t="shared" si="124"/>
        <v>0</v>
      </c>
      <c r="BQ77" s="232">
        <f t="shared" si="124"/>
        <v>0</v>
      </c>
      <c r="BR77" s="232">
        <f t="shared" si="124"/>
        <v>0</v>
      </c>
      <c r="BS77" s="232">
        <f t="shared" ref="BS77:CX77" si="125">IFERROR($P$17*$O$17*BS61*(BS55&gt;=$F$13),0)</f>
        <v>0</v>
      </c>
      <c r="BT77" s="232">
        <f t="shared" si="125"/>
        <v>0</v>
      </c>
      <c r="BU77" s="232">
        <f t="shared" si="125"/>
        <v>0</v>
      </c>
      <c r="BV77" s="232">
        <f t="shared" si="125"/>
        <v>0</v>
      </c>
      <c r="BW77" s="232">
        <f t="shared" si="125"/>
        <v>0</v>
      </c>
      <c r="BX77" s="232">
        <f t="shared" si="125"/>
        <v>0</v>
      </c>
      <c r="BY77" s="232">
        <f t="shared" si="125"/>
        <v>0</v>
      </c>
      <c r="BZ77" s="232">
        <f t="shared" si="125"/>
        <v>0</v>
      </c>
      <c r="CA77" s="232">
        <f t="shared" si="125"/>
        <v>0</v>
      </c>
      <c r="CB77" s="232">
        <f t="shared" si="125"/>
        <v>0</v>
      </c>
      <c r="CC77" s="232">
        <f t="shared" si="125"/>
        <v>0</v>
      </c>
      <c r="CD77" s="232">
        <f t="shared" si="125"/>
        <v>0</v>
      </c>
      <c r="CE77" s="232">
        <f t="shared" si="125"/>
        <v>0</v>
      </c>
      <c r="CF77" s="232">
        <f t="shared" si="125"/>
        <v>0</v>
      </c>
      <c r="CG77" s="232">
        <f t="shared" si="125"/>
        <v>0</v>
      </c>
      <c r="CH77" s="232">
        <f t="shared" si="125"/>
        <v>0</v>
      </c>
      <c r="CI77" s="232">
        <f t="shared" si="125"/>
        <v>0</v>
      </c>
      <c r="CJ77" s="232">
        <f t="shared" si="125"/>
        <v>0</v>
      </c>
      <c r="CK77" s="232">
        <f t="shared" si="125"/>
        <v>0</v>
      </c>
      <c r="CL77" s="232">
        <f t="shared" si="125"/>
        <v>0</v>
      </c>
      <c r="CM77" s="232">
        <f t="shared" si="125"/>
        <v>0</v>
      </c>
      <c r="CN77" s="232">
        <f t="shared" si="125"/>
        <v>0</v>
      </c>
      <c r="CO77" s="232">
        <f t="shared" si="125"/>
        <v>0</v>
      </c>
      <c r="CP77" s="232">
        <f t="shared" si="125"/>
        <v>0</v>
      </c>
      <c r="CQ77" s="232">
        <f t="shared" si="125"/>
        <v>0</v>
      </c>
      <c r="CR77" s="232">
        <f t="shared" si="125"/>
        <v>0</v>
      </c>
      <c r="CS77" s="232">
        <f t="shared" si="125"/>
        <v>0</v>
      </c>
      <c r="CT77" s="232">
        <f t="shared" si="125"/>
        <v>0</v>
      </c>
      <c r="CU77" s="232">
        <f t="shared" si="125"/>
        <v>0</v>
      </c>
      <c r="CV77" s="232">
        <f t="shared" si="125"/>
        <v>0</v>
      </c>
      <c r="CW77" s="232">
        <f t="shared" si="125"/>
        <v>0</v>
      </c>
      <c r="CX77" s="232">
        <f t="shared" si="125"/>
        <v>0</v>
      </c>
      <c r="CY77" s="232">
        <f t="shared" ref="CY77:ED77" si="126">IFERROR($P$17*$O$17*CY61*(CY55&gt;=$F$13),0)</f>
        <v>0</v>
      </c>
      <c r="CZ77" s="232">
        <f t="shared" si="126"/>
        <v>0</v>
      </c>
      <c r="DA77" s="232">
        <f t="shared" si="126"/>
        <v>0</v>
      </c>
      <c r="DB77" s="232">
        <f t="shared" si="126"/>
        <v>0</v>
      </c>
      <c r="DC77" s="232">
        <f t="shared" si="126"/>
        <v>0</v>
      </c>
      <c r="DD77" s="232">
        <f t="shared" si="126"/>
        <v>0</v>
      </c>
      <c r="DE77" s="232">
        <f t="shared" si="126"/>
        <v>0</v>
      </c>
      <c r="DF77" s="232">
        <f t="shared" si="126"/>
        <v>0</v>
      </c>
      <c r="DG77" s="232">
        <f t="shared" si="126"/>
        <v>0</v>
      </c>
      <c r="DH77" s="232">
        <f t="shared" si="126"/>
        <v>0</v>
      </c>
      <c r="DI77" s="232">
        <f t="shared" si="126"/>
        <v>0</v>
      </c>
      <c r="DJ77" s="232">
        <f t="shared" si="126"/>
        <v>0</v>
      </c>
      <c r="DK77" s="232">
        <f t="shared" si="126"/>
        <v>0</v>
      </c>
      <c r="DL77" s="232">
        <f t="shared" si="126"/>
        <v>0</v>
      </c>
      <c r="DM77" s="232">
        <f t="shared" si="126"/>
        <v>0</v>
      </c>
      <c r="DN77" s="232">
        <f t="shared" si="126"/>
        <v>0</v>
      </c>
      <c r="DO77" s="232">
        <f t="shared" si="126"/>
        <v>0</v>
      </c>
      <c r="DP77" s="232">
        <f t="shared" si="126"/>
        <v>0</v>
      </c>
      <c r="DQ77" s="232">
        <f t="shared" si="126"/>
        <v>0</v>
      </c>
      <c r="DR77" s="232">
        <f t="shared" si="126"/>
        <v>0</v>
      </c>
      <c r="DS77" s="232">
        <f t="shared" si="126"/>
        <v>0</v>
      </c>
      <c r="DT77" s="232">
        <f t="shared" si="126"/>
        <v>0</v>
      </c>
      <c r="DU77" s="232">
        <f t="shared" si="126"/>
        <v>0</v>
      </c>
      <c r="DV77" s="232">
        <f t="shared" si="126"/>
        <v>0</v>
      </c>
      <c r="DW77" s="232">
        <f t="shared" si="126"/>
        <v>0</v>
      </c>
      <c r="DX77" s="232">
        <f t="shared" si="126"/>
        <v>0</v>
      </c>
      <c r="DY77" s="232">
        <f t="shared" si="126"/>
        <v>0</v>
      </c>
      <c r="DZ77" s="232">
        <f t="shared" si="126"/>
        <v>0</v>
      </c>
      <c r="EA77" s="232">
        <f t="shared" si="126"/>
        <v>0</v>
      </c>
      <c r="EB77" s="232">
        <f t="shared" si="126"/>
        <v>0</v>
      </c>
      <c r="EC77" s="232">
        <f t="shared" si="126"/>
        <v>0</v>
      </c>
      <c r="ED77" s="232">
        <f t="shared" si="126"/>
        <v>0</v>
      </c>
      <c r="EE77" s="232">
        <f t="shared" ref="EE77:FF77" si="127">IFERROR($P$17*$O$17*EE61*(EE55&gt;=$F$13),0)</f>
        <v>0</v>
      </c>
      <c r="EF77" s="232">
        <f t="shared" si="127"/>
        <v>0</v>
      </c>
      <c r="EG77" s="232">
        <f t="shared" si="127"/>
        <v>0</v>
      </c>
      <c r="EH77" s="232">
        <f t="shared" si="127"/>
        <v>0</v>
      </c>
      <c r="EI77" s="232">
        <f t="shared" si="127"/>
        <v>0</v>
      </c>
      <c r="EJ77" s="232">
        <f t="shared" si="127"/>
        <v>0</v>
      </c>
      <c r="EK77" s="232">
        <f t="shared" si="127"/>
        <v>0</v>
      </c>
      <c r="EL77" s="232">
        <f t="shared" si="127"/>
        <v>0</v>
      </c>
      <c r="EM77" s="232">
        <f t="shared" si="127"/>
        <v>0</v>
      </c>
      <c r="EN77" s="232">
        <f t="shared" si="127"/>
        <v>0</v>
      </c>
      <c r="EO77" s="232">
        <f t="shared" si="127"/>
        <v>0</v>
      </c>
      <c r="EP77" s="232">
        <f t="shared" si="127"/>
        <v>0</v>
      </c>
      <c r="EQ77" s="232">
        <f t="shared" si="127"/>
        <v>0</v>
      </c>
      <c r="ER77" s="232">
        <f t="shared" si="127"/>
        <v>0</v>
      </c>
      <c r="ES77" s="232">
        <f t="shared" si="127"/>
        <v>0</v>
      </c>
      <c r="ET77" s="232">
        <f t="shared" si="127"/>
        <v>0</v>
      </c>
      <c r="EU77" s="232">
        <f t="shared" si="127"/>
        <v>0</v>
      </c>
      <c r="EV77" s="232">
        <f t="shared" si="127"/>
        <v>0</v>
      </c>
      <c r="EW77" s="232">
        <f t="shared" si="127"/>
        <v>0</v>
      </c>
      <c r="EX77" s="232">
        <f t="shared" si="127"/>
        <v>0</v>
      </c>
      <c r="EY77" s="232">
        <f t="shared" si="127"/>
        <v>0</v>
      </c>
      <c r="EZ77" s="232">
        <f t="shared" si="127"/>
        <v>0</v>
      </c>
      <c r="FA77" s="232">
        <f t="shared" si="127"/>
        <v>0</v>
      </c>
      <c r="FB77" s="232">
        <f t="shared" si="127"/>
        <v>0</v>
      </c>
      <c r="FC77" s="232">
        <f t="shared" si="127"/>
        <v>0</v>
      </c>
      <c r="FD77" s="232">
        <f t="shared" si="127"/>
        <v>0</v>
      </c>
      <c r="FE77" s="232">
        <f t="shared" si="127"/>
        <v>0</v>
      </c>
      <c r="FF77" s="232">
        <f t="shared" si="127"/>
        <v>0</v>
      </c>
      <c r="FG77" s="321"/>
      <c r="FH77" s="232">
        <f t="shared" si="122"/>
        <v>0</v>
      </c>
      <c r="FI77" s="232">
        <f t="shared" si="122"/>
        <v>0</v>
      </c>
      <c r="FJ77" s="232">
        <f t="shared" si="122"/>
        <v>0</v>
      </c>
      <c r="FK77" s="232">
        <f t="shared" si="122"/>
        <v>0</v>
      </c>
      <c r="FL77" s="232">
        <f t="shared" si="122"/>
        <v>0</v>
      </c>
      <c r="FM77" s="232">
        <f t="shared" si="122"/>
        <v>0</v>
      </c>
      <c r="FN77" s="232">
        <f t="shared" si="122"/>
        <v>0</v>
      </c>
      <c r="FO77" s="232">
        <f t="shared" si="122"/>
        <v>0</v>
      </c>
      <c r="FP77" s="232">
        <f t="shared" si="122"/>
        <v>0</v>
      </c>
      <c r="FQ77" s="232">
        <f t="shared" si="122"/>
        <v>0</v>
      </c>
      <c r="FR77" s="232">
        <f t="shared" si="122"/>
        <v>0</v>
      </c>
      <c r="FS77" s="232">
        <f t="shared" si="122"/>
        <v>0</v>
      </c>
      <c r="FT77" s="232">
        <f t="shared" si="122"/>
        <v>0</v>
      </c>
      <c r="FU77" s="232">
        <f t="shared" si="122"/>
        <v>0</v>
      </c>
      <c r="FV77" s="321"/>
    </row>
    <row r="78" spans="2:178" x14ac:dyDescent="0.2">
      <c r="C78" s="39" t="s">
        <v>17</v>
      </c>
      <c r="D78" s="77">
        <f>P18</f>
        <v>0</v>
      </c>
      <c r="E78" s="233">
        <f t="shared" si="116"/>
        <v>0</v>
      </c>
      <c r="F78" s="234">
        <v>0</v>
      </c>
      <c r="G78" s="234">
        <f t="shared" ref="G78:AL78" si="128">IFERROR($P$18*$O$18*G61*(G55&gt;=$F$13),0)</f>
        <v>0</v>
      </c>
      <c r="H78" s="234">
        <f t="shared" si="128"/>
        <v>0</v>
      </c>
      <c r="I78" s="234">
        <f t="shared" si="128"/>
        <v>0</v>
      </c>
      <c r="J78" s="234">
        <f t="shared" si="128"/>
        <v>0</v>
      </c>
      <c r="K78" s="234">
        <f t="shared" si="128"/>
        <v>0</v>
      </c>
      <c r="L78" s="234">
        <f t="shared" si="128"/>
        <v>0</v>
      </c>
      <c r="M78" s="234">
        <f t="shared" si="128"/>
        <v>0</v>
      </c>
      <c r="N78" s="234">
        <f t="shared" si="128"/>
        <v>0</v>
      </c>
      <c r="O78" s="234">
        <f t="shared" si="128"/>
        <v>0</v>
      </c>
      <c r="P78" s="234">
        <f t="shared" si="128"/>
        <v>0</v>
      </c>
      <c r="Q78" s="234">
        <f t="shared" si="128"/>
        <v>0</v>
      </c>
      <c r="R78" s="234">
        <f t="shared" si="128"/>
        <v>0</v>
      </c>
      <c r="S78" s="234">
        <f t="shared" si="128"/>
        <v>0</v>
      </c>
      <c r="T78" s="234">
        <f t="shared" si="128"/>
        <v>0</v>
      </c>
      <c r="U78" s="234">
        <f t="shared" si="128"/>
        <v>0</v>
      </c>
      <c r="V78" s="234">
        <f t="shared" si="128"/>
        <v>0</v>
      </c>
      <c r="W78" s="234">
        <f t="shared" si="128"/>
        <v>0</v>
      </c>
      <c r="X78" s="234">
        <f t="shared" si="128"/>
        <v>0</v>
      </c>
      <c r="Y78" s="234">
        <f t="shared" si="128"/>
        <v>0</v>
      </c>
      <c r="Z78" s="234">
        <f t="shared" si="128"/>
        <v>0</v>
      </c>
      <c r="AA78" s="234">
        <f t="shared" si="128"/>
        <v>0</v>
      </c>
      <c r="AB78" s="234">
        <f t="shared" si="128"/>
        <v>0</v>
      </c>
      <c r="AC78" s="234">
        <f t="shared" si="128"/>
        <v>0</v>
      </c>
      <c r="AD78" s="234">
        <f t="shared" si="128"/>
        <v>0</v>
      </c>
      <c r="AE78" s="234">
        <f t="shared" si="128"/>
        <v>0</v>
      </c>
      <c r="AF78" s="234">
        <f t="shared" si="128"/>
        <v>0</v>
      </c>
      <c r="AG78" s="234">
        <f t="shared" si="128"/>
        <v>0</v>
      </c>
      <c r="AH78" s="234">
        <f t="shared" si="128"/>
        <v>0</v>
      </c>
      <c r="AI78" s="234">
        <f t="shared" si="128"/>
        <v>0</v>
      </c>
      <c r="AJ78" s="234">
        <f t="shared" si="128"/>
        <v>0</v>
      </c>
      <c r="AK78" s="234">
        <f t="shared" si="128"/>
        <v>0</v>
      </c>
      <c r="AL78" s="234">
        <f t="shared" si="128"/>
        <v>0</v>
      </c>
      <c r="AM78" s="234">
        <f t="shared" ref="AM78:BR78" si="129">IFERROR($P$18*$O$18*AM61*(AM55&gt;=$F$13),0)</f>
        <v>0</v>
      </c>
      <c r="AN78" s="234">
        <f t="shared" si="129"/>
        <v>0</v>
      </c>
      <c r="AO78" s="234">
        <f t="shared" si="129"/>
        <v>0</v>
      </c>
      <c r="AP78" s="234">
        <f t="shared" si="129"/>
        <v>0</v>
      </c>
      <c r="AQ78" s="234">
        <f t="shared" si="129"/>
        <v>0</v>
      </c>
      <c r="AR78" s="234">
        <f t="shared" si="129"/>
        <v>0</v>
      </c>
      <c r="AS78" s="234">
        <f t="shared" si="129"/>
        <v>0</v>
      </c>
      <c r="AT78" s="234">
        <f t="shared" si="129"/>
        <v>0</v>
      </c>
      <c r="AU78" s="234">
        <f t="shared" si="129"/>
        <v>0</v>
      </c>
      <c r="AV78" s="234">
        <f t="shared" si="129"/>
        <v>0</v>
      </c>
      <c r="AW78" s="234">
        <f t="shared" si="129"/>
        <v>0</v>
      </c>
      <c r="AX78" s="234">
        <f t="shared" si="129"/>
        <v>0</v>
      </c>
      <c r="AY78" s="234">
        <f t="shared" si="129"/>
        <v>0</v>
      </c>
      <c r="AZ78" s="234">
        <f t="shared" si="129"/>
        <v>0</v>
      </c>
      <c r="BA78" s="234">
        <f t="shared" si="129"/>
        <v>0</v>
      </c>
      <c r="BB78" s="234">
        <f t="shared" si="129"/>
        <v>0</v>
      </c>
      <c r="BC78" s="234">
        <f t="shared" si="129"/>
        <v>0</v>
      </c>
      <c r="BD78" s="234">
        <f t="shared" si="129"/>
        <v>0</v>
      </c>
      <c r="BE78" s="234">
        <f t="shared" si="129"/>
        <v>0</v>
      </c>
      <c r="BF78" s="234">
        <f t="shared" si="129"/>
        <v>0</v>
      </c>
      <c r="BG78" s="234">
        <f t="shared" si="129"/>
        <v>0</v>
      </c>
      <c r="BH78" s="234">
        <f t="shared" si="129"/>
        <v>0</v>
      </c>
      <c r="BI78" s="234">
        <f t="shared" si="129"/>
        <v>0</v>
      </c>
      <c r="BJ78" s="234">
        <f t="shared" si="129"/>
        <v>0</v>
      </c>
      <c r="BK78" s="234">
        <f t="shared" si="129"/>
        <v>0</v>
      </c>
      <c r="BL78" s="234">
        <f t="shared" si="129"/>
        <v>0</v>
      </c>
      <c r="BM78" s="234">
        <f t="shared" si="129"/>
        <v>0</v>
      </c>
      <c r="BN78" s="234">
        <f t="shared" si="129"/>
        <v>0</v>
      </c>
      <c r="BO78" s="234">
        <f t="shared" si="129"/>
        <v>0</v>
      </c>
      <c r="BP78" s="234">
        <f t="shared" si="129"/>
        <v>0</v>
      </c>
      <c r="BQ78" s="234">
        <f t="shared" si="129"/>
        <v>0</v>
      </c>
      <c r="BR78" s="234">
        <f t="shared" si="129"/>
        <v>0</v>
      </c>
      <c r="BS78" s="234">
        <f t="shared" ref="BS78:CX78" si="130">IFERROR($P$18*$O$18*BS61*(BS55&gt;=$F$13),0)</f>
        <v>0</v>
      </c>
      <c r="BT78" s="234">
        <f t="shared" si="130"/>
        <v>0</v>
      </c>
      <c r="BU78" s="234">
        <f t="shared" si="130"/>
        <v>0</v>
      </c>
      <c r="BV78" s="234">
        <f t="shared" si="130"/>
        <v>0</v>
      </c>
      <c r="BW78" s="234">
        <f t="shared" si="130"/>
        <v>0</v>
      </c>
      <c r="BX78" s="234">
        <f t="shared" si="130"/>
        <v>0</v>
      </c>
      <c r="BY78" s="234">
        <f t="shared" si="130"/>
        <v>0</v>
      </c>
      <c r="BZ78" s="234">
        <f t="shared" si="130"/>
        <v>0</v>
      </c>
      <c r="CA78" s="234">
        <f t="shared" si="130"/>
        <v>0</v>
      </c>
      <c r="CB78" s="234">
        <f t="shared" si="130"/>
        <v>0</v>
      </c>
      <c r="CC78" s="234">
        <f t="shared" si="130"/>
        <v>0</v>
      </c>
      <c r="CD78" s="234">
        <f t="shared" si="130"/>
        <v>0</v>
      </c>
      <c r="CE78" s="234">
        <f t="shared" si="130"/>
        <v>0</v>
      </c>
      <c r="CF78" s="234">
        <f t="shared" si="130"/>
        <v>0</v>
      </c>
      <c r="CG78" s="234">
        <f t="shared" si="130"/>
        <v>0</v>
      </c>
      <c r="CH78" s="234">
        <f t="shared" si="130"/>
        <v>0</v>
      </c>
      <c r="CI78" s="234">
        <f t="shared" si="130"/>
        <v>0</v>
      </c>
      <c r="CJ78" s="234">
        <f t="shared" si="130"/>
        <v>0</v>
      </c>
      <c r="CK78" s="234">
        <f t="shared" si="130"/>
        <v>0</v>
      </c>
      <c r="CL78" s="234">
        <f t="shared" si="130"/>
        <v>0</v>
      </c>
      <c r="CM78" s="234">
        <f t="shared" si="130"/>
        <v>0</v>
      </c>
      <c r="CN78" s="234">
        <f t="shared" si="130"/>
        <v>0</v>
      </c>
      <c r="CO78" s="234">
        <f t="shared" si="130"/>
        <v>0</v>
      </c>
      <c r="CP78" s="234">
        <f t="shared" si="130"/>
        <v>0</v>
      </c>
      <c r="CQ78" s="234">
        <f t="shared" si="130"/>
        <v>0</v>
      </c>
      <c r="CR78" s="234">
        <f t="shared" si="130"/>
        <v>0</v>
      </c>
      <c r="CS78" s="234">
        <f t="shared" si="130"/>
        <v>0</v>
      </c>
      <c r="CT78" s="234">
        <f t="shared" si="130"/>
        <v>0</v>
      </c>
      <c r="CU78" s="234">
        <f t="shared" si="130"/>
        <v>0</v>
      </c>
      <c r="CV78" s="234">
        <f t="shared" si="130"/>
        <v>0</v>
      </c>
      <c r="CW78" s="234">
        <f t="shared" si="130"/>
        <v>0</v>
      </c>
      <c r="CX78" s="234">
        <f t="shared" si="130"/>
        <v>0</v>
      </c>
      <c r="CY78" s="234">
        <f t="shared" ref="CY78:ED78" si="131">IFERROR($P$18*$O$18*CY61*(CY55&gt;=$F$13),0)</f>
        <v>0</v>
      </c>
      <c r="CZ78" s="234">
        <f t="shared" si="131"/>
        <v>0</v>
      </c>
      <c r="DA78" s="234">
        <f t="shared" si="131"/>
        <v>0</v>
      </c>
      <c r="DB78" s="234">
        <f t="shared" si="131"/>
        <v>0</v>
      </c>
      <c r="DC78" s="234">
        <f t="shared" si="131"/>
        <v>0</v>
      </c>
      <c r="DD78" s="234">
        <f t="shared" si="131"/>
        <v>0</v>
      </c>
      <c r="DE78" s="234">
        <f t="shared" si="131"/>
        <v>0</v>
      </c>
      <c r="DF78" s="234">
        <f t="shared" si="131"/>
        <v>0</v>
      </c>
      <c r="DG78" s="234">
        <f t="shared" si="131"/>
        <v>0</v>
      </c>
      <c r="DH78" s="234">
        <f t="shared" si="131"/>
        <v>0</v>
      </c>
      <c r="DI78" s="234">
        <f t="shared" si="131"/>
        <v>0</v>
      </c>
      <c r="DJ78" s="234">
        <f t="shared" si="131"/>
        <v>0</v>
      </c>
      <c r="DK78" s="234">
        <f t="shared" si="131"/>
        <v>0</v>
      </c>
      <c r="DL78" s="234">
        <f t="shared" si="131"/>
        <v>0</v>
      </c>
      <c r="DM78" s="234">
        <f t="shared" si="131"/>
        <v>0</v>
      </c>
      <c r="DN78" s="234">
        <f t="shared" si="131"/>
        <v>0</v>
      </c>
      <c r="DO78" s="234">
        <f t="shared" si="131"/>
        <v>0</v>
      </c>
      <c r="DP78" s="234">
        <f t="shared" si="131"/>
        <v>0</v>
      </c>
      <c r="DQ78" s="234">
        <f t="shared" si="131"/>
        <v>0</v>
      </c>
      <c r="DR78" s="234">
        <f t="shared" si="131"/>
        <v>0</v>
      </c>
      <c r="DS78" s="234">
        <f t="shared" si="131"/>
        <v>0</v>
      </c>
      <c r="DT78" s="234">
        <f t="shared" si="131"/>
        <v>0</v>
      </c>
      <c r="DU78" s="234">
        <f t="shared" si="131"/>
        <v>0</v>
      </c>
      <c r="DV78" s="234">
        <f t="shared" si="131"/>
        <v>0</v>
      </c>
      <c r="DW78" s="234">
        <f t="shared" si="131"/>
        <v>0</v>
      </c>
      <c r="DX78" s="234">
        <f t="shared" si="131"/>
        <v>0</v>
      </c>
      <c r="DY78" s="234">
        <f t="shared" si="131"/>
        <v>0</v>
      </c>
      <c r="DZ78" s="234">
        <f t="shared" si="131"/>
        <v>0</v>
      </c>
      <c r="EA78" s="234">
        <f t="shared" si="131"/>
        <v>0</v>
      </c>
      <c r="EB78" s="234">
        <f t="shared" si="131"/>
        <v>0</v>
      </c>
      <c r="EC78" s="234">
        <f t="shared" si="131"/>
        <v>0</v>
      </c>
      <c r="ED78" s="234">
        <f t="shared" si="131"/>
        <v>0</v>
      </c>
      <c r="EE78" s="234">
        <f t="shared" ref="EE78:FF78" si="132">IFERROR($P$18*$O$18*EE61*(EE55&gt;=$F$13),0)</f>
        <v>0</v>
      </c>
      <c r="EF78" s="234">
        <f t="shared" si="132"/>
        <v>0</v>
      </c>
      <c r="EG78" s="234">
        <f t="shared" si="132"/>
        <v>0</v>
      </c>
      <c r="EH78" s="234">
        <f t="shared" si="132"/>
        <v>0</v>
      </c>
      <c r="EI78" s="234">
        <f t="shared" si="132"/>
        <v>0</v>
      </c>
      <c r="EJ78" s="234">
        <f t="shared" si="132"/>
        <v>0</v>
      </c>
      <c r="EK78" s="234">
        <f t="shared" si="132"/>
        <v>0</v>
      </c>
      <c r="EL78" s="234">
        <f t="shared" si="132"/>
        <v>0</v>
      </c>
      <c r="EM78" s="234">
        <f t="shared" si="132"/>
        <v>0</v>
      </c>
      <c r="EN78" s="234">
        <f t="shared" si="132"/>
        <v>0</v>
      </c>
      <c r="EO78" s="234">
        <f t="shared" si="132"/>
        <v>0</v>
      </c>
      <c r="EP78" s="234">
        <f t="shared" si="132"/>
        <v>0</v>
      </c>
      <c r="EQ78" s="234">
        <f t="shared" si="132"/>
        <v>0</v>
      </c>
      <c r="ER78" s="234">
        <f t="shared" si="132"/>
        <v>0</v>
      </c>
      <c r="ES78" s="234">
        <f t="shared" si="132"/>
        <v>0</v>
      </c>
      <c r="ET78" s="234">
        <f t="shared" si="132"/>
        <v>0</v>
      </c>
      <c r="EU78" s="234">
        <f t="shared" si="132"/>
        <v>0</v>
      </c>
      <c r="EV78" s="234">
        <f t="shared" si="132"/>
        <v>0</v>
      </c>
      <c r="EW78" s="234">
        <f t="shared" si="132"/>
        <v>0</v>
      </c>
      <c r="EX78" s="234">
        <f t="shared" si="132"/>
        <v>0</v>
      </c>
      <c r="EY78" s="234">
        <f t="shared" si="132"/>
        <v>0</v>
      </c>
      <c r="EZ78" s="234">
        <f t="shared" si="132"/>
        <v>0</v>
      </c>
      <c r="FA78" s="234">
        <f t="shared" si="132"/>
        <v>0</v>
      </c>
      <c r="FB78" s="234">
        <f t="shared" si="132"/>
        <v>0</v>
      </c>
      <c r="FC78" s="234">
        <f t="shared" si="132"/>
        <v>0</v>
      </c>
      <c r="FD78" s="234">
        <f t="shared" si="132"/>
        <v>0</v>
      </c>
      <c r="FE78" s="234">
        <f t="shared" si="132"/>
        <v>0</v>
      </c>
      <c r="FF78" s="234">
        <f t="shared" si="132"/>
        <v>0</v>
      </c>
      <c r="FG78" s="321"/>
      <c r="FH78" s="234">
        <f t="shared" si="122"/>
        <v>0</v>
      </c>
      <c r="FI78" s="234">
        <f t="shared" si="122"/>
        <v>0</v>
      </c>
      <c r="FJ78" s="234">
        <f t="shared" si="122"/>
        <v>0</v>
      </c>
      <c r="FK78" s="234">
        <f t="shared" si="122"/>
        <v>0</v>
      </c>
      <c r="FL78" s="234">
        <f t="shared" si="122"/>
        <v>0</v>
      </c>
      <c r="FM78" s="234">
        <f t="shared" si="122"/>
        <v>0</v>
      </c>
      <c r="FN78" s="234">
        <f t="shared" si="122"/>
        <v>0</v>
      </c>
      <c r="FO78" s="234">
        <f t="shared" si="122"/>
        <v>0</v>
      </c>
      <c r="FP78" s="234">
        <f t="shared" si="122"/>
        <v>0</v>
      </c>
      <c r="FQ78" s="234">
        <f t="shared" si="122"/>
        <v>0</v>
      </c>
      <c r="FR78" s="234">
        <f t="shared" si="122"/>
        <v>0</v>
      </c>
      <c r="FS78" s="234">
        <f t="shared" si="122"/>
        <v>0</v>
      </c>
      <c r="FT78" s="234">
        <f t="shared" si="122"/>
        <v>0</v>
      </c>
      <c r="FU78" s="234">
        <f t="shared" si="122"/>
        <v>0</v>
      </c>
      <c r="FV78" s="321"/>
    </row>
    <row r="79" spans="2:178" s="77" customFormat="1" x14ac:dyDescent="0.2">
      <c r="C79" s="80" t="s">
        <v>18</v>
      </c>
      <c r="D79" s="80"/>
      <c r="E79" s="273">
        <f t="shared" si="116"/>
        <v>0</v>
      </c>
      <c r="F79" s="208">
        <v>0</v>
      </c>
      <c r="G79" s="208">
        <f t="shared" ref="G79:BQ79" si="133">SUM(G76:G78)</f>
        <v>0</v>
      </c>
      <c r="H79" s="208">
        <f t="shared" si="133"/>
        <v>0</v>
      </c>
      <c r="I79" s="208">
        <f t="shared" si="133"/>
        <v>0</v>
      </c>
      <c r="J79" s="208">
        <f t="shared" si="133"/>
        <v>0</v>
      </c>
      <c r="K79" s="208">
        <f t="shared" si="133"/>
        <v>0</v>
      </c>
      <c r="L79" s="208">
        <f t="shared" si="133"/>
        <v>0</v>
      </c>
      <c r="M79" s="208">
        <f t="shared" si="133"/>
        <v>0</v>
      </c>
      <c r="N79" s="208">
        <f t="shared" si="133"/>
        <v>0</v>
      </c>
      <c r="O79" s="208">
        <f t="shared" si="133"/>
        <v>0</v>
      </c>
      <c r="P79" s="208">
        <f t="shared" si="133"/>
        <v>0</v>
      </c>
      <c r="Q79" s="208">
        <f t="shared" si="133"/>
        <v>0</v>
      </c>
      <c r="R79" s="208">
        <f t="shared" si="133"/>
        <v>0</v>
      </c>
      <c r="S79" s="208">
        <f t="shared" si="133"/>
        <v>0</v>
      </c>
      <c r="T79" s="208">
        <f t="shared" si="133"/>
        <v>0</v>
      </c>
      <c r="U79" s="208">
        <f t="shared" si="133"/>
        <v>0</v>
      </c>
      <c r="V79" s="208">
        <f t="shared" si="133"/>
        <v>0</v>
      </c>
      <c r="W79" s="208">
        <f t="shared" si="133"/>
        <v>0</v>
      </c>
      <c r="X79" s="208">
        <f t="shared" si="133"/>
        <v>0</v>
      </c>
      <c r="Y79" s="208">
        <f t="shared" si="133"/>
        <v>0</v>
      </c>
      <c r="Z79" s="208">
        <f t="shared" si="133"/>
        <v>0</v>
      </c>
      <c r="AA79" s="208">
        <f t="shared" si="133"/>
        <v>0</v>
      </c>
      <c r="AB79" s="208">
        <f t="shared" si="133"/>
        <v>0</v>
      </c>
      <c r="AC79" s="208">
        <f t="shared" si="133"/>
        <v>0</v>
      </c>
      <c r="AD79" s="208">
        <f t="shared" si="133"/>
        <v>0</v>
      </c>
      <c r="AE79" s="208">
        <f t="shared" si="133"/>
        <v>0</v>
      </c>
      <c r="AF79" s="208">
        <f t="shared" si="133"/>
        <v>0</v>
      </c>
      <c r="AG79" s="208">
        <f t="shared" si="133"/>
        <v>0</v>
      </c>
      <c r="AH79" s="208">
        <f t="shared" si="133"/>
        <v>0</v>
      </c>
      <c r="AI79" s="208">
        <f t="shared" si="133"/>
        <v>0</v>
      </c>
      <c r="AJ79" s="208">
        <f t="shared" si="133"/>
        <v>0</v>
      </c>
      <c r="AK79" s="208">
        <f t="shared" si="133"/>
        <v>0</v>
      </c>
      <c r="AL79" s="208">
        <f t="shared" si="133"/>
        <v>0</v>
      </c>
      <c r="AM79" s="208">
        <f t="shared" si="133"/>
        <v>0</v>
      </c>
      <c r="AN79" s="208">
        <f t="shared" si="133"/>
        <v>0</v>
      </c>
      <c r="AO79" s="208">
        <f t="shared" si="133"/>
        <v>0</v>
      </c>
      <c r="AP79" s="208">
        <f t="shared" si="133"/>
        <v>0</v>
      </c>
      <c r="AQ79" s="208">
        <f t="shared" si="133"/>
        <v>0</v>
      </c>
      <c r="AR79" s="208">
        <f t="shared" si="133"/>
        <v>0</v>
      </c>
      <c r="AS79" s="208">
        <f t="shared" si="133"/>
        <v>0</v>
      </c>
      <c r="AT79" s="208">
        <f t="shared" si="133"/>
        <v>0</v>
      </c>
      <c r="AU79" s="208">
        <f t="shared" si="133"/>
        <v>0</v>
      </c>
      <c r="AV79" s="208">
        <f t="shared" si="133"/>
        <v>0</v>
      </c>
      <c r="AW79" s="208">
        <f t="shared" si="133"/>
        <v>0</v>
      </c>
      <c r="AX79" s="208">
        <f t="shared" si="133"/>
        <v>0</v>
      </c>
      <c r="AY79" s="208">
        <f t="shared" si="133"/>
        <v>0</v>
      </c>
      <c r="AZ79" s="208">
        <f t="shared" si="133"/>
        <v>0</v>
      </c>
      <c r="BA79" s="208">
        <f t="shared" si="133"/>
        <v>0</v>
      </c>
      <c r="BB79" s="208">
        <f t="shared" si="133"/>
        <v>0</v>
      </c>
      <c r="BC79" s="208">
        <f t="shared" si="133"/>
        <v>0</v>
      </c>
      <c r="BD79" s="208">
        <f t="shared" si="133"/>
        <v>0</v>
      </c>
      <c r="BE79" s="208">
        <f t="shared" si="133"/>
        <v>0</v>
      </c>
      <c r="BF79" s="208">
        <f t="shared" si="133"/>
        <v>0</v>
      </c>
      <c r="BG79" s="208">
        <f t="shared" si="133"/>
        <v>0</v>
      </c>
      <c r="BH79" s="208">
        <f t="shared" si="133"/>
        <v>0</v>
      </c>
      <c r="BI79" s="208">
        <f t="shared" si="133"/>
        <v>0</v>
      </c>
      <c r="BJ79" s="208">
        <f t="shared" si="133"/>
        <v>0</v>
      </c>
      <c r="BK79" s="208">
        <f t="shared" si="133"/>
        <v>0</v>
      </c>
      <c r="BL79" s="208">
        <f t="shared" si="133"/>
        <v>0</v>
      </c>
      <c r="BM79" s="208">
        <f t="shared" si="133"/>
        <v>0</v>
      </c>
      <c r="BN79" s="208">
        <f t="shared" si="133"/>
        <v>0</v>
      </c>
      <c r="BO79" s="208">
        <f t="shared" si="133"/>
        <v>0</v>
      </c>
      <c r="BP79" s="208">
        <f t="shared" si="133"/>
        <v>0</v>
      </c>
      <c r="BQ79" s="208">
        <f t="shared" si="133"/>
        <v>0</v>
      </c>
      <c r="BR79" s="208">
        <f t="shared" ref="BR79:EC79" si="134">SUM(BR76:BR78)</f>
        <v>0</v>
      </c>
      <c r="BS79" s="208">
        <f t="shared" si="134"/>
        <v>0</v>
      </c>
      <c r="BT79" s="208">
        <f t="shared" si="134"/>
        <v>0</v>
      </c>
      <c r="BU79" s="208">
        <f t="shared" si="134"/>
        <v>0</v>
      </c>
      <c r="BV79" s="208">
        <f t="shared" si="134"/>
        <v>0</v>
      </c>
      <c r="BW79" s="208">
        <f t="shared" si="134"/>
        <v>0</v>
      </c>
      <c r="BX79" s="208">
        <f t="shared" si="134"/>
        <v>0</v>
      </c>
      <c r="BY79" s="208">
        <f t="shared" si="134"/>
        <v>0</v>
      </c>
      <c r="BZ79" s="208">
        <f t="shared" si="134"/>
        <v>0</v>
      </c>
      <c r="CA79" s="208">
        <f t="shared" si="134"/>
        <v>0</v>
      </c>
      <c r="CB79" s="208">
        <f t="shared" si="134"/>
        <v>0</v>
      </c>
      <c r="CC79" s="208">
        <f t="shared" si="134"/>
        <v>0</v>
      </c>
      <c r="CD79" s="208">
        <f t="shared" si="134"/>
        <v>0</v>
      </c>
      <c r="CE79" s="208">
        <f t="shared" si="134"/>
        <v>0</v>
      </c>
      <c r="CF79" s="208">
        <f t="shared" si="134"/>
        <v>0</v>
      </c>
      <c r="CG79" s="208">
        <f t="shared" si="134"/>
        <v>0</v>
      </c>
      <c r="CH79" s="208">
        <f t="shared" si="134"/>
        <v>0</v>
      </c>
      <c r="CI79" s="208">
        <f t="shared" si="134"/>
        <v>0</v>
      </c>
      <c r="CJ79" s="208">
        <f t="shared" si="134"/>
        <v>0</v>
      </c>
      <c r="CK79" s="208">
        <f t="shared" si="134"/>
        <v>0</v>
      </c>
      <c r="CL79" s="208">
        <f t="shared" si="134"/>
        <v>0</v>
      </c>
      <c r="CM79" s="208">
        <f t="shared" si="134"/>
        <v>0</v>
      </c>
      <c r="CN79" s="208">
        <f t="shared" si="134"/>
        <v>0</v>
      </c>
      <c r="CO79" s="208">
        <f t="shared" si="134"/>
        <v>0</v>
      </c>
      <c r="CP79" s="208">
        <f t="shared" si="134"/>
        <v>0</v>
      </c>
      <c r="CQ79" s="208">
        <f t="shared" si="134"/>
        <v>0</v>
      </c>
      <c r="CR79" s="208">
        <f t="shared" si="134"/>
        <v>0</v>
      </c>
      <c r="CS79" s="208">
        <f t="shared" si="134"/>
        <v>0</v>
      </c>
      <c r="CT79" s="208">
        <f t="shared" si="134"/>
        <v>0</v>
      </c>
      <c r="CU79" s="208">
        <f t="shared" si="134"/>
        <v>0</v>
      </c>
      <c r="CV79" s="208">
        <f t="shared" si="134"/>
        <v>0</v>
      </c>
      <c r="CW79" s="208">
        <f t="shared" si="134"/>
        <v>0</v>
      </c>
      <c r="CX79" s="208">
        <f t="shared" si="134"/>
        <v>0</v>
      </c>
      <c r="CY79" s="208">
        <f t="shared" si="134"/>
        <v>0</v>
      </c>
      <c r="CZ79" s="208">
        <f t="shared" si="134"/>
        <v>0</v>
      </c>
      <c r="DA79" s="208">
        <f t="shared" si="134"/>
        <v>0</v>
      </c>
      <c r="DB79" s="208">
        <f t="shared" si="134"/>
        <v>0</v>
      </c>
      <c r="DC79" s="208">
        <f t="shared" si="134"/>
        <v>0</v>
      </c>
      <c r="DD79" s="208">
        <f t="shared" si="134"/>
        <v>0</v>
      </c>
      <c r="DE79" s="208">
        <f t="shared" si="134"/>
        <v>0</v>
      </c>
      <c r="DF79" s="208">
        <f t="shared" si="134"/>
        <v>0</v>
      </c>
      <c r="DG79" s="208">
        <f t="shared" si="134"/>
        <v>0</v>
      </c>
      <c r="DH79" s="208">
        <f t="shared" si="134"/>
        <v>0</v>
      </c>
      <c r="DI79" s="208">
        <f t="shared" si="134"/>
        <v>0</v>
      </c>
      <c r="DJ79" s="208">
        <f t="shared" si="134"/>
        <v>0</v>
      </c>
      <c r="DK79" s="208">
        <f t="shared" si="134"/>
        <v>0</v>
      </c>
      <c r="DL79" s="208">
        <f t="shared" si="134"/>
        <v>0</v>
      </c>
      <c r="DM79" s="208">
        <f t="shared" si="134"/>
        <v>0</v>
      </c>
      <c r="DN79" s="208">
        <f t="shared" si="134"/>
        <v>0</v>
      </c>
      <c r="DO79" s="208">
        <f t="shared" si="134"/>
        <v>0</v>
      </c>
      <c r="DP79" s="208">
        <f t="shared" si="134"/>
        <v>0</v>
      </c>
      <c r="DQ79" s="208">
        <f t="shared" si="134"/>
        <v>0</v>
      </c>
      <c r="DR79" s="208">
        <f t="shared" si="134"/>
        <v>0</v>
      </c>
      <c r="DS79" s="208">
        <f t="shared" si="134"/>
        <v>0</v>
      </c>
      <c r="DT79" s="208">
        <f t="shared" si="134"/>
        <v>0</v>
      </c>
      <c r="DU79" s="208">
        <f t="shared" si="134"/>
        <v>0</v>
      </c>
      <c r="DV79" s="208">
        <f t="shared" si="134"/>
        <v>0</v>
      </c>
      <c r="DW79" s="208">
        <f t="shared" si="134"/>
        <v>0</v>
      </c>
      <c r="DX79" s="208">
        <f t="shared" si="134"/>
        <v>0</v>
      </c>
      <c r="DY79" s="208">
        <f t="shared" si="134"/>
        <v>0</v>
      </c>
      <c r="DZ79" s="208">
        <f t="shared" si="134"/>
        <v>0</v>
      </c>
      <c r="EA79" s="208">
        <f t="shared" si="134"/>
        <v>0</v>
      </c>
      <c r="EB79" s="208">
        <f t="shared" si="134"/>
        <v>0</v>
      </c>
      <c r="EC79" s="208">
        <f t="shared" si="134"/>
        <v>0</v>
      </c>
      <c r="ED79" s="208">
        <f t="shared" ref="ED79:FF79" si="135">SUM(ED76:ED78)</f>
        <v>0</v>
      </c>
      <c r="EE79" s="208">
        <f t="shared" si="135"/>
        <v>0</v>
      </c>
      <c r="EF79" s="208">
        <f t="shared" si="135"/>
        <v>0</v>
      </c>
      <c r="EG79" s="208">
        <f t="shared" si="135"/>
        <v>0</v>
      </c>
      <c r="EH79" s="208">
        <f t="shared" si="135"/>
        <v>0</v>
      </c>
      <c r="EI79" s="208">
        <f t="shared" si="135"/>
        <v>0</v>
      </c>
      <c r="EJ79" s="208">
        <f t="shared" si="135"/>
        <v>0</v>
      </c>
      <c r="EK79" s="208">
        <f t="shared" si="135"/>
        <v>0</v>
      </c>
      <c r="EL79" s="208">
        <f t="shared" si="135"/>
        <v>0</v>
      </c>
      <c r="EM79" s="208">
        <f t="shared" si="135"/>
        <v>0</v>
      </c>
      <c r="EN79" s="208">
        <f t="shared" si="135"/>
        <v>0</v>
      </c>
      <c r="EO79" s="208">
        <f t="shared" si="135"/>
        <v>0</v>
      </c>
      <c r="EP79" s="208">
        <f t="shared" si="135"/>
        <v>0</v>
      </c>
      <c r="EQ79" s="208">
        <f t="shared" si="135"/>
        <v>0</v>
      </c>
      <c r="ER79" s="208">
        <f t="shared" si="135"/>
        <v>0</v>
      </c>
      <c r="ES79" s="208">
        <f t="shared" si="135"/>
        <v>0</v>
      </c>
      <c r="ET79" s="208">
        <f t="shared" si="135"/>
        <v>0</v>
      </c>
      <c r="EU79" s="208">
        <f t="shared" si="135"/>
        <v>0</v>
      </c>
      <c r="EV79" s="208">
        <f t="shared" si="135"/>
        <v>0</v>
      </c>
      <c r="EW79" s="208">
        <f t="shared" si="135"/>
        <v>0</v>
      </c>
      <c r="EX79" s="208">
        <f t="shared" si="135"/>
        <v>0</v>
      </c>
      <c r="EY79" s="208">
        <f t="shared" si="135"/>
        <v>0</v>
      </c>
      <c r="EZ79" s="208">
        <f t="shared" si="135"/>
        <v>0</v>
      </c>
      <c r="FA79" s="208">
        <f t="shared" si="135"/>
        <v>0</v>
      </c>
      <c r="FB79" s="208">
        <f t="shared" si="135"/>
        <v>0</v>
      </c>
      <c r="FC79" s="208">
        <f t="shared" si="135"/>
        <v>0</v>
      </c>
      <c r="FD79" s="208">
        <f t="shared" si="135"/>
        <v>0</v>
      </c>
      <c r="FE79" s="208">
        <f t="shared" si="135"/>
        <v>0</v>
      </c>
      <c r="FF79" s="208">
        <f t="shared" si="135"/>
        <v>0</v>
      </c>
      <c r="FG79" s="288"/>
      <c r="FH79" s="208">
        <f t="shared" si="122"/>
        <v>0</v>
      </c>
      <c r="FI79" s="208">
        <f t="shared" si="122"/>
        <v>0</v>
      </c>
      <c r="FJ79" s="208">
        <f t="shared" si="122"/>
        <v>0</v>
      </c>
      <c r="FK79" s="208">
        <f t="shared" si="122"/>
        <v>0</v>
      </c>
      <c r="FL79" s="208">
        <f t="shared" si="122"/>
        <v>0</v>
      </c>
      <c r="FM79" s="208">
        <f t="shared" si="122"/>
        <v>0</v>
      </c>
      <c r="FN79" s="208">
        <f t="shared" si="122"/>
        <v>0</v>
      </c>
      <c r="FO79" s="208">
        <f t="shared" si="122"/>
        <v>0</v>
      </c>
      <c r="FP79" s="208">
        <f t="shared" si="122"/>
        <v>0</v>
      </c>
      <c r="FQ79" s="208">
        <f t="shared" si="122"/>
        <v>0</v>
      </c>
      <c r="FR79" s="208">
        <f t="shared" si="122"/>
        <v>0</v>
      </c>
      <c r="FS79" s="208">
        <f t="shared" si="122"/>
        <v>0</v>
      </c>
      <c r="FT79" s="208">
        <f t="shared" si="122"/>
        <v>0</v>
      </c>
      <c r="FU79" s="208">
        <f t="shared" si="122"/>
        <v>0</v>
      </c>
      <c r="FV79" s="288"/>
    </row>
    <row r="80" spans="2:178" x14ac:dyDescent="0.2">
      <c r="E80" s="224"/>
    </row>
    <row r="81" spans="3:178" x14ac:dyDescent="0.2">
      <c r="C81" s="39" t="s">
        <v>14</v>
      </c>
      <c r="E81" s="236">
        <f t="shared" ref="E81:E85" si="136">SUM(F81:FF81)</f>
        <v>-1128734.2134745254</v>
      </c>
      <c r="F81" s="237">
        <v>0</v>
      </c>
      <c r="G81" s="237">
        <f t="shared" ref="G81:AL81" si="137">-IFERROR(INDEX($M23:$Q23,MATCH(YEAR(G$55),$M$21:$Q$21,0)),$Q$23)*(SUM(G$73,G$79))</f>
        <v>-5924.9629687500001</v>
      </c>
      <c r="H81" s="237">
        <f t="shared" si="137"/>
        <v>-5939.775376171875</v>
      </c>
      <c r="I81" s="237">
        <f t="shared" si="137"/>
        <v>-5954.6248146123044</v>
      </c>
      <c r="J81" s="237">
        <f t="shared" si="137"/>
        <v>-5969.5113766488348</v>
      </c>
      <c r="K81" s="237">
        <f t="shared" si="137"/>
        <v>-5984.4351550904576</v>
      </c>
      <c r="L81" s="237">
        <f t="shared" si="137"/>
        <v>-5999.3962429781823</v>
      </c>
      <c r="M81" s="237">
        <f t="shared" si="137"/>
        <v>-6014.3947335856283</v>
      </c>
      <c r="N81" s="237">
        <f t="shared" si="137"/>
        <v>-6029.430720419592</v>
      </c>
      <c r="O81" s="237">
        <f t="shared" si="137"/>
        <v>-6044.5042972206411</v>
      </c>
      <c r="P81" s="237">
        <f t="shared" si="137"/>
        <v>-6059.6155579636916</v>
      </c>
      <c r="Q81" s="237">
        <f t="shared" si="137"/>
        <v>-6074.7645968586003</v>
      </c>
      <c r="R81" s="237">
        <f t="shared" si="137"/>
        <v>-6089.9515083507467</v>
      </c>
      <c r="S81" s="237">
        <f t="shared" si="137"/>
        <v>-6105.1763871216244</v>
      </c>
      <c r="T81" s="237">
        <f t="shared" si="137"/>
        <v>-6120.4393280894274</v>
      </c>
      <c r="U81" s="237">
        <f t="shared" si="137"/>
        <v>-6135.7404264096504</v>
      </c>
      <c r="V81" s="237">
        <f t="shared" si="137"/>
        <v>-6151.0797774756747</v>
      </c>
      <c r="W81" s="237">
        <f t="shared" si="137"/>
        <v>-6166.4574769193632</v>
      </c>
      <c r="X81" s="237">
        <f t="shared" si="137"/>
        <v>-6181.8736206116619</v>
      </c>
      <c r="Y81" s="237">
        <f t="shared" si="137"/>
        <v>-6197.3283046631905</v>
      </c>
      <c r="Z81" s="237">
        <f t="shared" si="137"/>
        <v>-6212.8216254248482</v>
      </c>
      <c r="AA81" s="237">
        <f t="shared" si="137"/>
        <v>-6228.3536794884103</v>
      </c>
      <c r="AB81" s="237">
        <f t="shared" si="137"/>
        <v>-6243.924563687131</v>
      </c>
      <c r="AC81" s="237">
        <f t="shared" si="137"/>
        <v>-6259.5343750963484</v>
      </c>
      <c r="AD81" s="237">
        <f t="shared" si="137"/>
        <v>-6275.1832110340883</v>
      </c>
      <c r="AE81" s="237">
        <f t="shared" si="137"/>
        <v>-6290.8711690616747</v>
      </c>
      <c r="AF81" s="237">
        <f t="shared" si="137"/>
        <v>-6306.5983469843286</v>
      </c>
      <c r="AG81" s="237">
        <f t="shared" si="137"/>
        <v>-6322.3648428517881</v>
      </c>
      <c r="AH81" s="237">
        <f t="shared" si="137"/>
        <v>-6338.1707549589182</v>
      </c>
      <c r="AI81" s="237">
        <f t="shared" si="137"/>
        <v>-6354.0161818463148</v>
      </c>
      <c r="AJ81" s="237">
        <f t="shared" si="137"/>
        <v>-6369.9012223009304</v>
      </c>
      <c r="AK81" s="237">
        <f t="shared" si="137"/>
        <v>-6385.8259753566817</v>
      </c>
      <c r="AL81" s="237">
        <f t="shared" si="137"/>
        <v>-6401.7905402950737</v>
      </c>
      <c r="AM81" s="237">
        <f t="shared" ref="AM81:BR81" si="138">-IFERROR(INDEX($M23:$Q23,MATCH(YEAR(AM$55),$M$21:$Q$21,0)),$Q$23)*(SUM(AM$73,AM$79))</f>
        <v>-6417.7950166458113</v>
      </c>
      <c r="AN81" s="237">
        <f t="shared" si="138"/>
        <v>-6433.8395041874246</v>
      </c>
      <c r="AO81" s="237">
        <f t="shared" si="138"/>
        <v>-6449.9241029478944</v>
      </c>
      <c r="AP81" s="237">
        <f t="shared" si="138"/>
        <v>-6466.0489132052635</v>
      </c>
      <c r="AQ81" s="237">
        <f t="shared" si="138"/>
        <v>-6482.2140354882758</v>
      </c>
      <c r="AR81" s="237">
        <f t="shared" si="138"/>
        <v>-6498.4195705769962</v>
      </c>
      <c r="AS81" s="237">
        <f t="shared" si="138"/>
        <v>-6514.6656195034393</v>
      </c>
      <c r="AT81" s="237">
        <f t="shared" si="138"/>
        <v>-6530.9522835521966</v>
      </c>
      <c r="AU81" s="237">
        <f t="shared" si="138"/>
        <v>-6547.2796642610774</v>
      </c>
      <c r="AV81" s="237">
        <f t="shared" si="138"/>
        <v>-6563.6478634217292</v>
      </c>
      <c r="AW81" s="237">
        <f t="shared" si="138"/>
        <v>-6580.0569830802824</v>
      </c>
      <c r="AX81" s="237">
        <f t="shared" si="138"/>
        <v>-6596.5071255379826</v>
      </c>
      <c r="AY81" s="237">
        <f t="shared" si="138"/>
        <v>-6612.9983933518279</v>
      </c>
      <c r="AZ81" s="237">
        <f t="shared" si="138"/>
        <v>-6629.5308893352085</v>
      </c>
      <c r="BA81" s="237">
        <f t="shared" si="138"/>
        <v>-6646.1047165585469</v>
      </c>
      <c r="BB81" s="237">
        <f t="shared" si="138"/>
        <v>-6662.7199783499427</v>
      </c>
      <c r="BC81" s="237">
        <f t="shared" si="138"/>
        <v>-6679.3767782958166</v>
      </c>
      <c r="BD81" s="237">
        <f t="shared" si="138"/>
        <v>-6696.0752202415551</v>
      </c>
      <c r="BE81" s="237">
        <f t="shared" si="138"/>
        <v>-6712.8154082921601</v>
      </c>
      <c r="BF81" s="237">
        <f t="shared" si="138"/>
        <v>-6729.5974468128879</v>
      </c>
      <c r="BG81" s="237">
        <f t="shared" si="138"/>
        <v>-6746.42144042992</v>
      </c>
      <c r="BH81" s="237">
        <f t="shared" si="138"/>
        <v>-6763.2874940309957</v>
      </c>
      <c r="BI81" s="237">
        <f t="shared" si="138"/>
        <v>-6780.1957127660735</v>
      </c>
      <c r="BJ81" s="237">
        <f t="shared" si="138"/>
        <v>-6797.1462020479876</v>
      </c>
      <c r="BK81" s="237">
        <f t="shared" si="138"/>
        <v>-6814.1390675531065</v>
      </c>
      <c r="BL81" s="237">
        <f t="shared" si="138"/>
        <v>-6831.1744152219881</v>
      </c>
      <c r="BM81" s="237">
        <f t="shared" si="138"/>
        <v>-6848.2523512600428</v>
      </c>
      <c r="BN81" s="237">
        <f t="shared" si="138"/>
        <v>-6865.3729821381921</v>
      </c>
      <c r="BO81" s="237">
        <f t="shared" si="138"/>
        <v>-6882.5364145935373</v>
      </c>
      <c r="BP81" s="237">
        <f t="shared" si="138"/>
        <v>-6899.7427556300208</v>
      </c>
      <c r="BQ81" s="237">
        <f t="shared" si="138"/>
        <v>-6916.9921125190949</v>
      </c>
      <c r="BR81" s="237">
        <f t="shared" si="138"/>
        <v>-6934.2845928003926</v>
      </c>
      <c r="BS81" s="237">
        <f t="shared" ref="BS81:CX81" si="139">-IFERROR(INDEX($M23:$Q23,MATCH(YEAR(BS$55),$M$21:$Q$21,0)),$Q$23)*(SUM(BS$73,BS$79))</f>
        <v>-6951.6203042823927</v>
      </c>
      <c r="BT81" s="237">
        <f t="shared" si="139"/>
        <v>-6968.9993550430991</v>
      </c>
      <c r="BU81" s="237">
        <f t="shared" si="139"/>
        <v>-6986.4218534307065</v>
      </c>
      <c r="BV81" s="237">
        <f t="shared" si="139"/>
        <v>-7003.8879080642837</v>
      </c>
      <c r="BW81" s="237">
        <f t="shared" si="139"/>
        <v>-7021.3976278344435</v>
      </c>
      <c r="BX81" s="237">
        <f t="shared" si="139"/>
        <v>-7038.9511219040278</v>
      </c>
      <c r="BY81" s="237">
        <f t="shared" si="139"/>
        <v>-7056.5484997087879</v>
      </c>
      <c r="BZ81" s="237">
        <f t="shared" si="139"/>
        <v>-7074.1898709580582</v>
      </c>
      <c r="CA81" s="237">
        <f t="shared" si="139"/>
        <v>-7091.8753456354525</v>
      </c>
      <c r="CB81" s="237">
        <f t="shared" si="139"/>
        <v>-7109.6050339995418</v>
      </c>
      <c r="CC81" s="237">
        <f t="shared" si="139"/>
        <v>-7127.3790465845395</v>
      </c>
      <c r="CD81" s="237">
        <f t="shared" si="139"/>
        <v>-7145.197494201002</v>
      </c>
      <c r="CE81" s="237">
        <f t="shared" si="139"/>
        <v>-7163.0604879365046</v>
      </c>
      <c r="CF81" s="237">
        <f t="shared" si="139"/>
        <v>-7180.9681391563445</v>
      </c>
      <c r="CG81" s="237">
        <f t="shared" si="139"/>
        <v>-7198.920559504234</v>
      </c>
      <c r="CH81" s="237">
        <f t="shared" si="139"/>
        <v>-7216.917860902995</v>
      </c>
      <c r="CI81" s="237">
        <f t="shared" si="139"/>
        <v>-7234.9601555552526</v>
      </c>
      <c r="CJ81" s="237">
        <f t="shared" si="139"/>
        <v>-7253.0475559441393</v>
      </c>
      <c r="CK81" s="237">
        <f t="shared" si="139"/>
        <v>-7271.1801748340004</v>
      </c>
      <c r="CL81" s="237">
        <f t="shared" si="139"/>
        <v>-7289.3581252710856</v>
      </c>
      <c r="CM81" s="237">
        <f t="shared" si="139"/>
        <v>-7307.5815205842609</v>
      </c>
      <c r="CN81" s="237">
        <f t="shared" si="139"/>
        <v>-7325.8504743857211</v>
      </c>
      <c r="CO81" s="237">
        <f t="shared" si="139"/>
        <v>-7344.1651005716849</v>
      </c>
      <c r="CP81" s="237">
        <f t="shared" si="139"/>
        <v>-7362.5255133231149</v>
      </c>
      <c r="CQ81" s="237">
        <f t="shared" si="139"/>
        <v>-7380.9318271064221</v>
      </c>
      <c r="CR81" s="237">
        <f t="shared" si="139"/>
        <v>-7399.3841566741876</v>
      </c>
      <c r="CS81" s="237">
        <f t="shared" si="139"/>
        <v>-7417.8826170658722</v>
      </c>
      <c r="CT81" s="237">
        <f t="shared" si="139"/>
        <v>-7436.4273236085373</v>
      </c>
      <c r="CU81" s="237">
        <f t="shared" si="139"/>
        <v>-7455.0183919175588</v>
      </c>
      <c r="CV81" s="237">
        <f t="shared" si="139"/>
        <v>-7473.6559378973516</v>
      </c>
      <c r="CW81" s="237">
        <f t="shared" si="139"/>
        <v>-7492.3400777420948</v>
      </c>
      <c r="CX81" s="237">
        <f t="shared" si="139"/>
        <v>-7511.0709279364492</v>
      </c>
      <c r="CY81" s="237">
        <f t="shared" ref="CY81:ED81" si="140">-IFERROR(INDEX($M23:$Q23,MATCH(YEAR(CY$55),$M$21:$Q$21,0)),$Q$23)*(SUM(CY$73,CY$79))</f>
        <v>-7529.8486052562912</v>
      </c>
      <c r="CZ81" s="237">
        <f t="shared" si="140"/>
        <v>-7548.6732267694306</v>
      </c>
      <c r="DA81" s="237">
        <f t="shared" si="140"/>
        <v>-7567.5449098363524</v>
      </c>
      <c r="DB81" s="237">
        <f t="shared" si="140"/>
        <v>-7586.463772110943</v>
      </c>
      <c r="DC81" s="237">
        <f t="shared" si="140"/>
        <v>-7605.4299315412209</v>
      </c>
      <c r="DD81" s="237">
        <f t="shared" si="140"/>
        <v>-7624.443506370073</v>
      </c>
      <c r="DE81" s="237">
        <f t="shared" si="140"/>
        <v>-7643.5046151359975</v>
      </c>
      <c r="DF81" s="237">
        <f t="shared" si="140"/>
        <v>-7662.6133766738385</v>
      </c>
      <c r="DG81" s="237">
        <f t="shared" si="140"/>
        <v>-7681.7699101155222</v>
      </c>
      <c r="DH81" s="237">
        <f t="shared" si="140"/>
        <v>-7700.9743348908087</v>
      </c>
      <c r="DI81" s="237">
        <f t="shared" si="140"/>
        <v>-7720.2267707280371</v>
      </c>
      <c r="DJ81" s="237">
        <f t="shared" si="140"/>
        <v>-7739.5273376548548</v>
      </c>
      <c r="DK81" s="237">
        <f t="shared" si="140"/>
        <v>-7758.8761559989935</v>
      </c>
      <c r="DL81" s="237">
        <f t="shared" si="140"/>
        <v>-7778.2733463889908</v>
      </c>
      <c r="DM81" s="237">
        <f t="shared" si="140"/>
        <v>-7797.7190297549605</v>
      </c>
      <c r="DN81" s="237">
        <f t="shared" si="140"/>
        <v>-7817.2133273293475</v>
      </c>
      <c r="DO81" s="237">
        <f t="shared" si="140"/>
        <v>-7836.7563606476706</v>
      </c>
      <c r="DP81" s="237">
        <f t="shared" si="140"/>
        <v>-7856.3482515492888</v>
      </c>
      <c r="DQ81" s="237">
        <f t="shared" si="140"/>
        <v>-7875.9891221781618</v>
      </c>
      <c r="DR81" s="237">
        <f t="shared" si="140"/>
        <v>-7895.6790949836068</v>
      </c>
      <c r="DS81" s="237">
        <f t="shared" si="140"/>
        <v>-7915.4182927210659</v>
      </c>
      <c r="DT81" s="237">
        <f t="shared" si="140"/>
        <v>-7935.2068384528684</v>
      </c>
      <c r="DU81" s="237">
        <f t="shared" si="140"/>
        <v>-7955.0448555489993</v>
      </c>
      <c r="DV81" s="237">
        <f t="shared" si="140"/>
        <v>-7974.9324676878723</v>
      </c>
      <c r="DW81" s="237">
        <f t="shared" si="140"/>
        <v>-7994.8697988570902</v>
      </c>
      <c r="DX81" s="237">
        <f t="shared" si="140"/>
        <v>-8014.8569733542336</v>
      </c>
      <c r="DY81" s="237">
        <f t="shared" si="140"/>
        <v>-8034.8941157876179</v>
      </c>
      <c r="DZ81" s="237">
        <f t="shared" si="140"/>
        <v>-8054.9813510770855</v>
      </c>
      <c r="EA81" s="237">
        <f t="shared" si="140"/>
        <v>-8075.1188044547762</v>
      </c>
      <c r="EB81" s="237">
        <f t="shared" si="140"/>
        <v>-8095.3066014659144</v>
      </c>
      <c r="EC81" s="237">
        <f t="shared" si="140"/>
        <v>-8115.5448679695801</v>
      </c>
      <c r="ED81" s="237">
        <f t="shared" si="140"/>
        <v>-8135.8337301395022</v>
      </c>
      <c r="EE81" s="237">
        <f t="shared" ref="EE81:FF81" si="141">-IFERROR(INDEX($M23:$Q23,MATCH(YEAR(EE$55),$M$21:$Q$21,0)),$Q$23)*(SUM(EE$73,EE$79))</f>
        <v>-8156.1733144648524</v>
      </c>
      <c r="EF81" s="237">
        <f t="shared" si="141"/>
        <v>-8176.5637477510145</v>
      </c>
      <c r="EG81" s="237">
        <f t="shared" si="141"/>
        <v>-8197.0051571203912</v>
      </c>
      <c r="EH81" s="237">
        <f t="shared" si="141"/>
        <v>-8217.497670013192</v>
      </c>
      <c r="EI81" s="237">
        <f t="shared" si="141"/>
        <v>-8238.0414141882247</v>
      </c>
      <c r="EJ81" s="237">
        <f t="shared" si="141"/>
        <v>-8258.636517723693</v>
      </c>
      <c r="EK81" s="237">
        <f t="shared" si="141"/>
        <v>-8279.2831090180025</v>
      </c>
      <c r="EL81" s="237">
        <f t="shared" si="141"/>
        <v>-8299.9813167905468</v>
      </c>
      <c r="EM81" s="237">
        <f t="shared" si="141"/>
        <v>-8320.7312700825223</v>
      </c>
      <c r="EN81" s="237">
        <f t="shared" si="141"/>
        <v>-8341.533098257727</v>
      </c>
      <c r="EO81" s="237">
        <f t="shared" si="141"/>
        <v>-8362.3869310033733</v>
      </c>
      <c r="EP81" s="237">
        <f t="shared" si="141"/>
        <v>-8383.2928983308793</v>
      </c>
      <c r="EQ81" s="237">
        <f t="shared" si="141"/>
        <v>-8404.2511305767075</v>
      </c>
      <c r="ER81" s="237">
        <f t="shared" si="141"/>
        <v>-8425.2617584031486</v>
      </c>
      <c r="ES81" s="237">
        <f t="shared" si="141"/>
        <v>-8446.3249127991567</v>
      </c>
      <c r="ET81" s="237">
        <f t="shared" si="141"/>
        <v>-8467.4407250811528</v>
      </c>
      <c r="EU81" s="237">
        <f t="shared" si="141"/>
        <v>-8488.6093268938548</v>
      </c>
      <c r="EV81" s="237">
        <f t="shared" si="141"/>
        <v>-8509.8308502110885</v>
      </c>
      <c r="EW81" s="237">
        <f t="shared" si="141"/>
        <v>-8531.1054273366171</v>
      </c>
      <c r="EX81" s="237">
        <f t="shared" si="141"/>
        <v>-8552.4331909049561</v>
      </c>
      <c r="EY81" s="237">
        <f t="shared" si="141"/>
        <v>-8573.8142738822189</v>
      </c>
      <c r="EZ81" s="237">
        <f t="shared" si="141"/>
        <v>-8595.2488095669232</v>
      </c>
      <c r="FA81" s="237">
        <f t="shared" si="141"/>
        <v>-8616.7369315908418</v>
      </c>
      <c r="FB81" s="237">
        <f t="shared" si="141"/>
        <v>-8638.2787739198175</v>
      </c>
      <c r="FC81" s="237">
        <f t="shared" si="141"/>
        <v>-8659.8744708546164</v>
      </c>
      <c r="FD81" s="237">
        <f t="shared" si="141"/>
        <v>-8681.5241570317521</v>
      </c>
      <c r="FE81" s="237">
        <f t="shared" si="141"/>
        <v>-8703.2279674243309</v>
      </c>
      <c r="FF81" s="237">
        <f t="shared" si="141"/>
        <v>-8724.986037342891</v>
      </c>
      <c r="FG81" s="322"/>
      <c r="FH81" s="237">
        <f t="shared" ref="FH81:FU85" si="142">SUMIF($F$54:$FF$54,FH$54,$F81:$FF81)</f>
        <v>-35772.705934251659</v>
      </c>
      <c r="FI81" s="237">
        <f t="shared" si="142"/>
        <v>-73173.428431026288</v>
      </c>
      <c r="FJ81" s="237">
        <f t="shared" si="142"/>
        <v>-75399.068277397964</v>
      </c>
      <c r="FK81" s="237">
        <f t="shared" si="142"/>
        <v>-77692.403089441868</v>
      </c>
      <c r="FL81" s="237">
        <f t="shared" si="142"/>
        <v>-80055.491874317129</v>
      </c>
      <c r="FM81" s="237">
        <f t="shared" si="142"/>
        <v>-82490.456265855915</v>
      </c>
      <c r="FN81" s="237">
        <f t="shared" si="142"/>
        <v>-84999.482429413692</v>
      </c>
      <c r="FO81" s="237">
        <f t="shared" si="142"/>
        <v>-87584.823024657104</v>
      </c>
      <c r="FP81" s="237">
        <f t="shared" si="142"/>
        <v>-90248.799228052172</v>
      </c>
      <c r="FQ81" s="237">
        <f t="shared" si="142"/>
        <v>-92993.802816868323</v>
      </c>
      <c r="FR81" s="237">
        <f t="shared" si="142"/>
        <v>-95822.2983165693</v>
      </c>
      <c r="FS81" s="237">
        <f t="shared" si="142"/>
        <v>-98736.82521351926</v>
      </c>
      <c r="FT81" s="237">
        <f t="shared" si="142"/>
        <v>-101740.00023499008</v>
      </c>
      <c r="FU81" s="237">
        <f t="shared" si="142"/>
        <v>-52024.62833816425</v>
      </c>
      <c r="FV81" s="322"/>
    </row>
    <row r="82" spans="3:178" x14ac:dyDescent="0.2">
      <c r="C82" s="39" t="s">
        <v>183</v>
      </c>
      <c r="D82" s="238">
        <f>M24</f>
        <v>2.5000000000000001E-3</v>
      </c>
      <c r="E82" s="231">
        <f t="shared" si="136"/>
        <v>-56436.710673726266</v>
      </c>
      <c r="F82" s="232">
        <v>0</v>
      </c>
      <c r="G82" s="237">
        <f t="shared" ref="G82:AL82" si="143">-IFERROR(INDEX($M24:$Q24,MATCH(YEAR(G$55),$M$21:$Q$21,0)),$Q$24)*(SUM(G$73,G$79))</f>
        <v>-296.24814843749999</v>
      </c>
      <c r="H82" s="237">
        <f t="shared" si="143"/>
        <v>-296.98876880859376</v>
      </c>
      <c r="I82" s="237">
        <f t="shared" si="143"/>
        <v>-297.73124073061524</v>
      </c>
      <c r="J82" s="237">
        <f t="shared" si="143"/>
        <v>-298.4755688324417</v>
      </c>
      <c r="K82" s="237">
        <f t="shared" si="143"/>
        <v>-299.22175775452286</v>
      </c>
      <c r="L82" s="237">
        <f t="shared" si="143"/>
        <v>-299.96981214890911</v>
      </c>
      <c r="M82" s="237">
        <f t="shared" si="143"/>
        <v>-300.71973667928137</v>
      </c>
      <c r="N82" s="237">
        <f t="shared" si="143"/>
        <v>-301.47153602097961</v>
      </c>
      <c r="O82" s="237">
        <f t="shared" si="143"/>
        <v>-302.22521486103204</v>
      </c>
      <c r="P82" s="237">
        <f t="shared" si="143"/>
        <v>-302.98077789818456</v>
      </c>
      <c r="Q82" s="237">
        <f t="shared" si="143"/>
        <v>-303.73822984293002</v>
      </c>
      <c r="R82" s="237">
        <f t="shared" si="143"/>
        <v>-304.49757541753735</v>
      </c>
      <c r="S82" s="237">
        <f t="shared" si="143"/>
        <v>-305.25881935608118</v>
      </c>
      <c r="T82" s="237">
        <f t="shared" si="143"/>
        <v>-306.02196640447136</v>
      </c>
      <c r="U82" s="237">
        <f t="shared" si="143"/>
        <v>-306.78702132048249</v>
      </c>
      <c r="V82" s="237">
        <f t="shared" si="143"/>
        <v>-307.55398887378374</v>
      </c>
      <c r="W82" s="237">
        <f t="shared" si="143"/>
        <v>-308.32287384596816</v>
      </c>
      <c r="X82" s="237">
        <f t="shared" si="143"/>
        <v>-309.09368103058307</v>
      </c>
      <c r="Y82" s="237">
        <f t="shared" si="143"/>
        <v>-309.8664152331595</v>
      </c>
      <c r="Z82" s="237">
        <f t="shared" si="143"/>
        <v>-310.6410812712424</v>
      </c>
      <c r="AA82" s="237">
        <f t="shared" si="143"/>
        <v>-311.41768397442053</v>
      </c>
      <c r="AB82" s="237">
        <f t="shared" si="143"/>
        <v>-312.19622818435658</v>
      </c>
      <c r="AC82" s="237">
        <f t="shared" si="143"/>
        <v>-312.9767187548174</v>
      </c>
      <c r="AD82" s="237">
        <f t="shared" si="143"/>
        <v>-313.75916055170444</v>
      </c>
      <c r="AE82" s="237">
        <f t="shared" si="143"/>
        <v>-314.54355845308373</v>
      </c>
      <c r="AF82" s="237">
        <f t="shared" si="143"/>
        <v>-315.32991734921643</v>
      </c>
      <c r="AG82" s="237">
        <f t="shared" si="143"/>
        <v>-316.11824214258939</v>
      </c>
      <c r="AH82" s="237">
        <f t="shared" si="143"/>
        <v>-316.9085377479459</v>
      </c>
      <c r="AI82" s="237">
        <f t="shared" si="143"/>
        <v>-317.70080909231575</v>
      </c>
      <c r="AJ82" s="237">
        <f t="shared" si="143"/>
        <v>-318.49506111504655</v>
      </c>
      <c r="AK82" s="237">
        <f t="shared" si="143"/>
        <v>-319.29129876783412</v>
      </c>
      <c r="AL82" s="237">
        <f t="shared" si="143"/>
        <v>-320.08952701475368</v>
      </c>
      <c r="AM82" s="237">
        <f t="shared" ref="AM82:BR82" si="144">-IFERROR(INDEX($M24:$Q24,MATCH(YEAR(AM$55),$M$21:$Q$21,0)),$Q$24)*(SUM(AM$73,AM$79))</f>
        <v>-320.88975083229059</v>
      </c>
      <c r="AN82" s="237">
        <f t="shared" si="144"/>
        <v>-321.69197520937126</v>
      </c>
      <c r="AO82" s="237">
        <f t="shared" si="144"/>
        <v>-322.49620514739468</v>
      </c>
      <c r="AP82" s="237">
        <f t="shared" si="144"/>
        <v>-323.30244566026317</v>
      </c>
      <c r="AQ82" s="237">
        <f t="shared" si="144"/>
        <v>-324.11070177441377</v>
      </c>
      <c r="AR82" s="237">
        <f t="shared" si="144"/>
        <v>-324.92097852884979</v>
      </c>
      <c r="AS82" s="237">
        <f t="shared" si="144"/>
        <v>-325.73328097517197</v>
      </c>
      <c r="AT82" s="237">
        <f t="shared" si="144"/>
        <v>-326.54761417760983</v>
      </c>
      <c r="AU82" s="237">
        <f t="shared" si="144"/>
        <v>-327.36398321305381</v>
      </c>
      <c r="AV82" s="237">
        <f t="shared" si="144"/>
        <v>-328.18239317108646</v>
      </c>
      <c r="AW82" s="237">
        <f t="shared" si="144"/>
        <v>-329.00284915401414</v>
      </c>
      <c r="AX82" s="237">
        <f t="shared" si="144"/>
        <v>-329.82535627689913</v>
      </c>
      <c r="AY82" s="237">
        <f t="shared" si="144"/>
        <v>-330.6499196675914</v>
      </c>
      <c r="AZ82" s="237">
        <f t="shared" si="144"/>
        <v>-331.4765444667604</v>
      </c>
      <c r="BA82" s="237">
        <f t="shared" si="144"/>
        <v>-332.30523582792733</v>
      </c>
      <c r="BB82" s="237">
        <f t="shared" si="144"/>
        <v>-333.13599891749715</v>
      </c>
      <c r="BC82" s="237">
        <f t="shared" si="144"/>
        <v>-333.96883891479087</v>
      </c>
      <c r="BD82" s="237">
        <f t="shared" si="144"/>
        <v>-334.80376101207776</v>
      </c>
      <c r="BE82" s="237">
        <f t="shared" si="144"/>
        <v>-335.64077041460797</v>
      </c>
      <c r="BF82" s="237">
        <f t="shared" si="144"/>
        <v>-336.47987234064436</v>
      </c>
      <c r="BG82" s="237">
        <f t="shared" si="144"/>
        <v>-337.32107202149604</v>
      </c>
      <c r="BH82" s="237">
        <f t="shared" si="144"/>
        <v>-338.16437470154978</v>
      </c>
      <c r="BI82" s="237">
        <f t="shared" si="144"/>
        <v>-339.00978563830364</v>
      </c>
      <c r="BJ82" s="237">
        <f t="shared" si="144"/>
        <v>-339.85731010239937</v>
      </c>
      <c r="BK82" s="237">
        <f t="shared" si="144"/>
        <v>-340.70695337765528</v>
      </c>
      <c r="BL82" s="237">
        <f t="shared" si="144"/>
        <v>-341.55872076109938</v>
      </c>
      <c r="BM82" s="237">
        <f t="shared" si="144"/>
        <v>-342.41261756300213</v>
      </c>
      <c r="BN82" s="237">
        <f t="shared" si="144"/>
        <v>-343.26864910690961</v>
      </c>
      <c r="BO82" s="237">
        <f t="shared" si="144"/>
        <v>-344.12682072967687</v>
      </c>
      <c r="BP82" s="237">
        <f t="shared" si="144"/>
        <v>-344.98713778150102</v>
      </c>
      <c r="BQ82" s="237">
        <f t="shared" si="144"/>
        <v>-345.84960562595472</v>
      </c>
      <c r="BR82" s="237">
        <f t="shared" si="144"/>
        <v>-346.71422964001965</v>
      </c>
      <c r="BS82" s="237">
        <f t="shared" ref="BS82:CX82" si="145">-IFERROR(INDEX($M24:$Q24,MATCH(YEAR(BS$55),$M$21:$Q$21,0)),$Q$24)*(SUM(BS$73,BS$79))</f>
        <v>-347.58101521411965</v>
      </c>
      <c r="BT82" s="237">
        <f t="shared" si="145"/>
        <v>-348.44996775215492</v>
      </c>
      <c r="BU82" s="237">
        <f t="shared" si="145"/>
        <v>-349.32109267153533</v>
      </c>
      <c r="BV82" s="237">
        <f t="shared" si="145"/>
        <v>-350.19439540321417</v>
      </c>
      <c r="BW82" s="237">
        <f t="shared" si="145"/>
        <v>-351.06988139172216</v>
      </c>
      <c r="BX82" s="237">
        <f t="shared" si="145"/>
        <v>-351.94755609520138</v>
      </c>
      <c r="BY82" s="237">
        <f t="shared" si="145"/>
        <v>-352.82742498543934</v>
      </c>
      <c r="BZ82" s="237">
        <f t="shared" si="145"/>
        <v>-353.70949354790292</v>
      </c>
      <c r="CA82" s="237">
        <f t="shared" si="145"/>
        <v>-354.59376728177261</v>
      </c>
      <c r="CB82" s="237">
        <f t="shared" si="145"/>
        <v>-355.48025169997709</v>
      </c>
      <c r="CC82" s="237">
        <f t="shared" si="145"/>
        <v>-356.36895232922694</v>
      </c>
      <c r="CD82" s="237">
        <f t="shared" si="145"/>
        <v>-357.25987471005004</v>
      </c>
      <c r="CE82" s="237">
        <f t="shared" si="145"/>
        <v>-358.15302439682523</v>
      </c>
      <c r="CF82" s="237">
        <f t="shared" si="145"/>
        <v>-359.04840695781724</v>
      </c>
      <c r="CG82" s="237">
        <f t="shared" si="145"/>
        <v>-359.94602797521168</v>
      </c>
      <c r="CH82" s="237">
        <f t="shared" si="145"/>
        <v>-360.84589304514969</v>
      </c>
      <c r="CI82" s="237">
        <f t="shared" si="145"/>
        <v>-361.74800777776261</v>
      </c>
      <c r="CJ82" s="237">
        <f t="shared" si="145"/>
        <v>-362.65237779720695</v>
      </c>
      <c r="CK82" s="237">
        <f t="shared" si="145"/>
        <v>-363.55900874170004</v>
      </c>
      <c r="CL82" s="237">
        <f t="shared" si="145"/>
        <v>-364.46790626355426</v>
      </c>
      <c r="CM82" s="237">
        <f t="shared" si="145"/>
        <v>-365.37907602921302</v>
      </c>
      <c r="CN82" s="237">
        <f t="shared" si="145"/>
        <v>-366.29252371928607</v>
      </c>
      <c r="CO82" s="237">
        <f t="shared" si="145"/>
        <v>-367.20825502858423</v>
      </c>
      <c r="CP82" s="237">
        <f t="shared" si="145"/>
        <v>-368.12627566615572</v>
      </c>
      <c r="CQ82" s="237">
        <f t="shared" si="145"/>
        <v>-369.04659135532108</v>
      </c>
      <c r="CR82" s="237">
        <f t="shared" si="145"/>
        <v>-369.96920783370939</v>
      </c>
      <c r="CS82" s="237">
        <f t="shared" si="145"/>
        <v>-370.89413085329363</v>
      </c>
      <c r="CT82" s="237">
        <f t="shared" si="145"/>
        <v>-371.82136618042688</v>
      </c>
      <c r="CU82" s="237">
        <f t="shared" si="145"/>
        <v>-372.75091959587792</v>
      </c>
      <c r="CV82" s="237">
        <f t="shared" si="145"/>
        <v>-373.68279689486758</v>
      </c>
      <c r="CW82" s="237">
        <f t="shared" si="145"/>
        <v>-374.61700388710472</v>
      </c>
      <c r="CX82" s="237">
        <f t="shared" si="145"/>
        <v>-375.55354639682241</v>
      </c>
      <c r="CY82" s="237">
        <f t="shared" ref="CY82:ED82" si="146">-IFERROR(INDEX($M24:$Q24,MATCH(YEAR(CY$55),$M$21:$Q$21,0)),$Q$24)*(SUM(CY$73,CY$79))</f>
        <v>-376.49243026281454</v>
      </c>
      <c r="CZ82" s="237">
        <f t="shared" si="146"/>
        <v>-377.4336613384715</v>
      </c>
      <c r="DA82" s="237">
        <f t="shared" si="146"/>
        <v>-378.37724549181758</v>
      </c>
      <c r="DB82" s="237">
        <f t="shared" si="146"/>
        <v>-379.3231886055471</v>
      </c>
      <c r="DC82" s="237">
        <f t="shared" si="146"/>
        <v>-380.27149657706104</v>
      </c>
      <c r="DD82" s="237">
        <f t="shared" si="146"/>
        <v>-381.22217531850367</v>
      </c>
      <c r="DE82" s="237">
        <f t="shared" si="146"/>
        <v>-382.17523075679986</v>
      </c>
      <c r="DF82" s="237">
        <f t="shared" si="146"/>
        <v>-383.13066883369191</v>
      </c>
      <c r="DG82" s="237">
        <f t="shared" si="146"/>
        <v>-384.08849550577611</v>
      </c>
      <c r="DH82" s="237">
        <f t="shared" si="146"/>
        <v>-385.04871674454046</v>
      </c>
      <c r="DI82" s="237">
        <f t="shared" si="146"/>
        <v>-386.01133853640181</v>
      </c>
      <c r="DJ82" s="237">
        <f t="shared" si="146"/>
        <v>-386.97636688274275</v>
      </c>
      <c r="DK82" s="237">
        <f t="shared" si="146"/>
        <v>-387.94380779994964</v>
      </c>
      <c r="DL82" s="237">
        <f t="shared" si="146"/>
        <v>-388.91366731944953</v>
      </c>
      <c r="DM82" s="237">
        <f t="shared" si="146"/>
        <v>-389.88595148774806</v>
      </c>
      <c r="DN82" s="237">
        <f t="shared" si="146"/>
        <v>-390.86066636646734</v>
      </c>
      <c r="DO82" s="237">
        <f t="shared" si="146"/>
        <v>-391.8378180323835</v>
      </c>
      <c r="DP82" s="237">
        <f t="shared" si="146"/>
        <v>-392.81741257746444</v>
      </c>
      <c r="DQ82" s="237">
        <f t="shared" si="146"/>
        <v>-393.79945610890809</v>
      </c>
      <c r="DR82" s="237">
        <f t="shared" si="146"/>
        <v>-394.78395474918034</v>
      </c>
      <c r="DS82" s="237">
        <f t="shared" si="146"/>
        <v>-395.77091463605331</v>
      </c>
      <c r="DT82" s="237">
        <f t="shared" si="146"/>
        <v>-396.76034192264342</v>
      </c>
      <c r="DU82" s="237">
        <f t="shared" si="146"/>
        <v>-397.75224277744996</v>
      </c>
      <c r="DV82" s="237">
        <f t="shared" si="146"/>
        <v>-398.74662338439362</v>
      </c>
      <c r="DW82" s="237">
        <f t="shared" si="146"/>
        <v>-399.74348994285452</v>
      </c>
      <c r="DX82" s="237">
        <f t="shared" si="146"/>
        <v>-400.74284866771166</v>
      </c>
      <c r="DY82" s="237">
        <f t="shared" si="146"/>
        <v>-401.74470578938093</v>
      </c>
      <c r="DZ82" s="237">
        <f t="shared" si="146"/>
        <v>-402.74906755385427</v>
      </c>
      <c r="EA82" s="237">
        <f t="shared" si="146"/>
        <v>-403.75594022273879</v>
      </c>
      <c r="EB82" s="237">
        <f t="shared" si="146"/>
        <v>-404.76533007329573</v>
      </c>
      <c r="EC82" s="237">
        <f t="shared" si="146"/>
        <v>-405.77724339847896</v>
      </c>
      <c r="ED82" s="237">
        <f t="shared" si="146"/>
        <v>-406.79168650697511</v>
      </c>
      <c r="EE82" s="237">
        <f t="shared" ref="EE82:FF82" si="147">-IFERROR(INDEX($M24:$Q24,MATCH(YEAR(EE$55),$M$21:$Q$21,0)),$Q$24)*(SUM(EE$73,EE$79))</f>
        <v>-407.8086657232426</v>
      </c>
      <c r="EF82" s="237">
        <f t="shared" si="147"/>
        <v>-408.82818738755071</v>
      </c>
      <c r="EG82" s="237">
        <f t="shared" si="147"/>
        <v>-409.85025785601954</v>
      </c>
      <c r="EH82" s="237">
        <f t="shared" si="147"/>
        <v>-410.87488350065956</v>
      </c>
      <c r="EI82" s="237">
        <f t="shared" si="147"/>
        <v>-411.90207070941119</v>
      </c>
      <c r="EJ82" s="237">
        <f t="shared" si="147"/>
        <v>-412.9318258861847</v>
      </c>
      <c r="EK82" s="237">
        <f t="shared" si="147"/>
        <v>-413.96415545090008</v>
      </c>
      <c r="EL82" s="237">
        <f t="shared" si="147"/>
        <v>-414.9990658395273</v>
      </c>
      <c r="EM82" s="237">
        <f t="shared" si="147"/>
        <v>-416.03656350412609</v>
      </c>
      <c r="EN82" s="237">
        <f t="shared" si="147"/>
        <v>-417.0766549128864</v>
      </c>
      <c r="EO82" s="237">
        <f t="shared" si="147"/>
        <v>-418.11934655016864</v>
      </c>
      <c r="EP82" s="237">
        <f t="shared" si="147"/>
        <v>-419.16464491654398</v>
      </c>
      <c r="EQ82" s="237">
        <f t="shared" si="147"/>
        <v>-420.21255652883536</v>
      </c>
      <c r="ER82" s="237">
        <f t="shared" si="147"/>
        <v>-421.26308792015743</v>
      </c>
      <c r="ES82" s="237">
        <f t="shared" si="147"/>
        <v>-422.3162456399578</v>
      </c>
      <c r="ET82" s="237">
        <f t="shared" si="147"/>
        <v>-423.3720362540576</v>
      </c>
      <c r="EU82" s="237">
        <f t="shared" si="147"/>
        <v>-424.43046634469277</v>
      </c>
      <c r="EV82" s="237">
        <f t="shared" si="147"/>
        <v>-425.49154251055444</v>
      </c>
      <c r="EW82" s="237">
        <f t="shared" si="147"/>
        <v>-426.55527136683088</v>
      </c>
      <c r="EX82" s="237">
        <f t="shared" si="147"/>
        <v>-427.62165954524784</v>
      </c>
      <c r="EY82" s="237">
        <f t="shared" si="147"/>
        <v>-428.69071369411091</v>
      </c>
      <c r="EZ82" s="237">
        <f t="shared" si="147"/>
        <v>-429.76244047834621</v>
      </c>
      <c r="FA82" s="237">
        <f t="shared" si="147"/>
        <v>-430.83684657954205</v>
      </c>
      <c r="FB82" s="237">
        <f t="shared" si="147"/>
        <v>-431.91393869599091</v>
      </c>
      <c r="FC82" s="237">
        <f t="shared" si="147"/>
        <v>-432.99372354273083</v>
      </c>
      <c r="FD82" s="237">
        <f t="shared" si="147"/>
        <v>-434.07620785158764</v>
      </c>
      <c r="FE82" s="237">
        <f t="shared" si="147"/>
        <v>-435.16139837121648</v>
      </c>
      <c r="FF82" s="237">
        <f t="shared" si="147"/>
        <v>-436.24930186714454</v>
      </c>
      <c r="FG82" s="322"/>
      <c r="FH82" s="237">
        <f t="shared" si="142"/>
        <v>-1788.6352967125827</v>
      </c>
      <c r="FI82" s="237">
        <f t="shared" si="142"/>
        <v>-3658.6714215513148</v>
      </c>
      <c r="FJ82" s="237">
        <f t="shared" si="142"/>
        <v>-3769.9534138698987</v>
      </c>
      <c r="FK82" s="237">
        <f t="shared" si="142"/>
        <v>-3884.6201544720934</v>
      </c>
      <c r="FL82" s="237">
        <f t="shared" si="142"/>
        <v>-4002.7745937158566</v>
      </c>
      <c r="FM82" s="237">
        <f t="shared" si="142"/>
        <v>-4124.5228132927969</v>
      </c>
      <c r="FN82" s="237">
        <f t="shared" si="142"/>
        <v>-4249.9741214706846</v>
      </c>
      <c r="FO82" s="237">
        <f t="shared" si="142"/>
        <v>-4379.2411512328554</v>
      </c>
      <c r="FP82" s="237">
        <f t="shared" si="142"/>
        <v>-4512.4399614026088</v>
      </c>
      <c r="FQ82" s="237">
        <f t="shared" si="142"/>
        <v>-4649.6901408434151</v>
      </c>
      <c r="FR82" s="237">
        <f t="shared" si="142"/>
        <v>-4791.1149158284643</v>
      </c>
      <c r="FS82" s="237">
        <f t="shared" si="142"/>
        <v>-4936.841260675963</v>
      </c>
      <c r="FT82" s="237">
        <f t="shared" si="142"/>
        <v>-5087.0000117495038</v>
      </c>
      <c r="FU82" s="237">
        <f t="shared" si="142"/>
        <v>-2601.2314169082124</v>
      </c>
      <c r="FV82" s="322"/>
    </row>
    <row r="83" spans="3:178" x14ac:dyDescent="0.2">
      <c r="C83" s="39" t="s">
        <v>182</v>
      </c>
      <c r="D83" s="238">
        <f>M25</f>
        <v>2.5000000000000001E-3</v>
      </c>
      <c r="E83" s="231">
        <f t="shared" si="136"/>
        <v>-56436.710673726266</v>
      </c>
      <c r="F83" s="232">
        <v>0</v>
      </c>
      <c r="G83" s="237">
        <f t="shared" ref="G83:AL83" si="148">-IFERROR(INDEX($M25:$Q25,MATCH(YEAR(G$55),$M$21:$Q$21,0)),$Q$25)*(SUM(G$73,G$79))</f>
        <v>-296.24814843749999</v>
      </c>
      <c r="H83" s="237">
        <f t="shared" si="148"/>
        <v>-296.98876880859376</v>
      </c>
      <c r="I83" s="237">
        <f t="shared" si="148"/>
        <v>-297.73124073061524</v>
      </c>
      <c r="J83" s="237">
        <f t="shared" si="148"/>
        <v>-298.4755688324417</v>
      </c>
      <c r="K83" s="237">
        <f t="shared" si="148"/>
        <v>-299.22175775452286</v>
      </c>
      <c r="L83" s="237">
        <f t="shared" si="148"/>
        <v>-299.96981214890911</v>
      </c>
      <c r="M83" s="237">
        <f t="shared" si="148"/>
        <v>-300.71973667928137</v>
      </c>
      <c r="N83" s="237">
        <f t="shared" si="148"/>
        <v>-301.47153602097961</v>
      </c>
      <c r="O83" s="237">
        <f t="shared" si="148"/>
        <v>-302.22521486103204</v>
      </c>
      <c r="P83" s="237">
        <f t="shared" si="148"/>
        <v>-302.98077789818456</v>
      </c>
      <c r="Q83" s="237">
        <f t="shared" si="148"/>
        <v>-303.73822984293002</v>
      </c>
      <c r="R83" s="237">
        <f t="shared" si="148"/>
        <v>-304.49757541753735</v>
      </c>
      <c r="S83" s="237">
        <f t="shared" si="148"/>
        <v>-305.25881935608118</v>
      </c>
      <c r="T83" s="237">
        <f t="shared" si="148"/>
        <v>-306.02196640447136</v>
      </c>
      <c r="U83" s="237">
        <f t="shared" si="148"/>
        <v>-306.78702132048249</v>
      </c>
      <c r="V83" s="237">
        <f t="shared" si="148"/>
        <v>-307.55398887378374</v>
      </c>
      <c r="W83" s="237">
        <f t="shared" si="148"/>
        <v>-308.32287384596816</v>
      </c>
      <c r="X83" s="237">
        <f t="shared" si="148"/>
        <v>-309.09368103058307</v>
      </c>
      <c r="Y83" s="237">
        <f t="shared" si="148"/>
        <v>-309.8664152331595</v>
      </c>
      <c r="Z83" s="237">
        <f t="shared" si="148"/>
        <v>-310.6410812712424</v>
      </c>
      <c r="AA83" s="237">
        <f t="shared" si="148"/>
        <v>-311.41768397442053</v>
      </c>
      <c r="AB83" s="237">
        <f t="shared" si="148"/>
        <v>-312.19622818435658</v>
      </c>
      <c r="AC83" s="237">
        <f t="shared" si="148"/>
        <v>-312.9767187548174</v>
      </c>
      <c r="AD83" s="237">
        <f t="shared" si="148"/>
        <v>-313.75916055170444</v>
      </c>
      <c r="AE83" s="237">
        <f t="shared" si="148"/>
        <v>-314.54355845308373</v>
      </c>
      <c r="AF83" s="237">
        <f t="shared" si="148"/>
        <v>-315.32991734921643</v>
      </c>
      <c r="AG83" s="237">
        <f t="shared" si="148"/>
        <v>-316.11824214258939</v>
      </c>
      <c r="AH83" s="237">
        <f t="shared" si="148"/>
        <v>-316.9085377479459</v>
      </c>
      <c r="AI83" s="237">
        <f t="shared" si="148"/>
        <v>-317.70080909231575</v>
      </c>
      <c r="AJ83" s="237">
        <f t="shared" si="148"/>
        <v>-318.49506111504655</v>
      </c>
      <c r="AK83" s="237">
        <f t="shared" si="148"/>
        <v>-319.29129876783412</v>
      </c>
      <c r="AL83" s="237">
        <f t="shared" si="148"/>
        <v>-320.08952701475368</v>
      </c>
      <c r="AM83" s="237">
        <f t="shared" ref="AM83:BR83" si="149">-IFERROR(INDEX($M25:$Q25,MATCH(YEAR(AM$55),$M$21:$Q$21,0)),$Q$25)*(SUM(AM$73,AM$79))</f>
        <v>-320.88975083229059</v>
      </c>
      <c r="AN83" s="237">
        <f t="shared" si="149"/>
        <v>-321.69197520937126</v>
      </c>
      <c r="AO83" s="237">
        <f t="shared" si="149"/>
        <v>-322.49620514739468</v>
      </c>
      <c r="AP83" s="237">
        <f t="shared" si="149"/>
        <v>-323.30244566026317</v>
      </c>
      <c r="AQ83" s="237">
        <f t="shared" si="149"/>
        <v>-324.11070177441377</v>
      </c>
      <c r="AR83" s="237">
        <f t="shared" si="149"/>
        <v>-324.92097852884979</v>
      </c>
      <c r="AS83" s="237">
        <f t="shared" si="149"/>
        <v>-325.73328097517197</v>
      </c>
      <c r="AT83" s="237">
        <f t="shared" si="149"/>
        <v>-326.54761417760983</v>
      </c>
      <c r="AU83" s="237">
        <f t="shared" si="149"/>
        <v>-327.36398321305381</v>
      </c>
      <c r="AV83" s="237">
        <f t="shared" si="149"/>
        <v>-328.18239317108646</v>
      </c>
      <c r="AW83" s="237">
        <f t="shared" si="149"/>
        <v>-329.00284915401414</v>
      </c>
      <c r="AX83" s="237">
        <f t="shared" si="149"/>
        <v>-329.82535627689913</v>
      </c>
      <c r="AY83" s="237">
        <f t="shared" si="149"/>
        <v>-330.6499196675914</v>
      </c>
      <c r="AZ83" s="237">
        <f t="shared" si="149"/>
        <v>-331.4765444667604</v>
      </c>
      <c r="BA83" s="237">
        <f t="shared" si="149"/>
        <v>-332.30523582792733</v>
      </c>
      <c r="BB83" s="237">
        <f t="shared" si="149"/>
        <v>-333.13599891749715</v>
      </c>
      <c r="BC83" s="237">
        <f t="shared" si="149"/>
        <v>-333.96883891479087</v>
      </c>
      <c r="BD83" s="237">
        <f t="shared" si="149"/>
        <v>-334.80376101207776</v>
      </c>
      <c r="BE83" s="237">
        <f t="shared" si="149"/>
        <v>-335.64077041460797</v>
      </c>
      <c r="BF83" s="237">
        <f t="shared" si="149"/>
        <v>-336.47987234064436</v>
      </c>
      <c r="BG83" s="237">
        <f t="shared" si="149"/>
        <v>-337.32107202149604</v>
      </c>
      <c r="BH83" s="237">
        <f t="shared" si="149"/>
        <v>-338.16437470154978</v>
      </c>
      <c r="BI83" s="237">
        <f t="shared" si="149"/>
        <v>-339.00978563830364</v>
      </c>
      <c r="BJ83" s="237">
        <f t="shared" si="149"/>
        <v>-339.85731010239937</v>
      </c>
      <c r="BK83" s="237">
        <f t="shared" si="149"/>
        <v>-340.70695337765528</v>
      </c>
      <c r="BL83" s="237">
        <f t="shared" si="149"/>
        <v>-341.55872076109938</v>
      </c>
      <c r="BM83" s="237">
        <f t="shared" si="149"/>
        <v>-342.41261756300213</v>
      </c>
      <c r="BN83" s="237">
        <f t="shared" si="149"/>
        <v>-343.26864910690961</v>
      </c>
      <c r="BO83" s="237">
        <f t="shared" si="149"/>
        <v>-344.12682072967687</v>
      </c>
      <c r="BP83" s="237">
        <f t="shared" si="149"/>
        <v>-344.98713778150102</v>
      </c>
      <c r="BQ83" s="237">
        <f t="shared" si="149"/>
        <v>-345.84960562595472</v>
      </c>
      <c r="BR83" s="237">
        <f t="shared" si="149"/>
        <v>-346.71422964001965</v>
      </c>
      <c r="BS83" s="237">
        <f t="shared" ref="BS83:CX83" si="150">-IFERROR(INDEX($M25:$Q25,MATCH(YEAR(BS$55),$M$21:$Q$21,0)),$Q$25)*(SUM(BS$73,BS$79))</f>
        <v>-347.58101521411965</v>
      </c>
      <c r="BT83" s="237">
        <f t="shared" si="150"/>
        <v>-348.44996775215492</v>
      </c>
      <c r="BU83" s="237">
        <f t="shared" si="150"/>
        <v>-349.32109267153533</v>
      </c>
      <c r="BV83" s="237">
        <f t="shared" si="150"/>
        <v>-350.19439540321417</v>
      </c>
      <c r="BW83" s="237">
        <f t="shared" si="150"/>
        <v>-351.06988139172216</v>
      </c>
      <c r="BX83" s="237">
        <f t="shared" si="150"/>
        <v>-351.94755609520138</v>
      </c>
      <c r="BY83" s="237">
        <f t="shared" si="150"/>
        <v>-352.82742498543934</v>
      </c>
      <c r="BZ83" s="237">
        <f t="shared" si="150"/>
        <v>-353.70949354790292</v>
      </c>
      <c r="CA83" s="237">
        <f t="shared" si="150"/>
        <v>-354.59376728177261</v>
      </c>
      <c r="CB83" s="237">
        <f t="shared" si="150"/>
        <v>-355.48025169997709</v>
      </c>
      <c r="CC83" s="237">
        <f t="shared" si="150"/>
        <v>-356.36895232922694</v>
      </c>
      <c r="CD83" s="237">
        <f t="shared" si="150"/>
        <v>-357.25987471005004</v>
      </c>
      <c r="CE83" s="237">
        <f t="shared" si="150"/>
        <v>-358.15302439682523</v>
      </c>
      <c r="CF83" s="237">
        <f t="shared" si="150"/>
        <v>-359.04840695781724</v>
      </c>
      <c r="CG83" s="237">
        <f t="shared" si="150"/>
        <v>-359.94602797521168</v>
      </c>
      <c r="CH83" s="237">
        <f t="shared" si="150"/>
        <v>-360.84589304514969</v>
      </c>
      <c r="CI83" s="237">
        <f t="shared" si="150"/>
        <v>-361.74800777776261</v>
      </c>
      <c r="CJ83" s="237">
        <f t="shared" si="150"/>
        <v>-362.65237779720695</v>
      </c>
      <c r="CK83" s="237">
        <f t="shared" si="150"/>
        <v>-363.55900874170004</v>
      </c>
      <c r="CL83" s="237">
        <f t="shared" si="150"/>
        <v>-364.46790626355426</v>
      </c>
      <c r="CM83" s="237">
        <f t="shared" si="150"/>
        <v>-365.37907602921302</v>
      </c>
      <c r="CN83" s="237">
        <f t="shared" si="150"/>
        <v>-366.29252371928607</v>
      </c>
      <c r="CO83" s="237">
        <f t="shared" si="150"/>
        <v>-367.20825502858423</v>
      </c>
      <c r="CP83" s="237">
        <f t="shared" si="150"/>
        <v>-368.12627566615572</v>
      </c>
      <c r="CQ83" s="237">
        <f t="shared" si="150"/>
        <v>-369.04659135532108</v>
      </c>
      <c r="CR83" s="237">
        <f t="shared" si="150"/>
        <v>-369.96920783370939</v>
      </c>
      <c r="CS83" s="237">
        <f t="shared" si="150"/>
        <v>-370.89413085329363</v>
      </c>
      <c r="CT83" s="237">
        <f t="shared" si="150"/>
        <v>-371.82136618042688</v>
      </c>
      <c r="CU83" s="237">
        <f t="shared" si="150"/>
        <v>-372.75091959587792</v>
      </c>
      <c r="CV83" s="237">
        <f t="shared" si="150"/>
        <v>-373.68279689486758</v>
      </c>
      <c r="CW83" s="237">
        <f t="shared" si="150"/>
        <v>-374.61700388710472</v>
      </c>
      <c r="CX83" s="237">
        <f t="shared" si="150"/>
        <v>-375.55354639682241</v>
      </c>
      <c r="CY83" s="237">
        <f t="shared" ref="CY83:ED83" si="151">-IFERROR(INDEX($M25:$Q25,MATCH(YEAR(CY$55),$M$21:$Q$21,0)),$Q$25)*(SUM(CY$73,CY$79))</f>
        <v>-376.49243026281454</v>
      </c>
      <c r="CZ83" s="237">
        <f t="shared" si="151"/>
        <v>-377.4336613384715</v>
      </c>
      <c r="DA83" s="237">
        <f t="shared" si="151"/>
        <v>-378.37724549181758</v>
      </c>
      <c r="DB83" s="237">
        <f t="shared" si="151"/>
        <v>-379.3231886055471</v>
      </c>
      <c r="DC83" s="237">
        <f t="shared" si="151"/>
        <v>-380.27149657706104</v>
      </c>
      <c r="DD83" s="237">
        <f t="shared" si="151"/>
        <v>-381.22217531850367</v>
      </c>
      <c r="DE83" s="237">
        <f t="shared" si="151"/>
        <v>-382.17523075679986</v>
      </c>
      <c r="DF83" s="237">
        <f t="shared" si="151"/>
        <v>-383.13066883369191</v>
      </c>
      <c r="DG83" s="237">
        <f t="shared" si="151"/>
        <v>-384.08849550577611</v>
      </c>
      <c r="DH83" s="237">
        <f t="shared" si="151"/>
        <v>-385.04871674454046</v>
      </c>
      <c r="DI83" s="237">
        <f t="shared" si="151"/>
        <v>-386.01133853640181</v>
      </c>
      <c r="DJ83" s="237">
        <f t="shared" si="151"/>
        <v>-386.97636688274275</v>
      </c>
      <c r="DK83" s="237">
        <f t="shared" si="151"/>
        <v>-387.94380779994964</v>
      </c>
      <c r="DL83" s="237">
        <f t="shared" si="151"/>
        <v>-388.91366731944953</v>
      </c>
      <c r="DM83" s="237">
        <f t="shared" si="151"/>
        <v>-389.88595148774806</v>
      </c>
      <c r="DN83" s="237">
        <f t="shared" si="151"/>
        <v>-390.86066636646734</v>
      </c>
      <c r="DO83" s="237">
        <f t="shared" si="151"/>
        <v>-391.8378180323835</v>
      </c>
      <c r="DP83" s="237">
        <f t="shared" si="151"/>
        <v>-392.81741257746444</v>
      </c>
      <c r="DQ83" s="237">
        <f t="shared" si="151"/>
        <v>-393.79945610890809</v>
      </c>
      <c r="DR83" s="237">
        <f t="shared" si="151"/>
        <v>-394.78395474918034</v>
      </c>
      <c r="DS83" s="237">
        <f t="shared" si="151"/>
        <v>-395.77091463605331</v>
      </c>
      <c r="DT83" s="237">
        <f t="shared" si="151"/>
        <v>-396.76034192264342</v>
      </c>
      <c r="DU83" s="237">
        <f t="shared" si="151"/>
        <v>-397.75224277744996</v>
      </c>
      <c r="DV83" s="237">
        <f t="shared" si="151"/>
        <v>-398.74662338439362</v>
      </c>
      <c r="DW83" s="237">
        <f t="shared" si="151"/>
        <v>-399.74348994285452</v>
      </c>
      <c r="DX83" s="237">
        <f t="shared" si="151"/>
        <v>-400.74284866771166</v>
      </c>
      <c r="DY83" s="237">
        <f t="shared" si="151"/>
        <v>-401.74470578938093</v>
      </c>
      <c r="DZ83" s="237">
        <f t="shared" si="151"/>
        <v>-402.74906755385427</v>
      </c>
      <c r="EA83" s="237">
        <f t="shared" si="151"/>
        <v>-403.75594022273879</v>
      </c>
      <c r="EB83" s="237">
        <f t="shared" si="151"/>
        <v>-404.76533007329573</v>
      </c>
      <c r="EC83" s="237">
        <f t="shared" si="151"/>
        <v>-405.77724339847896</v>
      </c>
      <c r="ED83" s="237">
        <f t="shared" si="151"/>
        <v>-406.79168650697511</v>
      </c>
      <c r="EE83" s="237">
        <f t="shared" ref="EE83:FF83" si="152">-IFERROR(INDEX($M25:$Q25,MATCH(YEAR(EE$55),$M$21:$Q$21,0)),$Q$25)*(SUM(EE$73,EE$79))</f>
        <v>-407.8086657232426</v>
      </c>
      <c r="EF83" s="237">
        <f t="shared" si="152"/>
        <v>-408.82818738755071</v>
      </c>
      <c r="EG83" s="237">
        <f t="shared" si="152"/>
        <v>-409.85025785601954</v>
      </c>
      <c r="EH83" s="237">
        <f t="shared" si="152"/>
        <v>-410.87488350065956</v>
      </c>
      <c r="EI83" s="237">
        <f t="shared" si="152"/>
        <v>-411.90207070941119</v>
      </c>
      <c r="EJ83" s="237">
        <f t="shared" si="152"/>
        <v>-412.9318258861847</v>
      </c>
      <c r="EK83" s="237">
        <f t="shared" si="152"/>
        <v>-413.96415545090008</v>
      </c>
      <c r="EL83" s="237">
        <f t="shared" si="152"/>
        <v>-414.9990658395273</v>
      </c>
      <c r="EM83" s="237">
        <f t="shared" si="152"/>
        <v>-416.03656350412609</v>
      </c>
      <c r="EN83" s="237">
        <f t="shared" si="152"/>
        <v>-417.0766549128864</v>
      </c>
      <c r="EO83" s="237">
        <f t="shared" si="152"/>
        <v>-418.11934655016864</v>
      </c>
      <c r="EP83" s="237">
        <f t="shared" si="152"/>
        <v>-419.16464491654398</v>
      </c>
      <c r="EQ83" s="237">
        <f t="shared" si="152"/>
        <v>-420.21255652883536</v>
      </c>
      <c r="ER83" s="237">
        <f t="shared" si="152"/>
        <v>-421.26308792015743</v>
      </c>
      <c r="ES83" s="237">
        <f t="shared" si="152"/>
        <v>-422.3162456399578</v>
      </c>
      <c r="ET83" s="237">
        <f t="shared" si="152"/>
        <v>-423.3720362540576</v>
      </c>
      <c r="EU83" s="237">
        <f t="shared" si="152"/>
        <v>-424.43046634469277</v>
      </c>
      <c r="EV83" s="237">
        <f t="shared" si="152"/>
        <v>-425.49154251055444</v>
      </c>
      <c r="EW83" s="237">
        <f t="shared" si="152"/>
        <v>-426.55527136683088</v>
      </c>
      <c r="EX83" s="237">
        <f t="shared" si="152"/>
        <v>-427.62165954524784</v>
      </c>
      <c r="EY83" s="237">
        <f t="shared" si="152"/>
        <v>-428.69071369411091</v>
      </c>
      <c r="EZ83" s="237">
        <f t="shared" si="152"/>
        <v>-429.76244047834621</v>
      </c>
      <c r="FA83" s="237">
        <f t="shared" si="152"/>
        <v>-430.83684657954205</v>
      </c>
      <c r="FB83" s="237">
        <f t="shared" si="152"/>
        <v>-431.91393869599091</v>
      </c>
      <c r="FC83" s="237">
        <f t="shared" si="152"/>
        <v>-432.99372354273083</v>
      </c>
      <c r="FD83" s="237">
        <f t="shared" si="152"/>
        <v>-434.07620785158764</v>
      </c>
      <c r="FE83" s="237">
        <f t="shared" si="152"/>
        <v>-435.16139837121648</v>
      </c>
      <c r="FF83" s="237">
        <f t="shared" si="152"/>
        <v>-436.24930186714454</v>
      </c>
      <c r="FG83" s="322"/>
      <c r="FH83" s="237">
        <f t="shared" si="142"/>
        <v>-1788.6352967125827</v>
      </c>
      <c r="FI83" s="237">
        <f t="shared" si="142"/>
        <v>-3658.6714215513148</v>
      </c>
      <c r="FJ83" s="237">
        <f t="shared" si="142"/>
        <v>-3769.9534138698987</v>
      </c>
      <c r="FK83" s="237">
        <f t="shared" si="142"/>
        <v>-3884.6201544720934</v>
      </c>
      <c r="FL83" s="237">
        <f t="shared" si="142"/>
        <v>-4002.7745937158566</v>
      </c>
      <c r="FM83" s="237">
        <f t="shared" si="142"/>
        <v>-4124.5228132927969</v>
      </c>
      <c r="FN83" s="237">
        <f t="shared" si="142"/>
        <v>-4249.9741214706846</v>
      </c>
      <c r="FO83" s="237">
        <f t="shared" si="142"/>
        <v>-4379.2411512328554</v>
      </c>
      <c r="FP83" s="237">
        <f t="shared" si="142"/>
        <v>-4512.4399614026088</v>
      </c>
      <c r="FQ83" s="237">
        <f t="shared" si="142"/>
        <v>-4649.6901408434151</v>
      </c>
      <c r="FR83" s="237">
        <f t="shared" si="142"/>
        <v>-4791.1149158284643</v>
      </c>
      <c r="FS83" s="237">
        <f t="shared" si="142"/>
        <v>-4936.841260675963</v>
      </c>
      <c r="FT83" s="237">
        <f t="shared" si="142"/>
        <v>-5087.0000117495038</v>
      </c>
      <c r="FU83" s="237">
        <f t="shared" si="142"/>
        <v>-2601.2314169082124</v>
      </c>
      <c r="FV83" s="322"/>
    </row>
    <row r="84" spans="3:178" x14ac:dyDescent="0.2">
      <c r="C84" s="39" t="s">
        <v>43</v>
      </c>
      <c r="E84" s="233">
        <f t="shared" si="136"/>
        <v>0</v>
      </c>
      <c r="F84" s="234">
        <f t="shared" ref="F84:AK84" si="153">-IFERROR(INDEX($M26:$Q26,MATCH(YEAR(F$55),$M$21:$Q$21,0)),$Q$26)*F68</f>
        <v>0</v>
      </c>
      <c r="G84" s="234">
        <f t="shared" si="153"/>
        <v>0</v>
      </c>
      <c r="H84" s="234">
        <f t="shared" si="153"/>
        <v>0</v>
      </c>
      <c r="I84" s="234">
        <f t="shared" si="153"/>
        <v>0</v>
      </c>
      <c r="J84" s="234">
        <f t="shared" si="153"/>
        <v>0</v>
      </c>
      <c r="K84" s="234">
        <f t="shared" si="153"/>
        <v>0</v>
      </c>
      <c r="L84" s="234">
        <f t="shared" si="153"/>
        <v>0</v>
      </c>
      <c r="M84" s="234">
        <f t="shared" si="153"/>
        <v>0</v>
      </c>
      <c r="N84" s="234">
        <f t="shared" si="153"/>
        <v>0</v>
      </c>
      <c r="O84" s="234">
        <f t="shared" si="153"/>
        <v>0</v>
      </c>
      <c r="P84" s="234">
        <f t="shared" si="153"/>
        <v>0</v>
      </c>
      <c r="Q84" s="234">
        <f t="shared" si="153"/>
        <v>0</v>
      </c>
      <c r="R84" s="234">
        <f t="shared" si="153"/>
        <v>0</v>
      </c>
      <c r="S84" s="234">
        <f t="shared" si="153"/>
        <v>0</v>
      </c>
      <c r="T84" s="234">
        <f t="shared" si="153"/>
        <v>0</v>
      </c>
      <c r="U84" s="234">
        <f t="shared" si="153"/>
        <v>0</v>
      </c>
      <c r="V84" s="234">
        <f t="shared" si="153"/>
        <v>0</v>
      </c>
      <c r="W84" s="234">
        <f t="shared" si="153"/>
        <v>0</v>
      </c>
      <c r="X84" s="234">
        <f t="shared" si="153"/>
        <v>0</v>
      </c>
      <c r="Y84" s="234">
        <f t="shared" si="153"/>
        <v>0</v>
      </c>
      <c r="Z84" s="234">
        <f t="shared" si="153"/>
        <v>0</v>
      </c>
      <c r="AA84" s="234">
        <f t="shared" si="153"/>
        <v>0</v>
      </c>
      <c r="AB84" s="234">
        <f t="shared" si="153"/>
        <v>0</v>
      </c>
      <c r="AC84" s="234">
        <f t="shared" si="153"/>
        <v>0</v>
      </c>
      <c r="AD84" s="234">
        <f t="shared" si="153"/>
        <v>0</v>
      </c>
      <c r="AE84" s="234">
        <f t="shared" si="153"/>
        <v>0</v>
      </c>
      <c r="AF84" s="234">
        <f t="shared" si="153"/>
        <v>0</v>
      </c>
      <c r="AG84" s="234">
        <f t="shared" si="153"/>
        <v>0</v>
      </c>
      <c r="AH84" s="234">
        <f t="shared" si="153"/>
        <v>0</v>
      </c>
      <c r="AI84" s="234">
        <f t="shared" si="153"/>
        <v>0</v>
      </c>
      <c r="AJ84" s="234">
        <f t="shared" si="153"/>
        <v>0</v>
      </c>
      <c r="AK84" s="234">
        <f t="shared" si="153"/>
        <v>0</v>
      </c>
      <c r="AL84" s="234">
        <f t="shared" ref="AL84:BQ84" si="154">-IFERROR(INDEX($M26:$Q26,MATCH(YEAR(AL$55),$M$21:$Q$21,0)),$Q$26)*AL68</f>
        <v>0</v>
      </c>
      <c r="AM84" s="234">
        <f t="shared" si="154"/>
        <v>0</v>
      </c>
      <c r="AN84" s="234">
        <f t="shared" si="154"/>
        <v>0</v>
      </c>
      <c r="AO84" s="234">
        <f t="shared" si="154"/>
        <v>0</v>
      </c>
      <c r="AP84" s="234">
        <f t="shared" si="154"/>
        <v>0</v>
      </c>
      <c r="AQ84" s="234">
        <f t="shared" si="154"/>
        <v>0</v>
      </c>
      <c r="AR84" s="234">
        <f t="shared" si="154"/>
        <v>0</v>
      </c>
      <c r="AS84" s="234">
        <f t="shared" si="154"/>
        <v>0</v>
      </c>
      <c r="AT84" s="234">
        <f t="shared" si="154"/>
        <v>0</v>
      </c>
      <c r="AU84" s="234">
        <f t="shared" si="154"/>
        <v>0</v>
      </c>
      <c r="AV84" s="234">
        <f t="shared" si="154"/>
        <v>0</v>
      </c>
      <c r="AW84" s="234">
        <f t="shared" si="154"/>
        <v>0</v>
      </c>
      <c r="AX84" s="234">
        <f t="shared" si="154"/>
        <v>0</v>
      </c>
      <c r="AY84" s="234">
        <f t="shared" si="154"/>
        <v>0</v>
      </c>
      <c r="AZ84" s="234">
        <f t="shared" si="154"/>
        <v>0</v>
      </c>
      <c r="BA84" s="234">
        <f t="shared" si="154"/>
        <v>0</v>
      </c>
      <c r="BB84" s="234">
        <f t="shared" si="154"/>
        <v>0</v>
      </c>
      <c r="BC84" s="234">
        <f t="shared" si="154"/>
        <v>0</v>
      </c>
      <c r="BD84" s="234">
        <f t="shared" si="154"/>
        <v>0</v>
      </c>
      <c r="BE84" s="234">
        <f t="shared" si="154"/>
        <v>0</v>
      </c>
      <c r="BF84" s="234">
        <f t="shared" si="154"/>
        <v>0</v>
      </c>
      <c r="BG84" s="234">
        <f t="shared" si="154"/>
        <v>0</v>
      </c>
      <c r="BH84" s="234">
        <f t="shared" si="154"/>
        <v>0</v>
      </c>
      <c r="BI84" s="234">
        <f t="shared" si="154"/>
        <v>0</v>
      </c>
      <c r="BJ84" s="234">
        <f t="shared" si="154"/>
        <v>0</v>
      </c>
      <c r="BK84" s="234">
        <f t="shared" si="154"/>
        <v>0</v>
      </c>
      <c r="BL84" s="234">
        <f t="shared" si="154"/>
        <v>0</v>
      </c>
      <c r="BM84" s="234">
        <f t="shared" si="154"/>
        <v>0</v>
      </c>
      <c r="BN84" s="234">
        <f t="shared" si="154"/>
        <v>0</v>
      </c>
      <c r="BO84" s="234">
        <f t="shared" si="154"/>
        <v>0</v>
      </c>
      <c r="BP84" s="234">
        <f t="shared" si="154"/>
        <v>0</v>
      </c>
      <c r="BQ84" s="234">
        <f t="shared" si="154"/>
        <v>0</v>
      </c>
      <c r="BR84" s="234">
        <f t="shared" ref="BR84:CW84" si="155">-IFERROR(INDEX($M26:$Q26,MATCH(YEAR(BR$55),$M$21:$Q$21,0)),$Q$26)*BR68</f>
        <v>0</v>
      </c>
      <c r="BS84" s="234">
        <f t="shared" si="155"/>
        <v>0</v>
      </c>
      <c r="BT84" s="234">
        <f t="shared" si="155"/>
        <v>0</v>
      </c>
      <c r="BU84" s="234">
        <f t="shared" si="155"/>
        <v>0</v>
      </c>
      <c r="BV84" s="234">
        <f t="shared" si="155"/>
        <v>0</v>
      </c>
      <c r="BW84" s="234">
        <f t="shared" si="155"/>
        <v>0</v>
      </c>
      <c r="BX84" s="234">
        <f t="shared" si="155"/>
        <v>0</v>
      </c>
      <c r="BY84" s="234">
        <f t="shared" si="155"/>
        <v>0</v>
      </c>
      <c r="BZ84" s="234">
        <f t="shared" si="155"/>
        <v>0</v>
      </c>
      <c r="CA84" s="234">
        <f t="shared" si="155"/>
        <v>0</v>
      </c>
      <c r="CB84" s="234">
        <f t="shared" si="155"/>
        <v>0</v>
      </c>
      <c r="CC84" s="234">
        <f t="shared" si="155"/>
        <v>0</v>
      </c>
      <c r="CD84" s="234">
        <f t="shared" si="155"/>
        <v>0</v>
      </c>
      <c r="CE84" s="234">
        <f t="shared" si="155"/>
        <v>0</v>
      </c>
      <c r="CF84" s="234">
        <f t="shared" si="155"/>
        <v>0</v>
      </c>
      <c r="CG84" s="234">
        <f t="shared" si="155"/>
        <v>0</v>
      </c>
      <c r="CH84" s="234">
        <f t="shared" si="155"/>
        <v>0</v>
      </c>
      <c r="CI84" s="234">
        <f t="shared" si="155"/>
        <v>0</v>
      </c>
      <c r="CJ84" s="234">
        <f t="shared" si="155"/>
        <v>0</v>
      </c>
      <c r="CK84" s="234">
        <f t="shared" si="155"/>
        <v>0</v>
      </c>
      <c r="CL84" s="234">
        <f t="shared" si="155"/>
        <v>0</v>
      </c>
      <c r="CM84" s="234">
        <f t="shared" si="155"/>
        <v>0</v>
      </c>
      <c r="CN84" s="234">
        <f t="shared" si="155"/>
        <v>0</v>
      </c>
      <c r="CO84" s="234">
        <f t="shared" si="155"/>
        <v>0</v>
      </c>
      <c r="CP84" s="234">
        <f t="shared" si="155"/>
        <v>0</v>
      </c>
      <c r="CQ84" s="234">
        <f t="shared" si="155"/>
        <v>0</v>
      </c>
      <c r="CR84" s="234">
        <f t="shared" si="155"/>
        <v>0</v>
      </c>
      <c r="CS84" s="234">
        <f t="shared" si="155"/>
        <v>0</v>
      </c>
      <c r="CT84" s="234">
        <f t="shared" si="155"/>
        <v>0</v>
      </c>
      <c r="CU84" s="234">
        <f t="shared" si="155"/>
        <v>0</v>
      </c>
      <c r="CV84" s="234">
        <f t="shared" si="155"/>
        <v>0</v>
      </c>
      <c r="CW84" s="234">
        <f t="shared" si="155"/>
        <v>0</v>
      </c>
      <c r="CX84" s="234">
        <f t="shared" ref="CX84:EC84" si="156">-IFERROR(INDEX($M26:$Q26,MATCH(YEAR(CX$55),$M$21:$Q$21,0)),$Q$26)*CX68</f>
        <v>0</v>
      </c>
      <c r="CY84" s="234">
        <f t="shared" si="156"/>
        <v>0</v>
      </c>
      <c r="CZ84" s="234">
        <f t="shared" si="156"/>
        <v>0</v>
      </c>
      <c r="DA84" s="234">
        <f t="shared" si="156"/>
        <v>0</v>
      </c>
      <c r="DB84" s="234">
        <f t="shared" si="156"/>
        <v>0</v>
      </c>
      <c r="DC84" s="234">
        <f t="shared" si="156"/>
        <v>0</v>
      </c>
      <c r="DD84" s="234">
        <f t="shared" si="156"/>
        <v>0</v>
      </c>
      <c r="DE84" s="234">
        <f t="shared" si="156"/>
        <v>0</v>
      </c>
      <c r="DF84" s="234">
        <f t="shared" si="156"/>
        <v>0</v>
      </c>
      <c r="DG84" s="234">
        <f t="shared" si="156"/>
        <v>0</v>
      </c>
      <c r="DH84" s="234">
        <f t="shared" si="156"/>
        <v>0</v>
      </c>
      <c r="DI84" s="234">
        <f t="shared" si="156"/>
        <v>0</v>
      </c>
      <c r="DJ84" s="234">
        <f t="shared" si="156"/>
        <v>0</v>
      </c>
      <c r="DK84" s="234">
        <f t="shared" si="156"/>
        <v>0</v>
      </c>
      <c r="DL84" s="234">
        <f t="shared" si="156"/>
        <v>0</v>
      </c>
      <c r="DM84" s="234">
        <f t="shared" si="156"/>
        <v>0</v>
      </c>
      <c r="DN84" s="234">
        <f t="shared" si="156"/>
        <v>0</v>
      </c>
      <c r="DO84" s="234">
        <f t="shared" si="156"/>
        <v>0</v>
      </c>
      <c r="DP84" s="234">
        <f t="shared" si="156"/>
        <v>0</v>
      </c>
      <c r="DQ84" s="234">
        <f t="shared" si="156"/>
        <v>0</v>
      </c>
      <c r="DR84" s="234">
        <f t="shared" si="156"/>
        <v>0</v>
      </c>
      <c r="DS84" s="234">
        <f t="shared" si="156"/>
        <v>0</v>
      </c>
      <c r="DT84" s="234">
        <f t="shared" si="156"/>
        <v>0</v>
      </c>
      <c r="DU84" s="234">
        <f t="shared" si="156"/>
        <v>0</v>
      </c>
      <c r="DV84" s="234">
        <f t="shared" si="156"/>
        <v>0</v>
      </c>
      <c r="DW84" s="234">
        <f t="shared" si="156"/>
        <v>0</v>
      </c>
      <c r="DX84" s="234">
        <f t="shared" si="156"/>
        <v>0</v>
      </c>
      <c r="DY84" s="234">
        <f t="shared" si="156"/>
        <v>0</v>
      </c>
      <c r="DZ84" s="234">
        <f t="shared" si="156"/>
        <v>0</v>
      </c>
      <c r="EA84" s="234">
        <f t="shared" si="156"/>
        <v>0</v>
      </c>
      <c r="EB84" s="234">
        <f t="shared" si="156"/>
        <v>0</v>
      </c>
      <c r="EC84" s="234">
        <f t="shared" si="156"/>
        <v>0</v>
      </c>
      <c r="ED84" s="234">
        <f t="shared" ref="ED84:FF84" si="157">-IFERROR(INDEX($M26:$Q26,MATCH(YEAR(ED$55),$M$21:$Q$21,0)),$Q$26)*ED68</f>
        <v>0</v>
      </c>
      <c r="EE84" s="234">
        <f t="shared" si="157"/>
        <v>0</v>
      </c>
      <c r="EF84" s="234">
        <f t="shared" si="157"/>
        <v>0</v>
      </c>
      <c r="EG84" s="234">
        <f t="shared" si="157"/>
        <v>0</v>
      </c>
      <c r="EH84" s="234">
        <f t="shared" si="157"/>
        <v>0</v>
      </c>
      <c r="EI84" s="234">
        <f t="shared" si="157"/>
        <v>0</v>
      </c>
      <c r="EJ84" s="234">
        <f t="shared" si="157"/>
        <v>0</v>
      </c>
      <c r="EK84" s="234">
        <f t="shared" si="157"/>
        <v>0</v>
      </c>
      <c r="EL84" s="234">
        <f t="shared" si="157"/>
        <v>0</v>
      </c>
      <c r="EM84" s="234">
        <f t="shared" si="157"/>
        <v>0</v>
      </c>
      <c r="EN84" s="234">
        <f t="shared" si="157"/>
        <v>0</v>
      </c>
      <c r="EO84" s="234">
        <f t="shared" si="157"/>
        <v>0</v>
      </c>
      <c r="EP84" s="234">
        <f t="shared" si="157"/>
        <v>0</v>
      </c>
      <c r="EQ84" s="234">
        <f t="shared" si="157"/>
        <v>0</v>
      </c>
      <c r="ER84" s="234">
        <f t="shared" si="157"/>
        <v>0</v>
      </c>
      <c r="ES84" s="234">
        <f t="shared" si="157"/>
        <v>0</v>
      </c>
      <c r="ET84" s="234">
        <f t="shared" si="157"/>
        <v>0</v>
      </c>
      <c r="EU84" s="234">
        <f t="shared" si="157"/>
        <v>0</v>
      </c>
      <c r="EV84" s="234">
        <f t="shared" si="157"/>
        <v>0</v>
      </c>
      <c r="EW84" s="234">
        <f t="shared" si="157"/>
        <v>0</v>
      </c>
      <c r="EX84" s="234">
        <f t="shared" si="157"/>
        <v>0</v>
      </c>
      <c r="EY84" s="234">
        <f t="shared" si="157"/>
        <v>0</v>
      </c>
      <c r="EZ84" s="234">
        <f t="shared" si="157"/>
        <v>0</v>
      </c>
      <c r="FA84" s="234">
        <f t="shared" si="157"/>
        <v>0</v>
      </c>
      <c r="FB84" s="234">
        <f t="shared" si="157"/>
        <v>0</v>
      </c>
      <c r="FC84" s="234">
        <f t="shared" si="157"/>
        <v>0</v>
      </c>
      <c r="FD84" s="234">
        <f t="shared" si="157"/>
        <v>0</v>
      </c>
      <c r="FE84" s="234">
        <f t="shared" si="157"/>
        <v>0</v>
      </c>
      <c r="FF84" s="234">
        <f t="shared" si="157"/>
        <v>0</v>
      </c>
      <c r="FG84" s="321"/>
      <c r="FH84" s="234">
        <f t="shared" si="142"/>
        <v>0</v>
      </c>
      <c r="FI84" s="234">
        <f t="shared" si="142"/>
        <v>0</v>
      </c>
      <c r="FJ84" s="234">
        <f t="shared" si="142"/>
        <v>0</v>
      </c>
      <c r="FK84" s="234">
        <f t="shared" si="142"/>
        <v>0</v>
      </c>
      <c r="FL84" s="234">
        <f t="shared" si="142"/>
        <v>0</v>
      </c>
      <c r="FM84" s="234">
        <f t="shared" si="142"/>
        <v>0</v>
      </c>
      <c r="FN84" s="234">
        <f t="shared" si="142"/>
        <v>0</v>
      </c>
      <c r="FO84" s="234">
        <f t="shared" si="142"/>
        <v>0</v>
      </c>
      <c r="FP84" s="234">
        <f t="shared" si="142"/>
        <v>0</v>
      </c>
      <c r="FQ84" s="234">
        <f t="shared" si="142"/>
        <v>0</v>
      </c>
      <c r="FR84" s="234">
        <f t="shared" si="142"/>
        <v>0</v>
      </c>
      <c r="FS84" s="234">
        <f t="shared" si="142"/>
        <v>0</v>
      </c>
      <c r="FT84" s="234">
        <f t="shared" si="142"/>
        <v>0</v>
      </c>
      <c r="FU84" s="234">
        <f t="shared" si="142"/>
        <v>0</v>
      </c>
      <c r="FV84" s="321"/>
    </row>
    <row r="85" spans="3:178" s="77" customFormat="1" x14ac:dyDescent="0.2">
      <c r="C85" s="80" t="s">
        <v>15</v>
      </c>
      <c r="D85" s="80"/>
      <c r="E85" s="273">
        <f t="shared" si="136"/>
        <v>-1241607.6348219775</v>
      </c>
      <c r="F85" s="208">
        <f>SUM(F81:F84)</f>
        <v>0</v>
      </c>
      <c r="G85" s="208">
        <f t="shared" ref="G85:BR85" si="158">SUM(G81:G84)</f>
        <v>-6517.4592656250006</v>
      </c>
      <c r="H85" s="208">
        <f t="shared" si="158"/>
        <v>-6533.7529137890624</v>
      </c>
      <c r="I85" s="208">
        <f t="shared" si="158"/>
        <v>-6550.0872960735351</v>
      </c>
      <c r="J85" s="208">
        <f t="shared" si="158"/>
        <v>-6566.4625143137182</v>
      </c>
      <c r="K85" s="208">
        <f t="shared" si="158"/>
        <v>-6582.8786705995026</v>
      </c>
      <c r="L85" s="208">
        <f t="shared" si="158"/>
        <v>-6599.3358672760005</v>
      </c>
      <c r="M85" s="208">
        <f t="shared" si="158"/>
        <v>-6615.8342069441915</v>
      </c>
      <c r="N85" s="208">
        <f t="shared" si="158"/>
        <v>-6632.3737924615507</v>
      </c>
      <c r="O85" s="208">
        <f t="shared" si="158"/>
        <v>-6648.9547269427057</v>
      </c>
      <c r="P85" s="208">
        <f t="shared" si="158"/>
        <v>-6665.5771137600614</v>
      </c>
      <c r="Q85" s="208">
        <f t="shared" si="158"/>
        <v>-6682.2410565444607</v>
      </c>
      <c r="R85" s="208">
        <f t="shared" si="158"/>
        <v>-6698.9466591858218</v>
      </c>
      <c r="S85" s="208">
        <f t="shared" si="158"/>
        <v>-6715.6940258337872</v>
      </c>
      <c r="T85" s="208">
        <f t="shared" si="158"/>
        <v>-6732.4832608983706</v>
      </c>
      <c r="U85" s="208">
        <f t="shared" si="158"/>
        <v>-6749.3144690506151</v>
      </c>
      <c r="V85" s="208">
        <f t="shared" si="158"/>
        <v>-6766.1877552232427</v>
      </c>
      <c r="W85" s="208">
        <f t="shared" si="158"/>
        <v>-6783.1032246113</v>
      </c>
      <c r="X85" s="208">
        <f t="shared" si="158"/>
        <v>-6800.0609826728278</v>
      </c>
      <c r="Y85" s="208">
        <f t="shared" si="158"/>
        <v>-6817.0611351295092</v>
      </c>
      <c r="Z85" s="208">
        <f t="shared" si="158"/>
        <v>-6834.1037879673322</v>
      </c>
      <c r="AA85" s="208">
        <f t="shared" si="158"/>
        <v>-6851.1890474372512</v>
      </c>
      <c r="AB85" s="208">
        <f t="shared" si="158"/>
        <v>-6868.3170200558434</v>
      </c>
      <c r="AC85" s="208">
        <f t="shared" si="158"/>
        <v>-6885.4878126059839</v>
      </c>
      <c r="AD85" s="208">
        <f t="shared" si="158"/>
        <v>-6902.7015321374975</v>
      </c>
      <c r="AE85" s="208">
        <f t="shared" si="158"/>
        <v>-6919.958285967843</v>
      </c>
      <c r="AF85" s="208">
        <f t="shared" si="158"/>
        <v>-6937.2581816827606</v>
      </c>
      <c r="AG85" s="208">
        <f t="shared" si="158"/>
        <v>-6954.6013271369666</v>
      </c>
      <c r="AH85" s="208">
        <f t="shared" si="158"/>
        <v>-6971.9878304548101</v>
      </c>
      <c r="AI85" s="208">
        <f t="shared" si="158"/>
        <v>-6989.4178000309457</v>
      </c>
      <c r="AJ85" s="208">
        <f t="shared" si="158"/>
        <v>-7006.8913445310227</v>
      </c>
      <c r="AK85" s="208">
        <f t="shared" si="158"/>
        <v>-7024.4085728923492</v>
      </c>
      <c r="AL85" s="208">
        <f t="shared" si="158"/>
        <v>-7041.9695943245815</v>
      </c>
      <c r="AM85" s="208">
        <f t="shared" si="158"/>
        <v>-7059.5745183103927</v>
      </c>
      <c r="AN85" s="208">
        <f t="shared" si="158"/>
        <v>-7077.2234546061663</v>
      </c>
      <c r="AO85" s="208">
        <f t="shared" si="158"/>
        <v>-7094.9165132426842</v>
      </c>
      <c r="AP85" s="208">
        <f t="shared" si="158"/>
        <v>-7112.6538045257903</v>
      </c>
      <c r="AQ85" s="208">
        <f t="shared" si="158"/>
        <v>-7130.4354390371027</v>
      </c>
      <c r="AR85" s="208">
        <f t="shared" si="158"/>
        <v>-7148.2615276346951</v>
      </c>
      <c r="AS85" s="208">
        <f t="shared" si="158"/>
        <v>-7166.1321814537823</v>
      </c>
      <c r="AT85" s="208">
        <f t="shared" si="158"/>
        <v>-7184.0475119074163</v>
      </c>
      <c r="AU85" s="208">
        <f t="shared" si="158"/>
        <v>-7202.0076306871852</v>
      </c>
      <c r="AV85" s="208">
        <f t="shared" si="158"/>
        <v>-7220.0126497639012</v>
      </c>
      <c r="AW85" s="208">
        <f t="shared" si="158"/>
        <v>-7238.0626813883109</v>
      </c>
      <c r="AX85" s="208">
        <f t="shared" si="158"/>
        <v>-7256.1578380917799</v>
      </c>
      <c r="AY85" s="208">
        <f t="shared" si="158"/>
        <v>-7274.2982326870106</v>
      </c>
      <c r="AZ85" s="208">
        <f t="shared" si="158"/>
        <v>-7292.4839782687286</v>
      </c>
      <c r="BA85" s="208">
        <f t="shared" si="158"/>
        <v>-7310.7151882144017</v>
      </c>
      <c r="BB85" s="208">
        <f t="shared" si="158"/>
        <v>-7328.9919761849369</v>
      </c>
      <c r="BC85" s="208">
        <f t="shared" si="158"/>
        <v>-7347.3144561253976</v>
      </c>
      <c r="BD85" s="208">
        <f t="shared" si="158"/>
        <v>-7365.6827422657097</v>
      </c>
      <c r="BE85" s="208">
        <f t="shared" si="158"/>
        <v>-7384.0969491213755</v>
      </c>
      <c r="BF85" s="208">
        <f t="shared" si="158"/>
        <v>-7402.5571914941775</v>
      </c>
      <c r="BG85" s="208">
        <f t="shared" si="158"/>
        <v>-7421.0635844729113</v>
      </c>
      <c r="BH85" s="208">
        <f t="shared" si="158"/>
        <v>-7439.6162434340949</v>
      </c>
      <c r="BI85" s="208">
        <f t="shared" si="158"/>
        <v>-7458.2152840426807</v>
      </c>
      <c r="BJ85" s="208">
        <f t="shared" si="158"/>
        <v>-7476.8608222527864</v>
      </c>
      <c r="BK85" s="208">
        <f t="shared" si="158"/>
        <v>-7495.5529743084171</v>
      </c>
      <c r="BL85" s="208">
        <f t="shared" si="158"/>
        <v>-7514.2918567441875</v>
      </c>
      <c r="BM85" s="208">
        <f t="shared" si="158"/>
        <v>-7533.0775863860463</v>
      </c>
      <c r="BN85" s="208">
        <f t="shared" si="158"/>
        <v>-7551.9102803520118</v>
      </c>
      <c r="BO85" s="208">
        <f t="shared" si="158"/>
        <v>-7570.7900560528915</v>
      </c>
      <c r="BP85" s="208">
        <f t="shared" si="158"/>
        <v>-7589.7170311930222</v>
      </c>
      <c r="BQ85" s="208">
        <f t="shared" si="158"/>
        <v>-7608.6913237710041</v>
      </c>
      <c r="BR85" s="208">
        <f t="shared" si="158"/>
        <v>-7627.7130520804321</v>
      </c>
      <c r="BS85" s="208">
        <f t="shared" ref="BS85:ED85" si="159">SUM(BS81:BS84)</f>
        <v>-7646.7823347106314</v>
      </c>
      <c r="BT85" s="208">
        <f t="shared" si="159"/>
        <v>-7665.8992905474097</v>
      </c>
      <c r="BU85" s="208">
        <f t="shared" si="159"/>
        <v>-7685.0640387737776</v>
      </c>
      <c r="BV85" s="208">
        <f t="shared" si="159"/>
        <v>-7704.2766988707117</v>
      </c>
      <c r="BW85" s="208">
        <f t="shared" si="159"/>
        <v>-7723.5373906178884</v>
      </c>
      <c r="BX85" s="208">
        <f t="shared" si="159"/>
        <v>-7742.8462340944307</v>
      </c>
      <c r="BY85" s="208">
        <f t="shared" si="159"/>
        <v>-7762.2033496796666</v>
      </c>
      <c r="BZ85" s="208">
        <f t="shared" si="159"/>
        <v>-7781.6088580538635</v>
      </c>
      <c r="CA85" s="208">
        <f t="shared" si="159"/>
        <v>-7801.0628801989978</v>
      </c>
      <c r="CB85" s="208">
        <f t="shared" si="159"/>
        <v>-7820.565537399496</v>
      </c>
      <c r="CC85" s="208">
        <f t="shared" si="159"/>
        <v>-7840.1169512429933</v>
      </c>
      <c r="CD85" s="208">
        <f t="shared" si="159"/>
        <v>-7859.7172436211022</v>
      </c>
      <c r="CE85" s="208">
        <f t="shared" si="159"/>
        <v>-7879.3665367301555</v>
      </c>
      <c r="CF85" s="208">
        <f t="shared" si="159"/>
        <v>-7899.0649530719784</v>
      </c>
      <c r="CG85" s="208">
        <f t="shared" si="159"/>
        <v>-7918.812615454658</v>
      </c>
      <c r="CH85" s="208">
        <f t="shared" si="159"/>
        <v>-7938.6096469932945</v>
      </c>
      <c r="CI85" s="208">
        <f t="shared" si="159"/>
        <v>-7958.4561711107781</v>
      </c>
      <c r="CJ85" s="208">
        <f t="shared" si="159"/>
        <v>-7978.3523115385533</v>
      </c>
      <c r="CK85" s="208">
        <f t="shared" si="159"/>
        <v>-7998.2981923174011</v>
      </c>
      <c r="CL85" s="208">
        <f t="shared" si="159"/>
        <v>-8018.2939377981938</v>
      </c>
      <c r="CM85" s="208">
        <f t="shared" si="159"/>
        <v>-8038.3396726426872</v>
      </c>
      <c r="CN85" s="208">
        <f t="shared" si="159"/>
        <v>-8058.4355218242927</v>
      </c>
      <c r="CO85" s="208">
        <f t="shared" si="159"/>
        <v>-8078.581610628853</v>
      </c>
      <c r="CP85" s="208">
        <f t="shared" si="159"/>
        <v>-8098.7780646554256</v>
      </c>
      <c r="CQ85" s="208">
        <f t="shared" si="159"/>
        <v>-8119.0250098170636</v>
      </c>
      <c r="CR85" s="208">
        <f t="shared" si="159"/>
        <v>-8139.3225723416062</v>
      </c>
      <c r="CS85" s="208">
        <f t="shared" si="159"/>
        <v>-8159.6708787724601</v>
      </c>
      <c r="CT85" s="208">
        <f t="shared" si="159"/>
        <v>-8180.0700559693905</v>
      </c>
      <c r="CU85" s="208">
        <f t="shared" si="159"/>
        <v>-8200.5202311093144</v>
      </c>
      <c r="CV85" s="208">
        <f t="shared" si="159"/>
        <v>-8221.0215316870872</v>
      </c>
      <c r="CW85" s="208">
        <f t="shared" si="159"/>
        <v>-8241.574085516304</v>
      </c>
      <c r="CX85" s="208">
        <f t="shared" si="159"/>
        <v>-8262.1780207300944</v>
      </c>
      <c r="CY85" s="208">
        <f t="shared" si="159"/>
        <v>-8282.8334657819196</v>
      </c>
      <c r="CZ85" s="208">
        <f t="shared" si="159"/>
        <v>-8303.5405494463739</v>
      </c>
      <c r="DA85" s="208">
        <f t="shared" si="159"/>
        <v>-8324.2994008199876</v>
      </c>
      <c r="DB85" s="208">
        <f t="shared" si="159"/>
        <v>-8345.1101493220376</v>
      </c>
      <c r="DC85" s="208">
        <f t="shared" si="159"/>
        <v>-8365.972924695343</v>
      </c>
      <c r="DD85" s="208">
        <f t="shared" si="159"/>
        <v>-8386.887857007081</v>
      </c>
      <c r="DE85" s="208">
        <f t="shared" si="159"/>
        <v>-8407.8550766495973</v>
      </c>
      <c r="DF85" s="208">
        <f t="shared" si="159"/>
        <v>-8428.874714341222</v>
      </c>
      <c r="DG85" s="208">
        <f t="shared" si="159"/>
        <v>-8449.9469011270739</v>
      </c>
      <c r="DH85" s="208">
        <f t="shared" si="159"/>
        <v>-8471.0717683798903</v>
      </c>
      <c r="DI85" s="208">
        <f t="shared" si="159"/>
        <v>-8492.2494478008412</v>
      </c>
      <c r="DJ85" s="208">
        <f t="shared" si="159"/>
        <v>-8513.4800714203411</v>
      </c>
      <c r="DK85" s="208">
        <f t="shared" si="159"/>
        <v>-8534.7637715988931</v>
      </c>
      <c r="DL85" s="208">
        <f t="shared" si="159"/>
        <v>-8556.1006810278905</v>
      </c>
      <c r="DM85" s="208">
        <f t="shared" si="159"/>
        <v>-8577.4909327304558</v>
      </c>
      <c r="DN85" s="208">
        <f t="shared" si="159"/>
        <v>-8598.9346600622812</v>
      </c>
      <c r="DO85" s="208">
        <f t="shared" si="159"/>
        <v>-8620.4319967124375</v>
      </c>
      <c r="DP85" s="208">
        <f t="shared" si="159"/>
        <v>-8641.9830767042167</v>
      </c>
      <c r="DQ85" s="208">
        <f t="shared" si="159"/>
        <v>-8663.5880343959761</v>
      </c>
      <c r="DR85" s="208">
        <f t="shared" si="159"/>
        <v>-8685.2470044819675</v>
      </c>
      <c r="DS85" s="208">
        <f t="shared" si="159"/>
        <v>-8706.9601219931737</v>
      </c>
      <c r="DT85" s="208">
        <f t="shared" si="159"/>
        <v>-8728.7275222981552</v>
      </c>
      <c r="DU85" s="208">
        <f t="shared" si="159"/>
        <v>-8750.5493411038988</v>
      </c>
      <c r="DV85" s="208">
        <f t="shared" si="159"/>
        <v>-8772.42571445666</v>
      </c>
      <c r="DW85" s="208">
        <f t="shared" si="159"/>
        <v>-8794.3567787428001</v>
      </c>
      <c r="DX85" s="208">
        <f t="shared" si="159"/>
        <v>-8816.3426706896553</v>
      </c>
      <c r="DY85" s="208">
        <f t="shared" si="159"/>
        <v>-8838.383527366379</v>
      </c>
      <c r="DZ85" s="208">
        <f t="shared" si="159"/>
        <v>-8860.4794861847931</v>
      </c>
      <c r="EA85" s="208">
        <f t="shared" si="159"/>
        <v>-8882.6306849002522</v>
      </c>
      <c r="EB85" s="208">
        <f t="shared" si="159"/>
        <v>-8904.8372616125071</v>
      </c>
      <c r="EC85" s="208">
        <f t="shared" si="159"/>
        <v>-8927.0993547665385</v>
      </c>
      <c r="ED85" s="208">
        <f t="shared" si="159"/>
        <v>-8949.4171031534515</v>
      </c>
      <c r="EE85" s="208">
        <f t="shared" ref="EE85:FF85" si="160">SUM(EE81:EE84)</f>
        <v>-8971.7906459113383</v>
      </c>
      <c r="EF85" s="208">
        <f t="shared" si="160"/>
        <v>-8994.220122526116</v>
      </c>
      <c r="EG85" s="208">
        <f t="shared" si="160"/>
        <v>-9016.7056728324314</v>
      </c>
      <c r="EH85" s="208">
        <f t="shared" si="160"/>
        <v>-9039.2474370145101</v>
      </c>
      <c r="EI85" s="208">
        <f t="shared" si="160"/>
        <v>-9061.8455556070476</v>
      </c>
      <c r="EJ85" s="208">
        <f t="shared" si="160"/>
        <v>-9084.5001694960611</v>
      </c>
      <c r="EK85" s="208">
        <f t="shared" si="160"/>
        <v>-9107.2114199198022</v>
      </c>
      <c r="EL85" s="208">
        <f t="shared" si="160"/>
        <v>-9129.9794484696013</v>
      </c>
      <c r="EM85" s="208">
        <f t="shared" si="160"/>
        <v>-9152.8043970907729</v>
      </c>
      <c r="EN85" s="208">
        <f t="shared" si="160"/>
        <v>-9175.6864080834985</v>
      </c>
      <c r="EO85" s="208">
        <f t="shared" si="160"/>
        <v>-9198.6256241037117</v>
      </c>
      <c r="EP85" s="208">
        <f t="shared" si="160"/>
        <v>-9221.6221881639667</v>
      </c>
      <c r="EQ85" s="208">
        <f t="shared" si="160"/>
        <v>-9244.6762436343779</v>
      </c>
      <c r="ER85" s="208">
        <f t="shared" si="160"/>
        <v>-9267.7879342434626</v>
      </c>
      <c r="ES85" s="208">
        <f t="shared" si="160"/>
        <v>-9290.957404079074</v>
      </c>
      <c r="ET85" s="208">
        <f t="shared" si="160"/>
        <v>-9314.184797589267</v>
      </c>
      <c r="EU85" s="208">
        <f t="shared" si="160"/>
        <v>-9337.4702595832405</v>
      </c>
      <c r="EV85" s="208">
        <f t="shared" si="160"/>
        <v>-9360.8139352321959</v>
      </c>
      <c r="EW85" s="208">
        <f t="shared" si="160"/>
        <v>-9384.2159700702796</v>
      </c>
      <c r="EX85" s="208">
        <f t="shared" si="160"/>
        <v>-9407.6765099954519</v>
      </c>
      <c r="EY85" s="208">
        <f t="shared" si="160"/>
        <v>-9431.1957012704424</v>
      </c>
      <c r="EZ85" s="208">
        <f t="shared" si="160"/>
        <v>-9454.7736905236143</v>
      </c>
      <c r="FA85" s="208">
        <f t="shared" si="160"/>
        <v>-9478.4106247499276</v>
      </c>
      <c r="FB85" s="208">
        <f t="shared" si="160"/>
        <v>-9502.1066513117985</v>
      </c>
      <c r="FC85" s="208">
        <f t="shared" si="160"/>
        <v>-9525.8619179400794</v>
      </c>
      <c r="FD85" s="208">
        <f t="shared" si="160"/>
        <v>-9549.6765727349266</v>
      </c>
      <c r="FE85" s="208">
        <f t="shared" si="160"/>
        <v>-9573.5507641667627</v>
      </c>
      <c r="FF85" s="208">
        <f t="shared" si="160"/>
        <v>-9597.4846410771806</v>
      </c>
      <c r="FG85" s="288"/>
      <c r="FH85" s="208">
        <f t="shared" si="142"/>
        <v>-39349.976527676816</v>
      </c>
      <c r="FI85" s="208">
        <f t="shared" si="142"/>
        <v>-80490.771274128943</v>
      </c>
      <c r="FJ85" s="208">
        <f t="shared" si="142"/>
        <v>-82938.975105137753</v>
      </c>
      <c r="FK85" s="208">
        <f t="shared" si="142"/>
        <v>-85461.643398386048</v>
      </c>
      <c r="FL85" s="208">
        <f t="shared" si="142"/>
        <v>-88061.041061748838</v>
      </c>
      <c r="FM85" s="208">
        <f t="shared" si="142"/>
        <v>-90739.501892441534</v>
      </c>
      <c r="FN85" s="208">
        <f t="shared" si="142"/>
        <v>-93499.430672355054</v>
      </c>
      <c r="FO85" s="208">
        <f t="shared" si="142"/>
        <v>-96343.305327122813</v>
      </c>
      <c r="FP85" s="208">
        <f t="shared" si="142"/>
        <v>-99273.679150857395</v>
      </c>
      <c r="FQ85" s="208">
        <f t="shared" si="142"/>
        <v>-102293.18309855515</v>
      </c>
      <c r="FR85" s="208">
        <f t="shared" si="142"/>
        <v>-105404.52814822622</v>
      </c>
      <c r="FS85" s="208">
        <f t="shared" si="142"/>
        <v>-108610.50773487116</v>
      </c>
      <c r="FT85" s="208">
        <f t="shared" si="142"/>
        <v>-111914.00025848906</v>
      </c>
      <c r="FU85" s="208">
        <f t="shared" si="142"/>
        <v>-57227.091171980675</v>
      </c>
      <c r="FV85" s="288"/>
    </row>
    <row r="86" spans="3:178" x14ac:dyDescent="0.2">
      <c r="E86" s="224"/>
    </row>
    <row r="87" spans="3:178" s="277" customFormat="1" x14ac:dyDescent="0.2">
      <c r="C87" s="274" t="s">
        <v>91</v>
      </c>
      <c r="D87" s="275"/>
      <c r="E87" s="276">
        <f>SUM(F87:FF87)</f>
        <v>21333076.634668514</v>
      </c>
      <c r="F87" s="274">
        <f t="shared" ref="F87:AK87" si="161">SUM(F73,F79,F85)</f>
        <v>0</v>
      </c>
      <c r="G87" s="274">
        <f t="shared" si="161"/>
        <v>111981.80010937499</v>
      </c>
      <c r="H87" s="274">
        <f t="shared" si="161"/>
        <v>112261.75460964843</v>
      </c>
      <c r="I87" s="274">
        <f t="shared" si="161"/>
        <v>112542.40899617255</v>
      </c>
      <c r="J87" s="274">
        <f t="shared" si="161"/>
        <v>112823.76501866296</v>
      </c>
      <c r="K87" s="274">
        <f t="shared" si="161"/>
        <v>113105.82443120964</v>
      </c>
      <c r="L87" s="274">
        <f t="shared" si="161"/>
        <v>113388.58899228764</v>
      </c>
      <c r="M87" s="274">
        <f t="shared" si="161"/>
        <v>113672.06046476836</v>
      </c>
      <c r="N87" s="274">
        <f t="shared" si="161"/>
        <v>113956.24061593028</v>
      </c>
      <c r="O87" s="274">
        <f t="shared" si="161"/>
        <v>114241.1312174701</v>
      </c>
      <c r="P87" s="274">
        <f t="shared" si="161"/>
        <v>114526.73404551376</v>
      </c>
      <c r="Q87" s="274">
        <f t="shared" si="161"/>
        <v>114813.05088062755</v>
      </c>
      <c r="R87" s="274">
        <f t="shared" si="161"/>
        <v>115100.08350782911</v>
      </c>
      <c r="S87" s="274">
        <f t="shared" si="161"/>
        <v>115387.83371659869</v>
      </c>
      <c r="T87" s="274">
        <f t="shared" si="161"/>
        <v>115676.30330089017</v>
      </c>
      <c r="U87" s="274">
        <f t="shared" si="161"/>
        <v>115965.49405914238</v>
      </c>
      <c r="V87" s="274">
        <f t="shared" si="161"/>
        <v>116255.40779429024</v>
      </c>
      <c r="W87" s="274">
        <f t="shared" si="161"/>
        <v>116546.04631377595</v>
      </c>
      <c r="X87" s="274">
        <f t="shared" si="161"/>
        <v>116837.41142956039</v>
      </c>
      <c r="Y87" s="274">
        <f t="shared" si="161"/>
        <v>117129.50495813429</v>
      </c>
      <c r="Z87" s="274">
        <f t="shared" si="161"/>
        <v>117422.32872052962</v>
      </c>
      <c r="AA87" s="274">
        <f t="shared" si="161"/>
        <v>117715.88454233095</v>
      </c>
      <c r="AB87" s="274">
        <f t="shared" si="161"/>
        <v>118010.17425368678</v>
      </c>
      <c r="AC87" s="274">
        <f t="shared" si="161"/>
        <v>118305.19968932099</v>
      </c>
      <c r="AD87" s="274">
        <f t="shared" si="161"/>
        <v>118600.96268854427</v>
      </c>
      <c r="AE87" s="274">
        <f t="shared" si="161"/>
        <v>118897.46509526564</v>
      </c>
      <c r="AF87" s="274">
        <f t="shared" si="161"/>
        <v>119194.70875800381</v>
      </c>
      <c r="AG87" s="274">
        <f t="shared" si="161"/>
        <v>119492.6955298988</v>
      </c>
      <c r="AH87" s="274">
        <f t="shared" si="161"/>
        <v>119791.42726872355</v>
      </c>
      <c r="AI87" s="274">
        <f t="shared" si="161"/>
        <v>120090.90583689534</v>
      </c>
      <c r="AJ87" s="274">
        <f t="shared" si="161"/>
        <v>120391.13310148759</v>
      </c>
      <c r="AK87" s="274">
        <f t="shared" si="161"/>
        <v>120692.11093424128</v>
      </c>
      <c r="AL87" s="274">
        <f t="shared" ref="AL87:BQ87" si="162">SUM(AL73,AL79,AL85)</f>
        <v>120993.84121157689</v>
      </c>
      <c r="AM87" s="274">
        <f t="shared" si="162"/>
        <v>121296.32581460584</v>
      </c>
      <c r="AN87" s="274">
        <f t="shared" si="162"/>
        <v>121599.56662914233</v>
      </c>
      <c r="AO87" s="274">
        <f t="shared" si="162"/>
        <v>121903.56554571519</v>
      </c>
      <c r="AP87" s="274">
        <f t="shared" si="162"/>
        <v>122208.32445957947</v>
      </c>
      <c r="AQ87" s="274">
        <f t="shared" si="162"/>
        <v>122513.8452707284</v>
      </c>
      <c r="AR87" s="274">
        <f t="shared" si="162"/>
        <v>122820.12988390522</v>
      </c>
      <c r="AS87" s="274">
        <f t="shared" si="162"/>
        <v>123127.180208615</v>
      </c>
      <c r="AT87" s="274">
        <f t="shared" si="162"/>
        <v>123434.99815913652</v>
      </c>
      <c r="AU87" s="274">
        <f t="shared" si="162"/>
        <v>123743.58565453434</v>
      </c>
      <c r="AV87" s="274">
        <f t="shared" si="162"/>
        <v>124052.94461867068</v>
      </c>
      <c r="AW87" s="274">
        <f t="shared" si="162"/>
        <v>124363.07698021733</v>
      </c>
      <c r="AX87" s="274">
        <f t="shared" si="162"/>
        <v>124673.98467266787</v>
      </c>
      <c r="AY87" s="274">
        <f t="shared" si="162"/>
        <v>124985.66963434954</v>
      </c>
      <c r="AZ87" s="274">
        <f t="shared" si="162"/>
        <v>125298.13380843542</v>
      </c>
      <c r="BA87" s="274">
        <f t="shared" si="162"/>
        <v>125611.37914295653</v>
      </c>
      <c r="BB87" s="274">
        <f t="shared" si="162"/>
        <v>125925.40759081392</v>
      </c>
      <c r="BC87" s="274">
        <f t="shared" si="162"/>
        <v>126240.22110979093</v>
      </c>
      <c r="BD87" s="274">
        <f t="shared" si="162"/>
        <v>126555.82166256539</v>
      </c>
      <c r="BE87" s="274">
        <f t="shared" si="162"/>
        <v>126872.21121672181</v>
      </c>
      <c r="BF87" s="274">
        <f t="shared" si="162"/>
        <v>127189.39174476356</v>
      </c>
      <c r="BG87" s="274">
        <f t="shared" si="162"/>
        <v>127507.36522412549</v>
      </c>
      <c r="BH87" s="274">
        <f t="shared" si="162"/>
        <v>127826.13363718581</v>
      </c>
      <c r="BI87" s="274">
        <f t="shared" si="162"/>
        <v>128145.69897127878</v>
      </c>
      <c r="BJ87" s="274">
        <f t="shared" si="162"/>
        <v>128466.06321870696</v>
      </c>
      <c r="BK87" s="274">
        <f t="shared" si="162"/>
        <v>128787.2283767537</v>
      </c>
      <c r="BL87" s="274">
        <f t="shared" si="162"/>
        <v>129109.19644769558</v>
      </c>
      <c r="BM87" s="274">
        <f t="shared" si="162"/>
        <v>129431.96943881481</v>
      </c>
      <c r="BN87" s="274">
        <f t="shared" si="162"/>
        <v>129755.54936241182</v>
      </c>
      <c r="BO87" s="274">
        <f t="shared" si="162"/>
        <v>130079.93823581784</v>
      </c>
      <c r="BP87" s="274">
        <f t="shared" si="162"/>
        <v>130405.13808140738</v>
      </c>
      <c r="BQ87" s="274">
        <f t="shared" si="162"/>
        <v>130731.15092661088</v>
      </c>
      <c r="BR87" s="274">
        <f t="shared" ref="BR87:CW87" si="163">SUM(BR73,BR79,BR85)</f>
        <v>131057.97880392741</v>
      </c>
      <c r="BS87" s="274">
        <f t="shared" si="163"/>
        <v>131385.62375093723</v>
      </c>
      <c r="BT87" s="274">
        <f t="shared" si="163"/>
        <v>131714.08781031455</v>
      </c>
      <c r="BU87" s="274">
        <f t="shared" si="163"/>
        <v>132043.37302984035</v>
      </c>
      <c r="BV87" s="274">
        <f t="shared" si="163"/>
        <v>132373.48146241496</v>
      </c>
      <c r="BW87" s="274">
        <f t="shared" si="163"/>
        <v>132704.41516607098</v>
      </c>
      <c r="BX87" s="274">
        <f t="shared" si="163"/>
        <v>133036.17620398611</v>
      </c>
      <c r="BY87" s="274">
        <f t="shared" si="163"/>
        <v>133368.76664449606</v>
      </c>
      <c r="BZ87" s="274">
        <f t="shared" si="163"/>
        <v>133702.18856110729</v>
      </c>
      <c r="CA87" s="274">
        <f t="shared" si="163"/>
        <v>134036.44403251004</v>
      </c>
      <c r="CB87" s="274">
        <f t="shared" si="163"/>
        <v>134371.53514259134</v>
      </c>
      <c r="CC87" s="274">
        <f t="shared" si="163"/>
        <v>134707.46398044779</v>
      </c>
      <c r="CD87" s="274">
        <f t="shared" si="163"/>
        <v>135044.23264039893</v>
      </c>
      <c r="CE87" s="274">
        <f t="shared" si="163"/>
        <v>135381.84322199994</v>
      </c>
      <c r="CF87" s="274">
        <f t="shared" si="163"/>
        <v>135720.29783005491</v>
      </c>
      <c r="CG87" s="274">
        <f t="shared" si="163"/>
        <v>136059.59857463001</v>
      </c>
      <c r="CH87" s="274">
        <f t="shared" si="163"/>
        <v>136399.7475710666</v>
      </c>
      <c r="CI87" s="274">
        <f t="shared" si="163"/>
        <v>136740.74693999428</v>
      </c>
      <c r="CJ87" s="274">
        <f t="shared" si="163"/>
        <v>137082.59880734421</v>
      </c>
      <c r="CK87" s="274">
        <f t="shared" si="163"/>
        <v>137425.30530436261</v>
      </c>
      <c r="CL87" s="274">
        <f t="shared" si="163"/>
        <v>137768.86856762352</v>
      </c>
      <c r="CM87" s="274">
        <f t="shared" si="163"/>
        <v>138113.29073904251</v>
      </c>
      <c r="CN87" s="274">
        <f t="shared" si="163"/>
        <v>138458.57396589013</v>
      </c>
      <c r="CO87" s="274">
        <f t="shared" si="163"/>
        <v>138804.72040080486</v>
      </c>
      <c r="CP87" s="274">
        <f t="shared" si="163"/>
        <v>139151.73220180685</v>
      </c>
      <c r="CQ87" s="274">
        <f t="shared" si="163"/>
        <v>139499.61153231136</v>
      </c>
      <c r="CR87" s="274">
        <f t="shared" si="163"/>
        <v>139848.36056114215</v>
      </c>
      <c r="CS87" s="274">
        <f t="shared" si="163"/>
        <v>140197.98146254499</v>
      </c>
      <c r="CT87" s="274">
        <f t="shared" si="163"/>
        <v>140548.47641620136</v>
      </c>
      <c r="CU87" s="274">
        <f t="shared" si="163"/>
        <v>140899.84760724186</v>
      </c>
      <c r="CV87" s="274">
        <f t="shared" si="163"/>
        <v>141252.09722625994</v>
      </c>
      <c r="CW87" s="274">
        <f t="shared" si="163"/>
        <v>141605.22746932559</v>
      </c>
      <c r="CX87" s="274">
        <f t="shared" ref="CX87:EC87" si="164">SUM(CX73,CX79,CX85)</f>
        <v>141959.24053799888</v>
      </c>
      <c r="CY87" s="274">
        <f t="shared" si="164"/>
        <v>142314.1386393439</v>
      </c>
      <c r="CZ87" s="274">
        <f t="shared" si="164"/>
        <v>142669.92398594224</v>
      </c>
      <c r="DA87" s="274">
        <f t="shared" si="164"/>
        <v>143026.59879590705</v>
      </c>
      <c r="DB87" s="274">
        <f t="shared" si="164"/>
        <v>143384.1652928968</v>
      </c>
      <c r="DC87" s="274">
        <f t="shared" si="164"/>
        <v>143742.62570612907</v>
      </c>
      <c r="DD87" s="274">
        <f t="shared" si="164"/>
        <v>144101.98227039439</v>
      </c>
      <c r="DE87" s="274">
        <f t="shared" si="164"/>
        <v>144462.23722607034</v>
      </c>
      <c r="DF87" s="274">
        <f t="shared" si="164"/>
        <v>144823.39281913554</v>
      </c>
      <c r="DG87" s="274">
        <f t="shared" si="164"/>
        <v>145185.45130118335</v>
      </c>
      <c r="DH87" s="274">
        <f t="shared" si="164"/>
        <v>145548.41492943629</v>
      </c>
      <c r="DI87" s="274">
        <f t="shared" si="164"/>
        <v>145912.2859667599</v>
      </c>
      <c r="DJ87" s="274">
        <f t="shared" si="164"/>
        <v>146277.06668167675</v>
      </c>
      <c r="DK87" s="274">
        <f t="shared" si="164"/>
        <v>146642.75934838096</v>
      </c>
      <c r="DL87" s="274">
        <f t="shared" si="164"/>
        <v>147009.36624675192</v>
      </c>
      <c r="DM87" s="274">
        <f t="shared" si="164"/>
        <v>147376.88966236875</v>
      </c>
      <c r="DN87" s="274">
        <f t="shared" si="164"/>
        <v>147745.33188652465</v>
      </c>
      <c r="DO87" s="274">
        <f t="shared" si="164"/>
        <v>148114.69521624097</v>
      </c>
      <c r="DP87" s="274">
        <f t="shared" si="164"/>
        <v>148484.98195428154</v>
      </c>
      <c r="DQ87" s="274">
        <f t="shared" si="164"/>
        <v>148856.19440916725</v>
      </c>
      <c r="DR87" s="274">
        <f t="shared" si="164"/>
        <v>149228.33489519017</v>
      </c>
      <c r="DS87" s="274">
        <f t="shared" si="164"/>
        <v>149601.40573242813</v>
      </c>
      <c r="DT87" s="274">
        <f t="shared" si="164"/>
        <v>149975.4092467592</v>
      </c>
      <c r="DU87" s="274">
        <f t="shared" si="164"/>
        <v>150350.34776987607</v>
      </c>
      <c r="DV87" s="274">
        <f t="shared" si="164"/>
        <v>150726.22363930079</v>
      </c>
      <c r="DW87" s="274">
        <f t="shared" si="164"/>
        <v>151103.039198399</v>
      </c>
      <c r="DX87" s="274">
        <f t="shared" si="164"/>
        <v>151480.79679639501</v>
      </c>
      <c r="DY87" s="274">
        <f t="shared" si="164"/>
        <v>151859.49878838597</v>
      </c>
      <c r="DZ87" s="274">
        <f t="shared" si="164"/>
        <v>152239.1475353569</v>
      </c>
      <c r="EA87" s="274">
        <f t="shared" si="164"/>
        <v>152619.74540419527</v>
      </c>
      <c r="EB87" s="274">
        <f t="shared" si="164"/>
        <v>153001.29476770578</v>
      </c>
      <c r="EC87" s="274">
        <f t="shared" si="164"/>
        <v>153383.79800462504</v>
      </c>
      <c r="ED87" s="274">
        <f t="shared" ref="ED87:FF87" si="165">SUM(ED73,ED79,ED85)</f>
        <v>153767.25749963659</v>
      </c>
      <c r="EE87" s="274">
        <f t="shared" si="165"/>
        <v>154151.67564338571</v>
      </c>
      <c r="EF87" s="274">
        <f t="shared" si="165"/>
        <v>154537.05483249418</v>
      </c>
      <c r="EG87" s="274">
        <f t="shared" si="165"/>
        <v>154923.39746957537</v>
      </c>
      <c r="EH87" s="274">
        <f t="shared" si="165"/>
        <v>155310.70596324932</v>
      </c>
      <c r="EI87" s="274">
        <f t="shared" si="165"/>
        <v>155698.98272815743</v>
      </c>
      <c r="EJ87" s="274">
        <f t="shared" si="165"/>
        <v>156088.23018497782</v>
      </c>
      <c r="EK87" s="274">
        <f t="shared" si="165"/>
        <v>156478.45076044023</v>
      </c>
      <c r="EL87" s="274">
        <f t="shared" si="165"/>
        <v>156869.64688734134</v>
      </c>
      <c r="EM87" s="274">
        <f t="shared" si="165"/>
        <v>157261.82100455966</v>
      </c>
      <c r="EN87" s="274">
        <f t="shared" si="165"/>
        <v>157654.97555707104</v>
      </c>
      <c r="EO87" s="274">
        <f t="shared" si="165"/>
        <v>158049.11299596375</v>
      </c>
      <c r="EP87" s="274">
        <f t="shared" si="165"/>
        <v>158444.23577845361</v>
      </c>
      <c r="EQ87" s="274">
        <f t="shared" si="165"/>
        <v>158840.34636789977</v>
      </c>
      <c r="ER87" s="274">
        <f t="shared" si="165"/>
        <v>159237.44723381949</v>
      </c>
      <c r="ES87" s="274">
        <f t="shared" si="165"/>
        <v>159635.54085190405</v>
      </c>
      <c r="ET87" s="274">
        <f t="shared" si="165"/>
        <v>160034.62970403378</v>
      </c>
      <c r="EU87" s="274">
        <f t="shared" si="165"/>
        <v>160434.71627829387</v>
      </c>
      <c r="EV87" s="274">
        <f t="shared" si="165"/>
        <v>160835.80306898957</v>
      </c>
      <c r="EW87" s="274">
        <f t="shared" si="165"/>
        <v>161237.89257666207</v>
      </c>
      <c r="EX87" s="274">
        <f t="shared" si="165"/>
        <v>161640.98730810368</v>
      </c>
      <c r="EY87" s="274">
        <f t="shared" si="165"/>
        <v>162045.0897763739</v>
      </c>
      <c r="EZ87" s="274">
        <f t="shared" si="165"/>
        <v>162450.20250081486</v>
      </c>
      <c r="FA87" s="274">
        <f t="shared" si="165"/>
        <v>162856.32800706688</v>
      </c>
      <c r="FB87" s="274">
        <f t="shared" si="165"/>
        <v>163263.46882708455</v>
      </c>
      <c r="FC87" s="274">
        <f t="shared" si="165"/>
        <v>163671.62749915224</v>
      </c>
      <c r="FD87" s="274">
        <f t="shared" si="165"/>
        <v>164080.80656790012</v>
      </c>
      <c r="FE87" s="274">
        <f t="shared" si="165"/>
        <v>164491.00858431985</v>
      </c>
      <c r="FF87" s="274">
        <f t="shared" si="165"/>
        <v>164902.23610578064</v>
      </c>
      <c r="FG87" s="288"/>
      <c r="FH87" s="274">
        <f>SUMIF($F$54:$FF$54,FH$54,$F87:$FF87)</f>
        <v>676104.14215735614</v>
      </c>
      <c r="FI87" s="274">
        <f t="shared" ref="FI87:FU87" si="166">SUMIF($F$54:$FF$54,FI$54,$F87:$FF87)</f>
        <v>1382977.7973463973</v>
      </c>
      <c r="FJ87" s="274">
        <f t="shared" si="166"/>
        <v>1425042.3904428214</v>
      </c>
      <c r="FK87" s="274">
        <f t="shared" si="166"/>
        <v>1468386.4183904512</v>
      </c>
      <c r="FL87" s="274">
        <f t="shared" si="166"/>
        <v>1513048.7964245938</v>
      </c>
      <c r="FM87" s="274">
        <f t="shared" si="166"/>
        <v>1559069.6234246767</v>
      </c>
      <c r="FN87" s="274">
        <f t="shared" si="166"/>
        <v>1606490.2179159184</v>
      </c>
      <c r="FO87" s="274">
        <f t="shared" si="166"/>
        <v>1655353.1551660192</v>
      </c>
      <c r="FP87" s="274">
        <f t="shared" si="166"/>
        <v>1705702.3054101858</v>
      </c>
      <c r="FQ87" s="274">
        <f t="shared" si="166"/>
        <v>1757582.8732388108</v>
      </c>
      <c r="FR87" s="274">
        <f t="shared" si="166"/>
        <v>1811041.4381831593</v>
      </c>
      <c r="FS87" s="274">
        <f t="shared" si="166"/>
        <v>1866125.996535514</v>
      </c>
      <c r="FT87" s="274">
        <f t="shared" si="166"/>
        <v>1922886.0044413125</v>
      </c>
      <c r="FU87" s="274">
        <f t="shared" si="166"/>
        <v>983265.47559130425</v>
      </c>
      <c r="FV87" s="288"/>
    </row>
    <row r="88" spans="3:178" x14ac:dyDescent="0.2">
      <c r="E88" s="224"/>
      <c r="F88" s="237"/>
      <c r="G88" s="237"/>
      <c r="H88" s="237"/>
      <c r="I88" s="237"/>
      <c r="J88" s="237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  <c r="AA88" s="237"/>
      <c r="AB88" s="237"/>
      <c r="AC88" s="237"/>
      <c r="AD88" s="237"/>
      <c r="AE88" s="237"/>
      <c r="AF88" s="237"/>
      <c r="AG88" s="237"/>
      <c r="AH88" s="237"/>
      <c r="AI88" s="237"/>
      <c r="AJ88" s="237"/>
      <c r="AK88" s="237"/>
      <c r="AL88" s="237"/>
      <c r="AM88" s="237"/>
      <c r="AN88" s="237"/>
      <c r="AO88" s="237"/>
      <c r="AP88" s="237"/>
      <c r="AQ88" s="237"/>
      <c r="AR88" s="237"/>
      <c r="AS88" s="237"/>
      <c r="AT88" s="237"/>
      <c r="AU88" s="237"/>
      <c r="AV88" s="237"/>
      <c r="AW88" s="237"/>
      <c r="AX88" s="237"/>
      <c r="AY88" s="237"/>
      <c r="AZ88" s="237"/>
      <c r="BA88" s="237"/>
      <c r="BB88" s="237"/>
      <c r="BC88" s="237"/>
      <c r="BD88" s="237"/>
      <c r="BE88" s="237"/>
      <c r="BF88" s="237"/>
      <c r="BG88" s="237"/>
      <c r="BH88" s="237"/>
      <c r="BI88" s="237"/>
      <c r="BJ88" s="237"/>
      <c r="BK88" s="237"/>
      <c r="BL88" s="237"/>
      <c r="BM88" s="237"/>
      <c r="BN88" s="237"/>
      <c r="BO88" s="237"/>
      <c r="BP88" s="237"/>
      <c r="BQ88" s="237"/>
      <c r="BR88" s="237"/>
      <c r="BS88" s="237"/>
      <c r="BT88" s="237"/>
      <c r="BU88" s="237"/>
      <c r="BV88" s="237"/>
      <c r="BW88" s="237"/>
      <c r="BX88" s="237"/>
      <c r="BY88" s="237"/>
      <c r="BZ88" s="237"/>
      <c r="CA88" s="237"/>
      <c r="CB88" s="237"/>
      <c r="CC88" s="237"/>
      <c r="CD88" s="237"/>
      <c r="CE88" s="237"/>
      <c r="CF88" s="237"/>
      <c r="CG88" s="237"/>
      <c r="CH88" s="237"/>
      <c r="CI88" s="237"/>
      <c r="CJ88" s="237"/>
      <c r="CK88" s="237"/>
      <c r="CL88" s="237"/>
      <c r="CM88" s="237"/>
      <c r="CN88" s="237"/>
      <c r="CO88" s="237"/>
      <c r="CP88" s="237"/>
      <c r="CQ88" s="237"/>
      <c r="CR88" s="237"/>
      <c r="CS88" s="237"/>
      <c r="CT88" s="237"/>
      <c r="CU88" s="237"/>
      <c r="CV88" s="237"/>
      <c r="CW88" s="237"/>
      <c r="CX88" s="237"/>
      <c r="CY88" s="237"/>
      <c r="CZ88" s="237"/>
      <c r="DA88" s="237"/>
      <c r="DB88" s="237"/>
      <c r="DC88" s="237"/>
      <c r="DD88" s="237"/>
      <c r="DE88" s="237"/>
      <c r="DF88" s="237"/>
      <c r="DG88" s="237"/>
      <c r="DH88" s="237"/>
      <c r="DI88" s="237"/>
      <c r="DJ88" s="237"/>
      <c r="DK88" s="237"/>
      <c r="DL88" s="237"/>
      <c r="DM88" s="237"/>
      <c r="DN88" s="237"/>
      <c r="DO88" s="237"/>
      <c r="DP88" s="237"/>
      <c r="DQ88" s="237"/>
      <c r="DR88" s="237"/>
      <c r="DS88" s="237"/>
      <c r="DT88" s="237"/>
      <c r="DU88" s="237"/>
      <c r="DV88" s="237"/>
      <c r="DW88" s="237"/>
      <c r="DX88" s="237"/>
      <c r="DY88" s="237"/>
      <c r="DZ88" s="237"/>
      <c r="EA88" s="237"/>
      <c r="EB88" s="237"/>
      <c r="EC88" s="237"/>
      <c r="ED88" s="237"/>
      <c r="EE88" s="237"/>
      <c r="EF88" s="237"/>
      <c r="EG88" s="237"/>
      <c r="EH88" s="237"/>
      <c r="EI88" s="237"/>
      <c r="EJ88" s="237"/>
      <c r="EK88" s="237"/>
      <c r="EL88" s="237"/>
      <c r="EM88" s="237"/>
      <c r="EN88" s="237"/>
      <c r="EO88" s="237"/>
      <c r="EP88" s="237"/>
      <c r="EQ88" s="237"/>
      <c r="ER88" s="237"/>
      <c r="ES88" s="237"/>
      <c r="ET88" s="237"/>
      <c r="EU88" s="237"/>
      <c r="EV88" s="237"/>
      <c r="EW88" s="237"/>
      <c r="EX88" s="237"/>
      <c r="EY88" s="237"/>
      <c r="EZ88" s="237"/>
      <c r="FA88" s="237"/>
      <c r="FB88" s="237"/>
      <c r="FC88" s="237"/>
      <c r="FD88" s="237"/>
      <c r="FE88" s="237"/>
      <c r="FF88" s="237"/>
      <c r="FG88" s="322"/>
      <c r="FH88" s="237"/>
      <c r="FI88" s="237"/>
      <c r="FJ88" s="237"/>
      <c r="FK88" s="237"/>
      <c r="FL88" s="237"/>
      <c r="FM88" s="237"/>
      <c r="FN88" s="237"/>
      <c r="FO88" s="237"/>
      <c r="FP88" s="237"/>
      <c r="FQ88" s="237"/>
      <c r="FR88" s="237"/>
      <c r="FS88" s="237"/>
      <c r="FT88" s="237"/>
      <c r="FU88" s="237"/>
      <c r="FV88" s="322"/>
    </row>
    <row r="89" spans="3:178" x14ac:dyDescent="0.2">
      <c r="C89" s="229" t="s">
        <v>6</v>
      </c>
      <c r="D89" s="229"/>
      <c r="E89" s="224"/>
    </row>
    <row r="90" spans="3:178" x14ac:dyDescent="0.2">
      <c r="C90" s="47" t="s">
        <v>45</v>
      </c>
      <c r="D90" s="239" t="s">
        <v>64</v>
      </c>
      <c r="E90" s="240" t="s">
        <v>5</v>
      </c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/>
      <c r="AT90" s="163"/>
      <c r="AU90" s="163"/>
      <c r="AV90" s="163"/>
      <c r="AW90" s="163"/>
      <c r="AX90" s="163"/>
      <c r="AY90" s="163"/>
      <c r="AZ90" s="163"/>
      <c r="BA90" s="163"/>
      <c r="BB90" s="163"/>
      <c r="BC90" s="163"/>
      <c r="BD90" s="163"/>
      <c r="BE90" s="163"/>
      <c r="BF90" s="163"/>
      <c r="BG90" s="163"/>
      <c r="BH90" s="163"/>
      <c r="BI90" s="163"/>
      <c r="BJ90" s="163"/>
      <c r="BK90" s="163"/>
      <c r="BL90" s="163"/>
      <c r="BM90" s="163"/>
      <c r="BN90" s="163"/>
      <c r="BO90" s="163"/>
      <c r="BP90" s="163"/>
      <c r="BQ90" s="163"/>
      <c r="BR90" s="163"/>
      <c r="BS90" s="163"/>
      <c r="BT90" s="163"/>
      <c r="BU90" s="163"/>
      <c r="BV90" s="163"/>
      <c r="BW90" s="163"/>
      <c r="BX90" s="163"/>
      <c r="BY90" s="163"/>
      <c r="BZ90" s="163"/>
      <c r="CA90" s="163"/>
      <c r="CB90" s="163"/>
      <c r="CC90" s="163"/>
      <c r="CD90" s="163"/>
      <c r="CE90" s="163"/>
      <c r="CF90" s="163"/>
      <c r="CG90" s="163"/>
      <c r="CH90" s="163"/>
      <c r="CI90" s="163"/>
      <c r="CJ90" s="163"/>
      <c r="CK90" s="163"/>
      <c r="CL90" s="163"/>
      <c r="CM90" s="163"/>
      <c r="CN90" s="163"/>
      <c r="CO90" s="163"/>
      <c r="CP90" s="163"/>
      <c r="CQ90" s="163"/>
      <c r="CR90" s="163"/>
      <c r="CS90" s="163"/>
      <c r="CT90" s="163"/>
      <c r="CU90" s="163"/>
      <c r="CV90" s="163"/>
      <c r="CW90" s="163"/>
      <c r="CX90" s="163"/>
      <c r="CY90" s="163"/>
      <c r="CZ90" s="163"/>
      <c r="DA90" s="163"/>
      <c r="DB90" s="163"/>
      <c r="DC90" s="163"/>
      <c r="DD90" s="163"/>
      <c r="DE90" s="163"/>
      <c r="DF90" s="163"/>
      <c r="DG90" s="163"/>
      <c r="DH90" s="163"/>
      <c r="DI90" s="163"/>
      <c r="DJ90" s="163"/>
      <c r="DK90" s="163"/>
      <c r="DL90" s="163"/>
      <c r="DM90" s="163"/>
      <c r="DN90" s="163"/>
      <c r="DO90" s="163"/>
      <c r="DP90" s="163"/>
      <c r="DQ90" s="163"/>
      <c r="DR90" s="163"/>
      <c r="DS90" s="163"/>
      <c r="DT90" s="163"/>
      <c r="DU90" s="163"/>
      <c r="DV90" s="163"/>
      <c r="DW90" s="163"/>
      <c r="DX90" s="163"/>
      <c r="DY90" s="163"/>
      <c r="DZ90" s="163"/>
      <c r="EA90" s="163"/>
      <c r="EB90" s="163"/>
      <c r="EC90" s="163"/>
      <c r="ED90" s="163"/>
      <c r="EE90" s="163"/>
      <c r="EF90" s="163"/>
      <c r="EG90" s="163"/>
      <c r="EH90" s="163"/>
      <c r="EI90" s="163"/>
      <c r="EJ90" s="163"/>
      <c r="EK90" s="163"/>
      <c r="EL90" s="163"/>
      <c r="EM90" s="163"/>
      <c r="EN90" s="163"/>
      <c r="EO90" s="163"/>
      <c r="EP90" s="163"/>
      <c r="EQ90" s="163"/>
      <c r="ER90" s="163"/>
      <c r="ES90" s="163"/>
      <c r="ET90" s="163"/>
      <c r="EU90" s="163"/>
      <c r="EV90" s="163"/>
      <c r="EW90" s="163"/>
      <c r="EX90" s="163"/>
      <c r="EY90" s="163"/>
      <c r="EZ90" s="163"/>
      <c r="FA90" s="163"/>
      <c r="FB90" s="163"/>
      <c r="FC90" s="163"/>
      <c r="FD90" s="163"/>
      <c r="FE90" s="163"/>
      <c r="FF90" s="163"/>
      <c r="FG90" s="314"/>
      <c r="FH90" s="163"/>
      <c r="FI90" s="163"/>
      <c r="FJ90" s="163"/>
      <c r="FK90" s="163"/>
      <c r="FL90" s="163"/>
      <c r="FM90" s="163"/>
      <c r="FN90" s="163"/>
      <c r="FO90" s="163"/>
      <c r="FP90" s="163"/>
      <c r="FQ90" s="163"/>
      <c r="FR90" s="163"/>
      <c r="FS90" s="163"/>
      <c r="FT90" s="163"/>
      <c r="FU90" s="163"/>
      <c r="FV90" s="314"/>
    </row>
    <row r="91" spans="3:178" x14ac:dyDescent="0.2">
      <c r="C91" s="39" t="str">
        <f t="shared" ref="C91:C97" si="167">IF(S28&lt;&gt;"",S28,"")</f>
        <v>Payroll</v>
      </c>
      <c r="D91" s="232">
        <f t="shared" ref="D91:D97" si="168">V28</f>
        <v>6850</v>
      </c>
      <c r="E91" s="231">
        <f t="shared" ref="E91:E98" si="169">SUM(F91:FF91)</f>
        <v>6868158.4386413461</v>
      </c>
      <c r="F91" s="232">
        <v>0</v>
      </c>
      <c r="G91" s="232">
        <f t="shared" ref="G91:P97" si="170">$D91/12*G$63*$N$13</f>
        <v>36052.40625</v>
      </c>
      <c r="H91" s="232">
        <f t="shared" si="170"/>
        <v>36142.537265624997</v>
      </c>
      <c r="I91" s="232">
        <f t="shared" si="170"/>
        <v>36232.893608789054</v>
      </c>
      <c r="J91" s="232">
        <f t="shared" si="170"/>
        <v>36323.475842811029</v>
      </c>
      <c r="K91" s="232">
        <f t="shared" si="170"/>
        <v>36414.28453241806</v>
      </c>
      <c r="L91" s="232">
        <f t="shared" si="170"/>
        <v>36505.320243749098</v>
      </c>
      <c r="M91" s="232">
        <f t="shared" si="170"/>
        <v>36596.583544358473</v>
      </c>
      <c r="N91" s="232">
        <f t="shared" si="170"/>
        <v>36688.075003219368</v>
      </c>
      <c r="O91" s="232">
        <f t="shared" si="170"/>
        <v>36779.795190727418</v>
      </c>
      <c r="P91" s="232">
        <f t="shared" si="170"/>
        <v>36871.744678704235</v>
      </c>
      <c r="Q91" s="232">
        <f t="shared" ref="Q91:Z97" si="171">$D91/12*Q$63*$N$13</f>
        <v>36963.924040400998</v>
      </c>
      <c r="R91" s="232">
        <f t="shared" si="171"/>
        <v>37056.333850502</v>
      </c>
      <c r="S91" s="232">
        <f t="shared" si="171"/>
        <v>37148.974685128247</v>
      </c>
      <c r="T91" s="232">
        <f t="shared" si="171"/>
        <v>37241.847121841063</v>
      </c>
      <c r="U91" s="232">
        <f t="shared" si="171"/>
        <v>37334.951739645665</v>
      </c>
      <c r="V91" s="232">
        <f t="shared" si="171"/>
        <v>37428.289118994777</v>
      </c>
      <c r="W91" s="232">
        <f t="shared" si="171"/>
        <v>37521.859841792255</v>
      </c>
      <c r="X91" s="232">
        <f t="shared" si="171"/>
        <v>37615.664491396732</v>
      </c>
      <c r="Y91" s="232">
        <f t="shared" si="171"/>
        <v>37709.703652625227</v>
      </c>
      <c r="Z91" s="232">
        <f t="shared" si="171"/>
        <v>37803.977911756789</v>
      </c>
      <c r="AA91" s="232">
        <f t="shared" ref="AA91:AJ97" si="172">$D91/12*AA$63*$N$13</f>
        <v>37898.487856536172</v>
      </c>
      <c r="AB91" s="232">
        <f t="shared" si="172"/>
        <v>37993.234076177512</v>
      </c>
      <c r="AC91" s="232">
        <f t="shared" si="172"/>
        <v>38088.217161367953</v>
      </c>
      <c r="AD91" s="232">
        <f t="shared" si="172"/>
        <v>38183.437704271368</v>
      </c>
      <c r="AE91" s="232">
        <f t="shared" si="172"/>
        <v>38278.89629853204</v>
      </c>
      <c r="AF91" s="232">
        <f t="shared" si="172"/>
        <v>38374.593539278372</v>
      </c>
      <c r="AG91" s="232">
        <f t="shared" si="172"/>
        <v>38470.530023126565</v>
      </c>
      <c r="AH91" s="232">
        <f t="shared" si="172"/>
        <v>38566.70634818438</v>
      </c>
      <c r="AI91" s="232">
        <f t="shared" si="172"/>
        <v>38663.123114054833</v>
      </c>
      <c r="AJ91" s="232">
        <f t="shared" si="172"/>
        <v>38759.780921839963</v>
      </c>
      <c r="AK91" s="232">
        <f t="shared" ref="AK91:AT97" si="173">$D91/12*AK$63*$N$13</f>
        <v>38856.680374144562</v>
      </c>
      <c r="AL91" s="232">
        <f t="shared" si="173"/>
        <v>38953.822075079923</v>
      </c>
      <c r="AM91" s="232">
        <f t="shared" si="173"/>
        <v>39051.206630267625</v>
      </c>
      <c r="AN91" s="232">
        <f t="shared" si="173"/>
        <v>39148.834646843294</v>
      </c>
      <c r="AO91" s="232">
        <f t="shared" si="173"/>
        <v>39246.7067334604</v>
      </c>
      <c r="AP91" s="232">
        <f t="shared" si="173"/>
        <v>39344.823500294049</v>
      </c>
      <c r="AQ91" s="232">
        <f t="shared" si="173"/>
        <v>39443.185559044781</v>
      </c>
      <c r="AR91" s="232">
        <f t="shared" si="173"/>
        <v>39541.793522942397</v>
      </c>
      <c r="AS91" s="232">
        <f t="shared" si="173"/>
        <v>39640.648006749747</v>
      </c>
      <c r="AT91" s="232">
        <f t="shared" si="173"/>
        <v>39739.749626766628</v>
      </c>
      <c r="AU91" s="232">
        <f t="shared" ref="AU91:BD97" si="174">$D91/12*AU$63*$N$13</f>
        <v>39839.099000833543</v>
      </c>
      <c r="AV91" s="232">
        <f t="shared" si="174"/>
        <v>39938.69674833562</v>
      </c>
      <c r="AW91" s="232">
        <f t="shared" si="174"/>
        <v>40038.543490206452</v>
      </c>
      <c r="AX91" s="232">
        <f t="shared" si="174"/>
        <v>40138.639848931962</v>
      </c>
      <c r="AY91" s="232">
        <f t="shared" si="174"/>
        <v>40238.986448554286</v>
      </c>
      <c r="AZ91" s="232">
        <f t="shared" si="174"/>
        <v>40339.583914675663</v>
      </c>
      <c r="BA91" s="232">
        <f t="shared" si="174"/>
        <v>40440.432874462356</v>
      </c>
      <c r="BB91" s="232">
        <f t="shared" si="174"/>
        <v>40541.533956648505</v>
      </c>
      <c r="BC91" s="232">
        <f t="shared" si="174"/>
        <v>40642.887791540124</v>
      </c>
      <c r="BD91" s="232">
        <f t="shared" si="174"/>
        <v>40744.495011018975</v>
      </c>
      <c r="BE91" s="232">
        <f t="shared" ref="BE91:BN97" si="175">$D91/12*BE$63*$N$13</f>
        <v>40846.356248546523</v>
      </c>
      <c r="BF91" s="232">
        <f t="shared" si="175"/>
        <v>40948.472139167883</v>
      </c>
      <c r="BG91" s="232">
        <f t="shared" si="175"/>
        <v>41050.8433195158</v>
      </c>
      <c r="BH91" s="232">
        <f t="shared" si="175"/>
        <v>41153.470427814587</v>
      </c>
      <c r="BI91" s="232">
        <f t="shared" si="175"/>
        <v>41256.354103884121</v>
      </c>
      <c r="BJ91" s="232">
        <f t="shared" si="175"/>
        <v>41359.49498914383</v>
      </c>
      <c r="BK91" s="232">
        <f t="shared" si="175"/>
        <v>41462.893726616683</v>
      </c>
      <c r="BL91" s="232">
        <f t="shared" si="175"/>
        <v>41566.550960933222</v>
      </c>
      <c r="BM91" s="232">
        <f t="shared" si="175"/>
        <v>41670.467338335562</v>
      </c>
      <c r="BN91" s="232">
        <f t="shared" si="175"/>
        <v>41774.643506681394</v>
      </c>
      <c r="BO91" s="232">
        <f t="shared" ref="BO91:BX97" si="176">$D91/12*BO$63*$N$13</f>
        <v>41879.080115448094</v>
      </c>
      <c r="BP91" s="232">
        <f t="shared" si="176"/>
        <v>41983.777815736714</v>
      </c>
      <c r="BQ91" s="232">
        <f t="shared" si="176"/>
        <v>42088.737260276052</v>
      </c>
      <c r="BR91" s="232">
        <f t="shared" si="176"/>
        <v>42193.959103426736</v>
      </c>
      <c r="BS91" s="232">
        <f t="shared" si="176"/>
        <v>42299.444001185308</v>
      </c>
      <c r="BT91" s="232">
        <f t="shared" si="176"/>
        <v>42405.192611188264</v>
      </c>
      <c r="BU91" s="232">
        <f t="shared" si="176"/>
        <v>42511.205592716229</v>
      </c>
      <c r="BV91" s="232">
        <f t="shared" si="176"/>
        <v>42617.483606698013</v>
      </c>
      <c r="BW91" s="232">
        <f t="shared" si="176"/>
        <v>42724.02731571476</v>
      </c>
      <c r="BX91" s="232">
        <f t="shared" si="176"/>
        <v>42830.837384004044</v>
      </c>
      <c r="BY91" s="232">
        <f t="shared" ref="BY91:CH97" si="177">$D91/12*BY$63*$N$13</f>
        <v>42937.914477464052</v>
      </c>
      <c r="BZ91" s="232">
        <f t="shared" si="177"/>
        <v>43045.25926365771</v>
      </c>
      <c r="CA91" s="232">
        <f t="shared" si="177"/>
        <v>43152.872411816854</v>
      </c>
      <c r="CB91" s="232">
        <f t="shared" si="177"/>
        <v>43260.754592846395</v>
      </c>
      <c r="CC91" s="232">
        <f t="shared" si="177"/>
        <v>43368.906479328514</v>
      </c>
      <c r="CD91" s="232">
        <f t="shared" si="177"/>
        <v>43477.328745526829</v>
      </c>
      <c r="CE91" s="232">
        <f t="shared" si="177"/>
        <v>43586.022067390644</v>
      </c>
      <c r="CF91" s="232">
        <f t="shared" si="177"/>
        <v>43694.98712255912</v>
      </c>
      <c r="CG91" s="232">
        <f t="shared" si="177"/>
        <v>43804.22459036552</v>
      </c>
      <c r="CH91" s="232">
        <f t="shared" si="177"/>
        <v>43913.735151841429</v>
      </c>
      <c r="CI91" s="232">
        <f t="shared" ref="CI91:CR97" si="178">$D91/12*CI$63*$N$13</f>
        <v>44023.519489721031</v>
      </c>
      <c r="CJ91" s="232">
        <f t="shared" si="178"/>
        <v>44133.578288445329</v>
      </c>
      <c r="CK91" s="232">
        <f t="shared" si="178"/>
        <v>44243.912234166448</v>
      </c>
      <c r="CL91" s="232">
        <f t="shared" si="178"/>
        <v>44354.522014751863</v>
      </c>
      <c r="CM91" s="232">
        <f t="shared" si="178"/>
        <v>44465.408319788738</v>
      </c>
      <c r="CN91" s="232">
        <f t="shared" si="178"/>
        <v>44576.571840588207</v>
      </c>
      <c r="CO91" s="232">
        <f t="shared" si="178"/>
        <v>44688.013270189673</v>
      </c>
      <c r="CP91" s="232">
        <f t="shared" si="178"/>
        <v>44799.733303365152</v>
      </c>
      <c r="CQ91" s="232">
        <f t="shared" si="178"/>
        <v>44911.732636623557</v>
      </c>
      <c r="CR91" s="232">
        <f t="shared" si="178"/>
        <v>45024.011968215105</v>
      </c>
      <c r="CS91" s="232">
        <f t="shared" ref="CS91:DB97" si="179">$D91/12*CS$63*$N$13</f>
        <v>45136.571998135652</v>
      </c>
      <c r="CT91" s="232">
        <f t="shared" si="179"/>
        <v>45249.413428130989</v>
      </c>
      <c r="CU91" s="232">
        <f t="shared" si="179"/>
        <v>45362.536961701313</v>
      </c>
      <c r="CV91" s="232">
        <f t="shared" si="179"/>
        <v>45475.94330410556</v>
      </c>
      <c r="CW91" s="232">
        <f t="shared" si="179"/>
        <v>45589.633162365819</v>
      </c>
      <c r="CX91" s="232">
        <f t="shared" si="179"/>
        <v>45703.607245271734</v>
      </c>
      <c r="CY91" s="232">
        <f t="shared" si="179"/>
        <v>45817.866263384916</v>
      </c>
      <c r="CZ91" s="232">
        <f t="shared" si="179"/>
        <v>45932.41092904337</v>
      </c>
      <c r="DA91" s="232">
        <f t="shared" si="179"/>
        <v>46047.241956365979</v>
      </c>
      <c r="DB91" s="232">
        <f t="shared" si="179"/>
        <v>46162.360061256892</v>
      </c>
      <c r="DC91" s="232">
        <f t="shared" ref="DC91:DL97" si="180">$D91/12*DC$63*$N$13</f>
        <v>46277.765961410027</v>
      </c>
      <c r="DD91" s="232">
        <f t="shared" si="180"/>
        <v>46393.460376313553</v>
      </c>
      <c r="DE91" s="232">
        <f t="shared" si="180"/>
        <v>46509.444027254336</v>
      </c>
      <c r="DF91" s="232">
        <f t="shared" si="180"/>
        <v>46625.717637322472</v>
      </c>
      <c r="DG91" s="232">
        <f t="shared" si="180"/>
        <v>46742.281931415782</v>
      </c>
      <c r="DH91" s="232">
        <f t="shared" si="180"/>
        <v>46859.137636244312</v>
      </c>
      <c r="DI91" s="232">
        <f t="shared" si="180"/>
        <v>46976.285480334918</v>
      </c>
      <c r="DJ91" s="232">
        <f t="shared" si="180"/>
        <v>47093.726194035757</v>
      </c>
      <c r="DK91" s="232">
        <f t="shared" si="180"/>
        <v>47211.460509520846</v>
      </c>
      <c r="DL91" s="232">
        <f t="shared" si="180"/>
        <v>47329.489160794641</v>
      </c>
      <c r="DM91" s="232">
        <f t="shared" ref="DM91:DV97" si="181">$D91/12*DM$63*$N$13</f>
        <v>47447.812883696628</v>
      </c>
      <c r="DN91" s="232">
        <f t="shared" si="181"/>
        <v>47566.432415905867</v>
      </c>
      <c r="DO91" s="232">
        <f t="shared" si="181"/>
        <v>47685.348496945626</v>
      </c>
      <c r="DP91" s="232">
        <f t="shared" si="181"/>
        <v>47804.561868187993</v>
      </c>
      <c r="DQ91" s="232">
        <f t="shared" si="181"/>
        <v>47924.073272858448</v>
      </c>
      <c r="DR91" s="232">
        <f t="shared" si="181"/>
        <v>48043.883456040596</v>
      </c>
      <c r="DS91" s="232">
        <f t="shared" si="181"/>
        <v>48163.993164680694</v>
      </c>
      <c r="DT91" s="232">
        <f t="shared" si="181"/>
        <v>48284.403147592391</v>
      </c>
      <c r="DU91" s="232">
        <f t="shared" si="181"/>
        <v>48405.114155461379</v>
      </c>
      <c r="DV91" s="232">
        <f t="shared" si="181"/>
        <v>48526.12694085003</v>
      </c>
      <c r="DW91" s="232">
        <f t="shared" ref="DW91:EF97" si="182">$D91/12*DW$63*$N$13</f>
        <v>48647.442258202151</v>
      </c>
      <c r="DX91" s="232">
        <f t="shared" si="182"/>
        <v>48769.060863847655</v>
      </c>
      <c r="DY91" s="232">
        <f t="shared" si="182"/>
        <v>48890.983516007269</v>
      </c>
      <c r="DZ91" s="232">
        <f t="shared" si="182"/>
        <v>49013.210974797286</v>
      </c>
      <c r="EA91" s="232">
        <f t="shared" si="182"/>
        <v>49135.744002234278</v>
      </c>
      <c r="EB91" s="232">
        <f t="shared" si="182"/>
        <v>49258.583362239857</v>
      </c>
      <c r="EC91" s="232">
        <f t="shared" si="182"/>
        <v>49381.729820645458</v>
      </c>
      <c r="ED91" s="232">
        <f t="shared" si="182"/>
        <v>49505.184145197069</v>
      </c>
      <c r="EE91" s="232">
        <f t="shared" si="182"/>
        <v>49628.947105560059</v>
      </c>
      <c r="EF91" s="232">
        <f t="shared" si="182"/>
        <v>49753.019473323955</v>
      </c>
      <c r="EG91" s="232">
        <f t="shared" ref="EG91:EP97" si="183">$D91/12*EG$63*$N$13</f>
        <v>49877.402022007263</v>
      </c>
      <c r="EH91" s="232">
        <f t="shared" si="183"/>
        <v>50002.095527062273</v>
      </c>
      <c r="EI91" s="232">
        <f t="shared" si="183"/>
        <v>50127.100765879921</v>
      </c>
      <c r="EJ91" s="232">
        <f t="shared" si="183"/>
        <v>50252.41851779462</v>
      </c>
      <c r="EK91" s="232">
        <f t="shared" si="183"/>
        <v>50378.049564089102</v>
      </c>
      <c r="EL91" s="232">
        <f t="shared" si="183"/>
        <v>50503.994687999322</v>
      </c>
      <c r="EM91" s="232">
        <f t="shared" si="183"/>
        <v>50630.254674719319</v>
      </c>
      <c r="EN91" s="232">
        <f t="shared" si="183"/>
        <v>50756.830311406113</v>
      </c>
      <c r="EO91" s="232">
        <f t="shared" si="183"/>
        <v>50883.722387184622</v>
      </c>
      <c r="EP91" s="232">
        <f t="shared" si="183"/>
        <v>51010.931693152575</v>
      </c>
      <c r="EQ91" s="232">
        <f t="shared" ref="EQ91:EZ97" si="184">$D91/12*EQ$63*$N$13</f>
        <v>51138.459022385454</v>
      </c>
      <c r="ER91" s="232">
        <f t="shared" si="184"/>
        <v>51266.305169941428</v>
      </c>
      <c r="ES91" s="232">
        <f t="shared" si="184"/>
        <v>51394.470932866272</v>
      </c>
      <c r="ET91" s="232">
        <f t="shared" si="184"/>
        <v>51522.957110198433</v>
      </c>
      <c r="EU91" s="232">
        <f t="shared" si="184"/>
        <v>51651.764502973929</v>
      </c>
      <c r="EV91" s="232">
        <f t="shared" si="184"/>
        <v>51780.893914231368</v>
      </c>
      <c r="EW91" s="232">
        <f t="shared" si="184"/>
        <v>51910.346149016936</v>
      </c>
      <c r="EX91" s="232">
        <f t="shared" si="184"/>
        <v>52040.122014389483</v>
      </c>
      <c r="EY91" s="232">
        <f t="shared" si="184"/>
        <v>52170.222319425447</v>
      </c>
      <c r="EZ91" s="232">
        <f t="shared" si="184"/>
        <v>52300.647875224007</v>
      </c>
      <c r="FA91" s="232">
        <f t="shared" ref="FA91:FF97" si="185">$D91/12*FA$63*$N$13</f>
        <v>52431.399494912068</v>
      </c>
      <c r="FB91" s="232">
        <f t="shared" si="185"/>
        <v>52562.477993649343</v>
      </c>
      <c r="FC91" s="232">
        <f t="shared" si="185"/>
        <v>52693.88418863347</v>
      </c>
      <c r="FD91" s="232">
        <f t="shared" si="185"/>
        <v>52825.618899105044</v>
      </c>
      <c r="FE91" s="232">
        <f t="shared" si="185"/>
        <v>52957.682946352805</v>
      </c>
      <c r="FF91" s="232">
        <f t="shared" si="185"/>
        <v>53090.077153718681</v>
      </c>
      <c r="FG91" s="321"/>
      <c r="FH91" s="232">
        <f t="shared" ref="FH91:FU98" si="186">SUMIF($F$54:$FF$54,FH$54,$F91:$FF91)</f>
        <v>217670.91774339223</v>
      </c>
      <c r="FI91" s="232">
        <f t="shared" si="186"/>
        <v>445248.0433067113</v>
      </c>
      <c r="FJ91" s="232">
        <f t="shared" si="186"/>
        <v>458790.68860775116</v>
      </c>
      <c r="FK91" s="232">
        <f t="shared" si="186"/>
        <v>472745.24642476247</v>
      </c>
      <c r="FL91" s="232">
        <f t="shared" si="186"/>
        <v>487124.24547108315</v>
      </c>
      <c r="FM91" s="232">
        <f t="shared" si="186"/>
        <v>501940.59553285595</v>
      </c>
      <c r="FN91" s="232">
        <f t="shared" si="186"/>
        <v>517207.5990597232</v>
      </c>
      <c r="FO91" s="232">
        <f t="shared" si="186"/>
        <v>532938.96310806205</v>
      </c>
      <c r="FP91" s="232">
        <f t="shared" si="186"/>
        <v>549148.81164748583</v>
      </c>
      <c r="FQ91" s="232">
        <f t="shared" si="186"/>
        <v>565851.69824165921</v>
      </c>
      <c r="FR91" s="232">
        <f t="shared" si="186"/>
        <v>583062.619114812</v>
      </c>
      <c r="FS91" s="232">
        <f t="shared" si="186"/>
        <v>600797.02661568439</v>
      </c>
      <c r="FT91" s="232">
        <f t="shared" si="186"/>
        <v>619070.84309098998</v>
      </c>
      <c r="FU91" s="232">
        <f t="shared" si="186"/>
        <v>316561.1406763714</v>
      </c>
      <c r="FV91" s="321"/>
    </row>
    <row r="92" spans="3:178" x14ac:dyDescent="0.2">
      <c r="C92" s="39" t="str">
        <f t="shared" si="167"/>
        <v>Admin</v>
      </c>
      <c r="D92" s="232">
        <f t="shared" si="168"/>
        <v>0</v>
      </c>
      <c r="E92" s="231">
        <f t="shared" si="169"/>
        <v>0</v>
      </c>
      <c r="F92" s="232">
        <v>0</v>
      </c>
      <c r="G92" s="232">
        <f t="shared" si="170"/>
        <v>0</v>
      </c>
      <c r="H92" s="232">
        <f t="shared" si="170"/>
        <v>0</v>
      </c>
      <c r="I92" s="232">
        <f t="shared" si="170"/>
        <v>0</v>
      </c>
      <c r="J92" s="232">
        <f t="shared" si="170"/>
        <v>0</v>
      </c>
      <c r="K92" s="232">
        <f t="shared" si="170"/>
        <v>0</v>
      </c>
      <c r="L92" s="232">
        <f t="shared" si="170"/>
        <v>0</v>
      </c>
      <c r="M92" s="232">
        <f t="shared" si="170"/>
        <v>0</v>
      </c>
      <c r="N92" s="232">
        <f t="shared" si="170"/>
        <v>0</v>
      </c>
      <c r="O92" s="232">
        <f t="shared" si="170"/>
        <v>0</v>
      </c>
      <c r="P92" s="232">
        <f t="shared" si="170"/>
        <v>0</v>
      </c>
      <c r="Q92" s="232">
        <f t="shared" si="171"/>
        <v>0</v>
      </c>
      <c r="R92" s="232">
        <f t="shared" si="171"/>
        <v>0</v>
      </c>
      <c r="S92" s="232">
        <f t="shared" si="171"/>
        <v>0</v>
      </c>
      <c r="T92" s="232">
        <f t="shared" si="171"/>
        <v>0</v>
      </c>
      <c r="U92" s="232">
        <f t="shared" si="171"/>
        <v>0</v>
      </c>
      <c r="V92" s="232">
        <f t="shared" si="171"/>
        <v>0</v>
      </c>
      <c r="W92" s="232">
        <f t="shared" si="171"/>
        <v>0</v>
      </c>
      <c r="X92" s="232">
        <f t="shared" si="171"/>
        <v>0</v>
      </c>
      <c r="Y92" s="232">
        <f t="shared" si="171"/>
        <v>0</v>
      </c>
      <c r="Z92" s="232">
        <f t="shared" si="171"/>
        <v>0</v>
      </c>
      <c r="AA92" s="232">
        <f t="shared" si="172"/>
        <v>0</v>
      </c>
      <c r="AB92" s="232">
        <f t="shared" si="172"/>
        <v>0</v>
      </c>
      <c r="AC92" s="232">
        <f t="shared" si="172"/>
        <v>0</v>
      </c>
      <c r="AD92" s="232">
        <f t="shared" si="172"/>
        <v>0</v>
      </c>
      <c r="AE92" s="232">
        <f t="shared" si="172"/>
        <v>0</v>
      </c>
      <c r="AF92" s="232">
        <f t="shared" si="172"/>
        <v>0</v>
      </c>
      <c r="AG92" s="232">
        <f t="shared" si="172"/>
        <v>0</v>
      </c>
      <c r="AH92" s="232">
        <f t="shared" si="172"/>
        <v>0</v>
      </c>
      <c r="AI92" s="232">
        <f t="shared" si="172"/>
        <v>0</v>
      </c>
      <c r="AJ92" s="232">
        <f t="shared" si="172"/>
        <v>0</v>
      </c>
      <c r="AK92" s="232">
        <f t="shared" si="173"/>
        <v>0</v>
      </c>
      <c r="AL92" s="232">
        <f t="shared" si="173"/>
        <v>0</v>
      </c>
      <c r="AM92" s="232">
        <f t="shared" si="173"/>
        <v>0</v>
      </c>
      <c r="AN92" s="232">
        <f t="shared" si="173"/>
        <v>0</v>
      </c>
      <c r="AO92" s="232">
        <f t="shared" si="173"/>
        <v>0</v>
      </c>
      <c r="AP92" s="232">
        <f t="shared" si="173"/>
        <v>0</v>
      </c>
      <c r="AQ92" s="232">
        <f t="shared" si="173"/>
        <v>0</v>
      </c>
      <c r="AR92" s="232">
        <f t="shared" si="173"/>
        <v>0</v>
      </c>
      <c r="AS92" s="232">
        <f t="shared" si="173"/>
        <v>0</v>
      </c>
      <c r="AT92" s="232">
        <f t="shared" si="173"/>
        <v>0</v>
      </c>
      <c r="AU92" s="232">
        <f t="shared" si="174"/>
        <v>0</v>
      </c>
      <c r="AV92" s="232">
        <f t="shared" si="174"/>
        <v>0</v>
      </c>
      <c r="AW92" s="232">
        <f t="shared" si="174"/>
        <v>0</v>
      </c>
      <c r="AX92" s="232">
        <f t="shared" si="174"/>
        <v>0</v>
      </c>
      <c r="AY92" s="232">
        <f t="shared" si="174"/>
        <v>0</v>
      </c>
      <c r="AZ92" s="232">
        <f t="shared" si="174"/>
        <v>0</v>
      </c>
      <c r="BA92" s="232">
        <f t="shared" si="174"/>
        <v>0</v>
      </c>
      <c r="BB92" s="232">
        <f t="shared" si="174"/>
        <v>0</v>
      </c>
      <c r="BC92" s="232">
        <f t="shared" si="174"/>
        <v>0</v>
      </c>
      <c r="BD92" s="232">
        <f t="shared" si="174"/>
        <v>0</v>
      </c>
      <c r="BE92" s="232">
        <f t="shared" si="175"/>
        <v>0</v>
      </c>
      <c r="BF92" s="232">
        <f t="shared" si="175"/>
        <v>0</v>
      </c>
      <c r="BG92" s="232">
        <f t="shared" si="175"/>
        <v>0</v>
      </c>
      <c r="BH92" s="232">
        <f t="shared" si="175"/>
        <v>0</v>
      </c>
      <c r="BI92" s="232">
        <f t="shared" si="175"/>
        <v>0</v>
      </c>
      <c r="BJ92" s="232">
        <f t="shared" si="175"/>
        <v>0</v>
      </c>
      <c r="BK92" s="232">
        <f t="shared" si="175"/>
        <v>0</v>
      </c>
      <c r="BL92" s="232">
        <f t="shared" si="175"/>
        <v>0</v>
      </c>
      <c r="BM92" s="232">
        <f t="shared" si="175"/>
        <v>0</v>
      </c>
      <c r="BN92" s="232">
        <f t="shared" si="175"/>
        <v>0</v>
      </c>
      <c r="BO92" s="232">
        <f t="shared" si="176"/>
        <v>0</v>
      </c>
      <c r="BP92" s="232">
        <f t="shared" si="176"/>
        <v>0</v>
      </c>
      <c r="BQ92" s="232">
        <f t="shared" si="176"/>
        <v>0</v>
      </c>
      <c r="BR92" s="232">
        <f t="shared" si="176"/>
        <v>0</v>
      </c>
      <c r="BS92" s="232">
        <f t="shared" si="176"/>
        <v>0</v>
      </c>
      <c r="BT92" s="232">
        <f t="shared" si="176"/>
        <v>0</v>
      </c>
      <c r="BU92" s="232">
        <f t="shared" si="176"/>
        <v>0</v>
      </c>
      <c r="BV92" s="232">
        <f t="shared" si="176"/>
        <v>0</v>
      </c>
      <c r="BW92" s="232">
        <f t="shared" si="176"/>
        <v>0</v>
      </c>
      <c r="BX92" s="232">
        <f t="shared" si="176"/>
        <v>0</v>
      </c>
      <c r="BY92" s="232">
        <f t="shared" si="177"/>
        <v>0</v>
      </c>
      <c r="BZ92" s="232">
        <f t="shared" si="177"/>
        <v>0</v>
      </c>
      <c r="CA92" s="232">
        <f t="shared" si="177"/>
        <v>0</v>
      </c>
      <c r="CB92" s="232">
        <f t="shared" si="177"/>
        <v>0</v>
      </c>
      <c r="CC92" s="232">
        <f t="shared" si="177"/>
        <v>0</v>
      </c>
      <c r="CD92" s="232">
        <f t="shared" si="177"/>
        <v>0</v>
      </c>
      <c r="CE92" s="232">
        <f t="shared" si="177"/>
        <v>0</v>
      </c>
      <c r="CF92" s="232">
        <f t="shared" si="177"/>
        <v>0</v>
      </c>
      <c r="CG92" s="232">
        <f t="shared" si="177"/>
        <v>0</v>
      </c>
      <c r="CH92" s="232">
        <f t="shared" si="177"/>
        <v>0</v>
      </c>
      <c r="CI92" s="232">
        <f t="shared" si="178"/>
        <v>0</v>
      </c>
      <c r="CJ92" s="232">
        <f t="shared" si="178"/>
        <v>0</v>
      </c>
      <c r="CK92" s="232">
        <f t="shared" si="178"/>
        <v>0</v>
      </c>
      <c r="CL92" s="232">
        <f t="shared" si="178"/>
        <v>0</v>
      </c>
      <c r="CM92" s="232">
        <f t="shared" si="178"/>
        <v>0</v>
      </c>
      <c r="CN92" s="232">
        <f t="shared" si="178"/>
        <v>0</v>
      </c>
      <c r="CO92" s="232">
        <f t="shared" si="178"/>
        <v>0</v>
      </c>
      <c r="CP92" s="232">
        <f t="shared" si="178"/>
        <v>0</v>
      </c>
      <c r="CQ92" s="232">
        <f t="shared" si="178"/>
        <v>0</v>
      </c>
      <c r="CR92" s="232">
        <f t="shared" si="178"/>
        <v>0</v>
      </c>
      <c r="CS92" s="232">
        <f t="shared" si="179"/>
        <v>0</v>
      </c>
      <c r="CT92" s="232">
        <f t="shared" si="179"/>
        <v>0</v>
      </c>
      <c r="CU92" s="232">
        <f t="shared" si="179"/>
        <v>0</v>
      </c>
      <c r="CV92" s="232">
        <f t="shared" si="179"/>
        <v>0</v>
      </c>
      <c r="CW92" s="232">
        <f t="shared" si="179"/>
        <v>0</v>
      </c>
      <c r="CX92" s="232">
        <f t="shared" si="179"/>
        <v>0</v>
      </c>
      <c r="CY92" s="232">
        <f t="shared" si="179"/>
        <v>0</v>
      </c>
      <c r="CZ92" s="232">
        <f t="shared" si="179"/>
        <v>0</v>
      </c>
      <c r="DA92" s="232">
        <f t="shared" si="179"/>
        <v>0</v>
      </c>
      <c r="DB92" s="232">
        <f t="shared" si="179"/>
        <v>0</v>
      </c>
      <c r="DC92" s="232">
        <f t="shared" si="180"/>
        <v>0</v>
      </c>
      <c r="DD92" s="232">
        <f t="shared" si="180"/>
        <v>0</v>
      </c>
      <c r="DE92" s="232">
        <f t="shared" si="180"/>
        <v>0</v>
      </c>
      <c r="DF92" s="232">
        <f t="shared" si="180"/>
        <v>0</v>
      </c>
      <c r="DG92" s="232">
        <f t="shared" si="180"/>
        <v>0</v>
      </c>
      <c r="DH92" s="232">
        <f t="shared" si="180"/>
        <v>0</v>
      </c>
      <c r="DI92" s="232">
        <f t="shared" si="180"/>
        <v>0</v>
      </c>
      <c r="DJ92" s="232">
        <f t="shared" si="180"/>
        <v>0</v>
      </c>
      <c r="DK92" s="232">
        <f t="shared" si="180"/>
        <v>0</v>
      </c>
      <c r="DL92" s="232">
        <f t="shared" si="180"/>
        <v>0</v>
      </c>
      <c r="DM92" s="232">
        <f t="shared" si="181"/>
        <v>0</v>
      </c>
      <c r="DN92" s="232">
        <f t="shared" si="181"/>
        <v>0</v>
      </c>
      <c r="DO92" s="232">
        <f t="shared" si="181"/>
        <v>0</v>
      </c>
      <c r="DP92" s="232">
        <f t="shared" si="181"/>
        <v>0</v>
      </c>
      <c r="DQ92" s="232">
        <f t="shared" si="181"/>
        <v>0</v>
      </c>
      <c r="DR92" s="232">
        <f t="shared" si="181"/>
        <v>0</v>
      </c>
      <c r="DS92" s="232">
        <f t="shared" si="181"/>
        <v>0</v>
      </c>
      <c r="DT92" s="232">
        <f t="shared" si="181"/>
        <v>0</v>
      </c>
      <c r="DU92" s="232">
        <f t="shared" si="181"/>
        <v>0</v>
      </c>
      <c r="DV92" s="232">
        <f t="shared" si="181"/>
        <v>0</v>
      </c>
      <c r="DW92" s="232">
        <f t="shared" si="182"/>
        <v>0</v>
      </c>
      <c r="DX92" s="232">
        <f t="shared" si="182"/>
        <v>0</v>
      </c>
      <c r="DY92" s="232">
        <f t="shared" si="182"/>
        <v>0</v>
      </c>
      <c r="DZ92" s="232">
        <f t="shared" si="182"/>
        <v>0</v>
      </c>
      <c r="EA92" s="232">
        <f t="shared" si="182"/>
        <v>0</v>
      </c>
      <c r="EB92" s="232">
        <f t="shared" si="182"/>
        <v>0</v>
      </c>
      <c r="EC92" s="232">
        <f t="shared" si="182"/>
        <v>0</v>
      </c>
      <c r="ED92" s="232">
        <f t="shared" si="182"/>
        <v>0</v>
      </c>
      <c r="EE92" s="232">
        <f t="shared" si="182"/>
        <v>0</v>
      </c>
      <c r="EF92" s="232">
        <f t="shared" si="182"/>
        <v>0</v>
      </c>
      <c r="EG92" s="232">
        <f t="shared" si="183"/>
        <v>0</v>
      </c>
      <c r="EH92" s="232">
        <f t="shared" si="183"/>
        <v>0</v>
      </c>
      <c r="EI92" s="232">
        <f t="shared" si="183"/>
        <v>0</v>
      </c>
      <c r="EJ92" s="232">
        <f t="shared" si="183"/>
        <v>0</v>
      </c>
      <c r="EK92" s="232">
        <f t="shared" si="183"/>
        <v>0</v>
      </c>
      <c r="EL92" s="232">
        <f t="shared" si="183"/>
        <v>0</v>
      </c>
      <c r="EM92" s="232">
        <f t="shared" si="183"/>
        <v>0</v>
      </c>
      <c r="EN92" s="232">
        <f t="shared" si="183"/>
        <v>0</v>
      </c>
      <c r="EO92" s="232">
        <f t="shared" si="183"/>
        <v>0</v>
      </c>
      <c r="EP92" s="232">
        <f t="shared" si="183"/>
        <v>0</v>
      </c>
      <c r="EQ92" s="232">
        <f t="shared" si="184"/>
        <v>0</v>
      </c>
      <c r="ER92" s="232">
        <f t="shared" si="184"/>
        <v>0</v>
      </c>
      <c r="ES92" s="232">
        <f t="shared" si="184"/>
        <v>0</v>
      </c>
      <c r="ET92" s="232">
        <f t="shared" si="184"/>
        <v>0</v>
      </c>
      <c r="EU92" s="232">
        <f t="shared" si="184"/>
        <v>0</v>
      </c>
      <c r="EV92" s="232">
        <f t="shared" si="184"/>
        <v>0</v>
      </c>
      <c r="EW92" s="232">
        <f t="shared" si="184"/>
        <v>0</v>
      </c>
      <c r="EX92" s="232">
        <f t="shared" si="184"/>
        <v>0</v>
      </c>
      <c r="EY92" s="232">
        <f t="shared" si="184"/>
        <v>0</v>
      </c>
      <c r="EZ92" s="232">
        <f t="shared" si="184"/>
        <v>0</v>
      </c>
      <c r="FA92" s="232">
        <f t="shared" si="185"/>
        <v>0</v>
      </c>
      <c r="FB92" s="232">
        <f t="shared" si="185"/>
        <v>0</v>
      </c>
      <c r="FC92" s="232">
        <f t="shared" si="185"/>
        <v>0</v>
      </c>
      <c r="FD92" s="232">
        <f t="shared" si="185"/>
        <v>0</v>
      </c>
      <c r="FE92" s="232">
        <f t="shared" si="185"/>
        <v>0</v>
      </c>
      <c r="FF92" s="232">
        <f t="shared" si="185"/>
        <v>0</v>
      </c>
      <c r="FG92" s="321"/>
      <c r="FH92" s="232">
        <f t="shared" si="186"/>
        <v>0</v>
      </c>
      <c r="FI92" s="232">
        <f t="shared" si="186"/>
        <v>0</v>
      </c>
      <c r="FJ92" s="232">
        <f t="shared" si="186"/>
        <v>0</v>
      </c>
      <c r="FK92" s="232">
        <f t="shared" si="186"/>
        <v>0</v>
      </c>
      <c r="FL92" s="232">
        <f t="shared" si="186"/>
        <v>0</v>
      </c>
      <c r="FM92" s="232">
        <f t="shared" si="186"/>
        <v>0</v>
      </c>
      <c r="FN92" s="232">
        <f t="shared" si="186"/>
        <v>0</v>
      </c>
      <c r="FO92" s="232">
        <f t="shared" si="186"/>
        <v>0</v>
      </c>
      <c r="FP92" s="232">
        <f t="shared" si="186"/>
        <v>0</v>
      </c>
      <c r="FQ92" s="232">
        <f t="shared" si="186"/>
        <v>0</v>
      </c>
      <c r="FR92" s="232">
        <f t="shared" si="186"/>
        <v>0</v>
      </c>
      <c r="FS92" s="232">
        <f t="shared" si="186"/>
        <v>0</v>
      </c>
      <c r="FT92" s="232">
        <f t="shared" si="186"/>
        <v>0</v>
      </c>
      <c r="FU92" s="232">
        <f t="shared" si="186"/>
        <v>0</v>
      </c>
      <c r="FV92" s="321"/>
    </row>
    <row r="93" spans="3:178" x14ac:dyDescent="0.2">
      <c r="C93" s="39" t="str">
        <f t="shared" si="167"/>
        <v>Marketing</v>
      </c>
      <c r="D93" s="232">
        <f t="shared" si="168"/>
        <v>0</v>
      </c>
      <c r="E93" s="231">
        <f t="shared" si="169"/>
        <v>0</v>
      </c>
      <c r="F93" s="232">
        <v>0</v>
      </c>
      <c r="G93" s="232">
        <f t="shared" si="170"/>
        <v>0</v>
      </c>
      <c r="H93" s="232">
        <f t="shared" si="170"/>
        <v>0</v>
      </c>
      <c r="I93" s="232">
        <f t="shared" si="170"/>
        <v>0</v>
      </c>
      <c r="J93" s="232">
        <f t="shared" si="170"/>
        <v>0</v>
      </c>
      <c r="K93" s="232">
        <f t="shared" si="170"/>
        <v>0</v>
      </c>
      <c r="L93" s="232">
        <f t="shared" si="170"/>
        <v>0</v>
      </c>
      <c r="M93" s="232">
        <f t="shared" si="170"/>
        <v>0</v>
      </c>
      <c r="N93" s="232">
        <f t="shared" si="170"/>
        <v>0</v>
      </c>
      <c r="O93" s="232">
        <f t="shared" si="170"/>
        <v>0</v>
      </c>
      <c r="P93" s="232">
        <f t="shared" si="170"/>
        <v>0</v>
      </c>
      <c r="Q93" s="232">
        <f t="shared" si="171"/>
        <v>0</v>
      </c>
      <c r="R93" s="232">
        <f t="shared" si="171"/>
        <v>0</v>
      </c>
      <c r="S93" s="232">
        <f t="shared" si="171"/>
        <v>0</v>
      </c>
      <c r="T93" s="232">
        <f t="shared" si="171"/>
        <v>0</v>
      </c>
      <c r="U93" s="232">
        <f t="shared" si="171"/>
        <v>0</v>
      </c>
      <c r="V93" s="232">
        <f t="shared" si="171"/>
        <v>0</v>
      </c>
      <c r="W93" s="232">
        <f t="shared" si="171"/>
        <v>0</v>
      </c>
      <c r="X93" s="232">
        <f t="shared" si="171"/>
        <v>0</v>
      </c>
      <c r="Y93" s="232">
        <f t="shared" si="171"/>
        <v>0</v>
      </c>
      <c r="Z93" s="232">
        <f t="shared" si="171"/>
        <v>0</v>
      </c>
      <c r="AA93" s="232">
        <f t="shared" si="172"/>
        <v>0</v>
      </c>
      <c r="AB93" s="232">
        <f t="shared" si="172"/>
        <v>0</v>
      </c>
      <c r="AC93" s="232">
        <f t="shared" si="172"/>
        <v>0</v>
      </c>
      <c r="AD93" s="232">
        <f t="shared" si="172"/>
        <v>0</v>
      </c>
      <c r="AE93" s="232">
        <f t="shared" si="172"/>
        <v>0</v>
      </c>
      <c r="AF93" s="232">
        <f t="shared" si="172"/>
        <v>0</v>
      </c>
      <c r="AG93" s="232">
        <f t="shared" si="172"/>
        <v>0</v>
      </c>
      <c r="AH93" s="232">
        <f t="shared" si="172"/>
        <v>0</v>
      </c>
      <c r="AI93" s="232">
        <f t="shared" si="172"/>
        <v>0</v>
      </c>
      <c r="AJ93" s="232">
        <f t="shared" si="172"/>
        <v>0</v>
      </c>
      <c r="AK93" s="232">
        <f t="shared" si="173"/>
        <v>0</v>
      </c>
      <c r="AL93" s="232">
        <f t="shared" si="173"/>
        <v>0</v>
      </c>
      <c r="AM93" s="232">
        <f t="shared" si="173"/>
        <v>0</v>
      </c>
      <c r="AN93" s="232">
        <f t="shared" si="173"/>
        <v>0</v>
      </c>
      <c r="AO93" s="232">
        <f t="shared" si="173"/>
        <v>0</v>
      </c>
      <c r="AP93" s="232">
        <f t="shared" si="173"/>
        <v>0</v>
      </c>
      <c r="AQ93" s="232">
        <f t="shared" si="173"/>
        <v>0</v>
      </c>
      <c r="AR93" s="232">
        <f t="shared" si="173"/>
        <v>0</v>
      </c>
      <c r="AS93" s="232">
        <f t="shared" si="173"/>
        <v>0</v>
      </c>
      <c r="AT93" s="232">
        <f t="shared" si="173"/>
        <v>0</v>
      </c>
      <c r="AU93" s="232">
        <f t="shared" si="174"/>
        <v>0</v>
      </c>
      <c r="AV93" s="232">
        <f t="shared" si="174"/>
        <v>0</v>
      </c>
      <c r="AW93" s="232">
        <f t="shared" si="174"/>
        <v>0</v>
      </c>
      <c r="AX93" s="232">
        <f t="shared" si="174"/>
        <v>0</v>
      </c>
      <c r="AY93" s="232">
        <f t="shared" si="174"/>
        <v>0</v>
      </c>
      <c r="AZ93" s="232">
        <f t="shared" si="174"/>
        <v>0</v>
      </c>
      <c r="BA93" s="232">
        <f t="shared" si="174"/>
        <v>0</v>
      </c>
      <c r="BB93" s="232">
        <f t="shared" si="174"/>
        <v>0</v>
      </c>
      <c r="BC93" s="232">
        <f t="shared" si="174"/>
        <v>0</v>
      </c>
      <c r="BD93" s="232">
        <f t="shared" si="174"/>
        <v>0</v>
      </c>
      <c r="BE93" s="232">
        <f t="shared" si="175"/>
        <v>0</v>
      </c>
      <c r="BF93" s="232">
        <f t="shared" si="175"/>
        <v>0</v>
      </c>
      <c r="BG93" s="232">
        <f t="shared" si="175"/>
        <v>0</v>
      </c>
      <c r="BH93" s="232">
        <f t="shared" si="175"/>
        <v>0</v>
      </c>
      <c r="BI93" s="232">
        <f t="shared" si="175"/>
        <v>0</v>
      </c>
      <c r="BJ93" s="232">
        <f t="shared" si="175"/>
        <v>0</v>
      </c>
      <c r="BK93" s="232">
        <f t="shared" si="175"/>
        <v>0</v>
      </c>
      <c r="BL93" s="232">
        <f t="shared" si="175"/>
        <v>0</v>
      </c>
      <c r="BM93" s="232">
        <f t="shared" si="175"/>
        <v>0</v>
      </c>
      <c r="BN93" s="232">
        <f t="shared" si="175"/>
        <v>0</v>
      </c>
      <c r="BO93" s="232">
        <f t="shared" si="176"/>
        <v>0</v>
      </c>
      <c r="BP93" s="232">
        <f t="shared" si="176"/>
        <v>0</v>
      </c>
      <c r="BQ93" s="232">
        <f t="shared" si="176"/>
        <v>0</v>
      </c>
      <c r="BR93" s="232">
        <f t="shared" si="176"/>
        <v>0</v>
      </c>
      <c r="BS93" s="232">
        <f t="shared" si="176"/>
        <v>0</v>
      </c>
      <c r="BT93" s="232">
        <f t="shared" si="176"/>
        <v>0</v>
      </c>
      <c r="BU93" s="232">
        <f t="shared" si="176"/>
        <v>0</v>
      </c>
      <c r="BV93" s="232">
        <f t="shared" si="176"/>
        <v>0</v>
      </c>
      <c r="BW93" s="232">
        <f t="shared" si="176"/>
        <v>0</v>
      </c>
      <c r="BX93" s="232">
        <f t="shared" si="176"/>
        <v>0</v>
      </c>
      <c r="BY93" s="232">
        <f t="shared" si="177"/>
        <v>0</v>
      </c>
      <c r="BZ93" s="232">
        <f t="shared" si="177"/>
        <v>0</v>
      </c>
      <c r="CA93" s="232">
        <f t="shared" si="177"/>
        <v>0</v>
      </c>
      <c r="CB93" s="232">
        <f t="shared" si="177"/>
        <v>0</v>
      </c>
      <c r="CC93" s="232">
        <f t="shared" si="177"/>
        <v>0</v>
      </c>
      <c r="CD93" s="232">
        <f t="shared" si="177"/>
        <v>0</v>
      </c>
      <c r="CE93" s="232">
        <f t="shared" si="177"/>
        <v>0</v>
      </c>
      <c r="CF93" s="232">
        <f t="shared" si="177"/>
        <v>0</v>
      </c>
      <c r="CG93" s="232">
        <f t="shared" si="177"/>
        <v>0</v>
      </c>
      <c r="CH93" s="232">
        <f t="shared" si="177"/>
        <v>0</v>
      </c>
      <c r="CI93" s="232">
        <f t="shared" si="178"/>
        <v>0</v>
      </c>
      <c r="CJ93" s="232">
        <f t="shared" si="178"/>
        <v>0</v>
      </c>
      <c r="CK93" s="232">
        <f t="shared" si="178"/>
        <v>0</v>
      </c>
      <c r="CL93" s="232">
        <f t="shared" si="178"/>
        <v>0</v>
      </c>
      <c r="CM93" s="232">
        <f t="shared" si="178"/>
        <v>0</v>
      </c>
      <c r="CN93" s="232">
        <f t="shared" si="178"/>
        <v>0</v>
      </c>
      <c r="CO93" s="232">
        <f t="shared" si="178"/>
        <v>0</v>
      </c>
      <c r="CP93" s="232">
        <f t="shared" si="178"/>
        <v>0</v>
      </c>
      <c r="CQ93" s="232">
        <f t="shared" si="178"/>
        <v>0</v>
      </c>
      <c r="CR93" s="232">
        <f t="shared" si="178"/>
        <v>0</v>
      </c>
      <c r="CS93" s="232">
        <f t="shared" si="179"/>
        <v>0</v>
      </c>
      <c r="CT93" s="232">
        <f t="shared" si="179"/>
        <v>0</v>
      </c>
      <c r="CU93" s="232">
        <f t="shared" si="179"/>
        <v>0</v>
      </c>
      <c r="CV93" s="232">
        <f t="shared" si="179"/>
        <v>0</v>
      </c>
      <c r="CW93" s="232">
        <f t="shared" si="179"/>
        <v>0</v>
      </c>
      <c r="CX93" s="232">
        <f t="shared" si="179"/>
        <v>0</v>
      </c>
      <c r="CY93" s="232">
        <f t="shared" si="179"/>
        <v>0</v>
      </c>
      <c r="CZ93" s="232">
        <f t="shared" si="179"/>
        <v>0</v>
      </c>
      <c r="DA93" s="232">
        <f t="shared" si="179"/>
        <v>0</v>
      </c>
      <c r="DB93" s="232">
        <f t="shared" si="179"/>
        <v>0</v>
      </c>
      <c r="DC93" s="232">
        <f t="shared" si="180"/>
        <v>0</v>
      </c>
      <c r="DD93" s="232">
        <f t="shared" si="180"/>
        <v>0</v>
      </c>
      <c r="DE93" s="232">
        <f t="shared" si="180"/>
        <v>0</v>
      </c>
      <c r="DF93" s="232">
        <f t="shared" si="180"/>
        <v>0</v>
      </c>
      <c r="DG93" s="232">
        <f t="shared" si="180"/>
        <v>0</v>
      </c>
      <c r="DH93" s="232">
        <f t="shared" si="180"/>
        <v>0</v>
      </c>
      <c r="DI93" s="232">
        <f t="shared" si="180"/>
        <v>0</v>
      </c>
      <c r="DJ93" s="232">
        <f t="shared" si="180"/>
        <v>0</v>
      </c>
      <c r="DK93" s="232">
        <f t="shared" si="180"/>
        <v>0</v>
      </c>
      <c r="DL93" s="232">
        <f t="shared" si="180"/>
        <v>0</v>
      </c>
      <c r="DM93" s="232">
        <f t="shared" si="181"/>
        <v>0</v>
      </c>
      <c r="DN93" s="232">
        <f t="shared" si="181"/>
        <v>0</v>
      </c>
      <c r="DO93" s="232">
        <f t="shared" si="181"/>
        <v>0</v>
      </c>
      <c r="DP93" s="232">
        <f t="shared" si="181"/>
        <v>0</v>
      </c>
      <c r="DQ93" s="232">
        <f t="shared" si="181"/>
        <v>0</v>
      </c>
      <c r="DR93" s="232">
        <f t="shared" si="181"/>
        <v>0</v>
      </c>
      <c r="DS93" s="232">
        <f t="shared" si="181"/>
        <v>0</v>
      </c>
      <c r="DT93" s="232">
        <f t="shared" si="181"/>
        <v>0</v>
      </c>
      <c r="DU93" s="232">
        <f t="shared" si="181"/>
        <v>0</v>
      </c>
      <c r="DV93" s="232">
        <f t="shared" si="181"/>
        <v>0</v>
      </c>
      <c r="DW93" s="232">
        <f t="shared" si="182"/>
        <v>0</v>
      </c>
      <c r="DX93" s="232">
        <f t="shared" si="182"/>
        <v>0</v>
      </c>
      <c r="DY93" s="232">
        <f t="shared" si="182"/>
        <v>0</v>
      </c>
      <c r="DZ93" s="232">
        <f t="shared" si="182"/>
        <v>0</v>
      </c>
      <c r="EA93" s="232">
        <f t="shared" si="182"/>
        <v>0</v>
      </c>
      <c r="EB93" s="232">
        <f t="shared" si="182"/>
        <v>0</v>
      </c>
      <c r="EC93" s="232">
        <f t="shared" si="182"/>
        <v>0</v>
      </c>
      <c r="ED93" s="232">
        <f t="shared" si="182"/>
        <v>0</v>
      </c>
      <c r="EE93" s="232">
        <f t="shared" si="182"/>
        <v>0</v>
      </c>
      <c r="EF93" s="232">
        <f t="shared" si="182"/>
        <v>0</v>
      </c>
      <c r="EG93" s="232">
        <f t="shared" si="183"/>
        <v>0</v>
      </c>
      <c r="EH93" s="232">
        <f t="shared" si="183"/>
        <v>0</v>
      </c>
      <c r="EI93" s="232">
        <f t="shared" si="183"/>
        <v>0</v>
      </c>
      <c r="EJ93" s="232">
        <f t="shared" si="183"/>
        <v>0</v>
      </c>
      <c r="EK93" s="232">
        <f t="shared" si="183"/>
        <v>0</v>
      </c>
      <c r="EL93" s="232">
        <f t="shared" si="183"/>
        <v>0</v>
      </c>
      <c r="EM93" s="232">
        <f t="shared" si="183"/>
        <v>0</v>
      </c>
      <c r="EN93" s="232">
        <f t="shared" si="183"/>
        <v>0</v>
      </c>
      <c r="EO93" s="232">
        <f t="shared" si="183"/>
        <v>0</v>
      </c>
      <c r="EP93" s="232">
        <f t="shared" si="183"/>
        <v>0</v>
      </c>
      <c r="EQ93" s="232">
        <f t="shared" si="184"/>
        <v>0</v>
      </c>
      <c r="ER93" s="232">
        <f t="shared" si="184"/>
        <v>0</v>
      </c>
      <c r="ES93" s="232">
        <f t="shared" si="184"/>
        <v>0</v>
      </c>
      <c r="ET93" s="232">
        <f t="shared" si="184"/>
        <v>0</v>
      </c>
      <c r="EU93" s="232">
        <f t="shared" si="184"/>
        <v>0</v>
      </c>
      <c r="EV93" s="232">
        <f t="shared" si="184"/>
        <v>0</v>
      </c>
      <c r="EW93" s="232">
        <f t="shared" si="184"/>
        <v>0</v>
      </c>
      <c r="EX93" s="232">
        <f t="shared" si="184"/>
        <v>0</v>
      </c>
      <c r="EY93" s="232">
        <f t="shared" si="184"/>
        <v>0</v>
      </c>
      <c r="EZ93" s="232">
        <f t="shared" si="184"/>
        <v>0</v>
      </c>
      <c r="FA93" s="232">
        <f t="shared" si="185"/>
        <v>0</v>
      </c>
      <c r="FB93" s="232">
        <f t="shared" si="185"/>
        <v>0</v>
      </c>
      <c r="FC93" s="232">
        <f t="shared" si="185"/>
        <v>0</v>
      </c>
      <c r="FD93" s="232">
        <f t="shared" si="185"/>
        <v>0</v>
      </c>
      <c r="FE93" s="232">
        <f t="shared" si="185"/>
        <v>0</v>
      </c>
      <c r="FF93" s="232">
        <f t="shared" si="185"/>
        <v>0</v>
      </c>
      <c r="FG93" s="321"/>
      <c r="FH93" s="232">
        <f t="shared" si="186"/>
        <v>0</v>
      </c>
      <c r="FI93" s="232">
        <f t="shared" si="186"/>
        <v>0</v>
      </c>
      <c r="FJ93" s="232">
        <f t="shared" si="186"/>
        <v>0</v>
      </c>
      <c r="FK93" s="232">
        <f t="shared" si="186"/>
        <v>0</v>
      </c>
      <c r="FL93" s="232">
        <f t="shared" si="186"/>
        <v>0</v>
      </c>
      <c r="FM93" s="232">
        <f t="shared" si="186"/>
        <v>0</v>
      </c>
      <c r="FN93" s="232">
        <f t="shared" si="186"/>
        <v>0</v>
      </c>
      <c r="FO93" s="232">
        <f t="shared" si="186"/>
        <v>0</v>
      </c>
      <c r="FP93" s="232">
        <f t="shared" si="186"/>
        <v>0</v>
      </c>
      <c r="FQ93" s="232">
        <f t="shared" si="186"/>
        <v>0</v>
      </c>
      <c r="FR93" s="232">
        <f t="shared" si="186"/>
        <v>0</v>
      </c>
      <c r="FS93" s="232">
        <f t="shared" si="186"/>
        <v>0</v>
      </c>
      <c r="FT93" s="232">
        <f t="shared" si="186"/>
        <v>0</v>
      </c>
      <c r="FU93" s="232">
        <f t="shared" si="186"/>
        <v>0</v>
      </c>
      <c r="FV93" s="321"/>
    </row>
    <row r="94" spans="3:178" x14ac:dyDescent="0.2">
      <c r="C94" s="39" t="str">
        <f t="shared" si="167"/>
        <v>R&amp;M</v>
      </c>
      <c r="D94" s="232">
        <f t="shared" si="168"/>
        <v>0</v>
      </c>
      <c r="E94" s="231">
        <f t="shared" si="169"/>
        <v>0</v>
      </c>
      <c r="F94" s="232">
        <v>0</v>
      </c>
      <c r="G94" s="232">
        <f t="shared" si="170"/>
        <v>0</v>
      </c>
      <c r="H94" s="232">
        <f t="shared" si="170"/>
        <v>0</v>
      </c>
      <c r="I94" s="232">
        <f t="shared" si="170"/>
        <v>0</v>
      </c>
      <c r="J94" s="232">
        <f t="shared" si="170"/>
        <v>0</v>
      </c>
      <c r="K94" s="232">
        <f t="shared" si="170"/>
        <v>0</v>
      </c>
      <c r="L94" s="232">
        <f t="shared" si="170"/>
        <v>0</v>
      </c>
      <c r="M94" s="232">
        <f t="shared" si="170"/>
        <v>0</v>
      </c>
      <c r="N94" s="232">
        <f t="shared" si="170"/>
        <v>0</v>
      </c>
      <c r="O94" s="232">
        <f t="shared" si="170"/>
        <v>0</v>
      </c>
      <c r="P94" s="232">
        <f t="shared" si="170"/>
        <v>0</v>
      </c>
      <c r="Q94" s="232">
        <f t="shared" si="171"/>
        <v>0</v>
      </c>
      <c r="R94" s="232">
        <f t="shared" si="171"/>
        <v>0</v>
      </c>
      <c r="S94" s="232">
        <f t="shared" si="171"/>
        <v>0</v>
      </c>
      <c r="T94" s="232">
        <f t="shared" si="171"/>
        <v>0</v>
      </c>
      <c r="U94" s="232">
        <f t="shared" si="171"/>
        <v>0</v>
      </c>
      <c r="V94" s="232">
        <f t="shared" si="171"/>
        <v>0</v>
      </c>
      <c r="W94" s="232">
        <f t="shared" si="171"/>
        <v>0</v>
      </c>
      <c r="X94" s="232">
        <f t="shared" si="171"/>
        <v>0</v>
      </c>
      <c r="Y94" s="232">
        <f t="shared" si="171"/>
        <v>0</v>
      </c>
      <c r="Z94" s="232">
        <f t="shared" si="171"/>
        <v>0</v>
      </c>
      <c r="AA94" s="232">
        <f t="shared" si="172"/>
        <v>0</v>
      </c>
      <c r="AB94" s="232">
        <f t="shared" si="172"/>
        <v>0</v>
      </c>
      <c r="AC94" s="232">
        <f t="shared" si="172"/>
        <v>0</v>
      </c>
      <c r="AD94" s="232">
        <f t="shared" si="172"/>
        <v>0</v>
      </c>
      <c r="AE94" s="232">
        <f t="shared" si="172"/>
        <v>0</v>
      </c>
      <c r="AF94" s="232">
        <f t="shared" si="172"/>
        <v>0</v>
      </c>
      <c r="AG94" s="232">
        <f t="shared" si="172"/>
        <v>0</v>
      </c>
      <c r="AH94" s="232">
        <f t="shared" si="172"/>
        <v>0</v>
      </c>
      <c r="AI94" s="232">
        <f t="shared" si="172"/>
        <v>0</v>
      </c>
      <c r="AJ94" s="232">
        <f t="shared" si="172"/>
        <v>0</v>
      </c>
      <c r="AK94" s="232">
        <f t="shared" si="173"/>
        <v>0</v>
      </c>
      <c r="AL94" s="232">
        <f t="shared" si="173"/>
        <v>0</v>
      </c>
      <c r="AM94" s="232">
        <f t="shared" si="173"/>
        <v>0</v>
      </c>
      <c r="AN94" s="232">
        <f t="shared" si="173"/>
        <v>0</v>
      </c>
      <c r="AO94" s="232">
        <f t="shared" si="173"/>
        <v>0</v>
      </c>
      <c r="AP94" s="232">
        <f t="shared" si="173"/>
        <v>0</v>
      </c>
      <c r="AQ94" s="232">
        <f t="shared" si="173"/>
        <v>0</v>
      </c>
      <c r="AR94" s="232">
        <f t="shared" si="173"/>
        <v>0</v>
      </c>
      <c r="AS94" s="232">
        <f t="shared" si="173"/>
        <v>0</v>
      </c>
      <c r="AT94" s="232">
        <f t="shared" si="173"/>
        <v>0</v>
      </c>
      <c r="AU94" s="232">
        <f t="shared" si="174"/>
        <v>0</v>
      </c>
      <c r="AV94" s="232">
        <f t="shared" si="174"/>
        <v>0</v>
      </c>
      <c r="AW94" s="232">
        <f t="shared" si="174"/>
        <v>0</v>
      </c>
      <c r="AX94" s="232">
        <f t="shared" si="174"/>
        <v>0</v>
      </c>
      <c r="AY94" s="232">
        <f t="shared" si="174"/>
        <v>0</v>
      </c>
      <c r="AZ94" s="232">
        <f t="shared" si="174"/>
        <v>0</v>
      </c>
      <c r="BA94" s="232">
        <f t="shared" si="174"/>
        <v>0</v>
      </c>
      <c r="BB94" s="232">
        <f t="shared" si="174"/>
        <v>0</v>
      </c>
      <c r="BC94" s="232">
        <f t="shared" si="174"/>
        <v>0</v>
      </c>
      <c r="BD94" s="232">
        <f t="shared" si="174"/>
        <v>0</v>
      </c>
      <c r="BE94" s="232">
        <f t="shared" si="175"/>
        <v>0</v>
      </c>
      <c r="BF94" s="232">
        <f t="shared" si="175"/>
        <v>0</v>
      </c>
      <c r="BG94" s="232">
        <f t="shared" si="175"/>
        <v>0</v>
      </c>
      <c r="BH94" s="232">
        <f t="shared" si="175"/>
        <v>0</v>
      </c>
      <c r="BI94" s="232">
        <f t="shared" si="175"/>
        <v>0</v>
      </c>
      <c r="BJ94" s="232">
        <f t="shared" si="175"/>
        <v>0</v>
      </c>
      <c r="BK94" s="232">
        <f t="shared" si="175"/>
        <v>0</v>
      </c>
      <c r="BL94" s="232">
        <f t="shared" si="175"/>
        <v>0</v>
      </c>
      <c r="BM94" s="232">
        <f t="shared" si="175"/>
        <v>0</v>
      </c>
      <c r="BN94" s="232">
        <f t="shared" si="175"/>
        <v>0</v>
      </c>
      <c r="BO94" s="232">
        <f t="shared" si="176"/>
        <v>0</v>
      </c>
      <c r="BP94" s="232">
        <f t="shared" si="176"/>
        <v>0</v>
      </c>
      <c r="BQ94" s="232">
        <f t="shared" si="176"/>
        <v>0</v>
      </c>
      <c r="BR94" s="232">
        <f t="shared" si="176"/>
        <v>0</v>
      </c>
      <c r="BS94" s="232">
        <f t="shared" si="176"/>
        <v>0</v>
      </c>
      <c r="BT94" s="232">
        <f t="shared" si="176"/>
        <v>0</v>
      </c>
      <c r="BU94" s="232">
        <f t="shared" si="176"/>
        <v>0</v>
      </c>
      <c r="BV94" s="232">
        <f t="shared" si="176"/>
        <v>0</v>
      </c>
      <c r="BW94" s="232">
        <f t="shared" si="176"/>
        <v>0</v>
      </c>
      <c r="BX94" s="232">
        <f t="shared" si="176"/>
        <v>0</v>
      </c>
      <c r="BY94" s="232">
        <f t="shared" si="177"/>
        <v>0</v>
      </c>
      <c r="BZ94" s="232">
        <f t="shared" si="177"/>
        <v>0</v>
      </c>
      <c r="CA94" s="232">
        <f t="shared" si="177"/>
        <v>0</v>
      </c>
      <c r="CB94" s="232">
        <f t="shared" si="177"/>
        <v>0</v>
      </c>
      <c r="CC94" s="232">
        <f t="shared" si="177"/>
        <v>0</v>
      </c>
      <c r="CD94" s="232">
        <f t="shared" si="177"/>
        <v>0</v>
      </c>
      <c r="CE94" s="232">
        <f t="shared" si="177"/>
        <v>0</v>
      </c>
      <c r="CF94" s="232">
        <f t="shared" si="177"/>
        <v>0</v>
      </c>
      <c r="CG94" s="232">
        <f t="shared" si="177"/>
        <v>0</v>
      </c>
      <c r="CH94" s="232">
        <f t="shared" si="177"/>
        <v>0</v>
      </c>
      <c r="CI94" s="232">
        <f t="shared" si="178"/>
        <v>0</v>
      </c>
      <c r="CJ94" s="232">
        <f t="shared" si="178"/>
        <v>0</v>
      </c>
      <c r="CK94" s="232">
        <f t="shared" si="178"/>
        <v>0</v>
      </c>
      <c r="CL94" s="232">
        <f t="shared" si="178"/>
        <v>0</v>
      </c>
      <c r="CM94" s="232">
        <f t="shared" si="178"/>
        <v>0</v>
      </c>
      <c r="CN94" s="232">
        <f t="shared" si="178"/>
        <v>0</v>
      </c>
      <c r="CO94" s="232">
        <f t="shared" si="178"/>
        <v>0</v>
      </c>
      <c r="CP94" s="232">
        <f t="shared" si="178"/>
        <v>0</v>
      </c>
      <c r="CQ94" s="232">
        <f t="shared" si="178"/>
        <v>0</v>
      </c>
      <c r="CR94" s="232">
        <f t="shared" si="178"/>
        <v>0</v>
      </c>
      <c r="CS94" s="232">
        <f t="shared" si="179"/>
        <v>0</v>
      </c>
      <c r="CT94" s="232">
        <f t="shared" si="179"/>
        <v>0</v>
      </c>
      <c r="CU94" s="232">
        <f t="shared" si="179"/>
        <v>0</v>
      </c>
      <c r="CV94" s="232">
        <f t="shared" si="179"/>
        <v>0</v>
      </c>
      <c r="CW94" s="232">
        <f t="shared" si="179"/>
        <v>0</v>
      </c>
      <c r="CX94" s="232">
        <f t="shared" si="179"/>
        <v>0</v>
      </c>
      <c r="CY94" s="232">
        <f t="shared" si="179"/>
        <v>0</v>
      </c>
      <c r="CZ94" s="232">
        <f t="shared" si="179"/>
        <v>0</v>
      </c>
      <c r="DA94" s="232">
        <f t="shared" si="179"/>
        <v>0</v>
      </c>
      <c r="DB94" s="232">
        <f t="shared" si="179"/>
        <v>0</v>
      </c>
      <c r="DC94" s="232">
        <f t="shared" si="180"/>
        <v>0</v>
      </c>
      <c r="DD94" s="232">
        <f t="shared" si="180"/>
        <v>0</v>
      </c>
      <c r="DE94" s="232">
        <f t="shared" si="180"/>
        <v>0</v>
      </c>
      <c r="DF94" s="232">
        <f t="shared" si="180"/>
        <v>0</v>
      </c>
      <c r="DG94" s="232">
        <f t="shared" si="180"/>
        <v>0</v>
      </c>
      <c r="DH94" s="232">
        <f t="shared" si="180"/>
        <v>0</v>
      </c>
      <c r="DI94" s="232">
        <f t="shared" si="180"/>
        <v>0</v>
      </c>
      <c r="DJ94" s="232">
        <f t="shared" si="180"/>
        <v>0</v>
      </c>
      <c r="DK94" s="232">
        <f t="shared" si="180"/>
        <v>0</v>
      </c>
      <c r="DL94" s="232">
        <f t="shared" si="180"/>
        <v>0</v>
      </c>
      <c r="DM94" s="232">
        <f t="shared" si="181"/>
        <v>0</v>
      </c>
      <c r="DN94" s="232">
        <f t="shared" si="181"/>
        <v>0</v>
      </c>
      <c r="DO94" s="232">
        <f t="shared" si="181"/>
        <v>0</v>
      </c>
      <c r="DP94" s="232">
        <f t="shared" si="181"/>
        <v>0</v>
      </c>
      <c r="DQ94" s="232">
        <f t="shared" si="181"/>
        <v>0</v>
      </c>
      <c r="DR94" s="232">
        <f t="shared" si="181"/>
        <v>0</v>
      </c>
      <c r="DS94" s="232">
        <f t="shared" si="181"/>
        <v>0</v>
      </c>
      <c r="DT94" s="232">
        <f t="shared" si="181"/>
        <v>0</v>
      </c>
      <c r="DU94" s="232">
        <f t="shared" si="181"/>
        <v>0</v>
      </c>
      <c r="DV94" s="232">
        <f t="shared" si="181"/>
        <v>0</v>
      </c>
      <c r="DW94" s="232">
        <f t="shared" si="182"/>
        <v>0</v>
      </c>
      <c r="DX94" s="232">
        <f t="shared" si="182"/>
        <v>0</v>
      </c>
      <c r="DY94" s="232">
        <f t="shared" si="182"/>
        <v>0</v>
      </c>
      <c r="DZ94" s="232">
        <f t="shared" si="182"/>
        <v>0</v>
      </c>
      <c r="EA94" s="232">
        <f t="shared" si="182"/>
        <v>0</v>
      </c>
      <c r="EB94" s="232">
        <f t="shared" si="182"/>
        <v>0</v>
      </c>
      <c r="EC94" s="232">
        <f t="shared" si="182"/>
        <v>0</v>
      </c>
      <c r="ED94" s="232">
        <f t="shared" si="182"/>
        <v>0</v>
      </c>
      <c r="EE94" s="232">
        <f t="shared" si="182"/>
        <v>0</v>
      </c>
      <c r="EF94" s="232">
        <f t="shared" si="182"/>
        <v>0</v>
      </c>
      <c r="EG94" s="232">
        <f t="shared" si="183"/>
        <v>0</v>
      </c>
      <c r="EH94" s="232">
        <f t="shared" si="183"/>
        <v>0</v>
      </c>
      <c r="EI94" s="232">
        <f t="shared" si="183"/>
        <v>0</v>
      </c>
      <c r="EJ94" s="232">
        <f t="shared" si="183"/>
        <v>0</v>
      </c>
      <c r="EK94" s="232">
        <f t="shared" si="183"/>
        <v>0</v>
      </c>
      <c r="EL94" s="232">
        <f t="shared" si="183"/>
        <v>0</v>
      </c>
      <c r="EM94" s="232">
        <f t="shared" si="183"/>
        <v>0</v>
      </c>
      <c r="EN94" s="232">
        <f t="shared" si="183"/>
        <v>0</v>
      </c>
      <c r="EO94" s="232">
        <f t="shared" si="183"/>
        <v>0</v>
      </c>
      <c r="EP94" s="232">
        <f t="shared" si="183"/>
        <v>0</v>
      </c>
      <c r="EQ94" s="232">
        <f t="shared" si="184"/>
        <v>0</v>
      </c>
      <c r="ER94" s="232">
        <f t="shared" si="184"/>
        <v>0</v>
      </c>
      <c r="ES94" s="232">
        <f t="shared" si="184"/>
        <v>0</v>
      </c>
      <c r="ET94" s="232">
        <f t="shared" si="184"/>
        <v>0</v>
      </c>
      <c r="EU94" s="232">
        <f t="shared" si="184"/>
        <v>0</v>
      </c>
      <c r="EV94" s="232">
        <f t="shared" si="184"/>
        <v>0</v>
      </c>
      <c r="EW94" s="232">
        <f t="shared" si="184"/>
        <v>0</v>
      </c>
      <c r="EX94" s="232">
        <f t="shared" si="184"/>
        <v>0</v>
      </c>
      <c r="EY94" s="232">
        <f t="shared" si="184"/>
        <v>0</v>
      </c>
      <c r="EZ94" s="232">
        <f t="shared" si="184"/>
        <v>0</v>
      </c>
      <c r="FA94" s="232">
        <f t="shared" si="185"/>
        <v>0</v>
      </c>
      <c r="FB94" s="232">
        <f t="shared" si="185"/>
        <v>0</v>
      </c>
      <c r="FC94" s="232">
        <f t="shared" si="185"/>
        <v>0</v>
      </c>
      <c r="FD94" s="232">
        <f t="shared" si="185"/>
        <v>0</v>
      </c>
      <c r="FE94" s="232">
        <f t="shared" si="185"/>
        <v>0</v>
      </c>
      <c r="FF94" s="232">
        <f t="shared" si="185"/>
        <v>0</v>
      </c>
      <c r="FG94" s="321"/>
      <c r="FH94" s="232">
        <f t="shared" si="186"/>
        <v>0</v>
      </c>
      <c r="FI94" s="232">
        <f t="shared" si="186"/>
        <v>0</v>
      </c>
      <c r="FJ94" s="232">
        <f t="shared" si="186"/>
        <v>0</v>
      </c>
      <c r="FK94" s="232">
        <f t="shared" si="186"/>
        <v>0</v>
      </c>
      <c r="FL94" s="232">
        <f t="shared" si="186"/>
        <v>0</v>
      </c>
      <c r="FM94" s="232">
        <f t="shared" si="186"/>
        <v>0</v>
      </c>
      <c r="FN94" s="232">
        <f t="shared" si="186"/>
        <v>0</v>
      </c>
      <c r="FO94" s="232">
        <f t="shared" si="186"/>
        <v>0</v>
      </c>
      <c r="FP94" s="232">
        <f t="shared" si="186"/>
        <v>0</v>
      </c>
      <c r="FQ94" s="232">
        <f t="shared" si="186"/>
        <v>0</v>
      </c>
      <c r="FR94" s="232">
        <f t="shared" si="186"/>
        <v>0</v>
      </c>
      <c r="FS94" s="232">
        <f t="shared" si="186"/>
        <v>0</v>
      </c>
      <c r="FT94" s="232">
        <f t="shared" si="186"/>
        <v>0</v>
      </c>
      <c r="FU94" s="232">
        <f t="shared" si="186"/>
        <v>0</v>
      </c>
      <c r="FV94" s="321"/>
    </row>
    <row r="95" spans="3:178" x14ac:dyDescent="0.2">
      <c r="C95" s="39" t="str">
        <f t="shared" si="167"/>
        <v>Contract Service</v>
      </c>
      <c r="D95" s="232">
        <f t="shared" si="168"/>
        <v>0</v>
      </c>
      <c r="E95" s="231">
        <f t="shared" si="169"/>
        <v>0</v>
      </c>
      <c r="F95" s="232">
        <v>0</v>
      </c>
      <c r="G95" s="232">
        <f t="shared" si="170"/>
        <v>0</v>
      </c>
      <c r="H95" s="232">
        <f t="shared" si="170"/>
        <v>0</v>
      </c>
      <c r="I95" s="232">
        <f t="shared" si="170"/>
        <v>0</v>
      </c>
      <c r="J95" s="232">
        <f t="shared" si="170"/>
        <v>0</v>
      </c>
      <c r="K95" s="232">
        <f t="shared" si="170"/>
        <v>0</v>
      </c>
      <c r="L95" s="232">
        <f t="shared" si="170"/>
        <v>0</v>
      </c>
      <c r="M95" s="232">
        <f t="shared" si="170"/>
        <v>0</v>
      </c>
      <c r="N95" s="232">
        <f t="shared" si="170"/>
        <v>0</v>
      </c>
      <c r="O95" s="232">
        <f t="shared" si="170"/>
        <v>0</v>
      </c>
      <c r="P95" s="232">
        <f t="shared" si="170"/>
        <v>0</v>
      </c>
      <c r="Q95" s="232">
        <f t="shared" si="171"/>
        <v>0</v>
      </c>
      <c r="R95" s="232">
        <f t="shared" si="171"/>
        <v>0</v>
      </c>
      <c r="S95" s="232">
        <f t="shared" si="171"/>
        <v>0</v>
      </c>
      <c r="T95" s="232">
        <f t="shared" si="171"/>
        <v>0</v>
      </c>
      <c r="U95" s="232">
        <f t="shared" si="171"/>
        <v>0</v>
      </c>
      <c r="V95" s="232">
        <f t="shared" si="171"/>
        <v>0</v>
      </c>
      <c r="W95" s="232">
        <f t="shared" si="171"/>
        <v>0</v>
      </c>
      <c r="X95" s="232">
        <f t="shared" si="171"/>
        <v>0</v>
      </c>
      <c r="Y95" s="232">
        <f t="shared" si="171"/>
        <v>0</v>
      </c>
      <c r="Z95" s="232">
        <f t="shared" si="171"/>
        <v>0</v>
      </c>
      <c r="AA95" s="232">
        <f t="shared" si="172"/>
        <v>0</v>
      </c>
      <c r="AB95" s="232">
        <f t="shared" si="172"/>
        <v>0</v>
      </c>
      <c r="AC95" s="232">
        <f t="shared" si="172"/>
        <v>0</v>
      </c>
      <c r="AD95" s="232">
        <f t="shared" si="172"/>
        <v>0</v>
      </c>
      <c r="AE95" s="232">
        <f t="shared" si="172"/>
        <v>0</v>
      </c>
      <c r="AF95" s="232">
        <f t="shared" si="172"/>
        <v>0</v>
      </c>
      <c r="AG95" s="232">
        <f t="shared" si="172"/>
        <v>0</v>
      </c>
      <c r="AH95" s="232">
        <f t="shared" si="172"/>
        <v>0</v>
      </c>
      <c r="AI95" s="232">
        <f t="shared" si="172"/>
        <v>0</v>
      </c>
      <c r="AJ95" s="232">
        <f t="shared" si="172"/>
        <v>0</v>
      </c>
      <c r="AK95" s="232">
        <f t="shared" si="173"/>
        <v>0</v>
      </c>
      <c r="AL95" s="232">
        <f t="shared" si="173"/>
        <v>0</v>
      </c>
      <c r="AM95" s="232">
        <f t="shared" si="173"/>
        <v>0</v>
      </c>
      <c r="AN95" s="232">
        <f t="shared" si="173"/>
        <v>0</v>
      </c>
      <c r="AO95" s="232">
        <f t="shared" si="173"/>
        <v>0</v>
      </c>
      <c r="AP95" s="232">
        <f t="shared" si="173"/>
        <v>0</v>
      </c>
      <c r="AQ95" s="232">
        <f t="shared" si="173"/>
        <v>0</v>
      </c>
      <c r="AR95" s="232">
        <f t="shared" si="173"/>
        <v>0</v>
      </c>
      <c r="AS95" s="232">
        <f t="shared" si="173"/>
        <v>0</v>
      </c>
      <c r="AT95" s="232">
        <f t="shared" si="173"/>
        <v>0</v>
      </c>
      <c r="AU95" s="232">
        <f t="shared" si="174"/>
        <v>0</v>
      </c>
      <c r="AV95" s="232">
        <f t="shared" si="174"/>
        <v>0</v>
      </c>
      <c r="AW95" s="232">
        <f t="shared" si="174"/>
        <v>0</v>
      </c>
      <c r="AX95" s="232">
        <f t="shared" si="174"/>
        <v>0</v>
      </c>
      <c r="AY95" s="232">
        <f t="shared" si="174"/>
        <v>0</v>
      </c>
      <c r="AZ95" s="232">
        <f t="shared" si="174"/>
        <v>0</v>
      </c>
      <c r="BA95" s="232">
        <f t="shared" si="174"/>
        <v>0</v>
      </c>
      <c r="BB95" s="232">
        <f t="shared" si="174"/>
        <v>0</v>
      </c>
      <c r="BC95" s="232">
        <f t="shared" si="174"/>
        <v>0</v>
      </c>
      <c r="BD95" s="232">
        <f t="shared" si="174"/>
        <v>0</v>
      </c>
      <c r="BE95" s="232">
        <f t="shared" si="175"/>
        <v>0</v>
      </c>
      <c r="BF95" s="232">
        <f t="shared" si="175"/>
        <v>0</v>
      </c>
      <c r="BG95" s="232">
        <f t="shared" si="175"/>
        <v>0</v>
      </c>
      <c r="BH95" s="232">
        <f t="shared" si="175"/>
        <v>0</v>
      </c>
      <c r="BI95" s="232">
        <f t="shared" si="175"/>
        <v>0</v>
      </c>
      <c r="BJ95" s="232">
        <f t="shared" si="175"/>
        <v>0</v>
      </c>
      <c r="BK95" s="232">
        <f t="shared" si="175"/>
        <v>0</v>
      </c>
      <c r="BL95" s="232">
        <f t="shared" si="175"/>
        <v>0</v>
      </c>
      <c r="BM95" s="232">
        <f t="shared" si="175"/>
        <v>0</v>
      </c>
      <c r="BN95" s="232">
        <f t="shared" si="175"/>
        <v>0</v>
      </c>
      <c r="BO95" s="232">
        <f t="shared" si="176"/>
        <v>0</v>
      </c>
      <c r="BP95" s="232">
        <f t="shared" si="176"/>
        <v>0</v>
      </c>
      <c r="BQ95" s="232">
        <f t="shared" si="176"/>
        <v>0</v>
      </c>
      <c r="BR95" s="232">
        <f t="shared" si="176"/>
        <v>0</v>
      </c>
      <c r="BS95" s="232">
        <f t="shared" si="176"/>
        <v>0</v>
      </c>
      <c r="BT95" s="232">
        <f t="shared" si="176"/>
        <v>0</v>
      </c>
      <c r="BU95" s="232">
        <f t="shared" si="176"/>
        <v>0</v>
      </c>
      <c r="BV95" s="232">
        <f t="shared" si="176"/>
        <v>0</v>
      </c>
      <c r="BW95" s="232">
        <f t="shared" si="176"/>
        <v>0</v>
      </c>
      <c r="BX95" s="232">
        <f t="shared" si="176"/>
        <v>0</v>
      </c>
      <c r="BY95" s="232">
        <f t="shared" si="177"/>
        <v>0</v>
      </c>
      <c r="BZ95" s="232">
        <f t="shared" si="177"/>
        <v>0</v>
      </c>
      <c r="CA95" s="232">
        <f t="shared" si="177"/>
        <v>0</v>
      </c>
      <c r="CB95" s="232">
        <f t="shared" si="177"/>
        <v>0</v>
      </c>
      <c r="CC95" s="232">
        <f t="shared" si="177"/>
        <v>0</v>
      </c>
      <c r="CD95" s="232">
        <f t="shared" si="177"/>
        <v>0</v>
      </c>
      <c r="CE95" s="232">
        <f t="shared" si="177"/>
        <v>0</v>
      </c>
      <c r="CF95" s="232">
        <f t="shared" si="177"/>
        <v>0</v>
      </c>
      <c r="CG95" s="232">
        <f t="shared" si="177"/>
        <v>0</v>
      </c>
      <c r="CH95" s="232">
        <f t="shared" si="177"/>
        <v>0</v>
      </c>
      <c r="CI95" s="232">
        <f t="shared" si="178"/>
        <v>0</v>
      </c>
      <c r="CJ95" s="232">
        <f t="shared" si="178"/>
        <v>0</v>
      </c>
      <c r="CK95" s="232">
        <f t="shared" si="178"/>
        <v>0</v>
      </c>
      <c r="CL95" s="232">
        <f t="shared" si="178"/>
        <v>0</v>
      </c>
      <c r="CM95" s="232">
        <f t="shared" si="178"/>
        <v>0</v>
      </c>
      <c r="CN95" s="232">
        <f t="shared" si="178"/>
        <v>0</v>
      </c>
      <c r="CO95" s="232">
        <f t="shared" si="178"/>
        <v>0</v>
      </c>
      <c r="CP95" s="232">
        <f t="shared" si="178"/>
        <v>0</v>
      </c>
      <c r="CQ95" s="232">
        <f t="shared" si="178"/>
        <v>0</v>
      </c>
      <c r="CR95" s="232">
        <f t="shared" si="178"/>
        <v>0</v>
      </c>
      <c r="CS95" s="232">
        <f t="shared" si="179"/>
        <v>0</v>
      </c>
      <c r="CT95" s="232">
        <f t="shared" si="179"/>
        <v>0</v>
      </c>
      <c r="CU95" s="232">
        <f t="shared" si="179"/>
        <v>0</v>
      </c>
      <c r="CV95" s="232">
        <f t="shared" si="179"/>
        <v>0</v>
      </c>
      <c r="CW95" s="232">
        <f t="shared" si="179"/>
        <v>0</v>
      </c>
      <c r="CX95" s="232">
        <f t="shared" si="179"/>
        <v>0</v>
      </c>
      <c r="CY95" s="232">
        <f t="shared" si="179"/>
        <v>0</v>
      </c>
      <c r="CZ95" s="232">
        <f t="shared" si="179"/>
        <v>0</v>
      </c>
      <c r="DA95" s="232">
        <f t="shared" si="179"/>
        <v>0</v>
      </c>
      <c r="DB95" s="232">
        <f t="shared" si="179"/>
        <v>0</v>
      </c>
      <c r="DC95" s="232">
        <f t="shared" si="180"/>
        <v>0</v>
      </c>
      <c r="DD95" s="232">
        <f t="shared" si="180"/>
        <v>0</v>
      </c>
      <c r="DE95" s="232">
        <f t="shared" si="180"/>
        <v>0</v>
      </c>
      <c r="DF95" s="232">
        <f t="shared" si="180"/>
        <v>0</v>
      </c>
      <c r="DG95" s="232">
        <f t="shared" si="180"/>
        <v>0</v>
      </c>
      <c r="DH95" s="232">
        <f t="shared" si="180"/>
        <v>0</v>
      </c>
      <c r="DI95" s="232">
        <f t="shared" si="180"/>
        <v>0</v>
      </c>
      <c r="DJ95" s="232">
        <f t="shared" si="180"/>
        <v>0</v>
      </c>
      <c r="DK95" s="232">
        <f t="shared" si="180"/>
        <v>0</v>
      </c>
      <c r="DL95" s="232">
        <f t="shared" si="180"/>
        <v>0</v>
      </c>
      <c r="DM95" s="232">
        <f t="shared" si="181"/>
        <v>0</v>
      </c>
      <c r="DN95" s="232">
        <f t="shared" si="181"/>
        <v>0</v>
      </c>
      <c r="DO95" s="232">
        <f t="shared" si="181"/>
        <v>0</v>
      </c>
      <c r="DP95" s="232">
        <f t="shared" si="181"/>
        <v>0</v>
      </c>
      <c r="DQ95" s="232">
        <f t="shared" si="181"/>
        <v>0</v>
      </c>
      <c r="DR95" s="232">
        <f t="shared" si="181"/>
        <v>0</v>
      </c>
      <c r="DS95" s="232">
        <f t="shared" si="181"/>
        <v>0</v>
      </c>
      <c r="DT95" s="232">
        <f t="shared" si="181"/>
        <v>0</v>
      </c>
      <c r="DU95" s="232">
        <f t="shared" si="181"/>
        <v>0</v>
      </c>
      <c r="DV95" s="232">
        <f t="shared" si="181"/>
        <v>0</v>
      </c>
      <c r="DW95" s="232">
        <f t="shared" si="182"/>
        <v>0</v>
      </c>
      <c r="DX95" s="232">
        <f t="shared" si="182"/>
        <v>0</v>
      </c>
      <c r="DY95" s="232">
        <f t="shared" si="182"/>
        <v>0</v>
      </c>
      <c r="DZ95" s="232">
        <f t="shared" si="182"/>
        <v>0</v>
      </c>
      <c r="EA95" s="232">
        <f t="shared" si="182"/>
        <v>0</v>
      </c>
      <c r="EB95" s="232">
        <f t="shared" si="182"/>
        <v>0</v>
      </c>
      <c r="EC95" s="232">
        <f t="shared" si="182"/>
        <v>0</v>
      </c>
      <c r="ED95" s="232">
        <f t="shared" si="182"/>
        <v>0</v>
      </c>
      <c r="EE95" s="232">
        <f t="shared" si="182"/>
        <v>0</v>
      </c>
      <c r="EF95" s="232">
        <f t="shared" si="182"/>
        <v>0</v>
      </c>
      <c r="EG95" s="232">
        <f t="shared" si="183"/>
        <v>0</v>
      </c>
      <c r="EH95" s="232">
        <f t="shared" si="183"/>
        <v>0</v>
      </c>
      <c r="EI95" s="232">
        <f t="shared" si="183"/>
        <v>0</v>
      </c>
      <c r="EJ95" s="232">
        <f t="shared" si="183"/>
        <v>0</v>
      </c>
      <c r="EK95" s="232">
        <f t="shared" si="183"/>
        <v>0</v>
      </c>
      <c r="EL95" s="232">
        <f t="shared" si="183"/>
        <v>0</v>
      </c>
      <c r="EM95" s="232">
        <f t="shared" si="183"/>
        <v>0</v>
      </c>
      <c r="EN95" s="232">
        <f t="shared" si="183"/>
        <v>0</v>
      </c>
      <c r="EO95" s="232">
        <f t="shared" si="183"/>
        <v>0</v>
      </c>
      <c r="EP95" s="232">
        <f t="shared" si="183"/>
        <v>0</v>
      </c>
      <c r="EQ95" s="232">
        <f t="shared" si="184"/>
        <v>0</v>
      </c>
      <c r="ER95" s="232">
        <f t="shared" si="184"/>
        <v>0</v>
      </c>
      <c r="ES95" s="232">
        <f t="shared" si="184"/>
        <v>0</v>
      </c>
      <c r="ET95" s="232">
        <f t="shared" si="184"/>
        <v>0</v>
      </c>
      <c r="EU95" s="232">
        <f t="shared" si="184"/>
        <v>0</v>
      </c>
      <c r="EV95" s="232">
        <f t="shared" si="184"/>
        <v>0</v>
      </c>
      <c r="EW95" s="232">
        <f t="shared" si="184"/>
        <v>0</v>
      </c>
      <c r="EX95" s="232">
        <f t="shared" si="184"/>
        <v>0</v>
      </c>
      <c r="EY95" s="232">
        <f t="shared" si="184"/>
        <v>0</v>
      </c>
      <c r="EZ95" s="232">
        <f t="shared" si="184"/>
        <v>0</v>
      </c>
      <c r="FA95" s="232">
        <f t="shared" si="185"/>
        <v>0</v>
      </c>
      <c r="FB95" s="232">
        <f t="shared" si="185"/>
        <v>0</v>
      </c>
      <c r="FC95" s="232">
        <f t="shared" si="185"/>
        <v>0</v>
      </c>
      <c r="FD95" s="232">
        <f t="shared" si="185"/>
        <v>0</v>
      </c>
      <c r="FE95" s="232">
        <f t="shared" si="185"/>
        <v>0</v>
      </c>
      <c r="FF95" s="232">
        <f t="shared" si="185"/>
        <v>0</v>
      </c>
      <c r="FG95" s="321"/>
      <c r="FH95" s="232">
        <f t="shared" si="186"/>
        <v>0</v>
      </c>
      <c r="FI95" s="232">
        <f t="shared" si="186"/>
        <v>0</v>
      </c>
      <c r="FJ95" s="232">
        <f t="shared" si="186"/>
        <v>0</v>
      </c>
      <c r="FK95" s="232">
        <f t="shared" si="186"/>
        <v>0</v>
      </c>
      <c r="FL95" s="232">
        <f t="shared" si="186"/>
        <v>0</v>
      </c>
      <c r="FM95" s="232">
        <f t="shared" si="186"/>
        <v>0</v>
      </c>
      <c r="FN95" s="232">
        <f t="shared" si="186"/>
        <v>0</v>
      </c>
      <c r="FO95" s="232">
        <f t="shared" si="186"/>
        <v>0</v>
      </c>
      <c r="FP95" s="232">
        <f t="shared" si="186"/>
        <v>0</v>
      </c>
      <c r="FQ95" s="232">
        <f t="shared" si="186"/>
        <v>0</v>
      </c>
      <c r="FR95" s="232">
        <f t="shared" si="186"/>
        <v>0</v>
      </c>
      <c r="FS95" s="232">
        <f t="shared" si="186"/>
        <v>0</v>
      </c>
      <c r="FT95" s="232">
        <f t="shared" si="186"/>
        <v>0</v>
      </c>
      <c r="FU95" s="232">
        <f t="shared" si="186"/>
        <v>0</v>
      </c>
      <c r="FV95" s="321"/>
    </row>
    <row r="96" spans="3:178" x14ac:dyDescent="0.2">
      <c r="C96" s="39" t="str">
        <f t="shared" si="167"/>
        <v>Turnover</v>
      </c>
      <c r="D96" s="232">
        <f t="shared" si="168"/>
        <v>0</v>
      </c>
      <c r="E96" s="231">
        <f t="shared" si="169"/>
        <v>0</v>
      </c>
      <c r="F96" s="232">
        <v>0</v>
      </c>
      <c r="G96" s="232">
        <f t="shared" si="170"/>
        <v>0</v>
      </c>
      <c r="H96" s="232">
        <f t="shared" si="170"/>
        <v>0</v>
      </c>
      <c r="I96" s="232">
        <f t="shared" si="170"/>
        <v>0</v>
      </c>
      <c r="J96" s="232">
        <f t="shared" si="170"/>
        <v>0</v>
      </c>
      <c r="K96" s="232">
        <f t="shared" si="170"/>
        <v>0</v>
      </c>
      <c r="L96" s="232">
        <f t="shared" si="170"/>
        <v>0</v>
      </c>
      <c r="M96" s="232">
        <f t="shared" si="170"/>
        <v>0</v>
      </c>
      <c r="N96" s="232">
        <f t="shared" si="170"/>
        <v>0</v>
      </c>
      <c r="O96" s="232">
        <f t="shared" si="170"/>
        <v>0</v>
      </c>
      <c r="P96" s="232">
        <f t="shared" si="170"/>
        <v>0</v>
      </c>
      <c r="Q96" s="232">
        <f t="shared" si="171"/>
        <v>0</v>
      </c>
      <c r="R96" s="232">
        <f t="shared" si="171"/>
        <v>0</v>
      </c>
      <c r="S96" s="232">
        <f t="shared" si="171"/>
        <v>0</v>
      </c>
      <c r="T96" s="232">
        <f t="shared" si="171"/>
        <v>0</v>
      </c>
      <c r="U96" s="232">
        <f t="shared" si="171"/>
        <v>0</v>
      </c>
      <c r="V96" s="232">
        <f t="shared" si="171"/>
        <v>0</v>
      </c>
      <c r="W96" s="232">
        <f t="shared" si="171"/>
        <v>0</v>
      </c>
      <c r="X96" s="232">
        <f t="shared" si="171"/>
        <v>0</v>
      </c>
      <c r="Y96" s="232">
        <f t="shared" si="171"/>
        <v>0</v>
      </c>
      <c r="Z96" s="232">
        <f t="shared" si="171"/>
        <v>0</v>
      </c>
      <c r="AA96" s="232">
        <f t="shared" si="172"/>
        <v>0</v>
      </c>
      <c r="AB96" s="232">
        <f t="shared" si="172"/>
        <v>0</v>
      </c>
      <c r="AC96" s="232">
        <f t="shared" si="172"/>
        <v>0</v>
      </c>
      <c r="AD96" s="232">
        <f t="shared" si="172"/>
        <v>0</v>
      </c>
      <c r="AE96" s="232">
        <f t="shared" si="172"/>
        <v>0</v>
      </c>
      <c r="AF96" s="232">
        <f t="shared" si="172"/>
        <v>0</v>
      </c>
      <c r="AG96" s="232">
        <f t="shared" si="172"/>
        <v>0</v>
      </c>
      <c r="AH96" s="232">
        <f t="shared" si="172"/>
        <v>0</v>
      </c>
      <c r="AI96" s="232">
        <f t="shared" si="172"/>
        <v>0</v>
      </c>
      <c r="AJ96" s="232">
        <f t="shared" si="172"/>
        <v>0</v>
      </c>
      <c r="AK96" s="232">
        <f t="shared" si="173"/>
        <v>0</v>
      </c>
      <c r="AL96" s="232">
        <f t="shared" si="173"/>
        <v>0</v>
      </c>
      <c r="AM96" s="232">
        <f t="shared" si="173"/>
        <v>0</v>
      </c>
      <c r="AN96" s="232">
        <f t="shared" si="173"/>
        <v>0</v>
      </c>
      <c r="AO96" s="232">
        <f t="shared" si="173"/>
        <v>0</v>
      </c>
      <c r="AP96" s="232">
        <f t="shared" si="173"/>
        <v>0</v>
      </c>
      <c r="AQ96" s="232">
        <f t="shared" si="173"/>
        <v>0</v>
      </c>
      <c r="AR96" s="232">
        <f t="shared" si="173"/>
        <v>0</v>
      </c>
      <c r="AS96" s="232">
        <f t="shared" si="173"/>
        <v>0</v>
      </c>
      <c r="AT96" s="232">
        <f t="shared" si="173"/>
        <v>0</v>
      </c>
      <c r="AU96" s="232">
        <f t="shared" si="174"/>
        <v>0</v>
      </c>
      <c r="AV96" s="232">
        <f t="shared" si="174"/>
        <v>0</v>
      </c>
      <c r="AW96" s="232">
        <f t="shared" si="174"/>
        <v>0</v>
      </c>
      <c r="AX96" s="232">
        <f t="shared" si="174"/>
        <v>0</v>
      </c>
      <c r="AY96" s="232">
        <f t="shared" si="174"/>
        <v>0</v>
      </c>
      <c r="AZ96" s="232">
        <f t="shared" si="174"/>
        <v>0</v>
      </c>
      <c r="BA96" s="232">
        <f t="shared" si="174"/>
        <v>0</v>
      </c>
      <c r="BB96" s="232">
        <f t="shared" si="174"/>
        <v>0</v>
      </c>
      <c r="BC96" s="232">
        <f t="shared" si="174"/>
        <v>0</v>
      </c>
      <c r="BD96" s="232">
        <f t="shared" si="174"/>
        <v>0</v>
      </c>
      <c r="BE96" s="232">
        <f t="shared" si="175"/>
        <v>0</v>
      </c>
      <c r="BF96" s="232">
        <f t="shared" si="175"/>
        <v>0</v>
      </c>
      <c r="BG96" s="232">
        <f t="shared" si="175"/>
        <v>0</v>
      </c>
      <c r="BH96" s="232">
        <f t="shared" si="175"/>
        <v>0</v>
      </c>
      <c r="BI96" s="232">
        <f t="shared" si="175"/>
        <v>0</v>
      </c>
      <c r="BJ96" s="232">
        <f t="shared" si="175"/>
        <v>0</v>
      </c>
      <c r="BK96" s="232">
        <f t="shared" si="175"/>
        <v>0</v>
      </c>
      <c r="BL96" s="232">
        <f t="shared" si="175"/>
        <v>0</v>
      </c>
      <c r="BM96" s="232">
        <f t="shared" si="175"/>
        <v>0</v>
      </c>
      <c r="BN96" s="232">
        <f t="shared" si="175"/>
        <v>0</v>
      </c>
      <c r="BO96" s="232">
        <f t="shared" si="176"/>
        <v>0</v>
      </c>
      <c r="BP96" s="232">
        <f t="shared" si="176"/>
        <v>0</v>
      </c>
      <c r="BQ96" s="232">
        <f t="shared" si="176"/>
        <v>0</v>
      </c>
      <c r="BR96" s="232">
        <f t="shared" si="176"/>
        <v>0</v>
      </c>
      <c r="BS96" s="232">
        <f t="shared" si="176"/>
        <v>0</v>
      </c>
      <c r="BT96" s="232">
        <f t="shared" si="176"/>
        <v>0</v>
      </c>
      <c r="BU96" s="232">
        <f t="shared" si="176"/>
        <v>0</v>
      </c>
      <c r="BV96" s="232">
        <f t="shared" si="176"/>
        <v>0</v>
      </c>
      <c r="BW96" s="232">
        <f t="shared" si="176"/>
        <v>0</v>
      </c>
      <c r="BX96" s="232">
        <f t="shared" si="176"/>
        <v>0</v>
      </c>
      <c r="BY96" s="232">
        <f t="shared" si="177"/>
        <v>0</v>
      </c>
      <c r="BZ96" s="232">
        <f t="shared" si="177"/>
        <v>0</v>
      </c>
      <c r="CA96" s="232">
        <f t="shared" si="177"/>
        <v>0</v>
      </c>
      <c r="CB96" s="232">
        <f t="shared" si="177"/>
        <v>0</v>
      </c>
      <c r="CC96" s="232">
        <f t="shared" si="177"/>
        <v>0</v>
      </c>
      <c r="CD96" s="232">
        <f t="shared" si="177"/>
        <v>0</v>
      </c>
      <c r="CE96" s="232">
        <f t="shared" si="177"/>
        <v>0</v>
      </c>
      <c r="CF96" s="232">
        <f t="shared" si="177"/>
        <v>0</v>
      </c>
      <c r="CG96" s="232">
        <f t="shared" si="177"/>
        <v>0</v>
      </c>
      <c r="CH96" s="232">
        <f t="shared" si="177"/>
        <v>0</v>
      </c>
      <c r="CI96" s="232">
        <f t="shared" si="178"/>
        <v>0</v>
      </c>
      <c r="CJ96" s="232">
        <f t="shared" si="178"/>
        <v>0</v>
      </c>
      <c r="CK96" s="232">
        <f t="shared" si="178"/>
        <v>0</v>
      </c>
      <c r="CL96" s="232">
        <f t="shared" si="178"/>
        <v>0</v>
      </c>
      <c r="CM96" s="232">
        <f t="shared" si="178"/>
        <v>0</v>
      </c>
      <c r="CN96" s="232">
        <f t="shared" si="178"/>
        <v>0</v>
      </c>
      <c r="CO96" s="232">
        <f t="shared" si="178"/>
        <v>0</v>
      </c>
      <c r="CP96" s="232">
        <f t="shared" si="178"/>
        <v>0</v>
      </c>
      <c r="CQ96" s="232">
        <f t="shared" si="178"/>
        <v>0</v>
      </c>
      <c r="CR96" s="232">
        <f t="shared" si="178"/>
        <v>0</v>
      </c>
      <c r="CS96" s="232">
        <f t="shared" si="179"/>
        <v>0</v>
      </c>
      <c r="CT96" s="232">
        <f t="shared" si="179"/>
        <v>0</v>
      </c>
      <c r="CU96" s="232">
        <f t="shared" si="179"/>
        <v>0</v>
      </c>
      <c r="CV96" s="232">
        <f t="shared" si="179"/>
        <v>0</v>
      </c>
      <c r="CW96" s="232">
        <f t="shared" si="179"/>
        <v>0</v>
      </c>
      <c r="CX96" s="232">
        <f t="shared" si="179"/>
        <v>0</v>
      </c>
      <c r="CY96" s="232">
        <f t="shared" si="179"/>
        <v>0</v>
      </c>
      <c r="CZ96" s="232">
        <f t="shared" si="179"/>
        <v>0</v>
      </c>
      <c r="DA96" s="232">
        <f t="shared" si="179"/>
        <v>0</v>
      </c>
      <c r="DB96" s="232">
        <f t="shared" si="179"/>
        <v>0</v>
      </c>
      <c r="DC96" s="232">
        <f t="shared" si="180"/>
        <v>0</v>
      </c>
      <c r="DD96" s="232">
        <f t="shared" si="180"/>
        <v>0</v>
      </c>
      <c r="DE96" s="232">
        <f t="shared" si="180"/>
        <v>0</v>
      </c>
      <c r="DF96" s="232">
        <f t="shared" si="180"/>
        <v>0</v>
      </c>
      <c r="DG96" s="232">
        <f t="shared" si="180"/>
        <v>0</v>
      </c>
      <c r="DH96" s="232">
        <f t="shared" si="180"/>
        <v>0</v>
      </c>
      <c r="DI96" s="232">
        <f t="shared" si="180"/>
        <v>0</v>
      </c>
      <c r="DJ96" s="232">
        <f t="shared" si="180"/>
        <v>0</v>
      </c>
      <c r="DK96" s="232">
        <f t="shared" si="180"/>
        <v>0</v>
      </c>
      <c r="DL96" s="232">
        <f t="shared" si="180"/>
        <v>0</v>
      </c>
      <c r="DM96" s="232">
        <f t="shared" si="181"/>
        <v>0</v>
      </c>
      <c r="DN96" s="232">
        <f t="shared" si="181"/>
        <v>0</v>
      </c>
      <c r="DO96" s="232">
        <f t="shared" si="181"/>
        <v>0</v>
      </c>
      <c r="DP96" s="232">
        <f t="shared" si="181"/>
        <v>0</v>
      </c>
      <c r="DQ96" s="232">
        <f t="shared" si="181"/>
        <v>0</v>
      </c>
      <c r="DR96" s="232">
        <f t="shared" si="181"/>
        <v>0</v>
      </c>
      <c r="DS96" s="232">
        <f t="shared" si="181"/>
        <v>0</v>
      </c>
      <c r="DT96" s="232">
        <f t="shared" si="181"/>
        <v>0</v>
      </c>
      <c r="DU96" s="232">
        <f t="shared" si="181"/>
        <v>0</v>
      </c>
      <c r="DV96" s="232">
        <f t="shared" si="181"/>
        <v>0</v>
      </c>
      <c r="DW96" s="232">
        <f t="shared" si="182"/>
        <v>0</v>
      </c>
      <c r="DX96" s="232">
        <f t="shared" si="182"/>
        <v>0</v>
      </c>
      <c r="DY96" s="232">
        <f t="shared" si="182"/>
        <v>0</v>
      </c>
      <c r="DZ96" s="232">
        <f t="shared" si="182"/>
        <v>0</v>
      </c>
      <c r="EA96" s="232">
        <f t="shared" si="182"/>
        <v>0</v>
      </c>
      <c r="EB96" s="232">
        <f t="shared" si="182"/>
        <v>0</v>
      </c>
      <c r="EC96" s="232">
        <f t="shared" si="182"/>
        <v>0</v>
      </c>
      <c r="ED96" s="232">
        <f t="shared" si="182"/>
        <v>0</v>
      </c>
      <c r="EE96" s="232">
        <f t="shared" si="182"/>
        <v>0</v>
      </c>
      <c r="EF96" s="232">
        <f t="shared" si="182"/>
        <v>0</v>
      </c>
      <c r="EG96" s="232">
        <f t="shared" si="183"/>
        <v>0</v>
      </c>
      <c r="EH96" s="232">
        <f t="shared" si="183"/>
        <v>0</v>
      </c>
      <c r="EI96" s="232">
        <f t="shared" si="183"/>
        <v>0</v>
      </c>
      <c r="EJ96" s="232">
        <f t="shared" si="183"/>
        <v>0</v>
      </c>
      <c r="EK96" s="232">
        <f t="shared" si="183"/>
        <v>0</v>
      </c>
      <c r="EL96" s="232">
        <f t="shared" si="183"/>
        <v>0</v>
      </c>
      <c r="EM96" s="232">
        <f t="shared" si="183"/>
        <v>0</v>
      </c>
      <c r="EN96" s="232">
        <f t="shared" si="183"/>
        <v>0</v>
      </c>
      <c r="EO96" s="232">
        <f t="shared" si="183"/>
        <v>0</v>
      </c>
      <c r="EP96" s="232">
        <f t="shared" si="183"/>
        <v>0</v>
      </c>
      <c r="EQ96" s="232">
        <f t="shared" si="184"/>
        <v>0</v>
      </c>
      <c r="ER96" s="232">
        <f t="shared" si="184"/>
        <v>0</v>
      </c>
      <c r="ES96" s="232">
        <f t="shared" si="184"/>
        <v>0</v>
      </c>
      <c r="ET96" s="232">
        <f t="shared" si="184"/>
        <v>0</v>
      </c>
      <c r="EU96" s="232">
        <f t="shared" si="184"/>
        <v>0</v>
      </c>
      <c r="EV96" s="232">
        <f t="shared" si="184"/>
        <v>0</v>
      </c>
      <c r="EW96" s="232">
        <f t="shared" si="184"/>
        <v>0</v>
      </c>
      <c r="EX96" s="232">
        <f t="shared" si="184"/>
        <v>0</v>
      </c>
      <c r="EY96" s="232">
        <f t="shared" si="184"/>
        <v>0</v>
      </c>
      <c r="EZ96" s="232">
        <f t="shared" si="184"/>
        <v>0</v>
      </c>
      <c r="FA96" s="232">
        <f t="shared" si="185"/>
        <v>0</v>
      </c>
      <c r="FB96" s="232">
        <f t="shared" si="185"/>
        <v>0</v>
      </c>
      <c r="FC96" s="232">
        <f t="shared" si="185"/>
        <v>0</v>
      </c>
      <c r="FD96" s="232">
        <f t="shared" si="185"/>
        <v>0</v>
      </c>
      <c r="FE96" s="232">
        <f t="shared" si="185"/>
        <v>0</v>
      </c>
      <c r="FF96" s="232">
        <f t="shared" si="185"/>
        <v>0</v>
      </c>
      <c r="FG96" s="321"/>
      <c r="FH96" s="232">
        <f t="shared" si="186"/>
        <v>0</v>
      </c>
      <c r="FI96" s="232">
        <f t="shared" si="186"/>
        <v>0</v>
      </c>
      <c r="FJ96" s="232">
        <f t="shared" si="186"/>
        <v>0</v>
      </c>
      <c r="FK96" s="232">
        <f t="shared" si="186"/>
        <v>0</v>
      </c>
      <c r="FL96" s="232">
        <f t="shared" si="186"/>
        <v>0</v>
      </c>
      <c r="FM96" s="232">
        <f t="shared" si="186"/>
        <v>0</v>
      </c>
      <c r="FN96" s="232">
        <f t="shared" si="186"/>
        <v>0</v>
      </c>
      <c r="FO96" s="232">
        <f t="shared" si="186"/>
        <v>0</v>
      </c>
      <c r="FP96" s="232">
        <f t="shared" si="186"/>
        <v>0</v>
      </c>
      <c r="FQ96" s="232">
        <f t="shared" si="186"/>
        <v>0</v>
      </c>
      <c r="FR96" s="232">
        <f t="shared" si="186"/>
        <v>0</v>
      </c>
      <c r="FS96" s="232">
        <f t="shared" si="186"/>
        <v>0</v>
      </c>
      <c r="FT96" s="232">
        <f t="shared" si="186"/>
        <v>0</v>
      </c>
      <c r="FU96" s="232">
        <f t="shared" si="186"/>
        <v>0</v>
      </c>
      <c r="FV96" s="321"/>
    </row>
    <row r="97" spans="3:178" x14ac:dyDescent="0.2">
      <c r="C97" s="241" t="str">
        <f t="shared" si="167"/>
        <v>Other</v>
      </c>
      <c r="D97" s="234">
        <f t="shared" si="168"/>
        <v>0</v>
      </c>
      <c r="E97" s="233">
        <f t="shared" si="169"/>
        <v>0</v>
      </c>
      <c r="F97" s="234">
        <v>0</v>
      </c>
      <c r="G97" s="234">
        <f t="shared" si="170"/>
        <v>0</v>
      </c>
      <c r="H97" s="234">
        <f t="shared" si="170"/>
        <v>0</v>
      </c>
      <c r="I97" s="234">
        <f t="shared" si="170"/>
        <v>0</v>
      </c>
      <c r="J97" s="234">
        <f t="shared" si="170"/>
        <v>0</v>
      </c>
      <c r="K97" s="234">
        <f t="shared" si="170"/>
        <v>0</v>
      </c>
      <c r="L97" s="234">
        <f t="shared" si="170"/>
        <v>0</v>
      </c>
      <c r="M97" s="234">
        <f t="shared" si="170"/>
        <v>0</v>
      </c>
      <c r="N97" s="234">
        <f t="shared" si="170"/>
        <v>0</v>
      </c>
      <c r="O97" s="234">
        <f t="shared" si="170"/>
        <v>0</v>
      </c>
      <c r="P97" s="234">
        <f t="shared" si="170"/>
        <v>0</v>
      </c>
      <c r="Q97" s="234">
        <f t="shared" si="171"/>
        <v>0</v>
      </c>
      <c r="R97" s="234">
        <f t="shared" si="171"/>
        <v>0</v>
      </c>
      <c r="S97" s="234">
        <f t="shared" si="171"/>
        <v>0</v>
      </c>
      <c r="T97" s="234">
        <f t="shared" si="171"/>
        <v>0</v>
      </c>
      <c r="U97" s="234">
        <f t="shared" si="171"/>
        <v>0</v>
      </c>
      <c r="V97" s="234">
        <f t="shared" si="171"/>
        <v>0</v>
      </c>
      <c r="W97" s="234">
        <f t="shared" si="171"/>
        <v>0</v>
      </c>
      <c r="X97" s="234">
        <f t="shared" si="171"/>
        <v>0</v>
      </c>
      <c r="Y97" s="234">
        <f t="shared" si="171"/>
        <v>0</v>
      </c>
      <c r="Z97" s="234">
        <f t="shared" si="171"/>
        <v>0</v>
      </c>
      <c r="AA97" s="234">
        <f t="shared" si="172"/>
        <v>0</v>
      </c>
      <c r="AB97" s="234">
        <f t="shared" si="172"/>
        <v>0</v>
      </c>
      <c r="AC97" s="234">
        <f t="shared" si="172"/>
        <v>0</v>
      </c>
      <c r="AD97" s="234">
        <f t="shared" si="172"/>
        <v>0</v>
      </c>
      <c r="AE97" s="234">
        <f t="shared" si="172"/>
        <v>0</v>
      </c>
      <c r="AF97" s="234">
        <f t="shared" si="172"/>
        <v>0</v>
      </c>
      <c r="AG97" s="234">
        <f t="shared" si="172"/>
        <v>0</v>
      </c>
      <c r="AH97" s="234">
        <f t="shared" si="172"/>
        <v>0</v>
      </c>
      <c r="AI97" s="234">
        <f t="shared" si="172"/>
        <v>0</v>
      </c>
      <c r="AJ97" s="234">
        <f t="shared" si="172"/>
        <v>0</v>
      </c>
      <c r="AK97" s="234">
        <f t="shared" si="173"/>
        <v>0</v>
      </c>
      <c r="AL97" s="234">
        <f t="shared" si="173"/>
        <v>0</v>
      </c>
      <c r="AM97" s="234">
        <f t="shared" si="173"/>
        <v>0</v>
      </c>
      <c r="AN97" s="234">
        <f t="shared" si="173"/>
        <v>0</v>
      </c>
      <c r="AO97" s="234">
        <f t="shared" si="173"/>
        <v>0</v>
      </c>
      <c r="AP97" s="234">
        <f t="shared" si="173"/>
        <v>0</v>
      </c>
      <c r="AQ97" s="234">
        <f t="shared" si="173"/>
        <v>0</v>
      </c>
      <c r="AR97" s="234">
        <f t="shared" si="173"/>
        <v>0</v>
      </c>
      <c r="AS97" s="234">
        <f t="shared" si="173"/>
        <v>0</v>
      </c>
      <c r="AT97" s="234">
        <f t="shared" si="173"/>
        <v>0</v>
      </c>
      <c r="AU97" s="234">
        <f t="shared" si="174"/>
        <v>0</v>
      </c>
      <c r="AV97" s="234">
        <f t="shared" si="174"/>
        <v>0</v>
      </c>
      <c r="AW97" s="234">
        <f t="shared" si="174"/>
        <v>0</v>
      </c>
      <c r="AX97" s="234">
        <f t="shared" si="174"/>
        <v>0</v>
      </c>
      <c r="AY97" s="234">
        <f t="shared" si="174"/>
        <v>0</v>
      </c>
      <c r="AZ97" s="234">
        <f t="shared" si="174"/>
        <v>0</v>
      </c>
      <c r="BA97" s="234">
        <f t="shared" si="174"/>
        <v>0</v>
      </c>
      <c r="BB97" s="234">
        <f t="shared" si="174"/>
        <v>0</v>
      </c>
      <c r="BC97" s="234">
        <f t="shared" si="174"/>
        <v>0</v>
      </c>
      <c r="BD97" s="234">
        <f t="shared" si="174"/>
        <v>0</v>
      </c>
      <c r="BE97" s="234">
        <f t="shared" si="175"/>
        <v>0</v>
      </c>
      <c r="BF97" s="234">
        <f t="shared" si="175"/>
        <v>0</v>
      </c>
      <c r="BG97" s="234">
        <f t="shared" si="175"/>
        <v>0</v>
      </c>
      <c r="BH97" s="234">
        <f t="shared" si="175"/>
        <v>0</v>
      </c>
      <c r="BI97" s="234">
        <f t="shared" si="175"/>
        <v>0</v>
      </c>
      <c r="BJ97" s="234">
        <f t="shared" si="175"/>
        <v>0</v>
      </c>
      <c r="BK97" s="234">
        <f t="shared" si="175"/>
        <v>0</v>
      </c>
      <c r="BL97" s="234">
        <f t="shared" si="175"/>
        <v>0</v>
      </c>
      <c r="BM97" s="234">
        <f t="shared" si="175"/>
        <v>0</v>
      </c>
      <c r="BN97" s="234">
        <f t="shared" si="175"/>
        <v>0</v>
      </c>
      <c r="BO97" s="234">
        <f t="shared" si="176"/>
        <v>0</v>
      </c>
      <c r="BP97" s="234">
        <f t="shared" si="176"/>
        <v>0</v>
      </c>
      <c r="BQ97" s="234">
        <f t="shared" si="176"/>
        <v>0</v>
      </c>
      <c r="BR97" s="234">
        <f t="shared" si="176"/>
        <v>0</v>
      </c>
      <c r="BS97" s="234">
        <f t="shared" si="176"/>
        <v>0</v>
      </c>
      <c r="BT97" s="234">
        <f t="shared" si="176"/>
        <v>0</v>
      </c>
      <c r="BU97" s="234">
        <f t="shared" si="176"/>
        <v>0</v>
      </c>
      <c r="BV97" s="234">
        <f t="shared" si="176"/>
        <v>0</v>
      </c>
      <c r="BW97" s="234">
        <f t="shared" si="176"/>
        <v>0</v>
      </c>
      <c r="BX97" s="234">
        <f t="shared" si="176"/>
        <v>0</v>
      </c>
      <c r="BY97" s="234">
        <f t="shared" si="177"/>
        <v>0</v>
      </c>
      <c r="BZ97" s="234">
        <f t="shared" si="177"/>
        <v>0</v>
      </c>
      <c r="CA97" s="234">
        <f t="shared" si="177"/>
        <v>0</v>
      </c>
      <c r="CB97" s="234">
        <f t="shared" si="177"/>
        <v>0</v>
      </c>
      <c r="CC97" s="234">
        <f t="shared" si="177"/>
        <v>0</v>
      </c>
      <c r="CD97" s="234">
        <f t="shared" si="177"/>
        <v>0</v>
      </c>
      <c r="CE97" s="234">
        <f t="shared" si="177"/>
        <v>0</v>
      </c>
      <c r="CF97" s="234">
        <f t="shared" si="177"/>
        <v>0</v>
      </c>
      <c r="CG97" s="234">
        <f t="shared" si="177"/>
        <v>0</v>
      </c>
      <c r="CH97" s="234">
        <f t="shared" si="177"/>
        <v>0</v>
      </c>
      <c r="CI97" s="234">
        <f t="shared" si="178"/>
        <v>0</v>
      </c>
      <c r="CJ97" s="234">
        <f t="shared" si="178"/>
        <v>0</v>
      </c>
      <c r="CK97" s="234">
        <f t="shared" si="178"/>
        <v>0</v>
      </c>
      <c r="CL97" s="234">
        <f t="shared" si="178"/>
        <v>0</v>
      </c>
      <c r="CM97" s="234">
        <f t="shared" si="178"/>
        <v>0</v>
      </c>
      <c r="CN97" s="234">
        <f t="shared" si="178"/>
        <v>0</v>
      </c>
      <c r="CO97" s="234">
        <f t="shared" si="178"/>
        <v>0</v>
      </c>
      <c r="CP97" s="234">
        <f t="shared" si="178"/>
        <v>0</v>
      </c>
      <c r="CQ97" s="234">
        <f t="shared" si="178"/>
        <v>0</v>
      </c>
      <c r="CR97" s="234">
        <f t="shared" si="178"/>
        <v>0</v>
      </c>
      <c r="CS97" s="234">
        <f t="shared" si="179"/>
        <v>0</v>
      </c>
      <c r="CT97" s="234">
        <f t="shared" si="179"/>
        <v>0</v>
      </c>
      <c r="CU97" s="234">
        <f t="shared" si="179"/>
        <v>0</v>
      </c>
      <c r="CV97" s="234">
        <f t="shared" si="179"/>
        <v>0</v>
      </c>
      <c r="CW97" s="234">
        <f t="shared" si="179"/>
        <v>0</v>
      </c>
      <c r="CX97" s="234">
        <f t="shared" si="179"/>
        <v>0</v>
      </c>
      <c r="CY97" s="234">
        <f t="shared" si="179"/>
        <v>0</v>
      </c>
      <c r="CZ97" s="234">
        <f t="shared" si="179"/>
        <v>0</v>
      </c>
      <c r="DA97" s="234">
        <f t="shared" si="179"/>
        <v>0</v>
      </c>
      <c r="DB97" s="234">
        <f t="shared" si="179"/>
        <v>0</v>
      </c>
      <c r="DC97" s="234">
        <f t="shared" si="180"/>
        <v>0</v>
      </c>
      <c r="DD97" s="234">
        <f t="shared" si="180"/>
        <v>0</v>
      </c>
      <c r="DE97" s="234">
        <f t="shared" si="180"/>
        <v>0</v>
      </c>
      <c r="DF97" s="234">
        <f t="shared" si="180"/>
        <v>0</v>
      </c>
      <c r="DG97" s="234">
        <f t="shared" si="180"/>
        <v>0</v>
      </c>
      <c r="DH97" s="234">
        <f t="shared" si="180"/>
        <v>0</v>
      </c>
      <c r="DI97" s="234">
        <f t="shared" si="180"/>
        <v>0</v>
      </c>
      <c r="DJ97" s="234">
        <f t="shared" si="180"/>
        <v>0</v>
      </c>
      <c r="DK97" s="234">
        <f t="shared" si="180"/>
        <v>0</v>
      </c>
      <c r="DL97" s="234">
        <f t="shared" si="180"/>
        <v>0</v>
      </c>
      <c r="DM97" s="234">
        <f t="shared" si="181"/>
        <v>0</v>
      </c>
      <c r="DN97" s="234">
        <f t="shared" si="181"/>
        <v>0</v>
      </c>
      <c r="DO97" s="234">
        <f t="shared" si="181"/>
        <v>0</v>
      </c>
      <c r="DP97" s="234">
        <f t="shared" si="181"/>
        <v>0</v>
      </c>
      <c r="DQ97" s="234">
        <f t="shared" si="181"/>
        <v>0</v>
      </c>
      <c r="DR97" s="234">
        <f t="shared" si="181"/>
        <v>0</v>
      </c>
      <c r="DS97" s="234">
        <f t="shared" si="181"/>
        <v>0</v>
      </c>
      <c r="DT97" s="234">
        <f t="shared" si="181"/>
        <v>0</v>
      </c>
      <c r="DU97" s="234">
        <f t="shared" si="181"/>
        <v>0</v>
      </c>
      <c r="DV97" s="234">
        <f t="shared" si="181"/>
        <v>0</v>
      </c>
      <c r="DW97" s="234">
        <f t="shared" si="182"/>
        <v>0</v>
      </c>
      <c r="DX97" s="234">
        <f t="shared" si="182"/>
        <v>0</v>
      </c>
      <c r="DY97" s="234">
        <f t="shared" si="182"/>
        <v>0</v>
      </c>
      <c r="DZ97" s="234">
        <f t="shared" si="182"/>
        <v>0</v>
      </c>
      <c r="EA97" s="234">
        <f t="shared" si="182"/>
        <v>0</v>
      </c>
      <c r="EB97" s="234">
        <f t="shared" si="182"/>
        <v>0</v>
      </c>
      <c r="EC97" s="234">
        <f t="shared" si="182"/>
        <v>0</v>
      </c>
      <c r="ED97" s="234">
        <f t="shared" si="182"/>
        <v>0</v>
      </c>
      <c r="EE97" s="234">
        <f t="shared" si="182"/>
        <v>0</v>
      </c>
      <c r="EF97" s="234">
        <f t="shared" si="182"/>
        <v>0</v>
      </c>
      <c r="EG97" s="234">
        <f t="shared" si="183"/>
        <v>0</v>
      </c>
      <c r="EH97" s="234">
        <f t="shared" si="183"/>
        <v>0</v>
      </c>
      <c r="EI97" s="234">
        <f t="shared" si="183"/>
        <v>0</v>
      </c>
      <c r="EJ97" s="234">
        <f t="shared" si="183"/>
        <v>0</v>
      </c>
      <c r="EK97" s="234">
        <f t="shared" si="183"/>
        <v>0</v>
      </c>
      <c r="EL97" s="234">
        <f t="shared" si="183"/>
        <v>0</v>
      </c>
      <c r="EM97" s="234">
        <f t="shared" si="183"/>
        <v>0</v>
      </c>
      <c r="EN97" s="234">
        <f t="shared" si="183"/>
        <v>0</v>
      </c>
      <c r="EO97" s="234">
        <f t="shared" si="183"/>
        <v>0</v>
      </c>
      <c r="EP97" s="234">
        <f t="shared" si="183"/>
        <v>0</v>
      </c>
      <c r="EQ97" s="234">
        <f t="shared" si="184"/>
        <v>0</v>
      </c>
      <c r="ER97" s="234">
        <f t="shared" si="184"/>
        <v>0</v>
      </c>
      <c r="ES97" s="234">
        <f t="shared" si="184"/>
        <v>0</v>
      </c>
      <c r="ET97" s="234">
        <f t="shared" si="184"/>
        <v>0</v>
      </c>
      <c r="EU97" s="234">
        <f t="shared" si="184"/>
        <v>0</v>
      </c>
      <c r="EV97" s="234">
        <f t="shared" si="184"/>
        <v>0</v>
      </c>
      <c r="EW97" s="234">
        <f t="shared" si="184"/>
        <v>0</v>
      </c>
      <c r="EX97" s="234">
        <f t="shared" si="184"/>
        <v>0</v>
      </c>
      <c r="EY97" s="234">
        <f t="shared" si="184"/>
        <v>0</v>
      </c>
      <c r="EZ97" s="234">
        <f t="shared" si="184"/>
        <v>0</v>
      </c>
      <c r="FA97" s="234">
        <f t="shared" si="185"/>
        <v>0</v>
      </c>
      <c r="FB97" s="234">
        <f t="shared" si="185"/>
        <v>0</v>
      </c>
      <c r="FC97" s="234">
        <f t="shared" si="185"/>
        <v>0</v>
      </c>
      <c r="FD97" s="234">
        <f t="shared" si="185"/>
        <v>0</v>
      </c>
      <c r="FE97" s="234">
        <f t="shared" si="185"/>
        <v>0</v>
      </c>
      <c r="FF97" s="234">
        <f t="shared" si="185"/>
        <v>0</v>
      </c>
      <c r="FG97" s="321"/>
      <c r="FH97" s="234">
        <f t="shared" si="186"/>
        <v>0</v>
      </c>
      <c r="FI97" s="234">
        <f t="shared" si="186"/>
        <v>0</v>
      </c>
      <c r="FJ97" s="234">
        <f t="shared" si="186"/>
        <v>0</v>
      </c>
      <c r="FK97" s="234">
        <f t="shared" si="186"/>
        <v>0</v>
      </c>
      <c r="FL97" s="234">
        <f t="shared" si="186"/>
        <v>0</v>
      </c>
      <c r="FM97" s="234">
        <f t="shared" si="186"/>
        <v>0</v>
      </c>
      <c r="FN97" s="234">
        <f t="shared" si="186"/>
        <v>0</v>
      </c>
      <c r="FO97" s="234">
        <f t="shared" si="186"/>
        <v>0</v>
      </c>
      <c r="FP97" s="234">
        <f t="shared" si="186"/>
        <v>0</v>
      </c>
      <c r="FQ97" s="234">
        <f t="shared" si="186"/>
        <v>0</v>
      </c>
      <c r="FR97" s="234">
        <f t="shared" si="186"/>
        <v>0</v>
      </c>
      <c r="FS97" s="234">
        <f t="shared" si="186"/>
        <v>0</v>
      </c>
      <c r="FT97" s="234">
        <f t="shared" si="186"/>
        <v>0</v>
      </c>
      <c r="FU97" s="234">
        <f t="shared" si="186"/>
        <v>0</v>
      </c>
      <c r="FV97" s="321"/>
    </row>
    <row r="98" spans="3:178" s="77" customFormat="1" x14ac:dyDescent="0.2">
      <c r="C98" s="80" t="s">
        <v>82</v>
      </c>
      <c r="D98" s="278"/>
      <c r="E98" s="80">
        <f t="shared" si="169"/>
        <v>6868158.4386413461</v>
      </c>
      <c r="F98" s="279">
        <f>SUM(F91:F97)</f>
        <v>0</v>
      </c>
      <c r="G98" s="80">
        <f>SUM(G91:G97)</f>
        <v>36052.40625</v>
      </c>
      <c r="H98" s="80">
        <f t="shared" ref="H98:BS98" si="187">SUM(H91:H97)</f>
        <v>36142.537265624997</v>
      </c>
      <c r="I98" s="80">
        <f t="shared" si="187"/>
        <v>36232.893608789054</v>
      </c>
      <c r="J98" s="80">
        <f t="shared" si="187"/>
        <v>36323.475842811029</v>
      </c>
      <c r="K98" s="80">
        <f t="shared" si="187"/>
        <v>36414.28453241806</v>
      </c>
      <c r="L98" s="80">
        <f t="shared" si="187"/>
        <v>36505.320243749098</v>
      </c>
      <c r="M98" s="80">
        <f t="shared" si="187"/>
        <v>36596.583544358473</v>
      </c>
      <c r="N98" s="80">
        <f t="shared" si="187"/>
        <v>36688.075003219368</v>
      </c>
      <c r="O98" s="80">
        <f t="shared" si="187"/>
        <v>36779.795190727418</v>
      </c>
      <c r="P98" s="80">
        <f t="shared" si="187"/>
        <v>36871.744678704235</v>
      </c>
      <c r="Q98" s="80">
        <f t="shared" si="187"/>
        <v>36963.924040400998</v>
      </c>
      <c r="R98" s="80">
        <f t="shared" si="187"/>
        <v>37056.333850502</v>
      </c>
      <c r="S98" s="80">
        <f t="shared" si="187"/>
        <v>37148.974685128247</v>
      </c>
      <c r="T98" s="80">
        <f t="shared" si="187"/>
        <v>37241.847121841063</v>
      </c>
      <c r="U98" s="80">
        <f t="shared" si="187"/>
        <v>37334.951739645665</v>
      </c>
      <c r="V98" s="80">
        <f t="shared" si="187"/>
        <v>37428.289118994777</v>
      </c>
      <c r="W98" s="80">
        <f t="shared" si="187"/>
        <v>37521.859841792255</v>
      </c>
      <c r="X98" s="80">
        <f t="shared" si="187"/>
        <v>37615.664491396732</v>
      </c>
      <c r="Y98" s="80">
        <f t="shared" si="187"/>
        <v>37709.703652625227</v>
      </c>
      <c r="Z98" s="80">
        <f t="shared" si="187"/>
        <v>37803.977911756789</v>
      </c>
      <c r="AA98" s="80">
        <f t="shared" si="187"/>
        <v>37898.487856536172</v>
      </c>
      <c r="AB98" s="80">
        <f t="shared" si="187"/>
        <v>37993.234076177512</v>
      </c>
      <c r="AC98" s="80">
        <f t="shared" si="187"/>
        <v>38088.217161367953</v>
      </c>
      <c r="AD98" s="80">
        <f t="shared" si="187"/>
        <v>38183.437704271368</v>
      </c>
      <c r="AE98" s="80">
        <f t="shared" si="187"/>
        <v>38278.89629853204</v>
      </c>
      <c r="AF98" s="80">
        <f t="shared" si="187"/>
        <v>38374.593539278372</v>
      </c>
      <c r="AG98" s="80">
        <f t="shared" si="187"/>
        <v>38470.530023126565</v>
      </c>
      <c r="AH98" s="80">
        <f t="shared" si="187"/>
        <v>38566.70634818438</v>
      </c>
      <c r="AI98" s="80">
        <f t="shared" si="187"/>
        <v>38663.123114054833</v>
      </c>
      <c r="AJ98" s="80">
        <f t="shared" si="187"/>
        <v>38759.780921839963</v>
      </c>
      <c r="AK98" s="80">
        <f t="shared" si="187"/>
        <v>38856.680374144562</v>
      </c>
      <c r="AL98" s="80">
        <f t="shared" si="187"/>
        <v>38953.822075079923</v>
      </c>
      <c r="AM98" s="80">
        <f t="shared" si="187"/>
        <v>39051.206630267625</v>
      </c>
      <c r="AN98" s="80">
        <f t="shared" si="187"/>
        <v>39148.834646843294</v>
      </c>
      <c r="AO98" s="80">
        <f t="shared" si="187"/>
        <v>39246.7067334604</v>
      </c>
      <c r="AP98" s="80">
        <f t="shared" si="187"/>
        <v>39344.823500294049</v>
      </c>
      <c r="AQ98" s="80">
        <f t="shared" si="187"/>
        <v>39443.185559044781</v>
      </c>
      <c r="AR98" s="80">
        <f t="shared" si="187"/>
        <v>39541.793522942397</v>
      </c>
      <c r="AS98" s="80">
        <f t="shared" si="187"/>
        <v>39640.648006749747</v>
      </c>
      <c r="AT98" s="80">
        <f t="shared" si="187"/>
        <v>39739.749626766628</v>
      </c>
      <c r="AU98" s="80">
        <f t="shared" si="187"/>
        <v>39839.099000833543</v>
      </c>
      <c r="AV98" s="80">
        <f t="shared" si="187"/>
        <v>39938.69674833562</v>
      </c>
      <c r="AW98" s="80">
        <f t="shared" si="187"/>
        <v>40038.543490206452</v>
      </c>
      <c r="AX98" s="80">
        <f t="shared" si="187"/>
        <v>40138.639848931962</v>
      </c>
      <c r="AY98" s="80">
        <f t="shared" si="187"/>
        <v>40238.986448554286</v>
      </c>
      <c r="AZ98" s="80">
        <f t="shared" si="187"/>
        <v>40339.583914675663</v>
      </c>
      <c r="BA98" s="80">
        <f t="shared" si="187"/>
        <v>40440.432874462356</v>
      </c>
      <c r="BB98" s="80">
        <f t="shared" si="187"/>
        <v>40541.533956648505</v>
      </c>
      <c r="BC98" s="80">
        <f t="shared" si="187"/>
        <v>40642.887791540124</v>
      </c>
      <c r="BD98" s="80">
        <f t="shared" si="187"/>
        <v>40744.495011018975</v>
      </c>
      <c r="BE98" s="80">
        <f t="shared" si="187"/>
        <v>40846.356248546523</v>
      </c>
      <c r="BF98" s="80">
        <f t="shared" si="187"/>
        <v>40948.472139167883</v>
      </c>
      <c r="BG98" s="80">
        <f t="shared" si="187"/>
        <v>41050.8433195158</v>
      </c>
      <c r="BH98" s="80">
        <f t="shared" si="187"/>
        <v>41153.470427814587</v>
      </c>
      <c r="BI98" s="80">
        <f t="shared" si="187"/>
        <v>41256.354103884121</v>
      </c>
      <c r="BJ98" s="80">
        <f t="shared" si="187"/>
        <v>41359.49498914383</v>
      </c>
      <c r="BK98" s="80">
        <f t="shared" si="187"/>
        <v>41462.893726616683</v>
      </c>
      <c r="BL98" s="80">
        <f t="shared" si="187"/>
        <v>41566.550960933222</v>
      </c>
      <c r="BM98" s="80">
        <f t="shared" si="187"/>
        <v>41670.467338335562</v>
      </c>
      <c r="BN98" s="80">
        <f t="shared" si="187"/>
        <v>41774.643506681394</v>
      </c>
      <c r="BO98" s="80">
        <f t="shared" si="187"/>
        <v>41879.080115448094</v>
      </c>
      <c r="BP98" s="80">
        <f t="shared" si="187"/>
        <v>41983.777815736714</v>
      </c>
      <c r="BQ98" s="80">
        <f t="shared" si="187"/>
        <v>42088.737260276052</v>
      </c>
      <c r="BR98" s="80">
        <f t="shared" si="187"/>
        <v>42193.959103426736</v>
      </c>
      <c r="BS98" s="80">
        <f t="shared" si="187"/>
        <v>42299.444001185308</v>
      </c>
      <c r="BT98" s="80">
        <f t="shared" ref="BT98:EE98" si="188">SUM(BT91:BT97)</f>
        <v>42405.192611188264</v>
      </c>
      <c r="BU98" s="80">
        <f t="shared" si="188"/>
        <v>42511.205592716229</v>
      </c>
      <c r="BV98" s="80">
        <f t="shared" si="188"/>
        <v>42617.483606698013</v>
      </c>
      <c r="BW98" s="80">
        <f t="shared" si="188"/>
        <v>42724.02731571476</v>
      </c>
      <c r="BX98" s="80">
        <f t="shared" si="188"/>
        <v>42830.837384004044</v>
      </c>
      <c r="BY98" s="80">
        <f t="shared" si="188"/>
        <v>42937.914477464052</v>
      </c>
      <c r="BZ98" s="80">
        <f t="shared" si="188"/>
        <v>43045.25926365771</v>
      </c>
      <c r="CA98" s="80">
        <f t="shared" si="188"/>
        <v>43152.872411816854</v>
      </c>
      <c r="CB98" s="80">
        <f t="shared" si="188"/>
        <v>43260.754592846395</v>
      </c>
      <c r="CC98" s="80">
        <f t="shared" si="188"/>
        <v>43368.906479328514</v>
      </c>
      <c r="CD98" s="80">
        <f t="shared" si="188"/>
        <v>43477.328745526829</v>
      </c>
      <c r="CE98" s="80">
        <f t="shared" si="188"/>
        <v>43586.022067390644</v>
      </c>
      <c r="CF98" s="80">
        <f t="shared" si="188"/>
        <v>43694.98712255912</v>
      </c>
      <c r="CG98" s="80">
        <f t="shared" si="188"/>
        <v>43804.22459036552</v>
      </c>
      <c r="CH98" s="80">
        <f t="shared" si="188"/>
        <v>43913.735151841429</v>
      </c>
      <c r="CI98" s="80">
        <f t="shared" si="188"/>
        <v>44023.519489721031</v>
      </c>
      <c r="CJ98" s="80">
        <f t="shared" si="188"/>
        <v>44133.578288445329</v>
      </c>
      <c r="CK98" s="80">
        <f t="shared" si="188"/>
        <v>44243.912234166448</v>
      </c>
      <c r="CL98" s="80">
        <f t="shared" si="188"/>
        <v>44354.522014751863</v>
      </c>
      <c r="CM98" s="80">
        <f t="shared" si="188"/>
        <v>44465.408319788738</v>
      </c>
      <c r="CN98" s="80">
        <f t="shared" si="188"/>
        <v>44576.571840588207</v>
      </c>
      <c r="CO98" s="80">
        <f t="shared" si="188"/>
        <v>44688.013270189673</v>
      </c>
      <c r="CP98" s="80">
        <f t="shared" si="188"/>
        <v>44799.733303365152</v>
      </c>
      <c r="CQ98" s="80">
        <f t="shared" si="188"/>
        <v>44911.732636623557</v>
      </c>
      <c r="CR98" s="80">
        <f t="shared" si="188"/>
        <v>45024.011968215105</v>
      </c>
      <c r="CS98" s="80">
        <f t="shared" si="188"/>
        <v>45136.571998135652</v>
      </c>
      <c r="CT98" s="80">
        <f t="shared" si="188"/>
        <v>45249.413428130989</v>
      </c>
      <c r="CU98" s="80">
        <f t="shared" si="188"/>
        <v>45362.536961701313</v>
      </c>
      <c r="CV98" s="80">
        <f t="shared" si="188"/>
        <v>45475.94330410556</v>
      </c>
      <c r="CW98" s="80">
        <f t="shared" si="188"/>
        <v>45589.633162365819</v>
      </c>
      <c r="CX98" s="80">
        <f t="shared" si="188"/>
        <v>45703.607245271734</v>
      </c>
      <c r="CY98" s="80">
        <f t="shared" si="188"/>
        <v>45817.866263384916</v>
      </c>
      <c r="CZ98" s="80">
        <f t="shared" si="188"/>
        <v>45932.41092904337</v>
      </c>
      <c r="DA98" s="80">
        <f t="shared" si="188"/>
        <v>46047.241956365979</v>
      </c>
      <c r="DB98" s="80">
        <f t="shared" si="188"/>
        <v>46162.360061256892</v>
      </c>
      <c r="DC98" s="80">
        <f t="shared" si="188"/>
        <v>46277.765961410027</v>
      </c>
      <c r="DD98" s="80">
        <f t="shared" si="188"/>
        <v>46393.460376313553</v>
      </c>
      <c r="DE98" s="80">
        <f t="shared" si="188"/>
        <v>46509.444027254336</v>
      </c>
      <c r="DF98" s="80">
        <f t="shared" si="188"/>
        <v>46625.717637322472</v>
      </c>
      <c r="DG98" s="80">
        <f t="shared" si="188"/>
        <v>46742.281931415782</v>
      </c>
      <c r="DH98" s="80">
        <f t="shared" si="188"/>
        <v>46859.137636244312</v>
      </c>
      <c r="DI98" s="80">
        <f t="shared" si="188"/>
        <v>46976.285480334918</v>
      </c>
      <c r="DJ98" s="80">
        <f t="shared" si="188"/>
        <v>47093.726194035757</v>
      </c>
      <c r="DK98" s="80">
        <f t="shared" si="188"/>
        <v>47211.460509520846</v>
      </c>
      <c r="DL98" s="80">
        <f t="shared" si="188"/>
        <v>47329.489160794641</v>
      </c>
      <c r="DM98" s="80">
        <f t="shared" si="188"/>
        <v>47447.812883696628</v>
      </c>
      <c r="DN98" s="80">
        <f t="shared" si="188"/>
        <v>47566.432415905867</v>
      </c>
      <c r="DO98" s="80">
        <f t="shared" si="188"/>
        <v>47685.348496945626</v>
      </c>
      <c r="DP98" s="80">
        <f t="shared" si="188"/>
        <v>47804.561868187993</v>
      </c>
      <c r="DQ98" s="80">
        <f t="shared" si="188"/>
        <v>47924.073272858448</v>
      </c>
      <c r="DR98" s="80">
        <f t="shared" si="188"/>
        <v>48043.883456040596</v>
      </c>
      <c r="DS98" s="80">
        <f t="shared" si="188"/>
        <v>48163.993164680694</v>
      </c>
      <c r="DT98" s="80">
        <f t="shared" si="188"/>
        <v>48284.403147592391</v>
      </c>
      <c r="DU98" s="80">
        <f t="shared" si="188"/>
        <v>48405.114155461379</v>
      </c>
      <c r="DV98" s="80">
        <f t="shared" si="188"/>
        <v>48526.12694085003</v>
      </c>
      <c r="DW98" s="80">
        <f t="shared" si="188"/>
        <v>48647.442258202151</v>
      </c>
      <c r="DX98" s="80">
        <f t="shared" si="188"/>
        <v>48769.060863847655</v>
      </c>
      <c r="DY98" s="80">
        <f t="shared" si="188"/>
        <v>48890.983516007269</v>
      </c>
      <c r="DZ98" s="80">
        <f t="shared" si="188"/>
        <v>49013.210974797286</v>
      </c>
      <c r="EA98" s="80">
        <f t="shared" si="188"/>
        <v>49135.744002234278</v>
      </c>
      <c r="EB98" s="80">
        <f t="shared" si="188"/>
        <v>49258.583362239857</v>
      </c>
      <c r="EC98" s="80">
        <f t="shared" si="188"/>
        <v>49381.729820645458</v>
      </c>
      <c r="ED98" s="80">
        <f t="shared" si="188"/>
        <v>49505.184145197069</v>
      </c>
      <c r="EE98" s="80">
        <f t="shared" si="188"/>
        <v>49628.947105560059</v>
      </c>
      <c r="EF98" s="80">
        <f t="shared" ref="EF98:FF98" si="189">SUM(EF91:EF97)</f>
        <v>49753.019473323955</v>
      </c>
      <c r="EG98" s="80">
        <f t="shared" si="189"/>
        <v>49877.402022007263</v>
      </c>
      <c r="EH98" s="80">
        <f t="shared" si="189"/>
        <v>50002.095527062273</v>
      </c>
      <c r="EI98" s="80">
        <f t="shared" si="189"/>
        <v>50127.100765879921</v>
      </c>
      <c r="EJ98" s="80">
        <f t="shared" si="189"/>
        <v>50252.41851779462</v>
      </c>
      <c r="EK98" s="80">
        <f t="shared" si="189"/>
        <v>50378.049564089102</v>
      </c>
      <c r="EL98" s="80">
        <f t="shared" si="189"/>
        <v>50503.994687999322</v>
      </c>
      <c r="EM98" s="80">
        <f t="shared" si="189"/>
        <v>50630.254674719319</v>
      </c>
      <c r="EN98" s="80">
        <f t="shared" si="189"/>
        <v>50756.830311406113</v>
      </c>
      <c r="EO98" s="80">
        <f t="shared" si="189"/>
        <v>50883.722387184622</v>
      </c>
      <c r="EP98" s="80">
        <f t="shared" si="189"/>
        <v>51010.931693152575</v>
      </c>
      <c r="EQ98" s="80">
        <f t="shared" si="189"/>
        <v>51138.459022385454</v>
      </c>
      <c r="ER98" s="80">
        <f t="shared" si="189"/>
        <v>51266.305169941428</v>
      </c>
      <c r="ES98" s="80">
        <f t="shared" si="189"/>
        <v>51394.470932866272</v>
      </c>
      <c r="ET98" s="80">
        <f t="shared" si="189"/>
        <v>51522.957110198433</v>
      </c>
      <c r="EU98" s="80">
        <f t="shared" si="189"/>
        <v>51651.764502973929</v>
      </c>
      <c r="EV98" s="80">
        <f t="shared" si="189"/>
        <v>51780.893914231368</v>
      </c>
      <c r="EW98" s="80">
        <f t="shared" si="189"/>
        <v>51910.346149016936</v>
      </c>
      <c r="EX98" s="80">
        <f t="shared" si="189"/>
        <v>52040.122014389483</v>
      </c>
      <c r="EY98" s="80">
        <f t="shared" si="189"/>
        <v>52170.222319425447</v>
      </c>
      <c r="EZ98" s="80">
        <f t="shared" si="189"/>
        <v>52300.647875224007</v>
      </c>
      <c r="FA98" s="80">
        <f t="shared" si="189"/>
        <v>52431.399494912068</v>
      </c>
      <c r="FB98" s="80">
        <f t="shared" si="189"/>
        <v>52562.477993649343</v>
      </c>
      <c r="FC98" s="80">
        <f t="shared" si="189"/>
        <v>52693.88418863347</v>
      </c>
      <c r="FD98" s="80">
        <f t="shared" si="189"/>
        <v>52825.618899105044</v>
      </c>
      <c r="FE98" s="80">
        <f t="shared" si="189"/>
        <v>52957.682946352805</v>
      </c>
      <c r="FF98" s="80">
        <f t="shared" si="189"/>
        <v>53090.077153718681</v>
      </c>
      <c r="FG98" s="288"/>
      <c r="FH98" s="80">
        <f t="shared" si="186"/>
        <v>217670.91774339223</v>
      </c>
      <c r="FI98" s="80">
        <f t="shared" si="186"/>
        <v>445248.0433067113</v>
      </c>
      <c r="FJ98" s="80">
        <f t="shared" si="186"/>
        <v>458790.68860775116</v>
      </c>
      <c r="FK98" s="80">
        <f t="shared" si="186"/>
        <v>472745.24642476247</v>
      </c>
      <c r="FL98" s="80">
        <f t="shared" si="186"/>
        <v>487124.24547108315</v>
      </c>
      <c r="FM98" s="80">
        <f t="shared" si="186"/>
        <v>501940.59553285595</v>
      </c>
      <c r="FN98" s="80">
        <f t="shared" si="186"/>
        <v>517207.5990597232</v>
      </c>
      <c r="FO98" s="80">
        <f t="shared" si="186"/>
        <v>532938.96310806205</v>
      </c>
      <c r="FP98" s="80">
        <f t="shared" si="186"/>
        <v>549148.81164748583</v>
      </c>
      <c r="FQ98" s="80">
        <f t="shared" si="186"/>
        <v>565851.69824165921</v>
      </c>
      <c r="FR98" s="80">
        <f t="shared" si="186"/>
        <v>583062.619114812</v>
      </c>
      <c r="FS98" s="80">
        <f t="shared" si="186"/>
        <v>600797.02661568439</v>
      </c>
      <c r="FT98" s="80">
        <f t="shared" si="186"/>
        <v>619070.84309098998</v>
      </c>
      <c r="FU98" s="80">
        <f t="shared" si="186"/>
        <v>316561.1406763714</v>
      </c>
      <c r="FV98" s="288"/>
    </row>
    <row r="99" spans="3:178" x14ac:dyDescent="0.2">
      <c r="C99" s="229"/>
      <c r="D99" s="229"/>
      <c r="E99" s="224"/>
    </row>
    <row r="100" spans="3:178" x14ac:dyDescent="0.2">
      <c r="C100" s="47" t="s">
        <v>83</v>
      </c>
      <c r="D100" s="239" t="s">
        <v>64</v>
      </c>
      <c r="E100" s="240" t="s">
        <v>5</v>
      </c>
    </row>
    <row r="101" spans="3:178" x14ac:dyDescent="0.2">
      <c r="C101" s="39" t="str">
        <f>IF(S37&lt;&gt;"",S37,"")</f>
        <v>Insurance</v>
      </c>
      <c r="D101" s="232">
        <f>V37</f>
        <v>200</v>
      </c>
      <c r="E101" s="231">
        <f t="shared" ref="E101:E105" si="190">SUM(F101:FF101)</f>
        <v>200530.17339098817</v>
      </c>
      <c r="F101" s="232">
        <v>0</v>
      </c>
      <c r="G101" s="232">
        <f t="shared" ref="G101:P102" si="191">$D101/12*G$63*$N$13</f>
        <v>1052.625</v>
      </c>
      <c r="H101" s="232">
        <f t="shared" si="191"/>
        <v>1055.2565625</v>
      </c>
      <c r="I101" s="232">
        <f t="shared" si="191"/>
        <v>1057.8947039062498</v>
      </c>
      <c r="J101" s="232">
        <f t="shared" si="191"/>
        <v>1060.5394406660155</v>
      </c>
      <c r="K101" s="232">
        <f t="shared" si="191"/>
        <v>1063.1907892676807</v>
      </c>
      <c r="L101" s="232">
        <f t="shared" si="191"/>
        <v>1065.8487662408497</v>
      </c>
      <c r="M101" s="232">
        <f t="shared" si="191"/>
        <v>1068.5133881564518</v>
      </c>
      <c r="N101" s="232">
        <f t="shared" si="191"/>
        <v>1071.1846716268431</v>
      </c>
      <c r="O101" s="232">
        <f t="shared" si="191"/>
        <v>1073.8626333059103</v>
      </c>
      <c r="P101" s="232">
        <f t="shared" si="191"/>
        <v>1076.5472898891746</v>
      </c>
      <c r="Q101" s="232">
        <f t="shared" ref="Q101:Z102" si="192">$D101/12*Q$63*$N$13</f>
        <v>1079.2386581138978</v>
      </c>
      <c r="R101" s="232">
        <f t="shared" si="192"/>
        <v>1081.9367547591823</v>
      </c>
      <c r="S101" s="232">
        <f t="shared" si="192"/>
        <v>1084.6415966460802</v>
      </c>
      <c r="T101" s="232">
        <f t="shared" si="192"/>
        <v>1087.3532006376954</v>
      </c>
      <c r="U101" s="232">
        <f t="shared" si="192"/>
        <v>1090.0715836392894</v>
      </c>
      <c r="V101" s="232">
        <f t="shared" si="192"/>
        <v>1092.7967625983877</v>
      </c>
      <c r="W101" s="232">
        <f t="shared" si="192"/>
        <v>1095.5287545048834</v>
      </c>
      <c r="X101" s="232">
        <f t="shared" si="192"/>
        <v>1098.2675763911454</v>
      </c>
      <c r="Y101" s="232">
        <f t="shared" si="192"/>
        <v>1101.0132453321235</v>
      </c>
      <c r="Z101" s="232">
        <f t="shared" si="192"/>
        <v>1103.7657784454534</v>
      </c>
      <c r="AA101" s="232">
        <f t="shared" ref="AA101:AJ102" si="193">$D101/12*AA$63*$N$13</f>
        <v>1106.525192891567</v>
      </c>
      <c r="AB101" s="232">
        <f t="shared" si="193"/>
        <v>1109.291505873796</v>
      </c>
      <c r="AC101" s="232">
        <f t="shared" si="193"/>
        <v>1112.0647346384803</v>
      </c>
      <c r="AD101" s="232">
        <f t="shared" si="193"/>
        <v>1114.8448964750764</v>
      </c>
      <c r="AE101" s="232">
        <f t="shared" si="193"/>
        <v>1117.632008716264</v>
      </c>
      <c r="AF101" s="232">
        <f t="shared" si="193"/>
        <v>1120.4260887380547</v>
      </c>
      <c r="AG101" s="232">
        <f t="shared" si="193"/>
        <v>1123.2271539598996</v>
      </c>
      <c r="AH101" s="232">
        <f t="shared" si="193"/>
        <v>1126.0352218447993</v>
      </c>
      <c r="AI101" s="232">
        <f t="shared" si="193"/>
        <v>1128.8503098994113</v>
      </c>
      <c r="AJ101" s="232">
        <f t="shared" si="193"/>
        <v>1131.6724356741595</v>
      </c>
      <c r="AK101" s="232">
        <f t="shared" ref="AK101:AT102" si="194">$D101/12*AK$63*$N$13</f>
        <v>1134.5016167633451</v>
      </c>
      <c r="AL101" s="232">
        <f t="shared" si="194"/>
        <v>1137.3378708052533</v>
      </c>
      <c r="AM101" s="232">
        <f t="shared" si="194"/>
        <v>1140.1812154822665</v>
      </c>
      <c r="AN101" s="232">
        <f t="shared" si="194"/>
        <v>1143.0316685209721</v>
      </c>
      <c r="AO101" s="232">
        <f t="shared" si="194"/>
        <v>1145.8892476922745</v>
      </c>
      <c r="AP101" s="232">
        <f t="shared" si="194"/>
        <v>1148.753970811505</v>
      </c>
      <c r="AQ101" s="232">
        <f t="shared" si="194"/>
        <v>1151.6258557385338</v>
      </c>
      <c r="AR101" s="232">
        <f t="shared" si="194"/>
        <v>1154.5049203778801</v>
      </c>
      <c r="AS101" s="232">
        <f t="shared" si="194"/>
        <v>1157.3911826788246</v>
      </c>
      <c r="AT101" s="232">
        <f t="shared" si="194"/>
        <v>1160.284660635522</v>
      </c>
      <c r="AU101" s="232">
        <f t="shared" ref="AU101:BD102" si="195">$D101/12*AU$63*$N$13</f>
        <v>1163.1853722871106</v>
      </c>
      <c r="AV101" s="232">
        <f t="shared" si="195"/>
        <v>1166.0933357178283</v>
      </c>
      <c r="AW101" s="232">
        <f t="shared" si="195"/>
        <v>1169.0085690571227</v>
      </c>
      <c r="AX101" s="232">
        <f t="shared" si="195"/>
        <v>1171.9310904797653</v>
      </c>
      <c r="AY101" s="232">
        <f t="shared" si="195"/>
        <v>1174.8609182059647</v>
      </c>
      <c r="AZ101" s="232">
        <f t="shared" si="195"/>
        <v>1177.7980705014793</v>
      </c>
      <c r="BA101" s="232">
        <f t="shared" si="195"/>
        <v>1180.742565677733</v>
      </c>
      <c r="BB101" s="232">
        <f t="shared" si="195"/>
        <v>1183.6944220919272</v>
      </c>
      <c r="BC101" s="232">
        <f t="shared" si="195"/>
        <v>1186.6536581471569</v>
      </c>
      <c r="BD101" s="232">
        <f t="shared" si="195"/>
        <v>1189.6202922925247</v>
      </c>
      <c r="BE101" s="232">
        <f t="shared" ref="BE101:BN102" si="196">$D101/12*BE$63*$N$13</f>
        <v>1192.5943430232562</v>
      </c>
      <c r="BF101" s="232">
        <f t="shared" si="196"/>
        <v>1195.5758288808142</v>
      </c>
      <c r="BG101" s="232">
        <f t="shared" si="196"/>
        <v>1198.5647684530161</v>
      </c>
      <c r="BH101" s="232">
        <f t="shared" si="196"/>
        <v>1201.5611803741485</v>
      </c>
      <c r="BI101" s="232">
        <f t="shared" si="196"/>
        <v>1204.5650833250838</v>
      </c>
      <c r="BJ101" s="232">
        <f t="shared" si="196"/>
        <v>1207.5764960333966</v>
      </c>
      <c r="BK101" s="232">
        <f t="shared" si="196"/>
        <v>1210.5954372734798</v>
      </c>
      <c r="BL101" s="232">
        <f t="shared" si="196"/>
        <v>1213.6219258666636</v>
      </c>
      <c r="BM101" s="232">
        <f t="shared" si="196"/>
        <v>1216.6559806813302</v>
      </c>
      <c r="BN101" s="232">
        <f t="shared" si="196"/>
        <v>1219.6976206330332</v>
      </c>
      <c r="BO101" s="232">
        <f t="shared" ref="BO101:BX102" si="197">$D101/12*BO$63*$N$13</f>
        <v>1222.746864684616</v>
      </c>
      <c r="BP101" s="232">
        <f t="shared" si="197"/>
        <v>1225.8037318463275</v>
      </c>
      <c r="BQ101" s="232">
        <f t="shared" si="197"/>
        <v>1228.868241175943</v>
      </c>
      <c r="BR101" s="232">
        <f t="shared" si="197"/>
        <v>1231.9404117788829</v>
      </c>
      <c r="BS101" s="232">
        <f t="shared" si="197"/>
        <v>1235.02026280833</v>
      </c>
      <c r="BT101" s="232">
        <f t="shared" si="197"/>
        <v>1238.1078134653508</v>
      </c>
      <c r="BU101" s="232">
        <f t="shared" si="197"/>
        <v>1241.203082999014</v>
      </c>
      <c r="BV101" s="232">
        <f t="shared" si="197"/>
        <v>1244.3060907065114</v>
      </c>
      <c r="BW101" s="232">
        <f t="shared" si="197"/>
        <v>1247.4168559332775</v>
      </c>
      <c r="BX101" s="232">
        <f t="shared" si="197"/>
        <v>1250.5353980731109</v>
      </c>
      <c r="BY101" s="232">
        <f t="shared" ref="BY101:CH102" si="198">$D101/12*BY$63*$N$13</f>
        <v>1253.6617365682935</v>
      </c>
      <c r="BZ101" s="232">
        <f t="shared" si="198"/>
        <v>1256.7958909097142</v>
      </c>
      <c r="CA101" s="232">
        <f t="shared" si="198"/>
        <v>1259.9378806369884</v>
      </c>
      <c r="CB101" s="232">
        <f t="shared" si="198"/>
        <v>1263.0877253385809</v>
      </c>
      <c r="CC101" s="232">
        <f t="shared" si="198"/>
        <v>1266.2454446519273</v>
      </c>
      <c r="CD101" s="232">
        <f t="shared" si="198"/>
        <v>1269.4110582635569</v>
      </c>
      <c r="CE101" s="232">
        <f t="shared" si="198"/>
        <v>1272.584585909216</v>
      </c>
      <c r="CF101" s="232">
        <f t="shared" si="198"/>
        <v>1275.7660473739888</v>
      </c>
      <c r="CG101" s="232">
        <f t="shared" si="198"/>
        <v>1278.9554624924237</v>
      </c>
      <c r="CH101" s="232">
        <f t="shared" si="198"/>
        <v>1282.1528511486549</v>
      </c>
      <c r="CI101" s="232">
        <f t="shared" ref="CI101:CR102" si="199">$D101/12*CI$63*$N$13</f>
        <v>1285.3582332765266</v>
      </c>
      <c r="CJ101" s="232">
        <f t="shared" si="199"/>
        <v>1288.5716288597177</v>
      </c>
      <c r="CK101" s="232">
        <f t="shared" si="199"/>
        <v>1291.7930579318668</v>
      </c>
      <c r="CL101" s="232">
        <f t="shared" si="199"/>
        <v>1295.0225405766967</v>
      </c>
      <c r="CM101" s="232">
        <f t="shared" si="199"/>
        <v>1298.2600969281384</v>
      </c>
      <c r="CN101" s="232">
        <f t="shared" si="199"/>
        <v>1301.5057471704588</v>
      </c>
      <c r="CO101" s="232">
        <f t="shared" si="199"/>
        <v>1304.7595115383847</v>
      </c>
      <c r="CP101" s="232">
        <f t="shared" si="199"/>
        <v>1308.0214103172307</v>
      </c>
      <c r="CQ101" s="232">
        <f t="shared" si="199"/>
        <v>1311.2914638430236</v>
      </c>
      <c r="CR101" s="232">
        <f t="shared" si="199"/>
        <v>1314.5696925026309</v>
      </c>
      <c r="CS101" s="232">
        <f t="shared" ref="CS101:DB102" si="200">$D101/12*CS$63*$N$13</f>
        <v>1317.8561167338876</v>
      </c>
      <c r="CT101" s="232">
        <f t="shared" si="200"/>
        <v>1321.1507570257222</v>
      </c>
      <c r="CU101" s="232">
        <f t="shared" si="200"/>
        <v>1324.4536339182864</v>
      </c>
      <c r="CV101" s="232">
        <f t="shared" si="200"/>
        <v>1327.7647680030821</v>
      </c>
      <c r="CW101" s="232">
        <f t="shared" si="200"/>
        <v>1331.0841799230896</v>
      </c>
      <c r="CX101" s="232">
        <f t="shared" si="200"/>
        <v>1334.4118903728972</v>
      </c>
      <c r="CY101" s="232">
        <f t="shared" si="200"/>
        <v>1337.7479200988296</v>
      </c>
      <c r="CZ101" s="232">
        <f t="shared" si="200"/>
        <v>1341.0922898990766</v>
      </c>
      <c r="DA101" s="232">
        <f t="shared" si="200"/>
        <v>1344.4450206238241</v>
      </c>
      <c r="DB101" s="232">
        <f t="shared" si="200"/>
        <v>1347.8061331753836</v>
      </c>
      <c r="DC101" s="232">
        <f t="shared" ref="DC101:DL102" si="201">$D101/12*DC$63*$N$13</f>
        <v>1351.175648508322</v>
      </c>
      <c r="DD101" s="232">
        <f t="shared" si="201"/>
        <v>1354.5535876295928</v>
      </c>
      <c r="DE101" s="232">
        <f t="shared" si="201"/>
        <v>1357.9399715986667</v>
      </c>
      <c r="DF101" s="232">
        <f t="shared" si="201"/>
        <v>1361.3348215276635</v>
      </c>
      <c r="DG101" s="232">
        <f t="shared" si="201"/>
        <v>1364.7381585814826</v>
      </c>
      <c r="DH101" s="232">
        <f t="shared" si="201"/>
        <v>1368.1500039779362</v>
      </c>
      <c r="DI101" s="232">
        <f t="shared" si="201"/>
        <v>1371.570378987881</v>
      </c>
      <c r="DJ101" s="232">
        <f t="shared" si="201"/>
        <v>1374.9993049353507</v>
      </c>
      <c r="DK101" s="232">
        <f t="shared" si="201"/>
        <v>1378.436803197689</v>
      </c>
      <c r="DL101" s="232">
        <f t="shared" si="201"/>
        <v>1381.8828952056831</v>
      </c>
      <c r="DM101" s="232">
        <f t="shared" ref="DM101:DV102" si="202">$D101/12*DM$63*$N$13</f>
        <v>1385.3376024436971</v>
      </c>
      <c r="DN101" s="232">
        <f t="shared" si="202"/>
        <v>1388.8009464498064</v>
      </c>
      <c r="DO101" s="232">
        <f t="shared" si="202"/>
        <v>1392.2729488159307</v>
      </c>
      <c r="DP101" s="232">
        <f t="shared" si="202"/>
        <v>1395.7536311879705</v>
      </c>
      <c r="DQ101" s="232">
        <f t="shared" si="202"/>
        <v>1399.2430152659404</v>
      </c>
      <c r="DR101" s="232">
        <f t="shared" si="202"/>
        <v>1402.7411228041049</v>
      </c>
      <c r="DS101" s="232">
        <f t="shared" si="202"/>
        <v>1406.2479756111152</v>
      </c>
      <c r="DT101" s="232">
        <f t="shared" si="202"/>
        <v>1409.7635955501428</v>
      </c>
      <c r="DU101" s="232">
        <f t="shared" si="202"/>
        <v>1413.2880045390182</v>
      </c>
      <c r="DV101" s="232">
        <f t="shared" si="202"/>
        <v>1416.8212245503657</v>
      </c>
      <c r="DW101" s="232">
        <f t="shared" ref="DW101:EF102" si="203">$D101/12*DW$63*$N$13</f>
        <v>1420.3632776117418</v>
      </c>
      <c r="DX101" s="232">
        <f t="shared" si="203"/>
        <v>1423.914185805771</v>
      </c>
      <c r="DY101" s="232">
        <f t="shared" si="203"/>
        <v>1427.4739712702853</v>
      </c>
      <c r="DZ101" s="232">
        <f t="shared" si="203"/>
        <v>1431.0426561984607</v>
      </c>
      <c r="EA101" s="232">
        <f t="shared" si="203"/>
        <v>1434.6202628389569</v>
      </c>
      <c r="EB101" s="232">
        <f t="shared" si="203"/>
        <v>1438.2068134960543</v>
      </c>
      <c r="EC101" s="232">
        <f t="shared" si="203"/>
        <v>1441.8023305297945</v>
      </c>
      <c r="ED101" s="232">
        <f t="shared" si="203"/>
        <v>1445.4068363561187</v>
      </c>
      <c r="EE101" s="232">
        <f t="shared" si="203"/>
        <v>1449.020353447009</v>
      </c>
      <c r="EF101" s="232">
        <f t="shared" si="203"/>
        <v>1452.6429043306264</v>
      </c>
      <c r="EG101" s="232">
        <f t="shared" ref="EG101:EP102" si="204">$D101/12*EG$63*$N$13</f>
        <v>1456.2745115914527</v>
      </c>
      <c r="EH101" s="232">
        <f t="shared" si="204"/>
        <v>1459.9151978704313</v>
      </c>
      <c r="EI101" s="232">
        <f t="shared" si="204"/>
        <v>1463.5649858651075</v>
      </c>
      <c r="EJ101" s="232">
        <f t="shared" si="204"/>
        <v>1467.22389832977</v>
      </c>
      <c r="EK101" s="232">
        <f t="shared" si="204"/>
        <v>1470.8919580755942</v>
      </c>
      <c r="EL101" s="232">
        <f t="shared" si="204"/>
        <v>1474.5691879707831</v>
      </c>
      <c r="EM101" s="232">
        <f t="shared" si="204"/>
        <v>1478.2556109407101</v>
      </c>
      <c r="EN101" s="232">
        <f t="shared" si="204"/>
        <v>1481.9512499680618</v>
      </c>
      <c r="EO101" s="232">
        <f t="shared" si="204"/>
        <v>1485.6561280929818</v>
      </c>
      <c r="EP101" s="232">
        <f t="shared" si="204"/>
        <v>1489.370268413214</v>
      </c>
      <c r="EQ101" s="232">
        <f t="shared" ref="EQ101:EZ102" si="205">$D101/12*EQ$63*$N$13</f>
        <v>1493.0936940842471</v>
      </c>
      <c r="ER101" s="232">
        <f t="shared" si="205"/>
        <v>1496.8264283194576</v>
      </c>
      <c r="ES101" s="232">
        <f t="shared" si="205"/>
        <v>1500.5684943902561</v>
      </c>
      <c r="ET101" s="232">
        <f t="shared" si="205"/>
        <v>1504.3199156262317</v>
      </c>
      <c r="EU101" s="232">
        <f t="shared" si="205"/>
        <v>1508.0807154152972</v>
      </c>
      <c r="EV101" s="232">
        <f t="shared" si="205"/>
        <v>1511.8509172038355</v>
      </c>
      <c r="EW101" s="232">
        <f t="shared" si="205"/>
        <v>1515.6305444968448</v>
      </c>
      <c r="EX101" s="232">
        <f t="shared" si="205"/>
        <v>1519.419620858087</v>
      </c>
      <c r="EY101" s="232">
        <f t="shared" si="205"/>
        <v>1523.2181699102321</v>
      </c>
      <c r="EZ101" s="232">
        <f t="shared" si="205"/>
        <v>1527.0262153350075</v>
      </c>
      <c r="FA101" s="232">
        <f t="shared" ref="FA101:FF102" si="206">$D101/12*FA$63*$N$13</f>
        <v>1530.8437808733452</v>
      </c>
      <c r="FB101" s="232">
        <f t="shared" si="206"/>
        <v>1534.6708903255283</v>
      </c>
      <c r="FC101" s="232">
        <f t="shared" si="206"/>
        <v>1538.5075675513422</v>
      </c>
      <c r="FD101" s="232">
        <f t="shared" si="206"/>
        <v>1542.3538364702204</v>
      </c>
      <c r="FE101" s="232">
        <f t="shared" si="206"/>
        <v>1546.2097210613958</v>
      </c>
      <c r="FF101" s="232">
        <f t="shared" si="206"/>
        <v>1550.0752453640491</v>
      </c>
      <c r="FG101" s="321"/>
      <c r="FH101" s="232">
        <f t="shared" ref="FH101:FU105" si="207">SUMIF($F$54:$FF$54,FH$54,$F101:$FF101)</f>
        <v>6355.3552625807952</v>
      </c>
      <c r="FI101" s="232">
        <f t="shared" si="207"/>
        <v>12999.942870268942</v>
      </c>
      <c r="FJ101" s="232">
        <f t="shared" si="207"/>
        <v>13395.348572489087</v>
      </c>
      <c r="FK101" s="232">
        <f t="shared" si="207"/>
        <v>13802.780917511314</v>
      </c>
      <c r="FL101" s="232">
        <f t="shared" si="207"/>
        <v>14222.605707184908</v>
      </c>
      <c r="FM101" s="232">
        <f t="shared" si="207"/>
        <v>14655.199869572438</v>
      </c>
      <c r="FN101" s="232">
        <f t="shared" si="207"/>
        <v>15100.951797364178</v>
      </c>
      <c r="FO101" s="232">
        <f t="shared" si="207"/>
        <v>15560.261696585754</v>
      </c>
      <c r="FP101" s="232">
        <f t="shared" si="207"/>
        <v>16033.541945911991</v>
      </c>
      <c r="FQ101" s="232">
        <f t="shared" si="207"/>
        <v>16521.217466909759</v>
      </c>
      <c r="FR101" s="232">
        <f t="shared" si="207"/>
        <v>17023.726105541955</v>
      </c>
      <c r="FS101" s="232">
        <f t="shared" si="207"/>
        <v>17541.519025275458</v>
      </c>
      <c r="FT101" s="232">
        <f t="shared" si="207"/>
        <v>18075.061112145693</v>
      </c>
      <c r="FU101" s="232">
        <f t="shared" si="207"/>
        <v>9242.6610416458807</v>
      </c>
      <c r="FV101" s="321"/>
    </row>
    <row r="102" spans="3:178" x14ac:dyDescent="0.2">
      <c r="C102" s="39" t="str">
        <f>IF(S38&lt;&gt;"",S38,"")</f>
        <v>Utilities</v>
      </c>
      <c r="D102" s="232">
        <f>V38</f>
        <v>0</v>
      </c>
      <c r="E102" s="231">
        <f t="shared" si="190"/>
        <v>0</v>
      </c>
      <c r="F102" s="232">
        <v>0</v>
      </c>
      <c r="G102" s="232">
        <f t="shared" si="191"/>
        <v>0</v>
      </c>
      <c r="H102" s="232">
        <f t="shared" si="191"/>
        <v>0</v>
      </c>
      <c r="I102" s="232">
        <f t="shared" si="191"/>
        <v>0</v>
      </c>
      <c r="J102" s="232">
        <f t="shared" si="191"/>
        <v>0</v>
      </c>
      <c r="K102" s="232">
        <f t="shared" si="191"/>
        <v>0</v>
      </c>
      <c r="L102" s="232">
        <f t="shared" si="191"/>
        <v>0</v>
      </c>
      <c r="M102" s="232">
        <f t="shared" si="191"/>
        <v>0</v>
      </c>
      <c r="N102" s="232">
        <f t="shared" si="191"/>
        <v>0</v>
      </c>
      <c r="O102" s="232">
        <f t="shared" si="191"/>
        <v>0</v>
      </c>
      <c r="P102" s="232">
        <f t="shared" si="191"/>
        <v>0</v>
      </c>
      <c r="Q102" s="232">
        <f t="shared" si="192"/>
        <v>0</v>
      </c>
      <c r="R102" s="232">
        <f t="shared" si="192"/>
        <v>0</v>
      </c>
      <c r="S102" s="232">
        <f t="shared" si="192"/>
        <v>0</v>
      </c>
      <c r="T102" s="232">
        <f t="shared" si="192"/>
        <v>0</v>
      </c>
      <c r="U102" s="232">
        <f t="shared" si="192"/>
        <v>0</v>
      </c>
      <c r="V102" s="232">
        <f t="shared" si="192"/>
        <v>0</v>
      </c>
      <c r="W102" s="232">
        <f t="shared" si="192"/>
        <v>0</v>
      </c>
      <c r="X102" s="232">
        <f t="shared" si="192"/>
        <v>0</v>
      </c>
      <c r="Y102" s="232">
        <f t="shared" si="192"/>
        <v>0</v>
      </c>
      <c r="Z102" s="232">
        <f t="shared" si="192"/>
        <v>0</v>
      </c>
      <c r="AA102" s="232">
        <f t="shared" si="193"/>
        <v>0</v>
      </c>
      <c r="AB102" s="232">
        <f t="shared" si="193"/>
        <v>0</v>
      </c>
      <c r="AC102" s="232">
        <f t="shared" si="193"/>
        <v>0</v>
      </c>
      <c r="AD102" s="232">
        <f t="shared" si="193"/>
        <v>0</v>
      </c>
      <c r="AE102" s="232">
        <f t="shared" si="193"/>
        <v>0</v>
      </c>
      <c r="AF102" s="232">
        <f t="shared" si="193"/>
        <v>0</v>
      </c>
      <c r="AG102" s="232">
        <f t="shared" si="193"/>
        <v>0</v>
      </c>
      <c r="AH102" s="232">
        <f t="shared" si="193"/>
        <v>0</v>
      </c>
      <c r="AI102" s="232">
        <f t="shared" si="193"/>
        <v>0</v>
      </c>
      <c r="AJ102" s="232">
        <f t="shared" si="193"/>
        <v>0</v>
      </c>
      <c r="AK102" s="232">
        <f t="shared" si="194"/>
        <v>0</v>
      </c>
      <c r="AL102" s="232">
        <f t="shared" si="194"/>
        <v>0</v>
      </c>
      <c r="AM102" s="232">
        <f t="shared" si="194"/>
        <v>0</v>
      </c>
      <c r="AN102" s="232">
        <f t="shared" si="194"/>
        <v>0</v>
      </c>
      <c r="AO102" s="232">
        <f t="shared" si="194"/>
        <v>0</v>
      </c>
      <c r="AP102" s="232">
        <f t="shared" si="194"/>
        <v>0</v>
      </c>
      <c r="AQ102" s="232">
        <f t="shared" si="194"/>
        <v>0</v>
      </c>
      <c r="AR102" s="232">
        <f t="shared" si="194"/>
        <v>0</v>
      </c>
      <c r="AS102" s="232">
        <f t="shared" si="194"/>
        <v>0</v>
      </c>
      <c r="AT102" s="232">
        <f t="shared" si="194"/>
        <v>0</v>
      </c>
      <c r="AU102" s="232">
        <f t="shared" si="195"/>
        <v>0</v>
      </c>
      <c r="AV102" s="232">
        <f t="shared" si="195"/>
        <v>0</v>
      </c>
      <c r="AW102" s="232">
        <f t="shared" si="195"/>
        <v>0</v>
      </c>
      <c r="AX102" s="232">
        <f t="shared" si="195"/>
        <v>0</v>
      </c>
      <c r="AY102" s="232">
        <f t="shared" si="195"/>
        <v>0</v>
      </c>
      <c r="AZ102" s="232">
        <f t="shared" si="195"/>
        <v>0</v>
      </c>
      <c r="BA102" s="232">
        <f t="shared" si="195"/>
        <v>0</v>
      </c>
      <c r="BB102" s="232">
        <f t="shared" si="195"/>
        <v>0</v>
      </c>
      <c r="BC102" s="232">
        <f t="shared" si="195"/>
        <v>0</v>
      </c>
      <c r="BD102" s="232">
        <f t="shared" si="195"/>
        <v>0</v>
      </c>
      <c r="BE102" s="232">
        <f t="shared" si="196"/>
        <v>0</v>
      </c>
      <c r="BF102" s="232">
        <f t="shared" si="196"/>
        <v>0</v>
      </c>
      <c r="BG102" s="232">
        <f t="shared" si="196"/>
        <v>0</v>
      </c>
      <c r="BH102" s="232">
        <f t="shared" si="196"/>
        <v>0</v>
      </c>
      <c r="BI102" s="232">
        <f t="shared" si="196"/>
        <v>0</v>
      </c>
      <c r="BJ102" s="232">
        <f t="shared" si="196"/>
        <v>0</v>
      </c>
      <c r="BK102" s="232">
        <f t="shared" si="196"/>
        <v>0</v>
      </c>
      <c r="BL102" s="232">
        <f t="shared" si="196"/>
        <v>0</v>
      </c>
      <c r="BM102" s="232">
        <f t="shared" si="196"/>
        <v>0</v>
      </c>
      <c r="BN102" s="232">
        <f t="shared" si="196"/>
        <v>0</v>
      </c>
      <c r="BO102" s="232">
        <f t="shared" si="197"/>
        <v>0</v>
      </c>
      <c r="BP102" s="232">
        <f t="shared" si="197"/>
        <v>0</v>
      </c>
      <c r="BQ102" s="232">
        <f t="shared" si="197"/>
        <v>0</v>
      </c>
      <c r="BR102" s="232">
        <f t="shared" si="197"/>
        <v>0</v>
      </c>
      <c r="BS102" s="232">
        <f t="shared" si="197"/>
        <v>0</v>
      </c>
      <c r="BT102" s="232">
        <f t="shared" si="197"/>
        <v>0</v>
      </c>
      <c r="BU102" s="232">
        <f t="shared" si="197"/>
        <v>0</v>
      </c>
      <c r="BV102" s="232">
        <f t="shared" si="197"/>
        <v>0</v>
      </c>
      <c r="BW102" s="232">
        <f t="shared" si="197"/>
        <v>0</v>
      </c>
      <c r="BX102" s="232">
        <f t="shared" si="197"/>
        <v>0</v>
      </c>
      <c r="BY102" s="232">
        <f t="shared" si="198"/>
        <v>0</v>
      </c>
      <c r="BZ102" s="232">
        <f t="shared" si="198"/>
        <v>0</v>
      </c>
      <c r="CA102" s="232">
        <f t="shared" si="198"/>
        <v>0</v>
      </c>
      <c r="CB102" s="232">
        <f t="shared" si="198"/>
        <v>0</v>
      </c>
      <c r="CC102" s="232">
        <f t="shared" si="198"/>
        <v>0</v>
      </c>
      <c r="CD102" s="232">
        <f t="shared" si="198"/>
        <v>0</v>
      </c>
      <c r="CE102" s="232">
        <f t="shared" si="198"/>
        <v>0</v>
      </c>
      <c r="CF102" s="232">
        <f t="shared" si="198"/>
        <v>0</v>
      </c>
      <c r="CG102" s="232">
        <f t="shared" si="198"/>
        <v>0</v>
      </c>
      <c r="CH102" s="232">
        <f t="shared" si="198"/>
        <v>0</v>
      </c>
      <c r="CI102" s="232">
        <f t="shared" si="199"/>
        <v>0</v>
      </c>
      <c r="CJ102" s="232">
        <f t="shared" si="199"/>
        <v>0</v>
      </c>
      <c r="CK102" s="232">
        <f t="shared" si="199"/>
        <v>0</v>
      </c>
      <c r="CL102" s="232">
        <f t="shared" si="199"/>
        <v>0</v>
      </c>
      <c r="CM102" s="232">
        <f t="shared" si="199"/>
        <v>0</v>
      </c>
      <c r="CN102" s="232">
        <f t="shared" si="199"/>
        <v>0</v>
      </c>
      <c r="CO102" s="232">
        <f t="shared" si="199"/>
        <v>0</v>
      </c>
      <c r="CP102" s="232">
        <f t="shared" si="199"/>
        <v>0</v>
      </c>
      <c r="CQ102" s="232">
        <f t="shared" si="199"/>
        <v>0</v>
      </c>
      <c r="CR102" s="232">
        <f t="shared" si="199"/>
        <v>0</v>
      </c>
      <c r="CS102" s="232">
        <f t="shared" si="200"/>
        <v>0</v>
      </c>
      <c r="CT102" s="232">
        <f t="shared" si="200"/>
        <v>0</v>
      </c>
      <c r="CU102" s="232">
        <f t="shared" si="200"/>
        <v>0</v>
      </c>
      <c r="CV102" s="232">
        <f t="shared" si="200"/>
        <v>0</v>
      </c>
      <c r="CW102" s="232">
        <f t="shared" si="200"/>
        <v>0</v>
      </c>
      <c r="CX102" s="232">
        <f t="shared" si="200"/>
        <v>0</v>
      </c>
      <c r="CY102" s="232">
        <f t="shared" si="200"/>
        <v>0</v>
      </c>
      <c r="CZ102" s="232">
        <f t="shared" si="200"/>
        <v>0</v>
      </c>
      <c r="DA102" s="232">
        <f t="shared" si="200"/>
        <v>0</v>
      </c>
      <c r="DB102" s="232">
        <f t="shared" si="200"/>
        <v>0</v>
      </c>
      <c r="DC102" s="232">
        <f t="shared" si="201"/>
        <v>0</v>
      </c>
      <c r="DD102" s="232">
        <f t="shared" si="201"/>
        <v>0</v>
      </c>
      <c r="DE102" s="232">
        <f t="shared" si="201"/>
        <v>0</v>
      </c>
      <c r="DF102" s="232">
        <f t="shared" si="201"/>
        <v>0</v>
      </c>
      <c r="DG102" s="232">
        <f t="shared" si="201"/>
        <v>0</v>
      </c>
      <c r="DH102" s="232">
        <f t="shared" si="201"/>
        <v>0</v>
      </c>
      <c r="DI102" s="232">
        <f t="shared" si="201"/>
        <v>0</v>
      </c>
      <c r="DJ102" s="232">
        <f t="shared" si="201"/>
        <v>0</v>
      </c>
      <c r="DK102" s="232">
        <f t="shared" si="201"/>
        <v>0</v>
      </c>
      <c r="DL102" s="232">
        <f t="shared" si="201"/>
        <v>0</v>
      </c>
      <c r="DM102" s="232">
        <f t="shared" si="202"/>
        <v>0</v>
      </c>
      <c r="DN102" s="232">
        <f t="shared" si="202"/>
        <v>0</v>
      </c>
      <c r="DO102" s="232">
        <f t="shared" si="202"/>
        <v>0</v>
      </c>
      <c r="DP102" s="232">
        <f t="shared" si="202"/>
        <v>0</v>
      </c>
      <c r="DQ102" s="232">
        <f t="shared" si="202"/>
        <v>0</v>
      </c>
      <c r="DR102" s="232">
        <f t="shared" si="202"/>
        <v>0</v>
      </c>
      <c r="DS102" s="232">
        <f t="shared" si="202"/>
        <v>0</v>
      </c>
      <c r="DT102" s="232">
        <f t="shared" si="202"/>
        <v>0</v>
      </c>
      <c r="DU102" s="232">
        <f t="shared" si="202"/>
        <v>0</v>
      </c>
      <c r="DV102" s="232">
        <f t="shared" si="202"/>
        <v>0</v>
      </c>
      <c r="DW102" s="232">
        <f t="shared" si="203"/>
        <v>0</v>
      </c>
      <c r="DX102" s="232">
        <f t="shared" si="203"/>
        <v>0</v>
      </c>
      <c r="DY102" s="232">
        <f t="shared" si="203"/>
        <v>0</v>
      </c>
      <c r="DZ102" s="232">
        <f t="shared" si="203"/>
        <v>0</v>
      </c>
      <c r="EA102" s="232">
        <f t="shared" si="203"/>
        <v>0</v>
      </c>
      <c r="EB102" s="232">
        <f t="shared" si="203"/>
        <v>0</v>
      </c>
      <c r="EC102" s="232">
        <f t="shared" si="203"/>
        <v>0</v>
      </c>
      <c r="ED102" s="232">
        <f t="shared" si="203"/>
        <v>0</v>
      </c>
      <c r="EE102" s="232">
        <f t="shared" si="203"/>
        <v>0</v>
      </c>
      <c r="EF102" s="232">
        <f t="shared" si="203"/>
        <v>0</v>
      </c>
      <c r="EG102" s="232">
        <f t="shared" si="204"/>
        <v>0</v>
      </c>
      <c r="EH102" s="232">
        <f t="shared" si="204"/>
        <v>0</v>
      </c>
      <c r="EI102" s="232">
        <f t="shared" si="204"/>
        <v>0</v>
      </c>
      <c r="EJ102" s="232">
        <f t="shared" si="204"/>
        <v>0</v>
      </c>
      <c r="EK102" s="232">
        <f t="shared" si="204"/>
        <v>0</v>
      </c>
      <c r="EL102" s="232">
        <f t="shared" si="204"/>
        <v>0</v>
      </c>
      <c r="EM102" s="232">
        <f t="shared" si="204"/>
        <v>0</v>
      </c>
      <c r="EN102" s="232">
        <f t="shared" si="204"/>
        <v>0</v>
      </c>
      <c r="EO102" s="232">
        <f t="shared" si="204"/>
        <v>0</v>
      </c>
      <c r="EP102" s="232">
        <f t="shared" si="204"/>
        <v>0</v>
      </c>
      <c r="EQ102" s="232">
        <f t="shared" si="205"/>
        <v>0</v>
      </c>
      <c r="ER102" s="232">
        <f t="shared" si="205"/>
        <v>0</v>
      </c>
      <c r="ES102" s="232">
        <f t="shared" si="205"/>
        <v>0</v>
      </c>
      <c r="ET102" s="232">
        <f t="shared" si="205"/>
        <v>0</v>
      </c>
      <c r="EU102" s="232">
        <f t="shared" si="205"/>
        <v>0</v>
      </c>
      <c r="EV102" s="232">
        <f t="shared" si="205"/>
        <v>0</v>
      </c>
      <c r="EW102" s="232">
        <f t="shared" si="205"/>
        <v>0</v>
      </c>
      <c r="EX102" s="232">
        <f t="shared" si="205"/>
        <v>0</v>
      </c>
      <c r="EY102" s="232">
        <f t="shared" si="205"/>
        <v>0</v>
      </c>
      <c r="EZ102" s="232">
        <f t="shared" si="205"/>
        <v>0</v>
      </c>
      <c r="FA102" s="232">
        <f t="shared" si="206"/>
        <v>0</v>
      </c>
      <c r="FB102" s="232">
        <f t="shared" si="206"/>
        <v>0</v>
      </c>
      <c r="FC102" s="232">
        <f t="shared" si="206"/>
        <v>0</v>
      </c>
      <c r="FD102" s="232">
        <f t="shared" si="206"/>
        <v>0</v>
      </c>
      <c r="FE102" s="232">
        <f t="shared" si="206"/>
        <v>0</v>
      </c>
      <c r="FF102" s="232">
        <f t="shared" si="206"/>
        <v>0</v>
      </c>
      <c r="FG102" s="321"/>
      <c r="FH102" s="232">
        <f t="shared" si="207"/>
        <v>0</v>
      </c>
      <c r="FI102" s="232">
        <f t="shared" si="207"/>
        <v>0</v>
      </c>
      <c r="FJ102" s="232">
        <f t="shared" si="207"/>
        <v>0</v>
      </c>
      <c r="FK102" s="232">
        <f t="shared" si="207"/>
        <v>0</v>
      </c>
      <c r="FL102" s="232">
        <f t="shared" si="207"/>
        <v>0</v>
      </c>
      <c r="FM102" s="232">
        <f t="shared" si="207"/>
        <v>0</v>
      </c>
      <c r="FN102" s="232">
        <f t="shared" si="207"/>
        <v>0</v>
      </c>
      <c r="FO102" s="232">
        <f t="shared" si="207"/>
        <v>0</v>
      </c>
      <c r="FP102" s="232">
        <f t="shared" si="207"/>
        <v>0</v>
      </c>
      <c r="FQ102" s="232">
        <f t="shared" si="207"/>
        <v>0</v>
      </c>
      <c r="FR102" s="232">
        <f t="shared" si="207"/>
        <v>0</v>
      </c>
      <c r="FS102" s="232">
        <f t="shared" si="207"/>
        <v>0</v>
      </c>
      <c r="FT102" s="232">
        <f t="shared" si="207"/>
        <v>0</v>
      </c>
      <c r="FU102" s="232">
        <f t="shared" si="207"/>
        <v>0</v>
      </c>
      <c r="FV102" s="321"/>
    </row>
    <row r="103" spans="3:178" x14ac:dyDescent="0.2">
      <c r="C103" s="39" t="s">
        <v>20</v>
      </c>
      <c r="D103" s="232">
        <f>V39</f>
        <v>646.37999999999988</v>
      </c>
      <c r="E103" s="231">
        <f t="shared" si="190"/>
        <v>639992.2990400556</v>
      </c>
      <c r="F103" s="232">
        <v>0</v>
      </c>
      <c r="G103" s="232">
        <f t="shared" ref="G103:AL103" si="208">($T$39*G87)</f>
        <v>3359.4540032812497</v>
      </c>
      <c r="H103" s="232">
        <f t="shared" si="208"/>
        <v>3367.8526382894529</v>
      </c>
      <c r="I103" s="232">
        <f t="shared" si="208"/>
        <v>3376.2722698851767</v>
      </c>
      <c r="J103" s="232">
        <f t="shared" si="208"/>
        <v>3384.7129505598887</v>
      </c>
      <c r="K103" s="232">
        <f t="shared" si="208"/>
        <v>3393.1747329362888</v>
      </c>
      <c r="L103" s="232">
        <f t="shared" si="208"/>
        <v>3401.6576697686291</v>
      </c>
      <c r="M103" s="232">
        <f t="shared" si="208"/>
        <v>3410.1618139430507</v>
      </c>
      <c r="N103" s="232">
        <f t="shared" si="208"/>
        <v>3418.6872184779081</v>
      </c>
      <c r="O103" s="232">
        <f t="shared" si="208"/>
        <v>3427.2339365241028</v>
      </c>
      <c r="P103" s="232">
        <f t="shared" si="208"/>
        <v>3435.8020213654127</v>
      </c>
      <c r="Q103" s="232">
        <f t="shared" si="208"/>
        <v>3444.3915264188263</v>
      </c>
      <c r="R103" s="232">
        <f t="shared" si="208"/>
        <v>3453.0025052348733</v>
      </c>
      <c r="S103" s="232">
        <f t="shared" si="208"/>
        <v>3461.6350114979605</v>
      </c>
      <c r="T103" s="232">
        <f t="shared" si="208"/>
        <v>3470.2890990267051</v>
      </c>
      <c r="U103" s="232">
        <f t="shared" si="208"/>
        <v>3478.9648217742711</v>
      </c>
      <c r="V103" s="232">
        <f t="shared" si="208"/>
        <v>3487.662233828707</v>
      </c>
      <c r="W103" s="232">
        <f t="shared" si="208"/>
        <v>3496.3813894132786</v>
      </c>
      <c r="X103" s="232">
        <f t="shared" si="208"/>
        <v>3505.1223428868116</v>
      </c>
      <c r="Y103" s="232">
        <f t="shared" si="208"/>
        <v>3513.8851487440284</v>
      </c>
      <c r="Z103" s="232">
        <f t="shared" si="208"/>
        <v>3522.6698616158887</v>
      </c>
      <c r="AA103" s="232">
        <f t="shared" si="208"/>
        <v>3531.4765362699286</v>
      </c>
      <c r="AB103" s="232">
        <f t="shared" si="208"/>
        <v>3540.3052276106032</v>
      </c>
      <c r="AC103" s="232">
        <f t="shared" si="208"/>
        <v>3549.1559906796297</v>
      </c>
      <c r="AD103" s="232">
        <f t="shared" si="208"/>
        <v>3558.0288806563281</v>
      </c>
      <c r="AE103" s="232">
        <f t="shared" si="208"/>
        <v>3566.9239528579692</v>
      </c>
      <c r="AF103" s="232">
        <f t="shared" si="208"/>
        <v>3575.841262740114</v>
      </c>
      <c r="AG103" s="232">
        <f t="shared" si="208"/>
        <v>3584.7808658969639</v>
      </c>
      <c r="AH103" s="232">
        <f t="shared" si="208"/>
        <v>3593.7428180617062</v>
      </c>
      <c r="AI103" s="232">
        <f t="shared" si="208"/>
        <v>3602.7271751068602</v>
      </c>
      <c r="AJ103" s="232">
        <f t="shared" si="208"/>
        <v>3611.7339930446274</v>
      </c>
      <c r="AK103" s="232">
        <f t="shared" si="208"/>
        <v>3620.7633280272385</v>
      </c>
      <c r="AL103" s="232">
        <f t="shared" si="208"/>
        <v>3629.8152363473064</v>
      </c>
      <c r="AM103" s="232">
        <f t="shared" ref="AM103:BR103" si="209">($T$39*AM87)</f>
        <v>3638.8897744381748</v>
      </c>
      <c r="AN103" s="232">
        <f t="shared" si="209"/>
        <v>3647.9869988742698</v>
      </c>
      <c r="AO103" s="232">
        <f t="shared" si="209"/>
        <v>3657.1069663714557</v>
      </c>
      <c r="AP103" s="232">
        <f t="shared" si="209"/>
        <v>3666.2497337873838</v>
      </c>
      <c r="AQ103" s="232">
        <f t="shared" si="209"/>
        <v>3675.415358121852</v>
      </c>
      <c r="AR103" s="232">
        <f t="shared" si="209"/>
        <v>3684.6038965171565</v>
      </c>
      <c r="AS103" s="232">
        <f t="shared" si="209"/>
        <v>3693.8154062584499</v>
      </c>
      <c r="AT103" s="232">
        <f t="shared" si="209"/>
        <v>3703.0499447740954</v>
      </c>
      <c r="AU103" s="232">
        <f t="shared" si="209"/>
        <v>3712.3075696360302</v>
      </c>
      <c r="AV103" s="232">
        <f t="shared" si="209"/>
        <v>3721.5883385601201</v>
      </c>
      <c r="AW103" s="232">
        <f t="shared" si="209"/>
        <v>3730.8923094065199</v>
      </c>
      <c r="AX103" s="232">
        <f t="shared" si="209"/>
        <v>3740.2195401800359</v>
      </c>
      <c r="AY103" s="232">
        <f t="shared" si="209"/>
        <v>3749.5700890304861</v>
      </c>
      <c r="AZ103" s="232">
        <f t="shared" si="209"/>
        <v>3758.9440142530625</v>
      </c>
      <c r="BA103" s="232">
        <f t="shared" si="209"/>
        <v>3768.341374288696</v>
      </c>
      <c r="BB103" s="232">
        <f t="shared" si="209"/>
        <v>3777.7622277244172</v>
      </c>
      <c r="BC103" s="232">
        <f t="shared" si="209"/>
        <v>3787.2066332937279</v>
      </c>
      <c r="BD103" s="232">
        <f t="shared" si="209"/>
        <v>3796.6746498769617</v>
      </c>
      <c r="BE103" s="232">
        <f t="shared" si="209"/>
        <v>3806.1663365016543</v>
      </c>
      <c r="BF103" s="232">
        <f t="shared" si="209"/>
        <v>3815.6817523429067</v>
      </c>
      <c r="BG103" s="232">
        <f t="shared" si="209"/>
        <v>3825.2209567237646</v>
      </c>
      <c r="BH103" s="232">
        <f t="shared" si="209"/>
        <v>3834.784009115574</v>
      </c>
      <c r="BI103" s="232">
        <f t="shared" si="209"/>
        <v>3844.3709691383633</v>
      </c>
      <c r="BJ103" s="232">
        <f t="shared" si="209"/>
        <v>3853.9818965612085</v>
      </c>
      <c r="BK103" s="232">
        <f t="shared" si="209"/>
        <v>3863.6168513026109</v>
      </c>
      <c r="BL103" s="232">
        <f t="shared" si="209"/>
        <v>3873.2758934308672</v>
      </c>
      <c r="BM103" s="232">
        <f t="shared" si="209"/>
        <v>3882.9590831644441</v>
      </c>
      <c r="BN103" s="232">
        <f t="shared" si="209"/>
        <v>3892.6664808723544</v>
      </c>
      <c r="BO103" s="232">
        <f t="shared" si="209"/>
        <v>3902.3981470745352</v>
      </c>
      <c r="BP103" s="232">
        <f t="shared" si="209"/>
        <v>3912.1541424422212</v>
      </c>
      <c r="BQ103" s="232">
        <f t="shared" si="209"/>
        <v>3921.9345277983261</v>
      </c>
      <c r="BR103" s="232">
        <f t="shared" si="209"/>
        <v>3931.7393641178223</v>
      </c>
      <c r="BS103" s="232">
        <f t="shared" ref="BS103:CX103" si="210">($T$39*BS87)</f>
        <v>3941.5687125281165</v>
      </c>
      <c r="BT103" s="232">
        <f t="shared" si="210"/>
        <v>3951.4226343094365</v>
      </c>
      <c r="BU103" s="232">
        <f t="shared" si="210"/>
        <v>3961.3011908952103</v>
      </c>
      <c r="BV103" s="232">
        <f t="shared" si="210"/>
        <v>3971.2044438724488</v>
      </c>
      <c r="BW103" s="232">
        <f t="shared" si="210"/>
        <v>3981.1324549821293</v>
      </c>
      <c r="BX103" s="232">
        <f t="shared" si="210"/>
        <v>3991.0852861195831</v>
      </c>
      <c r="BY103" s="232">
        <f t="shared" si="210"/>
        <v>4001.0629993348816</v>
      </c>
      <c r="BZ103" s="232">
        <f t="shared" si="210"/>
        <v>4011.0656568332188</v>
      </c>
      <c r="CA103" s="232">
        <f t="shared" si="210"/>
        <v>4021.0933209753011</v>
      </c>
      <c r="CB103" s="232">
        <f t="shared" si="210"/>
        <v>4031.1460542777399</v>
      </c>
      <c r="CC103" s="232">
        <f t="shared" si="210"/>
        <v>4041.2239194134336</v>
      </c>
      <c r="CD103" s="232">
        <f t="shared" si="210"/>
        <v>4051.3269792119677</v>
      </c>
      <c r="CE103" s="232">
        <f t="shared" si="210"/>
        <v>4061.4552966599981</v>
      </c>
      <c r="CF103" s="232">
        <f t="shared" si="210"/>
        <v>4071.6089349016474</v>
      </c>
      <c r="CG103" s="232">
        <f t="shared" si="210"/>
        <v>4081.7879572389002</v>
      </c>
      <c r="CH103" s="232">
        <f t="shared" si="210"/>
        <v>4091.9924271319978</v>
      </c>
      <c r="CI103" s="232">
        <f t="shared" si="210"/>
        <v>4102.2224081998284</v>
      </c>
      <c r="CJ103" s="232">
        <f t="shared" si="210"/>
        <v>4112.4779642203266</v>
      </c>
      <c r="CK103" s="232">
        <f t="shared" si="210"/>
        <v>4122.7591591308783</v>
      </c>
      <c r="CL103" s="232">
        <f t="shared" si="210"/>
        <v>4133.0660570287055</v>
      </c>
      <c r="CM103" s="232">
        <f t="shared" si="210"/>
        <v>4143.398722171275</v>
      </c>
      <c r="CN103" s="232">
        <f t="shared" si="210"/>
        <v>4153.7572189767034</v>
      </c>
      <c r="CO103" s="232">
        <f t="shared" si="210"/>
        <v>4164.1416120241456</v>
      </c>
      <c r="CP103" s="232">
        <f t="shared" si="210"/>
        <v>4174.551966054205</v>
      </c>
      <c r="CQ103" s="232">
        <f t="shared" si="210"/>
        <v>4184.988345969341</v>
      </c>
      <c r="CR103" s="232">
        <f t="shared" si="210"/>
        <v>4195.4508168342645</v>
      </c>
      <c r="CS103" s="232">
        <f t="shared" si="210"/>
        <v>4205.9394438763493</v>
      </c>
      <c r="CT103" s="232">
        <f t="shared" si="210"/>
        <v>4216.4542924860407</v>
      </c>
      <c r="CU103" s="232">
        <f t="shared" si="210"/>
        <v>4226.9954282172557</v>
      </c>
      <c r="CV103" s="232">
        <f t="shared" si="210"/>
        <v>4237.5629167877978</v>
      </c>
      <c r="CW103" s="232">
        <f t="shared" si="210"/>
        <v>4248.1568240797678</v>
      </c>
      <c r="CX103" s="232">
        <f t="shared" si="210"/>
        <v>4258.7772161399662</v>
      </c>
      <c r="CY103" s="232">
        <f t="shared" ref="CY103:ED103" si="211">($T$39*CY87)</f>
        <v>4269.4241591803166</v>
      </c>
      <c r="CZ103" s="232">
        <f t="shared" si="211"/>
        <v>4280.0977195782671</v>
      </c>
      <c r="DA103" s="232">
        <f t="shared" si="211"/>
        <v>4290.7979638772113</v>
      </c>
      <c r="DB103" s="232">
        <f t="shared" si="211"/>
        <v>4301.5249587869039</v>
      </c>
      <c r="DC103" s="232">
        <f t="shared" si="211"/>
        <v>4312.2787711838719</v>
      </c>
      <c r="DD103" s="232">
        <f t="shared" si="211"/>
        <v>4323.0594681118318</v>
      </c>
      <c r="DE103" s="232">
        <f t="shared" si="211"/>
        <v>4333.8671167821103</v>
      </c>
      <c r="DF103" s="232">
        <f t="shared" si="211"/>
        <v>4344.7017845740656</v>
      </c>
      <c r="DG103" s="232">
        <f t="shared" si="211"/>
        <v>4355.5635390355001</v>
      </c>
      <c r="DH103" s="232">
        <f t="shared" si="211"/>
        <v>4366.4524478830881</v>
      </c>
      <c r="DI103" s="232">
        <f t="shared" si="211"/>
        <v>4377.3685790027967</v>
      </c>
      <c r="DJ103" s="232">
        <f t="shared" si="211"/>
        <v>4388.3120004503025</v>
      </c>
      <c r="DK103" s="232">
        <f t="shared" si="211"/>
        <v>4399.2827804514291</v>
      </c>
      <c r="DL103" s="232">
        <f t="shared" si="211"/>
        <v>4410.280987402557</v>
      </c>
      <c r="DM103" s="232">
        <f t="shared" si="211"/>
        <v>4421.3066898710622</v>
      </c>
      <c r="DN103" s="232">
        <f t="shared" si="211"/>
        <v>4432.3599565957393</v>
      </c>
      <c r="DO103" s="232">
        <f t="shared" si="211"/>
        <v>4443.4408564872292</v>
      </c>
      <c r="DP103" s="232">
        <f t="shared" si="211"/>
        <v>4454.5494586284458</v>
      </c>
      <c r="DQ103" s="232">
        <f t="shared" si="211"/>
        <v>4465.6858322750177</v>
      </c>
      <c r="DR103" s="232">
        <f t="shared" si="211"/>
        <v>4476.8500468557049</v>
      </c>
      <c r="DS103" s="232">
        <f t="shared" si="211"/>
        <v>4488.0421719728438</v>
      </c>
      <c r="DT103" s="232">
        <f t="shared" si="211"/>
        <v>4499.2622774027759</v>
      </c>
      <c r="DU103" s="232">
        <f t="shared" si="211"/>
        <v>4510.5104330962822</v>
      </c>
      <c r="DV103" s="232">
        <f t="shared" si="211"/>
        <v>4521.786709179024</v>
      </c>
      <c r="DW103" s="232">
        <f t="shared" si="211"/>
        <v>4533.0911759519695</v>
      </c>
      <c r="DX103" s="232">
        <f t="shared" si="211"/>
        <v>4544.4239038918504</v>
      </c>
      <c r="DY103" s="232">
        <f t="shared" si="211"/>
        <v>4555.7849636515793</v>
      </c>
      <c r="DZ103" s="232">
        <f t="shared" si="211"/>
        <v>4567.1744260607065</v>
      </c>
      <c r="EA103" s="232">
        <f t="shared" si="211"/>
        <v>4578.592362125858</v>
      </c>
      <c r="EB103" s="232">
        <f t="shared" si="211"/>
        <v>4590.0388430311732</v>
      </c>
      <c r="EC103" s="232">
        <f t="shared" si="211"/>
        <v>4601.5139401387514</v>
      </c>
      <c r="ED103" s="232">
        <f t="shared" si="211"/>
        <v>4613.0177249890976</v>
      </c>
      <c r="EE103" s="232">
        <f t="shared" ref="EE103:FF103" si="212">($T$39*EE87)</f>
        <v>4624.5502693015715</v>
      </c>
      <c r="EF103" s="232">
        <f t="shared" si="212"/>
        <v>4636.1116449748251</v>
      </c>
      <c r="EG103" s="232">
        <f t="shared" si="212"/>
        <v>4647.7019240872605</v>
      </c>
      <c r="EH103" s="232">
        <f t="shared" si="212"/>
        <v>4659.3211788974795</v>
      </c>
      <c r="EI103" s="232">
        <f t="shared" si="212"/>
        <v>4670.9694818447224</v>
      </c>
      <c r="EJ103" s="232">
        <f t="shared" si="212"/>
        <v>4682.6469055493344</v>
      </c>
      <c r="EK103" s="232">
        <f t="shared" si="212"/>
        <v>4694.3535228132068</v>
      </c>
      <c r="EL103" s="232">
        <f t="shared" si="212"/>
        <v>4706.08940662024</v>
      </c>
      <c r="EM103" s="232">
        <f t="shared" si="212"/>
        <v>4717.8546301367896</v>
      </c>
      <c r="EN103" s="232">
        <f t="shared" si="212"/>
        <v>4729.6492667121311</v>
      </c>
      <c r="EO103" s="232">
        <f t="shared" si="212"/>
        <v>4741.4733898789118</v>
      </c>
      <c r="EP103" s="232">
        <f t="shared" si="212"/>
        <v>4753.3270733536083</v>
      </c>
      <c r="EQ103" s="232">
        <f t="shared" si="212"/>
        <v>4765.2103910369924</v>
      </c>
      <c r="ER103" s="232">
        <f t="shared" si="212"/>
        <v>4777.1234170145844</v>
      </c>
      <c r="ES103" s="232">
        <f t="shared" si="212"/>
        <v>4789.0662255571215</v>
      </c>
      <c r="ET103" s="232">
        <f t="shared" si="212"/>
        <v>4801.038891121013</v>
      </c>
      <c r="EU103" s="232">
        <f t="shared" si="212"/>
        <v>4813.0414883488156</v>
      </c>
      <c r="EV103" s="232">
        <f t="shared" si="212"/>
        <v>4825.0740920696871</v>
      </c>
      <c r="EW103" s="232">
        <f t="shared" si="212"/>
        <v>4837.1367772998619</v>
      </c>
      <c r="EX103" s="232">
        <f t="shared" si="212"/>
        <v>4849.2296192431104</v>
      </c>
      <c r="EY103" s="232">
        <f t="shared" si="212"/>
        <v>4861.3526932912173</v>
      </c>
      <c r="EZ103" s="232">
        <f t="shared" si="212"/>
        <v>4873.5060750244456</v>
      </c>
      <c r="FA103" s="232">
        <f t="shared" si="212"/>
        <v>4885.6898402120059</v>
      </c>
      <c r="FB103" s="232">
        <f t="shared" si="212"/>
        <v>4897.9040648125365</v>
      </c>
      <c r="FC103" s="232">
        <f t="shared" si="212"/>
        <v>4910.1488249745671</v>
      </c>
      <c r="FD103" s="232">
        <f t="shared" si="212"/>
        <v>4922.4241970370031</v>
      </c>
      <c r="FE103" s="232">
        <f t="shared" si="212"/>
        <v>4934.7302575295953</v>
      </c>
      <c r="FF103" s="232">
        <f t="shared" si="212"/>
        <v>4947.0670831734187</v>
      </c>
      <c r="FG103" s="321"/>
      <c r="FH103" s="232">
        <f t="shared" si="207"/>
        <v>20283.124264720685</v>
      </c>
      <c r="FI103" s="232">
        <f t="shared" si="207"/>
        <v>41489.333920391902</v>
      </c>
      <c r="FJ103" s="232">
        <f t="shared" si="207"/>
        <v>42751.271713284637</v>
      </c>
      <c r="FK103" s="232">
        <f t="shared" si="207"/>
        <v>44051.592551713533</v>
      </c>
      <c r="FL103" s="232">
        <f t="shared" si="207"/>
        <v>45391.463892737811</v>
      </c>
      <c r="FM103" s="232">
        <f t="shared" si="207"/>
        <v>46772.088702740301</v>
      </c>
      <c r="FN103" s="232">
        <f t="shared" si="207"/>
        <v>48194.706537477556</v>
      </c>
      <c r="FO103" s="232">
        <f t="shared" si="207"/>
        <v>49660.594654980574</v>
      </c>
      <c r="FP103" s="232">
        <f t="shared" si="207"/>
        <v>51171.069162305583</v>
      </c>
      <c r="FQ103" s="232">
        <f t="shared" si="207"/>
        <v>52727.486197164326</v>
      </c>
      <c r="FR103" s="232">
        <f t="shared" si="207"/>
        <v>54331.243145494787</v>
      </c>
      <c r="FS103" s="232">
        <f t="shared" si="207"/>
        <v>55983.779896065418</v>
      </c>
      <c r="FT103" s="232">
        <f t="shared" si="207"/>
        <v>57686.580133239375</v>
      </c>
      <c r="FU103" s="232">
        <f t="shared" si="207"/>
        <v>29497.964267739124</v>
      </c>
      <c r="FV103" s="321"/>
    </row>
    <row r="104" spans="3:178" x14ac:dyDescent="0.2">
      <c r="C104" s="241" t="s">
        <v>19</v>
      </c>
      <c r="D104" s="242">
        <f>Underwriting!V40</f>
        <v>700</v>
      </c>
      <c r="E104" s="233">
        <f t="shared" si="190"/>
        <v>701855.60686845845</v>
      </c>
      <c r="F104" s="234">
        <v>0</v>
      </c>
      <c r="G104" s="234">
        <f t="shared" ref="G104:AL104" si="213">$D104/12*G$63*$N$13</f>
        <v>3684.1875</v>
      </c>
      <c r="H104" s="234">
        <f t="shared" si="213"/>
        <v>3693.3979687499996</v>
      </c>
      <c r="I104" s="234">
        <f t="shared" si="213"/>
        <v>3702.6314636718744</v>
      </c>
      <c r="J104" s="234">
        <f t="shared" si="213"/>
        <v>3711.8880423310538</v>
      </c>
      <c r="K104" s="234">
        <f t="shared" si="213"/>
        <v>3721.1677624368817</v>
      </c>
      <c r="L104" s="234">
        <f t="shared" si="213"/>
        <v>3730.470681842974</v>
      </c>
      <c r="M104" s="234">
        <f t="shared" si="213"/>
        <v>3739.7968585475815</v>
      </c>
      <c r="N104" s="234">
        <f t="shared" si="213"/>
        <v>3749.1463506939508</v>
      </c>
      <c r="O104" s="234">
        <f t="shared" si="213"/>
        <v>3758.5192165706853</v>
      </c>
      <c r="P104" s="234">
        <f t="shared" si="213"/>
        <v>3767.9155146121116</v>
      </c>
      <c r="Q104" s="234">
        <f t="shared" si="213"/>
        <v>3777.3353033986423</v>
      </c>
      <c r="R104" s="234">
        <f t="shared" si="213"/>
        <v>3786.7786416571385</v>
      </c>
      <c r="S104" s="234">
        <f t="shared" si="213"/>
        <v>3796.2455882612808</v>
      </c>
      <c r="T104" s="234">
        <f t="shared" si="213"/>
        <v>3805.7362022319335</v>
      </c>
      <c r="U104" s="234">
        <f t="shared" si="213"/>
        <v>3815.2505427375131</v>
      </c>
      <c r="V104" s="234">
        <f t="shared" si="213"/>
        <v>3824.7886690943569</v>
      </c>
      <c r="W104" s="234">
        <f t="shared" si="213"/>
        <v>3834.3506407670916</v>
      </c>
      <c r="X104" s="234">
        <f t="shared" si="213"/>
        <v>3843.9365173690089</v>
      </c>
      <c r="Y104" s="234">
        <f t="shared" si="213"/>
        <v>3853.5463586624319</v>
      </c>
      <c r="Z104" s="234">
        <f t="shared" si="213"/>
        <v>3863.1802245590875</v>
      </c>
      <c r="AA104" s="234">
        <f t="shared" si="213"/>
        <v>3872.8381751204847</v>
      </c>
      <c r="AB104" s="234">
        <f t="shared" si="213"/>
        <v>3882.520270558286</v>
      </c>
      <c r="AC104" s="234">
        <f t="shared" si="213"/>
        <v>3892.2265712346812</v>
      </c>
      <c r="AD104" s="234">
        <f t="shared" si="213"/>
        <v>3901.9571376627673</v>
      </c>
      <c r="AE104" s="234">
        <f t="shared" si="213"/>
        <v>3911.7120305069238</v>
      </c>
      <c r="AF104" s="234">
        <f t="shared" si="213"/>
        <v>3921.4913105831911</v>
      </c>
      <c r="AG104" s="234">
        <f t="shared" si="213"/>
        <v>3931.2950388596482</v>
      </c>
      <c r="AH104" s="234">
        <f t="shared" si="213"/>
        <v>3941.1232764567976</v>
      </c>
      <c r="AI104" s="234">
        <f t="shared" si="213"/>
        <v>3950.9760846479394</v>
      </c>
      <c r="AJ104" s="234">
        <f t="shared" si="213"/>
        <v>3960.8535248595585</v>
      </c>
      <c r="AK104" s="234">
        <f t="shared" si="213"/>
        <v>3970.7556586717074</v>
      </c>
      <c r="AL104" s="234">
        <f t="shared" si="213"/>
        <v>3980.6825478183864</v>
      </c>
      <c r="AM104" s="234">
        <f t="shared" ref="AM104:BR104" si="214">$D104/12*AM$63*$N$13</f>
        <v>3990.6342541879326</v>
      </c>
      <c r="AN104" s="234">
        <f t="shared" si="214"/>
        <v>4000.6108398234023</v>
      </c>
      <c r="AO104" s="234">
        <f t="shared" si="214"/>
        <v>4010.6123669229605</v>
      </c>
      <c r="AP104" s="234">
        <f t="shared" si="214"/>
        <v>4020.6388978402674</v>
      </c>
      <c r="AQ104" s="234">
        <f t="shared" si="214"/>
        <v>4030.6904950848684</v>
      </c>
      <c r="AR104" s="234">
        <f t="shared" si="214"/>
        <v>4040.7672213225796</v>
      </c>
      <c r="AS104" s="234">
        <f t="shared" si="214"/>
        <v>4050.8691393758868</v>
      </c>
      <c r="AT104" s="234">
        <f t="shared" si="214"/>
        <v>4060.9963122243262</v>
      </c>
      <c r="AU104" s="234">
        <f t="shared" si="214"/>
        <v>4071.1488030048872</v>
      </c>
      <c r="AV104" s="234">
        <f t="shared" si="214"/>
        <v>4081.3266750123994</v>
      </c>
      <c r="AW104" s="234">
        <f t="shared" si="214"/>
        <v>4091.5299916999293</v>
      </c>
      <c r="AX104" s="234">
        <f t="shared" si="214"/>
        <v>4101.7588166791784</v>
      </c>
      <c r="AY104" s="234">
        <f t="shared" si="214"/>
        <v>4112.0132137208757</v>
      </c>
      <c r="AZ104" s="234">
        <f t="shared" si="214"/>
        <v>4122.2932467551782</v>
      </c>
      <c r="BA104" s="234">
        <f t="shared" si="214"/>
        <v>4132.5989798720657</v>
      </c>
      <c r="BB104" s="234">
        <f t="shared" si="214"/>
        <v>4142.9304773217445</v>
      </c>
      <c r="BC104" s="234">
        <f t="shared" si="214"/>
        <v>4153.2878035150488</v>
      </c>
      <c r="BD104" s="234">
        <f t="shared" si="214"/>
        <v>4163.6710230238368</v>
      </c>
      <c r="BE104" s="234">
        <f t="shared" si="214"/>
        <v>4174.0802005813957</v>
      </c>
      <c r="BF104" s="234">
        <f t="shared" si="214"/>
        <v>4184.5154010828492</v>
      </c>
      <c r="BG104" s="234">
        <f t="shared" si="214"/>
        <v>4194.9766895855564</v>
      </c>
      <c r="BH104" s="234">
        <f t="shared" si="214"/>
        <v>4205.4641313095199</v>
      </c>
      <c r="BI104" s="234">
        <f t="shared" si="214"/>
        <v>4215.9777916377943</v>
      </c>
      <c r="BJ104" s="234">
        <f t="shared" si="214"/>
        <v>4226.517736116888</v>
      </c>
      <c r="BK104" s="234">
        <f t="shared" si="214"/>
        <v>4237.0840304571793</v>
      </c>
      <c r="BL104" s="234">
        <f t="shared" si="214"/>
        <v>4247.6767405333221</v>
      </c>
      <c r="BM104" s="234">
        <f t="shared" si="214"/>
        <v>4258.2959323846553</v>
      </c>
      <c r="BN104" s="234">
        <f t="shared" si="214"/>
        <v>4268.9416722156166</v>
      </c>
      <c r="BO104" s="234">
        <f t="shared" si="214"/>
        <v>4279.6140263961552</v>
      </c>
      <c r="BP104" s="234">
        <f t="shared" si="214"/>
        <v>4290.3130614621459</v>
      </c>
      <c r="BQ104" s="234">
        <f t="shared" si="214"/>
        <v>4301.0388441158011</v>
      </c>
      <c r="BR104" s="234">
        <f t="shared" si="214"/>
        <v>4311.7914412260898</v>
      </c>
      <c r="BS104" s="234">
        <f t="shared" ref="BS104:CX104" si="215">$D104/12*BS$63*$N$13</f>
        <v>4322.5709198291552</v>
      </c>
      <c r="BT104" s="234">
        <f t="shared" si="215"/>
        <v>4333.3773471287277</v>
      </c>
      <c r="BU104" s="234">
        <f t="shared" si="215"/>
        <v>4344.2107904965487</v>
      </c>
      <c r="BV104" s="234">
        <f t="shared" si="215"/>
        <v>4355.0713174727898</v>
      </c>
      <c r="BW104" s="234">
        <f t="shared" si="215"/>
        <v>4365.9589957664712</v>
      </c>
      <c r="BX104" s="234">
        <f t="shared" si="215"/>
        <v>4376.8738932558881</v>
      </c>
      <c r="BY104" s="234">
        <f t="shared" si="215"/>
        <v>4387.8160779890268</v>
      </c>
      <c r="BZ104" s="234">
        <f t="shared" si="215"/>
        <v>4398.7856181839998</v>
      </c>
      <c r="CA104" s="234">
        <f t="shared" si="215"/>
        <v>4409.7825822294599</v>
      </c>
      <c r="CB104" s="234">
        <f t="shared" si="215"/>
        <v>4420.8070386850331</v>
      </c>
      <c r="CC104" s="234">
        <f t="shared" si="215"/>
        <v>4431.8590562817453</v>
      </c>
      <c r="CD104" s="234">
        <f t="shared" si="215"/>
        <v>4442.9387039224493</v>
      </c>
      <c r="CE104" s="234">
        <f t="shared" si="215"/>
        <v>4454.0460506822556</v>
      </c>
      <c r="CF104" s="234">
        <f t="shared" si="215"/>
        <v>4465.1811658089609</v>
      </c>
      <c r="CG104" s="234">
        <f t="shared" si="215"/>
        <v>4476.344118723483</v>
      </c>
      <c r="CH104" s="234">
        <f t="shared" si="215"/>
        <v>4487.5349790202918</v>
      </c>
      <c r="CI104" s="234">
        <f t="shared" si="215"/>
        <v>4498.7538164678426</v>
      </c>
      <c r="CJ104" s="234">
        <f t="shared" si="215"/>
        <v>4510.0007010090121</v>
      </c>
      <c r="CK104" s="234">
        <f t="shared" si="215"/>
        <v>4521.2757027615344</v>
      </c>
      <c r="CL104" s="234">
        <f t="shared" si="215"/>
        <v>4532.5788920184377</v>
      </c>
      <c r="CM104" s="234">
        <f t="shared" si="215"/>
        <v>4543.910339248484</v>
      </c>
      <c r="CN104" s="234">
        <f t="shared" si="215"/>
        <v>4555.2701150966059</v>
      </c>
      <c r="CO104" s="234">
        <f t="shared" si="215"/>
        <v>4566.6582903843464</v>
      </c>
      <c r="CP104" s="234">
        <f t="shared" si="215"/>
        <v>4578.0749361103071</v>
      </c>
      <c r="CQ104" s="234">
        <f t="shared" si="215"/>
        <v>4589.520123450583</v>
      </c>
      <c r="CR104" s="234">
        <f t="shared" si="215"/>
        <v>4600.993923759208</v>
      </c>
      <c r="CS104" s="234">
        <f t="shared" si="215"/>
        <v>4612.4964085686061</v>
      </c>
      <c r="CT104" s="234">
        <f t="shared" si="215"/>
        <v>4624.0276495900271</v>
      </c>
      <c r="CU104" s="234">
        <f t="shared" si="215"/>
        <v>4635.5877187140022</v>
      </c>
      <c r="CV104" s="234">
        <f t="shared" si="215"/>
        <v>4647.1766880107871</v>
      </c>
      <c r="CW104" s="234">
        <f t="shared" si="215"/>
        <v>4658.7946297308135</v>
      </c>
      <c r="CX104" s="234">
        <f t="shared" si="215"/>
        <v>4670.441616305141</v>
      </c>
      <c r="CY104" s="234">
        <f t="shared" ref="CY104:ED104" si="216">$D104/12*CY$63*$N$13</f>
        <v>4682.1177203459038</v>
      </c>
      <c r="CZ104" s="234">
        <f t="shared" si="216"/>
        <v>4693.8230146467677</v>
      </c>
      <c r="DA104" s="234">
        <f t="shared" si="216"/>
        <v>4705.5575721833839</v>
      </c>
      <c r="DB104" s="234">
        <f t="shared" si="216"/>
        <v>4717.3214661138427</v>
      </c>
      <c r="DC104" s="234">
        <f t="shared" si="216"/>
        <v>4729.1147697791266</v>
      </c>
      <c r="DD104" s="234">
        <f t="shared" si="216"/>
        <v>4740.937556703574</v>
      </c>
      <c r="DE104" s="234">
        <f t="shared" si="216"/>
        <v>4752.7899005953341</v>
      </c>
      <c r="DF104" s="234">
        <f t="shared" si="216"/>
        <v>4764.6718753468213</v>
      </c>
      <c r="DG104" s="234">
        <f t="shared" si="216"/>
        <v>4776.5835550351894</v>
      </c>
      <c r="DH104" s="234">
        <f t="shared" si="216"/>
        <v>4788.5250139227765</v>
      </c>
      <c r="DI104" s="234">
        <f t="shared" si="216"/>
        <v>4800.4963264575836</v>
      </c>
      <c r="DJ104" s="234">
        <f t="shared" si="216"/>
        <v>4812.4975672737264</v>
      </c>
      <c r="DK104" s="234">
        <f t="shared" si="216"/>
        <v>4824.5288111919108</v>
      </c>
      <c r="DL104" s="234">
        <f t="shared" si="216"/>
        <v>4836.590133219891</v>
      </c>
      <c r="DM104" s="234">
        <f t="shared" si="216"/>
        <v>4848.681608552939</v>
      </c>
      <c r="DN104" s="234">
        <f t="shared" si="216"/>
        <v>4860.8033125743214</v>
      </c>
      <c r="DO104" s="234">
        <f t="shared" si="216"/>
        <v>4872.9553208557572</v>
      </c>
      <c r="DP104" s="234">
        <f t="shared" si="216"/>
        <v>4885.1377091578961</v>
      </c>
      <c r="DQ104" s="234">
        <f t="shared" si="216"/>
        <v>4897.3505534307906</v>
      </c>
      <c r="DR104" s="234">
        <f t="shared" si="216"/>
        <v>4909.5939298143676</v>
      </c>
      <c r="DS104" s="234">
        <f t="shared" si="216"/>
        <v>4921.8679146389031</v>
      </c>
      <c r="DT104" s="234">
        <f t="shared" si="216"/>
        <v>4934.1725844254997</v>
      </c>
      <c r="DU104" s="234">
        <f t="shared" si="216"/>
        <v>4946.508015886563</v>
      </c>
      <c r="DV104" s="234">
        <f t="shared" si="216"/>
        <v>4958.8742859262802</v>
      </c>
      <c r="DW104" s="234">
        <f t="shared" si="216"/>
        <v>4971.2714716410956</v>
      </c>
      <c r="DX104" s="234">
        <f t="shared" si="216"/>
        <v>4983.6996503201981</v>
      </c>
      <c r="DY104" s="234">
        <f t="shared" si="216"/>
        <v>4996.158899445998</v>
      </c>
      <c r="DZ104" s="234">
        <f t="shared" si="216"/>
        <v>5008.6492966946125</v>
      </c>
      <c r="EA104" s="234">
        <f t="shared" si="216"/>
        <v>5021.1709199363495</v>
      </c>
      <c r="EB104" s="234">
        <f t="shared" si="216"/>
        <v>5033.7238472361905</v>
      </c>
      <c r="EC104" s="234">
        <f t="shared" si="216"/>
        <v>5046.3081568542802</v>
      </c>
      <c r="ED104" s="234">
        <f t="shared" si="216"/>
        <v>5058.9239272464147</v>
      </c>
      <c r="EE104" s="234">
        <f t="shared" ref="EE104:FF104" si="217">$D104/12*EE$63*$N$13</f>
        <v>5071.5712370645315</v>
      </c>
      <c r="EF104" s="234">
        <f t="shared" si="217"/>
        <v>5084.250165157192</v>
      </c>
      <c r="EG104" s="234">
        <f t="shared" si="217"/>
        <v>5096.960790570085</v>
      </c>
      <c r="EH104" s="234">
        <f t="shared" si="217"/>
        <v>5109.7031925465099</v>
      </c>
      <c r="EI104" s="234">
        <f t="shared" si="217"/>
        <v>5122.4774505278756</v>
      </c>
      <c r="EJ104" s="234">
        <f t="shared" si="217"/>
        <v>5135.283644154194</v>
      </c>
      <c r="EK104" s="234">
        <f t="shared" si="217"/>
        <v>5148.1218532645798</v>
      </c>
      <c r="EL104" s="234">
        <f t="shared" si="217"/>
        <v>5160.992157897741</v>
      </c>
      <c r="EM104" s="234">
        <f t="shared" si="217"/>
        <v>5173.8946382924851</v>
      </c>
      <c r="EN104" s="234">
        <f t="shared" si="217"/>
        <v>5186.8293748882152</v>
      </c>
      <c r="EO104" s="234">
        <f t="shared" si="217"/>
        <v>5199.7964483254354</v>
      </c>
      <c r="EP104" s="234">
        <f t="shared" si="217"/>
        <v>5212.7959394462487</v>
      </c>
      <c r="EQ104" s="234">
        <f t="shared" si="217"/>
        <v>5225.8279292948637</v>
      </c>
      <c r="ER104" s="234">
        <f t="shared" si="217"/>
        <v>5238.8924991181011</v>
      </c>
      <c r="ES104" s="234">
        <f t="shared" si="217"/>
        <v>5251.9897303658963</v>
      </c>
      <c r="ET104" s="234">
        <f t="shared" si="217"/>
        <v>5265.1197046918114</v>
      </c>
      <c r="EU104" s="234">
        <f t="shared" si="217"/>
        <v>5278.2825039535401</v>
      </c>
      <c r="EV104" s="234">
        <f t="shared" si="217"/>
        <v>5291.4782102134241</v>
      </c>
      <c r="EW104" s="234">
        <f t="shared" si="217"/>
        <v>5304.7069057389572</v>
      </c>
      <c r="EX104" s="234">
        <f t="shared" si="217"/>
        <v>5317.9686730033045</v>
      </c>
      <c r="EY104" s="234">
        <f t="shared" si="217"/>
        <v>5331.2635946858127</v>
      </c>
      <c r="EZ104" s="234">
        <f t="shared" si="217"/>
        <v>5344.5917536725265</v>
      </c>
      <c r="FA104" s="234">
        <f t="shared" si="217"/>
        <v>5357.9532330567072</v>
      </c>
      <c r="FB104" s="234">
        <f t="shared" si="217"/>
        <v>5371.3481161393483</v>
      </c>
      <c r="FC104" s="234">
        <f t="shared" si="217"/>
        <v>5384.7764864296978</v>
      </c>
      <c r="FD104" s="234">
        <f t="shared" si="217"/>
        <v>5398.2384276457706</v>
      </c>
      <c r="FE104" s="234">
        <f t="shared" si="217"/>
        <v>5411.7340237148846</v>
      </c>
      <c r="FF104" s="234">
        <f t="shared" si="217"/>
        <v>5425.263358774172</v>
      </c>
      <c r="FG104" s="321"/>
      <c r="FH104" s="234">
        <f t="shared" si="207"/>
        <v>22243.743419032784</v>
      </c>
      <c r="FI104" s="234">
        <f t="shared" si="207"/>
        <v>45499.800045941294</v>
      </c>
      <c r="FJ104" s="234">
        <f t="shared" si="207"/>
        <v>46883.720003711802</v>
      </c>
      <c r="FK104" s="234">
        <f t="shared" si="207"/>
        <v>48309.733211289611</v>
      </c>
      <c r="FL104" s="234">
        <f t="shared" si="207"/>
        <v>49779.11997514718</v>
      </c>
      <c r="FM104" s="234">
        <f t="shared" si="207"/>
        <v>51293.199543503535</v>
      </c>
      <c r="FN104" s="234">
        <f t="shared" si="207"/>
        <v>52853.331290774629</v>
      </c>
      <c r="FO104" s="234">
        <f t="shared" si="207"/>
        <v>54460.915938050137</v>
      </c>
      <c r="FP104" s="234">
        <f t="shared" si="207"/>
        <v>56117.396810691971</v>
      </c>
      <c r="FQ104" s="234">
        <f t="shared" si="207"/>
        <v>57824.261134184155</v>
      </c>
      <c r="FR104" s="234">
        <f t="shared" si="207"/>
        <v>59583.041369396844</v>
      </c>
      <c r="FS104" s="234">
        <f t="shared" si="207"/>
        <v>61395.316588464098</v>
      </c>
      <c r="FT104" s="234">
        <f t="shared" si="207"/>
        <v>63262.713892509928</v>
      </c>
      <c r="FU104" s="234">
        <f t="shared" si="207"/>
        <v>32349.313645760583</v>
      </c>
      <c r="FV104" s="321"/>
    </row>
    <row r="105" spans="3:178" s="208" customFormat="1" x14ac:dyDescent="0.2">
      <c r="C105" s="208" t="s">
        <v>84</v>
      </c>
      <c r="D105" s="280"/>
      <c r="E105" s="208">
        <f t="shared" si="190"/>
        <v>1542378.0792995021</v>
      </c>
      <c r="F105" s="279">
        <f>SUM(F101:F104)</f>
        <v>0</v>
      </c>
      <c r="G105" s="208">
        <f t="shared" ref="G105:BR105" si="218">SUM(G101:G104)</f>
        <v>8096.2665032812492</v>
      </c>
      <c r="H105" s="208">
        <f t="shared" si="218"/>
        <v>8116.5071695394527</v>
      </c>
      <c r="I105" s="208">
        <f t="shared" si="218"/>
        <v>8136.7984374633006</v>
      </c>
      <c r="J105" s="208">
        <f t="shared" si="218"/>
        <v>8157.1404335569578</v>
      </c>
      <c r="K105" s="208">
        <f t="shared" si="218"/>
        <v>8177.533284640851</v>
      </c>
      <c r="L105" s="208">
        <f t="shared" si="218"/>
        <v>8197.9771178524534</v>
      </c>
      <c r="M105" s="208">
        <f t="shared" si="218"/>
        <v>8218.4720606470837</v>
      </c>
      <c r="N105" s="208">
        <f t="shared" si="218"/>
        <v>8239.0182407987013</v>
      </c>
      <c r="O105" s="208">
        <f t="shared" si="218"/>
        <v>8259.6157864006982</v>
      </c>
      <c r="P105" s="208">
        <f t="shared" si="218"/>
        <v>8280.2648258666995</v>
      </c>
      <c r="Q105" s="208">
        <f t="shared" si="218"/>
        <v>8300.9654879313675</v>
      </c>
      <c r="R105" s="208">
        <f t="shared" si="218"/>
        <v>8321.7179016511946</v>
      </c>
      <c r="S105" s="208">
        <f t="shared" si="218"/>
        <v>8342.5221964053217</v>
      </c>
      <c r="T105" s="208">
        <f t="shared" si="218"/>
        <v>8363.3785018963335</v>
      </c>
      <c r="U105" s="208">
        <f t="shared" si="218"/>
        <v>8384.2869481510734</v>
      </c>
      <c r="V105" s="208">
        <f t="shared" si="218"/>
        <v>8405.2476655214523</v>
      </c>
      <c r="W105" s="208">
        <f t="shared" si="218"/>
        <v>8426.2607846852534</v>
      </c>
      <c r="X105" s="208">
        <f t="shared" si="218"/>
        <v>8447.3264366469666</v>
      </c>
      <c r="Y105" s="208">
        <f t="shared" si="218"/>
        <v>8468.4447527385837</v>
      </c>
      <c r="Z105" s="208">
        <f t="shared" si="218"/>
        <v>8489.6158646204294</v>
      </c>
      <c r="AA105" s="208">
        <f t="shared" si="218"/>
        <v>8510.8399042819801</v>
      </c>
      <c r="AB105" s="208">
        <f t="shared" si="218"/>
        <v>8532.1170040426841</v>
      </c>
      <c r="AC105" s="208">
        <f t="shared" si="218"/>
        <v>8553.4472965527912</v>
      </c>
      <c r="AD105" s="208">
        <f t="shared" si="218"/>
        <v>8574.8309147941727</v>
      </c>
      <c r="AE105" s="208">
        <f t="shared" si="218"/>
        <v>8596.267992081157</v>
      </c>
      <c r="AF105" s="208">
        <f t="shared" si="218"/>
        <v>8617.7586620613602</v>
      </c>
      <c r="AG105" s="208">
        <f t="shared" si="218"/>
        <v>8639.3030587165122</v>
      </c>
      <c r="AH105" s="208">
        <f t="shared" si="218"/>
        <v>8660.9013163633026</v>
      </c>
      <c r="AI105" s="208">
        <f t="shared" si="218"/>
        <v>8682.5535696542102</v>
      </c>
      <c r="AJ105" s="208">
        <f t="shared" si="218"/>
        <v>8704.2599535783447</v>
      </c>
      <c r="AK105" s="208">
        <f t="shared" si="218"/>
        <v>8726.0206034622897</v>
      </c>
      <c r="AL105" s="208">
        <f t="shared" si="218"/>
        <v>8747.8356549709461</v>
      </c>
      <c r="AM105" s="208">
        <f t="shared" si="218"/>
        <v>8769.7052441083742</v>
      </c>
      <c r="AN105" s="208">
        <f t="shared" si="218"/>
        <v>8791.629507218644</v>
      </c>
      <c r="AO105" s="208">
        <f t="shared" si="218"/>
        <v>8813.6085809866909</v>
      </c>
      <c r="AP105" s="208">
        <f t="shared" si="218"/>
        <v>8835.6426024391549</v>
      </c>
      <c r="AQ105" s="208">
        <f t="shared" si="218"/>
        <v>8857.7317089452554</v>
      </c>
      <c r="AR105" s="208">
        <f t="shared" si="218"/>
        <v>8879.8760382176151</v>
      </c>
      <c r="AS105" s="208">
        <f t="shared" si="218"/>
        <v>8902.0757283131607</v>
      </c>
      <c r="AT105" s="208">
        <f t="shared" si="218"/>
        <v>8924.3309176339426</v>
      </c>
      <c r="AU105" s="208">
        <f t="shared" si="218"/>
        <v>8946.6417449280289</v>
      </c>
      <c r="AV105" s="208">
        <f t="shared" si="218"/>
        <v>8969.0083492903468</v>
      </c>
      <c r="AW105" s="208">
        <f t="shared" si="218"/>
        <v>8991.4308701635709</v>
      </c>
      <c r="AX105" s="208">
        <f t="shared" si="218"/>
        <v>9013.9094473389796</v>
      </c>
      <c r="AY105" s="208">
        <f t="shared" si="218"/>
        <v>9036.4442209573263</v>
      </c>
      <c r="AZ105" s="208">
        <f t="shared" si="218"/>
        <v>9059.03533150972</v>
      </c>
      <c r="BA105" s="208">
        <f t="shared" si="218"/>
        <v>9081.6829198384949</v>
      </c>
      <c r="BB105" s="208">
        <f t="shared" si="218"/>
        <v>9104.3871271380885</v>
      </c>
      <c r="BC105" s="208">
        <f t="shared" si="218"/>
        <v>9127.1480949559336</v>
      </c>
      <c r="BD105" s="208">
        <f t="shared" si="218"/>
        <v>9149.9659651933234</v>
      </c>
      <c r="BE105" s="208">
        <f t="shared" si="218"/>
        <v>9172.8408801063051</v>
      </c>
      <c r="BF105" s="208">
        <f t="shared" si="218"/>
        <v>9195.7729823065711</v>
      </c>
      <c r="BG105" s="208">
        <f t="shared" si="218"/>
        <v>9218.7624147623374</v>
      </c>
      <c r="BH105" s="208">
        <f t="shared" si="218"/>
        <v>9241.8093207992424</v>
      </c>
      <c r="BI105" s="208">
        <f t="shared" si="218"/>
        <v>9264.9138441012401</v>
      </c>
      <c r="BJ105" s="208">
        <f t="shared" si="218"/>
        <v>9288.0761287114929</v>
      </c>
      <c r="BK105" s="208">
        <f t="shared" si="218"/>
        <v>9311.2963190332703</v>
      </c>
      <c r="BL105" s="208">
        <f t="shared" si="218"/>
        <v>9334.5745598308531</v>
      </c>
      <c r="BM105" s="208">
        <f t="shared" si="218"/>
        <v>9357.9109962304301</v>
      </c>
      <c r="BN105" s="208">
        <f t="shared" si="218"/>
        <v>9381.3057737210038</v>
      </c>
      <c r="BO105" s="208">
        <f t="shared" si="218"/>
        <v>9404.7590381553055</v>
      </c>
      <c r="BP105" s="208">
        <f t="shared" si="218"/>
        <v>9428.2709357506938</v>
      </c>
      <c r="BQ105" s="208">
        <f t="shared" si="218"/>
        <v>9451.8416130900696</v>
      </c>
      <c r="BR105" s="208">
        <f t="shared" si="218"/>
        <v>9475.4712171227948</v>
      </c>
      <c r="BS105" s="208">
        <f t="shared" ref="BS105:ED105" si="219">SUM(BS101:BS104)</f>
        <v>9499.1598951656015</v>
      </c>
      <c r="BT105" s="208">
        <f t="shared" si="219"/>
        <v>9522.9077949035145</v>
      </c>
      <c r="BU105" s="208">
        <f t="shared" si="219"/>
        <v>9546.7150643907735</v>
      </c>
      <c r="BV105" s="208">
        <f t="shared" si="219"/>
        <v>9570.5818520517496</v>
      </c>
      <c r="BW105" s="208">
        <f t="shared" si="219"/>
        <v>9594.508306681877</v>
      </c>
      <c r="BX105" s="208">
        <f t="shared" si="219"/>
        <v>9618.4945774485823</v>
      </c>
      <c r="BY105" s="208">
        <f t="shared" si="219"/>
        <v>9642.540813892203</v>
      </c>
      <c r="BZ105" s="208">
        <f t="shared" si="219"/>
        <v>9666.6471659269337</v>
      </c>
      <c r="CA105" s="208">
        <f t="shared" si="219"/>
        <v>9690.8137838417497</v>
      </c>
      <c r="CB105" s="208">
        <f t="shared" si="219"/>
        <v>9715.0408183013533</v>
      </c>
      <c r="CC105" s="208">
        <f t="shared" si="219"/>
        <v>9739.3284203471048</v>
      </c>
      <c r="CD105" s="208">
        <f t="shared" si="219"/>
        <v>9763.6767413979742</v>
      </c>
      <c r="CE105" s="208">
        <f t="shared" si="219"/>
        <v>9788.0859332514701</v>
      </c>
      <c r="CF105" s="208">
        <f t="shared" si="219"/>
        <v>9812.5561480845972</v>
      </c>
      <c r="CG105" s="208">
        <f t="shared" si="219"/>
        <v>9837.0875384548071</v>
      </c>
      <c r="CH105" s="208">
        <f t="shared" si="219"/>
        <v>9861.6802573009445</v>
      </c>
      <c r="CI105" s="208">
        <f t="shared" si="219"/>
        <v>9886.3344579441982</v>
      </c>
      <c r="CJ105" s="208">
        <f t="shared" si="219"/>
        <v>9911.0502940890565</v>
      </c>
      <c r="CK105" s="208">
        <f t="shared" si="219"/>
        <v>9935.8279198242781</v>
      </c>
      <c r="CL105" s="208">
        <f t="shared" si="219"/>
        <v>9960.6674896238401</v>
      </c>
      <c r="CM105" s="208">
        <f t="shared" si="219"/>
        <v>9985.5691583478983</v>
      </c>
      <c r="CN105" s="208">
        <f t="shared" si="219"/>
        <v>10010.533081243768</v>
      </c>
      <c r="CO105" s="208">
        <f t="shared" si="219"/>
        <v>10035.559413946878</v>
      </c>
      <c r="CP105" s="208">
        <f t="shared" si="219"/>
        <v>10060.648312481742</v>
      </c>
      <c r="CQ105" s="208">
        <f t="shared" si="219"/>
        <v>10085.799933262948</v>
      </c>
      <c r="CR105" s="208">
        <f t="shared" si="219"/>
        <v>10111.014433096103</v>
      </c>
      <c r="CS105" s="208">
        <f t="shared" si="219"/>
        <v>10136.291969178843</v>
      </c>
      <c r="CT105" s="208">
        <f t="shared" si="219"/>
        <v>10161.63269910179</v>
      </c>
      <c r="CU105" s="208">
        <f t="shared" si="219"/>
        <v>10187.036780849543</v>
      </c>
      <c r="CV105" s="208">
        <f t="shared" si="219"/>
        <v>10212.504372801668</v>
      </c>
      <c r="CW105" s="208">
        <f t="shared" si="219"/>
        <v>10238.035633733671</v>
      </c>
      <c r="CX105" s="208">
        <f t="shared" si="219"/>
        <v>10263.630722818005</v>
      </c>
      <c r="CY105" s="208">
        <f t="shared" si="219"/>
        <v>10289.28979962505</v>
      </c>
      <c r="CZ105" s="208">
        <f t="shared" si="219"/>
        <v>10315.013024124111</v>
      </c>
      <c r="DA105" s="208">
        <f t="shared" si="219"/>
        <v>10340.800556684419</v>
      </c>
      <c r="DB105" s="208">
        <f t="shared" si="219"/>
        <v>10366.65255807613</v>
      </c>
      <c r="DC105" s="208">
        <f t="shared" si="219"/>
        <v>10392.56918947132</v>
      </c>
      <c r="DD105" s="208">
        <f t="shared" si="219"/>
        <v>10418.550612444998</v>
      </c>
      <c r="DE105" s="208">
        <f t="shared" si="219"/>
        <v>10444.596988976111</v>
      </c>
      <c r="DF105" s="208">
        <f t="shared" si="219"/>
        <v>10470.70848144855</v>
      </c>
      <c r="DG105" s="208">
        <f t="shared" si="219"/>
        <v>10496.885252652173</v>
      </c>
      <c r="DH105" s="208">
        <f t="shared" si="219"/>
        <v>10523.1274657838</v>
      </c>
      <c r="DI105" s="208">
        <f t="shared" si="219"/>
        <v>10549.43528444826</v>
      </c>
      <c r="DJ105" s="208">
        <f t="shared" si="219"/>
        <v>10575.80887265938</v>
      </c>
      <c r="DK105" s="208">
        <f t="shared" si="219"/>
        <v>10602.24839484103</v>
      </c>
      <c r="DL105" s="208">
        <f t="shared" si="219"/>
        <v>10628.75401582813</v>
      </c>
      <c r="DM105" s="208">
        <f t="shared" si="219"/>
        <v>10655.325900867698</v>
      </c>
      <c r="DN105" s="208">
        <f t="shared" si="219"/>
        <v>10681.964215619868</v>
      </c>
      <c r="DO105" s="208">
        <f t="shared" si="219"/>
        <v>10708.669126158917</v>
      </c>
      <c r="DP105" s="208">
        <f t="shared" si="219"/>
        <v>10735.440798974312</v>
      </c>
      <c r="DQ105" s="208">
        <f t="shared" si="219"/>
        <v>10762.279400971747</v>
      </c>
      <c r="DR105" s="208">
        <f t="shared" si="219"/>
        <v>10789.185099474176</v>
      </c>
      <c r="DS105" s="208">
        <f t="shared" si="219"/>
        <v>10816.158062222861</v>
      </c>
      <c r="DT105" s="208">
        <f t="shared" si="219"/>
        <v>10843.198457378418</v>
      </c>
      <c r="DU105" s="208">
        <f t="shared" si="219"/>
        <v>10870.306453521864</v>
      </c>
      <c r="DV105" s="208">
        <f t="shared" si="219"/>
        <v>10897.482219655671</v>
      </c>
      <c r="DW105" s="208">
        <f t="shared" si="219"/>
        <v>10924.725925204806</v>
      </c>
      <c r="DX105" s="208">
        <f t="shared" si="219"/>
        <v>10952.037740017819</v>
      </c>
      <c r="DY105" s="208">
        <f t="shared" si="219"/>
        <v>10979.417834367863</v>
      </c>
      <c r="DZ105" s="208">
        <f t="shared" si="219"/>
        <v>11006.866378953779</v>
      </c>
      <c r="EA105" s="208">
        <f t="shared" si="219"/>
        <v>11034.383544901164</v>
      </c>
      <c r="EB105" s="208">
        <f t="shared" si="219"/>
        <v>11061.969503763419</v>
      </c>
      <c r="EC105" s="208">
        <f t="shared" si="219"/>
        <v>11089.624427522827</v>
      </c>
      <c r="ED105" s="208">
        <f t="shared" si="219"/>
        <v>11117.348488591631</v>
      </c>
      <c r="EE105" s="208">
        <f t="shared" ref="EE105:FF105" si="220">SUM(EE101:EE104)</f>
        <v>11145.141859813113</v>
      </c>
      <c r="EF105" s="208">
        <f t="shared" si="220"/>
        <v>11173.004714462644</v>
      </c>
      <c r="EG105" s="208">
        <f t="shared" si="220"/>
        <v>11200.937226248798</v>
      </c>
      <c r="EH105" s="208">
        <f t="shared" si="220"/>
        <v>11228.939569314422</v>
      </c>
      <c r="EI105" s="208">
        <f t="shared" si="220"/>
        <v>11257.011918237706</v>
      </c>
      <c r="EJ105" s="208">
        <f t="shared" si="220"/>
        <v>11285.1544480333</v>
      </c>
      <c r="EK105" s="208">
        <f t="shared" si="220"/>
        <v>11313.367334153381</v>
      </c>
      <c r="EL105" s="208">
        <f t="shared" si="220"/>
        <v>11341.650752488764</v>
      </c>
      <c r="EM105" s="208">
        <f t="shared" si="220"/>
        <v>11370.004879369986</v>
      </c>
      <c r="EN105" s="208">
        <f t="shared" si="220"/>
        <v>11398.429891568408</v>
      </c>
      <c r="EO105" s="208">
        <f t="shared" si="220"/>
        <v>11426.925966297329</v>
      </c>
      <c r="EP105" s="208">
        <f t="shared" si="220"/>
        <v>11455.493281213072</v>
      </c>
      <c r="EQ105" s="208">
        <f t="shared" si="220"/>
        <v>11484.132014416104</v>
      </c>
      <c r="ER105" s="208">
        <f t="shared" si="220"/>
        <v>11512.842344452143</v>
      </c>
      <c r="ES105" s="208">
        <f t="shared" si="220"/>
        <v>11541.624450313273</v>
      </c>
      <c r="ET105" s="208">
        <f t="shared" si="220"/>
        <v>11570.478511439056</v>
      </c>
      <c r="EU105" s="208">
        <f t="shared" si="220"/>
        <v>11599.404707717653</v>
      </c>
      <c r="EV105" s="208">
        <f t="shared" si="220"/>
        <v>11628.403219486947</v>
      </c>
      <c r="EW105" s="208">
        <f t="shared" si="220"/>
        <v>11657.474227535664</v>
      </c>
      <c r="EX105" s="208">
        <f t="shared" si="220"/>
        <v>11686.617913104503</v>
      </c>
      <c r="EY105" s="208">
        <f t="shared" si="220"/>
        <v>11715.834457887262</v>
      </c>
      <c r="EZ105" s="208">
        <f t="shared" si="220"/>
        <v>11745.12404403198</v>
      </c>
      <c r="FA105" s="208">
        <f t="shared" si="220"/>
        <v>11774.486854142058</v>
      </c>
      <c r="FB105" s="208">
        <f t="shared" si="220"/>
        <v>11803.923071277413</v>
      </c>
      <c r="FC105" s="208">
        <f t="shared" si="220"/>
        <v>11833.432878955606</v>
      </c>
      <c r="FD105" s="208">
        <f t="shared" si="220"/>
        <v>11863.016461152994</v>
      </c>
      <c r="FE105" s="208">
        <f t="shared" si="220"/>
        <v>11892.674002305876</v>
      </c>
      <c r="FF105" s="208">
        <f t="shared" si="220"/>
        <v>11922.405687311639</v>
      </c>
      <c r="FG105" s="288"/>
      <c r="FH105" s="208">
        <f t="shared" si="207"/>
        <v>48882.222946334266</v>
      </c>
      <c r="FI105" s="208">
        <f t="shared" si="207"/>
        <v>99989.076836602137</v>
      </c>
      <c r="FJ105" s="208">
        <f t="shared" si="207"/>
        <v>103030.34028948552</v>
      </c>
      <c r="FK105" s="208">
        <f t="shared" si="207"/>
        <v>106164.10668051445</v>
      </c>
      <c r="FL105" s="208">
        <f t="shared" si="207"/>
        <v>109393.1895750699</v>
      </c>
      <c r="FM105" s="208">
        <f t="shared" si="207"/>
        <v>112720.48811581629</v>
      </c>
      <c r="FN105" s="208">
        <f t="shared" si="207"/>
        <v>116148.98962561635</v>
      </c>
      <c r="FO105" s="208">
        <f t="shared" si="207"/>
        <v>119681.77228961646</v>
      </c>
      <c r="FP105" s="208">
        <f t="shared" si="207"/>
        <v>123322.00791890957</v>
      </c>
      <c r="FQ105" s="208">
        <f t="shared" si="207"/>
        <v>127072.96479825824</v>
      </c>
      <c r="FR105" s="208">
        <f t="shared" si="207"/>
        <v>130938.0106204336</v>
      </c>
      <c r="FS105" s="208">
        <f t="shared" si="207"/>
        <v>134920.61550980498</v>
      </c>
      <c r="FT105" s="208">
        <f t="shared" si="207"/>
        <v>139024.35513789501</v>
      </c>
      <c r="FU105" s="208">
        <f t="shared" si="207"/>
        <v>71089.938955145582</v>
      </c>
      <c r="FV105" s="288"/>
    </row>
    <row r="106" spans="3:178" x14ac:dyDescent="0.2">
      <c r="E106" s="231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32"/>
      <c r="AQ106" s="232"/>
      <c r="AR106" s="232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232"/>
      <c r="BH106" s="232"/>
      <c r="BI106" s="232"/>
      <c r="BJ106" s="232"/>
      <c r="BK106" s="232"/>
      <c r="BL106" s="232"/>
      <c r="BM106" s="232"/>
      <c r="BN106" s="232"/>
      <c r="BO106" s="232"/>
      <c r="BP106" s="232"/>
      <c r="BQ106" s="232"/>
      <c r="BR106" s="232"/>
      <c r="BS106" s="232"/>
      <c r="BT106" s="232"/>
      <c r="BU106" s="232"/>
      <c r="BV106" s="232"/>
      <c r="BW106" s="232"/>
      <c r="BX106" s="232"/>
      <c r="BY106" s="232"/>
      <c r="BZ106" s="232"/>
      <c r="CA106" s="232"/>
      <c r="CB106" s="232"/>
      <c r="CC106" s="232"/>
      <c r="CD106" s="232"/>
      <c r="CE106" s="232"/>
      <c r="CF106" s="232"/>
      <c r="CG106" s="232"/>
      <c r="CH106" s="232"/>
      <c r="CI106" s="232"/>
      <c r="CJ106" s="232"/>
      <c r="CK106" s="232"/>
      <c r="CL106" s="232"/>
      <c r="CM106" s="232"/>
      <c r="CN106" s="232"/>
      <c r="CO106" s="232"/>
      <c r="CP106" s="232"/>
      <c r="CQ106" s="232"/>
      <c r="CR106" s="232"/>
      <c r="CS106" s="232"/>
      <c r="CT106" s="232"/>
      <c r="CU106" s="232"/>
      <c r="CV106" s="232"/>
      <c r="CW106" s="232"/>
      <c r="CX106" s="232"/>
      <c r="CY106" s="232"/>
      <c r="CZ106" s="232"/>
      <c r="DA106" s="232"/>
      <c r="DB106" s="232"/>
      <c r="DC106" s="232"/>
      <c r="DD106" s="232"/>
      <c r="DE106" s="232"/>
      <c r="DF106" s="232"/>
      <c r="DG106" s="232"/>
      <c r="DH106" s="232"/>
      <c r="DI106" s="232"/>
      <c r="DJ106" s="232"/>
      <c r="DK106" s="232"/>
      <c r="DL106" s="232"/>
      <c r="DM106" s="232"/>
      <c r="DN106" s="232"/>
      <c r="DO106" s="232"/>
      <c r="DP106" s="232"/>
      <c r="DQ106" s="232"/>
      <c r="DR106" s="232"/>
      <c r="DS106" s="232"/>
      <c r="DT106" s="232"/>
      <c r="DU106" s="232"/>
      <c r="DV106" s="232"/>
      <c r="DW106" s="232"/>
      <c r="DX106" s="232"/>
      <c r="DY106" s="232"/>
      <c r="DZ106" s="232"/>
      <c r="EA106" s="232"/>
      <c r="EB106" s="232"/>
      <c r="EC106" s="232"/>
      <c r="ED106" s="232"/>
      <c r="EE106" s="232"/>
      <c r="EF106" s="232"/>
      <c r="EG106" s="232"/>
      <c r="EH106" s="232"/>
      <c r="EI106" s="232"/>
      <c r="EJ106" s="232"/>
      <c r="EK106" s="232"/>
      <c r="EL106" s="232"/>
      <c r="EM106" s="232"/>
      <c r="EN106" s="232"/>
      <c r="EO106" s="232"/>
      <c r="EP106" s="232"/>
      <c r="EQ106" s="232"/>
      <c r="ER106" s="232"/>
      <c r="ES106" s="232"/>
      <c r="ET106" s="232"/>
      <c r="EU106" s="232"/>
      <c r="EV106" s="232"/>
      <c r="EW106" s="232"/>
      <c r="EX106" s="232"/>
      <c r="EY106" s="232"/>
      <c r="EZ106" s="232"/>
      <c r="FA106" s="232"/>
      <c r="FB106" s="232"/>
      <c r="FC106" s="232"/>
      <c r="FD106" s="232"/>
      <c r="FE106" s="232"/>
      <c r="FF106" s="232"/>
      <c r="FG106" s="321"/>
      <c r="FH106" s="232"/>
      <c r="FI106" s="232"/>
      <c r="FJ106" s="232"/>
      <c r="FK106" s="232"/>
      <c r="FL106" s="232"/>
      <c r="FM106" s="232"/>
      <c r="FN106" s="232"/>
      <c r="FO106" s="232"/>
      <c r="FP106" s="232"/>
      <c r="FQ106" s="232"/>
      <c r="FR106" s="232"/>
      <c r="FS106" s="232"/>
      <c r="FT106" s="232"/>
      <c r="FU106" s="232"/>
      <c r="FV106" s="321"/>
    </row>
    <row r="107" spans="3:178" s="277" customFormat="1" x14ac:dyDescent="0.2">
      <c r="C107" s="274" t="s">
        <v>73</v>
      </c>
      <c r="D107" s="274"/>
      <c r="E107" s="276">
        <f>SUM(F107:FF107)</f>
        <v>8410536.5179408435</v>
      </c>
      <c r="F107" s="274">
        <f>SUM(F98,F105)</f>
        <v>0</v>
      </c>
      <c r="G107" s="274">
        <f t="shared" ref="G107:BR107" si="221">SUM(G98,G105)</f>
        <v>44148.672753281251</v>
      </c>
      <c r="H107" s="274">
        <f t="shared" si="221"/>
        <v>44259.044435164447</v>
      </c>
      <c r="I107" s="274">
        <f t="shared" si="221"/>
        <v>44369.692046252356</v>
      </c>
      <c r="J107" s="274">
        <f t="shared" si="221"/>
        <v>44480.616276367989</v>
      </c>
      <c r="K107" s="274">
        <f t="shared" si="221"/>
        <v>44591.817817058909</v>
      </c>
      <c r="L107" s="274">
        <f t="shared" si="221"/>
        <v>44703.297361601552</v>
      </c>
      <c r="M107" s="274">
        <f t="shared" si="221"/>
        <v>44815.05560500556</v>
      </c>
      <c r="N107" s="274">
        <f t="shared" si="221"/>
        <v>44927.09324401807</v>
      </c>
      <c r="O107" s="274">
        <f t="shared" si="221"/>
        <v>45039.410977128115</v>
      </c>
      <c r="P107" s="274">
        <f t="shared" si="221"/>
        <v>45152.009504570931</v>
      </c>
      <c r="Q107" s="274">
        <f t="shared" si="221"/>
        <v>45264.889528332365</v>
      </c>
      <c r="R107" s="274">
        <f t="shared" si="221"/>
        <v>45378.051752153195</v>
      </c>
      <c r="S107" s="274">
        <f t="shared" si="221"/>
        <v>45491.496881533567</v>
      </c>
      <c r="T107" s="274">
        <f t="shared" si="221"/>
        <v>45605.225623737395</v>
      </c>
      <c r="U107" s="274">
        <f t="shared" si="221"/>
        <v>45719.238687796736</v>
      </c>
      <c r="V107" s="274">
        <f t="shared" si="221"/>
        <v>45833.536784516225</v>
      </c>
      <c r="W107" s="274">
        <f t="shared" si="221"/>
        <v>45948.12062647751</v>
      </c>
      <c r="X107" s="274">
        <f t="shared" si="221"/>
        <v>46062.990928043699</v>
      </c>
      <c r="Y107" s="274">
        <f t="shared" si="221"/>
        <v>46178.148405363812</v>
      </c>
      <c r="Z107" s="274">
        <f t="shared" si="221"/>
        <v>46293.593776377216</v>
      </c>
      <c r="AA107" s="274">
        <f t="shared" si="221"/>
        <v>46409.327760818152</v>
      </c>
      <c r="AB107" s="274">
        <f t="shared" si="221"/>
        <v>46525.351080220193</v>
      </c>
      <c r="AC107" s="274">
        <f t="shared" si="221"/>
        <v>46641.664457920742</v>
      </c>
      <c r="AD107" s="274">
        <f t="shared" si="221"/>
        <v>46758.268619065537</v>
      </c>
      <c r="AE107" s="274">
        <f t="shared" si="221"/>
        <v>46875.164290613196</v>
      </c>
      <c r="AF107" s="274">
        <f t="shared" si="221"/>
        <v>46992.352201339731</v>
      </c>
      <c r="AG107" s="274">
        <f t="shared" si="221"/>
        <v>47109.833081843077</v>
      </c>
      <c r="AH107" s="274">
        <f t="shared" si="221"/>
        <v>47227.607664547686</v>
      </c>
      <c r="AI107" s="274">
        <f t="shared" si="221"/>
        <v>47345.67668370904</v>
      </c>
      <c r="AJ107" s="274">
        <f t="shared" si="221"/>
        <v>47464.040875418308</v>
      </c>
      <c r="AK107" s="274">
        <f t="shared" si="221"/>
        <v>47582.700977606852</v>
      </c>
      <c r="AL107" s="274">
        <f t="shared" si="221"/>
        <v>47701.657730050865</v>
      </c>
      <c r="AM107" s="274">
        <f t="shared" si="221"/>
        <v>47820.911874375997</v>
      </c>
      <c r="AN107" s="274">
        <f t="shared" si="221"/>
        <v>47940.464154061934</v>
      </c>
      <c r="AO107" s="274">
        <f t="shared" si="221"/>
        <v>48060.315314447093</v>
      </c>
      <c r="AP107" s="274">
        <f t="shared" si="221"/>
        <v>48180.466102733204</v>
      </c>
      <c r="AQ107" s="274">
        <f t="shared" si="221"/>
        <v>48300.917267990037</v>
      </c>
      <c r="AR107" s="274">
        <f t="shared" si="221"/>
        <v>48421.669561160015</v>
      </c>
      <c r="AS107" s="274">
        <f t="shared" si="221"/>
        <v>48542.723735062908</v>
      </c>
      <c r="AT107" s="274">
        <f t="shared" si="221"/>
        <v>48664.080544400567</v>
      </c>
      <c r="AU107" s="274">
        <f t="shared" si="221"/>
        <v>48785.74074576157</v>
      </c>
      <c r="AV107" s="274">
        <f t="shared" si="221"/>
        <v>48907.705097625963</v>
      </c>
      <c r="AW107" s="274">
        <f t="shared" si="221"/>
        <v>49029.974360370019</v>
      </c>
      <c r="AX107" s="274">
        <f t="shared" si="221"/>
        <v>49152.54929627094</v>
      </c>
      <c r="AY107" s="274">
        <f t="shared" si="221"/>
        <v>49275.43066951161</v>
      </c>
      <c r="AZ107" s="274">
        <f t="shared" si="221"/>
        <v>49398.619246185379</v>
      </c>
      <c r="BA107" s="274">
        <f t="shared" si="221"/>
        <v>49522.115794300851</v>
      </c>
      <c r="BB107" s="274">
        <f t="shared" si="221"/>
        <v>49645.921083786598</v>
      </c>
      <c r="BC107" s="274">
        <f t="shared" si="221"/>
        <v>49770.035886496058</v>
      </c>
      <c r="BD107" s="274">
        <f t="shared" si="221"/>
        <v>49894.4609762123</v>
      </c>
      <c r="BE107" s="274">
        <f t="shared" si="221"/>
        <v>50019.197128652828</v>
      </c>
      <c r="BF107" s="274">
        <f t="shared" si="221"/>
        <v>50144.245121474451</v>
      </c>
      <c r="BG107" s="274">
        <f t="shared" si="221"/>
        <v>50269.605734278135</v>
      </c>
      <c r="BH107" s="274">
        <f t="shared" si="221"/>
        <v>50395.27974861383</v>
      </c>
      <c r="BI107" s="274">
        <f t="shared" si="221"/>
        <v>50521.267947985361</v>
      </c>
      <c r="BJ107" s="274">
        <f t="shared" si="221"/>
        <v>50647.571117855325</v>
      </c>
      <c r="BK107" s="274">
        <f t="shared" si="221"/>
        <v>50774.190045649957</v>
      </c>
      <c r="BL107" s="274">
        <f t="shared" si="221"/>
        <v>50901.125520764079</v>
      </c>
      <c r="BM107" s="274">
        <f t="shared" si="221"/>
        <v>51028.37833456599</v>
      </c>
      <c r="BN107" s="274">
        <f t="shared" si="221"/>
        <v>51155.949280402398</v>
      </c>
      <c r="BO107" s="274">
        <f t="shared" si="221"/>
        <v>51283.839153603403</v>
      </c>
      <c r="BP107" s="274">
        <f t="shared" si="221"/>
        <v>51412.048751487411</v>
      </c>
      <c r="BQ107" s="274">
        <f t="shared" si="221"/>
        <v>51540.578873366117</v>
      </c>
      <c r="BR107" s="274">
        <f t="shared" si="221"/>
        <v>51669.430320549531</v>
      </c>
      <c r="BS107" s="274">
        <f t="shared" ref="BS107:ED107" si="222">SUM(BS98,BS105)</f>
        <v>51798.603896350905</v>
      </c>
      <c r="BT107" s="274">
        <f t="shared" si="222"/>
        <v>51928.100406091777</v>
      </c>
      <c r="BU107" s="274">
        <f t="shared" si="222"/>
        <v>52057.920657107003</v>
      </c>
      <c r="BV107" s="274">
        <f t="shared" si="222"/>
        <v>52188.065458749763</v>
      </c>
      <c r="BW107" s="274">
        <f t="shared" si="222"/>
        <v>52318.535622396637</v>
      </c>
      <c r="BX107" s="274">
        <f t="shared" si="222"/>
        <v>52449.331961452626</v>
      </c>
      <c r="BY107" s="274">
        <f t="shared" si="222"/>
        <v>52580.455291356251</v>
      </c>
      <c r="BZ107" s="274">
        <f t="shared" si="222"/>
        <v>52711.906429584647</v>
      </c>
      <c r="CA107" s="274">
        <f t="shared" si="222"/>
        <v>52843.686195658607</v>
      </c>
      <c r="CB107" s="274">
        <f t="shared" si="222"/>
        <v>52975.795411147745</v>
      </c>
      <c r="CC107" s="274">
        <f t="shared" si="222"/>
        <v>53108.234899675619</v>
      </c>
      <c r="CD107" s="274">
        <f t="shared" si="222"/>
        <v>53241.005486924805</v>
      </c>
      <c r="CE107" s="274">
        <f t="shared" si="222"/>
        <v>53374.108000642111</v>
      </c>
      <c r="CF107" s="274">
        <f t="shared" si="222"/>
        <v>53507.543270643713</v>
      </c>
      <c r="CG107" s="274">
        <f t="shared" si="222"/>
        <v>53641.312128820326</v>
      </c>
      <c r="CH107" s="274">
        <f t="shared" si="222"/>
        <v>53775.41540914237</v>
      </c>
      <c r="CI107" s="274">
        <f t="shared" si="222"/>
        <v>53909.853947665229</v>
      </c>
      <c r="CJ107" s="274">
        <f t="shared" si="222"/>
        <v>54044.628582534388</v>
      </c>
      <c r="CK107" s="274">
        <f t="shared" si="222"/>
        <v>54179.74015399073</v>
      </c>
      <c r="CL107" s="274">
        <f t="shared" si="222"/>
        <v>54315.189504375703</v>
      </c>
      <c r="CM107" s="274">
        <f t="shared" si="222"/>
        <v>54450.977478136636</v>
      </c>
      <c r="CN107" s="274">
        <f t="shared" si="222"/>
        <v>54587.104921831975</v>
      </c>
      <c r="CO107" s="274">
        <f t="shared" si="222"/>
        <v>54723.572684136554</v>
      </c>
      <c r="CP107" s="274">
        <f t="shared" si="222"/>
        <v>54860.381615846898</v>
      </c>
      <c r="CQ107" s="274">
        <f t="shared" si="222"/>
        <v>54997.532569886505</v>
      </c>
      <c r="CR107" s="274">
        <f t="shared" si="222"/>
        <v>55135.02640131121</v>
      </c>
      <c r="CS107" s="274">
        <f t="shared" si="222"/>
        <v>55272.863967314493</v>
      </c>
      <c r="CT107" s="274">
        <f t="shared" si="222"/>
        <v>55411.046127232781</v>
      </c>
      <c r="CU107" s="274">
        <f t="shared" si="222"/>
        <v>55549.573742550856</v>
      </c>
      <c r="CV107" s="274">
        <f t="shared" si="222"/>
        <v>55688.447676907228</v>
      </c>
      <c r="CW107" s="274">
        <f t="shared" si="222"/>
        <v>55827.66879609949</v>
      </c>
      <c r="CX107" s="274">
        <f t="shared" si="222"/>
        <v>55967.237968089743</v>
      </c>
      <c r="CY107" s="274">
        <f t="shared" si="222"/>
        <v>56107.15606300997</v>
      </c>
      <c r="CZ107" s="274">
        <f t="shared" si="222"/>
        <v>56247.423953167483</v>
      </c>
      <c r="DA107" s="274">
        <f t="shared" si="222"/>
        <v>56388.042513050401</v>
      </c>
      <c r="DB107" s="274">
        <f t="shared" si="222"/>
        <v>56529.012619333022</v>
      </c>
      <c r="DC107" s="274">
        <f t="shared" si="222"/>
        <v>56670.33515088135</v>
      </c>
      <c r="DD107" s="274">
        <f t="shared" si="222"/>
        <v>56812.01098875855</v>
      </c>
      <c r="DE107" s="274">
        <f t="shared" si="222"/>
        <v>56954.041016230447</v>
      </c>
      <c r="DF107" s="274">
        <f t="shared" si="222"/>
        <v>57096.426118771022</v>
      </c>
      <c r="DG107" s="274">
        <f t="shared" si="222"/>
        <v>57239.167184067956</v>
      </c>
      <c r="DH107" s="274">
        <f t="shared" si="222"/>
        <v>57382.265102028112</v>
      </c>
      <c r="DI107" s="274">
        <f t="shared" si="222"/>
        <v>57525.720764783182</v>
      </c>
      <c r="DJ107" s="274">
        <f t="shared" si="222"/>
        <v>57669.535066695134</v>
      </c>
      <c r="DK107" s="274">
        <f t="shared" si="222"/>
        <v>57813.708904361876</v>
      </c>
      <c r="DL107" s="274">
        <f t="shared" si="222"/>
        <v>57958.243176622767</v>
      </c>
      <c r="DM107" s="274">
        <f t="shared" si="222"/>
        <v>58103.138784564326</v>
      </c>
      <c r="DN107" s="274">
        <f t="shared" si="222"/>
        <v>58248.396631525735</v>
      </c>
      <c r="DO107" s="274">
        <f t="shared" si="222"/>
        <v>58394.017623104541</v>
      </c>
      <c r="DP107" s="274">
        <f t="shared" si="222"/>
        <v>58540.002667162305</v>
      </c>
      <c r="DQ107" s="274">
        <f t="shared" si="222"/>
        <v>58686.352673830195</v>
      </c>
      <c r="DR107" s="274">
        <f t="shared" si="222"/>
        <v>58833.068555514772</v>
      </c>
      <c r="DS107" s="274">
        <f t="shared" si="222"/>
        <v>58980.151226903559</v>
      </c>
      <c r="DT107" s="274">
        <f t="shared" si="222"/>
        <v>59127.601604970812</v>
      </c>
      <c r="DU107" s="274">
        <f t="shared" si="222"/>
        <v>59275.420608983244</v>
      </c>
      <c r="DV107" s="274">
        <f t="shared" si="222"/>
        <v>59423.609160505701</v>
      </c>
      <c r="DW107" s="274">
        <f t="shared" si="222"/>
        <v>59572.16818340696</v>
      </c>
      <c r="DX107" s="274">
        <f t="shared" si="222"/>
        <v>59721.098603865474</v>
      </c>
      <c r="DY107" s="274">
        <f t="shared" si="222"/>
        <v>59870.401350375134</v>
      </c>
      <c r="DZ107" s="274">
        <f t="shared" si="222"/>
        <v>60020.077353751069</v>
      </c>
      <c r="EA107" s="274">
        <f t="shared" si="222"/>
        <v>60170.127547135446</v>
      </c>
      <c r="EB107" s="274">
        <f t="shared" si="222"/>
        <v>60320.552866003272</v>
      </c>
      <c r="EC107" s="274">
        <f t="shared" si="222"/>
        <v>60471.354248168282</v>
      </c>
      <c r="ED107" s="274">
        <f t="shared" si="222"/>
        <v>60622.532633788702</v>
      </c>
      <c r="EE107" s="274">
        <f t="shared" ref="EE107:FF107" si="223">SUM(EE98,EE105)</f>
        <v>60774.088965373172</v>
      </c>
      <c r="EF107" s="274">
        <f t="shared" si="223"/>
        <v>60926.024187786599</v>
      </c>
      <c r="EG107" s="274">
        <f t="shared" si="223"/>
        <v>61078.339248256059</v>
      </c>
      <c r="EH107" s="274">
        <f t="shared" si="223"/>
        <v>61231.035096376698</v>
      </c>
      <c r="EI107" s="274">
        <f t="shared" si="223"/>
        <v>61384.11268411763</v>
      </c>
      <c r="EJ107" s="274">
        <f t="shared" si="223"/>
        <v>61537.572965827916</v>
      </c>
      <c r="EK107" s="274">
        <f t="shared" si="223"/>
        <v>61691.416898242482</v>
      </c>
      <c r="EL107" s="274">
        <f t="shared" si="223"/>
        <v>61845.645440488086</v>
      </c>
      <c r="EM107" s="274">
        <f t="shared" si="223"/>
        <v>62000.259554089309</v>
      </c>
      <c r="EN107" s="274">
        <f t="shared" si="223"/>
        <v>62155.260202974518</v>
      </c>
      <c r="EO107" s="274">
        <f t="shared" si="223"/>
        <v>62310.648353481949</v>
      </c>
      <c r="EP107" s="274">
        <f t="shared" si="223"/>
        <v>62466.424974365647</v>
      </c>
      <c r="EQ107" s="274">
        <f t="shared" si="223"/>
        <v>62622.591036801561</v>
      </c>
      <c r="ER107" s="274">
        <f t="shared" si="223"/>
        <v>62779.147514393568</v>
      </c>
      <c r="ES107" s="274">
        <f t="shared" si="223"/>
        <v>62936.095383179549</v>
      </c>
      <c r="ET107" s="274">
        <f t="shared" si="223"/>
        <v>63093.435621637487</v>
      </c>
      <c r="EU107" s="274">
        <f t="shared" si="223"/>
        <v>63251.16921069158</v>
      </c>
      <c r="EV107" s="274">
        <f t="shared" si="223"/>
        <v>63409.297133718312</v>
      </c>
      <c r="EW107" s="274">
        <f t="shared" si="223"/>
        <v>63567.820376552598</v>
      </c>
      <c r="EX107" s="274">
        <f t="shared" si="223"/>
        <v>63726.739927493982</v>
      </c>
      <c r="EY107" s="274">
        <f t="shared" si="223"/>
        <v>63886.056777312711</v>
      </c>
      <c r="EZ107" s="274">
        <f t="shared" si="223"/>
        <v>64045.771919255989</v>
      </c>
      <c r="FA107" s="274">
        <f t="shared" si="223"/>
        <v>64205.886349054126</v>
      </c>
      <c r="FB107" s="274">
        <f t="shared" si="223"/>
        <v>64366.401064926758</v>
      </c>
      <c r="FC107" s="274">
        <f t="shared" si="223"/>
        <v>64527.317067589072</v>
      </c>
      <c r="FD107" s="274">
        <f t="shared" si="223"/>
        <v>64688.635360258035</v>
      </c>
      <c r="FE107" s="274">
        <f t="shared" si="223"/>
        <v>64850.356948658678</v>
      </c>
      <c r="FF107" s="274">
        <f t="shared" si="223"/>
        <v>65012.482841030316</v>
      </c>
      <c r="FG107" s="288"/>
      <c r="FH107" s="274">
        <f>SUMIF($F$54:$FF$54,FH$54,$F107:$FF107)</f>
        <v>266553.14068972645</v>
      </c>
      <c r="FI107" s="274">
        <f t="shared" ref="FI107:FU107" si="224">SUMIF($F$54:$FF$54,FI$54,$F107:$FF107)</f>
        <v>545237.12014331343</v>
      </c>
      <c r="FJ107" s="274">
        <f t="shared" si="224"/>
        <v>561821.02889723668</v>
      </c>
      <c r="FK107" s="274">
        <f t="shared" si="224"/>
        <v>578909.35310527706</v>
      </c>
      <c r="FL107" s="274">
        <f t="shared" si="224"/>
        <v>596517.43504615303</v>
      </c>
      <c r="FM107" s="274">
        <f t="shared" si="224"/>
        <v>614661.08364867233</v>
      </c>
      <c r="FN107" s="274">
        <f t="shared" si="224"/>
        <v>633356.58868533955</v>
      </c>
      <c r="FO107" s="274">
        <f t="shared" si="224"/>
        <v>652620.73539767857</v>
      </c>
      <c r="FP107" s="274">
        <f t="shared" si="224"/>
        <v>672470.81956639525</v>
      </c>
      <c r="FQ107" s="274">
        <f t="shared" si="224"/>
        <v>692924.66303991736</v>
      </c>
      <c r="FR107" s="274">
        <f t="shared" si="224"/>
        <v>714000.6297352456</v>
      </c>
      <c r="FS107" s="274">
        <f t="shared" si="224"/>
        <v>735717.64212548942</v>
      </c>
      <c r="FT107" s="274">
        <f t="shared" si="224"/>
        <v>758095.19822888484</v>
      </c>
      <c r="FU107" s="274">
        <f t="shared" si="224"/>
        <v>387651.07963151706</v>
      </c>
      <c r="FV107" s="288"/>
    </row>
    <row r="108" spans="3:178" s="216" customFormat="1" x14ac:dyDescent="0.2">
      <c r="C108" s="216" t="s">
        <v>90</v>
      </c>
      <c r="E108" s="227"/>
      <c r="F108" s="243">
        <f t="shared" ref="F108:AK108" si="225">IFERROR(F107/SUM(F73,F79),0)</f>
        <v>0</v>
      </c>
      <c r="G108" s="244">
        <f t="shared" si="225"/>
        <v>0.37256496779924497</v>
      </c>
      <c r="H108" s="244">
        <f t="shared" si="225"/>
        <v>0.37256496779924492</v>
      </c>
      <c r="I108" s="244">
        <f t="shared" si="225"/>
        <v>0.37256496779924492</v>
      </c>
      <c r="J108" s="244">
        <f t="shared" si="225"/>
        <v>0.37256496779924497</v>
      </c>
      <c r="K108" s="244">
        <f t="shared" si="225"/>
        <v>0.37256496779924492</v>
      </c>
      <c r="L108" s="244">
        <f t="shared" si="225"/>
        <v>0.37256496779924492</v>
      </c>
      <c r="M108" s="244">
        <f t="shared" si="225"/>
        <v>0.37256496779924497</v>
      </c>
      <c r="N108" s="244">
        <f t="shared" si="225"/>
        <v>0.37256496779924497</v>
      </c>
      <c r="O108" s="244">
        <f t="shared" si="225"/>
        <v>0.37256496779924497</v>
      </c>
      <c r="P108" s="244">
        <f t="shared" si="225"/>
        <v>0.37256496779924497</v>
      </c>
      <c r="Q108" s="244">
        <f t="shared" si="225"/>
        <v>0.37256496779924503</v>
      </c>
      <c r="R108" s="244">
        <f t="shared" si="225"/>
        <v>0.37256496779924503</v>
      </c>
      <c r="S108" s="244">
        <f t="shared" si="225"/>
        <v>0.37256496779924497</v>
      </c>
      <c r="T108" s="244">
        <f t="shared" si="225"/>
        <v>0.37256496779924497</v>
      </c>
      <c r="U108" s="244">
        <f t="shared" si="225"/>
        <v>0.37256496779924497</v>
      </c>
      <c r="V108" s="244">
        <f t="shared" si="225"/>
        <v>0.37256496779924492</v>
      </c>
      <c r="W108" s="244">
        <f t="shared" si="225"/>
        <v>0.37256496779924492</v>
      </c>
      <c r="X108" s="244">
        <f t="shared" si="225"/>
        <v>0.37256496779924486</v>
      </c>
      <c r="Y108" s="244">
        <f t="shared" si="225"/>
        <v>0.37256496779924492</v>
      </c>
      <c r="Z108" s="244">
        <f t="shared" si="225"/>
        <v>0.37256496779924492</v>
      </c>
      <c r="AA108" s="244">
        <f t="shared" si="225"/>
        <v>0.37256496779924486</v>
      </c>
      <c r="AB108" s="244">
        <f t="shared" si="225"/>
        <v>0.37256496779924481</v>
      </c>
      <c r="AC108" s="244">
        <f t="shared" si="225"/>
        <v>0.37256496779924486</v>
      </c>
      <c r="AD108" s="244">
        <f t="shared" si="225"/>
        <v>0.37256496779924481</v>
      </c>
      <c r="AE108" s="244">
        <f t="shared" si="225"/>
        <v>0.37256496779924475</v>
      </c>
      <c r="AF108" s="244">
        <f t="shared" si="225"/>
        <v>0.37256496779924475</v>
      </c>
      <c r="AG108" s="244">
        <f t="shared" si="225"/>
        <v>0.37256496779924481</v>
      </c>
      <c r="AH108" s="244">
        <f t="shared" si="225"/>
        <v>0.37256496779924481</v>
      </c>
      <c r="AI108" s="244">
        <f t="shared" si="225"/>
        <v>0.3725649677992447</v>
      </c>
      <c r="AJ108" s="244">
        <f t="shared" si="225"/>
        <v>0.3725649677992447</v>
      </c>
      <c r="AK108" s="244">
        <f t="shared" si="225"/>
        <v>0.3725649677992447</v>
      </c>
      <c r="AL108" s="244">
        <f t="shared" ref="AL108:BQ108" si="226">IFERROR(AL107/SUM(AL73,AL79),0)</f>
        <v>0.3725649677992447</v>
      </c>
      <c r="AM108" s="244">
        <f t="shared" si="226"/>
        <v>0.3725649677992447</v>
      </c>
      <c r="AN108" s="244">
        <f t="shared" si="226"/>
        <v>0.37256496779924475</v>
      </c>
      <c r="AO108" s="244">
        <f t="shared" si="226"/>
        <v>0.37256496779924475</v>
      </c>
      <c r="AP108" s="244">
        <f t="shared" si="226"/>
        <v>0.37256496779924475</v>
      </c>
      <c r="AQ108" s="244">
        <f t="shared" si="226"/>
        <v>0.37256496779924481</v>
      </c>
      <c r="AR108" s="244">
        <f t="shared" si="226"/>
        <v>0.37256496779924486</v>
      </c>
      <c r="AS108" s="244">
        <f t="shared" si="226"/>
        <v>0.3725649677992447</v>
      </c>
      <c r="AT108" s="244">
        <f t="shared" si="226"/>
        <v>0.37256496779924481</v>
      </c>
      <c r="AU108" s="244">
        <f t="shared" si="226"/>
        <v>0.37256496779924481</v>
      </c>
      <c r="AV108" s="244">
        <f t="shared" si="226"/>
        <v>0.37256496779924475</v>
      </c>
      <c r="AW108" s="244">
        <f t="shared" si="226"/>
        <v>0.37256496779924475</v>
      </c>
      <c r="AX108" s="244">
        <f t="shared" si="226"/>
        <v>0.37256496779924475</v>
      </c>
      <c r="AY108" s="244">
        <f t="shared" si="226"/>
        <v>0.3725649677992447</v>
      </c>
      <c r="AZ108" s="244">
        <f t="shared" si="226"/>
        <v>0.37256496779924458</v>
      </c>
      <c r="BA108" s="244">
        <f t="shared" si="226"/>
        <v>0.37256496779924458</v>
      </c>
      <c r="BB108" s="244">
        <f t="shared" si="226"/>
        <v>0.37256496779924458</v>
      </c>
      <c r="BC108" s="244">
        <f t="shared" si="226"/>
        <v>0.37256496779924458</v>
      </c>
      <c r="BD108" s="244">
        <f t="shared" si="226"/>
        <v>0.37256496779924464</v>
      </c>
      <c r="BE108" s="244">
        <f t="shared" si="226"/>
        <v>0.37256496779924458</v>
      </c>
      <c r="BF108" s="244">
        <f t="shared" si="226"/>
        <v>0.3725649677992447</v>
      </c>
      <c r="BG108" s="244">
        <f t="shared" si="226"/>
        <v>0.37256496779924464</v>
      </c>
      <c r="BH108" s="244">
        <f t="shared" si="226"/>
        <v>0.37256496779924464</v>
      </c>
      <c r="BI108" s="244">
        <f t="shared" si="226"/>
        <v>0.37256496779924458</v>
      </c>
      <c r="BJ108" s="244">
        <f t="shared" si="226"/>
        <v>0.37256496779924464</v>
      </c>
      <c r="BK108" s="244">
        <f t="shared" si="226"/>
        <v>0.37256496779924464</v>
      </c>
      <c r="BL108" s="244">
        <f t="shared" si="226"/>
        <v>0.3725649677992447</v>
      </c>
      <c r="BM108" s="244">
        <f t="shared" si="226"/>
        <v>0.3725649677992447</v>
      </c>
      <c r="BN108" s="244">
        <f t="shared" si="226"/>
        <v>0.3725649677992447</v>
      </c>
      <c r="BO108" s="244">
        <f t="shared" si="226"/>
        <v>0.3725649677992447</v>
      </c>
      <c r="BP108" s="244">
        <f t="shared" si="226"/>
        <v>0.37256496779924475</v>
      </c>
      <c r="BQ108" s="244">
        <f t="shared" si="226"/>
        <v>0.3725649677992447</v>
      </c>
      <c r="BR108" s="244">
        <f t="shared" ref="BR108:CW108" si="227">IFERROR(BR107/SUM(BR73,BR79),0)</f>
        <v>0.37256496779924464</v>
      </c>
      <c r="BS108" s="244">
        <f t="shared" si="227"/>
        <v>0.3725649677992447</v>
      </c>
      <c r="BT108" s="244">
        <f t="shared" si="227"/>
        <v>0.3725649677992447</v>
      </c>
      <c r="BU108" s="244">
        <f t="shared" si="227"/>
        <v>0.37256496779924464</v>
      </c>
      <c r="BV108" s="244">
        <f t="shared" si="227"/>
        <v>0.37256496779924458</v>
      </c>
      <c r="BW108" s="244">
        <f t="shared" si="227"/>
        <v>0.37256496779924464</v>
      </c>
      <c r="BX108" s="244">
        <f t="shared" si="227"/>
        <v>0.3725649677992447</v>
      </c>
      <c r="BY108" s="244">
        <f t="shared" si="227"/>
        <v>0.3725649677992447</v>
      </c>
      <c r="BZ108" s="244">
        <f t="shared" si="227"/>
        <v>0.37256496779924475</v>
      </c>
      <c r="CA108" s="244">
        <f t="shared" si="227"/>
        <v>0.37256496779924481</v>
      </c>
      <c r="CB108" s="244">
        <f t="shared" si="227"/>
        <v>0.3725649677992447</v>
      </c>
      <c r="CC108" s="244">
        <f t="shared" si="227"/>
        <v>0.37256496779924481</v>
      </c>
      <c r="CD108" s="244">
        <f t="shared" si="227"/>
        <v>0.37256496779924475</v>
      </c>
      <c r="CE108" s="244">
        <f t="shared" si="227"/>
        <v>0.3725649677992447</v>
      </c>
      <c r="CF108" s="244">
        <f t="shared" si="227"/>
        <v>0.37256496779924475</v>
      </c>
      <c r="CG108" s="244">
        <f t="shared" si="227"/>
        <v>0.37256496779924481</v>
      </c>
      <c r="CH108" s="244">
        <f t="shared" si="227"/>
        <v>0.37256496779924475</v>
      </c>
      <c r="CI108" s="244">
        <f t="shared" si="227"/>
        <v>0.37256496779924475</v>
      </c>
      <c r="CJ108" s="244">
        <f t="shared" si="227"/>
        <v>0.37256496779924481</v>
      </c>
      <c r="CK108" s="244">
        <f t="shared" si="227"/>
        <v>0.37256496779924481</v>
      </c>
      <c r="CL108" s="244">
        <f t="shared" si="227"/>
        <v>0.37256496779924481</v>
      </c>
      <c r="CM108" s="244">
        <f t="shared" si="227"/>
        <v>0.37256496779924486</v>
      </c>
      <c r="CN108" s="244">
        <f t="shared" si="227"/>
        <v>0.37256496779924486</v>
      </c>
      <c r="CO108" s="244">
        <f t="shared" si="227"/>
        <v>0.37256496779924486</v>
      </c>
      <c r="CP108" s="244">
        <f t="shared" si="227"/>
        <v>0.37256496779924486</v>
      </c>
      <c r="CQ108" s="244">
        <f t="shared" si="227"/>
        <v>0.37256496779924486</v>
      </c>
      <c r="CR108" s="244">
        <f t="shared" si="227"/>
        <v>0.37256496779924475</v>
      </c>
      <c r="CS108" s="244">
        <f t="shared" si="227"/>
        <v>0.37256496779924486</v>
      </c>
      <c r="CT108" s="244">
        <f t="shared" si="227"/>
        <v>0.37256496779924486</v>
      </c>
      <c r="CU108" s="244">
        <f t="shared" si="227"/>
        <v>0.37256496779924475</v>
      </c>
      <c r="CV108" s="244">
        <f t="shared" si="227"/>
        <v>0.37256496779924481</v>
      </c>
      <c r="CW108" s="244">
        <f t="shared" si="227"/>
        <v>0.37256496779924475</v>
      </c>
      <c r="CX108" s="244">
        <f t="shared" ref="CX108:EC108" si="228">IFERROR(CX107/SUM(CX73,CX79),0)</f>
        <v>0.37256496779924486</v>
      </c>
      <c r="CY108" s="244">
        <f t="shared" si="228"/>
        <v>0.37256496779924486</v>
      </c>
      <c r="CZ108" s="244">
        <f t="shared" si="228"/>
        <v>0.37256496779924481</v>
      </c>
      <c r="DA108" s="244">
        <f t="shared" si="228"/>
        <v>0.37256496779924492</v>
      </c>
      <c r="DB108" s="244">
        <f t="shared" si="228"/>
        <v>0.37256496779924486</v>
      </c>
      <c r="DC108" s="244">
        <f t="shared" si="228"/>
        <v>0.37256496779924481</v>
      </c>
      <c r="DD108" s="244">
        <f t="shared" si="228"/>
        <v>0.37256496779924481</v>
      </c>
      <c r="DE108" s="244">
        <f t="shared" si="228"/>
        <v>0.37256496779924486</v>
      </c>
      <c r="DF108" s="244">
        <f t="shared" si="228"/>
        <v>0.37256496779924481</v>
      </c>
      <c r="DG108" s="244">
        <f t="shared" si="228"/>
        <v>0.37256496779924492</v>
      </c>
      <c r="DH108" s="244">
        <f t="shared" si="228"/>
        <v>0.37256496779924492</v>
      </c>
      <c r="DI108" s="244">
        <f t="shared" si="228"/>
        <v>0.37256496779924486</v>
      </c>
      <c r="DJ108" s="244">
        <f t="shared" si="228"/>
        <v>0.37256496779924492</v>
      </c>
      <c r="DK108" s="244">
        <f t="shared" si="228"/>
        <v>0.37256496779924492</v>
      </c>
      <c r="DL108" s="244">
        <f t="shared" si="228"/>
        <v>0.37256496779924481</v>
      </c>
      <c r="DM108" s="244">
        <f t="shared" si="228"/>
        <v>0.37256496779924492</v>
      </c>
      <c r="DN108" s="244">
        <f t="shared" si="228"/>
        <v>0.37256496779924497</v>
      </c>
      <c r="DO108" s="244">
        <f t="shared" si="228"/>
        <v>0.37256496779924492</v>
      </c>
      <c r="DP108" s="244">
        <f t="shared" si="228"/>
        <v>0.37256496779924497</v>
      </c>
      <c r="DQ108" s="244">
        <f t="shared" si="228"/>
        <v>0.37256496779924492</v>
      </c>
      <c r="DR108" s="244">
        <f t="shared" si="228"/>
        <v>0.37256496779924492</v>
      </c>
      <c r="DS108" s="244">
        <f t="shared" si="228"/>
        <v>0.37256496779924492</v>
      </c>
      <c r="DT108" s="244">
        <f t="shared" si="228"/>
        <v>0.37256496779924486</v>
      </c>
      <c r="DU108" s="244">
        <f t="shared" si="228"/>
        <v>0.37256496779924497</v>
      </c>
      <c r="DV108" s="244">
        <f t="shared" si="228"/>
        <v>0.37256496779924492</v>
      </c>
      <c r="DW108" s="244">
        <f t="shared" si="228"/>
        <v>0.37256496779924497</v>
      </c>
      <c r="DX108" s="244">
        <f t="shared" si="228"/>
        <v>0.37256496779924492</v>
      </c>
      <c r="DY108" s="244">
        <f t="shared" si="228"/>
        <v>0.37256496779924497</v>
      </c>
      <c r="DZ108" s="244">
        <f t="shared" si="228"/>
        <v>0.37256496779924503</v>
      </c>
      <c r="EA108" s="244">
        <f t="shared" si="228"/>
        <v>0.37256496779924514</v>
      </c>
      <c r="EB108" s="244">
        <f t="shared" si="228"/>
        <v>0.37256496779924497</v>
      </c>
      <c r="EC108" s="244">
        <f t="shared" si="228"/>
        <v>0.37256496779924497</v>
      </c>
      <c r="ED108" s="244">
        <f t="shared" ref="ED108:FF108" si="229">IFERROR(ED107/SUM(ED73,ED79),0)</f>
        <v>0.37256496779924503</v>
      </c>
      <c r="EE108" s="244">
        <f t="shared" si="229"/>
        <v>0.37256496779924497</v>
      </c>
      <c r="EF108" s="244">
        <f t="shared" si="229"/>
        <v>0.37256496779924492</v>
      </c>
      <c r="EG108" s="244">
        <f t="shared" si="229"/>
        <v>0.37256496779924492</v>
      </c>
      <c r="EH108" s="244">
        <f t="shared" si="229"/>
        <v>0.37256496779924492</v>
      </c>
      <c r="EI108" s="244">
        <f t="shared" si="229"/>
        <v>0.37256496779924486</v>
      </c>
      <c r="EJ108" s="244">
        <f t="shared" si="229"/>
        <v>0.37256496779924492</v>
      </c>
      <c r="EK108" s="244">
        <f t="shared" si="229"/>
        <v>0.37256496779924492</v>
      </c>
      <c r="EL108" s="244">
        <f t="shared" si="229"/>
        <v>0.37256496779924492</v>
      </c>
      <c r="EM108" s="244">
        <f t="shared" si="229"/>
        <v>0.37256496779924497</v>
      </c>
      <c r="EN108" s="244">
        <f t="shared" si="229"/>
        <v>0.37256496779924492</v>
      </c>
      <c r="EO108" s="244">
        <f t="shared" si="229"/>
        <v>0.37256496779924486</v>
      </c>
      <c r="EP108" s="244">
        <f t="shared" si="229"/>
        <v>0.37256496779924486</v>
      </c>
      <c r="EQ108" s="244">
        <f t="shared" si="229"/>
        <v>0.37256496779924486</v>
      </c>
      <c r="ER108" s="244">
        <f t="shared" si="229"/>
        <v>0.37256496779924492</v>
      </c>
      <c r="ES108" s="244">
        <f t="shared" si="229"/>
        <v>0.37256496779924492</v>
      </c>
      <c r="ET108" s="244">
        <f t="shared" si="229"/>
        <v>0.37256496779924492</v>
      </c>
      <c r="EU108" s="244">
        <f t="shared" si="229"/>
        <v>0.37256496779924492</v>
      </c>
      <c r="EV108" s="244">
        <f t="shared" si="229"/>
        <v>0.37256496779924497</v>
      </c>
      <c r="EW108" s="244">
        <f t="shared" si="229"/>
        <v>0.37256496779924486</v>
      </c>
      <c r="EX108" s="244">
        <f t="shared" si="229"/>
        <v>0.37256496779924497</v>
      </c>
      <c r="EY108" s="244">
        <f t="shared" si="229"/>
        <v>0.37256496779924497</v>
      </c>
      <c r="EZ108" s="244">
        <f t="shared" si="229"/>
        <v>0.37256496779924497</v>
      </c>
      <c r="FA108" s="244">
        <f t="shared" si="229"/>
        <v>0.37256496779924497</v>
      </c>
      <c r="FB108" s="244">
        <f t="shared" si="229"/>
        <v>0.37256496779924497</v>
      </c>
      <c r="FC108" s="244">
        <f t="shared" si="229"/>
        <v>0.37256496779924497</v>
      </c>
      <c r="FD108" s="244">
        <f t="shared" si="229"/>
        <v>0.37256496779924492</v>
      </c>
      <c r="FE108" s="244">
        <f t="shared" si="229"/>
        <v>0.37256496779924497</v>
      </c>
      <c r="FF108" s="244">
        <f t="shared" si="229"/>
        <v>0.37256496779924497</v>
      </c>
      <c r="FG108" s="323"/>
      <c r="FH108" s="244">
        <f t="shared" ref="FH108:FO108" si="230">IFERROR(FH107/SUM(FH73,FH79),0)</f>
        <v>0.37256496779924492</v>
      </c>
      <c r="FI108" s="244"/>
      <c r="FJ108" s="244"/>
      <c r="FK108" s="244"/>
      <c r="FL108" s="244"/>
      <c r="FM108" s="244">
        <f t="shared" si="230"/>
        <v>0.37256496779924475</v>
      </c>
      <c r="FN108" s="244">
        <f t="shared" si="230"/>
        <v>0.37256496779924475</v>
      </c>
      <c r="FO108" s="244">
        <f t="shared" si="230"/>
        <v>0.37256496779924486</v>
      </c>
      <c r="FP108" s="244">
        <f>IFERROR(FP107/SUM(FP73,FP79),0)</f>
        <v>0.37256496779924475</v>
      </c>
      <c r="FQ108" s="244"/>
      <c r="FR108" s="244"/>
      <c r="FS108" s="244"/>
      <c r="FT108" s="244"/>
      <c r="FU108" s="244"/>
      <c r="FV108" s="323"/>
    </row>
    <row r="109" spans="3:178" x14ac:dyDescent="0.2">
      <c r="E109" s="224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32"/>
      <c r="AQ109" s="232"/>
      <c r="AR109" s="232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232"/>
      <c r="BH109" s="232"/>
      <c r="BI109" s="232"/>
      <c r="BJ109" s="232"/>
      <c r="BK109" s="232"/>
      <c r="BL109" s="232"/>
      <c r="BM109" s="232"/>
      <c r="BN109" s="232"/>
      <c r="BO109" s="232"/>
      <c r="BP109" s="232"/>
      <c r="BQ109" s="232"/>
      <c r="BR109" s="232"/>
      <c r="BS109" s="232"/>
      <c r="BT109" s="232"/>
      <c r="BU109" s="232"/>
      <c r="BV109" s="232"/>
      <c r="BW109" s="232"/>
      <c r="BX109" s="232"/>
      <c r="BY109" s="232"/>
      <c r="BZ109" s="232"/>
      <c r="CA109" s="232"/>
      <c r="CB109" s="232"/>
      <c r="CC109" s="232"/>
      <c r="CD109" s="232"/>
      <c r="CE109" s="232"/>
      <c r="CF109" s="232"/>
      <c r="CG109" s="232"/>
      <c r="CH109" s="232"/>
      <c r="CI109" s="232"/>
      <c r="CJ109" s="232"/>
      <c r="CK109" s="232"/>
      <c r="CL109" s="232"/>
      <c r="CM109" s="232"/>
      <c r="CN109" s="232"/>
      <c r="CO109" s="232"/>
      <c r="CP109" s="232"/>
      <c r="CQ109" s="232"/>
      <c r="CR109" s="232"/>
      <c r="CS109" s="232"/>
      <c r="CT109" s="232"/>
      <c r="CU109" s="232"/>
      <c r="CV109" s="232"/>
      <c r="CW109" s="232"/>
      <c r="CX109" s="232"/>
      <c r="CY109" s="232"/>
      <c r="CZ109" s="232"/>
      <c r="DA109" s="232"/>
      <c r="DB109" s="232"/>
      <c r="DC109" s="232"/>
      <c r="DD109" s="232"/>
      <c r="DE109" s="232"/>
      <c r="DF109" s="232"/>
      <c r="DG109" s="232"/>
      <c r="DH109" s="232"/>
      <c r="DI109" s="232"/>
      <c r="DJ109" s="232"/>
      <c r="DK109" s="232"/>
      <c r="DL109" s="232"/>
      <c r="DM109" s="232"/>
      <c r="DN109" s="232"/>
      <c r="DO109" s="232"/>
      <c r="DP109" s="232"/>
      <c r="DQ109" s="232"/>
      <c r="DR109" s="232"/>
      <c r="DS109" s="232"/>
      <c r="DT109" s="232"/>
      <c r="DU109" s="232"/>
      <c r="DV109" s="232"/>
      <c r="DW109" s="232"/>
      <c r="DX109" s="232"/>
      <c r="DY109" s="232"/>
      <c r="DZ109" s="232"/>
      <c r="EA109" s="232"/>
      <c r="EB109" s="232"/>
      <c r="EC109" s="232"/>
      <c r="ED109" s="232"/>
      <c r="EE109" s="232"/>
      <c r="EF109" s="232"/>
      <c r="EG109" s="232"/>
      <c r="EH109" s="232"/>
      <c r="EI109" s="232"/>
      <c r="EJ109" s="232"/>
      <c r="EK109" s="232"/>
      <c r="EL109" s="232"/>
      <c r="EM109" s="232"/>
      <c r="EN109" s="232"/>
      <c r="EO109" s="232"/>
      <c r="EP109" s="232"/>
      <c r="EQ109" s="232"/>
      <c r="ER109" s="232"/>
      <c r="ES109" s="232"/>
      <c r="ET109" s="232"/>
      <c r="EU109" s="232"/>
      <c r="EV109" s="232"/>
      <c r="EW109" s="232"/>
      <c r="EX109" s="232"/>
      <c r="EY109" s="232"/>
      <c r="EZ109" s="232"/>
      <c r="FA109" s="232"/>
      <c r="FB109" s="232"/>
      <c r="FC109" s="232"/>
      <c r="FD109" s="232"/>
      <c r="FE109" s="232"/>
      <c r="FF109" s="232"/>
      <c r="FG109" s="321"/>
      <c r="FH109" s="232"/>
      <c r="FI109" s="232"/>
      <c r="FJ109" s="232"/>
      <c r="FK109" s="232"/>
      <c r="FL109" s="232"/>
      <c r="FM109" s="232"/>
      <c r="FN109" s="232"/>
      <c r="FO109" s="232"/>
      <c r="FP109" s="232"/>
      <c r="FQ109" s="232"/>
      <c r="FR109" s="232"/>
      <c r="FS109" s="232"/>
      <c r="FT109" s="232"/>
      <c r="FU109" s="232"/>
      <c r="FV109" s="321"/>
    </row>
    <row r="110" spans="3:178" s="277" customFormat="1" x14ac:dyDescent="0.2">
      <c r="C110" s="274" t="s">
        <v>87</v>
      </c>
      <c r="D110" s="274"/>
      <c r="E110" s="276">
        <f>SUM(F110:FF110)</f>
        <v>12922540.116727676</v>
      </c>
      <c r="F110" s="274">
        <f t="shared" ref="F110:AK110" si="231">F87-F107</f>
        <v>0</v>
      </c>
      <c r="G110" s="274">
        <f t="shared" si="231"/>
        <v>67833.127356093741</v>
      </c>
      <c r="H110" s="274">
        <f t="shared" si="231"/>
        <v>68002.710174483975</v>
      </c>
      <c r="I110" s="274">
        <f t="shared" si="231"/>
        <v>68172.716949920199</v>
      </c>
      <c r="J110" s="274">
        <f t="shared" si="231"/>
        <v>68343.148742294972</v>
      </c>
      <c r="K110" s="274">
        <f t="shared" si="231"/>
        <v>68514.006614150727</v>
      </c>
      <c r="L110" s="274">
        <f t="shared" si="231"/>
        <v>68685.291630686086</v>
      </c>
      <c r="M110" s="274">
        <f t="shared" si="231"/>
        <v>68857.004859762805</v>
      </c>
      <c r="N110" s="274">
        <f t="shared" si="231"/>
        <v>69029.1473719122</v>
      </c>
      <c r="O110" s="274">
        <f t="shared" si="231"/>
        <v>69201.720240341994</v>
      </c>
      <c r="P110" s="274">
        <f t="shared" si="231"/>
        <v>69374.724540942829</v>
      </c>
      <c r="Q110" s="274">
        <f t="shared" si="231"/>
        <v>69548.161352295181</v>
      </c>
      <c r="R110" s="274">
        <f t="shared" si="231"/>
        <v>69722.031755675911</v>
      </c>
      <c r="S110" s="274">
        <f t="shared" si="231"/>
        <v>69896.336835065129</v>
      </c>
      <c r="T110" s="274">
        <f t="shared" si="231"/>
        <v>70071.077677152774</v>
      </c>
      <c r="U110" s="274">
        <f t="shared" si="231"/>
        <v>70246.255371345644</v>
      </c>
      <c r="V110" s="274">
        <f t="shared" si="231"/>
        <v>70421.871009774011</v>
      </c>
      <c r="W110" s="274">
        <f t="shared" si="231"/>
        <v>70597.925687298441</v>
      </c>
      <c r="X110" s="274">
        <f t="shared" si="231"/>
        <v>70774.420501516695</v>
      </c>
      <c r="Y110" s="274">
        <f t="shared" si="231"/>
        <v>70951.356552770478</v>
      </c>
      <c r="Z110" s="274">
        <f t="shared" si="231"/>
        <v>71128.734944152413</v>
      </c>
      <c r="AA110" s="274">
        <f t="shared" si="231"/>
        <v>71306.556781512802</v>
      </c>
      <c r="AB110" s="274">
        <f t="shared" si="231"/>
        <v>71484.82317346659</v>
      </c>
      <c r="AC110" s="274">
        <f t="shared" si="231"/>
        <v>71663.535231400252</v>
      </c>
      <c r="AD110" s="274">
        <f t="shared" si="231"/>
        <v>71842.694069478734</v>
      </c>
      <c r="AE110" s="274">
        <f t="shared" si="231"/>
        <v>72022.300804652448</v>
      </c>
      <c r="AF110" s="274">
        <f t="shared" si="231"/>
        <v>72202.356556664075</v>
      </c>
      <c r="AG110" s="274">
        <f t="shared" si="231"/>
        <v>72382.862448055734</v>
      </c>
      <c r="AH110" s="274">
        <f t="shared" si="231"/>
        <v>72563.819604175864</v>
      </c>
      <c r="AI110" s="274">
        <f t="shared" si="231"/>
        <v>72745.229153186301</v>
      </c>
      <c r="AJ110" s="274">
        <f t="shared" si="231"/>
        <v>72927.092226069275</v>
      </c>
      <c r="AK110" s="274">
        <f t="shared" si="231"/>
        <v>73109.409956634423</v>
      </c>
      <c r="AL110" s="274">
        <f t="shared" ref="AL110:BQ110" si="232">AL87-AL107</f>
        <v>73292.183481526023</v>
      </c>
      <c r="AM110" s="274">
        <f t="shared" si="232"/>
        <v>73475.413940229831</v>
      </c>
      <c r="AN110" s="274">
        <f t="shared" si="232"/>
        <v>73659.102475080392</v>
      </c>
      <c r="AO110" s="274">
        <f t="shared" si="232"/>
        <v>73843.250231268088</v>
      </c>
      <c r="AP110" s="274">
        <f t="shared" si="232"/>
        <v>74027.858356846264</v>
      </c>
      <c r="AQ110" s="274">
        <f t="shared" si="232"/>
        <v>74212.928002738365</v>
      </c>
      <c r="AR110" s="274">
        <f t="shared" si="232"/>
        <v>74398.460322745203</v>
      </c>
      <c r="AS110" s="274">
        <f t="shared" si="232"/>
        <v>74584.456473552098</v>
      </c>
      <c r="AT110" s="274">
        <f t="shared" si="232"/>
        <v>74770.917614735954</v>
      </c>
      <c r="AU110" s="274">
        <f t="shared" si="232"/>
        <v>74957.844908772764</v>
      </c>
      <c r="AV110" s="274">
        <f t="shared" si="232"/>
        <v>75145.239521044714</v>
      </c>
      <c r="AW110" s="274">
        <f t="shared" si="232"/>
        <v>75333.102619847312</v>
      </c>
      <c r="AX110" s="274">
        <f t="shared" si="232"/>
        <v>75521.435376396927</v>
      </c>
      <c r="AY110" s="274">
        <f t="shared" si="232"/>
        <v>75710.238964837932</v>
      </c>
      <c r="AZ110" s="274">
        <f t="shared" si="232"/>
        <v>75899.514562250042</v>
      </c>
      <c r="BA110" s="274">
        <f t="shared" si="232"/>
        <v>76089.263348655688</v>
      </c>
      <c r="BB110" s="274">
        <f t="shared" si="232"/>
        <v>76279.486507027323</v>
      </c>
      <c r="BC110" s="274">
        <f t="shared" si="232"/>
        <v>76470.185223294873</v>
      </c>
      <c r="BD110" s="274">
        <f t="shared" si="232"/>
        <v>76661.360686353088</v>
      </c>
      <c r="BE110" s="274">
        <f t="shared" si="232"/>
        <v>76853.014088068987</v>
      </c>
      <c r="BF110" s="274">
        <f t="shared" si="232"/>
        <v>77045.146623289111</v>
      </c>
      <c r="BG110" s="274">
        <f t="shared" si="232"/>
        <v>77237.759489847347</v>
      </c>
      <c r="BH110" s="274">
        <f t="shared" si="232"/>
        <v>77430.853888571975</v>
      </c>
      <c r="BI110" s="274">
        <f t="shared" si="232"/>
        <v>77624.431023293408</v>
      </c>
      <c r="BJ110" s="274">
        <f t="shared" si="232"/>
        <v>77818.492100851639</v>
      </c>
      <c r="BK110" s="274">
        <f t="shared" si="232"/>
        <v>78013.038331103744</v>
      </c>
      <c r="BL110" s="274">
        <f t="shared" si="232"/>
        <v>78208.070926931498</v>
      </c>
      <c r="BM110" s="274">
        <f t="shared" si="232"/>
        <v>78403.591104248815</v>
      </c>
      <c r="BN110" s="274">
        <f t="shared" si="232"/>
        <v>78599.60008200942</v>
      </c>
      <c r="BO110" s="274">
        <f t="shared" si="232"/>
        <v>78796.099082214438</v>
      </c>
      <c r="BP110" s="274">
        <f t="shared" si="232"/>
        <v>78993.089329919967</v>
      </c>
      <c r="BQ110" s="274">
        <f t="shared" si="232"/>
        <v>79190.572053244759</v>
      </c>
      <c r="BR110" s="274">
        <f t="shared" ref="BR110:CW110" si="233">BR87-BR107</f>
        <v>79388.548483377876</v>
      </c>
      <c r="BS110" s="274">
        <f t="shared" si="233"/>
        <v>79587.019854586324</v>
      </c>
      <c r="BT110" s="274">
        <f t="shared" si="233"/>
        <v>79785.987404222775</v>
      </c>
      <c r="BU110" s="274">
        <f t="shared" si="233"/>
        <v>79985.452372733358</v>
      </c>
      <c r="BV110" s="274">
        <f t="shared" si="233"/>
        <v>80185.416003665188</v>
      </c>
      <c r="BW110" s="274">
        <f t="shared" si="233"/>
        <v>80385.879543674338</v>
      </c>
      <c r="BX110" s="274">
        <f t="shared" si="233"/>
        <v>80586.84424253348</v>
      </c>
      <c r="BY110" s="274">
        <f t="shared" si="233"/>
        <v>80788.311353139812</v>
      </c>
      <c r="BZ110" s="274">
        <f t="shared" si="233"/>
        <v>80990.282131522647</v>
      </c>
      <c r="CA110" s="274">
        <f t="shared" si="233"/>
        <v>81192.757836851437</v>
      </c>
      <c r="CB110" s="274">
        <f t="shared" si="233"/>
        <v>81395.739731443595</v>
      </c>
      <c r="CC110" s="274">
        <f t="shared" si="233"/>
        <v>81599.229080772173</v>
      </c>
      <c r="CD110" s="274">
        <f t="shared" si="233"/>
        <v>81803.227153474116</v>
      </c>
      <c r="CE110" s="274">
        <f t="shared" si="233"/>
        <v>82007.735221357827</v>
      </c>
      <c r="CF110" s="274">
        <f t="shared" si="233"/>
        <v>82212.754559411202</v>
      </c>
      <c r="CG110" s="274">
        <f t="shared" si="233"/>
        <v>82418.286445809688</v>
      </c>
      <c r="CH110" s="274">
        <f t="shared" si="233"/>
        <v>82624.332161924234</v>
      </c>
      <c r="CI110" s="274">
        <f t="shared" si="233"/>
        <v>82830.892992329056</v>
      </c>
      <c r="CJ110" s="274">
        <f t="shared" si="233"/>
        <v>83037.970224809833</v>
      </c>
      <c r="CK110" s="274">
        <f t="shared" si="233"/>
        <v>83245.565150371884</v>
      </c>
      <c r="CL110" s="274">
        <f t="shared" si="233"/>
        <v>83453.679063247808</v>
      </c>
      <c r="CM110" s="274">
        <f t="shared" si="233"/>
        <v>83662.313260905881</v>
      </c>
      <c r="CN110" s="274">
        <f t="shared" si="233"/>
        <v>83871.469044058147</v>
      </c>
      <c r="CO110" s="274">
        <f t="shared" si="233"/>
        <v>84081.147716668303</v>
      </c>
      <c r="CP110" s="274">
        <f t="shared" si="233"/>
        <v>84291.350585959954</v>
      </c>
      <c r="CQ110" s="274">
        <f t="shared" si="233"/>
        <v>84502.078962424857</v>
      </c>
      <c r="CR110" s="274">
        <f t="shared" si="233"/>
        <v>84713.334159830934</v>
      </c>
      <c r="CS110" s="274">
        <f t="shared" si="233"/>
        <v>84925.117495230501</v>
      </c>
      <c r="CT110" s="274">
        <f t="shared" si="233"/>
        <v>85137.430288968579</v>
      </c>
      <c r="CU110" s="274">
        <f t="shared" si="233"/>
        <v>85350.273864691</v>
      </c>
      <c r="CV110" s="274">
        <f t="shared" si="233"/>
        <v>85563.649549352704</v>
      </c>
      <c r="CW110" s="274">
        <f t="shared" si="233"/>
        <v>85777.5586732261</v>
      </c>
      <c r="CX110" s="274">
        <f t="shared" ref="CX110:EC110" si="234">CX87-CX107</f>
        <v>85992.002569909135</v>
      </c>
      <c r="CY110" s="274">
        <f t="shared" si="234"/>
        <v>86206.982576333932</v>
      </c>
      <c r="CZ110" s="274">
        <f t="shared" si="234"/>
        <v>86422.500032774755</v>
      </c>
      <c r="DA110" s="274">
        <f t="shared" si="234"/>
        <v>86638.556282856647</v>
      </c>
      <c r="DB110" s="274">
        <f t="shared" si="234"/>
        <v>86855.152673563774</v>
      </c>
      <c r="DC110" s="274">
        <f t="shared" si="234"/>
        <v>87072.290555247717</v>
      </c>
      <c r="DD110" s="274">
        <f t="shared" si="234"/>
        <v>87289.971281635837</v>
      </c>
      <c r="DE110" s="274">
        <f t="shared" si="234"/>
        <v>87508.196209839894</v>
      </c>
      <c r="DF110" s="274">
        <f t="shared" si="234"/>
        <v>87726.966700364515</v>
      </c>
      <c r="DG110" s="274">
        <f t="shared" si="234"/>
        <v>87946.2841171154</v>
      </c>
      <c r="DH110" s="274">
        <f t="shared" si="234"/>
        <v>88166.149827408168</v>
      </c>
      <c r="DI110" s="274">
        <f t="shared" si="234"/>
        <v>88386.565201976715</v>
      </c>
      <c r="DJ110" s="274">
        <f t="shared" si="234"/>
        <v>88607.531614981621</v>
      </c>
      <c r="DK110" s="274">
        <f t="shared" si="234"/>
        <v>88829.050444019085</v>
      </c>
      <c r="DL110" s="274">
        <f t="shared" si="234"/>
        <v>89051.12307012915</v>
      </c>
      <c r="DM110" s="274">
        <f t="shared" si="234"/>
        <v>89273.750877804414</v>
      </c>
      <c r="DN110" s="274">
        <f t="shared" si="234"/>
        <v>89496.935254998913</v>
      </c>
      <c r="DO110" s="274">
        <f t="shared" si="234"/>
        <v>89720.677593136439</v>
      </c>
      <c r="DP110" s="274">
        <f t="shared" si="234"/>
        <v>89944.979287119233</v>
      </c>
      <c r="DQ110" s="274">
        <f t="shared" si="234"/>
        <v>90169.841735337046</v>
      </c>
      <c r="DR110" s="274">
        <f t="shared" si="234"/>
        <v>90395.266339675407</v>
      </c>
      <c r="DS110" s="274">
        <f t="shared" si="234"/>
        <v>90621.254505524572</v>
      </c>
      <c r="DT110" s="274">
        <f t="shared" si="234"/>
        <v>90847.807641788386</v>
      </c>
      <c r="DU110" s="274">
        <f t="shared" si="234"/>
        <v>91074.927160892825</v>
      </c>
      <c r="DV110" s="274">
        <f t="shared" si="234"/>
        <v>91302.614478795091</v>
      </c>
      <c r="DW110" s="274">
        <f t="shared" si="234"/>
        <v>91530.871014992037</v>
      </c>
      <c r="DX110" s="274">
        <f t="shared" si="234"/>
        <v>91759.698192529526</v>
      </c>
      <c r="DY110" s="274">
        <f t="shared" si="234"/>
        <v>91989.097438010838</v>
      </c>
      <c r="DZ110" s="274">
        <f t="shared" si="234"/>
        <v>92219.070181605828</v>
      </c>
      <c r="EA110" s="274">
        <f t="shared" si="234"/>
        <v>92449.617857059828</v>
      </c>
      <c r="EB110" s="274">
        <f t="shared" si="234"/>
        <v>92680.741901702509</v>
      </c>
      <c r="EC110" s="274">
        <f t="shared" si="234"/>
        <v>92912.443756456763</v>
      </c>
      <c r="ED110" s="274">
        <f t="shared" ref="ED110:FF110" si="235">ED87-ED107</f>
        <v>93144.724865847878</v>
      </c>
      <c r="EE110" s="274">
        <f t="shared" si="235"/>
        <v>93377.586678012536</v>
      </c>
      <c r="EF110" s="274">
        <f t="shared" si="235"/>
        <v>93611.030644707585</v>
      </c>
      <c r="EG110" s="274">
        <f t="shared" si="235"/>
        <v>93845.058221319312</v>
      </c>
      <c r="EH110" s="274">
        <f t="shared" si="235"/>
        <v>94079.670866872621</v>
      </c>
      <c r="EI110" s="274">
        <f t="shared" si="235"/>
        <v>94314.870044039795</v>
      </c>
      <c r="EJ110" s="274">
        <f t="shared" si="235"/>
        <v>94550.6572191499</v>
      </c>
      <c r="EK110" s="274">
        <f t="shared" si="235"/>
        <v>94787.033862197743</v>
      </c>
      <c r="EL110" s="274">
        <f t="shared" si="235"/>
        <v>95024.001446853246</v>
      </c>
      <c r="EM110" s="274">
        <f t="shared" si="235"/>
        <v>95261.561450470355</v>
      </c>
      <c r="EN110" s="274">
        <f t="shared" si="235"/>
        <v>95499.715354096523</v>
      </c>
      <c r="EO110" s="274">
        <f t="shared" si="235"/>
        <v>95738.464642481791</v>
      </c>
      <c r="EP110" s="274">
        <f t="shared" si="235"/>
        <v>95977.81080408796</v>
      </c>
      <c r="EQ110" s="274">
        <f t="shared" si="235"/>
        <v>96217.755331098204</v>
      </c>
      <c r="ER110" s="274">
        <f t="shared" si="235"/>
        <v>96458.299719425922</v>
      </c>
      <c r="ES110" s="274">
        <f t="shared" si="235"/>
        <v>96699.445468724502</v>
      </c>
      <c r="ET110" s="274">
        <f t="shared" si="235"/>
        <v>96941.194082396294</v>
      </c>
      <c r="EU110" s="274">
        <f t="shared" si="235"/>
        <v>97183.547067602281</v>
      </c>
      <c r="EV110" s="274">
        <f t="shared" si="235"/>
        <v>97426.505935271256</v>
      </c>
      <c r="EW110" s="274">
        <f t="shared" si="235"/>
        <v>97670.072200109469</v>
      </c>
      <c r="EX110" s="274">
        <f t="shared" si="235"/>
        <v>97914.247380609697</v>
      </c>
      <c r="EY110" s="274">
        <f t="shared" si="235"/>
        <v>98159.032999061194</v>
      </c>
      <c r="EZ110" s="274">
        <f t="shared" si="235"/>
        <v>98404.430581558874</v>
      </c>
      <c r="FA110" s="274">
        <f t="shared" si="235"/>
        <v>98650.441658012758</v>
      </c>
      <c r="FB110" s="274">
        <f t="shared" si="235"/>
        <v>98897.067762157792</v>
      </c>
      <c r="FC110" s="274">
        <f t="shared" si="235"/>
        <v>99144.310431563164</v>
      </c>
      <c r="FD110" s="274">
        <f t="shared" si="235"/>
        <v>99392.171207642081</v>
      </c>
      <c r="FE110" s="274">
        <f t="shared" si="235"/>
        <v>99640.651635661168</v>
      </c>
      <c r="FF110" s="274">
        <f t="shared" si="235"/>
        <v>99889.753264750325</v>
      </c>
      <c r="FG110" s="288"/>
      <c r="FH110" s="274">
        <f>SUMIF($F$54:$FF$54,FH$54,$F110:$FF110)</f>
        <v>409551.00146762969</v>
      </c>
      <c r="FI110" s="274">
        <f t="shared" ref="FI110:FU110" si="236">SUMIF($F$54:$FF$54,FI$54,$F110:$FF110)</f>
        <v>837740.67720308364</v>
      </c>
      <c r="FJ110" s="274">
        <f t="shared" si="236"/>
        <v>863221.3615455851</v>
      </c>
      <c r="FK110" s="274">
        <f t="shared" si="236"/>
        <v>889477.06528517418</v>
      </c>
      <c r="FL110" s="274">
        <f t="shared" si="236"/>
        <v>916531.36137844052</v>
      </c>
      <c r="FM110" s="274">
        <f t="shared" si="236"/>
        <v>944408.53977600485</v>
      </c>
      <c r="FN110" s="274">
        <f t="shared" si="236"/>
        <v>973133.62923057913</v>
      </c>
      <c r="FO110" s="274">
        <f t="shared" si="236"/>
        <v>1002732.4197683405</v>
      </c>
      <c r="FP110" s="274">
        <f t="shared" si="236"/>
        <v>1033231.4858437906</v>
      </c>
      <c r="FQ110" s="274">
        <f t="shared" si="236"/>
        <v>1064658.2101988937</v>
      </c>
      <c r="FR110" s="274">
        <f t="shared" si="236"/>
        <v>1097040.808447914</v>
      </c>
      <c r="FS110" s="274">
        <f t="shared" si="236"/>
        <v>1130408.3544100244</v>
      </c>
      <c r="FT110" s="274">
        <f t="shared" si="236"/>
        <v>1164790.8062124276</v>
      </c>
      <c r="FU110" s="274">
        <f t="shared" si="236"/>
        <v>595614.3959597873</v>
      </c>
      <c r="FV110" s="288"/>
    </row>
    <row r="111" spans="3:178" x14ac:dyDescent="0.2">
      <c r="E111" s="245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32"/>
      <c r="AQ111" s="232"/>
      <c r="AR111" s="232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232"/>
      <c r="BH111" s="232"/>
      <c r="BI111" s="232"/>
      <c r="BJ111" s="232"/>
      <c r="BK111" s="232"/>
      <c r="BL111" s="232"/>
      <c r="BM111" s="232"/>
      <c r="BN111" s="232"/>
      <c r="BO111" s="232"/>
      <c r="BP111" s="232"/>
      <c r="BQ111" s="232"/>
      <c r="BR111" s="232"/>
      <c r="BS111" s="232"/>
      <c r="BT111" s="232"/>
      <c r="BU111" s="232"/>
      <c r="BV111" s="232"/>
      <c r="BW111" s="232"/>
      <c r="BX111" s="232"/>
      <c r="BY111" s="232"/>
      <c r="BZ111" s="232"/>
      <c r="CA111" s="232"/>
      <c r="CB111" s="232"/>
      <c r="CC111" s="232"/>
      <c r="CD111" s="232"/>
      <c r="CE111" s="232"/>
      <c r="CF111" s="232"/>
      <c r="CG111" s="232"/>
      <c r="CH111" s="232"/>
      <c r="CI111" s="232"/>
      <c r="CJ111" s="232"/>
      <c r="CK111" s="232"/>
      <c r="CL111" s="232"/>
      <c r="CM111" s="232"/>
      <c r="CN111" s="232"/>
      <c r="CO111" s="232"/>
      <c r="CP111" s="232"/>
      <c r="CQ111" s="232"/>
      <c r="CR111" s="232"/>
      <c r="CS111" s="232"/>
      <c r="CT111" s="232"/>
      <c r="CU111" s="232"/>
      <c r="CV111" s="232"/>
      <c r="CW111" s="232"/>
      <c r="CX111" s="232"/>
      <c r="CY111" s="232"/>
      <c r="CZ111" s="232"/>
      <c r="DA111" s="232"/>
      <c r="DB111" s="232"/>
      <c r="DC111" s="232"/>
      <c r="DD111" s="232"/>
      <c r="DE111" s="232"/>
      <c r="DF111" s="232"/>
      <c r="DG111" s="232"/>
      <c r="DH111" s="232"/>
      <c r="DI111" s="232"/>
      <c r="DJ111" s="232"/>
      <c r="DK111" s="232"/>
      <c r="DL111" s="232"/>
      <c r="DM111" s="232"/>
      <c r="DN111" s="232"/>
      <c r="DO111" s="232"/>
      <c r="DP111" s="232"/>
      <c r="DQ111" s="232"/>
      <c r="DR111" s="232"/>
      <c r="DS111" s="232"/>
      <c r="DT111" s="232"/>
      <c r="DU111" s="232"/>
      <c r="DV111" s="232"/>
      <c r="DW111" s="232"/>
      <c r="DX111" s="232"/>
      <c r="DY111" s="232"/>
      <c r="DZ111" s="232"/>
      <c r="EA111" s="232"/>
      <c r="EB111" s="232"/>
      <c r="EC111" s="232"/>
      <c r="ED111" s="232"/>
      <c r="EE111" s="232"/>
      <c r="EF111" s="232"/>
      <c r="EG111" s="232"/>
      <c r="EH111" s="232"/>
      <c r="EI111" s="232"/>
      <c r="EJ111" s="232"/>
      <c r="EK111" s="232"/>
      <c r="EL111" s="232"/>
      <c r="EM111" s="232"/>
      <c r="EN111" s="232"/>
      <c r="EO111" s="232"/>
      <c r="EP111" s="232"/>
      <c r="EQ111" s="232"/>
      <c r="ER111" s="232"/>
      <c r="ES111" s="232"/>
      <c r="ET111" s="232"/>
      <c r="EU111" s="232"/>
      <c r="EV111" s="232"/>
      <c r="EW111" s="232"/>
      <c r="EX111" s="232"/>
      <c r="EY111" s="232"/>
      <c r="EZ111" s="232"/>
      <c r="FA111" s="232"/>
      <c r="FB111" s="232"/>
      <c r="FC111" s="232"/>
      <c r="FD111" s="232"/>
      <c r="FE111" s="232"/>
      <c r="FF111" s="232"/>
      <c r="FG111" s="321"/>
      <c r="FH111" s="232"/>
      <c r="FI111" s="232"/>
      <c r="FJ111" s="232"/>
      <c r="FK111" s="232"/>
      <c r="FL111" s="232"/>
      <c r="FM111" s="232"/>
      <c r="FN111" s="232"/>
      <c r="FO111" s="232"/>
      <c r="FP111" s="232"/>
      <c r="FQ111" s="232"/>
      <c r="FR111" s="232"/>
      <c r="FS111" s="232"/>
      <c r="FT111" s="232"/>
      <c r="FU111" s="232"/>
      <c r="FV111" s="321"/>
    </row>
    <row r="112" spans="3:178" x14ac:dyDescent="0.2">
      <c r="C112" s="47" t="s">
        <v>24</v>
      </c>
      <c r="D112" s="239" t="s">
        <v>64</v>
      </c>
      <c r="E112" s="240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32"/>
      <c r="AQ112" s="232"/>
      <c r="AR112" s="232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232"/>
      <c r="BH112" s="232"/>
      <c r="BI112" s="232"/>
      <c r="BJ112" s="232"/>
      <c r="BK112" s="232"/>
      <c r="BL112" s="232"/>
      <c r="BM112" s="232"/>
      <c r="BN112" s="232"/>
      <c r="BO112" s="232"/>
      <c r="BP112" s="232"/>
      <c r="BQ112" s="232"/>
      <c r="BR112" s="232"/>
      <c r="BS112" s="232"/>
      <c r="BT112" s="232"/>
      <c r="BU112" s="232"/>
      <c r="BV112" s="232"/>
      <c r="BW112" s="232"/>
      <c r="BX112" s="232"/>
      <c r="BY112" s="232"/>
      <c r="BZ112" s="232"/>
      <c r="CA112" s="232"/>
      <c r="CB112" s="232"/>
      <c r="CC112" s="232"/>
      <c r="CD112" s="232"/>
      <c r="CE112" s="232"/>
      <c r="CF112" s="232"/>
      <c r="CG112" s="232"/>
      <c r="CH112" s="232"/>
      <c r="CI112" s="232"/>
      <c r="CJ112" s="232"/>
      <c r="CK112" s="232"/>
      <c r="CL112" s="232"/>
      <c r="CM112" s="232"/>
      <c r="CN112" s="232"/>
      <c r="CO112" s="232"/>
      <c r="CP112" s="232"/>
      <c r="CQ112" s="232"/>
      <c r="CR112" s="232"/>
      <c r="CS112" s="232"/>
      <c r="CT112" s="232"/>
      <c r="CU112" s="232"/>
      <c r="CV112" s="232"/>
      <c r="CW112" s="232"/>
      <c r="CX112" s="232"/>
      <c r="CY112" s="232"/>
      <c r="CZ112" s="232"/>
      <c r="DA112" s="232"/>
      <c r="DB112" s="232"/>
      <c r="DC112" s="232"/>
      <c r="DD112" s="232"/>
      <c r="DE112" s="232"/>
      <c r="DF112" s="232"/>
      <c r="DG112" s="232"/>
      <c r="DH112" s="232"/>
      <c r="DI112" s="232"/>
      <c r="DJ112" s="232"/>
      <c r="DK112" s="232"/>
      <c r="DL112" s="232"/>
      <c r="DM112" s="232"/>
      <c r="DN112" s="232"/>
      <c r="DO112" s="232"/>
      <c r="DP112" s="232"/>
      <c r="DQ112" s="232"/>
      <c r="DR112" s="232"/>
      <c r="DS112" s="232"/>
      <c r="DT112" s="232"/>
      <c r="DU112" s="232"/>
      <c r="DV112" s="232"/>
      <c r="DW112" s="232"/>
      <c r="DX112" s="232"/>
      <c r="DY112" s="232"/>
      <c r="DZ112" s="232"/>
      <c r="EA112" s="232"/>
      <c r="EB112" s="232"/>
      <c r="EC112" s="232"/>
      <c r="ED112" s="232"/>
      <c r="EE112" s="232"/>
      <c r="EF112" s="232"/>
      <c r="EG112" s="232"/>
      <c r="EH112" s="232"/>
      <c r="EI112" s="232"/>
      <c r="EJ112" s="232"/>
      <c r="EK112" s="232"/>
      <c r="EL112" s="232"/>
      <c r="EM112" s="232"/>
      <c r="EN112" s="232"/>
      <c r="EO112" s="232"/>
      <c r="EP112" s="232"/>
      <c r="EQ112" s="232"/>
      <c r="ER112" s="232"/>
      <c r="ES112" s="232"/>
      <c r="ET112" s="232"/>
      <c r="EU112" s="232"/>
      <c r="EV112" s="232"/>
      <c r="EW112" s="232"/>
      <c r="EX112" s="232"/>
      <c r="EY112" s="232"/>
      <c r="EZ112" s="232"/>
      <c r="FA112" s="232"/>
      <c r="FB112" s="232"/>
      <c r="FC112" s="232"/>
      <c r="FD112" s="232"/>
      <c r="FE112" s="232"/>
      <c r="FF112" s="232"/>
      <c r="FG112" s="321"/>
      <c r="FH112" s="232"/>
      <c r="FI112" s="232"/>
      <c r="FJ112" s="232"/>
      <c r="FK112" s="232"/>
      <c r="FL112" s="232"/>
      <c r="FM112" s="232"/>
      <c r="FN112" s="232"/>
      <c r="FO112" s="232"/>
      <c r="FP112" s="232"/>
      <c r="FQ112" s="232"/>
      <c r="FR112" s="232"/>
      <c r="FS112" s="232"/>
      <c r="FT112" s="232"/>
      <c r="FU112" s="232"/>
      <c r="FV112" s="321"/>
    </row>
    <row r="113" spans="3:178" x14ac:dyDescent="0.2">
      <c r="C113" s="39" t="s">
        <v>24</v>
      </c>
      <c r="D113" s="77">
        <f>V47</f>
        <v>500</v>
      </c>
      <c r="E113" s="232">
        <f t="shared" ref="E113:E116" si="237">SUM(F113:FF113)</f>
        <v>501325.43347747019</v>
      </c>
      <c r="F113" s="246">
        <v>0</v>
      </c>
      <c r="G113" s="247">
        <f t="shared" ref="G113:P115" si="238">$D113/12*G$63*$N$13</f>
        <v>2631.5624999999995</v>
      </c>
      <c r="H113" s="247">
        <f t="shared" si="238"/>
        <v>2638.1414062499994</v>
      </c>
      <c r="I113" s="247">
        <f t="shared" si="238"/>
        <v>2644.7367597656244</v>
      </c>
      <c r="J113" s="247">
        <f t="shared" si="238"/>
        <v>2651.3486016650381</v>
      </c>
      <c r="K113" s="247">
        <f t="shared" si="238"/>
        <v>2657.9769731692008</v>
      </c>
      <c r="L113" s="247">
        <f t="shared" si="238"/>
        <v>2664.6219156021243</v>
      </c>
      <c r="M113" s="247">
        <f t="shared" si="238"/>
        <v>2671.2834703911294</v>
      </c>
      <c r="N113" s="247">
        <f t="shared" si="238"/>
        <v>2677.9616790671071</v>
      </c>
      <c r="O113" s="247">
        <f t="shared" si="238"/>
        <v>2684.6565832647752</v>
      </c>
      <c r="P113" s="247">
        <f t="shared" si="238"/>
        <v>2691.3682247229367</v>
      </c>
      <c r="Q113" s="247">
        <f t="shared" ref="Q113:Z115" si="239">$D113/12*Q$63*$N$13</f>
        <v>2698.0966452847438</v>
      </c>
      <c r="R113" s="247">
        <f t="shared" si="239"/>
        <v>2704.8418868979556</v>
      </c>
      <c r="S113" s="247">
        <f t="shared" si="239"/>
        <v>2711.6039916151999</v>
      </c>
      <c r="T113" s="247">
        <f t="shared" si="239"/>
        <v>2718.3830015942381</v>
      </c>
      <c r="U113" s="247">
        <f t="shared" si="239"/>
        <v>2725.1789590982235</v>
      </c>
      <c r="V113" s="247">
        <f t="shared" si="239"/>
        <v>2731.9919064959686</v>
      </c>
      <c r="W113" s="247">
        <f t="shared" si="239"/>
        <v>2738.821886262208</v>
      </c>
      <c r="X113" s="247">
        <f t="shared" si="239"/>
        <v>2745.6689409778633</v>
      </c>
      <c r="Y113" s="247">
        <f t="shared" si="239"/>
        <v>2752.533113330308</v>
      </c>
      <c r="Z113" s="247">
        <f t="shared" si="239"/>
        <v>2759.4144461136334</v>
      </c>
      <c r="AA113" s="247">
        <f t="shared" ref="AA113:AJ115" si="240">$D113/12*AA$63*$N$13</f>
        <v>2766.312982228917</v>
      </c>
      <c r="AB113" s="247">
        <f t="shared" si="240"/>
        <v>2773.2287646844898</v>
      </c>
      <c r="AC113" s="247">
        <f t="shared" si="240"/>
        <v>2780.1618365962004</v>
      </c>
      <c r="AD113" s="247">
        <f t="shared" si="240"/>
        <v>2787.1122411876909</v>
      </c>
      <c r="AE113" s="247">
        <f t="shared" si="240"/>
        <v>2794.0800217906599</v>
      </c>
      <c r="AF113" s="247">
        <f t="shared" si="240"/>
        <v>2801.065221845136</v>
      </c>
      <c r="AG113" s="247">
        <f t="shared" si="240"/>
        <v>2808.0678848997486</v>
      </c>
      <c r="AH113" s="247">
        <f t="shared" si="240"/>
        <v>2815.0880546119979</v>
      </c>
      <c r="AI113" s="247">
        <f t="shared" si="240"/>
        <v>2822.1257747485279</v>
      </c>
      <c r="AJ113" s="247">
        <f t="shared" si="240"/>
        <v>2829.1810891853988</v>
      </c>
      <c r="AK113" s="247">
        <f t="shared" ref="AK113:AT115" si="241">$D113/12*AK$63*$N$13</f>
        <v>2836.2540419083616</v>
      </c>
      <c r="AL113" s="247">
        <f t="shared" si="241"/>
        <v>2843.3446770131327</v>
      </c>
      <c r="AM113" s="247">
        <f t="shared" si="241"/>
        <v>2850.4530387056657</v>
      </c>
      <c r="AN113" s="247">
        <f t="shared" si="241"/>
        <v>2857.57917130243</v>
      </c>
      <c r="AO113" s="247">
        <f t="shared" si="241"/>
        <v>2864.7231192306858</v>
      </c>
      <c r="AP113" s="247">
        <f t="shared" si="241"/>
        <v>2871.8849270287619</v>
      </c>
      <c r="AQ113" s="247">
        <f t="shared" si="241"/>
        <v>2879.0646393463339</v>
      </c>
      <c r="AR113" s="247">
        <f t="shared" si="241"/>
        <v>2886.2623009446997</v>
      </c>
      <c r="AS113" s="247">
        <f t="shared" si="241"/>
        <v>2893.4779566970619</v>
      </c>
      <c r="AT113" s="247">
        <f t="shared" si="241"/>
        <v>2900.7116515888047</v>
      </c>
      <c r="AU113" s="247">
        <f t="shared" ref="AU113:BD115" si="242">$D113/12*AU$63*$N$13</f>
        <v>2907.9634307177762</v>
      </c>
      <c r="AV113" s="247">
        <f t="shared" si="242"/>
        <v>2915.2333392945702</v>
      </c>
      <c r="AW113" s="247">
        <f t="shared" si="242"/>
        <v>2922.5214226428061</v>
      </c>
      <c r="AX113" s="247">
        <f t="shared" si="242"/>
        <v>2929.8277261994131</v>
      </c>
      <c r="AY113" s="247">
        <f t="shared" si="242"/>
        <v>2937.1522955149107</v>
      </c>
      <c r="AZ113" s="247">
        <f t="shared" si="242"/>
        <v>2944.495176253698</v>
      </c>
      <c r="BA113" s="247">
        <f t="shared" si="242"/>
        <v>2951.856414194332</v>
      </c>
      <c r="BB113" s="247">
        <f t="shared" si="242"/>
        <v>2959.2360552298173</v>
      </c>
      <c r="BC113" s="247">
        <f t="shared" si="242"/>
        <v>2966.6341453678915</v>
      </c>
      <c r="BD113" s="247">
        <f t="shared" si="242"/>
        <v>2974.0507307313114</v>
      </c>
      <c r="BE113" s="247">
        <f t="shared" ref="BE113:BN115" si="243">$D113/12*BE$63*$N$13</f>
        <v>2981.4858575581397</v>
      </c>
      <c r="BF113" s="247">
        <f t="shared" si="243"/>
        <v>2988.9395722020349</v>
      </c>
      <c r="BG113" s="247">
        <f t="shared" si="243"/>
        <v>2996.4119211325396</v>
      </c>
      <c r="BH113" s="247">
        <f t="shared" si="243"/>
        <v>3003.9029509353709</v>
      </c>
      <c r="BI113" s="247">
        <f t="shared" si="243"/>
        <v>3011.4127083127096</v>
      </c>
      <c r="BJ113" s="247">
        <f t="shared" si="243"/>
        <v>3018.9412400834908</v>
      </c>
      <c r="BK113" s="247">
        <f t="shared" si="243"/>
        <v>3026.4885931836993</v>
      </c>
      <c r="BL113" s="247">
        <f t="shared" si="243"/>
        <v>3034.0548146666583</v>
      </c>
      <c r="BM113" s="247">
        <f t="shared" si="243"/>
        <v>3041.6399517033251</v>
      </c>
      <c r="BN113" s="247">
        <f t="shared" si="243"/>
        <v>3049.2440515825833</v>
      </c>
      <c r="BO113" s="247">
        <f t="shared" ref="BO113:BX115" si="244">$D113/12*BO$63*$N$13</f>
        <v>3056.8671617115397</v>
      </c>
      <c r="BP113" s="247">
        <f t="shared" si="244"/>
        <v>3064.5093296158179</v>
      </c>
      <c r="BQ113" s="247">
        <f t="shared" si="244"/>
        <v>3072.1706029398574</v>
      </c>
      <c r="BR113" s="247">
        <f t="shared" si="244"/>
        <v>3079.8510294472067</v>
      </c>
      <c r="BS113" s="247">
        <f t="shared" si="244"/>
        <v>3087.5506570208249</v>
      </c>
      <c r="BT113" s="247">
        <f t="shared" si="244"/>
        <v>3095.2695336633765</v>
      </c>
      <c r="BU113" s="247">
        <f t="shared" si="244"/>
        <v>3103.0077074975343</v>
      </c>
      <c r="BV113" s="247">
        <f t="shared" si="244"/>
        <v>3110.7652267662784</v>
      </c>
      <c r="BW113" s="247">
        <f t="shared" si="244"/>
        <v>3118.5421398331932</v>
      </c>
      <c r="BX113" s="247">
        <f t="shared" si="244"/>
        <v>3126.3384951827766</v>
      </c>
      <c r="BY113" s="247">
        <f t="shared" ref="BY113:CH115" si="245">$D113/12*BY$63*$N$13</f>
        <v>3134.1543414207331</v>
      </c>
      <c r="BZ113" s="247">
        <f t="shared" si="245"/>
        <v>3141.9897272742851</v>
      </c>
      <c r="CA113" s="247">
        <f t="shared" si="245"/>
        <v>3149.8447015924708</v>
      </c>
      <c r="CB113" s="247">
        <f t="shared" si="245"/>
        <v>3157.7193133464516</v>
      </c>
      <c r="CC113" s="247">
        <f t="shared" si="245"/>
        <v>3165.613611629818</v>
      </c>
      <c r="CD113" s="247">
        <f t="shared" si="245"/>
        <v>3173.5276456588922</v>
      </c>
      <c r="CE113" s="247">
        <f t="shared" si="245"/>
        <v>3181.4614647730396</v>
      </c>
      <c r="CF113" s="247">
        <f t="shared" si="245"/>
        <v>3189.4151184349721</v>
      </c>
      <c r="CG113" s="247">
        <f t="shared" si="245"/>
        <v>3197.388656231059</v>
      </c>
      <c r="CH113" s="247">
        <f t="shared" si="245"/>
        <v>3205.3821278716368</v>
      </c>
      <c r="CI113" s="247">
        <f t="shared" ref="CI113:CR115" si="246">$D113/12*CI$63*$N$13</f>
        <v>3213.3955831913158</v>
      </c>
      <c r="CJ113" s="247">
        <f t="shared" si="246"/>
        <v>3221.4290721492935</v>
      </c>
      <c r="CK113" s="247">
        <f t="shared" si="246"/>
        <v>3229.4826448296667</v>
      </c>
      <c r="CL113" s="247">
        <f t="shared" si="246"/>
        <v>3237.5563514417408</v>
      </c>
      <c r="CM113" s="247">
        <f t="shared" si="246"/>
        <v>3245.6502423203456</v>
      </c>
      <c r="CN113" s="247">
        <f t="shared" si="246"/>
        <v>3253.7643679261464</v>
      </c>
      <c r="CO113" s="247">
        <f t="shared" si="246"/>
        <v>3261.8987788459617</v>
      </c>
      <c r="CP113" s="247">
        <f t="shared" si="246"/>
        <v>3270.0535257930765</v>
      </c>
      <c r="CQ113" s="247">
        <f t="shared" si="246"/>
        <v>3278.2286596075583</v>
      </c>
      <c r="CR113" s="247">
        <f t="shared" si="246"/>
        <v>3286.4242312565771</v>
      </c>
      <c r="CS113" s="247">
        <f t="shared" ref="CS113:DB115" si="247">$D113/12*CS$63*$N$13</f>
        <v>3294.6402918347185</v>
      </c>
      <c r="CT113" s="247">
        <f t="shared" si="247"/>
        <v>3302.8768925643049</v>
      </c>
      <c r="CU113" s="247">
        <f t="shared" si="247"/>
        <v>3311.1340847957154</v>
      </c>
      <c r="CV113" s="247">
        <f t="shared" si="247"/>
        <v>3319.4119200077048</v>
      </c>
      <c r="CW113" s="247">
        <f t="shared" si="247"/>
        <v>3327.7104498077238</v>
      </c>
      <c r="CX113" s="247">
        <f t="shared" si="247"/>
        <v>3336.0297259322429</v>
      </c>
      <c r="CY113" s="247">
        <f t="shared" si="247"/>
        <v>3344.3698002470737</v>
      </c>
      <c r="CZ113" s="247">
        <f t="shared" si="247"/>
        <v>3352.7307247476911</v>
      </c>
      <c r="DA113" s="247">
        <f t="shared" si="247"/>
        <v>3361.1125515595604</v>
      </c>
      <c r="DB113" s="247">
        <f t="shared" si="247"/>
        <v>3369.5153329384584</v>
      </c>
      <c r="DC113" s="247">
        <f t="shared" ref="DC113:DL115" si="248">$D113/12*DC$63*$N$13</f>
        <v>3377.9391212708047</v>
      </c>
      <c r="DD113" s="247">
        <f t="shared" si="248"/>
        <v>3386.3839690739815</v>
      </c>
      <c r="DE113" s="247">
        <f t="shared" si="248"/>
        <v>3394.8499289966662</v>
      </c>
      <c r="DF113" s="247">
        <f t="shared" si="248"/>
        <v>3403.337053819158</v>
      </c>
      <c r="DG113" s="247">
        <f t="shared" si="248"/>
        <v>3411.8453964537061</v>
      </c>
      <c r="DH113" s="247">
        <f t="shared" si="248"/>
        <v>3420.3750099448403</v>
      </c>
      <c r="DI113" s="247">
        <f t="shared" si="248"/>
        <v>3428.9259474697019</v>
      </c>
      <c r="DJ113" s="247">
        <f t="shared" si="248"/>
        <v>3437.4982623383762</v>
      </c>
      <c r="DK113" s="247">
        <f t="shared" si="248"/>
        <v>3446.0920079942221</v>
      </c>
      <c r="DL113" s="247">
        <f t="shared" si="248"/>
        <v>3454.7072380142072</v>
      </c>
      <c r="DM113" s="247">
        <f t="shared" ref="DM113:DV115" si="249">$D113/12*DM$63*$N$13</f>
        <v>3463.3440061092424</v>
      </c>
      <c r="DN113" s="247">
        <f t="shared" si="249"/>
        <v>3472.002366124515</v>
      </c>
      <c r="DO113" s="247">
        <f t="shared" si="249"/>
        <v>3480.6823720398261</v>
      </c>
      <c r="DP113" s="247">
        <f t="shared" si="249"/>
        <v>3489.3840779699258</v>
      </c>
      <c r="DQ113" s="247">
        <f t="shared" si="249"/>
        <v>3498.1075381648502</v>
      </c>
      <c r="DR113" s="247">
        <f t="shared" si="249"/>
        <v>3506.852807010262</v>
      </c>
      <c r="DS113" s="247">
        <f t="shared" si="249"/>
        <v>3515.6199390277875</v>
      </c>
      <c r="DT113" s="247">
        <f t="shared" si="249"/>
        <v>3524.408988875357</v>
      </c>
      <c r="DU113" s="247">
        <f t="shared" si="249"/>
        <v>3533.2200113475451</v>
      </c>
      <c r="DV113" s="247">
        <f t="shared" si="249"/>
        <v>3542.0530613759138</v>
      </c>
      <c r="DW113" s="247">
        <f t="shared" ref="DW113:EF115" si="250">$D113/12*DW$63*$N$13</f>
        <v>3550.9081940293536</v>
      </c>
      <c r="DX113" s="247">
        <f t="shared" si="250"/>
        <v>3559.7854645144271</v>
      </c>
      <c r="DY113" s="247">
        <f t="shared" si="250"/>
        <v>3568.6849281757127</v>
      </c>
      <c r="DZ113" s="247">
        <f t="shared" si="250"/>
        <v>3577.6066404961512</v>
      </c>
      <c r="EA113" s="247">
        <f t="shared" si="250"/>
        <v>3586.5506570973921</v>
      </c>
      <c r="EB113" s="247">
        <f t="shared" si="250"/>
        <v>3595.517033740135</v>
      </c>
      <c r="EC113" s="247">
        <f t="shared" si="250"/>
        <v>3604.5058263244855</v>
      </c>
      <c r="ED113" s="247">
        <f t="shared" si="250"/>
        <v>3613.5170908902965</v>
      </c>
      <c r="EE113" s="247">
        <f t="shared" si="250"/>
        <v>3622.5508836175222</v>
      </c>
      <c r="EF113" s="247">
        <f t="shared" si="250"/>
        <v>3631.6072608265658</v>
      </c>
      <c r="EG113" s="247">
        <f t="shared" ref="EG113:EP115" si="251">$D113/12*EG$63*$N$13</f>
        <v>3640.6862789786319</v>
      </c>
      <c r="EH113" s="247">
        <f t="shared" si="251"/>
        <v>3649.7879946760781</v>
      </c>
      <c r="EI113" s="247">
        <f t="shared" si="251"/>
        <v>3658.9124646627674</v>
      </c>
      <c r="EJ113" s="247">
        <f t="shared" si="251"/>
        <v>3668.0597458244242</v>
      </c>
      <c r="EK113" s="247">
        <f t="shared" si="251"/>
        <v>3677.2298951889848</v>
      </c>
      <c r="EL113" s="247">
        <f t="shared" si="251"/>
        <v>3686.4229699269572</v>
      </c>
      <c r="EM113" s="247">
        <f t="shared" si="251"/>
        <v>3695.6390273517745</v>
      </c>
      <c r="EN113" s="247">
        <f t="shared" si="251"/>
        <v>3704.8781249201538</v>
      </c>
      <c r="EO113" s="247">
        <f t="shared" si="251"/>
        <v>3714.1403202324536</v>
      </c>
      <c r="EP113" s="247">
        <f t="shared" si="251"/>
        <v>3723.4256710330346</v>
      </c>
      <c r="EQ113" s="247">
        <f t="shared" ref="EQ113:EZ115" si="252">$D113/12*EQ$63*$N$13</f>
        <v>3732.734235210617</v>
      </c>
      <c r="ER113" s="247">
        <f t="shared" si="252"/>
        <v>3742.0660707986435</v>
      </c>
      <c r="ES113" s="247">
        <f t="shared" si="252"/>
        <v>3751.4212359756398</v>
      </c>
      <c r="ET113" s="247">
        <f t="shared" si="252"/>
        <v>3760.7997890655788</v>
      </c>
      <c r="EU113" s="247">
        <f t="shared" si="252"/>
        <v>3770.2017885382425</v>
      </c>
      <c r="EV113" s="247">
        <f t="shared" si="252"/>
        <v>3779.6272930095879</v>
      </c>
      <c r="EW113" s="247">
        <f t="shared" si="252"/>
        <v>3789.0763612421119</v>
      </c>
      <c r="EX113" s="247">
        <f t="shared" si="252"/>
        <v>3798.549052145217</v>
      </c>
      <c r="EY113" s="247">
        <f t="shared" si="252"/>
        <v>3808.0454247755802</v>
      </c>
      <c r="EZ113" s="247">
        <f t="shared" si="252"/>
        <v>3817.5655383375188</v>
      </c>
      <c r="FA113" s="247">
        <f t="shared" ref="FA113:FF115" si="253">$D113/12*FA$63*$N$13</f>
        <v>3827.109452183362</v>
      </c>
      <c r="FB113" s="247">
        <f t="shared" si="253"/>
        <v>3836.6772258138199</v>
      </c>
      <c r="FC113" s="247">
        <f t="shared" si="253"/>
        <v>3846.2689188783547</v>
      </c>
      <c r="FD113" s="247">
        <f t="shared" si="253"/>
        <v>3855.8845911755502</v>
      </c>
      <c r="FE113" s="247">
        <f t="shared" si="253"/>
        <v>3865.524302653489</v>
      </c>
      <c r="FF113" s="247">
        <f t="shared" si="253"/>
        <v>3875.1881134101222</v>
      </c>
      <c r="FG113" s="324"/>
      <c r="FH113" s="247">
        <f>SUMIF($F$54:$FF$54,FH$54,$F113:$FF113)</f>
        <v>15888.388156451987</v>
      </c>
      <c r="FI113" s="247">
        <f t="shared" ref="FI113:FU116" si="254">SUMIF($F$54:$FF$54,FI$54,$F113:$FF113)</f>
        <v>32499.857175672347</v>
      </c>
      <c r="FJ113" s="247">
        <f t="shared" si="254"/>
        <v>33488.371431222709</v>
      </c>
      <c r="FK113" s="247">
        <f t="shared" si="254"/>
        <v>34506.952293778282</v>
      </c>
      <c r="FL113" s="247">
        <f t="shared" si="254"/>
        <v>35556.514267962266</v>
      </c>
      <c r="FM113" s="247">
        <f t="shared" si="254"/>
        <v>36637.999673931088</v>
      </c>
      <c r="FN113" s="247">
        <f t="shared" si="254"/>
        <v>37752.379493410437</v>
      </c>
      <c r="FO113" s="247">
        <f t="shared" si="254"/>
        <v>38900.654241464377</v>
      </c>
      <c r="FP113" s="247">
        <f t="shared" si="254"/>
        <v>40083.854864779983</v>
      </c>
      <c r="FQ113" s="247">
        <f t="shared" si="254"/>
        <v>41303.043667274382</v>
      </c>
      <c r="FR113" s="247">
        <f t="shared" si="254"/>
        <v>42559.315263854893</v>
      </c>
      <c r="FS113" s="247">
        <f t="shared" si="254"/>
        <v>43853.797563188644</v>
      </c>
      <c r="FT113" s="247">
        <f t="shared" si="254"/>
        <v>45187.652780364217</v>
      </c>
      <c r="FU113" s="247">
        <f t="shared" si="254"/>
        <v>23106.652604114701</v>
      </c>
      <c r="FV113" s="324"/>
    </row>
    <row r="114" spans="3:178" x14ac:dyDescent="0.2">
      <c r="C114" s="39" t="s">
        <v>25</v>
      </c>
      <c r="E114" s="232">
        <f t="shared" si="237"/>
        <v>0</v>
      </c>
      <c r="F114" s="246">
        <v>0</v>
      </c>
      <c r="G114" s="247">
        <f t="shared" si="238"/>
        <v>0</v>
      </c>
      <c r="H114" s="247">
        <f t="shared" si="238"/>
        <v>0</v>
      </c>
      <c r="I114" s="247">
        <f t="shared" si="238"/>
        <v>0</v>
      </c>
      <c r="J114" s="247">
        <f t="shared" si="238"/>
        <v>0</v>
      </c>
      <c r="K114" s="247">
        <f t="shared" si="238"/>
        <v>0</v>
      </c>
      <c r="L114" s="247">
        <f t="shared" si="238"/>
        <v>0</v>
      </c>
      <c r="M114" s="247">
        <f t="shared" si="238"/>
        <v>0</v>
      </c>
      <c r="N114" s="247">
        <f t="shared" si="238"/>
        <v>0</v>
      </c>
      <c r="O114" s="247">
        <f t="shared" si="238"/>
        <v>0</v>
      </c>
      <c r="P114" s="247">
        <f t="shared" si="238"/>
        <v>0</v>
      </c>
      <c r="Q114" s="247">
        <f t="shared" si="239"/>
        <v>0</v>
      </c>
      <c r="R114" s="247">
        <f t="shared" si="239"/>
        <v>0</v>
      </c>
      <c r="S114" s="247">
        <f t="shared" si="239"/>
        <v>0</v>
      </c>
      <c r="T114" s="247">
        <f t="shared" si="239"/>
        <v>0</v>
      </c>
      <c r="U114" s="247">
        <f t="shared" si="239"/>
        <v>0</v>
      </c>
      <c r="V114" s="247">
        <f t="shared" si="239"/>
        <v>0</v>
      </c>
      <c r="W114" s="247">
        <f t="shared" si="239"/>
        <v>0</v>
      </c>
      <c r="X114" s="247">
        <f t="shared" si="239"/>
        <v>0</v>
      </c>
      <c r="Y114" s="247">
        <f t="shared" si="239"/>
        <v>0</v>
      </c>
      <c r="Z114" s="247">
        <f t="shared" si="239"/>
        <v>0</v>
      </c>
      <c r="AA114" s="247">
        <f t="shared" si="240"/>
        <v>0</v>
      </c>
      <c r="AB114" s="247">
        <f t="shared" si="240"/>
        <v>0</v>
      </c>
      <c r="AC114" s="247">
        <f t="shared" si="240"/>
        <v>0</v>
      </c>
      <c r="AD114" s="247">
        <f t="shared" si="240"/>
        <v>0</v>
      </c>
      <c r="AE114" s="247">
        <f t="shared" si="240"/>
        <v>0</v>
      </c>
      <c r="AF114" s="247">
        <f t="shared" si="240"/>
        <v>0</v>
      </c>
      <c r="AG114" s="247">
        <f t="shared" si="240"/>
        <v>0</v>
      </c>
      <c r="AH114" s="247">
        <f t="shared" si="240"/>
        <v>0</v>
      </c>
      <c r="AI114" s="247">
        <f t="shared" si="240"/>
        <v>0</v>
      </c>
      <c r="AJ114" s="247">
        <f t="shared" si="240"/>
        <v>0</v>
      </c>
      <c r="AK114" s="247">
        <f t="shared" si="241"/>
        <v>0</v>
      </c>
      <c r="AL114" s="247">
        <f t="shared" si="241"/>
        <v>0</v>
      </c>
      <c r="AM114" s="247">
        <f t="shared" si="241"/>
        <v>0</v>
      </c>
      <c r="AN114" s="247">
        <f t="shared" si="241"/>
        <v>0</v>
      </c>
      <c r="AO114" s="247">
        <f t="shared" si="241"/>
        <v>0</v>
      </c>
      <c r="AP114" s="247">
        <f t="shared" si="241"/>
        <v>0</v>
      </c>
      <c r="AQ114" s="247">
        <f t="shared" si="241"/>
        <v>0</v>
      </c>
      <c r="AR114" s="247">
        <f t="shared" si="241"/>
        <v>0</v>
      </c>
      <c r="AS114" s="247">
        <f t="shared" si="241"/>
        <v>0</v>
      </c>
      <c r="AT114" s="247">
        <f t="shared" si="241"/>
        <v>0</v>
      </c>
      <c r="AU114" s="247">
        <f t="shared" si="242"/>
        <v>0</v>
      </c>
      <c r="AV114" s="247">
        <f t="shared" si="242"/>
        <v>0</v>
      </c>
      <c r="AW114" s="247">
        <f t="shared" si="242"/>
        <v>0</v>
      </c>
      <c r="AX114" s="247">
        <f t="shared" si="242"/>
        <v>0</v>
      </c>
      <c r="AY114" s="247">
        <f t="shared" si="242"/>
        <v>0</v>
      </c>
      <c r="AZ114" s="247">
        <f t="shared" si="242"/>
        <v>0</v>
      </c>
      <c r="BA114" s="247">
        <f t="shared" si="242"/>
        <v>0</v>
      </c>
      <c r="BB114" s="247">
        <f t="shared" si="242"/>
        <v>0</v>
      </c>
      <c r="BC114" s="247">
        <f t="shared" si="242"/>
        <v>0</v>
      </c>
      <c r="BD114" s="247">
        <f t="shared" si="242"/>
        <v>0</v>
      </c>
      <c r="BE114" s="247">
        <f t="shared" si="243"/>
        <v>0</v>
      </c>
      <c r="BF114" s="247">
        <f t="shared" si="243"/>
        <v>0</v>
      </c>
      <c r="BG114" s="247">
        <f t="shared" si="243"/>
        <v>0</v>
      </c>
      <c r="BH114" s="247">
        <f t="shared" si="243"/>
        <v>0</v>
      </c>
      <c r="BI114" s="247">
        <f t="shared" si="243"/>
        <v>0</v>
      </c>
      <c r="BJ114" s="247">
        <f t="shared" si="243"/>
        <v>0</v>
      </c>
      <c r="BK114" s="247">
        <f t="shared" si="243"/>
        <v>0</v>
      </c>
      <c r="BL114" s="247">
        <f t="shared" si="243"/>
        <v>0</v>
      </c>
      <c r="BM114" s="247">
        <f t="shared" si="243"/>
        <v>0</v>
      </c>
      <c r="BN114" s="247">
        <f t="shared" si="243"/>
        <v>0</v>
      </c>
      <c r="BO114" s="247">
        <f t="shared" si="244"/>
        <v>0</v>
      </c>
      <c r="BP114" s="247">
        <f t="shared" si="244"/>
        <v>0</v>
      </c>
      <c r="BQ114" s="247">
        <f t="shared" si="244"/>
        <v>0</v>
      </c>
      <c r="BR114" s="247">
        <f t="shared" si="244"/>
        <v>0</v>
      </c>
      <c r="BS114" s="247">
        <f t="shared" si="244"/>
        <v>0</v>
      </c>
      <c r="BT114" s="247">
        <f t="shared" si="244"/>
        <v>0</v>
      </c>
      <c r="BU114" s="247">
        <f t="shared" si="244"/>
        <v>0</v>
      </c>
      <c r="BV114" s="247">
        <f t="shared" si="244"/>
        <v>0</v>
      </c>
      <c r="BW114" s="247">
        <f t="shared" si="244"/>
        <v>0</v>
      </c>
      <c r="BX114" s="247">
        <f t="shared" si="244"/>
        <v>0</v>
      </c>
      <c r="BY114" s="247">
        <f t="shared" si="245"/>
        <v>0</v>
      </c>
      <c r="BZ114" s="247">
        <f t="shared" si="245"/>
        <v>0</v>
      </c>
      <c r="CA114" s="247">
        <f t="shared" si="245"/>
        <v>0</v>
      </c>
      <c r="CB114" s="247">
        <f t="shared" si="245"/>
        <v>0</v>
      </c>
      <c r="CC114" s="247">
        <f t="shared" si="245"/>
        <v>0</v>
      </c>
      <c r="CD114" s="247">
        <f t="shared" si="245"/>
        <v>0</v>
      </c>
      <c r="CE114" s="247">
        <f t="shared" si="245"/>
        <v>0</v>
      </c>
      <c r="CF114" s="247">
        <f t="shared" si="245"/>
        <v>0</v>
      </c>
      <c r="CG114" s="247">
        <f t="shared" si="245"/>
        <v>0</v>
      </c>
      <c r="CH114" s="247">
        <f t="shared" si="245"/>
        <v>0</v>
      </c>
      <c r="CI114" s="247">
        <f t="shared" si="246"/>
        <v>0</v>
      </c>
      <c r="CJ114" s="247">
        <f t="shared" si="246"/>
        <v>0</v>
      </c>
      <c r="CK114" s="247">
        <f t="shared" si="246"/>
        <v>0</v>
      </c>
      <c r="CL114" s="247">
        <f t="shared" si="246"/>
        <v>0</v>
      </c>
      <c r="CM114" s="247">
        <f t="shared" si="246"/>
        <v>0</v>
      </c>
      <c r="CN114" s="247">
        <f t="shared" si="246"/>
        <v>0</v>
      </c>
      <c r="CO114" s="247">
        <f t="shared" si="246"/>
        <v>0</v>
      </c>
      <c r="CP114" s="247">
        <f t="shared" si="246"/>
        <v>0</v>
      </c>
      <c r="CQ114" s="247">
        <f t="shared" si="246"/>
        <v>0</v>
      </c>
      <c r="CR114" s="247">
        <f t="shared" si="246"/>
        <v>0</v>
      </c>
      <c r="CS114" s="247">
        <f t="shared" si="247"/>
        <v>0</v>
      </c>
      <c r="CT114" s="247">
        <f t="shared" si="247"/>
        <v>0</v>
      </c>
      <c r="CU114" s="247">
        <f t="shared" si="247"/>
        <v>0</v>
      </c>
      <c r="CV114" s="247">
        <f t="shared" si="247"/>
        <v>0</v>
      </c>
      <c r="CW114" s="247">
        <f t="shared" si="247"/>
        <v>0</v>
      </c>
      <c r="CX114" s="247">
        <f t="shared" si="247"/>
        <v>0</v>
      </c>
      <c r="CY114" s="247">
        <f t="shared" si="247"/>
        <v>0</v>
      </c>
      <c r="CZ114" s="247">
        <f t="shared" si="247"/>
        <v>0</v>
      </c>
      <c r="DA114" s="247">
        <f t="shared" si="247"/>
        <v>0</v>
      </c>
      <c r="DB114" s="247">
        <f t="shared" si="247"/>
        <v>0</v>
      </c>
      <c r="DC114" s="247">
        <f t="shared" si="248"/>
        <v>0</v>
      </c>
      <c r="DD114" s="247">
        <f t="shared" si="248"/>
        <v>0</v>
      </c>
      <c r="DE114" s="247">
        <f t="shared" si="248"/>
        <v>0</v>
      </c>
      <c r="DF114" s="247">
        <f t="shared" si="248"/>
        <v>0</v>
      </c>
      <c r="DG114" s="247">
        <f t="shared" si="248"/>
        <v>0</v>
      </c>
      <c r="DH114" s="247">
        <f t="shared" si="248"/>
        <v>0</v>
      </c>
      <c r="DI114" s="247">
        <f t="shared" si="248"/>
        <v>0</v>
      </c>
      <c r="DJ114" s="247">
        <f t="shared" si="248"/>
        <v>0</v>
      </c>
      <c r="DK114" s="247">
        <f t="shared" si="248"/>
        <v>0</v>
      </c>
      <c r="DL114" s="247">
        <f t="shared" si="248"/>
        <v>0</v>
      </c>
      <c r="DM114" s="247">
        <f t="shared" si="249"/>
        <v>0</v>
      </c>
      <c r="DN114" s="247">
        <f t="shared" si="249"/>
        <v>0</v>
      </c>
      <c r="DO114" s="247">
        <f t="shared" si="249"/>
        <v>0</v>
      </c>
      <c r="DP114" s="247">
        <f t="shared" si="249"/>
        <v>0</v>
      </c>
      <c r="DQ114" s="247">
        <f t="shared" si="249"/>
        <v>0</v>
      </c>
      <c r="DR114" s="247">
        <f t="shared" si="249"/>
        <v>0</v>
      </c>
      <c r="DS114" s="247">
        <f t="shared" si="249"/>
        <v>0</v>
      </c>
      <c r="DT114" s="247">
        <f t="shared" si="249"/>
        <v>0</v>
      </c>
      <c r="DU114" s="247">
        <f t="shared" si="249"/>
        <v>0</v>
      </c>
      <c r="DV114" s="247">
        <f t="shared" si="249"/>
        <v>0</v>
      </c>
      <c r="DW114" s="247">
        <f t="shared" si="250"/>
        <v>0</v>
      </c>
      <c r="DX114" s="247">
        <f t="shared" si="250"/>
        <v>0</v>
      </c>
      <c r="DY114" s="247">
        <f t="shared" si="250"/>
        <v>0</v>
      </c>
      <c r="DZ114" s="247">
        <f t="shared" si="250"/>
        <v>0</v>
      </c>
      <c r="EA114" s="247">
        <f t="shared" si="250"/>
        <v>0</v>
      </c>
      <c r="EB114" s="247">
        <f t="shared" si="250"/>
        <v>0</v>
      </c>
      <c r="EC114" s="247">
        <f t="shared" si="250"/>
        <v>0</v>
      </c>
      <c r="ED114" s="247">
        <f t="shared" si="250"/>
        <v>0</v>
      </c>
      <c r="EE114" s="247">
        <f t="shared" si="250"/>
        <v>0</v>
      </c>
      <c r="EF114" s="247">
        <f t="shared" si="250"/>
        <v>0</v>
      </c>
      <c r="EG114" s="247">
        <f t="shared" si="251"/>
        <v>0</v>
      </c>
      <c r="EH114" s="247">
        <f t="shared" si="251"/>
        <v>0</v>
      </c>
      <c r="EI114" s="247">
        <f t="shared" si="251"/>
        <v>0</v>
      </c>
      <c r="EJ114" s="247">
        <f t="shared" si="251"/>
        <v>0</v>
      </c>
      <c r="EK114" s="247">
        <f t="shared" si="251"/>
        <v>0</v>
      </c>
      <c r="EL114" s="247">
        <f t="shared" si="251"/>
        <v>0</v>
      </c>
      <c r="EM114" s="247">
        <f t="shared" si="251"/>
        <v>0</v>
      </c>
      <c r="EN114" s="247">
        <f t="shared" si="251"/>
        <v>0</v>
      </c>
      <c r="EO114" s="247">
        <f t="shared" si="251"/>
        <v>0</v>
      </c>
      <c r="EP114" s="247">
        <f t="shared" si="251"/>
        <v>0</v>
      </c>
      <c r="EQ114" s="247">
        <f t="shared" si="252"/>
        <v>0</v>
      </c>
      <c r="ER114" s="247">
        <f t="shared" si="252"/>
        <v>0</v>
      </c>
      <c r="ES114" s="247">
        <f t="shared" si="252"/>
        <v>0</v>
      </c>
      <c r="ET114" s="247">
        <f t="shared" si="252"/>
        <v>0</v>
      </c>
      <c r="EU114" s="247">
        <f t="shared" si="252"/>
        <v>0</v>
      </c>
      <c r="EV114" s="247">
        <f t="shared" si="252"/>
        <v>0</v>
      </c>
      <c r="EW114" s="247">
        <f t="shared" si="252"/>
        <v>0</v>
      </c>
      <c r="EX114" s="247">
        <f t="shared" si="252"/>
        <v>0</v>
      </c>
      <c r="EY114" s="247">
        <f t="shared" si="252"/>
        <v>0</v>
      </c>
      <c r="EZ114" s="247">
        <f t="shared" si="252"/>
        <v>0</v>
      </c>
      <c r="FA114" s="247">
        <f t="shared" si="253"/>
        <v>0</v>
      </c>
      <c r="FB114" s="247">
        <f t="shared" si="253"/>
        <v>0</v>
      </c>
      <c r="FC114" s="247">
        <f t="shared" si="253"/>
        <v>0</v>
      </c>
      <c r="FD114" s="247">
        <f t="shared" si="253"/>
        <v>0</v>
      </c>
      <c r="FE114" s="247">
        <f t="shared" si="253"/>
        <v>0</v>
      </c>
      <c r="FF114" s="247">
        <f t="shared" si="253"/>
        <v>0</v>
      </c>
      <c r="FG114" s="324"/>
      <c r="FH114" s="247">
        <f>SUMIF($F$54:$FF$54,FH$54,$F114:$FF114)</f>
        <v>0</v>
      </c>
      <c r="FI114" s="247">
        <f t="shared" si="254"/>
        <v>0</v>
      </c>
      <c r="FJ114" s="247">
        <f t="shared" si="254"/>
        <v>0</v>
      </c>
      <c r="FK114" s="247">
        <f t="shared" si="254"/>
        <v>0</v>
      </c>
      <c r="FL114" s="247">
        <f t="shared" si="254"/>
        <v>0</v>
      </c>
      <c r="FM114" s="247">
        <f t="shared" si="254"/>
        <v>0</v>
      </c>
      <c r="FN114" s="247">
        <f t="shared" si="254"/>
        <v>0</v>
      </c>
      <c r="FO114" s="247">
        <f t="shared" si="254"/>
        <v>0</v>
      </c>
      <c r="FP114" s="247">
        <f t="shared" si="254"/>
        <v>0</v>
      </c>
      <c r="FQ114" s="247">
        <f t="shared" si="254"/>
        <v>0</v>
      </c>
      <c r="FR114" s="247">
        <f t="shared" si="254"/>
        <v>0</v>
      </c>
      <c r="FS114" s="247">
        <f t="shared" si="254"/>
        <v>0</v>
      </c>
      <c r="FT114" s="247">
        <f t="shared" si="254"/>
        <v>0</v>
      </c>
      <c r="FU114" s="247">
        <f t="shared" si="254"/>
        <v>0</v>
      </c>
      <c r="FV114" s="324"/>
    </row>
    <row r="115" spans="3:178" x14ac:dyDescent="0.2">
      <c r="C115" s="39" t="s">
        <v>25</v>
      </c>
      <c r="E115" s="233">
        <f t="shared" si="237"/>
        <v>0</v>
      </c>
      <c r="F115" s="246">
        <v>0</v>
      </c>
      <c r="G115" s="247">
        <f t="shared" si="238"/>
        <v>0</v>
      </c>
      <c r="H115" s="247">
        <f t="shared" si="238"/>
        <v>0</v>
      </c>
      <c r="I115" s="247">
        <f t="shared" si="238"/>
        <v>0</v>
      </c>
      <c r="J115" s="247">
        <f t="shared" si="238"/>
        <v>0</v>
      </c>
      <c r="K115" s="247">
        <f t="shared" si="238"/>
        <v>0</v>
      </c>
      <c r="L115" s="247">
        <f t="shared" si="238"/>
        <v>0</v>
      </c>
      <c r="M115" s="247">
        <f t="shared" si="238"/>
        <v>0</v>
      </c>
      <c r="N115" s="247">
        <f t="shared" si="238"/>
        <v>0</v>
      </c>
      <c r="O115" s="247">
        <f t="shared" si="238"/>
        <v>0</v>
      </c>
      <c r="P115" s="247">
        <f t="shared" si="238"/>
        <v>0</v>
      </c>
      <c r="Q115" s="247">
        <f t="shared" si="239"/>
        <v>0</v>
      </c>
      <c r="R115" s="247">
        <f t="shared" si="239"/>
        <v>0</v>
      </c>
      <c r="S115" s="247">
        <f t="shared" si="239"/>
        <v>0</v>
      </c>
      <c r="T115" s="247">
        <f t="shared" si="239"/>
        <v>0</v>
      </c>
      <c r="U115" s="247">
        <f t="shared" si="239"/>
        <v>0</v>
      </c>
      <c r="V115" s="247">
        <f t="shared" si="239"/>
        <v>0</v>
      </c>
      <c r="W115" s="247">
        <f t="shared" si="239"/>
        <v>0</v>
      </c>
      <c r="X115" s="247">
        <f t="shared" si="239"/>
        <v>0</v>
      </c>
      <c r="Y115" s="247">
        <f t="shared" si="239"/>
        <v>0</v>
      </c>
      <c r="Z115" s="247">
        <f t="shared" si="239"/>
        <v>0</v>
      </c>
      <c r="AA115" s="247">
        <f t="shared" si="240"/>
        <v>0</v>
      </c>
      <c r="AB115" s="247">
        <f t="shared" si="240"/>
        <v>0</v>
      </c>
      <c r="AC115" s="247">
        <f t="shared" si="240"/>
        <v>0</v>
      </c>
      <c r="AD115" s="247">
        <f t="shared" si="240"/>
        <v>0</v>
      </c>
      <c r="AE115" s="247">
        <f t="shared" si="240"/>
        <v>0</v>
      </c>
      <c r="AF115" s="247">
        <f t="shared" si="240"/>
        <v>0</v>
      </c>
      <c r="AG115" s="247">
        <f t="shared" si="240"/>
        <v>0</v>
      </c>
      <c r="AH115" s="247">
        <f t="shared" si="240"/>
        <v>0</v>
      </c>
      <c r="AI115" s="247">
        <f t="shared" si="240"/>
        <v>0</v>
      </c>
      <c r="AJ115" s="247">
        <f t="shared" si="240"/>
        <v>0</v>
      </c>
      <c r="AK115" s="247">
        <f t="shared" si="241"/>
        <v>0</v>
      </c>
      <c r="AL115" s="247">
        <f t="shared" si="241"/>
        <v>0</v>
      </c>
      <c r="AM115" s="247">
        <f t="shared" si="241"/>
        <v>0</v>
      </c>
      <c r="AN115" s="247">
        <f t="shared" si="241"/>
        <v>0</v>
      </c>
      <c r="AO115" s="247">
        <f t="shared" si="241"/>
        <v>0</v>
      </c>
      <c r="AP115" s="247">
        <f t="shared" si="241"/>
        <v>0</v>
      </c>
      <c r="AQ115" s="247">
        <f t="shared" si="241"/>
        <v>0</v>
      </c>
      <c r="AR115" s="247">
        <f t="shared" si="241"/>
        <v>0</v>
      </c>
      <c r="AS115" s="247">
        <f t="shared" si="241"/>
        <v>0</v>
      </c>
      <c r="AT115" s="247">
        <f t="shared" si="241"/>
        <v>0</v>
      </c>
      <c r="AU115" s="247">
        <f t="shared" si="242"/>
        <v>0</v>
      </c>
      <c r="AV115" s="247">
        <f t="shared" si="242"/>
        <v>0</v>
      </c>
      <c r="AW115" s="247">
        <f t="shared" si="242"/>
        <v>0</v>
      </c>
      <c r="AX115" s="247">
        <f t="shared" si="242"/>
        <v>0</v>
      </c>
      <c r="AY115" s="247">
        <f t="shared" si="242"/>
        <v>0</v>
      </c>
      <c r="AZ115" s="247">
        <f t="shared" si="242"/>
        <v>0</v>
      </c>
      <c r="BA115" s="247">
        <f t="shared" si="242"/>
        <v>0</v>
      </c>
      <c r="BB115" s="247">
        <f t="shared" si="242"/>
        <v>0</v>
      </c>
      <c r="BC115" s="247">
        <f t="shared" si="242"/>
        <v>0</v>
      </c>
      <c r="BD115" s="247">
        <f t="shared" si="242"/>
        <v>0</v>
      </c>
      <c r="BE115" s="247">
        <f t="shared" si="243"/>
        <v>0</v>
      </c>
      <c r="BF115" s="247">
        <f t="shared" si="243"/>
        <v>0</v>
      </c>
      <c r="BG115" s="247">
        <f t="shared" si="243"/>
        <v>0</v>
      </c>
      <c r="BH115" s="247">
        <f t="shared" si="243"/>
        <v>0</v>
      </c>
      <c r="BI115" s="247">
        <f t="shared" si="243"/>
        <v>0</v>
      </c>
      <c r="BJ115" s="247">
        <f t="shared" si="243"/>
        <v>0</v>
      </c>
      <c r="BK115" s="247">
        <f t="shared" si="243"/>
        <v>0</v>
      </c>
      <c r="BL115" s="247">
        <f t="shared" si="243"/>
        <v>0</v>
      </c>
      <c r="BM115" s="247">
        <f t="shared" si="243"/>
        <v>0</v>
      </c>
      <c r="BN115" s="247">
        <f t="shared" si="243"/>
        <v>0</v>
      </c>
      <c r="BO115" s="247">
        <f t="shared" si="244"/>
        <v>0</v>
      </c>
      <c r="BP115" s="247">
        <f t="shared" si="244"/>
        <v>0</v>
      </c>
      <c r="BQ115" s="247">
        <f t="shared" si="244"/>
        <v>0</v>
      </c>
      <c r="BR115" s="247">
        <f t="shared" si="244"/>
        <v>0</v>
      </c>
      <c r="BS115" s="247">
        <f t="shared" si="244"/>
        <v>0</v>
      </c>
      <c r="BT115" s="247">
        <f t="shared" si="244"/>
        <v>0</v>
      </c>
      <c r="BU115" s="247">
        <f t="shared" si="244"/>
        <v>0</v>
      </c>
      <c r="BV115" s="247">
        <f t="shared" si="244"/>
        <v>0</v>
      </c>
      <c r="BW115" s="247">
        <f t="shared" si="244"/>
        <v>0</v>
      </c>
      <c r="BX115" s="247">
        <f t="shared" si="244"/>
        <v>0</v>
      </c>
      <c r="BY115" s="247">
        <f t="shared" si="245"/>
        <v>0</v>
      </c>
      <c r="BZ115" s="247">
        <f t="shared" si="245"/>
        <v>0</v>
      </c>
      <c r="CA115" s="247">
        <f t="shared" si="245"/>
        <v>0</v>
      </c>
      <c r="CB115" s="247">
        <f t="shared" si="245"/>
        <v>0</v>
      </c>
      <c r="CC115" s="247">
        <f t="shared" si="245"/>
        <v>0</v>
      </c>
      <c r="CD115" s="247">
        <f t="shared" si="245"/>
        <v>0</v>
      </c>
      <c r="CE115" s="247">
        <f t="shared" si="245"/>
        <v>0</v>
      </c>
      <c r="CF115" s="247">
        <f t="shared" si="245"/>
        <v>0</v>
      </c>
      <c r="CG115" s="247">
        <f t="shared" si="245"/>
        <v>0</v>
      </c>
      <c r="CH115" s="247">
        <f t="shared" si="245"/>
        <v>0</v>
      </c>
      <c r="CI115" s="247">
        <f t="shared" si="246"/>
        <v>0</v>
      </c>
      <c r="CJ115" s="247">
        <f t="shared" si="246"/>
        <v>0</v>
      </c>
      <c r="CK115" s="247">
        <f t="shared" si="246"/>
        <v>0</v>
      </c>
      <c r="CL115" s="247">
        <f t="shared" si="246"/>
        <v>0</v>
      </c>
      <c r="CM115" s="247">
        <f t="shared" si="246"/>
        <v>0</v>
      </c>
      <c r="CN115" s="247">
        <f t="shared" si="246"/>
        <v>0</v>
      </c>
      <c r="CO115" s="247">
        <f t="shared" si="246"/>
        <v>0</v>
      </c>
      <c r="CP115" s="247">
        <f t="shared" si="246"/>
        <v>0</v>
      </c>
      <c r="CQ115" s="247">
        <f t="shared" si="246"/>
        <v>0</v>
      </c>
      <c r="CR115" s="247">
        <f t="shared" si="246"/>
        <v>0</v>
      </c>
      <c r="CS115" s="247">
        <f t="shared" si="247"/>
        <v>0</v>
      </c>
      <c r="CT115" s="247">
        <f t="shared" si="247"/>
        <v>0</v>
      </c>
      <c r="CU115" s="247">
        <f t="shared" si="247"/>
        <v>0</v>
      </c>
      <c r="CV115" s="247">
        <f t="shared" si="247"/>
        <v>0</v>
      </c>
      <c r="CW115" s="247">
        <f t="shared" si="247"/>
        <v>0</v>
      </c>
      <c r="CX115" s="247">
        <f t="shared" si="247"/>
        <v>0</v>
      </c>
      <c r="CY115" s="247">
        <f t="shared" si="247"/>
        <v>0</v>
      </c>
      <c r="CZ115" s="247">
        <f t="shared" si="247"/>
        <v>0</v>
      </c>
      <c r="DA115" s="247">
        <f t="shared" si="247"/>
        <v>0</v>
      </c>
      <c r="DB115" s="247">
        <f t="shared" si="247"/>
        <v>0</v>
      </c>
      <c r="DC115" s="247">
        <f t="shared" si="248"/>
        <v>0</v>
      </c>
      <c r="DD115" s="247">
        <f t="shared" si="248"/>
        <v>0</v>
      </c>
      <c r="DE115" s="247">
        <f t="shared" si="248"/>
        <v>0</v>
      </c>
      <c r="DF115" s="247">
        <f t="shared" si="248"/>
        <v>0</v>
      </c>
      <c r="DG115" s="247">
        <f t="shared" si="248"/>
        <v>0</v>
      </c>
      <c r="DH115" s="247">
        <f t="shared" si="248"/>
        <v>0</v>
      </c>
      <c r="DI115" s="247">
        <f t="shared" si="248"/>
        <v>0</v>
      </c>
      <c r="DJ115" s="247">
        <f t="shared" si="248"/>
        <v>0</v>
      </c>
      <c r="DK115" s="247">
        <f t="shared" si="248"/>
        <v>0</v>
      </c>
      <c r="DL115" s="247">
        <f t="shared" si="248"/>
        <v>0</v>
      </c>
      <c r="DM115" s="247">
        <f t="shared" si="249"/>
        <v>0</v>
      </c>
      <c r="DN115" s="247">
        <f t="shared" si="249"/>
        <v>0</v>
      </c>
      <c r="DO115" s="247">
        <f t="shared" si="249"/>
        <v>0</v>
      </c>
      <c r="DP115" s="247">
        <f t="shared" si="249"/>
        <v>0</v>
      </c>
      <c r="DQ115" s="247">
        <f t="shared" si="249"/>
        <v>0</v>
      </c>
      <c r="DR115" s="247">
        <f t="shared" si="249"/>
        <v>0</v>
      </c>
      <c r="DS115" s="247">
        <f t="shared" si="249"/>
        <v>0</v>
      </c>
      <c r="DT115" s="247">
        <f t="shared" si="249"/>
        <v>0</v>
      </c>
      <c r="DU115" s="247">
        <f t="shared" si="249"/>
        <v>0</v>
      </c>
      <c r="DV115" s="247">
        <f t="shared" si="249"/>
        <v>0</v>
      </c>
      <c r="DW115" s="247">
        <f t="shared" si="250"/>
        <v>0</v>
      </c>
      <c r="DX115" s="247">
        <f t="shared" si="250"/>
        <v>0</v>
      </c>
      <c r="DY115" s="247">
        <f t="shared" si="250"/>
        <v>0</v>
      </c>
      <c r="DZ115" s="247">
        <f t="shared" si="250"/>
        <v>0</v>
      </c>
      <c r="EA115" s="247">
        <f t="shared" si="250"/>
        <v>0</v>
      </c>
      <c r="EB115" s="247">
        <f t="shared" si="250"/>
        <v>0</v>
      </c>
      <c r="EC115" s="247">
        <f t="shared" si="250"/>
        <v>0</v>
      </c>
      <c r="ED115" s="247">
        <f t="shared" si="250"/>
        <v>0</v>
      </c>
      <c r="EE115" s="247">
        <f t="shared" si="250"/>
        <v>0</v>
      </c>
      <c r="EF115" s="247">
        <f t="shared" si="250"/>
        <v>0</v>
      </c>
      <c r="EG115" s="247">
        <f t="shared" si="251"/>
        <v>0</v>
      </c>
      <c r="EH115" s="247">
        <f t="shared" si="251"/>
        <v>0</v>
      </c>
      <c r="EI115" s="247">
        <f t="shared" si="251"/>
        <v>0</v>
      </c>
      <c r="EJ115" s="247">
        <f t="shared" si="251"/>
        <v>0</v>
      </c>
      <c r="EK115" s="247">
        <f t="shared" si="251"/>
        <v>0</v>
      </c>
      <c r="EL115" s="247">
        <f t="shared" si="251"/>
        <v>0</v>
      </c>
      <c r="EM115" s="247">
        <f t="shared" si="251"/>
        <v>0</v>
      </c>
      <c r="EN115" s="247">
        <f t="shared" si="251"/>
        <v>0</v>
      </c>
      <c r="EO115" s="247">
        <f t="shared" si="251"/>
        <v>0</v>
      </c>
      <c r="EP115" s="247">
        <f t="shared" si="251"/>
        <v>0</v>
      </c>
      <c r="EQ115" s="247">
        <f t="shared" si="252"/>
        <v>0</v>
      </c>
      <c r="ER115" s="247">
        <f t="shared" si="252"/>
        <v>0</v>
      </c>
      <c r="ES115" s="247">
        <f t="shared" si="252"/>
        <v>0</v>
      </c>
      <c r="ET115" s="247">
        <f t="shared" si="252"/>
        <v>0</v>
      </c>
      <c r="EU115" s="247">
        <f t="shared" si="252"/>
        <v>0</v>
      </c>
      <c r="EV115" s="247">
        <f t="shared" si="252"/>
        <v>0</v>
      </c>
      <c r="EW115" s="247">
        <f t="shared" si="252"/>
        <v>0</v>
      </c>
      <c r="EX115" s="247">
        <f t="shared" si="252"/>
        <v>0</v>
      </c>
      <c r="EY115" s="247">
        <f t="shared" si="252"/>
        <v>0</v>
      </c>
      <c r="EZ115" s="247">
        <f t="shared" si="252"/>
        <v>0</v>
      </c>
      <c r="FA115" s="247">
        <f t="shared" si="253"/>
        <v>0</v>
      </c>
      <c r="FB115" s="247">
        <f t="shared" si="253"/>
        <v>0</v>
      </c>
      <c r="FC115" s="247">
        <f t="shared" si="253"/>
        <v>0</v>
      </c>
      <c r="FD115" s="247">
        <f t="shared" si="253"/>
        <v>0</v>
      </c>
      <c r="FE115" s="247">
        <f t="shared" si="253"/>
        <v>0</v>
      </c>
      <c r="FF115" s="247">
        <f t="shared" si="253"/>
        <v>0</v>
      </c>
      <c r="FG115" s="324"/>
      <c r="FH115" s="247">
        <f>SUMIF($F$54:$FF$54,FH$54,$F115:$FF115)</f>
        <v>0</v>
      </c>
      <c r="FI115" s="247">
        <f t="shared" si="254"/>
        <v>0</v>
      </c>
      <c r="FJ115" s="247">
        <f t="shared" si="254"/>
        <v>0</v>
      </c>
      <c r="FK115" s="247">
        <f t="shared" si="254"/>
        <v>0</v>
      </c>
      <c r="FL115" s="247">
        <f t="shared" si="254"/>
        <v>0</v>
      </c>
      <c r="FM115" s="247">
        <f t="shared" si="254"/>
        <v>0</v>
      </c>
      <c r="FN115" s="247">
        <f t="shared" si="254"/>
        <v>0</v>
      </c>
      <c r="FO115" s="247">
        <f t="shared" si="254"/>
        <v>0</v>
      </c>
      <c r="FP115" s="247">
        <f t="shared" si="254"/>
        <v>0</v>
      </c>
      <c r="FQ115" s="247">
        <f t="shared" si="254"/>
        <v>0</v>
      </c>
      <c r="FR115" s="247">
        <f t="shared" si="254"/>
        <v>0</v>
      </c>
      <c r="FS115" s="247">
        <f t="shared" si="254"/>
        <v>0</v>
      </c>
      <c r="FT115" s="247">
        <f t="shared" si="254"/>
        <v>0</v>
      </c>
      <c r="FU115" s="247">
        <f t="shared" si="254"/>
        <v>0</v>
      </c>
      <c r="FV115" s="324"/>
    </row>
    <row r="116" spans="3:178" s="77" customFormat="1" x14ac:dyDescent="0.2">
      <c r="C116" s="80" t="s">
        <v>184</v>
      </c>
      <c r="D116" s="80"/>
      <c r="E116" s="281">
        <f t="shared" si="237"/>
        <v>501325.43347747019</v>
      </c>
      <c r="F116" s="282">
        <v>0</v>
      </c>
      <c r="G116" s="283">
        <f t="shared" ref="G116:BR116" si="255">SUM(G113:G115)</f>
        <v>2631.5624999999995</v>
      </c>
      <c r="H116" s="283">
        <f t="shared" si="255"/>
        <v>2638.1414062499994</v>
      </c>
      <c r="I116" s="283">
        <f t="shared" si="255"/>
        <v>2644.7367597656244</v>
      </c>
      <c r="J116" s="283">
        <f t="shared" si="255"/>
        <v>2651.3486016650381</v>
      </c>
      <c r="K116" s="283">
        <f t="shared" si="255"/>
        <v>2657.9769731692008</v>
      </c>
      <c r="L116" s="283">
        <f t="shared" si="255"/>
        <v>2664.6219156021243</v>
      </c>
      <c r="M116" s="283">
        <f t="shared" si="255"/>
        <v>2671.2834703911294</v>
      </c>
      <c r="N116" s="283">
        <f t="shared" si="255"/>
        <v>2677.9616790671071</v>
      </c>
      <c r="O116" s="283">
        <f t="shared" si="255"/>
        <v>2684.6565832647752</v>
      </c>
      <c r="P116" s="283">
        <f t="shared" si="255"/>
        <v>2691.3682247229367</v>
      </c>
      <c r="Q116" s="283">
        <f t="shared" si="255"/>
        <v>2698.0966452847438</v>
      </c>
      <c r="R116" s="283">
        <f t="shared" si="255"/>
        <v>2704.8418868979556</v>
      </c>
      <c r="S116" s="283">
        <f t="shared" si="255"/>
        <v>2711.6039916151999</v>
      </c>
      <c r="T116" s="283">
        <f t="shared" si="255"/>
        <v>2718.3830015942381</v>
      </c>
      <c r="U116" s="283">
        <f t="shared" si="255"/>
        <v>2725.1789590982235</v>
      </c>
      <c r="V116" s="283">
        <f t="shared" si="255"/>
        <v>2731.9919064959686</v>
      </c>
      <c r="W116" s="283">
        <f t="shared" si="255"/>
        <v>2738.821886262208</v>
      </c>
      <c r="X116" s="283">
        <f t="shared" si="255"/>
        <v>2745.6689409778633</v>
      </c>
      <c r="Y116" s="283">
        <f t="shared" si="255"/>
        <v>2752.533113330308</v>
      </c>
      <c r="Z116" s="283">
        <f t="shared" si="255"/>
        <v>2759.4144461136334</v>
      </c>
      <c r="AA116" s="283">
        <f t="shared" si="255"/>
        <v>2766.312982228917</v>
      </c>
      <c r="AB116" s="283">
        <f t="shared" si="255"/>
        <v>2773.2287646844898</v>
      </c>
      <c r="AC116" s="283">
        <f t="shared" si="255"/>
        <v>2780.1618365962004</v>
      </c>
      <c r="AD116" s="283">
        <f t="shared" si="255"/>
        <v>2787.1122411876909</v>
      </c>
      <c r="AE116" s="283">
        <f t="shared" si="255"/>
        <v>2794.0800217906599</v>
      </c>
      <c r="AF116" s="283">
        <f t="shared" si="255"/>
        <v>2801.065221845136</v>
      </c>
      <c r="AG116" s="283">
        <f t="shared" si="255"/>
        <v>2808.0678848997486</v>
      </c>
      <c r="AH116" s="283">
        <f t="shared" si="255"/>
        <v>2815.0880546119979</v>
      </c>
      <c r="AI116" s="283">
        <f t="shared" si="255"/>
        <v>2822.1257747485279</v>
      </c>
      <c r="AJ116" s="283">
        <f t="shared" si="255"/>
        <v>2829.1810891853988</v>
      </c>
      <c r="AK116" s="283">
        <f t="shared" si="255"/>
        <v>2836.2540419083616</v>
      </c>
      <c r="AL116" s="283">
        <f t="shared" si="255"/>
        <v>2843.3446770131327</v>
      </c>
      <c r="AM116" s="283">
        <f t="shared" si="255"/>
        <v>2850.4530387056657</v>
      </c>
      <c r="AN116" s="283">
        <f t="shared" si="255"/>
        <v>2857.57917130243</v>
      </c>
      <c r="AO116" s="283">
        <f t="shared" si="255"/>
        <v>2864.7231192306858</v>
      </c>
      <c r="AP116" s="283">
        <f t="shared" si="255"/>
        <v>2871.8849270287619</v>
      </c>
      <c r="AQ116" s="283">
        <f t="shared" si="255"/>
        <v>2879.0646393463339</v>
      </c>
      <c r="AR116" s="283">
        <f t="shared" si="255"/>
        <v>2886.2623009446997</v>
      </c>
      <c r="AS116" s="283">
        <f t="shared" si="255"/>
        <v>2893.4779566970619</v>
      </c>
      <c r="AT116" s="283">
        <f t="shared" si="255"/>
        <v>2900.7116515888047</v>
      </c>
      <c r="AU116" s="283">
        <f t="shared" si="255"/>
        <v>2907.9634307177762</v>
      </c>
      <c r="AV116" s="283">
        <f t="shared" si="255"/>
        <v>2915.2333392945702</v>
      </c>
      <c r="AW116" s="283">
        <f t="shared" si="255"/>
        <v>2922.5214226428061</v>
      </c>
      <c r="AX116" s="283">
        <f t="shared" si="255"/>
        <v>2929.8277261994131</v>
      </c>
      <c r="AY116" s="283">
        <f t="shared" si="255"/>
        <v>2937.1522955149107</v>
      </c>
      <c r="AZ116" s="283">
        <f t="shared" si="255"/>
        <v>2944.495176253698</v>
      </c>
      <c r="BA116" s="283">
        <f t="shared" si="255"/>
        <v>2951.856414194332</v>
      </c>
      <c r="BB116" s="283">
        <f t="shared" si="255"/>
        <v>2959.2360552298173</v>
      </c>
      <c r="BC116" s="283">
        <f t="shared" si="255"/>
        <v>2966.6341453678915</v>
      </c>
      <c r="BD116" s="283">
        <f t="shared" si="255"/>
        <v>2974.0507307313114</v>
      </c>
      <c r="BE116" s="283">
        <f t="shared" si="255"/>
        <v>2981.4858575581397</v>
      </c>
      <c r="BF116" s="283">
        <f t="shared" si="255"/>
        <v>2988.9395722020349</v>
      </c>
      <c r="BG116" s="283">
        <f t="shared" si="255"/>
        <v>2996.4119211325396</v>
      </c>
      <c r="BH116" s="283">
        <f t="shared" si="255"/>
        <v>3003.9029509353709</v>
      </c>
      <c r="BI116" s="283">
        <f t="shared" si="255"/>
        <v>3011.4127083127096</v>
      </c>
      <c r="BJ116" s="283">
        <f t="shared" si="255"/>
        <v>3018.9412400834908</v>
      </c>
      <c r="BK116" s="283">
        <f t="shared" si="255"/>
        <v>3026.4885931836993</v>
      </c>
      <c r="BL116" s="283">
        <f t="shared" si="255"/>
        <v>3034.0548146666583</v>
      </c>
      <c r="BM116" s="283">
        <f t="shared" si="255"/>
        <v>3041.6399517033251</v>
      </c>
      <c r="BN116" s="283">
        <f t="shared" si="255"/>
        <v>3049.2440515825833</v>
      </c>
      <c r="BO116" s="283">
        <f t="shared" si="255"/>
        <v>3056.8671617115397</v>
      </c>
      <c r="BP116" s="283">
        <f t="shared" si="255"/>
        <v>3064.5093296158179</v>
      </c>
      <c r="BQ116" s="283">
        <f t="shared" si="255"/>
        <v>3072.1706029398574</v>
      </c>
      <c r="BR116" s="283">
        <f t="shared" si="255"/>
        <v>3079.8510294472067</v>
      </c>
      <c r="BS116" s="283">
        <f t="shared" ref="BS116:ED116" si="256">SUM(BS113:BS115)</f>
        <v>3087.5506570208249</v>
      </c>
      <c r="BT116" s="283">
        <f t="shared" si="256"/>
        <v>3095.2695336633765</v>
      </c>
      <c r="BU116" s="283">
        <f t="shared" si="256"/>
        <v>3103.0077074975343</v>
      </c>
      <c r="BV116" s="283">
        <f t="shared" si="256"/>
        <v>3110.7652267662784</v>
      </c>
      <c r="BW116" s="283">
        <f t="shared" si="256"/>
        <v>3118.5421398331932</v>
      </c>
      <c r="BX116" s="283">
        <f t="shared" si="256"/>
        <v>3126.3384951827766</v>
      </c>
      <c r="BY116" s="283">
        <f t="shared" si="256"/>
        <v>3134.1543414207331</v>
      </c>
      <c r="BZ116" s="283">
        <f t="shared" si="256"/>
        <v>3141.9897272742851</v>
      </c>
      <c r="CA116" s="283">
        <f t="shared" si="256"/>
        <v>3149.8447015924708</v>
      </c>
      <c r="CB116" s="283">
        <f t="shared" si="256"/>
        <v>3157.7193133464516</v>
      </c>
      <c r="CC116" s="283">
        <f t="shared" si="256"/>
        <v>3165.613611629818</v>
      </c>
      <c r="CD116" s="283">
        <f t="shared" si="256"/>
        <v>3173.5276456588922</v>
      </c>
      <c r="CE116" s="283">
        <f t="shared" si="256"/>
        <v>3181.4614647730396</v>
      </c>
      <c r="CF116" s="283">
        <f t="shared" si="256"/>
        <v>3189.4151184349721</v>
      </c>
      <c r="CG116" s="283">
        <f t="shared" si="256"/>
        <v>3197.388656231059</v>
      </c>
      <c r="CH116" s="283">
        <f t="shared" si="256"/>
        <v>3205.3821278716368</v>
      </c>
      <c r="CI116" s="283">
        <f t="shared" si="256"/>
        <v>3213.3955831913158</v>
      </c>
      <c r="CJ116" s="283">
        <f t="shared" si="256"/>
        <v>3221.4290721492935</v>
      </c>
      <c r="CK116" s="283">
        <f t="shared" si="256"/>
        <v>3229.4826448296667</v>
      </c>
      <c r="CL116" s="283">
        <f t="shared" si="256"/>
        <v>3237.5563514417408</v>
      </c>
      <c r="CM116" s="283">
        <f t="shared" si="256"/>
        <v>3245.6502423203456</v>
      </c>
      <c r="CN116" s="283">
        <f t="shared" si="256"/>
        <v>3253.7643679261464</v>
      </c>
      <c r="CO116" s="283">
        <f t="shared" si="256"/>
        <v>3261.8987788459617</v>
      </c>
      <c r="CP116" s="283">
        <f t="shared" si="256"/>
        <v>3270.0535257930765</v>
      </c>
      <c r="CQ116" s="283">
        <f t="shared" si="256"/>
        <v>3278.2286596075583</v>
      </c>
      <c r="CR116" s="283">
        <f t="shared" si="256"/>
        <v>3286.4242312565771</v>
      </c>
      <c r="CS116" s="283">
        <f t="shared" si="256"/>
        <v>3294.6402918347185</v>
      </c>
      <c r="CT116" s="283">
        <f t="shared" si="256"/>
        <v>3302.8768925643049</v>
      </c>
      <c r="CU116" s="283">
        <f t="shared" si="256"/>
        <v>3311.1340847957154</v>
      </c>
      <c r="CV116" s="283">
        <f t="shared" si="256"/>
        <v>3319.4119200077048</v>
      </c>
      <c r="CW116" s="283">
        <f t="shared" si="256"/>
        <v>3327.7104498077238</v>
      </c>
      <c r="CX116" s="283">
        <f t="shared" si="256"/>
        <v>3336.0297259322429</v>
      </c>
      <c r="CY116" s="283">
        <f t="shared" si="256"/>
        <v>3344.3698002470737</v>
      </c>
      <c r="CZ116" s="283">
        <f t="shared" si="256"/>
        <v>3352.7307247476911</v>
      </c>
      <c r="DA116" s="283">
        <f t="shared" si="256"/>
        <v>3361.1125515595604</v>
      </c>
      <c r="DB116" s="283">
        <f t="shared" si="256"/>
        <v>3369.5153329384584</v>
      </c>
      <c r="DC116" s="283">
        <f t="shared" si="256"/>
        <v>3377.9391212708047</v>
      </c>
      <c r="DD116" s="283">
        <f t="shared" si="256"/>
        <v>3386.3839690739815</v>
      </c>
      <c r="DE116" s="283">
        <f t="shared" si="256"/>
        <v>3394.8499289966662</v>
      </c>
      <c r="DF116" s="283">
        <f t="shared" si="256"/>
        <v>3403.337053819158</v>
      </c>
      <c r="DG116" s="283">
        <f t="shared" si="256"/>
        <v>3411.8453964537061</v>
      </c>
      <c r="DH116" s="283">
        <f t="shared" si="256"/>
        <v>3420.3750099448403</v>
      </c>
      <c r="DI116" s="283">
        <f t="shared" si="256"/>
        <v>3428.9259474697019</v>
      </c>
      <c r="DJ116" s="283">
        <f t="shared" si="256"/>
        <v>3437.4982623383762</v>
      </c>
      <c r="DK116" s="283">
        <f t="shared" si="256"/>
        <v>3446.0920079942221</v>
      </c>
      <c r="DL116" s="283">
        <f t="shared" si="256"/>
        <v>3454.7072380142072</v>
      </c>
      <c r="DM116" s="283">
        <f t="shared" si="256"/>
        <v>3463.3440061092424</v>
      </c>
      <c r="DN116" s="283">
        <f t="shared" si="256"/>
        <v>3472.002366124515</v>
      </c>
      <c r="DO116" s="283">
        <f t="shared" si="256"/>
        <v>3480.6823720398261</v>
      </c>
      <c r="DP116" s="283">
        <f t="shared" si="256"/>
        <v>3489.3840779699258</v>
      </c>
      <c r="DQ116" s="283">
        <f t="shared" si="256"/>
        <v>3498.1075381648502</v>
      </c>
      <c r="DR116" s="283">
        <f t="shared" si="256"/>
        <v>3506.852807010262</v>
      </c>
      <c r="DS116" s="283">
        <f t="shared" si="256"/>
        <v>3515.6199390277875</v>
      </c>
      <c r="DT116" s="283">
        <f t="shared" si="256"/>
        <v>3524.408988875357</v>
      </c>
      <c r="DU116" s="283">
        <f t="shared" si="256"/>
        <v>3533.2200113475451</v>
      </c>
      <c r="DV116" s="283">
        <f t="shared" si="256"/>
        <v>3542.0530613759138</v>
      </c>
      <c r="DW116" s="283">
        <f t="shared" si="256"/>
        <v>3550.9081940293536</v>
      </c>
      <c r="DX116" s="283">
        <f t="shared" si="256"/>
        <v>3559.7854645144271</v>
      </c>
      <c r="DY116" s="283">
        <f t="shared" si="256"/>
        <v>3568.6849281757127</v>
      </c>
      <c r="DZ116" s="283">
        <f t="shared" si="256"/>
        <v>3577.6066404961512</v>
      </c>
      <c r="EA116" s="283">
        <f t="shared" si="256"/>
        <v>3586.5506570973921</v>
      </c>
      <c r="EB116" s="283">
        <f t="shared" si="256"/>
        <v>3595.517033740135</v>
      </c>
      <c r="EC116" s="283">
        <f t="shared" si="256"/>
        <v>3604.5058263244855</v>
      </c>
      <c r="ED116" s="283">
        <f t="shared" si="256"/>
        <v>3613.5170908902965</v>
      </c>
      <c r="EE116" s="283">
        <f t="shared" ref="EE116:FF116" si="257">SUM(EE113:EE115)</f>
        <v>3622.5508836175222</v>
      </c>
      <c r="EF116" s="283">
        <f t="shared" si="257"/>
        <v>3631.6072608265658</v>
      </c>
      <c r="EG116" s="283">
        <f t="shared" si="257"/>
        <v>3640.6862789786319</v>
      </c>
      <c r="EH116" s="283">
        <f t="shared" si="257"/>
        <v>3649.7879946760781</v>
      </c>
      <c r="EI116" s="283">
        <f t="shared" si="257"/>
        <v>3658.9124646627674</v>
      </c>
      <c r="EJ116" s="283">
        <f t="shared" si="257"/>
        <v>3668.0597458244242</v>
      </c>
      <c r="EK116" s="283">
        <f t="shared" si="257"/>
        <v>3677.2298951889848</v>
      </c>
      <c r="EL116" s="283">
        <f t="shared" si="257"/>
        <v>3686.4229699269572</v>
      </c>
      <c r="EM116" s="283">
        <f t="shared" si="257"/>
        <v>3695.6390273517745</v>
      </c>
      <c r="EN116" s="283">
        <f t="shared" si="257"/>
        <v>3704.8781249201538</v>
      </c>
      <c r="EO116" s="283">
        <f t="shared" si="257"/>
        <v>3714.1403202324536</v>
      </c>
      <c r="EP116" s="283">
        <f t="shared" si="257"/>
        <v>3723.4256710330346</v>
      </c>
      <c r="EQ116" s="283">
        <f t="shared" si="257"/>
        <v>3732.734235210617</v>
      </c>
      <c r="ER116" s="283">
        <f t="shared" si="257"/>
        <v>3742.0660707986435</v>
      </c>
      <c r="ES116" s="283">
        <f t="shared" si="257"/>
        <v>3751.4212359756398</v>
      </c>
      <c r="ET116" s="283">
        <f t="shared" si="257"/>
        <v>3760.7997890655788</v>
      </c>
      <c r="EU116" s="283">
        <f t="shared" si="257"/>
        <v>3770.2017885382425</v>
      </c>
      <c r="EV116" s="283">
        <f t="shared" si="257"/>
        <v>3779.6272930095879</v>
      </c>
      <c r="EW116" s="283">
        <f t="shared" si="257"/>
        <v>3789.0763612421119</v>
      </c>
      <c r="EX116" s="283">
        <f t="shared" si="257"/>
        <v>3798.549052145217</v>
      </c>
      <c r="EY116" s="283">
        <f t="shared" si="257"/>
        <v>3808.0454247755802</v>
      </c>
      <c r="EZ116" s="283">
        <f t="shared" si="257"/>
        <v>3817.5655383375188</v>
      </c>
      <c r="FA116" s="283">
        <f t="shared" si="257"/>
        <v>3827.109452183362</v>
      </c>
      <c r="FB116" s="283">
        <f t="shared" si="257"/>
        <v>3836.6772258138199</v>
      </c>
      <c r="FC116" s="283">
        <f t="shared" si="257"/>
        <v>3846.2689188783547</v>
      </c>
      <c r="FD116" s="283">
        <f t="shared" si="257"/>
        <v>3855.8845911755502</v>
      </c>
      <c r="FE116" s="283">
        <f t="shared" si="257"/>
        <v>3865.524302653489</v>
      </c>
      <c r="FF116" s="283">
        <f t="shared" si="257"/>
        <v>3875.1881134101222</v>
      </c>
      <c r="FG116" s="325"/>
      <c r="FH116" s="283">
        <f>SUMIF($F$54:$FF$54,FH$54,$F116:$FF116)</f>
        <v>15888.388156451987</v>
      </c>
      <c r="FI116" s="283">
        <f t="shared" si="254"/>
        <v>32499.857175672347</v>
      </c>
      <c r="FJ116" s="283">
        <f t="shared" si="254"/>
        <v>33488.371431222709</v>
      </c>
      <c r="FK116" s="283">
        <f t="shared" si="254"/>
        <v>34506.952293778282</v>
      </c>
      <c r="FL116" s="283">
        <f t="shared" si="254"/>
        <v>35556.514267962266</v>
      </c>
      <c r="FM116" s="283">
        <f t="shared" si="254"/>
        <v>36637.999673931088</v>
      </c>
      <c r="FN116" s="283">
        <f t="shared" si="254"/>
        <v>37752.379493410437</v>
      </c>
      <c r="FO116" s="283">
        <f t="shared" si="254"/>
        <v>38900.654241464377</v>
      </c>
      <c r="FP116" s="283">
        <f t="shared" si="254"/>
        <v>40083.854864779983</v>
      </c>
      <c r="FQ116" s="283">
        <f t="shared" si="254"/>
        <v>41303.043667274382</v>
      </c>
      <c r="FR116" s="283">
        <f t="shared" si="254"/>
        <v>42559.315263854893</v>
      </c>
      <c r="FS116" s="283">
        <f t="shared" si="254"/>
        <v>43853.797563188644</v>
      </c>
      <c r="FT116" s="283">
        <f t="shared" si="254"/>
        <v>45187.652780364217</v>
      </c>
      <c r="FU116" s="283">
        <f t="shared" si="254"/>
        <v>23106.652604114701</v>
      </c>
      <c r="FV116" s="325"/>
    </row>
    <row r="117" spans="3:178" x14ac:dyDescent="0.2">
      <c r="E117" s="231"/>
    </row>
    <row r="118" spans="3:178" s="277" customFormat="1" x14ac:dyDescent="0.2">
      <c r="C118" s="274" t="s">
        <v>185</v>
      </c>
      <c r="D118" s="275"/>
      <c r="E118" s="276">
        <f>SUM(F118:FF118)</f>
        <v>7064419.1679973807</v>
      </c>
      <c r="F118" s="274">
        <f>(F110-F116)*(F53&lt;=$I$12)</f>
        <v>0</v>
      </c>
      <c r="G118" s="274">
        <f t="shared" ref="G118:BR118" si="258">(G110-G116)*(G53&lt;=$I$12)</f>
        <v>65201.564856093741</v>
      </c>
      <c r="H118" s="274">
        <f t="shared" si="258"/>
        <v>65364.568768233978</v>
      </c>
      <c r="I118" s="274">
        <f t="shared" si="258"/>
        <v>65527.980190154572</v>
      </c>
      <c r="J118" s="274">
        <f t="shared" si="258"/>
        <v>65691.80014062993</v>
      </c>
      <c r="K118" s="274">
        <f t="shared" si="258"/>
        <v>65856.02964098152</v>
      </c>
      <c r="L118" s="274">
        <f t="shared" si="258"/>
        <v>66020.669715083961</v>
      </c>
      <c r="M118" s="274">
        <f t="shared" si="258"/>
        <v>66185.721389371669</v>
      </c>
      <c r="N118" s="274">
        <f t="shared" si="258"/>
        <v>66351.185692845087</v>
      </c>
      <c r="O118" s="274">
        <f t="shared" si="258"/>
        <v>66517.063657077219</v>
      </c>
      <c r="P118" s="274">
        <f t="shared" si="258"/>
        <v>66683.356316219899</v>
      </c>
      <c r="Q118" s="274">
        <f t="shared" si="258"/>
        <v>66850.064707010431</v>
      </c>
      <c r="R118" s="274">
        <f t="shared" si="258"/>
        <v>67017.189868777961</v>
      </c>
      <c r="S118" s="274">
        <f t="shared" si="258"/>
        <v>67184.732843449936</v>
      </c>
      <c r="T118" s="274">
        <f t="shared" si="258"/>
        <v>67352.694675558538</v>
      </c>
      <c r="U118" s="274">
        <f t="shared" si="258"/>
        <v>67521.076412247421</v>
      </c>
      <c r="V118" s="274">
        <f t="shared" si="258"/>
        <v>67689.879103278043</v>
      </c>
      <c r="W118" s="274">
        <f t="shared" si="258"/>
        <v>67859.103801036239</v>
      </c>
      <c r="X118" s="274">
        <f t="shared" si="258"/>
        <v>68028.751560538833</v>
      </c>
      <c r="Y118" s="274">
        <f t="shared" si="258"/>
        <v>68198.823439440166</v>
      </c>
      <c r="Z118" s="274">
        <f t="shared" si="258"/>
        <v>68369.320498038782</v>
      </c>
      <c r="AA118" s="274">
        <f t="shared" si="258"/>
        <v>68540.243799283882</v>
      </c>
      <c r="AB118" s="274">
        <f t="shared" si="258"/>
        <v>68711.594408782097</v>
      </c>
      <c r="AC118" s="274">
        <f t="shared" si="258"/>
        <v>68883.373394804046</v>
      </c>
      <c r="AD118" s="274">
        <f t="shared" si="258"/>
        <v>69055.581828291048</v>
      </c>
      <c r="AE118" s="274">
        <f t="shared" si="258"/>
        <v>69228.220782861783</v>
      </c>
      <c r="AF118" s="274">
        <f t="shared" si="258"/>
        <v>69401.291334818932</v>
      </c>
      <c r="AG118" s="274">
        <f t="shared" si="258"/>
        <v>69574.794563155985</v>
      </c>
      <c r="AH118" s="274">
        <f t="shared" si="258"/>
        <v>69748.731549563861</v>
      </c>
      <c r="AI118" s="274">
        <f t="shared" si="258"/>
        <v>69923.10337843778</v>
      </c>
      <c r="AJ118" s="274">
        <f t="shared" si="258"/>
        <v>70097.911136883878</v>
      </c>
      <c r="AK118" s="274">
        <f t="shared" si="258"/>
        <v>70273.155914726056</v>
      </c>
      <c r="AL118" s="274">
        <f t="shared" si="258"/>
        <v>70448.838804512896</v>
      </c>
      <c r="AM118" s="274">
        <f t="shared" si="258"/>
        <v>70624.960901524173</v>
      </c>
      <c r="AN118" s="274">
        <f t="shared" si="258"/>
        <v>70801.523303777969</v>
      </c>
      <c r="AO118" s="274">
        <f t="shared" si="258"/>
        <v>70978.527112037409</v>
      </c>
      <c r="AP118" s="274">
        <f t="shared" si="258"/>
        <v>71155.973429817503</v>
      </c>
      <c r="AQ118" s="274">
        <f t="shared" si="258"/>
        <v>71333.863363392025</v>
      </c>
      <c r="AR118" s="274">
        <f t="shared" si="258"/>
        <v>71512.198021800505</v>
      </c>
      <c r="AS118" s="274">
        <f t="shared" si="258"/>
        <v>71690.97851685503</v>
      </c>
      <c r="AT118" s="274">
        <f t="shared" si="258"/>
        <v>71870.205963147149</v>
      </c>
      <c r="AU118" s="274">
        <f t="shared" si="258"/>
        <v>72049.881478054987</v>
      </c>
      <c r="AV118" s="274">
        <f t="shared" si="258"/>
        <v>72230.006181750141</v>
      </c>
      <c r="AW118" s="274">
        <f t="shared" si="258"/>
        <v>72410.581197204505</v>
      </c>
      <c r="AX118" s="274">
        <f t="shared" si="258"/>
        <v>72591.607650197519</v>
      </c>
      <c r="AY118" s="274">
        <f t="shared" si="258"/>
        <v>72773.08666932302</v>
      </c>
      <c r="AZ118" s="274">
        <f t="shared" si="258"/>
        <v>72955.019385996347</v>
      </c>
      <c r="BA118" s="274">
        <f t="shared" si="258"/>
        <v>73137.406934461353</v>
      </c>
      <c r="BB118" s="274">
        <f t="shared" si="258"/>
        <v>73320.250451797503</v>
      </c>
      <c r="BC118" s="274">
        <f t="shared" si="258"/>
        <v>73503.551077926983</v>
      </c>
      <c r="BD118" s="274">
        <f t="shared" si="258"/>
        <v>73687.309955621778</v>
      </c>
      <c r="BE118" s="274">
        <f t="shared" si="258"/>
        <v>73871.528230510841</v>
      </c>
      <c r="BF118" s="274">
        <f t="shared" si="258"/>
        <v>74056.207051087069</v>
      </c>
      <c r="BG118" s="274">
        <f t="shared" si="258"/>
        <v>74241.347568714802</v>
      </c>
      <c r="BH118" s="274">
        <f t="shared" si="258"/>
        <v>74426.950937636604</v>
      </c>
      <c r="BI118" s="274">
        <f t="shared" si="258"/>
        <v>74613.018314980698</v>
      </c>
      <c r="BJ118" s="274">
        <f t="shared" si="258"/>
        <v>74799.550860768155</v>
      </c>
      <c r="BK118" s="274">
        <f t="shared" si="258"/>
        <v>74986.549737920039</v>
      </c>
      <c r="BL118" s="274">
        <f t="shared" si="258"/>
        <v>75174.016112264842</v>
      </c>
      <c r="BM118" s="274">
        <f t="shared" si="258"/>
        <v>75361.951152545487</v>
      </c>
      <c r="BN118" s="274">
        <f t="shared" si="258"/>
        <v>75550.356030426832</v>
      </c>
      <c r="BO118" s="274">
        <f t="shared" si="258"/>
        <v>75739.231920502905</v>
      </c>
      <c r="BP118" s="274">
        <f t="shared" si="258"/>
        <v>75928.580000304151</v>
      </c>
      <c r="BQ118" s="274">
        <f t="shared" si="258"/>
        <v>76118.401450304897</v>
      </c>
      <c r="BR118" s="274">
        <f t="shared" si="258"/>
        <v>76308.697453930668</v>
      </c>
      <c r="BS118" s="274">
        <f t="shared" ref="BS118:ED118" si="259">(BS110-BS116)*(BS53&lt;=$I$12)</f>
        <v>76499.469197565501</v>
      </c>
      <c r="BT118" s="274">
        <f t="shared" si="259"/>
        <v>76690.717870559398</v>
      </c>
      <c r="BU118" s="274">
        <f t="shared" si="259"/>
        <v>76882.444665235817</v>
      </c>
      <c r="BV118" s="274">
        <f t="shared" si="259"/>
        <v>77074.65077689891</v>
      </c>
      <c r="BW118" s="274">
        <f t="shared" si="259"/>
        <v>77267.337403841142</v>
      </c>
      <c r="BX118" s="274">
        <f t="shared" si="259"/>
        <v>77460.505747350704</v>
      </c>
      <c r="BY118" s="274">
        <f t="shared" si="259"/>
        <v>77654.157011719086</v>
      </c>
      <c r="BZ118" s="274">
        <f t="shared" si="259"/>
        <v>77848.292404248365</v>
      </c>
      <c r="CA118" s="274">
        <f t="shared" si="259"/>
        <v>78042.913135258961</v>
      </c>
      <c r="CB118" s="274">
        <f t="shared" si="259"/>
        <v>78238.020418097149</v>
      </c>
      <c r="CC118" s="274">
        <f t="shared" si="259"/>
        <v>78433.615469142358</v>
      </c>
      <c r="CD118" s="274">
        <f t="shared" si="259"/>
        <v>78629.699507815225</v>
      </c>
      <c r="CE118" s="274">
        <f t="shared" si="259"/>
        <v>78826.273756584793</v>
      </c>
      <c r="CF118" s="274">
        <f t="shared" si="259"/>
        <v>79023.339440976226</v>
      </c>
      <c r="CG118" s="274">
        <f t="shared" si="259"/>
        <v>79220.897789578623</v>
      </c>
      <c r="CH118" s="274">
        <f t="shared" si="259"/>
        <v>79418.950034052599</v>
      </c>
      <c r="CI118" s="274">
        <f t="shared" si="259"/>
        <v>79617.497409137737</v>
      </c>
      <c r="CJ118" s="274">
        <f t="shared" si="259"/>
        <v>79816.541152660546</v>
      </c>
      <c r="CK118" s="274">
        <f t="shared" si="259"/>
        <v>80016.082505542217</v>
      </c>
      <c r="CL118" s="274">
        <f t="shared" si="259"/>
        <v>80216.122711806063</v>
      </c>
      <c r="CM118" s="274">
        <f t="shared" si="259"/>
        <v>80416.663018585532</v>
      </c>
      <c r="CN118" s="274">
        <f t="shared" si="259"/>
        <v>80617.704676131994</v>
      </c>
      <c r="CO118" s="274">
        <f t="shared" si="259"/>
        <v>80819.24893782234</v>
      </c>
      <c r="CP118" s="274">
        <f t="shared" si="259"/>
        <v>81021.297060166879</v>
      </c>
      <c r="CQ118" s="274">
        <f t="shared" si="259"/>
        <v>81223.8503028173</v>
      </c>
      <c r="CR118" s="274">
        <f t="shared" si="259"/>
        <v>81426.909928574358</v>
      </c>
      <c r="CS118" s="274">
        <f t="shared" si="259"/>
        <v>81630.477203395785</v>
      </c>
      <c r="CT118" s="274">
        <f t="shared" si="259"/>
        <v>81834.55339640427</v>
      </c>
      <c r="CU118" s="274">
        <f t="shared" si="259"/>
        <v>82039.139779895282</v>
      </c>
      <c r="CV118" s="274">
        <f t="shared" si="259"/>
        <v>82244.237629344992</v>
      </c>
      <c r="CW118" s="274">
        <f t="shared" si="259"/>
        <v>82449.848223418376</v>
      </c>
      <c r="CX118" s="274">
        <f t="shared" si="259"/>
        <v>82655.972843976895</v>
      </c>
      <c r="CY118" s="274">
        <f t="shared" si="259"/>
        <v>0</v>
      </c>
      <c r="CZ118" s="274">
        <f t="shared" si="259"/>
        <v>0</v>
      </c>
      <c r="DA118" s="274">
        <f t="shared" si="259"/>
        <v>0</v>
      </c>
      <c r="DB118" s="274">
        <f t="shared" si="259"/>
        <v>0</v>
      </c>
      <c r="DC118" s="274">
        <f t="shared" si="259"/>
        <v>0</v>
      </c>
      <c r="DD118" s="274">
        <f t="shared" si="259"/>
        <v>0</v>
      </c>
      <c r="DE118" s="274">
        <f t="shared" si="259"/>
        <v>0</v>
      </c>
      <c r="DF118" s="274">
        <f t="shared" si="259"/>
        <v>0</v>
      </c>
      <c r="DG118" s="274">
        <f t="shared" si="259"/>
        <v>0</v>
      </c>
      <c r="DH118" s="274">
        <f t="shared" si="259"/>
        <v>0</v>
      </c>
      <c r="DI118" s="274">
        <f t="shared" si="259"/>
        <v>0</v>
      </c>
      <c r="DJ118" s="274">
        <f t="shared" si="259"/>
        <v>0</v>
      </c>
      <c r="DK118" s="274">
        <f t="shared" si="259"/>
        <v>0</v>
      </c>
      <c r="DL118" s="274">
        <f t="shared" si="259"/>
        <v>0</v>
      </c>
      <c r="DM118" s="274">
        <f t="shared" si="259"/>
        <v>0</v>
      </c>
      <c r="DN118" s="274">
        <f t="shared" si="259"/>
        <v>0</v>
      </c>
      <c r="DO118" s="274">
        <f t="shared" si="259"/>
        <v>0</v>
      </c>
      <c r="DP118" s="274">
        <f t="shared" si="259"/>
        <v>0</v>
      </c>
      <c r="DQ118" s="274">
        <f t="shared" si="259"/>
        <v>0</v>
      </c>
      <c r="DR118" s="274">
        <f t="shared" si="259"/>
        <v>0</v>
      </c>
      <c r="DS118" s="274">
        <f t="shared" si="259"/>
        <v>0</v>
      </c>
      <c r="DT118" s="274">
        <f t="shared" si="259"/>
        <v>0</v>
      </c>
      <c r="DU118" s="274">
        <f t="shared" si="259"/>
        <v>0</v>
      </c>
      <c r="DV118" s="274">
        <f t="shared" si="259"/>
        <v>0</v>
      </c>
      <c r="DW118" s="274">
        <f t="shared" si="259"/>
        <v>0</v>
      </c>
      <c r="DX118" s="274">
        <f t="shared" si="259"/>
        <v>0</v>
      </c>
      <c r="DY118" s="274">
        <f t="shared" si="259"/>
        <v>0</v>
      </c>
      <c r="DZ118" s="274">
        <f t="shared" si="259"/>
        <v>0</v>
      </c>
      <c r="EA118" s="274">
        <f t="shared" si="259"/>
        <v>0</v>
      </c>
      <c r="EB118" s="274">
        <f t="shared" si="259"/>
        <v>0</v>
      </c>
      <c r="EC118" s="274">
        <f t="shared" si="259"/>
        <v>0</v>
      </c>
      <c r="ED118" s="274">
        <f t="shared" si="259"/>
        <v>0</v>
      </c>
      <c r="EE118" s="274">
        <f t="shared" ref="EE118:FF118" si="260">(EE110-EE116)*(EE53&lt;=$I$12)</f>
        <v>0</v>
      </c>
      <c r="EF118" s="274">
        <f t="shared" si="260"/>
        <v>0</v>
      </c>
      <c r="EG118" s="274">
        <f t="shared" si="260"/>
        <v>0</v>
      </c>
      <c r="EH118" s="274">
        <f t="shared" si="260"/>
        <v>0</v>
      </c>
      <c r="EI118" s="274">
        <f t="shared" si="260"/>
        <v>0</v>
      </c>
      <c r="EJ118" s="274">
        <f t="shared" si="260"/>
        <v>0</v>
      </c>
      <c r="EK118" s="274">
        <f t="shared" si="260"/>
        <v>0</v>
      </c>
      <c r="EL118" s="274">
        <f t="shared" si="260"/>
        <v>0</v>
      </c>
      <c r="EM118" s="274">
        <f t="shared" si="260"/>
        <v>0</v>
      </c>
      <c r="EN118" s="274">
        <f t="shared" si="260"/>
        <v>0</v>
      </c>
      <c r="EO118" s="274">
        <f t="shared" si="260"/>
        <v>0</v>
      </c>
      <c r="EP118" s="274">
        <f t="shared" si="260"/>
        <v>0</v>
      </c>
      <c r="EQ118" s="274">
        <f t="shared" si="260"/>
        <v>0</v>
      </c>
      <c r="ER118" s="274">
        <f t="shared" si="260"/>
        <v>0</v>
      </c>
      <c r="ES118" s="274">
        <f t="shared" si="260"/>
        <v>0</v>
      </c>
      <c r="ET118" s="274">
        <f t="shared" si="260"/>
        <v>0</v>
      </c>
      <c r="EU118" s="274">
        <f t="shared" si="260"/>
        <v>0</v>
      </c>
      <c r="EV118" s="274">
        <f t="shared" si="260"/>
        <v>0</v>
      </c>
      <c r="EW118" s="274">
        <f t="shared" si="260"/>
        <v>0</v>
      </c>
      <c r="EX118" s="274">
        <f t="shared" si="260"/>
        <v>0</v>
      </c>
      <c r="EY118" s="274">
        <f t="shared" si="260"/>
        <v>0</v>
      </c>
      <c r="EZ118" s="274">
        <f t="shared" si="260"/>
        <v>0</v>
      </c>
      <c r="FA118" s="274">
        <f t="shared" si="260"/>
        <v>0</v>
      </c>
      <c r="FB118" s="274">
        <f t="shared" si="260"/>
        <v>0</v>
      </c>
      <c r="FC118" s="274">
        <f t="shared" si="260"/>
        <v>0</v>
      </c>
      <c r="FD118" s="274">
        <f t="shared" si="260"/>
        <v>0</v>
      </c>
      <c r="FE118" s="274">
        <f t="shared" si="260"/>
        <v>0</v>
      </c>
      <c r="FF118" s="274">
        <f t="shared" si="260"/>
        <v>0</v>
      </c>
      <c r="FG118" s="288"/>
      <c r="FH118" s="274">
        <f>SUMIF($F$54:$FF$54,FH$54,$F118:$FF118)</f>
        <v>393662.6133111777</v>
      </c>
      <c r="FI118" s="274">
        <f t="shared" ref="FI118:FU118" si="261">SUMIF($F$54:$FF$54,FI$54,$F118:$FF118)</f>
        <v>805240.82002741122</v>
      </c>
      <c r="FJ118" s="274">
        <f t="shared" si="261"/>
        <v>829732.99011436221</v>
      </c>
      <c r="FK118" s="274">
        <f t="shared" si="261"/>
        <v>854970.11299139587</v>
      </c>
      <c r="FL118" s="274">
        <f t="shared" si="261"/>
        <v>880974.84711047821</v>
      </c>
      <c r="FM118" s="274">
        <f t="shared" si="261"/>
        <v>907770.54010207357</v>
      </c>
      <c r="FN118" s="274">
        <f t="shared" si="261"/>
        <v>935381.24973716866</v>
      </c>
      <c r="FO118" s="274">
        <f t="shared" si="261"/>
        <v>963831.76552687609</v>
      </c>
      <c r="FP118" s="274">
        <f t="shared" si="261"/>
        <v>492854.22907643567</v>
      </c>
      <c r="FQ118" s="274">
        <f t="shared" si="261"/>
        <v>0</v>
      </c>
      <c r="FR118" s="274">
        <f t="shared" si="261"/>
        <v>0</v>
      </c>
      <c r="FS118" s="274">
        <f t="shared" si="261"/>
        <v>0</v>
      </c>
      <c r="FT118" s="274">
        <f t="shared" si="261"/>
        <v>0</v>
      </c>
      <c r="FU118" s="274">
        <f t="shared" si="261"/>
        <v>0</v>
      </c>
      <c r="FV118" s="288"/>
    </row>
    <row r="119" spans="3:178" x14ac:dyDescent="0.2">
      <c r="C119" s="47"/>
      <c r="E119" s="224"/>
    </row>
    <row r="120" spans="3:178" x14ac:dyDescent="0.2">
      <c r="C120" s="39" t="s">
        <v>157</v>
      </c>
      <c r="E120" s="231">
        <f>SUM(F120:FF120)</f>
        <v>0</v>
      </c>
      <c r="F120" s="232">
        <f>IF(F55&lt;=$H$12,MIN(F118,0),0)</f>
        <v>0</v>
      </c>
      <c r="G120" s="232">
        <f>G118*(G118&lt;0)</f>
        <v>0</v>
      </c>
      <c r="H120" s="232">
        <f t="shared" ref="H120:BS120" si="262">H118*(H118&lt;0)</f>
        <v>0</v>
      </c>
      <c r="I120" s="232">
        <f t="shared" si="262"/>
        <v>0</v>
      </c>
      <c r="J120" s="232">
        <f t="shared" si="262"/>
        <v>0</v>
      </c>
      <c r="K120" s="232">
        <f t="shared" si="262"/>
        <v>0</v>
      </c>
      <c r="L120" s="232">
        <f t="shared" si="262"/>
        <v>0</v>
      </c>
      <c r="M120" s="232">
        <f t="shared" si="262"/>
        <v>0</v>
      </c>
      <c r="N120" s="232">
        <f t="shared" si="262"/>
        <v>0</v>
      </c>
      <c r="O120" s="232">
        <f t="shared" si="262"/>
        <v>0</v>
      </c>
      <c r="P120" s="232">
        <f t="shared" si="262"/>
        <v>0</v>
      </c>
      <c r="Q120" s="232">
        <f t="shared" si="262"/>
        <v>0</v>
      </c>
      <c r="R120" s="232">
        <f t="shared" si="262"/>
        <v>0</v>
      </c>
      <c r="S120" s="232">
        <f t="shared" si="262"/>
        <v>0</v>
      </c>
      <c r="T120" s="232">
        <f t="shared" si="262"/>
        <v>0</v>
      </c>
      <c r="U120" s="232">
        <f t="shared" si="262"/>
        <v>0</v>
      </c>
      <c r="V120" s="232">
        <f t="shared" si="262"/>
        <v>0</v>
      </c>
      <c r="W120" s="232">
        <f t="shared" si="262"/>
        <v>0</v>
      </c>
      <c r="X120" s="232">
        <f t="shared" si="262"/>
        <v>0</v>
      </c>
      <c r="Y120" s="232">
        <f t="shared" si="262"/>
        <v>0</v>
      </c>
      <c r="Z120" s="232">
        <f t="shared" si="262"/>
        <v>0</v>
      </c>
      <c r="AA120" s="232">
        <f t="shared" si="262"/>
        <v>0</v>
      </c>
      <c r="AB120" s="232">
        <f t="shared" si="262"/>
        <v>0</v>
      </c>
      <c r="AC120" s="232">
        <f t="shared" si="262"/>
        <v>0</v>
      </c>
      <c r="AD120" s="232">
        <f t="shared" si="262"/>
        <v>0</v>
      </c>
      <c r="AE120" s="232">
        <f t="shared" si="262"/>
        <v>0</v>
      </c>
      <c r="AF120" s="232">
        <f t="shared" si="262"/>
        <v>0</v>
      </c>
      <c r="AG120" s="232">
        <f t="shared" si="262"/>
        <v>0</v>
      </c>
      <c r="AH120" s="232">
        <f t="shared" si="262"/>
        <v>0</v>
      </c>
      <c r="AI120" s="232">
        <f t="shared" si="262"/>
        <v>0</v>
      </c>
      <c r="AJ120" s="232">
        <f t="shared" si="262"/>
        <v>0</v>
      </c>
      <c r="AK120" s="232">
        <f t="shared" si="262"/>
        <v>0</v>
      </c>
      <c r="AL120" s="232">
        <f t="shared" si="262"/>
        <v>0</v>
      </c>
      <c r="AM120" s="232">
        <f t="shared" si="262"/>
        <v>0</v>
      </c>
      <c r="AN120" s="232">
        <f t="shared" si="262"/>
        <v>0</v>
      </c>
      <c r="AO120" s="232">
        <f t="shared" si="262"/>
        <v>0</v>
      </c>
      <c r="AP120" s="232">
        <f t="shared" si="262"/>
        <v>0</v>
      </c>
      <c r="AQ120" s="232">
        <f t="shared" si="262"/>
        <v>0</v>
      </c>
      <c r="AR120" s="232">
        <f t="shared" si="262"/>
        <v>0</v>
      </c>
      <c r="AS120" s="232">
        <f t="shared" si="262"/>
        <v>0</v>
      </c>
      <c r="AT120" s="232">
        <f t="shared" si="262"/>
        <v>0</v>
      </c>
      <c r="AU120" s="232">
        <f t="shared" si="262"/>
        <v>0</v>
      </c>
      <c r="AV120" s="232">
        <f t="shared" si="262"/>
        <v>0</v>
      </c>
      <c r="AW120" s="232">
        <f t="shared" si="262"/>
        <v>0</v>
      </c>
      <c r="AX120" s="232">
        <f t="shared" si="262"/>
        <v>0</v>
      </c>
      <c r="AY120" s="232">
        <f t="shared" si="262"/>
        <v>0</v>
      </c>
      <c r="AZ120" s="232">
        <f t="shared" si="262"/>
        <v>0</v>
      </c>
      <c r="BA120" s="232">
        <f t="shared" si="262"/>
        <v>0</v>
      </c>
      <c r="BB120" s="232">
        <f t="shared" si="262"/>
        <v>0</v>
      </c>
      <c r="BC120" s="232">
        <f t="shared" si="262"/>
        <v>0</v>
      </c>
      <c r="BD120" s="232">
        <f t="shared" si="262"/>
        <v>0</v>
      </c>
      <c r="BE120" s="232">
        <f t="shared" si="262"/>
        <v>0</v>
      </c>
      <c r="BF120" s="232">
        <f t="shared" si="262"/>
        <v>0</v>
      </c>
      <c r="BG120" s="232">
        <f t="shared" si="262"/>
        <v>0</v>
      </c>
      <c r="BH120" s="232">
        <f t="shared" si="262"/>
        <v>0</v>
      </c>
      <c r="BI120" s="232">
        <f t="shared" si="262"/>
        <v>0</v>
      </c>
      <c r="BJ120" s="232">
        <f t="shared" si="262"/>
        <v>0</v>
      </c>
      <c r="BK120" s="232">
        <f t="shared" si="262"/>
        <v>0</v>
      </c>
      <c r="BL120" s="232">
        <f t="shared" si="262"/>
        <v>0</v>
      </c>
      <c r="BM120" s="232">
        <f t="shared" si="262"/>
        <v>0</v>
      </c>
      <c r="BN120" s="232">
        <f t="shared" si="262"/>
        <v>0</v>
      </c>
      <c r="BO120" s="232">
        <f t="shared" si="262"/>
        <v>0</v>
      </c>
      <c r="BP120" s="232">
        <f t="shared" si="262"/>
        <v>0</v>
      </c>
      <c r="BQ120" s="232">
        <f t="shared" si="262"/>
        <v>0</v>
      </c>
      <c r="BR120" s="232">
        <f t="shared" si="262"/>
        <v>0</v>
      </c>
      <c r="BS120" s="232">
        <f t="shared" si="262"/>
        <v>0</v>
      </c>
      <c r="BT120" s="232">
        <f t="shared" ref="BT120:EE120" si="263">BT118*(BT118&lt;0)</f>
        <v>0</v>
      </c>
      <c r="BU120" s="232">
        <f t="shared" si="263"/>
        <v>0</v>
      </c>
      <c r="BV120" s="232">
        <f t="shared" si="263"/>
        <v>0</v>
      </c>
      <c r="BW120" s="232">
        <f t="shared" si="263"/>
        <v>0</v>
      </c>
      <c r="BX120" s="232">
        <f t="shared" si="263"/>
        <v>0</v>
      </c>
      <c r="BY120" s="232">
        <f t="shared" si="263"/>
        <v>0</v>
      </c>
      <c r="BZ120" s="232">
        <f t="shared" si="263"/>
        <v>0</v>
      </c>
      <c r="CA120" s="232">
        <f t="shared" si="263"/>
        <v>0</v>
      </c>
      <c r="CB120" s="232">
        <f t="shared" si="263"/>
        <v>0</v>
      </c>
      <c r="CC120" s="232">
        <f t="shared" si="263"/>
        <v>0</v>
      </c>
      <c r="CD120" s="232">
        <f t="shared" si="263"/>
        <v>0</v>
      </c>
      <c r="CE120" s="232">
        <f t="shared" si="263"/>
        <v>0</v>
      </c>
      <c r="CF120" s="232">
        <f t="shared" si="263"/>
        <v>0</v>
      </c>
      <c r="CG120" s="232">
        <f t="shared" si="263"/>
        <v>0</v>
      </c>
      <c r="CH120" s="232">
        <f t="shared" si="263"/>
        <v>0</v>
      </c>
      <c r="CI120" s="232">
        <f t="shared" si="263"/>
        <v>0</v>
      </c>
      <c r="CJ120" s="232">
        <f t="shared" si="263"/>
        <v>0</v>
      </c>
      <c r="CK120" s="232">
        <f t="shared" si="263"/>
        <v>0</v>
      </c>
      <c r="CL120" s="232">
        <f t="shared" si="263"/>
        <v>0</v>
      </c>
      <c r="CM120" s="232">
        <f t="shared" si="263"/>
        <v>0</v>
      </c>
      <c r="CN120" s="232">
        <f t="shared" si="263"/>
        <v>0</v>
      </c>
      <c r="CO120" s="232">
        <f t="shared" si="263"/>
        <v>0</v>
      </c>
      <c r="CP120" s="232">
        <f t="shared" si="263"/>
        <v>0</v>
      </c>
      <c r="CQ120" s="232">
        <f t="shared" si="263"/>
        <v>0</v>
      </c>
      <c r="CR120" s="232">
        <f t="shared" si="263"/>
        <v>0</v>
      </c>
      <c r="CS120" s="232">
        <f t="shared" si="263"/>
        <v>0</v>
      </c>
      <c r="CT120" s="232">
        <f t="shared" si="263"/>
        <v>0</v>
      </c>
      <c r="CU120" s="232">
        <f t="shared" si="263"/>
        <v>0</v>
      </c>
      <c r="CV120" s="232">
        <f t="shared" si="263"/>
        <v>0</v>
      </c>
      <c r="CW120" s="232">
        <f t="shared" si="263"/>
        <v>0</v>
      </c>
      <c r="CX120" s="232">
        <f t="shared" si="263"/>
        <v>0</v>
      </c>
      <c r="CY120" s="232">
        <f t="shared" si="263"/>
        <v>0</v>
      </c>
      <c r="CZ120" s="232">
        <f t="shared" si="263"/>
        <v>0</v>
      </c>
      <c r="DA120" s="232">
        <f t="shared" si="263"/>
        <v>0</v>
      </c>
      <c r="DB120" s="232">
        <f t="shared" si="263"/>
        <v>0</v>
      </c>
      <c r="DC120" s="232">
        <f t="shared" si="263"/>
        <v>0</v>
      </c>
      <c r="DD120" s="232">
        <f t="shared" si="263"/>
        <v>0</v>
      </c>
      <c r="DE120" s="232">
        <f t="shared" si="263"/>
        <v>0</v>
      </c>
      <c r="DF120" s="232">
        <f t="shared" si="263"/>
        <v>0</v>
      </c>
      <c r="DG120" s="232">
        <f t="shared" si="263"/>
        <v>0</v>
      </c>
      <c r="DH120" s="232">
        <f t="shared" si="263"/>
        <v>0</v>
      </c>
      <c r="DI120" s="232">
        <f t="shared" si="263"/>
        <v>0</v>
      </c>
      <c r="DJ120" s="232">
        <f t="shared" si="263"/>
        <v>0</v>
      </c>
      <c r="DK120" s="232">
        <f t="shared" si="263"/>
        <v>0</v>
      </c>
      <c r="DL120" s="232">
        <f t="shared" si="263"/>
        <v>0</v>
      </c>
      <c r="DM120" s="232">
        <f t="shared" si="263"/>
        <v>0</v>
      </c>
      <c r="DN120" s="232">
        <f t="shared" si="263"/>
        <v>0</v>
      </c>
      <c r="DO120" s="232">
        <f t="shared" si="263"/>
        <v>0</v>
      </c>
      <c r="DP120" s="232">
        <f t="shared" si="263"/>
        <v>0</v>
      </c>
      <c r="DQ120" s="232">
        <f t="shared" si="263"/>
        <v>0</v>
      </c>
      <c r="DR120" s="232">
        <f t="shared" si="263"/>
        <v>0</v>
      </c>
      <c r="DS120" s="232">
        <f t="shared" si="263"/>
        <v>0</v>
      </c>
      <c r="DT120" s="232">
        <f t="shared" si="263"/>
        <v>0</v>
      </c>
      <c r="DU120" s="232">
        <f t="shared" si="263"/>
        <v>0</v>
      </c>
      <c r="DV120" s="232">
        <f t="shared" si="263"/>
        <v>0</v>
      </c>
      <c r="DW120" s="232">
        <f t="shared" si="263"/>
        <v>0</v>
      </c>
      <c r="DX120" s="232">
        <f t="shared" si="263"/>
        <v>0</v>
      </c>
      <c r="DY120" s="232">
        <f t="shared" si="263"/>
        <v>0</v>
      </c>
      <c r="DZ120" s="232">
        <f t="shared" si="263"/>
        <v>0</v>
      </c>
      <c r="EA120" s="232">
        <f t="shared" si="263"/>
        <v>0</v>
      </c>
      <c r="EB120" s="232">
        <f t="shared" si="263"/>
        <v>0</v>
      </c>
      <c r="EC120" s="232">
        <f t="shared" si="263"/>
        <v>0</v>
      </c>
      <c r="ED120" s="232">
        <f t="shared" si="263"/>
        <v>0</v>
      </c>
      <c r="EE120" s="232">
        <f t="shared" si="263"/>
        <v>0</v>
      </c>
      <c r="EF120" s="232">
        <f t="shared" ref="EF120:FF120" si="264">EF118*(EF118&lt;0)</f>
        <v>0</v>
      </c>
      <c r="EG120" s="232">
        <f t="shared" si="264"/>
        <v>0</v>
      </c>
      <c r="EH120" s="232">
        <f t="shared" si="264"/>
        <v>0</v>
      </c>
      <c r="EI120" s="232">
        <f t="shared" si="264"/>
        <v>0</v>
      </c>
      <c r="EJ120" s="232">
        <f t="shared" si="264"/>
        <v>0</v>
      </c>
      <c r="EK120" s="232">
        <f t="shared" si="264"/>
        <v>0</v>
      </c>
      <c r="EL120" s="232">
        <f t="shared" si="264"/>
        <v>0</v>
      </c>
      <c r="EM120" s="232">
        <f t="shared" si="264"/>
        <v>0</v>
      </c>
      <c r="EN120" s="232">
        <f t="shared" si="264"/>
        <v>0</v>
      </c>
      <c r="EO120" s="232">
        <f t="shared" si="264"/>
        <v>0</v>
      </c>
      <c r="EP120" s="232">
        <f t="shared" si="264"/>
        <v>0</v>
      </c>
      <c r="EQ120" s="232">
        <f t="shared" si="264"/>
        <v>0</v>
      </c>
      <c r="ER120" s="232">
        <f t="shared" si="264"/>
        <v>0</v>
      </c>
      <c r="ES120" s="232">
        <f t="shared" si="264"/>
        <v>0</v>
      </c>
      <c r="ET120" s="232">
        <f t="shared" si="264"/>
        <v>0</v>
      </c>
      <c r="EU120" s="232">
        <f t="shared" si="264"/>
        <v>0</v>
      </c>
      <c r="EV120" s="232">
        <f t="shared" si="264"/>
        <v>0</v>
      </c>
      <c r="EW120" s="232">
        <f t="shared" si="264"/>
        <v>0</v>
      </c>
      <c r="EX120" s="232">
        <f t="shared" si="264"/>
        <v>0</v>
      </c>
      <c r="EY120" s="232">
        <f t="shared" si="264"/>
        <v>0</v>
      </c>
      <c r="EZ120" s="232">
        <f t="shared" si="264"/>
        <v>0</v>
      </c>
      <c r="FA120" s="232">
        <f t="shared" si="264"/>
        <v>0</v>
      </c>
      <c r="FB120" s="232">
        <f t="shared" si="264"/>
        <v>0</v>
      </c>
      <c r="FC120" s="232">
        <f t="shared" si="264"/>
        <v>0</v>
      </c>
      <c r="FD120" s="232">
        <f t="shared" si="264"/>
        <v>0</v>
      </c>
      <c r="FE120" s="232">
        <f t="shared" si="264"/>
        <v>0</v>
      </c>
      <c r="FF120" s="232">
        <f t="shared" si="264"/>
        <v>0</v>
      </c>
      <c r="FG120" s="321"/>
      <c r="FH120" s="232">
        <f>SUMIF($F$54:$FF$54,FH$54,$F120:$FF120)</f>
        <v>0</v>
      </c>
      <c r="FI120" s="232">
        <f t="shared" ref="FI120:FU120" si="265">SUMIF($F$54:$FF$54,FI$54,$F120:$FF120)</f>
        <v>0</v>
      </c>
      <c r="FJ120" s="232">
        <f t="shared" si="265"/>
        <v>0</v>
      </c>
      <c r="FK120" s="232">
        <f t="shared" si="265"/>
        <v>0</v>
      </c>
      <c r="FL120" s="232">
        <f t="shared" si="265"/>
        <v>0</v>
      </c>
      <c r="FM120" s="232">
        <f t="shared" si="265"/>
        <v>0</v>
      </c>
      <c r="FN120" s="232">
        <f t="shared" si="265"/>
        <v>0</v>
      </c>
      <c r="FO120" s="232">
        <f t="shared" si="265"/>
        <v>0</v>
      </c>
      <c r="FP120" s="232">
        <f t="shared" si="265"/>
        <v>0</v>
      </c>
      <c r="FQ120" s="232">
        <f t="shared" si="265"/>
        <v>0</v>
      </c>
      <c r="FR120" s="232">
        <f t="shared" si="265"/>
        <v>0</v>
      </c>
      <c r="FS120" s="232">
        <f t="shared" si="265"/>
        <v>0</v>
      </c>
      <c r="FT120" s="232">
        <f t="shared" si="265"/>
        <v>0</v>
      </c>
      <c r="FU120" s="232">
        <f t="shared" si="265"/>
        <v>0</v>
      </c>
      <c r="FV120" s="321"/>
    </row>
    <row r="121" spans="3:178" x14ac:dyDescent="0.2">
      <c r="C121" s="47"/>
      <c r="E121" s="224"/>
    </row>
    <row r="122" spans="3:178" x14ac:dyDescent="0.2">
      <c r="C122" s="39" t="s">
        <v>186</v>
      </c>
      <c r="E122" s="232"/>
      <c r="F122" s="248">
        <f t="shared" ref="F122:AK122" ca="1" si="266">IF(F$53&gt;12,SUM(OFFSET(F118,,,,-12)),0)</f>
        <v>0</v>
      </c>
      <c r="G122" s="235">
        <f t="shared" ca="1" si="266"/>
        <v>0</v>
      </c>
      <c r="H122" s="235">
        <f t="shared" ca="1" si="266"/>
        <v>0</v>
      </c>
      <c r="I122" s="235">
        <f t="shared" ca="1" si="266"/>
        <v>0</v>
      </c>
      <c r="J122" s="235">
        <f t="shared" ca="1" si="266"/>
        <v>0</v>
      </c>
      <c r="K122" s="235">
        <f t="shared" ca="1" si="266"/>
        <v>0</v>
      </c>
      <c r="L122" s="235">
        <f t="shared" ca="1" si="266"/>
        <v>0</v>
      </c>
      <c r="M122" s="235">
        <f t="shared" ca="1" si="266"/>
        <v>0</v>
      </c>
      <c r="N122" s="235">
        <f t="shared" ca="1" si="266"/>
        <v>0</v>
      </c>
      <c r="O122" s="235">
        <f t="shared" ca="1" si="266"/>
        <v>0</v>
      </c>
      <c r="P122" s="235">
        <f t="shared" ca="1" si="266"/>
        <v>0</v>
      </c>
      <c r="Q122" s="235">
        <f t="shared" ca="1" si="266"/>
        <v>0</v>
      </c>
      <c r="R122" s="235">
        <f t="shared" ca="1" si="266"/>
        <v>0</v>
      </c>
      <c r="S122" s="235">
        <f t="shared" ca="1" si="266"/>
        <v>795250.36292983615</v>
      </c>
      <c r="T122" s="235">
        <f t="shared" ca="1" si="266"/>
        <v>797238.48883716064</v>
      </c>
      <c r="U122" s="235">
        <f t="shared" ca="1" si="266"/>
        <v>799231.58505925362</v>
      </c>
      <c r="V122" s="235">
        <f t="shared" ca="1" si="266"/>
        <v>801229.66402190167</v>
      </c>
      <c r="W122" s="235">
        <f t="shared" ca="1" si="266"/>
        <v>803232.73818195646</v>
      </c>
      <c r="X122" s="235">
        <f t="shared" ca="1" si="266"/>
        <v>805240.82002741122</v>
      </c>
      <c r="Y122" s="235">
        <f t="shared" ca="1" si="266"/>
        <v>807253.92207747977</v>
      </c>
      <c r="Z122" s="235">
        <f t="shared" ca="1" si="266"/>
        <v>809272.05688267341</v>
      </c>
      <c r="AA122" s="235">
        <f t="shared" ca="1" si="266"/>
        <v>811295.23702488025</v>
      </c>
      <c r="AB122" s="235">
        <f t="shared" ca="1" si="266"/>
        <v>813323.47511744231</v>
      </c>
      <c r="AC122" s="235">
        <f t="shared" ca="1" si="266"/>
        <v>815356.78380523599</v>
      </c>
      <c r="AD122" s="235">
        <f t="shared" ca="1" si="266"/>
        <v>817395.17576474906</v>
      </c>
      <c r="AE122" s="235">
        <f t="shared" ca="1" si="266"/>
        <v>819438.66370416095</v>
      </c>
      <c r="AF122" s="235">
        <f t="shared" ca="1" si="266"/>
        <v>821487.2603634214</v>
      </c>
      <c r="AG122" s="235">
        <f t="shared" ca="1" si="266"/>
        <v>823540.97851432988</v>
      </c>
      <c r="AH122" s="235">
        <f t="shared" ca="1" si="266"/>
        <v>825599.83096061565</v>
      </c>
      <c r="AI122" s="235">
        <f t="shared" ca="1" si="266"/>
        <v>827663.83053801721</v>
      </c>
      <c r="AJ122" s="235">
        <f t="shared" ca="1" si="266"/>
        <v>829732.99011436221</v>
      </c>
      <c r="AK122" s="235">
        <f t="shared" ca="1" si="266"/>
        <v>831807.32258964819</v>
      </c>
      <c r="AL122" s="235">
        <f t="shared" ref="AL122:BQ122" ca="1" si="267">IF(AL$53&gt;12,SUM(OFFSET(AL118,,,,-12)),0)</f>
        <v>833886.84089612227</v>
      </c>
      <c r="AM122" s="235">
        <f t="shared" ca="1" si="267"/>
        <v>835971.55799836258</v>
      </c>
      <c r="AN122" s="235">
        <f t="shared" ca="1" si="267"/>
        <v>838061.48689335841</v>
      </c>
      <c r="AO122" s="235">
        <f t="shared" ca="1" si="267"/>
        <v>840156.64061059174</v>
      </c>
      <c r="AP122" s="235">
        <f t="shared" ca="1" si="267"/>
        <v>842257.03221211815</v>
      </c>
      <c r="AQ122" s="235">
        <f t="shared" ca="1" si="267"/>
        <v>844362.67479264841</v>
      </c>
      <c r="AR122" s="235">
        <f t="shared" ca="1" si="267"/>
        <v>846473.58147963008</v>
      </c>
      <c r="AS122" s="235">
        <f t="shared" ca="1" si="267"/>
        <v>848589.76543332904</v>
      </c>
      <c r="AT122" s="235">
        <f t="shared" ca="1" si="267"/>
        <v>850711.23984691233</v>
      </c>
      <c r="AU122" s="235">
        <f t="shared" ca="1" si="267"/>
        <v>852838.01794652967</v>
      </c>
      <c r="AV122" s="235">
        <f t="shared" ca="1" si="267"/>
        <v>854970.11299139587</v>
      </c>
      <c r="AW122" s="235">
        <f t="shared" ca="1" si="267"/>
        <v>857107.5382738742</v>
      </c>
      <c r="AX122" s="235">
        <f t="shared" ca="1" si="267"/>
        <v>859250.30711955903</v>
      </c>
      <c r="AY122" s="235">
        <f t="shared" ca="1" si="267"/>
        <v>861398.43288735789</v>
      </c>
      <c r="AZ122" s="235">
        <f t="shared" ca="1" si="267"/>
        <v>863551.92896957614</v>
      </c>
      <c r="BA122" s="235">
        <f t="shared" ca="1" si="267"/>
        <v>865710.80879200005</v>
      </c>
      <c r="BB122" s="235">
        <f t="shared" ca="1" si="267"/>
        <v>867875.08581398008</v>
      </c>
      <c r="BC122" s="235">
        <f t="shared" ca="1" si="267"/>
        <v>870044.77352851501</v>
      </c>
      <c r="BD122" s="235">
        <f t="shared" ca="1" si="267"/>
        <v>872219.88546233624</v>
      </c>
      <c r="BE122" s="235">
        <f t="shared" ca="1" si="267"/>
        <v>874400.43517599208</v>
      </c>
      <c r="BF122" s="235">
        <f t="shared" ca="1" si="267"/>
        <v>876586.43626393203</v>
      </c>
      <c r="BG122" s="235">
        <f t="shared" ca="1" si="267"/>
        <v>878777.90235459188</v>
      </c>
      <c r="BH122" s="235">
        <f t="shared" ca="1" si="267"/>
        <v>880974.84711047821</v>
      </c>
      <c r="BI122" s="235">
        <f t="shared" ca="1" si="267"/>
        <v>883177.28422825434</v>
      </c>
      <c r="BJ122" s="235">
        <f t="shared" ca="1" si="267"/>
        <v>885385.22743882518</v>
      </c>
      <c r="BK122" s="235">
        <f t="shared" ca="1" si="267"/>
        <v>887598.6905074222</v>
      </c>
      <c r="BL122" s="235">
        <f t="shared" ca="1" si="267"/>
        <v>889817.68723369064</v>
      </c>
      <c r="BM122" s="235">
        <f t="shared" ca="1" si="267"/>
        <v>892042.23145177483</v>
      </c>
      <c r="BN122" s="235">
        <f t="shared" ca="1" si="267"/>
        <v>894272.33703040413</v>
      </c>
      <c r="BO122" s="235">
        <f t="shared" ca="1" si="267"/>
        <v>896508.0178729801</v>
      </c>
      <c r="BP122" s="235">
        <f t="shared" ca="1" si="267"/>
        <v>898749.28791766241</v>
      </c>
      <c r="BQ122" s="235">
        <f t="shared" ca="1" si="267"/>
        <v>900996.16113745642</v>
      </c>
      <c r="BR122" s="235">
        <f t="shared" ref="BR122:CW122" ca="1" si="268">IF(BR$53&gt;12,SUM(OFFSET(BR118,,,,-12)),0)</f>
        <v>903248.65154030011</v>
      </c>
      <c r="BS122" s="235">
        <f t="shared" ca="1" si="268"/>
        <v>905506.77316915058</v>
      </c>
      <c r="BT122" s="235">
        <f t="shared" ca="1" si="268"/>
        <v>907770.54010207357</v>
      </c>
      <c r="BU122" s="235">
        <f t="shared" ca="1" si="268"/>
        <v>910039.96645232849</v>
      </c>
      <c r="BV122" s="235">
        <f t="shared" ca="1" si="268"/>
        <v>912315.06636845937</v>
      </c>
      <c r="BW122" s="235">
        <f t="shared" ca="1" si="268"/>
        <v>914595.85403438052</v>
      </c>
      <c r="BX122" s="235">
        <f t="shared" ca="1" si="268"/>
        <v>916882.34366946656</v>
      </c>
      <c r="BY122" s="235">
        <f t="shared" ca="1" si="268"/>
        <v>919174.54952864023</v>
      </c>
      <c r="BZ122" s="235">
        <f t="shared" ca="1" si="268"/>
        <v>921472.48590246169</v>
      </c>
      <c r="CA122" s="235">
        <f t="shared" ca="1" si="268"/>
        <v>923776.16711721779</v>
      </c>
      <c r="CB122" s="235">
        <f t="shared" ca="1" si="268"/>
        <v>926085.60753501067</v>
      </c>
      <c r="CC122" s="235">
        <f t="shared" ca="1" si="268"/>
        <v>928400.82155384799</v>
      </c>
      <c r="CD122" s="235">
        <f t="shared" ca="1" si="268"/>
        <v>930721.82360773254</v>
      </c>
      <c r="CE122" s="235">
        <f t="shared" ca="1" si="268"/>
        <v>933048.6281667517</v>
      </c>
      <c r="CF122" s="235">
        <f t="shared" ca="1" si="268"/>
        <v>935381.24973716866</v>
      </c>
      <c r="CG122" s="235">
        <f t="shared" ca="1" si="268"/>
        <v>937719.70286151138</v>
      </c>
      <c r="CH122" s="235">
        <f t="shared" ca="1" si="268"/>
        <v>940064.00211866526</v>
      </c>
      <c r="CI122" s="235">
        <f t="shared" ca="1" si="268"/>
        <v>942414.16212396196</v>
      </c>
      <c r="CJ122" s="235">
        <f t="shared" ca="1" si="268"/>
        <v>944770.19752927171</v>
      </c>
      <c r="CK122" s="235">
        <f t="shared" ca="1" si="268"/>
        <v>947132.12302309484</v>
      </c>
      <c r="CL122" s="235">
        <f t="shared" ca="1" si="268"/>
        <v>949499.95333065244</v>
      </c>
      <c r="CM122" s="235">
        <f t="shared" ca="1" si="268"/>
        <v>951873.70321397902</v>
      </c>
      <c r="CN122" s="235">
        <f t="shared" ca="1" si="268"/>
        <v>954253.38747201383</v>
      </c>
      <c r="CO122" s="235">
        <f t="shared" ca="1" si="268"/>
        <v>956639.02094069379</v>
      </c>
      <c r="CP122" s="235">
        <f t="shared" ca="1" si="268"/>
        <v>959030.61849304545</v>
      </c>
      <c r="CQ122" s="235">
        <f t="shared" ca="1" si="268"/>
        <v>961428.1950392779</v>
      </c>
      <c r="CR122" s="235">
        <f t="shared" ca="1" si="268"/>
        <v>963831.76552687609</v>
      </c>
      <c r="CS122" s="235">
        <f t="shared" ca="1" si="268"/>
        <v>966241.34494069323</v>
      </c>
      <c r="CT122" s="235">
        <f t="shared" ca="1" si="268"/>
        <v>968656.94830304501</v>
      </c>
      <c r="CU122" s="235">
        <f t="shared" ca="1" si="268"/>
        <v>971078.59067380254</v>
      </c>
      <c r="CV122" s="235">
        <f t="shared" ca="1" si="268"/>
        <v>973506.28715048719</v>
      </c>
      <c r="CW122" s="235">
        <f t="shared" ca="1" si="268"/>
        <v>975940.05286836321</v>
      </c>
      <c r="CX122" s="235">
        <f t="shared" ref="CX122:EC122" ca="1" si="269">IF(CX$53&gt;12,SUM(OFFSET(CX118,,,,-12)),0)</f>
        <v>978379.90300053405</v>
      </c>
      <c r="CY122" s="235">
        <f t="shared" ca="1" si="269"/>
        <v>897963.23998194851</v>
      </c>
      <c r="CZ122" s="235">
        <f t="shared" ca="1" si="269"/>
        <v>817345.53530581656</v>
      </c>
      <c r="DA122" s="235">
        <f t="shared" ca="1" si="269"/>
        <v>736526.28636799415</v>
      </c>
      <c r="DB122" s="235">
        <f t="shared" ca="1" si="269"/>
        <v>655504.98930782732</v>
      </c>
      <c r="DC122" s="235">
        <f t="shared" ca="1" si="269"/>
        <v>574281.13900501002</v>
      </c>
      <c r="DD122" s="235">
        <f t="shared" ca="1" si="269"/>
        <v>492854.22907643567</v>
      </c>
      <c r="DE122" s="235">
        <f t="shared" ca="1" si="269"/>
        <v>411223.75187303987</v>
      </c>
      <c r="DF122" s="235">
        <f t="shared" ca="1" si="269"/>
        <v>329389.19847663556</v>
      </c>
      <c r="DG122" s="235">
        <f t="shared" ca="1" si="269"/>
        <v>247350.05869674028</v>
      </c>
      <c r="DH122" s="235">
        <f t="shared" ca="1" si="269"/>
        <v>165105.82106739527</v>
      </c>
      <c r="DI122" s="235">
        <f t="shared" ca="1" si="269"/>
        <v>82655.972843976895</v>
      </c>
      <c r="DJ122" s="235">
        <f t="shared" ca="1" si="269"/>
        <v>0</v>
      </c>
      <c r="DK122" s="235">
        <f t="shared" ca="1" si="269"/>
        <v>0</v>
      </c>
      <c r="DL122" s="235">
        <f t="shared" ca="1" si="269"/>
        <v>0</v>
      </c>
      <c r="DM122" s="235">
        <f t="shared" ca="1" si="269"/>
        <v>0</v>
      </c>
      <c r="DN122" s="235">
        <f t="shared" ca="1" si="269"/>
        <v>0</v>
      </c>
      <c r="DO122" s="235">
        <f t="shared" ca="1" si="269"/>
        <v>0</v>
      </c>
      <c r="DP122" s="235">
        <f t="shared" ca="1" si="269"/>
        <v>0</v>
      </c>
      <c r="DQ122" s="235">
        <f t="shared" ca="1" si="269"/>
        <v>0</v>
      </c>
      <c r="DR122" s="235">
        <f t="shared" ca="1" si="269"/>
        <v>0</v>
      </c>
      <c r="DS122" s="235">
        <f t="shared" ca="1" si="269"/>
        <v>0</v>
      </c>
      <c r="DT122" s="235">
        <f t="shared" ca="1" si="269"/>
        <v>0</v>
      </c>
      <c r="DU122" s="235">
        <f t="shared" ca="1" si="269"/>
        <v>0</v>
      </c>
      <c r="DV122" s="235">
        <f t="shared" ca="1" si="269"/>
        <v>0</v>
      </c>
      <c r="DW122" s="235">
        <f t="shared" ca="1" si="269"/>
        <v>0</v>
      </c>
      <c r="DX122" s="235">
        <f t="shared" ca="1" si="269"/>
        <v>0</v>
      </c>
      <c r="DY122" s="235">
        <f t="shared" ca="1" si="269"/>
        <v>0</v>
      </c>
      <c r="DZ122" s="235">
        <f t="shared" ca="1" si="269"/>
        <v>0</v>
      </c>
      <c r="EA122" s="235">
        <f t="shared" ca="1" si="269"/>
        <v>0</v>
      </c>
      <c r="EB122" s="235">
        <f t="shared" ca="1" si="269"/>
        <v>0</v>
      </c>
      <c r="EC122" s="235">
        <f t="shared" ca="1" si="269"/>
        <v>0</v>
      </c>
      <c r="ED122" s="235">
        <f t="shared" ref="ED122:FF122" ca="1" si="270">IF(ED$53&gt;12,SUM(OFFSET(ED118,,,,-12)),0)</f>
        <v>0</v>
      </c>
      <c r="EE122" s="235">
        <f t="shared" ca="1" si="270"/>
        <v>0</v>
      </c>
      <c r="EF122" s="235">
        <f t="shared" ca="1" si="270"/>
        <v>0</v>
      </c>
      <c r="EG122" s="235">
        <f t="shared" ca="1" si="270"/>
        <v>0</v>
      </c>
      <c r="EH122" s="235">
        <f t="shared" ca="1" si="270"/>
        <v>0</v>
      </c>
      <c r="EI122" s="235">
        <f t="shared" ca="1" si="270"/>
        <v>0</v>
      </c>
      <c r="EJ122" s="235">
        <f t="shared" ca="1" si="270"/>
        <v>0</v>
      </c>
      <c r="EK122" s="235">
        <f t="shared" ca="1" si="270"/>
        <v>0</v>
      </c>
      <c r="EL122" s="235">
        <f t="shared" ca="1" si="270"/>
        <v>0</v>
      </c>
      <c r="EM122" s="235">
        <f t="shared" ca="1" si="270"/>
        <v>0</v>
      </c>
      <c r="EN122" s="235">
        <f t="shared" ca="1" si="270"/>
        <v>0</v>
      </c>
      <c r="EO122" s="235">
        <f t="shared" ca="1" si="270"/>
        <v>0</v>
      </c>
      <c r="EP122" s="235">
        <f t="shared" ca="1" si="270"/>
        <v>0</v>
      </c>
      <c r="EQ122" s="235">
        <f t="shared" ca="1" si="270"/>
        <v>0</v>
      </c>
      <c r="ER122" s="235">
        <f t="shared" ca="1" si="270"/>
        <v>0</v>
      </c>
      <c r="ES122" s="235">
        <f t="shared" ca="1" si="270"/>
        <v>0</v>
      </c>
      <c r="ET122" s="235">
        <f t="shared" ca="1" si="270"/>
        <v>0</v>
      </c>
      <c r="EU122" s="235">
        <f t="shared" ca="1" si="270"/>
        <v>0</v>
      </c>
      <c r="EV122" s="235">
        <f t="shared" ca="1" si="270"/>
        <v>0</v>
      </c>
      <c r="EW122" s="235">
        <f t="shared" ca="1" si="270"/>
        <v>0</v>
      </c>
      <c r="EX122" s="235">
        <f t="shared" ca="1" si="270"/>
        <v>0</v>
      </c>
      <c r="EY122" s="235">
        <f t="shared" ca="1" si="270"/>
        <v>0</v>
      </c>
      <c r="EZ122" s="235">
        <f t="shared" ca="1" si="270"/>
        <v>0</v>
      </c>
      <c r="FA122" s="235">
        <f t="shared" ca="1" si="270"/>
        <v>0</v>
      </c>
      <c r="FB122" s="235">
        <f t="shared" ca="1" si="270"/>
        <v>0</v>
      </c>
      <c r="FC122" s="235">
        <f t="shared" ca="1" si="270"/>
        <v>0</v>
      </c>
      <c r="FD122" s="235">
        <f t="shared" ca="1" si="270"/>
        <v>0</v>
      </c>
      <c r="FE122" s="235">
        <f t="shared" ca="1" si="270"/>
        <v>0</v>
      </c>
      <c r="FF122" s="235">
        <f t="shared" ca="1" si="270"/>
        <v>0</v>
      </c>
      <c r="FG122" s="326"/>
      <c r="FH122" s="235">
        <f ca="1">IF(FH$53&gt;12,SUM(OFFSET(FH118,,,,-12)),0)</f>
        <v>0</v>
      </c>
      <c r="FI122" s="235"/>
      <c r="FJ122" s="235"/>
      <c r="FK122" s="235"/>
      <c r="FL122" s="235"/>
      <c r="FM122" s="235">
        <f ca="1">IF(FM$53&gt;12,SUM(OFFSET(FM118,,,,-12)),0)</f>
        <v>0</v>
      </c>
      <c r="FN122" s="235">
        <f ca="1">IF(FN$53&gt;12,SUM(OFFSET(FN118,,,,-12)),0)</f>
        <v>0</v>
      </c>
      <c r="FO122" s="235">
        <f ca="1">IF(FO$53&gt;12,SUM(OFFSET(FO118,,,,-12)),0)</f>
        <v>0</v>
      </c>
      <c r="FP122" s="235">
        <f ca="1">IF(FP$53&gt;12,SUM(OFFSET(FP118,,,,-12)),0)</f>
        <v>0</v>
      </c>
      <c r="FQ122" s="235"/>
      <c r="FR122" s="235"/>
      <c r="FS122" s="235"/>
      <c r="FT122" s="235"/>
      <c r="FU122" s="235"/>
      <c r="FV122" s="326"/>
    </row>
    <row r="123" spans="3:178" x14ac:dyDescent="0.2">
      <c r="C123" s="39" t="s">
        <v>41</v>
      </c>
      <c r="E123" s="225">
        <f>SUM(F123:FF123)</f>
        <v>0.06</v>
      </c>
      <c r="F123" s="249">
        <f t="shared" ref="F123:AK123" si="271">(F53=$I$12)*$H$18</f>
        <v>0</v>
      </c>
      <c r="G123" s="209">
        <f t="shared" si="271"/>
        <v>0</v>
      </c>
      <c r="H123" s="209">
        <f t="shared" si="271"/>
        <v>0</v>
      </c>
      <c r="I123" s="209">
        <f t="shared" si="271"/>
        <v>0</v>
      </c>
      <c r="J123" s="209">
        <f t="shared" si="271"/>
        <v>0</v>
      </c>
      <c r="K123" s="209">
        <f t="shared" si="271"/>
        <v>0</v>
      </c>
      <c r="L123" s="209">
        <f t="shared" si="271"/>
        <v>0</v>
      </c>
      <c r="M123" s="209">
        <f t="shared" si="271"/>
        <v>0</v>
      </c>
      <c r="N123" s="209">
        <f t="shared" si="271"/>
        <v>0</v>
      </c>
      <c r="O123" s="209">
        <f t="shared" si="271"/>
        <v>0</v>
      </c>
      <c r="P123" s="209">
        <f t="shared" si="271"/>
        <v>0</v>
      </c>
      <c r="Q123" s="209">
        <f t="shared" si="271"/>
        <v>0</v>
      </c>
      <c r="R123" s="209">
        <f t="shared" si="271"/>
        <v>0</v>
      </c>
      <c r="S123" s="209">
        <f t="shared" si="271"/>
        <v>0</v>
      </c>
      <c r="T123" s="209">
        <f t="shared" si="271"/>
        <v>0</v>
      </c>
      <c r="U123" s="209">
        <f t="shared" si="271"/>
        <v>0</v>
      </c>
      <c r="V123" s="209">
        <f t="shared" si="271"/>
        <v>0</v>
      </c>
      <c r="W123" s="209">
        <f t="shared" si="271"/>
        <v>0</v>
      </c>
      <c r="X123" s="209">
        <f t="shared" si="271"/>
        <v>0</v>
      </c>
      <c r="Y123" s="209">
        <f t="shared" si="271"/>
        <v>0</v>
      </c>
      <c r="Z123" s="209">
        <f t="shared" si="271"/>
        <v>0</v>
      </c>
      <c r="AA123" s="209">
        <f t="shared" si="271"/>
        <v>0</v>
      </c>
      <c r="AB123" s="209">
        <f t="shared" si="271"/>
        <v>0</v>
      </c>
      <c r="AC123" s="209">
        <f t="shared" si="271"/>
        <v>0</v>
      </c>
      <c r="AD123" s="209">
        <f t="shared" si="271"/>
        <v>0</v>
      </c>
      <c r="AE123" s="209">
        <f t="shared" si="271"/>
        <v>0</v>
      </c>
      <c r="AF123" s="209">
        <f t="shared" si="271"/>
        <v>0</v>
      </c>
      <c r="AG123" s="209">
        <f t="shared" si="271"/>
        <v>0</v>
      </c>
      <c r="AH123" s="209">
        <f t="shared" si="271"/>
        <v>0</v>
      </c>
      <c r="AI123" s="209">
        <f t="shared" si="271"/>
        <v>0</v>
      </c>
      <c r="AJ123" s="209">
        <f t="shared" si="271"/>
        <v>0</v>
      </c>
      <c r="AK123" s="209">
        <f t="shared" si="271"/>
        <v>0</v>
      </c>
      <c r="AL123" s="209">
        <f t="shared" ref="AL123:BQ123" si="272">(AL53=$I$12)*$H$18</f>
        <v>0</v>
      </c>
      <c r="AM123" s="209">
        <f t="shared" si="272"/>
        <v>0</v>
      </c>
      <c r="AN123" s="209">
        <f t="shared" si="272"/>
        <v>0</v>
      </c>
      <c r="AO123" s="209">
        <f t="shared" si="272"/>
        <v>0</v>
      </c>
      <c r="AP123" s="209">
        <f t="shared" si="272"/>
        <v>0</v>
      </c>
      <c r="AQ123" s="209">
        <f t="shared" si="272"/>
        <v>0</v>
      </c>
      <c r="AR123" s="209">
        <f t="shared" si="272"/>
        <v>0</v>
      </c>
      <c r="AS123" s="209">
        <f t="shared" si="272"/>
        <v>0</v>
      </c>
      <c r="AT123" s="209">
        <f t="shared" si="272"/>
        <v>0</v>
      </c>
      <c r="AU123" s="209">
        <f t="shared" si="272"/>
        <v>0</v>
      </c>
      <c r="AV123" s="209">
        <f t="shared" si="272"/>
        <v>0</v>
      </c>
      <c r="AW123" s="209">
        <f t="shared" si="272"/>
        <v>0</v>
      </c>
      <c r="AX123" s="209">
        <f t="shared" si="272"/>
        <v>0</v>
      </c>
      <c r="AY123" s="209">
        <f t="shared" si="272"/>
        <v>0</v>
      </c>
      <c r="AZ123" s="209">
        <f t="shared" si="272"/>
        <v>0</v>
      </c>
      <c r="BA123" s="209">
        <f t="shared" si="272"/>
        <v>0</v>
      </c>
      <c r="BB123" s="209">
        <f t="shared" si="272"/>
        <v>0</v>
      </c>
      <c r="BC123" s="209">
        <f t="shared" si="272"/>
        <v>0</v>
      </c>
      <c r="BD123" s="209">
        <f t="shared" si="272"/>
        <v>0</v>
      </c>
      <c r="BE123" s="209">
        <f t="shared" si="272"/>
        <v>0</v>
      </c>
      <c r="BF123" s="209">
        <f t="shared" si="272"/>
        <v>0</v>
      </c>
      <c r="BG123" s="209">
        <f t="shared" si="272"/>
        <v>0</v>
      </c>
      <c r="BH123" s="209">
        <f t="shared" si="272"/>
        <v>0</v>
      </c>
      <c r="BI123" s="209">
        <f t="shared" si="272"/>
        <v>0</v>
      </c>
      <c r="BJ123" s="209">
        <f t="shared" si="272"/>
        <v>0</v>
      </c>
      <c r="BK123" s="209">
        <f t="shared" si="272"/>
        <v>0</v>
      </c>
      <c r="BL123" s="209">
        <f t="shared" si="272"/>
        <v>0</v>
      </c>
      <c r="BM123" s="209">
        <f t="shared" si="272"/>
        <v>0</v>
      </c>
      <c r="BN123" s="209">
        <f t="shared" si="272"/>
        <v>0</v>
      </c>
      <c r="BO123" s="209">
        <f t="shared" si="272"/>
        <v>0</v>
      </c>
      <c r="BP123" s="209">
        <f t="shared" si="272"/>
        <v>0</v>
      </c>
      <c r="BQ123" s="209">
        <f t="shared" si="272"/>
        <v>0</v>
      </c>
      <c r="BR123" s="209">
        <f t="shared" ref="BR123:CW123" si="273">(BR53=$I$12)*$H$18</f>
        <v>0</v>
      </c>
      <c r="BS123" s="209">
        <f t="shared" si="273"/>
        <v>0</v>
      </c>
      <c r="BT123" s="209">
        <f t="shared" si="273"/>
        <v>0</v>
      </c>
      <c r="BU123" s="209">
        <f t="shared" si="273"/>
        <v>0</v>
      </c>
      <c r="BV123" s="209">
        <f t="shared" si="273"/>
        <v>0</v>
      </c>
      <c r="BW123" s="209">
        <f t="shared" si="273"/>
        <v>0</v>
      </c>
      <c r="BX123" s="209">
        <f t="shared" si="273"/>
        <v>0</v>
      </c>
      <c r="BY123" s="209">
        <f t="shared" si="273"/>
        <v>0</v>
      </c>
      <c r="BZ123" s="209">
        <f t="shared" si="273"/>
        <v>0</v>
      </c>
      <c r="CA123" s="209">
        <f t="shared" si="273"/>
        <v>0</v>
      </c>
      <c r="CB123" s="209">
        <f t="shared" si="273"/>
        <v>0</v>
      </c>
      <c r="CC123" s="209">
        <f t="shared" si="273"/>
        <v>0</v>
      </c>
      <c r="CD123" s="209">
        <f t="shared" si="273"/>
        <v>0</v>
      </c>
      <c r="CE123" s="209">
        <f t="shared" si="273"/>
        <v>0</v>
      </c>
      <c r="CF123" s="209">
        <f t="shared" si="273"/>
        <v>0</v>
      </c>
      <c r="CG123" s="209">
        <f t="shared" si="273"/>
        <v>0</v>
      </c>
      <c r="CH123" s="209">
        <f t="shared" si="273"/>
        <v>0</v>
      </c>
      <c r="CI123" s="209">
        <f t="shared" si="273"/>
        <v>0</v>
      </c>
      <c r="CJ123" s="209">
        <f t="shared" si="273"/>
        <v>0</v>
      </c>
      <c r="CK123" s="209">
        <f t="shared" si="273"/>
        <v>0</v>
      </c>
      <c r="CL123" s="209">
        <f t="shared" si="273"/>
        <v>0</v>
      </c>
      <c r="CM123" s="209">
        <f t="shared" si="273"/>
        <v>0</v>
      </c>
      <c r="CN123" s="209">
        <f t="shared" si="273"/>
        <v>0</v>
      </c>
      <c r="CO123" s="209">
        <f t="shared" si="273"/>
        <v>0</v>
      </c>
      <c r="CP123" s="209">
        <f t="shared" si="273"/>
        <v>0</v>
      </c>
      <c r="CQ123" s="209">
        <f t="shared" si="273"/>
        <v>0</v>
      </c>
      <c r="CR123" s="209">
        <f t="shared" si="273"/>
        <v>0</v>
      </c>
      <c r="CS123" s="209">
        <f t="shared" si="273"/>
        <v>0</v>
      </c>
      <c r="CT123" s="209">
        <f t="shared" si="273"/>
        <v>0</v>
      </c>
      <c r="CU123" s="209">
        <f t="shared" si="273"/>
        <v>0</v>
      </c>
      <c r="CV123" s="209">
        <f t="shared" si="273"/>
        <v>0</v>
      </c>
      <c r="CW123" s="209">
        <f t="shared" si="273"/>
        <v>0</v>
      </c>
      <c r="CX123" s="209">
        <f t="shared" ref="CX123:EC123" si="274">(CX53=$I$12)*$H$18</f>
        <v>0.06</v>
      </c>
      <c r="CY123" s="209">
        <f t="shared" si="274"/>
        <v>0</v>
      </c>
      <c r="CZ123" s="209">
        <f t="shared" si="274"/>
        <v>0</v>
      </c>
      <c r="DA123" s="209">
        <f t="shared" si="274"/>
        <v>0</v>
      </c>
      <c r="DB123" s="209">
        <f t="shared" si="274"/>
        <v>0</v>
      </c>
      <c r="DC123" s="209">
        <f t="shared" si="274"/>
        <v>0</v>
      </c>
      <c r="DD123" s="209">
        <f t="shared" si="274"/>
        <v>0</v>
      </c>
      <c r="DE123" s="209">
        <f t="shared" si="274"/>
        <v>0</v>
      </c>
      <c r="DF123" s="209">
        <f t="shared" si="274"/>
        <v>0</v>
      </c>
      <c r="DG123" s="209">
        <f t="shared" si="274"/>
        <v>0</v>
      </c>
      <c r="DH123" s="209">
        <f t="shared" si="274"/>
        <v>0</v>
      </c>
      <c r="DI123" s="209">
        <f t="shared" si="274"/>
        <v>0</v>
      </c>
      <c r="DJ123" s="209">
        <f t="shared" si="274"/>
        <v>0</v>
      </c>
      <c r="DK123" s="209">
        <f t="shared" si="274"/>
        <v>0</v>
      </c>
      <c r="DL123" s="209">
        <f t="shared" si="274"/>
        <v>0</v>
      </c>
      <c r="DM123" s="209">
        <f t="shared" si="274"/>
        <v>0</v>
      </c>
      <c r="DN123" s="209">
        <f t="shared" si="274"/>
        <v>0</v>
      </c>
      <c r="DO123" s="209">
        <f t="shared" si="274"/>
        <v>0</v>
      </c>
      <c r="DP123" s="209">
        <f t="shared" si="274"/>
        <v>0</v>
      </c>
      <c r="DQ123" s="209">
        <f t="shared" si="274"/>
        <v>0</v>
      </c>
      <c r="DR123" s="209">
        <f t="shared" si="274"/>
        <v>0</v>
      </c>
      <c r="DS123" s="209">
        <f t="shared" si="274"/>
        <v>0</v>
      </c>
      <c r="DT123" s="209">
        <f t="shared" si="274"/>
        <v>0</v>
      </c>
      <c r="DU123" s="209">
        <f t="shared" si="274"/>
        <v>0</v>
      </c>
      <c r="DV123" s="209">
        <f t="shared" si="274"/>
        <v>0</v>
      </c>
      <c r="DW123" s="209">
        <f t="shared" si="274"/>
        <v>0</v>
      </c>
      <c r="DX123" s="209">
        <f t="shared" si="274"/>
        <v>0</v>
      </c>
      <c r="DY123" s="209">
        <f t="shared" si="274"/>
        <v>0</v>
      </c>
      <c r="DZ123" s="209">
        <f t="shared" si="274"/>
        <v>0</v>
      </c>
      <c r="EA123" s="209">
        <f t="shared" si="274"/>
        <v>0</v>
      </c>
      <c r="EB123" s="209">
        <f t="shared" si="274"/>
        <v>0</v>
      </c>
      <c r="EC123" s="209">
        <f t="shared" si="274"/>
        <v>0</v>
      </c>
      <c r="ED123" s="209">
        <f t="shared" ref="ED123:FF123" si="275">(ED53=$I$12)*$H$18</f>
        <v>0</v>
      </c>
      <c r="EE123" s="209">
        <f t="shared" si="275"/>
        <v>0</v>
      </c>
      <c r="EF123" s="209">
        <f t="shared" si="275"/>
        <v>0</v>
      </c>
      <c r="EG123" s="209">
        <f t="shared" si="275"/>
        <v>0</v>
      </c>
      <c r="EH123" s="209">
        <f t="shared" si="275"/>
        <v>0</v>
      </c>
      <c r="EI123" s="209">
        <f t="shared" si="275"/>
        <v>0</v>
      </c>
      <c r="EJ123" s="209">
        <f t="shared" si="275"/>
        <v>0</v>
      </c>
      <c r="EK123" s="209">
        <f t="shared" si="275"/>
        <v>0</v>
      </c>
      <c r="EL123" s="209">
        <f t="shared" si="275"/>
        <v>0</v>
      </c>
      <c r="EM123" s="209">
        <f t="shared" si="275"/>
        <v>0</v>
      </c>
      <c r="EN123" s="209">
        <f t="shared" si="275"/>
        <v>0</v>
      </c>
      <c r="EO123" s="209">
        <f t="shared" si="275"/>
        <v>0</v>
      </c>
      <c r="EP123" s="209">
        <f t="shared" si="275"/>
        <v>0</v>
      </c>
      <c r="EQ123" s="209">
        <f t="shared" si="275"/>
        <v>0</v>
      </c>
      <c r="ER123" s="209">
        <f t="shared" si="275"/>
        <v>0</v>
      </c>
      <c r="ES123" s="209">
        <f t="shared" si="275"/>
        <v>0</v>
      </c>
      <c r="ET123" s="209">
        <f t="shared" si="275"/>
        <v>0</v>
      </c>
      <c r="EU123" s="209">
        <f t="shared" si="275"/>
        <v>0</v>
      </c>
      <c r="EV123" s="209">
        <f t="shared" si="275"/>
        <v>0</v>
      </c>
      <c r="EW123" s="209">
        <f t="shared" si="275"/>
        <v>0</v>
      </c>
      <c r="EX123" s="209">
        <f t="shared" si="275"/>
        <v>0</v>
      </c>
      <c r="EY123" s="209">
        <f t="shared" si="275"/>
        <v>0</v>
      </c>
      <c r="EZ123" s="209">
        <f t="shared" si="275"/>
        <v>0</v>
      </c>
      <c r="FA123" s="209">
        <f t="shared" si="275"/>
        <v>0</v>
      </c>
      <c r="FB123" s="209">
        <f t="shared" si="275"/>
        <v>0</v>
      </c>
      <c r="FC123" s="209">
        <f t="shared" si="275"/>
        <v>0</v>
      </c>
      <c r="FD123" s="209">
        <f t="shared" si="275"/>
        <v>0</v>
      </c>
      <c r="FE123" s="209">
        <f t="shared" si="275"/>
        <v>0</v>
      </c>
      <c r="FF123" s="209">
        <f t="shared" si="275"/>
        <v>0</v>
      </c>
      <c r="FG123" s="315"/>
      <c r="FH123" s="209">
        <f>SUMIF($F$54:$FF$54,FH$54,$F123:$FF123)</f>
        <v>0</v>
      </c>
      <c r="FI123" s="209">
        <f t="shared" ref="FI123:FU123" si="276">SUMIF($F$54:$FF$54,FI$54,$F123:$FF123)</f>
        <v>0</v>
      </c>
      <c r="FJ123" s="209">
        <f t="shared" si="276"/>
        <v>0</v>
      </c>
      <c r="FK123" s="209">
        <f t="shared" si="276"/>
        <v>0</v>
      </c>
      <c r="FL123" s="209">
        <f t="shared" si="276"/>
        <v>0</v>
      </c>
      <c r="FM123" s="209">
        <f t="shared" si="276"/>
        <v>0</v>
      </c>
      <c r="FN123" s="209">
        <f t="shared" si="276"/>
        <v>0</v>
      </c>
      <c r="FO123" s="209">
        <f t="shared" si="276"/>
        <v>0</v>
      </c>
      <c r="FP123" s="209">
        <f t="shared" si="276"/>
        <v>0.06</v>
      </c>
      <c r="FQ123" s="209">
        <f t="shared" si="276"/>
        <v>0</v>
      </c>
      <c r="FR123" s="209">
        <f t="shared" si="276"/>
        <v>0</v>
      </c>
      <c r="FS123" s="209">
        <f t="shared" si="276"/>
        <v>0</v>
      </c>
      <c r="FT123" s="209">
        <f t="shared" si="276"/>
        <v>0</v>
      </c>
      <c r="FU123" s="209">
        <f t="shared" si="276"/>
        <v>0</v>
      </c>
      <c r="FV123" s="315"/>
    </row>
    <row r="124" spans="3:178" s="208" customFormat="1" x14ac:dyDescent="0.2">
      <c r="C124" s="80" t="s">
        <v>187</v>
      </c>
      <c r="D124" s="80"/>
      <c r="E124" s="80">
        <f ca="1">SUM(F124:FF124)</f>
        <v>16306331.716675568</v>
      </c>
      <c r="F124" s="279">
        <f t="shared" ref="F124:AK124" ca="1" si="277">IFERROR(F122/F123,0)</f>
        <v>0</v>
      </c>
      <c r="G124" s="80">
        <f t="shared" ca="1" si="277"/>
        <v>0</v>
      </c>
      <c r="H124" s="80">
        <f t="shared" ca="1" si="277"/>
        <v>0</v>
      </c>
      <c r="I124" s="80">
        <f t="shared" ca="1" si="277"/>
        <v>0</v>
      </c>
      <c r="J124" s="80">
        <f t="shared" ca="1" si="277"/>
        <v>0</v>
      </c>
      <c r="K124" s="80">
        <f t="shared" ca="1" si="277"/>
        <v>0</v>
      </c>
      <c r="L124" s="80">
        <f t="shared" ca="1" si="277"/>
        <v>0</v>
      </c>
      <c r="M124" s="80">
        <f t="shared" ca="1" si="277"/>
        <v>0</v>
      </c>
      <c r="N124" s="80">
        <f t="shared" ca="1" si="277"/>
        <v>0</v>
      </c>
      <c r="O124" s="80">
        <f t="shared" ca="1" si="277"/>
        <v>0</v>
      </c>
      <c r="P124" s="80">
        <f t="shared" ca="1" si="277"/>
        <v>0</v>
      </c>
      <c r="Q124" s="80">
        <f t="shared" ca="1" si="277"/>
        <v>0</v>
      </c>
      <c r="R124" s="80">
        <f t="shared" ca="1" si="277"/>
        <v>0</v>
      </c>
      <c r="S124" s="80">
        <f t="shared" ca="1" si="277"/>
        <v>0</v>
      </c>
      <c r="T124" s="80">
        <f t="shared" ca="1" si="277"/>
        <v>0</v>
      </c>
      <c r="U124" s="80">
        <f t="shared" ca="1" si="277"/>
        <v>0</v>
      </c>
      <c r="V124" s="80">
        <f t="shared" ca="1" si="277"/>
        <v>0</v>
      </c>
      <c r="W124" s="80">
        <f t="shared" ca="1" si="277"/>
        <v>0</v>
      </c>
      <c r="X124" s="80">
        <f t="shared" ca="1" si="277"/>
        <v>0</v>
      </c>
      <c r="Y124" s="80">
        <f t="shared" ca="1" si="277"/>
        <v>0</v>
      </c>
      <c r="Z124" s="80">
        <f t="shared" ca="1" si="277"/>
        <v>0</v>
      </c>
      <c r="AA124" s="80">
        <f t="shared" ca="1" si="277"/>
        <v>0</v>
      </c>
      <c r="AB124" s="80">
        <f t="shared" ca="1" si="277"/>
        <v>0</v>
      </c>
      <c r="AC124" s="80">
        <f t="shared" ca="1" si="277"/>
        <v>0</v>
      </c>
      <c r="AD124" s="80">
        <f t="shared" ca="1" si="277"/>
        <v>0</v>
      </c>
      <c r="AE124" s="80">
        <f t="shared" ca="1" si="277"/>
        <v>0</v>
      </c>
      <c r="AF124" s="80">
        <f t="shared" ca="1" si="277"/>
        <v>0</v>
      </c>
      <c r="AG124" s="80">
        <f t="shared" ca="1" si="277"/>
        <v>0</v>
      </c>
      <c r="AH124" s="80">
        <f t="shared" ca="1" si="277"/>
        <v>0</v>
      </c>
      <c r="AI124" s="80">
        <f t="shared" ca="1" si="277"/>
        <v>0</v>
      </c>
      <c r="AJ124" s="80">
        <f t="shared" ca="1" si="277"/>
        <v>0</v>
      </c>
      <c r="AK124" s="80">
        <f t="shared" ca="1" si="277"/>
        <v>0</v>
      </c>
      <c r="AL124" s="80">
        <f t="shared" ref="AL124:BQ124" ca="1" si="278">IFERROR(AL122/AL123,0)</f>
        <v>0</v>
      </c>
      <c r="AM124" s="80">
        <f t="shared" ca="1" si="278"/>
        <v>0</v>
      </c>
      <c r="AN124" s="80">
        <f t="shared" ca="1" si="278"/>
        <v>0</v>
      </c>
      <c r="AO124" s="80">
        <f t="shared" ca="1" si="278"/>
        <v>0</v>
      </c>
      <c r="AP124" s="80">
        <f t="shared" ca="1" si="278"/>
        <v>0</v>
      </c>
      <c r="AQ124" s="80">
        <f t="shared" ca="1" si="278"/>
        <v>0</v>
      </c>
      <c r="AR124" s="80">
        <f t="shared" ca="1" si="278"/>
        <v>0</v>
      </c>
      <c r="AS124" s="80">
        <f t="shared" ca="1" si="278"/>
        <v>0</v>
      </c>
      <c r="AT124" s="80">
        <f t="shared" ca="1" si="278"/>
        <v>0</v>
      </c>
      <c r="AU124" s="80">
        <f t="shared" ca="1" si="278"/>
        <v>0</v>
      </c>
      <c r="AV124" s="80">
        <f t="shared" ca="1" si="278"/>
        <v>0</v>
      </c>
      <c r="AW124" s="80">
        <f t="shared" ca="1" si="278"/>
        <v>0</v>
      </c>
      <c r="AX124" s="80">
        <f t="shared" ca="1" si="278"/>
        <v>0</v>
      </c>
      <c r="AY124" s="80">
        <f t="shared" ca="1" si="278"/>
        <v>0</v>
      </c>
      <c r="AZ124" s="80">
        <f t="shared" ca="1" si="278"/>
        <v>0</v>
      </c>
      <c r="BA124" s="80">
        <f t="shared" ca="1" si="278"/>
        <v>0</v>
      </c>
      <c r="BB124" s="80">
        <f t="shared" ca="1" si="278"/>
        <v>0</v>
      </c>
      <c r="BC124" s="80">
        <f t="shared" ca="1" si="278"/>
        <v>0</v>
      </c>
      <c r="BD124" s="80">
        <f t="shared" ca="1" si="278"/>
        <v>0</v>
      </c>
      <c r="BE124" s="80">
        <f t="shared" ca="1" si="278"/>
        <v>0</v>
      </c>
      <c r="BF124" s="80">
        <f t="shared" ca="1" si="278"/>
        <v>0</v>
      </c>
      <c r="BG124" s="80">
        <f t="shared" ca="1" si="278"/>
        <v>0</v>
      </c>
      <c r="BH124" s="80">
        <f t="shared" ca="1" si="278"/>
        <v>0</v>
      </c>
      <c r="BI124" s="80">
        <f t="shared" ca="1" si="278"/>
        <v>0</v>
      </c>
      <c r="BJ124" s="80">
        <f t="shared" ca="1" si="278"/>
        <v>0</v>
      </c>
      <c r="BK124" s="80">
        <f t="shared" ca="1" si="278"/>
        <v>0</v>
      </c>
      <c r="BL124" s="80">
        <f t="shared" ca="1" si="278"/>
        <v>0</v>
      </c>
      <c r="BM124" s="80">
        <f t="shared" ca="1" si="278"/>
        <v>0</v>
      </c>
      <c r="BN124" s="80">
        <f t="shared" ca="1" si="278"/>
        <v>0</v>
      </c>
      <c r="BO124" s="80">
        <f t="shared" ca="1" si="278"/>
        <v>0</v>
      </c>
      <c r="BP124" s="80">
        <f t="shared" ca="1" si="278"/>
        <v>0</v>
      </c>
      <c r="BQ124" s="80">
        <f t="shared" ca="1" si="278"/>
        <v>0</v>
      </c>
      <c r="BR124" s="80">
        <f t="shared" ref="BR124:CW124" ca="1" si="279">IFERROR(BR122/BR123,0)</f>
        <v>0</v>
      </c>
      <c r="BS124" s="80">
        <f t="shared" ca="1" si="279"/>
        <v>0</v>
      </c>
      <c r="BT124" s="80">
        <f t="shared" ca="1" si="279"/>
        <v>0</v>
      </c>
      <c r="BU124" s="80">
        <f t="shared" ca="1" si="279"/>
        <v>0</v>
      </c>
      <c r="BV124" s="80">
        <f t="shared" ca="1" si="279"/>
        <v>0</v>
      </c>
      <c r="BW124" s="80">
        <f t="shared" ca="1" si="279"/>
        <v>0</v>
      </c>
      <c r="BX124" s="80">
        <f t="shared" ca="1" si="279"/>
        <v>0</v>
      </c>
      <c r="BY124" s="80">
        <f t="shared" ca="1" si="279"/>
        <v>0</v>
      </c>
      <c r="BZ124" s="80">
        <f t="shared" ca="1" si="279"/>
        <v>0</v>
      </c>
      <c r="CA124" s="80">
        <f t="shared" ca="1" si="279"/>
        <v>0</v>
      </c>
      <c r="CB124" s="80">
        <f t="shared" ca="1" si="279"/>
        <v>0</v>
      </c>
      <c r="CC124" s="80">
        <f t="shared" ca="1" si="279"/>
        <v>0</v>
      </c>
      <c r="CD124" s="80">
        <f t="shared" ca="1" si="279"/>
        <v>0</v>
      </c>
      <c r="CE124" s="80">
        <f t="shared" ca="1" si="279"/>
        <v>0</v>
      </c>
      <c r="CF124" s="80">
        <f t="shared" ca="1" si="279"/>
        <v>0</v>
      </c>
      <c r="CG124" s="80">
        <f t="shared" ca="1" si="279"/>
        <v>0</v>
      </c>
      <c r="CH124" s="80">
        <f t="shared" ca="1" si="279"/>
        <v>0</v>
      </c>
      <c r="CI124" s="80">
        <f t="shared" ca="1" si="279"/>
        <v>0</v>
      </c>
      <c r="CJ124" s="80">
        <f t="shared" ca="1" si="279"/>
        <v>0</v>
      </c>
      <c r="CK124" s="80">
        <f t="shared" ca="1" si="279"/>
        <v>0</v>
      </c>
      <c r="CL124" s="80">
        <f t="shared" ca="1" si="279"/>
        <v>0</v>
      </c>
      <c r="CM124" s="80">
        <f t="shared" ca="1" si="279"/>
        <v>0</v>
      </c>
      <c r="CN124" s="80">
        <f t="shared" ca="1" si="279"/>
        <v>0</v>
      </c>
      <c r="CO124" s="80">
        <f t="shared" ca="1" si="279"/>
        <v>0</v>
      </c>
      <c r="CP124" s="80">
        <f t="shared" ca="1" si="279"/>
        <v>0</v>
      </c>
      <c r="CQ124" s="80">
        <f t="shared" ca="1" si="279"/>
        <v>0</v>
      </c>
      <c r="CR124" s="80">
        <f t="shared" ca="1" si="279"/>
        <v>0</v>
      </c>
      <c r="CS124" s="80">
        <f t="shared" ca="1" si="279"/>
        <v>0</v>
      </c>
      <c r="CT124" s="80">
        <f t="shared" ca="1" si="279"/>
        <v>0</v>
      </c>
      <c r="CU124" s="80">
        <f t="shared" ca="1" si="279"/>
        <v>0</v>
      </c>
      <c r="CV124" s="80">
        <f t="shared" ca="1" si="279"/>
        <v>0</v>
      </c>
      <c r="CW124" s="80">
        <f t="shared" ca="1" si="279"/>
        <v>0</v>
      </c>
      <c r="CX124" s="80">
        <f t="shared" ref="CX124:EC124" ca="1" si="280">IFERROR(CX122/CX123,0)</f>
        <v>16306331.716675568</v>
      </c>
      <c r="CY124" s="80">
        <f t="shared" ca="1" si="280"/>
        <v>0</v>
      </c>
      <c r="CZ124" s="80">
        <f t="shared" ca="1" si="280"/>
        <v>0</v>
      </c>
      <c r="DA124" s="80">
        <f t="shared" ca="1" si="280"/>
        <v>0</v>
      </c>
      <c r="DB124" s="80">
        <f t="shared" ca="1" si="280"/>
        <v>0</v>
      </c>
      <c r="DC124" s="80">
        <f t="shared" ca="1" si="280"/>
        <v>0</v>
      </c>
      <c r="DD124" s="80">
        <f t="shared" ca="1" si="280"/>
        <v>0</v>
      </c>
      <c r="DE124" s="80">
        <f t="shared" ca="1" si="280"/>
        <v>0</v>
      </c>
      <c r="DF124" s="80">
        <f t="shared" ca="1" si="280"/>
        <v>0</v>
      </c>
      <c r="DG124" s="80">
        <f t="shared" ca="1" si="280"/>
        <v>0</v>
      </c>
      <c r="DH124" s="80">
        <f t="shared" ca="1" si="280"/>
        <v>0</v>
      </c>
      <c r="DI124" s="80">
        <f t="shared" ca="1" si="280"/>
        <v>0</v>
      </c>
      <c r="DJ124" s="80">
        <f t="shared" ca="1" si="280"/>
        <v>0</v>
      </c>
      <c r="DK124" s="80">
        <f t="shared" ca="1" si="280"/>
        <v>0</v>
      </c>
      <c r="DL124" s="80">
        <f t="shared" ca="1" si="280"/>
        <v>0</v>
      </c>
      <c r="DM124" s="80">
        <f t="shared" ca="1" si="280"/>
        <v>0</v>
      </c>
      <c r="DN124" s="80">
        <f t="shared" ca="1" si="280"/>
        <v>0</v>
      </c>
      <c r="DO124" s="80">
        <f t="shared" ca="1" si="280"/>
        <v>0</v>
      </c>
      <c r="DP124" s="80">
        <f t="shared" ca="1" si="280"/>
        <v>0</v>
      </c>
      <c r="DQ124" s="80">
        <f t="shared" ca="1" si="280"/>
        <v>0</v>
      </c>
      <c r="DR124" s="80">
        <f t="shared" ca="1" si="280"/>
        <v>0</v>
      </c>
      <c r="DS124" s="80">
        <f t="shared" ca="1" si="280"/>
        <v>0</v>
      </c>
      <c r="DT124" s="80">
        <f t="shared" ca="1" si="280"/>
        <v>0</v>
      </c>
      <c r="DU124" s="80">
        <f t="shared" ca="1" si="280"/>
        <v>0</v>
      </c>
      <c r="DV124" s="80">
        <f t="shared" ca="1" si="280"/>
        <v>0</v>
      </c>
      <c r="DW124" s="80">
        <f t="shared" ca="1" si="280"/>
        <v>0</v>
      </c>
      <c r="DX124" s="80">
        <f t="shared" ca="1" si="280"/>
        <v>0</v>
      </c>
      <c r="DY124" s="80">
        <f t="shared" ca="1" si="280"/>
        <v>0</v>
      </c>
      <c r="DZ124" s="80">
        <f t="shared" ca="1" si="280"/>
        <v>0</v>
      </c>
      <c r="EA124" s="80">
        <f t="shared" ca="1" si="280"/>
        <v>0</v>
      </c>
      <c r="EB124" s="80">
        <f t="shared" ca="1" si="280"/>
        <v>0</v>
      </c>
      <c r="EC124" s="80">
        <f t="shared" ca="1" si="280"/>
        <v>0</v>
      </c>
      <c r="ED124" s="80">
        <f t="shared" ref="ED124:FF124" ca="1" si="281">IFERROR(ED122/ED123,0)</f>
        <v>0</v>
      </c>
      <c r="EE124" s="80">
        <f t="shared" ca="1" si="281"/>
        <v>0</v>
      </c>
      <c r="EF124" s="80">
        <f t="shared" ca="1" si="281"/>
        <v>0</v>
      </c>
      <c r="EG124" s="80">
        <f t="shared" ca="1" si="281"/>
        <v>0</v>
      </c>
      <c r="EH124" s="80">
        <f t="shared" ca="1" si="281"/>
        <v>0</v>
      </c>
      <c r="EI124" s="80">
        <f t="shared" ca="1" si="281"/>
        <v>0</v>
      </c>
      <c r="EJ124" s="80">
        <f t="shared" ca="1" si="281"/>
        <v>0</v>
      </c>
      <c r="EK124" s="80">
        <f t="shared" ca="1" si="281"/>
        <v>0</v>
      </c>
      <c r="EL124" s="80">
        <f t="shared" ca="1" si="281"/>
        <v>0</v>
      </c>
      <c r="EM124" s="80">
        <f t="shared" ca="1" si="281"/>
        <v>0</v>
      </c>
      <c r="EN124" s="80">
        <f t="shared" ca="1" si="281"/>
        <v>0</v>
      </c>
      <c r="EO124" s="80">
        <f t="shared" ca="1" si="281"/>
        <v>0</v>
      </c>
      <c r="EP124" s="80">
        <f t="shared" ca="1" si="281"/>
        <v>0</v>
      </c>
      <c r="EQ124" s="80">
        <f t="shared" ca="1" si="281"/>
        <v>0</v>
      </c>
      <c r="ER124" s="80">
        <f t="shared" ca="1" si="281"/>
        <v>0</v>
      </c>
      <c r="ES124" s="80">
        <f t="shared" ca="1" si="281"/>
        <v>0</v>
      </c>
      <c r="ET124" s="80">
        <f t="shared" ca="1" si="281"/>
        <v>0</v>
      </c>
      <c r="EU124" s="80">
        <f t="shared" ca="1" si="281"/>
        <v>0</v>
      </c>
      <c r="EV124" s="80">
        <f t="shared" ca="1" si="281"/>
        <v>0</v>
      </c>
      <c r="EW124" s="80">
        <f t="shared" ca="1" si="281"/>
        <v>0</v>
      </c>
      <c r="EX124" s="80">
        <f t="shared" ca="1" si="281"/>
        <v>0</v>
      </c>
      <c r="EY124" s="80">
        <f t="shared" ca="1" si="281"/>
        <v>0</v>
      </c>
      <c r="EZ124" s="80">
        <f t="shared" ca="1" si="281"/>
        <v>0</v>
      </c>
      <c r="FA124" s="80">
        <f t="shared" ca="1" si="281"/>
        <v>0</v>
      </c>
      <c r="FB124" s="80">
        <f t="shared" ca="1" si="281"/>
        <v>0</v>
      </c>
      <c r="FC124" s="80">
        <f t="shared" ca="1" si="281"/>
        <v>0</v>
      </c>
      <c r="FD124" s="80">
        <f t="shared" ca="1" si="281"/>
        <v>0</v>
      </c>
      <c r="FE124" s="80">
        <f t="shared" ca="1" si="281"/>
        <v>0</v>
      </c>
      <c r="FF124" s="80">
        <f t="shared" ca="1" si="281"/>
        <v>0</v>
      </c>
      <c r="FG124" s="288"/>
      <c r="FH124" s="80">
        <f ca="1">SUMIF($F$54:$FF$54,FH$54,$F124:$FF124)</f>
        <v>0</v>
      </c>
      <c r="FI124" s="80">
        <f t="shared" ref="FI124:FU124" ca="1" si="282">SUMIF($F$54:$FF$54,FI$54,$F124:$FF124)</f>
        <v>0</v>
      </c>
      <c r="FJ124" s="80">
        <f t="shared" ca="1" si="282"/>
        <v>0</v>
      </c>
      <c r="FK124" s="80">
        <f t="shared" ca="1" si="282"/>
        <v>0</v>
      </c>
      <c r="FL124" s="80">
        <f t="shared" ca="1" si="282"/>
        <v>0</v>
      </c>
      <c r="FM124" s="80">
        <f t="shared" ca="1" si="282"/>
        <v>0</v>
      </c>
      <c r="FN124" s="80">
        <f t="shared" ca="1" si="282"/>
        <v>0</v>
      </c>
      <c r="FO124" s="80">
        <f t="shared" ca="1" si="282"/>
        <v>0</v>
      </c>
      <c r="FP124" s="80">
        <f t="shared" ca="1" si="282"/>
        <v>16306331.716675568</v>
      </c>
      <c r="FQ124" s="80">
        <f t="shared" ca="1" si="282"/>
        <v>0</v>
      </c>
      <c r="FR124" s="80">
        <f t="shared" ca="1" si="282"/>
        <v>0</v>
      </c>
      <c r="FS124" s="80">
        <f t="shared" ca="1" si="282"/>
        <v>0</v>
      </c>
      <c r="FT124" s="80">
        <f t="shared" ca="1" si="282"/>
        <v>0</v>
      </c>
      <c r="FU124" s="80">
        <f t="shared" ca="1" si="282"/>
        <v>0</v>
      </c>
      <c r="FV124" s="288"/>
    </row>
    <row r="125" spans="3:178" s="216" customFormat="1" x14ac:dyDescent="0.2">
      <c r="C125" s="216" t="s">
        <v>64</v>
      </c>
      <c r="E125" s="250">
        <f ca="1">SUM(F125:FF125)</f>
        <v>258830.66216945346</v>
      </c>
      <c r="F125" s="251">
        <f t="shared" ref="F125:AK125" ca="1" si="283">F124/$N$13</f>
        <v>0</v>
      </c>
      <c r="G125" s="252">
        <f t="shared" ca="1" si="283"/>
        <v>0</v>
      </c>
      <c r="H125" s="252">
        <f t="shared" ca="1" si="283"/>
        <v>0</v>
      </c>
      <c r="I125" s="252">
        <f t="shared" ca="1" si="283"/>
        <v>0</v>
      </c>
      <c r="J125" s="252">
        <f t="shared" ca="1" si="283"/>
        <v>0</v>
      </c>
      <c r="K125" s="252">
        <f t="shared" ca="1" si="283"/>
        <v>0</v>
      </c>
      <c r="L125" s="252">
        <f t="shared" ca="1" si="283"/>
        <v>0</v>
      </c>
      <c r="M125" s="252">
        <f t="shared" ca="1" si="283"/>
        <v>0</v>
      </c>
      <c r="N125" s="252">
        <f t="shared" ca="1" si="283"/>
        <v>0</v>
      </c>
      <c r="O125" s="252">
        <f t="shared" ca="1" si="283"/>
        <v>0</v>
      </c>
      <c r="P125" s="252">
        <f t="shared" ca="1" si="283"/>
        <v>0</v>
      </c>
      <c r="Q125" s="252">
        <f t="shared" ca="1" si="283"/>
        <v>0</v>
      </c>
      <c r="R125" s="252">
        <f t="shared" ca="1" si="283"/>
        <v>0</v>
      </c>
      <c r="S125" s="252">
        <f t="shared" ca="1" si="283"/>
        <v>0</v>
      </c>
      <c r="T125" s="252">
        <f t="shared" ca="1" si="283"/>
        <v>0</v>
      </c>
      <c r="U125" s="252">
        <f t="shared" ca="1" si="283"/>
        <v>0</v>
      </c>
      <c r="V125" s="252">
        <f t="shared" ca="1" si="283"/>
        <v>0</v>
      </c>
      <c r="W125" s="252">
        <f t="shared" ca="1" si="283"/>
        <v>0</v>
      </c>
      <c r="X125" s="252">
        <f t="shared" ca="1" si="283"/>
        <v>0</v>
      </c>
      <c r="Y125" s="252">
        <f t="shared" ca="1" si="283"/>
        <v>0</v>
      </c>
      <c r="Z125" s="252">
        <f t="shared" ca="1" si="283"/>
        <v>0</v>
      </c>
      <c r="AA125" s="252">
        <f t="shared" ca="1" si="283"/>
        <v>0</v>
      </c>
      <c r="AB125" s="252">
        <f t="shared" ca="1" si="283"/>
        <v>0</v>
      </c>
      <c r="AC125" s="252">
        <f t="shared" ca="1" si="283"/>
        <v>0</v>
      </c>
      <c r="AD125" s="252">
        <f t="shared" ca="1" si="283"/>
        <v>0</v>
      </c>
      <c r="AE125" s="252">
        <f t="shared" ca="1" si="283"/>
        <v>0</v>
      </c>
      <c r="AF125" s="252">
        <f t="shared" ca="1" si="283"/>
        <v>0</v>
      </c>
      <c r="AG125" s="252">
        <f t="shared" ca="1" si="283"/>
        <v>0</v>
      </c>
      <c r="AH125" s="252">
        <f t="shared" ca="1" si="283"/>
        <v>0</v>
      </c>
      <c r="AI125" s="252">
        <f t="shared" ca="1" si="283"/>
        <v>0</v>
      </c>
      <c r="AJ125" s="252">
        <f t="shared" ca="1" si="283"/>
        <v>0</v>
      </c>
      <c r="AK125" s="252">
        <f t="shared" ca="1" si="283"/>
        <v>0</v>
      </c>
      <c r="AL125" s="252">
        <f t="shared" ref="AL125:BQ125" ca="1" si="284">AL124/$N$13</f>
        <v>0</v>
      </c>
      <c r="AM125" s="252">
        <f t="shared" ca="1" si="284"/>
        <v>0</v>
      </c>
      <c r="AN125" s="252">
        <f t="shared" ca="1" si="284"/>
        <v>0</v>
      </c>
      <c r="AO125" s="252">
        <f t="shared" ca="1" si="284"/>
        <v>0</v>
      </c>
      <c r="AP125" s="252">
        <f t="shared" ca="1" si="284"/>
        <v>0</v>
      </c>
      <c r="AQ125" s="252">
        <f t="shared" ca="1" si="284"/>
        <v>0</v>
      </c>
      <c r="AR125" s="252">
        <f t="shared" ca="1" si="284"/>
        <v>0</v>
      </c>
      <c r="AS125" s="252">
        <f t="shared" ca="1" si="284"/>
        <v>0</v>
      </c>
      <c r="AT125" s="252">
        <f t="shared" ca="1" si="284"/>
        <v>0</v>
      </c>
      <c r="AU125" s="252">
        <f t="shared" ca="1" si="284"/>
        <v>0</v>
      </c>
      <c r="AV125" s="252">
        <f t="shared" ca="1" si="284"/>
        <v>0</v>
      </c>
      <c r="AW125" s="252">
        <f t="shared" ca="1" si="284"/>
        <v>0</v>
      </c>
      <c r="AX125" s="252">
        <f t="shared" ca="1" si="284"/>
        <v>0</v>
      </c>
      <c r="AY125" s="252">
        <f t="shared" ca="1" si="284"/>
        <v>0</v>
      </c>
      <c r="AZ125" s="252">
        <f t="shared" ca="1" si="284"/>
        <v>0</v>
      </c>
      <c r="BA125" s="252">
        <f t="shared" ca="1" si="284"/>
        <v>0</v>
      </c>
      <c r="BB125" s="252">
        <f t="shared" ca="1" si="284"/>
        <v>0</v>
      </c>
      <c r="BC125" s="252">
        <f t="shared" ca="1" si="284"/>
        <v>0</v>
      </c>
      <c r="BD125" s="252">
        <f t="shared" ca="1" si="284"/>
        <v>0</v>
      </c>
      <c r="BE125" s="252">
        <f t="shared" ca="1" si="284"/>
        <v>0</v>
      </c>
      <c r="BF125" s="252">
        <f t="shared" ca="1" si="284"/>
        <v>0</v>
      </c>
      <c r="BG125" s="252">
        <f t="shared" ca="1" si="284"/>
        <v>0</v>
      </c>
      <c r="BH125" s="252">
        <f t="shared" ca="1" si="284"/>
        <v>0</v>
      </c>
      <c r="BI125" s="252">
        <f t="shared" ca="1" si="284"/>
        <v>0</v>
      </c>
      <c r="BJ125" s="252">
        <f t="shared" ca="1" si="284"/>
        <v>0</v>
      </c>
      <c r="BK125" s="252">
        <f t="shared" ca="1" si="284"/>
        <v>0</v>
      </c>
      <c r="BL125" s="252">
        <f t="shared" ca="1" si="284"/>
        <v>0</v>
      </c>
      <c r="BM125" s="252">
        <f t="shared" ca="1" si="284"/>
        <v>0</v>
      </c>
      <c r="BN125" s="252">
        <f t="shared" ca="1" si="284"/>
        <v>0</v>
      </c>
      <c r="BO125" s="252">
        <f t="shared" ca="1" si="284"/>
        <v>0</v>
      </c>
      <c r="BP125" s="252">
        <f t="shared" ca="1" si="284"/>
        <v>0</v>
      </c>
      <c r="BQ125" s="252">
        <f t="shared" ca="1" si="284"/>
        <v>0</v>
      </c>
      <c r="BR125" s="252">
        <f t="shared" ref="BR125:CW125" ca="1" si="285">BR124/$N$13</f>
        <v>0</v>
      </c>
      <c r="BS125" s="252">
        <f t="shared" ca="1" si="285"/>
        <v>0</v>
      </c>
      <c r="BT125" s="252">
        <f t="shared" ca="1" si="285"/>
        <v>0</v>
      </c>
      <c r="BU125" s="252">
        <f t="shared" ca="1" si="285"/>
        <v>0</v>
      </c>
      <c r="BV125" s="252">
        <f t="shared" ca="1" si="285"/>
        <v>0</v>
      </c>
      <c r="BW125" s="252">
        <f t="shared" ca="1" si="285"/>
        <v>0</v>
      </c>
      <c r="BX125" s="252">
        <f t="shared" ca="1" si="285"/>
        <v>0</v>
      </c>
      <c r="BY125" s="252">
        <f t="shared" ca="1" si="285"/>
        <v>0</v>
      </c>
      <c r="BZ125" s="252">
        <f t="shared" ca="1" si="285"/>
        <v>0</v>
      </c>
      <c r="CA125" s="252">
        <f t="shared" ca="1" si="285"/>
        <v>0</v>
      </c>
      <c r="CB125" s="252">
        <f t="shared" ca="1" si="285"/>
        <v>0</v>
      </c>
      <c r="CC125" s="252">
        <f t="shared" ca="1" si="285"/>
        <v>0</v>
      </c>
      <c r="CD125" s="252">
        <f t="shared" ca="1" si="285"/>
        <v>0</v>
      </c>
      <c r="CE125" s="252">
        <f t="shared" ca="1" si="285"/>
        <v>0</v>
      </c>
      <c r="CF125" s="252">
        <f t="shared" ca="1" si="285"/>
        <v>0</v>
      </c>
      <c r="CG125" s="252">
        <f t="shared" ca="1" si="285"/>
        <v>0</v>
      </c>
      <c r="CH125" s="252">
        <f t="shared" ca="1" si="285"/>
        <v>0</v>
      </c>
      <c r="CI125" s="252">
        <f t="shared" ca="1" si="285"/>
        <v>0</v>
      </c>
      <c r="CJ125" s="252">
        <f t="shared" ca="1" si="285"/>
        <v>0</v>
      </c>
      <c r="CK125" s="252">
        <f t="shared" ca="1" si="285"/>
        <v>0</v>
      </c>
      <c r="CL125" s="252">
        <f t="shared" ca="1" si="285"/>
        <v>0</v>
      </c>
      <c r="CM125" s="252">
        <f t="shared" ca="1" si="285"/>
        <v>0</v>
      </c>
      <c r="CN125" s="252">
        <f t="shared" ca="1" si="285"/>
        <v>0</v>
      </c>
      <c r="CO125" s="252">
        <f t="shared" ca="1" si="285"/>
        <v>0</v>
      </c>
      <c r="CP125" s="252">
        <f t="shared" ca="1" si="285"/>
        <v>0</v>
      </c>
      <c r="CQ125" s="252">
        <f t="shared" ca="1" si="285"/>
        <v>0</v>
      </c>
      <c r="CR125" s="252">
        <f t="shared" ca="1" si="285"/>
        <v>0</v>
      </c>
      <c r="CS125" s="252">
        <f t="shared" ca="1" si="285"/>
        <v>0</v>
      </c>
      <c r="CT125" s="252">
        <f t="shared" ca="1" si="285"/>
        <v>0</v>
      </c>
      <c r="CU125" s="252">
        <f t="shared" ca="1" si="285"/>
        <v>0</v>
      </c>
      <c r="CV125" s="252">
        <f t="shared" ca="1" si="285"/>
        <v>0</v>
      </c>
      <c r="CW125" s="252">
        <f t="shared" ca="1" si="285"/>
        <v>0</v>
      </c>
      <c r="CX125" s="252">
        <f t="shared" ref="CX125:EC125" ca="1" si="286">CX124/$N$13</f>
        <v>258830.66216945346</v>
      </c>
      <c r="CY125" s="252">
        <f t="shared" ca="1" si="286"/>
        <v>0</v>
      </c>
      <c r="CZ125" s="252">
        <f t="shared" ca="1" si="286"/>
        <v>0</v>
      </c>
      <c r="DA125" s="252">
        <f t="shared" ca="1" si="286"/>
        <v>0</v>
      </c>
      <c r="DB125" s="252">
        <f t="shared" ca="1" si="286"/>
        <v>0</v>
      </c>
      <c r="DC125" s="252">
        <f t="shared" ca="1" si="286"/>
        <v>0</v>
      </c>
      <c r="DD125" s="252">
        <f t="shared" ca="1" si="286"/>
        <v>0</v>
      </c>
      <c r="DE125" s="252">
        <f t="shared" ca="1" si="286"/>
        <v>0</v>
      </c>
      <c r="DF125" s="252">
        <f t="shared" ca="1" si="286"/>
        <v>0</v>
      </c>
      <c r="DG125" s="252">
        <f t="shared" ca="1" si="286"/>
        <v>0</v>
      </c>
      <c r="DH125" s="252">
        <f t="shared" ca="1" si="286"/>
        <v>0</v>
      </c>
      <c r="DI125" s="252">
        <f t="shared" ca="1" si="286"/>
        <v>0</v>
      </c>
      <c r="DJ125" s="252">
        <f t="shared" ca="1" si="286"/>
        <v>0</v>
      </c>
      <c r="DK125" s="252">
        <f t="shared" ca="1" si="286"/>
        <v>0</v>
      </c>
      <c r="DL125" s="252">
        <f t="shared" ca="1" si="286"/>
        <v>0</v>
      </c>
      <c r="DM125" s="252">
        <f t="shared" ca="1" si="286"/>
        <v>0</v>
      </c>
      <c r="DN125" s="252">
        <f t="shared" ca="1" si="286"/>
        <v>0</v>
      </c>
      <c r="DO125" s="252">
        <f t="shared" ca="1" si="286"/>
        <v>0</v>
      </c>
      <c r="DP125" s="252">
        <f t="shared" ca="1" si="286"/>
        <v>0</v>
      </c>
      <c r="DQ125" s="252">
        <f t="shared" ca="1" si="286"/>
        <v>0</v>
      </c>
      <c r="DR125" s="252">
        <f t="shared" ca="1" si="286"/>
        <v>0</v>
      </c>
      <c r="DS125" s="252">
        <f t="shared" ca="1" si="286"/>
        <v>0</v>
      </c>
      <c r="DT125" s="252">
        <f t="shared" ca="1" si="286"/>
        <v>0</v>
      </c>
      <c r="DU125" s="252">
        <f t="shared" ca="1" si="286"/>
        <v>0</v>
      </c>
      <c r="DV125" s="252">
        <f t="shared" ca="1" si="286"/>
        <v>0</v>
      </c>
      <c r="DW125" s="252">
        <f t="shared" ca="1" si="286"/>
        <v>0</v>
      </c>
      <c r="DX125" s="252">
        <f t="shared" ca="1" si="286"/>
        <v>0</v>
      </c>
      <c r="DY125" s="252">
        <f t="shared" ca="1" si="286"/>
        <v>0</v>
      </c>
      <c r="DZ125" s="252">
        <f t="shared" ca="1" si="286"/>
        <v>0</v>
      </c>
      <c r="EA125" s="252">
        <f t="shared" ca="1" si="286"/>
        <v>0</v>
      </c>
      <c r="EB125" s="252">
        <f t="shared" ca="1" si="286"/>
        <v>0</v>
      </c>
      <c r="EC125" s="252">
        <f t="shared" ca="1" si="286"/>
        <v>0</v>
      </c>
      <c r="ED125" s="252">
        <f t="shared" ref="ED125:FF125" ca="1" si="287">ED124/$N$13</f>
        <v>0</v>
      </c>
      <c r="EE125" s="252">
        <f t="shared" ca="1" si="287"/>
        <v>0</v>
      </c>
      <c r="EF125" s="252">
        <f t="shared" ca="1" si="287"/>
        <v>0</v>
      </c>
      <c r="EG125" s="252">
        <f t="shared" ca="1" si="287"/>
        <v>0</v>
      </c>
      <c r="EH125" s="252">
        <f t="shared" ca="1" si="287"/>
        <v>0</v>
      </c>
      <c r="EI125" s="252">
        <f t="shared" ca="1" si="287"/>
        <v>0</v>
      </c>
      <c r="EJ125" s="252">
        <f t="shared" ca="1" si="287"/>
        <v>0</v>
      </c>
      <c r="EK125" s="252">
        <f t="shared" ca="1" si="287"/>
        <v>0</v>
      </c>
      <c r="EL125" s="252">
        <f t="shared" ca="1" si="287"/>
        <v>0</v>
      </c>
      <c r="EM125" s="252">
        <f t="shared" ca="1" si="287"/>
        <v>0</v>
      </c>
      <c r="EN125" s="252">
        <f t="shared" ca="1" si="287"/>
        <v>0</v>
      </c>
      <c r="EO125" s="252">
        <f t="shared" ca="1" si="287"/>
        <v>0</v>
      </c>
      <c r="EP125" s="252">
        <f t="shared" ca="1" si="287"/>
        <v>0</v>
      </c>
      <c r="EQ125" s="252">
        <f t="shared" ca="1" si="287"/>
        <v>0</v>
      </c>
      <c r="ER125" s="252">
        <f t="shared" ca="1" si="287"/>
        <v>0</v>
      </c>
      <c r="ES125" s="252">
        <f t="shared" ca="1" si="287"/>
        <v>0</v>
      </c>
      <c r="ET125" s="252">
        <f t="shared" ca="1" si="287"/>
        <v>0</v>
      </c>
      <c r="EU125" s="252">
        <f t="shared" ca="1" si="287"/>
        <v>0</v>
      </c>
      <c r="EV125" s="252">
        <f t="shared" ca="1" si="287"/>
        <v>0</v>
      </c>
      <c r="EW125" s="252">
        <f t="shared" ca="1" si="287"/>
        <v>0</v>
      </c>
      <c r="EX125" s="252">
        <f t="shared" ca="1" si="287"/>
        <v>0</v>
      </c>
      <c r="EY125" s="252">
        <f t="shared" ca="1" si="287"/>
        <v>0</v>
      </c>
      <c r="EZ125" s="252">
        <f t="shared" ca="1" si="287"/>
        <v>0</v>
      </c>
      <c r="FA125" s="252">
        <f t="shared" ca="1" si="287"/>
        <v>0</v>
      </c>
      <c r="FB125" s="252">
        <f t="shared" ca="1" si="287"/>
        <v>0</v>
      </c>
      <c r="FC125" s="252">
        <f t="shared" ca="1" si="287"/>
        <v>0</v>
      </c>
      <c r="FD125" s="252">
        <f t="shared" ca="1" si="287"/>
        <v>0</v>
      </c>
      <c r="FE125" s="252">
        <f t="shared" ca="1" si="287"/>
        <v>0</v>
      </c>
      <c r="FF125" s="252">
        <f t="shared" ca="1" si="287"/>
        <v>0</v>
      </c>
      <c r="FG125" s="327"/>
      <c r="FH125" s="252">
        <f ca="1">FH124/$N$13</f>
        <v>0</v>
      </c>
      <c r="FI125" s="252"/>
      <c r="FJ125" s="252"/>
      <c r="FK125" s="252"/>
      <c r="FL125" s="252"/>
      <c r="FM125" s="252">
        <f ca="1">FM124/$N$13</f>
        <v>0</v>
      </c>
      <c r="FN125" s="252">
        <f ca="1">FN124/$N$13</f>
        <v>0</v>
      </c>
      <c r="FO125" s="252">
        <f ca="1">FO124/$N$13</f>
        <v>0</v>
      </c>
      <c r="FP125" s="252">
        <f ca="1">FP124/$N$13</f>
        <v>258830.66216945346</v>
      </c>
      <c r="FQ125" s="252"/>
      <c r="FR125" s="252"/>
      <c r="FS125" s="252"/>
      <c r="FT125" s="252"/>
      <c r="FU125" s="252"/>
      <c r="FV125" s="327"/>
    </row>
    <row r="126" spans="3:178" x14ac:dyDescent="0.2">
      <c r="E126" s="235"/>
      <c r="F126" s="248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35"/>
      <c r="X126" s="235"/>
      <c r="Y126" s="235"/>
      <c r="Z126" s="235"/>
      <c r="AA126" s="235"/>
      <c r="AB126" s="235"/>
      <c r="AC126" s="235"/>
      <c r="AD126" s="235"/>
      <c r="AE126" s="235"/>
      <c r="AF126" s="235"/>
      <c r="AG126" s="235"/>
      <c r="AH126" s="235"/>
      <c r="AI126" s="235"/>
      <c r="AJ126" s="235"/>
      <c r="AK126" s="235"/>
      <c r="AL126" s="235"/>
      <c r="AM126" s="235"/>
      <c r="AN126" s="235"/>
      <c r="AO126" s="235"/>
      <c r="AP126" s="235"/>
      <c r="AQ126" s="235"/>
      <c r="AR126" s="235"/>
      <c r="AS126" s="235"/>
      <c r="AT126" s="235"/>
      <c r="AU126" s="235"/>
      <c r="AV126" s="235"/>
      <c r="AW126" s="235"/>
      <c r="AX126" s="235"/>
      <c r="AY126" s="235"/>
      <c r="AZ126" s="235"/>
      <c r="BA126" s="235"/>
      <c r="BB126" s="235"/>
      <c r="BC126" s="235"/>
      <c r="BD126" s="235"/>
      <c r="BE126" s="235"/>
      <c r="BF126" s="235"/>
      <c r="BG126" s="235"/>
      <c r="BH126" s="235"/>
      <c r="BI126" s="235"/>
      <c r="BJ126" s="235"/>
      <c r="BK126" s="235"/>
      <c r="BL126" s="235"/>
      <c r="BM126" s="235"/>
      <c r="BN126" s="235"/>
      <c r="BO126" s="235"/>
      <c r="BP126" s="235"/>
      <c r="BQ126" s="235"/>
      <c r="BR126" s="235"/>
      <c r="BS126" s="235"/>
      <c r="BT126" s="235"/>
      <c r="BU126" s="235"/>
      <c r="BV126" s="235"/>
      <c r="BW126" s="235"/>
      <c r="BX126" s="235"/>
      <c r="BY126" s="235"/>
      <c r="BZ126" s="235"/>
      <c r="CA126" s="235"/>
      <c r="CB126" s="235"/>
      <c r="CC126" s="235"/>
      <c r="CD126" s="235"/>
      <c r="CE126" s="235"/>
      <c r="CF126" s="235"/>
      <c r="CG126" s="235"/>
      <c r="CH126" s="235"/>
      <c r="CI126" s="235"/>
      <c r="CJ126" s="235"/>
      <c r="CK126" s="235"/>
      <c r="CL126" s="235"/>
      <c r="CM126" s="235"/>
      <c r="CN126" s="235"/>
      <c r="CO126" s="235"/>
      <c r="CP126" s="235"/>
      <c r="CQ126" s="235"/>
      <c r="CR126" s="235"/>
      <c r="CS126" s="235"/>
      <c r="CT126" s="235"/>
      <c r="CU126" s="235"/>
      <c r="CV126" s="235"/>
      <c r="CW126" s="235"/>
      <c r="CX126" s="235"/>
      <c r="CY126" s="235"/>
      <c r="CZ126" s="235"/>
      <c r="DA126" s="235"/>
      <c r="DB126" s="235"/>
      <c r="DC126" s="235"/>
      <c r="DD126" s="235"/>
      <c r="DE126" s="235"/>
      <c r="DF126" s="235"/>
      <c r="DG126" s="235"/>
      <c r="DH126" s="235"/>
      <c r="DI126" s="235"/>
      <c r="DJ126" s="235"/>
      <c r="DK126" s="235"/>
      <c r="DL126" s="235"/>
      <c r="DM126" s="235"/>
      <c r="DN126" s="235"/>
      <c r="DO126" s="235"/>
      <c r="DP126" s="235"/>
      <c r="DQ126" s="235"/>
      <c r="DR126" s="235"/>
      <c r="DS126" s="235"/>
      <c r="DT126" s="235"/>
      <c r="DU126" s="235"/>
      <c r="DV126" s="235"/>
      <c r="DW126" s="235"/>
      <c r="DX126" s="235"/>
      <c r="DY126" s="235"/>
      <c r="DZ126" s="235"/>
      <c r="EA126" s="235"/>
      <c r="EB126" s="235"/>
      <c r="EC126" s="235"/>
      <c r="ED126" s="235"/>
      <c r="EE126" s="235"/>
      <c r="EF126" s="235"/>
      <c r="EG126" s="235"/>
      <c r="EH126" s="235"/>
      <c r="EI126" s="235"/>
      <c r="EJ126" s="235"/>
      <c r="EK126" s="235"/>
      <c r="EL126" s="235"/>
      <c r="EM126" s="235"/>
      <c r="EN126" s="235"/>
      <c r="EO126" s="235"/>
      <c r="EP126" s="235"/>
      <c r="EQ126" s="235"/>
      <c r="ER126" s="235"/>
      <c r="ES126" s="235"/>
      <c r="ET126" s="235"/>
      <c r="EU126" s="235"/>
      <c r="EV126" s="235"/>
      <c r="EW126" s="235"/>
      <c r="EX126" s="235"/>
      <c r="EY126" s="235"/>
      <c r="EZ126" s="235"/>
      <c r="FA126" s="235"/>
      <c r="FB126" s="235"/>
      <c r="FC126" s="235"/>
      <c r="FD126" s="235"/>
      <c r="FE126" s="235"/>
      <c r="FF126" s="235"/>
      <c r="FG126" s="326"/>
      <c r="FH126" s="235"/>
      <c r="FI126" s="235"/>
      <c r="FJ126" s="235"/>
      <c r="FK126" s="235"/>
      <c r="FL126" s="235"/>
      <c r="FM126" s="235"/>
      <c r="FN126" s="235"/>
      <c r="FO126" s="235"/>
      <c r="FP126" s="235"/>
      <c r="FQ126" s="235"/>
      <c r="FR126" s="235"/>
      <c r="FS126" s="235"/>
      <c r="FT126" s="235"/>
      <c r="FU126" s="235"/>
      <c r="FV126" s="326"/>
    </row>
    <row r="127" spans="3:178" x14ac:dyDescent="0.2">
      <c r="C127" s="241" t="s">
        <v>102</v>
      </c>
      <c r="D127" s="241"/>
      <c r="E127" s="253">
        <f ca="1">SUM(F127:FF127)</f>
        <v>-163063.31716675567</v>
      </c>
      <c r="F127" s="254">
        <f t="shared" ref="F127:AK127" ca="1" si="288">F124*-$E$28</f>
        <v>0</v>
      </c>
      <c r="G127" s="254">
        <f t="shared" ca="1" si="288"/>
        <v>0</v>
      </c>
      <c r="H127" s="254">
        <f t="shared" ca="1" si="288"/>
        <v>0</v>
      </c>
      <c r="I127" s="254">
        <f t="shared" ca="1" si="288"/>
        <v>0</v>
      </c>
      <c r="J127" s="254">
        <f t="shared" ca="1" si="288"/>
        <v>0</v>
      </c>
      <c r="K127" s="254">
        <f t="shared" ca="1" si="288"/>
        <v>0</v>
      </c>
      <c r="L127" s="254">
        <f t="shared" ca="1" si="288"/>
        <v>0</v>
      </c>
      <c r="M127" s="254">
        <f t="shared" ca="1" si="288"/>
        <v>0</v>
      </c>
      <c r="N127" s="254">
        <f t="shared" ca="1" si="288"/>
        <v>0</v>
      </c>
      <c r="O127" s="254">
        <f t="shared" ca="1" si="288"/>
        <v>0</v>
      </c>
      <c r="P127" s="254">
        <f t="shared" ca="1" si="288"/>
        <v>0</v>
      </c>
      <c r="Q127" s="254">
        <f t="shared" ca="1" si="288"/>
        <v>0</v>
      </c>
      <c r="R127" s="254">
        <f t="shared" ca="1" si="288"/>
        <v>0</v>
      </c>
      <c r="S127" s="254">
        <f t="shared" ca="1" si="288"/>
        <v>0</v>
      </c>
      <c r="T127" s="254">
        <f t="shared" ca="1" si="288"/>
        <v>0</v>
      </c>
      <c r="U127" s="254">
        <f t="shared" ca="1" si="288"/>
        <v>0</v>
      </c>
      <c r="V127" s="254">
        <f t="shared" ca="1" si="288"/>
        <v>0</v>
      </c>
      <c r="W127" s="254">
        <f t="shared" ca="1" si="288"/>
        <v>0</v>
      </c>
      <c r="X127" s="254">
        <f t="shared" ca="1" si="288"/>
        <v>0</v>
      </c>
      <c r="Y127" s="254">
        <f t="shared" ca="1" si="288"/>
        <v>0</v>
      </c>
      <c r="Z127" s="254">
        <f t="shared" ca="1" si="288"/>
        <v>0</v>
      </c>
      <c r="AA127" s="254">
        <f t="shared" ca="1" si="288"/>
        <v>0</v>
      </c>
      <c r="AB127" s="254">
        <f t="shared" ca="1" si="288"/>
        <v>0</v>
      </c>
      <c r="AC127" s="254">
        <f t="shared" ca="1" si="288"/>
        <v>0</v>
      </c>
      <c r="AD127" s="254">
        <f t="shared" ca="1" si="288"/>
        <v>0</v>
      </c>
      <c r="AE127" s="254">
        <f t="shared" ca="1" si="288"/>
        <v>0</v>
      </c>
      <c r="AF127" s="254">
        <f t="shared" ca="1" si="288"/>
        <v>0</v>
      </c>
      <c r="AG127" s="254">
        <f t="shared" ca="1" si="288"/>
        <v>0</v>
      </c>
      <c r="AH127" s="254">
        <f t="shared" ca="1" si="288"/>
        <v>0</v>
      </c>
      <c r="AI127" s="254">
        <f t="shared" ca="1" si="288"/>
        <v>0</v>
      </c>
      <c r="AJ127" s="254">
        <f t="shared" ca="1" si="288"/>
        <v>0</v>
      </c>
      <c r="AK127" s="254">
        <f t="shared" ca="1" si="288"/>
        <v>0</v>
      </c>
      <c r="AL127" s="254">
        <f t="shared" ref="AL127:BQ127" ca="1" si="289">AL124*-$E$28</f>
        <v>0</v>
      </c>
      <c r="AM127" s="254">
        <f t="shared" ca="1" si="289"/>
        <v>0</v>
      </c>
      <c r="AN127" s="254">
        <f t="shared" ca="1" si="289"/>
        <v>0</v>
      </c>
      <c r="AO127" s="254">
        <f t="shared" ca="1" si="289"/>
        <v>0</v>
      </c>
      <c r="AP127" s="254">
        <f t="shared" ca="1" si="289"/>
        <v>0</v>
      </c>
      <c r="AQ127" s="254">
        <f t="shared" ca="1" si="289"/>
        <v>0</v>
      </c>
      <c r="AR127" s="254">
        <f t="shared" ca="1" si="289"/>
        <v>0</v>
      </c>
      <c r="AS127" s="254">
        <f t="shared" ca="1" si="289"/>
        <v>0</v>
      </c>
      <c r="AT127" s="254">
        <f t="shared" ca="1" si="289"/>
        <v>0</v>
      </c>
      <c r="AU127" s="254">
        <f t="shared" ca="1" si="289"/>
        <v>0</v>
      </c>
      <c r="AV127" s="254">
        <f t="shared" ca="1" si="289"/>
        <v>0</v>
      </c>
      <c r="AW127" s="254">
        <f t="shared" ca="1" si="289"/>
        <v>0</v>
      </c>
      <c r="AX127" s="254">
        <f t="shared" ca="1" si="289"/>
        <v>0</v>
      </c>
      <c r="AY127" s="254">
        <f t="shared" ca="1" si="289"/>
        <v>0</v>
      </c>
      <c r="AZ127" s="254">
        <f t="shared" ca="1" si="289"/>
        <v>0</v>
      </c>
      <c r="BA127" s="254">
        <f t="shared" ca="1" si="289"/>
        <v>0</v>
      </c>
      <c r="BB127" s="254">
        <f t="shared" ca="1" si="289"/>
        <v>0</v>
      </c>
      <c r="BC127" s="254">
        <f t="shared" ca="1" si="289"/>
        <v>0</v>
      </c>
      <c r="BD127" s="254">
        <f t="shared" ca="1" si="289"/>
        <v>0</v>
      </c>
      <c r="BE127" s="254">
        <f t="shared" ca="1" si="289"/>
        <v>0</v>
      </c>
      <c r="BF127" s="254">
        <f t="shared" ca="1" si="289"/>
        <v>0</v>
      </c>
      <c r="BG127" s="254">
        <f t="shared" ca="1" si="289"/>
        <v>0</v>
      </c>
      <c r="BH127" s="254">
        <f t="shared" ca="1" si="289"/>
        <v>0</v>
      </c>
      <c r="BI127" s="254">
        <f t="shared" ca="1" si="289"/>
        <v>0</v>
      </c>
      <c r="BJ127" s="254">
        <f t="shared" ca="1" si="289"/>
        <v>0</v>
      </c>
      <c r="BK127" s="254">
        <f t="shared" ca="1" si="289"/>
        <v>0</v>
      </c>
      <c r="BL127" s="254">
        <f t="shared" ca="1" si="289"/>
        <v>0</v>
      </c>
      <c r="BM127" s="254">
        <f t="shared" ca="1" si="289"/>
        <v>0</v>
      </c>
      <c r="BN127" s="254">
        <f t="shared" ca="1" si="289"/>
        <v>0</v>
      </c>
      <c r="BO127" s="254">
        <f t="shared" ca="1" si="289"/>
        <v>0</v>
      </c>
      <c r="BP127" s="254">
        <f t="shared" ca="1" si="289"/>
        <v>0</v>
      </c>
      <c r="BQ127" s="254">
        <f t="shared" ca="1" si="289"/>
        <v>0</v>
      </c>
      <c r="BR127" s="254">
        <f t="shared" ref="BR127:CW127" ca="1" si="290">BR124*-$E$28</f>
        <v>0</v>
      </c>
      <c r="BS127" s="254">
        <f t="shared" ca="1" si="290"/>
        <v>0</v>
      </c>
      <c r="BT127" s="254">
        <f t="shared" ca="1" si="290"/>
        <v>0</v>
      </c>
      <c r="BU127" s="254">
        <f t="shared" ca="1" si="290"/>
        <v>0</v>
      </c>
      <c r="BV127" s="254">
        <f t="shared" ca="1" si="290"/>
        <v>0</v>
      </c>
      <c r="BW127" s="254">
        <f t="shared" ca="1" si="290"/>
        <v>0</v>
      </c>
      <c r="BX127" s="254">
        <f t="shared" ca="1" si="290"/>
        <v>0</v>
      </c>
      <c r="BY127" s="254">
        <f t="shared" ca="1" si="290"/>
        <v>0</v>
      </c>
      <c r="BZ127" s="254">
        <f t="shared" ca="1" si="290"/>
        <v>0</v>
      </c>
      <c r="CA127" s="254">
        <f t="shared" ca="1" si="290"/>
        <v>0</v>
      </c>
      <c r="CB127" s="254">
        <f t="shared" ca="1" si="290"/>
        <v>0</v>
      </c>
      <c r="CC127" s="254">
        <f t="shared" ca="1" si="290"/>
        <v>0</v>
      </c>
      <c r="CD127" s="254">
        <f t="shared" ca="1" si="290"/>
        <v>0</v>
      </c>
      <c r="CE127" s="254">
        <f t="shared" ca="1" si="290"/>
        <v>0</v>
      </c>
      <c r="CF127" s="254">
        <f t="shared" ca="1" si="290"/>
        <v>0</v>
      </c>
      <c r="CG127" s="254">
        <f t="shared" ca="1" si="290"/>
        <v>0</v>
      </c>
      <c r="CH127" s="254">
        <f t="shared" ca="1" si="290"/>
        <v>0</v>
      </c>
      <c r="CI127" s="254">
        <f t="shared" ca="1" si="290"/>
        <v>0</v>
      </c>
      <c r="CJ127" s="254">
        <f t="shared" ca="1" si="290"/>
        <v>0</v>
      </c>
      <c r="CK127" s="254">
        <f t="shared" ca="1" si="290"/>
        <v>0</v>
      </c>
      <c r="CL127" s="254">
        <f t="shared" ca="1" si="290"/>
        <v>0</v>
      </c>
      <c r="CM127" s="254">
        <f t="shared" ca="1" si="290"/>
        <v>0</v>
      </c>
      <c r="CN127" s="254">
        <f t="shared" ca="1" si="290"/>
        <v>0</v>
      </c>
      <c r="CO127" s="254">
        <f t="shared" ca="1" si="290"/>
        <v>0</v>
      </c>
      <c r="CP127" s="254">
        <f t="shared" ca="1" si="290"/>
        <v>0</v>
      </c>
      <c r="CQ127" s="254">
        <f t="shared" ca="1" si="290"/>
        <v>0</v>
      </c>
      <c r="CR127" s="254">
        <f t="shared" ca="1" si="290"/>
        <v>0</v>
      </c>
      <c r="CS127" s="254">
        <f t="shared" ca="1" si="290"/>
        <v>0</v>
      </c>
      <c r="CT127" s="254">
        <f t="shared" ca="1" si="290"/>
        <v>0</v>
      </c>
      <c r="CU127" s="254">
        <f t="shared" ca="1" si="290"/>
        <v>0</v>
      </c>
      <c r="CV127" s="254">
        <f t="shared" ca="1" si="290"/>
        <v>0</v>
      </c>
      <c r="CW127" s="254">
        <f t="shared" ca="1" si="290"/>
        <v>0</v>
      </c>
      <c r="CX127" s="254">
        <f t="shared" ref="CX127:EC127" ca="1" si="291">CX124*-$E$28</f>
        <v>-163063.31716675567</v>
      </c>
      <c r="CY127" s="254">
        <f t="shared" ca="1" si="291"/>
        <v>0</v>
      </c>
      <c r="CZ127" s="254">
        <f t="shared" ca="1" si="291"/>
        <v>0</v>
      </c>
      <c r="DA127" s="254">
        <f t="shared" ca="1" si="291"/>
        <v>0</v>
      </c>
      <c r="DB127" s="254">
        <f t="shared" ca="1" si="291"/>
        <v>0</v>
      </c>
      <c r="DC127" s="254">
        <f t="shared" ca="1" si="291"/>
        <v>0</v>
      </c>
      <c r="DD127" s="254">
        <f t="shared" ca="1" si="291"/>
        <v>0</v>
      </c>
      <c r="DE127" s="254">
        <f t="shared" ca="1" si="291"/>
        <v>0</v>
      </c>
      <c r="DF127" s="254">
        <f t="shared" ca="1" si="291"/>
        <v>0</v>
      </c>
      <c r="DG127" s="254">
        <f t="shared" ca="1" si="291"/>
        <v>0</v>
      </c>
      <c r="DH127" s="254">
        <f t="shared" ca="1" si="291"/>
        <v>0</v>
      </c>
      <c r="DI127" s="254">
        <f t="shared" ca="1" si="291"/>
        <v>0</v>
      </c>
      <c r="DJ127" s="254">
        <f t="shared" ca="1" si="291"/>
        <v>0</v>
      </c>
      <c r="DK127" s="254">
        <f t="shared" ca="1" si="291"/>
        <v>0</v>
      </c>
      <c r="DL127" s="254">
        <f t="shared" ca="1" si="291"/>
        <v>0</v>
      </c>
      <c r="DM127" s="254">
        <f t="shared" ca="1" si="291"/>
        <v>0</v>
      </c>
      <c r="DN127" s="254">
        <f t="shared" ca="1" si="291"/>
        <v>0</v>
      </c>
      <c r="DO127" s="254">
        <f t="shared" ca="1" si="291"/>
        <v>0</v>
      </c>
      <c r="DP127" s="254">
        <f t="shared" ca="1" si="291"/>
        <v>0</v>
      </c>
      <c r="DQ127" s="254">
        <f t="shared" ca="1" si="291"/>
        <v>0</v>
      </c>
      <c r="DR127" s="254">
        <f t="shared" ca="1" si="291"/>
        <v>0</v>
      </c>
      <c r="DS127" s="254">
        <f t="shared" ca="1" si="291"/>
        <v>0</v>
      </c>
      <c r="DT127" s="254">
        <f t="shared" ca="1" si="291"/>
        <v>0</v>
      </c>
      <c r="DU127" s="254">
        <f t="shared" ca="1" si="291"/>
        <v>0</v>
      </c>
      <c r="DV127" s="254">
        <f t="shared" ca="1" si="291"/>
        <v>0</v>
      </c>
      <c r="DW127" s="254">
        <f t="shared" ca="1" si="291"/>
        <v>0</v>
      </c>
      <c r="DX127" s="254">
        <f t="shared" ca="1" si="291"/>
        <v>0</v>
      </c>
      <c r="DY127" s="254">
        <f t="shared" ca="1" si="291"/>
        <v>0</v>
      </c>
      <c r="DZ127" s="254">
        <f t="shared" ca="1" si="291"/>
        <v>0</v>
      </c>
      <c r="EA127" s="254">
        <f t="shared" ca="1" si="291"/>
        <v>0</v>
      </c>
      <c r="EB127" s="254">
        <f t="shared" ca="1" si="291"/>
        <v>0</v>
      </c>
      <c r="EC127" s="254">
        <f t="shared" ca="1" si="291"/>
        <v>0</v>
      </c>
      <c r="ED127" s="254">
        <f t="shared" ref="ED127:FF127" ca="1" si="292">ED124*-$E$28</f>
        <v>0</v>
      </c>
      <c r="EE127" s="254">
        <f t="shared" ca="1" si="292"/>
        <v>0</v>
      </c>
      <c r="EF127" s="254">
        <f t="shared" ca="1" si="292"/>
        <v>0</v>
      </c>
      <c r="EG127" s="254">
        <f t="shared" ca="1" si="292"/>
        <v>0</v>
      </c>
      <c r="EH127" s="254">
        <f t="shared" ca="1" si="292"/>
        <v>0</v>
      </c>
      <c r="EI127" s="254">
        <f t="shared" ca="1" si="292"/>
        <v>0</v>
      </c>
      <c r="EJ127" s="254">
        <f t="shared" ca="1" si="292"/>
        <v>0</v>
      </c>
      <c r="EK127" s="254">
        <f t="shared" ca="1" si="292"/>
        <v>0</v>
      </c>
      <c r="EL127" s="254">
        <f t="shared" ca="1" si="292"/>
        <v>0</v>
      </c>
      <c r="EM127" s="254">
        <f t="shared" ca="1" si="292"/>
        <v>0</v>
      </c>
      <c r="EN127" s="254">
        <f t="shared" ca="1" si="292"/>
        <v>0</v>
      </c>
      <c r="EO127" s="254">
        <f t="shared" ca="1" si="292"/>
        <v>0</v>
      </c>
      <c r="EP127" s="254">
        <f t="shared" ca="1" si="292"/>
        <v>0</v>
      </c>
      <c r="EQ127" s="254">
        <f t="shared" ca="1" si="292"/>
        <v>0</v>
      </c>
      <c r="ER127" s="254">
        <f t="shared" ca="1" si="292"/>
        <v>0</v>
      </c>
      <c r="ES127" s="254">
        <f t="shared" ca="1" si="292"/>
        <v>0</v>
      </c>
      <c r="ET127" s="254">
        <f t="shared" ca="1" si="292"/>
        <v>0</v>
      </c>
      <c r="EU127" s="254">
        <f t="shared" ca="1" si="292"/>
        <v>0</v>
      </c>
      <c r="EV127" s="254">
        <f t="shared" ca="1" si="292"/>
        <v>0</v>
      </c>
      <c r="EW127" s="254">
        <f t="shared" ca="1" si="292"/>
        <v>0</v>
      </c>
      <c r="EX127" s="254">
        <f t="shared" ca="1" si="292"/>
        <v>0</v>
      </c>
      <c r="EY127" s="254">
        <f t="shared" ca="1" si="292"/>
        <v>0</v>
      </c>
      <c r="EZ127" s="254">
        <f t="shared" ca="1" si="292"/>
        <v>0</v>
      </c>
      <c r="FA127" s="254">
        <f t="shared" ca="1" si="292"/>
        <v>0</v>
      </c>
      <c r="FB127" s="254">
        <f t="shared" ca="1" si="292"/>
        <v>0</v>
      </c>
      <c r="FC127" s="254">
        <f t="shared" ca="1" si="292"/>
        <v>0</v>
      </c>
      <c r="FD127" s="254">
        <f t="shared" ca="1" si="292"/>
        <v>0</v>
      </c>
      <c r="FE127" s="254">
        <f t="shared" ca="1" si="292"/>
        <v>0</v>
      </c>
      <c r="FF127" s="254">
        <f t="shared" ca="1" si="292"/>
        <v>0</v>
      </c>
      <c r="FG127" s="326"/>
      <c r="FH127" s="254">
        <f t="shared" ref="FH127:FU128" ca="1" si="293">SUMIF($F$54:$FF$54,FH$54,$F127:$FF127)</f>
        <v>0</v>
      </c>
      <c r="FI127" s="254">
        <f t="shared" ca="1" si="293"/>
        <v>0</v>
      </c>
      <c r="FJ127" s="254">
        <f t="shared" ca="1" si="293"/>
        <v>0</v>
      </c>
      <c r="FK127" s="254">
        <f t="shared" ca="1" si="293"/>
        <v>0</v>
      </c>
      <c r="FL127" s="254">
        <f t="shared" ca="1" si="293"/>
        <v>0</v>
      </c>
      <c r="FM127" s="254">
        <f t="shared" ca="1" si="293"/>
        <v>0</v>
      </c>
      <c r="FN127" s="254">
        <f t="shared" ca="1" si="293"/>
        <v>0</v>
      </c>
      <c r="FO127" s="254">
        <f t="shared" ca="1" si="293"/>
        <v>0</v>
      </c>
      <c r="FP127" s="254">
        <f t="shared" ca="1" si="293"/>
        <v>-163063.31716675567</v>
      </c>
      <c r="FQ127" s="254">
        <f t="shared" ca="1" si="293"/>
        <v>0</v>
      </c>
      <c r="FR127" s="254">
        <f t="shared" ca="1" si="293"/>
        <v>0</v>
      </c>
      <c r="FS127" s="254">
        <f t="shared" ca="1" si="293"/>
        <v>0</v>
      </c>
      <c r="FT127" s="254">
        <f t="shared" ca="1" si="293"/>
        <v>0</v>
      </c>
      <c r="FU127" s="254">
        <f t="shared" ca="1" si="293"/>
        <v>0</v>
      </c>
      <c r="FV127" s="326"/>
    </row>
    <row r="128" spans="3:178" s="277" customFormat="1" x14ac:dyDescent="0.2">
      <c r="C128" s="274" t="s">
        <v>108</v>
      </c>
      <c r="D128" s="275"/>
      <c r="E128" s="276">
        <f ca="1">SUM(F128:FF128)</f>
        <v>16143268.399508813</v>
      </c>
      <c r="F128" s="274">
        <f t="shared" ref="F128:AK128" ca="1" si="294">SUM(F124,F127)</f>
        <v>0</v>
      </c>
      <c r="G128" s="274">
        <f t="shared" ca="1" si="294"/>
        <v>0</v>
      </c>
      <c r="H128" s="274">
        <f t="shared" ca="1" si="294"/>
        <v>0</v>
      </c>
      <c r="I128" s="274">
        <f t="shared" ca="1" si="294"/>
        <v>0</v>
      </c>
      <c r="J128" s="274">
        <f t="shared" ca="1" si="294"/>
        <v>0</v>
      </c>
      <c r="K128" s="274">
        <f t="shared" ca="1" si="294"/>
        <v>0</v>
      </c>
      <c r="L128" s="274">
        <f t="shared" ca="1" si="294"/>
        <v>0</v>
      </c>
      <c r="M128" s="274">
        <f t="shared" ca="1" si="294"/>
        <v>0</v>
      </c>
      <c r="N128" s="274">
        <f t="shared" ca="1" si="294"/>
        <v>0</v>
      </c>
      <c r="O128" s="274">
        <f t="shared" ca="1" si="294"/>
        <v>0</v>
      </c>
      <c r="P128" s="274">
        <f t="shared" ca="1" si="294"/>
        <v>0</v>
      </c>
      <c r="Q128" s="274">
        <f t="shared" ca="1" si="294"/>
        <v>0</v>
      </c>
      <c r="R128" s="274">
        <f t="shared" ca="1" si="294"/>
        <v>0</v>
      </c>
      <c r="S128" s="274">
        <f t="shared" ca="1" si="294"/>
        <v>0</v>
      </c>
      <c r="T128" s="274">
        <f t="shared" ca="1" si="294"/>
        <v>0</v>
      </c>
      <c r="U128" s="274">
        <f t="shared" ca="1" si="294"/>
        <v>0</v>
      </c>
      <c r="V128" s="274">
        <f t="shared" ca="1" si="294"/>
        <v>0</v>
      </c>
      <c r="W128" s="274">
        <f t="shared" ca="1" si="294"/>
        <v>0</v>
      </c>
      <c r="X128" s="274">
        <f t="shared" ca="1" si="294"/>
        <v>0</v>
      </c>
      <c r="Y128" s="274">
        <f t="shared" ca="1" si="294"/>
        <v>0</v>
      </c>
      <c r="Z128" s="274">
        <f t="shared" ca="1" si="294"/>
        <v>0</v>
      </c>
      <c r="AA128" s="274">
        <f t="shared" ca="1" si="294"/>
        <v>0</v>
      </c>
      <c r="AB128" s="274">
        <f t="shared" ca="1" si="294"/>
        <v>0</v>
      </c>
      <c r="AC128" s="274">
        <f t="shared" ca="1" si="294"/>
        <v>0</v>
      </c>
      <c r="AD128" s="274">
        <f t="shared" ca="1" si="294"/>
        <v>0</v>
      </c>
      <c r="AE128" s="274">
        <f t="shared" ca="1" si="294"/>
        <v>0</v>
      </c>
      <c r="AF128" s="274">
        <f t="shared" ca="1" si="294"/>
        <v>0</v>
      </c>
      <c r="AG128" s="274">
        <f t="shared" ca="1" si="294"/>
        <v>0</v>
      </c>
      <c r="AH128" s="274">
        <f t="shared" ca="1" si="294"/>
        <v>0</v>
      </c>
      <c r="AI128" s="274">
        <f t="shared" ca="1" si="294"/>
        <v>0</v>
      </c>
      <c r="AJ128" s="274">
        <f t="shared" ca="1" si="294"/>
        <v>0</v>
      </c>
      <c r="AK128" s="274">
        <f t="shared" ca="1" si="294"/>
        <v>0</v>
      </c>
      <c r="AL128" s="274">
        <f t="shared" ref="AL128:BQ128" ca="1" si="295">SUM(AL124,AL127)</f>
        <v>0</v>
      </c>
      <c r="AM128" s="274">
        <f t="shared" ca="1" si="295"/>
        <v>0</v>
      </c>
      <c r="AN128" s="274">
        <f t="shared" ca="1" si="295"/>
        <v>0</v>
      </c>
      <c r="AO128" s="274">
        <f t="shared" ca="1" si="295"/>
        <v>0</v>
      </c>
      <c r="AP128" s="274">
        <f t="shared" ca="1" si="295"/>
        <v>0</v>
      </c>
      <c r="AQ128" s="274">
        <f t="shared" ca="1" si="295"/>
        <v>0</v>
      </c>
      <c r="AR128" s="274">
        <f t="shared" ca="1" si="295"/>
        <v>0</v>
      </c>
      <c r="AS128" s="274">
        <f t="shared" ca="1" si="295"/>
        <v>0</v>
      </c>
      <c r="AT128" s="274">
        <f t="shared" ca="1" si="295"/>
        <v>0</v>
      </c>
      <c r="AU128" s="274">
        <f t="shared" ca="1" si="295"/>
        <v>0</v>
      </c>
      <c r="AV128" s="274">
        <f t="shared" ca="1" si="295"/>
        <v>0</v>
      </c>
      <c r="AW128" s="274">
        <f t="shared" ca="1" si="295"/>
        <v>0</v>
      </c>
      <c r="AX128" s="274">
        <f t="shared" ca="1" si="295"/>
        <v>0</v>
      </c>
      <c r="AY128" s="274">
        <f t="shared" ca="1" si="295"/>
        <v>0</v>
      </c>
      <c r="AZ128" s="274">
        <f t="shared" ca="1" si="295"/>
        <v>0</v>
      </c>
      <c r="BA128" s="274">
        <f t="shared" ca="1" si="295"/>
        <v>0</v>
      </c>
      <c r="BB128" s="274">
        <f t="shared" ca="1" si="295"/>
        <v>0</v>
      </c>
      <c r="BC128" s="274">
        <f t="shared" ca="1" si="295"/>
        <v>0</v>
      </c>
      <c r="BD128" s="274">
        <f t="shared" ca="1" si="295"/>
        <v>0</v>
      </c>
      <c r="BE128" s="274">
        <f t="shared" ca="1" si="295"/>
        <v>0</v>
      </c>
      <c r="BF128" s="274">
        <f t="shared" ca="1" si="295"/>
        <v>0</v>
      </c>
      <c r="BG128" s="274">
        <f t="shared" ca="1" si="295"/>
        <v>0</v>
      </c>
      <c r="BH128" s="274">
        <f t="shared" ca="1" si="295"/>
        <v>0</v>
      </c>
      <c r="BI128" s="274">
        <f t="shared" ca="1" si="295"/>
        <v>0</v>
      </c>
      <c r="BJ128" s="274">
        <f t="shared" ca="1" si="295"/>
        <v>0</v>
      </c>
      <c r="BK128" s="274">
        <f t="shared" ca="1" si="295"/>
        <v>0</v>
      </c>
      <c r="BL128" s="274">
        <f t="shared" ca="1" si="295"/>
        <v>0</v>
      </c>
      <c r="BM128" s="274">
        <f t="shared" ca="1" si="295"/>
        <v>0</v>
      </c>
      <c r="BN128" s="274">
        <f t="shared" ca="1" si="295"/>
        <v>0</v>
      </c>
      <c r="BO128" s="274">
        <f t="shared" ca="1" si="295"/>
        <v>0</v>
      </c>
      <c r="BP128" s="274">
        <f t="shared" ca="1" si="295"/>
        <v>0</v>
      </c>
      <c r="BQ128" s="274">
        <f t="shared" ca="1" si="295"/>
        <v>0</v>
      </c>
      <c r="BR128" s="274">
        <f t="shared" ref="BR128:CW128" ca="1" si="296">SUM(BR124,BR127)</f>
        <v>0</v>
      </c>
      <c r="BS128" s="274">
        <f t="shared" ca="1" si="296"/>
        <v>0</v>
      </c>
      <c r="BT128" s="274">
        <f t="shared" ca="1" si="296"/>
        <v>0</v>
      </c>
      <c r="BU128" s="274">
        <f t="shared" ca="1" si="296"/>
        <v>0</v>
      </c>
      <c r="BV128" s="274">
        <f t="shared" ca="1" si="296"/>
        <v>0</v>
      </c>
      <c r="BW128" s="274">
        <f t="shared" ca="1" si="296"/>
        <v>0</v>
      </c>
      <c r="BX128" s="274">
        <f t="shared" ca="1" si="296"/>
        <v>0</v>
      </c>
      <c r="BY128" s="274">
        <f t="shared" ca="1" si="296"/>
        <v>0</v>
      </c>
      <c r="BZ128" s="274">
        <f t="shared" ca="1" si="296"/>
        <v>0</v>
      </c>
      <c r="CA128" s="274">
        <f t="shared" ca="1" si="296"/>
        <v>0</v>
      </c>
      <c r="CB128" s="274">
        <f t="shared" ca="1" si="296"/>
        <v>0</v>
      </c>
      <c r="CC128" s="274">
        <f t="shared" ca="1" si="296"/>
        <v>0</v>
      </c>
      <c r="CD128" s="274">
        <f t="shared" ca="1" si="296"/>
        <v>0</v>
      </c>
      <c r="CE128" s="274">
        <f t="shared" ca="1" si="296"/>
        <v>0</v>
      </c>
      <c r="CF128" s="274">
        <f t="shared" ca="1" si="296"/>
        <v>0</v>
      </c>
      <c r="CG128" s="274">
        <f t="shared" ca="1" si="296"/>
        <v>0</v>
      </c>
      <c r="CH128" s="274">
        <f t="shared" ca="1" si="296"/>
        <v>0</v>
      </c>
      <c r="CI128" s="274">
        <f t="shared" ca="1" si="296"/>
        <v>0</v>
      </c>
      <c r="CJ128" s="274">
        <f t="shared" ca="1" si="296"/>
        <v>0</v>
      </c>
      <c r="CK128" s="274">
        <f t="shared" ca="1" si="296"/>
        <v>0</v>
      </c>
      <c r="CL128" s="274">
        <f t="shared" ca="1" si="296"/>
        <v>0</v>
      </c>
      <c r="CM128" s="274">
        <f t="shared" ca="1" si="296"/>
        <v>0</v>
      </c>
      <c r="CN128" s="274">
        <f t="shared" ca="1" si="296"/>
        <v>0</v>
      </c>
      <c r="CO128" s="274">
        <f t="shared" ca="1" si="296"/>
        <v>0</v>
      </c>
      <c r="CP128" s="274">
        <f t="shared" ca="1" si="296"/>
        <v>0</v>
      </c>
      <c r="CQ128" s="274">
        <f t="shared" ca="1" si="296"/>
        <v>0</v>
      </c>
      <c r="CR128" s="274">
        <f t="shared" ca="1" si="296"/>
        <v>0</v>
      </c>
      <c r="CS128" s="274">
        <f t="shared" ca="1" si="296"/>
        <v>0</v>
      </c>
      <c r="CT128" s="274">
        <f t="shared" ca="1" si="296"/>
        <v>0</v>
      </c>
      <c r="CU128" s="274">
        <f t="shared" ca="1" si="296"/>
        <v>0</v>
      </c>
      <c r="CV128" s="274">
        <f t="shared" ca="1" si="296"/>
        <v>0</v>
      </c>
      <c r="CW128" s="274">
        <f t="shared" ca="1" si="296"/>
        <v>0</v>
      </c>
      <c r="CX128" s="274">
        <f t="shared" ref="CX128:EC128" ca="1" si="297">SUM(CX124,CX127)</f>
        <v>16143268.399508813</v>
      </c>
      <c r="CY128" s="274">
        <f t="shared" ca="1" si="297"/>
        <v>0</v>
      </c>
      <c r="CZ128" s="274">
        <f t="shared" ca="1" si="297"/>
        <v>0</v>
      </c>
      <c r="DA128" s="274">
        <f t="shared" ca="1" si="297"/>
        <v>0</v>
      </c>
      <c r="DB128" s="274">
        <f t="shared" ca="1" si="297"/>
        <v>0</v>
      </c>
      <c r="DC128" s="274">
        <f t="shared" ca="1" si="297"/>
        <v>0</v>
      </c>
      <c r="DD128" s="274">
        <f t="shared" ca="1" si="297"/>
        <v>0</v>
      </c>
      <c r="DE128" s="274">
        <f t="shared" ca="1" si="297"/>
        <v>0</v>
      </c>
      <c r="DF128" s="274">
        <f t="shared" ca="1" si="297"/>
        <v>0</v>
      </c>
      <c r="DG128" s="274">
        <f t="shared" ca="1" si="297"/>
        <v>0</v>
      </c>
      <c r="DH128" s="274">
        <f t="shared" ca="1" si="297"/>
        <v>0</v>
      </c>
      <c r="DI128" s="274">
        <f t="shared" ca="1" si="297"/>
        <v>0</v>
      </c>
      <c r="DJ128" s="274">
        <f t="shared" ca="1" si="297"/>
        <v>0</v>
      </c>
      <c r="DK128" s="274">
        <f t="shared" ca="1" si="297"/>
        <v>0</v>
      </c>
      <c r="DL128" s="274">
        <f t="shared" ca="1" si="297"/>
        <v>0</v>
      </c>
      <c r="DM128" s="274">
        <f t="shared" ca="1" si="297"/>
        <v>0</v>
      </c>
      <c r="DN128" s="274">
        <f t="shared" ca="1" si="297"/>
        <v>0</v>
      </c>
      <c r="DO128" s="274">
        <f t="shared" ca="1" si="297"/>
        <v>0</v>
      </c>
      <c r="DP128" s="274">
        <f t="shared" ca="1" si="297"/>
        <v>0</v>
      </c>
      <c r="DQ128" s="274">
        <f t="shared" ca="1" si="297"/>
        <v>0</v>
      </c>
      <c r="DR128" s="274">
        <f t="shared" ca="1" si="297"/>
        <v>0</v>
      </c>
      <c r="DS128" s="274">
        <f t="shared" ca="1" si="297"/>
        <v>0</v>
      </c>
      <c r="DT128" s="274">
        <f t="shared" ca="1" si="297"/>
        <v>0</v>
      </c>
      <c r="DU128" s="274">
        <f t="shared" ca="1" si="297"/>
        <v>0</v>
      </c>
      <c r="DV128" s="274">
        <f t="shared" ca="1" si="297"/>
        <v>0</v>
      </c>
      <c r="DW128" s="274">
        <f t="shared" ca="1" si="297"/>
        <v>0</v>
      </c>
      <c r="DX128" s="274">
        <f t="shared" ca="1" si="297"/>
        <v>0</v>
      </c>
      <c r="DY128" s="274">
        <f t="shared" ca="1" si="297"/>
        <v>0</v>
      </c>
      <c r="DZ128" s="274">
        <f t="shared" ca="1" si="297"/>
        <v>0</v>
      </c>
      <c r="EA128" s="274">
        <f t="shared" ca="1" si="297"/>
        <v>0</v>
      </c>
      <c r="EB128" s="274">
        <f t="shared" ca="1" si="297"/>
        <v>0</v>
      </c>
      <c r="EC128" s="274">
        <f t="shared" ca="1" si="297"/>
        <v>0</v>
      </c>
      <c r="ED128" s="274">
        <f t="shared" ref="ED128:FF128" ca="1" si="298">SUM(ED124,ED127)</f>
        <v>0</v>
      </c>
      <c r="EE128" s="274">
        <f t="shared" ca="1" si="298"/>
        <v>0</v>
      </c>
      <c r="EF128" s="274">
        <f t="shared" ca="1" si="298"/>
        <v>0</v>
      </c>
      <c r="EG128" s="274">
        <f t="shared" ca="1" si="298"/>
        <v>0</v>
      </c>
      <c r="EH128" s="274">
        <f t="shared" ca="1" si="298"/>
        <v>0</v>
      </c>
      <c r="EI128" s="274">
        <f t="shared" ca="1" si="298"/>
        <v>0</v>
      </c>
      <c r="EJ128" s="274">
        <f t="shared" ca="1" si="298"/>
        <v>0</v>
      </c>
      <c r="EK128" s="274">
        <f t="shared" ca="1" si="298"/>
        <v>0</v>
      </c>
      <c r="EL128" s="274">
        <f t="shared" ca="1" si="298"/>
        <v>0</v>
      </c>
      <c r="EM128" s="274">
        <f t="shared" ca="1" si="298"/>
        <v>0</v>
      </c>
      <c r="EN128" s="274">
        <f t="shared" ca="1" si="298"/>
        <v>0</v>
      </c>
      <c r="EO128" s="274">
        <f t="shared" ca="1" si="298"/>
        <v>0</v>
      </c>
      <c r="EP128" s="274">
        <f t="shared" ca="1" si="298"/>
        <v>0</v>
      </c>
      <c r="EQ128" s="274">
        <f t="shared" ca="1" si="298"/>
        <v>0</v>
      </c>
      <c r="ER128" s="274">
        <f t="shared" ca="1" si="298"/>
        <v>0</v>
      </c>
      <c r="ES128" s="274">
        <f t="shared" ca="1" si="298"/>
        <v>0</v>
      </c>
      <c r="ET128" s="274">
        <f t="shared" ca="1" si="298"/>
        <v>0</v>
      </c>
      <c r="EU128" s="274">
        <f t="shared" ca="1" si="298"/>
        <v>0</v>
      </c>
      <c r="EV128" s="274">
        <f t="shared" ca="1" si="298"/>
        <v>0</v>
      </c>
      <c r="EW128" s="274">
        <f t="shared" ca="1" si="298"/>
        <v>0</v>
      </c>
      <c r="EX128" s="274">
        <f t="shared" ca="1" si="298"/>
        <v>0</v>
      </c>
      <c r="EY128" s="274">
        <f t="shared" ca="1" si="298"/>
        <v>0</v>
      </c>
      <c r="EZ128" s="274">
        <f t="shared" ca="1" si="298"/>
        <v>0</v>
      </c>
      <c r="FA128" s="274">
        <f t="shared" ca="1" si="298"/>
        <v>0</v>
      </c>
      <c r="FB128" s="274">
        <f t="shared" ca="1" si="298"/>
        <v>0</v>
      </c>
      <c r="FC128" s="274">
        <f t="shared" ca="1" si="298"/>
        <v>0</v>
      </c>
      <c r="FD128" s="274">
        <f t="shared" ca="1" si="298"/>
        <v>0</v>
      </c>
      <c r="FE128" s="274">
        <f t="shared" ca="1" si="298"/>
        <v>0</v>
      </c>
      <c r="FF128" s="274">
        <f t="shared" ca="1" si="298"/>
        <v>0</v>
      </c>
      <c r="FG128" s="288"/>
      <c r="FH128" s="274">
        <f t="shared" ca="1" si="293"/>
        <v>0</v>
      </c>
      <c r="FI128" s="274">
        <f t="shared" ca="1" si="293"/>
        <v>0</v>
      </c>
      <c r="FJ128" s="274">
        <f t="shared" ca="1" si="293"/>
        <v>0</v>
      </c>
      <c r="FK128" s="274">
        <f t="shared" ca="1" si="293"/>
        <v>0</v>
      </c>
      <c r="FL128" s="274">
        <f t="shared" ca="1" si="293"/>
        <v>0</v>
      </c>
      <c r="FM128" s="274">
        <f t="shared" ca="1" si="293"/>
        <v>0</v>
      </c>
      <c r="FN128" s="274">
        <f t="shared" ca="1" si="293"/>
        <v>0</v>
      </c>
      <c r="FO128" s="274">
        <f t="shared" ca="1" si="293"/>
        <v>0</v>
      </c>
      <c r="FP128" s="274">
        <f t="shared" ca="1" si="293"/>
        <v>16143268.399508813</v>
      </c>
      <c r="FQ128" s="274">
        <f t="shared" ca="1" si="293"/>
        <v>0</v>
      </c>
      <c r="FR128" s="274">
        <f t="shared" ca="1" si="293"/>
        <v>0</v>
      </c>
      <c r="FS128" s="274">
        <f t="shared" ca="1" si="293"/>
        <v>0</v>
      </c>
      <c r="FT128" s="274">
        <f t="shared" ca="1" si="293"/>
        <v>0</v>
      </c>
      <c r="FU128" s="274">
        <f t="shared" ca="1" si="293"/>
        <v>0</v>
      </c>
      <c r="FV128" s="288"/>
    </row>
    <row r="129" spans="2:178" x14ac:dyDescent="0.2">
      <c r="B129" s="47"/>
      <c r="F129" s="255"/>
    </row>
    <row r="130" spans="2:178" x14ac:dyDescent="0.2">
      <c r="C130" s="50" t="s">
        <v>230</v>
      </c>
      <c r="D130" s="260"/>
      <c r="E130" s="260"/>
      <c r="F130" s="286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  <c r="AA130" s="260"/>
      <c r="AB130" s="260"/>
      <c r="AC130" s="260"/>
      <c r="AD130" s="260"/>
      <c r="AE130" s="260"/>
      <c r="AF130" s="260"/>
      <c r="AG130" s="260"/>
      <c r="AH130" s="260"/>
      <c r="AI130" s="260"/>
      <c r="AJ130" s="260"/>
      <c r="AK130" s="260"/>
      <c r="AL130" s="260"/>
      <c r="AM130" s="260"/>
      <c r="AN130" s="260"/>
      <c r="AO130" s="260"/>
      <c r="AP130" s="260"/>
      <c r="AQ130" s="260"/>
      <c r="AR130" s="260"/>
      <c r="AS130" s="260"/>
      <c r="AT130" s="260"/>
      <c r="AU130" s="260"/>
      <c r="AV130" s="260"/>
      <c r="AW130" s="260"/>
      <c r="AX130" s="260"/>
      <c r="AY130" s="260"/>
      <c r="AZ130" s="260"/>
      <c r="BA130" s="260"/>
      <c r="BB130" s="260"/>
      <c r="BC130" s="260"/>
      <c r="BD130" s="260"/>
      <c r="BE130" s="260"/>
      <c r="BF130" s="260"/>
      <c r="BG130" s="260"/>
      <c r="BH130" s="260"/>
      <c r="BI130" s="260"/>
      <c r="BJ130" s="260"/>
      <c r="BK130" s="260"/>
      <c r="BL130" s="260"/>
      <c r="BM130" s="260"/>
      <c r="BN130" s="260"/>
      <c r="BO130" s="260"/>
      <c r="BP130" s="260"/>
      <c r="BQ130" s="260"/>
      <c r="BR130" s="260"/>
      <c r="BS130" s="260"/>
      <c r="BT130" s="260"/>
      <c r="BU130" s="260"/>
      <c r="BV130" s="260"/>
      <c r="BW130" s="260"/>
      <c r="BX130" s="260"/>
      <c r="BY130" s="260"/>
      <c r="BZ130" s="260"/>
      <c r="CA130" s="260"/>
      <c r="CB130" s="260"/>
      <c r="CC130" s="260"/>
      <c r="CD130" s="260"/>
      <c r="CE130" s="260"/>
      <c r="CF130" s="260"/>
      <c r="CG130" s="260"/>
      <c r="CH130" s="260"/>
      <c r="CI130" s="260"/>
      <c r="CJ130" s="260"/>
      <c r="CK130" s="260"/>
      <c r="CL130" s="260"/>
      <c r="CM130" s="260"/>
      <c r="CN130" s="260"/>
      <c r="CO130" s="260"/>
      <c r="CP130" s="260"/>
      <c r="CQ130" s="260"/>
      <c r="CR130" s="260"/>
      <c r="CS130" s="260"/>
      <c r="CT130" s="260"/>
      <c r="CU130" s="260"/>
      <c r="CV130" s="260"/>
      <c r="CW130" s="260"/>
      <c r="CX130" s="260"/>
      <c r="CY130" s="260"/>
      <c r="CZ130" s="260"/>
      <c r="DA130" s="260"/>
      <c r="DB130" s="260"/>
      <c r="DC130" s="260"/>
      <c r="DD130" s="260"/>
      <c r="DE130" s="260"/>
      <c r="DF130" s="260"/>
      <c r="DG130" s="260"/>
      <c r="DH130" s="260"/>
      <c r="DI130" s="260"/>
      <c r="DJ130" s="260"/>
      <c r="DK130" s="260"/>
      <c r="DL130" s="260"/>
      <c r="DM130" s="260"/>
      <c r="DN130" s="260"/>
      <c r="DO130" s="260"/>
      <c r="DP130" s="260"/>
      <c r="DQ130" s="260"/>
      <c r="DR130" s="260"/>
      <c r="DS130" s="260"/>
      <c r="DT130" s="260"/>
      <c r="DU130" s="260"/>
      <c r="DV130" s="260"/>
      <c r="DW130" s="260"/>
      <c r="DX130" s="260"/>
      <c r="DY130" s="260"/>
      <c r="DZ130" s="260"/>
      <c r="EA130" s="260"/>
      <c r="EB130" s="260"/>
      <c r="EC130" s="260"/>
      <c r="ED130" s="260"/>
      <c r="EE130" s="260"/>
      <c r="EF130" s="260"/>
      <c r="EG130" s="260"/>
      <c r="EH130" s="260"/>
      <c r="EI130" s="260"/>
      <c r="EJ130" s="260"/>
      <c r="EK130" s="260"/>
      <c r="EL130" s="260"/>
      <c r="EM130" s="260"/>
      <c r="EN130" s="260"/>
      <c r="EO130" s="260"/>
      <c r="EP130" s="260"/>
      <c r="EQ130" s="260"/>
      <c r="ER130" s="260"/>
      <c r="ES130" s="260"/>
      <c r="ET130" s="260"/>
      <c r="EU130" s="260"/>
      <c r="EV130" s="260"/>
      <c r="EW130" s="260"/>
      <c r="EX130" s="260"/>
      <c r="EY130" s="260"/>
      <c r="EZ130" s="260"/>
      <c r="FA130" s="260"/>
      <c r="FB130" s="260"/>
      <c r="FC130" s="260"/>
      <c r="FD130" s="260"/>
      <c r="FE130" s="260"/>
      <c r="FF130" s="260"/>
      <c r="FH130" s="260"/>
      <c r="FI130" s="260"/>
      <c r="FJ130" s="260"/>
      <c r="FK130" s="260"/>
      <c r="FL130" s="260"/>
      <c r="FM130" s="260"/>
      <c r="FN130" s="260"/>
      <c r="FO130" s="260"/>
      <c r="FP130" s="260"/>
      <c r="FQ130" s="260"/>
      <c r="FR130" s="260"/>
      <c r="FS130" s="260"/>
      <c r="FT130" s="260"/>
      <c r="FU130" s="260"/>
    </row>
    <row r="131" spans="2:178" x14ac:dyDescent="0.2">
      <c r="C131" s="39" t="s">
        <v>247</v>
      </c>
      <c r="E131" s="163">
        <f t="shared" ref="E131" si="299">SUM(F131:FF131)</f>
        <v>-113928.57142861834</v>
      </c>
      <c r="F131" s="259">
        <f>(F53=0)*-$D$28</f>
        <v>-113928.57142861834</v>
      </c>
      <c r="G131" s="232">
        <f t="shared" ref="G131:BR131" si="300">(G53=0)*-$D$28</f>
        <v>0</v>
      </c>
      <c r="H131" s="232">
        <f t="shared" si="300"/>
        <v>0</v>
      </c>
      <c r="I131" s="232">
        <f t="shared" si="300"/>
        <v>0</v>
      </c>
      <c r="J131" s="232">
        <f t="shared" si="300"/>
        <v>0</v>
      </c>
      <c r="K131" s="232">
        <f t="shared" si="300"/>
        <v>0</v>
      </c>
      <c r="L131" s="232">
        <f t="shared" si="300"/>
        <v>0</v>
      </c>
      <c r="M131" s="232">
        <f t="shared" si="300"/>
        <v>0</v>
      </c>
      <c r="N131" s="232">
        <f t="shared" si="300"/>
        <v>0</v>
      </c>
      <c r="O131" s="232">
        <f t="shared" si="300"/>
        <v>0</v>
      </c>
      <c r="P131" s="232">
        <f t="shared" si="300"/>
        <v>0</v>
      </c>
      <c r="Q131" s="232">
        <f t="shared" si="300"/>
        <v>0</v>
      </c>
      <c r="R131" s="232">
        <f t="shared" si="300"/>
        <v>0</v>
      </c>
      <c r="S131" s="232">
        <f t="shared" si="300"/>
        <v>0</v>
      </c>
      <c r="T131" s="232">
        <f t="shared" si="300"/>
        <v>0</v>
      </c>
      <c r="U131" s="232">
        <f t="shared" si="300"/>
        <v>0</v>
      </c>
      <c r="V131" s="232">
        <f t="shared" si="300"/>
        <v>0</v>
      </c>
      <c r="W131" s="232">
        <f t="shared" si="300"/>
        <v>0</v>
      </c>
      <c r="X131" s="232">
        <f t="shared" si="300"/>
        <v>0</v>
      </c>
      <c r="Y131" s="232">
        <f t="shared" si="300"/>
        <v>0</v>
      </c>
      <c r="Z131" s="232">
        <f t="shared" si="300"/>
        <v>0</v>
      </c>
      <c r="AA131" s="232">
        <f t="shared" si="300"/>
        <v>0</v>
      </c>
      <c r="AB131" s="232">
        <f t="shared" si="300"/>
        <v>0</v>
      </c>
      <c r="AC131" s="232">
        <f t="shared" si="300"/>
        <v>0</v>
      </c>
      <c r="AD131" s="232">
        <f t="shared" si="300"/>
        <v>0</v>
      </c>
      <c r="AE131" s="232">
        <f t="shared" si="300"/>
        <v>0</v>
      </c>
      <c r="AF131" s="232">
        <f t="shared" si="300"/>
        <v>0</v>
      </c>
      <c r="AG131" s="232">
        <f t="shared" si="300"/>
        <v>0</v>
      </c>
      <c r="AH131" s="232">
        <f t="shared" si="300"/>
        <v>0</v>
      </c>
      <c r="AI131" s="232">
        <f t="shared" si="300"/>
        <v>0</v>
      </c>
      <c r="AJ131" s="232">
        <f t="shared" si="300"/>
        <v>0</v>
      </c>
      <c r="AK131" s="232">
        <f t="shared" si="300"/>
        <v>0</v>
      </c>
      <c r="AL131" s="232">
        <f t="shared" si="300"/>
        <v>0</v>
      </c>
      <c r="AM131" s="232">
        <f t="shared" si="300"/>
        <v>0</v>
      </c>
      <c r="AN131" s="232">
        <f t="shared" si="300"/>
        <v>0</v>
      </c>
      <c r="AO131" s="232">
        <f t="shared" si="300"/>
        <v>0</v>
      </c>
      <c r="AP131" s="232">
        <f t="shared" si="300"/>
        <v>0</v>
      </c>
      <c r="AQ131" s="232">
        <f t="shared" si="300"/>
        <v>0</v>
      </c>
      <c r="AR131" s="232">
        <f t="shared" si="300"/>
        <v>0</v>
      </c>
      <c r="AS131" s="232">
        <f t="shared" si="300"/>
        <v>0</v>
      </c>
      <c r="AT131" s="232">
        <f t="shared" si="300"/>
        <v>0</v>
      </c>
      <c r="AU131" s="232">
        <f t="shared" si="300"/>
        <v>0</v>
      </c>
      <c r="AV131" s="232">
        <f t="shared" si="300"/>
        <v>0</v>
      </c>
      <c r="AW131" s="232">
        <f t="shared" si="300"/>
        <v>0</v>
      </c>
      <c r="AX131" s="232">
        <f t="shared" si="300"/>
        <v>0</v>
      </c>
      <c r="AY131" s="232">
        <f t="shared" si="300"/>
        <v>0</v>
      </c>
      <c r="AZ131" s="232">
        <f t="shared" si="300"/>
        <v>0</v>
      </c>
      <c r="BA131" s="232">
        <f t="shared" si="300"/>
        <v>0</v>
      </c>
      <c r="BB131" s="232">
        <f t="shared" si="300"/>
        <v>0</v>
      </c>
      <c r="BC131" s="232">
        <f t="shared" si="300"/>
        <v>0</v>
      </c>
      <c r="BD131" s="232">
        <f t="shared" si="300"/>
        <v>0</v>
      </c>
      <c r="BE131" s="232">
        <f t="shared" si="300"/>
        <v>0</v>
      </c>
      <c r="BF131" s="232">
        <f t="shared" si="300"/>
        <v>0</v>
      </c>
      <c r="BG131" s="232">
        <f t="shared" si="300"/>
        <v>0</v>
      </c>
      <c r="BH131" s="232">
        <f t="shared" si="300"/>
        <v>0</v>
      </c>
      <c r="BI131" s="232">
        <f t="shared" si="300"/>
        <v>0</v>
      </c>
      <c r="BJ131" s="232">
        <f t="shared" si="300"/>
        <v>0</v>
      </c>
      <c r="BK131" s="232">
        <f t="shared" si="300"/>
        <v>0</v>
      </c>
      <c r="BL131" s="232">
        <f t="shared" si="300"/>
        <v>0</v>
      </c>
      <c r="BM131" s="232">
        <f t="shared" si="300"/>
        <v>0</v>
      </c>
      <c r="BN131" s="232">
        <f t="shared" si="300"/>
        <v>0</v>
      </c>
      <c r="BO131" s="232">
        <f t="shared" si="300"/>
        <v>0</v>
      </c>
      <c r="BP131" s="232">
        <f t="shared" si="300"/>
        <v>0</v>
      </c>
      <c r="BQ131" s="232">
        <f t="shared" si="300"/>
        <v>0</v>
      </c>
      <c r="BR131" s="232">
        <f t="shared" si="300"/>
        <v>0</v>
      </c>
      <c r="BS131" s="232">
        <f t="shared" ref="BS131:ED131" si="301">(BS53=0)*-$D$28</f>
        <v>0</v>
      </c>
      <c r="BT131" s="232">
        <f t="shared" si="301"/>
        <v>0</v>
      </c>
      <c r="BU131" s="232">
        <f t="shared" si="301"/>
        <v>0</v>
      </c>
      <c r="BV131" s="232">
        <f t="shared" si="301"/>
        <v>0</v>
      </c>
      <c r="BW131" s="232">
        <f t="shared" si="301"/>
        <v>0</v>
      </c>
      <c r="BX131" s="232">
        <f t="shared" si="301"/>
        <v>0</v>
      </c>
      <c r="BY131" s="232">
        <f t="shared" si="301"/>
        <v>0</v>
      </c>
      <c r="BZ131" s="232">
        <f t="shared" si="301"/>
        <v>0</v>
      </c>
      <c r="CA131" s="232">
        <f t="shared" si="301"/>
        <v>0</v>
      </c>
      <c r="CB131" s="232">
        <f t="shared" si="301"/>
        <v>0</v>
      </c>
      <c r="CC131" s="232">
        <f t="shared" si="301"/>
        <v>0</v>
      </c>
      <c r="CD131" s="232">
        <f t="shared" si="301"/>
        <v>0</v>
      </c>
      <c r="CE131" s="232">
        <f t="shared" si="301"/>
        <v>0</v>
      </c>
      <c r="CF131" s="232">
        <f t="shared" si="301"/>
        <v>0</v>
      </c>
      <c r="CG131" s="232">
        <f t="shared" si="301"/>
        <v>0</v>
      </c>
      <c r="CH131" s="232">
        <f t="shared" si="301"/>
        <v>0</v>
      </c>
      <c r="CI131" s="232">
        <f t="shared" si="301"/>
        <v>0</v>
      </c>
      <c r="CJ131" s="232">
        <f t="shared" si="301"/>
        <v>0</v>
      </c>
      <c r="CK131" s="232">
        <f t="shared" si="301"/>
        <v>0</v>
      </c>
      <c r="CL131" s="232">
        <f t="shared" si="301"/>
        <v>0</v>
      </c>
      <c r="CM131" s="232">
        <f t="shared" si="301"/>
        <v>0</v>
      </c>
      <c r="CN131" s="232">
        <f t="shared" si="301"/>
        <v>0</v>
      </c>
      <c r="CO131" s="232">
        <f t="shared" si="301"/>
        <v>0</v>
      </c>
      <c r="CP131" s="232">
        <f t="shared" si="301"/>
        <v>0</v>
      </c>
      <c r="CQ131" s="232">
        <f t="shared" si="301"/>
        <v>0</v>
      </c>
      <c r="CR131" s="232">
        <f t="shared" si="301"/>
        <v>0</v>
      </c>
      <c r="CS131" s="232">
        <f t="shared" si="301"/>
        <v>0</v>
      </c>
      <c r="CT131" s="232">
        <f t="shared" si="301"/>
        <v>0</v>
      </c>
      <c r="CU131" s="232">
        <f t="shared" si="301"/>
        <v>0</v>
      </c>
      <c r="CV131" s="232">
        <f t="shared" si="301"/>
        <v>0</v>
      </c>
      <c r="CW131" s="232">
        <f t="shared" si="301"/>
        <v>0</v>
      </c>
      <c r="CX131" s="232">
        <f t="shared" si="301"/>
        <v>0</v>
      </c>
      <c r="CY131" s="232">
        <f t="shared" si="301"/>
        <v>0</v>
      </c>
      <c r="CZ131" s="232">
        <f t="shared" si="301"/>
        <v>0</v>
      </c>
      <c r="DA131" s="232">
        <f t="shared" si="301"/>
        <v>0</v>
      </c>
      <c r="DB131" s="232">
        <f t="shared" si="301"/>
        <v>0</v>
      </c>
      <c r="DC131" s="232">
        <f t="shared" si="301"/>
        <v>0</v>
      </c>
      <c r="DD131" s="232">
        <f t="shared" si="301"/>
        <v>0</v>
      </c>
      <c r="DE131" s="232">
        <f t="shared" si="301"/>
        <v>0</v>
      </c>
      <c r="DF131" s="232">
        <f t="shared" si="301"/>
        <v>0</v>
      </c>
      <c r="DG131" s="232">
        <f t="shared" si="301"/>
        <v>0</v>
      </c>
      <c r="DH131" s="232">
        <f t="shared" si="301"/>
        <v>0</v>
      </c>
      <c r="DI131" s="232">
        <f t="shared" si="301"/>
        <v>0</v>
      </c>
      <c r="DJ131" s="232">
        <f t="shared" si="301"/>
        <v>0</v>
      </c>
      <c r="DK131" s="232">
        <f t="shared" si="301"/>
        <v>0</v>
      </c>
      <c r="DL131" s="232">
        <f t="shared" si="301"/>
        <v>0</v>
      </c>
      <c r="DM131" s="232">
        <f t="shared" si="301"/>
        <v>0</v>
      </c>
      <c r="DN131" s="232">
        <f t="shared" si="301"/>
        <v>0</v>
      </c>
      <c r="DO131" s="232">
        <f t="shared" si="301"/>
        <v>0</v>
      </c>
      <c r="DP131" s="232">
        <f t="shared" si="301"/>
        <v>0</v>
      </c>
      <c r="DQ131" s="232">
        <f t="shared" si="301"/>
        <v>0</v>
      </c>
      <c r="DR131" s="232">
        <f t="shared" si="301"/>
        <v>0</v>
      </c>
      <c r="DS131" s="232">
        <f t="shared" si="301"/>
        <v>0</v>
      </c>
      <c r="DT131" s="232">
        <f t="shared" si="301"/>
        <v>0</v>
      </c>
      <c r="DU131" s="232">
        <f t="shared" si="301"/>
        <v>0</v>
      </c>
      <c r="DV131" s="232">
        <f t="shared" si="301"/>
        <v>0</v>
      </c>
      <c r="DW131" s="232">
        <f t="shared" si="301"/>
        <v>0</v>
      </c>
      <c r="DX131" s="232">
        <f t="shared" si="301"/>
        <v>0</v>
      </c>
      <c r="DY131" s="232">
        <f t="shared" si="301"/>
        <v>0</v>
      </c>
      <c r="DZ131" s="232">
        <f t="shared" si="301"/>
        <v>0</v>
      </c>
      <c r="EA131" s="232">
        <f t="shared" si="301"/>
        <v>0</v>
      </c>
      <c r="EB131" s="232">
        <f t="shared" si="301"/>
        <v>0</v>
      </c>
      <c r="EC131" s="232">
        <f t="shared" si="301"/>
        <v>0</v>
      </c>
      <c r="ED131" s="232">
        <f t="shared" si="301"/>
        <v>0</v>
      </c>
      <c r="EE131" s="232">
        <f t="shared" ref="EE131:FF131" si="302">(EE53=0)*-$D$28</f>
        <v>0</v>
      </c>
      <c r="EF131" s="232">
        <f t="shared" si="302"/>
        <v>0</v>
      </c>
      <c r="EG131" s="232">
        <f t="shared" si="302"/>
        <v>0</v>
      </c>
      <c r="EH131" s="232">
        <f t="shared" si="302"/>
        <v>0</v>
      </c>
      <c r="EI131" s="232">
        <f t="shared" si="302"/>
        <v>0</v>
      </c>
      <c r="EJ131" s="232">
        <f t="shared" si="302"/>
        <v>0</v>
      </c>
      <c r="EK131" s="232">
        <f t="shared" si="302"/>
        <v>0</v>
      </c>
      <c r="EL131" s="232">
        <f t="shared" si="302"/>
        <v>0</v>
      </c>
      <c r="EM131" s="232">
        <f t="shared" si="302"/>
        <v>0</v>
      </c>
      <c r="EN131" s="232">
        <f t="shared" si="302"/>
        <v>0</v>
      </c>
      <c r="EO131" s="232">
        <f t="shared" si="302"/>
        <v>0</v>
      </c>
      <c r="EP131" s="232">
        <f t="shared" si="302"/>
        <v>0</v>
      </c>
      <c r="EQ131" s="232">
        <f t="shared" si="302"/>
        <v>0</v>
      </c>
      <c r="ER131" s="232">
        <f t="shared" si="302"/>
        <v>0</v>
      </c>
      <c r="ES131" s="232">
        <f t="shared" si="302"/>
        <v>0</v>
      </c>
      <c r="ET131" s="232">
        <f t="shared" si="302"/>
        <v>0</v>
      </c>
      <c r="EU131" s="232">
        <f t="shared" si="302"/>
        <v>0</v>
      </c>
      <c r="EV131" s="232">
        <f t="shared" si="302"/>
        <v>0</v>
      </c>
      <c r="EW131" s="232">
        <f t="shared" si="302"/>
        <v>0</v>
      </c>
      <c r="EX131" s="232">
        <f t="shared" si="302"/>
        <v>0</v>
      </c>
      <c r="EY131" s="232">
        <f t="shared" si="302"/>
        <v>0</v>
      </c>
      <c r="EZ131" s="232">
        <f t="shared" si="302"/>
        <v>0</v>
      </c>
      <c r="FA131" s="232">
        <f t="shared" si="302"/>
        <v>0</v>
      </c>
      <c r="FB131" s="232">
        <f t="shared" si="302"/>
        <v>0</v>
      </c>
      <c r="FC131" s="232">
        <f t="shared" si="302"/>
        <v>0</v>
      </c>
      <c r="FD131" s="232">
        <f t="shared" si="302"/>
        <v>0</v>
      </c>
      <c r="FE131" s="232">
        <f t="shared" si="302"/>
        <v>0</v>
      </c>
      <c r="FF131" s="232">
        <f t="shared" si="302"/>
        <v>0</v>
      </c>
      <c r="FG131" s="321"/>
      <c r="FH131" s="232"/>
      <c r="FI131" s="232"/>
      <c r="FJ131" s="232"/>
      <c r="FK131" s="232"/>
      <c r="FL131" s="232"/>
      <c r="FM131" s="232"/>
      <c r="FN131" s="232"/>
      <c r="FO131" s="232"/>
      <c r="FP131" s="232"/>
      <c r="FQ131" s="232"/>
      <c r="FR131" s="232"/>
      <c r="FS131" s="232"/>
      <c r="FT131" s="232"/>
      <c r="FU131" s="232"/>
      <c r="FV131" s="321"/>
    </row>
    <row r="132" spans="2:178" x14ac:dyDescent="0.2">
      <c r="C132" s="39" t="s">
        <v>244</v>
      </c>
      <c r="E132" s="163">
        <f t="shared" ref="E132:E134" si="303">SUM(F132:FF132)</f>
        <v>-62660.714285714283</v>
      </c>
      <c r="F132" s="259">
        <f>(F53=0)*-$F$37</f>
        <v>-62660.714285714283</v>
      </c>
      <c r="G132" s="232">
        <f t="shared" ref="G132:BR132" si="304">(G53=0)*-$F$37</f>
        <v>0</v>
      </c>
      <c r="H132" s="232">
        <f t="shared" si="304"/>
        <v>0</v>
      </c>
      <c r="I132" s="232">
        <f t="shared" si="304"/>
        <v>0</v>
      </c>
      <c r="J132" s="232">
        <f t="shared" si="304"/>
        <v>0</v>
      </c>
      <c r="K132" s="232">
        <f t="shared" si="304"/>
        <v>0</v>
      </c>
      <c r="L132" s="232">
        <f t="shared" si="304"/>
        <v>0</v>
      </c>
      <c r="M132" s="232">
        <f t="shared" si="304"/>
        <v>0</v>
      </c>
      <c r="N132" s="232">
        <f t="shared" si="304"/>
        <v>0</v>
      </c>
      <c r="O132" s="232">
        <f t="shared" si="304"/>
        <v>0</v>
      </c>
      <c r="P132" s="232">
        <f t="shared" si="304"/>
        <v>0</v>
      </c>
      <c r="Q132" s="232">
        <f t="shared" si="304"/>
        <v>0</v>
      </c>
      <c r="R132" s="232">
        <f t="shared" si="304"/>
        <v>0</v>
      </c>
      <c r="S132" s="232">
        <f t="shared" si="304"/>
        <v>0</v>
      </c>
      <c r="T132" s="232">
        <f t="shared" si="304"/>
        <v>0</v>
      </c>
      <c r="U132" s="232">
        <f t="shared" si="304"/>
        <v>0</v>
      </c>
      <c r="V132" s="232">
        <f t="shared" si="304"/>
        <v>0</v>
      </c>
      <c r="W132" s="232">
        <f t="shared" si="304"/>
        <v>0</v>
      </c>
      <c r="X132" s="232">
        <f t="shared" si="304"/>
        <v>0</v>
      </c>
      <c r="Y132" s="232">
        <f t="shared" si="304"/>
        <v>0</v>
      </c>
      <c r="Z132" s="232">
        <f t="shared" si="304"/>
        <v>0</v>
      </c>
      <c r="AA132" s="232">
        <f t="shared" si="304"/>
        <v>0</v>
      </c>
      <c r="AB132" s="232">
        <f t="shared" si="304"/>
        <v>0</v>
      </c>
      <c r="AC132" s="232">
        <f t="shared" si="304"/>
        <v>0</v>
      </c>
      <c r="AD132" s="232">
        <f t="shared" si="304"/>
        <v>0</v>
      </c>
      <c r="AE132" s="232">
        <f t="shared" si="304"/>
        <v>0</v>
      </c>
      <c r="AF132" s="232">
        <f t="shared" si="304"/>
        <v>0</v>
      </c>
      <c r="AG132" s="232">
        <f t="shared" si="304"/>
        <v>0</v>
      </c>
      <c r="AH132" s="232">
        <f t="shared" si="304"/>
        <v>0</v>
      </c>
      <c r="AI132" s="232">
        <f t="shared" si="304"/>
        <v>0</v>
      </c>
      <c r="AJ132" s="232">
        <f t="shared" si="304"/>
        <v>0</v>
      </c>
      <c r="AK132" s="232">
        <f t="shared" si="304"/>
        <v>0</v>
      </c>
      <c r="AL132" s="232">
        <f t="shared" si="304"/>
        <v>0</v>
      </c>
      <c r="AM132" s="232">
        <f t="shared" si="304"/>
        <v>0</v>
      </c>
      <c r="AN132" s="232">
        <f t="shared" si="304"/>
        <v>0</v>
      </c>
      <c r="AO132" s="232">
        <f t="shared" si="304"/>
        <v>0</v>
      </c>
      <c r="AP132" s="232">
        <f t="shared" si="304"/>
        <v>0</v>
      </c>
      <c r="AQ132" s="232">
        <f t="shared" si="304"/>
        <v>0</v>
      </c>
      <c r="AR132" s="232">
        <f t="shared" si="304"/>
        <v>0</v>
      </c>
      <c r="AS132" s="232">
        <f t="shared" si="304"/>
        <v>0</v>
      </c>
      <c r="AT132" s="232">
        <f t="shared" si="304"/>
        <v>0</v>
      </c>
      <c r="AU132" s="232">
        <f t="shared" si="304"/>
        <v>0</v>
      </c>
      <c r="AV132" s="232">
        <f t="shared" si="304"/>
        <v>0</v>
      </c>
      <c r="AW132" s="232">
        <f t="shared" si="304"/>
        <v>0</v>
      </c>
      <c r="AX132" s="232">
        <f t="shared" si="304"/>
        <v>0</v>
      </c>
      <c r="AY132" s="232">
        <f t="shared" si="304"/>
        <v>0</v>
      </c>
      <c r="AZ132" s="232">
        <f t="shared" si="304"/>
        <v>0</v>
      </c>
      <c r="BA132" s="232">
        <f t="shared" si="304"/>
        <v>0</v>
      </c>
      <c r="BB132" s="232">
        <f t="shared" si="304"/>
        <v>0</v>
      </c>
      <c r="BC132" s="232">
        <f t="shared" si="304"/>
        <v>0</v>
      </c>
      <c r="BD132" s="232">
        <f t="shared" si="304"/>
        <v>0</v>
      </c>
      <c r="BE132" s="232">
        <f t="shared" si="304"/>
        <v>0</v>
      </c>
      <c r="BF132" s="232">
        <f t="shared" si="304"/>
        <v>0</v>
      </c>
      <c r="BG132" s="232">
        <f t="shared" si="304"/>
        <v>0</v>
      </c>
      <c r="BH132" s="232">
        <f t="shared" si="304"/>
        <v>0</v>
      </c>
      <c r="BI132" s="232">
        <f t="shared" si="304"/>
        <v>0</v>
      </c>
      <c r="BJ132" s="232">
        <f t="shared" si="304"/>
        <v>0</v>
      </c>
      <c r="BK132" s="232">
        <f t="shared" si="304"/>
        <v>0</v>
      </c>
      <c r="BL132" s="232">
        <f t="shared" si="304"/>
        <v>0</v>
      </c>
      <c r="BM132" s="232">
        <f t="shared" si="304"/>
        <v>0</v>
      </c>
      <c r="BN132" s="232">
        <f t="shared" si="304"/>
        <v>0</v>
      </c>
      <c r="BO132" s="232">
        <f t="shared" si="304"/>
        <v>0</v>
      </c>
      <c r="BP132" s="232">
        <f t="shared" si="304"/>
        <v>0</v>
      </c>
      <c r="BQ132" s="232">
        <f t="shared" si="304"/>
        <v>0</v>
      </c>
      <c r="BR132" s="232">
        <f t="shared" si="304"/>
        <v>0</v>
      </c>
      <c r="BS132" s="232">
        <f t="shared" ref="BS132:ED132" si="305">(BS53=0)*-$F$37</f>
        <v>0</v>
      </c>
      <c r="BT132" s="232">
        <f t="shared" si="305"/>
        <v>0</v>
      </c>
      <c r="BU132" s="232">
        <f t="shared" si="305"/>
        <v>0</v>
      </c>
      <c r="BV132" s="232">
        <f t="shared" si="305"/>
        <v>0</v>
      </c>
      <c r="BW132" s="232">
        <f t="shared" si="305"/>
        <v>0</v>
      </c>
      <c r="BX132" s="232">
        <f t="shared" si="305"/>
        <v>0</v>
      </c>
      <c r="BY132" s="232">
        <f t="shared" si="305"/>
        <v>0</v>
      </c>
      <c r="BZ132" s="232">
        <f t="shared" si="305"/>
        <v>0</v>
      </c>
      <c r="CA132" s="232">
        <f t="shared" si="305"/>
        <v>0</v>
      </c>
      <c r="CB132" s="232">
        <f t="shared" si="305"/>
        <v>0</v>
      </c>
      <c r="CC132" s="232">
        <f t="shared" si="305"/>
        <v>0</v>
      </c>
      <c r="CD132" s="232">
        <f t="shared" si="305"/>
        <v>0</v>
      </c>
      <c r="CE132" s="232">
        <f t="shared" si="305"/>
        <v>0</v>
      </c>
      <c r="CF132" s="232">
        <f t="shared" si="305"/>
        <v>0</v>
      </c>
      <c r="CG132" s="232">
        <f t="shared" si="305"/>
        <v>0</v>
      </c>
      <c r="CH132" s="232">
        <f t="shared" si="305"/>
        <v>0</v>
      </c>
      <c r="CI132" s="232">
        <f t="shared" si="305"/>
        <v>0</v>
      </c>
      <c r="CJ132" s="232">
        <f t="shared" si="305"/>
        <v>0</v>
      </c>
      <c r="CK132" s="232">
        <f t="shared" si="305"/>
        <v>0</v>
      </c>
      <c r="CL132" s="232">
        <f t="shared" si="305"/>
        <v>0</v>
      </c>
      <c r="CM132" s="232">
        <f t="shared" si="305"/>
        <v>0</v>
      </c>
      <c r="CN132" s="232">
        <f t="shared" si="305"/>
        <v>0</v>
      </c>
      <c r="CO132" s="232">
        <f t="shared" si="305"/>
        <v>0</v>
      </c>
      <c r="CP132" s="232">
        <f t="shared" si="305"/>
        <v>0</v>
      </c>
      <c r="CQ132" s="232">
        <f t="shared" si="305"/>
        <v>0</v>
      </c>
      <c r="CR132" s="232">
        <f t="shared" si="305"/>
        <v>0</v>
      </c>
      <c r="CS132" s="232">
        <f t="shared" si="305"/>
        <v>0</v>
      </c>
      <c r="CT132" s="232">
        <f t="shared" si="305"/>
        <v>0</v>
      </c>
      <c r="CU132" s="232">
        <f t="shared" si="305"/>
        <v>0</v>
      </c>
      <c r="CV132" s="232">
        <f t="shared" si="305"/>
        <v>0</v>
      </c>
      <c r="CW132" s="232">
        <f t="shared" si="305"/>
        <v>0</v>
      </c>
      <c r="CX132" s="232">
        <f t="shared" si="305"/>
        <v>0</v>
      </c>
      <c r="CY132" s="232">
        <f t="shared" si="305"/>
        <v>0</v>
      </c>
      <c r="CZ132" s="232">
        <f t="shared" si="305"/>
        <v>0</v>
      </c>
      <c r="DA132" s="232">
        <f t="shared" si="305"/>
        <v>0</v>
      </c>
      <c r="DB132" s="232">
        <f t="shared" si="305"/>
        <v>0</v>
      </c>
      <c r="DC132" s="232">
        <f t="shared" si="305"/>
        <v>0</v>
      </c>
      <c r="DD132" s="232">
        <f t="shared" si="305"/>
        <v>0</v>
      </c>
      <c r="DE132" s="232">
        <f t="shared" si="305"/>
        <v>0</v>
      </c>
      <c r="DF132" s="232">
        <f t="shared" si="305"/>
        <v>0</v>
      </c>
      <c r="DG132" s="232">
        <f t="shared" si="305"/>
        <v>0</v>
      </c>
      <c r="DH132" s="232">
        <f t="shared" si="305"/>
        <v>0</v>
      </c>
      <c r="DI132" s="232">
        <f t="shared" si="305"/>
        <v>0</v>
      </c>
      <c r="DJ132" s="232">
        <f t="shared" si="305"/>
        <v>0</v>
      </c>
      <c r="DK132" s="232">
        <f t="shared" si="305"/>
        <v>0</v>
      </c>
      <c r="DL132" s="232">
        <f t="shared" si="305"/>
        <v>0</v>
      </c>
      <c r="DM132" s="232">
        <f t="shared" si="305"/>
        <v>0</v>
      </c>
      <c r="DN132" s="232">
        <f t="shared" si="305"/>
        <v>0</v>
      </c>
      <c r="DO132" s="232">
        <f t="shared" si="305"/>
        <v>0</v>
      </c>
      <c r="DP132" s="232">
        <f t="shared" si="305"/>
        <v>0</v>
      </c>
      <c r="DQ132" s="232">
        <f t="shared" si="305"/>
        <v>0</v>
      </c>
      <c r="DR132" s="232">
        <f t="shared" si="305"/>
        <v>0</v>
      </c>
      <c r="DS132" s="232">
        <f t="shared" si="305"/>
        <v>0</v>
      </c>
      <c r="DT132" s="232">
        <f t="shared" si="305"/>
        <v>0</v>
      </c>
      <c r="DU132" s="232">
        <f t="shared" si="305"/>
        <v>0</v>
      </c>
      <c r="DV132" s="232">
        <f t="shared" si="305"/>
        <v>0</v>
      </c>
      <c r="DW132" s="232">
        <f t="shared" si="305"/>
        <v>0</v>
      </c>
      <c r="DX132" s="232">
        <f t="shared" si="305"/>
        <v>0</v>
      </c>
      <c r="DY132" s="232">
        <f t="shared" si="305"/>
        <v>0</v>
      </c>
      <c r="DZ132" s="232">
        <f t="shared" si="305"/>
        <v>0</v>
      </c>
      <c r="EA132" s="232">
        <f t="shared" si="305"/>
        <v>0</v>
      </c>
      <c r="EB132" s="232">
        <f t="shared" si="305"/>
        <v>0</v>
      </c>
      <c r="EC132" s="232">
        <f t="shared" si="305"/>
        <v>0</v>
      </c>
      <c r="ED132" s="232">
        <f t="shared" si="305"/>
        <v>0</v>
      </c>
      <c r="EE132" s="232">
        <f t="shared" ref="EE132:FF132" si="306">(EE53=0)*-$F$37</f>
        <v>0</v>
      </c>
      <c r="EF132" s="232">
        <f t="shared" si="306"/>
        <v>0</v>
      </c>
      <c r="EG132" s="232">
        <f t="shared" si="306"/>
        <v>0</v>
      </c>
      <c r="EH132" s="232">
        <f t="shared" si="306"/>
        <v>0</v>
      </c>
      <c r="EI132" s="232">
        <f t="shared" si="306"/>
        <v>0</v>
      </c>
      <c r="EJ132" s="232">
        <f t="shared" si="306"/>
        <v>0</v>
      </c>
      <c r="EK132" s="232">
        <f t="shared" si="306"/>
        <v>0</v>
      </c>
      <c r="EL132" s="232">
        <f t="shared" si="306"/>
        <v>0</v>
      </c>
      <c r="EM132" s="232">
        <f t="shared" si="306"/>
        <v>0</v>
      </c>
      <c r="EN132" s="232">
        <f t="shared" si="306"/>
        <v>0</v>
      </c>
      <c r="EO132" s="232">
        <f t="shared" si="306"/>
        <v>0</v>
      </c>
      <c r="EP132" s="232">
        <f t="shared" si="306"/>
        <v>0</v>
      </c>
      <c r="EQ132" s="232">
        <f t="shared" si="306"/>
        <v>0</v>
      </c>
      <c r="ER132" s="232">
        <f t="shared" si="306"/>
        <v>0</v>
      </c>
      <c r="ES132" s="232">
        <f t="shared" si="306"/>
        <v>0</v>
      </c>
      <c r="ET132" s="232">
        <f t="shared" si="306"/>
        <v>0</v>
      </c>
      <c r="EU132" s="232">
        <f t="shared" si="306"/>
        <v>0</v>
      </c>
      <c r="EV132" s="232">
        <f t="shared" si="306"/>
        <v>0</v>
      </c>
      <c r="EW132" s="232">
        <f t="shared" si="306"/>
        <v>0</v>
      </c>
      <c r="EX132" s="232">
        <f t="shared" si="306"/>
        <v>0</v>
      </c>
      <c r="EY132" s="232">
        <f t="shared" si="306"/>
        <v>0</v>
      </c>
      <c r="EZ132" s="232">
        <f t="shared" si="306"/>
        <v>0</v>
      </c>
      <c r="FA132" s="232">
        <f t="shared" si="306"/>
        <v>0</v>
      </c>
      <c r="FB132" s="232">
        <f t="shared" si="306"/>
        <v>0</v>
      </c>
      <c r="FC132" s="232">
        <f t="shared" si="306"/>
        <v>0</v>
      </c>
      <c r="FD132" s="232">
        <f t="shared" si="306"/>
        <v>0</v>
      </c>
      <c r="FE132" s="232">
        <f t="shared" si="306"/>
        <v>0</v>
      </c>
      <c r="FF132" s="232">
        <f t="shared" si="306"/>
        <v>0</v>
      </c>
      <c r="FG132" s="321"/>
      <c r="FH132" s="232"/>
      <c r="FI132" s="232"/>
      <c r="FJ132" s="232"/>
      <c r="FK132" s="232"/>
      <c r="FL132" s="232"/>
      <c r="FM132" s="232"/>
      <c r="FN132" s="232"/>
      <c r="FO132" s="232"/>
      <c r="FP132" s="232"/>
      <c r="FQ132" s="232"/>
      <c r="FR132" s="232"/>
      <c r="FS132" s="232"/>
      <c r="FT132" s="232"/>
      <c r="FU132" s="232"/>
      <c r="FV132" s="321"/>
    </row>
    <row r="133" spans="2:178" x14ac:dyDescent="0.2">
      <c r="C133" s="39" t="s">
        <v>191</v>
      </c>
      <c r="E133" s="163">
        <f t="shared" si="303"/>
        <v>-1500779.8643038415</v>
      </c>
      <c r="F133" s="259">
        <f>SUM(F175:F176)</f>
        <v>0</v>
      </c>
      <c r="G133" s="232">
        <f t="shared" ref="G133:BR133" si="307">SUM(G175:G176)</f>
        <v>-41688.329563995598</v>
      </c>
      <c r="H133" s="232">
        <f t="shared" si="307"/>
        <v>-41688.329563995598</v>
      </c>
      <c r="I133" s="232">
        <f t="shared" si="307"/>
        <v>-41688.329563995598</v>
      </c>
      <c r="J133" s="232">
        <f t="shared" si="307"/>
        <v>-41688.329563995598</v>
      </c>
      <c r="K133" s="232">
        <f t="shared" si="307"/>
        <v>-41688.329563995598</v>
      </c>
      <c r="L133" s="232">
        <f t="shared" si="307"/>
        <v>-41688.329563995598</v>
      </c>
      <c r="M133" s="232">
        <f t="shared" si="307"/>
        <v>-41688.329563995598</v>
      </c>
      <c r="N133" s="232">
        <f t="shared" si="307"/>
        <v>-41688.329563995598</v>
      </c>
      <c r="O133" s="232">
        <f t="shared" si="307"/>
        <v>-41688.329563995598</v>
      </c>
      <c r="P133" s="232">
        <f t="shared" si="307"/>
        <v>-41688.329563995598</v>
      </c>
      <c r="Q133" s="232">
        <f t="shared" si="307"/>
        <v>-41688.329563995598</v>
      </c>
      <c r="R133" s="232">
        <f t="shared" si="307"/>
        <v>-41688.329563995598</v>
      </c>
      <c r="S133" s="232">
        <f t="shared" si="307"/>
        <v>-41688.329563995598</v>
      </c>
      <c r="T133" s="232">
        <f t="shared" si="307"/>
        <v>-41688.329563995598</v>
      </c>
      <c r="U133" s="232">
        <f t="shared" si="307"/>
        <v>-41688.329563995598</v>
      </c>
      <c r="V133" s="232">
        <f t="shared" si="307"/>
        <v>-41688.329563995598</v>
      </c>
      <c r="W133" s="232">
        <f t="shared" si="307"/>
        <v>-41688.329563995598</v>
      </c>
      <c r="X133" s="232">
        <f t="shared" si="307"/>
        <v>-41688.329563995598</v>
      </c>
      <c r="Y133" s="232">
        <f t="shared" si="307"/>
        <v>-41688.329563995598</v>
      </c>
      <c r="Z133" s="232">
        <f t="shared" si="307"/>
        <v>-41688.329563995598</v>
      </c>
      <c r="AA133" s="232">
        <f t="shared" si="307"/>
        <v>-41688.329563995598</v>
      </c>
      <c r="AB133" s="232">
        <f t="shared" si="307"/>
        <v>-41688.329563995598</v>
      </c>
      <c r="AC133" s="232">
        <f t="shared" si="307"/>
        <v>-41688.329563995598</v>
      </c>
      <c r="AD133" s="232">
        <f t="shared" si="307"/>
        <v>-41688.329563995598</v>
      </c>
      <c r="AE133" s="232">
        <f t="shared" si="307"/>
        <v>-41688.329563995598</v>
      </c>
      <c r="AF133" s="232">
        <f t="shared" si="307"/>
        <v>-41688.329563995598</v>
      </c>
      <c r="AG133" s="232">
        <f t="shared" si="307"/>
        <v>-41688.329563995598</v>
      </c>
      <c r="AH133" s="232">
        <f t="shared" si="307"/>
        <v>-41688.329563995598</v>
      </c>
      <c r="AI133" s="232">
        <f t="shared" si="307"/>
        <v>-41688.329563995598</v>
      </c>
      <c r="AJ133" s="232">
        <f t="shared" si="307"/>
        <v>-41688.329563995598</v>
      </c>
      <c r="AK133" s="232">
        <f t="shared" si="307"/>
        <v>-41688.329563995598</v>
      </c>
      <c r="AL133" s="232">
        <f t="shared" si="307"/>
        <v>-41688.329563995598</v>
      </c>
      <c r="AM133" s="232">
        <f t="shared" si="307"/>
        <v>-41688.329563995598</v>
      </c>
      <c r="AN133" s="232">
        <f t="shared" si="307"/>
        <v>-41688.329563995598</v>
      </c>
      <c r="AO133" s="232">
        <f t="shared" si="307"/>
        <v>-41688.329563995598</v>
      </c>
      <c r="AP133" s="232">
        <f t="shared" si="307"/>
        <v>-41688.329563995598</v>
      </c>
      <c r="AQ133" s="232">
        <f t="shared" si="307"/>
        <v>0</v>
      </c>
      <c r="AR133" s="232">
        <f t="shared" si="307"/>
        <v>0</v>
      </c>
      <c r="AS133" s="232">
        <f t="shared" si="307"/>
        <v>0</v>
      </c>
      <c r="AT133" s="232">
        <f t="shared" si="307"/>
        <v>0</v>
      </c>
      <c r="AU133" s="232">
        <f t="shared" si="307"/>
        <v>0</v>
      </c>
      <c r="AV133" s="232">
        <f t="shared" si="307"/>
        <v>0</v>
      </c>
      <c r="AW133" s="232">
        <f t="shared" si="307"/>
        <v>0</v>
      </c>
      <c r="AX133" s="232">
        <f t="shared" si="307"/>
        <v>0</v>
      </c>
      <c r="AY133" s="232">
        <f t="shared" si="307"/>
        <v>0</v>
      </c>
      <c r="AZ133" s="232">
        <f t="shared" si="307"/>
        <v>0</v>
      </c>
      <c r="BA133" s="232">
        <f t="shared" si="307"/>
        <v>0</v>
      </c>
      <c r="BB133" s="232">
        <f t="shared" si="307"/>
        <v>0</v>
      </c>
      <c r="BC133" s="232">
        <f t="shared" si="307"/>
        <v>0</v>
      </c>
      <c r="BD133" s="232">
        <f t="shared" si="307"/>
        <v>0</v>
      </c>
      <c r="BE133" s="232">
        <f t="shared" si="307"/>
        <v>0</v>
      </c>
      <c r="BF133" s="232">
        <f t="shared" si="307"/>
        <v>0</v>
      </c>
      <c r="BG133" s="232">
        <f t="shared" si="307"/>
        <v>0</v>
      </c>
      <c r="BH133" s="232">
        <f t="shared" si="307"/>
        <v>0</v>
      </c>
      <c r="BI133" s="232">
        <f t="shared" si="307"/>
        <v>0</v>
      </c>
      <c r="BJ133" s="232">
        <f t="shared" si="307"/>
        <v>0</v>
      </c>
      <c r="BK133" s="232">
        <f t="shared" si="307"/>
        <v>0</v>
      </c>
      <c r="BL133" s="232">
        <f t="shared" si="307"/>
        <v>0</v>
      </c>
      <c r="BM133" s="232">
        <f t="shared" si="307"/>
        <v>0</v>
      </c>
      <c r="BN133" s="232">
        <f t="shared" si="307"/>
        <v>0</v>
      </c>
      <c r="BO133" s="232">
        <f t="shared" si="307"/>
        <v>0</v>
      </c>
      <c r="BP133" s="232">
        <f t="shared" si="307"/>
        <v>0</v>
      </c>
      <c r="BQ133" s="232">
        <f t="shared" si="307"/>
        <v>0</v>
      </c>
      <c r="BR133" s="232">
        <f t="shared" si="307"/>
        <v>0</v>
      </c>
      <c r="BS133" s="232">
        <f t="shared" ref="BS133:ED133" si="308">SUM(BS175:BS176)</f>
        <v>0</v>
      </c>
      <c r="BT133" s="232">
        <f t="shared" si="308"/>
        <v>0</v>
      </c>
      <c r="BU133" s="232">
        <f t="shared" si="308"/>
        <v>0</v>
      </c>
      <c r="BV133" s="232">
        <f t="shared" si="308"/>
        <v>0</v>
      </c>
      <c r="BW133" s="232">
        <f t="shared" si="308"/>
        <v>0</v>
      </c>
      <c r="BX133" s="232">
        <f t="shared" si="308"/>
        <v>0</v>
      </c>
      <c r="BY133" s="232">
        <f t="shared" si="308"/>
        <v>0</v>
      </c>
      <c r="BZ133" s="232">
        <f t="shared" si="308"/>
        <v>0</v>
      </c>
      <c r="CA133" s="232">
        <f t="shared" si="308"/>
        <v>0</v>
      </c>
      <c r="CB133" s="232">
        <f t="shared" si="308"/>
        <v>0</v>
      </c>
      <c r="CC133" s="232">
        <f t="shared" si="308"/>
        <v>0</v>
      </c>
      <c r="CD133" s="232">
        <f t="shared" si="308"/>
        <v>0</v>
      </c>
      <c r="CE133" s="232">
        <f t="shared" si="308"/>
        <v>0</v>
      </c>
      <c r="CF133" s="232">
        <f t="shared" si="308"/>
        <v>0</v>
      </c>
      <c r="CG133" s="232">
        <f t="shared" si="308"/>
        <v>0</v>
      </c>
      <c r="CH133" s="232">
        <f t="shared" si="308"/>
        <v>0</v>
      </c>
      <c r="CI133" s="232">
        <f t="shared" si="308"/>
        <v>0</v>
      </c>
      <c r="CJ133" s="232">
        <f t="shared" si="308"/>
        <v>0</v>
      </c>
      <c r="CK133" s="232">
        <f t="shared" si="308"/>
        <v>0</v>
      </c>
      <c r="CL133" s="232">
        <f t="shared" si="308"/>
        <v>0</v>
      </c>
      <c r="CM133" s="232">
        <f t="shared" si="308"/>
        <v>0</v>
      </c>
      <c r="CN133" s="232">
        <f t="shared" si="308"/>
        <v>0</v>
      </c>
      <c r="CO133" s="232">
        <f t="shared" si="308"/>
        <v>0</v>
      </c>
      <c r="CP133" s="232">
        <f t="shared" si="308"/>
        <v>0</v>
      </c>
      <c r="CQ133" s="232">
        <f t="shared" si="308"/>
        <v>0</v>
      </c>
      <c r="CR133" s="232">
        <f t="shared" si="308"/>
        <v>0</v>
      </c>
      <c r="CS133" s="232">
        <f t="shared" si="308"/>
        <v>0</v>
      </c>
      <c r="CT133" s="232">
        <f t="shared" si="308"/>
        <v>0</v>
      </c>
      <c r="CU133" s="232">
        <f t="shared" si="308"/>
        <v>0</v>
      </c>
      <c r="CV133" s="232">
        <f t="shared" si="308"/>
        <v>0</v>
      </c>
      <c r="CW133" s="232">
        <f t="shared" si="308"/>
        <v>0</v>
      </c>
      <c r="CX133" s="232">
        <f t="shared" si="308"/>
        <v>0</v>
      </c>
      <c r="CY133" s="232">
        <f t="shared" si="308"/>
        <v>0</v>
      </c>
      <c r="CZ133" s="232">
        <f t="shared" si="308"/>
        <v>0</v>
      </c>
      <c r="DA133" s="232">
        <f t="shared" si="308"/>
        <v>0</v>
      </c>
      <c r="DB133" s="232">
        <f t="shared" si="308"/>
        <v>0</v>
      </c>
      <c r="DC133" s="232">
        <f t="shared" si="308"/>
        <v>0</v>
      </c>
      <c r="DD133" s="232">
        <f t="shared" si="308"/>
        <v>0</v>
      </c>
      <c r="DE133" s="232">
        <f t="shared" si="308"/>
        <v>0</v>
      </c>
      <c r="DF133" s="232">
        <f t="shared" si="308"/>
        <v>0</v>
      </c>
      <c r="DG133" s="232">
        <f t="shared" si="308"/>
        <v>0</v>
      </c>
      <c r="DH133" s="232">
        <f t="shared" si="308"/>
        <v>0</v>
      </c>
      <c r="DI133" s="232">
        <f t="shared" si="308"/>
        <v>0</v>
      </c>
      <c r="DJ133" s="232">
        <f t="shared" si="308"/>
        <v>0</v>
      </c>
      <c r="DK133" s="232">
        <f t="shared" si="308"/>
        <v>0</v>
      </c>
      <c r="DL133" s="232">
        <f t="shared" si="308"/>
        <v>0</v>
      </c>
      <c r="DM133" s="232">
        <f t="shared" si="308"/>
        <v>0</v>
      </c>
      <c r="DN133" s="232">
        <f t="shared" si="308"/>
        <v>0</v>
      </c>
      <c r="DO133" s="232">
        <f t="shared" si="308"/>
        <v>0</v>
      </c>
      <c r="DP133" s="232">
        <f t="shared" si="308"/>
        <v>0</v>
      </c>
      <c r="DQ133" s="232">
        <f t="shared" si="308"/>
        <v>0</v>
      </c>
      <c r="DR133" s="232">
        <f t="shared" si="308"/>
        <v>0</v>
      </c>
      <c r="DS133" s="232">
        <f t="shared" si="308"/>
        <v>0</v>
      </c>
      <c r="DT133" s="232">
        <f t="shared" si="308"/>
        <v>0</v>
      </c>
      <c r="DU133" s="232">
        <f t="shared" si="308"/>
        <v>0</v>
      </c>
      <c r="DV133" s="232">
        <f t="shared" si="308"/>
        <v>0</v>
      </c>
      <c r="DW133" s="232">
        <f t="shared" si="308"/>
        <v>0</v>
      </c>
      <c r="DX133" s="232">
        <f t="shared" si="308"/>
        <v>0</v>
      </c>
      <c r="DY133" s="232">
        <f t="shared" si="308"/>
        <v>0</v>
      </c>
      <c r="DZ133" s="232">
        <f t="shared" si="308"/>
        <v>0</v>
      </c>
      <c r="EA133" s="232">
        <f t="shared" si="308"/>
        <v>0</v>
      </c>
      <c r="EB133" s="232">
        <f t="shared" si="308"/>
        <v>0</v>
      </c>
      <c r="EC133" s="232">
        <f t="shared" si="308"/>
        <v>0</v>
      </c>
      <c r="ED133" s="232">
        <f t="shared" si="308"/>
        <v>0</v>
      </c>
      <c r="EE133" s="232">
        <f t="shared" ref="EE133:FF133" si="309">SUM(EE175:EE176)</f>
        <v>0</v>
      </c>
      <c r="EF133" s="232">
        <f t="shared" si="309"/>
        <v>0</v>
      </c>
      <c r="EG133" s="232">
        <f t="shared" si="309"/>
        <v>0</v>
      </c>
      <c r="EH133" s="232">
        <f t="shared" si="309"/>
        <v>0</v>
      </c>
      <c r="EI133" s="232">
        <f t="shared" si="309"/>
        <v>0</v>
      </c>
      <c r="EJ133" s="232">
        <f t="shared" si="309"/>
        <v>0</v>
      </c>
      <c r="EK133" s="232">
        <f t="shared" si="309"/>
        <v>0</v>
      </c>
      <c r="EL133" s="232">
        <f t="shared" si="309"/>
        <v>0</v>
      </c>
      <c r="EM133" s="232">
        <f t="shared" si="309"/>
        <v>0</v>
      </c>
      <c r="EN133" s="232">
        <f t="shared" si="309"/>
        <v>0</v>
      </c>
      <c r="EO133" s="232">
        <f t="shared" si="309"/>
        <v>0</v>
      </c>
      <c r="EP133" s="232">
        <f t="shared" si="309"/>
        <v>0</v>
      </c>
      <c r="EQ133" s="232">
        <f t="shared" si="309"/>
        <v>0</v>
      </c>
      <c r="ER133" s="232">
        <f t="shared" si="309"/>
        <v>0</v>
      </c>
      <c r="ES133" s="232">
        <f t="shared" si="309"/>
        <v>0</v>
      </c>
      <c r="ET133" s="232">
        <f t="shared" si="309"/>
        <v>0</v>
      </c>
      <c r="EU133" s="232">
        <f t="shared" si="309"/>
        <v>0</v>
      </c>
      <c r="EV133" s="232">
        <f t="shared" si="309"/>
        <v>0</v>
      </c>
      <c r="EW133" s="232">
        <f t="shared" si="309"/>
        <v>0</v>
      </c>
      <c r="EX133" s="232">
        <f t="shared" si="309"/>
        <v>0</v>
      </c>
      <c r="EY133" s="232">
        <f t="shared" si="309"/>
        <v>0</v>
      </c>
      <c r="EZ133" s="232">
        <f t="shared" si="309"/>
        <v>0</v>
      </c>
      <c r="FA133" s="232">
        <f t="shared" si="309"/>
        <v>0</v>
      </c>
      <c r="FB133" s="232">
        <f t="shared" si="309"/>
        <v>0</v>
      </c>
      <c r="FC133" s="232">
        <f t="shared" si="309"/>
        <v>0</v>
      </c>
      <c r="FD133" s="232">
        <f t="shared" si="309"/>
        <v>0</v>
      </c>
      <c r="FE133" s="232">
        <f t="shared" si="309"/>
        <v>0</v>
      </c>
      <c r="FF133" s="232">
        <f t="shared" si="309"/>
        <v>0</v>
      </c>
      <c r="FG133" s="321"/>
      <c r="FH133" s="232">
        <f t="shared" ref="FH133:FU138" si="310">SUMIF($F$54:$FF$54,FH$54,$F133:$FF133)</f>
        <v>-250129.97738397357</v>
      </c>
      <c r="FI133" s="232">
        <f t="shared" si="310"/>
        <v>-500259.95476794714</v>
      </c>
      <c r="FJ133" s="232">
        <f t="shared" si="310"/>
        <v>-500259.95476794714</v>
      </c>
      <c r="FK133" s="232">
        <f t="shared" si="310"/>
        <v>-250129.97738397357</v>
      </c>
      <c r="FL133" s="232">
        <f t="shared" si="310"/>
        <v>0</v>
      </c>
      <c r="FM133" s="232">
        <f t="shared" si="310"/>
        <v>0</v>
      </c>
      <c r="FN133" s="232">
        <f t="shared" si="310"/>
        <v>0</v>
      </c>
      <c r="FO133" s="232">
        <f t="shared" si="310"/>
        <v>0</v>
      </c>
      <c r="FP133" s="232">
        <f t="shared" si="310"/>
        <v>0</v>
      </c>
      <c r="FQ133" s="232">
        <f t="shared" si="310"/>
        <v>0</v>
      </c>
      <c r="FR133" s="232">
        <f t="shared" si="310"/>
        <v>0</v>
      </c>
      <c r="FS133" s="232">
        <f t="shared" si="310"/>
        <v>0</v>
      </c>
      <c r="FT133" s="232">
        <f t="shared" si="310"/>
        <v>0</v>
      </c>
      <c r="FU133" s="232">
        <f t="shared" si="310"/>
        <v>0</v>
      </c>
      <c r="FV133" s="321"/>
    </row>
    <row r="134" spans="2:178" x14ac:dyDescent="0.2">
      <c r="C134" s="39" t="s">
        <v>192</v>
      </c>
      <c r="E134" s="163">
        <f t="shared" si="303"/>
        <v>-6060980.5993080325</v>
      </c>
      <c r="F134" s="259">
        <f t="shared" ref="F134:AK134" si="311">F177</f>
        <v>0</v>
      </c>
      <c r="G134" s="232">
        <f t="shared" si="311"/>
        <v>0</v>
      </c>
      <c r="H134" s="232">
        <f t="shared" si="311"/>
        <v>0</v>
      </c>
      <c r="I134" s="232">
        <f t="shared" si="311"/>
        <v>0</v>
      </c>
      <c r="J134" s="232">
        <f t="shared" si="311"/>
        <v>0</v>
      </c>
      <c r="K134" s="232">
        <f t="shared" si="311"/>
        <v>0</v>
      </c>
      <c r="L134" s="232">
        <f t="shared" si="311"/>
        <v>0</v>
      </c>
      <c r="M134" s="232">
        <f t="shared" si="311"/>
        <v>0</v>
      </c>
      <c r="N134" s="232">
        <f t="shared" si="311"/>
        <v>0</v>
      </c>
      <c r="O134" s="232">
        <f t="shared" si="311"/>
        <v>0</v>
      </c>
      <c r="P134" s="232">
        <f t="shared" si="311"/>
        <v>0</v>
      </c>
      <c r="Q134" s="232">
        <f t="shared" si="311"/>
        <v>0</v>
      </c>
      <c r="R134" s="232">
        <f t="shared" si="311"/>
        <v>0</v>
      </c>
      <c r="S134" s="232">
        <f t="shared" si="311"/>
        <v>0</v>
      </c>
      <c r="T134" s="232">
        <f t="shared" si="311"/>
        <v>0</v>
      </c>
      <c r="U134" s="232">
        <f t="shared" si="311"/>
        <v>0</v>
      </c>
      <c r="V134" s="232">
        <f t="shared" si="311"/>
        <v>0</v>
      </c>
      <c r="W134" s="232">
        <f t="shared" si="311"/>
        <v>0</v>
      </c>
      <c r="X134" s="232">
        <f t="shared" si="311"/>
        <v>0</v>
      </c>
      <c r="Y134" s="232">
        <f t="shared" si="311"/>
        <v>0</v>
      </c>
      <c r="Z134" s="232">
        <f t="shared" si="311"/>
        <v>0</v>
      </c>
      <c r="AA134" s="232">
        <f t="shared" si="311"/>
        <v>0</v>
      </c>
      <c r="AB134" s="232">
        <f t="shared" si="311"/>
        <v>0</v>
      </c>
      <c r="AC134" s="232">
        <f t="shared" si="311"/>
        <v>0</v>
      </c>
      <c r="AD134" s="232">
        <f t="shared" si="311"/>
        <v>0</v>
      </c>
      <c r="AE134" s="232">
        <f t="shared" si="311"/>
        <v>0</v>
      </c>
      <c r="AF134" s="232">
        <f t="shared" si="311"/>
        <v>0</v>
      </c>
      <c r="AG134" s="232">
        <f t="shared" si="311"/>
        <v>0</v>
      </c>
      <c r="AH134" s="232">
        <f t="shared" si="311"/>
        <v>0</v>
      </c>
      <c r="AI134" s="232">
        <f t="shared" si="311"/>
        <v>0</v>
      </c>
      <c r="AJ134" s="232">
        <f t="shared" si="311"/>
        <v>0</v>
      </c>
      <c r="AK134" s="232">
        <f t="shared" si="311"/>
        <v>0</v>
      </c>
      <c r="AL134" s="232">
        <f t="shared" ref="AL134:BQ134" si="312">AL177</f>
        <v>0</v>
      </c>
      <c r="AM134" s="232">
        <f t="shared" si="312"/>
        <v>0</v>
      </c>
      <c r="AN134" s="232">
        <f t="shared" si="312"/>
        <v>0</v>
      </c>
      <c r="AO134" s="232">
        <f t="shared" si="312"/>
        <v>0</v>
      </c>
      <c r="AP134" s="232">
        <f t="shared" si="312"/>
        <v>-6060980.5993080325</v>
      </c>
      <c r="AQ134" s="232">
        <f t="shared" si="312"/>
        <v>0</v>
      </c>
      <c r="AR134" s="232">
        <f t="shared" si="312"/>
        <v>0</v>
      </c>
      <c r="AS134" s="232">
        <f t="shared" si="312"/>
        <v>0</v>
      </c>
      <c r="AT134" s="232">
        <f t="shared" si="312"/>
        <v>0</v>
      </c>
      <c r="AU134" s="232">
        <f t="shared" si="312"/>
        <v>0</v>
      </c>
      <c r="AV134" s="232">
        <f t="shared" si="312"/>
        <v>0</v>
      </c>
      <c r="AW134" s="232">
        <f t="shared" si="312"/>
        <v>0</v>
      </c>
      <c r="AX134" s="232">
        <f t="shared" si="312"/>
        <v>0</v>
      </c>
      <c r="AY134" s="232">
        <f t="shared" si="312"/>
        <v>0</v>
      </c>
      <c r="AZ134" s="232">
        <f t="shared" si="312"/>
        <v>0</v>
      </c>
      <c r="BA134" s="232">
        <f t="shared" si="312"/>
        <v>0</v>
      </c>
      <c r="BB134" s="232">
        <f t="shared" si="312"/>
        <v>0</v>
      </c>
      <c r="BC134" s="232">
        <f t="shared" si="312"/>
        <v>0</v>
      </c>
      <c r="BD134" s="232">
        <f t="shared" si="312"/>
        <v>0</v>
      </c>
      <c r="BE134" s="232">
        <f t="shared" si="312"/>
        <v>0</v>
      </c>
      <c r="BF134" s="232">
        <f t="shared" si="312"/>
        <v>0</v>
      </c>
      <c r="BG134" s="232">
        <f t="shared" si="312"/>
        <v>0</v>
      </c>
      <c r="BH134" s="232">
        <f t="shared" si="312"/>
        <v>0</v>
      </c>
      <c r="BI134" s="232">
        <f t="shared" si="312"/>
        <v>0</v>
      </c>
      <c r="BJ134" s="232">
        <f t="shared" si="312"/>
        <v>0</v>
      </c>
      <c r="BK134" s="232">
        <f t="shared" si="312"/>
        <v>0</v>
      </c>
      <c r="BL134" s="232">
        <f t="shared" si="312"/>
        <v>0</v>
      </c>
      <c r="BM134" s="232">
        <f t="shared" si="312"/>
        <v>0</v>
      </c>
      <c r="BN134" s="232">
        <f t="shared" si="312"/>
        <v>0</v>
      </c>
      <c r="BO134" s="232">
        <f t="shared" si="312"/>
        <v>0</v>
      </c>
      <c r="BP134" s="232">
        <f t="shared" si="312"/>
        <v>0</v>
      </c>
      <c r="BQ134" s="232">
        <f t="shared" si="312"/>
        <v>0</v>
      </c>
      <c r="BR134" s="232">
        <f t="shared" ref="BR134:CW134" si="313">BR177</f>
        <v>0</v>
      </c>
      <c r="BS134" s="232">
        <f t="shared" si="313"/>
        <v>0</v>
      </c>
      <c r="BT134" s="232">
        <f t="shared" si="313"/>
        <v>0</v>
      </c>
      <c r="BU134" s="232">
        <f t="shared" si="313"/>
        <v>0</v>
      </c>
      <c r="BV134" s="232">
        <f t="shared" si="313"/>
        <v>0</v>
      </c>
      <c r="BW134" s="232">
        <f t="shared" si="313"/>
        <v>0</v>
      </c>
      <c r="BX134" s="232">
        <f t="shared" si="313"/>
        <v>0</v>
      </c>
      <c r="BY134" s="232">
        <f t="shared" si="313"/>
        <v>0</v>
      </c>
      <c r="BZ134" s="232">
        <f t="shared" si="313"/>
        <v>0</v>
      </c>
      <c r="CA134" s="232">
        <f t="shared" si="313"/>
        <v>0</v>
      </c>
      <c r="CB134" s="232">
        <f t="shared" si="313"/>
        <v>0</v>
      </c>
      <c r="CC134" s="232">
        <f t="shared" si="313"/>
        <v>0</v>
      </c>
      <c r="CD134" s="232">
        <f t="shared" si="313"/>
        <v>0</v>
      </c>
      <c r="CE134" s="232">
        <f t="shared" si="313"/>
        <v>0</v>
      </c>
      <c r="CF134" s="232">
        <f t="shared" si="313"/>
        <v>0</v>
      </c>
      <c r="CG134" s="232">
        <f t="shared" si="313"/>
        <v>0</v>
      </c>
      <c r="CH134" s="232">
        <f t="shared" si="313"/>
        <v>0</v>
      </c>
      <c r="CI134" s="232">
        <f t="shared" si="313"/>
        <v>0</v>
      </c>
      <c r="CJ134" s="232">
        <f t="shared" si="313"/>
        <v>0</v>
      </c>
      <c r="CK134" s="232">
        <f t="shared" si="313"/>
        <v>0</v>
      </c>
      <c r="CL134" s="232">
        <f t="shared" si="313"/>
        <v>0</v>
      </c>
      <c r="CM134" s="232">
        <f t="shared" si="313"/>
        <v>0</v>
      </c>
      <c r="CN134" s="232">
        <f t="shared" si="313"/>
        <v>0</v>
      </c>
      <c r="CO134" s="232">
        <f t="shared" si="313"/>
        <v>0</v>
      </c>
      <c r="CP134" s="232">
        <f t="shared" si="313"/>
        <v>0</v>
      </c>
      <c r="CQ134" s="232">
        <f t="shared" si="313"/>
        <v>0</v>
      </c>
      <c r="CR134" s="232">
        <f t="shared" si="313"/>
        <v>0</v>
      </c>
      <c r="CS134" s="232">
        <f t="shared" si="313"/>
        <v>0</v>
      </c>
      <c r="CT134" s="232">
        <f t="shared" si="313"/>
        <v>0</v>
      </c>
      <c r="CU134" s="232">
        <f t="shared" si="313"/>
        <v>0</v>
      </c>
      <c r="CV134" s="232">
        <f t="shared" si="313"/>
        <v>0</v>
      </c>
      <c r="CW134" s="232">
        <f t="shared" si="313"/>
        <v>0</v>
      </c>
      <c r="CX134" s="232">
        <f t="shared" ref="CX134:EC134" si="314">CX177</f>
        <v>0</v>
      </c>
      <c r="CY134" s="232">
        <f t="shared" si="314"/>
        <v>0</v>
      </c>
      <c r="CZ134" s="232">
        <f t="shared" si="314"/>
        <v>0</v>
      </c>
      <c r="DA134" s="232">
        <f t="shared" si="314"/>
        <v>0</v>
      </c>
      <c r="DB134" s="232">
        <f t="shared" si="314"/>
        <v>0</v>
      </c>
      <c r="DC134" s="232">
        <f t="shared" si="314"/>
        <v>0</v>
      </c>
      <c r="DD134" s="232">
        <f t="shared" si="314"/>
        <v>0</v>
      </c>
      <c r="DE134" s="232">
        <f t="shared" si="314"/>
        <v>0</v>
      </c>
      <c r="DF134" s="232">
        <f t="shared" si="314"/>
        <v>0</v>
      </c>
      <c r="DG134" s="232">
        <f t="shared" si="314"/>
        <v>0</v>
      </c>
      <c r="DH134" s="232">
        <f t="shared" si="314"/>
        <v>0</v>
      </c>
      <c r="DI134" s="232">
        <f t="shared" si="314"/>
        <v>0</v>
      </c>
      <c r="DJ134" s="232">
        <f t="shared" si="314"/>
        <v>0</v>
      </c>
      <c r="DK134" s="232">
        <f t="shared" si="314"/>
        <v>0</v>
      </c>
      <c r="DL134" s="232">
        <f t="shared" si="314"/>
        <v>0</v>
      </c>
      <c r="DM134" s="232">
        <f t="shared" si="314"/>
        <v>0</v>
      </c>
      <c r="DN134" s="232">
        <f t="shared" si="314"/>
        <v>0</v>
      </c>
      <c r="DO134" s="232">
        <f t="shared" si="314"/>
        <v>0</v>
      </c>
      <c r="DP134" s="232">
        <f t="shared" si="314"/>
        <v>0</v>
      </c>
      <c r="DQ134" s="232">
        <f t="shared" si="314"/>
        <v>0</v>
      </c>
      <c r="DR134" s="232">
        <f t="shared" si="314"/>
        <v>0</v>
      </c>
      <c r="DS134" s="232">
        <f t="shared" si="314"/>
        <v>0</v>
      </c>
      <c r="DT134" s="232">
        <f t="shared" si="314"/>
        <v>0</v>
      </c>
      <c r="DU134" s="232">
        <f t="shared" si="314"/>
        <v>0</v>
      </c>
      <c r="DV134" s="232">
        <f t="shared" si="314"/>
        <v>0</v>
      </c>
      <c r="DW134" s="232">
        <f t="shared" si="314"/>
        <v>0</v>
      </c>
      <c r="DX134" s="232">
        <f t="shared" si="314"/>
        <v>0</v>
      </c>
      <c r="DY134" s="232">
        <f t="shared" si="314"/>
        <v>0</v>
      </c>
      <c r="DZ134" s="232">
        <f t="shared" si="314"/>
        <v>0</v>
      </c>
      <c r="EA134" s="232">
        <f t="shared" si="314"/>
        <v>0</v>
      </c>
      <c r="EB134" s="232">
        <f t="shared" si="314"/>
        <v>0</v>
      </c>
      <c r="EC134" s="232">
        <f t="shared" si="314"/>
        <v>0</v>
      </c>
      <c r="ED134" s="232">
        <f t="shared" ref="ED134:FF134" si="315">ED177</f>
        <v>0</v>
      </c>
      <c r="EE134" s="232">
        <f t="shared" si="315"/>
        <v>0</v>
      </c>
      <c r="EF134" s="232">
        <f t="shared" si="315"/>
        <v>0</v>
      </c>
      <c r="EG134" s="232">
        <f t="shared" si="315"/>
        <v>0</v>
      </c>
      <c r="EH134" s="232">
        <f t="shared" si="315"/>
        <v>0</v>
      </c>
      <c r="EI134" s="232">
        <f t="shared" si="315"/>
        <v>0</v>
      </c>
      <c r="EJ134" s="232">
        <f t="shared" si="315"/>
        <v>0</v>
      </c>
      <c r="EK134" s="232">
        <f t="shared" si="315"/>
        <v>0</v>
      </c>
      <c r="EL134" s="232">
        <f t="shared" si="315"/>
        <v>0</v>
      </c>
      <c r="EM134" s="232">
        <f t="shared" si="315"/>
        <v>0</v>
      </c>
      <c r="EN134" s="232">
        <f t="shared" si="315"/>
        <v>0</v>
      </c>
      <c r="EO134" s="232">
        <f t="shared" si="315"/>
        <v>0</v>
      </c>
      <c r="EP134" s="232">
        <f t="shared" si="315"/>
        <v>0</v>
      </c>
      <c r="EQ134" s="232">
        <f t="shared" si="315"/>
        <v>0</v>
      </c>
      <c r="ER134" s="232">
        <f t="shared" si="315"/>
        <v>0</v>
      </c>
      <c r="ES134" s="232">
        <f t="shared" si="315"/>
        <v>0</v>
      </c>
      <c r="ET134" s="232">
        <f t="shared" si="315"/>
        <v>0</v>
      </c>
      <c r="EU134" s="232">
        <f t="shared" si="315"/>
        <v>0</v>
      </c>
      <c r="EV134" s="232">
        <f t="shared" si="315"/>
        <v>0</v>
      </c>
      <c r="EW134" s="232">
        <f t="shared" si="315"/>
        <v>0</v>
      </c>
      <c r="EX134" s="232">
        <f t="shared" si="315"/>
        <v>0</v>
      </c>
      <c r="EY134" s="232">
        <f t="shared" si="315"/>
        <v>0</v>
      </c>
      <c r="EZ134" s="232">
        <f t="shared" si="315"/>
        <v>0</v>
      </c>
      <c r="FA134" s="232">
        <f t="shared" si="315"/>
        <v>0</v>
      </c>
      <c r="FB134" s="232">
        <f t="shared" si="315"/>
        <v>0</v>
      </c>
      <c r="FC134" s="232">
        <f t="shared" si="315"/>
        <v>0</v>
      </c>
      <c r="FD134" s="232">
        <f t="shared" si="315"/>
        <v>0</v>
      </c>
      <c r="FE134" s="232">
        <f t="shared" si="315"/>
        <v>0</v>
      </c>
      <c r="FF134" s="232">
        <f t="shared" si="315"/>
        <v>0</v>
      </c>
      <c r="FG134" s="321"/>
      <c r="FH134" s="232">
        <f t="shared" si="310"/>
        <v>0</v>
      </c>
      <c r="FI134" s="232">
        <f t="shared" si="310"/>
        <v>0</v>
      </c>
      <c r="FJ134" s="232">
        <f t="shared" si="310"/>
        <v>0</v>
      </c>
      <c r="FK134" s="232">
        <f t="shared" si="310"/>
        <v>-6060980.5993080325</v>
      </c>
      <c r="FL134" s="232">
        <f t="shared" si="310"/>
        <v>0</v>
      </c>
      <c r="FM134" s="232">
        <f t="shared" si="310"/>
        <v>0</v>
      </c>
      <c r="FN134" s="232">
        <f t="shared" si="310"/>
        <v>0</v>
      </c>
      <c r="FO134" s="232">
        <f t="shared" si="310"/>
        <v>0</v>
      </c>
      <c r="FP134" s="232">
        <f t="shared" si="310"/>
        <v>0</v>
      </c>
      <c r="FQ134" s="232">
        <f t="shared" si="310"/>
        <v>0</v>
      </c>
      <c r="FR134" s="232">
        <f t="shared" si="310"/>
        <v>0</v>
      </c>
      <c r="FS134" s="232">
        <f t="shared" si="310"/>
        <v>0</v>
      </c>
      <c r="FT134" s="232">
        <f t="shared" si="310"/>
        <v>0</v>
      </c>
      <c r="FU134" s="232">
        <f t="shared" si="310"/>
        <v>0</v>
      </c>
      <c r="FV134" s="321"/>
    </row>
    <row r="135" spans="2:178" x14ac:dyDescent="0.2">
      <c r="C135" s="39" t="s">
        <v>116</v>
      </c>
      <c r="E135" s="163">
        <f ca="1">SUM(F135:FF135)</f>
        <v>8883611.6884761341</v>
      </c>
      <c r="F135" s="259">
        <f t="shared" ref="F135:AK135" si="316">IF(F55=$F$35,F182,0)</f>
        <v>0</v>
      </c>
      <c r="G135" s="232">
        <f t="shared" si="316"/>
        <v>0</v>
      </c>
      <c r="H135" s="232">
        <f t="shared" si="316"/>
        <v>0</v>
      </c>
      <c r="I135" s="232">
        <f t="shared" si="316"/>
        <v>0</v>
      </c>
      <c r="J135" s="232">
        <f t="shared" si="316"/>
        <v>0</v>
      </c>
      <c r="K135" s="232">
        <f t="shared" si="316"/>
        <v>0</v>
      </c>
      <c r="L135" s="232">
        <f t="shared" si="316"/>
        <v>0</v>
      </c>
      <c r="M135" s="232">
        <f t="shared" si="316"/>
        <v>0</v>
      </c>
      <c r="N135" s="232">
        <f t="shared" si="316"/>
        <v>0</v>
      </c>
      <c r="O135" s="232">
        <f t="shared" si="316"/>
        <v>0</v>
      </c>
      <c r="P135" s="232">
        <f t="shared" si="316"/>
        <v>0</v>
      </c>
      <c r="Q135" s="232">
        <f t="shared" si="316"/>
        <v>0</v>
      </c>
      <c r="R135" s="232">
        <f t="shared" si="316"/>
        <v>0</v>
      </c>
      <c r="S135" s="232">
        <f t="shared" si="316"/>
        <v>0</v>
      </c>
      <c r="T135" s="232">
        <f t="shared" si="316"/>
        <v>0</v>
      </c>
      <c r="U135" s="232">
        <f t="shared" si="316"/>
        <v>0</v>
      </c>
      <c r="V135" s="232">
        <f t="shared" si="316"/>
        <v>0</v>
      </c>
      <c r="W135" s="232">
        <f t="shared" si="316"/>
        <v>0</v>
      </c>
      <c r="X135" s="232">
        <f t="shared" si="316"/>
        <v>0</v>
      </c>
      <c r="Y135" s="232">
        <f t="shared" si="316"/>
        <v>0</v>
      </c>
      <c r="Z135" s="232">
        <f t="shared" si="316"/>
        <v>0</v>
      </c>
      <c r="AA135" s="232">
        <f t="shared" si="316"/>
        <v>0</v>
      </c>
      <c r="AB135" s="232">
        <f t="shared" si="316"/>
        <v>0</v>
      </c>
      <c r="AC135" s="232">
        <f t="shared" si="316"/>
        <v>0</v>
      </c>
      <c r="AD135" s="232">
        <f t="shared" si="316"/>
        <v>0</v>
      </c>
      <c r="AE135" s="232">
        <f t="shared" si="316"/>
        <v>0</v>
      </c>
      <c r="AF135" s="232">
        <f t="shared" si="316"/>
        <v>0</v>
      </c>
      <c r="AG135" s="232">
        <f t="shared" si="316"/>
        <v>0</v>
      </c>
      <c r="AH135" s="232">
        <f t="shared" si="316"/>
        <v>0</v>
      </c>
      <c r="AI135" s="232">
        <f t="shared" si="316"/>
        <v>0</v>
      </c>
      <c r="AJ135" s="232">
        <f t="shared" si="316"/>
        <v>0</v>
      </c>
      <c r="AK135" s="232">
        <f t="shared" si="316"/>
        <v>0</v>
      </c>
      <c r="AL135" s="232">
        <f t="shared" ref="AL135:BQ135" si="317">IF(AL55=$F$35,AL182,0)</f>
        <v>0</v>
      </c>
      <c r="AM135" s="232">
        <f t="shared" si="317"/>
        <v>0</v>
      </c>
      <c r="AN135" s="232">
        <f t="shared" si="317"/>
        <v>0</v>
      </c>
      <c r="AO135" s="232">
        <f t="shared" si="317"/>
        <v>0</v>
      </c>
      <c r="AP135" s="232">
        <f t="shared" ca="1" si="317"/>
        <v>8883611.6884761341</v>
      </c>
      <c r="AQ135" s="232">
        <f t="shared" si="317"/>
        <v>0</v>
      </c>
      <c r="AR135" s="232">
        <f t="shared" si="317"/>
        <v>0</v>
      </c>
      <c r="AS135" s="232">
        <f t="shared" si="317"/>
        <v>0</v>
      </c>
      <c r="AT135" s="232">
        <f t="shared" si="317"/>
        <v>0</v>
      </c>
      <c r="AU135" s="232">
        <f t="shared" si="317"/>
        <v>0</v>
      </c>
      <c r="AV135" s="232">
        <f t="shared" si="317"/>
        <v>0</v>
      </c>
      <c r="AW135" s="232">
        <f t="shared" si="317"/>
        <v>0</v>
      </c>
      <c r="AX135" s="232">
        <f t="shared" si="317"/>
        <v>0</v>
      </c>
      <c r="AY135" s="232">
        <f t="shared" si="317"/>
        <v>0</v>
      </c>
      <c r="AZ135" s="232">
        <f t="shared" si="317"/>
        <v>0</v>
      </c>
      <c r="BA135" s="232">
        <f t="shared" si="317"/>
        <v>0</v>
      </c>
      <c r="BB135" s="232">
        <f t="shared" si="317"/>
        <v>0</v>
      </c>
      <c r="BC135" s="232">
        <f t="shared" si="317"/>
        <v>0</v>
      </c>
      <c r="BD135" s="232">
        <f t="shared" si="317"/>
        <v>0</v>
      </c>
      <c r="BE135" s="232">
        <f t="shared" si="317"/>
        <v>0</v>
      </c>
      <c r="BF135" s="232">
        <f t="shared" si="317"/>
        <v>0</v>
      </c>
      <c r="BG135" s="232">
        <f t="shared" si="317"/>
        <v>0</v>
      </c>
      <c r="BH135" s="232">
        <f t="shared" si="317"/>
        <v>0</v>
      </c>
      <c r="BI135" s="232">
        <f t="shared" si="317"/>
        <v>0</v>
      </c>
      <c r="BJ135" s="232">
        <f t="shared" si="317"/>
        <v>0</v>
      </c>
      <c r="BK135" s="232">
        <f t="shared" si="317"/>
        <v>0</v>
      </c>
      <c r="BL135" s="232">
        <f t="shared" si="317"/>
        <v>0</v>
      </c>
      <c r="BM135" s="232">
        <f t="shared" si="317"/>
        <v>0</v>
      </c>
      <c r="BN135" s="232">
        <f t="shared" si="317"/>
        <v>0</v>
      </c>
      <c r="BO135" s="232">
        <f t="shared" si="317"/>
        <v>0</v>
      </c>
      <c r="BP135" s="232">
        <f t="shared" si="317"/>
        <v>0</v>
      </c>
      <c r="BQ135" s="232">
        <f t="shared" si="317"/>
        <v>0</v>
      </c>
      <c r="BR135" s="232">
        <f t="shared" ref="BR135:CW135" si="318">IF(BR55=$F$35,BR182,0)</f>
        <v>0</v>
      </c>
      <c r="BS135" s="232">
        <f t="shared" si="318"/>
        <v>0</v>
      </c>
      <c r="BT135" s="232">
        <f t="shared" si="318"/>
        <v>0</v>
      </c>
      <c r="BU135" s="232">
        <f t="shared" si="318"/>
        <v>0</v>
      </c>
      <c r="BV135" s="232">
        <f t="shared" si="318"/>
        <v>0</v>
      </c>
      <c r="BW135" s="232">
        <f t="shared" si="318"/>
        <v>0</v>
      </c>
      <c r="BX135" s="232">
        <f t="shared" si="318"/>
        <v>0</v>
      </c>
      <c r="BY135" s="232">
        <f t="shared" si="318"/>
        <v>0</v>
      </c>
      <c r="BZ135" s="232">
        <f t="shared" si="318"/>
        <v>0</v>
      </c>
      <c r="CA135" s="232">
        <f t="shared" si="318"/>
        <v>0</v>
      </c>
      <c r="CB135" s="232">
        <f t="shared" si="318"/>
        <v>0</v>
      </c>
      <c r="CC135" s="232">
        <f t="shared" si="318"/>
        <v>0</v>
      </c>
      <c r="CD135" s="232">
        <f t="shared" si="318"/>
        <v>0</v>
      </c>
      <c r="CE135" s="232">
        <f t="shared" si="318"/>
        <v>0</v>
      </c>
      <c r="CF135" s="232">
        <f t="shared" si="318"/>
        <v>0</v>
      </c>
      <c r="CG135" s="232">
        <f t="shared" si="318"/>
        <v>0</v>
      </c>
      <c r="CH135" s="232">
        <f t="shared" si="318"/>
        <v>0</v>
      </c>
      <c r="CI135" s="232">
        <f t="shared" si="318"/>
        <v>0</v>
      </c>
      <c r="CJ135" s="232">
        <f t="shared" si="318"/>
        <v>0</v>
      </c>
      <c r="CK135" s="232">
        <f t="shared" si="318"/>
        <v>0</v>
      </c>
      <c r="CL135" s="232">
        <f t="shared" si="318"/>
        <v>0</v>
      </c>
      <c r="CM135" s="232">
        <f t="shared" si="318"/>
        <v>0</v>
      </c>
      <c r="CN135" s="232">
        <f t="shared" si="318"/>
        <v>0</v>
      </c>
      <c r="CO135" s="232">
        <f t="shared" si="318"/>
        <v>0</v>
      </c>
      <c r="CP135" s="232">
        <f t="shared" si="318"/>
        <v>0</v>
      </c>
      <c r="CQ135" s="232">
        <f t="shared" si="318"/>
        <v>0</v>
      </c>
      <c r="CR135" s="232">
        <f t="shared" si="318"/>
        <v>0</v>
      </c>
      <c r="CS135" s="232">
        <f t="shared" si="318"/>
        <v>0</v>
      </c>
      <c r="CT135" s="232">
        <f t="shared" si="318"/>
        <v>0</v>
      </c>
      <c r="CU135" s="232">
        <f t="shared" si="318"/>
        <v>0</v>
      </c>
      <c r="CV135" s="232">
        <f t="shared" si="318"/>
        <v>0</v>
      </c>
      <c r="CW135" s="232">
        <f t="shared" si="318"/>
        <v>0</v>
      </c>
      <c r="CX135" s="232">
        <f t="shared" ref="CX135:EC135" si="319">IF(CX55=$F$35,CX182,0)</f>
        <v>0</v>
      </c>
      <c r="CY135" s="232">
        <f t="shared" si="319"/>
        <v>0</v>
      </c>
      <c r="CZ135" s="232">
        <f t="shared" si="319"/>
        <v>0</v>
      </c>
      <c r="DA135" s="232">
        <f t="shared" si="319"/>
        <v>0</v>
      </c>
      <c r="DB135" s="232">
        <f t="shared" si="319"/>
        <v>0</v>
      </c>
      <c r="DC135" s="232">
        <f t="shared" si="319"/>
        <v>0</v>
      </c>
      <c r="DD135" s="232">
        <f t="shared" si="319"/>
        <v>0</v>
      </c>
      <c r="DE135" s="232">
        <f t="shared" si="319"/>
        <v>0</v>
      </c>
      <c r="DF135" s="232">
        <f t="shared" si="319"/>
        <v>0</v>
      </c>
      <c r="DG135" s="232">
        <f t="shared" si="319"/>
        <v>0</v>
      </c>
      <c r="DH135" s="232">
        <f t="shared" si="319"/>
        <v>0</v>
      </c>
      <c r="DI135" s="232">
        <f t="shared" si="319"/>
        <v>0</v>
      </c>
      <c r="DJ135" s="232">
        <f t="shared" si="319"/>
        <v>0</v>
      </c>
      <c r="DK135" s="232">
        <f t="shared" si="319"/>
        <v>0</v>
      </c>
      <c r="DL135" s="232">
        <f t="shared" si="319"/>
        <v>0</v>
      </c>
      <c r="DM135" s="232">
        <f t="shared" si="319"/>
        <v>0</v>
      </c>
      <c r="DN135" s="232">
        <f t="shared" si="319"/>
        <v>0</v>
      </c>
      <c r="DO135" s="232">
        <f t="shared" si="319"/>
        <v>0</v>
      </c>
      <c r="DP135" s="232">
        <f t="shared" si="319"/>
        <v>0</v>
      </c>
      <c r="DQ135" s="232">
        <f t="shared" si="319"/>
        <v>0</v>
      </c>
      <c r="DR135" s="232">
        <f t="shared" si="319"/>
        <v>0</v>
      </c>
      <c r="DS135" s="232">
        <f t="shared" si="319"/>
        <v>0</v>
      </c>
      <c r="DT135" s="232">
        <f t="shared" si="319"/>
        <v>0</v>
      </c>
      <c r="DU135" s="232">
        <f t="shared" si="319"/>
        <v>0</v>
      </c>
      <c r="DV135" s="232">
        <f t="shared" si="319"/>
        <v>0</v>
      </c>
      <c r="DW135" s="232">
        <f t="shared" si="319"/>
        <v>0</v>
      </c>
      <c r="DX135" s="232">
        <f t="shared" si="319"/>
        <v>0</v>
      </c>
      <c r="DY135" s="232">
        <f t="shared" si="319"/>
        <v>0</v>
      </c>
      <c r="DZ135" s="232">
        <f t="shared" si="319"/>
        <v>0</v>
      </c>
      <c r="EA135" s="232">
        <f t="shared" si="319"/>
        <v>0</v>
      </c>
      <c r="EB135" s="232">
        <f t="shared" si="319"/>
        <v>0</v>
      </c>
      <c r="EC135" s="232">
        <f t="shared" si="319"/>
        <v>0</v>
      </c>
      <c r="ED135" s="232">
        <f t="shared" ref="ED135:FF135" si="320">IF(ED55=$F$35,ED182,0)</f>
        <v>0</v>
      </c>
      <c r="EE135" s="232">
        <f t="shared" si="320"/>
        <v>0</v>
      </c>
      <c r="EF135" s="232">
        <f t="shared" si="320"/>
        <v>0</v>
      </c>
      <c r="EG135" s="232">
        <f t="shared" si="320"/>
        <v>0</v>
      </c>
      <c r="EH135" s="232">
        <f t="shared" si="320"/>
        <v>0</v>
      </c>
      <c r="EI135" s="232">
        <f t="shared" si="320"/>
        <v>0</v>
      </c>
      <c r="EJ135" s="232">
        <f t="shared" si="320"/>
        <v>0</v>
      </c>
      <c r="EK135" s="232">
        <f t="shared" si="320"/>
        <v>0</v>
      </c>
      <c r="EL135" s="232">
        <f t="shared" si="320"/>
        <v>0</v>
      </c>
      <c r="EM135" s="232">
        <f t="shared" si="320"/>
        <v>0</v>
      </c>
      <c r="EN135" s="232">
        <f t="shared" si="320"/>
        <v>0</v>
      </c>
      <c r="EO135" s="232">
        <f t="shared" si="320"/>
        <v>0</v>
      </c>
      <c r="EP135" s="232">
        <f t="shared" si="320"/>
        <v>0</v>
      </c>
      <c r="EQ135" s="232">
        <f t="shared" si="320"/>
        <v>0</v>
      </c>
      <c r="ER135" s="232">
        <f t="shared" si="320"/>
        <v>0</v>
      </c>
      <c r="ES135" s="232">
        <f t="shared" si="320"/>
        <v>0</v>
      </c>
      <c r="ET135" s="232">
        <f t="shared" si="320"/>
        <v>0</v>
      </c>
      <c r="EU135" s="232">
        <f t="shared" si="320"/>
        <v>0</v>
      </c>
      <c r="EV135" s="232">
        <f t="shared" si="320"/>
        <v>0</v>
      </c>
      <c r="EW135" s="232">
        <f t="shared" si="320"/>
        <v>0</v>
      </c>
      <c r="EX135" s="232">
        <f t="shared" si="320"/>
        <v>0</v>
      </c>
      <c r="EY135" s="232">
        <f t="shared" si="320"/>
        <v>0</v>
      </c>
      <c r="EZ135" s="232">
        <f t="shared" si="320"/>
        <v>0</v>
      </c>
      <c r="FA135" s="232">
        <f t="shared" si="320"/>
        <v>0</v>
      </c>
      <c r="FB135" s="232">
        <f t="shared" si="320"/>
        <v>0</v>
      </c>
      <c r="FC135" s="232">
        <f t="shared" si="320"/>
        <v>0</v>
      </c>
      <c r="FD135" s="232">
        <f t="shared" si="320"/>
        <v>0</v>
      </c>
      <c r="FE135" s="232">
        <f t="shared" si="320"/>
        <v>0</v>
      </c>
      <c r="FF135" s="232">
        <f t="shared" si="320"/>
        <v>0</v>
      </c>
      <c r="FG135" s="321"/>
      <c r="FH135" s="232">
        <f t="shared" si="310"/>
        <v>0</v>
      </c>
      <c r="FI135" s="232">
        <f t="shared" si="310"/>
        <v>0</v>
      </c>
      <c r="FJ135" s="232">
        <f t="shared" si="310"/>
        <v>0</v>
      </c>
      <c r="FK135" s="232">
        <f ca="1">SUMIF($F$54:$FF$54,FK$54,$F135:$FF135)</f>
        <v>8883611.6884761341</v>
      </c>
      <c r="FL135" s="232">
        <f t="shared" si="310"/>
        <v>0</v>
      </c>
      <c r="FM135" s="232">
        <f t="shared" si="310"/>
        <v>0</v>
      </c>
      <c r="FN135" s="232">
        <f t="shared" si="310"/>
        <v>0</v>
      </c>
      <c r="FO135" s="232">
        <f t="shared" si="310"/>
        <v>0</v>
      </c>
      <c r="FP135" s="232">
        <f t="shared" si="310"/>
        <v>0</v>
      </c>
      <c r="FQ135" s="232">
        <f t="shared" si="310"/>
        <v>0</v>
      </c>
      <c r="FR135" s="232">
        <f t="shared" si="310"/>
        <v>0</v>
      </c>
      <c r="FS135" s="232">
        <f t="shared" si="310"/>
        <v>0</v>
      </c>
      <c r="FT135" s="232">
        <f t="shared" si="310"/>
        <v>0</v>
      </c>
      <c r="FU135" s="232">
        <f t="shared" si="310"/>
        <v>0</v>
      </c>
      <c r="FV135" s="321"/>
    </row>
    <row r="136" spans="2:178" x14ac:dyDescent="0.2">
      <c r="C136" s="39" t="s">
        <v>165</v>
      </c>
      <c r="E136" s="163">
        <f ca="1">SUM(F136:FF136)</f>
        <v>-44418.058442380672</v>
      </c>
      <c r="F136" s="259">
        <f t="shared" ref="F136:AK136" si="321">IF(F55=$F$35,-$I$37,0)</f>
        <v>0</v>
      </c>
      <c r="G136" s="232">
        <f t="shared" si="321"/>
        <v>0</v>
      </c>
      <c r="H136" s="232">
        <f t="shared" si="321"/>
        <v>0</v>
      </c>
      <c r="I136" s="232">
        <f t="shared" si="321"/>
        <v>0</v>
      </c>
      <c r="J136" s="232">
        <f t="shared" si="321"/>
        <v>0</v>
      </c>
      <c r="K136" s="232">
        <f t="shared" si="321"/>
        <v>0</v>
      </c>
      <c r="L136" s="232">
        <f t="shared" si="321"/>
        <v>0</v>
      </c>
      <c r="M136" s="232">
        <f t="shared" si="321"/>
        <v>0</v>
      </c>
      <c r="N136" s="232">
        <f t="shared" si="321"/>
        <v>0</v>
      </c>
      <c r="O136" s="232">
        <f t="shared" si="321"/>
        <v>0</v>
      </c>
      <c r="P136" s="232">
        <f t="shared" si="321"/>
        <v>0</v>
      </c>
      <c r="Q136" s="232">
        <f t="shared" si="321"/>
        <v>0</v>
      </c>
      <c r="R136" s="232">
        <f t="shared" si="321"/>
        <v>0</v>
      </c>
      <c r="S136" s="232">
        <f t="shared" si="321"/>
        <v>0</v>
      </c>
      <c r="T136" s="232">
        <f t="shared" si="321"/>
        <v>0</v>
      </c>
      <c r="U136" s="232">
        <f t="shared" si="321"/>
        <v>0</v>
      </c>
      <c r="V136" s="232">
        <f t="shared" si="321"/>
        <v>0</v>
      </c>
      <c r="W136" s="232">
        <f t="shared" si="321"/>
        <v>0</v>
      </c>
      <c r="X136" s="232">
        <f t="shared" si="321"/>
        <v>0</v>
      </c>
      <c r="Y136" s="232">
        <f t="shared" si="321"/>
        <v>0</v>
      </c>
      <c r="Z136" s="232">
        <f t="shared" si="321"/>
        <v>0</v>
      </c>
      <c r="AA136" s="232">
        <f t="shared" si="321"/>
        <v>0</v>
      </c>
      <c r="AB136" s="232">
        <f t="shared" si="321"/>
        <v>0</v>
      </c>
      <c r="AC136" s="232">
        <f t="shared" si="321"/>
        <v>0</v>
      </c>
      <c r="AD136" s="232">
        <f t="shared" si="321"/>
        <v>0</v>
      </c>
      <c r="AE136" s="232">
        <f t="shared" si="321"/>
        <v>0</v>
      </c>
      <c r="AF136" s="232">
        <f t="shared" si="321"/>
        <v>0</v>
      </c>
      <c r="AG136" s="232">
        <f t="shared" si="321"/>
        <v>0</v>
      </c>
      <c r="AH136" s="232">
        <f t="shared" si="321"/>
        <v>0</v>
      </c>
      <c r="AI136" s="232">
        <f t="shared" si="321"/>
        <v>0</v>
      </c>
      <c r="AJ136" s="232">
        <f t="shared" si="321"/>
        <v>0</v>
      </c>
      <c r="AK136" s="232">
        <f t="shared" si="321"/>
        <v>0</v>
      </c>
      <c r="AL136" s="232">
        <f t="shared" ref="AL136:BQ136" si="322">IF(AL55=$F$35,-$I$37,0)</f>
        <v>0</v>
      </c>
      <c r="AM136" s="232">
        <f t="shared" si="322"/>
        <v>0</v>
      </c>
      <c r="AN136" s="232">
        <f t="shared" si="322"/>
        <v>0</v>
      </c>
      <c r="AO136" s="232">
        <f t="shared" si="322"/>
        <v>0</v>
      </c>
      <c r="AP136" s="232">
        <f t="shared" ca="1" si="322"/>
        <v>-44418.058442380672</v>
      </c>
      <c r="AQ136" s="232">
        <f t="shared" si="322"/>
        <v>0</v>
      </c>
      <c r="AR136" s="232">
        <f t="shared" si="322"/>
        <v>0</v>
      </c>
      <c r="AS136" s="232">
        <f t="shared" si="322"/>
        <v>0</v>
      </c>
      <c r="AT136" s="232">
        <f t="shared" si="322"/>
        <v>0</v>
      </c>
      <c r="AU136" s="232">
        <f t="shared" si="322"/>
        <v>0</v>
      </c>
      <c r="AV136" s="232">
        <f t="shared" si="322"/>
        <v>0</v>
      </c>
      <c r="AW136" s="232">
        <f t="shared" si="322"/>
        <v>0</v>
      </c>
      <c r="AX136" s="232">
        <f t="shared" si="322"/>
        <v>0</v>
      </c>
      <c r="AY136" s="232">
        <f t="shared" si="322"/>
        <v>0</v>
      </c>
      <c r="AZ136" s="232">
        <f t="shared" si="322"/>
        <v>0</v>
      </c>
      <c r="BA136" s="232">
        <f t="shared" si="322"/>
        <v>0</v>
      </c>
      <c r="BB136" s="232">
        <f t="shared" si="322"/>
        <v>0</v>
      </c>
      <c r="BC136" s="232">
        <f t="shared" si="322"/>
        <v>0</v>
      </c>
      <c r="BD136" s="232">
        <f t="shared" si="322"/>
        <v>0</v>
      </c>
      <c r="BE136" s="232">
        <f t="shared" si="322"/>
        <v>0</v>
      </c>
      <c r="BF136" s="232">
        <f t="shared" si="322"/>
        <v>0</v>
      </c>
      <c r="BG136" s="232">
        <f t="shared" si="322"/>
        <v>0</v>
      </c>
      <c r="BH136" s="232">
        <f t="shared" si="322"/>
        <v>0</v>
      </c>
      <c r="BI136" s="232">
        <f t="shared" si="322"/>
        <v>0</v>
      </c>
      <c r="BJ136" s="232">
        <f t="shared" si="322"/>
        <v>0</v>
      </c>
      <c r="BK136" s="232">
        <f t="shared" si="322"/>
        <v>0</v>
      </c>
      <c r="BL136" s="232">
        <f t="shared" si="322"/>
        <v>0</v>
      </c>
      <c r="BM136" s="232">
        <f t="shared" si="322"/>
        <v>0</v>
      </c>
      <c r="BN136" s="232">
        <f t="shared" si="322"/>
        <v>0</v>
      </c>
      <c r="BO136" s="232">
        <f t="shared" si="322"/>
        <v>0</v>
      </c>
      <c r="BP136" s="232">
        <f t="shared" si="322"/>
        <v>0</v>
      </c>
      <c r="BQ136" s="232">
        <f t="shared" si="322"/>
        <v>0</v>
      </c>
      <c r="BR136" s="232">
        <f t="shared" ref="BR136:CW136" si="323">IF(BR55=$F$35,-$I$37,0)</f>
        <v>0</v>
      </c>
      <c r="BS136" s="232">
        <f t="shared" si="323"/>
        <v>0</v>
      </c>
      <c r="BT136" s="232">
        <f t="shared" si="323"/>
        <v>0</v>
      </c>
      <c r="BU136" s="232">
        <f t="shared" si="323"/>
        <v>0</v>
      </c>
      <c r="BV136" s="232">
        <f t="shared" si="323"/>
        <v>0</v>
      </c>
      <c r="BW136" s="232">
        <f t="shared" si="323"/>
        <v>0</v>
      </c>
      <c r="BX136" s="232">
        <f t="shared" si="323"/>
        <v>0</v>
      </c>
      <c r="BY136" s="232">
        <f t="shared" si="323"/>
        <v>0</v>
      </c>
      <c r="BZ136" s="232">
        <f t="shared" si="323"/>
        <v>0</v>
      </c>
      <c r="CA136" s="232">
        <f t="shared" si="323"/>
        <v>0</v>
      </c>
      <c r="CB136" s="232">
        <f t="shared" si="323"/>
        <v>0</v>
      </c>
      <c r="CC136" s="232">
        <f t="shared" si="323"/>
        <v>0</v>
      </c>
      <c r="CD136" s="232">
        <f t="shared" si="323"/>
        <v>0</v>
      </c>
      <c r="CE136" s="232">
        <f t="shared" si="323"/>
        <v>0</v>
      </c>
      <c r="CF136" s="232">
        <f t="shared" si="323"/>
        <v>0</v>
      </c>
      <c r="CG136" s="232">
        <f t="shared" si="323"/>
        <v>0</v>
      </c>
      <c r="CH136" s="232">
        <f t="shared" si="323"/>
        <v>0</v>
      </c>
      <c r="CI136" s="232">
        <f t="shared" si="323"/>
        <v>0</v>
      </c>
      <c r="CJ136" s="232">
        <f t="shared" si="323"/>
        <v>0</v>
      </c>
      <c r="CK136" s="232">
        <f t="shared" si="323"/>
        <v>0</v>
      </c>
      <c r="CL136" s="232">
        <f t="shared" si="323"/>
        <v>0</v>
      </c>
      <c r="CM136" s="232">
        <f t="shared" si="323"/>
        <v>0</v>
      </c>
      <c r="CN136" s="232">
        <f t="shared" si="323"/>
        <v>0</v>
      </c>
      <c r="CO136" s="232">
        <f t="shared" si="323"/>
        <v>0</v>
      </c>
      <c r="CP136" s="232">
        <f t="shared" si="323"/>
        <v>0</v>
      </c>
      <c r="CQ136" s="232">
        <f t="shared" si="323"/>
        <v>0</v>
      </c>
      <c r="CR136" s="232">
        <f t="shared" si="323"/>
        <v>0</v>
      </c>
      <c r="CS136" s="232">
        <f t="shared" si="323"/>
        <v>0</v>
      </c>
      <c r="CT136" s="232">
        <f t="shared" si="323"/>
        <v>0</v>
      </c>
      <c r="CU136" s="232">
        <f t="shared" si="323"/>
        <v>0</v>
      </c>
      <c r="CV136" s="232">
        <f t="shared" si="323"/>
        <v>0</v>
      </c>
      <c r="CW136" s="232">
        <f t="shared" si="323"/>
        <v>0</v>
      </c>
      <c r="CX136" s="232">
        <f t="shared" ref="CX136:EC136" si="324">IF(CX55=$F$35,-$I$37,0)</f>
        <v>0</v>
      </c>
      <c r="CY136" s="232">
        <f t="shared" si="324"/>
        <v>0</v>
      </c>
      <c r="CZ136" s="232">
        <f t="shared" si="324"/>
        <v>0</v>
      </c>
      <c r="DA136" s="232">
        <f t="shared" si="324"/>
        <v>0</v>
      </c>
      <c r="DB136" s="232">
        <f t="shared" si="324"/>
        <v>0</v>
      </c>
      <c r="DC136" s="232">
        <f t="shared" si="324"/>
        <v>0</v>
      </c>
      <c r="DD136" s="232">
        <f t="shared" si="324"/>
        <v>0</v>
      </c>
      <c r="DE136" s="232">
        <f t="shared" si="324"/>
        <v>0</v>
      </c>
      <c r="DF136" s="232">
        <f t="shared" si="324"/>
        <v>0</v>
      </c>
      <c r="DG136" s="232">
        <f t="shared" si="324"/>
        <v>0</v>
      </c>
      <c r="DH136" s="232">
        <f t="shared" si="324"/>
        <v>0</v>
      </c>
      <c r="DI136" s="232">
        <f t="shared" si="324"/>
        <v>0</v>
      </c>
      <c r="DJ136" s="232">
        <f t="shared" si="324"/>
        <v>0</v>
      </c>
      <c r="DK136" s="232">
        <f t="shared" si="324"/>
        <v>0</v>
      </c>
      <c r="DL136" s="232">
        <f t="shared" si="324"/>
        <v>0</v>
      </c>
      <c r="DM136" s="232">
        <f t="shared" si="324"/>
        <v>0</v>
      </c>
      <c r="DN136" s="232">
        <f t="shared" si="324"/>
        <v>0</v>
      </c>
      <c r="DO136" s="232">
        <f t="shared" si="324"/>
        <v>0</v>
      </c>
      <c r="DP136" s="232">
        <f t="shared" si="324"/>
        <v>0</v>
      </c>
      <c r="DQ136" s="232">
        <f t="shared" si="324"/>
        <v>0</v>
      </c>
      <c r="DR136" s="232">
        <f t="shared" si="324"/>
        <v>0</v>
      </c>
      <c r="DS136" s="232">
        <f t="shared" si="324"/>
        <v>0</v>
      </c>
      <c r="DT136" s="232">
        <f t="shared" si="324"/>
        <v>0</v>
      </c>
      <c r="DU136" s="232">
        <f t="shared" si="324"/>
        <v>0</v>
      </c>
      <c r="DV136" s="232">
        <f t="shared" si="324"/>
        <v>0</v>
      </c>
      <c r="DW136" s="232">
        <f t="shared" si="324"/>
        <v>0</v>
      </c>
      <c r="DX136" s="232">
        <f t="shared" si="324"/>
        <v>0</v>
      </c>
      <c r="DY136" s="232">
        <f t="shared" si="324"/>
        <v>0</v>
      </c>
      <c r="DZ136" s="232">
        <f t="shared" si="324"/>
        <v>0</v>
      </c>
      <c r="EA136" s="232">
        <f t="shared" si="324"/>
        <v>0</v>
      </c>
      <c r="EB136" s="232">
        <f t="shared" si="324"/>
        <v>0</v>
      </c>
      <c r="EC136" s="232">
        <f t="shared" si="324"/>
        <v>0</v>
      </c>
      <c r="ED136" s="232">
        <f t="shared" ref="ED136:FF136" si="325">IF(ED55=$F$35,-$I$37,0)</f>
        <v>0</v>
      </c>
      <c r="EE136" s="232">
        <f t="shared" si="325"/>
        <v>0</v>
      </c>
      <c r="EF136" s="232">
        <f t="shared" si="325"/>
        <v>0</v>
      </c>
      <c r="EG136" s="232">
        <f t="shared" si="325"/>
        <v>0</v>
      </c>
      <c r="EH136" s="232">
        <f t="shared" si="325"/>
        <v>0</v>
      </c>
      <c r="EI136" s="232">
        <f t="shared" si="325"/>
        <v>0</v>
      </c>
      <c r="EJ136" s="232">
        <f t="shared" si="325"/>
        <v>0</v>
      </c>
      <c r="EK136" s="232">
        <f t="shared" si="325"/>
        <v>0</v>
      </c>
      <c r="EL136" s="232">
        <f t="shared" si="325"/>
        <v>0</v>
      </c>
      <c r="EM136" s="232">
        <f t="shared" si="325"/>
        <v>0</v>
      </c>
      <c r="EN136" s="232">
        <f t="shared" si="325"/>
        <v>0</v>
      </c>
      <c r="EO136" s="232">
        <f t="shared" si="325"/>
        <v>0</v>
      </c>
      <c r="EP136" s="232">
        <f t="shared" si="325"/>
        <v>0</v>
      </c>
      <c r="EQ136" s="232">
        <f t="shared" si="325"/>
        <v>0</v>
      </c>
      <c r="ER136" s="232">
        <f t="shared" si="325"/>
        <v>0</v>
      </c>
      <c r="ES136" s="232">
        <f t="shared" si="325"/>
        <v>0</v>
      </c>
      <c r="ET136" s="232">
        <f t="shared" si="325"/>
        <v>0</v>
      </c>
      <c r="EU136" s="232">
        <f t="shared" si="325"/>
        <v>0</v>
      </c>
      <c r="EV136" s="232">
        <f t="shared" si="325"/>
        <v>0</v>
      </c>
      <c r="EW136" s="232">
        <f t="shared" si="325"/>
        <v>0</v>
      </c>
      <c r="EX136" s="232">
        <f t="shared" si="325"/>
        <v>0</v>
      </c>
      <c r="EY136" s="232">
        <f t="shared" si="325"/>
        <v>0</v>
      </c>
      <c r="EZ136" s="232">
        <f t="shared" si="325"/>
        <v>0</v>
      </c>
      <c r="FA136" s="232">
        <f t="shared" si="325"/>
        <v>0</v>
      </c>
      <c r="FB136" s="232">
        <f t="shared" si="325"/>
        <v>0</v>
      </c>
      <c r="FC136" s="232">
        <f t="shared" si="325"/>
        <v>0</v>
      </c>
      <c r="FD136" s="232">
        <f t="shared" si="325"/>
        <v>0</v>
      </c>
      <c r="FE136" s="232">
        <f t="shared" si="325"/>
        <v>0</v>
      </c>
      <c r="FF136" s="232">
        <f t="shared" si="325"/>
        <v>0</v>
      </c>
      <c r="FG136" s="321"/>
      <c r="FH136" s="232">
        <f t="shared" si="310"/>
        <v>0</v>
      </c>
      <c r="FI136" s="232">
        <f t="shared" si="310"/>
        <v>0</v>
      </c>
      <c r="FJ136" s="232">
        <f t="shared" si="310"/>
        <v>0</v>
      </c>
      <c r="FK136" s="232">
        <f ca="1">SUMIF($F$54:$FF$54,FK$54,$F136:$FF136)</f>
        <v>-44418.058442380672</v>
      </c>
      <c r="FL136" s="232">
        <f t="shared" si="310"/>
        <v>0</v>
      </c>
      <c r="FM136" s="232">
        <f t="shared" si="310"/>
        <v>0</v>
      </c>
      <c r="FN136" s="232">
        <f t="shared" si="310"/>
        <v>0</v>
      </c>
      <c r="FO136" s="232">
        <f t="shared" si="310"/>
        <v>0</v>
      </c>
      <c r="FP136" s="232">
        <f t="shared" si="310"/>
        <v>0</v>
      </c>
      <c r="FQ136" s="232">
        <f t="shared" si="310"/>
        <v>0</v>
      </c>
      <c r="FR136" s="232">
        <f t="shared" si="310"/>
        <v>0</v>
      </c>
      <c r="FS136" s="232">
        <f t="shared" si="310"/>
        <v>0</v>
      </c>
      <c r="FT136" s="232">
        <f t="shared" si="310"/>
        <v>0</v>
      </c>
      <c r="FU136" s="232">
        <f t="shared" si="310"/>
        <v>0</v>
      </c>
      <c r="FV136" s="321"/>
    </row>
    <row r="137" spans="2:178" x14ac:dyDescent="0.2">
      <c r="C137" s="39" t="s">
        <v>193</v>
      </c>
      <c r="E137" s="163">
        <f ca="1">SUM(F137:FF137)</f>
        <v>-3176286.3968109777</v>
      </c>
      <c r="F137" s="259">
        <f>SUM(F184:F185)</f>
        <v>0</v>
      </c>
      <c r="G137" s="232">
        <f t="shared" ref="G137:AQ137" si="326">SUM(G184:G185)</f>
        <v>0</v>
      </c>
      <c r="H137" s="232">
        <f t="shared" si="326"/>
        <v>0</v>
      </c>
      <c r="I137" s="232">
        <f t="shared" si="326"/>
        <v>0</v>
      </c>
      <c r="J137" s="232">
        <f t="shared" si="326"/>
        <v>0</v>
      </c>
      <c r="K137" s="232">
        <f t="shared" si="326"/>
        <v>0</v>
      </c>
      <c r="L137" s="232">
        <f t="shared" si="326"/>
        <v>0</v>
      </c>
      <c r="M137" s="232">
        <f t="shared" si="326"/>
        <v>0</v>
      </c>
      <c r="N137" s="232">
        <f t="shared" si="326"/>
        <v>0</v>
      </c>
      <c r="O137" s="232">
        <f t="shared" si="326"/>
        <v>0</v>
      </c>
      <c r="P137" s="232">
        <f t="shared" si="326"/>
        <v>0</v>
      </c>
      <c r="Q137" s="232">
        <f t="shared" si="326"/>
        <v>0</v>
      </c>
      <c r="R137" s="232">
        <f t="shared" si="326"/>
        <v>0</v>
      </c>
      <c r="S137" s="232">
        <f t="shared" si="326"/>
        <v>0</v>
      </c>
      <c r="T137" s="232">
        <f t="shared" si="326"/>
        <v>0</v>
      </c>
      <c r="U137" s="232">
        <f t="shared" si="326"/>
        <v>0</v>
      </c>
      <c r="V137" s="232">
        <f t="shared" si="326"/>
        <v>0</v>
      </c>
      <c r="W137" s="232">
        <f t="shared" si="326"/>
        <v>0</v>
      </c>
      <c r="X137" s="232">
        <f t="shared" si="326"/>
        <v>0</v>
      </c>
      <c r="Y137" s="232">
        <f t="shared" si="326"/>
        <v>0</v>
      </c>
      <c r="Z137" s="232">
        <f t="shared" si="326"/>
        <v>0</v>
      </c>
      <c r="AA137" s="232">
        <f t="shared" si="326"/>
        <v>0</v>
      </c>
      <c r="AB137" s="232">
        <f t="shared" si="326"/>
        <v>0</v>
      </c>
      <c r="AC137" s="232">
        <f t="shared" si="326"/>
        <v>0</v>
      </c>
      <c r="AD137" s="232">
        <f t="shared" si="326"/>
        <v>0</v>
      </c>
      <c r="AE137" s="232">
        <f t="shared" si="326"/>
        <v>0</v>
      </c>
      <c r="AF137" s="232">
        <f t="shared" si="326"/>
        <v>0</v>
      </c>
      <c r="AG137" s="232">
        <f t="shared" si="326"/>
        <v>0</v>
      </c>
      <c r="AH137" s="232">
        <f t="shared" si="326"/>
        <v>0</v>
      </c>
      <c r="AI137" s="232">
        <f t="shared" si="326"/>
        <v>0</v>
      </c>
      <c r="AJ137" s="232">
        <f t="shared" si="326"/>
        <v>0</v>
      </c>
      <c r="AK137" s="232">
        <f t="shared" si="326"/>
        <v>0</v>
      </c>
      <c r="AL137" s="232">
        <f t="shared" si="326"/>
        <v>0</v>
      </c>
      <c r="AM137" s="232">
        <f t="shared" si="326"/>
        <v>0</v>
      </c>
      <c r="AN137" s="232">
        <f t="shared" si="326"/>
        <v>0</v>
      </c>
      <c r="AO137" s="232">
        <f t="shared" si="326"/>
        <v>0</v>
      </c>
      <c r="AP137" s="232">
        <f t="shared" si="326"/>
        <v>0</v>
      </c>
      <c r="AQ137" s="232">
        <f t="shared" ca="1" si="326"/>
        <v>-48119.563312579063</v>
      </c>
      <c r="AR137" s="232">
        <f t="shared" ref="AR137:BW137" ca="1" si="327">SUM(AR184:AR185)</f>
        <v>-48119.563312579063</v>
      </c>
      <c r="AS137" s="232">
        <f t="shared" ca="1" si="327"/>
        <v>-48119.563312579063</v>
      </c>
      <c r="AT137" s="232">
        <f t="shared" ca="1" si="327"/>
        <v>-48119.563312579063</v>
      </c>
      <c r="AU137" s="232">
        <f t="shared" ca="1" si="327"/>
        <v>-48119.563312579063</v>
      </c>
      <c r="AV137" s="232">
        <f t="shared" ca="1" si="327"/>
        <v>-48119.563312579063</v>
      </c>
      <c r="AW137" s="232">
        <f t="shared" ca="1" si="327"/>
        <v>-48119.563312579063</v>
      </c>
      <c r="AX137" s="232">
        <f t="shared" ca="1" si="327"/>
        <v>-48119.563312579063</v>
      </c>
      <c r="AY137" s="232">
        <f t="shared" ca="1" si="327"/>
        <v>-48119.563312579063</v>
      </c>
      <c r="AZ137" s="232">
        <f t="shared" ca="1" si="327"/>
        <v>-48119.563312579063</v>
      </c>
      <c r="BA137" s="232">
        <f t="shared" ca="1" si="327"/>
        <v>-48119.563312579063</v>
      </c>
      <c r="BB137" s="232">
        <f t="shared" ca="1" si="327"/>
        <v>-48119.563312579063</v>
      </c>
      <c r="BC137" s="232">
        <f t="shared" ca="1" si="327"/>
        <v>-48119.563312579063</v>
      </c>
      <c r="BD137" s="232">
        <f t="shared" ca="1" si="327"/>
        <v>-48119.563312579063</v>
      </c>
      <c r="BE137" s="232">
        <f t="shared" ca="1" si="327"/>
        <v>-48119.563312579063</v>
      </c>
      <c r="BF137" s="232">
        <f t="shared" ca="1" si="327"/>
        <v>-48119.563312579063</v>
      </c>
      <c r="BG137" s="232">
        <f t="shared" ca="1" si="327"/>
        <v>-48119.563312579063</v>
      </c>
      <c r="BH137" s="232">
        <f t="shared" ca="1" si="327"/>
        <v>-48119.563312579063</v>
      </c>
      <c r="BI137" s="232">
        <f t="shared" ca="1" si="327"/>
        <v>-48119.563312579063</v>
      </c>
      <c r="BJ137" s="232">
        <f t="shared" ca="1" si="327"/>
        <v>-48119.563312579063</v>
      </c>
      <c r="BK137" s="232">
        <f t="shared" ca="1" si="327"/>
        <v>-48119.563312579063</v>
      </c>
      <c r="BL137" s="232">
        <f t="shared" ca="1" si="327"/>
        <v>-48119.563312579063</v>
      </c>
      <c r="BM137" s="232">
        <f t="shared" ca="1" si="327"/>
        <v>-48119.563312579063</v>
      </c>
      <c r="BN137" s="232">
        <f t="shared" ca="1" si="327"/>
        <v>-48119.563312579063</v>
      </c>
      <c r="BO137" s="232">
        <f t="shared" ca="1" si="327"/>
        <v>-56150.468814141001</v>
      </c>
      <c r="BP137" s="232">
        <f t="shared" ca="1" si="327"/>
        <v>-56150.468814141001</v>
      </c>
      <c r="BQ137" s="232">
        <f t="shared" ca="1" si="327"/>
        <v>-56150.468814141001</v>
      </c>
      <c r="BR137" s="232">
        <f t="shared" ca="1" si="327"/>
        <v>-56150.468814141001</v>
      </c>
      <c r="BS137" s="232">
        <f t="shared" ca="1" si="327"/>
        <v>-56150.468814141001</v>
      </c>
      <c r="BT137" s="232">
        <f t="shared" ca="1" si="327"/>
        <v>-56150.468814141001</v>
      </c>
      <c r="BU137" s="232">
        <f t="shared" ca="1" si="327"/>
        <v>-56150.468814141001</v>
      </c>
      <c r="BV137" s="232">
        <f t="shared" ca="1" si="327"/>
        <v>-56150.468814141001</v>
      </c>
      <c r="BW137" s="232">
        <f t="shared" ca="1" si="327"/>
        <v>-56150.468814141001</v>
      </c>
      <c r="BX137" s="232">
        <f t="shared" ref="BX137:DC137" ca="1" si="328">SUM(BX184:BX185)</f>
        <v>-56150.468814141001</v>
      </c>
      <c r="BY137" s="232">
        <f t="shared" ca="1" si="328"/>
        <v>-56150.468814141001</v>
      </c>
      <c r="BZ137" s="232">
        <f t="shared" ca="1" si="328"/>
        <v>-56150.468814141001</v>
      </c>
      <c r="CA137" s="232">
        <f t="shared" ca="1" si="328"/>
        <v>-56150.468814141001</v>
      </c>
      <c r="CB137" s="232">
        <f t="shared" ca="1" si="328"/>
        <v>-56150.468814141001</v>
      </c>
      <c r="CC137" s="232">
        <f t="shared" ca="1" si="328"/>
        <v>-56150.468814141001</v>
      </c>
      <c r="CD137" s="232">
        <f t="shared" ca="1" si="328"/>
        <v>-56150.468814141001</v>
      </c>
      <c r="CE137" s="232">
        <f t="shared" ca="1" si="328"/>
        <v>-56150.468814141001</v>
      </c>
      <c r="CF137" s="232">
        <f t="shared" ca="1" si="328"/>
        <v>-56150.468814141001</v>
      </c>
      <c r="CG137" s="232">
        <f t="shared" ca="1" si="328"/>
        <v>-56150.468814141001</v>
      </c>
      <c r="CH137" s="232">
        <f t="shared" ca="1" si="328"/>
        <v>-56150.468814141001</v>
      </c>
      <c r="CI137" s="232">
        <f t="shared" ca="1" si="328"/>
        <v>-56150.468814141001</v>
      </c>
      <c r="CJ137" s="232">
        <f t="shared" ca="1" si="328"/>
        <v>-56150.468814141001</v>
      </c>
      <c r="CK137" s="232">
        <f t="shared" ca="1" si="328"/>
        <v>-56150.468814141001</v>
      </c>
      <c r="CL137" s="232">
        <f t="shared" ca="1" si="328"/>
        <v>-56150.468814141001</v>
      </c>
      <c r="CM137" s="232">
        <f t="shared" ca="1" si="328"/>
        <v>-56150.468814141001</v>
      </c>
      <c r="CN137" s="232">
        <f t="shared" ca="1" si="328"/>
        <v>-56150.468814141001</v>
      </c>
      <c r="CO137" s="232">
        <f t="shared" ca="1" si="328"/>
        <v>-56150.468814141001</v>
      </c>
      <c r="CP137" s="232">
        <f t="shared" ca="1" si="328"/>
        <v>-56150.468814141001</v>
      </c>
      <c r="CQ137" s="232">
        <f t="shared" ca="1" si="328"/>
        <v>-56150.468814141001</v>
      </c>
      <c r="CR137" s="232">
        <f t="shared" ca="1" si="328"/>
        <v>-56150.468814141001</v>
      </c>
      <c r="CS137" s="232">
        <f t="shared" ca="1" si="328"/>
        <v>-56150.468814141001</v>
      </c>
      <c r="CT137" s="232">
        <f t="shared" ca="1" si="328"/>
        <v>-56150.468814141001</v>
      </c>
      <c r="CU137" s="232">
        <f t="shared" ca="1" si="328"/>
        <v>-56150.468814141001</v>
      </c>
      <c r="CV137" s="232">
        <f t="shared" ca="1" si="328"/>
        <v>-56150.468814141001</v>
      </c>
      <c r="CW137" s="232">
        <f t="shared" ca="1" si="328"/>
        <v>-56150.468814141001</v>
      </c>
      <c r="CX137" s="232">
        <f t="shared" ca="1" si="328"/>
        <v>-56150.468814141001</v>
      </c>
      <c r="CY137" s="232">
        <f t="shared" ca="1" si="328"/>
        <v>0</v>
      </c>
      <c r="CZ137" s="232">
        <f t="shared" ca="1" si="328"/>
        <v>0</v>
      </c>
      <c r="DA137" s="232">
        <f t="shared" ca="1" si="328"/>
        <v>0</v>
      </c>
      <c r="DB137" s="232">
        <f t="shared" ca="1" si="328"/>
        <v>0</v>
      </c>
      <c r="DC137" s="232">
        <f t="shared" ca="1" si="328"/>
        <v>0</v>
      </c>
      <c r="DD137" s="232">
        <f t="shared" ref="DD137:EI137" ca="1" si="329">SUM(DD184:DD185)</f>
        <v>0</v>
      </c>
      <c r="DE137" s="232">
        <f t="shared" ca="1" si="329"/>
        <v>0</v>
      </c>
      <c r="DF137" s="232">
        <f t="shared" ca="1" si="329"/>
        <v>0</v>
      </c>
      <c r="DG137" s="232">
        <f t="shared" ca="1" si="329"/>
        <v>0</v>
      </c>
      <c r="DH137" s="232">
        <f t="shared" ca="1" si="329"/>
        <v>0</v>
      </c>
      <c r="DI137" s="232">
        <f t="shared" ca="1" si="329"/>
        <v>0</v>
      </c>
      <c r="DJ137" s="232">
        <f t="shared" ca="1" si="329"/>
        <v>0</v>
      </c>
      <c r="DK137" s="232">
        <f t="shared" ca="1" si="329"/>
        <v>0</v>
      </c>
      <c r="DL137" s="232">
        <f t="shared" ca="1" si="329"/>
        <v>0</v>
      </c>
      <c r="DM137" s="232">
        <f t="shared" ca="1" si="329"/>
        <v>0</v>
      </c>
      <c r="DN137" s="232">
        <f t="shared" ca="1" si="329"/>
        <v>0</v>
      </c>
      <c r="DO137" s="232">
        <f t="shared" ca="1" si="329"/>
        <v>0</v>
      </c>
      <c r="DP137" s="232">
        <f t="shared" ca="1" si="329"/>
        <v>0</v>
      </c>
      <c r="DQ137" s="232">
        <f t="shared" ca="1" si="329"/>
        <v>0</v>
      </c>
      <c r="DR137" s="232">
        <f t="shared" ca="1" si="329"/>
        <v>0</v>
      </c>
      <c r="DS137" s="232">
        <f t="shared" ca="1" si="329"/>
        <v>0</v>
      </c>
      <c r="DT137" s="232">
        <f t="shared" ca="1" si="329"/>
        <v>0</v>
      </c>
      <c r="DU137" s="232">
        <f t="shared" ca="1" si="329"/>
        <v>0</v>
      </c>
      <c r="DV137" s="232">
        <f t="shared" ca="1" si="329"/>
        <v>0</v>
      </c>
      <c r="DW137" s="232">
        <f t="shared" ca="1" si="329"/>
        <v>0</v>
      </c>
      <c r="DX137" s="232">
        <f t="shared" ca="1" si="329"/>
        <v>0</v>
      </c>
      <c r="DY137" s="232">
        <f t="shared" ca="1" si="329"/>
        <v>0</v>
      </c>
      <c r="DZ137" s="232">
        <f t="shared" ca="1" si="329"/>
        <v>0</v>
      </c>
      <c r="EA137" s="232">
        <f t="shared" ca="1" si="329"/>
        <v>0</v>
      </c>
      <c r="EB137" s="232">
        <f t="shared" ca="1" si="329"/>
        <v>0</v>
      </c>
      <c r="EC137" s="232">
        <f t="shared" ca="1" si="329"/>
        <v>0</v>
      </c>
      <c r="ED137" s="232">
        <f t="shared" ca="1" si="329"/>
        <v>0</v>
      </c>
      <c r="EE137" s="232">
        <f t="shared" ca="1" si="329"/>
        <v>0</v>
      </c>
      <c r="EF137" s="232">
        <f t="shared" ca="1" si="329"/>
        <v>0</v>
      </c>
      <c r="EG137" s="232">
        <f t="shared" ca="1" si="329"/>
        <v>0</v>
      </c>
      <c r="EH137" s="232">
        <f t="shared" ca="1" si="329"/>
        <v>0</v>
      </c>
      <c r="EI137" s="232">
        <f t="shared" ca="1" si="329"/>
        <v>0</v>
      </c>
      <c r="EJ137" s="232">
        <f t="shared" ref="EJ137:FF137" ca="1" si="330">SUM(EJ184:EJ185)</f>
        <v>0</v>
      </c>
      <c r="EK137" s="232">
        <f t="shared" ca="1" si="330"/>
        <v>0</v>
      </c>
      <c r="EL137" s="232">
        <f t="shared" ca="1" si="330"/>
        <v>0</v>
      </c>
      <c r="EM137" s="232">
        <f t="shared" ca="1" si="330"/>
        <v>0</v>
      </c>
      <c r="EN137" s="232">
        <f t="shared" ca="1" si="330"/>
        <v>0</v>
      </c>
      <c r="EO137" s="232">
        <f t="shared" ca="1" si="330"/>
        <v>0</v>
      </c>
      <c r="EP137" s="232">
        <f t="shared" ca="1" si="330"/>
        <v>0</v>
      </c>
      <c r="EQ137" s="232">
        <f t="shared" ca="1" si="330"/>
        <v>0</v>
      </c>
      <c r="ER137" s="232">
        <f t="shared" ca="1" si="330"/>
        <v>0</v>
      </c>
      <c r="ES137" s="232">
        <f t="shared" ca="1" si="330"/>
        <v>0</v>
      </c>
      <c r="ET137" s="232">
        <f t="shared" ca="1" si="330"/>
        <v>0</v>
      </c>
      <c r="EU137" s="232">
        <f t="shared" ca="1" si="330"/>
        <v>0</v>
      </c>
      <c r="EV137" s="232">
        <f t="shared" ca="1" si="330"/>
        <v>0</v>
      </c>
      <c r="EW137" s="232">
        <f t="shared" ca="1" si="330"/>
        <v>0</v>
      </c>
      <c r="EX137" s="232">
        <f t="shared" ca="1" si="330"/>
        <v>0</v>
      </c>
      <c r="EY137" s="232">
        <f t="shared" ca="1" si="330"/>
        <v>0</v>
      </c>
      <c r="EZ137" s="232">
        <f t="shared" ca="1" si="330"/>
        <v>0</v>
      </c>
      <c r="FA137" s="232">
        <f t="shared" ca="1" si="330"/>
        <v>0</v>
      </c>
      <c r="FB137" s="232">
        <f t="shared" ca="1" si="330"/>
        <v>0</v>
      </c>
      <c r="FC137" s="232">
        <f t="shared" ca="1" si="330"/>
        <v>0</v>
      </c>
      <c r="FD137" s="232">
        <f t="shared" ca="1" si="330"/>
        <v>0</v>
      </c>
      <c r="FE137" s="232">
        <f t="shared" ca="1" si="330"/>
        <v>0</v>
      </c>
      <c r="FF137" s="232">
        <f t="shared" ca="1" si="330"/>
        <v>0</v>
      </c>
      <c r="FG137" s="321"/>
      <c r="FH137" s="232">
        <f t="shared" si="310"/>
        <v>0</v>
      </c>
      <c r="FI137" s="232">
        <f t="shared" si="310"/>
        <v>0</v>
      </c>
      <c r="FJ137" s="232">
        <f t="shared" si="310"/>
        <v>0</v>
      </c>
      <c r="FK137" s="232">
        <f ca="1">SUMIF($F$54:$FF$54,FK$54,$F137:$FF137)</f>
        <v>-288717.37987547438</v>
      </c>
      <c r="FL137" s="232">
        <f t="shared" ref="FL137:FU137" ca="1" si="331">SUMIF($F$54:$FF$54,FL$54,$F137:$FF137)</f>
        <v>-577434.75975094875</v>
      </c>
      <c r="FM137" s="232">
        <f t="shared" ca="1" si="331"/>
        <v>-625620.19276032038</v>
      </c>
      <c r="FN137" s="232">
        <f t="shared" ca="1" si="331"/>
        <v>-673805.62576969201</v>
      </c>
      <c r="FO137" s="232">
        <f t="shared" ca="1" si="331"/>
        <v>-673805.62576969201</v>
      </c>
      <c r="FP137" s="232">
        <f t="shared" ca="1" si="331"/>
        <v>-336902.812884846</v>
      </c>
      <c r="FQ137" s="232">
        <f t="shared" ca="1" si="331"/>
        <v>0</v>
      </c>
      <c r="FR137" s="232">
        <f t="shared" ca="1" si="331"/>
        <v>0</v>
      </c>
      <c r="FS137" s="232">
        <f t="shared" ca="1" si="331"/>
        <v>0</v>
      </c>
      <c r="FT137" s="232">
        <f t="shared" ca="1" si="331"/>
        <v>0</v>
      </c>
      <c r="FU137" s="232">
        <f t="shared" ca="1" si="331"/>
        <v>0</v>
      </c>
      <c r="FV137" s="321"/>
    </row>
    <row r="138" spans="2:178" x14ac:dyDescent="0.2">
      <c r="C138" s="39" t="s">
        <v>135</v>
      </c>
      <c r="E138" s="163">
        <f ca="1">SUM(F138:FF138)</f>
        <v>-8565333.3715270683</v>
      </c>
      <c r="F138" s="259">
        <f>F186</f>
        <v>0</v>
      </c>
      <c r="G138" s="232">
        <f t="shared" ref="G138:BR138" si="332">G186</f>
        <v>0</v>
      </c>
      <c r="H138" s="232">
        <f t="shared" si="332"/>
        <v>0</v>
      </c>
      <c r="I138" s="232">
        <f t="shared" si="332"/>
        <v>0</v>
      </c>
      <c r="J138" s="232">
        <f t="shared" si="332"/>
        <v>0</v>
      </c>
      <c r="K138" s="232">
        <f t="shared" si="332"/>
        <v>0</v>
      </c>
      <c r="L138" s="232">
        <f t="shared" si="332"/>
        <v>0</v>
      </c>
      <c r="M138" s="232">
        <f t="shared" si="332"/>
        <v>0</v>
      </c>
      <c r="N138" s="232">
        <f t="shared" si="332"/>
        <v>0</v>
      </c>
      <c r="O138" s="232">
        <f t="shared" si="332"/>
        <v>0</v>
      </c>
      <c r="P138" s="232">
        <f t="shared" si="332"/>
        <v>0</v>
      </c>
      <c r="Q138" s="232">
        <f t="shared" si="332"/>
        <v>0</v>
      </c>
      <c r="R138" s="232">
        <f t="shared" si="332"/>
        <v>0</v>
      </c>
      <c r="S138" s="232">
        <f t="shared" si="332"/>
        <v>0</v>
      </c>
      <c r="T138" s="232">
        <f t="shared" si="332"/>
        <v>0</v>
      </c>
      <c r="U138" s="232">
        <f t="shared" si="332"/>
        <v>0</v>
      </c>
      <c r="V138" s="232">
        <f t="shared" si="332"/>
        <v>0</v>
      </c>
      <c r="W138" s="232">
        <f t="shared" si="332"/>
        <v>0</v>
      </c>
      <c r="X138" s="232">
        <f t="shared" si="332"/>
        <v>0</v>
      </c>
      <c r="Y138" s="232">
        <f t="shared" si="332"/>
        <v>0</v>
      </c>
      <c r="Z138" s="232">
        <f t="shared" si="332"/>
        <v>0</v>
      </c>
      <c r="AA138" s="232">
        <f t="shared" si="332"/>
        <v>0</v>
      </c>
      <c r="AB138" s="232">
        <f t="shared" si="332"/>
        <v>0</v>
      </c>
      <c r="AC138" s="232">
        <f t="shared" si="332"/>
        <v>0</v>
      </c>
      <c r="AD138" s="232">
        <f t="shared" si="332"/>
        <v>0</v>
      </c>
      <c r="AE138" s="232">
        <f t="shared" si="332"/>
        <v>0</v>
      </c>
      <c r="AF138" s="232">
        <f t="shared" si="332"/>
        <v>0</v>
      </c>
      <c r="AG138" s="232">
        <f t="shared" si="332"/>
        <v>0</v>
      </c>
      <c r="AH138" s="232">
        <f t="shared" si="332"/>
        <v>0</v>
      </c>
      <c r="AI138" s="232">
        <f t="shared" si="332"/>
        <v>0</v>
      </c>
      <c r="AJ138" s="232">
        <f t="shared" si="332"/>
        <v>0</v>
      </c>
      <c r="AK138" s="232">
        <f t="shared" si="332"/>
        <v>0</v>
      </c>
      <c r="AL138" s="232">
        <f t="shared" si="332"/>
        <v>0</v>
      </c>
      <c r="AM138" s="232">
        <f t="shared" si="332"/>
        <v>0</v>
      </c>
      <c r="AN138" s="232">
        <f t="shared" si="332"/>
        <v>0</v>
      </c>
      <c r="AO138" s="232">
        <f t="shared" si="332"/>
        <v>0</v>
      </c>
      <c r="AP138" s="232">
        <f t="shared" si="332"/>
        <v>0</v>
      </c>
      <c r="AQ138" s="232">
        <f t="shared" si="332"/>
        <v>0</v>
      </c>
      <c r="AR138" s="232">
        <f t="shared" si="332"/>
        <v>0</v>
      </c>
      <c r="AS138" s="232">
        <f t="shared" si="332"/>
        <v>0</v>
      </c>
      <c r="AT138" s="232">
        <f t="shared" si="332"/>
        <v>0</v>
      </c>
      <c r="AU138" s="232">
        <f t="shared" si="332"/>
        <v>0</v>
      </c>
      <c r="AV138" s="232">
        <f t="shared" si="332"/>
        <v>0</v>
      </c>
      <c r="AW138" s="232">
        <f t="shared" si="332"/>
        <v>0</v>
      </c>
      <c r="AX138" s="232">
        <f t="shared" si="332"/>
        <v>0</v>
      </c>
      <c r="AY138" s="232">
        <f t="shared" si="332"/>
        <v>0</v>
      </c>
      <c r="AZ138" s="232">
        <f t="shared" si="332"/>
        <v>0</v>
      </c>
      <c r="BA138" s="232">
        <f t="shared" si="332"/>
        <v>0</v>
      </c>
      <c r="BB138" s="232">
        <f t="shared" si="332"/>
        <v>0</v>
      </c>
      <c r="BC138" s="232">
        <f t="shared" si="332"/>
        <v>0</v>
      </c>
      <c r="BD138" s="232">
        <f t="shared" si="332"/>
        <v>0</v>
      </c>
      <c r="BE138" s="232">
        <f t="shared" si="332"/>
        <v>0</v>
      </c>
      <c r="BF138" s="232">
        <f t="shared" si="332"/>
        <v>0</v>
      </c>
      <c r="BG138" s="232">
        <f t="shared" si="332"/>
        <v>0</v>
      </c>
      <c r="BH138" s="232">
        <f t="shared" si="332"/>
        <v>0</v>
      </c>
      <c r="BI138" s="232">
        <f t="shared" si="332"/>
        <v>0</v>
      </c>
      <c r="BJ138" s="232">
        <f t="shared" si="332"/>
        <v>0</v>
      </c>
      <c r="BK138" s="232">
        <f t="shared" si="332"/>
        <v>0</v>
      </c>
      <c r="BL138" s="232">
        <f t="shared" si="332"/>
        <v>0</v>
      </c>
      <c r="BM138" s="232">
        <f t="shared" si="332"/>
        <v>0</v>
      </c>
      <c r="BN138" s="232">
        <f t="shared" si="332"/>
        <v>0</v>
      </c>
      <c r="BO138" s="232">
        <f t="shared" si="332"/>
        <v>0</v>
      </c>
      <c r="BP138" s="232">
        <f t="shared" si="332"/>
        <v>0</v>
      </c>
      <c r="BQ138" s="232">
        <f t="shared" si="332"/>
        <v>0</v>
      </c>
      <c r="BR138" s="232">
        <f t="shared" si="332"/>
        <v>0</v>
      </c>
      <c r="BS138" s="232">
        <f t="shared" ref="BS138:ED138" si="333">BS186</f>
        <v>0</v>
      </c>
      <c r="BT138" s="232">
        <f t="shared" si="333"/>
        <v>0</v>
      </c>
      <c r="BU138" s="232">
        <f t="shared" si="333"/>
        <v>0</v>
      </c>
      <c r="BV138" s="232">
        <f t="shared" si="333"/>
        <v>0</v>
      </c>
      <c r="BW138" s="232">
        <f t="shared" si="333"/>
        <v>0</v>
      </c>
      <c r="BX138" s="232">
        <f t="shared" si="333"/>
        <v>0</v>
      </c>
      <c r="BY138" s="232">
        <f t="shared" si="333"/>
        <v>0</v>
      </c>
      <c r="BZ138" s="232">
        <f t="shared" si="333"/>
        <v>0</v>
      </c>
      <c r="CA138" s="232">
        <f t="shared" si="333"/>
        <v>0</v>
      </c>
      <c r="CB138" s="232">
        <f t="shared" si="333"/>
        <v>0</v>
      </c>
      <c r="CC138" s="232">
        <f t="shared" si="333"/>
        <v>0</v>
      </c>
      <c r="CD138" s="232">
        <f t="shared" si="333"/>
        <v>0</v>
      </c>
      <c r="CE138" s="232">
        <f t="shared" si="333"/>
        <v>0</v>
      </c>
      <c r="CF138" s="232">
        <f t="shared" si="333"/>
        <v>0</v>
      </c>
      <c r="CG138" s="232">
        <f t="shared" si="333"/>
        <v>0</v>
      </c>
      <c r="CH138" s="232">
        <f t="shared" si="333"/>
        <v>0</v>
      </c>
      <c r="CI138" s="232">
        <f t="shared" si="333"/>
        <v>0</v>
      </c>
      <c r="CJ138" s="232">
        <f t="shared" si="333"/>
        <v>0</v>
      </c>
      <c r="CK138" s="232">
        <f t="shared" si="333"/>
        <v>0</v>
      </c>
      <c r="CL138" s="232">
        <f t="shared" si="333"/>
        <v>0</v>
      </c>
      <c r="CM138" s="232">
        <f t="shared" si="333"/>
        <v>0</v>
      </c>
      <c r="CN138" s="232">
        <f t="shared" si="333"/>
        <v>0</v>
      </c>
      <c r="CO138" s="232">
        <f t="shared" si="333"/>
        <v>0</v>
      </c>
      <c r="CP138" s="232">
        <f t="shared" si="333"/>
        <v>0</v>
      </c>
      <c r="CQ138" s="232">
        <f t="shared" si="333"/>
        <v>0</v>
      </c>
      <c r="CR138" s="232">
        <f t="shared" si="333"/>
        <v>0</v>
      </c>
      <c r="CS138" s="232">
        <f t="shared" si="333"/>
        <v>0</v>
      </c>
      <c r="CT138" s="232">
        <f t="shared" si="333"/>
        <v>0</v>
      </c>
      <c r="CU138" s="232">
        <f t="shared" si="333"/>
        <v>0</v>
      </c>
      <c r="CV138" s="232">
        <f t="shared" si="333"/>
        <v>0</v>
      </c>
      <c r="CW138" s="232">
        <f t="shared" si="333"/>
        <v>0</v>
      </c>
      <c r="CX138" s="232">
        <f t="shared" ca="1" si="333"/>
        <v>-8565333.3715270683</v>
      </c>
      <c r="CY138" s="232">
        <f>CY186</f>
        <v>0</v>
      </c>
      <c r="CZ138" s="232">
        <f t="shared" si="333"/>
        <v>0</v>
      </c>
      <c r="DA138" s="232">
        <f t="shared" si="333"/>
        <v>0</v>
      </c>
      <c r="DB138" s="232">
        <f t="shared" si="333"/>
        <v>0</v>
      </c>
      <c r="DC138" s="232">
        <f t="shared" si="333"/>
        <v>0</v>
      </c>
      <c r="DD138" s="232">
        <f t="shared" si="333"/>
        <v>0</v>
      </c>
      <c r="DE138" s="232">
        <f t="shared" si="333"/>
        <v>0</v>
      </c>
      <c r="DF138" s="232">
        <f t="shared" si="333"/>
        <v>0</v>
      </c>
      <c r="DG138" s="232">
        <f t="shared" si="333"/>
        <v>0</v>
      </c>
      <c r="DH138" s="232">
        <f t="shared" si="333"/>
        <v>0</v>
      </c>
      <c r="DI138" s="232">
        <f t="shared" si="333"/>
        <v>0</v>
      </c>
      <c r="DJ138" s="232">
        <f t="shared" si="333"/>
        <v>0</v>
      </c>
      <c r="DK138" s="232">
        <f t="shared" si="333"/>
        <v>0</v>
      </c>
      <c r="DL138" s="232">
        <f t="shared" si="333"/>
        <v>0</v>
      </c>
      <c r="DM138" s="232">
        <f t="shared" si="333"/>
        <v>0</v>
      </c>
      <c r="DN138" s="232">
        <f t="shared" si="333"/>
        <v>0</v>
      </c>
      <c r="DO138" s="232">
        <f t="shared" si="333"/>
        <v>0</v>
      </c>
      <c r="DP138" s="232">
        <f t="shared" si="333"/>
        <v>0</v>
      </c>
      <c r="DQ138" s="232">
        <f t="shared" si="333"/>
        <v>0</v>
      </c>
      <c r="DR138" s="232">
        <f t="shared" si="333"/>
        <v>0</v>
      </c>
      <c r="DS138" s="232">
        <f t="shared" si="333"/>
        <v>0</v>
      </c>
      <c r="DT138" s="232">
        <f t="shared" si="333"/>
        <v>0</v>
      </c>
      <c r="DU138" s="232">
        <f t="shared" si="333"/>
        <v>0</v>
      </c>
      <c r="DV138" s="232">
        <f t="shared" si="333"/>
        <v>0</v>
      </c>
      <c r="DW138" s="232">
        <f t="shared" si="333"/>
        <v>0</v>
      </c>
      <c r="DX138" s="232">
        <f t="shared" si="333"/>
        <v>0</v>
      </c>
      <c r="DY138" s="232">
        <f t="shared" si="333"/>
        <v>0</v>
      </c>
      <c r="DZ138" s="232">
        <f t="shared" si="333"/>
        <v>0</v>
      </c>
      <c r="EA138" s="232">
        <f t="shared" si="333"/>
        <v>0</v>
      </c>
      <c r="EB138" s="232">
        <f t="shared" si="333"/>
        <v>0</v>
      </c>
      <c r="EC138" s="232">
        <f t="shared" si="333"/>
        <v>0</v>
      </c>
      <c r="ED138" s="232">
        <f t="shared" si="333"/>
        <v>0</v>
      </c>
      <c r="EE138" s="232">
        <f t="shared" ref="EE138:FF138" si="334">EE186</f>
        <v>0</v>
      </c>
      <c r="EF138" s="232">
        <f t="shared" si="334"/>
        <v>0</v>
      </c>
      <c r="EG138" s="232">
        <f t="shared" si="334"/>
        <v>0</v>
      </c>
      <c r="EH138" s="232">
        <f t="shared" si="334"/>
        <v>0</v>
      </c>
      <c r="EI138" s="232">
        <f t="shared" si="334"/>
        <v>0</v>
      </c>
      <c r="EJ138" s="232">
        <f t="shared" si="334"/>
        <v>0</v>
      </c>
      <c r="EK138" s="232">
        <f t="shared" si="334"/>
        <v>0</v>
      </c>
      <c r="EL138" s="232">
        <f t="shared" si="334"/>
        <v>0</v>
      </c>
      <c r="EM138" s="232">
        <f t="shared" si="334"/>
        <v>0</v>
      </c>
      <c r="EN138" s="232">
        <f t="shared" si="334"/>
        <v>0</v>
      </c>
      <c r="EO138" s="232">
        <f t="shared" si="334"/>
        <v>0</v>
      </c>
      <c r="EP138" s="232">
        <f t="shared" si="334"/>
        <v>0</v>
      </c>
      <c r="EQ138" s="232">
        <f t="shared" si="334"/>
        <v>0</v>
      </c>
      <c r="ER138" s="232">
        <f t="shared" si="334"/>
        <v>0</v>
      </c>
      <c r="ES138" s="232">
        <f t="shared" si="334"/>
        <v>0</v>
      </c>
      <c r="ET138" s="232">
        <f t="shared" si="334"/>
        <v>0</v>
      </c>
      <c r="EU138" s="232">
        <f t="shared" si="334"/>
        <v>0</v>
      </c>
      <c r="EV138" s="232">
        <f t="shared" si="334"/>
        <v>0</v>
      </c>
      <c r="EW138" s="232">
        <f t="shared" si="334"/>
        <v>0</v>
      </c>
      <c r="EX138" s="232">
        <f t="shared" si="334"/>
        <v>0</v>
      </c>
      <c r="EY138" s="232">
        <f t="shared" si="334"/>
        <v>0</v>
      </c>
      <c r="EZ138" s="232">
        <f t="shared" si="334"/>
        <v>0</v>
      </c>
      <c r="FA138" s="232">
        <f t="shared" si="334"/>
        <v>0</v>
      </c>
      <c r="FB138" s="232">
        <f t="shared" si="334"/>
        <v>0</v>
      </c>
      <c r="FC138" s="232">
        <f t="shared" si="334"/>
        <v>0</v>
      </c>
      <c r="FD138" s="232">
        <f t="shared" si="334"/>
        <v>0</v>
      </c>
      <c r="FE138" s="232">
        <f t="shared" si="334"/>
        <v>0</v>
      </c>
      <c r="FF138" s="232">
        <f t="shared" si="334"/>
        <v>0</v>
      </c>
      <c r="FG138" s="321"/>
      <c r="FH138" s="232">
        <f t="shared" si="310"/>
        <v>0</v>
      </c>
      <c r="FI138" s="232">
        <f t="shared" si="310"/>
        <v>0</v>
      </c>
      <c r="FJ138" s="232">
        <f t="shared" si="310"/>
        <v>0</v>
      </c>
      <c r="FK138" s="232">
        <f t="shared" si="310"/>
        <v>0</v>
      </c>
      <c r="FL138" s="232">
        <f t="shared" si="310"/>
        <v>0</v>
      </c>
      <c r="FM138" s="232">
        <f t="shared" si="310"/>
        <v>0</v>
      </c>
      <c r="FN138" s="232">
        <f t="shared" si="310"/>
        <v>0</v>
      </c>
      <c r="FO138" s="232">
        <f t="shared" si="310"/>
        <v>0</v>
      </c>
      <c r="FP138" s="232">
        <f ca="1">SUMIF($F$54:$FF$54,FP$54,$F138:$FF138)</f>
        <v>-8565333.3715270683</v>
      </c>
      <c r="FQ138" s="232">
        <f t="shared" si="310"/>
        <v>0</v>
      </c>
      <c r="FR138" s="232">
        <f t="shared" si="310"/>
        <v>0</v>
      </c>
      <c r="FS138" s="232">
        <f t="shared" si="310"/>
        <v>0</v>
      </c>
      <c r="FT138" s="232">
        <f t="shared" si="310"/>
        <v>0</v>
      </c>
      <c r="FU138" s="232">
        <f t="shared" si="310"/>
        <v>0</v>
      </c>
      <c r="FV138" s="321"/>
    </row>
    <row r="139" spans="2:178" s="208" customFormat="1" x14ac:dyDescent="0.2">
      <c r="C139" s="80" t="s">
        <v>5</v>
      </c>
      <c r="D139" s="80"/>
      <c r="E139" s="272">
        <f ca="1">SUM(F139:FF139)</f>
        <v>-10640775.887630496</v>
      </c>
      <c r="F139" s="279">
        <f>SUM(F131:F138)</f>
        <v>-176589.28571433263</v>
      </c>
      <c r="G139" s="80">
        <f t="shared" ref="G139:BR139" si="335">SUM(G131:G138)</f>
        <v>-41688.329563995598</v>
      </c>
      <c r="H139" s="80">
        <f t="shared" si="335"/>
        <v>-41688.329563995598</v>
      </c>
      <c r="I139" s="80">
        <f t="shared" si="335"/>
        <v>-41688.329563995598</v>
      </c>
      <c r="J139" s="80">
        <f t="shared" si="335"/>
        <v>-41688.329563995598</v>
      </c>
      <c r="K139" s="80">
        <f t="shared" si="335"/>
        <v>-41688.329563995598</v>
      </c>
      <c r="L139" s="80">
        <f t="shared" si="335"/>
        <v>-41688.329563995598</v>
      </c>
      <c r="M139" s="80">
        <f t="shared" si="335"/>
        <v>-41688.329563995598</v>
      </c>
      <c r="N139" s="80">
        <f t="shared" si="335"/>
        <v>-41688.329563995598</v>
      </c>
      <c r="O139" s="80">
        <f t="shared" si="335"/>
        <v>-41688.329563995598</v>
      </c>
      <c r="P139" s="80">
        <f t="shared" si="335"/>
        <v>-41688.329563995598</v>
      </c>
      <c r="Q139" s="80">
        <f t="shared" si="335"/>
        <v>-41688.329563995598</v>
      </c>
      <c r="R139" s="80">
        <f t="shared" si="335"/>
        <v>-41688.329563995598</v>
      </c>
      <c r="S139" s="80">
        <f t="shared" si="335"/>
        <v>-41688.329563995598</v>
      </c>
      <c r="T139" s="80">
        <f t="shared" si="335"/>
        <v>-41688.329563995598</v>
      </c>
      <c r="U139" s="80">
        <f t="shared" si="335"/>
        <v>-41688.329563995598</v>
      </c>
      <c r="V139" s="80">
        <f t="shared" si="335"/>
        <v>-41688.329563995598</v>
      </c>
      <c r="W139" s="80">
        <f t="shared" si="335"/>
        <v>-41688.329563995598</v>
      </c>
      <c r="X139" s="80">
        <f t="shared" si="335"/>
        <v>-41688.329563995598</v>
      </c>
      <c r="Y139" s="80">
        <f t="shared" si="335"/>
        <v>-41688.329563995598</v>
      </c>
      <c r="Z139" s="80">
        <f t="shared" si="335"/>
        <v>-41688.329563995598</v>
      </c>
      <c r="AA139" s="80">
        <f t="shared" si="335"/>
        <v>-41688.329563995598</v>
      </c>
      <c r="AB139" s="80">
        <f t="shared" si="335"/>
        <v>-41688.329563995598</v>
      </c>
      <c r="AC139" s="80">
        <f t="shared" si="335"/>
        <v>-41688.329563995598</v>
      </c>
      <c r="AD139" s="80">
        <f t="shared" si="335"/>
        <v>-41688.329563995598</v>
      </c>
      <c r="AE139" s="80">
        <f t="shared" si="335"/>
        <v>-41688.329563995598</v>
      </c>
      <c r="AF139" s="80">
        <f t="shared" si="335"/>
        <v>-41688.329563995598</v>
      </c>
      <c r="AG139" s="80">
        <f t="shared" si="335"/>
        <v>-41688.329563995598</v>
      </c>
      <c r="AH139" s="80">
        <f t="shared" si="335"/>
        <v>-41688.329563995598</v>
      </c>
      <c r="AI139" s="80">
        <f t="shared" si="335"/>
        <v>-41688.329563995598</v>
      </c>
      <c r="AJ139" s="80">
        <f t="shared" si="335"/>
        <v>-41688.329563995598</v>
      </c>
      <c r="AK139" s="80">
        <f t="shared" si="335"/>
        <v>-41688.329563995598</v>
      </c>
      <c r="AL139" s="80">
        <f t="shared" si="335"/>
        <v>-41688.329563995598</v>
      </c>
      <c r="AM139" s="80">
        <f t="shared" si="335"/>
        <v>-41688.329563995598</v>
      </c>
      <c r="AN139" s="80">
        <f t="shared" si="335"/>
        <v>-41688.329563995598</v>
      </c>
      <c r="AO139" s="80">
        <f t="shared" si="335"/>
        <v>-41688.329563995598</v>
      </c>
      <c r="AP139" s="80">
        <f t="shared" ca="1" si="335"/>
        <v>2736524.701161725</v>
      </c>
      <c r="AQ139" s="80">
        <f t="shared" ca="1" si="335"/>
        <v>-48119.563312579063</v>
      </c>
      <c r="AR139" s="80">
        <f t="shared" ca="1" si="335"/>
        <v>-48119.563312579063</v>
      </c>
      <c r="AS139" s="80">
        <f t="shared" ca="1" si="335"/>
        <v>-48119.563312579063</v>
      </c>
      <c r="AT139" s="80">
        <f t="shared" ca="1" si="335"/>
        <v>-48119.563312579063</v>
      </c>
      <c r="AU139" s="80">
        <f t="shared" ca="1" si="335"/>
        <v>-48119.563312579063</v>
      </c>
      <c r="AV139" s="80">
        <f t="shared" ca="1" si="335"/>
        <v>-48119.563312579063</v>
      </c>
      <c r="AW139" s="80">
        <f t="shared" ca="1" si="335"/>
        <v>-48119.563312579063</v>
      </c>
      <c r="AX139" s="80">
        <f t="shared" ca="1" si="335"/>
        <v>-48119.563312579063</v>
      </c>
      <c r="AY139" s="80">
        <f t="shared" ca="1" si="335"/>
        <v>-48119.563312579063</v>
      </c>
      <c r="AZ139" s="80">
        <f t="shared" ca="1" si="335"/>
        <v>-48119.563312579063</v>
      </c>
      <c r="BA139" s="80">
        <f t="shared" ca="1" si="335"/>
        <v>-48119.563312579063</v>
      </c>
      <c r="BB139" s="80">
        <f t="shared" ca="1" si="335"/>
        <v>-48119.563312579063</v>
      </c>
      <c r="BC139" s="80">
        <f t="shared" ca="1" si="335"/>
        <v>-48119.563312579063</v>
      </c>
      <c r="BD139" s="80">
        <f t="shared" ca="1" si="335"/>
        <v>-48119.563312579063</v>
      </c>
      <c r="BE139" s="80">
        <f t="shared" ca="1" si="335"/>
        <v>-48119.563312579063</v>
      </c>
      <c r="BF139" s="80">
        <f t="shared" ca="1" si="335"/>
        <v>-48119.563312579063</v>
      </c>
      <c r="BG139" s="80">
        <f t="shared" ca="1" si="335"/>
        <v>-48119.563312579063</v>
      </c>
      <c r="BH139" s="80">
        <f t="shared" ca="1" si="335"/>
        <v>-48119.563312579063</v>
      </c>
      <c r="BI139" s="80">
        <f t="shared" ca="1" si="335"/>
        <v>-48119.563312579063</v>
      </c>
      <c r="BJ139" s="80">
        <f t="shared" ca="1" si="335"/>
        <v>-48119.563312579063</v>
      </c>
      <c r="BK139" s="80">
        <f t="shared" ca="1" si="335"/>
        <v>-48119.563312579063</v>
      </c>
      <c r="BL139" s="80">
        <f t="shared" ca="1" si="335"/>
        <v>-48119.563312579063</v>
      </c>
      <c r="BM139" s="80">
        <f t="shared" ca="1" si="335"/>
        <v>-48119.563312579063</v>
      </c>
      <c r="BN139" s="80">
        <f t="shared" ca="1" si="335"/>
        <v>-48119.563312579063</v>
      </c>
      <c r="BO139" s="80">
        <f t="shared" ca="1" si="335"/>
        <v>-56150.468814141001</v>
      </c>
      <c r="BP139" s="80">
        <f t="shared" ca="1" si="335"/>
        <v>-56150.468814141001</v>
      </c>
      <c r="BQ139" s="80">
        <f t="shared" ca="1" si="335"/>
        <v>-56150.468814141001</v>
      </c>
      <c r="BR139" s="80">
        <f t="shared" ca="1" si="335"/>
        <v>-56150.468814141001</v>
      </c>
      <c r="BS139" s="80">
        <f t="shared" ref="BS139:ED139" ca="1" si="336">SUM(BS131:BS138)</f>
        <v>-56150.468814141001</v>
      </c>
      <c r="BT139" s="80">
        <f t="shared" ca="1" si="336"/>
        <v>-56150.468814141001</v>
      </c>
      <c r="BU139" s="80">
        <f t="shared" ca="1" si="336"/>
        <v>-56150.468814141001</v>
      </c>
      <c r="BV139" s="80">
        <f t="shared" ca="1" si="336"/>
        <v>-56150.468814141001</v>
      </c>
      <c r="BW139" s="80">
        <f t="shared" ca="1" si="336"/>
        <v>-56150.468814141001</v>
      </c>
      <c r="BX139" s="80">
        <f t="shared" ca="1" si="336"/>
        <v>-56150.468814141001</v>
      </c>
      <c r="BY139" s="80">
        <f t="shared" ca="1" si="336"/>
        <v>-56150.468814141001</v>
      </c>
      <c r="BZ139" s="80">
        <f t="shared" ca="1" si="336"/>
        <v>-56150.468814141001</v>
      </c>
      <c r="CA139" s="80">
        <f t="shared" ca="1" si="336"/>
        <v>-56150.468814141001</v>
      </c>
      <c r="CB139" s="80">
        <f t="shared" ca="1" si="336"/>
        <v>-56150.468814141001</v>
      </c>
      <c r="CC139" s="80">
        <f t="shared" ca="1" si="336"/>
        <v>-56150.468814141001</v>
      </c>
      <c r="CD139" s="80">
        <f t="shared" ca="1" si="336"/>
        <v>-56150.468814141001</v>
      </c>
      <c r="CE139" s="80">
        <f t="shared" ca="1" si="336"/>
        <v>-56150.468814141001</v>
      </c>
      <c r="CF139" s="80">
        <f t="shared" ca="1" si="336"/>
        <v>-56150.468814141001</v>
      </c>
      <c r="CG139" s="80">
        <f t="shared" ca="1" si="336"/>
        <v>-56150.468814141001</v>
      </c>
      <c r="CH139" s="80">
        <f t="shared" ca="1" si="336"/>
        <v>-56150.468814141001</v>
      </c>
      <c r="CI139" s="80">
        <f t="shared" ca="1" si="336"/>
        <v>-56150.468814141001</v>
      </c>
      <c r="CJ139" s="80">
        <f t="shared" ca="1" si="336"/>
        <v>-56150.468814141001</v>
      </c>
      <c r="CK139" s="80">
        <f t="shared" ca="1" si="336"/>
        <v>-56150.468814141001</v>
      </c>
      <c r="CL139" s="80">
        <f t="shared" ca="1" si="336"/>
        <v>-56150.468814141001</v>
      </c>
      <c r="CM139" s="80">
        <f t="shared" ca="1" si="336"/>
        <v>-56150.468814141001</v>
      </c>
      <c r="CN139" s="80">
        <f t="shared" ca="1" si="336"/>
        <v>-56150.468814141001</v>
      </c>
      <c r="CO139" s="80">
        <f t="shared" ca="1" si="336"/>
        <v>-56150.468814141001</v>
      </c>
      <c r="CP139" s="80">
        <f t="shared" ca="1" si="336"/>
        <v>-56150.468814141001</v>
      </c>
      <c r="CQ139" s="80">
        <f t="shared" ca="1" si="336"/>
        <v>-56150.468814141001</v>
      </c>
      <c r="CR139" s="80">
        <f t="shared" ca="1" si="336"/>
        <v>-56150.468814141001</v>
      </c>
      <c r="CS139" s="80">
        <f t="shared" ca="1" si="336"/>
        <v>-56150.468814141001</v>
      </c>
      <c r="CT139" s="80">
        <f t="shared" ca="1" si="336"/>
        <v>-56150.468814141001</v>
      </c>
      <c r="CU139" s="80">
        <f t="shared" ca="1" si="336"/>
        <v>-56150.468814141001</v>
      </c>
      <c r="CV139" s="80">
        <f t="shared" ca="1" si="336"/>
        <v>-56150.468814141001</v>
      </c>
      <c r="CW139" s="80">
        <f t="shared" ca="1" si="336"/>
        <v>-56150.468814141001</v>
      </c>
      <c r="CX139" s="80">
        <f t="shared" ca="1" si="336"/>
        <v>-8621483.8403412085</v>
      </c>
      <c r="CY139" s="80">
        <f t="shared" ca="1" si="336"/>
        <v>0</v>
      </c>
      <c r="CZ139" s="80">
        <f t="shared" ca="1" si="336"/>
        <v>0</v>
      </c>
      <c r="DA139" s="80">
        <f t="shared" ca="1" si="336"/>
        <v>0</v>
      </c>
      <c r="DB139" s="80">
        <f t="shared" ca="1" si="336"/>
        <v>0</v>
      </c>
      <c r="DC139" s="80">
        <f t="shared" ca="1" si="336"/>
        <v>0</v>
      </c>
      <c r="DD139" s="80">
        <f t="shared" ca="1" si="336"/>
        <v>0</v>
      </c>
      <c r="DE139" s="80">
        <f t="shared" ca="1" si="336"/>
        <v>0</v>
      </c>
      <c r="DF139" s="80">
        <f t="shared" ca="1" si="336"/>
        <v>0</v>
      </c>
      <c r="DG139" s="80">
        <f t="shared" ca="1" si="336"/>
        <v>0</v>
      </c>
      <c r="DH139" s="80">
        <f t="shared" ca="1" si="336"/>
        <v>0</v>
      </c>
      <c r="DI139" s="80">
        <f t="shared" ca="1" si="336"/>
        <v>0</v>
      </c>
      <c r="DJ139" s="80">
        <f t="shared" ca="1" si="336"/>
        <v>0</v>
      </c>
      <c r="DK139" s="80">
        <f t="shared" ca="1" si="336"/>
        <v>0</v>
      </c>
      <c r="DL139" s="80">
        <f t="shared" ca="1" si="336"/>
        <v>0</v>
      </c>
      <c r="DM139" s="80">
        <f t="shared" ca="1" si="336"/>
        <v>0</v>
      </c>
      <c r="DN139" s="80">
        <f t="shared" ca="1" si="336"/>
        <v>0</v>
      </c>
      <c r="DO139" s="80">
        <f t="shared" ca="1" si="336"/>
        <v>0</v>
      </c>
      <c r="DP139" s="80">
        <f t="shared" ca="1" si="336"/>
        <v>0</v>
      </c>
      <c r="DQ139" s="80">
        <f t="shared" ca="1" si="336"/>
        <v>0</v>
      </c>
      <c r="DR139" s="80">
        <f t="shared" ca="1" si="336"/>
        <v>0</v>
      </c>
      <c r="DS139" s="80">
        <f t="shared" ca="1" si="336"/>
        <v>0</v>
      </c>
      <c r="DT139" s="80">
        <f t="shared" ca="1" si="336"/>
        <v>0</v>
      </c>
      <c r="DU139" s="80">
        <f t="shared" ca="1" si="336"/>
        <v>0</v>
      </c>
      <c r="DV139" s="80">
        <f t="shared" ca="1" si="336"/>
        <v>0</v>
      </c>
      <c r="DW139" s="80">
        <f t="shared" ca="1" si="336"/>
        <v>0</v>
      </c>
      <c r="DX139" s="80">
        <f t="shared" ca="1" si="336"/>
        <v>0</v>
      </c>
      <c r="DY139" s="80">
        <f t="shared" ca="1" si="336"/>
        <v>0</v>
      </c>
      <c r="DZ139" s="80">
        <f t="shared" ca="1" si="336"/>
        <v>0</v>
      </c>
      <c r="EA139" s="80">
        <f t="shared" ca="1" si="336"/>
        <v>0</v>
      </c>
      <c r="EB139" s="80">
        <f t="shared" ca="1" si="336"/>
        <v>0</v>
      </c>
      <c r="EC139" s="80">
        <f t="shared" ca="1" si="336"/>
        <v>0</v>
      </c>
      <c r="ED139" s="80">
        <f t="shared" ca="1" si="336"/>
        <v>0</v>
      </c>
      <c r="EE139" s="80">
        <f t="shared" ref="EE139:FF139" ca="1" si="337">SUM(EE131:EE138)</f>
        <v>0</v>
      </c>
      <c r="EF139" s="80">
        <f t="shared" ca="1" si="337"/>
        <v>0</v>
      </c>
      <c r="EG139" s="80">
        <f t="shared" ca="1" si="337"/>
        <v>0</v>
      </c>
      <c r="EH139" s="80">
        <f t="shared" ca="1" si="337"/>
        <v>0</v>
      </c>
      <c r="EI139" s="80">
        <f t="shared" ca="1" si="337"/>
        <v>0</v>
      </c>
      <c r="EJ139" s="80">
        <f t="shared" ca="1" si="337"/>
        <v>0</v>
      </c>
      <c r="EK139" s="80">
        <f t="shared" ca="1" si="337"/>
        <v>0</v>
      </c>
      <c r="EL139" s="80">
        <f t="shared" ca="1" si="337"/>
        <v>0</v>
      </c>
      <c r="EM139" s="80">
        <f t="shared" ca="1" si="337"/>
        <v>0</v>
      </c>
      <c r="EN139" s="80">
        <f t="shared" ca="1" si="337"/>
        <v>0</v>
      </c>
      <c r="EO139" s="80">
        <f t="shared" ca="1" si="337"/>
        <v>0</v>
      </c>
      <c r="EP139" s="80">
        <f t="shared" ca="1" si="337"/>
        <v>0</v>
      </c>
      <c r="EQ139" s="80">
        <f t="shared" ca="1" si="337"/>
        <v>0</v>
      </c>
      <c r="ER139" s="80">
        <f t="shared" ca="1" si="337"/>
        <v>0</v>
      </c>
      <c r="ES139" s="80">
        <f t="shared" ca="1" si="337"/>
        <v>0</v>
      </c>
      <c r="ET139" s="80">
        <f t="shared" ca="1" si="337"/>
        <v>0</v>
      </c>
      <c r="EU139" s="80">
        <f t="shared" ca="1" si="337"/>
        <v>0</v>
      </c>
      <c r="EV139" s="80">
        <f t="shared" ca="1" si="337"/>
        <v>0</v>
      </c>
      <c r="EW139" s="80">
        <f t="shared" ca="1" si="337"/>
        <v>0</v>
      </c>
      <c r="EX139" s="80">
        <f t="shared" ca="1" si="337"/>
        <v>0</v>
      </c>
      <c r="EY139" s="80">
        <f t="shared" ca="1" si="337"/>
        <v>0</v>
      </c>
      <c r="EZ139" s="80">
        <f t="shared" ca="1" si="337"/>
        <v>0</v>
      </c>
      <c r="FA139" s="80">
        <f t="shared" ca="1" si="337"/>
        <v>0</v>
      </c>
      <c r="FB139" s="80">
        <f t="shared" ca="1" si="337"/>
        <v>0</v>
      </c>
      <c r="FC139" s="80">
        <f t="shared" ca="1" si="337"/>
        <v>0</v>
      </c>
      <c r="FD139" s="80">
        <f t="shared" ca="1" si="337"/>
        <v>0</v>
      </c>
      <c r="FE139" s="80">
        <f t="shared" ca="1" si="337"/>
        <v>0</v>
      </c>
      <c r="FF139" s="80">
        <f t="shared" ca="1" si="337"/>
        <v>0</v>
      </c>
      <c r="FG139" s="288"/>
      <c r="FH139" s="80">
        <f t="shared" ref="FH139:FO139" si="338">SUMIF($F$54:$FF$54,FH$54,$F139:$FF139)</f>
        <v>-426719.2630983062</v>
      </c>
      <c r="FI139" s="80">
        <f t="shared" si="338"/>
        <v>-500259.95476794714</v>
      </c>
      <c r="FJ139" s="80">
        <f t="shared" si="338"/>
        <v>-500259.95476794714</v>
      </c>
      <c r="FK139" s="80">
        <f t="shared" ca="1" si="338"/>
        <v>2239365.6734662731</v>
      </c>
      <c r="FL139" s="80">
        <f t="shared" ca="1" si="338"/>
        <v>-577434.75975094875</v>
      </c>
      <c r="FM139" s="80">
        <f t="shared" ca="1" si="338"/>
        <v>-625620.19276032038</v>
      </c>
      <c r="FN139" s="80">
        <f t="shared" ca="1" si="338"/>
        <v>-673805.62576969201</v>
      </c>
      <c r="FO139" s="80">
        <f t="shared" ca="1" si="338"/>
        <v>-673805.62576969201</v>
      </c>
      <c r="FP139" s="80">
        <f ca="1">SUMIF($F$54:$FF$54,FP$54,$F139:$FF139)</f>
        <v>-8902236.1844119132</v>
      </c>
      <c r="FQ139" s="80">
        <f ca="1">SUMIF($F$54:$FF$54,FQ$54,$F139:$FF139)</f>
        <v>0</v>
      </c>
      <c r="FR139" s="80">
        <f ca="1">SUMIF($F$54:$FF$54,FR$54,$F139:$FF139)</f>
        <v>0</v>
      </c>
      <c r="FS139" s="80">
        <f ca="1">SUMIF($F$54:$FF$54,FS$54,$F139:$FF139)</f>
        <v>0</v>
      </c>
      <c r="FT139" s="80">
        <f ca="1">SUMIF($F$54:$FF$54,FT$54,$F139:$FF139)</f>
        <v>0</v>
      </c>
      <c r="FU139" s="80">
        <f ca="1">SUMIF($F$54:$FF$54,FU$54,$F139:$FF139)</f>
        <v>0</v>
      </c>
      <c r="FV139" s="288"/>
    </row>
    <row r="140" spans="2:178" x14ac:dyDescent="0.2">
      <c r="F140" s="255"/>
    </row>
    <row r="141" spans="2:178" x14ac:dyDescent="0.2">
      <c r="C141" s="364" t="s">
        <v>198</v>
      </c>
      <c r="D141" s="364"/>
      <c r="E141" s="296">
        <f ca="1">SUM(F141:FF141)</f>
        <v>12566911.679875702</v>
      </c>
      <c r="F141" s="365">
        <f t="shared" ref="F141:AK141" ca="1" si="339">SUM(F118,F128,F139)</f>
        <v>-176589.28571433263</v>
      </c>
      <c r="G141" s="296">
        <f t="shared" ca="1" si="339"/>
        <v>23513.235292098143</v>
      </c>
      <c r="H141" s="296">
        <f t="shared" ca="1" si="339"/>
        <v>23676.23920423838</v>
      </c>
      <c r="I141" s="296">
        <f t="shared" ca="1" si="339"/>
        <v>23839.650626158975</v>
      </c>
      <c r="J141" s="296">
        <f t="shared" ca="1" si="339"/>
        <v>24003.470576634332</v>
      </c>
      <c r="K141" s="296">
        <f t="shared" ca="1" si="339"/>
        <v>24167.700076985922</v>
      </c>
      <c r="L141" s="296">
        <f t="shared" ca="1" si="339"/>
        <v>24332.340151088363</v>
      </c>
      <c r="M141" s="296">
        <f t="shared" ca="1" si="339"/>
        <v>24497.391825376071</v>
      </c>
      <c r="N141" s="296">
        <f t="shared" ca="1" si="339"/>
        <v>24662.856128849489</v>
      </c>
      <c r="O141" s="296">
        <f t="shared" ca="1" si="339"/>
        <v>24828.734093081621</v>
      </c>
      <c r="P141" s="296">
        <f t="shared" ca="1" si="339"/>
        <v>24995.026752224301</v>
      </c>
      <c r="Q141" s="296">
        <f t="shared" ca="1" si="339"/>
        <v>25161.735143014834</v>
      </c>
      <c r="R141" s="296">
        <f t="shared" ca="1" si="339"/>
        <v>25328.860304782364</v>
      </c>
      <c r="S141" s="296">
        <f t="shared" ca="1" si="339"/>
        <v>25496.403279454338</v>
      </c>
      <c r="T141" s="296">
        <f t="shared" ca="1" si="339"/>
        <v>25664.36511156294</v>
      </c>
      <c r="U141" s="296">
        <f t="shared" ca="1" si="339"/>
        <v>25832.746848251823</v>
      </c>
      <c r="V141" s="296">
        <f t="shared" ca="1" si="339"/>
        <v>26001.549539282445</v>
      </c>
      <c r="W141" s="296">
        <f t="shared" ca="1" si="339"/>
        <v>26170.774237040641</v>
      </c>
      <c r="X141" s="296">
        <f t="shared" ca="1" si="339"/>
        <v>26340.421996543235</v>
      </c>
      <c r="Y141" s="296">
        <f t="shared" ca="1" si="339"/>
        <v>26510.493875444568</v>
      </c>
      <c r="Z141" s="296">
        <f t="shared" ca="1" si="339"/>
        <v>26680.990934043184</v>
      </c>
      <c r="AA141" s="296">
        <f t="shared" ca="1" si="339"/>
        <v>26851.914235288285</v>
      </c>
      <c r="AB141" s="296">
        <f t="shared" ca="1" si="339"/>
        <v>27023.264844786499</v>
      </c>
      <c r="AC141" s="296">
        <f t="shared" ca="1" si="339"/>
        <v>27195.043830808449</v>
      </c>
      <c r="AD141" s="296">
        <f t="shared" ca="1" si="339"/>
        <v>27367.25226429545</v>
      </c>
      <c r="AE141" s="296">
        <f t="shared" ca="1" si="339"/>
        <v>27539.891218866185</v>
      </c>
      <c r="AF141" s="296">
        <f t="shared" ca="1" si="339"/>
        <v>27712.961770823335</v>
      </c>
      <c r="AG141" s="296">
        <f t="shared" ca="1" si="339"/>
        <v>27886.464999160387</v>
      </c>
      <c r="AH141" s="296">
        <f t="shared" ca="1" si="339"/>
        <v>28060.401985568264</v>
      </c>
      <c r="AI141" s="296">
        <f t="shared" ca="1" si="339"/>
        <v>28234.773814442182</v>
      </c>
      <c r="AJ141" s="296">
        <f t="shared" ca="1" si="339"/>
        <v>28409.581572888281</v>
      </c>
      <c r="AK141" s="296">
        <f t="shared" ca="1" si="339"/>
        <v>28584.826350730458</v>
      </c>
      <c r="AL141" s="296">
        <f t="shared" ref="AL141:BQ141" ca="1" si="340">SUM(AL118,AL128,AL139)</f>
        <v>28760.509240517298</v>
      </c>
      <c r="AM141" s="296">
        <f t="shared" ca="1" si="340"/>
        <v>28936.631337528575</v>
      </c>
      <c r="AN141" s="296">
        <f t="shared" ca="1" si="340"/>
        <v>29113.193739782371</v>
      </c>
      <c r="AO141" s="296">
        <f t="shared" ca="1" si="340"/>
        <v>29290.197548041811</v>
      </c>
      <c r="AP141" s="296">
        <f t="shared" ca="1" si="340"/>
        <v>2807680.6745915427</v>
      </c>
      <c r="AQ141" s="296">
        <f t="shared" ca="1" si="340"/>
        <v>23214.300050812963</v>
      </c>
      <c r="AR141" s="296">
        <f t="shared" ca="1" si="340"/>
        <v>23392.634709221442</v>
      </c>
      <c r="AS141" s="296">
        <f t="shared" ca="1" si="340"/>
        <v>23571.415204275967</v>
      </c>
      <c r="AT141" s="296">
        <f t="shared" ca="1" si="340"/>
        <v>23750.642650568087</v>
      </c>
      <c r="AU141" s="296">
        <f t="shared" ca="1" si="340"/>
        <v>23930.318165475925</v>
      </c>
      <c r="AV141" s="296">
        <f t="shared" ca="1" si="340"/>
        <v>24110.442869171078</v>
      </c>
      <c r="AW141" s="296">
        <f t="shared" ca="1" si="340"/>
        <v>24291.017884625442</v>
      </c>
      <c r="AX141" s="296">
        <f t="shared" ca="1" si="340"/>
        <v>24472.044337618456</v>
      </c>
      <c r="AY141" s="296">
        <f t="shared" ca="1" si="340"/>
        <v>24653.523356743957</v>
      </c>
      <c r="AZ141" s="296">
        <f t="shared" ca="1" si="340"/>
        <v>24835.456073417285</v>
      </c>
      <c r="BA141" s="296">
        <f t="shared" ca="1" si="340"/>
        <v>25017.84362188229</v>
      </c>
      <c r="BB141" s="296">
        <f t="shared" ca="1" si="340"/>
        <v>25200.68713921844</v>
      </c>
      <c r="BC141" s="296">
        <f t="shared" ca="1" si="340"/>
        <v>25383.98776534792</v>
      </c>
      <c r="BD141" s="296">
        <f t="shared" ca="1" si="340"/>
        <v>25567.746643042716</v>
      </c>
      <c r="BE141" s="296">
        <f t="shared" ca="1" si="340"/>
        <v>25751.964917931778</v>
      </c>
      <c r="BF141" s="296">
        <f t="shared" ca="1" si="340"/>
        <v>25936.643738508006</v>
      </c>
      <c r="BG141" s="296">
        <f t="shared" ca="1" si="340"/>
        <v>26121.784256135739</v>
      </c>
      <c r="BH141" s="296">
        <f t="shared" ca="1" si="340"/>
        <v>26307.387625057541</v>
      </c>
      <c r="BI141" s="296">
        <f t="shared" ca="1" si="340"/>
        <v>26493.455002401635</v>
      </c>
      <c r="BJ141" s="296">
        <f t="shared" ca="1" si="340"/>
        <v>26679.987548189092</v>
      </c>
      <c r="BK141" s="296">
        <f t="shared" ca="1" si="340"/>
        <v>26866.986425340976</v>
      </c>
      <c r="BL141" s="296">
        <f t="shared" ca="1" si="340"/>
        <v>27054.45279968578</v>
      </c>
      <c r="BM141" s="296">
        <f t="shared" ca="1" si="340"/>
        <v>27242.387839966425</v>
      </c>
      <c r="BN141" s="296">
        <f t="shared" ca="1" si="340"/>
        <v>27430.792717847769</v>
      </c>
      <c r="BO141" s="296">
        <f t="shared" ca="1" si="340"/>
        <v>19588.763106361905</v>
      </c>
      <c r="BP141" s="296">
        <f t="shared" ca="1" si="340"/>
        <v>19778.111186163151</v>
      </c>
      <c r="BQ141" s="296">
        <f t="shared" ca="1" si="340"/>
        <v>19967.932636163896</v>
      </c>
      <c r="BR141" s="296">
        <f t="shared" ref="BR141:CW141" ca="1" si="341">SUM(BR118,BR128,BR139)</f>
        <v>20158.228639789668</v>
      </c>
      <c r="BS141" s="296">
        <f t="shared" ca="1" si="341"/>
        <v>20349.0003834245</v>
      </c>
      <c r="BT141" s="296">
        <f t="shared" ca="1" si="341"/>
        <v>20540.249056418397</v>
      </c>
      <c r="BU141" s="296">
        <f t="shared" ca="1" si="341"/>
        <v>20731.975851094816</v>
      </c>
      <c r="BV141" s="296">
        <f t="shared" ca="1" si="341"/>
        <v>20924.18196275791</v>
      </c>
      <c r="BW141" s="296">
        <f t="shared" ca="1" si="341"/>
        <v>21116.868589700141</v>
      </c>
      <c r="BX141" s="296">
        <f t="shared" ca="1" si="341"/>
        <v>21310.036933209703</v>
      </c>
      <c r="BY141" s="296">
        <f t="shared" ca="1" si="341"/>
        <v>21503.688197578085</v>
      </c>
      <c r="BZ141" s="296">
        <f t="shared" ca="1" si="341"/>
        <v>21697.823590107364</v>
      </c>
      <c r="CA141" s="296">
        <f t="shared" ca="1" si="341"/>
        <v>21892.44432111796</v>
      </c>
      <c r="CB141" s="296">
        <f t="shared" ca="1" si="341"/>
        <v>22087.551603956148</v>
      </c>
      <c r="CC141" s="296">
        <f t="shared" ca="1" si="341"/>
        <v>22283.146655001357</v>
      </c>
      <c r="CD141" s="296">
        <f t="shared" ca="1" si="341"/>
        <v>22479.230693674224</v>
      </c>
      <c r="CE141" s="296">
        <f t="shared" ca="1" si="341"/>
        <v>22675.804942443792</v>
      </c>
      <c r="CF141" s="296">
        <f t="shared" ca="1" si="341"/>
        <v>22872.870626835225</v>
      </c>
      <c r="CG141" s="296">
        <f t="shared" ca="1" si="341"/>
        <v>23070.428975437622</v>
      </c>
      <c r="CH141" s="296">
        <f t="shared" ca="1" si="341"/>
        <v>23268.481219911599</v>
      </c>
      <c r="CI141" s="296">
        <f t="shared" ca="1" si="341"/>
        <v>23467.028594996737</v>
      </c>
      <c r="CJ141" s="296">
        <f t="shared" ca="1" si="341"/>
        <v>23666.072338519545</v>
      </c>
      <c r="CK141" s="296">
        <f t="shared" ca="1" si="341"/>
        <v>23865.613691401217</v>
      </c>
      <c r="CL141" s="296">
        <f t="shared" ca="1" si="341"/>
        <v>24065.653897665063</v>
      </c>
      <c r="CM141" s="296">
        <f t="shared" ca="1" si="341"/>
        <v>24266.194204444531</v>
      </c>
      <c r="CN141" s="296">
        <f t="shared" ca="1" si="341"/>
        <v>24467.235861990994</v>
      </c>
      <c r="CO141" s="296">
        <f t="shared" ca="1" si="341"/>
        <v>24668.780123681339</v>
      </c>
      <c r="CP141" s="296">
        <f t="shared" ca="1" si="341"/>
        <v>24870.828246025878</v>
      </c>
      <c r="CQ141" s="296">
        <f t="shared" ca="1" si="341"/>
        <v>25073.381488676299</v>
      </c>
      <c r="CR141" s="296">
        <f t="shared" ca="1" si="341"/>
        <v>25276.441114433357</v>
      </c>
      <c r="CS141" s="296">
        <f t="shared" ca="1" si="341"/>
        <v>25480.008389254785</v>
      </c>
      <c r="CT141" s="296">
        <f t="shared" ca="1" si="341"/>
        <v>25684.084582263269</v>
      </c>
      <c r="CU141" s="296">
        <f t="shared" ca="1" si="341"/>
        <v>25888.670965754281</v>
      </c>
      <c r="CV141" s="296">
        <f t="shared" ca="1" si="341"/>
        <v>26093.768815203992</v>
      </c>
      <c r="CW141" s="296">
        <f t="shared" ca="1" si="341"/>
        <v>26299.379409277375</v>
      </c>
      <c r="CX141" s="296">
        <f t="shared" ref="CX141:EC141" ca="1" si="342">SUM(CX118,CX128,CX139)</f>
        <v>7604440.5320115816</v>
      </c>
      <c r="CY141" s="296">
        <f t="shared" ca="1" si="342"/>
        <v>0</v>
      </c>
      <c r="CZ141" s="296">
        <f t="shared" ca="1" si="342"/>
        <v>0</v>
      </c>
      <c r="DA141" s="296">
        <f t="shared" ca="1" si="342"/>
        <v>0</v>
      </c>
      <c r="DB141" s="296">
        <f t="shared" ca="1" si="342"/>
        <v>0</v>
      </c>
      <c r="DC141" s="296">
        <f t="shared" ca="1" si="342"/>
        <v>0</v>
      </c>
      <c r="DD141" s="296">
        <f t="shared" ca="1" si="342"/>
        <v>0</v>
      </c>
      <c r="DE141" s="296">
        <f t="shared" ca="1" si="342"/>
        <v>0</v>
      </c>
      <c r="DF141" s="296">
        <f t="shared" ca="1" si="342"/>
        <v>0</v>
      </c>
      <c r="DG141" s="296">
        <f t="shared" ca="1" si="342"/>
        <v>0</v>
      </c>
      <c r="DH141" s="296">
        <f t="shared" ca="1" si="342"/>
        <v>0</v>
      </c>
      <c r="DI141" s="296">
        <f t="shared" ca="1" si="342"/>
        <v>0</v>
      </c>
      <c r="DJ141" s="296">
        <f t="shared" ca="1" si="342"/>
        <v>0</v>
      </c>
      <c r="DK141" s="296">
        <f t="shared" ca="1" si="342"/>
        <v>0</v>
      </c>
      <c r="DL141" s="296">
        <f t="shared" ca="1" si="342"/>
        <v>0</v>
      </c>
      <c r="DM141" s="296">
        <f t="shared" ca="1" si="342"/>
        <v>0</v>
      </c>
      <c r="DN141" s="296">
        <f t="shared" ca="1" si="342"/>
        <v>0</v>
      </c>
      <c r="DO141" s="296">
        <f t="shared" ca="1" si="342"/>
        <v>0</v>
      </c>
      <c r="DP141" s="296">
        <f t="shared" ca="1" si="342"/>
        <v>0</v>
      </c>
      <c r="DQ141" s="296">
        <f t="shared" ca="1" si="342"/>
        <v>0</v>
      </c>
      <c r="DR141" s="296">
        <f t="shared" ca="1" si="342"/>
        <v>0</v>
      </c>
      <c r="DS141" s="296">
        <f t="shared" ca="1" si="342"/>
        <v>0</v>
      </c>
      <c r="DT141" s="296">
        <f t="shared" ca="1" si="342"/>
        <v>0</v>
      </c>
      <c r="DU141" s="296">
        <f t="shared" ca="1" si="342"/>
        <v>0</v>
      </c>
      <c r="DV141" s="296">
        <f t="shared" ca="1" si="342"/>
        <v>0</v>
      </c>
      <c r="DW141" s="296">
        <f t="shared" ca="1" si="342"/>
        <v>0</v>
      </c>
      <c r="DX141" s="296">
        <f t="shared" ca="1" si="342"/>
        <v>0</v>
      </c>
      <c r="DY141" s="296">
        <f t="shared" ca="1" si="342"/>
        <v>0</v>
      </c>
      <c r="DZ141" s="296">
        <f t="shared" ca="1" si="342"/>
        <v>0</v>
      </c>
      <c r="EA141" s="296">
        <f t="shared" ca="1" si="342"/>
        <v>0</v>
      </c>
      <c r="EB141" s="296">
        <f t="shared" ca="1" si="342"/>
        <v>0</v>
      </c>
      <c r="EC141" s="296">
        <f t="shared" ca="1" si="342"/>
        <v>0</v>
      </c>
      <c r="ED141" s="296">
        <f t="shared" ref="ED141:FF141" ca="1" si="343">SUM(ED118,ED128,ED139)</f>
        <v>0</v>
      </c>
      <c r="EE141" s="296">
        <f t="shared" ca="1" si="343"/>
        <v>0</v>
      </c>
      <c r="EF141" s="296">
        <f t="shared" ca="1" si="343"/>
        <v>0</v>
      </c>
      <c r="EG141" s="296">
        <f t="shared" ca="1" si="343"/>
        <v>0</v>
      </c>
      <c r="EH141" s="296">
        <f t="shared" ca="1" si="343"/>
        <v>0</v>
      </c>
      <c r="EI141" s="296">
        <f t="shared" ca="1" si="343"/>
        <v>0</v>
      </c>
      <c r="EJ141" s="296">
        <f t="shared" ca="1" si="343"/>
        <v>0</v>
      </c>
      <c r="EK141" s="296">
        <f t="shared" ca="1" si="343"/>
        <v>0</v>
      </c>
      <c r="EL141" s="296">
        <f t="shared" ca="1" si="343"/>
        <v>0</v>
      </c>
      <c r="EM141" s="296">
        <f t="shared" ca="1" si="343"/>
        <v>0</v>
      </c>
      <c r="EN141" s="296">
        <f t="shared" ca="1" si="343"/>
        <v>0</v>
      </c>
      <c r="EO141" s="296">
        <f t="shared" ca="1" si="343"/>
        <v>0</v>
      </c>
      <c r="EP141" s="296">
        <f t="shared" ca="1" si="343"/>
        <v>0</v>
      </c>
      <c r="EQ141" s="296">
        <f t="shared" ca="1" si="343"/>
        <v>0</v>
      </c>
      <c r="ER141" s="296">
        <f t="shared" ca="1" si="343"/>
        <v>0</v>
      </c>
      <c r="ES141" s="296">
        <f t="shared" ca="1" si="343"/>
        <v>0</v>
      </c>
      <c r="ET141" s="296">
        <f t="shared" ca="1" si="343"/>
        <v>0</v>
      </c>
      <c r="EU141" s="296">
        <f t="shared" ca="1" si="343"/>
        <v>0</v>
      </c>
      <c r="EV141" s="296">
        <f t="shared" ca="1" si="343"/>
        <v>0</v>
      </c>
      <c r="EW141" s="296">
        <f t="shared" ca="1" si="343"/>
        <v>0</v>
      </c>
      <c r="EX141" s="296">
        <f t="shared" ca="1" si="343"/>
        <v>0</v>
      </c>
      <c r="EY141" s="296">
        <f t="shared" ca="1" si="343"/>
        <v>0</v>
      </c>
      <c r="EZ141" s="296">
        <f t="shared" ca="1" si="343"/>
        <v>0</v>
      </c>
      <c r="FA141" s="296">
        <f t="shared" ca="1" si="343"/>
        <v>0</v>
      </c>
      <c r="FB141" s="296">
        <f t="shared" ca="1" si="343"/>
        <v>0</v>
      </c>
      <c r="FC141" s="296">
        <f t="shared" ca="1" si="343"/>
        <v>0</v>
      </c>
      <c r="FD141" s="296">
        <f t="shared" ca="1" si="343"/>
        <v>0</v>
      </c>
      <c r="FE141" s="296">
        <f t="shared" ca="1" si="343"/>
        <v>0</v>
      </c>
      <c r="FF141" s="296">
        <f t="shared" ca="1" si="343"/>
        <v>0</v>
      </c>
    </row>
    <row r="142" spans="2:178" x14ac:dyDescent="0.2">
      <c r="C142" s="47"/>
      <c r="D142" s="47"/>
      <c r="E142" s="206"/>
      <c r="F142" s="300"/>
      <c r="G142" s="395"/>
      <c r="H142" s="395"/>
      <c r="I142" s="395"/>
      <c r="J142" s="395"/>
      <c r="K142" s="395"/>
      <c r="L142" s="395"/>
      <c r="M142" s="395"/>
      <c r="N142" s="395"/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  <c r="AA142" s="395"/>
      <c r="AB142" s="395"/>
      <c r="AC142" s="395"/>
      <c r="AD142" s="395"/>
      <c r="AE142" s="395"/>
      <c r="AF142" s="395"/>
      <c r="AG142" s="395"/>
      <c r="AH142" s="395"/>
      <c r="AI142" s="395"/>
      <c r="AJ142" s="395"/>
      <c r="AK142" s="395"/>
      <c r="AL142" s="395"/>
      <c r="AM142" s="395"/>
      <c r="AN142" s="395"/>
      <c r="AO142" s="395"/>
      <c r="AP142" s="395"/>
      <c r="AQ142" s="395"/>
      <c r="AR142" s="395"/>
      <c r="AS142" s="395"/>
      <c r="AT142" s="395"/>
      <c r="AU142" s="395"/>
      <c r="AV142" s="395"/>
      <c r="AW142" s="395"/>
      <c r="AX142" s="395"/>
      <c r="AY142" s="395"/>
      <c r="AZ142" s="395"/>
      <c r="BA142" s="395"/>
      <c r="BB142" s="395"/>
      <c r="BC142" s="395"/>
      <c r="BD142" s="395"/>
      <c r="BE142" s="395"/>
      <c r="BF142" s="395"/>
      <c r="BG142" s="395"/>
      <c r="BH142" s="395"/>
      <c r="BI142" s="395"/>
      <c r="BJ142" s="395"/>
      <c r="BK142" s="395"/>
      <c r="BL142" s="395"/>
      <c r="BM142" s="395"/>
      <c r="BN142" s="395"/>
      <c r="BO142" s="395"/>
      <c r="BP142" s="395"/>
      <c r="BQ142" s="395"/>
      <c r="BR142" s="395"/>
      <c r="BS142" s="395"/>
      <c r="BT142" s="395"/>
      <c r="BU142" s="395"/>
      <c r="BV142" s="395"/>
      <c r="BW142" s="395"/>
      <c r="BX142" s="395"/>
      <c r="BY142" s="395"/>
      <c r="BZ142" s="395"/>
      <c r="CA142" s="395"/>
      <c r="CB142" s="395"/>
      <c r="CC142" s="395"/>
      <c r="CD142" s="395"/>
      <c r="CE142" s="395"/>
      <c r="CF142" s="395"/>
      <c r="CG142" s="395"/>
      <c r="CH142" s="395"/>
      <c r="CI142" s="395"/>
      <c r="CJ142" s="395"/>
      <c r="CK142" s="395"/>
      <c r="CL142" s="395"/>
      <c r="CM142" s="395"/>
      <c r="CN142" s="395"/>
      <c r="CO142" s="395"/>
      <c r="CP142" s="395"/>
      <c r="CQ142" s="395"/>
      <c r="CR142" s="395"/>
      <c r="CS142" s="395"/>
      <c r="CT142" s="395"/>
      <c r="CU142" s="395"/>
      <c r="CV142" s="395"/>
      <c r="CW142" s="395"/>
      <c r="CX142" s="395"/>
      <c r="CY142" s="395"/>
      <c r="CZ142" s="395"/>
      <c r="DA142" s="395"/>
      <c r="DB142" s="395"/>
      <c r="DC142" s="395"/>
      <c r="DD142" s="395"/>
      <c r="DE142" s="395"/>
      <c r="DF142" s="395"/>
      <c r="DG142" s="395"/>
      <c r="DH142" s="395"/>
      <c r="DI142" s="395"/>
      <c r="DJ142" s="395"/>
      <c r="DK142" s="395"/>
      <c r="DL142" s="395"/>
      <c r="DM142" s="395"/>
      <c r="DN142" s="395"/>
      <c r="DO142" s="395"/>
      <c r="DP142" s="395"/>
      <c r="DQ142" s="395"/>
      <c r="DR142" s="395"/>
      <c r="DS142" s="395"/>
      <c r="DT142" s="395"/>
      <c r="DU142" s="395"/>
      <c r="DV142" s="395"/>
      <c r="DW142" s="395"/>
      <c r="DX142" s="395"/>
      <c r="DY142" s="395"/>
      <c r="DZ142" s="395"/>
      <c r="EA142" s="395"/>
      <c r="EB142" s="395"/>
      <c r="EC142" s="395"/>
      <c r="ED142" s="395"/>
      <c r="EE142" s="395"/>
      <c r="EF142" s="395"/>
      <c r="EG142" s="395"/>
      <c r="EH142" s="395"/>
      <c r="EI142" s="395"/>
      <c r="EJ142" s="395"/>
      <c r="EK142" s="395"/>
      <c r="EL142" s="395"/>
      <c r="EM142" s="395"/>
      <c r="EN142" s="395"/>
      <c r="EO142" s="395"/>
      <c r="EP142" s="395"/>
      <c r="EQ142" s="395"/>
      <c r="ER142" s="395"/>
      <c r="ES142" s="395"/>
      <c r="ET142" s="395"/>
      <c r="EU142" s="395"/>
      <c r="EV142" s="395"/>
      <c r="EW142" s="395"/>
      <c r="EX142" s="395"/>
      <c r="EY142" s="395"/>
      <c r="EZ142" s="395"/>
      <c r="FA142" s="395"/>
      <c r="FB142" s="395"/>
      <c r="FC142" s="395"/>
      <c r="FD142" s="395"/>
      <c r="FE142" s="395"/>
      <c r="FF142" s="395"/>
    </row>
    <row r="143" spans="2:178" x14ac:dyDescent="0.2">
      <c r="C143" s="50" t="s">
        <v>215</v>
      </c>
      <c r="D143" s="260"/>
      <c r="E143" s="260"/>
      <c r="F143" s="394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  <c r="AA143" s="260"/>
      <c r="AB143" s="260"/>
      <c r="AC143" s="260"/>
      <c r="AD143" s="260"/>
      <c r="AE143" s="260"/>
      <c r="AF143" s="260"/>
      <c r="AG143" s="260"/>
      <c r="AH143" s="260"/>
      <c r="AI143" s="260"/>
      <c r="AJ143" s="260"/>
      <c r="AK143" s="260"/>
      <c r="AL143" s="260"/>
      <c r="AM143" s="260"/>
      <c r="AN143" s="260"/>
      <c r="AO143" s="260"/>
      <c r="AP143" s="260"/>
      <c r="AQ143" s="260"/>
      <c r="AR143" s="260"/>
      <c r="AS143" s="260"/>
      <c r="AT143" s="260"/>
      <c r="AU143" s="260"/>
      <c r="AV143" s="260"/>
      <c r="AW143" s="260"/>
      <c r="AX143" s="260"/>
      <c r="AY143" s="260"/>
      <c r="AZ143" s="260"/>
      <c r="BA143" s="260"/>
      <c r="BB143" s="260"/>
      <c r="BC143" s="260"/>
      <c r="BD143" s="260"/>
      <c r="BE143" s="260"/>
      <c r="BF143" s="260"/>
      <c r="BG143" s="260"/>
      <c r="BH143" s="260"/>
      <c r="BI143" s="260"/>
      <c r="BJ143" s="260"/>
      <c r="BK143" s="260"/>
      <c r="BL143" s="260"/>
      <c r="BM143" s="260"/>
      <c r="BN143" s="260"/>
      <c r="BO143" s="260"/>
      <c r="BP143" s="260"/>
      <c r="BQ143" s="260"/>
      <c r="BR143" s="260"/>
      <c r="BS143" s="260"/>
      <c r="BT143" s="260"/>
      <c r="BU143" s="260"/>
      <c r="BV143" s="260"/>
      <c r="BW143" s="260"/>
      <c r="BX143" s="260"/>
      <c r="BY143" s="260"/>
      <c r="BZ143" s="260"/>
      <c r="CA143" s="260"/>
      <c r="CB143" s="260"/>
      <c r="CC143" s="260"/>
      <c r="CD143" s="260"/>
      <c r="CE143" s="260"/>
      <c r="CF143" s="260"/>
      <c r="CG143" s="260"/>
      <c r="CH143" s="260"/>
      <c r="CI143" s="260"/>
      <c r="CJ143" s="260"/>
      <c r="CK143" s="260"/>
      <c r="CL143" s="260"/>
      <c r="CM143" s="260"/>
      <c r="CN143" s="260"/>
      <c r="CO143" s="260"/>
      <c r="CP143" s="260"/>
      <c r="CQ143" s="260"/>
      <c r="CR143" s="260"/>
      <c r="CS143" s="260"/>
      <c r="CT143" s="260"/>
      <c r="CU143" s="260"/>
      <c r="CV143" s="260"/>
      <c r="CW143" s="260"/>
      <c r="CX143" s="260"/>
      <c r="CY143" s="260"/>
      <c r="CZ143" s="260"/>
      <c r="DA143" s="260"/>
      <c r="DB143" s="260"/>
      <c r="DC143" s="260"/>
      <c r="DD143" s="260"/>
      <c r="DE143" s="260"/>
      <c r="DF143" s="260"/>
      <c r="DG143" s="260"/>
      <c r="DH143" s="260"/>
      <c r="DI143" s="260"/>
      <c r="DJ143" s="260"/>
      <c r="DK143" s="260"/>
      <c r="DL143" s="260"/>
      <c r="DM143" s="260"/>
      <c r="DN143" s="260"/>
      <c r="DO143" s="260"/>
      <c r="DP143" s="260"/>
      <c r="DQ143" s="260"/>
      <c r="DR143" s="260"/>
      <c r="DS143" s="260"/>
      <c r="DT143" s="260"/>
      <c r="DU143" s="260"/>
      <c r="DV143" s="260"/>
      <c r="DW143" s="260"/>
      <c r="DX143" s="260"/>
      <c r="DY143" s="260"/>
      <c r="DZ143" s="260"/>
      <c r="EA143" s="260"/>
      <c r="EB143" s="260"/>
      <c r="EC143" s="260"/>
      <c r="ED143" s="260"/>
      <c r="EE143" s="260"/>
      <c r="EF143" s="260"/>
      <c r="EG143" s="260"/>
      <c r="EH143" s="260"/>
      <c r="EI143" s="260"/>
      <c r="EJ143" s="260"/>
      <c r="EK143" s="260"/>
      <c r="EL143" s="260"/>
      <c r="EM143" s="260"/>
      <c r="EN143" s="260"/>
      <c r="EO143" s="260"/>
      <c r="EP143" s="260"/>
      <c r="EQ143" s="260"/>
      <c r="ER143" s="260"/>
      <c r="ES143" s="260"/>
      <c r="ET143" s="260"/>
      <c r="EU143" s="260"/>
      <c r="EV143" s="260"/>
      <c r="EW143" s="260"/>
      <c r="EX143" s="260"/>
      <c r="EY143" s="260"/>
      <c r="EZ143" s="260"/>
      <c r="FA143" s="260"/>
      <c r="FB143" s="260"/>
      <c r="FC143" s="260"/>
      <c r="FD143" s="260"/>
      <c r="FE143" s="260"/>
      <c r="FF143" s="260"/>
      <c r="FH143" s="260"/>
      <c r="FI143" s="260"/>
      <c r="FJ143" s="260"/>
      <c r="FK143" s="260"/>
      <c r="FL143" s="260"/>
      <c r="FM143" s="260"/>
      <c r="FN143" s="260"/>
      <c r="FO143" s="260"/>
      <c r="FP143" s="260"/>
      <c r="FQ143" s="260"/>
      <c r="FR143" s="260"/>
      <c r="FS143" s="260"/>
      <c r="FT143" s="260"/>
      <c r="FU143" s="260"/>
    </row>
    <row r="144" spans="2:178" s="385" customFormat="1" ht="18" x14ac:dyDescent="0.3">
      <c r="B144" s="45"/>
      <c r="C144" s="379" t="s">
        <v>218</v>
      </c>
      <c r="D144" s="367"/>
      <c r="E144" s="367"/>
      <c r="F144" s="388"/>
      <c r="G144" s="367"/>
      <c r="H144" s="367"/>
      <c r="I144" s="367"/>
      <c r="J144" s="367"/>
      <c r="K144" s="367"/>
      <c r="L144" s="367"/>
      <c r="M144" s="367"/>
      <c r="N144" s="367"/>
      <c r="O144" s="367"/>
      <c r="P144" s="367"/>
      <c r="Q144" s="367"/>
      <c r="R144" s="367"/>
      <c r="S144" s="367"/>
      <c r="T144" s="367"/>
      <c r="U144" s="367"/>
      <c r="V144" s="367"/>
      <c r="W144" s="367"/>
      <c r="X144" s="367"/>
      <c r="Y144" s="367"/>
      <c r="Z144" s="367"/>
      <c r="AA144" s="367"/>
      <c r="AB144" s="367"/>
      <c r="AC144" s="367"/>
      <c r="AD144" s="367"/>
      <c r="AE144" s="367"/>
      <c r="AF144" s="367"/>
      <c r="AG144" s="367"/>
      <c r="AH144" s="367"/>
      <c r="AI144" s="367"/>
      <c r="AJ144" s="367"/>
      <c r="AK144" s="367"/>
      <c r="AL144" s="367"/>
      <c r="AM144" s="367"/>
      <c r="AN144" s="367"/>
      <c r="AO144" s="367"/>
      <c r="AP144" s="367"/>
      <c r="AQ144" s="367"/>
      <c r="AR144" s="367"/>
      <c r="AS144" s="367"/>
      <c r="AT144" s="367"/>
      <c r="AU144" s="367"/>
      <c r="AV144" s="367"/>
      <c r="AW144" s="367"/>
      <c r="AX144" s="367"/>
      <c r="AY144" s="367"/>
      <c r="AZ144" s="367"/>
      <c r="BA144" s="367"/>
      <c r="BB144" s="367"/>
      <c r="BC144" s="367"/>
      <c r="BD144" s="367"/>
      <c r="BE144" s="367"/>
      <c r="BF144" s="367"/>
      <c r="BG144" s="367"/>
      <c r="BH144" s="367"/>
      <c r="BI144" s="367"/>
      <c r="BJ144" s="367"/>
      <c r="BK144" s="367"/>
      <c r="BL144" s="367"/>
      <c r="BM144" s="367"/>
      <c r="BN144" s="367"/>
      <c r="BO144" s="367"/>
      <c r="BP144" s="367"/>
      <c r="BQ144" s="367"/>
      <c r="BR144" s="367"/>
      <c r="BS144" s="367"/>
      <c r="BT144" s="367"/>
      <c r="BU144" s="367"/>
      <c r="BV144" s="367"/>
      <c r="BW144" s="367"/>
      <c r="BX144" s="367"/>
      <c r="BY144" s="367"/>
      <c r="BZ144" s="367"/>
      <c r="CA144" s="367"/>
      <c r="CB144" s="367"/>
      <c r="CC144" s="367"/>
      <c r="CD144" s="367"/>
      <c r="CE144" s="367"/>
      <c r="CF144" s="367"/>
      <c r="CG144" s="367"/>
      <c r="CH144" s="367"/>
      <c r="CI144" s="367"/>
      <c r="CJ144" s="367"/>
      <c r="CK144" s="367"/>
      <c r="CL144" s="367"/>
      <c r="CM144" s="367"/>
      <c r="CN144" s="367"/>
      <c r="CO144" s="367"/>
      <c r="CP144" s="367"/>
      <c r="CQ144" s="367"/>
      <c r="CR144" s="367"/>
      <c r="CS144" s="367"/>
      <c r="CT144" s="367"/>
      <c r="CU144" s="367"/>
      <c r="CV144" s="367"/>
      <c r="CW144" s="367"/>
      <c r="CX144" s="367"/>
      <c r="CY144" s="367"/>
      <c r="CZ144" s="367"/>
      <c r="DA144" s="367"/>
      <c r="DB144" s="367"/>
      <c r="DC144" s="367"/>
      <c r="DD144" s="367"/>
      <c r="DE144" s="367"/>
      <c r="DF144" s="367"/>
      <c r="DG144" s="367"/>
      <c r="DH144" s="367"/>
      <c r="DI144" s="367"/>
      <c r="DJ144" s="367"/>
      <c r="DK144" s="367"/>
      <c r="DL144" s="367"/>
      <c r="DM144" s="367"/>
      <c r="DN144" s="367"/>
      <c r="DO144" s="367"/>
      <c r="DP144" s="367"/>
      <c r="DQ144" s="367"/>
      <c r="DR144" s="367"/>
      <c r="DS144" s="367"/>
      <c r="DT144" s="367"/>
      <c r="DU144" s="367"/>
      <c r="DV144" s="367"/>
      <c r="DW144" s="367"/>
      <c r="DX144" s="367"/>
      <c r="DY144" s="367"/>
      <c r="DZ144" s="367"/>
      <c r="EA144" s="367"/>
      <c r="EB144" s="367"/>
      <c r="EC144" s="367"/>
      <c r="ED144" s="367"/>
      <c r="EE144" s="367"/>
      <c r="EF144" s="367"/>
      <c r="EG144" s="367"/>
    </row>
    <row r="145" spans="1:177" s="372" customFormat="1" ht="18" x14ac:dyDescent="0.3">
      <c r="C145" s="373" t="s">
        <v>231</v>
      </c>
      <c r="E145" s="373"/>
      <c r="F145" s="389">
        <v>0</v>
      </c>
      <c r="G145" s="368">
        <f t="shared" ref="G145:O145" ca="1" si="344">F149</f>
        <v>769017.85714356077</v>
      </c>
      <c r="H145" s="368">
        <f t="shared" ca="1" si="344"/>
        <v>769017.85714356077</v>
      </c>
      <c r="I145" s="368">
        <f t="shared" ca="1" si="344"/>
        <v>769017.85714356077</v>
      </c>
      <c r="J145" s="368">
        <f t="shared" ca="1" si="344"/>
        <v>769017.85714356077</v>
      </c>
      <c r="K145" s="368">
        <f t="shared" ca="1" si="344"/>
        <v>769017.85714356077</v>
      </c>
      <c r="L145" s="368">
        <f t="shared" ca="1" si="344"/>
        <v>769017.85714356077</v>
      </c>
      <c r="M145" s="368">
        <f t="shared" ca="1" si="344"/>
        <v>769017.85714356077</v>
      </c>
      <c r="N145" s="368">
        <f t="shared" ca="1" si="344"/>
        <v>769017.85714356077</v>
      </c>
      <c r="O145" s="368">
        <f t="shared" ca="1" si="344"/>
        <v>769017.85714356077</v>
      </c>
      <c r="P145" s="368">
        <f t="shared" ref="P145" ca="1" si="345">O149</f>
        <v>769017.85714356077</v>
      </c>
      <c r="Q145" s="368">
        <f t="shared" ref="Q145" ca="1" si="346">P149</f>
        <v>769017.85714356077</v>
      </c>
      <c r="R145" s="368">
        <f t="shared" ref="R145" ca="1" si="347">Q149</f>
        <v>769017.85714356077</v>
      </c>
      <c r="S145" s="368">
        <f t="shared" ref="S145" ca="1" si="348">R149</f>
        <v>769017.85714356077</v>
      </c>
      <c r="T145" s="368">
        <f t="shared" ref="T145" ca="1" si="349">S149</f>
        <v>769017.85714356077</v>
      </c>
      <c r="U145" s="368">
        <f t="shared" ref="U145" ca="1" si="350">T149</f>
        <v>769017.85714356077</v>
      </c>
      <c r="V145" s="368">
        <f t="shared" ref="V145" ca="1" si="351">U149</f>
        <v>769017.85714356077</v>
      </c>
      <c r="W145" s="368">
        <f t="shared" ref="W145" ca="1" si="352">V149</f>
        <v>769017.85714356077</v>
      </c>
      <c r="X145" s="368">
        <f t="shared" ref="X145" ca="1" si="353">W149</f>
        <v>769017.85714356077</v>
      </c>
      <c r="Y145" s="368">
        <f t="shared" ref="Y145" ca="1" si="354">X149</f>
        <v>769017.85714356077</v>
      </c>
      <c r="Z145" s="368">
        <f t="shared" ref="Z145" ca="1" si="355">Y149</f>
        <v>769017.85714356077</v>
      </c>
      <c r="AA145" s="368">
        <f t="shared" ref="AA145" ca="1" si="356">Z149</f>
        <v>769017.85714356077</v>
      </c>
      <c r="AB145" s="368">
        <f t="shared" ref="AB145" ca="1" si="357">AA149</f>
        <v>769017.85714356077</v>
      </c>
      <c r="AC145" s="368">
        <f t="shared" ref="AC145" ca="1" si="358">AB149</f>
        <v>769017.85714356077</v>
      </c>
      <c r="AD145" s="368">
        <f t="shared" ref="AD145" ca="1" si="359">AC149</f>
        <v>769017.85714356077</v>
      </c>
      <c r="AE145" s="368">
        <f t="shared" ref="AE145" ca="1" si="360">AD149</f>
        <v>769017.85714356077</v>
      </c>
      <c r="AF145" s="368">
        <f t="shared" ref="AF145" ca="1" si="361">AE149</f>
        <v>769017.85714356077</v>
      </c>
      <c r="AG145" s="368">
        <f t="shared" ref="AG145" ca="1" si="362">AF149</f>
        <v>769017.85714356077</v>
      </c>
      <c r="AH145" s="368">
        <f t="shared" ref="AH145" ca="1" si="363">AG149</f>
        <v>769017.85714356077</v>
      </c>
      <c r="AI145" s="368">
        <f t="shared" ref="AI145" ca="1" si="364">AH149</f>
        <v>769017.85714356077</v>
      </c>
      <c r="AJ145" s="368">
        <f t="shared" ref="AJ145" ca="1" si="365">AI149</f>
        <v>769017.85714356077</v>
      </c>
      <c r="AK145" s="368">
        <f t="shared" ref="AK145" ca="1" si="366">AJ149</f>
        <v>769017.85714356077</v>
      </c>
      <c r="AL145" s="368">
        <f t="shared" ref="AL145" ca="1" si="367">AK149</f>
        <v>769017.85714356077</v>
      </c>
      <c r="AM145" s="368">
        <f t="shared" ref="AM145" ca="1" si="368">AL149</f>
        <v>769017.85714356077</v>
      </c>
      <c r="AN145" s="368">
        <f t="shared" ref="AN145" ca="1" si="369">AM149</f>
        <v>769017.85714356077</v>
      </c>
      <c r="AO145" s="368">
        <f t="shared" ref="AO145" ca="1" si="370">AN149</f>
        <v>769017.85714356077</v>
      </c>
      <c r="AP145" s="368">
        <f t="shared" ref="AP145" ca="1" si="371">AO149</f>
        <v>769017.85714356077</v>
      </c>
      <c r="AQ145" s="368">
        <f t="shared" ref="AQ145" ca="1" si="372">AP149</f>
        <v>769017.85714356077</v>
      </c>
      <c r="AR145" s="368">
        <f t="shared" ref="AR145" ca="1" si="373">AQ149</f>
        <v>769017.85714356077</v>
      </c>
      <c r="AS145" s="368">
        <f t="shared" ref="AS145" ca="1" si="374">AR149</f>
        <v>769017.85714356077</v>
      </c>
      <c r="AT145" s="368">
        <f t="shared" ref="AT145" ca="1" si="375">AS149</f>
        <v>769017.85714356077</v>
      </c>
      <c r="AU145" s="368">
        <f t="shared" ref="AU145" ca="1" si="376">AT149</f>
        <v>769017.85714356077</v>
      </c>
      <c r="AV145" s="368">
        <f t="shared" ref="AV145" ca="1" si="377">AU149</f>
        <v>769017.85714356077</v>
      </c>
      <c r="AW145" s="368">
        <f t="shared" ref="AW145" ca="1" si="378">AV149</f>
        <v>769017.85714356077</v>
      </c>
      <c r="AX145" s="368">
        <f t="shared" ref="AX145" ca="1" si="379">AW149</f>
        <v>769017.85714356077</v>
      </c>
      <c r="AY145" s="368">
        <f t="shared" ref="AY145" ca="1" si="380">AX149</f>
        <v>769017.85714356077</v>
      </c>
      <c r="AZ145" s="368">
        <f t="shared" ref="AZ145" ca="1" si="381">AY149</f>
        <v>769017.85714356077</v>
      </c>
      <c r="BA145" s="368">
        <f t="shared" ref="BA145" ca="1" si="382">AZ149</f>
        <v>769017.85714356077</v>
      </c>
      <c r="BB145" s="368">
        <f t="shared" ref="BB145" ca="1" si="383">BA149</f>
        <v>769017.85714356077</v>
      </c>
      <c r="BC145" s="368">
        <f t="shared" ref="BC145" ca="1" si="384">BB149</f>
        <v>769017.85714356077</v>
      </c>
      <c r="BD145" s="368">
        <f t="shared" ref="BD145" ca="1" si="385">BC149</f>
        <v>769017.85714356077</v>
      </c>
      <c r="BE145" s="368">
        <f t="shared" ref="BE145" ca="1" si="386">BD149</f>
        <v>769017.85714356077</v>
      </c>
      <c r="BF145" s="368">
        <f t="shared" ref="BF145" ca="1" si="387">BE149</f>
        <v>769017.85714356077</v>
      </c>
      <c r="BG145" s="368">
        <f t="shared" ref="BG145" ca="1" si="388">BF149</f>
        <v>769017.85714356077</v>
      </c>
      <c r="BH145" s="368">
        <f t="shared" ref="BH145" ca="1" si="389">BG149</f>
        <v>769017.85714356077</v>
      </c>
      <c r="BI145" s="368">
        <f t="shared" ref="BI145" ca="1" si="390">BH149</f>
        <v>769017.85714356077</v>
      </c>
      <c r="BJ145" s="368">
        <f t="shared" ref="BJ145" ca="1" si="391">BI149</f>
        <v>769017.85714356077</v>
      </c>
      <c r="BK145" s="368">
        <f t="shared" ref="BK145" ca="1" si="392">BJ149</f>
        <v>769017.85714356077</v>
      </c>
      <c r="BL145" s="368">
        <f t="shared" ref="BL145" ca="1" si="393">BK149</f>
        <v>769017.85714356077</v>
      </c>
      <c r="BM145" s="368">
        <f t="shared" ref="BM145" ca="1" si="394">BL149</f>
        <v>769017.85714356077</v>
      </c>
      <c r="BN145" s="368">
        <f t="shared" ref="BN145" ca="1" si="395">BM149</f>
        <v>769017.85714356077</v>
      </c>
      <c r="BO145" s="368">
        <f t="shared" ref="BO145" ca="1" si="396">BN149</f>
        <v>769017.85714356077</v>
      </c>
      <c r="BP145" s="368">
        <f t="shared" ref="BP145" ca="1" si="397">BO149</f>
        <v>769017.85714356077</v>
      </c>
      <c r="BQ145" s="368">
        <f t="shared" ref="BQ145" ca="1" si="398">BP149</f>
        <v>769017.85714356077</v>
      </c>
      <c r="BR145" s="368">
        <f t="shared" ref="BR145" ca="1" si="399">BQ149</f>
        <v>769017.85714356077</v>
      </c>
      <c r="BS145" s="368">
        <f t="shared" ref="BS145" ca="1" si="400">BR149</f>
        <v>769017.85714356077</v>
      </c>
      <c r="BT145" s="368">
        <f t="shared" ref="BT145" ca="1" si="401">BS149</f>
        <v>769017.85714356077</v>
      </c>
      <c r="BU145" s="368">
        <f t="shared" ref="BU145" ca="1" si="402">BT149</f>
        <v>769017.85714356077</v>
      </c>
      <c r="BV145" s="368">
        <f t="shared" ref="BV145" ca="1" si="403">BU149</f>
        <v>769017.85714356077</v>
      </c>
      <c r="BW145" s="368">
        <f t="shared" ref="BW145" ca="1" si="404">BV149</f>
        <v>769017.85714356077</v>
      </c>
      <c r="BX145" s="368">
        <f t="shared" ref="BX145" ca="1" si="405">BW149</f>
        <v>769017.85714356077</v>
      </c>
      <c r="BY145" s="368">
        <f t="shared" ref="BY145" ca="1" si="406">BX149</f>
        <v>769017.85714356077</v>
      </c>
      <c r="BZ145" s="368">
        <f t="shared" ref="BZ145" ca="1" si="407">BY149</f>
        <v>769017.85714356077</v>
      </c>
      <c r="CA145" s="368">
        <f t="shared" ref="CA145" ca="1" si="408">BZ149</f>
        <v>769017.85714356077</v>
      </c>
      <c r="CB145" s="368">
        <f t="shared" ref="CB145" ca="1" si="409">CA149</f>
        <v>769017.85714356077</v>
      </c>
      <c r="CC145" s="368">
        <f t="shared" ref="CC145" ca="1" si="410">CB149</f>
        <v>769017.85714356077</v>
      </c>
      <c r="CD145" s="368">
        <f t="shared" ref="CD145" ca="1" si="411">CC149</f>
        <v>769017.85714356077</v>
      </c>
      <c r="CE145" s="368">
        <f t="shared" ref="CE145" ca="1" si="412">CD149</f>
        <v>769017.85714356077</v>
      </c>
      <c r="CF145" s="368">
        <f t="shared" ref="CF145" ca="1" si="413">CE149</f>
        <v>769017.85714356077</v>
      </c>
      <c r="CG145" s="368">
        <f t="shared" ref="CG145" ca="1" si="414">CF149</f>
        <v>769017.85714356077</v>
      </c>
      <c r="CH145" s="368">
        <f t="shared" ref="CH145" ca="1" si="415">CG149</f>
        <v>769017.85714356077</v>
      </c>
      <c r="CI145" s="368">
        <f t="shared" ref="CI145" ca="1" si="416">CH149</f>
        <v>769017.85714356077</v>
      </c>
      <c r="CJ145" s="368">
        <f t="shared" ref="CJ145" ca="1" si="417">CI149</f>
        <v>769017.85714356077</v>
      </c>
      <c r="CK145" s="368">
        <f t="shared" ref="CK145" ca="1" si="418">CJ149</f>
        <v>769017.85714356077</v>
      </c>
      <c r="CL145" s="368">
        <f t="shared" ref="CL145" ca="1" si="419">CK149</f>
        <v>769017.85714356077</v>
      </c>
      <c r="CM145" s="368">
        <f t="shared" ref="CM145" ca="1" si="420">CL149</f>
        <v>769017.85714356077</v>
      </c>
      <c r="CN145" s="368">
        <f t="shared" ref="CN145" ca="1" si="421">CM149</f>
        <v>769017.85714356077</v>
      </c>
      <c r="CO145" s="368">
        <f t="shared" ref="CO145" ca="1" si="422">CN149</f>
        <v>769017.85714356077</v>
      </c>
      <c r="CP145" s="368">
        <f t="shared" ref="CP145" ca="1" si="423">CO149</f>
        <v>769017.85714356077</v>
      </c>
      <c r="CQ145" s="368">
        <f t="shared" ref="CQ145" ca="1" si="424">CP149</f>
        <v>769017.85714356077</v>
      </c>
      <c r="CR145" s="368">
        <f t="shared" ref="CR145" ca="1" si="425">CQ149</f>
        <v>769017.85714356077</v>
      </c>
      <c r="CS145" s="368">
        <f t="shared" ref="CS145" ca="1" si="426">CR149</f>
        <v>769017.85714356077</v>
      </c>
      <c r="CT145" s="368">
        <f t="shared" ref="CT145" ca="1" si="427">CS149</f>
        <v>769017.85714356077</v>
      </c>
      <c r="CU145" s="368">
        <f t="shared" ref="CU145" ca="1" si="428">CT149</f>
        <v>769017.85714356077</v>
      </c>
      <c r="CV145" s="368">
        <f t="shared" ref="CV145" ca="1" si="429">CU149</f>
        <v>769017.85714356077</v>
      </c>
      <c r="CW145" s="368">
        <f t="shared" ref="CW145" ca="1" si="430">CV149</f>
        <v>769017.85714356077</v>
      </c>
      <c r="CX145" s="368">
        <f t="shared" ref="CX145" ca="1" si="431">CW149</f>
        <v>769017.85714356077</v>
      </c>
      <c r="CY145" s="368">
        <f t="shared" ref="CY145" ca="1" si="432">CX149</f>
        <v>769017.85714356077</v>
      </c>
      <c r="CZ145" s="368">
        <f t="shared" ref="CZ145" ca="1" si="433">CY149</f>
        <v>769017.85714356077</v>
      </c>
      <c r="DA145" s="368">
        <f t="shared" ref="DA145" ca="1" si="434">CZ149</f>
        <v>769017.85714356077</v>
      </c>
      <c r="DB145" s="368">
        <f t="shared" ref="DB145" ca="1" si="435">DA149</f>
        <v>769017.85714356077</v>
      </c>
      <c r="DC145" s="368">
        <f t="shared" ref="DC145" ca="1" si="436">DB149</f>
        <v>769017.85714356077</v>
      </c>
      <c r="DD145" s="368">
        <f t="shared" ref="DD145" ca="1" si="437">DC149</f>
        <v>769017.85714356077</v>
      </c>
      <c r="DE145" s="368">
        <f t="shared" ref="DE145" ca="1" si="438">DD149</f>
        <v>769017.85714356077</v>
      </c>
      <c r="DF145" s="368">
        <f t="shared" ref="DF145" ca="1" si="439">DE149</f>
        <v>769017.85714356077</v>
      </c>
      <c r="DG145" s="368">
        <f t="shared" ref="DG145" ca="1" si="440">DF149</f>
        <v>769017.85714356077</v>
      </c>
      <c r="DH145" s="368">
        <f t="shared" ref="DH145" ca="1" si="441">DG149</f>
        <v>769017.85714356077</v>
      </c>
      <c r="DI145" s="368">
        <f t="shared" ref="DI145" ca="1" si="442">DH149</f>
        <v>769017.85714356077</v>
      </c>
      <c r="DJ145" s="368">
        <f t="shared" ref="DJ145" ca="1" si="443">DI149</f>
        <v>769017.85714356077</v>
      </c>
      <c r="DK145" s="368">
        <f t="shared" ref="DK145" ca="1" si="444">DJ149</f>
        <v>769017.85714356077</v>
      </c>
      <c r="DL145" s="368">
        <f t="shared" ref="DL145" ca="1" si="445">DK149</f>
        <v>769017.85714356077</v>
      </c>
      <c r="DM145" s="368">
        <f t="shared" ref="DM145" ca="1" si="446">DL149</f>
        <v>769017.85714356077</v>
      </c>
      <c r="DN145" s="368">
        <f t="shared" ref="DN145" ca="1" si="447">DM149</f>
        <v>769017.85714356077</v>
      </c>
      <c r="DO145" s="368">
        <f t="shared" ref="DO145" ca="1" si="448">DN149</f>
        <v>769017.85714356077</v>
      </c>
      <c r="DP145" s="368">
        <f t="shared" ref="DP145" ca="1" si="449">DO149</f>
        <v>769017.85714356077</v>
      </c>
      <c r="DQ145" s="368">
        <f t="shared" ref="DQ145" ca="1" si="450">DP149</f>
        <v>769017.85714356077</v>
      </c>
      <c r="DR145" s="368">
        <f t="shared" ref="DR145" ca="1" si="451">DQ149</f>
        <v>769017.85714356077</v>
      </c>
      <c r="DS145" s="368">
        <f t="shared" ref="DS145" ca="1" si="452">DR149</f>
        <v>769017.85714356077</v>
      </c>
      <c r="DT145" s="368">
        <f t="shared" ref="DT145" ca="1" si="453">DS149</f>
        <v>769017.85714356077</v>
      </c>
      <c r="DU145" s="368">
        <f t="shared" ref="DU145" ca="1" si="454">DT149</f>
        <v>769017.85714356077</v>
      </c>
      <c r="DV145" s="368">
        <f t="shared" ref="DV145" ca="1" si="455">DU149</f>
        <v>769017.85714356077</v>
      </c>
      <c r="DW145" s="368">
        <f t="shared" ref="DW145" ca="1" si="456">DV149</f>
        <v>769017.85714356077</v>
      </c>
      <c r="DX145" s="368">
        <f t="shared" ref="DX145" ca="1" si="457">DW149</f>
        <v>769017.85714356077</v>
      </c>
      <c r="DY145" s="368">
        <f t="shared" ref="DY145" ca="1" si="458">DX149</f>
        <v>769017.85714356077</v>
      </c>
      <c r="DZ145" s="368">
        <f t="shared" ref="DZ145" ca="1" si="459">DY149</f>
        <v>769017.85714356077</v>
      </c>
      <c r="EA145" s="368">
        <f t="shared" ref="EA145" ca="1" si="460">DZ149</f>
        <v>769017.85714356077</v>
      </c>
      <c r="EB145" s="368">
        <f t="shared" ref="EB145" ca="1" si="461">EA149</f>
        <v>769017.85714356077</v>
      </c>
      <c r="EC145" s="368">
        <f t="shared" ref="EC145" ca="1" si="462">EB149</f>
        <v>769017.85714356077</v>
      </c>
      <c r="ED145" s="368">
        <f t="shared" ref="ED145" ca="1" si="463">EC149</f>
        <v>769017.85714356077</v>
      </c>
      <c r="EE145" s="368">
        <f t="shared" ref="EE145" ca="1" si="464">ED149</f>
        <v>769017.85714356077</v>
      </c>
      <c r="EF145" s="368">
        <f t="shared" ref="EF145" ca="1" si="465">EE149</f>
        <v>769017.85714356077</v>
      </c>
      <c r="EG145" s="368">
        <f t="shared" ref="EG145" ca="1" si="466">EF149</f>
        <v>769017.85714356077</v>
      </c>
      <c r="EH145" s="368">
        <f t="shared" ref="EH145" ca="1" si="467">EG149</f>
        <v>769017.85714356077</v>
      </c>
      <c r="EI145" s="368">
        <f t="shared" ref="EI145" ca="1" si="468">EH149</f>
        <v>769017.85714356077</v>
      </c>
      <c r="EJ145" s="368">
        <f t="shared" ref="EJ145" ca="1" si="469">EI149</f>
        <v>769017.85714356077</v>
      </c>
      <c r="EK145" s="368">
        <f t="shared" ref="EK145" ca="1" si="470">EJ149</f>
        <v>769017.85714356077</v>
      </c>
      <c r="EL145" s="368">
        <f t="shared" ref="EL145" ca="1" si="471">EK149</f>
        <v>769017.85714356077</v>
      </c>
      <c r="EM145" s="368">
        <f t="shared" ref="EM145" ca="1" si="472">EL149</f>
        <v>769017.85714356077</v>
      </c>
      <c r="EN145" s="368">
        <f t="shared" ref="EN145" ca="1" si="473">EM149</f>
        <v>769017.85714356077</v>
      </c>
      <c r="EO145" s="368">
        <f t="shared" ref="EO145" ca="1" si="474">EN149</f>
        <v>769017.85714356077</v>
      </c>
      <c r="EP145" s="368">
        <f t="shared" ref="EP145" ca="1" si="475">EO149</f>
        <v>769017.85714356077</v>
      </c>
      <c r="EQ145" s="368">
        <f t="shared" ref="EQ145" ca="1" si="476">EP149</f>
        <v>769017.85714356077</v>
      </c>
      <c r="ER145" s="368">
        <f t="shared" ref="ER145" ca="1" si="477">EQ149</f>
        <v>769017.85714356077</v>
      </c>
      <c r="ES145" s="368">
        <f t="shared" ref="ES145" ca="1" si="478">ER149</f>
        <v>769017.85714356077</v>
      </c>
      <c r="ET145" s="368">
        <f t="shared" ref="ET145" ca="1" si="479">ES149</f>
        <v>769017.85714356077</v>
      </c>
      <c r="EU145" s="368">
        <f t="shared" ref="EU145" ca="1" si="480">ET149</f>
        <v>769017.85714356077</v>
      </c>
      <c r="EV145" s="368">
        <f t="shared" ref="EV145" ca="1" si="481">EU149</f>
        <v>769017.85714356077</v>
      </c>
      <c r="EW145" s="368">
        <f t="shared" ref="EW145" ca="1" si="482">EV149</f>
        <v>769017.85714356077</v>
      </c>
      <c r="EX145" s="368">
        <f t="shared" ref="EX145" ca="1" si="483">EW149</f>
        <v>769017.85714356077</v>
      </c>
      <c r="EY145" s="368">
        <f t="shared" ref="EY145" ca="1" si="484">EX149</f>
        <v>769017.85714356077</v>
      </c>
      <c r="EZ145" s="368">
        <f t="shared" ref="EZ145" ca="1" si="485">EY149</f>
        <v>769017.85714356077</v>
      </c>
      <c r="FA145" s="368">
        <f t="shared" ref="FA145" ca="1" si="486">EZ149</f>
        <v>769017.85714356077</v>
      </c>
      <c r="FB145" s="368">
        <f t="shared" ref="FB145" ca="1" si="487">FA149</f>
        <v>769017.85714356077</v>
      </c>
      <c r="FC145" s="368">
        <f t="shared" ref="FC145" ca="1" si="488">FB149</f>
        <v>769017.85714356077</v>
      </c>
      <c r="FD145" s="368">
        <f t="shared" ref="FD145" ca="1" si="489">FC149</f>
        <v>769017.85714356077</v>
      </c>
      <c r="FE145" s="368">
        <f t="shared" ref="FE145" ca="1" si="490">FD149</f>
        <v>769017.85714356077</v>
      </c>
      <c r="FF145" s="368">
        <f t="shared" ref="FF145" ca="1" si="491">FE149</f>
        <v>769017.85714356077</v>
      </c>
      <c r="FH145" s="232">
        <v>0</v>
      </c>
      <c r="FI145" s="232">
        <f ca="1">FH149</f>
        <v>769017.85714356077</v>
      </c>
      <c r="FJ145" s="232">
        <f t="shared" ref="FJ145:FU145" ca="1" si="492">FI149</f>
        <v>769017.85714356077</v>
      </c>
      <c r="FK145" s="232">
        <f t="shared" ca="1" si="492"/>
        <v>769017.85714356077</v>
      </c>
      <c r="FL145" s="232">
        <f t="shared" ca="1" si="492"/>
        <v>769017.85714356077</v>
      </c>
      <c r="FM145" s="232">
        <f t="shared" ca="1" si="492"/>
        <v>769017.85714356077</v>
      </c>
      <c r="FN145" s="232">
        <f t="shared" ca="1" si="492"/>
        <v>769017.85714356077</v>
      </c>
      <c r="FO145" s="232">
        <f t="shared" ca="1" si="492"/>
        <v>769017.85714356077</v>
      </c>
      <c r="FP145" s="232">
        <f t="shared" ca="1" si="492"/>
        <v>769017.85714356077</v>
      </c>
      <c r="FQ145" s="232">
        <f t="shared" ca="1" si="492"/>
        <v>769017.85714356077</v>
      </c>
      <c r="FR145" s="232">
        <f t="shared" ca="1" si="492"/>
        <v>769017.85714356077</v>
      </c>
      <c r="FS145" s="232">
        <f t="shared" ca="1" si="492"/>
        <v>769017.85714356077</v>
      </c>
      <c r="FT145" s="232">
        <f t="shared" ca="1" si="492"/>
        <v>769017.85714356077</v>
      </c>
      <c r="FU145" s="232">
        <f t="shared" ca="1" si="492"/>
        <v>769017.85714356077</v>
      </c>
    </row>
    <row r="146" spans="1:177" s="372" customFormat="1" ht="18" x14ac:dyDescent="0.3">
      <c r="A146" s="374"/>
      <c r="C146" s="373" t="s">
        <v>199</v>
      </c>
      <c r="E146" s="373">
        <f>SUM(F146:FF146)</f>
        <v>769017.85714356077</v>
      </c>
      <c r="F146" s="389">
        <f>D26</f>
        <v>769017.85714356077</v>
      </c>
      <c r="G146" s="368">
        <v>0</v>
      </c>
      <c r="H146" s="368">
        <v>0</v>
      </c>
      <c r="I146" s="368">
        <v>0</v>
      </c>
      <c r="J146" s="368">
        <v>0</v>
      </c>
      <c r="K146" s="368">
        <v>0</v>
      </c>
      <c r="L146" s="368">
        <v>0</v>
      </c>
      <c r="M146" s="368">
        <v>0</v>
      </c>
      <c r="N146" s="368">
        <v>0</v>
      </c>
      <c r="O146" s="368">
        <v>0</v>
      </c>
      <c r="P146" s="368">
        <v>0</v>
      </c>
      <c r="Q146" s="368">
        <v>0</v>
      </c>
      <c r="R146" s="368">
        <v>0</v>
      </c>
      <c r="S146" s="368">
        <v>0</v>
      </c>
      <c r="T146" s="368">
        <v>0</v>
      </c>
      <c r="U146" s="368">
        <v>0</v>
      </c>
      <c r="V146" s="368">
        <v>0</v>
      </c>
      <c r="W146" s="368">
        <v>0</v>
      </c>
      <c r="X146" s="368">
        <v>0</v>
      </c>
      <c r="Y146" s="368">
        <v>0</v>
      </c>
      <c r="Z146" s="368">
        <v>0</v>
      </c>
      <c r="AA146" s="368">
        <v>0</v>
      </c>
      <c r="AB146" s="368">
        <v>0</v>
      </c>
      <c r="AC146" s="368">
        <v>0</v>
      </c>
      <c r="AD146" s="368">
        <v>0</v>
      </c>
      <c r="AE146" s="368">
        <v>0</v>
      </c>
      <c r="AF146" s="368">
        <v>0</v>
      </c>
      <c r="AG146" s="368">
        <v>0</v>
      </c>
      <c r="AH146" s="368">
        <v>0</v>
      </c>
      <c r="AI146" s="368">
        <v>0</v>
      </c>
      <c r="AJ146" s="368">
        <v>0</v>
      </c>
      <c r="AK146" s="368">
        <v>0</v>
      </c>
      <c r="AL146" s="368">
        <v>0</v>
      </c>
      <c r="AM146" s="368">
        <v>0</v>
      </c>
      <c r="AN146" s="368">
        <v>0</v>
      </c>
      <c r="AO146" s="368">
        <v>0</v>
      </c>
      <c r="AP146" s="368">
        <v>0</v>
      </c>
      <c r="AQ146" s="368">
        <v>0</v>
      </c>
      <c r="AR146" s="368">
        <v>0</v>
      </c>
      <c r="AS146" s="368">
        <v>0</v>
      </c>
      <c r="AT146" s="368">
        <v>0</v>
      </c>
      <c r="AU146" s="368">
        <v>0</v>
      </c>
      <c r="AV146" s="368">
        <v>0</v>
      </c>
      <c r="AW146" s="368">
        <v>0</v>
      </c>
      <c r="AX146" s="368">
        <v>0</v>
      </c>
      <c r="AY146" s="368">
        <v>0</v>
      </c>
      <c r="AZ146" s="368">
        <v>0</v>
      </c>
      <c r="BA146" s="368">
        <v>0</v>
      </c>
      <c r="BB146" s="368">
        <v>0</v>
      </c>
      <c r="BC146" s="368">
        <v>0</v>
      </c>
      <c r="BD146" s="368">
        <v>0</v>
      </c>
      <c r="BE146" s="368">
        <v>0</v>
      </c>
      <c r="BF146" s="368">
        <v>0</v>
      </c>
      <c r="BG146" s="368">
        <v>0</v>
      </c>
      <c r="BH146" s="368">
        <v>0</v>
      </c>
      <c r="BI146" s="368">
        <v>0</v>
      </c>
      <c r="BJ146" s="368">
        <v>0</v>
      </c>
      <c r="BK146" s="368">
        <v>0</v>
      </c>
      <c r="BL146" s="368">
        <v>0</v>
      </c>
      <c r="BM146" s="368">
        <v>0</v>
      </c>
      <c r="BN146" s="368">
        <v>0</v>
      </c>
      <c r="BO146" s="368">
        <v>0</v>
      </c>
      <c r="BP146" s="368">
        <v>0</v>
      </c>
      <c r="BQ146" s="368">
        <v>0</v>
      </c>
      <c r="BR146" s="368">
        <v>0</v>
      </c>
      <c r="BS146" s="368">
        <v>0</v>
      </c>
      <c r="BT146" s="368">
        <v>0</v>
      </c>
      <c r="BU146" s="368">
        <v>0</v>
      </c>
      <c r="BV146" s="368">
        <v>0</v>
      </c>
      <c r="BW146" s="368">
        <v>0</v>
      </c>
      <c r="BX146" s="368">
        <v>0</v>
      </c>
      <c r="BY146" s="368">
        <v>0</v>
      </c>
      <c r="BZ146" s="368">
        <v>0</v>
      </c>
      <c r="CA146" s="368">
        <v>0</v>
      </c>
      <c r="CB146" s="368">
        <v>0</v>
      </c>
      <c r="CC146" s="368">
        <v>0</v>
      </c>
      <c r="CD146" s="368">
        <v>0</v>
      </c>
      <c r="CE146" s="368">
        <v>0</v>
      </c>
      <c r="CF146" s="368">
        <v>0</v>
      </c>
      <c r="CG146" s="368">
        <v>0</v>
      </c>
      <c r="CH146" s="368">
        <v>0</v>
      </c>
      <c r="CI146" s="368">
        <v>0</v>
      </c>
      <c r="CJ146" s="368">
        <v>0</v>
      </c>
      <c r="CK146" s="368">
        <v>0</v>
      </c>
      <c r="CL146" s="368">
        <v>0</v>
      </c>
      <c r="CM146" s="368">
        <v>0</v>
      </c>
      <c r="CN146" s="368">
        <v>0</v>
      </c>
      <c r="CO146" s="368">
        <v>0</v>
      </c>
      <c r="CP146" s="368">
        <v>0</v>
      </c>
      <c r="CQ146" s="368">
        <v>0</v>
      </c>
      <c r="CR146" s="368">
        <v>0</v>
      </c>
      <c r="CS146" s="368">
        <v>0</v>
      </c>
      <c r="CT146" s="368">
        <v>0</v>
      </c>
      <c r="CU146" s="368">
        <v>0</v>
      </c>
      <c r="CV146" s="368">
        <v>0</v>
      </c>
      <c r="CW146" s="368">
        <v>0</v>
      </c>
      <c r="CX146" s="368">
        <v>0</v>
      </c>
      <c r="CY146" s="368">
        <v>0</v>
      </c>
      <c r="CZ146" s="368">
        <v>0</v>
      </c>
      <c r="DA146" s="368">
        <v>0</v>
      </c>
      <c r="DB146" s="368">
        <v>0</v>
      </c>
      <c r="DC146" s="368">
        <v>0</v>
      </c>
      <c r="DD146" s="368">
        <v>0</v>
      </c>
      <c r="DE146" s="368">
        <v>0</v>
      </c>
      <c r="DF146" s="368">
        <v>0</v>
      </c>
      <c r="DG146" s="368">
        <v>0</v>
      </c>
      <c r="DH146" s="368">
        <v>0</v>
      </c>
      <c r="DI146" s="368">
        <v>0</v>
      </c>
      <c r="DJ146" s="368">
        <v>0</v>
      </c>
      <c r="DK146" s="368">
        <v>0</v>
      </c>
      <c r="DL146" s="368">
        <v>0</v>
      </c>
      <c r="DM146" s="368">
        <v>0</v>
      </c>
      <c r="DN146" s="368">
        <v>0</v>
      </c>
      <c r="DO146" s="368">
        <v>0</v>
      </c>
      <c r="DP146" s="368">
        <v>0</v>
      </c>
      <c r="DQ146" s="368">
        <v>0</v>
      </c>
      <c r="DR146" s="368">
        <v>0</v>
      </c>
      <c r="DS146" s="368">
        <v>0</v>
      </c>
      <c r="DT146" s="368">
        <v>0</v>
      </c>
      <c r="DU146" s="368">
        <v>0</v>
      </c>
      <c r="DV146" s="368">
        <v>0</v>
      </c>
      <c r="DW146" s="368">
        <v>0</v>
      </c>
      <c r="DX146" s="368">
        <v>0</v>
      </c>
      <c r="DY146" s="368">
        <v>0</v>
      </c>
      <c r="DZ146" s="368">
        <v>0</v>
      </c>
      <c r="EA146" s="368">
        <v>0</v>
      </c>
      <c r="EB146" s="368">
        <v>0</v>
      </c>
      <c r="EC146" s="368">
        <v>0</v>
      </c>
      <c r="ED146" s="368">
        <v>0</v>
      </c>
      <c r="EE146" s="368">
        <v>0</v>
      </c>
      <c r="EF146" s="368">
        <v>0</v>
      </c>
      <c r="EG146" s="368">
        <v>0</v>
      </c>
      <c r="EH146" s="368">
        <v>0</v>
      </c>
      <c r="EI146" s="368">
        <v>0</v>
      </c>
      <c r="EJ146" s="368">
        <v>0</v>
      </c>
      <c r="EK146" s="368">
        <v>0</v>
      </c>
      <c r="EL146" s="368">
        <v>0</v>
      </c>
      <c r="EM146" s="368">
        <v>0</v>
      </c>
      <c r="EN146" s="368">
        <v>0</v>
      </c>
      <c r="EO146" s="368">
        <v>0</v>
      </c>
      <c r="EP146" s="368">
        <v>0</v>
      </c>
      <c r="EQ146" s="368">
        <v>0</v>
      </c>
      <c r="ER146" s="368">
        <v>0</v>
      </c>
      <c r="ES146" s="368">
        <v>0</v>
      </c>
      <c r="ET146" s="368">
        <v>0</v>
      </c>
      <c r="EU146" s="368">
        <v>0</v>
      </c>
      <c r="EV146" s="368">
        <v>0</v>
      </c>
      <c r="EW146" s="368">
        <v>0</v>
      </c>
      <c r="EX146" s="368">
        <v>0</v>
      </c>
      <c r="EY146" s="368">
        <v>0</v>
      </c>
      <c r="EZ146" s="368">
        <v>0</v>
      </c>
      <c r="FA146" s="368">
        <v>0</v>
      </c>
      <c r="FB146" s="368">
        <v>0</v>
      </c>
      <c r="FC146" s="368">
        <v>0</v>
      </c>
      <c r="FD146" s="368">
        <v>0</v>
      </c>
      <c r="FE146" s="368">
        <v>0</v>
      </c>
      <c r="FF146" s="368">
        <v>0</v>
      </c>
      <c r="FH146" s="232">
        <f t="shared" ref="FH146:FU148" si="493">SUMIF($F$54:$FF$54,FH$54,$F146:$FF146)</f>
        <v>769017.85714356077</v>
      </c>
      <c r="FI146" s="232">
        <f t="shared" si="493"/>
        <v>0</v>
      </c>
      <c r="FJ146" s="232">
        <f t="shared" si="493"/>
        <v>0</v>
      </c>
      <c r="FK146" s="232">
        <f t="shared" si="493"/>
        <v>0</v>
      </c>
      <c r="FL146" s="232">
        <f t="shared" si="493"/>
        <v>0</v>
      </c>
      <c r="FM146" s="232">
        <f t="shared" si="493"/>
        <v>0</v>
      </c>
      <c r="FN146" s="232">
        <f t="shared" si="493"/>
        <v>0</v>
      </c>
      <c r="FO146" s="232">
        <f t="shared" si="493"/>
        <v>0</v>
      </c>
      <c r="FP146" s="232">
        <f t="shared" si="493"/>
        <v>0</v>
      </c>
      <c r="FQ146" s="232">
        <f t="shared" si="493"/>
        <v>0</v>
      </c>
      <c r="FR146" s="232">
        <f t="shared" si="493"/>
        <v>0</v>
      </c>
      <c r="FS146" s="232">
        <f t="shared" si="493"/>
        <v>0</v>
      </c>
      <c r="FT146" s="232">
        <f t="shared" si="493"/>
        <v>0</v>
      </c>
      <c r="FU146" s="232">
        <f t="shared" si="493"/>
        <v>0</v>
      </c>
    </row>
    <row r="147" spans="1:177" s="372" customFormat="1" ht="18" x14ac:dyDescent="0.3">
      <c r="A147" s="374" t="e">
        <v>#REF!</v>
      </c>
      <c r="C147" s="373" t="s">
        <v>232</v>
      </c>
      <c r="E147" s="373">
        <f t="shared" ref="E147:E148" ca="1" si="494">SUM(F147:FF147)</f>
        <v>0</v>
      </c>
      <c r="F147" s="389">
        <f t="shared" ref="F147:AK147" si="495">F145*((1+$C$47)^(DAY(F55)/365)-1)</f>
        <v>0</v>
      </c>
      <c r="G147" s="368">
        <f t="shared" ca="1" si="495"/>
        <v>0</v>
      </c>
      <c r="H147" s="368">
        <f t="shared" ca="1" si="495"/>
        <v>0</v>
      </c>
      <c r="I147" s="368">
        <f t="shared" ca="1" si="495"/>
        <v>0</v>
      </c>
      <c r="J147" s="368">
        <f t="shared" ca="1" si="495"/>
        <v>0</v>
      </c>
      <c r="K147" s="368">
        <f t="shared" ca="1" si="495"/>
        <v>0</v>
      </c>
      <c r="L147" s="368">
        <f t="shared" ca="1" si="495"/>
        <v>0</v>
      </c>
      <c r="M147" s="368">
        <f t="shared" ca="1" si="495"/>
        <v>0</v>
      </c>
      <c r="N147" s="368">
        <f t="shared" ca="1" si="495"/>
        <v>0</v>
      </c>
      <c r="O147" s="368">
        <f t="shared" ca="1" si="495"/>
        <v>0</v>
      </c>
      <c r="P147" s="368">
        <f t="shared" ca="1" si="495"/>
        <v>0</v>
      </c>
      <c r="Q147" s="368">
        <f t="shared" ca="1" si="495"/>
        <v>0</v>
      </c>
      <c r="R147" s="368">
        <f t="shared" ca="1" si="495"/>
        <v>0</v>
      </c>
      <c r="S147" s="368">
        <f t="shared" ca="1" si="495"/>
        <v>0</v>
      </c>
      <c r="T147" s="368">
        <f t="shared" ca="1" si="495"/>
        <v>0</v>
      </c>
      <c r="U147" s="368">
        <f t="shared" ca="1" si="495"/>
        <v>0</v>
      </c>
      <c r="V147" s="368">
        <f t="shared" ca="1" si="495"/>
        <v>0</v>
      </c>
      <c r="W147" s="368">
        <f t="shared" ca="1" si="495"/>
        <v>0</v>
      </c>
      <c r="X147" s="368">
        <f t="shared" ca="1" si="495"/>
        <v>0</v>
      </c>
      <c r="Y147" s="368">
        <f t="shared" ca="1" si="495"/>
        <v>0</v>
      </c>
      <c r="Z147" s="368">
        <f t="shared" ca="1" si="495"/>
        <v>0</v>
      </c>
      <c r="AA147" s="368">
        <f t="shared" ca="1" si="495"/>
        <v>0</v>
      </c>
      <c r="AB147" s="368">
        <f t="shared" ca="1" si="495"/>
        <v>0</v>
      </c>
      <c r="AC147" s="368">
        <f t="shared" ca="1" si="495"/>
        <v>0</v>
      </c>
      <c r="AD147" s="368">
        <f t="shared" ca="1" si="495"/>
        <v>0</v>
      </c>
      <c r="AE147" s="368">
        <f t="shared" ca="1" si="495"/>
        <v>0</v>
      </c>
      <c r="AF147" s="368">
        <f t="shared" ca="1" si="495"/>
        <v>0</v>
      </c>
      <c r="AG147" s="368">
        <f t="shared" ca="1" si="495"/>
        <v>0</v>
      </c>
      <c r="AH147" s="368">
        <f t="shared" ca="1" si="495"/>
        <v>0</v>
      </c>
      <c r="AI147" s="368">
        <f t="shared" ca="1" si="495"/>
        <v>0</v>
      </c>
      <c r="AJ147" s="368">
        <f t="shared" ca="1" si="495"/>
        <v>0</v>
      </c>
      <c r="AK147" s="368">
        <f t="shared" ca="1" si="495"/>
        <v>0</v>
      </c>
      <c r="AL147" s="368">
        <f t="shared" ref="AL147:BQ147" ca="1" si="496">AL145*((1+$C$47)^(DAY(AL55)/365)-1)</f>
        <v>0</v>
      </c>
      <c r="AM147" s="368">
        <f t="shared" ca="1" si="496"/>
        <v>0</v>
      </c>
      <c r="AN147" s="368">
        <f t="shared" ca="1" si="496"/>
        <v>0</v>
      </c>
      <c r="AO147" s="368">
        <f t="shared" ca="1" si="496"/>
        <v>0</v>
      </c>
      <c r="AP147" s="368">
        <f t="shared" ca="1" si="496"/>
        <v>0</v>
      </c>
      <c r="AQ147" s="368">
        <f t="shared" ca="1" si="496"/>
        <v>0</v>
      </c>
      <c r="AR147" s="368">
        <f t="shared" ca="1" si="496"/>
        <v>0</v>
      </c>
      <c r="AS147" s="368">
        <f t="shared" ca="1" si="496"/>
        <v>0</v>
      </c>
      <c r="AT147" s="368">
        <f t="shared" ca="1" si="496"/>
        <v>0</v>
      </c>
      <c r="AU147" s="368">
        <f t="shared" ca="1" si="496"/>
        <v>0</v>
      </c>
      <c r="AV147" s="368">
        <f t="shared" ca="1" si="496"/>
        <v>0</v>
      </c>
      <c r="AW147" s="368">
        <f t="shared" ca="1" si="496"/>
        <v>0</v>
      </c>
      <c r="AX147" s="368">
        <f t="shared" ca="1" si="496"/>
        <v>0</v>
      </c>
      <c r="AY147" s="368">
        <f t="shared" ca="1" si="496"/>
        <v>0</v>
      </c>
      <c r="AZ147" s="368">
        <f t="shared" ca="1" si="496"/>
        <v>0</v>
      </c>
      <c r="BA147" s="368">
        <f t="shared" ca="1" si="496"/>
        <v>0</v>
      </c>
      <c r="BB147" s="368">
        <f t="shared" ca="1" si="496"/>
        <v>0</v>
      </c>
      <c r="BC147" s="368">
        <f t="shared" ca="1" si="496"/>
        <v>0</v>
      </c>
      <c r="BD147" s="368">
        <f t="shared" ca="1" si="496"/>
        <v>0</v>
      </c>
      <c r="BE147" s="368">
        <f t="shared" ca="1" si="496"/>
        <v>0</v>
      </c>
      <c r="BF147" s="368">
        <f t="shared" ca="1" si="496"/>
        <v>0</v>
      </c>
      <c r="BG147" s="368">
        <f t="shared" ca="1" si="496"/>
        <v>0</v>
      </c>
      <c r="BH147" s="368">
        <f t="shared" ca="1" si="496"/>
        <v>0</v>
      </c>
      <c r="BI147" s="368">
        <f t="shared" ca="1" si="496"/>
        <v>0</v>
      </c>
      <c r="BJ147" s="368">
        <f t="shared" ca="1" si="496"/>
        <v>0</v>
      </c>
      <c r="BK147" s="368">
        <f t="shared" ca="1" si="496"/>
        <v>0</v>
      </c>
      <c r="BL147" s="368">
        <f t="shared" ca="1" si="496"/>
        <v>0</v>
      </c>
      <c r="BM147" s="368">
        <f t="shared" ca="1" si="496"/>
        <v>0</v>
      </c>
      <c r="BN147" s="368">
        <f t="shared" ca="1" si="496"/>
        <v>0</v>
      </c>
      <c r="BO147" s="368">
        <f t="shared" ca="1" si="496"/>
        <v>0</v>
      </c>
      <c r="BP147" s="368">
        <f t="shared" ca="1" si="496"/>
        <v>0</v>
      </c>
      <c r="BQ147" s="368">
        <f t="shared" ca="1" si="496"/>
        <v>0</v>
      </c>
      <c r="BR147" s="368">
        <f t="shared" ref="BR147:CW147" ca="1" si="497">BR145*((1+$C$47)^(DAY(BR55)/365)-1)</f>
        <v>0</v>
      </c>
      <c r="BS147" s="368">
        <f t="shared" ca="1" si="497"/>
        <v>0</v>
      </c>
      <c r="BT147" s="368">
        <f t="shared" ca="1" si="497"/>
        <v>0</v>
      </c>
      <c r="BU147" s="368">
        <f t="shared" ca="1" si="497"/>
        <v>0</v>
      </c>
      <c r="BV147" s="368">
        <f t="shared" ca="1" si="497"/>
        <v>0</v>
      </c>
      <c r="BW147" s="368">
        <f t="shared" ca="1" si="497"/>
        <v>0</v>
      </c>
      <c r="BX147" s="368">
        <f t="shared" ca="1" si="497"/>
        <v>0</v>
      </c>
      <c r="BY147" s="368">
        <f t="shared" ca="1" si="497"/>
        <v>0</v>
      </c>
      <c r="BZ147" s="368">
        <f t="shared" ca="1" si="497"/>
        <v>0</v>
      </c>
      <c r="CA147" s="368">
        <f t="shared" ca="1" si="497"/>
        <v>0</v>
      </c>
      <c r="CB147" s="368">
        <f t="shared" ca="1" si="497"/>
        <v>0</v>
      </c>
      <c r="CC147" s="368">
        <f t="shared" ca="1" si="497"/>
        <v>0</v>
      </c>
      <c r="CD147" s="368">
        <f t="shared" ca="1" si="497"/>
        <v>0</v>
      </c>
      <c r="CE147" s="368">
        <f t="shared" ca="1" si="497"/>
        <v>0</v>
      </c>
      <c r="CF147" s="368">
        <f t="shared" ca="1" si="497"/>
        <v>0</v>
      </c>
      <c r="CG147" s="368">
        <f t="shared" ca="1" si="497"/>
        <v>0</v>
      </c>
      <c r="CH147" s="368">
        <f t="shared" ca="1" si="497"/>
        <v>0</v>
      </c>
      <c r="CI147" s="368">
        <f t="shared" ca="1" si="497"/>
        <v>0</v>
      </c>
      <c r="CJ147" s="368">
        <f t="shared" ca="1" si="497"/>
        <v>0</v>
      </c>
      <c r="CK147" s="368">
        <f t="shared" ca="1" si="497"/>
        <v>0</v>
      </c>
      <c r="CL147" s="368">
        <f t="shared" ca="1" si="497"/>
        <v>0</v>
      </c>
      <c r="CM147" s="368">
        <f t="shared" ca="1" si="497"/>
        <v>0</v>
      </c>
      <c r="CN147" s="368">
        <f t="shared" ca="1" si="497"/>
        <v>0</v>
      </c>
      <c r="CO147" s="368">
        <f t="shared" ca="1" si="497"/>
        <v>0</v>
      </c>
      <c r="CP147" s="368">
        <f t="shared" ca="1" si="497"/>
        <v>0</v>
      </c>
      <c r="CQ147" s="368">
        <f t="shared" ca="1" si="497"/>
        <v>0</v>
      </c>
      <c r="CR147" s="368">
        <f t="shared" ca="1" si="497"/>
        <v>0</v>
      </c>
      <c r="CS147" s="368">
        <f t="shared" ca="1" si="497"/>
        <v>0</v>
      </c>
      <c r="CT147" s="368">
        <f t="shared" ca="1" si="497"/>
        <v>0</v>
      </c>
      <c r="CU147" s="368">
        <f t="shared" ca="1" si="497"/>
        <v>0</v>
      </c>
      <c r="CV147" s="368">
        <f t="shared" ca="1" si="497"/>
        <v>0</v>
      </c>
      <c r="CW147" s="368">
        <f t="shared" ca="1" si="497"/>
        <v>0</v>
      </c>
      <c r="CX147" s="368">
        <f t="shared" ref="CX147:EC147" ca="1" si="498">CX145*((1+$C$47)^(DAY(CX55)/365)-1)</f>
        <v>0</v>
      </c>
      <c r="CY147" s="368">
        <f t="shared" ca="1" si="498"/>
        <v>0</v>
      </c>
      <c r="CZ147" s="368">
        <f t="shared" ca="1" si="498"/>
        <v>0</v>
      </c>
      <c r="DA147" s="368">
        <f t="shared" ca="1" si="498"/>
        <v>0</v>
      </c>
      <c r="DB147" s="368">
        <f t="shared" ca="1" si="498"/>
        <v>0</v>
      </c>
      <c r="DC147" s="368">
        <f t="shared" ca="1" si="498"/>
        <v>0</v>
      </c>
      <c r="DD147" s="368">
        <f t="shared" ca="1" si="498"/>
        <v>0</v>
      </c>
      <c r="DE147" s="368">
        <f t="shared" ca="1" si="498"/>
        <v>0</v>
      </c>
      <c r="DF147" s="368">
        <f t="shared" ca="1" si="498"/>
        <v>0</v>
      </c>
      <c r="DG147" s="368">
        <f t="shared" ca="1" si="498"/>
        <v>0</v>
      </c>
      <c r="DH147" s="368">
        <f t="shared" ca="1" si="498"/>
        <v>0</v>
      </c>
      <c r="DI147" s="368">
        <f t="shared" ca="1" si="498"/>
        <v>0</v>
      </c>
      <c r="DJ147" s="368">
        <f t="shared" ca="1" si="498"/>
        <v>0</v>
      </c>
      <c r="DK147" s="368">
        <f t="shared" ca="1" si="498"/>
        <v>0</v>
      </c>
      <c r="DL147" s="368">
        <f t="shared" ca="1" si="498"/>
        <v>0</v>
      </c>
      <c r="DM147" s="368">
        <f t="shared" ca="1" si="498"/>
        <v>0</v>
      </c>
      <c r="DN147" s="368">
        <f t="shared" ca="1" si="498"/>
        <v>0</v>
      </c>
      <c r="DO147" s="368">
        <f t="shared" ca="1" si="498"/>
        <v>0</v>
      </c>
      <c r="DP147" s="368">
        <f t="shared" ca="1" si="498"/>
        <v>0</v>
      </c>
      <c r="DQ147" s="368">
        <f t="shared" ca="1" si="498"/>
        <v>0</v>
      </c>
      <c r="DR147" s="368">
        <f t="shared" ca="1" si="498"/>
        <v>0</v>
      </c>
      <c r="DS147" s="368">
        <f t="shared" ca="1" si="498"/>
        <v>0</v>
      </c>
      <c r="DT147" s="368">
        <f t="shared" ca="1" si="498"/>
        <v>0</v>
      </c>
      <c r="DU147" s="368">
        <f t="shared" ca="1" si="498"/>
        <v>0</v>
      </c>
      <c r="DV147" s="368">
        <f t="shared" ca="1" si="498"/>
        <v>0</v>
      </c>
      <c r="DW147" s="368">
        <f t="shared" ca="1" si="498"/>
        <v>0</v>
      </c>
      <c r="DX147" s="368">
        <f t="shared" ca="1" si="498"/>
        <v>0</v>
      </c>
      <c r="DY147" s="368">
        <f t="shared" ca="1" si="498"/>
        <v>0</v>
      </c>
      <c r="DZ147" s="368">
        <f t="shared" ca="1" si="498"/>
        <v>0</v>
      </c>
      <c r="EA147" s="368">
        <f t="shared" ca="1" si="498"/>
        <v>0</v>
      </c>
      <c r="EB147" s="368">
        <f t="shared" ca="1" si="498"/>
        <v>0</v>
      </c>
      <c r="EC147" s="368">
        <f t="shared" ca="1" si="498"/>
        <v>0</v>
      </c>
      <c r="ED147" s="368">
        <f t="shared" ref="ED147:FF147" ca="1" si="499">ED145*((1+$C$47)^(DAY(ED55)/365)-1)</f>
        <v>0</v>
      </c>
      <c r="EE147" s="368">
        <f t="shared" ca="1" si="499"/>
        <v>0</v>
      </c>
      <c r="EF147" s="368">
        <f t="shared" ca="1" si="499"/>
        <v>0</v>
      </c>
      <c r="EG147" s="368">
        <f t="shared" ca="1" si="499"/>
        <v>0</v>
      </c>
      <c r="EH147" s="368">
        <f t="shared" ca="1" si="499"/>
        <v>0</v>
      </c>
      <c r="EI147" s="368">
        <f t="shared" ca="1" si="499"/>
        <v>0</v>
      </c>
      <c r="EJ147" s="368">
        <f t="shared" ca="1" si="499"/>
        <v>0</v>
      </c>
      <c r="EK147" s="368">
        <f t="shared" ca="1" si="499"/>
        <v>0</v>
      </c>
      <c r="EL147" s="368">
        <f t="shared" ca="1" si="499"/>
        <v>0</v>
      </c>
      <c r="EM147" s="368">
        <f t="shared" ca="1" si="499"/>
        <v>0</v>
      </c>
      <c r="EN147" s="368">
        <f t="shared" ca="1" si="499"/>
        <v>0</v>
      </c>
      <c r="EO147" s="368">
        <f t="shared" ca="1" si="499"/>
        <v>0</v>
      </c>
      <c r="EP147" s="368">
        <f t="shared" ca="1" si="499"/>
        <v>0</v>
      </c>
      <c r="EQ147" s="368">
        <f t="shared" ca="1" si="499"/>
        <v>0</v>
      </c>
      <c r="ER147" s="368">
        <f t="shared" ca="1" si="499"/>
        <v>0</v>
      </c>
      <c r="ES147" s="368">
        <f t="shared" ca="1" si="499"/>
        <v>0</v>
      </c>
      <c r="ET147" s="368">
        <f t="shared" ca="1" si="499"/>
        <v>0</v>
      </c>
      <c r="EU147" s="368">
        <f t="shared" ca="1" si="499"/>
        <v>0</v>
      </c>
      <c r="EV147" s="368">
        <f t="shared" ca="1" si="499"/>
        <v>0</v>
      </c>
      <c r="EW147" s="368">
        <f t="shared" ca="1" si="499"/>
        <v>0</v>
      </c>
      <c r="EX147" s="368">
        <f t="shared" ca="1" si="499"/>
        <v>0</v>
      </c>
      <c r="EY147" s="368">
        <f t="shared" ca="1" si="499"/>
        <v>0</v>
      </c>
      <c r="EZ147" s="368">
        <f t="shared" ca="1" si="499"/>
        <v>0</v>
      </c>
      <c r="FA147" s="368">
        <f t="shared" ca="1" si="499"/>
        <v>0</v>
      </c>
      <c r="FB147" s="368">
        <f t="shared" ca="1" si="499"/>
        <v>0</v>
      </c>
      <c r="FC147" s="368">
        <f t="shared" ca="1" si="499"/>
        <v>0</v>
      </c>
      <c r="FD147" s="368">
        <f t="shared" ca="1" si="499"/>
        <v>0</v>
      </c>
      <c r="FE147" s="368">
        <f t="shared" ca="1" si="499"/>
        <v>0</v>
      </c>
      <c r="FF147" s="368">
        <f t="shared" ca="1" si="499"/>
        <v>0</v>
      </c>
      <c r="FH147" s="232">
        <f t="shared" ca="1" si="493"/>
        <v>0</v>
      </c>
      <c r="FI147" s="232">
        <f t="shared" ca="1" si="493"/>
        <v>0</v>
      </c>
      <c r="FJ147" s="232">
        <f t="shared" ca="1" si="493"/>
        <v>0</v>
      </c>
      <c r="FK147" s="232">
        <f t="shared" ca="1" si="493"/>
        <v>0</v>
      </c>
      <c r="FL147" s="232">
        <f t="shared" ca="1" si="493"/>
        <v>0</v>
      </c>
      <c r="FM147" s="232">
        <f t="shared" ca="1" si="493"/>
        <v>0</v>
      </c>
      <c r="FN147" s="232">
        <f t="shared" ca="1" si="493"/>
        <v>0</v>
      </c>
      <c r="FO147" s="232">
        <f t="shared" ca="1" si="493"/>
        <v>0</v>
      </c>
      <c r="FP147" s="232">
        <f t="shared" ca="1" si="493"/>
        <v>0</v>
      </c>
      <c r="FQ147" s="232">
        <f t="shared" ca="1" si="493"/>
        <v>0</v>
      </c>
      <c r="FR147" s="232">
        <f t="shared" ca="1" si="493"/>
        <v>0</v>
      </c>
      <c r="FS147" s="232">
        <f t="shared" ca="1" si="493"/>
        <v>0</v>
      </c>
      <c r="FT147" s="232">
        <f t="shared" ca="1" si="493"/>
        <v>0</v>
      </c>
      <c r="FU147" s="232">
        <f t="shared" ca="1" si="493"/>
        <v>0</v>
      </c>
    </row>
    <row r="148" spans="1:177" s="372" customFormat="1" ht="18" x14ac:dyDescent="0.3">
      <c r="C148" s="373" t="s">
        <v>233</v>
      </c>
      <c r="E148" s="373">
        <f t="shared" ca="1" si="494"/>
        <v>0</v>
      </c>
      <c r="F148" s="389">
        <f t="shared" ref="F148:AK148" ca="1" si="500">-MIN(SUM(F145:F147),F141*(F141&gt;0)*$D$47)</f>
        <v>0</v>
      </c>
      <c r="G148" s="368">
        <f t="shared" ca="1" si="500"/>
        <v>0</v>
      </c>
      <c r="H148" s="368">
        <f t="shared" ca="1" si="500"/>
        <v>0</v>
      </c>
      <c r="I148" s="368">
        <f t="shared" ca="1" si="500"/>
        <v>0</v>
      </c>
      <c r="J148" s="368">
        <f t="shared" ca="1" si="500"/>
        <v>0</v>
      </c>
      <c r="K148" s="368">
        <f t="shared" ca="1" si="500"/>
        <v>0</v>
      </c>
      <c r="L148" s="368">
        <f t="shared" ca="1" si="500"/>
        <v>0</v>
      </c>
      <c r="M148" s="368">
        <f t="shared" ca="1" si="500"/>
        <v>0</v>
      </c>
      <c r="N148" s="368">
        <f t="shared" ca="1" si="500"/>
        <v>0</v>
      </c>
      <c r="O148" s="368">
        <f t="shared" ca="1" si="500"/>
        <v>0</v>
      </c>
      <c r="P148" s="368">
        <f t="shared" ca="1" si="500"/>
        <v>0</v>
      </c>
      <c r="Q148" s="368">
        <f t="shared" ca="1" si="500"/>
        <v>0</v>
      </c>
      <c r="R148" s="368">
        <f t="shared" ca="1" si="500"/>
        <v>0</v>
      </c>
      <c r="S148" s="368">
        <f t="shared" ca="1" si="500"/>
        <v>0</v>
      </c>
      <c r="T148" s="368">
        <f t="shared" ca="1" si="500"/>
        <v>0</v>
      </c>
      <c r="U148" s="368">
        <f t="shared" ca="1" si="500"/>
        <v>0</v>
      </c>
      <c r="V148" s="368">
        <f t="shared" ca="1" si="500"/>
        <v>0</v>
      </c>
      <c r="W148" s="368">
        <f t="shared" ca="1" si="500"/>
        <v>0</v>
      </c>
      <c r="X148" s="368">
        <f t="shared" ca="1" si="500"/>
        <v>0</v>
      </c>
      <c r="Y148" s="368">
        <f t="shared" ca="1" si="500"/>
        <v>0</v>
      </c>
      <c r="Z148" s="368">
        <f t="shared" ca="1" si="500"/>
        <v>0</v>
      </c>
      <c r="AA148" s="368">
        <f t="shared" ca="1" si="500"/>
        <v>0</v>
      </c>
      <c r="AB148" s="368">
        <f t="shared" ca="1" si="500"/>
        <v>0</v>
      </c>
      <c r="AC148" s="368">
        <f t="shared" ca="1" si="500"/>
        <v>0</v>
      </c>
      <c r="AD148" s="368">
        <f t="shared" ca="1" si="500"/>
        <v>0</v>
      </c>
      <c r="AE148" s="368">
        <f t="shared" ca="1" si="500"/>
        <v>0</v>
      </c>
      <c r="AF148" s="368">
        <f t="shared" ca="1" si="500"/>
        <v>0</v>
      </c>
      <c r="AG148" s="368">
        <f t="shared" ca="1" si="500"/>
        <v>0</v>
      </c>
      <c r="AH148" s="368">
        <f t="shared" ca="1" si="500"/>
        <v>0</v>
      </c>
      <c r="AI148" s="368">
        <f t="shared" ca="1" si="500"/>
        <v>0</v>
      </c>
      <c r="AJ148" s="368">
        <f t="shared" ca="1" si="500"/>
        <v>0</v>
      </c>
      <c r="AK148" s="368">
        <f t="shared" ca="1" si="500"/>
        <v>0</v>
      </c>
      <c r="AL148" s="368">
        <f t="shared" ref="AL148:BQ148" ca="1" si="501">-MIN(SUM(AL145:AL147),AL141*(AL141&gt;0)*$D$47)</f>
        <v>0</v>
      </c>
      <c r="AM148" s="368">
        <f t="shared" ca="1" si="501"/>
        <v>0</v>
      </c>
      <c r="AN148" s="368">
        <f t="shared" ca="1" si="501"/>
        <v>0</v>
      </c>
      <c r="AO148" s="368">
        <f t="shared" ca="1" si="501"/>
        <v>0</v>
      </c>
      <c r="AP148" s="368">
        <f t="shared" ca="1" si="501"/>
        <v>0</v>
      </c>
      <c r="AQ148" s="368">
        <f t="shared" ca="1" si="501"/>
        <v>0</v>
      </c>
      <c r="AR148" s="368">
        <f t="shared" ca="1" si="501"/>
        <v>0</v>
      </c>
      <c r="AS148" s="368">
        <f t="shared" ca="1" si="501"/>
        <v>0</v>
      </c>
      <c r="AT148" s="368">
        <f t="shared" ca="1" si="501"/>
        <v>0</v>
      </c>
      <c r="AU148" s="368">
        <f t="shared" ca="1" si="501"/>
        <v>0</v>
      </c>
      <c r="AV148" s="368">
        <f t="shared" ca="1" si="501"/>
        <v>0</v>
      </c>
      <c r="AW148" s="368">
        <f t="shared" ca="1" si="501"/>
        <v>0</v>
      </c>
      <c r="AX148" s="368">
        <f t="shared" ca="1" si="501"/>
        <v>0</v>
      </c>
      <c r="AY148" s="368">
        <f t="shared" ca="1" si="501"/>
        <v>0</v>
      </c>
      <c r="AZ148" s="368">
        <f t="shared" ca="1" si="501"/>
        <v>0</v>
      </c>
      <c r="BA148" s="368">
        <f t="shared" ca="1" si="501"/>
        <v>0</v>
      </c>
      <c r="BB148" s="368">
        <f t="shared" ca="1" si="501"/>
        <v>0</v>
      </c>
      <c r="BC148" s="368">
        <f t="shared" ca="1" si="501"/>
        <v>0</v>
      </c>
      <c r="BD148" s="368">
        <f t="shared" ca="1" si="501"/>
        <v>0</v>
      </c>
      <c r="BE148" s="368">
        <f t="shared" ca="1" si="501"/>
        <v>0</v>
      </c>
      <c r="BF148" s="368">
        <f t="shared" ca="1" si="501"/>
        <v>0</v>
      </c>
      <c r="BG148" s="368">
        <f t="shared" ca="1" si="501"/>
        <v>0</v>
      </c>
      <c r="BH148" s="368">
        <f t="shared" ca="1" si="501"/>
        <v>0</v>
      </c>
      <c r="BI148" s="368">
        <f t="shared" ca="1" si="501"/>
        <v>0</v>
      </c>
      <c r="BJ148" s="368">
        <f t="shared" ca="1" si="501"/>
        <v>0</v>
      </c>
      <c r="BK148" s="368">
        <f t="shared" ca="1" si="501"/>
        <v>0</v>
      </c>
      <c r="BL148" s="368">
        <f t="shared" ca="1" si="501"/>
        <v>0</v>
      </c>
      <c r="BM148" s="368">
        <f t="shared" ca="1" si="501"/>
        <v>0</v>
      </c>
      <c r="BN148" s="368">
        <f t="shared" ca="1" si="501"/>
        <v>0</v>
      </c>
      <c r="BO148" s="368">
        <f t="shared" ca="1" si="501"/>
        <v>0</v>
      </c>
      <c r="BP148" s="368">
        <f t="shared" ca="1" si="501"/>
        <v>0</v>
      </c>
      <c r="BQ148" s="368">
        <f t="shared" ca="1" si="501"/>
        <v>0</v>
      </c>
      <c r="BR148" s="368">
        <f t="shared" ref="BR148:CW148" ca="1" si="502">-MIN(SUM(BR145:BR147),BR141*(BR141&gt;0)*$D$47)</f>
        <v>0</v>
      </c>
      <c r="BS148" s="368">
        <f t="shared" ca="1" si="502"/>
        <v>0</v>
      </c>
      <c r="BT148" s="368">
        <f t="shared" ca="1" si="502"/>
        <v>0</v>
      </c>
      <c r="BU148" s="368">
        <f t="shared" ca="1" si="502"/>
        <v>0</v>
      </c>
      <c r="BV148" s="368">
        <f t="shared" ca="1" si="502"/>
        <v>0</v>
      </c>
      <c r="BW148" s="368">
        <f t="shared" ca="1" si="502"/>
        <v>0</v>
      </c>
      <c r="BX148" s="368">
        <f t="shared" ca="1" si="502"/>
        <v>0</v>
      </c>
      <c r="BY148" s="368">
        <f t="shared" ca="1" si="502"/>
        <v>0</v>
      </c>
      <c r="BZ148" s="368">
        <f t="shared" ca="1" si="502"/>
        <v>0</v>
      </c>
      <c r="CA148" s="368">
        <f t="shared" ca="1" si="502"/>
        <v>0</v>
      </c>
      <c r="CB148" s="368">
        <f t="shared" ca="1" si="502"/>
        <v>0</v>
      </c>
      <c r="CC148" s="368">
        <f t="shared" ca="1" si="502"/>
        <v>0</v>
      </c>
      <c r="CD148" s="368">
        <f t="shared" ca="1" si="502"/>
        <v>0</v>
      </c>
      <c r="CE148" s="368">
        <f t="shared" ca="1" si="502"/>
        <v>0</v>
      </c>
      <c r="CF148" s="368">
        <f t="shared" ca="1" si="502"/>
        <v>0</v>
      </c>
      <c r="CG148" s="368">
        <f t="shared" ca="1" si="502"/>
        <v>0</v>
      </c>
      <c r="CH148" s="368">
        <f t="shared" ca="1" si="502"/>
        <v>0</v>
      </c>
      <c r="CI148" s="368">
        <f t="shared" ca="1" si="502"/>
        <v>0</v>
      </c>
      <c r="CJ148" s="368">
        <f t="shared" ca="1" si="502"/>
        <v>0</v>
      </c>
      <c r="CK148" s="368">
        <f t="shared" ca="1" si="502"/>
        <v>0</v>
      </c>
      <c r="CL148" s="368">
        <f t="shared" ca="1" si="502"/>
        <v>0</v>
      </c>
      <c r="CM148" s="368">
        <f t="shared" ca="1" si="502"/>
        <v>0</v>
      </c>
      <c r="CN148" s="368">
        <f t="shared" ca="1" si="502"/>
        <v>0</v>
      </c>
      <c r="CO148" s="368">
        <f t="shared" ca="1" si="502"/>
        <v>0</v>
      </c>
      <c r="CP148" s="368">
        <f t="shared" ca="1" si="502"/>
        <v>0</v>
      </c>
      <c r="CQ148" s="368">
        <f t="shared" ca="1" si="502"/>
        <v>0</v>
      </c>
      <c r="CR148" s="368">
        <f t="shared" ca="1" si="502"/>
        <v>0</v>
      </c>
      <c r="CS148" s="368">
        <f t="shared" ca="1" si="502"/>
        <v>0</v>
      </c>
      <c r="CT148" s="368">
        <f t="shared" ca="1" si="502"/>
        <v>0</v>
      </c>
      <c r="CU148" s="368">
        <f t="shared" ca="1" si="502"/>
        <v>0</v>
      </c>
      <c r="CV148" s="368">
        <f t="shared" ca="1" si="502"/>
        <v>0</v>
      </c>
      <c r="CW148" s="368">
        <f t="shared" ca="1" si="502"/>
        <v>0</v>
      </c>
      <c r="CX148" s="368">
        <f t="shared" ref="CX148:EC148" ca="1" si="503">-MIN(SUM(CX145:CX147),CX141*(CX141&gt;0)*$D$47)</f>
        <v>0</v>
      </c>
      <c r="CY148" s="368">
        <f t="shared" ca="1" si="503"/>
        <v>0</v>
      </c>
      <c r="CZ148" s="368">
        <f t="shared" ca="1" si="503"/>
        <v>0</v>
      </c>
      <c r="DA148" s="368">
        <f t="shared" ca="1" si="503"/>
        <v>0</v>
      </c>
      <c r="DB148" s="368">
        <f t="shared" ca="1" si="503"/>
        <v>0</v>
      </c>
      <c r="DC148" s="368">
        <f t="shared" ca="1" si="503"/>
        <v>0</v>
      </c>
      <c r="DD148" s="368">
        <f t="shared" ca="1" si="503"/>
        <v>0</v>
      </c>
      <c r="DE148" s="368">
        <f t="shared" ca="1" si="503"/>
        <v>0</v>
      </c>
      <c r="DF148" s="368">
        <f t="shared" ca="1" si="503"/>
        <v>0</v>
      </c>
      <c r="DG148" s="368">
        <f t="shared" ca="1" si="503"/>
        <v>0</v>
      </c>
      <c r="DH148" s="368">
        <f t="shared" ca="1" si="503"/>
        <v>0</v>
      </c>
      <c r="DI148" s="368">
        <f t="shared" ca="1" si="503"/>
        <v>0</v>
      </c>
      <c r="DJ148" s="368">
        <f t="shared" ca="1" si="503"/>
        <v>0</v>
      </c>
      <c r="DK148" s="368">
        <f t="shared" ca="1" si="503"/>
        <v>0</v>
      </c>
      <c r="DL148" s="368">
        <f t="shared" ca="1" si="503"/>
        <v>0</v>
      </c>
      <c r="DM148" s="368">
        <f t="shared" ca="1" si="503"/>
        <v>0</v>
      </c>
      <c r="DN148" s="368">
        <f t="shared" ca="1" si="503"/>
        <v>0</v>
      </c>
      <c r="DO148" s="368">
        <f t="shared" ca="1" si="503"/>
        <v>0</v>
      </c>
      <c r="DP148" s="368">
        <f t="shared" ca="1" si="503"/>
        <v>0</v>
      </c>
      <c r="DQ148" s="368">
        <f t="shared" ca="1" si="503"/>
        <v>0</v>
      </c>
      <c r="DR148" s="368">
        <f t="shared" ca="1" si="503"/>
        <v>0</v>
      </c>
      <c r="DS148" s="368">
        <f t="shared" ca="1" si="503"/>
        <v>0</v>
      </c>
      <c r="DT148" s="368">
        <f t="shared" ca="1" si="503"/>
        <v>0</v>
      </c>
      <c r="DU148" s="368">
        <f t="shared" ca="1" si="503"/>
        <v>0</v>
      </c>
      <c r="DV148" s="368">
        <f t="shared" ca="1" si="503"/>
        <v>0</v>
      </c>
      <c r="DW148" s="368">
        <f t="shared" ca="1" si="503"/>
        <v>0</v>
      </c>
      <c r="DX148" s="368">
        <f t="shared" ca="1" si="503"/>
        <v>0</v>
      </c>
      <c r="DY148" s="368">
        <f t="shared" ca="1" si="503"/>
        <v>0</v>
      </c>
      <c r="DZ148" s="368">
        <f t="shared" ca="1" si="503"/>
        <v>0</v>
      </c>
      <c r="EA148" s="368">
        <f t="shared" ca="1" si="503"/>
        <v>0</v>
      </c>
      <c r="EB148" s="368">
        <f t="shared" ca="1" si="503"/>
        <v>0</v>
      </c>
      <c r="EC148" s="368">
        <f t="shared" ca="1" si="503"/>
        <v>0</v>
      </c>
      <c r="ED148" s="368">
        <f t="shared" ref="ED148:FF148" ca="1" si="504">-MIN(SUM(ED145:ED147),ED141*(ED141&gt;0)*$D$47)</f>
        <v>0</v>
      </c>
      <c r="EE148" s="368">
        <f t="shared" ca="1" si="504"/>
        <v>0</v>
      </c>
      <c r="EF148" s="368">
        <f t="shared" ca="1" si="504"/>
        <v>0</v>
      </c>
      <c r="EG148" s="368">
        <f t="shared" ca="1" si="504"/>
        <v>0</v>
      </c>
      <c r="EH148" s="368">
        <f t="shared" ca="1" si="504"/>
        <v>0</v>
      </c>
      <c r="EI148" s="368">
        <f t="shared" ca="1" si="504"/>
        <v>0</v>
      </c>
      <c r="EJ148" s="368">
        <f t="shared" ca="1" si="504"/>
        <v>0</v>
      </c>
      <c r="EK148" s="368">
        <f t="shared" ca="1" si="504"/>
        <v>0</v>
      </c>
      <c r="EL148" s="368">
        <f t="shared" ca="1" si="504"/>
        <v>0</v>
      </c>
      <c r="EM148" s="368">
        <f t="shared" ca="1" si="504"/>
        <v>0</v>
      </c>
      <c r="EN148" s="368">
        <f t="shared" ca="1" si="504"/>
        <v>0</v>
      </c>
      <c r="EO148" s="368">
        <f t="shared" ca="1" si="504"/>
        <v>0</v>
      </c>
      <c r="EP148" s="368">
        <f t="shared" ca="1" si="504"/>
        <v>0</v>
      </c>
      <c r="EQ148" s="368">
        <f t="shared" ca="1" si="504"/>
        <v>0</v>
      </c>
      <c r="ER148" s="368">
        <f t="shared" ca="1" si="504"/>
        <v>0</v>
      </c>
      <c r="ES148" s="368">
        <f t="shared" ca="1" si="504"/>
        <v>0</v>
      </c>
      <c r="ET148" s="368">
        <f t="shared" ca="1" si="504"/>
        <v>0</v>
      </c>
      <c r="EU148" s="368">
        <f t="shared" ca="1" si="504"/>
        <v>0</v>
      </c>
      <c r="EV148" s="368">
        <f t="shared" ca="1" si="504"/>
        <v>0</v>
      </c>
      <c r="EW148" s="368">
        <f t="shared" ca="1" si="504"/>
        <v>0</v>
      </c>
      <c r="EX148" s="368">
        <f t="shared" ca="1" si="504"/>
        <v>0</v>
      </c>
      <c r="EY148" s="368">
        <f t="shared" ca="1" si="504"/>
        <v>0</v>
      </c>
      <c r="EZ148" s="368">
        <f t="shared" ca="1" si="504"/>
        <v>0</v>
      </c>
      <c r="FA148" s="368">
        <f t="shared" ca="1" si="504"/>
        <v>0</v>
      </c>
      <c r="FB148" s="368">
        <f t="shared" ca="1" si="504"/>
        <v>0</v>
      </c>
      <c r="FC148" s="368">
        <f t="shared" ca="1" si="504"/>
        <v>0</v>
      </c>
      <c r="FD148" s="368">
        <f t="shared" ca="1" si="504"/>
        <v>0</v>
      </c>
      <c r="FE148" s="368">
        <f t="shared" ca="1" si="504"/>
        <v>0</v>
      </c>
      <c r="FF148" s="368">
        <f t="shared" ca="1" si="504"/>
        <v>0</v>
      </c>
      <c r="FH148" s="234">
        <f t="shared" ca="1" si="493"/>
        <v>0</v>
      </c>
      <c r="FI148" s="234">
        <f t="shared" ca="1" si="493"/>
        <v>0</v>
      </c>
      <c r="FJ148" s="234">
        <f t="shared" ca="1" si="493"/>
        <v>0</v>
      </c>
      <c r="FK148" s="234">
        <f t="shared" ca="1" si="493"/>
        <v>0</v>
      </c>
      <c r="FL148" s="234">
        <f t="shared" ca="1" si="493"/>
        <v>0</v>
      </c>
      <c r="FM148" s="234">
        <f t="shared" ca="1" si="493"/>
        <v>0</v>
      </c>
      <c r="FN148" s="234">
        <f t="shared" ca="1" si="493"/>
        <v>0</v>
      </c>
      <c r="FO148" s="234">
        <f t="shared" ca="1" si="493"/>
        <v>0</v>
      </c>
      <c r="FP148" s="234">
        <f t="shared" ca="1" si="493"/>
        <v>0</v>
      </c>
      <c r="FQ148" s="234">
        <f t="shared" ca="1" si="493"/>
        <v>0</v>
      </c>
      <c r="FR148" s="234">
        <f t="shared" ca="1" si="493"/>
        <v>0</v>
      </c>
      <c r="FS148" s="234">
        <f t="shared" ca="1" si="493"/>
        <v>0</v>
      </c>
      <c r="FT148" s="234">
        <f t="shared" ca="1" si="493"/>
        <v>0</v>
      </c>
      <c r="FU148" s="234">
        <f t="shared" ca="1" si="493"/>
        <v>0</v>
      </c>
    </row>
    <row r="149" spans="1:177" s="375" customFormat="1" ht="19" x14ac:dyDescent="0.3">
      <c r="C149" s="376" t="s">
        <v>234</v>
      </c>
      <c r="D149" s="386"/>
      <c r="E149" s="376">
        <f t="shared" ref="E149" ca="1" si="505">SUM(E145:E148)</f>
        <v>769017.85714356077</v>
      </c>
      <c r="F149" s="390">
        <f t="shared" ref="F149:O149" ca="1" si="506">SUM(F145:F148)</f>
        <v>769017.85714356077</v>
      </c>
      <c r="G149" s="369">
        <f t="shared" ca="1" si="506"/>
        <v>769017.85714356077</v>
      </c>
      <c r="H149" s="369">
        <f t="shared" ca="1" si="506"/>
        <v>769017.85714356077</v>
      </c>
      <c r="I149" s="369">
        <f t="shared" ca="1" si="506"/>
        <v>769017.85714356077</v>
      </c>
      <c r="J149" s="369">
        <f t="shared" ca="1" si="506"/>
        <v>769017.85714356077</v>
      </c>
      <c r="K149" s="369">
        <f t="shared" ca="1" si="506"/>
        <v>769017.85714356077</v>
      </c>
      <c r="L149" s="369">
        <f t="shared" ca="1" si="506"/>
        <v>769017.85714356077</v>
      </c>
      <c r="M149" s="369">
        <f t="shared" ca="1" si="506"/>
        <v>769017.85714356077</v>
      </c>
      <c r="N149" s="369">
        <f t="shared" ca="1" si="506"/>
        <v>769017.85714356077</v>
      </c>
      <c r="O149" s="369">
        <f t="shared" ca="1" si="506"/>
        <v>769017.85714356077</v>
      </c>
      <c r="P149" s="369">
        <f t="shared" ref="P149:CA149" ca="1" si="507">SUM(P145:P148)</f>
        <v>769017.85714356077</v>
      </c>
      <c r="Q149" s="369">
        <f t="shared" ca="1" si="507"/>
        <v>769017.85714356077</v>
      </c>
      <c r="R149" s="369">
        <f t="shared" ca="1" si="507"/>
        <v>769017.85714356077</v>
      </c>
      <c r="S149" s="369">
        <f t="shared" ca="1" si="507"/>
        <v>769017.85714356077</v>
      </c>
      <c r="T149" s="369">
        <f t="shared" ca="1" si="507"/>
        <v>769017.85714356077</v>
      </c>
      <c r="U149" s="369">
        <f t="shared" ca="1" si="507"/>
        <v>769017.85714356077</v>
      </c>
      <c r="V149" s="369">
        <f t="shared" ca="1" si="507"/>
        <v>769017.85714356077</v>
      </c>
      <c r="W149" s="369">
        <f t="shared" ca="1" si="507"/>
        <v>769017.85714356077</v>
      </c>
      <c r="X149" s="369">
        <f t="shared" ca="1" si="507"/>
        <v>769017.85714356077</v>
      </c>
      <c r="Y149" s="369">
        <f t="shared" ca="1" si="507"/>
        <v>769017.85714356077</v>
      </c>
      <c r="Z149" s="369">
        <f t="shared" ca="1" si="507"/>
        <v>769017.85714356077</v>
      </c>
      <c r="AA149" s="369">
        <f t="shared" ca="1" si="507"/>
        <v>769017.85714356077</v>
      </c>
      <c r="AB149" s="369">
        <f t="shared" ca="1" si="507"/>
        <v>769017.85714356077</v>
      </c>
      <c r="AC149" s="369">
        <f t="shared" ca="1" si="507"/>
        <v>769017.85714356077</v>
      </c>
      <c r="AD149" s="369">
        <f t="shared" ca="1" si="507"/>
        <v>769017.85714356077</v>
      </c>
      <c r="AE149" s="369">
        <f t="shared" ca="1" si="507"/>
        <v>769017.85714356077</v>
      </c>
      <c r="AF149" s="369">
        <f t="shared" ca="1" si="507"/>
        <v>769017.85714356077</v>
      </c>
      <c r="AG149" s="369">
        <f t="shared" ca="1" si="507"/>
        <v>769017.85714356077</v>
      </c>
      <c r="AH149" s="369">
        <f t="shared" ca="1" si="507"/>
        <v>769017.85714356077</v>
      </c>
      <c r="AI149" s="369">
        <f t="shared" ca="1" si="507"/>
        <v>769017.85714356077</v>
      </c>
      <c r="AJ149" s="369">
        <f t="shared" ca="1" si="507"/>
        <v>769017.85714356077</v>
      </c>
      <c r="AK149" s="369">
        <f t="shared" ca="1" si="507"/>
        <v>769017.85714356077</v>
      </c>
      <c r="AL149" s="369">
        <f t="shared" ca="1" si="507"/>
        <v>769017.85714356077</v>
      </c>
      <c r="AM149" s="369">
        <f t="shared" ca="1" si="507"/>
        <v>769017.85714356077</v>
      </c>
      <c r="AN149" s="369">
        <f t="shared" ca="1" si="507"/>
        <v>769017.85714356077</v>
      </c>
      <c r="AO149" s="369">
        <f t="shared" ca="1" si="507"/>
        <v>769017.85714356077</v>
      </c>
      <c r="AP149" s="369">
        <f t="shared" ca="1" si="507"/>
        <v>769017.85714356077</v>
      </c>
      <c r="AQ149" s="369">
        <f t="shared" ca="1" si="507"/>
        <v>769017.85714356077</v>
      </c>
      <c r="AR149" s="369">
        <f t="shared" ca="1" si="507"/>
        <v>769017.85714356077</v>
      </c>
      <c r="AS149" s="369">
        <f t="shared" ca="1" si="507"/>
        <v>769017.85714356077</v>
      </c>
      <c r="AT149" s="369">
        <f t="shared" ca="1" si="507"/>
        <v>769017.85714356077</v>
      </c>
      <c r="AU149" s="369">
        <f t="shared" ca="1" si="507"/>
        <v>769017.85714356077</v>
      </c>
      <c r="AV149" s="369">
        <f t="shared" ca="1" si="507"/>
        <v>769017.85714356077</v>
      </c>
      <c r="AW149" s="369">
        <f t="shared" ca="1" si="507"/>
        <v>769017.85714356077</v>
      </c>
      <c r="AX149" s="369">
        <f t="shared" ca="1" si="507"/>
        <v>769017.85714356077</v>
      </c>
      <c r="AY149" s="369">
        <f t="shared" ca="1" si="507"/>
        <v>769017.85714356077</v>
      </c>
      <c r="AZ149" s="369">
        <f t="shared" ca="1" si="507"/>
        <v>769017.85714356077</v>
      </c>
      <c r="BA149" s="369">
        <f t="shared" ca="1" si="507"/>
        <v>769017.85714356077</v>
      </c>
      <c r="BB149" s="369">
        <f t="shared" ca="1" si="507"/>
        <v>769017.85714356077</v>
      </c>
      <c r="BC149" s="369">
        <f t="shared" ca="1" si="507"/>
        <v>769017.85714356077</v>
      </c>
      <c r="BD149" s="369">
        <f t="shared" ca="1" si="507"/>
        <v>769017.85714356077</v>
      </c>
      <c r="BE149" s="369">
        <f t="shared" ca="1" si="507"/>
        <v>769017.85714356077</v>
      </c>
      <c r="BF149" s="369">
        <f t="shared" ca="1" si="507"/>
        <v>769017.85714356077</v>
      </c>
      <c r="BG149" s="369">
        <f t="shared" ca="1" si="507"/>
        <v>769017.85714356077</v>
      </c>
      <c r="BH149" s="369">
        <f t="shared" ca="1" si="507"/>
        <v>769017.85714356077</v>
      </c>
      <c r="BI149" s="369">
        <f t="shared" ca="1" si="507"/>
        <v>769017.85714356077</v>
      </c>
      <c r="BJ149" s="369">
        <f t="shared" ca="1" si="507"/>
        <v>769017.85714356077</v>
      </c>
      <c r="BK149" s="369">
        <f t="shared" ca="1" si="507"/>
        <v>769017.85714356077</v>
      </c>
      <c r="BL149" s="369">
        <f t="shared" ca="1" si="507"/>
        <v>769017.85714356077</v>
      </c>
      <c r="BM149" s="369">
        <f t="shared" ca="1" si="507"/>
        <v>769017.85714356077</v>
      </c>
      <c r="BN149" s="369">
        <f t="shared" ca="1" si="507"/>
        <v>769017.85714356077</v>
      </c>
      <c r="BO149" s="369">
        <f t="shared" ca="1" si="507"/>
        <v>769017.85714356077</v>
      </c>
      <c r="BP149" s="369">
        <f t="shared" ca="1" si="507"/>
        <v>769017.85714356077</v>
      </c>
      <c r="BQ149" s="369">
        <f t="shared" ca="1" si="507"/>
        <v>769017.85714356077</v>
      </c>
      <c r="BR149" s="369">
        <f t="shared" ca="1" si="507"/>
        <v>769017.85714356077</v>
      </c>
      <c r="BS149" s="369">
        <f t="shared" ca="1" si="507"/>
        <v>769017.85714356077</v>
      </c>
      <c r="BT149" s="369">
        <f t="shared" ca="1" si="507"/>
        <v>769017.85714356077</v>
      </c>
      <c r="BU149" s="369">
        <f t="shared" ca="1" si="507"/>
        <v>769017.85714356077</v>
      </c>
      <c r="BV149" s="369">
        <f t="shared" ca="1" si="507"/>
        <v>769017.85714356077</v>
      </c>
      <c r="BW149" s="369">
        <f t="shared" ca="1" si="507"/>
        <v>769017.85714356077</v>
      </c>
      <c r="BX149" s="369">
        <f t="shared" ca="1" si="507"/>
        <v>769017.85714356077</v>
      </c>
      <c r="BY149" s="369">
        <f t="shared" ca="1" si="507"/>
        <v>769017.85714356077</v>
      </c>
      <c r="BZ149" s="369">
        <f t="shared" ca="1" si="507"/>
        <v>769017.85714356077</v>
      </c>
      <c r="CA149" s="369">
        <f t="shared" ca="1" si="507"/>
        <v>769017.85714356077</v>
      </c>
      <c r="CB149" s="369">
        <f t="shared" ref="CB149:EM149" ca="1" si="508">SUM(CB145:CB148)</f>
        <v>769017.85714356077</v>
      </c>
      <c r="CC149" s="369">
        <f t="shared" ca="1" si="508"/>
        <v>769017.85714356077</v>
      </c>
      <c r="CD149" s="369">
        <f t="shared" ca="1" si="508"/>
        <v>769017.85714356077</v>
      </c>
      <c r="CE149" s="369">
        <f t="shared" ca="1" si="508"/>
        <v>769017.85714356077</v>
      </c>
      <c r="CF149" s="369">
        <f t="shared" ca="1" si="508"/>
        <v>769017.85714356077</v>
      </c>
      <c r="CG149" s="369">
        <f t="shared" ca="1" si="508"/>
        <v>769017.85714356077</v>
      </c>
      <c r="CH149" s="369">
        <f t="shared" ca="1" si="508"/>
        <v>769017.85714356077</v>
      </c>
      <c r="CI149" s="369">
        <f t="shared" ca="1" si="508"/>
        <v>769017.85714356077</v>
      </c>
      <c r="CJ149" s="369">
        <f t="shared" ca="1" si="508"/>
        <v>769017.85714356077</v>
      </c>
      <c r="CK149" s="369">
        <f t="shared" ca="1" si="508"/>
        <v>769017.85714356077</v>
      </c>
      <c r="CL149" s="369">
        <f t="shared" ca="1" si="508"/>
        <v>769017.85714356077</v>
      </c>
      <c r="CM149" s="369">
        <f t="shared" ca="1" si="508"/>
        <v>769017.85714356077</v>
      </c>
      <c r="CN149" s="369">
        <f t="shared" ca="1" si="508"/>
        <v>769017.85714356077</v>
      </c>
      <c r="CO149" s="369">
        <f t="shared" ca="1" si="508"/>
        <v>769017.85714356077</v>
      </c>
      <c r="CP149" s="369">
        <f t="shared" ca="1" si="508"/>
        <v>769017.85714356077</v>
      </c>
      <c r="CQ149" s="369">
        <f t="shared" ca="1" si="508"/>
        <v>769017.85714356077</v>
      </c>
      <c r="CR149" s="369">
        <f t="shared" ca="1" si="508"/>
        <v>769017.85714356077</v>
      </c>
      <c r="CS149" s="369">
        <f t="shared" ca="1" si="508"/>
        <v>769017.85714356077</v>
      </c>
      <c r="CT149" s="369">
        <f t="shared" ca="1" si="508"/>
        <v>769017.85714356077</v>
      </c>
      <c r="CU149" s="369">
        <f t="shared" ca="1" si="508"/>
        <v>769017.85714356077</v>
      </c>
      <c r="CV149" s="369">
        <f t="shared" ca="1" si="508"/>
        <v>769017.85714356077</v>
      </c>
      <c r="CW149" s="369">
        <f t="shared" ca="1" si="508"/>
        <v>769017.85714356077</v>
      </c>
      <c r="CX149" s="369">
        <f t="shared" ca="1" si="508"/>
        <v>769017.85714356077</v>
      </c>
      <c r="CY149" s="369">
        <f t="shared" ca="1" si="508"/>
        <v>769017.85714356077</v>
      </c>
      <c r="CZ149" s="369">
        <f t="shared" ca="1" si="508"/>
        <v>769017.85714356077</v>
      </c>
      <c r="DA149" s="369">
        <f t="shared" ca="1" si="508"/>
        <v>769017.85714356077</v>
      </c>
      <c r="DB149" s="369">
        <f t="shared" ca="1" si="508"/>
        <v>769017.85714356077</v>
      </c>
      <c r="DC149" s="369">
        <f t="shared" ca="1" si="508"/>
        <v>769017.85714356077</v>
      </c>
      <c r="DD149" s="369">
        <f t="shared" ca="1" si="508"/>
        <v>769017.85714356077</v>
      </c>
      <c r="DE149" s="369">
        <f t="shared" ca="1" si="508"/>
        <v>769017.85714356077</v>
      </c>
      <c r="DF149" s="369">
        <f t="shared" ca="1" si="508"/>
        <v>769017.85714356077</v>
      </c>
      <c r="DG149" s="369">
        <f t="shared" ca="1" si="508"/>
        <v>769017.85714356077</v>
      </c>
      <c r="DH149" s="369">
        <f t="shared" ca="1" si="508"/>
        <v>769017.85714356077</v>
      </c>
      <c r="DI149" s="369">
        <f t="shared" ca="1" si="508"/>
        <v>769017.85714356077</v>
      </c>
      <c r="DJ149" s="369">
        <f t="shared" ca="1" si="508"/>
        <v>769017.85714356077</v>
      </c>
      <c r="DK149" s="369">
        <f t="shared" ca="1" si="508"/>
        <v>769017.85714356077</v>
      </c>
      <c r="DL149" s="369">
        <f t="shared" ca="1" si="508"/>
        <v>769017.85714356077</v>
      </c>
      <c r="DM149" s="369">
        <f t="shared" ca="1" si="508"/>
        <v>769017.85714356077</v>
      </c>
      <c r="DN149" s="369">
        <f t="shared" ca="1" si="508"/>
        <v>769017.85714356077</v>
      </c>
      <c r="DO149" s="369">
        <f t="shared" ca="1" si="508"/>
        <v>769017.85714356077</v>
      </c>
      <c r="DP149" s="369">
        <f t="shared" ca="1" si="508"/>
        <v>769017.85714356077</v>
      </c>
      <c r="DQ149" s="369">
        <f t="shared" ca="1" si="508"/>
        <v>769017.85714356077</v>
      </c>
      <c r="DR149" s="369">
        <f t="shared" ca="1" si="508"/>
        <v>769017.85714356077</v>
      </c>
      <c r="DS149" s="369">
        <f t="shared" ca="1" si="508"/>
        <v>769017.85714356077</v>
      </c>
      <c r="DT149" s="369">
        <f t="shared" ca="1" si="508"/>
        <v>769017.85714356077</v>
      </c>
      <c r="DU149" s="369">
        <f t="shared" ca="1" si="508"/>
        <v>769017.85714356077</v>
      </c>
      <c r="DV149" s="369">
        <f t="shared" ca="1" si="508"/>
        <v>769017.85714356077</v>
      </c>
      <c r="DW149" s="369">
        <f t="shared" ca="1" si="508"/>
        <v>769017.85714356077</v>
      </c>
      <c r="DX149" s="369">
        <f t="shared" ca="1" si="508"/>
        <v>769017.85714356077</v>
      </c>
      <c r="DY149" s="369">
        <f t="shared" ca="1" si="508"/>
        <v>769017.85714356077</v>
      </c>
      <c r="DZ149" s="369">
        <f t="shared" ca="1" si="508"/>
        <v>769017.85714356077</v>
      </c>
      <c r="EA149" s="369">
        <f t="shared" ca="1" si="508"/>
        <v>769017.85714356077</v>
      </c>
      <c r="EB149" s="369">
        <f t="shared" ca="1" si="508"/>
        <v>769017.85714356077</v>
      </c>
      <c r="EC149" s="369">
        <f t="shared" ca="1" si="508"/>
        <v>769017.85714356077</v>
      </c>
      <c r="ED149" s="369">
        <f t="shared" ca="1" si="508"/>
        <v>769017.85714356077</v>
      </c>
      <c r="EE149" s="369">
        <f t="shared" ca="1" si="508"/>
        <v>769017.85714356077</v>
      </c>
      <c r="EF149" s="369">
        <f t="shared" ca="1" si="508"/>
        <v>769017.85714356077</v>
      </c>
      <c r="EG149" s="369">
        <f t="shared" ca="1" si="508"/>
        <v>769017.85714356077</v>
      </c>
      <c r="EH149" s="369">
        <f t="shared" ca="1" si="508"/>
        <v>769017.85714356077</v>
      </c>
      <c r="EI149" s="369">
        <f t="shared" ca="1" si="508"/>
        <v>769017.85714356077</v>
      </c>
      <c r="EJ149" s="369">
        <f t="shared" ca="1" si="508"/>
        <v>769017.85714356077</v>
      </c>
      <c r="EK149" s="369">
        <f t="shared" ca="1" si="508"/>
        <v>769017.85714356077</v>
      </c>
      <c r="EL149" s="369">
        <f t="shared" ca="1" si="508"/>
        <v>769017.85714356077</v>
      </c>
      <c r="EM149" s="369">
        <f t="shared" ca="1" si="508"/>
        <v>769017.85714356077</v>
      </c>
      <c r="EN149" s="369">
        <f t="shared" ref="EN149:FF149" ca="1" si="509">SUM(EN145:EN148)</f>
        <v>769017.85714356077</v>
      </c>
      <c r="EO149" s="369">
        <f t="shared" ca="1" si="509"/>
        <v>769017.85714356077</v>
      </c>
      <c r="EP149" s="369">
        <f t="shared" ca="1" si="509"/>
        <v>769017.85714356077</v>
      </c>
      <c r="EQ149" s="369">
        <f t="shared" ca="1" si="509"/>
        <v>769017.85714356077</v>
      </c>
      <c r="ER149" s="369">
        <f t="shared" ca="1" si="509"/>
        <v>769017.85714356077</v>
      </c>
      <c r="ES149" s="369">
        <f t="shared" ca="1" si="509"/>
        <v>769017.85714356077</v>
      </c>
      <c r="ET149" s="369">
        <f t="shared" ca="1" si="509"/>
        <v>769017.85714356077</v>
      </c>
      <c r="EU149" s="369">
        <f t="shared" ca="1" si="509"/>
        <v>769017.85714356077</v>
      </c>
      <c r="EV149" s="369">
        <f t="shared" ca="1" si="509"/>
        <v>769017.85714356077</v>
      </c>
      <c r="EW149" s="369">
        <f t="shared" ca="1" si="509"/>
        <v>769017.85714356077</v>
      </c>
      <c r="EX149" s="369">
        <f t="shared" ca="1" si="509"/>
        <v>769017.85714356077</v>
      </c>
      <c r="EY149" s="369">
        <f t="shared" ca="1" si="509"/>
        <v>769017.85714356077</v>
      </c>
      <c r="EZ149" s="369">
        <f t="shared" ca="1" si="509"/>
        <v>769017.85714356077</v>
      </c>
      <c r="FA149" s="369">
        <f t="shared" ca="1" si="509"/>
        <v>769017.85714356077</v>
      </c>
      <c r="FB149" s="369">
        <f t="shared" ca="1" si="509"/>
        <v>769017.85714356077</v>
      </c>
      <c r="FC149" s="369">
        <f t="shared" ca="1" si="509"/>
        <v>769017.85714356077</v>
      </c>
      <c r="FD149" s="369">
        <f t="shared" ca="1" si="509"/>
        <v>769017.85714356077</v>
      </c>
      <c r="FE149" s="369">
        <f t="shared" ca="1" si="509"/>
        <v>769017.85714356077</v>
      </c>
      <c r="FF149" s="369">
        <f t="shared" ca="1" si="509"/>
        <v>769017.85714356077</v>
      </c>
      <c r="FH149" s="369">
        <f ca="1">SUM(FH145:FH148)</f>
        <v>769017.85714356077</v>
      </c>
      <c r="FI149" s="369">
        <f t="shared" ref="FI149:FU149" ca="1" si="510">SUM(FI145:FI148)</f>
        <v>769017.85714356077</v>
      </c>
      <c r="FJ149" s="369">
        <f t="shared" ca="1" si="510"/>
        <v>769017.85714356077</v>
      </c>
      <c r="FK149" s="369">
        <f t="shared" ca="1" si="510"/>
        <v>769017.85714356077</v>
      </c>
      <c r="FL149" s="369">
        <f t="shared" ca="1" si="510"/>
        <v>769017.85714356077</v>
      </c>
      <c r="FM149" s="369">
        <f t="shared" ca="1" si="510"/>
        <v>769017.85714356077</v>
      </c>
      <c r="FN149" s="369">
        <f t="shared" ca="1" si="510"/>
        <v>769017.85714356077</v>
      </c>
      <c r="FO149" s="369">
        <f t="shared" ca="1" si="510"/>
        <v>769017.85714356077</v>
      </c>
      <c r="FP149" s="369">
        <f t="shared" ca="1" si="510"/>
        <v>769017.85714356077</v>
      </c>
      <c r="FQ149" s="369">
        <f t="shared" ca="1" si="510"/>
        <v>769017.85714356077</v>
      </c>
      <c r="FR149" s="369">
        <f t="shared" ca="1" si="510"/>
        <v>769017.85714356077</v>
      </c>
      <c r="FS149" s="369">
        <f t="shared" ca="1" si="510"/>
        <v>769017.85714356077</v>
      </c>
      <c r="FT149" s="369">
        <f t="shared" ca="1" si="510"/>
        <v>769017.85714356077</v>
      </c>
      <c r="FU149" s="369">
        <f t="shared" ca="1" si="510"/>
        <v>769017.85714356077</v>
      </c>
    </row>
    <row r="150" spans="1:177" customFormat="1" ht="18" x14ac:dyDescent="0.3">
      <c r="B150" s="39"/>
      <c r="C150" s="370"/>
      <c r="D150" s="378"/>
      <c r="E150" s="367"/>
      <c r="F150" s="391"/>
      <c r="G150" s="379"/>
      <c r="H150" s="379"/>
      <c r="I150" s="379"/>
      <c r="J150" s="379"/>
      <c r="K150" s="379"/>
      <c r="L150" s="379"/>
      <c r="M150" s="379"/>
      <c r="N150" s="379"/>
      <c r="O150" s="379"/>
      <c r="P150" s="367"/>
      <c r="Q150" s="378"/>
      <c r="R150" s="378"/>
      <c r="S150" s="378"/>
      <c r="T150" s="378"/>
      <c r="U150" s="378"/>
      <c r="V150" s="378"/>
      <c r="W150" s="378"/>
      <c r="X150" s="378"/>
      <c r="Y150" s="378"/>
      <c r="Z150" s="378"/>
      <c r="AA150" s="378"/>
      <c r="AB150" s="378"/>
      <c r="AC150" s="378"/>
      <c r="AD150" s="378"/>
      <c r="AE150" s="378"/>
      <c r="AF150" s="378"/>
      <c r="AG150" s="378"/>
      <c r="AH150" s="378"/>
      <c r="AI150" s="378"/>
      <c r="AJ150" s="378"/>
      <c r="AK150" s="378"/>
      <c r="AL150" s="378"/>
      <c r="AM150" s="378"/>
      <c r="AN150" s="378"/>
      <c r="AO150" s="378"/>
      <c r="AP150" s="378"/>
      <c r="AQ150" s="378"/>
      <c r="AR150" s="378"/>
      <c r="AS150" s="378"/>
      <c r="AT150" s="378"/>
      <c r="AU150" s="378"/>
      <c r="AV150" s="378"/>
      <c r="AW150" s="378"/>
      <c r="AX150" s="378"/>
      <c r="AY150" s="378"/>
      <c r="AZ150" s="378"/>
      <c r="BA150" s="378"/>
      <c r="BB150" s="378"/>
      <c r="BC150" s="378"/>
      <c r="BD150" s="378"/>
      <c r="BE150" s="378"/>
      <c r="BF150" s="378"/>
      <c r="BG150" s="378"/>
      <c r="BH150" s="378"/>
      <c r="BI150" s="378"/>
      <c r="BJ150" s="378"/>
      <c r="BK150" s="378"/>
      <c r="BL150" s="378"/>
      <c r="BM150" s="378"/>
      <c r="BN150" s="378"/>
      <c r="BO150" s="378"/>
      <c r="BP150" s="378"/>
      <c r="BQ150" s="378"/>
      <c r="BR150" s="378"/>
      <c r="BS150" s="378"/>
      <c r="BT150" s="378"/>
      <c r="BU150" s="378"/>
      <c r="BV150" s="378"/>
      <c r="BW150" s="378"/>
      <c r="BX150" s="378"/>
      <c r="BY150" s="378"/>
      <c r="BZ150" s="378"/>
      <c r="CA150" s="378"/>
      <c r="CB150" s="378"/>
      <c r="CC150" s="378"/>
      <c r="CD150" s="378"/>
      <c r="CE150" s="378"/>
      <c r="CF150" s="378"/>
      <c r="CG150" s="378"/>
      <c r="CH150" s="378"/>
      <c r="CI150" s="378"/>
      <c r="CJ150" s="378"/>
      <c r="CK150" s="378"/>
      <c r="CL150" s="378"/>
      <c r="CM150" s="378"/>
      <c r="CN150" s="378"/>
      <c r="CO150" s="378"/>
      <c r="CP150" s="378"/>
      <c r="CQ150" s="378"/>
      <c r="CR150" s="378"/>
      <c r="CS150" s="378"/>
      <c r="CT150" s="378"/>
      <c r="CU150" s="378"/>
      <c r="CV150" s="378"/>
      <c r="CW150" s="378"/>
      <c r="CX150" s="378"/>
      <c r="CY150" s="378"/>
      <c r="CZ150" s="378"/>
      <c r="DA150" s="378"/>
      <c r="DB150" s="378"/>
      <c r="DC150" s="378"/>
      <c r="DD150" s="378"/>
      <c r="DE150" s="378"/>
      <c r="DF150" s="378"/>
      <c r="DG150" s="378"/>
      <c r="DH150" s="378"/>
      <c r="DI150" s="378"/>
      <c r="DJ150" s="378"/>
      <c r="DK150" s="378"/>
      <c r="DL150" s="378"/>
      <c r="DM150" s="378"/>
      <c r="DN150" s="378"/>
      <c r="DO150" s="378"/>
      <c r="DP150" s="378"/>
      <c r="DQ150" s="378"/>
      <c r="DR150" s="378"/>
      <c r="DS150" s="378"/>
      <c r="DT150" s="378"/>
      <c r="DU150" s="378"/>
      <c r="DV150" s="378"/>
      <c r="DW150" s="378"/>
      <c r="DX150" s="378"/>
      <c r="DY150" s="378"/>
      <c r="DZ150" s="378"/>
      <c r="EA150" s="378"/>
      <c r="EB150" s="378"/>
      <c r="EC150" s="378"/>
      <c r="ED150" s="378"/>
      <c r="EE150" s="378"/>
      <c r="EF150" s="378"/>
      <c r="EG150" s="378"/>
    </row>
    <row r="151" spans="1:177" customFormat="1" ht="18" x14ac:dyDescent="0.3">
      <c r="B151" s="39"/>
      <c r="C151" s="382" t="s">
        <v>240</v>
      </c>
      <c r="D151" s="420">
        <f ca="1">IFERROR((1+IRR(F151:FF151,0))^12-1,0)</f>
        <v>0</v>
      </c>
      <c r="E151" s="399">
        <f ca="1">SUM(F151:FF151)</f>
        <v>-769017.85714356077</v>
      </c>
      <c r="F151" s="393">
        <f t="shared" ref="F151:AK151" ca="1" si="511">-F146-F148</f>
        <v>-769017.85714356077</v>
      </c>
      <c r="G151" s="383">
        <f t="shared" ca="1" si="511"/>
        <v>0</v>
      </c>
      <c r="H151" s="383">
        <f t="shared" ca="1" si="511"/>
        <v>0</v>
      </c>
      <c r="I151" s="383">
        <f t="shared" ca="1" si="511"/>
        <v>0</v>
      </c>
      <c r="J151" s="383">
        <f t="shared" ca="1" si="511"/>
        <v>0</v>
      </c>
      <c r="K151" s="383">
        <f t="shared" ca="1" si="511"/>
        <v>0</v>
      </c>
      <c r="L151" s="383">
        <f t="shared" ca="1" si="511"/>
        <v>0</v>
      </c>
      <c r="M151" s="383">
        <f t="shared" ca="1" si="511"/>
        <v>0</v>
      </c>
      <c r="N151" s="383">
        <f t="shared" ca="1" si="511"/>
        <v>0</v>
      </c>
      <c r="O151" s="383">
        <f t="shared" ca="1" si="511"/>
        <v>0</v>
      </c>
      <c r="P151" s="383">
        <f t="shared" ca="1" si="511"/>
        <v>0</v>
      </c>
      <c r="Q151" s="383">
        <f t="shared" ca="1" si="511"/>
        <v>0</v>
      </c>
      <c r="R151" s="383">
        <f t="shared" ca="1" si="511"/>
        <v>0</v>
      </c>
      <c r="S151" s="383">
        <f t="shared" ca="1" si="511"/>
        <v>0</v>
      </c>
      <c r="T151" s="383">
        <f t="shared" ca="1" si="511"/>
        <v>0</v>
      </c>
      <c r="U151" s="383">
        <f t="shared" ca="1" si="511"/>
        <v>0</v>
      </c>
      <c r="V151" s="383">
        <f t="shared" ca="1" si="511"/>
        <v>0</v>
      </c>
      <c r="W151" s="383">
        <f t="shared" ca="1" si="511"/>
        <v>0</v>
      </c>
      <c r="X151" s="383">
        <f t="shared" ca="1" si="511"/>
        <v>0</v>
      </c>
      <c r="Y151" s="383">
        <f t="shared" ca="1" si="511"/>
        <v>0</v>
      </c>
      <c r="Z151" s="383">
        <f t="shared" ca="1" si="511"/>
        <v>0</v>
      </c>
      <c r="AA151" s="383">
        <f t="shared" ca="1" si="511"/>
        <v>0</v>
      </c>
      <c r="AB151" s="383">
        <f t="shared" ca="1" si="511"/>
        <v>0</v>
      </c>
      <c r="AC151" s="383">
        <f t="shared" ca="1" si="511"/>
        <v>0</v>
      </c>
      <c r="AD151" s="383">
        <f t="shared" ca="1" si="511"/>
        <v>0</v>
      </c>
      <c r="AE151" s="383">
        <f t="shared" ca="1" si="511"/>
        <v>0</v>
      </c>
      <c r="AF151" s="383">
        <f t="shared" ca="1" si="511"/>
        <v>0</v>
      </c>
      <c r="AG151" s="383">
        <f t="shared" ca="1" si="511"/>
        <v>0</v>
      </c>
      <c r="AH151" s="383">
        <f t="shared" ca="1" si="511"/>
        <v>0</v>
      </c>
      <c r="AI151" s="383">
        <f t="shared" ca="1" si="511"/>
        <v>0</v>
      </c>
      <c r="AJ151" s="383">
        <f t="shared" ca="1" si="511"/>
        <v>0</v>
      </c>
      <c r="AK151" s="383">
        <f t="shared" ca="1" si="511"/>
        <v>0</v>
      </c>
      <c r="AL151" s="383">
        <f t="shared" ref="AL151:BR151" ca="1" si="512">-AL146-AL148</f>
        <v>0</v>
      </c>
      <c r="AM151" s="383">
        <f t="shared" ca="1" si="512"/>
        <v>0</v>
      </c>
      <c r="AN151" s="383">
        <f t="shared" ca="1" si="512"/>
        <v>0</v>
      </c>
      <c r="AO151" s="383">
        <f t="shared" ca="1" si="512"/>
        <v>0</v>
      </c>
      <c r="AP151" s="383">
        <f t="shared" ca="1" si="512"/>
        <v>0</v>
      </c>
      <c r="AQ151" s="383">
        <f t="shared" ca="1" si="512"/>
        <v>0</v>
      </c>
      <c r="AR151" s="383">
        <f t="shared" ca="1" si="512"/>
        <v>0</v>
      </c>
      <c r="AS151" s="383">
        <f t="shared" ca="1" si="512"/>
        <v>0</v>
      </c>
      <c r="AT151" s="383">
        <f t="shared" ca="1" si="512"/>
        <v>0</v>
      </c>
      <c r="AU151" s="383">
        <f t="shared" ca="1" si="512"/>
        <v>0</v>
      </c>
      <c r="AV151" s="383">
        <f t="shared" ca="1" si="512"/>
        <v>0</v>
      </c>
      <c r="AW151" s="383">
        <f t="shared" ca="1" si="512"/>
        <v>0</v>
      </c>
      <c r="AX151" s="383">
        <f t="shared" ca="1" si="512"/>
        <v>0</v>
      </c>
      <c r="AY151" s="383">
        <f t="shared" ca="1" si="512"/>
        <v>0</v>
      </c>
      <c r="AZ151" s="383">
        <f t="shared" ca="1" si="512"/>
        <v>0</v>
      </c>
      <c r="BA151" s="383">
        <f t="shared" ca="1" si="512"/>
        <v>0</v>
      </c>
      <c r="BB151" s="383">
        <f t="shared" ca="1" si="512"/>
        <v>0</v>
      </c>
      <c r="BC151" s="383">
        <f t="shared" ca="1" si="512"/>
        <v>0</v>
      </c>
      <c r="BD151" s="383">
        <f t="shared" ca="1" si="512"/>
        <v>0</v>
      </c>
      <c r="BE151" s="383">
        <f t="shared" ca="1" si="512"/>
        <v>0</v>
      </c>
      <c r="BF151" s="383">
        <f t="shared" ca="1" si="512"/>
        <v>0</v>
      </c>
      <c r="BG151" s="383">
        <f t="shared" ca="1" si="512"/>
        <v>0</v>
      </c>
      <c r="BH151" s="383">
        <f t="shared" ca="1" si="512"/>
        <v>0</v>
      </c>
      <c r="BI151" s="383">
        <f t="shared" ca="1" si="512"/>
        <v>0</v>
      </c>
      <c r="BJ151" s="383">
        <f t="shared" ca="1" si="512"/>
        <v>0</v>
      </c>
      <c r="BK151" s="383">
        <f t="shared" ca="1" si="512"/>
        <v>0</v>
      </c>
      <c r="BL151" s="383">
        <f t="shared" ca="1" si="512"/>
        <v>0</v>
      </c>
      <c r="BM151" s="383">
        <f t="shared" ca="1" si="512"/>
        <v>0</v>
      </c>
      <c r="BN151" s="383">
        <f t="shared" ca="1" si="512"/>
        <v>0</v>
      </c>
      <c r="BO151" s="383">
        <f t="shared" ca="1" si="512"/>
        <v>0</v>
      </c>
      <c r="BP151" s="383">
        <f t="shared" ca="1" si="512"/>
        <v>0</v>
      </c>
      <c r="BQ151" s="383">
        <f t="shared" ca="1" si="512"/>
        <v>0</v>
      </c>
      <c r="BR151" s="383">
        <f t="shared" ca="1" si="512"/>
        <v>0</v>
      </c>
      <c r="BS151" s="383">
        <f t="shared" ref="BS151:ED151" ca="1" si="513">-BS146-BS148</f>
        <v>0</v>
      </c>
      <c r="BT151" s="383">
        <f t="shared" ca="1" si="513"/>
        <v>0</v>
      </c>
      <c r="BU151" s="383">
        <f t="shared" ca="1" si="513"/>
        <v>0</v>
      </c>
      <c r="BV151" s="383">
        <f t="shared" ca="1" si="513"/>
        <v>0</v>
      </c>
      <c r="BW151" s="383">
        <f t="shared" ca="1" si="513"/>
        <v>0</v>
      </c>
      <c r="BX151" s="383">
        <f t="shared" ca="1" si="513"/>
        <v>0</v>
      </c>
      <c r="BY151" s="383">
        <f t="shared" ca="1" si="513"/>
        <v>0</v>
      </c>
      <c r="BZ151" s="383">
        <f t="shared" ca="1" si="513"/>
        <v>0</v>
      </c>
      <c r="CA151" s="383">
        <f t="shared" ca="1" si="513"/>
        <v>0</v>
      </c>
      <c r="CB151" s="383">
        <f t="shared" ca="1" si="513"/>
        <v>0</v>
      </c>
      <c r="CC151" s="383">
        <f t="shared" ca="1" si="513"/>
        <v>0</v>
      </c>
      <c r="CD151" s="383">
        <f t="shared" ca="1" si="513"/>
        <v>0</v>
      </c>
      <c r="CE151" s="383">
        <f t="shared" ca="1" si="513"/>
        <v>0</v>
      </c>
      <c r="CF151" s="383">
        <f t="shared" ca="1" si="513"/>
        <v>0</v>
      </c>
      <c r="CG151" s="383">
        <f t="shared" ca="1" si="513"/>
        <v>0</v>
      </c>
      <c r="CH151" s="383">
        <f t="shared" ca="1" si="513"/>
        <v>0</v>
      </c>
      <c r="CI151" s="383">
        <f t="shared" ca="1" si="513"/>
        <v>0</v>
      </c>
      <c r="CJ151" s="383">
        <f t="shared" ca="1" si="513"/>
        <v>0</v>
      </c>
      <c r="CK151" s="383">
        <f t="shared" ca="1" si="513"/>
        <v>0</v>
      </c>
      <c r="CL151" s="383">
        <f t="shared" ca="1" si="513"/>
        <v>0</v>
      </c>
      <c r="CM151" s="383">
        <f t="shared" ca="1" si="513"/>
        <v>0</v>
      </c>
      <c r="CN151" s="383">
        <f t="shared" ca="1" si="513"/>
        <v>0</v>
      </c>
      <c r="CO151" s="383">
        <f t="shared" ca="1" si="513"/>
        <v>0</v>
      </c>
      <c r="CP151" s="383">
        <f t="shared" ca="1" si="513"/>
        <v>0</v>
      </c>
      <c r="CQ151" s="383">
        <f t="shared" ca="1" si="513"/>
        <v>0</v>
      </c>
      <c r="CR151" s="383">
        <f t="shared" ca="1" si="513"/>
        <v>0</v>
      </c>
      <c r="CS151" s="383">
        <f t="shared" ca="1" si="513"/>
        <v>0</v>
      </c>
      <c r="CT151" s="383">
        <f t="shared" ca="1" si="513"/>
        <v>0</v>
      </c>
      <c r="CU151" s="383">
        <f t="shared" ca="1" si="513"/>
        <v>0</v>
      </c>
      <c r="CV151" s="383">
        <f t="shared" ca="1" si="513"/>
        <v>0</v>
      </c>
      <c r="CW151" s="383">
        <f t="shared" ca="1" si="513"/>
        <v>0</v>
      </c>
      <c r="CX151" s="383">
        <f t="shared" ca="1" si="513"/>
        <v>0</v>
      </c>
      <c r="CY151" s="383">
        <f t="shared" ca="1" si="513"/>
        <v>0</v>
      </c>
      <c r="CZ151" s="383">
        <f t="shared" ca="1" si="513"/>
        <v>0</v>
      </c>
      <c r="DA151" s="383">
        <f t="shared" ca="1" si="513"/>
        <v>0</v>
      </c>
      <c r="DB151" s="383">
        <f t="shared" ca="1" si="513"/>
        <v>0</v>
      </c>
      <c r="DC151" s="383">
        <f t="shared" ca="1" si="513"/>
        <v>0</v>
      </c>
      <c r="DD151" s="383">
        <f t="shared" ca="1" si="513"/>
        <v>0</v>
      </c>
      <c r="DE151" s="383">
        <f t="shared" ca="1" si="513"/>
        <v>0</v>
      </c>
      <c r="DF151" s="383">
        <f t="shared" ca="1" si="513"/>
        <v>0</v>
      </c>
      <c r="DG151" s="383">
        <f t="shared" ca="1" si="513"/>
        <v>0</v>
      </c>
      <c r="DH151" s="383">
        <f t="shared" ca="1" si="513"/>
        <v>0</v>
      </c>
      <c r="DI151" s="383">
        <f t="shared" ca="1" si="513"/>
        <v>0</v>
      </c>
      <c r="DJ151" s="383">
        <f t="shared" ca="1" si="513"/>
        <v>0</v>
      </c>
      <c r="DK151" s="383">
        <f t="shared" ca="1" si="513"/>
        <v>0</v>
      </c>
      <c r="DL151" s="383">
        <f t="shared" ca="1" si="513"/>
        <v>0</v>
      </c>
      <c r="DM151" s="383">
        <f t="shared" ca="1" si="513"/>
        <v>0</v>
      </c>
      <c r="DN151" s="383">
        <f t="shared" ca="1" si="513"/>
        <v>0</v>
      </c>
      <c r="DO151" s="383">
        <f t="shared" ca="1" si="513"/>
        <v>0</v>
      </c>
      <c r="DP151" s="383">
        <f t="shared" ca="1" si="513"/>
        <v>0</v>
      </c>
      <c r="DQ151" s="383">
        <f t="shared" ca="1" si="513"/>
        <v>0</v>
      </c>
      <c r="DR151" s="383">
        <f t="shared" ca="1" si="513"/>
        <v>0</v>
      </c>
      <c r="DS151" s="383">
        <f t="shared" ca="1" si="513"/>
        <v>0</v>
      </c>
      <c r="DT151" s="383">
        <f t="shared" ca="1" si="513"/>
        <v>0</v>
      </c>
      <c r="DU151" s="383">
        <f t="shared" ca="1" si="513"/>
        <v>0</v>
      </c>
      <c r="DV151" s="383">
        <f t="shared" ca="1" si="513"/>
        <v>0</v>
      </c>
      <c r="DW151" s="383">
        <f t="shared" ca="1" si="513"/>
        <v>0</v>
      </c>
      <c r="DX151" s="383">
        <f t="shared" ca="1" si="513"/>
        <v>0</v>
      </c>
      <c r="DY151" s="383">
        <f t="shared" ca="1" si="513"/>
        <v>0</v>
      </c>
      <c r="DZ151" s="383">
        <f t="shared" ca="1" si="513"/>
        <v>0</v>
      </c>
      <c r="EA151" s="383">
        <f t="shared" ca="1" si="513"/>
        <v>0</v>
      </c>
      <c r="EB151" s="383">
        <f t="shared" ca="1" si="513"/>
        <v>0</v>
      </c>
      <c r="EC151" s="383">
        <f t="shared" ca="1" si="513"/>
        <v>0</v>
      </c>
      <c r="ED151" s="383">
        <f t="shared" ca="1" si="513"/>
        <v>0</v>
      </c>
      <c r="EE151" s="383">
        <f t="shared" ref="EE151:FF151" ca="1" si="514">-EE146-EE148</f>
        <v>0</v>
      </c>
      <c r="EF151" s="383">
        <f t="shared" ca="1" si="514"/>
        <v>0</v>
      </c>
      <c r="EG151" s="383">
        <f t="shared" ca="1" si="514"/>
        <v>0</v>
      </c>
      <c r="EH151" s="383">
        <f t="shared" ca="1" si="514"/>
        <v>0</v>
      </c>
      <c r="EI151" s="383">
        <f t="shared" ca="1" si="514"/>
        <v>0</v>
      </c>
      <c r="EJ151" s="383">
        <f t="shared" ca="1" si="514"/>
        <v>0</v>
      </c>
      <c r="EK151" s="383">
        <f t="shared" ca="1" si="514"/>
        <v>0</v>
      </c>
      <c r="EL151" s="383">
        <f t="shared" ca="1" si="514"/>
        <v>0</v>
      </c>
      <c r="EM151" s="383">
        <f t="shared" ca="1" si="514"/>
        <v>0</v>
      </c>
      <c r="EN151" s="383">
        <f t="shared" ca="1" si="514"/>
        <v>0</v>
      </c>
      <c r="EO151" s="383">
        <f t="shared" ca="1" si="514"/>
        <v>0</v>
      </c>
      <c r="EP151" s="383">
        <f t="shared" ca="1" si="514"/>
        <v>0</v>
      </c>
      <c r="EQ151" s="383">
        <f t="shared" ca="1" si="514"/>
        <v>0</v>
      </c>
      <c r="ER151" s="383">
        <f t="shared" ca="1" si="514"/>
        <v>0</v>
      </c>
      <c r="ES151" s="383">
        <f t="shared" ca="1" si="514"/>
        <v>0</v>
      </c>
      <c r="ET151" s="383">
        <f t="shared" ca="1" si="514"/>
        <v>0</v>
      </c>
      <c r="EU151" s="383">
        <f t="shared" ca="1" si="514"/>
        <v>0</v>
      </c>
      <c r="EV151" s="383">
        <f t="shared" ca="1" si="514"/>
        <v>0</v>
      </c>
      <c r="EW151" s="383">
        <f t="shared" ca="1" si="514"/>
        <v>0</v>
      </c>
      <c r="EX151" s="383">
        <f t="shared" ca="1" si="514"/>
        <v>0</v>
      </c>
      <c r="EY151" s="383">
        <f t="shared" ca="1" si="514"/>
        <v>0</v>
      </c>
      <c r="EZ151" s="383">
        <f t="shared" ca="1" si="514"/>
        <v>0</v>
      </c>
      <c r="FA151" s="383">
        <f t="shared" ca="1" si="514"/>
        <v>0</v>
      </c>
      <c r="FB151" s="383">
        <f t="shared" ca="1" si="514"/>
        <v>0</v>
      </c>
      <c r="FC151" s="383">
        <f t="shared" ca="1" si="514"/>
        <v>0</v>
      </c>
      <c r="FD151" s="383">
        <f t="shared" ca="1" si="514"/>
        <v>0</v>
      </c>
      <c r="FE151" s="383">
        <f t="shared" ca="1" si="514"/>
        <v>0</v>
      </c>
      <c r="FF151" s="383">
        <f t="shared" ca="1" si="514"/>
        <v>0</v>
      </c>
      <c r="FG151" s="377"/>
      <c r="FH151" s="383">
        <f t="shared" ref="FH151:FU151" ca="1" si="515">SUMIF($F$54:$FF$54,FH$54,$F151:$FF151)</f>
        <v>-769017.85714356077</v>
      </c>
      <c r="FI151" s="383">
        <f t="shared" ca="1" si="515"/>
        <v>0</v>
      </c>
      <c r="FJ151" s="383">
        <f t="shared" ca="1" si="515"/>
        <v>0</v>
      </c>
      <c r="FK151" s="383">
        <f t="shared" ca="1" si="515"/>
        <v>0</v>
      </c>
      <c r="FL151" s="383">
        <f t="shared" ca="1" si="515"/>
        <v>0</v>
      </c>
      <c r="FM151" s="383">
        <f t="shared" ca="1" si="515"/>
        <v>0</v>
      </c>
      <c r="FN151" s="383">
        <f t="shared" ca="1" si="515"/>
        <v>0</v>
      </c>
      <c r="FO151" s="383">
        <f t="shared" ca="1" si="515"/>
        <v>0</v>
      </c>
      <c r="FP151" s="383">
        <f t="shared" ca="1" si="515"/>
        <v>0</v>
      </c>
      <c r="FQ151" s="383">
        <f t="shared" ca="1" si="515"/>
        <v>0</v>
      </c>
      <c r="FR151" s="383">
        <f t="shared" ca="1" si="515"/>
        <v>0</v>
      </c>
      <c r="FS151" s="383">
        <f t="shared" ca="1" si="515"/>
        <v>0</v>
      </c>
      <c r="FT151" s="383">
        <f t="shared" ca="1" si="515"/>
        <v>0</v>
      </c>
      <c r="FU151" s="383">
        <f t="shared" ca="1" si="515"/>
        <v>0</v>
      </c>
    </row>
    <row r="152" spans="1:177" customFormat="1" ht="18" x14ac:dyDescent="0.3">
      <c r="B152" s="39"/>
      <c r="C152" s="370"/>
      <c r="D152" s="39"/>
      <c r="E152" s="378"/>
      <c r="F152" s="391"/>
      <c r="G152" s="379"/>
      <c r="H152" s="379"/>
      <c r="I152" s="379"/>
      <c r="J152" s="379"/>
      <c r="K152" s="379"/>
      <c r="L152" s="379"/>
      <c r="M152" s="379"/>
      <c r="N152" s="379"/>
      <c r="O152" s="379"/>
      <c r="P152" s="367"/>
      <c r="Q152" s="378"/>
      <c r="R152" s="378"/>
      <c r="S152" s="378"/>
      <c r="T152" s="378"/>
      <c r="U152" s="378"/>
      <c r="V152" s="378"/>
      <c r="W152" s="378"/>
      <c r="X152" s="378"/>
      <c r="Y152" s="378"/>
      <c r="Z152" s="378"/>
      <c r="AA152" s="378"/>
      <c r="AB152" s="378"/>
      <c r="AC152" s="378"/>
      <c r="AD152" s="378"/>
      <c r="AE152" s="378"/>
      <c r="AF152" s="378"/>
      <c r="AG152" s="378"/>
      <c r="AH152" s="378"/>
      <c r="AI152" s="378"/>
      <c r="AJ152" s="378"/>
      <c r="AK152" s="378"/>
      <c r="AL152" s="378"/>
      <c r="AM152" s="378"/>
      <c r="AN152" s="378"/>
      <c r="AO152" s="378"/>
      <c r="AP152" s="378"/>
      <c r="AQ152" s="378"/>
      <c r="AR152" s="378"/>
      <c r="AS152" s="378"/>
      <c r="AT152" s="378"/>
      <c r="AU152" s="378"/>
      <c r="AV152" s="378"/>
      <c r="AW152" s="378"/>
      <c r="AX152" s="378"/>
      <c r="AY152" s="378"/>
      <c r="AZ152" s="378"/>
      <c r="BA152" s="378"/>
      <c r="BB152" s="378"/>
      <c r="BC152" s="378"/>
      <c r="BD152" s="378"/>
      <c r="BE152" s="378"/>
      <c r="BF152" s="378"/>
      <c r="BG152" s="378"/>
      <c r="BH152" s="378"/>
      <c r="BI152" s="378"/>
      <c r="BJ152" s="378"/>
      <c r="BK152" s="378"/>
      <c r="BL152" s="378"/>
      <c r="BM152" s="378"/>
      <c r="BN152" s="378"/>
      <c r="BO152" s="378"/>
      <c r="BP152" s="378"/>
      <c r="BQ152" s="378"/>
      <c r="BR152" s="378"/>
      <c r="BS152" s="378"/>
      <c r="BT152" s="378"/>
      <c r="BU152" s="378"/>
      <c r="BV152" s="378"/>
      <c r="BW152" s="378"/>
      <c r="BX152" s="378"/>
      <c r="BY152" s="378"/>
      <c r="BZ152" s="378"/>
      <c r="CA152" s="378"/>
      <c r="CB152" s="378"/>
      <c r="CC152" s="378"/>
      <c r="CD152" s="378"/>
      <c r="CE152" s="378"/>
      <c r="CF152" s="378"/>
      <c r="CG152" s="378"/>
      <c r="CH152" s="378"/>
      <c r="CI152" s="378"/>
      <c r="CJ152" s="378"/>
      <c r="CK152" s="378"/>
      <c r="CL152" s="378"/>
      <c r="CM152" s="378"/>
      <c r="CN152" s="378"/>
      <c r="CO152" s="378"/>
      <c r="CP152" s="378"/>
      <c r="CQ152" s="378"/>
      <c r="CR152" s="378"/>
      <c r="CS152" s="378"/>
      <c r="CT152" s="378"/>
      <c r="CU152" s="378"/>
      <c r="CV152" s="378"/>
      <c r="CW152" s="378"/>
      <c r="CX152" s="378"/>
      <c r="CY152" s="378"/>
      <c r="CZ152" s="378"/>
      <c r="DA152" s="378"/>
      <c r="DB152" s="378"/>
      <c r="DC152" s="378"/>
      <c r="DD152" s="378"/>
      <c r="DE152" s="378"/>
      <c r="DF152" s="378"/>
      <c r="DG152" s="378"/>
      <c r="DH152" s="378"/>
      <c r="DI152" s="378"/>
      <c r="DJ152" s="378"/>
      <c r="DK152" s="378"/>
      <c r="DL152" s="378"/>
      <c r="DM152" s="378"/>
      <c r="DN152" s="378"/>
      <c r="DO152" s="378"/>
      <c r="DP152" s="378"/>
      <c r="DQ152" s="378"/>
      <c r="DR152" s="378"/>
      <c r="DS152" s="378"/>
      <c r="DT152" s="378"/>
      <c r="DU152" s="378"/>
      <c r="DV152" s="378"/>
      <c r="DW152" s="378"/>
      <c r="DX152" s="378"/>
      <c r="DY152" s="378"/>
      <c r="DZ152" s="378"/>
      <c r="EA152" s="378"/>
      <c r="EB152" s="378"/>
      <c r="EC152" s="378"/>
      <c r="ED152" s="378"/>
      <c r="EE152" s="378"/>
      <c r="EF152" s="378"/>
      <c r="EG152" s="378"/>
    </row>
    <row r="153" spans="1:177" customFormat="1" ht="18" x14ac:dyDescent="0.3">
      <c r="B153" s="39"/>
      <c r="C153" s="370" t="s">
        <v>235</v>
      </c>
      <c r="D153" s="39"/>
      <c r="E153" s="400">
        <f ca="1">SUM(F153:FF153)</f>
        <v>12566911.679875702</v>
      </c>
      <c r="F153" s="397">
        <f ca="1">F141+F148</f>
        <v>-176589.28571433263</v>
      </c>
      <c r="G153" s="398">
        <f t="shared" ref="G153:BR153" ca="1" si="516">G141+G148</f>
        <v>23513.235292098143</v>
      </c>
      <c r="H153" s="398">
        <f t="shared" ca="1" si="516"/>
        <v>23676.23920423838</v>
      </c>
      <c r="I153" s="398">
        <f t="shared" ca="1" si="516"/>
        <v>23839.650626158975</v>
      </c>
      <c r="J153" s="398">
        <f t="shared" ca="1" si="516"/>
        <v>24003.470576634332</v>
      </c>
      <c r="K153" s="398">
        <f t="shared" ca="1" si="516"/>
        <v>24167.700076985922</v>
      </c>
      <c r="L153" s="398">
        <f t="shared" ca="1" si="516"/>
        <v>24332.340151088363</v>
      </c>
      <c r="M153" s="398">
        <f t="shared" ca="1" si="516"/>
        <v>24497.391825376071</v>
      </c>
      <c r="N153" s="398">
        <f t="shared" ca="1" si="516"/>
        <v>24662.856128849489</v>
      </c>
      <c r="O153" s="398">
        <f t="shared" ca="1" si="516"/>
        <v>24828.734093081621</v>
      </c>
      <c r="P153" s="398">
        <f t="shared" ca="1" si="516"/>
        <v>24995.026752224301</v>
      </c>
      <c r="Q153" s="398">
        <f t="shared" ca="1" si="516"/>
        <v>25161.735143014834</v>
      </c>
      <c r="R153" s="398">
        <f t="shared" ca="1" si="516"/>
        <v>25328.860304782364</v>
      </c>
      <c r="S153" s="398">
        <f t="shared" ca="1" si="516"/>
        <v>25496.403279454338</v>
      </c>
      <c r="T153" s="398">
        <f t="shared" ca="1" si="516"/>
        <v>25664.36511156294</v>
      </c>
      <c r="U153" s="398">
        <f t="shared" ca="1" si="516"/>
        <v>25832.746848251823</v>
      </c>
      <c r="V153" s="398">
        <f t="shared" ca="1" si="516"/>
        <v>26001.549539282445</v>
      </c>
      <c r="W153" s="398">
        <f t="shared" ca="1" si="516"/>
        <v>26170.774237040641</v>
      </c>
      <c r="X153" s="398">
        <f t="shared" ca="1" si="516"/>
        <v>26340.421996543235</v>
      </c>
      <c r="Y153" s="398">
        <f t="shared" ca="1" si="516"/>
        <v>26510.493875444568</v>
      </c>
      <c r="Z153" s="398">
        <f t="shared" ca="1" si="516"/>
        <v>26680.990934043184</v>
      </c>
      <c r="AA153" s="398">
        <f t="shared" ca="1" si="516"/>
        <v>26851.914235288285</v>
      </c>
      <c r="AB153" s="398">
        <f t="shared" ca="1" si="516"/>
        <v>27023.264844786499</v>
      </c>
      <c r="AC153" s="398">
        <f t="shared" ca="1" si="516"/>
        <v>27195.043830808449</v>
      </c>
      <c r="AD153" s="398">
        <f t="shared" ca="1" si="516"/>
        <v>27367.25226429545</v>
      </c>
      <c r="AE153" s="398">
        <f t="shared" ca="1" si="516"/>
        <v>27539.891218866185</v>
      </c>
      <c r="AF153" s="398">
        <f t="shared" ca="1" si="516"/>
        <v>27712.961770823335</v>
      </c>
      <c r="AG153" s="398">
        <f t="shared" ca="1" si="516"/>
        <v>27886.464999160387</v>
      </c>
      <c r="AH153" s="398">
        <f t="shared" ca="1" si="516"/>
        <v>28060.401985568264</v>
      </c>
      <c r="AI153" s="398">
        <f t="shared" ca="1" si="516"/>
        <v>28234.773814442182</v>
      </c>
      <c r="AJ153" s="398">
        <f t="shared" ca="1" si="516"/>
        <v>28409.581572888281</v>
      </c>
      <c r="AK153" s="398">
        <f t="shared" ca="1" si="516"/>
        <v>28584.826350730458</v>
      </c>
      <c r="AL153" s="398">
        <f t="shared" ca="1" si="516"/>
        <v>28760.509240517298</v>
      </c>
      <c r="AM153" s="398">
        <f t="shared" ca="1" si="516"/>
        <v>28936.631337528575</v>
      </c>
      <c r="AN153" s="398">
        <f t="shared" ca="1" si="516"/>
        <v>29113.193739782371</v>
      </c>
      <c r="AO153" s="398">
        <f t="shared" ca="1" si="516"/>
        <v>29290.197548041811</v>
      </c>
      <c r="AP153" s="398">
        <f t="shared" ca="1" si="516"/>
        <v>2807680.6745915427</v>
      </c>
      <c r="AQ153" s="398">
        <f t="shared" ca="1" si="516"/>
        <v>23214.300050812963</v>
      </c>
      <c r="AR153" s="398">
        <f t="shared" ca="1" si="516"/>
        <v>23392.634709221442</v>
      </c>
      <c r="AS153" s="398">
        <f t="shared" ca="1" si="516"/>
        <v>23571.415204275967</v>
      </c>
      <c r="AT153" s="398">
        <f t="shared" ca="1" si="516"/>
        <v>23750.642650568087</v>
      </c>
      <c r="AU153" s="398">
        <f t="shared" ca="1" si="516"/>
        <v>23930.318165475925</v>
      </c>
      <c r="AV153" s="398">
        <f t="shared" ca="1" si="516"/>
        <v>24110.442869171078</v>
      </c>
      <c r="AW153" s="398">
        <f t="shared" ca="1" si="516"/>
        <v>24291.017884625442</v>
      </c>
      <c r="AX153" s="398">
        <f t="shared" ca="1" si="516"/>
        <v>24472.044337618456</v>
      </c>
      <c r="AY153" s="398">
        <f t="shared" ca="1" si="516"/>
        <v>24653.523356743957</v>
      </c>
      <c r="AZ153" s="398">
        <f t="shared" ca="1" si="516"/>
        <v>24835.456073417285</v>
      </c>
      <c r="BA153" s="398">
        <f t="shared" ca="1" si="516"/>
        <v>25017.84362188229</v>
      </c>
      <c r="BB153" s="398">
        <f t="shared" ca="1" si="516"/>
        <v>25200.68713921844</v>
      </c>
      <c r="BC153" s="398">
        <f t="shared" ca="1" si="516"/>
        <v>25383.98776534792</v>
      </c>
      <c r="BD153" s="398">
        <f t="shared" ca="1" si="516"/>
        <v>25567.746643042716</v>
      </c>
      <c r="BE153" s="398">
        <f t="shared" ca="1" si="516"/>
        <v>25751.964917931778</v>
      </c>
      <c r="BF153" s="398">
        <f t="shared" ca="1" si="516"/>
        <v>25936.643738508006</v>
      </c>
      <c r="BG153" s="398">
        <f t="shared" ca="1" si="516"/>
        <v>26121.784256135739</v>
      </c>
      <c r="BH153" s="398">
        <f t="shared" ca="1" si="516"/>
        <v>26307.387625057541</v>
      </c>
      <c r="BI153" s="398">
        <f t="shared" ca="1" si="516"/>
        <v>26493.455002401635</v>
      </c>
      <c r="BJ153" s="398">
        <f t="shared" ca="1" si="516"/>
        <v>26679.987548189092</v>
      </c>
      <c r="BK153" s="398">
        <f t="shared" ca="1" si="516"/>
        <v>26866.986425340976</v>
      </c>
      <c r="BL153" s="398">
        <f t="shared" ca="1" si="516"/>
        <v>27054.45279968578</v>
      </c>
      <c r="BM153" s="398">
        <f t="shared" ca="1" si="516"/>
        <v>27242.387839966425</v>
      </c>
      <c r="BN153" s="398">
        <f t="shared" ca="1" si="516"/>
        <v>27430.792717847769</v>
      </c>
      <c r="BO153" s="398">
        <f t="shared" ca="1" si="516"/>
        <v>19588.763106361905</v>
      </c>
      <c r="BP153" s="398">
        <f t="shared" ca="1" si="516"/>
        <v>19778.111186163151</v>
      </c>
      <c r="BQ153" s="398">
        <f t="shared" ca="1" si="516"/>
        <v>19967.932636163896</v>
      </c>
      <c r="BR153" s="398">
        <f t="shared" ca="1" si="516"/>
        <v>20158.228639789668</v>
      </c>
      <c r="BS153" s="398">
        <f t="shared" ref="BS153:ED153" ca="1" si="517">BS141+BS148</f>
        <v>20349.0003834245</v>
      </c>
      <c r="BT153" s="398">
        <f t="shared" ca="1" si="517"/>
        <v>20540.249056418397</v>
      </c>
      <c r="BU153" s="398">
        <f t="shared" ca="1" si="517"/>
        <v>20731.975851094816</v>
      </c>
      <c r="BV153" s="398">
        <f t="shared" ca="1" si="517"/>
        <v>20924.18196275791</v>
      </c>
      <c r="BW153" s="398">
        <f t="shared" ca="1" si="517"/>
        <v>21116.868589700141</v>
      </c>
      <c r="BX153" s="398">
        <f t="shared" ca="1" si="517"/>
        <v>21310.036933209703</v>
      </c>
      <c r="BY153" s="398">
        <f t="shared" ca="1" si="517"/>
        <v>21503.688197578085</v>
      </c>
      <c r="BZ153" s="398">
        <f t="shared" ca="1" si="517"/>
        <v>21697.823590107364</v>
      </c>
      <c r="CA153" s="398">
        <f t="shared" ca="1" si="517"/>
        <v>21892.44432111796</v>
      </c>
      <c r="CB153" s="398">
        <f t="shared" ca="1" si="517"/>
        <v>22087.551603956148</v>
      </c>
      <c r="CC153" s="398">
        <f t="shared" ca="1" si="517"/>
        <v>22283.146655001357</v>
      </c>
      <c r="CD153" s="398">
        <f t="shared" ca="1" si="517"/>
        <v>22479.230693674224</v>
      </c>
      <c r="CE153" s="398">
        <f t="shared" ca="1" si="517"/>
        <v>22675.804942443792</v>
      </c>
      <c r="CF153" s="398">
        <f t="shared" ca="1" si="517"/>
        <v>22872.870626835225</v>
      </c>
      <c r="CG153" s="398">
        <f t="shared" ca="1" si="517"/>
        <v>23070.428975437622</v>
      </c>
      <c r="CH153" s="398">
        <f t="shared" ca="1" si="517"/>
        <v>23268.481219911599</v>
      </c>
      <c r="CI153" s="398">
        <f t="shared" ca="1" si="517"/>
        <v>23467.028594996737</v>
      </c>
      <c r="CJ153" s="398">
        <f t="shared" ca="1" si="517"/>
        <v>23666.072338519545</v>
      </c>
      <c r="CK153" s="398">
        <f t="shared" ca="1" si="517"/>
        <v>23865.613691401217</v>
      </c>
      <c r="CL153" s="398">
        <f t="shared" ca="1" si="517"/>
        <v>24065.653897665063</v>
      </c>
      <c r="CM153" s="398">
        <f t="shared" ca="1" si="517"/>
        <v>24266.194204444531</v>
      </c>
      <c r="CN153" s="398">
        <f t="shared" ca="1" si="517"/>
        <v>24467.235861990994</v>
      </c>
      <c r="CO153" s="398">
        <f t="shared" ca="1" si="517"/>
        <v>24668.780123681339</v>
      </c>
      <c r="CP153" s="398">
        <f t="shared" ca="1" si="517"/>
        <v>24870.828246025878</v>
      </c>
      <c r="CQ153" s="398">
        <f t="shared" ca="1" si="517"/>
        <v>25073.381488676299</v>
      </c>
      <c r="CR153" s="398">
        <f t="shared" ca="1" si="517"/>
        <v>25276.441114433357</v>
      </c>
      <c r="CS153" s="398">
        <f t="shared" ca="1" si="517"/>
        <v>25480.008389254785</v>
      </c>
      <c r="CT153" s="398">
        <f t="shared" ca="1" si="517"/>
        <v>25684.084582263269</v>
      </c>
      <c r="CU153" s="398">
        <f t="shared" ca="1" si="517"/>
        <v>25888.670965754281</v>
      </c>
      <c r="CV153" s="398">
        <f t="shared" ca="1" si="517"/>
        <v>26093.768815203992</v>
      </c>
      <c r="CW153" s="398">
        <f t="shared" ca="1" si="517"/>
        <v>26299.379409277375</v>
      </c>
      <c r="CX153" s="398">
        <f t="shared" ca="1" si="517"/>
        <v>7604440.5320115816</v>
      </c>
      <c r="CY153" s="398">
        <f t="shared" ca="1" si="517"/>
        <v>0</v>
      </c>
      <c r="CZ153" s="398">
        <f t="shared" ca="1" si="517"/>
        <v>0</v>
      </c>
      <c r="DA153" s="398">
        <f t="shared" ca="1" si="517"/>
        <v>0</v>
      </c>
      <c r="DB153" s="398">
        <f t="shared" ca="1" si="517"/>
        <v>0</v>
      </c>
      <c r="DC153" s="398">
        <f t="shared" ca="1" si="517"/>
        <v>0</v>
      </c>
      <c r="DD153" s="398">
        <f t="shared" ca="1" si="517"/>
        <v>0</v>
      </c>
      <c r="DE153" s="398">
        <f t="shared" ca="1" si="517"/>
        <v>0</v>
      </c>
      <c r="DF153" s="398">
        <f t="shared" ca="1" si="517"/>
        <v>0</v>
      </c>
      <c r="DG153" s="398">
        <f t="shared" ca="1" si="517"/>
        <v>0</v>
      </c>
      <c r="DH153" s="398">
        <f t="shared" ca="1" si="517"/>
        <v>0</v>
      </c>
      <c r="DI153" s="398">
        <f t="shared" ca="1" si="517"/>
        <v>0</v>
      </c>
      <c r="DJ153" s="398">
        <f t="shared" ca="1" si="517"/>
        <v>0</v>
      </c>
      <c r="DK153" s="398">
        <f t="shared" ca="1" si="517"/>
        <v>0</v>
      </c>
      <c r="DL153" s="398">
        <f t="shared" ca="1" si="517"/>
        <v>0</v>
      </c>
      <c r="DM153" s="398">
        <f t="shared" ca="1" si="517"/>
        <v>0</v>
      </c>
      <c r="DN153" s="398">
        <f t="shared" ca="1" si="517"/>
        <v>0</v>
      </c>
      <c r="DO153" s="398">
        <f t="shared" ca="1" si="517"/>
        <v>0</v>
      </c>
      <c r="DP153" s="398">
        <f t="shared" ca="1" si="517"/>
        <v>0</v>
      </c>
      <c r="DQ153" s="398">
        <f t="shared" ca="1" si="517"/>
        <v>0</v>
      </c>
      <c r="DR153" s="398">
        <f t="shared" ca="1" si="517"/>
        <v>0</v>
      </c>
      <c r="DS153" s="398">
        <f t="shared" ca="1" si="517"/>
        <v>0</v>
      </c>
      <c r="DT153" s="398">
        <f t="shared" ca="1" si="517"/>
        <v>0</v>
      </c>
      <c r="DU153" s="398">
        <f t="shared" ca="1" si="517"/>
        <v>0</v>
      </c>
      <c r="DV153" s="398">
        <f t="shared" ca="1" si="517"/>
        <v>0</v>
      </c>
      <c r="DW153" s="398">
        <f t="shared" ca="1" si="517"/>
        <v>0</v>
      </c>
      <c r="DX153" s="398">
        <f t="shared" ca="1" si="517"/>
        <v>0</v>
      </c>
      <c r="DY153" s="398">
        <f t="shared" ca="1" si="517"/>
        <v>0</v>
      </c>
      <c r="DZ153" s="398">
        <f t="shared" ca="1" si="517"/>
        <v>0</v>
      </c>
      <c r="EA153" s="398">
        <f t="shared" ca="1" si="517"/>
        <v>0</v>
      </c>
      <c r="EB153" s="398">
        <f t="shared" ca="1" si="517"/>
        <v>0</v>
      </c>
      <c r="EC153" s="398">
        <f t="shared" ca="1" si="517"/>
        <v>0</v>
      </c>
      <c r="ED153" s="398">
        <f t="shared" ca="1" si="517"/>
        <v>0</v>
      </c>
      <c r="EE153" s="398">
        <f t="shared" ref="EE153:FF153" ca="1" si="518">EE141+EE148</f>
        <v>0</v>
      </c>
      <c r="EF153" s="398">
        <f t="shared" ca="1" si="518"/>
        <v>0</v>
      </c>
      <c r="EG153" s="398">
        <f t="shared" ca="1" si="518"/>
        <v>0</v>
      </c>
      <c r="EH153" s="398">
        <f t="shared" ca="1" si="518"/>
        <v>0</v>
      </c>
      <c r="EI153" s="398">
        <f t="shared" ca="1" si="518"/>
        <v>0</v>
      </c>
      <c r="EJ153" s="398">
        <f t="shared" ca="1" si="518"/>
        <v>0</v>
      </c>
      <c r="EK153" s="398">
        <f t="shared" ca="1" si="518"/>
        <v>0</v>
      </c>
      <c r="EL153" s="398">
        <f t="shared" ca="1" si="518"/>
        <v>0</v>
      </c>
      <c r="EM153" s="398">
        <f t="shared" ca="1" si="518"/>
        <v>0</v>
      </c>
      <c r="EN153" s="398">
        <f t="shared" ca="1" si="518"/>
        <v>0</v>
      </c>
      <c r="EO153" s="398">
        <f t="shared" ca="1" si="518"/>
        <v>0</v>
      </c>
      <c r="EP153" s="398">
        <f t="shared" ca="1" si="518"/>
        <v>0</v>
      </c>
      <c r="EQ153" s="398">
        <f t="shared" ca="1" si="518"/>
        <v>0</v>
      </c>
      <c r="ER153" s="398">
        <f t="shared" ca="1" si="518"/>
        <v>0</v>
      </c>
      <c r="ES153" s="398">
        <f t="shared" ca="1" si="518"/>
        <v>0</v>
      </c>
      <c r="ET153" s="398">
        <f t="shared" ca="1" si="518"/>
        <v>0</v>
      </c>
      <c r="EU153" s="398">
        <f t="shared" ca="1" si="518"/>
        <v>0</v>
      </c>
      <c r="EV153" s="398">
        <f t="shared" ca="1" si="518"/>
        <v>0</v>
      </c>
      <c r="EW153" s="398">
        <f t="shared" ca="1" si="518"/>
        <v>0</v>
      </c>
      <c r="EX153" s="398">
        <f t="shared" ca="1" si="518"/>
        <v>0</v>
      </c>
      <c r="EY153" s="398">
        <f t="shared" ca="1" si="518"/>
        <v>0</v>
      </c>
      <c r="EZ153" s="398">
        <f t="shared" ca="1" si="518"/>
        <v>0</v>
      </c>
      <c r="FA153" s="398">
        <f t="shared" ca="1" si="518"/>
        <v>0</v>
      </c>
      <c r="FB153" s="398">
        <f t="shared" ca="1" si="518"/>
        <v>0</v>
      </c>
      <c r="FC153" s="398">
        <f t="shared" ca="1" si="518"/>
        <v>0</v>
      </c>
      <c r="FD153" s="398">
        <f t="shared" ca="1" si="518"/>
        <v>0</v>
      </c>
      <c r="FE153" s="398">
        <f t="shared" ca="1" si="518"/>
        <v>0</v>
      </c>
      <c r="FF153" s="398">
        <f t="shared" ca="1" si="518"/>
        <v>0</v>
      </c>
      <c r="FG153" s="398"/>
      <c r="FH153" s="398">
        <f t="shared" ref="FH153:FU153" ca="1" si="519">SUMIF($F$54:$FF$54,FH$54,$F153:$FF153)</f>
        <v>-33056.64978712851</v>
      </c>
      <c r="FI153" s="398">
        <f t="shared" ca="1" si="519"/>
        <v>304980.86525946413</v>
      </c>
      <c r="FJ153" s="398">
        <f t="shared" ca="1" si="519"/>
        <v>329473.03534641507</v>
      </c>
      <c r="FK153" s="398">
        <f t="shared" ca="1" si="519"/>
        <v>3094335.7864576681</v>
      </c>
      <c r="FL153" s="398">
        <f t="shared" ca="1" si="519"/>
        <v>303540.08735952957</v>
      </c>
      <c r="FM153" s="398">
        <f t="shared" ca="1" si="519"/>
        <v>282150.34734175319</v>
      </c>
      <c r="FN153" s="398">
        <f t="shared" ca="1" si="519"/>
        <v>261575.62396747671</v>
      </c>
      <c r="FO153" s="398">
        <f t="shared" ca="1" si="519"/>
        <v>290026.1397571842</v>
      </c>
      <c r="FP153" s="398">
        <f t="shared" ca="1" si="519"/>
        <v>7733886.4441733351</v>
      </c>
      <c r="FQ153" s="398">
        <f t="shared" ca="1" si="519"/>
        <v>0</v>
      </c>
      <c r="FR153" s="398">
        <f t="shared" ca="1" si="519"/>
        <v>0</v>
      </c>
      <c r="FS153" s="398">
        <f t="shared" ca="1" si="519"/>
        <v>0</v>
      </c>
      <c r="FT153" s="398">
        <f t="shared" ca="1" si="519"/>
        <v>0</v>
      </c>
      <c r="FU153" s="398">
        <f t="shared" ca="1" si="519"/>
        <v>0</v>
      </c>
    </row>
    <row r="154" spans="1:177" customFormat="1" ht="18" x14ac:dyDescent="0.3">
      <c r="B154" s="39"/>
      <c r="C154" s="370"/>
      <c r="D154" s="39"/>
      <c r="E154" s="371"/>
      <c r="F154" s="401"/>
      <c r="G154" s="379"/>
      <c r="H154" s="379"/>
      <c r="I154" s="379"/>
      <c r="J154" s="379"/>
      <c r="K154" s="379"/>
      <c r="L154" s="379"/>
      <c r="M154" s="379"/>
      <c r="N154" s="379"/>
      <c r="O154" s="379"/>
      <c r="P154" s="367"/>
      <c r="Q154" s="371"/>
      <c r="R154" s="371"/>
      <c r="S154" s="371"/>
      <c r="T154" s="371"/>
      <c r="U154" s="371"/>
      <c r="V154" s="371"/>
      <c r="W154" s="371"/>
      <c r="X154" s="371"/>
      <c r="Y154" s="371"/>
      <c r="Z154" s="371"/>
      <c r="AA154" s="371"/>
      <c r="AB154" s="371"/>
      <c r="AC154" s="371"/>
      <c r="AD154" s="371"/>
      <c r="AE154" s="371"/>
      <c r="AF154" s="371"/>
      <c r="AG154" s="371"/>
      <c r="AH154" s="371"/>
      <c r="AI154" s="371"/>
      <c r="AJ154" s="371"/>
      <c r="AK154" s="371"/>
      <c r="AL154" s="371"/>
      <c r="AM154" s="371"/>
      <c r="AN154" s="371"/>
      <c r="AO154" s="371"/>
      <c r="AP154" s="371"/>
      <c r="AQ154" s="371"/>
      <c r="AR154" s="371"/>
      <c r="AS154" s="371"/>
      <c r="AT154" s="371"/>
      <c r="AU154" s="371"/>
      <c r="AV154" s="371"/>
      <c r="AW154" s="371"/>
      <c r="AX154" s="371"/>
      <c r="AY154" s="371"/>
      <c r="AZ154" s="371"/>
      <c r="BA154" s="371"/>
      <c r="BB154" s="371"/>
      <c r="BC154" s="371"/>
      <c r="BD154" s="371"/>
      <c r="BE154" s="371"/>
      <c r="BF154" s="371"/>
      <c r="BG154" s="371"/>
      <c r="BH154" s="371"/>
      <c r="BI154" s="371"/>
      <c r="BJ154" s="371"/>
      <c r="BK154" s="371"/>
      <c r="BL154" s="371"/>
      <c r="BM154" s="371"/>
      <c r="BN154" s="371"/>
      <c r="BO154" s="371"/>
      <c r="BP154" s="371"/>
      <c r="BQ154" s="371"/>
      <c r="BR154" s="371"/>
      <c r="BS154" s="371"/>
      <c r="BT154" s="371"/>
      <c r="BU154" s="371"/>
      <c r="BV154" s="371"/>
      <c r="BW154" s="371"/>
      <c r="BX154" s="371"/>
      <c r="BY154" s="371"/>
      <c r="BZ154" s="371"/>
      <c r="CA154" s="371"/>
      <c r="CB154" s="371"/>
      <c r="CC154" s="371"/>
      <c r="CD154" s="371"/>
      <c r="CE154" s="371"/>
      <c r="CF154" s="371"/>
      <c r="CG154" s="371"/>
      <c r="CH154" s="371"/>
      <c r="CI154" s="371"/>
      <c r="CJ154" s="371"/>
      <c r="CK154" s="371"/>
      <c r="CL154" s="371"/>
      <c r="CM154" s="371"/>
      <c r="CN154" s="371"/>
      <c r="CO154" s="371"/>
      <c r="CP154" s="371"/>
      <c r="CQ154" s="371"/>
      <c r="CR154" s="371"/>
      <c r="CS154" s="371"/>
      <c r="CT154" s="371"/>
      <c r="CU154" s="371"/>
      <c r="CV154" s="371"/>
      <c r="CW154" s="371"/>
      <c r="CX154" s="371"/>
      <c r="CY154" s="371"/>
      <c r="CZ154" s="371"/>
      <c r="DA154" s="371"/>
      <c r="DB154" s="371"/>
      <c r="DC154" s="371"/>
      <c r="DD154" s="371"/>
      <c r="DE154" s="371"/>
      <c r="DF154" s="371"/>
      <c r="DG154" s="371"/>
      <c r="DH154" s="371"/>
      <c r="DI154" s="371"/>
      <c r="DJ154" s="371"/>
      <c r="DK154" s="371"/>
      <c r="DL154" s="371"/>
      <c r="DM154" s="371"/>
      <c r="DN154" s="371"/>
      <c r="DO154" s="371"/>
      <c r="DP154" s="371"/>
      <c r="DQ154" s="371"/>
      <c r="DR154" s="371"/>
      <c r="DS154" s="371"/>
      <c r="DT154" s="371"/>
      <c r="DU154" s="371"/>
      <c r="DV154" s="371"/>
      <c r="DW154" s="371"/>
      <c r="DX154" s="371"/>
      <c r="DY154" s="371"/>
      <c r="DZ154" s="371"/>
      <c r="EA154" s="371"/>
      <c r="EB154" s="371"/>
      <c r="EC154" s="371"/>
      <c r="ED154" s="371"/>
      <c r="EE154" s="371"/>
      <c r="EF154" s="371"/>
      <c r="EG154" s="371"/>
    </row>
    <row r="155" spans="1:177" s="385" customFormat="1" ht="18" x14ac:dyDescent="0.3">
      <c r="B155" s="45"/>
      <c r="C155" s="379" t="s">
        <v>217</v>
      </c>
      <c r="D155" s="366"/>
      <c r="E155" s="366"/>
      <c r="F155" s="396"/>
      <c r="G155" s="366"/>
      <c r="H155" s="366"/>
      <c r="I155" s="366"/>
      <c r="J155" s="366"/>
      <c r="K155" s="366"/>
      <c r="L155" s="366"/>
      <c r="M155" s="366"/>
      <c r="N155" s="366"/>
      <c r="O155" s="366"/>
      <c r="P155" s="366"/>
      <c r="Q155" s="366"/>
      <c r="R155" s="366"/>
      <c r="S155" s="366"/>
      <c r="T155" s="366"/>
      <c r="U155" s="366"/>
      <c r="V155" s="366"/>
      <c r="W155" s="366"/>
      <c r="X155" s="366"/>
      <c r="Y155" s="366"/>
      <c r="Z155" s="366"/>
      <c r="AA155" s="366"/>
      <c r="AB155" s="366"/>
      <c r="AC155" s="366"/>
      <c r="AD155" s="366"/>
      <c r="AE155" s="366"/>
      <c r="AF155" s="366"/>
      <c r="AG155" s="366"/>
      <c r="AH155" s="366"/>
      <c r="AI155" s="366"/>
      <c r="AJ155" s="366"/>
      <c r="AK155" s="366"/>
      <c r="AL155" s="366"/>
      <c r="AM155" s="366"/>
      <c r="AN155" s="366"/>
      <c r="AO155" s="366"/>
      <c r="AP155" s="366"/>
      <c r="AQ155" s="366"/>
      <c r="AR155" s="366"/>
      <c r="AS155" s="366"/>
      <c r="AT155" s="366"/>
      <c r="AU155" s="366"/>
      <c r="AV155" s="366"/>
      <c r="AW155" s="366"/>
      <c r="AX155" s="366"/>
      <c r="AY155" s="366"/>
      <c r="AZ155" s="366"/>
      <c r="BA155" s="366"/>
      <c r="BB155" s="366"/>
      <c r="BC155" s="366"/>
      <c r="BD155" s="366"/>
      <c r="BE155" s="366"/>
      <c r="BF155" s="366"/>
      <c r="BG155" s="366"/>
      <c r="BH155" s="366"/>
      <c r="BI155" s="366"/>
      <c r="BJ155" s="366"/>
      <c r="BK155" s="366"/>
      <c r="BL155" s="366"/>
      <c r="BM155" s="366"/>
      <c r="BN155" s="366"/>
      <c r="BO155" s="366"/>
      <c r="BP155" s="366"/>
      <c r="BQ155" s="366"/>
      <c r="BR155" s="366"/>
      <c r="BS155" s="366"/>
      <c r="BT155" s="366"/>
      <c r="BU155" s="366"/>
      <c r="BV155" s="366"/>
      <c r="BW155" s="366"/>
      <c r="BX155" s="366"/>
      <c r="BY155" s="366"/>
      <c r="BZ155" s="366"/>
      <c r="CA155" s="366"/>
      <c r="CB155" s="366"/>
      <c r="CC155" s="366"/>
      <c r="CD155" s="366"/>
      <c r="CE155" s="366"/>
      <c r="CF155" s="366"/>
      <c r="CG155" s="366"/>
      <c r="CH155" s="366"/>
      <c r="CI155" s="366"/>
      <c r="CJ155" s="366"/>
      <c r="CK155" s="366"/>
      <c r="CL155" s="366"/>
      <c r="CM155" s="366"/>
      <c r="CN155" s="366"/>
      <c r="CO155" s="366"/>
      <c r="CP155" s="366"/>
      <c r="CQ155" s="366"/>
      <c r="CR155" s="366"/>
      <c r="CS155" s="366"/>
      <c r="CT155" s="366"/>
      <c r="CU155" s="366"/>
      <c r="CV155" s="366"/>
      <c r="CW155" s="366"/>
      <c r="CX155" s="366"/>
      <c r="CY155" s="366"/>
      <c r="CZ155" s="366"/>
      <c r="DA155" s="366"/>
      <c r="DB155" s="366"/>
      <c r="DC155" s="366"/>
      <c r="DD155" s="366"/>
      <c r="DE155" s="366"/>
      <c r="DF155" s="366"/>
      <c r="DG155" s="366"/>
      <c r="DH155" s="366"/>
      <c r="DI155" s="366"/>
      <c r="DJ155" s="366"/>
      <c r="DK155" s="366"/>
      <c r="DL155" s="366"/>
      <c r="DM155" s="366"/>
      <c r="DN155" s="366"/>
      <c r="DO155" s="366"/>
      <c r="DP155" s="366"/>
      <c r="DQ155" s="366"/>
      <c r="DR155" s="366"/>
      <c r="DS155" s="366"/>
      <c r="DT155" s="366"/>
      <c r="DU155" s="366"/>
      <c r="DV155" s="366"/>
      <c r="DW155" s="366"/>
      <c r="DX155" s="366"/>
      <c r="DY155" s="366"/>
      <c r="DZ155" s="366"/>
      <c r="EA155" s="366"/>
      <c r="EB155" s="366"/>
      <c r="EC155" s="366"/>
      <c r="ED155" s="366"/>
      <c r="EE155" s="366"/>
      <c r="EF155" s="366"/>
      <c r="EG155" s="366"/>
      <c r="EH155" s="366"/>
      <c r="EI155" s="366"/>
      <c r="EJ155" s="366"/>
      <c r="EK155" s="366"/>
      <c r="EL155" s="366"/>
      <c r="EM155" s="366"/>
      <c r="EN155" s="366"/>
      <c r="EO155" s="366"/>
      <c r="EP155" s="366"/>
      <c r="EQ155" s="366"/>
      <c r="ER155" s="366"/>
      <c r="ES155" s="366"/>
      <c r="ET155" s="366"/>
      <c r="EU155" s="366"/>
      <c r="EV155" s="366"/>
      <c r="EW155" s="366"/>
      <c r="EX155" s="366"/>
      <c r="EY155" s="366"/>
      <c r="EZ155" s="366"/>
      <c r="FA155" s="366"/>
      <c r="FB155" s="366"/>
      <c r="FC155" s="366"/>
      <c r="FD155" s="366"/>
      <c r="FE155" s="366"/>
      <c r="FF155" s="366"/>
      <c r="FG155" s="366"/>
      <c r="FH155" s="366"/>
      <c r="FI155" s="366"/>
      <c r="FJ155" s="366"/>
      <c r="FK155" s="366"/>
      <c r="FL155" s="366"/>
      <c r="FM155" s="366"/>
      <c r="FN155" s="366"/>
      <c r="FO155" s="366"/>
      <c r="FP155" s="366"/>
      <c r="FQ155" s="366"/>
      <c r="FR155" s="366"/>
      <c r="FS155" s="366"/>
      <c r="FT155" s="366"/>
      <c r="FU155" s="366"/>
    </row>
    <row r="156" spans="1:177" customFormat="1" ht="18" x14ac:dyDescent="0.3">
      <c r="A156" s="384" t="e">
        <v>#REF!</v>
      </c>
      <c r="B156" s="39"/>
      <c r="C156" s="370" t="s">
        <v>236</v>
      </c>
      <c r="D156" s="39"/>
      <c r="E156" s="378">
        <f ca="1">SUM(F156:FF156)</f>
        <v>1885036.7519813548</v>
      </c>
      <c r="F156" s="397">
        <f t="shared" ref="F156:AK156" ca="1" si="520">F153*$D$48</f>
        <v>-26488.392857149895</v>
      </c>
      <c r="G156" s="398">
        <f t="shared" ca="1" si="520"/>
        <v>3526.9852938147214</v>
      </c>
      <c r="H156" s="398">
        <f t="shared" ca="1" si="520"/>
        <v>3551.4358806357568</v>
      </c>
      <c r="I156" s="398">
        <f t="shared" ca="1" si="520"/>
        <v>3575.9475939238459</v>
      </c>
      <c r="J156" s="398">
        <f t="shared" ca="1" si="520"/>
        <v>3600.5205864951499</v>
      </c>
      <c r="K156" s="398">
        <f t="shared" ca="1" si="520"/>
        <v>3625.1550115478881</v>
      </c>
      <c r="L156" s="398">
        <f t="shared" ca="1" si="520"/>
        <v>3649.8510226632543</v>
      </c>
      <c r="M156" s="398">
        <f t="shared" ca="1" si="520"/>
        <v>3674.6087738064107</v>
      </c>
      <c r="N156" s="398">
        <f t="shared" ca="1" si="520"/>
        <v>3699.4284193274234</v>
      </c>
      <c r="O156" s="398">
        <f t="shared" ca="1" si="520"/>
        <v>3724.3101139622431</v>
      </c>
      <c r="P156" s="398">
        <f t="shared" ca="1" si="520"/>
        <v>3749.254012833645</v>
      </c>
      <c r="Q156" s="398">
        <f t="shared" ca="1" si="520"/>
        <v>3774.260271452225</v>
      </c>
      <c r="R156" s="398">
        <f t="shared" ca="1" si="520"/>
        <v>3799.3290457173543</v>
      </c>
      <c r="S156" s="398">
        <f t="shared" ca="1" si="520"/>
        <v>3824.4604919181506</v>
      </c>
      <c r="T156" s="398">
        <f t="shared" ca="1" si="520"/>
        <v>3849.6547667344407</v>
      </c>
      <c r="U156" s="398">
        <f t="shared" ca="1" si="520"/>
        <v>3874.9120272377731</v>
      </c>
      <c r="V156" s="398">
        <f t="shared" ca="1" si="520"/>
        <v>3900.2324308923667</v>
      </c>
      <c r="W156" s="398">
        <f t="shared" ca="1" si="520"/>
        <v>3925.6161355560962</v>
      </c>
      <c r="X156" s="398">
        <f t="shared" ca="1" si="520"/>
        <v>3951.063299481485</v>
      </c>
      <c r="Y156" s="398">
        <f t="shared" ca="1" si="520"/>
        <v>3976.5740813166849</v>
      </c>
      <c r="Z156" s="398">
        <f t="shared" ca="1" si="520"/>
        <v>4002.1486401064776</v>
      </c>
      <c r="AA156" s="398">
        <f t="shared" ca="1" si="520"/>
        <v>4027.7871352932425</v>
      </c>
      <c r="AB156" s="398">
        <f t="shared" ca="1" si="520"/>
        <v>4053.4897267179749</v>
      </c>
      <c r="AC156" s="398">
        <f t="shared" ca="1" si="520"/>
        <v>4079.2565746212672</v>
      </c>
      <c r="AD156" s="398">
        <f t="shared" ca="1" si="520"/>
        <v>4105.0878396443177</v>
      </c>
      <c r="AE156" s="398">
        <f t="shared" ca="1" si="520"/>
        <v>4130.9836828299276</v>
      </c>
      <c r="AF156" s="398">
        <f t="shared" ca="1" si="520"/>
        <v>4156.9442656234996</v>
      </c>
      <c r="AG156" s="398">
        <f t="shared" ca="1" si="520"/>
        <v>4182.9697498740579</v>
      </c>
      <c r="AH156" s="398">
        <f t="shared" ca="1" si="520"/>
        <v>4209.060297835239</v>
      </c>
      <c r="AI156" s="398">
        <f t="shared" ca="1" si="520"/>
        <v>4235.2160721663267</v>
      </c>
      <c r="AJ156" s="398">
        <f t="shared" ca="1" si="520"/>
        <v>4261.4372359332419</v>
      </c>
      <c r="AK156" s="398">
        <f t="shared" ca="1" si="520"/>
        <v>4287.7239526095682</v>
      </c>
      <c r="AL156" s="398">
        <f t="shared" ref="AL156:BQ156" ca="1" si="521">AL153*$D$48</f>
        <v>4314.0763860775942</v>
      </c>
      <c r="AM156" s="398">
        <f t="shared" ca="1" si="521"/>
        <v>4340.4947006292859</v>
      </c>
      <c r="AN156" s="398">
        <f t="shared" ca="1" si="521"/>
        <v>4366.9790609673555</v>
      </c>
      <c r="AO156" s="398">
        <f t="shared" ca="1" si="521"/>
        <v>4393.5296322062713</v>
      </c>
      <c r="AP156" s="398">
        <f t="shared" ca="1" si="521"/>
        <v>421152.10118873138</v>
      </c>
      <c r="AQ156" s="398">
        <f t="shared" ca="1" si="521"/>
        <v>3482.1450076219444</v>
      </c>
      <c r="AR156" s="398">
        <f t="shared" ca="1" si="521"/>
        <v>3508.8952063832162</v>
      </c>
      <c r="AS156" s="398">
        <f t="shared" ca="1" si="521"/>
        <v>3535.712280641395</v>
      </c>
      <c r="AT156" s="398">
        <f t="shared" ca="1" si="521"/>
        <v>3562.5963975852128</v>
      </c>
      <c r="AU156" s="398">
        <f t="shared" ca="1" si="521"/>
        <v>3589.5477248213888</v>
      </c>
      <c r="AV156" s="398">
        <f t="shared" ca="1" si="521"/>
        <v>3616.5664303756616</v>
      </c>
      <c r="AW156" s="398">
        <f t="shared" ca="1" si="521"/>
        <v>3643.6526826938161</v>
      </c>
      <c r="AX156" s="398">
        <f t="shared" ca="1" si="521"/>
        <v>3670.8066506427681</v>
      </c>
      <c r="AY156" s="398">
        <f t="shared" ca="1" si="521"/>
        <v>3698.0285035115935</v>
      </c>
      <c r="AZ156" s="398">
        <f t="shared" ca="1" si="521"/>
        <v>3725.3184110125926</v>
      </c>
      <c r="BA156" s="398">
        <f t="shared" ca="1" si="521"/>
        <v>3752.6765432823431</v>
      </c>
      <c r="BB156" s="398">
        <f t="shared" ca="1" si="521"/>
        <v>3780.1030708827657</v>
      </c>
      <c r="BC156" s="398">
        <f t="shared" ca="1" si="521"/>
        <v>3807.598164802188</v>
      </c>
      <c r="BD156" s="398">
        <f t="shared" ca="1" si="521"/>
        <v>3835.161996456407</v>
      </c>
      <c r="BE156" s="398">
        <f t="shared" ca="1" si="521"/>
        <v>3862.7947376897664</v>
      </c>
      <c r="BF156" s="398">
        <f t="shared" ca="1" si="521"/>
        <v>3890.4965607762006</v>
      </c>
      <c r="BG156" s="398">
        <f t="shared" ca="1" si="521"/>
        <v>3918.2676384203605</v>
      </c>
      <c r="BH156" s="398">
        <f t="shared" ca="1" si="521"/>
        <v>3946.1081437586308</v>
      </c>
      <c r="BI156" s="398">
        <f t="shared" ca="1" si="521"/>
        <v>3974.018250360245</v>
      </c>
      <c r="BJ156" s="398">
        <f t="shared" ca="1" si="521"/>
        <v>4001.9981322283638</v>
      </c>
      <c r="BK156" s="398">
        <f t="shared" ca="1" si="521"/>
        <v>4030.0479638011461</v>
      </c>
      <c r="BL156" s="398">
        <f t="shared" ca="1" si="521"/>
        <v>4058.1679199528667</v>
      </c>
      <c r="BM156" s="398">
        <f t="shared" ca="1" si="521"/>
        <v>4086.3581759949634</v>
      </c>
      <c r="BN156" s="398">
        <f t="shared" ca="1" si="521"/>
        <v>4114.6189076771652</v>
      </c>
      <c r="BO156" s="398">
        <f t="shared" ca="1" si="521"/>
        <v>2938.3144659542854</v>
      </c>
      <c r="BP156" s="398">
        <f t="shared" ca="1" si="521"/>
        <v>2966.7166779244726</v>
      </c>
      <c r="BQ156" s="398">
        <f t="shared" ca="1" si="521"/>
        <v>2995.1898954245844</v>
      </c>
      <c r="BR156" s="398">
        <f t="shared" ref="BR156:CW156" ca="1" si="522">BR153*$D$48</f>
        <v>3023.7342959684502</v>
      </c>
      <c r="BS156" s="398">
        <f t="shared" ca="1" si="522"/>
        <v>3052.350057513675</v>
      </c>
      <c r="BT156" s="398">
        <f t="shared" ca="1" si="522"/>
        <v>3081.0373584627596</v>
      </c>
      <c r="BU156" s="398">
        <f t="shared" ca="1" si="522"/>
        <v>3109.7963776642223</v>
      </c>
      <c r="BV156" s="398">
        <f t="shared" ca="1" si="522"/>
        <v>3138.6272944136863</v>
      </c>
      <c r="BW156" s="398">
        <f t="shared" ca="1" si="522"/>
        <v>3167.530288455021</v>
      </c>
      <c r="BX156" s="398">
        <f t="shared" ca="1" si="522"/>
        <v>3196.5055399814555</v>
      </c>
      <c r="BY156" s="398">
        <f t="shared" ca="1" si="522"/>
        <v>3225.5532296367128</v>
      </c>
      <c r="BZ156" s="398">
        <f t="shared" ca="1" si="522"/>
        <v>3254.6735385161046</v>
      </c>
      <c r="CA156" s="398">
        <f t="shared" ca="1" si="522"/>
        <v>3283.8666481676942</v>
      </c>
      <c r="CB156" s="398">
        <f t="shared" ca="1" si="522"/>
        <v>3313.1327405934221</v>
      </c>
      <c r="CC156" s="398">
        <f t="shared" ca="1" si="522"/>
        <v>3342.4719982502033</v>
      </c>
      <c r="CD156" s="398">
        <f t="shared" ca="1" si="522"/>
        <v>3371.8846040511335</v>
      </c>
      <c r="CE156" s="398">
        <f t="shared" ca="1" si="522"/>
        <v>3401.3707413665688</v>
      </c>
      <c r="CF156" s="398">
        <f t="shared" ca="1" si="522"/>
        <v>3430.9305940252839</v>
      </c>
      <c r="CG156" s="398">
        <f t="shared" ca="1" si="522"/>
        <v>3460.5643463156434</v>
      </c>
      <c r="CH156" s="398">
        <f t="shared" ca="1" si="522"/>
        <v>3490.2721829867396</v>
      </c>
      <c r="CI156" s="398">
        <f t="shared" ca="1" si="522"/>
        <v>3520.0542892495105</v>
      </c>
      <c r="CJ156" s="398">
        <f t="shared" ca="1" si="522"/>
        <v>3549.9108507779315</v>
      </c>
      <c r="CK156" s="398">
        <f t="shared" ca="1" si="522"/>
        <v>3579.8420537101824</v>
      </c>
      <c r="CL156" s="398">
        <f t="shared" ca="1" si="522"/>
        <v>3609.8480846497591</v>
      </c>
      <c r="CM156" s="398">
        <f t="shared" ca="1" si="522"/>
        <v>3639.9291306666796</v>
      </c>
      <c r="CN156" s="398">
        <f t="shared" ca="1" si="522"/>
        <v>3670.0853792986491</v>
      </c>
      <c r="CO156" s="398">
        <f t="shared" ca="1" si="522"/>
        <v>3700.3170185522008</v>
      </c>
      <c r="CP156" s="398">
        <f t="shared" ca="1" si="522"/>
        <v>3730.6242369038814</v>
      </c>
      <c r="CQ156" s="398">
        <f t="shared" ca="1" si="522"/>
        <v>3761.0072233014448</v>
      </c>
      <c r="CR156" s="398">
        <f t="shared" ca="1" si="522"/>
        <v>3791.4661671650033</v>
      </c>
      <c r="CS156" s="398">
        <f t="shared" ca="1" si="522"/>
        <v>3822.0012583882176</v>
      </c>
      <c r="CT156" s="398">
        <f t="shared" ca="1" si="522"/>
        <v>3852.6126873394901</v>
      </c>
      <c r="CU156" s="398">
        <f t="shared" ca="1" si="522"/>
        <v>3883.3006448631422</v>
      </c>
      <c r="CV156" s="398">
        <f t="shared" ca="1" si="522"/>
        <v>3914.0653222805986</v>
      </c>
      <c r="CW156" s="398">
        <f t="shared" ca="1" si="522"/>
        <v>3944.9069113916062</v>
      </c>
      <c r="CX156" s="398">
        <f t="shared" ref="CX156:EC156" ca="1" si="523">CX153*$D$48</f>
        <v>1140666.0798017371</v>
      </c>
      <c r="CY156" s="398">
        <f t="shared" ca="1" si="523"/>
        <v>0</v>
      </c>
      <c r="CZ156" s="398">
        <f t="shared" ca="1" si="523"/>
        <v>0</v>
      </c>
      <c r="DA156" s="398">
        <f t="shared" ca="1" si="523"/>
        <v>0</v>
      </c>
      <c r="DB156" s="398">
        <f t="shared" ca="1" si="523"/>
        <v>0</v>
      </c>
      <c r="DC156" s="398">
        <f t="shared" ca="1" si="523"/>
        <v>0</v>
      </c>
      <c r="DD156" s="398">
        <f t="shared" ca="1" si="523"/>
        <v>0</v>
      </c>
      <c r="DE156" s="398">
        <f t="shared" ca="1" si="523"/>
        <v>0</v>
      </c>
      <c r="DF156" s="398">
        <f t="shared" ca="1" si="523"/>
        <v>0</v>
      </c>
      <c r="DG156" s="398">
        <f t="shared" ca="1" si="523"/>
        <v>0</v>
      </c>
      <c r="DH156" s="398">
        <f t="shared" ca="1" si="523"/>
        <v>0</v>
      </c>
      <c r="DI156" s="398">
        <f t="shared" ca="1" si="523"/>
        <v>0</v>
      </c>
      <c r="DJ156" s="398">
        <f t="shared" ca="1" si="523"/>
        <v>0</v>
      </c>
      <c r="DK156" s="398">
        <f t="shared" ca="1" si="523"/>
        <v>0</v>
      </c>
      <c r="DL156" s="398">
        <f t="shared" ca="1" si="523"/>
        <v>0</v>
      </c>
      <c r="DM156" s="398">
        <f t="shared" ca="1" si="523"/>
        <v>0</v>
      </c>
      <c r="DN156" s="398">
        <f t="shared" ca="1" si="523"/>
        <v>0</v>
      </c>
      <c r="DO156" s="398">
        <f t="shared" ca="1" si="523"/>
        <v>0</v>
      </c>
      <c r="DP156" s="398">
        <f t="shared" ca="1" si="523"/>
        <v>0</v>
      </c>
      <c r="DQ156" s="398">
        <f t="shared" ca="1" si="523"/>
        <v>0</v>
      </c>
      <c r="DR156" s="398">
        <f t="shared" ca="1" si="523"/>
        <v>0</v>
      </c>
      <c r="DS156" s="398">
        <f t="shared" ca="1" si="523"/>
        <v>0</v>
      </c>
      <c r="DT156" s="398">
        <f t="shared" ca="1" si="523"/>
        <v>0</v>
      </c>
      <c r="DU156" s="398">
        <f t="shared" ca="1" si="523"/>
        <v>0</v>
      </c>
      <c r="DV156" s="398">
        <f t="shared" ca="1" si="523"/>
        <v>0</v>
      </c>
      <c r="DW156" s="398">
        <f t="shared" ca="1" si="523"/>
        <v>0</v>
      </c>
      <c r="DX156" s="398">
        <f t="shared" ca="1" si="523"/>
        <v>0</v>
      </c>
      <c r="DY156" s="398">
        <f t="shared" ca="1" si="523"/>
        <v>0</v>
      </c>
      <c r="DZ156" s="398">
        <f t="shared" ca="1" si="523"/>
        <v>0</v>
      </c>
      <c r="EA156" s="398">
        <f t="shared" ca="1" si="523"/>
        <v>0</v>
      </c>
      <c r="EB156" s="398">
        <f t="shared" ca="1" si="523"/>
        <v>0</v>
      </c>
      <c r="EC156" s="398">
        <f t="shared" ca="1" si="523"/>
        <v>0</v>
      </c>
      <c r="ED156" s="398">
        <f t="shared" ref="ED156:FF156" ca="1" si="524">ED153*$D$48</f>
        <v>0</v>
      </c>
      <c r="EE156" s="398">
        <f t="shared" ca="1" si="524"/>
        <v>0</v>
      </c>
      <c r="EF156" s="398">
        <f t="shared" ca="1" si="524"/>
        <v>0</v>
      </c>
      <c r="EG156" s="398">
        <f t="shared" ca="1" si="524"/>
        <v>0</v>
      </c>
      <c r="EH156" s="398">
        <f t="shared" ca="1" si="524"/>
        <v>0</v>
      </c>
      <c r="EI156" s="398">
        <f t="shared" ca="1" si="524"/>
        <v>0</v>
      </c>
      <c r="EJ156" s="398">
        <f t="shared" ca="1" si="524"/>
        <v>0</v>
      </c>
      <c r="EK156" s="398">
        <f t="shared" ca="1" si="524"/>
        <v>0</v>
      </c>
      <c r="EL156" s="398">
        <f t="shared" ca="1" si="524"/>
        <v>0</v>
      </c>
      <c r="EM156" s="398">
        <f t="shared" ca="1" si="524"/>
        <v>0</v>
      </c>
      <c r="EN156" s="398">
        <f t="shared" ca="1" si="524"/>
        <v>0</v>
      </c>
      <c r="EO156" s="398">
        <f t="shared" ca="1" si="524"/>
        <v>0</v>
      </c>
      <c r="EP156" s="398">
        <f t="shared" ca="1" si="524"/>
        <v>0</v>
      </c>
      <c r="EQ156" s="398">
        <f t="shared" ca="1" si="524"/>
        <v>0</v>
      </c>
      <c r="ER156" s="398">
        <f t="shared" ca="1" si="524"/>
        <v>0</v>
      </c>
      <c r="ES156" s="398">
        <f t="shared" ca="1" si="524"/>
        <v>0</v>
      </c>
      <c r="ET156" s="398">
        <f t="shared" ca="1" si="524"/>
        <v>0</v>
      </c>
      <c r="EU156" s="398">
        <f t="shared" ca="1" si="524"/>
        <v>0</v>
      </c>
      <c r="EV156" s="398">
        <f t="shared" ca="1" si="524"/>
        <v>0</v>
      </c>
      <c r="EW156" s="398">
        <f t="shared" ca="1" si="524"/>
        <v>0</v>
      </c>
      <c r="EX156" s="398">
        <f t="shared" ca="1" si="524"/>
        <v>0</v>
      </c>
      <c r="EY156" s="398">
        <f t="shared" ca="1" si="524"/>
        <v>0</v>
      </c>
      <c r="EZ156" s="398">
        <f t="shared" ca="1" si="524"/>
        <v>0</v>
      </c>
      <c r="FA156" s="398">
        <f t="shared" ca="1" si="524"/>
        <v>0</v>
      </c>
      <c r="FB156" s="398">
        <f t="shared" ca="1" si="524"/>
        <v>0</v>
      </c>
      <c r="FC156" s="398">
        <f t="shared" ca="1" si="524"/>
        <v>0</v>
      </c>
      <c r="FD156" s="398">
        <f t="shared" ca="1" si="524"/>
        <v>0</v>
      </c>
      <c r="FE156" s="398">
        <f t="shared" ca="1" si="524"/>
        <v>0</v>
      </c>
      <c r="FF156" s="398">
        <f t="shared" ca="1" si="524"/>
        <v>0</v>
      </c>
      <c r="FG156" s="398"/>
      <c r="FH156" s="398">
        <f t="shared" ref="FH156:FU156" ca="1" si="525">SUMIF($F$54:$FF$54,FH$54,$F156:$FF156)</f>
        <v>-4958.4974680692821</v>
      </c>
      <c r="FI156" s="398">
        <f t="shared" ca="1" si="525"/>
        <v>45747.129788919621</v>
      </c>
      <c r="FJ156" s="398">
        <f t="shared" ca="1" si="525"/>
        <v>49420.955301962254</v>
      </c>
      <c r="FK156" s="398">
        <f t="shared" ca="1" si="525"/>
        <v>464150.36796865024</v>
      </c>
      <c r="FL156" s="398">
        <f t="shared" ca="1" si="525"/>
        <v>45531.013103929428</v>
      </c>
      <c r="FM156" s="398">
        <f t="shared" ca="1" si="525"/>
        <v>42322.552101262969</v>
      </c>
      <c r="FN156" s="398">
        <f t="shared" ca="1" si="525"/>
        <v>39236.343595121507</v>
      </c>
      <c r="FO156" s="398">
        <f t="shared" ca="1" si="525"/>
        <v>43503.920963577621</v>
      </c>
      <c r="FP156" s="398">
        <f t="shared" ca="1" si="525"/>
        <v>1160082.9666260001</v>
      </c>
      <c r="FQ156" s="398">
        <f t="shared" ca="1" si="525"/>
        <v>0</v>
      </c>
      <c r="FR156" s="398">
        <f t="shared" ca="1" si="525"/>
        <v>0</v>
      </c>
      <c r="FS156" s="398">
        <f t="shared" ca="1" si="525"/>
        <v>0</v>
      </c>
      <c r="FT156" s="398">
        <f t="shared" ca="1" si="525"/>
        <v>0</v>
      </c>
      <c r="FU156" s="398">
        <f t="shared" ca="1" si="525"/>
        <v>0</v>
      </c>
    </row>
    <row r="157" spans="1:177" customFormat="1" ht="18" x14ac:dyDescent="0.3">
      <c r="A157" s="384"/>
      <c r="B157" s="39"/>
      <c r="C157" s="380"/>
      <c r="D157" s="39"/>
      <c r="E157" s="381"/>
      <c r="F157" s="392"/>
      <c r="G157" s="377"/>
      <c r="H157" s="377"/>
      <c r="I157" s="377"/>
      <c r="J157" s="377"/>
      <c r="K157" s="377"/>
      <c r="L157" s="377"/>
      <c r="M157" s="377"/>
      <c r="N157" s="377"/>
      <c r="O157" s="377"/>
      <c r="P157" s="377"/>
      <c r="Q157" s="377"/>
      <c r="R157" s="377"/>
      <c r="S157" s="377"/>
      <c r="T157" s="377"/>
      <c r="U157" s="377"/>
      <c r="V157" s="377"/>
      <c r="W157" s="377"/>
      <c r="X157" s="377"/>
      <c r="Y157" s="377"/>
      <c r="Z157" s="377"/>
      <c r="AA157" s="377"/>
      <c r="AB157" s="377"/>
      <c r="AC157" s="377"/>
      <c r="AD157" s="377"/>
      <c r="AE157" s="377"/>
      <c r="AF157" s="377"/>
      <c r="AG157" s="377"/>
      <c r="AH157" s="377"/>
      <c r="AI157" s="377"/>
      <c r="AJ157" s="377"/>
      <c r="AK157" s="377"/>
      <c r="AL157" s="377"/>
      <c r="AM157" s="377"/>
      <c r="AN157" s="377"/>
      <c r="AO157" s="377"/>
      <c r="AP157" s="377"/>
      <c r="AQ157" s="377"/>
      <c r="AR157" s="377"/>
      <c r="AS157" s="377"/>
      <c r="AT157" s="377"/>
      <c r="AU157" s="377"/>
      <c r="AV157" s="377"/>
      <c r="AW157" s="377"/>
      <c r="AX157" s="377"/>
      <c r="AY157" s="377"/>
      <c r="AZ157" s="377"/>
      <c r="BA157" s="377"/>
      <c r="BB157" s="377"/>
      <c r="BC157" s="377"/>
      <c r="BD157" s="377"/>
      <c r="BE157" s="377"/>
      <c r="BF157" s="377"/>
      <c r="BG157" s="377"/>
      <c r="BH157" s="377"/>
      <c r="BI157" s="377"/>
      <c r="BJ157" s="377"/>
      <c r="BK157" s="377"/>
      <c r="BL157" s="377"/>
      <c r="BM157" s="377"/>
      <c r="BN157" s="377"/>
      <c r="BO157" s="377"/>
      <c r="BP157" s="377"/>
      <c r="BQ157" s="377"/>
      <c r="BR157" s="377"/>
      <c r="BS157" s="377"/>
      <c r="BT157" s="377"/>
      <c r="BU157" s="377"/>
      <c r="BV157" s="377"/>
      <c r="BW157" s="377"/>
      <c r="BX157" s="377"/>
      <c r="BY157" s="377"/>
      <c r="BZ157" s="377"/>
      <c r="CA157" s="377"/>
      <c r="CB157" s="377"/>
      <c r="CC157" s="377"/>
      <c r="CD157" s="377"/>
      <c r="CE157" s="377"/>
      <c r="CF157" s="377"/>
      <c r="CG157" s="377"/>
      <c r="CH157" s="377"/>
      <c r="CI157" s="377"/>
      <c r="CJ157" s="377"/>
      <c r="CK157" s="377"/>
      <c r="CL157" s="377"/>
      <c r="CM157" s="377"/>
      <c r="CN157" s="377"/>
      <c r="CO157" s="377"/>
      <c r="CP157" s="377"/>
      <c r="CQ157" s="377"/>
      <c r="CR157" s="377"/>
      <c r="CS157" s="377"/>
      <c r="CT157" s="377"/>
      <c r="CU157" s="377"/>
      <c r="CV157" s="377"/>
      <c r="CW157" s="377"/>
      <c r="CX157" s="377"/>
      <c r="CY157" s="377"/>
      <c r="CZ157" s="377"/>
      <c r="DA157" s="377"/>
      <c r="DB157" s="377"/>
      <c r="DC157" s="377"/>
      <c r="DD157" s="377"/>
      <c r="DE157" s="377"/>
      <c r="DF157" s="377"/>
      <c r="DG157" s="377"/>
      <c r="DH157" s="377"/>
      <c r="DI157" s="377"/>
      <c r="DJ157" s="377"/>
      <c r="DK157" s="377"/>
      <c r="DL157" s="377"/>
      <c r="DM157" s="377"/>
      <c r="DN157" s="377"/>
      <c r="DO157" s="377"/>
      <c r="DP157" s="377"/>
      <c r="DQ157" s="377"/>
      <c r="DR157" s="377"/>
      <c r="DS157" s="377"/>
      <c r="DT157" s="377"/>
      <c r="DU157" s="377"/>
      <c r="DV157" s="377"/>
      <c r="DW157" s="377"/>
      <c r="DX157" s="377"/>
      <c r="DY157" s="377"/>
      <c r="DZ157" s="377"/>
      <c r="EA157" s="377"/>
      <c r="EB157" s="377"/>
      <c r="EC157" s="377"/>
      <c r="ED157" s="377"/>
      <c r="EE157" s="377"/>
      <c r="EF157" s="377"/>
      <c r="EG157" s="377"/>
      <c r="EH157" s="377"/>
      <c r="EI157" s="377"/>
      <c r="EJ157" s="377"/>
      <c r="EK157" s="377"/>
      <c r="EL157" s="377"/>
      <c r="EM157" s="377"/>
      <c r="EN157" s="377"/>
      <c r="EO157" s="377"/>
      <c r="EP157" s="377"/>
      <c r="EQ157" s="377"/>
      <c r="ER157" s="377"/>
      <c r="ES157" s="377"/>
      <c r="ET157" s="377"/>
      <c r="EU157" s="377"/>
      <c r="EV157" s="377"/>
      <c r="EW157" s="377"/>
      <c r="EX157" s="377"/>
      <c r="EY157" s="377"/>
      <c r="EZ157" s="377"/>
      <c r="FA157" s="377"/>
      <c r="FB157" s="377"/>
      <c r="FC157" s="377"/>
      <c r="FD157" s="377"/>
      <c r="FE157" s="377"/>
      <c r="FF157" s="377"/>
      <c r="FG157" s="377"/>
      <c r="FH157" s="377"/>
      <c r="FI157" s="377"/>
      <c r="FJ157" s="377"/>
      <c r="FK157" s="377"/>
      <c r="FL157" s="377"/>
      <c r="FM157" s="377"/>
      <c r="FN157" s="377"/>
      <c r="FO157" s="377"/>
      <c r="FP157" s="377"/>
      <c r="FQ157" s="377"/>
      <c r="FR157" s="377"/>
      <c r="FS157" s="377"/>
      <c r="FT157" s="377"/>
      <c r="FU157" s="377"/>
    </row>
    <row r="158" spans="1:177" customFormat="1" ht="18" x14ac:dyDescent="0.3">
      <c r="A158" s="384"/>
      <c r="B158" s="39"/>
      <c r="C158" s="382" t="s">
        <v>237</v>
      </c>
      <c r="D158" s="387"/>
      <c r="E158" s="399">
        <f ca="1">SUM(F158:FF158)</f>
        <v>1116018.8948377941</v>
      </c>
      <c r="F158" s="393">
        <f ca="1">F151+F156</f>
        <v>-795506.25000071072</v>
      </c>
      <c r="G158" s="383">
        <f t="shared" ref="G158:BR158" ca="1" si="526">G151+G156</f>
        <v>3526.9852938147214</v>
      </c>
      <c r="H158" s="383">
        <f t="shared" ca="1" si="526"/>
        <v>3551.4358806357568</v>
      </c>
      <c r="I158" s="383">
        <f t="shared" ca="1" si="526"/>
        <v>3575.9475939238459</v>
      </c>
      <c r="J158" s="383">
        <f t="shared" ca="1" si="526"/>
        <v>3600.5205864951499</v>
      </c>
      <c r="K158" s="383">
        <f t="shared" ca="1" si="526"/>
        <v>3625.1550115478881</v>
      </c>
      <c r="L158" s="383">
        <f t="shared" ca="1" si="526"/>
        <v>3649.8510226632543</v>
      </c>
      <c r="M158" s="383">
        <f t="shared" ca="1" si="526"/>
        <v>3674.6087738064107</v>
      </c>
      <c r="N158" s="383">
        <f t="shared" ca="1" si="526"/>
        <v>3699.4284193274234</v>
      </c>
      <c r="O158" s="383">
        <f t="shared" ca="1" si="526"/>
        <v>3724.3101139622431</v>
      </c>
      <c r="P158" s="383">
        <f t="shared" ca="1" si="526"/>
        <v>3749.254012833645</v>
      </c>
      <c r="Q158" s="383">
        <f t="shared" ca="1" si="526"/>
        <v>3774.260271452225</v>
      </c>
      <c r="R158" s="383">
        <f t="shared" ca="1" si="526"/>
        <v>3799.3290457173543</v>
      </c>
      <c r="S158" s="383">
        <f t="shared" ca="1" si="526"/>
        <v>3824.4604919181506</v>
      </c>
      <c r="T158" s="383">
        <f t="shared" ca="1" si="526"/>
        <v>3849.6547667344407</v>
      </c>
      <c r="U158" s="383">
        <f t="shared" ca="1" si="526"/>
        <v>3874.9120272377731</v>
      </c>
      <c r="V158" s="383">
        <f t="shared" ca="1" si="526"/>
        <v>3900.2324308923667</v>
      </c>
      <c r="W158" s="383">
        <f t="shared" ca="1" si="526"/>
        <v>3925.6161355560962</v>
      </c>
      <c r="X158" s="383">
        <f t="shared" ca="1" si="526"/>
        <v>3951.063299481485</v>
      </c>
      <c r="Y158" s="383">
        <f t="shared" ca="1" si="526"/>
        <v>3976.5740813166849</v>
      </c>
      <c r="Z158" s="383">
        <f t="shared" ca="1" si="526"/>
        <v>4002.1486401064776</v>
      </c>
      <c r="AA158" s="383">
        <f t="shared" ca="1" si="526"/>
        <v>4027.7871352932425</v>
      </c>
      <c r="AB158" s="383">
        <f t="shared" ca="1" si="526"/>
        <v>4053.4897267179749</v>
      </c>
      <c r="AC158" s="383">
        <f t="shared" ca="1" si="526"/>
        <v>4079.2565746212672</v>
      </c>
      <c r="AD158" s="383">
        <f t="shared" ca="1" si="526"/>
        <v>4105.0878396443177</v>
      </c>
      <c r="AE158" s="383">
        <f t="shared" ca="1" si="526"/>
        <v>4130.9836828299276</v>
      </c>
      <c r="AF158" s="383">
        <f t="shared" ca="1" si="526"/>
        <v>4156.9442656234996</v>
      </c>
      <c r="AG158" s="383">
        <f t="shared" ca="1" si="526"/>
        <v>4182.9697498740579</v>
      </c>
      <c r="AH158" s="383">
        <f t="shared" ca="1" si="526"/>
        <v>4209.060297835239</v>
      </c>
      <c r="AI158" s="383">
        <f t="shared" ca="1" si="526"/>
        <v>4235.2160721663267</v>
      </c>
      <c r="AJ158" s="383">
        <f t="shared" ca="1" si="526"/>
        <v>4261.4372359332419</v>
      </c>
      <c r="AK158" s="383">
        <f t="shared" ca="1" si="526"/>
        <v>4287.7239526095682</v>
      </c>
      <c r="AL158" s="383">
        <f t="shared" ca="1" si="526"/>
        <v>4314.0763860775942</v>
      </c>
      <c r="AM158" s="383">
        <f t="shared" ca="1" si="526"/>
        <v>4340.4947006292859</v>
      </c>
      <c r="AN158" s="383">
        <f t="shared" ca="1" si="526"/>
        <v>4366.9790609673555</v>
      </c>
      <c r="AO158" s="383">
        <f t="shared" ca="1" si="526"/>
        <v>4393.5296322062713</v>
      </c>
      <c r="AP158" s="383">
        <f t="shared" ca="1" si="526"/>
        <v>421152.10118873138</v>
      </c>
      <c r="AQ158" s="383">
        <f t="shared" ca="1" si="526"/>
        <v>3482.1450076219444</v>
      </c>
      <c r="AR158" s="383">
        <f t="shared" ca="1" si="526"/>
        <v>3508.8952063832162</v>
      </c>
      <c r="AS158" s="383">
        <f t="shared" ca="1" si="526"/>
        <v>3535.712280641395</v>
      </c>
      <c r="AT158" s="383">
        <f t="shared" ca="1" si="526"/>
        <v>3562.5963975852128</v>
      </c>
      <c r="AU158" s="383">
        <f t="shared" ca="1" si="526"/>
        <v>3589.5477248213888</v>
      </c>
      <c r="AV158" s="383">
        <f t="shared" ca="1" si="526"/>
        <v>3616.5664303756616</v>
      </c>
      <c r="AW158" s="383">
        <f t="shared" ca="1" si="526"/>
        <v>3643.6526826938161</v>
      </c>
      <c r="AX158" s="383">
        <f t="shared" ca="1" si="526"/>
        <v>3670.8066506427681</v>
      </c>
      <c r="AY158" s="383">
        <f t="shared" ca="1" si="526"/>
        <v>3698.0285035115935</v>
      </c>
      <c r="AZ158" s="383">
        <f t="shared" ca="1" si="526"/>
        <v>3725.3184110125926</v>
      </c>
      <c r="BA158" s="383">
        <f t="shared" ca="1" si="526"/>
        <v>3752.6765432823431</v>
      </c>
      <c r="BB158" s="383">
        <f t="shared" ca="1" si="526"/>
        <v>3780.1030708827657</v>
      </c>
      <c r="BC158" s="383">
        <f t="shared" ca="1" si="526"/>
        <v>3807.598164802188</v>
      </c>
      <c r="BD158" s="383">
        <f t="shared" ca="1" si="526"/>
        <v>3835.161996456407</v>
      </c>
      <c r="BE158" s="383">
        <f t="shared" ca="1" si="526"/>
        <v>3862.7947376897664</v>
      </c>
      <c r="BF158" s="383">
        <f t="shared" ca="1" si="526"/>
        <v>3890.4965607762006</v>
      </c>
      <c r="BG158" s="383">
        <f t="shared" ca="1" si="526"/>
        <v>3918.2676384203605</v>
      </c>
      <c r="BH158" s="383">
        <f t="shared" ca="1" si="526"/>
        <v>3946.1081437586308</v>
      </c>
      <c r="BI158" s="383">
        <f t="shared" ca="1" si="526"/>
        <v>3974.018250360245</v>
      </c>
      <c r="BJ158" s="383">
        <f t="shared" ca="1" si="526"/>
        <v>4001.9981322283638</v>
      </c>
      <c r="BK158" s="383">
        <f t="shared" ca="1" si="526"/>
        <v>4030.0479638011461</v>
      </c>
      <c r="BL158" s="383">
        <f t="shared" ca="1" si="526"/>
        <v>4058.1679199528667</v>
      </c>
      <c r="BM158" s="383">
        <f t="shared" ca="1" si="526"/>
        <v>4086.3581759949634</v>
      </c>
      <c r="BN158" s="383">
        <f t="shared" ca="1" si="526"/>
        <v>4114.6189076771652</v>
      </c>
      <c r="BO158" s="383">
        <f t="shared" ca="1" si="526"/>
        <v>2938.3144659542854</v>
      </c>
      <c r="BP158" s="383">
        <f t="shared" ca="1" si="526"/>
        <v>2966.7166779244726</v>
      </c>
      <c r="BQ158" s="383">
        <f t="shared" ca="1" si="526"/>
        <v>2995.1898954245844</v>
      </c>
      <c r="BR158" s="383">
        <f t="shared" ca="1" si="526"/>
        <v>3023.7342959684502</v>
      </c>
      <c r="BS158" s="383">
        <f t="shared" ref="BS158:ED158" ca="1" si="527">BS151+BS156</f>
        <v>3052.350057513675</v>
      </c>
      <c r="BT158" s="383">
        <f t="shared" ca="1" si="527"/>
        <v>3081.0373584627596</v>
      </c>
      <c r="BU158" s="383">
        <f t="shared" ca="1" si="527"/>
        <v>3109.7963776642223</v>
      </c>
      <c r="BV158" s="383">
        <f t="shared" ca="1" si="527"/>
        <v>3138.6272944136863</v>
      </c>
      <c r="BW158" s="383">
        <f t="shared" ca="1" si="527"/>
        <v>3167.530288455021</v>
      </c>
      <c r="BX158" s="383">
        <f t="shared" ca="1" si="527"/>
        <v>3196.5055399814555</v>
      </c>
      <c r="BY158" s="383">
        <f t="shared" ca="1" si="527"/>
        <v>3225.5532296367128</v>
      </c>
      <c r="BZ158" s="383">
        <f t="shared" ca="1" si="527"/>
        <v>3254.6735385161046</v>
      </c>
      <c r="CA158" s="383">
        <f t="shared" ca="1" si="527"/>
        <v>3283.8666481676942</v>
      </c>
      <c r="CB158" s="383">
        <f t="shared" ca="1" si="527"/>
        <v>3313.1327405934221</v>
      </c>
      <c r="CC158" s="383">
        <f t="shared" ca="1" si="527"/>
        <v>3342.4719982502033</v>
      </c>
      <c r="CD158" s="383">
        <f t="shared" ca="1" si="527"/>
        <v>3371.8846040511335</v>
      </c>
      <c r="CE158" s="383">
        <f t="shared" ca="1" si="527"/>
        <v>3401.3707413665688</v>
      </c>
      <c r="CF158" s="383">
        <f t="shared" ca="1" si="527"/>
        <v>3430.9305940252839</v>
      </c>
      <c r="CG158" s="383">
        <f t="shared" ca="1" si="527"/>
        <v>3460.5643463156434</v>
      </c>
      <c r="CH158" s="383">
        <f t="shared" ca="1" si="527"/>
        <v>3490.2721829867396</v>
      </c>
      <c r="CI158" s="383">
        <f t="shared" ca="1" si="527"/>
        <v>3520.0542892495105</v>
      </c>
      <c r="CJ158" s="383">
        <f t="shared" ca="1" si="527"/>
        <v>3549.9108507779315</v>
      </c>
      <c r="CK158" s="383">
        <f t="shared" ca="1" si="527"/>
        <v>3579.8420537101824</v>
      </c>
      <c r="CL158" s="383">
        <f t="shared" ca="1" si="527"/>
        <v>3609.8480846497591</v>
      </c>
      <c r="CM158" s="383">
        <f t="shared" ca="1" si="527"/>
        <v>3639.9291306666796</v>
      </c>
      <c r="CN158" s="383">
        <f t="shared" ca="1" si="527"/>
        <v>3670.0853792986491</v>
      </c>
      <c r="CO158" s="383">
        <f t="shared" ca="1" si="527"/>
        <v>3700.3170185522008</v>
      </c>
      <c r="CP158" s="383">
        <f t="shared" ca="1" si="527"/>
        <v>3730.6242369038814</v>
      </c>
      <c r="CQ158" s="383">
        <f t="shared" ca="1" si="527"/>
        <v>3761.0072233014448</v>
      </c>
      <c r="CR158" s="383">
        <f t="shared" ca="1" si="527"/>
        <v>3791.4661671650033</v>
      </c>
      <c r="CS158" s="383">
        <f t="shared" ca="1" si="527"/>
        <v>3822.0012583882176</v>
      </c>
      <c r="CT158" s="383">
        <f t="shared" ca="1" si="527"/>
        <v>3852.6126873394901</v>
      </c>
      <c r="CU158" s="383">
        <f t="shared" ca="1" si="527"/>
        <v>3883.3006448631422</v>
      </c>
      <c r="CV158" s="383">
        <f t="shared" ca="1" si="527"/>
        <v>3914.0653222805986</v>
      </c>
      <c r="CW158" s="383">
        <f t="shared" ca="1" si="527"/>
        <v>3944.9069113916062</v>
      </c>
      <c r="CX158" s="383">
        <f t="shared" ca="1" si="527"/>
        <v>1140666.0798017371</v>
      </c>
      <c r="CY158" s="383">
        <f t="shared" ca="1" si="527"/>
        <v>0</v>
      </c>
      <c r="CZ158" s="383">
        <f t="shared" ca="1" si="527"/>
        <v>0</v>
      </c>
      <c r="DA158" s="383">
        <f t="shared" ca="1" si="527"/>
        <v>0</v>
      </c>
      <c r="DB158" s="383">
        <f t="shared" ca="1" si="527"/>
        <v>0</v>
      </c>
      <c r="DC158" s="383">
        <f t="shared" ca="1" si="527"/>
        <v>0</v>
      </c>
      <c r="DD158" s="383">
        <f t="shared" ca="1" si="527"/>
        <v>0</v>
      </c>
      <c r="DE158" s="383">
        <f t="shared" ca="1" si="527"/>
        <v>0</v>
      </c>
      <c r="DF158" s="383">
        <f t="shared" ca="1" si="527"/>
        <v>0</v>
      </c>
      <c r="DG158" s="383">
        <f t="shared" ca="1" si="527"/>
        <v>0</v>
      </c>
      <c r="DH158" s="383">
        <f t="shared" ca="1" si="527"/>
        <v>0</v>
      </c>
      <c r="DI158" s="383">
        <f t="shared" ca="1" si="527"/>
        <v>0</v>
      </c>
      <c r="DJ158" s="383">
        <f t="shared" ca="1" si="527"/>
        <v>0</v>
      </c>
      <c r="DK158" s="383">
        <f t="shared" ca="1" si="527"/>
        <v>0</v>
      </c>
      <c r="DL158" s="383">
        <f t="shared" ca="1" si="527"/>
        <v>0</v>
      </c>
      <c r="DM158" s="383">
        <f t="shared" ca="1" si="527"/>
        <v>0</v>
      </c>
      <c r="DN158" s="383">
        <f t="shared" ca="1" si="527"/>
        <v>0</v>
      </c>
      <c r="DO158" s="383">
        <f t="shared" ca="1" si="527"/>
        <v>0</v>
      </c>
      <c r="DP158" s="383">
        <f t="shared" ca="1" si="527"/>
        <v>0</v>
      </c>
      <c r="DQ158" s="383">
        <f t="shared" ca="1" si="527"/>
        <v>0</v>
      </c>
      <c r="DR158" s="383">
        <f t="shared" ca="1" si="527"/>
        <v>0</v>
      </c>
      <c r="DS158" s="383">
        <f t="shared" ca="1" si="527"/>
        <v>0</v>
      </c>
      <c r="DT158" s="383">
        <f t="shared" ca="1" si="527"/>
        <v>0</v>
      </c>
      <c r="DU158" s="383">
        <f t="shared" ca="1" si="527"/>
        <v>0</v>
      </c>
      <c r="DV158" s="383">
        <f t="shared" ca="1" si="527"/>
        <v>0</v>
      </c>
      <c r="DW158" s="383">
        <f t="shared" ca="1" si="527"/>
        <v>0</v>
      </c>
      <c r="DX158" s="383">
        <f t="shared" ca="1" si="527"/>
        <v>0</v>
      </c>
      <c r="DY158" s="383">
        <f t="shared" ca="1" si="527"/>
        <v>0</v>
      </c>
      <c r="DZ158" s="383">
        <f t="shared" ca="1" si="527"/>
        <v>0</v>
      </c>
      <c r="EA158" s="383">
        <f t="shared" ca="1" si="527"/>
        <v>0</v>
      </c>
      <c r="EB158" s="383">
        <f t="shared" ca="1" si="527"/>
        <v>0</v>
      </c>
      <c r="EC158" s="383">
        <f t="shared" ca="1" si="527"/>
        <v>0</v>
      </c>
      <c r="ED158" s="383">
        <f t="shared" ca="1" si="527"/>
        <v>0</v>
      </c>
      <c r="EE158" s="383">
        <f t="shared" ref="EE158:FF158" ca="1" si="528">EE151+EE156</f>
        <v>0</v>
      </c>
      <c r="EF158" s="383">
        <f t="shared" ca="1" si="528"/>
        <v>0</v>
      </c>
      <c r="EG158" s="383">
        <f t="shared" ca="1" si="528"/>
        <v>0</v>
      </c>
      <c r="EH158" s="383">
        <f t="shared" ca="1" si="528"/>
        <v>0</v>
      </c>
      <c r="EI158" s="383">
        <f t="shared" ca="1" si="528"/>
        <v>0</v>
      </c>
      <c r="EJ158" s="383">
        <f t="shared" ca="1" si="528"/>
        <v>0</v>
      </c>
      <c r="EK158" s="383">
        <f t="shared" ca="1" si="528"/>
        <v>0</v>
      </c>
      <c r="EL158" s="383">
        <f t="shared" ca="1" si="528"/>
        <v>0</v>
      </c>
      <c r="EM158" s="383">
        <f t="shared" ca="1" si="528"/>
        <v>0</v>
      </c>
      <c r="EN158" s="383">
        <f t="shared" ca="1" si="528"/>
        <v>0</v>
      </c>
      <c r="EO158" s="383">
        <f t="shared" ca="1" si="528"/>
        <v>0</v>
      </c>
      <c r="EP158" s="383">
        <f t="shared" ca="1" si="528"/>
        <v>0</v>
      </c>
      <c r="EQ158" s="383">
        <f t="shared" ca="1" si="528"/>
        <v>0</v>
      </c>
      <c r="ER158" s="383">
        <f t="shared" ca="1" si="528"/>
        <v>0</v>
      </c>
      <c r="ES158" s="383">
        <f t="shared" ca="1" si="528"/>
        <v>0</v>
      </c>
      <c r="ET158" s="383">
        <f t="shared" ca="1" si="528"/>
        <v>0</v>
      </c>
      <c r="EU158" s="383">
        <f t="shared" ca="1" si="528"/>
        <v>0</v>
      </c>
      <c r="EV158" s="383">
        <f t="shared" ca="1" si="528"/>
        <v>0</v>
      </c>
      <c r="EW158" s="383">
        <f t="shared" ca="1" si="528"/>
        <v>0</v>
      </c>
      <c r="EX158" s="383">
        <f t="shared" ca="1" si="528"/>
        <v>0</v>
      </c>
      <c r="EY158" s="383">
        <f t="shared" ca="1" si="528"/>
        <v>0</v>
      </c>
      <c r="EZ158" s="383">
        <f t="shared" ca="1" si="528"/>
        <v>0</v>
      </c>
      <c r="FA158" s="383">
        <f t="shared" ca="1" si="528"/>
        <v>0</v>
      </c>
      <c r="FB158" s="383">
        <f t="shared" ca="1" si="528"/>
        <v>0</v>
      </c>
      <c r="FC158" s="383">
        <f t="shared" ca="1" si="528"/>
        <v>0</v>
      </c>
      <c r="FD158" s="383">
        <f t="shared" ca="1" si="528"/>
        <v>0</v>
      </c>
      <c r="FE158" s="383">
        <f t="shared" ca="1" si="528"/>
        <v>0</v>
      </c>
      <c r="FF158" s="383">
        <f t="shared" ca="1" si="528"/>
        <v>0</v>
      </c>
      <c r="FG158" s="377"/>
      <c r="FH158" s="383">
        <f t="shared" ref="FH158:FU158" ca="1" si="529">SUMIF($F$54:$FF$54,FH$54,$F158:$FF158)</f>
        <v>-773976.35461163009</v>
      </c>
      <c r="FI158" s="383">
        <f t="shared" ca="1" si="529"/>
        <v>45747.129788919621</v>
      </c>
      <c r="FJ158" s="383">
        <f t="shared" ca="1" si="529"/>
        <v>49420.955301962254</v>
      </c>
      <c r="FK158" s="383">
        <f t="shared" ca="1" si="529"/>
        <v>464150.36796865024</v>
      </c>
      <c r="FL158" s="383">
        <f t="shared" ca="1" si="529"/>
        <v>45531.013103929428</v>
      </c>
      <c r="FM158" s="383">
        <f t="shared" ca="1" si="529"/>
        <v>42322.552101262969</v>
      </c>
      <c r="FN158" s="383">
        <f t="shared" ca="1" si="529"/>
        <v>39236.343595121507</v>
      </c>
      <c r="FO158" s="383">
        <f t="shared" ca="1" si="529"/>
        <v>43503.920963577621</v>
      </c>
      <c r="FP158" s="383">
        <f t="shared" ca="1" si="529"/>
        <v>1160082.9666260001</v>
      </c>
      <c r="FQ158" s="383">
        <f t="shared" ca="1" si="529"/>
        <v>0</v>
      </c>
      <c r="FR158" s="383">
        <f t="shared" ca="1" si="529"/>
        <v>0</v>
      </c>
      <c r="FS158" s="383">
        <f t="shared" ca="1" si="529"/>
        <v>0</v>
      </c>
      <c r="FT158" s="383">
        <f t="shared" ca="1" si="529"/>
        <v>0</v>
      </c>
      <c r="FU158" s="383">
        <f t="shared" ca="1" si="529"/>
        <v>0</v>
      </c>
    </row>
    <row r="159" spans="1:177" customFormat="1" ht="18" x14ac:dyDescent="0.3">
      <c r="A159" s="384"/>
      <c r="B159" s="39"/>
      <c r="C159" s="380" t="s">
        <v>242</v>
      </c>
      <c r="D159" s="39"/>
      <c r="E159" s="426">
        <f ca="1">AVERAGEIF(G159:FF159,"&lt;&gt;0",G159:FF159)</f>
        <v>5.6269660991359993E-2</v>
      </c>
      <c r="F159" s="392"/>
      <c r="G159" s="425">
        <f ca="1">(SUM(G118,G133,G137)*$D$46*12)/-$F$158</f>
        <v>5.3203634196134657E-2</v>
      </c>
      <c r="H159" s="425">
        <f t="shared" ref="H159:BS159" ca="1" si="530">(SUM(H118,H133,H137)*$D$46*12)/-$F$158</f>
        <v>5.3572464789045982E-2</v>
      </c>
      <c r="I159" s="425">
        <f t="shared" ca="1" si="530"/>
        <v>5.3942217458439599E-2</v>
      </c>
      <c r="J159" s="425">
        <f t="shared" ca="1" si="530"/>
        <v>5.4312894509506618E-2</v>
      </c>
      <c r="K159" s="425">
        <f t="shared" ca="1" si="530"/>
        <v>5.4684498253201395E-2</v>
      </c>
      <c r="L159" s="425">
        <f t="shared" ca="1" si="530"/>
        <v>5.5057031006255357E-2</v>
      </c>
      <c r="M159" s="425">
        <f t="shared" ca="1" si="530"/>
        <v>5.5430495091191974E-2</v>
      </c>
      <c r="N159" s="425">
        <f t="shared" ca="1" si="530"/>
        <v>5.5804892836340908E-2</v>
      </c>
      <c r="O159" s="425">
        <f t="shared" ca="1" si="530"/>
        <v>5.6180226575852782E-2</v>
      </c>
      <c r="P159" s="425">
        <f t="shared" ca="1" si="530"/>
        <v>5.655649864971337E-2</v>
      </c>
      <c r="Q159" s="425">
        <f t="shared" ca="1" si="530"/>
        <v>5.6933711403758594E-2</v>
      </c>
      <c r="R159" s="425">
        <f t="shared" ca="1" si="530"/>
        <v>5.7311867189688982E-2</v>
      </c>
      <c r="S159" s="425">
        <f t="shared" ca="1" si="530"/>
        <v>5.769096836508425E-2</v>
      </c>
      <c r="T159" s="425">
        <f t="shared" ca="1" si="530"/>
        <v>5.8071017293417897E-2</v>
      </c>
      <c r="U159" s="425">
        <f t="shared" ca="1" si="530"/>
        <v>5.8452016344072391E-2</v>
      </c>
      <c r="V159" s="425">
        <f t="shared" ca="1" si="530"/>
        <v>5.883396789235356E-2</v>
      </c>
      <c r="W159" s="425">
        <f t="shared" ca="1" si="530"/>
        <v>5.9216874319505432E-2</v>
      </c>
      <c r="X159" s="425">
        <f t="shared" ca="1" si="530"/>
        <v>5.9600738012725189E-2</v>
      </c>
      <c r="Y159" s="425">
        <f t="shared" ca="1" si="530"/>
        <v>5.9985561365177943E-2</v>
      </c>
      <c r="Z159" s="425">
        <f t="shared" ca="1" si="530"/>
        <v>6.0371346776011907E-2</v>
      </c>
      <c r="AA159" s="425">
        <f t="shared" ca="1" si="530"/>
        <v>6.0758096650372934E-2</v>
      </c>
      <c r="AB159" s="425">
        <f t="shared" ca="1" si="530"/>
        <v>6.1145813399419859E-2</v>
      </c>
      <c r="AC159" s="425">
        <f t="shared" ca="1" si="530"/>
        <v>6.1534499440339369E-2</v>
      </c>
      <c r="AD159" s="425">
        <f t="shared" ca="1" si="530"/>
        <v>6.1924157196361185E-2</v>
      </c>
      <c r="AE159" s="425">
        <f t="shared" ca="1" si="530"/>
        <v>6.2314789096773092E-2</v>
      </c>
      <c r="AF159" s="425">
        <f t="shared" ca="1" si="530"/>
        <v>6.2706397576935982E-2</v>
      </c>
      <c r="AG159" s="425">
        <f t="shared" ca="1" si="530"/>
        <v>6.3098985078299322E-2</v>
      </c>
      <c r="AH159" s="425">
        <f t="shared" ca="1" si="530"/>
        <v>6.3492554048416014E-2</v>
      </c>
      <c r="AI159" s="425">
        <f t="shared" ca="1" si="530"/>
        <v>6.3887106940958047E-2</v>
      </c>
      <c r="AJ159" s="425">
        <f t="shared" ca="1" si="530"/>
        <v>6.4282646215731459E-2</v>
      </c>
      <c r="AK159" s="425">
        <f t="shared" ca="1" si="530"/>
        <v>6.4679174338691678E-2</v>
      </c>
      <c r="AL159" s="425">
        <f t="shared" ca="1" si="530"/>
        <v>6.5076693781959447E-2</v>
      </c>
      <c r="AM159" s="425">
        <f t="shared" ca="1" si="530"/>
        <v>6.5475207023835316E-2</v>
      </c>
      <c r="AN159" s="425">
        <f t="shared" ca="1" si="530"/>
        <v>6.5874716548815868E-2</v>
      </c>
      <c r="AO159" s="425">
        <f t="shared" ca="1" si="530"/>
        <v>6.6275224847608866E-2</v>
      </c>
      <c r="AP159" s="425">
        <f t="shared" ca="1" si="530"/>
        <v>6.6676734417148872E-2</v>
      </c>
      <c r="AQ159" s="425">
        <f t="shared" ca="1" si="530"/>
        <v>5.2527230416387051E-2</v>
      </c>
      <c r="AR159" s="425">
        <f t="shared" ca="1" si="530"/>
        <v>5.293075004320956E-2</v>
      </c>
      <c r="AS159" s="425">
        <f t="shared" ca="1" si="530"/>
        <v>5.3335278469099183E-2</v>
      </c>
      <c r="AT159" s="425">
        <f t="shared" ca="1" si="530"/>
        <v>5.3740818216053435E-2</v>
      </c>
      <c r="AU159" s="425">
        <f t="shared" ca="1" si="530"/>
        <v>5.4147371812375056E-2</v>
      </c>
      <c r="AV159" s="425">
        <f t="shared" ca="1" si="530"/>
        <v>5.4554941792687571E-2</v>
      </c>
      <c r="AW159" s="425">
        <f t="shared" ca="1" si="530"/>
        <v>5.4963530697950805E-2</v>
      </c>
      <c r="AX159" s="425">
        <f t="shared" ca="1" si="530"/>
        <v>5.5373141075477236E-2</v>
      </c>
      <c r="AY159" s="425">
        <f t="shared" ca="1" si="530"/>
        <v>5.5783775478947493E-2</v>
      </c>
      <c r="AZ159" s="425">
        <f t="shared" ca="1" si="530"/>
        <v>5.6195436468426452E-2</v>
      </c>
      <c r="BA159" s="425">
        <f t="shared" ca="1" si="530"/>
        <v>5.6608126610379096E-2</v>
      </c>
      <c r="BB159" s="425">
        <f t="shared" ca="1" si="530"/>
        <v>5.7021848477686585E-2</v>
      </c>
      <c r="BC159" s="425">
        <f t="shared" ca="1" si="530"/>
        <v>5.7436604649662319E-2</v>
      </c>
      <c r="BD159" s="425">
        <f t="shared" ca="1" si="530"/>
        <v>5.7852397712067967E-2</v>
      </c>
      <c r="BE159" s="425">
        <f t="shared" ca="1" si="530"/>
        <v>5.8269230257129698E-2</v>
      </c>
      <c r="BF159" s="425">
        <f t="shared" ca="1" si="530"/>
        <v>5.8687104883553956E-2</v>
      </c>
      <c r="BG159" s="425">
        <f t="shared" ca="1" si="530"/>
        <v>5.9106024196544427E-2</v>
      </c>
      <c r="BH159" s="425">
        <f t="shared" ca="1" si="530"/>
        <v>5.9525990807817369E-2</v>
      </c>
      <c r="BI159" s="425">
        <f t="shared" ca="1" si="530"/>
        <v>5.9947007335618467E-2</v>
      </c>
      <c r="BJ159" s="425">
        <f t="shared" ca="1" si="530"/>
        <v>6.0369076404739069E-2</v>
      </c>
      <c r="BK159" s="425">
        <f t="shared" ca="1" si="530"/>
        <v>6.0792200646532381E-2</v>
      </c>
      <c r="BL159" s="425">
        <f t="shared" ca="1" si="530"/>
        <v>6.1216382698930268E-2</v>
      </c>
      <c r="BM159" s="425">
        <f t="shared" ca="1" si="530"/>
        <v>6.1641625206459098E-2</v>
      </c>
      <c r="BN159" s="425">
        <f t="shared" ca="1" si="530"/>
        <v>6.2067930820256745E-2</v>
      </c>
      <c r="BO159" s="425">
        <f t="shared" ca="1" si="530"/>
        <v>4.4323691474982031E-2</v>
      </c>
      <c r="BP159" s="425">
        <f t="shared" ca="1" si="530"/>
        <v>4.4752131281258781E-2</v>
      </c>
      <c r="BQ159" s="425">
        <f t="shared" ca="1" si="530"/>
        <v>4.5181642187051202E-2</v>
      </c>
      <c r="BR159" s="425">
        <f t="shared" ca="1" si="530"/>
        <v>4.5612226870108165E-2</v>
      </c>
      <c r="BS159" s="425">
        <f t="shared" ca="1" si="530"/>
        <v>4.6043888014872761E-2</v>
      </c>
      <c r="BT159" s="425">
        <f t="shared" ref="BT159:EE159" ca="1" si="531">(SUM(BT118,BT133,BT137)*$D$46*12)/-$F$158</f>
        <v>4.647662831249922E-2</v>
      </c>
      <c r="BU159" s="425">
        <f t="shared" ca="1" si="531"/>
        <v>4.6910450460869828E-2</v>
      </c>
      <c r="BV159" s="425">
        <f t="shared" ca="1" si="531"/>
        <v>4.7345357164611315E-2</v>
      </c>
      <c r="BW159" s="425">
        <f t="shared" ca="1" si="531"/>
        <v>4.7781351135112123E-2</v>
      </c>
      <c r="BX159" s="425">
        <f t="shared" ca="1" si="531"/>
        <v>4.8218435090539136E-2</v>
      </c>
      <c r="BY159" s="425">
        <f t="shared" ca="1" si="531"/>
        <v>4.8656611755854805E-2</v>
      </c>
      <c r="BZ159" s="425">
        <f t="shared" ca="1" si="531"/>
        <v>4.9095883862833714E-2</v>
      </c>
      <c r="CA159" s="425">
        <f t="shared" ca="1" si="531"/>
        <v>4.9536254150080061E-2</v>
      </c>
      <c r="CB159" s="425">
        <f t="shared" ca="1" si="531"/>
        <v>4.9977725363044657E-2</v>
      </c>
      <c r="CC159" s="425">
        <f t="shared" ca="1" si="531"/>
        <v>5.0420300254041511E-2</v>
      </c>
      <c r="CD159" s="425">
        <f t="shared" ca="1" si="531"/>
        <v>5.0863981582265946E-2</v>
      </c>
      <c r="CE159" s="425">
        <f t="shared" ca="1" si="531"/>
        <v>5.1308772113810998E-2</v>
      </c>
      <c r="CF159" s="425">
        <f t="shared" ca="1" si="531"/>
        <v>5.1754674621684774E-2</v>
      </c>
      <c r="CG159" s="425">
        <f t="shared" ca="1" si="531"/>
        <v>5.2201691885828204E-2</v>
      </c>
      <c r="CH159" s="425">
        <f t="shared" ca="1" si="531"/>
        <v>5.2649826693132146E-2</v>
      </c>
      <c r="CI159" s="425">
        <f t="shared" ca="1" si="531"/>
        <v>5.3099081837454307E-2</v>
      </c>
      <c r="CJ159" s="425">
        <f t="shared" ca="1" si="531"/>
        <v>5.3549460119637175E-2</v>
      </c>
      <c r="CK159" s="425">
        <f t="shared" ca="1" si="531"/>
        <v>5.4000964347525625E-2</v>
      </c>
      <c r="CL159" s="425">
        <f t="shared" ca="1" si="531"/>
        <v>5.4453597335983733E-2</v>
      </c>
      <c r="CM159" s="425">
        <f t="shared" ca="1" si="531"/>
        <v>5.4907361906912901E-2</v>
      </c>
      <c r="CN159" s="425">
        <f t="shared" ca="1" si="531"/>
        <v>5.5362260889269495E-2</v>
      </c>
      <c r="CO159" s="425">
        <f t="shared" ca="1" si="531"/>
        <v>5.5818297119082018E-2</v>
      </c>
      <c r="CP159" s="425">
        <f t="shared" ca="1" si="531"/>
        <v>5.6275473439468995E-2</v>
      </c>
      <c r="CQ159" s="425">
        <f t="shared" ca="1" si="531"/>
        <v>5.6733792700656989E-2</v>
      </c>
      <c r="CR159" s="425">
        <f t="shared" ca="1" si="531"/>
        <v>5.7193257759997979E-2</v>
      </c>
      <c r="CS159" s="425">
        <f t="shared" ca="1" si="531"/>
        <v>5.7653871481987265E-2</v>
      </c>
      <c r="CT159" s="425">
        <f t="shared" ca="1" si="531"/>
        <v>5.8115636738281538E-2</v>
      </c>
      <c r="CU159" s="425">
        <f t="shared" ca="1" si="531"/>
        <v>5.8578556407716566E-2</v>
      </c>
      <c r="CV159" s="425">
        <f t="shared" ca="1" si="531"/>
        <v>5.90426333763251E-2</v>
      </c>
      <c r="CW159" s="425">
        <f t="shared" ca="1" si="531"/>
        <v>5.9507870537355276E-2</v>
      </c>
      <c r="CX159" s="425">
        <f t="shared" ca="1" si="531"/>
        <v>5.997427079128792E-2</v>
      </c>
      <c r="CY159" s="425">
        <f t="shared" ca="1" si="531"/>
        <v>0</v>
      </c>
      <c r="CZ159" s="425">
        <f t="shared" ca="1" si="531"/>
        <v>0</v>
      </c>
      <c r="DA159" s="425">
        <f t="shared" ca="1" si="531"/>
        <v>0</v>
      </c>
      <c r="DB159" s="425">
        <f t="shared" ca="1" si="531"/>
        <v>0</v>
      </c>
      <c r="DC159" s="425">
        <f t="shared" ca="1" si="531"/>
        <v>0</v>
      </c>
      <c r="DD159" s="425">
        <f t="shared" ca="1" si="531"/>
        <v>0</v>
      </c>
      <c r="DE159" s="425">
        <f t="shared" ca="1" si="531"/>
        <v>0</v>
      </c>
      <c r="DF159" s="425">
        <f t="shared" ca="1" si="531"/>
        <v>0</v>
      </c>
      <c r="DG159" s="425">
        <f t="shared" ca="1" si="531"/>
        <v>0</v>
      </c>
      <c r="DH159" s="425">
        <f t="shared" ca="1" si="531"/>
        <v>0</v>
      </c>
      <c r="DI159" s="425">
        <f t="shared" ca="1" si="531"/>
        <v>0</v>
      </c>
      <c r="DJ159" s="425">
        <f t="shared" ca="1" si="531"/>
        <v>0</v>
      </c>
      <c r="DK159" s="425">
        <f t="shared" ca="1" si="531"/>
        <v>0</v>
      </c>
      <c r="DL159" s="425">
        <f t="shared" ca="1" si="531"/>
        <v>0</v>
      </c>
      <c r="DM159" s="425">
        <f t="shared" ca="1" si="531"/>
        <v>0</v>
      </c>
      <c r="DN159" s="425">
        <f t="shared" ca="1" si="531"/>
        <v>0</v>
      </c>
      <c r="DO159" s="425">
        <f t="shared" ca="1" si="531"/>
        <v>0</v>
      </c>
      <c r="DP159" s="425">
        <f t="shared" ca="1" si="531"/>
        <v>0</v>
      </c>
      <c r="DQ159" s="425">
        <f t="shared" ca="1" si="531"/>
        <v>0</v>
      </c>
      <c r="DR159" s="425">
        <f t="shared" ca="1" si="531"/>
        <v>0</v>
      </c>
      <c r="DS159" s="425">
        <f t="shared" ca="1" si="531"/>
        <v>0</v>
      </c>
      <c r="DT159" s="425">
        <f t="shared" ca="1" si="531"/>
        <v>0</v>
      </c>
      <c r="DU159" s="425">
        <f t="shared" ca="1" si="531"/>
        <v>0</v>
      </c>
      <c r="DV159" s="425">
        <f t="shared" ca="1" si="531"/>
        <v>0</v>
      </c>
      <c r="DW159" s="425">
        <f t="shared" ca="1" si="531"/>
        <v>0</v>
      </c>
      <c r="DX159" s="425">
        <f t="shared" ca="1" si="531"/>
        <v>0</v>
      </c>
      <c r="DY159" s="425">
        <f t="shared" ca="1" si="531"/>
        <v>0</v>
      </c>
      <c r="DZ159" s="425">
        <f t="shared" ca="1" si="531"/>
        <v>0</v>
      </c>
      <c r="EA159" s="425">
        <f t="shared" ca="1" si="531"/>
        <v>0</v>
      </c>
      <c r="EB159" s="425">
        <f t="shared" ca="1" si="531"/>
        <v>0</v>
      </c>
      <c r="EC159" s="425">
        <f t="shared" ca="1" si="531"/>
        <v>0</v>
      </c>
      <c r="ED159" s="425">
        <f t="shared" ca="1" si="531"/>
        <v>0</v>
      </c>
      <c r="EE159" s="425">
        <f t="shared" ca="1" si="531"/>
        <v>0</v>
      </c>
      <c r="EF159" s="425">
        <f t="shared" ref="EF159:FF159" ca="1" si="532">(SUM(EF118,EF133,EF137)*$D$46*12)/-$F$158</f>
        <v>0</v>
      </c>
      <c r="EG159" s="425">
        <f t="shared" ca="1" si="532"/>
        <v>0</v>
      </c>
      <c r="EH159" s="425">
        <f t="shared" ca="1" si="532"/>
        <v>0</v>
      </c>
      <c r="EI159" s="425">
        <f t="shared" ca="1" si="532"/>
        <v>0</v>
      </c>
      <c r="EJ159" s="425">
        <f t="shared" ca="1" si="532"/>
        <v>0</v>
      </c>
      <c r="EK159" s="425">
        <f t="shared" ca="1" si="532"/>
        <v>0</v>
      </c>
      <c r="EL159" s="425">
        <f t="shared" ca="1" si="532"/>
        <v>0</v>
      </c>
      <c r="EM159" s="425">
        <f t="shared" ca="1" si="532"/>
        <v>0</v>
      </c>
      <c r="EN159" s="425">
        <f t="shared" ca="1" si="532"/>
        <v>0</v>
      </c>
      <c r="EO159" s="425">
        <f t="shared" ca="1" si="532"/>
        <v>0</v>
      </c>
      <c r="EP159" s="425">
        <f t="shared" ca="1" si="532"/>
        <v>0</v>
      </c>
      <c r="EQ159" s="425">
        <f t="shared" ca="1" si="532"/>
        <v>0</v>
      </c>
      <c r="ER159" s="425">
        <f t="shared" ca="1" si="532"/>
        <v>0</v>
      </c>
      <c r="ES159" s="425">
        <f t="shared" ca="1" si="532"/>
        <v>0</v>
      </c>
      <c r="ET159" s="425">
        <f t="shared" ca="1" si="532"/>
        <v>0</v>
      </c>
      <c r="EU159" s="425">
        <f t="shared" ca="1" si="532"/>
        <v>0</v>
      </c>
      <c r="EV159" s="425">
        <f t="shared" ca="1" si="532"/>
        <v>0</v>
      </c>
      <c r="EW159" s="425">
        <f t="shared" ca="1" si="532"/>
        <v>0</v>
      </c>
      <c r="EX159" s="425">
        <f t="shared" ca="1" si="532"/>
        <v>0</v>
      </c>
      <c r="EY159" s="425">
        <f t="shared" ca="1" si="532"/>
        <v>0</v>
      </c>
      <c r="EZ159" s="425">
        <f t="shared" ca="1" si="532"/>
        <v>0</v>
      </c>
      <c r="FA159" s="425">
        <f t="shared" ca="1" si="532"/>
        <v>0</v>
      </c>
      <c r="FB159" s="425">
        <f t="shared" ca="1" si="532"/>
        <v>0</v>
      </c>
      <c r="FC159" s="425">
        <f t="shared" ca="1" si="532"/>
        <v>0</v>
      </c>
      <c r="FD159" s="425">
        <f t="shared" ca="1" si="532"/>
        <v>0</v>
      </c>
      <c r="FE159" s="425">
        <f t="shared" ca="1" si="532"/>
        <v>0</v>
      </c>
      <c r="FF159" s="425">
        <f t="shared" ca="1" si="532"/>
        <v>0</v>
      </c>
      <c r="FG159" s="377"/>
      <c r="FH159" s="377"/>
      <c r="FI159" s="377"/>
      <c r="FJ159" s="377"/>
      <c r="FK159" s="377"/>
      <c r="FL159" s="377"/>
      <c r="FM159" s="377"/>
      <c r="FN159" s="377"/>
      <c r="FO159" s="377"/>
      <c r="FP159" s="377"/>
      <c r="FQ159" s="377"/>
      <c r="FR159" s="377"/>
      <c r="FS159" s="377"/>
      <c r="FT159" s="377"/>
      <c r="FU159" s="377"/>
    </row>
    <row r="160" spans="1:177" customFormat="1" ht="18" x14ac:dyDescent="0.3">
      <c r="A160" s="384"/>
      <c r="B160" s="39"/>
      <c r="C160" s="39"/>
      <c r="D160" s="199" t="s">
        <v>112</v>
      </c>
      <c r="E160" s="163">
        <f ca="1">SUM(F158:FF158)</f>
        <v>1116018.8948377941</v>
      </c>
      <c r="F160" s="392"/>
      <c r="G160" s="377"/>
      <c r="H160" s="377"/>
      <c r="I160" s="377"/>
      <c r="J160" s="377"/>
      <c r="K160" s="377"/>
      <c r="L160" s="377"/>
      <c r="M160" s="377"/>
      <c r="N160" s="377"/>
      <c r="O160" s="377"/>
      <c r="P160" s="377"/>
      <c r="Q160" s="377"/>
      <c r="R160" s="377"/>
      <c r="S160" s="377"/>
      <c r="T160" s="377"/>
      <c r="U160" s="377"/>
      <c r="V160" s="377"/>
      <c r="W160" s="377"/>
      <c r="X160" s="377"/>
      <c r="Y160" s="377"/>
      <c r="Z160" s="377"/>
      <c r="AA160" s="377"/>
      <c r="AB160" s="377"/>
      <c r="AC160" s="377"/>
      <c r="AD160" s="377"/>
      <c r="AE160" s="377"/>
      <c r="AF160" s="377"/>
      <c r="AG160" s="377"/>
      <c r="AH160" s="377"/>
      <c r="AI160" s="377"/>
      <c r="AJ160" s="377"/>
      <c r="AK160" s="377"/>
      <c r="AL160" s="377"/>
      <c r="AM160" s="377"/>
      <c r="AN160" s="377"/>
      <c r="AO160" s="377"/>
      <c r="AP160" s="377"/>
      <c r="AQ160" s="377"/>
      <c r="AR160" s="377"/>
      <c r="AS160" s="377"/>
      <c r="AT160" s="377"/>
      <c r="AU160" s="377"/>
      <c r="AV160" s="377"/>
      <c r="AW160" s="377"/>
      <c r="AX160" s="377"/>
      <c r="AY160" s="377"/>
      <c r="AZ160" s="377"/>
      <c r="BA160" s="377"/>
      <c r="BB160" s="377"/>
      <c r="BC160" s="377"/>
      <c r="BD160" s="377"/>
      <c r="BE160" s="377"/>
      <c r="BF160" s="377"/>
      <c r="BG160" s="377"/>
      <c r="BH160" s="377"/>
      <c r="BI160" s="377"/>
      <c r="BJ160" s="377"/>
      <c r="BK160" s="377"/>
      <c r="BL160" s="377"/>
      <c r="BM160" s="377"/>
      <c r="BN160" s="377"/>
      <c r="BO160" s="377"/>
      <c r="BP160" s="377"/>
      <c r="BQ160" s="377"/>
      <c r="BR160" s="377"/>
      <c r="BS160" s="377"/>
      <c r="BT160" s="377"/>
      <c r="BU160" s="377"/>
      <c r="BV160" s="377"/>
      <c r="BW160" s="377"/>
      <c r="BX160" s="377"/>
      <c r="BY160" s="377"/>
      <c r="BZ160" s="377"/>
      <c r="CA160" s="377"/>
      <c r="CB160" s="377"/>
      <c r="CC160" s="377"/>
      <c r="CD160" s="377"/>
      <c r="CE160" s="377"/>
      <c r="CF160" s="377"/>
      <c r="CG160" s="377"/>
      <c r="CH160" s="377"/>
      <c r="CI160" s="377"/>
      <c r="CJ160" s="377"/>
      <c r="CK160" s="377"/>
      <c r="CL160" s="377"/>
      <c r="CM160" s="377"/>
      <c r="CN160" s="377"/>
      <c r="CO160" s="377"/>
      <c r="CP160" s="377"/>
      <c r="CQ160" s="377"/>
      <c r="CR160" s="377"/>
      <c r="CS160" s="377"/>
      <c r="CT160" s="377"/>
      <c r="CU160" s="377"/>
      <c r="CV160" s="377"/>
      <c r="CW160" s="377"/>
      <c r="CX160" s="377"/>
      <c r="CY160" s="377"/>
      <c r="CZ160" s="377"/>
      <c r="DA160" s="377"/>
      <c r="DB160" s="377"/>
      <c r="DC160" s="377"/>
      <c r="DD160" s="377"/>
      <c r="DE160" s="377"/>
      <c r="DF160" s="377"/>
      <c r="DG160" s="377"/>
      <c r="DH160" s="377"/>
      <c r="DI160" s="377"/>
      <c r="DJ160" s="377"/>
      <c r="DK160" s="377"/>
      <c r="DL160" s="377"/>
      <c r="DM160" s="377"/>
      <c r="DN160" s="377"/>
      <c r="DO160" s="377"/>
      <c r="DP160" s="377"/>
      <c r="DQ160" s="377"/>
      <c r="DR160" s="377"/>
      <c r="DS160" s="377"/>
      <c r="DT160" s="377"/>
      <c r="DU160" s="377"/>
      <c r="DV160" s="377"/>
      <c r="DW160" s="377"/>
      <c r="DX160" s="377"/>
      <c r="DY160" s="377"/>
      <c r="DZ160" s="377"/>
      <c r="EA160" s="377"/>
      <c r="EB160" s="377"/>
      <c r="EC160" s="377"/>
      <c r="ED160" s="377"/>
      <c r="EE160" s="377"/>
      <c r="EF160" s="377"/>
      <c r="EG160" s="377"/>
      <c r="EH160" s="377"/>
      <c r="EI160" s="377"/>
      <c r="EJ160" s="377"/>
      <c r="EK160" s="377"/>
      <c r="EL160" s="377"/>
      <c r="EM160" s="377"/>
      <c r="EN160" s="377"/>
      <c r="EO160" s="377"/>
      <c r="EP160" s="377"/>
      <c r="EQ160" s="377"/>
      <c r="ER160" s="377"/>
      <c r="ES160" s="377"/>
      <c r="ET160" s="377"/>
      <c r="EU160" s="377"/>
      <c r="EV160" s="377"/>
      <c r="EW160" s="377"/>
      <c r="EX160" s="377"/>
      <c r="EY160" s="377"/>
      <c r="EZ160" s="377"/>
      <c r="FA160" s="377"/>
      <c r="FB160" s="377"/>
      <c r="FC160" s="377"/>
      <c r="FD160" s="377"/>
      <c r="FE160" s="377"/>
      <c r="FF160" s="377"/>
    </row>
    <row r="161" spans="1:178" customFormat="1" ht="18" x14ac:dyDescent="0.3">
      <c r="A161" s="384"/>
      <c r="B161" s="39"/>
      <c r="C161" s="39"/>
      <c r="D161" s="199" t="s">
        <v>113</v>
      </c>
      <c r="E161" s="163">
        <f ca="1">SUMIF(F158:FF158,"&lt;0",F158:FF158)</f>
        <v>-795506.25000071072</v>
      </c>
      <c r="F161" s="392"/>
      <c r="G161" s="377"/>
      <c r="H161" s="377"/>
      <c r="I161" s="377"/>
      <c r="J161" s="377"/>
      <c r="K161" s="377"/>
      <c r="L161" s="377"/>
      <c r="M161" s="377"/>
      <c r="N161" s="377"/>
      <c r="O161" s="377"/>
      <c r="P161" s="377"/>
      <c r="Q161" s="377"/>
      <c r="R161" s="377"/>
      <c r="S161" s="377"/>
      <c r="T161" s="377"/>
      <c r="U161" s="377"/>
      <c r="V161" s="377"/>
      <c r="W161" s="377"/>
      <c r="X161" s="377"/>
      <c r="Y161" s="377"/>
      <c r="Z161" s="377"/>
      <c r="AA161" s="377"/>
      <c r="AB161" s="377"/>
      <c r="AC161" s="377"/>
      <c r="AD161" s="377"/>
      <c r="AE161" s="377"/>
      <c r="AF161" s="377"/>
      <c r="AG161" s="377"/>
      <c r="AH161" s="377"/>
      <c r="AI161" s="377"/>
      <c r="AJ161" s="377"/>
      <c r="AK161" s="377"/>
      <c r="AL161" s="377"/>
      <c r="AM161" s="377"/>
      <c r="AN161" s="377"/>
      <c r="AO161" s="377"/>
      <c r="AP161" s="377"/>
      <c r="AQ161" s="377"/>
      <c r="AR161" s="377"/>
      <c r="AS161" s="377"/>
      <c r="AT161" s="377"/>
      <c r="AU161" s="377"/>
      <c r="AV161" s="377"/>
      <c r="AW161" s="377"/>
      <c r="AX161" s="377"/>
      <c r="AY161" s="377"/>
      <c r="AZ161" s="377"/>
      <c r="BA161" s="377"/>
      <c r="BB161" s="377"/>
      <c r="BC161" s="377"/>
      <c r="BD161" s="377"/>
      <c r="BE161" s="377"/>
      <c r="BF161" s="377"/>
      <c r="BG161" s="377"/>
      <c r="BH161" s="377"/>
      <c r="BI161" s="377"/>
      <c r="BJ161" s="377"/>
      <c r="BK161" s="377"/>
      <c r="BL161" s="377"/>
      <c r="BM161" s="377"/>
      <c r="BN161" s="377"/>
      <c r="BO161" s="377"/>
      <c r="BP161" s="377"/>
      <c r="BQ161" s="377"/>
      <c r="BR161" s="377"/>
      <c r="BS161" s="377"/>
      <c r="BT161" s="377"/>
      <c r="BU161" s="377"/>
      <c r="BV161" s="377"/>
      <c r="BW161" s="377"/>
      <c r="BX161" s="377"/>
      <c r="BY161" s="377"/>
      <c r="BZ161" s="377"/>
      <c r="CA161" s="377"/>
      <c r="CB161" s="377"/>
      <c r="CC161" s="377"/>
      <c r="CD161" s="377"/>
      <c r="CE161" s="377"/>
      <c r="CF161" s="377"/>
      <c r="CG161" s="377"/>
      <c r="CH161" s="377"/>
      <c r="CI161" s="377"/>
      <c r="CJ161" s="377"/>
      <c r="CK161" s="377"/>
      <c r="CL161" s="377"/>
      <c r="CM161" s="377"/>
      <c r="CN161" s="377"/>
      <c r="CO161" s="377"/>
      <c r="CP161" s="377"/>
      <c r="CQ161" s="377"/>
      <c r="CR161" s="377"/>
      <c r="CS161" s="377"/>
      <c r="CT161" s="377"/>
      <c r="CU161" s="377"/>
      <c r="CV161" s="377"/>
      <c r="CW161" s="377"/>
      <c r="CX161" s="377"/>
      <c r="CY161" s="377"/>
      <c r="CZ161" s="377"/>
      <c r="DA161" s="377"/>
      <c r="DB161" s="377"/>
      <c r="DC161" s="377"/>
      <c r="DD161" s="377"/>
      <c r="DE161" s="377"/>
      <c r="DF161" s="377"/>
      <c r="DG161" s="377"/>
      <c r="DH161" s="377"/>
      <c r="DI161" s="377"/>
      <c r="DJ161" s="377"/>
      <c r="DK161" s="377"/>
      <c r="DL161" s="377"/>
      <c r="DM161" s="377"/>
      <c r="DN161" s="377"/>
      <c r="DO161" s="377"/>
      <c r="DP161" s="377"/>
      <c r="DQ161" s="377"/>
      <c r="DR161" s="377"/>
      <c r="DS161" s="377"/>
      <c r="DT161" s="377"/>
      <c r="DU161" s="377"/>
      <c r="DV161" s="377"/>
      <c r="DW161" s="377"/>
      <c r="DX161" s="377"/>
      <c r="DY161" s="377"/>
      <c r="DZ161" s="377"/>
      <c r="EA161" s="377"/>
      <c r="EB161" s="377"/>
      <c r="EC161" s="377"/>
      <c r="ED161" s="377"/>
      <c r="EE161" s="377"/>
      <c r="EF161" s="377"/>
      <c r="EG161" s="377"/>
      <c r="EH161" s="377"/>
      <c r="EI161" s="377"/>
      <c r="EJ161" s="377"/>
      <c r="EK161" s="377"/>
      <c r="EL161" s="377"/>
      <c r="EM161" s="377"/>
      <c r="EN161" s="377"/>
      <c r="EO161" s="377"/>
      <c r="EP161" s="377"/>
      <c r="EQ161" s="377"/>
      <c r="ER161" s="377"/>
      <c r="ES161" s="377"/>
      <c r="ET161" s="377"/>
      <c r="EU161" s="377"/>
      <c r="EV161" s="377"/>
      <c r="EW161" s="377"/>
      <c r="EX161" s="377"/>
      <c r="EY161" s="377"/>
      <c r="EZ161" s="377"/>
      <c r="FA161" s="377"/>
      <c r="FB161" s="377"/>
      <c r="FC161" s="377"/>
      <c r="FD161" s="377"/>
      <c r="FE161" s="377"/>
      <c r="FF161" s="377"/>
    </row>
    <row r="162" spans="1:178" customFormat="1" ht="18" x14ac:dyDescent="0.3">
      <c r="A162" s="384"/>
      <c r="B162" s="39"/>
      <c r="C162" s="39"/>
      <c r="D162" s="199" t="s">
        <v>114</v>
      </c>
      <c r="E162" s="202">
        <f ca="1">(1+IRR(F158:FC158,0))^12-1</f>
        <v>0.16801553804521419</v>
      </c>
      <c r="F162" s="401"/>
      <c r="G162" s="377"/>
      <c r="H162" s="377"/>
      <c r="I162" s="377"/>
      <c r="J162" s="377"/>
      <c r="K162" s="377"/>
      <c r="L162" s="377"/>
      <c r="M162" s="377"/>
      <c r="N162" s="377"/>
      <c r="O162" s="377"/>
      <c r="P162" s="379"/>
      <c r="Q162" s="381"/>
      <c r="R162" s="381"/>
      <c r="S162" s="381"/>
      <c r="T162" s="381"/>
      <c r="U162" s="381"/>
      <c r="V162" s="381"/>
      <c r="W162" s="381"/>
      <c r="X162" s="381"/>
      <c r="Y162" s="381"/>
      <c r="Z162" s="381"/>
      <c r="AA162" s="381"/>
      <c r="AB162" s="381"/>
      <c r="AC162" s="381"/>
      <c r="AD162" s="381"/>
      <c r="AE162" s="381"/>
      <c r="AF162" s="381"/>
      <c r="AG162" s="381"/>
      <c r="AH162" s="381"/>
      <c r="AI162" s="381"/>
      <c r="AJ162" s="381"/>
      <c r="AK162" s="381"/>
      <c r="AL162" s="381"/>
      <c r="AM162" s="381"/>
      <c r="AN162" s="381"/>
      <c r="AO162" s="381"/>
      <c r="AP162" s="381"/>
      <c r="AQ162" s="381"/>
      <c r="AR162" s="381"/>
      <c r="AS162" s="381"/>
      <c r="AT162" s="381"/>
      <c r="AU162" s="381"/>
      <c r="AV162" s="381"/>
      <c r="AW162" s="381"/>
      <c r="AX162" s="381"/>
      <c r="AY162" s="381"/>
      <c r="AZ162" s="381"/>
      <c r="BA162" s="381"/>
      <c r="BB162" s="381"/>
      <c r="BC162" s="381"/>
      <c r="BD162" s="381"/>
      <c r="BE162" s="381"/>
      <c r="BF162" s="381"/>
      <c r="BG162" s="381"/>
      <c r="BH162" s="381"/>
      <c r="BI162" s="381"/>
      <c r="BJ162" s="381"/>
      <c r="BK162" s="381"/>
      <c r="BL162" s="381"/>
      <c r="BM162" s="381"/>
      <c r="BN162" s="381"/>
      <c r="BO162" s="381"/>
      <c r="BP162" s="381"/>
      <c r="BQ162" s="381"/>
      <c r="BR162" s="381"/>
      <c r="BS162" s="381"/>
      <c r="BT162" s="381"/>
      <c r="BU162" s="381"/>
      <c r="BV162" s="381"/>
      <c r="BW162" s="381"/>
      <c r="BX162" s="381"/>
      <c r="BY162" s="381"/>
      <c r="BZ162" s="381"/>
      <c r="CA162" s="381"/>
      <c r="CB162" s="381"/>
      <c r="CC162" s="381"/>
      <c r="CD162" s="381"/>
      <c r="CE162" s="381"/>
      <c r="CF162" s="381"/>
      <c r="CG162" s="381"/>
      <c r="CH162" s="381"/>
      <c r="CI162" s="381"/>
      <c r="CJ162" s="381"/>
      <c r="CK162" s="381"/>
      <c r="CL162" s="381"/>
      <c r="CM162" s="381"/>
      <c r="CN162" s="381"/>
      <c r="CO162" s="381"/>
      <c r="CP162" s="381"/>
      <c r="CQ162" s="381"/>
      <c r="CR162" s="381"/>
      <c r="CS162" s="381"/>
      <c r="CT162" s="381"/>
      <c r="CU162" s="381"/>
      <c r="CV162" s="381"/>
      <c r="CW162" s="381"/>
      <c r="CX162" s="381"/>
      <c r="CY162" s="381"/>
      <c r="CZ162" s="381"/>
      <c r="DA162" s="381"/>
      <c r="DB162" s="381"/>
      <c r="DC162" s="381"/>
      <c r="DD162" s="381"/>
      <c r="DE162" s="381"/>
      <c r="DF162" s="381"/>
      <c r="DG162" s="381"/>
      <c r="DH162" s="381"/>
      <c r="DI162" s="381"/>
      <c r="DJ162" s="381"/>
      <c r="DK162" s="381"/>
      <c r="DL162" s="381"/>
      <c r="DM162" s="381"/>
      <c r="DN162" s="381"/>
      <c r="DO162" s="381"/>
      <c r="DP162" s="381"/>
      <c r="DQ162" s="381"/>
      <c r="DR162" s="381"/>
      <c r="DS162" s="381"/>
      <c r="DT162" s="381"/>
      <c r="DU162" s="381"/>
      <c r="DV162" s="381"/>
      <c r="DW162" s="381"/>
      <c r="DX162" s="381"/>
      <c r="DY162" s="381"/>
      <c r="DZ162" s="381"/>
      <c r="EA162" s="381"/>
      <c r="EB162" s="381"/>
      <c r="EC162" s="381"/>
      <c r="ED162" s="381"/>
      <c r="EE162" s="381"/>
      <c r="EF162" s="381"/>
      <c r="EG162" s="381"/>
    </row>
    <row r="163" spans="1:178" x14ac:dyDescent="0.2">
      <c r="D163" s="199" t="s">
        <v>115</v>
      </c>
      <c r="E163" s="264">
        <f ca="1">(E160-E161)/-E161</f>
        <v>2.402903993320979</v>
      </c>
      <c r="F163" s="255"/>
    </row>
    <row r="164" spans="1:178" x14ac:dyDescent="0.2">
      <c r="C164" s="47"/>
      <c r="D164" s="47"/>
      <c r="E164" s="264"/>
      <c r="F164" s="255"/>
    </row>
    <row r="165" spans="1:178" x14ac:dyDescent="0.2">
      <c r="C165" s="50" t="s">
        <v>189</v>
      </c>
      <c r="D165" s="260"/>
      <c r="E165" s="260"/>
      <c r="F165" s="286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  <c r="AA165" s="260"/>
      <c r="AB165" s="260"/>
      <c r="AC165" s="260"/>
      <c r="AD165" s="260"/>
      <c r="AE165" s="260"/>
      <c r="AF165" s="260"/>
      <c r="AG165" s="260"/>
      <c r="AH165" s="260"/>
      <c r="AI165" s="260"/>
      <c r="AJ165" s="260"/>
      <c r="AK165" s="260"/>
      <c r="AL165" s="260"/>
      <c r="AM165" s="260"/>
      <c r="AN165" s="260"/>
      <c r="AO165" s="260"/>
      <c r="AP165" s="260"/>
      <c r="AQ165" s="260"/>
      <c r="AR165" s="260"/>
      <c r="AS165" s="260"/>
      <c r="AT165" s="260"/>
      <c r="AU165" s="260"/>
      <c r="AV165" s="260"/>
      <c r="AW165" s="260"/>
      <c r="AX165" s="260"/>
      <c r="AY165" s="260"/>
      <c r="AZ165" s="260"/>
      <c r="BA165" s="260"/>
      <c r="BB165" s="260"/>
      <c r="BC165" s="260"/>
      <c r="BD165" s="260"/>
      <c r="BE165" s="260"/>
      <c r="BF165" s="260"/>
      <c r="BG165" s="260"/>
      <c r="BH165" s="260"/>
      <c r="BI165" s="260"/>
      <c r="BJ165" s="260"/>
      <c r="BK165" s="260"/>
      <c r="BL165" s="260"/>
      <c r="BM165" s="260"/>
      <c r="BN165" s="260"/>
      <c r="BO165" s="260"/>
      <c r="BP165" s="260"/>
      <c r="BQ165" s="260"/>
      <c r="BR165" s="260"/>
      <c r="BS165" s="260"/>
      <c r="BT165" s="260"/>
      <c r="BU165" s="260"/>
      <c r="BV165" s="260"/>
      <c r="BW165" s="260"/>
      <c r="BX165" s="260"/>
      <c r="BY165" s="260"/>
      <c r="BZ165" s="260"/>
      <c r="CA165" s="260"/>
      <c r="CB165" s="260"/>
      <c r="CC165" s="260"/>
      <c r="CD165" s="260"/>
      <c r="CE165" s="260"/>
      <c r="CF165" s="260"/>
      <c r="CG165" s="260"/>
      <c r="CH165" s="260"/>
      <c r="CI165" s="260"/>
      <c r="CJ165" s="260"/>
      <c r="CK165" s="260"/>
      <c r="CL165" s="260"/>
      <c r="CM165" s="260"/>
      <c r="CN165" s="260"/>
      <c r="CO165" s="260"/>
      <c r="CP165" s="260"/>
      <c r="CQ165" s="260"/>
      <c r="CR165" s="260"/>
      <c r="CS165" s="260"/>
      <c r="CT165" s="260"/>
      <c r="CU165" s="260"/>
      <c r="CV165" s="260"/>
      <c r="CW165" s="260"/>
      <c r="CX165" s="260"/>
      <c r="CY165" s="260"/>
      <c r="CZ165" s="260"/>
      <c r="DA165" s="260"/>
      <c r="DB165" s="260"/>
      <c r="DC165" s="260"/>
      <c r="DD165" s="260"/>
      <c r="DE165" s="260"/>
      <c r="DF165" s="260"/>
      <c r="DG165" s="260"/>
      <c r="DH165" s="260"/>
      <c r="DI165" s="260"/>
      <c r="DJ165" s="260"/>
      <c r="DK165" s="260"/>
      <c r="DL165" s="260"/>
      <c r="DM165" s="260"/>
      <c r="DN165" s="260"/>
      <c r="DO165" s="260"/>
      <c r="DP165" s="260"/>
      <c r="DQ165" s="260"/>
      <c r="DR165" s="260"/>
      <c r="DS165" s="260"/>
      <c r="DT165" s="260"/>
      <c r="DU165" s="260"/>
      <c r="DV165" s="260"/>
      <c r="DW165" s="260"/>
      <c r="DX165" s="260"/>
      <c r="DY165" s="260"/>
      <c r="DZ165" s="260"/>
      <c r="EA165" s="260"/>
      <c r="EB165" s="260"/>
      <c r="EC165" s="260"/>
      <c r="ED165" s="260"/>
      <c r="EE165" s="260"/>
      <c r="EF165" s="260"/>
      <c r="EG165" s="260"/>
      <c r="EH165" s="260"/>
      <c r="EI165" s="260"/>
      <c r="EJ165" s="260"/>
      <c r="EK165" s="260"/>
      <c r="EL165" s="260"/>
      <c r="EM165" s="260"/>
      <c r="EN165" s="260"/>
      <c r="EO165" s="260"/>
      <c r="EP165" s="260"/>
      <c r="EQ165" s="260"/>
      <c r="ER165" s="260"/>
      <c r="ES165" s="260"/>
      <c r="ET165" s="260"/>
      <c r="EU165" s="260"/>
      <c r="EV165" s="260"/>
      <c r="EW165" s="260"/>
      <c r="EX165" s="260"/>
      <c r="EY165" s="260"/>
      <c r="EZ165" s="260"/>
      <c r="FA165" s="260"/>
      <c r="FB165" s="260"/>
      <c r="FC165" s="260"/>
      <c r="FD165" s="260"/>
      <c r="FE165" s="260"/>
      <c r="FF165" s="260"/>
      <c r="FH165" s="260"/>
      <c r="FI165" s="260"/>
      <c r="FJ165" s="260"/>
      <c r="FK165" s="260"/>
      <c r="FL165" s="260"/>
      <c r="FM165" s="260"/>
      <c r="FN165" s="260"/>
      <c r="FO165" s="260"/>
      <c r="FP165" s="260"/>
      <c r="FQ165" s="260"/>
      <c r="FR165" s="260"/>
      <c r="FS165" s="260"/>
      <c r="FT165" s="260"/>
      <c r="FU165" s="260"/>
    </row>
    <row r="166" spans="1:178" x14ac:dyDescent="0.2">
      <c r="B166" s="47"/>
      <c r="C166" s="47" t="s">
        <v>120</v>
      </c>
      <c r="F166" s="255"/>
    </row>
    <row r="167" spans="1:178" x14ac:dyDescent="0.2">
      <c r="B167" s="47"/>
      <c r="C167" s="39" t="s">
        <v>121</v>
      </c>
      <c r="F167" s="266">
        <f>IFERROR(INDEX(SOFR!$D$3:$D$123,MATCH(Underwriting!F55,SOFR!$B$3:$B$123,0)),0)</f>
        <v>3.4920899999999998E-2</v>
      </c>
      <c r="G167" s="267">
        <f>IFERROR(INDEX(SOFR!$D$3:$D$123,MATCH(Underwriting!G55,SOFR!$B$3:$B$123,0)),0)</f>
        <v>3.4119700000000003E-2</v>
      </c>
      <c r="H167" s="267">
        <f>IFERROR(INDEX(SOFR!$D$3:$D$123,MATCH(Underwriting!H55,SOFR!$B$3:$B$123,0)),0)</f>
        <v>3.3492099999999997E-2</v>
      </c>
      <c r="I167" s="267">
        <f>IFERROR(INDEX(SOFR!$D$3:$D$123,MATCH(Underwriting!I55,SOFR!$B$3:$B$123,0)),0)</f>
        <v>3.19517E-2</v>
      </c>
      <c r="J167" s="267">
        <f>IFERROR(INDEX(SOFR!$D$3:$D$123,MATCH(Underwriting!J55,SOFR!$B$3:$B$123,0)),0)</f>
        <v>3.1950300000000001E-2</v>
      </c>
      <c r="K167" s="267">
        <f>IFERROR(INDEX(SOFR!$D$3:$D$123,MATCH(Underwriting!K55,SOFR!$B$3:$B$123,0)),0)</f>
        <v>3.1913700000000003E-2</v>
      </c>
      <c r="L167" s="267">
        <f>IFERROR(INDEX(SOFR!$D$3:$D$123,MATCH(Underwriting!L55,SOFR!$B$3:$B$123,0)),0)</f>
        <v>3.0899800000000002E-2</v>
      </c>
      <c r="M167" s="267">
        <f>IFERROR(INDEX(SOFR!$D$3:$D$123,MATCH(Underwriting!M55,SOFR!$B$3:$B$123,0)),0)</f>
        <v>3.08972E-2</v>
      </c>
      <c r="N167" s="267">
        <f>IFERROR(INDEX(SOFR!$D$3:$D$123,MATCH(Underwriting!N55,SOFR!$B$3:$B$123,0)),0)</f>
        <v>3.0893199999999999E-2</v>
      </c>
      <c r="O167" s="267">
        <f>IFERROR(INDEX(SOFR!$D$3:$D$123,MATCH(Underwriting!O55,SOFR!$B$3:$B$123,0)),0)</f>
        <v>3.0589999999999999E-2</v>
      </c>
      <c r="P167" s="267">
        <f>IFERROR(INDEX(SOFR!$D$3:$D$123,MATCH(Underwriting!P55,SOFR!$B$3:$B$123,0)),0)</f>
        <v>3.0586100000000001E-2</v>
      </c>
      <c r="Q167" s="267">
        <f>IFERROR(INDEX(SOFR!$D$3:$D$123,MATCH(Underwriting!Q55,SOFR!$B$3:$B$123,0)),0)</f>
        <v>3.0588199999999999E-2</v>
      </c>
      <c r="R167" s="267">
        <f>IFERROR(INDEX(SOFR!$D$3:$D$123,MATCH(Underwriting!R55,SOFR!$B$3:$B$123,0)),0)</f>
        <v>3.0652700000000001E-2</v>
      </c>
      <c r="S167" s="267">
        <f>IFERROR(INDEX(SOFR!$D$3:$D$123,MATCH(Underwriting!S55,SOFR!$B$3:$B$123,0)),0)</f>
        <v>3.07341E-2</v>
      </c>
      <c r="T167" s="267">
        <f>IFERROR(INDEX(SOFR!$D$3:$D$123,MATCH(Underwriting!T55,SOFR!$B$3:$B$123,0)),0)</f>
        <v>3.08188E-2</v>
      </c>
      <c r="U167" s="267">
        <f>IFERROR(INDEX(SOFR!$D$3:$D$123,MATCH(Underwriting!U55,SOFR!$B$3:$B$123,0)),0)</f>
        <v>3.09187E-2</v>
      </c>
      <c r="V167" s="267">
        <f>IFERROR(INDEX(SOFR!$D$3:$D$123,MATCH(Underwriting!V55,SOFR!$B$3:$B$123,0)),0)</f>
        <v>3.1028E-2</v>
      </c>
      <c r="W167" s="267">
        <f>IFERROR(INDEX(SOFR!$D$3:$D$123,MATCH(Underwriting!W55,SOFR!$B$3:$B$123,0)),0)</f>
        <v>3.1139500000000001E-2</v>
      </c>
      <c r="X167" s="267">
        <f>IFERROR(INDEX(SOFR!$D$3:$D$123,MATCH(Underwriting!X55,SOFR!$B$3:$B$123,0)),0)</f>
        <v>3.1270100000000002E-2</v>
      </c>
      <c r="Y167" s="267">
        <f>IFERROR(INDEX(SOFR!$D$3:$D$123,MATCH(Underwriting!Y55,SOFR!$B$3:$B$123,0)),0)</f>
        <v>3.14083E-2</v>
      </c>
      <c r="Z167" s="267">
        <f>IFERROR(INDEX(SOFR!$D$3:$D$123,MATCH(Underwriting!Z55,SOFR!$B$3:$B$123,0)),0)</f>
        <v>3.15415E-2</v>
      </c>
      <c r="AA167" s="267">
        <f>IFERROR(INDEX(SOFR!$D$3:$D$123,MATCH(Underwriting!AA55,SOFR!$B$3:$B$123,0)),0)</f>
        <v>3.1686800000000001E-2</v>
      </c>
      <c r="AB167" s="267">
        <f>IFERROR(INDEX(SOFR!$D$3:$D$123,MATCH(Underwriting!AB55,SOFR!$B$3:$B$123,0)),0)</f>
        <v>3.1830999999999998E-2</v>
      </c>
      <c r="AC167" s="267">
        <f>IFERROR(INDEX(SOFR!$D$3:$D$123,MATCH(Underwriting!AC55,SOFR!$B$3:$B$123,0)),0)</f>
        <v>3.1990200000000003E-2</v>
      </c>
      <c r="AD167" s="267">
        <f>IFERROR(INDEX(SOFR!$D$3:$D$123,MATCH(Underwriting!AD55,SOFR!$B$3:$B$123,0)),0)</f>
        <v>3.2138699999999999E-2</v>
      </c>
      <c r="AE167" s="267">
        <f>IFERROR(INDEX(SOFR!$D$3:$D$123,MATCH(Underwriting!AE55,SOFR!$B$3:$B$123,0)),0)</f>
        <v>3.2273200000000002E-2</v>
      </c>
      <c r="AF167" s="267">
        <f>IFERROR(INDEX(SOFR!$D$3:$D$123,MATCH(Underwriting!AF55,SOFR!$B$3:$B$123,0)),0)</f>
        <v>3.2427699999999997E-2</v>
      </c>
      <c r="AG167" s="267">
        <f>IFERROR(INDEX(SOFR!$D$3:$D$123,MATCH(Underwriting!AG55,SOFR!$B$3:$B$123,0)),0)</f>
        <v>3.2576099999999997E-2</v>
      </c>
      <c r="AH167" s="267">
        <f>IFERROR(INDEX(SOFR!$D$3:$D$123,MATCH(Underwriting!AH55,SOFR!$B$3:$B$123,0)),0)</f>
        <v>3.27222E-2</v>
      </c>
      <c r="AI167" s="267">
        <f>IFERROR(INDEX(SOFR!$D$3:$D$123,MATCH(Underwriting!AI55,SOFR!$B$3:$B$123,0)),0)</f>
        <v>3.2874899999999999E-2</v>
      </c>
      <c r="AJ167" s="267">
        <f>IFERROR(INDEX(SOFR!$D$3:$D$123,MATCH(Underwriting!AJ55,SOFR!$B$3:$B$123,0)),0)</f>
        <v>3.3028200000000001E-2</v>
      </c>
      <c r="AK167" s="267">
        <f>IFERROR(INDEX(SOFR!$D$3:$D$123,MATCH(Underwriting!AK55,SOFR!$B$3:$B$123,0)),0)</f>
        <v>3.3189299999999998E-2</v>
      </c>
      <c r="AL167" s="267">
        <f>IFERROR(INDEX(SOFR!$D$3:$D$123,MATCH(Underwriting!AL55,SOFR!$B$3:$B$123,0)),0)</f>
        <v>3.3334299999999997E-2</v>
      </c>
      <c r="AM167" s="267">
        <f>IFERROR(INDEX(SOFR!$D$3:$D$123,MATCH(Underwriting!AM55,SOFR!$B$3:$B$123,0)),0)</f>
        <v>3.3478800000000003E-2</v>
      </c>
      <c r="AN167" s="267">
        <f>IFERROR(INDEX(SOFR!$D$3:$D$123,MATCH(Underwriting!AN55,SOFR!$B$3:$B$123,0)),0)</f>
        <v>3.3614900000000003E-2</v>
      </c>
      <c r="AO167" s="267">
        <f>IFERROR(INDEX(SOFR!$D$3:$D$123,MATCH(Underwriting!AO55,SOFR!$B$3:$B$123,0)),0)</f>
        <v>3.3765099999999999E-2</v>
      </c>
      <c r="AP167" s="267">
        <f>IFERROR(INDEX(SOFR!$D$3:$D$123,MATCH(Underwriting!AP55,SOFR!$B$3:$B$123,0)),0)</f>
        <v>3.39063E-2</v>
      </c>
      <c r="AQ167" s="267">
        <f>IFERROR(INDEX(SOFR!$D$3:$D$123,MATCH(Underwriting!AQ55,SOFR!$B$3:$B$123,0)),0)</f>
        <v>3.4042799999999998E-2</v>
      </c>
      <c r="AR167" s="267">
        <f>IFERROR(INDEX(SOFR!$D$3:$D$123,MATCH(Underwriting!AR55,SOFR!$B$3:$B$123,0)),0)</f>
        <v>3.4181799999999998E-2</v>
      </c>
      <c r="AS167" s="267">
        <f>IFERROR(INDEX(SOFR!$D$3:$D$123,MATCH(Underwriting!AS55,SOFR!$B$3:$B$123,0)),0)</f>
        <v>3.4314299999999999E-2</v>
      </c>
      <c r="AT167" s="267">
        <f>IFERROR(INDEX(SOFR!$D$3:$D$123,MATCH(Underwriting!AT55,SOFR!$B$3:$B$123,0)),0)</f>
        <v>3.4454899999999997E-2</v>
      </c>
      <c r="AU167" s="267">
        <f>IFERROR(INDEX(SOFR!$D$3:$D$123,MATCH(Underwriting!AU55,SOFR!$B$3:$B$123,0)),0)</f>
        <v>3.45829E-2</v>
      </c>
      <c r="AV167" s="267">
        <f>IFERROR(INDEX(SOFR!$D$3:$D$123,MATCH(Underwriting!AV55,SOFR!$B$3:$B$123,0)),0)</f>
        <v>3.4702400000000001E-2</v>
      </c>
      <c r="AW167" s="267">
        <f>IFERROR(INDEX(SOFR!$D$3:$D$123,MATCH(Underwriting!AW55,SOFR!$B$3:$B$123,0)),0)</f>
        <v>3.48353E-2</v>
      </c>
      <c r="AX167" s="267">
        <f>IFERROR(INDEX(SOFR!$D$3:$D$123,MATCH(Underwriting!AX55,SOFR!$B$3:$B$123,0)),0)</f>
        <v>3.4948399999999998E-2</v>
      </c>
      <c r="AY167" s="267">
        <f>IFERROR(INDEX(SOFR!$D$3:$D$123,MATCH(Underwriting!AY55,SOFR!$B$3:$B$123,0)),0)</f>
        <v>3.50689E-2</v>
      </c>
      <c r="AZ167" s="267">
        <f>IFERROR(INDEX(SOFR!$D$3:$D$123,MATCH(Underwriting!AZ55,SOFR!$B$3:$B$123,0)),0)</f>
        <v>3.5189400000000003E-2</v>
      </c>
      <c r="BA167" s="267">
        <f>IFERROR(INDEX(SOFR!$D$3:$D$123,MATCH(Underwriting!BA55,SOFR!$B$3:$B$123,0)),0)</f>
        <v>3.5320499999999998E-2</v>
      </c>
      <c r="BB167" s="267">
        <f>IFERROR(INDEX(SOFR!$D$3:$D$123,MATCH(Underwriting!BB55,SOFR!$B$3:$B$123,0)),0)</f>
        <v>3.5451200000000002E-2</v>
      </c>
      <c r="BC167" s="267">
        <f>IFERROR(INDEX(SOFR!$D$3:$D$123,MATCH(Underwriting!BC55,SOFR!$B$3:$B$123,0)),0)</f>
        <v>3.55964E-2</v>
      </c>
      <c r="BD167" s="267">
        <f>IFERROR(INDEX(SOFR!$D$3:$D$123,MATCH(Underwriting!BD55,SOFR!$B$3:$B$123,0)),0)</f>
        <v>3.5738399999999997E-2</v>
      </c>
      <c r="BE167" s="267">
        <f>IFERROR(INDEX(SOFR!$D$3:$D$123,MATCH(Underwriting!BE55,SOFR!$B$3:$B$123,0)),0)</f>
        <v>3.5868999999999998E-2</v>
      </c>
      <c r="BF167" s="267">
        <f>IFERROR(INDEX(SOFR!$D$3:$D$123,MATCH(Underwriting!BF55,SOFR!$B$3:$B$123,0)),0)</f>
        <v>3.6019700000000002E-2</v>
      </c>
      <c r="BG167" s="267">
        <f>IFERROR(INDEX(SOFR!$D$3:$D$123,MATCH(Underwriting!BG55,SOFR!$B$3:$B$123,0)),0)</f>
        <v>3.6166200000000003E-2</v>
      </c>
      <c r="BH167" s="267">
        <f>IFERROR(INDEX(SOFR!$D$3:$D$123,MATCH(Underwriting!BH55,SOFR!$B$3:$B$123,0)),0)</f>
        <v>3.6313900000000003E-2</v>
      </c>
      <c r="BI167" s="267">
        <f>IFERROR(INDEX(SOFR!$D$3:$D$123,MATCH(Underwriting!BI55,SOFR!$B$3:$B$123,0)),0)</f>
        <v>3.6474600000000003E-2</v>
      </c>
      <c r="BJ167" s="267">
        <f>IFERROR(INDEX(SOFR!$D$3:$D$123,MATCH(Underwriting!BJ55,SOFR!$B$3:$B$123,0)),0)</f>
        <v>3.6620699999999999E-2</v>
      </c>
      <c r="BK167" s="267">
        <f>IFERROR(INDEX(SOFR!$D$3:$D$123,MATCH(Underwriting!BK55,SOFR!$B$3:$B$123,0)),0)</f>
        <v>3.6770499999999998E-2</v>
      </c>
      <c r="BL167" s="267">
        <f>IFERROR(INDEX(SOFR!$D$3:$D$123,MATCH(Underwriting!BL55,SOFR!$B$3:$B$123,0)),0)</f>
        <v>3.6928799999999998E-2</v>
      </c>
      <c r="BM167" s="267">
        <f>IFERROR(INDEX(SOFR!$D$3:$D$123,MATCH(Underwriting!BM55,SOFR!$B$3:$B$123,0)),0)</f>
        <v>3.7084699999999998E-2</v>
      </c>
      <c r="BN167" s="267">
        <f>IFERROR(INDEX(SOFR!$D$3:$D$123,MATCH(Underwriting!BN55,SOFR!$B$3:$B$123,0)),0)</f>
        <v>3.72146E-2</v>
      </c>
      <c r="BO167" s="267">
        <f>IFERROR(INDEX(SOFR!$D$3:$D$123,MATCH(Underwriting!BO55,SOFR!$B$3:$B$123,0)),0)</f>
        <v>3.73637E-2</v>
      </c>
      <c r="BP167" s="267">
        <f>IFERROR(INDEX(SOFR!$D$3:$D$123,MATCH(Underwriting!BP55,SOFR!$B$3:$B$123,0)),0)</f>
        <v>3.7506299999999999E-2</v>
      </c>
      <c r="BQ167" s="267">
        <f>IFERROR(INDEX(SOFR!$D$3:$D$123,MATCH(Underwriting!BQ55,SOFR!$B$3:$B$123,0)),0)</f>
        <v>3.7636999999999997E-2</v>
      </c>
      <c r="BR167" s="267">
        <f>IFERROR(INDEX(SOFR!$D$3:$D$123,MATCH(Underwriting!BR55,SOFR!$B$3:$B$123,0)),0)</f>
        <v>3.77732E-2</v>
      </c>
      <c r="BS167" s="267">
        <f>IFERROR(INDEX(SOFR!$D$3:$D$123,MATCH(Underwriting!BS55,SOFR!$B$3:$B$123,0)),0)</f>
        <v>3.7902499999999999E-2</v>
      </c>
      <c r="BT167" s="267">
        <f>IFERROR(INDEX(SOFR!$D$3:$D$123,MATCH(Underwriting!BT55,SOFR!$B$3:$B$123,0)),0)</f>
        <v>3.8045299999999997E-2</v>
      </c>
      <c r="BU167" s="267">
        <f>IFERROR(INDEX(SOFR!$D$3:$D$123,MATCH(Underwriting!BU55,SOFR!$B$3:$B$123,0)),0)</f>
        <v>3.8172900000000003E-2</v>
      </c>
      <c r="BV167" s="267">
        <f>IFERROR(INDEX(SOFR!$D$3:$D$123,MATCH(Underwriting!BV55,SOFR!$B$3:$B$123,0)),0)</f>
        <v>3.82773E-2</v>
      </c>
      <c r="BW167" s="267">
        <f>IFERROR(INDEX(SOFR!$D$3:$D$123,MATCH(Underwriting!BW55,SOFR!$B$3:$B$123,0)),0)</f>
        <v>3.8407200000000002E-2</v>
      </c>
      <c r="BX167" s="267">
        <f>IFERROR(INDEX(SOFR!$D$3:$D$123,MATCH(Underwriting!BX55,SOFR!$B$3:$B$123,0)),0)</f>
        <v>3.8521800000000002E-2</v>
      </c>
      <c r="BY167" s="267">
        <f>IFERROR(INDEX(SOFR!$D$3:$D$123,MATCH(Underwriting!BY55,SOFR!$B$3:$B$123,0)),0)</f>
        <v>3.8630499999999998E-2</v>
      </c>
      <c r="BZ167" s="267">
        <f>IFERROR(INDEX(SOFR!$D$3:$D$123,MATCH(Underwriting!BZ55,SOFR!$B$3:$B$123,0)),0)</f>
        <v>3.8747400000000001E-2</v>
      </c>
      <c r="CA167" s="267">
        <f>IFERROR(INDEX(SOFR!$D$3:$D$123,MATCH(Underwriting!CA55,SOFR!$B$3:$B$123,0)),0)</f>
        <v>3.8857099999999999E-2</v>
      </c>
      <c r="CB167" s="267">
        <f>IFERROR(INDEX(SOFR!$D$3:$D$123,MATCH(Underwriting!CB55,SOFR!$B$3:$B$123,0)),0)</f>
        <v>3.89573E-2</v>
      </c>
      <c r="CC167" s="267">
        <f>IFERROR(INDEX(SOFR!$D$3:$D$123,MATCH(Underwriting!CC55,SOFR!$B$3:$B$123,0)),0)</f>
        <v>3.9061600000000002E-2</v>
      </c>
      <c r="CD167" s="267">
        <f>IFERROR(INDEX(SOFR!$D$3:$D$123,MATCH(Underwriting!CD55,SOFR!$B$3:$B$123,0)),0)</f>
        <v>3.91629E-2</v>
      </c>
      <c r="CE167" s="267">
        <f>IFERROR(INDEX(SOFR!$D$3:$D$123,MATCH(Underwriting!CE55,SOFR!$B$3:$B$123,0)),0)</f>
        <v>3.9254299999999999E-2</v>
      </c>
      <c r="CF167" s="267">
        <f>IFERROR(INDEX(SOFR!$D$3:$D$123,MATCH(Underwriting!CF55,SOFR!$B$3:$B$123,0)),0)</f>
        <v>3.9354100000000003E-2</v>
      </c>
      <c r="CG167" s="267">
        <f>IFERROR(INDEX(SOFR!$D$3:$D$123,MATCH(Underwriting!CG55,SOFR!$B$3:$B$123,0)),0)</f>
        <v>3.9445899999999999E-2</v>
      </c>
      <c r="CH167" s="267">
        <f>IFERROR(INDEX(SOFR!$D$3:$D$123,MATCH(Underwriting!CH55,SOFR!$B$3:$B$123,0)),0)</f>
        <v>3.95222E-2</v>
      </c>
      <c r="CI167" s="267">
        <f>IFERROR(INDEX(SOFR!$D$3:$D$123,MATCH(Underwriting!CI55,SOFR!$B$3:$B$123,0)),0)</f>
        <v>3.9617699999999999E-2</v>
      </c>
      <c r="CJ167" s="267">
        <f>IFERROR(INDEX(SOFR!$D$3:$D$123,MATCH(Underwriting!CJ55,SOFR!$B$3:$B$123,0)),0)</f>
        <v>3.9703299999999997E-2</v>
      </c>
      <c r="CK167" s="267">
        <f>IFERROR(INDEX(SOFR!$D$3:$D$123,MATCH(Underwriting!CK55,SOFR!$B$3:$B$123,0)),0)</f>
        <v>3.9791199999999999E-2</v>
      </c>
      <c r="CL167" s="267">
        <f>IFERROR(INDEX(SOFR!$D$3:$D$123,MATCH(Underwriting!CL55,SOFR!$B$3:$B$123,0)),0)</f>
        <v>3.98815E-2</v>
      </c>
      <c r="CM167" s="267">
        <f>IFERROR(INDEX(SOFR!$D$3:$D$123,MATCH(Underwriting!CM55,SOFR!$B$3:$B$123,0)),0)</f>
        <v>3.9971899999999998E-2</v>
      </c>
      <c r="CN167" s="267">
        <f>IFERROR(INDEX(SOFR!$D$3:$D$123,MATCH(Underwriting!CN55,SOFR!$B$3:$B$123,0)),0)</f>
        <v>4.0066999999999998E-2</v>
      </c>
      <c r="CO167" s="267">
        <f>IFERROR(INDEX(SOFR!$D$3:$D$123,MATCH(Underwriting!CO55,SOFR!$B$3:$B$123,0)),0)</f>
        <v>4.0152599999999997E-2</v>
      </c>
      <c r="CP167" s="267">
        <f>IFERROR(INDEX(SOFR!$D$3:$D$123,MATCH(Underwriting!CP55,SOFR!$B$3:$B$123,0)),0)</f>
        <v>4.0238500000000003E-2</v>
      </c>
      <c r="CQ167" s="267">
        <f>IFERROR(INDEX(SOFR!$D$3:$D$123,MATCH(Underwriting!CQ55,SOFR!$B$3:$B$123,0)),0)</f>
        <v>4.0333399999999998E-2</v>
      </c>
      <c r="CR167" s="267">
        <f>IFERROR(INDEX(SOFR!$D$3:$D$123,MATCH(Underwriting!CR55,SOFR!$B$3:$B$123,0)),0)</f>
        <v>4.0424000000000002E-2</v>
      </c>
      <c r="CS167" s="267">
        <f>IFERROR(INDEX(SOFR!$D$3:$D$123,MATCH(Underwriting!CS55,SOFR!$B$3:$B$123,0)),0)</f>
        <v>4.05096E-2</v>
      </c>
      <c r="CT167" s="267">
        <f>IFERROR(INDEX(SOFR!$D$3:$D$123,MATCH(Underwriting!CT55,SOFR!$B$3:$B$123,0)),0)</f>
        <v>4.0590099999999997E-2</v>
      </c>
      <c r="CU167" s="267">
        <f>IFERROR(INDEX(SOFR!$D$3:$D$123,MATCH(Underwriting!CU55,SOFR!$B$3:$B$123,0)),0)</f>
        <v>4.0684400000000003E-2</v>
      </c>
      <c r="CV167" s="267">
        <f>IFERROR(INDEX(SOFR!$D$3:$D$123,MATCH(Underwriting!CV55,SOFR!$B$3:$B$123,0)),0)</f>
        <v>4.0772599999999999E-2</v>
      </c>
      <c r="CW167" s="267">
        <f>IFERROR(INDEX(SOFR!$D$3:$D$123,MATCH(Underwriting!CW55,SOFR!$B$3:$B$123,0)),0)</f>
        <v>4.08771E-2</v>
      </c>
      <c r="CX167" s="267">
        <f>IFERROR(INDEX(SOFR!$D$3:$D$123,MATCH(Underwriting!CX55,SOFR!$B$3:$B$123,0)),0)</f>
        <v>4.0963300000000001E-2</v>
      </c>
      <c r="CY167" s="267">
        <f>IFERROR(INDEX(SOFR!$D$3:$D$123,MATCH(Underwriting!CY55,SOFR!$B$3:$B$123,0)),0)</f>
        <v>4.1047800000000002E-2</v>
      </c>
      <c r="CZ167" s="267">
        <f>IFERROR(INDEX(SOFR!$D$3:$D$123,MATCH(Underwriting!CZ55,SOFR!$B$3:$B$123,0)),0)</f>
        <v>4.1144399999999998E-2</v>
      </c>
      <c r="DA167" s="267">
        <f>IFERROR(INDEX(SOFR!$D$3:$D$123,MATCH(Underwriting!DA55,SOFR!$B$3:$B$123,0)),0)</f>
        <v>4.1232699999999997E-2</v>
      </c>
      <c r="DB167" s="267">
        <f>IFERROR(INDEX(SOFR!$D$3:$D$123,MATCH(Underwriting!DB55,SOFR!$B$3:$B$123,0)),0)</f>
        <v>4.1323699999999998E-2</v>
      </c>
      <c r="DC167" s="267">
        <f>IFERROR(INDEX(SOFR!$D$3:$D$123,MATCH(Underwriting!DC55,SOFR!$B$3:$B$123,0)),0)</f>
        <v>4.1417000000000002E-2</v>
      </c>
      <c r="DD167" s="267">
        <f>IFERROR(INDEX(SOFR!$D$3:$D$123,MATCH(Underwriting!DD55,SOFR!$B$3:$B$123,0)),0)</f>
        <v>4.1510600000000002E-2</v>
      </c>
      <c r="DE167" s="267">
        <f>IFERROR(INDEX(SOFR!$D$3:$D$123,MATCH(Underwriting!DE55,SOFR!$B$3:$B$123,0)),0)</f>
        <v>4.1612999999999997E-2</v>
      </c>
      <c r="DF167" s="267">
        <f>IFERROR(INDEX(SOFR!$D$3:$D$123,MATCH(Underwriting!DF55,SOFR!$B$3:$B$123,0)),0)</f>
        <v>4.1692399999999998E-2</v>
      </c>
      <c r="DG167" s="267">
        <f>IFERROR(INDEX(SOFR!$D$3:$D$123,MATCH(Underwriting!DG55,SOFR!$B$3:$B$123,0)),0)</f>
        <v>4.1786200000000003E-2</v>
      </c>
      <c r="DH167" s="267">
        <f>IFERROR(INDEX(SOFR!$D$3:$D$123,MATCH(Underwriting!DH55,SOFR!$B$3:$B$123,0)),0)</f>
        <v>4.1870400000000002E-2</v>
      </c>
      <c r="DI167" s="267">
        <f>IFERROR(INDEX(SOFR!$D$3:$D$123,MATCH(Underwriting!DI55,SOFR!$B$3:$B$123,0)),0)</f>
        <v>4.1969699999999999E-2</v>
      </c>
      <c r="DJ167" s="267">
        <f>IFERROR(INDEX(SOFR!$D$3:$D$123,MATCH(Underwriting!DJ55,SOFR!$B$3:$B$123,0)),0)</f>
        <v>4.2059399999999997E-2</v>
      </c>
      <c r="DK167" s="267">
        <f>IFERROR(INDEX(SOFR!$D$3:$D$123,MATCH(Underwriting!DK55,SOFR!$B$3:$B$123,0)),0)</f>
        <v>4.2152000000000002E-2</v>
      </c>
      <c r="DL167" s="267">
        <f>IFERROR(INDEX(SOFR!$D$3:$D$123,MATCH(Underwriting!DL55,SOFR!$B$3:$B$123,0)),0)</f>
        <v>4.2247E-2</v>
      </c>
      <c r="DM167" s="267">
        <f>IFERROR(INDEX(SOFR!$D$3:$D$123,MATCH(Underwriting!DM55,SOFR!$B$3:$B$123,0)),0)</f>
        <v>4.2338099999999997E-2</v>
      </c>
      <c r="DN167" s="267">
        <f>IFERROR(INDEX(SOFR!$D$3:$D$123,MATCH(Underwriting!DN55,SOFR!$B$3:$B$123,0)),0)</f>
        <v>4.2442399999999998E-2</v>
      </c>
      <c r="DO167" s="267">
        <f>IFERROR(INDEX(SOFR!$D$3:$D$123,MATCH(Underwriting!DO55,SOFR!$B$3:$B$123,0)),0)</f>
        <v>4.2532E-2</v>
      </c>
      <c r="DP167" s="267">
        <f>IFERROR(INDEX(SOFR!$D$3:$D$123,MATCH(Underwriting!DP55,SOFR!$B$3:$B$123,0)),0)</f>
        <v>4.2622500000000001E-2</v>
      </c>
      <c r="DQ167" s="267">
        <f>IFERROR(INDEX(SOFR!$D$3:$D$123,MATCH(Underwriting!DQ55,SOFR!$B$3:$B$123,0)),0)</f>
        <v>4.2726500000000001E-2</v>
      </c>
      <c r="DR167" s="267">
        <f>IFERROR(INDEX(SOFR!$D$3:$D$123,MATCH(Underwriting!DR55,SOFR!$B$3:$B$123,0)),0)</f>
        <v>4.2812099999999999E-2</v>
      </c>
      <c r="DS167" s="267">
        <f>IFERROR(INDEX(SOFR!$D$3:$D$123,MATCH(Underwriting!DS55,SOFR!$B$3:$B$123,0)),0)</f>
        <v>0</v>
      </c>
      <c r="DT167" s="267">
        <f>IFERROR(INDEX(SOFR!$D$3:$D$123,MATCH(Underwriting!DT55,SOFR!$B$3:$B$123,0)),0)</f>
        <v>0</v>
      </c>
      <c r="DU167" s="267">
        <f>IFERROR(INDEX(SOFR!$D$3:$D$123,MATCH(Underwriting!DU55,SOFR!$B$3:$B$123,0)),0)</f>
        <v>0</v>
      </c>
      <c r="DV167" s="267">
        <f>IFERROR(INDEX(SOFR!$D$3:$D$123,MATCH(Underwriting!DV55,SOFR!$B$3:$B$123,0)),0)</f>
        <v>0</v>
      </c>
      <c r="DW167" s="267">
        <f>IFERROR(INDEX(SOFR!$D$3:$D$123,MATCH(Underwriting!DW55,SOFR!$B$3:$B$123,0)),0)</f>
        <v>0</v>
      </c>
      <c r="DX167" s="267">
        <f>IFERROR(INDEX(SOFR!$D$3:$D$123,MATCH(Underwriting!DX55,SOFR!$B$3:$B$123,0)),0)</f>
        <v>0</v>
      </c>
      <c r="DY167" s="267">
        <f>IFERROR(INDEX(SOFR!$D$3:$D$123,MATCH(Underwriting!DY55,SOFR!$B$3:$B$123,0)),0)</f>
        <v>0</v>
      </c>
      <c r="DZ167" s="267">
        <f>IFERROR(INDEX(SOFR!$D$3:$D$123,MATCH(Underwriting!DZ55,SOFR!$B$3:$B$123,0)),0)</f>
        <v>0</v>
      </c>
      <c r="EA167" s="267">
        <f>IFERROR(INDEX(SOFR!$D$3:$D$123,MATCH(Underwriting!EA55,SOFR!$B$3:$B$123,0)),0)</f>
        <v>0</v>
      </c>
      <c r="EB167" s="267">
        <f>IFERROR(INDEX(SOFR!$D$3:$D$123,MATCH(Underwriting!EB55,SOFR!$B$3:$B$123,0)),0)</f>
        <v>0</v>
      </c>
      <c r="EC167" s="267">
        <f>IFERROR(INDEX(SOFR!$D$3:$D$123,MATCH(Underwriting!EC55,SOFR!$B$3:$B$123,0)),0)</f>
        <v>0</v>
      </c>
      <c r="ED167" s="267">
        <f>IFERROR(INDEX(SOFR!$D$3:$D$123,MATCH(Underwriting!ED55,SOFR!$B$3:$B$123,0)),0)</f>
        <v>0</v>
      </c>
      <c r="EE167" s="267">
        <f>IFERROR(INDEX(SOFR!$D$3:$D$123,MATCH(Underwriting!EE55,SOFR!$B$3:$B$123,0)),0)</f>
        <v>0</v>
      </c>
      <c r="EF167" s="267">
        <f>IFERROR(INDEX(SOFR!$D$3:$D$123,MATCH(Underwriting!EF55,SOFR!$B$3:$B$123,0)),0)</f>
        <v>0</v>
      </c>
      <c r="EG167" s="267">
        <f>IFERROR(INDEX(SOFR!$D$3:$D$123,MATCH(Underwriting!EG55,SOFR!$B$3:$B$123,0)),0)</f>
        <v>0</v>
      </c>
      <c r="EH167" s="267">
        <f>IFERROR(INDEX(SOFR!$D$3:$D$123,MATCH(Underwriting!EH55,SOFR!$B$3:$B$123,0)),0)</f>
        <v>0</v>
      </c>
      <c r="EI167" s="267">
        <f>IFERROR(INDEX(SOFR!$D$3:$D$123,MATCH(Underwriting!EI55,SOFR!$B$3:$B$123,0)),0)</f>
        <v>0</v>
      </c>
      <c r="EJ167" s="267">
        <f>IFERROR(INDEX(SOFR!$D$3:$D$123,MATCH(Underwriting!EJ55,SOFR!$B$3:$B$123,0)),0)</f>
        <v>0</v>
      </c>
      <c r="EK167" s="267">
        <f>IFERROR(INDEX(SOFR!$D$3:$D$123,MATCH(Underwriting!EK55,SOFR!$B$3:$B$123,0)),0)</f>
        <v>0</v>
      </c>
      <c r="EL167" s="267">
        <f>IFERROR(INDEX(SOFR!$D$3:$D$123,MATCH(Underwriting!EL55,SOFR!$B$3:$B$123,0)),0)</f>
        <v>0</v>
      </c>
      <c r="EM167" s="267">
        <f>IFERROR(INDEX(SOFR!$D$3:$D$123,MATCH(Underwriting!EM55,SOFR!$B$3:$B$123,0)),0)</f>
        <v>0</v>
      </c>
      <c r="EN167" s="267">
        <f>IFERROR(INDEX(SOFR!$D$3:$D$123,MATCH(Underwriting!EN55,SOFR!$B$3:$B$123,0)),0)</f>
        <v>0</v>
      </c>
      <c r="EO167" s="267">
        <f>IFERROR(INDEX(SOFR!$D$3:$D$123,MATCH(Underwriting!EO55,SOFR!$B$3:$B$123,0)),0)</f>
        <v>0</v>
      </c>
      <c r="EP167" s="267">
        <f>IFERROR(INDEX(SOFR!$D$3:$D$123,MATCH(Underwriting!EP55,SOFR!$B$3:$B$123,0)),0)</f>
        <v>0</v>
      </c>
      <c r="EQ167" s="267">
        <f>IFERROR(INDEX(SOFR!$D$3:$D$123,MATCH(Underwriting!EQ55,SOFR!$B$3:$B$123,0)),0)</f>
        <v>0</v>
      </c>
      <c r="ER167" s="267">
        <f>IFERROR(INDEX(SOFR!$D$3:$D$123,MATCH(Underwriting!ER55,SOFR!$B$3:$B$123,0)),0)</f>
        <v>0</v>
      </c>
      <c r="ES167" s="267">
        <f>IFERROR(INDEX(SOFR!$D$3:$D$123,MATCH(Underwriting!ES55,SOFR!$B$3:$B$123,0)),0)</f>
        <v>0</v>
      </c>
      <c r="ET167" s="267">
        <f>IFERROR(INDEX(SOFR!$D$3:$D$123,MATCH(Underwriting!ET55,SOFR!$B$3:$B$123,0)),0)</f>
        <v>0</v>
      </c>
      <c r="EU167" s="267">
        <f>IFERROR(INDEX(SOFR!$D$3:$D$123,MATCH(Underwriting!EU55,SOFR!$B$3:$B$123,0)),0)</f>
        <v>0</v>
      </c>
      <c r="EV167" s="267">
        <f>IFERROR(INDEX(SOFR!$D$3:$D$123,MATCH(Underwriting!EV55,SOFR!$B$3:$B$123,0)),0)</f>
        <v>0</v>
      </c>
      <c r="EW167" s="267">
        <f>IFERROR(INDEX(SOFR!$D$3:$D$123,MATCH(Underwriting!EW55,SOFR!$B$3:$B$123,0)),0)</f>
        <v>0</v>
      </c>
      <c r="EX167" s="267">
        <f>IFERROR(INDEX(SOFR!$D$3:$D$123,MATCH(Underwriting!EX55,SOFR!$B$3:$B$123,0)),0)</f>
        <v>0</v>
      </c>
      <c r="EY167" s="267">
        <f>IFERROR(INDEX(SOFR!$D$3:$D$123,MATCH(Underwriting!EY55,SOFR!$B$3:$B$123,0)),0)</f>
        <v>0</v>
      </c>
      <c r="EZ167" s="267">
        <f>IFERROR(INDEX(SOFR!$D$3:$D$123,MATCH(Underwriting!EZ55,SOFR!$B$3:$B$123,0)),0)</f>
        <v>0</v>
      </c>
      <c r="FA167" s="267">
        <f>IFERROR(INDEX(SOFR!$D$3:$D$123,MATCH(Underwriting!FA55,SOFR!$B$3:$B$123,0)),0)</f>
        <v>0</v>
      </c>
      <c r="FB167" s="267">
        <f>IFERROR(INDEX(SOFR!$D$3:$D$123,MATCH(Underwriting!FB55,SOFR!$B$3:$B$123,0)),0)</f>
        <v>0</v>
      </c>
      <c r="FC167" s="267">
        <f>IFERROR(INDEX(SOFR!$D$3:$D$123,MATCH(Underwriting!FC55,SOFR!$B$3:$B$123,0)),0)</f>
        <v>0</v>
      </c>
      <c r="FD167" s="267">
        <f>IFERROR(INDEX(SOFR!$D$3:$D$123,MATCH(Underwriting!FD55,SOFR!$B$3:$B$123,0)),0)</f>
        <v>0</v>
      </c>
      <c r="FE167" s="267">
        <f>IFERROR(INDEX(SOFR!$D$3:$D$123,MATCH(Underwriting!FE55,SOFR!$B$3:$B$123,0)),0)</f>
        <v>0</v>
      </c>
      <c r="FF167" s="267">
        <f>IFERROR(INDEX(SOFR!$D$3:$D$123,MATCH(Underwriting!FF55,SOFR!$B$3:$B$123,0)),0)</f>
        <v>0</v>
      </c>
      <c r="FG167" s="315"/>
      <c r="FH167" s="267">
        <f>AVERAGEIF($F$54:$FF$54,FH$54,$F167:$FF167)</f>
        <v>3.2749742857142855E-2</v>
      </c>
      <c r="FI167" s="267">
        <f t="shared" ref="FI167:FU169" si="533">AVERAGEIF($F$54:$FF$54,FI$54,$F167:$FF167)</f>
        <v>3.084305E-2</v>
      </c>
      <c r="FJ167" s="267">
        <f t="shared" si="533"/>
        <v>3.2208233333333329E-2</v>
      </c>
      <c r="FK167" s="267">
        <f t="shared" si="533"/>
        <v>3.3963983333333336E-2</v>
      </c>
      <c r="FL167" s="267">
        <f t="shared" si="533"/>
        <v>3.554310833333333E-2</v>
      </c>
      <c r="FM167" s="267">
        <f t="shared" si="533"/>
        <v>3.7276825E-2</v>
      </c>
      <c r="FN167" s="267">
        <f t="shared" si="533"/>
        <v>3.8783700000000004E-2</v>
      </c>
      <c r="FO167" s="267">
        <f t="shared" si="533"/>
        <v>3.9929100000000002E-2</v>
      </c>
      <c r="FP167" s="267">
        <f t="shared" si="533"/>
        <v>4.1006108333333333E-2</v>
      </c>
      <c r="FQ167" s="267">
        <f t="shared" si="533"/>
        <v>4.2110425E-2</v>
      </c>
      <c r="FR167" s="267">
        <f t="shared" si="533"/>
        <v>7.128216666666666E-3</v>
      </c>
      <c r="FS167" s="267">
        <f t="shared" si="533"/>
        <v>0</v>
      </c>
      <c r="FT167" s="267">
        <f t="shared" si="533"/>
        <v>0</v>
      </c>
      <c r="FU167" s="267">
        <f t="shared" si="533"/>
        <v>0</v>
      </c>
      <c r="FV167" s="315"/>
    </row>
    <row r="168" spans="1:178" x14ac:dyDescent="0.2">
      <c r="B168" s="47"/>
      <c r="C168" s="39" t="s">
        <v>122</v>
      </c>
      <c r="F168" s="266">
        <f t="shared" ref="F168:AK168" si="534">$F$36/10000</f>
        <v>7.0000000000000007E-6</v>
      </c>
      <c r="G168" s="267">
        <f t="shared" si="534"/>
        <v>7.0000000000000007E-6</v>
      </c>
      <c r="H168" s="267">
        <f t="shared" si="534"/>
        <v>7.0000000000000007E-6</v>
      </c>
      <c r="I168" s="267">
        <f t="shared" si="534"/>
        <v>7.0000000000000007E-6</v>
      </c>
      <c r="J168" s="267">
        <f t="shared" si="534"/>
        <v>7.0000000000000007E-6</v>
      </c>
      <c r="K168" s="267">
        <f t="shared" si="534"/>
        <v>7.0000000000000007E-6</v>
      </c>
      <c r="L168" s="267">
        <f t="shared" si="534"/>
        <v>7.0000000000000007E-6</v>
      </c>
      <c r="M168" s="267">
        <f t="shared" si="534"/>
        <v>7.0000000000000007E-6</v>
      </c>
      <c r="N168" s="267">
        <f t="shared" si="534"/>
        <v>7.0000000000000007E-6</v>
      </c>
      <c r="O168" s="267">
        <f t="shared" si="534"/>
        <v>7.0000000000000007E-6</v>
      </c>
      <c r="P168" s="267">
        <f t="shared" si="534"/>
        <v>7.0000000000000007E-6</v>
      </c>
      <c r="Q168" s="267">
        <f t="shared" si="534"/>
        <v>7.0000000000000007E-6</v>
      </c>
      <c r="R168" s="267">
        <f t="shared" si="534"/>
        <v>7.0000000000000007E-6</v>
      </c>
      <c r="S168" s="267">
        <f t="shared" si="534"/>
        <v>7.0000000000000007E-6</v>
      </c>
      <c r="T168" s="267">
        <f t="shared" si="534"/>
        <v>7.0000000000000007E-6</v>
      </c>
      <c r="U168" s="267">
        <f t="shared" si="534"/>
        <v>7.0000000000000007E-6</v>
      </c>
      <c r="V168" s="267">
        <f t="shared" si="534"/>
        <v>7.0000000000000007E-6</v>
      </c>
      <c r="W168" s="267">
        <f t="shared" si="534"/>
        <v>7.0000000000000007E-6</v>
      </c>
      <c r="X168" s="267">
        <f t="shared" si="534"/>
        <v>7.0000000000000007E-6</v>
      </c>
      <c r="Y168" s="267">
        <f t="shared" si="534"/>
        <v>7.0000000000000007E-6</v>
      </c>
      <c r="Z168" s="267">
        <f t="shared" si="534"/>
        <v>7.0000000000000007E-6</v>
      </c>
      <c r="AA168" s="267">
        <f t="shared" si="534"/>
        <v>7.0000000000000007E-6</v>
      </c>
      <c r="AB168" s="267">
        <f t="shared" si="534"/>
        <v>7.0000000000000007E-6</v>
      </c>
      <c r="AC168" s="267">
        <f t="shared" si="534"/>
        <v>7.0000000000000007E-6</v>
      </c>
      <c r="AD168" s="267">
        <f t="shared" si="534"/>
        <v>7.0000000000000007E-6</v>
      </c>
      <c r="AE168" s="267">
        <f t="shared" si="534"/>
        <v>7.0000000000000007E-6</v>
      </c>
      <c r="AF168" s="267">
        <f t="shared" si="534"/>
        <v>7.0000000000000007E-6</v>
      </c>
      <c r="AG168" s="267">
        <f t="shared" si="534"/>
        <v>7.0000000000000007E-6</v>
      </c>
      <c r="AH168" s="267">
        <f t="shared" si="534"/>
        <v>7.0000000000000007E-6</v>
      </c>
      <c r="AI168" s="267">
        <f t="shared" si="534"/>
        <v>7.0000000000000007E-6</v>
      </c>
      <c r="AJ168" s="267">
        <f t="shared" si="534"/>
        <v>7.0000000000000007E-6</v>
      </c>
      <c r="AK168" s="267">
        <f t="shared" si="534"/>
        <v>7.0000000000000007E-6</v>
      </c>
      <c r="AL168" s="267">
        <f t="shared" ref="AL168:BQ168" si="535">$F$36/10000</f>
        <v>7.0000000000000007E-6</v>
      </c>
      <c r="AM168" s="267">
        <f t="shared" si="535"/>
        <v>7.0000000000000007E-6</v>
      </c>
      <c r="AN168" s="267">
        <f t="shared" si="535"/>
        <v>7.0000000000000007E-6</v>
      </c>
      <c r="AO168" s="267">
        <f t="shared" si="535"/>
        <v>7.0000000000000007E-6</v>
      </c>
      <c r="AP168" s="267">
        <f t="shared" si="535"/>
        <v>7.0000000000000007E-6</v>
      </c>
      <c r="AQ168" s="267">
        <f t="shared" si="535"/>
        <v>7.0000000000000007E-6</v>
      </c>
      <c r="AR168" s="267">
        <f t="shared" si="535"/>
        <v>7.0000000000000007E-6</v>
      </c>
      <c r="AS168" s="267">
        <f t="shared" si="535"/>
        <v>7.0000000000000007E-6</v>
      </c>
      <c r="AT168" s="267">
        <f t="shared" si="535"/>
        <v>7.0000000000000007E-6</v>
      </c>
      <c r="AU168" s="267">
        <f t="shared" si="535"/>
        <v>7.0000000000000007E-6</v>
      </c>
      <c r="AV168" s="267">
        <f t="shared" si="535"/>
        <v>7.0000000000000007E-6</v>
      </c>
      <c r="AW168" s="267">
        <f t="shared" si="535"/>
        <v>7.0000000000000007E-6</v>
      </c>
      <c r="AX168" s="267">
        <f t="shared" si="535"/>
        <v>7.0000000000000007E-6</v>
      </c>
      <c r="AY168" s="267">
        <f t="shared" si="535"/>
        <v>7.0000000000000007E-6</v>
      </c>
      <c r="AZ168" s="267">
        <f t="shared" si="535"/>
        <v>7.0000000000000007E-6</v>
      </c>
      <c r="BA168" s="267">
        <f t="shared" si="535"/>
        <v>7.0000000000000007E-6</v>
      </c>
      <c r="BB168" s="267">
        <f t="shared" si="535"/>
        <v>7.0000000000000007E-6</v>
      </c>
      <c r="BC168" s="267">
        <f t="shared" si="535"/>
        <v>7.0000000000000007E-6</v>
      </c>
      <c r="BD168" s="267">
        <f t="shared" si="535"/>
        <v>7.0000000000000007E-6</v>
      </c>
      <c r="BE168" s="267">
        <f t="shared" si="535"/>
        <v>7.0000000000000007E-6</v>
      </c>
      <c r="BF168" s="267">
        <f t="shared" si="535"/>
        <v>7.0000000000000007E-6</v>
      </c>
      <c r="BG168" s="267">
        <f t="shared" si="535"/>
        <v>7.0000000000000007E-6</v>
      </c>
      <c r="BH168" s="267">
        <f t="shared" si="535"/>
        <v>7.0000000000000007E-6</v>
      </c>
      <c r="BI168" s="267">
        <f t="shared" si="535"/>
        <v>7.0000000000000007E-6</v>
      </c>
      <c r="BJ168" s="267">
        <f t="shared" si="535"/>
        <v>7.0000000000000007E-6</v>
      </c>
      <c r="BK168" s="267">
        <f t="shared" si="535"/>
        <v>7.0000000000000007E-6</v>
      </c>
      <c r="BL168" s="267">
        <f t="shared" si="535"/>
        <v>7.0000000000000007E-6</v>
      </c>
      <c r="BM168" s="267">
        <f t="shared" si="535"/>
        <v>7.0000000000000007E-6</v>
      </c>
      <c r="BN168" s="267">
        <f t="shared" si="535"/>
        <v>7.0000000000000007E-6</v>
      </c>
      <c r="BO168" s="267">
        <f t="shared" si="535"/>
        <v>7.0000000000000007E-6</v>
      </c>
      <c r="BP168" s="267">
        <f t="shared" si="535"/>
        <v>7.0000000000000007E-6</v>
      </c>
      <c r="BQ168" s="267">
        <f t="shared" si="535"/>
        <v>7.0000000000000007E-6</v>
      </c>
      <c r="BR168" s="267">
        <f t="shared" ref="BR168:CW168" si="536">$F$36/10000</f>
        <v>7.0000000000000007E-6</v>
      </c>
      <c r="BS168" s="267">
        <f t="shared" si="536"/>
        <v>7.0000000000000007E-6</v>
      </c>
      <c r="BT168" s="267">
        <f t="shared" si="536"/>
        <v>7.0000000000000007E-6</v>
      </c>
      <c r="BU168" s="267">
        <f t="shared" si="536"/>
        <v>7.0000000000000007E-6</v>
      </c>
      <c r="BV168" s="267">
        <f t="shared" si="536"/>
        <v>7.0000000000000007E-6</v>
      </c>
      <c r="BW168" s="267">
        <f t="shared" si="536"/>
        <v>7.0000000000000007E-6</v>
      </c>
      <c r="BX168" s="267">
        <f t="shared" si="536"/>
        <v>7.0000000000000007E-6</v>
      </c>
      <c r="BY168" s="267">
        <f t="shared" si="536"/>
        <v>7.0000000000000007E-6</v>
      </c>
      <c r="BZ168" s="267">
        <f t="shared" si="536"/>
        <v>7.0000000000000007E-6</v>
      </c>
      <c r="CA168" s="267">
        <f t="shared" si="536"/>
        <v>7.0000000000000007E-6</v>
      </c>
      <c r="CB168" s="267">
        <f t="shared" si="536"/>
        <v>7.0000000000000007E-6</v>
      </c>
      <c r="CC168" s="267">
        <f t="shared" si="536"/>
        <v>7.0000000000000007E-6</v>
      </c>
      <c r="CD168" s="267">
        <f t="shared" si="536"/>
        <v>7.0000000000000007E-6</v>
      </c>
      <c r="CE168" s="267">
        <f t="shared" si="536"/>
        <v>7.0000000000000007E-6</v>
      </c>
      <c r="CF168" s="267">
        <f t="shared" si="536"/>
        <v>7.0000000000000007E-6</v>
      </c>
      <c r="CG168" s="267">
        <f t="shared" si="536"/>
        <v>7.0000000000000007E-6</v>
      </c>
      <c r="CH168" s="267">
        <f t="shared" si="536"/>
        <v>7.0000000000000007E-6</v>
      </c>
      <c r="CI168" s="267">
        <f t="shared" si="536"/>
        <v>7.0000000000000007E-6</v>
      </c>
      <c r="CJ168" s="267">
        <f t="shared" si="536"/>
        <v>7.0000000000000007E-6</v>
      </c>
      <c r="CK168" s="267">
        <f t="shared" si="536"/>
        <v>7.0000000000000007E-6</v>
      </c>
      <c r="CL168" s="267">
        <f t="shared" si="536"/>
        <v>7.0000000000000007E-6</v>
      </c>
      <c r="CM168" s="267">
        <f t="shared" si="536"/>
        <v>7.0000000000000007E-6</v>
      </c>
      <c r="CN168" s="267">
        <f t="shared" si="536"/>
        <v>7.0000000000000007E-6</v>
      </c>
      <c r="CO168" s="267">
        <f t="shared" si="536"/>
        <v>7.0000000000000007E-6</v>
      </c>
      <c r="CP168" s="267">
        <f t="shared" si="536"/>
        <v>7.0000000000000007E-6</v>
      </c>
      <c r="CQ168" s="267">
        <f t="shared" si="536"/>
        <v>7.0000000000000007E-6</v>
      </c>
      <c r="CR168" s="267">
        <f t="shared" si="536"/>
        <v>7.0000000000000007E-6</v>
      </c>
      <c r="CS168" s="267">
        <f t="shared" si="536"/>
        <v>7.0000000000000007E-6</v>
      </c>
      <c r="CT168" s="267">
        <f t="shared" si="536"/>
        <v>7.0000000000000007E-6</v>
      </c>
      <c r="CU168" s="267">
        <f t="shared" si="536"/>
        <v>7.0000000000000007E-6</v>
      </c>
      <c r="CV168" s="267">
        <f t="shared" si="536"/>
        <v>7.0000000000000007E-6</v>
      </c>
      <c r="CW168" s="267">
        <f t="shared" si="536"/>
        <v>7.0000000000000007E-6</v>
      </c>
      <c r="CX168" s="267">
        <f t="shared" ref="CX168:EC168" si="537">$F$36/10000</f>
        <v>7.0000000000000007E-6</v>
      </c>
      <c r="CY168" s="267">
        <f t="shared" si="537"/>
        <v>7.0000000000000007E-6</v>
      </c>
      <c r="CZ168" s="267">
        <f t="shared" si="537"/>
        <v>7.0000000000000007E-6</v>
      </c>
      <c r="DA168" s="267">
        <f t="shared" si="537"/>
        <v>7.0000000000000007E-6</v>
      </c>
      <c r="DB168" s="267">
        <f t="shared" si="537"/>
        <v>7.0000000000000007E-6</v>
      </c>
      <c r="DC168" s="267">
        <f t="shared" si="537"/>
        <v>7.0000000000000007E-6</v>
      </c>
      <c r="DD168" s="267">
        <f t="shared" si="537"/>
        <v>7.0000000000000007E-6</v>
      </c>
      <c r="DE168" s="267">
        <f t="shared" si="537"/>
        <v>7.0000000000000007E-6</v>
      </c>
      <c r="DF168" s="267">
        <f t="shared" si="537"/>
        <v>7.0000000000000007E-6</v>
      </c>
      <c r="DG168" s="267">
        <f t="shared" si="537"/>
        <v>7.0000000000000007E-6</v>
      </c>
      <c r="DH168" s="267">
        <f t="shared" si="537"/>
        <v>7.0000000000000007E-6</v>
      </c>
      <c r="DI168" s="267">
        <f t="shared" si="537"/>
        <v>7.0000000000000007E-6</v>
      </c>
      <c r="DJ168" s="267">
        <f t="shared" si="537"/>
        <v>7.0000000000000007E-6</v>
      </c>
      <c r="DK168" s="267">
        <f t="shared" si="537"/>
        <v>7.0000000000000007E-6</v>
      </c>
      <c r="DL168" s="267">
        <f t="shared" si="537"/>
        <v>7.0000000000000007E-6</v>
      </c>
      <c r="DM168" s="267">
        <f t="shared" si="537"/>
        <v>7.0000000000000007E-6</v>
      </c>
      <c r="DN168" s="267">
        <f t="shared" si="537"/>
        <v>7.0000000000000007E-6</v>
      </c>
      <c r="DO168" s="267">
        <f t="shared" si="537"/>
        <v>7.0000000000000007E-6</v>
      </c>
      <c r="DP168" s="267">
        <f t="shared" si="537"/>
        <v>7.0000000000000007E-6</v>
      </c>
      <c r="DQ168" s="267">
        <f t="shared" si="537"/>
        <v>7.0000000000000007E-6</v>
      </c>
      <c r="DR168" s="267">
        <f t="shared" si="537"/>
        <v>7.0000000000000007E-6</v>
      </c>
      <c r="DS168" s="267">
        <f t="shared" si="537"/>
        <v>7.0000000000000007E-6</v>
      </c>
      <c r="DT168" s="267">
        <f t="shared" si="537"/>
        <v>7.0000000000000007E-6</v>
      </c>
      <c r="DU168" s="267">
        <f t="shared" si="537"/>
        <v>7.0000000000000007E-6</v>
      </c>
      <c r="DV168" s="267">
        <f t="shared" si="537"/>
        <v>7.0000000000000007E-6</v>
      </c>
      <c r="DW168" s="267">
        <f t="shared" si="537"/>
        <v>7.0000000000000007E-6</v>
      </c>
      <c r="DX168" s="267">
        <f t="shared" si="537"/>
        <v>7.0000000000000007E-6</v>
      </c>
      <c r="DY168" s="267">
        <f t="shared" si="537"/>
        <v>7.0000000000000007E-6</v>
      </c>
      <c r="DZ168" s="267">
        <f t="shared" si="537"/>
        <v>7.0000000000000007E-6</v>
      </c>
      <c r="EA168" s="267">
        <f t="shared" si="537"/>
        <v>7.0000000000000007E-6</v>
      </c>
      <c r="EB168" s="267">
        <f t="shared" si="537"/>
        <v>7.0000000000000007E-6</v>
      </c>
      <c r="EC168" s="267">
        <f t="shared" si="537"/>
        <v>7.0000000000000007E-6</v>
      </c>
      <c r="ED168" s="267">
        <f t="shared" ref="ED168:FF168" si="538">$F$36/10000</f>
        <v>7.0000000000000007E-6</v>
      </c>
      <c r="EE168" s="267">
        <f t="shared" si="538"/>
        <v>7.0000000000000007E-6</v>
      </c>
      <c r="EF168" s="267">
        <f t="shared" si="538"/>
        <v>7.0000000000000007E-6</v>
      </c>
      <c r="EG168" s="267">
        <f t="shared" si="538"/>
        <v>7.0000000000000007E-6</v>
      </c>
      <c r="EH168" s="267">
        <f t="shared" si="538"/>
        <v>7.0000000000000007E-6</v>
      </c>
      <c r="EI168" s="267">
        <f t="shared" si="538"/>
        <v>7.0000000000000007E-6</v>
      </c>
      <c r="EJ168" s="267">
        <f t="shared" si="538"/>
        <v>7.0000000000000007E-6</v>
      </c>
      <c r="EK168" s="267">
        <f t="shared" si="538"/>
        <v>7.0000000000000007E-6</v>
      </c>
      <c r="EL168" s="267">
        <f t="shared" si="538"/>
        <v>7.0000000000000007E-6</v>
      </c>
      <c r="EM168" s="267">
        <f t="shared" si="538"/>
        <v>7.0000000000000007E-6</v>
      </c>
      <c r="EN168" s="267">
        <f t="shared" si="538"/>
        <v>7.0000000000000007E-6</v>
      </c>
      <c r="EO168" s="267">
        <f t="shared" si="538"/>
        <v>7.0000000000000007E-6</v>
      </c>
      <c r="EP168" s="267">
        <f t="shared" si="538"/>
        <v>7.0000000000000007E-6</v>
      </c>
      <c r="EQ168" s="267">
        <f t="shared" si="538"/>
        <v>7.0000000000000007E-6</v>
      </c>
      <c r="ER168" s="267">
        <f t="shared" si="538"/>
        <v>7.0000000000000007E-6</v>
      </c>
      <c r="ES168" s="267">
        <f t="shared" si="538"/>
        <v>7.0000000000000007E-6</v>
      </c>
      <c r="ET168" s="267">
        <f t="shared" si="538"/>
        <v>7.0000000000000007E-6</v>
      </c>
      <c r="EU168" s="267">
        <f t="shared" si="538"/>
        <v>7.0000000000000007E-6</v>
      </c>
      <c r="EV168" s="267">
        <f t="shared" si="538"/>
        <v>7.0000000000000007E-6</v>
      </c>
      <c r="EW168" s="267">
        <f t="shared" si="538"/>
        <v>7.0000000000000007E-6</v>
      </c>
      <c r="EX168" s="267">
        <f t="shared" si="538"/>
        <v>7.0000000000000007E-6</v>
      </c>
      <c r="EY168" s="267">
        <f t="shared" si="538"/>
        <v>7.0000000000000007E-6</v>
      </c>
      <c r="EZ168" s="267">
        <f t="shared" si="538"/>
        <v>7.0000000000000007E-6</v>
      </c>
      <c r="FA168" s="267">
        <f t="shared" si="538"/>
        <v>7.0000000000000007E-6</v>
      </c>
      <c r="FB168" s="267">
        <f t="shared" si="538"/>
        <v>7.0000000000000007E-6</v>
      </c>
      <c r="FC168" s="267">
        <f t="shared" si="538"/>
        <v>7.0000000000000007E-6</v>
      </c>
      <c r="FD168" s="267">
        <f t="shared" si="538"/>
        <v>7.0000000000000007E-6</v>
      </c>
      <c r="FE168" s="267">
        <f t="shared" si="538"/>
        <v>7.0000000000000007E-6</v>
      </c>
      <c r="FF168" s="267">
        <f t="shared" si="538"/>
        <v>7.0000000000000007E-6</v>
      </c>
      <c r="FG168" s="315"/>
      <c r="FH168" s="267">
        <f>AVERAGEIF($F$54:$FF$54,FH$54,$F168:$FF168)</f>
        <v>7.0000000000000007E-6</v>
      </c>
      <c r="FI168" s="267">
        <f t="shared" si="533"/>
        <v>7.0000000000000033E-6</v>
      </c>
      <c r="FJ168" s="267">
        <f t="shared" si="533"/>
        <v>7.0000000000000033E-6</v>
      </c>
      <c r="FK168" s="267">
        <f t="shared" si="533"/>
        <v>7.0000000000000033E-6</v>
      </c>
      <c r="FL168" s="267">
        <f t="shared" si="533"/>
        <v>7.0000000000000033E-6</v>
      </c>
      <c r="FM168" s="267">
        <f t="shared" si="533"/>
        <v>7.0000000000000033E-6</v>
      </c>
      <c r="FN168" s="267">
        <f t="shared" si="533"/>
        <v>7.0000000000000033E-6</v>
      </c>
      <c r="FO168" s="267">
        <f t="shared" si="533"/>
        <v>7.0000000000000033E-6</v>
      </c>
      <c r="FP168" s="267">
        <f t="shared" si="533"/>
        <v>7.0000000000000033E-6</v>
      </c>
      <c r="FQ168" s="267">
        <f t="shared" si="533"/>
        <v>7.0000000000000033E-6</v>
      </c>
      <c r="FR168" s="267">
        <f t="shared" si="533"/>
        <v>7.0000000000000033E-6</v>
      </c>
      <c r="FS168" s="267">
        <f t="shared" si="533"/>
        <v>7.0000000000000033E-6</v>
      </c>
      <c r="FT168" s="267">
        <f t="shared" si="533"/>
        <v>7.0000000000000033E-6</v>
      </c>
      <c r="FU168" s="267">
        <f t="shared" si="533"/>
        <v>7.0000000000000007E-6</v>
      </c>
      <c r="FV168" s="315"/>
    </row>
    <row r="169" spans="1:178" x14ac:dyDescent="0.2">
      <c r="B169" s="47"/>
      <c r="C169" s="79" t="s">
        <v>120</v>
      </c>
      <c r="D169" s="79"/>
      <c r="E169" s="79"/>
      <c r="F169" s="268">
        <f t="shared" ref="F169:AK169" si="539">IF($E$36="Floating",SUM(F167:F168),$F$36)</f>
        <v>7.0000000000000007E-2</v>
      </c>
      <c r="G169" s="269">
        <f t="shared" si="539"/>
        <v>7.0000000000000007E-2</v>
      </c>
      <c r="H169" s="269">
        <f t="shared" si="539"/>
        <v>7.0000000000000007E-2</v>
      </c>
      <c r="I169" s="269">
        <f t="shared" si="539"/>
        <v>7.0000000000000007E-2</v>
      </c>
      <c r="J169" s="269">
        <f t="shared" si="539"/>
        <v>7.0000000000000007E-2</v>
      </c>
      <c r="K169" s="269">
        <f t="shared" si="539"/>
        <v>7.0000000000000007E-2</v>
      </c>
      <c r="L169" s="269">
        <f t="shared" si="539"/>
        <v>7.0000000000000007E-2</v>
      </c>
      <c r="M169" s="269">
        <f t="shared" si="539"/>
        <v>7.0000000000000007E-2</v>
      </c>
      <c r="N169" s="269">
        <f t="shared" si="539"/>
        <v>7.0000000000000007E-2</v>
      </c>
      <c r="O169" s="269">
        <f t="shared" si="539"/>
        <v>7.0000000000000007E-2</v>
      </c>
      <c r="P169" s="269">
        <f t="shared" si="539"/>
        <v>7.0000000000000007E-2</v>
      </c>
      <c r="Q169" s="269">
        <f t="shared" si="539"/>
        <v>7.0000000000000007E-2</v>
      </c>
      <c r="R169" s="269">
        <f t="shared" si="539"/>
        <v>7.0000000000000007E-2</v>
      </c>
      <c r="S169" s="269">
        <f t="shared" si="539"/>
        <v>7.0000000000000007E-2</v>
      </c>
      <c r="T169" s="269">
        <f t="shared" si="539"/>
        <v>7.0000000000000007E-2</v>
      </c>
      <c r="U169" s="269">
        <f t="shared" si="539"/>
        <v>7.0000000000000007E-2</v>
      </c>
      <c r="V169" s="269">
        <f t="shared" si="539"/>
        <v>7.0000000000000007E-2</v>
      </c>
      <c r="W169" s="269">
        <f t="shared" si="539"/>
        <v>7.0000000000000007E-2</v>
      </c>
      <c r="X169" s="269">
        <f t="shared" si="539"/>
        <v>7.0000000000000007E-2</v>
      </c>
      <c r="Y169" s="269">
        <f t="shared" si="539"/>
        <v>7.0000000000000007E-2</v>
      </c>
      <c r="Z169" s="269">
        <f t="shared" si="539"/>
        <v>7.0000000000000007E-2</v>
      </c>
      <c r="AA169" s="269">
        <f t="shared" si="539"/>
        <v>7.0000000000000007E-2</v>
      </c>
      <c r="AB169" s="269">
        <f t="shared" si="539"/>
        <v>7.0000000000000007E-2</v>
      </c>
      <c r="AC169" s="269">
        <f t="shared" si="539"/>
        <v>7.0000000000000007E-2</v>
      </c>
      <c r="AD169" s="269">
        <f t="shared" si="539"/>
        <v>7.0000000000000007E-2</v>
      </c>
      <c r="AE169" s="269">
        <f t="shared" si="539"/>
        <v>7.0000000000000007E-2</v>
      </c>
      <c r="AF169" s="269">
        <f t="shared" si="539"/>
        <v>7.0000000000000007E-2</v>
      </c>
      <c r="AG169" s="269">
        <f t="shared" si="539"/>
        <v>7.0000000000000007E-2</v>
      </c>
      <c r="AH169" s="269">
        <f t="shared" si="539"/>
        <v>7.0000000000000007E-2</v>
      </c>
      <c r="AI169" s="269">
        <f t="shared" si="539"/>
        <v>7.0000000000000007E-2</v>
      </c>
      <c r="AJ169" s="269">
        <f t="shared" si="539"/>
        <v>7.0000000000000007E-2</v>
      </c>
      <c r="AK169" s="269">
        <f t="shared" si="539"/>
        <v>7.0000000000000007E-2</v>
      </c>
      <c r="AL169" s="269">
        <f t="shared" ref="AL169:BQ169" si="540">IF($E$36="Floating",SUM(AL167:AL168),$F$36)</f>
        <v>7.0000000000000007E-2</v>
      </c>
      <c r="AM169" s="269">
        <f t="shared" si="540"/>
        <v>7.0000000000000007E-2</v>
      </c>
      <c r="AN169" s="269">
        <f t="shared" si="540"/>
        <v>7.0000000000000007E-2</v>
      </c>
      <c r="AO169" s="269">
        <f t="shared" si="540"/>
        <v>7.0000000000000007E-2</v>
      </c>
      <c r="AP169" s="269">
        <f t="shared" si="540"/>
        <v>7.0000000000000007E-2</v>
      </c>
      <c r="AQ169" s="269">
        <f t="shared" si="540"/>
        <v>7.0000000000000007E-2</v>
      </c>
      <c r="AR169" s="269">
        <f t="shared" si="540"/>
        <v>7.0000000000000007E-2</v>
      </c>
      <c r="AS169" s="269">
        <f t="shared" si="540"/>
        <v>7.0000000000000007E-2</v>
      </c>
      <c r="AT169" s="269">
        <f t="shared" si="540"/>
        <v>7.0000000000000007E-2</v>
      </c>
      <c r="AU169" s="269">
        <f t="shared" si="540"/>
        <v>7.0000000000000007E-2</v>
      </c>
      <c r="AV169" s="269">
        <f t="shared" si="540"/>
        <v>7.0000000000000007E-2</v>
      </c>
      <c r="AW169" s="269">
        <f t="shared" si="540"/>
        <v>7.0000000000000007E-2</v>
      </c>
      <c r="AX169" s="269">
        <f t="shared" si="540"/>
        <v>7.0000000000000007E-2</v>
      </c>
      <c r="AY169" s="269">
        <f t="shared" si="540"/>
        <v>7.0000000000000007E-2</v>
      </c>
      <c r="AZ169" s="269">
        <f t="shared" si="540"/>
        <v>7.0000000000000007E-2</v>
      </c>
      <c r="BA169" s="269">
        <f t="shared" si="540"/>
        <v>7.0000000000000007E-2</v>
      </c>
      <c r="BB169" s="269">
        <f t="shared" si="540"/>
        <v>7.0000000000000007E-2</v>
      </c>
      <c r="BC169" s="269">
        <f t="shared" si="540"/>
        <v>7.0000000000000007E-2</v>
      </c>
      <c r="BD169" s="269">
        <f t="shared" si="540"/>
        <v>7.0000000000000007E-2</v>
      </c>
      <c r="BE169" s="269">
        <f t="shared" si="540"/>
        <v>7.0000000000000007E-2</v>
      </c>
      <c r="BF169" s="269">
        <f t="shared" si="540"/>
        <v>7.0000000000000007E-2</v>
      </c>
      <c r="BG169" s="269">
        <f t="shared" si="540"/>
        <v>7.0000000000000007E-2</v>
      </c>
      <c r="BH169" s="269">
        <f t="shared" si="540"/>
        <v>7.0000000000000007E-2</v>
      </c>
      <c r="BI169" s="269">
        <f t="shared" si="540"/>
        <v>7.0000000000000007E-2</v>
      </c>
      <c r="BJ169" s="269">
        <f t="shared" si="540"/>
        <v>7.0000000000000007E-2</v>
      </c>
      <c r="BK169" s="269">
        <f t="shared" si="540"/>
        <v>7.0000000000000007E-2</v>
      </c>
      <c r="BL169" s="269">
        <f t="shared" si="540"/>
        <v>7.0000000000000007E-2</v>
      </c>
      <c r="BM169" s="269">
        <f t="shared" si="540"/>
        <v>7.0000000000000007E-2</v>
      </c>
      <c r="BN169" s="269">
        <f t="shared" si="540"/>
        <v>7.0000000000000007E-2</v>
      </c>
      <c r="BO169" s="269">
        <f t="shared" si="540"/>
        <v>7.0000000000000007E-2</v>
      </c>
      <c r="BP169" s="269">
        <f t="shared" si="540"/>
        <v>7.0000000000000007E-2</v>
      </c>
      <c r="BQ169" s="269">
        <f t="shared" si="540"/>
        <v>7.0000000000000007E-2</v>
      </c>
      <c r="BR169" s="269">
        <f t="shared" ref="BR169:CW169" si="541">IF($E$36="Floating",SUM(BR167:BR168),$F$36)</f>
        <v>7.0000000000000007E-2</v>
      </c>
      <c r="BS169" s="269">
        <f t="shared" si="541"/>
        <v>7.0000000000000007E-2</v>
      </c>
      <c r="BT169" s="269">
        <f t="shared" si="541"/>
        <v>7.0000000000000007E-2</v>
      </c>
      <c r="BU169" s="269">
        <f t="shared" si="541"/>
        <v>7.0000000000000007E-2</v>
      </c>
      <c r="BV169" s="269">
        <f t="shared" si="541"/>
        <v>7.0000000000000007E-2</v>
      </c>
      <c r="BW169" s="269">
        <f t="shared" si="541"/>
        <v>7.0000000000000007E-2</v>
      </c>
      <c r="BX169" s="269">
        <f t="shared" si="541"/>
        <v>7.0000000000000007E-2</v>
      </c>
      <c r="BY169" s="269">
        <f t="shared" si="541"/>
        <v>7.0000000000000007E-2</v>
      </c>
      <c r="BZ169" s="269">
        <f t="shared" si="541"/>
        <v>7.0000000000000007E-2</v>
      </c>
      <c r="CA169" s="269">
        <f t="shared" si="541"/>
        <v>7.0000000000000007E-2</v>
      </c>
      <c r="CB169" s="269">
        <f t="shared" si="541"/>
        <v>7.0000000000000007E-2</v>
      </c>
      <c r="CC169" s="269">
        <f t="shared" si="541"/>
        <v>7.0000000000000007E-2</v>
      </c>
      <c r="CD169" s="269">
        <f t="shared" si="541"/>
        <v>7.0000000000000007E-2</v>
      </c>
      <c r="CE169" s="269">
        <f t="shared" si="541"/>
        <v>7.0000000000000007E-2</v>
      </c>
      <c r="CF169" s="269">
        <f t="shared" si="541"/>
        <v>7.0000000000000007E-2</v>
      </c>
      <c r="CG169" s="269">
        <f t="shared" si="541"/>
        <v>7.0000000000000007E-2</v>
      </c>
      <c r="CH169" s="269">
        <f t="shared" si="541"/>
        <v>7.0000000000000007E-2</v>
      </c>
      <c r="CI169" s="269">
        <f t="shared" si="541"/>
        <v>7.0000000000000007E-2</v>
      </c>
      <c r="CJ169" s="269">
        <f t="shared" si="541"/>
        <v>7.0000000000000007E-2</v>
      </c>
      <c r="CK169" s="269">
        <f t="shared" si="541"/>
        <v>7.0000000000000007E-2</v>
      </c>
      <c r="CL169" s="269">
        <f t="shared" si="541"/>
        <v>7.0000000000000007E-2</v>
      </c>
      <c r="CM169" s="269">
        <f t="shared" si="541"/>
        <v>7.0000000000000007E-2</v>
      </c>
      <c r="CN169" s="269">
        <f t="shared" si="541"/>
        <v>7.0000000000000007E-2</v>
      </c>
      <c r="CO169" s="269">
        <f t="shared" si="541"/>
        <v>7.0000000000000007E-2</v>
      </c>
      <c r="CP169" s="269">
        <f t="shared" si="541"/>
        <v>7.0000000000000007E-2</v>
      </c>
      <c r="CQ169" s="269">
        <f t="shared" si="541"/>
        <v>7.0000000000000007E-2</v>
      </c>
      <c r="CR169" s="269">
        <f t="shared" si="541"/>
        <v>7.0000000000000007E-2</v>
      </c>
      <c r="CS169" s="269">
        <f t="shared" si="541"/>
        <v>7.0000000000000007E-2</v>
      </c>
      <c r="CT169" s="269">
        <f t="shared" si="541"/>
        <v>7.0000000000000007E-2</v>
      </c>
      <c r="CU169" s="269">
        <f t="shared" si="541"/>
        <v>7.0000000000000007E-2</v>
      </c>
      <c r="CV169" s="269">
        <f t="shared" si="541"/>
        <v>7.0000000000000007E-2</v>
      </c>
      <c r="CW169" s="269">
        <f t="shared" si="541"/>
        <v>7.0000000000000007E-2</v>
      </c>
      <c r="CX169" s="269">
        <f t="shared" ref="CX169:EC169" si="542">IF($E$36="Floating",SUM(CX167:CX168),$F$36)</f>
        <v>7.0000000000000007E-2</v>
      </c>
      <c r="CY169" s="269">
        <f t="shared" si="542"/>
        <v>7.0000000000000007E-2</v>
      </c>
      <c r="CZ169" s="269">
        <f t="shared" si="542"/>
        <v>7.0000000000000007E-2</v>
      </c>
      <c r="DA169" s="269">
        <f t="shared" si="542"/>
        <v>7.0000000000000007E-2</v>
      </c>
      <c r="DB169" s="269">
        <f t="shared" si="542"/>
        <v>7.0000000000000007E-2</v>
      </c>
      <c r="DC169" s="269">
        <f t="shared" si="542"/>
        <v>7.0000000000000007E-2</v>
      </c>
      <c r="DD169" s="269">
        <f t="shared" si="542"/>
        <v>7.0000000000000007E-2</v>
      </c>
      <c r="DE169" s="269">
        <f t="shared" si="542"/>
        <v>7.0000000000000007E-2</v>
      </c>
      <c r="DF169" s="269">
        <f t="shared" si="542"/>
        <v>7.0000000000000007E-2</v>
      </c>
      <c r="DG169" s="269">
        <f t="shared" si="542"/>
        <v>7.0000000000000007E-2</v>
      </c>
      <c r="DH169" s="269">
        <f t="shared" si="542"/>
        <v>7.0000000000000007E-2</v>
      </c>
      <c r="DI169" s="269">
        <f t="shared" si="542"/>
        <v>7.0000000000000007E-2</v>
      </c>
      <c r="DJ169" s="269">
        <f t="shared" si="542"/>
        <v>7.0000000000000007E-2</v>
      </c>
      <c r="DK169" s="269">
        <f t="shared" si="542"/>
        <v>7.0000000000000007E-2</v>
      </c>
      <c r="DL169" s="269">
        <f t="shared" si="542"/>
        <v>7.0000000000000007E-2</v>
      </c>
      <c r="DM169" s="269">
        <f t="shared" si="542"/>
        <v>7.0000000000000007E-2</v>
      </c>
      <c r="DN169" s="269">
        <f t="shared" si="542"/>
        <v>7.0000000000000007E-2</v>
      </c>
      <c r="DO169" s="269">
        <f t="shared" si="542"/>
        <v>7.0000000000000007E-2</v>
      </c>
      <c r="DP169" s="269">
        <f t="shared" si="542"/>
        <v>7.0000000000000007E-2</v>
      </c>
      <c r="DQ169" s="269">
        <f t="shared" si="542"/>
        <v>7.0000000000000007E-2</v>
      </c>
      <c r="DR169" s="269">
        <f t="shared" si="542"/>
        <v>7.0000000000000007E-2</v>
      </c>
      <c r="DS169" s="269">
        <f t="shared" si="542"/>
        <v>7.0000000000000007E-2</v>
      </c>
      <c r="DT169" s="269">
        <f t="shared" si="542"/>
        <v>7.0000000000000007E-2</v>
      </c>
      <c r="DU169" s="269">
        <f t="shared" si="542"/>
        <v>7.0000000000000007E-2</v>
      </c>
      <c r="DV169" s="269">
        <f t="shared" si="542"/>
        <v>7.0000000000000007E-2</v>
      </c>
      <c r="DW169" s="269">
        <f t="shared" si="542"/>
        <v>7.0000000000000007E-2</v>
      </c>
      <c r="DX169" s="269">
        <f t="shared" si="542"/>
        <v>7.0000000000000007E-2</v>
      </c>
      <c r="DY169" s="269">
        <f t="shared" si="542"/>
        <v>7.0000000000000007E-2</v>
      </c>
      <c r="DZ169" s="269">
        <f t="shared" si="542"/>
        <v>7.0000000000000007E-2</v>
      </c>
      <c r="EA169" s="269">
        <f t="shared" si="542"/>
        <v>7.0000000000000007E-2</v>
      </c>
      <c r="EB169" s="269">
        <f t="shared" si="542"/>
        <v>7.0000000000000007E-2</v>
      </c>
      <c r="EC169" s="269">
        <f t="shared" si="542"/>
        <v>7.0000000000000007E-2</v>
      </c>
      <c r="ED169" s="269">
        <f t="shared" ref="ED169:FF169" si="543">IF($E$36="Floating",SUM(ED167:ED168),$F$36)</f>
        <v>7.0000000000000007E-2</v>
      </c>
      <c r="EE169" s="269">
        <f t="shared" si="543"/>
        <v>7.0000000000000007E-2</v>
      </c>
      <c r="EF169" s="269">
        <f t="shared" si="543"/>
        <v>7.0000000000000007E-2</v>
      </c>
      <c r="EG169" s="269">
        <f t="shared" si="543"/>
        <v>7.0000000000000007E-2</v>
      </c>
      <c r="EH169" s="269">
        <f t="shared" si="543"/>
        <v>7.0000000000000007E-2</v>
      </c>
      <c r="EI169" s="269">
        <f t="shared" si="543"/>
        <v>7.0000000000000007E-2</v>
      </c>
      <c r="EJ169" s="269">
        <f t="shared" si="543"/>
        <v>7.0000000000000007E-2</v>
      </c>
      <c r="EK169" s="269">
        <f t="shared" si="543"/>
        <v>7.0000000000000007E-2</v>
      </c>
      <c r="EL169" s="269">
        <f t="shared" si="543"/>
        <v>7.0000000000000007E-2</v>
      </c>
      <c r="EM169" s="269">
        <f t="shared" si="543"/>
        <v>7.0000000000000007E-2</v>
      </c>
      <c r="EN169" s="269">
        <f t="shared" si="543"/>
        <v>7.0000000000000007E-2</v>
      </c>
      <c r="EO169" s="269">
        <f t="shared" si="543"/>
        <v>7.0000000000000007E-2</v>
      </c>
      <c r="EP169" s="269">
        <f t="shared" si="543"/>
        <v>7.0000000000000007E-2</v>
      </c>
      <c r="EQ169" s="269">
        <f t="shared" si="543"/>
        <v>7.0000000000000007E-2</v>
      </c>
      <c r="ER169" s="269">
        <f t="shared" si="543"/>
        <v>7.0000000000000007E-2</v>
      </c>
      <c r="ES169" s="269">
        <f t="shared" si="543"/>
        <v>7.0000000000000007E-2</v>
      </c>
      <c r="ET169" s="269">
        <f t="shared" si="543"/>
        <v>7.0000000000000007E-2</v>
      </c>
      <c r="EU169" s="269">
        <f t="shared" si="543"/>
        <v>7.0000000000000007E-2</v>
      </c>
      <c r="EV169" s="269">
        <f t="shared" si="543"/>
        <v>7.0000000000000007E-2</v>
      </c>
      <c r="EW169" s="269">
        <f t="shared" si="543"/>
        <v>7.0000000000000007E-2</v>
      </c>
      <c r="EX169" s="269">
        <f t="shared" si="543"/>
        <v>7.0000000000000007E-2</v>
      </c>
      <c r="EY169" s="269">
        <f t="shared" si="543"/>
        <v>7.0000000000000007E-2</v>
      </c>
      <c r="EZ169" s="269">
        <f t="shared" si="543"/>
        <v>7.0000000000000007E-2</v>
      </c>
      <c r="FA169" s="269">
        <f t="shared" si="543"/>
        <v>7.0000000000000007E-2</v>
      </c>
      <c r="FB169" s="269">
        <f t="shared" si="543"/>
        <v>7.0000000000000007E-2</v>
      </c>
      <c r="FC169" s="269">
        <f t="shared" si="543"/>
        <v>7.0000000000000007E-2</v>
      </c>
      <c r="FD169" s="269">
        <f t="shared" si="543"/>
        <v>7.0000000000000007E-2</v>
      </c>
      <c r="FE169" s="269">
        <f t="shared" si="543"/>
        <v>7.0000000000000007E-2</v>
      </c>
      <c r="FF169" s="269">
        <f t="shared" si="543"/>
        <v>7.0000000000000007E-2</v>
      </c>
      <c r="FG169" s="330"/>
      <c r="FH169" s="269">
        <f>AVERAGEIF($F$54:$FF$54,FH$54,$F169:$FF169)</f>
        <v>7.0000000000000007E-2</v>
      </c>
      <c r="FI169" s="269">
        <f t="shared" si="533"/>
        <v>7.0000000000000021E-2</v>
      </c>
      <c r="FJ169" s="269">
        <f t="shared" si="533"/>
        <v>7.0000000000000021E-2</v>
      </c>
      <c r="FK169" s="269">
        <f t="shared" si="533"/>
        <v>7.0000000000000021E-2</v>
      </c>
      <c r="FL169" s="269">
        <f t="shared" si="533"/>
        <v>7.0000000000000021E-2</v>
      </c>
      <c r="FM169" s="269">
        <f t="shared" si="533"/>
        <v>7.0000000000000021E-2</v>
      </c>
      <c r="FN169" s="269">
        <f t="shared" si="533"/>
        <v>7.0000000000000021E-2</v>
      </c>
      <c r="FO169" s="269">
        <f t="shared" si="533"/>
        <v>7.0000000000000021E-2</v>
      </c>
      <c r="FP169" s="269">
        <f t="shared" si="533"/>
        <v>7.0000000000000021E-2</v>
      </c>
      <c r="FQ169" s="269">
        <f t="shared" si="533"/>
        <v>7.0000000000000021E-2</v>
      </c>
      <c r="FR169" s="269">
        <f t="shared" si="533"/>
        <v>7.0000000000000021E-2</v>
      </c>
      <c r="FS169" s="269">
        <f t="shared" si="533"/>
        <v>7.0000000000000021E-2</v>
      </c>
      <c r="FT169" s="269">
        <f t="shared" si="533"/>
        <v>7.0000000000000021E-2</v>
      </c>
      <c r="FU169" s="269">
        <f t="shared" si="533"/>
        <v>7.0000000000000007E-2</v>
      </c>
      <c r="FV169" s="330"/>
    </row>
    <row r="170" spans="1:178" x14ac:dyDescent="0.2">
      <c r="B170" s="47"/>
      <c r="F170" s="255"/>
    </row>
    <row r="171" spans="1:178" x14ac:dyDescent="0.2">
      <c r="B171" s="47"/>
      <c r="C171" s="47" t="s">
        <v>188</v>
      </c>
      <c r="F171" s="255"/>
    </row>
    <row r="172" spans="1:178" x14ac:dyDescent="0.2">
      <c r="B172" s="47"/>
      <c r="C172" s="39" t="s">
        <v>128</v>
      </c>
      <c r="F172" s="261">
        <v>0</v>
      </c>
      <c r="G172" s="163">
        <f>F178</f>
        <v>6266071.4285714282</v>
      </c>
      <c r="H172" s="163">
        <f>G178</f>
        <v>6260935.1823407663</v>
      </c>
      <c r="I172" s="163">
        <f t="shared" ref="I172:BT172" si="544">H178</f>
        <v>6255768.9746737583</v>
      </c>
      <c r="J172" s="163">
        <f>I178</f>
        <v>6250572.6307953596</v>
      </c>
      <c r="K172" s="163">
        <f t="shared" si="544"/>
        <v>6245345.9749110034</v>
      </c>
      <c r="L172" s="163">
        <f t="shared" si="544"/>
        <v>6240088.8302006554</v>
      </c>
      <c r="M172" s="163">
        <f t="shared" si="544"/>
        <v>6234801.0188128306</v>
      </c>
      <c r="N172" s="163">
        <f t="shared" si="544"/>
        <v>6229482.3618585765</v>
      </c>
      <c r="O172" s="163">
        <f t="shared" si="544"/>
        <v>6224132.6794054229</v>
      </c>
      <c r="P172" s="163">
        <f t="shared" si="544"/>
        <v>6218751.7904712921</v>
      </c>
      <c r="Q172" s="163">
        <f t="shared" si="544"/>
        <v>6213339.513018379</v>
      </c>
      <c r="R172" s="163">
        <f t="shared" si="544"/>
        <v>6207895.6639469909</v>
      </c>
      <c r="S172" s="163">
        <f t="shared" si="544"/>
        <v>6202420.0590893524</v>
      </c>
      <c r="T172" s="163">
        <f t="shared" si="544"/>
        <v>6196912.5132033778</v>
      </c>
      <c r="U172" s="163">
        <f t="shared" si="544"/>
        <v>6191372.8399664024</v>
      </c>
      <c r="V172" s="163">
        <f>U178</f>
        <v>6185800.851968877</v>
      </c>
      <c r="W172" s="163">
        <f t="shared" si="544"/>
        <v>6180196.3607080337</v>
      </c>
      <c r="X172" s="163">
        <f t="shared" si="544"/>
        <v>6174559.176581502</v>
      </c>
      <c r="Y172" s="163">
        <f t="shared" si="544"/>
        <v>6168889.1088808989</v>
      </c>
      <c r="Z172" s="163">
        <f t="shared" si="544"/>
        <v>6163185.9657853749</v>
      </c>
      <c r="AA172" s="163">
        <f t="shared" si="544"/>
        <v>6157449.5543551277</v>
      </c>
      <c r="AB172" s="163">
        <f t="shared" si="544"/>
        <v>6151679.6805248708</v>
      </c>
      <c r="AC172" s="163">
        <f t="shared" si="544"/>
        <v>6145876.1490972703</v>
      </c>
      <c r="AD172" s="163">
        <f t="shared" si="544"/>
        <v>6140038.7637363421</v>
      </c>
      <c r="AE172" s="163">
        <f t="shared" si="544"/>
        <v>6134167.3269608086</v>
      </c>
      <c r="AF172" s="163">
        <f t="shared" si="544"/>
        <v>6128261.6401374182</v>
      </c>
      <c r="AG172" s="163">
        <f t="shared" si="544"/>
        <v>6122321.5034742244</v>
      </c>
      <c r="AH172" s="163">
        <f t="shared" si="544"/>
        <v>6116346.7160138283</v>
      </c>
      <c r="AI172" s="163">
        <f t="shared" si="544"/>
        <v>6110337.07562658</v>
      </c>
      <c r="AJ172" s="163">
        <f t="shared" si="544"/>
        <v>6104292.3790037399</v>
      </c>
      <c r="AK172" s="163">
        <f t="shared" si="544"/>
        <v>6098212.4216505997</v>
      </c>
      <c r="AL172" s="163">
        <f t="shared" si="544"/>
        <v>6092096.9978795657</v>
      </c>
      <c r="AM172" s="163">
        <f t="shared" si="544"/>
        <v>6085945.9008032009</v>
      </c>
      <c r="AN172" s="163">
        <f t="shared" si="544"/>
        <v>6079758.9223272242</v>
      </c>
      <c r="AO172" s="163">
        <f t="shared" si="544"/>
        <v>6073535.8531434704</v>
      </c>
      <c r="AP172" s="163">
        <f t="shared" si="544"/>
        <v>6067276.4827228114</v>
      </c>
      <c r="AQ172" s="163">
        <f t="shared" si="544"/>
        <v>0</v>
      </c>
      <c r="AR172" s="163">
        <f t="shared" si="544"/>
        <v>0</v>
      </c>
      <c r="AS172" s="163">
        <f t="shared" si="544"/>
        <v>0</v>
      </c>
      <c r="AT172" s="163">
        <f t="shared" si="544"/>
        <v>0</v>
      </c>
      <c r="AU172" s="163">
        <f t="shared" si="544"/>
        <v>0</v>
      </c>
      <c r="AV172" s="163">
        <f t="shared" si="544"/>
        <v>0</v>
      </c>
      <c r="AW172" s="163">
        <f t="shared" si="544"/>
        <v>0</v>
      </c>
      <c r="AX172" s="163">
        <f t="shared" si="544"/>
        <v>0</v>
      </c>
      <c r="AY172" s="163">
        <f t="shared" si="544"/>
        <v>0</v>
      </c>
      <c r="AZ172" s="163">
        <f t="shared" si="544"/>
        <v>0</v>
      </c>
      <c r="BA172" s="163">
        <f t="shared" si="544"/>
        <v>0</v>
      </c>
      <c r="BB172" s="163">
        <f t="shared" si="544"/>
        <v>0</v>
      </c>
      <c r="BC172" s="163">
        <f t="shared" si="544"/>
        <v>0</v>
      </c>
      <c r="BD172" s="163">
        <f t="shared" si="544"/>
        <v>0</v>
      </c>
      <c r="BE172" s="163">
        <f t="shared" si="544"/>
        <v>0</v>
      </c>
      <c r="BF172" s="163">
        <f t="shared" si="544"/>
        <v>0</v>
      </c>
      <c r="BG172" s="163">
        <f t="shared" si="544"/>
        <v>0</v>
      </c>
      <c r="BH172" s="163">
        <f t="shared" si="544"/>
        <v>0</v>
      </c>
      <c r="BI172" s="163">
        <f t="shared" si="544"/>
        <v>0</v>
      </c>
      <c r="BJ172" s="163">
        <f t="shared" si="544"/>
        <v>0</v>
      </c>
      <c r="BK172" s="163">
        <f t="shared" si="544"/>
        <v>0</v>
      </c>
      <c r="BL172" s="163">
        <f t="shared" si="544"/>
        <v>0</v>
      </c>
      <c r="BM172" s="163">
        <f t="shared" si="544"/>
        <v>0</v>
      </c>
      <c r="BN172" s="163">
        <f t="shared" si="544"/>
        <v>0</v>
      </c>
      <c r="BO172" s="163">
        <f t="shared" si="544"/>
        <v>0</v>
      </c>
      <c r="BP172" s="163">
        <f t="shared" si="544"/>
        <v>0</v>
      </c>
      <c r="BQ172" s="163">
        <f t="shared" si="544"/>
        <v>0</v>
      </c>
      <c r="BR172" s="163">
        <f t="shared" si="544"/>
        <v>0</v>
      </c>
      <c r="BS172" s="163">
        <f t="shared" si="544"/>
        <v>0</v>
      </c>
      <c r="BT172" s="163">
        <f t="shared" si="544"/>
        <v>0</v>
      </c>
      <c r="BU172" s="163">
        <f t="shared" ref="BU172:EF172" si="545">BT178</f>
        <v>0</v>
      </c>
      <c r="BV172" s="163">
        <f t="shared" si="545"/>
        <v>0</v>
      </c>
      <c r="BW172" s="163">
        <f t="shared" si="545"/>
        <v>0</v>
      </c>
      <c r="BX172" s="163">
        <f t="shared" si="545"/>
        <v>0</v>
      </c>
      <c r="BY172" s="163">
        <f t="shared" si="545"/>
        <v>0</v>
      </c>
      <c r="BZ172" s="163">
        <f t="shared" si="545"/>
        <v>0</v>
      </c>
      <c r="CA172" s="163">
        <f t="shared" si="545"/>
        <v>0</v>
      </c>
      <c r="CB172" s="163">
        <f t="shared" si="545"/>
        <v>0</v>
      </c>
      <c r="CC172" s="163">
        <f t="shared" si="545"/>
        <v>0</v>
      </c>
      <c r="CD172" s="163">
        <f t="shared" si="545"/>
        <v>0</v>
      </c>
      <c r="CE172" s="163">
        <f t="shared" si="545"/>
        <v>0</v>
      </c>
      <c r="CF172" s="163">
        <f t="shared" si="545"/>
        <v>0</v>
      </c>
      <c r="CG172" s="163">
        <f t="shared" si="545"/>
        <v>0</v>
      </c>
      <c r="CH172" s="163">
        <f t="shared" si="545"/>
        <v>0</v>
      </c>
      <c r="CI172" s="163">
        <f t="shared" si="545"/>
        <v>0</v>
      </c>
      <c r="CJ172" s="163">
        <f t="shared" si="545"/>
        <v>0</v>
      </c>
      <c r="CK172" s="163">
        <f t="shared" si="545"/>
        <v>0</v>
      </c>
      <c r="CL172" s="163">
        <f t="shared" si="545"/>
        <v>0</v>
      </c>
      <c r="CM172" s="163">
        <f t="shared" si="545"/>
        <v>0</v>
      </c>
      <c r="CN172" s="163">
        <f t="shared" si="545"/>
        <v>0</v>
      </c>
      <c r="CO172" s="163">
        <f t="shared" si="545"/>
        <v>0</v>
      </c>
      <c r="CP172" s="163">
        <f t="shared" si="545"/>
        <v>0</v>
      </c>
      <c r="CQ172" s="163">
        <f t="shared" si="545"/>
        <v>0</v>
      </c>
      <c r="CR172" s="163">
        <f t="shared" si="545"/>
        <v>0</v>
      </c>
      <c r="CS172" s="163">
        <f t="shared" si="545"/>
        <v>0</v>
      </c>
      <c r="CT172" s="163">
        <f t="shared" si="545"/>
        <v>0</v>
      </c>
      <c r="CU172" s="163">
        <f t="shared" si="545"/>
        <v>0</v>
      </c>
      <c r="CV172" s="163">
        <f t="shared" si="545"/>
        <v>0</v>
      </c>
      <c r="CW172" s="163">
        <f t="shared" si="545"/>
        <v>0</v>
      </c>
      <c r="CX172" s="163">
        <f t="shared" si="545"/>
        <v>0</v>
      </c>
      <c r="CY172" s="163">
        <f t="shared" si="545"/>
        <v>0</v>
      </c>
      <c r="CZ172" s="163">
        <f t="shared" si="545"/>
        <v>0</v>
      </c>
      <c r="DA172" s="163">
        <f t="shared" si="545"/>
        <v>0</v>
      </c>
      <c r="DB172" s="163">
        <f t="shared" si="545"/>
        <v>0</v>
      </c>
      <c r="DC172" s="163">
        <f t="shared" si="545"/>
        <v>0</v>
      </c>
      <c r="DD172" s="163">
        <f t="shared" si="545"/>
        <v>0</v>
      </c>
      <c r="DE172" s="163">
        <f t="shared" si="545"/>
        <v>0</v>
      </c>
      <c r="DF172" s="163">
        <f t="shared" si="545"/>
        <v>0</v>
      </c>
      <c r="DG172" s="163">
        <f t="shared" si="545"/>
        <v>0</v>
      </c>
      <c r="DH172" s="163">
        <f t="shared" si="545"/>
        <v>0</v>
      </c>
      <c r="DI172" s="163">
        <f t="shared" si="545"/>
        <v>0</v>
      </c>
      <c r="DJ172" s="163">
        <f t="shared" si="545"/>
        <v>0</v>
      </c>
      <c r="DK172" s="163">
        <f t="shared" si="545"/>
        <v>0</v>
      </c>
      <c r="DL172" s="163">
        <f t="shared" si="545"/>
        <v>0</v>
      </c>
      <c r="DM172" s="163">
        <f t="shared" si="545"/>
        <v>0</v>
      </c>
      <c r="DN172" s="163">
        <f t="shared" si="545"/>
        <v>0</v>
      </c>
      <c r="DO172" s="163">
        <f t="shared" si="545"/>
        <v>0</v>
      </c>
      <c r="DP172" s="163">
        <f t="shared" si="545"/>
        <v>0</v>
      </c>
      <c r="DQ172" s="163">
        <f t="shared" si="545"/>
        <v>0</v>
      </c>
      <c r="DR172" s="163">
        <f t="shared" si="545"/>
        <v>0</v>
      </c>
      <c r="DS172" s="163">
        <f t="shared" si="545"/>
        <v>0</v>
      </c>
      <c r="DT172" s="163">
        <f t="shared" si="545"/>
        <v>0</v>
      </c>
      <c r="DU172" s="163">
        <f t="shared" si="545"/>
        <v>0</v>
      </c>
      <c r="DV172" s="163">
        <f t="shared" si="545"/>
        <v>0</v>
      </c>
      <c r="DW172" s="163">
        <f t="shared" si="545"/>
        <v>0</v>
      </c>
      <c r="DX172" s="163">
        <f t="shared" si="545"/>
        <v>0</v>
      </c>
      <c r="DY172" s="163">
        <f t="shared" si="545"/>
        <v>0</v>
      </c>
      <c r="DZ172" s="163">
        <f t="shared" si="545"/>
        <v>0</v>
      </c>
      <c r="EA172" s="163">
        <f t="shared" si="545"/>
        <v>0</v>
      </c>
      <c r="EB172" s="163">
        <f t="shared" si="545"/>
        <v>0</v>
      </c>
      <c r="EC172" s="163">
        <f t="shared" si="545"/>
        <v>0</v>
      </c>
      <c r="ED172" s="163">
        <f t="shared" si="545"/>
        <v>0</v>
      </c>
      <c r="EE172" s="163">
        <f t="shared" si="545"/>
        <v>0</v>
      </c>
      <c r="EF172" s="163">
        <f t="shared" si="545"/>
        <v>0</v>
      </c>
      <c r="EG172" s="163">
        <f t="shared" ref="EG172:FF172" si="546">EF178</f>
        <v>0</v>
      </c>
      <c r="EH172" s="163">
        <f t="shared" si="546"/>
        <v>0</v>
      </c>
      <c r="EI172" s="163">
        <f t="shared" si="546"/>
        <v>0</v>
      </c>
      <c r="EJ172" s="163">
        <f t="shared" si="546"/>
        <v>0</v>
      </c>
      <c r="EK172" s="163">
        <f t="shared" si="546"/>
        <v>0</v>
      </c>
      <c r="EL172" s="163">
        <f t="shared" si="546"/>
        <v>0</v>
      </c>
      <c r="EM172" s="163">
        <f t="shared" si="546"/>
        <v>0</v>
      </c>
      <c r="EN172" s="163">
        <f t="shared" si="546"/>
        <v>0</v>
      </c>
      <c r="EO172" s="163">
        <f t="shared" si="546"/>
        <v>0</v>
      </c>
      <c r="EP172" s="163">
        <f t="shared" si="546"/>
        <v>0</v>
      </c>
      <c r="EQ172" s="163">
        <f t="shared" si="546"/>
        <v>0</v>
      </c>
      <c r="ER172" s="163">
        <f t="shared" si="546"/>
        <v>0</v>
      </c>
      <c r="ES172" s="163">
        <f t="shared" si="546"/>
        <v>0</v>
      </c>
      <c r="ET172" s="163">
        <f t="shared" si="546"/>
        <v>0</v>
      </c>
      <c r="EU172" s="163">
        <f t="shared" si="546"/>
        <v>0</v>
      </c>
      <c r="EV172" s="163">
        <f t="shared" si="546"/>
        <v>0</v>
      </c>
      <c r="EW172" s="163">
        <f t="shared" si="546"/>
        <v>0</v>
      </c>
      <c r="EX172" s="163">
        <f t="shared" si="546"/>
        <v>0</v>
      </c>
      <c r="EY172" s="163">
        <f t="shared" si="546"/>
        <v>0</v>
      </c>
      <c r="EZ172" s="163">
        <f t="shared" si="546"/>
        <v>0</v>
      </c>
      <c r="FA172" s="163">
        <f t="shared" si="546"/>
        <v>0</v>
      </c>
      <c r="FB172" s="163">
        <f t="shared" si="546"/>
        <v>0</v>
      </c>
      <c r="FC172" s="163">
        <f t="shared" si="546"/>
        <v>0</v>
      </c>
      <c r="FD172" s="163">
        <f t="shared" si="546"/>
        <v>0</v>
      </c>
      <c r="FE172" s="163">
        <f t="shared" si="546"/>
        <v>0</v>
      </c>
      <c r="FF172" s="163">
        <f t="shared" si="546"/>
        <v>0</v>
      </c>
      <c r="FG172" s="314"/>
      <c r="FH172" s="163">
        <f t="shared" ref="FH172" si="547">EZ178</f>
        <v>0</v>
      </c>
      <c r="FI172" s="163">
        <f>FH178</f>
        <v>6234801.0188128306</v>
      </c>
      <c r="FJ172" s="163">
        <f t="shared" ref="FJ172:FU172" si="548">FI178</f>
        <v>6168889.108880898</v>
      </c>
      <c r="FK172" s="163">
        <f t="shared" si="548"/>
        <v>6098212.4216505969</v>
      </c>
      <c r="FL172" s="163">
        <f t="shared" si="548"/>
        <v>0</v>
      </c>
      <c r="FM172" s="163">
        <f t="shared" si="548"/>
        <v>0</v>
      </c>
      <c r="FN172" s="163">
        <f t="shared" si="548"/>
        <v>0</v>
      </c>
      <c r="FO172" s="163">
        <f t="shared" si="548"/>
        <v>0</v>
      </c>
      <c r="FP172" s="163">
        <f t="shared" si="548"/>
        <v>0</v>
      </c>
      <c r="FQ172" s="163">
        <f t="shared" si="548"/>
        <v>0</v>
      </c>
      <c r="FR172" s="163">
        <f t="shared" si="548"/>
        <v>0</v>
      </c>
      <c r="FS172" s="163">
        <f t="shared" si="548"/>
        <v>0</v>
      </c>
      <c r="FT172" s="163">
        <f t="shared" si="548"/>
        <v>0</v>
      </c>
      <c r="FU172" s="163">
        <f t="shared" si="548"/>
        <v>0</v>
      </c>
      <c r="FV172" s="314"/>
    </row>
    <row r="173" spans="1:178" x14ac:dyDescent="0.2">
      <c r="B173" s="47"/>
      <c r="C173" s="39" t="s">
        <v>127</v>
      </c>
      <c r="E173" s="163">
        <f t="shared" ref="E173:E177" si="549">SUM(F173:FF173)</f>
        <v>6266071.4285714282</v>
      </c>
      <c r="F173" s="261">
        <f t="shared" ref="F173:AK173" si="550">IF(F53=0,$F$34,0)</f>
        <v>6266071.4285714282</v>
      </c>
      <c r="G173" s="163">
        <f t="shared" si="550"/>
        <v>0</v>
      </c>
      <c r="H173" s="163">
        <f t="shared" si="550"/>
        <v>0</v>
      </c>
      <c r="I173" s="163">
        <f t="shared" si="550"/>
        <v>0</v>
      </c>
      <c r="J173" s="163">
        <f t="shared" si="550"/>
        <v>0</v>
      </c>
      <c r="K173" s="163">
        <f t="shared" si="550"/>
        <v>0</v>
      </c>
      <c r="L173" s="163">
        <f t="shared" si="550"/>
        <v>0</v>
      </c>
      <c r="M173" s="163">
        <f t="shared" si="550"/>
        <v>0</v>
      </c>
      <c r="N173" s="163">
        <f t="shared" si="550"/>
        <v>0</v>
      </c>
      <c r="O173" s="163">
        <f t="shared" si="550"/>
        <v>0</v>
      </c>
      <c r="P173" s="163">
        <f t="shared" si="550"/>
        <v>0</v>
      </c>
      <c r="Q173" s="163">
        <f t="shared" si="550"/>
        <v>0</v>
      </c>
      <c r="R173" s="163">
        <f t="shared" si="550"/>
        <v>0</v>
      </c>
      <c r="S173" s="163">
        <f t="shared" si="550"/>
        <v>0</v>
      </c>
      <c r="T173" s="163">
        <f t="shared" si="550"/>
        <v>0</v>
      </c>
      <c r="U173" s="163">
        <f t="shared" si="550"/>
        <v>0</v>
      </c>
      <c r="V173" s="163">
        <f t="shared" si="550"/>
        <v>0</v>
      </c>
      <c r="W173" s="163">
        <f t="shared" si="550"/>
        <v>0</v>
      </c>
      <c r="X173" s="163">
        <f t="shared" si="550"/>
        <v>0</v>
      </c>
      <c r="Y173" s="163">
        <f t="shared" si="550"/>
        <v>0</v>
      </c>
      <c r="Z173" s="163">
        <f t="shared" si="550"/>
        <v>0</v>
      </c>
      <c r="AA173" s="163">
        <f t="shared" si="550"/>
        <v>0</v>
      </c>
      <c r="AB173" s="163">
        <f t="shared" si="550"/>
        <v>0</v>
      </c>
      <c r="AC173" s="163">
        <f t="shared" si="550"/>
        <v>0</v>
      </c>
      <c r="AD173" s="163">
        <f t="shared" si="550"/>
        <v>0</v>
      </c>
      <c r="AE173" s="163">
        <f t="shared" si="550"/>
        <v>0</v>
      </c>
      <c r="AF173" s="163">
        <f t="shared" si="550"/>
        <v>0</v>
      </c>
      <c r="AG173" s="163">
        <f t="shared" si="550"/>
        <v>0</v>
      </c>
      <c r="AH173" s="163">
        <f t="shared" si="550"/>
        <v>0</v>
      </c>
      <c r="AI173" s="163">
        <f t="shared" si="550"/>
        <v>0</v>
      </c>
      <c r="AJ173" s="163">
        <f t="shared" si="550"/>
        <v>0</v>
      </c>
      <c r="AK173" s="163">
        <f t="shared" si="550"/>
        <v>0</v>
      </c>
      <c r="AL173" s="163">
        <f t="shared" ref="AL173:BQ173" si="551">IF(AL53=0,$F$34,0)</f>
        <v>0</v>
      </c>
      <c r="AM173" s="163">
        <f t="shared" si="551"/>
        <v>0</v>
      </c>
      <c r="AN173" s="163">
        <f t="shared" si="551"/>
        <v>0</v>
      </c>
      <c r="AO173" s="163">
        <f t="shared" si="551"/>
        <v>0</v>
      </c>
      <c r="AP173" s="163">
        <f t="shared" si="551"/>
        <v>0</v>
      </c>
      <c r="AQ173" s="163">
        <f t="shared" si="551"/>
        <v>0</v>
      </c>
      <c r="AR173" s="163">
        <f t="shared" si="551"/>
        <v>0</v>
      </c>
      <c r="AS173" s="163">
        <f t="shared" si="551"/>
        <v>0</v>
      </c>
      <c r="AT173" s="163">
        <f t="shared" si="551"/>
        <v>0</v>
      </c>
      <c r="AU173" s="163">
        <f t="shared" si="551"/>
        <v>0</v>
      </c>
      <c r="AV173" s="163">
        <f t="shared" si="551"/>
        <v>0</v>
      </c>
      <c r="AW173" s="163">
        <f t="shared" si="551"/>
        <v>0</v>
      </c>
      <c r="AX173" s="163">
        <f t="shared" si="551"/>
        <v>0</v>
      </c>
      <c r="AY173" s="163">
        <f t="shared" si="551"/>
        <v>0</v>
      </c>
      <c r="AZ173" s="163">
        <f t="shared" si="551"/>
        <v>0</v>
      </c>
      <c r="BA173" s="163">
        <f t="shared" si="551"/>
        <v>0</v>
      </c>
      <c r="BB173" s="163">
        <f t="shared" si="551"/>
        <v>0</v>
      </c>
      <c r="BC173" s="163">
        <f t="shared" si="551"/>
        <v>0</v>
      </c>
      <c r="BD173" s="163">
        <f t="shared" si="551"/>
        <v>0</v>
      </c>
      <c r="BE173" s="163">
        <f t="shared" si="551"/>
        <v>0</v>
      </c>
      <c r="BF173" s="163">
        <f t="shared" si="551"/>
        <v>0</v>
      </c>
      <c r="BG173" s="163">
        <f t="shared" si="551"/>
        <v>0</v>
      </c>
      <c r="BH173" s="163">
        <f t="shared" si="551"/>
        <v>0</v>
      </c>
      <c r="BI173" s="163">
        <f t="shared" si="551"/>
        <v>0</v>
      </c>
      <c r="BJ173" s="163">
        <f t="shared" si="551"/>
        <v>0</v>
      </c>
      <c r="BK173" s="163">
        <f t="shared" si="551"/>
        <v>0</v>
      </c>
      <c r="BL173" s="163">
        <f t="shared" si="551"/>
        <v>0</v>
      </c>
      <c r="BM173" s="163">
        <f t="shared" si="551"/>
        <v>0</v>
      </c>
      <c r="BN173" s="163">
        <f t="shared" si="551"/>
        <v>0</v>
      </c>
      <c r="BO173" s="163">
        <f t="shared" si="551"/>
        <v>0</v>
      </c>
      <c r="BP173" s="163">
        <f t="shared" si="551"/>
        <v>0</v>
      </c>
      <c r="BQ173" s="163">
        <f t="shared" si="551"/>
        <v>0</v>
      </c>
      <c r="BR173" s="163">
        <f t="shared" ref="BR173:CW173" si="552">IF(BR53=0,$F$34,0)</f>
        <v>0</v>
      </c>
      <c r="BS173" s="163">
        <f t="shared" si="552"/>
        <v>0</v>
      </c>
      <c r="BT173" s="163">
        <f t="shared" si="552"/>
        <v>0</v>
      </c>
      <c r="BU173" s="163">
        <f t="shared" si="552"/>
        <v>0</v>
      </c>
      <c r="BV173" s="163">
        <f t="shared" si="552"/>
        <v>0</v>
      </c>
      <c r="BW173" s="163">
        <f t="shared" si="552"/>
        <v>0</v>
      </c>
      <c r="BX173" s="163">
        <f t="shared" si="552"/>
        <v>0</v>
      </c>
      <c r="BY173" s="163">
        <f t="shared" si="552"/>
        <v>0</v>
      </c>
      <c r="BZ173" s="163">
        <f t="shared" si="552"/>
        <v>0</v>
      </c>
      <c r="CA173" s="163">
        <f t="shared" si="552"/>
        <v>0</v>
      </c>
      <c r="CB173" s="163">
        <f t="shared" si="552"/>
        <v>0</v>
      </c>
      <c r="CC173" s="163">
        <f t="shared" si="552"/>
        <v>0</v>
      </c>
      <c r="CD173" s="163">
        <f t="shared" si="552"/>
        <v>0</v>
      </c>
      <c r="CE173" s="163">
        <f t="shared" si="552"/>
        <v>0</v>
      </c>
      <c r="CF173" s="163">
        <f t="shared" si="552"/>
        <v>0</v>
      </c>
      <c r="CG173" s="163">
        <f t="shared" si="552"/>
        <v>0</v>
      </c>
      <c r="CH173" s="163">
        <f t="shared" si="552"/>
        <v>0</v>
      </c>
      <c r="CI173" s="163">
        <f t="shared" si="552"/>
        <v>0</v>
      </c>
      <c r="CJ173" s="163">
        <f t="shared" si="552"/>
        <v>0</v>
      </c>
      <c r="CK173" s="163">
        <f t="shared" si="552"/>
        <v>0</v>
      </c>
      <c r="CL173" s="163">
        <f t="shared" si="552"/>
        <v>0</v>
      </c>
      <c r="CM173" s="163">
        <f t="shared" si="552"/>
        <v>0</v>
      </c>
      <c r="CN173" s="163">
        <f t="shared" si="552"/>
        <v>0</v>
      </c>
      <c r="CO173" s="163">
        <f t="shared" si="552"/>
        <v>0</v>
      </c>
      <c r="CP173" s="163">
        <f t="shared" si="552"/>
        <v>0</v>
      </c>
      <c r="CQ173" s="163">
        <f t="shared" si="552"/>
        <v>0</v>
      </c>
      <c r="CR173" s="163">
        <f t="shared" si="552"/>
        <v>0</v>
      </c>
      <c r="CS173" s="163">
        <f t="shared" si="552"/>
        <v>0</v>
      </c>
      <c r="CT173" s="163">
        <f t="shared" si="552"/>
        <v>0</v>
      </c>
      <c r="CU173" s="163">
        <f t="shared" si="552"/>
        <v>0</v>
      </c>
      <c r="CV173" s="163">
        <f t="shared" si="552"/>
        <v>0</v>
      </c>
      <c r="CW173" s="163">
        <f t="shared" si="552"/>
        <v>0</v>
      </c>
      <c r="CX173" s="163">
        <f t="shared" ref="CX173:EC173" si="553">IF(CX53=0,$F$34,0)</f>
        <v>0</v>
      </c>
      <c r="CY173" s="163">
        <f t="shared" si="553"/>
        <v>0</v>
      </c>
      <c r="CZ173" s="163">
        <f t="shared" si="553"/>
        <v>0</v>
      </c>
      <c r="DA173" s="163">
        <f t="shared" si="553"/>
        <v>0</v>
      </c>
      <c r="DB173" s="163">
        <f t="shared" si="553"/>
        <v>0</v>
      </c>
      <c r="DC173" s="163">
        <f t="shared" si="553"/>
        <v>0</v>
      </c>
      <c r="DD173" s="163">
        <f t="shared" si="553"/>
        <v>0</v>
      </c>
      <c r="DE173" s="163">
        <f t="shared" si="553"/>
        <v>0</v>
      </c>
      <c r="DF173" s="163">
        <f t="shared" si="553"/>
        <v>0</v>
      </c>
      <c r="DG173" s="163">
        <f t="shared" si="553"/>
        <v>0</v>
      </c>
      <c r="DH173" s="163">
        <f t="shared" si="553"/>
        <v>0</v>
      </c>
      <c r="DI173" s="163">
        <f t="shared" si="553"/>
        <v>0</v>
      </c>
      <c r="DJ173" s="163">
        <f t="shared" si="553"/>
        <v>0</v>
      </c>
      <c r="DK173" s="163">
        <f t="shared" si="553"/>
        <v>0</v>
      </c>
      <c r="DL173" s="163">
        <f t="shared" si="553"/>
        <v>0</v>
      </c>
      <c r="DM173" s="163">
        <f t="shared" si="553"/>
        <v>0</v>
      </c>
      <c r="DN173" s="163">
        <f t="shared" si="553"/>
        <v>0</v>
      </c>
      <c r="DO173" s="163">
        <f t="shared" si="553"/>
        <v>0</v>
      </c>
      <c r="DP173" s="163">
        <f t="shared" si="553"/>
        <v>0</v>
      </c>
      <c r="DQ173" s="163">
        <f t="shared" si="553"/>
        <v>0</v>
      </c>
      <c r="DR173" s="163">
        <f t="shared" si="553"/>
        <v>0</v>
      </c>
      <c r="DS173" s="163">
        <f t="shared" si="553"/>
        <v>0</v>
      </c>
      <c r="DT173" s="163">
        <f t="shared" si="553"/>
        <v>0</v>
      </c>
      <c r="DU173" s="163">
        <f t="shared" si="553"/>
        <v>0</v>
      </c>
      <c r="DV173" s="163">
        <f t="shared" si="553"/>
        <v>0</v>
      </c>
      <c r="DW173" s="163">
        <f t="shared" si="553"/>
        <v>0</v>
      </c>
      <c r="DX173" s="163">
        <f t="shared" si="553"/>
        <v>0</v>
      </c>
      <c r="DY173" s="163">
        <f t="shared" si="553"/>
        <v>0</v>
      </c>
      <c r="DZ173" s="163">
        <f t="shared" si="553"/>
        <v>0</v>
      </c>
      <c r="EA173" s="163">
        <f t="shared" si="553"/>
        <v>0</v>
      </c>
      <c r="EB173" s="163">
        <f t="shared" si="553"/>
        <v>0</v>
      </c>
      <c r="EC173" s="163">
        <f t="shared" si="553"/>
        <v>0</v>
      </c>
      <c r="ED173" s="163">
        <f t="shared" ref="ED173:FF173" si="554">IF(ED53=0,$F$34,0)</f>
        <v>0</v>
      </c>
      <c r="EE173" s="163">
        <f t="shared" si="554"/>
        <v>0</v>
      </c>
      <c r="EF173" s="163">
        <f t="shared" si="554"/>
        <v>0</v>
      </c>
      <c r="EG173" s="163">
        <f t="shared" si="554"/>
        <v>0</v>
      </c>
      <c r="EH173" s="163">
        <f t="shared" si="554"/>
        <v>0</v>
      </c>
      <c r="EI173" s="163">
        <f t="shared" si="554"/>
        <v>0</v>
      </c>
      <c r="EJ173" s="163">
        <f t="shared" si="554"/>
        <v>0</v>
      </c>
      <c r="EK173" s="163">
        <f t="shared" si="554"/>
        <v>0</v>
      </c>
      <c r="EL173" s="163">
        <f t="shared" si="554"/>
        <v>0</v>
      </c>
      <c r="EM173" s="163">
        <f t="shared" si="554"/>
        <v>0</v>
      </c>
      <c r="EN173" s="163">
        <f t="shared" si="554"/>
        <v>0</v>
      </c>
      <c r="EO173" s="163">
        <f t="shared" si="554"/>
        <v>0</v>
      </c>
      <c r="EP173" s="163">
        <f t="shared" si="554"/>
        <v>0</v>
      </c>
      <c r="EQ173" s="163">
        <f t="shared" si="554"/>
        <v>0</v>
      </c>
      <c r="ER173" s="163">
        <f t="shared" si="554"/>
        <v>0</v>
      </c>
      <c r="ES173" s="163">
        <f t="shared" si="554"/>
        <v>0</v>
      </c>
      <c r="ET173" s="163">
        <f t="shared" si="554"/>
        <v>0</v>
      </c>
      <c r="EU173" s="163">
        <f t="shared" si="554"/>
        <v>0</v>
      </c>
      <c r="EV173" s="163">
        <f t="shared" si="554"/>
        <v>0</v>
      </c>
      <c r="EW173" s="163">
        <f t="shared" si="554"/>
        <v>0</v>
      </c>
      <c r="EX173" s="163">
        <f t="shared" si="554"/>
        <v>0</v>
      </c>
      <c r="EY173" s="163">
        <f t="shared" si="554"/>
        <v>0</v>
      </c>
      <c r="EZ173" s="163">
        <f t="shared" si="554"/>
        <v>0</v>
      </c>
      <c r="FA173" s="163">
        <f t="shared" si="554"/>
        <v>0</v>
      </c>
      <c r="FB173" s="163">
        <f t="shared" si="554"/>
        <v>0</v>
      </c>
      <c r="FC173" s="163">
        <f t="shared" si="554"/>
        <v>0</v>
      </c>
      <c r="FD173" s="163">
        <f t="shared" si="554"/>
        <v>0</v>
      </c>
      <c r="FE173" s="163">
        <f t="shared" si="554"/>
        <v>0</v>
      </c>
      <c r="FF173" s="163">
        <f t="shared" si="554"/>
        <v>0</v>
      </c>
      <c r="FG173" s="314"/>
      <c r="FH173" s="163">
        <f t="shared" ref="FH173:FU177" si="555">SUMIF($F$54:$FF$54,FH$54,$F173:$FF173)</f>
        <v>6266071.4285714282</v>
      </c>
      <c r="FI173" s="163">
        <f t="shared" si="555"/>
        <v>0</v>
      </c>
      <c r="FJ173" s="163">
        <f t="shared" si="555"/>
        <v>0</v>
      </c>
      <c r="FK173" s="163">
        <f t="shared" si="555"/>
        <v>0</v>
      </c>
      <c r="FL173" s="163">
        <f t="shared" si="555"/>
        <v>0</v>
      </c>
      <c r="FM173" s="163">
        <f t="shared" si="555"/>
        <v>0</v>
      </c>
      <c r="FN173" s="163">
        <f t="shared" si="555"/>
        <v>0</v>
      </c>
      <c r="FO173" s="163">
        <f t="shared" si="555"/>
        <v>0</v>
      </c>
      <c r="FP173" s="163">
        <f t="shared" si="555"/>
        <v>0</v>
      </c>
      <c r="FQ173" s="163">
        <f t="shared" si="555"/>
        <v>0</v>
      </c>
      <c r="FR173" s="163">
        <f t="shared" si="555"/>
        <v>0</v>
      </c>
      <c r="FS173" s="163">
        <f t="shared" si="555"/>
        <v>0</v>
      </c>
      <c r="FT173" s="163">
        <f t="shared" si="555"/>
        <v>0</v>
      </c>
      <c r="FU173" s="163">
        <f t="shared" si="555"/>
        <v>0</v>
      </c>
      <c r="FV173" s="314"/>
    </row>
    <row r="174" spans="1:178" x14ac:dyDescent="0.2">
      <c r="B174" s="47"/>
      <c r="C174" s="39" t="s">
        <v>129</v>
      </c>
      <c r="E174" s="163">
        <f t="shared" si="549"/>
        <v>1295689.0350404431</v>
      </c>
      <c r="F174" s="261">
        <f t="shared" ref="F174:AK174" si="556">IF($C$50=TRUE,0,F172)*F169/12</f>
        <v>0</v>
      </c>
      <c r="G174" s="163">
        <f t="shared" si="556"/>
        <v>36552.083333333336</v>
      </c>
      <c r="H174" s="163">
        <f t="shared" si="556"/>
        <v>36522.121896987803</v>
      </c>
      <c r="I174" s="163">
        <f t="shared" si="556"/>
        <v>36491.985685596926</v>
      </c>
      <c r="J174" s="163">
        <f t="shared" si="556"/>
        <v>36461.6736796396</v>
      </c>
      <c r="K174" s="163">
        <f t="shared" si="556"/>
        <v>36431.184853647523</v>
      </c>
      <c r="L174" s="163">
        <f t="shared" si="556"/>
        <v>36400.518176170495</v>
      </c>
      <c r="M174" s="163">
        <f t="shared" si="556"/>
        <v>36369.672609741516</v>
      </c>
      <c r="N174" s="163">
        <f t="shared" si="556"/>
        <v>36338.647110841695</v>
      </c>
      <c r="O174" s="163">
        <f t="shared" si="556"/>
        <v>36307.44062986497</v>
      </c>
      <c r="P174" s="163">
        <f t="shared" si="556"/>
        <v>36276.052111082543</v>
      </c>
      <c r="Q174" s="163">
        <f t="shared" si="556"/>
        <v>36244.480492607217</v>
      </c>
      <c r="R174" s="163">
        <f t="shared" si="556"/>
        <v>36212.724706357454</v>
      </c>
      <c r="S174" s="163">
        <f t="shared" si="556"/>
        <v>36180.783678021224</v>
      </c>
      <c r="T174" s="163">
        <f t="shared" si="556"/>
        <v>36148.656327019708</v>
      </c>
      <c r="U174" s="163">
        <f t="shared" si="556"/>
        <v>36116.341566470684</v>
      </c>
      <c r="V174" s="163">
        <f t="shared" si="556"/>
        <v>36083.838303151788</v>
      </c>
      <c r="W174" s="163">
        <f t="shared" si="556"/>
        <v>36051.145437463529</v>
      </c>
      <c r="X174" s="163">
        <f t="shared" si="556"/>
        <v>36018.261863392101</v>
      </c>
      <c r="Y174" s="163">
        <f t="shared" si="556"/>
        <v>35985.186468471911</v>
      </c>
      <c r="Z174" s="163">
        <f t="shared" si="556"/>
        <v>35951.918133748026</v>
      </c>
      <c r="AA174" s="163">
        <f t="shared" si="556"/>
        <v>35918.45573373825</v>
      </c>
      <c r="AB174" s="163">
        <f t="shared" si="556"/>
        <v>35884.798136395082</v>
      </c>
      <c r="AC174" s="163">
        <f t="shared" si="556"/>
        <v>35850.944203067418</v>
      </c>
      <c r="AD174" s="163">
        <f t="shared" si="556"/>
        <v>35816.892788461999</v>
      </c>
      <c r="AE174" s="163">
        <f t="shared" si="556"/>
        <v>35782.642740604722</v>
      </c>
      <c r="AF174" s="163">
        <f t="shared" si="556"/>
        <v>35748.192900801609</v>
      </c>
      <c r="AG174" s="163">
        <f t="shared" si="556"/>
        <v>35713.542103599648</v>
      </c>
      <c r="AH174" s="163">
        <f t="shared" si="556"/>
        <v>35678.689176747335</v>
      </c>
      <c r="AI174" s="163">
        <f t="shared" si="556"/>
        <v>35643.632941155054</v>
      </c>
      <c r="AJ174" s="163">
        <f t="shared" si="556"/>
        <v>35608.372210855152</v>
      </c>
      <c r="AK174" s="163">
        <f t="shared" si="556"/>
        <v>35572.905792961836</v>
      </c>
      <c r="AL174" s="163">
        <f t="shared" ref="AL174:BQ174" si="557">IF($C$50=TRUE,0,AL172)*AL169/12</f>
        <v>35537.232487630805</v>
      </c>
      <c r="AM174" s="163">
        <f t="shared" si="557"/>
        <v>35501.351088018673</v>
      </c>
      <c r="AN174" s="163">
        <f t="shared" si="557"/>
        <v>35465.260380242144</v>
      </c>
      <c r="AO174" s="163">
        <f t="shared" si="557"/>
        <v>35428.959143336913</v>
      </c>
      <c r="AP174" s="163">
        <f t="shared" si="557"/>
        <v>35392.446149216405</v>
      </c>
      <c r="AQ174" s="163">
        <f t="shared" si="557"/>
        <v>0</v>
      </c>
      <c r="AR174" s="163">
        <f t="shared" si="557"/>
        <v>0</v>
      </c>
      <c r="AS174" s="163">
        <f t="shared" si="557"/>
        <v>0</v>
      </c>
      <c r="AT174" s="163">
        <f t="shared" si="557"/>
        <v>0</v>
      </c>
      <c r="AU174" s="163">
        <f t="shared" si="557"/>
        <v>0</v>
      </c>
      <c r="AV174" s="163">
        <f t="shared" si="557"/>
        <v>0</v>
      </c>
      <c r="AW174" s="163">
        <f t="shared" si="557"/>
        <v>0</v>
      </c>
      <c r="AX174" s="163">
        <f t="shared" si="557"/>
        <v>0</v>
      </c>
      <c r="AY174" s="163">
        <f t="shared" si="557"/>
        <v>0</v>
      </c>
      <c r="AZ174" s="163">
        <f t="shared" si="557"/>
        <v>0</v>
      </c>
      <c r="BA174" s="163">
        <f t="shared" si="557"/>
        <v>0</v>
      </c>
      <c r="BB174" s="163">
        <f t="shared" si="557"/>
        <v>0</v>
      </c>
      <c r="BC174" s="163">
        <f t="shared" si="557"/>
        <v>0</v>
      </c>
      <c r="BD174" s="163">
        <f t="shared" si="557"/>
        <v>0</v>
      </c>
      <c r="BE174" s="163">
        <f t="shared" si="557"/>
        <v>0</v>
      </c>
      <c r="BF174" s="163">
        <f t="shared" si="557"/>
        <v>0</v>
      </c>
      <c r="BG174" s="163">
        <f t="shared" si="557"/>
        <v>0</v>
      </c>
      <c r="BH174" s="163">
        <f t="shared" si="557"/>
        <v>0</v>
      </c>
      <c r="BI174" s="163">
        <f t="shared" si="557"/>
        <v>0</v>
      </c>
      <c r="BJ174" s="163">
        <f t="shared" si="557"/>
        <v>0</v>
      </c>
      <c r="BK174" s="163">
        <f t="shared" si="557"/>
        <v>0</v>
      </c>
      <c r="BL174" s="163">
        <f t="shared" si="557"/>
        <v>0</v>
      </c>
      <c r="BM174" s="163">
        <f t="shared" si="557"/>
        <v>0</v>
      </c>
      <c r="BN174" s="163">
        <f t="shared" si="557"/>
        <v>0</v>
      </c>
      <c r="BO174" s="163">
        <f t="shared" si="557"/>
        <v>0</v>
      </c>
      <c r="BP174" s="163">
        <f t="shared" si="557"/>
        <v>0</v>
      </c>
      <c r="BQ174" s="163">
        <f t="shared" si="557"/>
        <v>0</v>
      </c>
      <c r="BR174" s="163">
        <f t="shared" ref="BR174:CW174" si="558">IF($C$50=TRUE,0,BR172)*BR169/12</f>
        <v>0</v>
      </c>
      <c r="BS174" s="163">
        <f t="shared" si="558"/>
        <v>0</v>
      </c>
      <c r="BT174" s="163">
        <f t="shared" si="558"/>
        <v>0</v>
      </c>
      <c r="BU174" s="163">
        <f t="shared" si="558"/>
        <v>0</v>
      </c>
      <c r="BV174" s="163">
        <f t="shared" si="558"/>
        <v>0</v>
      </c>
      <c r="BW174" s="163">
        <f t="shared" si="558"/>
        <v>0</v>
      </c>
      <c r="BX174" s="163">
        <f t="shared" si="558"/>
        <v>0</v>
      </c>
      <c r="BY174" s="163">
        <f t="shared" si="558"/>
        <v>0</v>
      </c>
      <c r="BZ174" s="163">
        <f t="shared" si="558"/>
        <v>0</v>
      </c>
      <c r="CA174" s="163">
        <f t="shared" si="558"/>
        <v>0</v>
      </c>
      <c r="CB174" s="163">
        <f t="shared" si="558"/>
        <v>0</v>
      </c>
      <c r="CC174" s="163">
        <f t="shared" si="558"/>
        <v>0</v>
      </c>
      <c r="CD174" s="163">
        <f t="shared" si="558"/>
        <v>0</v>
      </c>
      <c r="CE174" s="163">
        <f t="shared" si="558"/>
        <v>0</v>
      </c>
      <c r="CF174" s="163">
        <f t="shared" si="558"/>
        <v>0</v>
      </c>
      <c r="CG174" s="163">
        <f t="shared" si="558"/>
        <v>0</v>
      </c>
      <c r="CH174" s="163">
        <f t="shared" si="558"/>
        <v>0</v>
      </c>
      <c r="CI174" s="163">
        <f t="shared" si="558"/>
        <v>0</v>
      </c>
      <c r="CJ174" s="163">
        <f t="shared" si="558"/>
        <v>0</v>
      </c>
      <c r="CK174" s="163">
        <f t="shared" si="558"/>
        <v>0</v>
      </c>
      <c r="CL174" s="163">
        <f t="shared" si="558"/>
        <v>0</v>
      </c>
      <c r="CM174" s="163">
        <f t="shared" si="558"/>
        <v>0</v>
      </c>
      <c r="CN174" s="163">
        <f t="shared" si="558"/>
        <v>0</v>
      </c>
      <c r="CO174" s="163">
        <f t="shared" si="558"/>
        <v>0</v>
      </c>
      <c r="CP174" s="163">
        <f t="shared" si="558"/>
        <v>0</v>
      </c>
      <c r="CQ174" s="163">
        <f t="shared" si="558"/>
        <v>0</v>
      </c>
      <c r="CR174" s="163">
        <f t="shared" si="558"/>
        <v>0</v>
      </c>
      <c r="CS174" s="163">
        <f t="shared" si="558"/>
        <v>0</v>
      </c>
      <c r="CT174" s="163">
        <f t="shared" si="558"/>
        <v>0</v>
      </c>
      <c r="CU174" s="163">
        <f t="shared" si="558"/>
        <v>0</v>
      </c>
      <c r="CV174" s="163">
        <f t="shared" si="558"/>
        <v>0</v>
      </c>
      <c r="CW174" s="163">
        <f t="shared" si="558"/>
        <v>0</v>
      </c>
      <c r="CX174" s="163">
        <f t="shared" ref="CX174:EC174" si="559">IF($C$50=TRUE,0,CX172)*CX169/12</f>
        <v>0</v>
      </c>
      <c r="CY174" s="163">
        <f t="shared" si="559"/>
        <v>0</v>
      </c>
      <c r="CZ174" s="163">
        <f t="shared" si="559"/>
        <v>0</v>
      </c>
      <c r="DA174" s="163">
        <f t="shared" si="559"/>
        <v>0</v>
      </c>
      <c r="DB174" s="163">
        <f t="shared" si="559"/>
        <v>0</v>
      </c>
      <c r="DC174" s="163">
        <f t="shared" si="559"/>
        <v>0</v>
      </c>
      <c r="DD174" s="163">
        <f t="shared" si="559"/>
        <v>0</v>
      </c>
      <c r="DE174" s="163">
        <f t="shared" si="559"/>
        <v>0</v>
      </c>
      <c r="DF174" s="163">
        <f t="shared" si="559"/>
        <v>0</v>
      </c>
      <c r="DG174" s="163">
        <f t="shared" si="559"/>
        <v>0</v>
      </c>
      <c r="DH174" s="163">
        <f t="shared" si="559"/>
        <v>0</v>
      </c>
      <c r="DI174" s="163">
        <f t="shared" si="559"/>
        <v>0</v>
      </c>
      <c r="DJ174" s="163">
        <f t="shared" si="559"/>
        <v>0</v>
      </c>
      <c r="DK174" s="163">
        <f t="shared" si="559"/>
        <v>0</v>
      </c>
      <c r="DL174" s="163">
        <f t="shared" si="559"/>
        <v>0</v>
      </c>
      <c r="DM174" s="163">
        <f t="shared" si="559"/>
        <v>0</v>
      </c>
      <c r="DN174" s="163">
        <f t="shared" si="559"/>
        <v>0</v>
      </c>
      <c r="DO174" s="163">
        <f t="shared" si="559"/>
        <v>0</v>
      </c>
      <c r="DP174" s="163">
        <f t="shared" si="559"/>
        <v>0</v>
      </c>
      <c r="DQ174" s="163">
        <f t="shared" si="559"/>
        <v>0</v>
      </c>
      <c r="DR174" s="163">
        <f t="shared" si="559"/>
        <v>0</v>
      </c>
      <c r="DS174" s="163">
        <f t="shared" si="559"/>
        <v>0</v>
      </c>
      <c r="DT174" s="163">
        <f t="shared" si="559"/>
        <v>0</v>
      </c>
      <c r="DU174" s="163">
        <f t="shared" si="559"/>
        <v>0</v>
      </c>
      <c r="DV174" s="163">
        <f t="shared" si="559"/>
        <v>0</v>
      </c>
      <c r="DW174" s="163">
        <f t="shared" si="559"/>
        <v>0</v>
      </c>
      <c r="DX174" s="163">
        <f t="shared" si="559"/>
        <v>0</v>
      </c>
      <c r="DY174" s="163">
        <f t="shared" si="559"/>
        <v>0</v>
      </c>
      <c r="DZ174" s="163">
        <f t="shared" si="559"/>
        <v>0</v>
      </c>
      <c r="EA174" s="163">
        <f t="shared" si="559"/>
        <v>0</v>
      </c>
      <c r="EB174" s="163">
        <f t="shared" si="559"/>
        <v>0</v>
      </c>
      <c r="EC174" s="163">
        <f t="shared" si="559"/>
        <v>0</v>
      </c>
      <c r="ED174" s="163">
        <f t="shared" ref="ED174:FF174" si="560">IF($C$50=TRUE,0,ED172)*ED169/12</f>
        <v>0</v>
      </c>
      <c r="EE174" s="163">
        <f t="shared" si="560"/>
        <v>0</v>
      </c>
      <c r="EF174" s="163">
        <f t="shared" si="560"/>
        <v>0</v>
      </c>
      <c r="EG174" s="163">
        <f t="shared" si="560"/>
        <v>0</v>
      </c>
      <c r="EH174" s="163">
        <f t="shared" si="560"/>
        <v>0</v>
      </c>
      <c r="EI174" s="163">
        <f t="shared" si="560"/>
        <v>0</v>
      </c>
      <c r="EJ174" s="163">
        <f t="shared" si="560"/>
        <v>0</v>
      </c>
      <c r="EK174" s="163">
        <f t="shared" si="560"/>
        <v>0</v>
      </c>
      <c r="EL174" s="163">
        <f t="shared" si="560"/>
        <v>0</v>
      </c>
      <c r="EM174" s="163">
        <f t="shared" si="560"/>
        <v>0</v>
      </c>
      <c r="EN174" s="163">
        <f t="shared" si="560"/>
        <v>0</v>
      </c>
      <c r="EO174" s="163">
        <f t="shared" si="560"/>
        <v>0</v>
      </c>
      <c r="EP174" s="163">
        <f t="shared" si="560"/>
        <v>0</v>
      </c>
      <c r="EQ174" s="163">
        <f t="shared" si="560"/>
        <v>0</v>
      </c>
      <c r="ER174" s="163">
        <f t="shared" si="560"/>
        <v>0</v>
      </c>
      <c r="ES174" s="163">
        <f t="shared" si="560"/>
        <v>0</v>
      </c>
      <c r="ET174" s="163">
        <f t="shared" si="560"/>
        <v>0</v>
      </c>
      <c r="EU174" s="163">
        <f t="shared" si="560"/>
        <v>0</v>
      </c>
      <c r="EV174" s="163">
        <f t="shared" si="560"/>
        <v>0</v>
      </c>
      <c r="EW174" s="163">
        <f t="shared" si="560"/>
        <v>0</v>
      </c>
      <c r="EX174" s="163">
        <f t="shared" si="560"/>
        <v>0</v>
      </c>
      <c r="EY174" s="163">
        <f t="shared" si="560"/>
        <v>0</v>
      </c>
      <c r="EZ174" s="163">
        <f t="shared" si="560"/>
        <v>0</v>
      </c>
      <c r="FA174" s="163">
        <f t="shared" si="560"/>
        <v>0</v>
      </c>
      <c r="FB174" s="163">
        <f t="shared" si="560"/>
        <v>0</v>
      </c>
      <c r="FC174" s="163">
        <f t="shared" si="560"/>
        <v>0</v>
      </c>
      <c r="FD174" s="163">
        <f t="shared" si="560"/>
        <v>0</v>
      </c>
      <c r="FE174" s="163">
        <f t="shared" si="560"/>
        <v>0</v>
      </c>
      <c r="FF174" s="163">
        <f t="shared" si="560"/>
        <v>0</v>
      </c>
      <c r="FG174" s="314"/>
      <c r="FH174" s="163">
        <f t="shared" si="555"/>
        <v>218859.5676253757</v>
      </c>
      <c r="FI174" s="163">
        <f t="shared" si="555"/>
        <v>434348.04483601439</v>
      </c>
      <c r="FJ174" s="163">
        <f t="shared" si="555"/>
        <v>429583.26753764623</v>
      </c>
      <c r="FK174" s="163">
        <f t="shared" si="555"/>
        <v>212898.15504140678</v>
      </c>
      <c r="FL174" s="163">
        <f t="shared" si="555"/>
        <v>0</v>
      </c>
      <c r="FM174" s="163">
        <f t="shared" si="555"/>
        <v>0</v>
      </c>
      <c r="FN174" s="163">
        <f t="shared" si="555"/>
        <v>0</v>
      </c>
      <c r="FO174" s="163">
        <f t="shared" si="555"/>
        <v>0</v>
      </c>
      <c r="FP174" s="163">
        <f t="shared" si="555"/>
        <v>0</v>
      </c>
      <c r="FQ174" s="163">
        <f t="shared" si="555"/>
        <v>0</v>
      </c>
      <c r="FR174" s="163">
        <f t="shared" si="555"/>
        <v>0</v>
      </c>
      <c r="FS174" s="163">
        <f t="shared" si="555"/>
        <v>0</v>
      </c>
      <c r="FT174" s="163">
        <f t="shared" si="555"/>
        <v>0</v>
      </c>
      <c r="FU174" s="163">
        <f t="shared" si="555"/>
        <v>0</v>
      </c>
      <c r="FV174" s="314"/>
    </row>
    <row r="175" spans="1:178" x14ac:dyDescent="0.2">
      <c r="B175" s="47"/>
      <c r="C175" s="39" t="s">
        <v>130</v>
      </c>
      <c r="E175" s="163">
        <f t="shared" si="549"/>
        <v>-1295689.0350404431</v>
      </c>
      <c r="F175" s="261">
        <f>-MIN(F174,F118*(F118&gt;0))*(F53&gt;0)</f>
        <v>0</v>
      </c>
      <c r="G175" s="163">
        <f t="shared" ref="G175:BR175" si="561">-MIN(G174,G118*(G118&gt;0))*(G53&gt;0)</f>
        <v>-36552.083333333336</v>
      </c>
      <c r="H175" s="163">
        <f t="shared" si="561"/>
        <v>-36522.121896987803</v>
      </c>
      <c r="I175" s="163">
        <f t="shared" si="561"/>
        <v>-36491.985685596926</v>
      </c>
      <c r="J175" s="163">
        <f t="shared" si="561"/>
        <v>-36461.6736796396</v>
      </c>
      <c r="K175" s="163">
        <f t="shared" si="561"/>
        <v>-36431.184853647523</v>
      </c>
      <c r="L175" s="163">
        <f t="shared" si="561"/>
        <v>-36400.518176170495</v>
      </c>
      <c r="M175" s="163">
        <f t="shared" si="561"/>
        <v>-36369.672609741516</v>
      </c>
      <c r="N175" s="163">
        <f t="shared" si="561"/>
        <v>-36338.647110841695</v>
      </c>
      <c r="O175" s="163">
        <f t="shared" si="561"/>
        <v>-36307.44062986497</v>
      </c>
      <c r="P175" s="163">
        <f t="shared" si="561"/>
        <v>-36276.052111082543</v>
      </c>
      <c r="Q175" s="163">
        <f t="shared" si="561"/>
        <v>-36244.480492607217</v>
      </c>
      <c r="R175" s="163">
        <f t="shared" si="561"/>
        <v>-36212.724706357454</v>
      </c>
      <c r="S175" s="163">
        <f t="shared" si="561"/>
        <v>-36180.783678021224</v>
      </c>
      <c r="T175" s="163">
        <f t="shared" si="561"/>
        <v>-36148.656327019708</v>
      </c>
      <c r="U175" s="163">
        <f t="shared" si="561"/>
        <v>-36116.341566470684</v>
      </c>
      <c r="V175" s="163">
        <f t="shared" si="561"/>
        <v>-36083.838303151788</v>
      </c>
      <c r="W175" s="163">
        <f t="shared" si="561"/>
        <v>-36051.145437463529</v>
      </c>
      <c r="X175" s="163">
        <f t="shared" si="561"/>
        <v>-36018.261863392101</v>
      </c>
      <c r="Y175" s="163">
        <f t="shared" si="561"/>
        <v>-35985.186468471911</v>
      </c>
      <c r="Z175" s="163">
        <f t="shared" si="561"/>
        <v>-35951.918133748026</v>
      </c>
      <c r="AA175" s="163">
        <f t="shared" si="561"/>
        <v>-35918.45573373825</v>
      </c>
      <c r="AB175" s="163">
        <f t="shared" si="561"/>
        <v>-35884.798136395082</v>
      </c>
      <c r="AC175" s="163">
        <f t="shared" si="561"/>
        <v>-35850.944203067418</v>
      </c>
      <c r="AD175" s="163">
        <f t="shared" si="561"/>
        <v>-35816.892788461999</v>
      </c>
      <c r="AE175" s="163">
        <f t="shared" si="561"/>
        <v>-35782.642740604722</v>
      </c>
      <c r="AF175" s="163">
        <f t="shared" si="561"/>
        <v>-35748.192900801609</v>
      </c>
      <c r="AG175" s="163">
        <f t="shared" si="561"/>
        <v>-35713.542103599648</v>
      </c>
      <c r="AH175" s="163">
        <f t="shared" si="561"/>
        <v>-35678.689176747335</v>
      </c>
      <c r="AI175" s="163">
        <f t="shared" si="561"/>
        <v>-35643.632941155054</v>
      </c>
      <c r="AJ175" s="163">
        <f t="shared" si="561"/>
        <v>-35608.372210855152</v>
      </c>
      <c r="AK175" s="163">
        <f t="shared" si="561"/>
        <v>-35572.905792961836</v>
      </c>
      <c r="AL175" s="163">
        <f t="shared" si="561"/>
        <v>-35537.232487630805</v>
      </c>
      <c r="AM175" s="163">
        <f t="shared" si="561"/>
        <v>-35501.351088018673</v>
      </c>
      <c r="AN175" s="163">
        <f t="shared" si="561"/>
        <v>-35465.260380242144</v>
      </c>
      <c r="AO175" s="163">
        <f t="shared" si="561"/>
        <v>-35428.959143336913</v>
      </c>
      <c r="AP175" s="163">
        <f t="shared" si="561"/>
        <v>-35392.446149216405</v>
      </c>
      <c r="AQ175" s="163">
        <f t="shared" si="561"/>
        <v>0</v>
      </c>
      <c r="AR175" s="163">
        <f t="shared" si="561"/>
        <v>0</v>
      </c>
      <c r="AS175" s="163">
        <f t="shared" si="561"/>
        <v>0</v>
      </c>
      <c r="AT175" s="163">
        <f t="shared" si="561"/>
        <v>0</v>
      </c>
      <c r="AU175" s="163">
        <f t="shared" si="561"/>
        <v>0</v>
      </c>
      <c r="AV175" s="163">
        <f t="shared" si="561"/>
        <v>0</v>
      </c>
      <c r="AW175" s="163">
        <f t="shared" si="561"/>
        <v>0</v>
      </c>
      <c r="AX175" s="163">
        <f t="shared" si="561"/>
        <v>0</v>
      </c>
      <c r="AY175" s="163">
        <f t="shared" si="561"/>
        <v>0</v>
      </c>
      <c r="AZ175" s="163">
        <f t="shared" si="561"/>
        <v>0</v>
      </c>
      <c r="BA175" s="163">
        <f t="shared" si="561"/>
        <v>0</v>
      </c>
      <c r="BB175" s="163">
        <f t="shared" si="561"/>
        <v>0</v>
      </c>
      <c r="BC175" s="163">
        <f t="shared" si="561"/>
        <v>0</v>
      </c>
      <c r="BD175" s="163">
        <f t="shared" si="561"/>
        <v>0</v>
      </c>
      <c r="BE175" s="163">
        <f t="shared" si="561"/>
        <v>0</v>
      </c>
      <c r="BF175" s="163">
        <f t="shared" si="561"/>
        <v>0</v>
      </c>
      <c r="BG175" s="163">
        <f t="shared" si="561"/>
        <v>0</v>
      </c>
      <c r="BH175" s="163">
        <f t="shared" si="561"/>
        <v>0</v>
      </c>
      <c r="BI175" s="163">
        <f t="shared" si="561"/>
        <v>0</v>
      </c>
      <c r="BJ175" s="163">
        <f t="shared" si="561"/>
        <v>0</v>
      </c>
      <c r="BK175" s="163">
        <f t="shared" si="561"/>
        <v>0</v>
      </c>
      <c r="BL175" s="163">
        <f t="shared" si="561"/>
        <v>0</v>
      </c>
      <c r="BM175" s="163">
        <f t="shared" si="561"/>
        <v>0</v>
      </c>
      <c r="BN175" s="163">
        <f t="shared" si="561"/>
        <v>0</v>
      </c>
      <c r="BO175" s="163">
        <f t="shared" si="561"/>
        <v>0</v>
      </c>
      <c r="BP175" s="163">
        <f t="shared" si="561"/>
        <v>0</v>
      </c>
      <c r="BQ175" s="163">
        <f t="shared" si="561"/>
        <v>0</v>
      </c>
      <c r="BR175" s="163">
        <f t="shared" si="561"/>
        <v>0</v>
      </c>
      <c r="BS175" s="163">
        <f t="shared" ref="BS175:ED175" si="562">-MIN(BS174,BS118*(BS118&gt;0))*(BS53&gt;0)</f>
        <v>0</v>
      </c>
      <c r="BT175" s="163">
        <f t="shared" si="562"/>
        <v>0</v>
      </c>
      <c r="BU175" s="163">
        <f t="shared" si="562"/>
        <v>0</v>
      </c>
      <c r="BV175" s="163">
        <f t="shared" si="562"/>
        <v>0</v>
      </c>
      <c r="BW175" s="163">
        <f t="shared" si="562"/>
        <v>0</v>
      </c>
      <c r="BX175" s="163">
        <f t="shared" si="562"/>
        <v>0</v>
      </c>
      <c r="BY175" s="163">
        <f t="shared" si="562"/>
        <v>0</v>
      </c>
      <c r="BZ175" s="163">
        <f t="shared" si="562"/>
        <v>0</v>
      </c>
      <c r="CA175" s="163">
        <f t="shared" si="562"/>
        <v>0</v>
      </c>
      <c r="CB175" s="163">
        <f t="shared" si="562"/>
        <v>0</v>
      </c>
      <c r="CC175" s="163">
        <f t="shared" si="562"/>
        <v>0</v>
      </c>
      <c r="CD175" s="163">
        <f t="shared" si="562"/>
        <v>0</v>
      </c>
      <c r="CE175" s="163">
        <f t="shared" si="562"/>
        <v>0</v>
      </c>
      <c r="CF175" s="163">
        <f t="shared" si="562"/>
        <v>0</v>
      </c>
      <c r="CG175" s="163">
        <f t="shared" si="562"/>
        <v>0</v>
      </c>
      <c r="CH175" s="163">
        <f t="shared" si="562"/>
        <v>0</v>
      </c>
      <c r="CI175" s="163">
        <f t="shared" si="562"/>
        <v>0</v>
      </c>
      <c r="CJ175" s="163">
        <f t="shared" si="562"/>
        <v>0</v>
      </c>
      <c r="CK175" s="163">
        <f t="shared" si="562"/>
        <v>0</v>
      </c>
      <c r="CL175" s="163">
        <f t="shared" si="562"/>
        <v>0</v>
      </c>
      <c r="CM175" s="163">
        <f t="shared" si="562"/>
        <v>0</v>
      </c>
      <c r="CN175" s="163">
        <f t="shared" si="562"/>
        <v>0</v>
      </c>
      <c r="CO175" s="163">
        <f t="shared" si="562"/>
        <v>0</v>
      </c>
      <c r="CP175" s="163">
        <f t="shared" si="562"/>
        <v>0</v>
      </c>
      <c r="CQ175" s="163">
        <f t="shared" si="562"/>
        <v>0</v>
      </c>
      <c r="CR175" s="163">
        <f t="shared" si="562"/>
        <v>0</v>
      </c>
      <c r="CS175" s="163">
        <f t="shared" si="562"/>
        <v>0</v>
      </c>
      <c r="CT175" s="163">
        <f t="shared" si="562"/>
        <v>0</v>
      </c>
      <c r="CU175" s="163">
        <f t="shared" si="562"/>
        <v>0</v>
      </c>
      <c r="CV175" s="163">
        <f t="shared" si="562"/>
        <v>0</v>
      </c>
      <c r="CW175" s="163">
        <f t="shared" si="562"/>
        <v>0</v>
      </c>
      <c r="CX175" s="163">
        <f t="shared" si="562"/>
        <v>0</v>
      </c>
      <c r="CY175" s="163">
        <f t="shared" si="562"/>
        <v>0</v>
      </c>
      <c r="CZ175" s="163">
        <f t="shared" si="562"/>
        <v>0</v>
      </c>
      <c r="DA175" s="163">
        <f t="shared" si="562"/>
        <v>0</v>
      </c>
      <c r="DB175" s="163">
        <f t="shared" si="562"/>
        <v>0</v>
      </c>
      <c r="DC175" s="163">
        <f t="shared" si="562"/>
        <v>0</v>
      </c>
      <c r="DD175" s="163">
        <f t="shared" si="562"/>
        <v>0</v>
      </c>
      <c r="DE175" s="163">
        <f t="shared" si="562"/>
        <v>0</v>
      </c>
      <c r="DF175" s="163">
        <f t="shared" si="562"/>
        <v>0</v>
      </c>
      <c r="DG175" s="163">
        <f t="shared" si="562"/>
        <v>0</v>
      </c>
      <c r="DH175" s="163">
        <f t="shared" si="562"/>
        <v>0</v>
      </c>
      <c r="DI175" s="163">
        <f t="shared" si="562"/>
        <v>0</v>
      </c>
      <c r="DJ175" s="163">
        <f t="shared" si="562"/>
        <v>0</v>
      </c>
      <c r="DK175" s="163">
        <f t="shared" si="562"/>
        <v>0</v>
      </c>
      <c r="DL175" s="163">
        <f t="shared" si="562"/>
        <v>0</v>
      </c>
      <c r="DM175" s="163">
        <f t="shared" si="562"/>
        <v>0</v>
      </c>
      <c r="DN175" s="163">
        <f t="shared" si="562"/>
        <v>0</v>
      </c>
      <c r="DO175" s="163">
        <f t="shared" si="562"/>
        <v>0</v>
      </c>
      <c r="DP175" s="163">
        <f t="shared" si="562"/>
        <v>0</v>
      </c>
      <c r="DQ175" s="163">
        <f t="shared" si="562"/>
        <v>0</v>
      </c>
      <c r="DR175" s="163">
        <f t="shared" si="562"/>
        <v>0</v>
      </c>
      <c r="DS175" s="163">
        <f t="shared" si="562"/>
        <v>0</v>
      </c>
      <c r="DT175" s="163">
        <f t="shared" si="562"/>
        <v>0</v>
      </c>
      <c r="DU175" s="163">
        <f t="shared" si="562"/>
        <v>0</v>
      </c>
      <c r="DV175" s="163">
        <f t="shared" si="562"/>
        <v>0</v>
      </c>
      <c r="DW175" s="163">
        <f t="shared" si="562"/>
        <v>0</v>
      </c>
      <c r="DX175" s="163">
        <f t="shared" si="562"/>
        <v>0</v>
      </c>
      <c r="DY175" s="163">
        <f t="shared" si="562"/>
        <v>0</v>
      </c>
      <c r="DZ175" s="163">
        <f t="shared" si="562"/>
        <v>0</v>
      </c>
      <c r="EA175" s="163">
        <f t="shared" si="562"/>
        <v>0</v>
      </c>
      <c r="EB175" s="163">
        <f t="shared" si="562"/>
        <v>0</v>
      </c>
      <c r="EC175" s="163">
        <f t="shared" si="562"/>
        <v>0</v>
      </c>
      <c r="ED175" s="163">
        <f t="shared" si="562"/>
        <v>0</v>
      </c>
      <c r="EE175" s="163">
        <f t="shared" ref="EE175:FF175" si="563">-MIN(EE174,EE118*(EE118&gt;0))*(EE53&gt;0)</f>
        <v>0</v>
      </c>
      <c r="EF175" s="163">
        <f t="shared" si="563"/>
        <v>0</v>
      </c>
      <c r="EG175" s="163">
        <f t="shared" si="563"/>
        <v>0</v>
      </c>
      <c r="EH175" s="163">
        <f t="shared" si="563"/>
        <v>0</v>
      </c>
      <c r="EI175" s="163">
        <f t="shared" si="563"/>
        <v>0</v>
      </c>
      <c r="EJ175" s="163">
        <f t="shared" si="563"/>
        <v>0</v>
      </c>
      <c r="EK175" s="163">
        <f t="shared" si="563"/>
        <v>0</v>
      </c>
      <c r="EL175" s="163">
        <f t="shared" si="563"/>
        <v>0</v>
      </c>
      <c r="EM175" s="163">
        <f t="shared" si="563"/>
        <v>0</v>
      </c>
      <c r="EN175" s="163">
        <f t="shared" si="563"/>
        <v>0</v>
      </c>
      <c r="EO175" s="163">
        <f t="shared" si="563"/>
        <v>0</v>
      </c>
      <c r="EP175" s="163">
        <f t="shared" si="563"/>
        <v>0</v>
      </c>
      <c r="EQ175" s="163">
        <f t="shared" si="563"/>
        <v>0</v>
      </c>
      <c r="ER175" s="163">
        <f t="shared" si="563"/>
        <v>0</v>
      </c>
      <c r="ES175" s="163">
        <f t="shared" si="563"/>
        <v>0</v>
      </c>
      <c r="ET175" s="163">
        <f t="shared" si="563"/>
        <v>0</v>
      </c>
      <c r="EU175" s="163">
        <f t="shared" si="563"/>
        <v>0</v>
      </c>
      <c r="EV175" s="163">
        <f t="shared" si="563"/>
        <v>0</v>
      </c>
      <c r="EW175" s="163">
        <f t="shared" si="563"/>
        <v>0</v>
      </c>
      <c r="EX175" s="163">
        <f t="shared" si="563"/>
        <v>0</v>
      </c>
      <c r="EY175" s="163">
        <f t="shared" si="563"/>
        <v>0</v>
      </c>
      <c r="EZ175" s="163">
        <f t="shared" si="563"/>
        <v>0</v>
      </c>
      <c r="FA175" s="163">
        <f t="shared" si="563"/>
        <v>0</v>
      </c>
      <c r="FB175" s="163">
        <f t="shared" si="563"/>
        <v>0</v>
      </c>
      <c r="FC175" s="163">
        <f t="shared" si="563"/>
        <v>0</v>
      </c>
      <c r="FD175" s="163">
        <f t="shared" si="563"/>
        <v>0</v>
      </c>
      <c r="FE175" s="163">
        <f t="shared" si="563"/>
        <v>0</v>
      </c>
      <c r="FF175" s="163">
        <f t="shared" si="563"/>
        <v>0</v>
      </c>
      <c r="FG175" s="314"/>
      <c r="FH175" s="163">
        <f t="shared" si="555"/>
        <v>-218859.5676253757</v>
      </c>
      <c r="FI175" s="163">
        <f t="shared" si="555"/>
        <v>-434348.04483601439</v>
      </c>
      <c r="FJ175" s="163">
        <f t="shared" si="555"/>
        <v>-429583.26753764623</v>
      </c>
      <c r="FK175" s="163">
        <f t="shared" si="555"/>
        <v>-212898.15504140678</v>
      </c>
      <c r="FL175" s="163">
        <f t="shared" si="555"/>
        <v>0</v>
      </c>
      <c r="FM175" s="163">
        <f t="shared" si="555"/>
        <v>0</v>
      </c>
      <c r="FN175" s="163">
        <f t="shared" si="555"/>
        <v>0</v>
      </c>
      <c r="FO175" s="163">
        <f t="shared" si="555"/>
        <v>0</v>
      </c>
      <c r="FP175" s="163">
        <f t="shared" si="555"/>
        <v>0</v>
      </c>
      <c r="FQ175" s="163">
        <f t="shared" si="555"/>
        <v>0</v>
      </c>
      <c r="FR175" s="163">
        <f t="shared" si="555"/>
        <v>0</v>
      </c>
      <c r="FS175" s="163">
        <f t="shared" si="555"/>
        <v>0</v>
      </c>
      <c r="FT175" s="163">
        <f t="shared" si="555"/>
        <v>0</v>
      </c>
      <c r="FU175" s="163">
        <f t="shared" si="555"/>
        <v>0</v>
      </c>
      <c r="FV175" s="314"/>
    </row>
    <row r="176" spans="1:178" x14ac:dyDescent="0.2">
      <c r="B176" s="47"/>
      <c r="C176" s="39" t="s">
        <v>131</v>
      </c>
      <c r="E176" s="163">
        <f t="shared" si="549"/>
        <v>-205090.82926339842</v>
      </c>
      <c r="F176" s="261">
        <f>IF(AND(F55&gt;=EOMONTH($F$9,$E$38),F55&lt;=$F$11),-($F$38+F175),0)*(F53&gt;0)</f>
        <v>0</v>
      </c>
      <c r="G176" s="163">
        <f t="shared" ref="G176:BR176" si="564">IF(AND(G55&gt;=EOMONTH($F$9,$E$38),G55&lt;=$F$11),-($F$38+G175),0)*(G53&gt;0)</f>
        <v>-5136.246230662262</v>
      </c>
      <c r="H176" s="163">
        <f t="shared" si="564"/>
        <v>-5166.207667007795</v>
      </c>
      <c r="I176" s="163">
        <f t="shared" si="564"/>
        <v>-5196.3438783986712</v>
      </c>
      <c r="J176" s="163">
        <f t="shared" si="564"/>
        <v>-5226.6558843559978</v>
      </c>
      <c r="K176" s="163">
        <f t="shared" si="564"/>
        <v>-5257.144710348075</v>
      </c>
      <c r="L176" s="163">
        <f t="shared" si="564"/>
        <v>-5287.8113878251024</v>
      </c>
      <c r="M176" s="163">
        <f t="shared" si="564"/>
        <v>-5318.6569542540819</v>
      </c>
      <c r="N176" s="163">
        <f t="shared" si="564"/>
        <v>-5349.6824531539023</v>
      </c>
      <c r="O176" s="163">
        <f t="shared" si="564"/>
        <v>-5380.8889341306276</v>
      </c>
      <c r="P176" s="163">
        <f t="shared" si="564"/>
        <v>-5412.2774529130547</v>
      </c>
      <c r="Q176" s="163">
        <f t="shared" si="564"/>
        <v>-5443.8490713883803</v>
      </c>
      <c r="R176" s="163">
        <f t="shared" si="564"/>
        <v>-5475.6048576381436</v>
      </c>
      <c r="S176" s="163">
        <f t="shared" si="564"/>
        <v>-5507.545885974374</v>
      </c>
      <c r="T176" s="163">
        <f t="shared" si="564"/>
        <v>-5539.6732369758902</v>
      </c>
      <c r="U176" s="163">
        <f t="shared" si="564"/>
        <v>-5571.9879975249132</v>
      </c>
      <c r="V176" s="163">
        <f t="shared" si="564"/>
        <v>-5604.4912608438099</v>
      </c>
      <c r="W176" s="163">
        <f t="shared" si="564"/>
        <v>-5637.1841265320691</v>
      </c>
      <c r="X176" s="163">
        <f t="shared" si="564"/>
        <v>-5670.0677006034966</v>
      </c>
      <c r="Y176" s="163">
        <f t="shared" si="564"/>
        <v>-5703.1430955236865</v>
      </c>
      <c r="Z176" s="163">
        <f t="shared" si="564"/>
        <v>-5736.4114302475718</v>
      </c>
      <c r="AA176" s="163">
        <f t="shared" si="564"/>
        <v>-5769.8738302573474</v>
      </c>
      <c r="AB176" s="163">
        <f t="shared" si="564"/>
        <v>-5803.5314276005156</v>
      </c>
      <c r="AC176" s="163">
        <f t="shared" si="564"/>
        <v>-5837.3853609281796</v>
      </c>
      <c r="AD176" s="163">
        <f t="shared" si="564"/>
        <v>-5871.4367755335988</v>
      </c>
      <c r="AE176" s="163">
        <f t="shared" si="564"/>
        <v>-5905.6868233908754</v>
      </c>
      <c r="AF176" s="163">
        <f t="shared" si="564"/>
        <v>-5940.1366631939891</v>
      </c>
      <c r="AG176" s="163">
        <f t="shared" si="564"/>
        <v>-5974.7874603959499</v>
      </c>
      <c r="AH176" s="163">
        <f t="shared" si="564"/>
        <v>-6009.6403872482624</v>
      </c>
      <c r="AI176" s="163">
        <f t="shared" si="564"/>
        <v>-6044.6966228405436</v>
      </c>
      <c r="AJ176" s="163">
        <f t="shared" si="564"/>
        <v>-6079.9573531404458</v>
      </c>
      <c r="AK176" s="163">
        <f t="shared" si="564"/>
        <v>-6115.423771033762</v>
      </c>
      <c r="AL176" s="163">
        <f t="shared" si="564"/>
        <v>-6151.0970763647929</v>
      </c>
      <c r="AM176" s="163">
        <f t="shared" si="564"/>
        <v>-6186.9784759769245</v>
      </c>
      <c r="AN176" s="163">
        <f t="shared" si="564"/>
        <v>-6223.0691837534541</v>
      </c>
      <c r="AO176" s="163">
        <f t="shared" si="564"/>
        <v>-6259.3704206586845</v>
      </c>
      <c r="AP176" s="163">
        <f t="shared" si="564"/>
        <v>-6295.8834147791931</v>
      </c>
      <c r="AQ176" s="163">
        <f t="shared" si="564"/>
        <v>0</v>
      </c>
      <c r="AR176" s="163">
        <f t="shared" si="564"/>
        <v>0</v>
      </c>
      <c r="AS176" s="163">
        <f t="shared" si="564"/>
        <v>0</v>
      </c>
      <c r="AT176" s="163">
        <f t="shared" si="564"/>
        <v>0</v>
      </c>
      <c r="AU176" s="163">
        <f t="shared" si="564"/>
        <v>0</v>
      </c>
      <c r="AV176" s="163">
        <f t="shared" si="564"/>
        <v>0</v>
      </c>
      <c r="AW176" s="163">
        <f t="shared" si="564"/>
        <v>0</v>
      </c>
      <c r="AX176" s="163">
        <f t="shared" si="564"/>
        <v>0</v>
      </c>
      <c r="AY176" s="163">
        <f t="shared" si="564"/>
        <v>0</v>
      </c>
      <c r="AZ176" s="163">
        <f t="shared" si="564"/>
        <v>0</v>
      </c>
      <c r="BA176" s="163">
        <f t="shared" si="564"/>
        <v>0</v>
      </c>
      <c r="BB176" s="163">
        <f t="shared" si="564"/>
        <v>0</v>
      </c>
      <c r="BC176" s="163">
        <f t="shared" si="564"/>
        <v>0</v>
      </c>
      <c r="BD176" s="163">
        <f t="shared" si="564"/>
        <v>0</v>
      </c>
      <c r="BE176" s="163">
        <f t="shared" si="564"/>
        <v>0</v>
      </c>
      <c r="BF176" s="163">
        <f t="shared" si="564"/>
        <v>0</v>
      </c>
      <c r="BG176" s="163">
        <f t="shared" si="564"/>
        <v>0</v>
      </c>
      <c r="BH176" s="163">
        <f t="shared" si="564"/>
        <v>0</v>
      </c>
      <c r="BI176" s="163">
        <f t="shared" si="564"/>
        <v>0</v>
      </c>
      <c r="BJ176" s="163">
        <f t="shared" si="564"/>
        <v>0</v>
      </c>
      <c r="BK176" s="163">
        <f t="shared" si="564"/>
        <v>0</v>
      </c>
      <c r="BL176" s="163">
        <f t="shared" si="564"/>
        <v>0</v>
      </c>
      <c r="BM176" s="163">
        <f t="shared" si="564"/>
        <v>0</v>
      </c>
      <c r="BN176" s="163">
        <f t="shared" si="564"/>
        <v>0</v>
      </c>
      <c r="BO176" s="163">
        <f t="shared" si="564"/>
        <v>0</v>
      </c>
      <c r="BP176" s="163">
        <f t="shared" si="564"/>
        <v>0</v>
      </c>
      <c r="BQ176" s="163">
        <f t="shared" si="564"/>
        <v>0</v>
      </c>
      <c r="BR176" s="163">
        <f t="shared" si="564"/>
        <v>0</v>
      </c>
      <c r="BS176" s="163">
        <f t="shared" ref="BS176:ED176" si="565">IF(AND(BS55&gt;=EOMONTH($F$9,$E$38),BS55&lt;=$F$11),-($F$38+BS175),0)*(BS53&gt;0)</f>
        <v>0</v>
      </c>
      <c r="BT176" s="163">
        <f t="shared" si="565"/>
        <v>0</v>
      </c>
      <c r="BU176" s="163">
        <f t="shared" si="565"/>
        <v>0</v>
      </c>
      <c r="BV176" s="163">
        <f t="shared" si="565"/>
        <v>0</v>
      </c>
      <c r="BW176" s="163">
        <f t="shared" si="565"/>
        <v>0</v>
      </c>
      <c r="BX176" s="163">
        <f t="shared" si="565"/>
        <v>0</v>
      </c>
      <c r="BY176" s="163">
        <f t="shared" si="565"/>
        <v>0</v>
      </c>
      <c r="BZ176" s="163">
        <f t="shared" si="565"/>
        <v>0</v>
      </c>
      <c r="CA176" s="163">
        <f t="shared" si="565"/>
        <v>0</v>
      </c>
      <c r="CB176" s="163">
        <f t="shared" si="565"/>
        <v>0</v>
      </c>
      <c r="CC176" s="163">
        <f t="shared" si="565"/>
        <v>0</v>
      </c>
      <c r="CD176" s="163">
        <f t="shared" si="565"/>
        <v>0</v>
      </c>
      <c r="CE176" s="163">
        <f t="shared" si="565"/>
        <v>0</v>
      </c>
      <c r="CF176" s="163">
        <f t="shared" si="565"/>
        <v>0</v>
      </c>
      <c r="CG176" s="163">
        <f t="shared" si="565"/>
        <v>0</v>
      </c>
      <c r="CH176" s="163">
        <f t="shared" si="565"/>
        <v>0</v>
      </c>
      <c r="CI176" s="163">
        <f t="shared" si="565"/>
        <v>0</v>
      </c>
      <c r="CJ176" s="163">
        <f t="shared" si="565"/>
        <v>0</v>
      </c>
      <c r="CK176" s="163">
        <f t="shared" si="565"/>
        <v>0</v>
      </c>
      <c r="CL176" s="163">
        <f t="shared" si="565"/>
        <v>0</v>
      </c>
      <c r="CM176" s="163">
        <f t="shared" si="565"/>
        <v>0</v>
      </c>
      <c r="CN176" s="163">
        <f t="shared" si="565"/>
        <v>0</v>
      </c>
      <c r="CO176" s="163">
        <f t="shared" si="565"/>
        <v>0</v>
      </c>
      <c r="CP176" s="163">
        <f t="shared" si="565"/>
        <v>0</v>
      </c>
      <c r="CQ176" s="163">
        <f t="shared" si="565"/>
        <v>0</v>
      </c>
      <c r="CR176" s="163">
        <f t="shared" si="565"/>
        <v>0</v>
      </c>
      <c r="CS176" s="163">
        <f t="shared" si="565"/>
        <v>0</v>
      </c>
      <c r="CT176" s="163">
        <f t="shared" si="565"/>
        <v>0</v>
      </c>
      <c r="CU176" s="163">
        <f t="shared" si="565"/>
        <v>0</v>
      </c>
      <c r="CV176" s="163">
        <f t="shared" si="565"/>
        <v>0</v>
      </c>
      <c r="CW176" s="163">
        <f t="shared" si="565"/>
        <v>0</v>
      </c>
      <c r="CX176" s="163">
        <f t="shared" si="565"/>
        <v>0</v>
      </c>
      <c r="CY176" s="163">
        <f t="shared" si="565"/>
        <v>0</v>
      </c>
      <c r="CZ176" s="163">
        <f t="shared" si="565"/>
        <v>0</v>
      </c>
      <c r="DA176" s="163">
        <f t="shared" si="565"/>
        <v>0</v>
      </c>
      <c r="DB176" s="163">
        <f t="shared" si="565"/>
        <v>0</v>
      </c>
      <c r="DC176" s="163">
        <f t="shared" si="565"/>
        <v>0</v>
      </c>
      <c r="DD176" s="163">
        <f t="shared" si="565"/>
        <v>0</v>
      </c>
      <c r="DE176" s="163">
        <f t="shared" si="565"/>
        <v>0</v>
      </c>
      <c r="DF176" s="163">
        <f t="shared" si="565"/>
        <v>0</v>
      </c>
      <c r="DG176" s="163">
        <f t="shared" si="565"/>
        <v>0</v>
      </c>
      <c r="DH176" s="163">
        <f t="shared" si="565"/>
        <v>0</v>
      </c>
      <c r="DI176" s="163">
        <f t="shared" si="565"/>
        <v>0</v>
      </c>
      <c r="DJ176" s="163">
        <f t="shared" si="565"/>
        <v>0</v>
      </c>
      <c r="DK176" s="163">
        <f t="shared" si="565"/>
        <v>0</v>
      </c>
      <c r="DL176" s="163">
        <f t="shared" si="565"/>
        <v>0</v>
      </c>
      <c r="DM176" s="163">
        <f t="shared" si="565"/>
        <v>0</v>
      </c>
      <c r="DN176" s="163">
        <f t="shared" si="565"/>
        <v>0</v>
      </c>
      <c r="DO176" s="163">
        <f t="shared" si="565"/>
        <v>0</v>
      </c>
      <c r="DP176" s="163">
        <f t="shared" si="565"/>
        <v>0</v>
      </c>
      <c r="DQ176" s="163">
        <f t="shared" si="565"/>
        <v>0</v>
      </c>
      <c r="DR176" s="163">
        <f t="shared" si="565"/>
        <v>0</v>
      </c>
      <c r="DS176" s="163">
        <f t="shared" si="565"/>
        <v>0</v>
      </c>
      <c r="DT176" s="163">
        <f t="shared" si="565"/>
        <v>0</v>
      </c>
      <c r="DU176" s="163">
        <f t="shared" si="565"/>
        <v>0</v>
      </c>
      <c r="DV176" s="163">
        <f t="shared" si="565"/>
        <v>0</v>
      </c>
      <c r="DW176" s="163">
        <f t="shared" si="565"/>
        <v>0</v>
      </c>
      <c r="DX176" s="163">
        <f t="shared" si="565"/>
        <v>0</v>
      </c>
      <c r="DY176" s="163">
        <f t="shared" si="565"/>
        <v>0</v>
      </c>
      <c r="DZ176" s="163">
        <f t="shared" si="565"/>
        <v>0</v>
      </c>
      <c r="EA176" s="163">
        <f t="shared" si="565"/>
        <v>0</v>
      </c>
      <c r="EB176" s="163">
        <f t="shared" si="565"/>
        <v>0</v>
      </c>
      <c r="EC176" s="163">
        <f t="shared" si="565"/>
        <v>0</v>
      </c>
      <c r="ED176" s="163">
        <f t="shared" si="565"/>
        <v>0</v>
      </c>
      <c r="EE176" s="163">
        <f t="shared" ref="EE176:FF176" si="566">IF(AND(EE55&gt;=EOMONTH($F$9,$E$38),EE55&lt;=$F$11),-($F$38+EE175),0)*(EE53&gt;0)</f>
        <v>0</v>
      </c>
      <c r="EF176" s="163">
        <f t="shared" si="566"/>
        <v>0</v>
      </c>
      <c r="EG176" s="163">
        <f t="shared" si="566"/>
        <v>0</v>
      </c>
      <c r="EH176" s="163">
        <f t="shared" si="566"/>
        <v>0</v>
      </c>
      <c r="EI176" s="163">
        <f t="shared" si="566"/>
        <v>0</v>
      </c>
      <c r="EJ176" s="163">
        <f t="shared" si="566"/>
        <v>0</v>
      </c>
      <c r="EK176" s="163">
        <f t="shared" si="566"/>
        <v>0</v>
      </c>
      <c r="EL176" s="163">
        <f t="shared" si="566"/>
        <v>0</v>
      </c>
      <c r="EM176" s="163">
        <f t="shared" si="566"/>
        <v>0</v>
      </c>
      <c r="EN176" s="163">
        <f t="shared" si="566"/>
        <v>0</v>
      </c>
      <c r="EO176" s="163">
        <f t="shared" si="566"/>
        <v>0</v>
      </c>
      <c r="EP176" s="163">
        <f t="shared" si="566"/>
        <v>0</v>
      </c>
      <c r="EQ176" s="163">
        <f t="shared" si="566"/>
        <v>0</v>
      </c>
      <c r="ER176" s="163">
        <f t="shared" si="566"/>
        <v>0</v>
      </c>
      <c r="ES176" s="163">
        <f t="shared" si="566"/>
        <v>0</v>
      </c>
      <c r="ET176" s="163">
        <f t="shared" si="566"/>
        <v>0</v>
      </c>
      <c r="EU176" s="163">
        <f t="shared" si="566"/>
        <v>0</v>
      </c>
      <c r="EV176" s="163">
        <f t="shared" si="566"/>
        <v>0</v>
      </c>
      <c r="EW176" s="163">
        <f t="shared" si="566"/>
        <v>0</v>
      </c>
      <c r="EX176" s="163">
        <f t="shared" si="566"/>
        <v>0</v>
      </c>
      <c r="EY176" s="163">
        <f t="shared" si="566"/>
        <v>0</v>
      </c>
      <c r="EZ176" s="163">
        <f t="shared" si="566"/>
        <v>0</v>
      </c>
      <c r="FA176" s="163">
        <f t="shared" si="566"/>
        <v>0</v>
      </c>
      <c r="FB176" s="163">
        <f t="shared" si="566"/>
        <v>0</v>
      </c>
      <c r="FC176" s="163">
        <f t="shared" si="566"/>
        <v>0</v>
      </c>
      <c r="FD176" s="163">
        <f t="shared" si="566"/>
        <v>0</v>
      </c>
      <c r="FE176" s="163">
        <f t="shared" si="566"/>
        <v>0</v>
      </c>
      <c r="FF176" s="163">
        <f t="shared" si="566"/>
        <v>0</v>
      </c>
      <c r="FG176" s="314"/>
      <c r="FH176" s="163">
        <f t="shared" si="555"/>
        <v>-31270.409758597903</v>
      </c>
      <c r="FI176" s="163">
        <f t="shared" si="555"/>
        <v>-65911.909931932751</v>
      </c>
      <c r="FJ176" s="163">
        <f t="shared" si="555"/>
        <v>-70676.687230300973</v>
      </c>
      <c r="FK176" s="163">
        <f t="shared" si="555"/>
        <v>-37231.822342566811</v>
      </c>
      <c r="FL176" s="163">
        <f t="shared" si="555"/>
        <v>0</v>
      </c>
      <c r="FM176" s="163">
        <f t="shared" si="555"/>
        <v>0</v>
      </c>
      <c r="FN176" s="163">
        <f t="shared" si="555"/>
        <v>0</v>
      </c>
      <c r="FO176" s="163">
        <f t="shared" si="555"/>
        <v>0</v>
      </c>
      <c r="FP176" s="163">
        <f t="shared" si="555"/>
        <v>0</v>
      </c>
      <c r="FQ176" s="163">
        <f t="shared" si="555"/>
        <v>0</v>
      </c>
      <c r="FR176" s="163">
        <f t="shared" si="555"/>
        <v>0</v>
      </c>
      <c r="FS176" s="163">
        <f t="shared" si="555"/>
        <v>0</v>
      </c>
      <c r="FT176" s="163">
        <f t="shared" si="555"/>
        <v>0</v>
      </c>
      <c r="FU176" s="163">
        <f t="shared" si="555"/>
        <v>0</v>
      </c>
      <c r="FV176" s="314"/>
    </row>
    <row r="177" spans="2:178" x14ac:dyDescent="0.2">
      <c r="B177" s="47"/>
      <c r="C177" s="39" t="s">
        <v>132</v>
      </c>
      <c r="E177" s="163">
        <f t="shared" si="549"/>
        <v>-6060980.5993080325</v>
      </c>
      <c r="F177" s="261">
        <f t="shared" ref="F177:AK177" si="567">IF(F55=$F$35,-SUM(F172:F176),0)</f>
        <v>0</v>
      </c>
      <c r="G177" s="163">
        <f t="shared" si="567"/>
        <v>0</v>
      </c>
      <c r="H177" s="163">
        <f t="shared" si="567"/>
        <v>0</v>
      </c>
      <c r="I177" s="163">
        <f t="shared" si="567"/>
        <v>0</v>
      </c>
      <c r="J177" s="163">
        <f t="shared" si="567"/>
        <v>0</v>
      </c>
      <c r="K177" s="163">
        <f t="shared" si="567"/>
        <v>0</v>
      </c>
      <c r="L177" s="163">
        <f t="shared" si="567"/>
        <v>0</v>
      </c>
      <c r="M177" s="163">
        <f t="shared" si="567"/>
        <v>0</v>
      </c>
      <c r="N177" s="163">
        <f t="shared" si="567"/>
        <v>0</v>
      </c>
      <c r="O177" s="163">
        <f t="shared" si="567"/>
        <v>0</v>
      </c>
      <c r="P177" s="163">
        <f t="shared" si="567"/>
        <v>0</v>
      </c>
      <c r="Q177" s="163">
        <f t="shared" si="567"/>
        <v>0</v>
      </c>
      <c r="R177" s="163">
        <f t="shared" si="567"/>
        <v>0</v>
      </c>
      <c r="S177" s="163">
        <f t="shared" si="567"/>
        <v>0</v>
      </c>
      <c r="T177" s="163">
        <f t="shared" si="567"/>
        <v>0</v>
      </c>
      <c r="U177" s="163">
        <f t="shared" si="567"/>
        <v>0</v>
      </c>
      <c r="V177" s="163">
        <f t="shared" si="567"/>
        <v>0</v>
      </c>
      <c r="W177" s="163">
        <f t="shared" si="567"/>
        <v>0</v>
      </c>
      <c r="X177" s="163">
        <f t="shared" si="567"/>
        <v>0</v>
      </c>
      <c r="Y177" s="163">
        <f t="shared" si="567"/>
        <v>0</v>
      </c>
      <c r="Z177" s="163">
        <f t="shared" si="567"/>
        <v>0</v>
      </c>
      <c r="AA177" s="163">
        <f t="shared" si="567"/>
        <v>0</v>
      </c>
      <c r="AB177" s="163">
        <f t="shared" si="567"/>
        <v>0</v>
      </c>
      <c r="AC177" s="163">
        <f t="shared" si="567"/>
        <v>0</v>
      </c>
      <c r="AD177" s="163">
        <f t="shared" si="567"/>
        <v>0</v>
      </c>
      <c r="AE177" s="163">
        <f t="shared" si="567"/>
        <v>0</v>
      </c>
      <c r="AF177" s="163">
        <f t="shared" si="567"/>
        <v>0</v>
      </c>
      <c r="AG177" s="163">
        <f t="shared" si="567"/>
        <v>0</v>
      </c>
      <c r="AH177" s="163">
        <f t="shared" si="567"/>
        <v>0</v>
      </c>
      <c r="AI177" s="163">
        <f t="shared" si="567"/>
        <v>0</v>
      </c>
      <c r="AJ177" s="163">
        <f t="shared" si="567"/>
        <v>0</v>
      </c>
      <c r="AK177" s="163">
        <f t="shared" si="567"/>
        <v>0</v>
      </c>
      <c r="AL177" s="163">
        <f t="shared" ref="AL177:BQ177" si="568">IF(AL55=$F$35,-SUM(AL172:AL176),0)</f>
        <v>0</v>
      </c>
      <c r="AM177" s="163">
        <f t="shared" si="568"/>
        <v>0</v>
      </c>
      <c r="AN177" s="163">
        <f t="shared" si="568"/>
        <v>0</v>
      </c>
      <c r="AO177" s="163">
        <f t="shared" si="568"/>
        <v>0</v>
      </c>
      <c r="AP177" s="163">
        <f t="shared" si="568"/>
        <v>-6060980.5993080325</v>
      </c>
      <c r="AQ177" s="163">
        <f t="shared" si="568"/>
        <v>0</v>
      </c>
      <c r="AR177" s="163">
        <f t="shared" si="568"/>
        <v>0</v>
      </c>
      <c r="AS177" s="163">
        <f t="shared" si="568"/>
        <v>0</v>
      </c>
      <c r="AT177" s="163">
        <f t="shared" si="568"/>
        <v>0</v>
      </c>
      <c r="AU177" s="163">
        <f t="shared" si="568"/>
        <v>0</v>
      </c>
      <c r="AV177" s="163">
        <f t="shared" si="568"/>
        <v>0</v>
      </c>
      <c r="AW177" s="163">
        <f t="shared" si="568"/>
        <v>0</v>
      </c>
      <c r="AX177" s="163">
        <f t="shared" si="568"/>
        <v>0</v>
      </c>
      <c r="AY177" s="163">
        <f t="shared" si="568"/>
        <v>0</v>
      </c>
      <c r="AZ177" s="163">
        <f t="shared" si="568"/>
        <v>0</v>
      </c>
      <c r="BA177" s="163">
        <f t="shared" si="568"/>
        <v>0</v>
      </c>
      <c r="BB177" s="163">
        <f t="shared" si="568"/>
        <v>0</v>
      </c>
      <c r="BC177" s="163">
        <f t="shared" si="568"/>
        <v>0</v>
      </c>
      <c r="BD177" s="163">
        <f t="shared" si="568"/>
        <v>0</v>
      </c>
      <c r="BE177" s="163">
        <f t="shared" si="568"/>
        <v>0</v>
      </c>
      <c r="BF177" s="163">
        <f t="shared" si="568"/>
        <v>0</v>
      </c>
      <c r="BG177" s="163">
        <f t="shared" si="568"/>
        <v>0</v>
      </c>
      <c r="BH177" s="163">
        <f t="shared" si="568"/>
        <v>0</v>
      </c>
      <c r="BI177" s="163">
        <f t="shared" si="568"/>
        <v>0</v>
      </c>
      <c r="BJ177" s="163">
        <f t="shared" si="568"/>
        <v>0</v>
      </c>
      <c r="BK177" s="163">
        <f t="shared" si="568"/>
        <v>0</v>
      </c>
      <c r="BL177" s="163">
        <f t="shared" si="568"/>
        <v>0</v>
      </c>
      <c r="BM177" s="163">
        <f t="shared" si="568"/>
        <v>0</v>
      </c>
      <c r="BN177" s="163">
        <f t="shared" si="568"/>
        <v>0</v>
      </c>
      <c r="BO177" s="163">
        <f t="shared" si="568"/>
        <v>0</v>
      </c>
      <c r="BP177" s="163">
        <f t="shared" si="568"/>
        <v>0</v>
      </c>
      <c r="BQ177" s="163">
        <f t="shared" si="568"/>
        <v>0</v>
      </c>
      <c r="BR177" s="163">
        <f t="shared" ref="BR177:CW177" si="569">IF(BR55=$F$35,-SUM(BR172:BR176),0)</f>
        <v>0</v>
      </c>
      <c r="BS177" s="163">
        <f t="shared" si="569"/>
        <v>0</v>
      </c>
      <c r="BT177" s="163">
        <f t="shared" si="569"/>
        <v>0</v>
      </c>
      <c r="BU177" s="163">
        <f t="shared" si="569"/>
        <v>0</v>
      </c>
      <c r="BV177" s="163">
        <f t="shared" si="569"/>
        <v>0</v>
      </c>
      <c r="BW177" s="163">
        <f t="shared" si="569"/>
        <v>0</v>
      </c>
      <c r="BX177" s="163">
        <f t="shared" si="569"/>
        <v>0</v>
      </c>
      <c r="BY177" s="163">
        <f t="shared" si="569"/>
        <v>0</v>
      </c>
      <c r="BZ177" s="163">
        <f t="shared" si="569"/>
        <v>0</v>
      </c>
      <c r="CA177" s="163">
        <f t="shared" si="569"/>
        <v>0</v>
      </c>
      <c r="CB177" s="163">
        <f t="shared" si="569"/>
        <v>0</v>
      </c>
      <c r="CC177" s="163">
        <f t="shared" si="569"/>
        <v>0</v>
      </c>
      <c r="CD177" s="163">
        <f t="shared" si="569"/>
        <v>0</v>
      </c>
      <c r="CE177" s="163">
        <f t="shared" si="569"/>
        <v>0</v>
      </c>
      <c r="CF177" s="163">
        <f t="shared" si="569"/>
        <v>0</v>
      </c>
      <c r="CG177" s="163">
        <f t="shared" si="569"/>
        <v>0</v>
      </c>
      <c r="CH177" s="163">
        <f t="shared" si="569"/>
        <v>0</v>
      </c>
      <c r="CI177" s="163">
        <f t="shared" si="569"/>
        <v>0</v>
      </c>
      <c r="CJ177" s="163">
        <f t="shared" si="569"/>
        <v>0</v>
      </c>
      <c r="CK177" s="163">
        <f t="shared" si="569"/>
        <v>0</v>
      </c>
      <c r="CL177" s="163">
        <f t="shared" si="569"/>
        <v>0</v>
      </c>
      <c r="CM177" s="163">
        <f t="shared" si="569"/>
        <v>0</v>
      </c>
      <c r="CN177" s="163">
        <f t="shared" si="569"/>
        <v>0</v>
      </c>
      <c r="CO177" s="163">
        <f t="shared" si="569"/>
        <v>0</v>
      </c>
      <c r="CP177" s="163">
        <f t="shared" si="569"/>
        <v>0</v>
      </c>
      <c r="CQ177" s="163">
        <f t="shared" si="569"/>
        <v>0</v>
      </c>
      <c r="CR177" s="163">
        <f t="shared" si="569"/>
        <v>0</v>
      </c>
      <c r="CS177" s="163">
        <f t="shared" si="569"/>
        <v>0</v>
      </c>
      <c r="CT177" s="163">
        <f t="shared" si="569"/>
        <v>0</v>
      </c>
      <c r="CU177" s="163">
        <f t="shared" si="569"/>
        <v>0</v>
      </c>
      <c r="CV177" s="163">
        <f t="shared" si="569"/>
        <v>0</v>
      </c>
      <c r="CW177" s="163">
        <f t="shared" si="569"/>
        <v>0</v>
      </c>
      <c r="CX177" s="163">
        <f t="shared" ref="CX177:EC177" si="570">IF(CX55=$F$35,-SUM(CX172:CX176),0)</f>
        <v>0</v>
      </c>
      <c r="CY177" s="163">
        <f t="shared" si="570"/>
        <v>0</v>
      </c>
      <c r="CZ177" s="163">
        <f t="shared" si="570"/>
        <v>0</v>
      </c>
      <c r="DA177" s="163">
        <f t="shared" si="570"/>
        <v>0</v>
      </c>
      <c r="DB177" s="163">
        <f t="shared" si="570"/>
        <v>0</v>
      </c>
      <c r="DC177" s="163">
        <f t="shared" si="570"/>
        <v>0</v>
      </c>
      <c r="DD177" s="163">
        <f t="shared" si="570"/>
        <v>0</v>
      </c>
      <c r="DE177" s="163">
        <f t="shared" si="570"/>
        <v>0</v>
      </c>
      <c r="DF177" s="163">
        <f t="shared" si="570"/>
        <v>0</v>
      </c>
      <c r="DG177" s="163">
        <f t="shared" si="570"/>
        <v>0</v>
      </c>
      <c r="DH177" s="163">
        <f t="shared" si="570"/>
        <v>0</v>
      </c>
      <c r="DI177" s="163">
        <f t="shared" si="570"/>
        <v>0</v>
      </c>
      <c r="DJ177" s="163">
        <f t="shared" si="570"/>
        <v>0</v>
      </c>
      <c r="DK177" s="163">
        <f t="shared" si="570"/>
        <v>0</v>
      </c>
      <c r="DL177" s="163">
        <f t="shared" si="570"/>
        <v>0</v>
      </c>
      <c r="DM177" s="163">
        <f t="shared" si="570"/>
        <v>0</v>
      </c>
      <c r="DN177" s="163">
        <f t="shared" si="570"/>
        <v>0</v>
      </c>
      <c r="DO177" s="163">
        <f t="shared" si="570"/>
        <v>0</v>
      </c>
      <c r="DP177" s="163">
        <f t="shared" si="570"/>
        <v>0</v>
      </c>
      <c r="DQ177" s="163">
        <f t="shared" si="570"/>
        <v>0</v>
      </c>
      <c r="DR177" s="163">
        <f t="shared" si="570"/>
        <v>0</v>
      </c>
      <c r="DS177" s="163">
        <f t="shared" si="570"/>
        <v>0</v>
      </c>
      <c r="DT177" s="163">
        <f t="shared" si="570"/>
        <v>0</v>
      </c>
      <c r="DU177" s="163">
        <f t="shared" si="570"/>
        <v>0</v>
      </c>
      <c r="DV177" s="163">
        <f t="shared" si="570"/>
        <v>0</v>
      </c>
      <c r="DW177" s="163">
        <f t="shared" si="570"/>
        <v>0</v>
      </c>
      <c r="DX177" s="163">
        <f t="shared" si="570"/>
        <v>0</v>
      </c>
      <c r="DY177" s="163">
        <f t="shared" si="570"/>
        <v>0</v>
      </c>
      <c r="DZ177" s="163">
        <f t="shared" si="570"/>
        <v>0</v>
      </c>
      <c r="EA177" s="163">
        <f t="shared" si="570"/>
        <v>0</v>
      </c>
      <c r="EB177" s="163">
        <f t="shared" si="570"/>
        <v>0</v>
      </c>
      <c r="EC177" s="163">
        <f t="shared" si="570"/>
        <v>0</v>
      </c>
      <c r="ED177" s="163">
        <f t="shared" ref="ED177:FF177" si="571">IF(ED55=$F$35,-SUM(ED172:ED176),0)</f>
        <v>0</v>
      </c>
      <c r="EE177" s="163">
        <f t="shared" si="571"/>
        <v>0</v>
      </c>
      <c r="EF177" s="163">
        <f t="shared" si="571"/>
        <v>0</v>
      </c>
      <c r="EG177" s="163">
        <f t="shared" si="571"/>
        <v>0</v>
      </c>
      <c r="EH177" s="163">
        <f t="shared" si="571"/>
        <v>0</v>
      </c>
      <c r="EI177" s="163">
        <f t="shared" si="571"/>
        <v>0</v>
      </c>
      <c r="EJ177" s="163">
        <f t="shared" si="571"/>
        <v>0</v>
      </c>
      <c r="EK177" s="163">
        <f t="shared" si="571"/>
        <v>0</v>
      </c>
      <c r="EL177" s="163">
        <f t="shared" si="571"/>
        <v>0</v>
      </c>
      <c r="EM177" s="163">
        <f t="shared" si="571"/>
        <v>0</v>
      </c>
      <c r="EN177" s="163">
        <f t="shared" si="571"/>
        <v>0</v>
      </c>
      <c r="EO177" s="163">
        <f t="shared" si="571"/>
        <v>0</v>
      </c>
      <c r="EP177" s="163">
        <f t="shared" si="571"/>
        <v>0</v>
      </c>
      <c r="EQ177" s="163">
        <f t="shared" si="571"/>
        <v>0</v>
      </c>
      <c r="ER177" s="163">
        <f t="shared" si="571"/>
        <v>0</v>
      </c>
      <c r="ES177" s="163">
        <f t="shared" si="571"/>
        <v>0</v>
      </c>
      <c r="ET177" s="163">
        <f t="shared" si="571"/>
        <v>0</v>
      </c>
      <c r="EU177" s="163">
        <f t="shared" si="571"/>
        <v>0</v>
      </c>
      <c r="EV177" s="163">
        <f t="shared" si="571"/>
        <v>0</v>
      </c>
      <c r="EW177" s="163">
        <f t="shared" si="571"/>
        <v>0</v>
      </c>
      <c r="EX177" s="163">
        <f t="shared" si="571"/>
        <v>0</v>
      </c>
      <c r="EY177" s="163">
        <f t="shared" si="571"/>
        <v>0</v>
      </c>
      <c r="EZ177" s="163">
        <f t="shared" si="571"/>
        <v>0</v>
      </c>
      <c r="FA177" s="163">
        <f t="shared" si="571"/>
        <v>0</v>
      </c>
      <c r="FB177" s="163">
        <f t="shared" si="571"/>
        <v>0</v>
      </c>
      <c r="FC177" s="163">
        <f t="shared" si="571"/>
        <v>0</v>
      </c>
      <c r="FD177" s="163">
        <f t="shared" si="571"/>
        <v>0</v>
      </c>
      <c r="FE177" s="163">
        <f t="shared" si="571"/>
        <v>0</v>
      </c>
      <c r="FF177" s="163">
        <f t="shared" si="571"/>
        <v>0</v>
      </c>
      <c r="FG177" s="314"/>
      <c r="FH177" s="163">
        <f t="shared" si="555"/>
        <v>0</v>
      </c>
      <c r="FI177" s="163">
        <f t="shared" si="555"/>
        <v>0</v>
      </c>
      <c r="FJ177" s="163">
        <f t="shared" si="555"/>
        <v>0</v>
      </c>
      <c r="FK177" s="163">
        <f t="shared" si="555"/>
        <v>-6060980.5993080325</v>
      </c>
      <c r="FL177" s="163">
        <f t="shared" si="555"/>
        <v>0</v>
      </c>
      <c r="FM177" s="163">
        <f t="shared" si="555"/>
        <v>0</v>
      </c>
      <c r="FN177" s="163">
        <f t="shared" si="555"/>
        <v>0</v>
      </c>
      <c r="FO177" s="163">
        <f t="shared" si="555"/>
        <v>0</v>
      </c>
      <c r="FP177" s="163">
        <f t="shared" si="555"/>
        <v>0</v>
      </c>
      <c r="FQ177" s="163">
        <f t="shared" si="555"/>
        <v>0</v>
      </c>
      <c r="FR177" s="163">
        <f t="shared" si="555"/>
        <v>0</v>
      </c>
      <c r="FS177" s="163">
        <f t="shared" si="555"/>
        <v>0</v>
      </c>
      <c r="FT177" s="163">
        <f t="shared" si="555"/>
        <v>0</v>
      </c>
      <c r="FU177" s="163">
        <f t="shared" si="555"/>
        <v>0</v>
      </c>
      <c r="FV177" s="314"/>
    </row>
    <row r="178" spans="2:178" s="77" customFormat="1" x14ac:dyDescent="0.2">
      <c r="B178" s="208"/>
      <c r="C178" s="80" t="s">
        <v>133</v>
      </c>
      <c r="D178" s="80"/>
      <c r="E178" s="80">
        <f>SUM(E173:E177)</f>
        <v>0</v>
      </c>
      <c r="F178" s="279">
        <f t="shared" ref="F178:AK178" si="572">SUM(F172:F177)</f>
        <v>6266071.4285714282</v>
      </c>
      <c r="G178" s="80">
        <f t="shared" si="572"/>
        <v>6260935.1823407663</v>
      </c>
      <c r="H178" s="80">
        <f t="shared" si="572"/>
        <v>6255768.9746737583</v>
      </c>
      <c r="I178" s="80">
        <f t="shared" si="572"/>
        <v>6250572.6307953596</v>
      </c>
      <c r="J178" s="80">
        <f t="shared" si="572"/>
        <v>6245345.9749110034</v>
      </c>
      <c r="K178" s="80">
        <f t="shared" si="572"/>
        <v>6240088.8302006554</v>
      </c>
      <c r="L178" s="80">
        <f t="shared" si="572"/>
        <v>6234801.0188128306</v>
      </c>
      <c r="M178" s="80">
        <f t="shared" si="572"/>
        <v>6229482.3618585765</v>
      </c>
      <c r="N178" s="80">
        <f t="shared" si="572"/>
        <v>6224132.6794054229</v>
      </c>
      <c r="O178" s="80">
        <f t="shared" si="572"/>
        <v>6218751.7904712921</v>
      </c>
      <c r="P178" s="80">
        <f t="shared" si="572"/>
        <v>6213339.513018379</v>
      </c>
      <c r="Q178" s="80">
        <f t="shared" si="572"/>
        <v>6207895.6639469909</v>
      </c>
      <c r="R178" s="80">
        <f t="shared" si="572"/>
        <v>6202420.0590893524</v>
      </c>
      <c r="S178" s="80">
        <f t="shared" si="572"/>
        <v>6196912.5132033778</v>
      </c>
      <c r="T178" s="80">
        <f t="shared" si="572"/>
        <v>6191372.8399664024</v>
      </c>
      <c r="U178" s="80">
        <f t="shared" si="572"/>
        <v>6185800.851968877</v>
      </c>
      <c r="V178" s="80">
        <f t="shared" si="572"/>
        <v>6180196.3607080337</v>
      </c>
      <c r="W178" s="80">
        <f t="shared" si="572"/>
        <v>6174559.176581502</v>
      </c>
      <c r="X178" s="80">
        <f t="shared" si="572"/>
        <v>6168889.1088808989</v>
      </c>
      <c r="Y178" s="80">
        <f t="shared" si="572"/>
        <v>6163185.9657853749</v>
      </c>
      <c r="Z178" s="80">
        <f t="shared" si="572"/>
        <v>6157449.5543551277</v>
      </c>
      <c r="AA178" s="80">
        <f t="shared" si="572"/>
        <v>6151679.6805248708</v>
      </c>
      <c r="AB178" s="80">
        <f t="shared" si="572"/>
        <v>6145876.1490972703</v>
      </c>
      <c r="AC178" s="80">
        <f t="shared" si="572"/>
        <v>6140038.7637363421</v>
      </c>
      <c r="AD178" s="80">
        <f t="shared" si="572"/>
        <v>6134167.3269608086</v>
      </c>
      <c r="AE178" s="80">
        <f t="shared" si="572"/>
        <v>6128261.6401374182</v>
      </c>
      <c r="AF178" s="80">
        <f t="shared" si="572"/>
        <v>6122321.5034742244</v>
      </c>
      <c r="AG178" s="80">
        <f t="shared" si="572"/>
        <v>6116346.7160138283</v>
      </c>
      <c r="AH178" s="80">
        <f t="shared" si="572"/>
        <v>6110337.07562658</v>
      </c>
      <c r="AI178" s="80">
        <f t="shared" si="572"/>
        <v>6104292.3790037399</v>
      </c>
      <c r="AJ178" s="80">
        <f t="shared" si="572"/>
        <v>6098212.4216505997</v>
      </c>
      <c r="AK178" s="80">
        <f t="shared" si="572"/>
        <v>6092096.9978795657</v>
      </c>
      <c r="AL178" s="80">
        <f t="shared" ref="AL178:CW178" si="573">SUM(AL172:AL177)</f>
        <v>6085945.9008032009</v>
      </c>
      <c r="AM178" s="80">
        <f t="shared" si="573"/>
        <v>6079758.9223272242</v>
      </c>
      <c r="AN178" s="80">
        <f t="shared" si="573"/>
        <v>6073535.8531434704</v>
      </c>
      <c r="AO178" s="80">
        <f t="shared" si="573"/>
        <v>6067276.4827228114</v>
      </c>
      <c r="AP178" s="80">
        <f t="shared" si="573"/>
        <v>0</v>
      </c>
      <c r="AQ178" s="80">
        <f t="shared" si="573"/>
        <v>0</v>
      </c>
      <c r="AR178" s="80">
        <f t="shared" si="573"/>
        <v>0</v>
      </c>
      <c r="AS178" s="80">
        <f t="shared" si="573"/>
        <v>0</v>
      </c>
      <c r="AT178" s="80">
        <f t="shared" si="573"/>
        <v>0</v>
      </c>
      <c r="AU178" s="80">
        <f t="shared" si="573"/>
        <v>0</v>
      </c>
      <c r="AV178" s="80">
        <f t="shared" si="573"/>
        <v>0</v>
      </c>
      <c r="AW178" s="80">
        <f t="shared" si="573"/>
        <v>0</v>
      </c>
      <c r="AX178" s="80">
        <f t="shared" si="573"/>
        <v>0</v>
      </c>
      <c r="AY178" s="80">
        <f t="shared" si="573"/>
        <v>0</v>
      </c>
      <c r="AZ178" s="80">
        <f t="shared" si="573"/>
        <v>0</v>
      </c>
      <c r="BA178" s="80">
        <f t="shared" si="573"/>
        <v>0</v>
      </c>
      <c r="BB178" s="80">
        <f t="shared" si="573"/>
        <v>0</v>
      </c>
      <c r="BC178" s="80">
        <f t="shared" si="573"/>
        <v>0</v>
      </c>
      <c r="BD178" s="80">
        <f t="shared" si="573"/>
        <v>0</v>
      </c>
      <c r="BE178" s="80">
        <f t="shared" si="573"/>
        <v>0</v>
      </c>
      <c r="BF178" s="80">
        <f t="shared" si="573"/>
        <v>0</v>
      </c>
      <c r="BG178" s="80">
        <f t="shared" si="573"/>
        <v>0</v>
      </c>
      <c r="BH178" s="80">
        <f t="shared" si="573"/>
        <v>0</v>
      </c>
      <c r="BI178" s="80">
        <f t="shared" si="573"/>
        <v>0</v>
      </c>
      <c r="BJ178" s="80">
        <f t="shared" si="573"/>
        <v>0</v>
      </c>
      <c r="BK178" s="80">
        <f t="shared" si="573"/>
        <v>0</v>
      </c>
      <c r="BL178" s="80">
        <f t="shared" si="573"/>
        <v>0</v>
      </c>
      <c r="BM178" s="80">
        <f t="shared" si="573"/>
        <v>0</v>
      </c>
      <c r="BN178" s="80">
        <f t="shared" si="573"/>
        <v>0</v>
      </c>
      <c r="BO178" s="80">
        <f t="shared" si="573"/>
        <v>0</v>
      </c>
      <c r="BP178" s="80">
        <f t="shared" si="573"/>
        <v>0</v>
      </c>
      <c r="BQ178" s="80">
        <f t="shared" si="573"/>
        <v>0</v>
      </c>
      <c r="BR178" s="80">
        <f t="shared" si="573"/>
        <v>0</v>
      </c>
      <c r="BS178" s="80">
        <f t="shared" si="573"/>
        <v>0</v>
      </c>
      <c r="BT178" s="80">
        <f t="shared" si="573"/>
        <v>0</v>
      </c>
      <c r="BU178" s="80">
        <f t="shared" si="573"/>
        <v>0</v>
      </c>
      <c r="BV178" s="80">
        <f t="shared" si="573"/>
        <v>0</v>
      </c>
      <c r="BW178" s="80">
        <f t="shared" si="573"/>
        <v>0</v>
      </c>
      <c r="BX178" s="80">
        <f t="shared" si="573"/>
        <v>0</v>
      </c>
      <c r="BY178" s="80">
        <f t="shared" si="573"/>
        <v>0</v>
      </c>
      <c r="BZ178" s="80">
        <f t="shared" si="573"/>
        <v>0</v>
      </c>
      <c r="CA178" s="80">
        <f t="shared" si="573"/>
        <v>0</v>
      </c>
      <c r="CB178" s="80">
        <f t="shared" si="573"/>
        <v>0</v>
      </c>
      <c r="CC178" s="80">
        <f t="shared" si="573"/>
        <v>0</v>
      </c>
      <c r="CD178" s="80">
        <f t="shared" si="573"/>
        <v>0</v>
      </c>
      <c r="CE178" s="80">
        <f t="shared" si="573"/>
        <v>0</v>
      </c>
      <c r="CF178" s="80">
        <f t="shared" si="573"/>
        <v>0</v>
      </c>
      <c r="CG178" s="80">
        <f t="shared" si="573"/>
        <v>0</v>
      </c>
      <c r="CH178" s="80">
        <f t="shared" si="573"/>
        <v>0</v>
      </c>
      <c r="CI178" s="80">
        <f t="shared" si="573"/>
        <v>0</v>
      </c>
      <c r="CJ178" s="80">
        <f t="shared" si="573"/>
        <v>0</v>
      </c>
      <c r="CK178" s="80">
        <f t="shared" si="573"/>
        <v>0</v>
      </c>
      <c r="CL178" s="80">
        <f t="shared" si="573"/>
        <v>0</v>
      </c>
      <c r="CM178" s="80">
        <f t="shared" si="573"/>
        <v>0</v>
      </c>
      <c r="CN178" s="80">
        <f t="shared" si="573"/>
        <v>0</v>
      </c>
      <c r="CO178" s="80">
        <f t="shared" si="573"/>
        <v>0</v>
      </c>
      <c r="CP178" s="80">
        <f t="shared" si="573"/>
        <v>0</v>
      </c>
      <c r="CQ178" s="80">
        <f t="shared" si="573"/>
        <v>0</v>
      </c>
      <c r="CR178" s="80">
        <f t="shared" si="573"/>
        <v>0</v>
      </c>
      <c r="CS178" s="80">
        <f t="shared" si="573"/>
        <v>0</v>
      </c>
      <c r="CT178" s="80">
        <f t="shared" si="573"/>
        <v>0</v>
      </c>
      <c r="CU178" s="80">
        <f t="shared" si="573"/>
        <v>0</v>
      </c>
      <c r="CV178" s="80">
        <f t="shared" si="573"/>
        <v>0</v>
      </c>
      <c r="CW178" s="80">
        <f t="shared" si="573"/>
        <v>0</v>
      </c>
      <c r="CX178" s="80">
        <f t="shared" ref="CX178:FF178" si="574">SUM(CX172:CX177)</f>
        <v>0</v>
      </c>
      <c r="CY178" s="80">
        <f t="shared" si="574"/>
        <v>0</v>
      </c>
      <c r="CZ178" s="80">
        <f t="shared" si="574"/>
        <v>0</v>
      </c>
      <c r="DA178" s="80">
        <f t="shared" si="574"/>
        <v>0</v>
      </c>
      <c r="DB178" s="80">
        <f t="shared" si="574"/>
        <v>0</v>
      </c>
      <c r="DC178" s="80">
        <f t="shared" si="574"/>
        <v>0</v>
      </c>
      <c r="DD178" s="80">
        <f t="shared" si="574"/>
        <v>0</v>
      </c>
      <c r="DE178" s="80">
        <f t="shared" si="574"/>
        <v>0</v>
      </c>
      <c r="DF178" s="80">
        <f t="shared" si="574"/>
        <v>0</v>
      </c>
      <c r="DG178" s="80">
        <f t="shared" si="574"/>
        <v>0</v>
      </c>
      <c r="DH178" s="80">
        <f t="shared" si="574"/>
        <v>0</v>
      </c>
      <c r="DI178" s="80">
        <f t="shared" si="574"/>
        <v>0</v>
      </c>
      <c r="DJ178" s="80">
        <f t="shared" si="574"/>
        <v>0</v>
      </c>
      <c r="DK178" s="80">
        <f t="shared" si="574"/>
        <v>0</v>
      </c>
      <c r="DL178" s="80">
        <f t="shared" si="574"/>
        <v>0</v>
      </c>
      <c r="DM178" s="80">
        <f t="shared" si="574"/>
        <v>0</v>
      </c>
      <c r="DN178" s="80">
        <f t="shared" si="574"/>
        <v>0</v>
      </c>
      <c r="DO178" s="80">
        <f t="shared" si="574"/>
        <v>0</v>
      </c>
      <c r="DP178" s="80">
        <f t="shared" si="574"/>
        <v>0</v>
      </c>
      <c r="DQ178" s="80">
        <f t="shared" si="574"/>
        <v>0</v>
      </c>
      <c r="DR178" s="80">
        <f t="shared" si="574"/>
        <v>0</v>
      </c>
      <c r="DS178" s="80">
        <f t="shared" si="574"/>
        <v>0</v>
      </c>
      <c r="DT178" s="80">
        <f t="shared" si="574"/>
        <v>0</v>
      </c>
      <c r="DU178" s="80">
        <f t="shared" si="574"/>
        <v>0</v>
      </c>
      <c r="DV178" s="80">
        <f t="shared" si="574"/>
        <v>0</v>
      </c>
      <c r="DW178" s="80">
        <f t="shared" si="574"/>
        <v>0</v>
      </c>
      <c r="DX178" s="80">
        <f t="shared" si="574"/>
        <v>0</v>
      </c>
      <c r="DY178" s="80">
        <f t="shared" si="574"/>
        <v>0</v>
      </c>
      <c r="DZ178" s="80">
        <f t="shared" si="574"/>
        <v>0</v>
      </c>
      <c r="EA178" s="80">
        <f t="shared" si="574"/>
        <v>0</v>
      </c>
      <c r="EB178" s="80">
        <f t="shared" si="574"/>
        <v>0</v>
      </c>
      <c r="EC178" s="80">
        <f t="shared" si="574"/>
        <v>0</v>
      </c>
      <c r="ED178" s="80">
        <f t="shared" si="574"/>
        <v>0</v>
      </c>
      <c r="EE178" s="80">
        <f t="shared" si="574"/>
        <v>0</v>
      </c>
      <c r="EF178" s="80">
        <f t="shared" si="574"/>
        <v>0</v>
      </c>
      <c r="EG178" s="80">
        <f t="shared" si="574"/>
        <v>0</v>
      </c>
      <c r="EH178" s="80">
        <f t="shared" si="574"/>
        <v>0</v>
      </c>
      <c r="EI178" s="80">
        <f t="shared" si="574"/>
        <v>0</v>
      </c>
      <c r="EJ178" s="80">
        <f t="shared" si="574"/>
        <v>0</v>
      </c>
      <c r="EK178" s="80">
        <f t="shared" si="574"/>
        <v>0</v>
      </c>
      <c r="EL178" s="80">
        <f t="shared" si="574"/>
        <v>0</v>
      </c>
      <c r="EM178" s="80">
        <f t="shared" si="574"/>
        <v>0</v>
      </c>
      <c r="EN178" s="80">
        <f t="shared" si="574"/>
        <v>0</v>
      </c>
      <c r="EO178" s="80">
        <f t="shared" si="574"/>
        <v>0</v>
      </c>
      <c r="EP178" s="80">
        <f t="shared" si="574"/>
        <v>0</v>
      </c>
      <c r="EQ178" s="80">
        <f t="shared" si="574"/>
        <v>0</v>
      </c>
      <c r="ER178" s="80">
        <f t="shared" si="574"/>
        <v>0</v>
      </c>
      <c r="ES178" s="80">
        <f t="shared" si="574"/>
        <v>0</v>
      </c>
      <c r="ET178" s="80">
        <f t="shared" si="574"/>
        <v>0</v>
      </c>
      <c r="EU178" s="80">
        <f t="shared" si="574"/>
        <v>0</v>
      </c>
      <c r="EV178" s="80">
        <f t="shared" si="574"/>
        <v>0</v>
      </c>
      <c r="EW178" s="80">
        <f t="shared" si="574"/>
        <v>0</v>
      </c>
      <c r="EX178" s="80">
        <f t="shared" si="574"/>
        <v>0</v>
      </c>
      <c r="EY178" s="80">
        <f t="shared" si="574"/>
        <v>0</v>
      </c>
      <c r="EZ178" s="80">
        <f t="shared" si="574"/>
        <v>0</v>
      </c>
      <c r="FA178" s="80">
        <f t="shared" si="574"/>
        <v>0</v>
      </c>
      <c r="FB178" s="80">
        <f t="shared" si="574"/>
        <v>0</v>
      </c>
      <c r="FC178" s="80">
        <f t="shared" si="574"/>
        <v>0</v>
      </c>
      <c r="FD178" s="80">
        <f t="shared" si="574"/>
        <v>0</v>
      </c>
      <c r="FE178" s="80">
        <f t="shared" si="574"/>
        <v>0</v>
      </c>
      <c r="FF178" s="80">
        <f t="shared" si="574"/>
        <v>0</v>
      </c>
      <c r="FG178" s="288"/>
      <c r="FH178" s="80">
        <f t="shared" ref="FH178:FU178" si="575">SUM(FH172:FH177)</f>
        <v>6234801.0188128306</v>
      </c>
      <c r="FI178" s="80">
        <f t="shared" si="575"/>
        <v>6168889.108880898</v>
      </c>
      <c r="FJ178" s="80">
        <f t="shared" si="575"/>
        <v>6098212.4216505969</v>
      </c>
      <c r="FK178" s="80">
        <f t="shared" si="575"/>
        <v>0</v>
      </c>
      <c r="FL178" s="80">
        <f t="shared" si="575"/>
        <v>0</v>
      </c>
      <c r="FM178" s="80">
        <f t="shared" si="575"/>
        <v>0</v>
      </c>
      <c r="FN178" s="80">
        <f t="shared" si="575"/>
        <v>0</v>
      </c>
      <c r="FO178" s="80">
        <f t="shared" si="575"/>
        <v>0</v>
      </c>
      <c r="FP178" s="80">
        <f t="shared" si="575"/>
        <v>0</v>
      </c>
      <c r="FQ178" s="80">
        <f t="shared" si="575"/>
        <v>0</v>
      </c>
      <c r="FR178" s="80">
        <f t="shared" si="575"/>
        <v>0</v>
      </c>
      <c r="FS178" s="80">
        <f t="shared" si="575"/>
        <v>0</v>
      </c>
      <c r="FT178" s="80">
        <f t="shared" si="575"/>
        <v>0</v>
      </c>
      <c r="FU178" s="80">
        <f t="shared" si="575"/>
        <v>0</v>
      </c>
      <c r="FV178" s="288"/>
    </row>
    <row r="179" spans="2:178" x14ac:dyDescent="0.2">
      <c r="B179" s="47"/>
      <c r="F179" s="255"/>
    </row>
    <row r="180" spans="2:178" x14ac:dyDescent="0.2">
      <c r="B180" s="47"/>
      <c r="C180" s="47" t="s">
        <v>166</v>
      </c>
      <c r="F180" s="255"/>
    </row>
    <row r="181" spans="2:178" x14ac:dyDescent="0.2">
      <c r="B181" s="47"/>
      <c r="C181" s="39" t="s">
        <v>128</v>
      </c>
      <c r="F181" s="255">
        <v>0</v>
      </c>
      <c r="G181" s="163">
        <f>F187</f>
        <v>0</v>
      </c>
      <c r="H181" s="163">
        <f>G187</f>
        <v>0</v>
      </c>
      <c r="I181" s="163">
        <f t="shared" ref="I181" si="576">H187</f>
        <v>0</v>
      </c>
      <c r="J181" s="163">
        <f>I187</f>
        <v>0</v>
      </c>
      <c r="K181" s="163">
        <f t="shared" ref="K181:U181" si="577">J187</f>
        <v>0</v>
      </c>
      <c r="L181" s="163">
        <f t="shared" si="577"/>
        <v>0</v>
      </c>
      <c r="M181" s="163">
        <f t="shared" si="577"/>
        <v>0</v>
      </c>
      <c r="N181" s="163">
        <f t="shared" si="577"/>
        <v>0</v>
      </c>
      <c r="O181" s="163">
        <f t="shared" si="577"/>
        <v>0</v>
      </c>
      <c r="P181" s="163">
        <f t="shared" si="577"/>
        <v>0</v>
      </c>
      <c r="Q181" s="163">
        <f t="shared" si="577"/>
        <v>0</v>
      </c>
      <c r="R181" s="163">
        <f t="shared" si="577"/>
        <v>0</v>
      </c>
      <c r="S181" s="163">
        <f t="shared" si="577"/>
        <v>0</v>
      </c>
      <c r="T181" s="163">
        <f t="shared" si="577"/>
        <v>0</v>
      </c>
      <c r="U181" s="163">
        <f t="shared" si="577"/>
        <v>0</v>
      </c>
      <c r="V181" s="163">
        <f>U187</f>
        <v>0</v>
      </c>
      <c r="W181" s="163">
        <f t="shared" ref="W181:AQ181" si="578">V187</f>
        <v>0</v>
      </c>
      <c r="X181" s="163">
        <f t="shared" si="578"/>
        <v>0</v>
      </c>
      <c r="Y181" s="163">
        <f t="shared" si="578"/>
        <v>0</v>
      </c>
      <c r="Z181" s="163">
        <f t="shared" si="578"/>
        <v>0</v>
      </c>
      <c r="AA181" s="163">
        <f t="shared" si="578"/>
        <v>0</v>
      </c>
      <c r="AB181" s="163">
        <f t="shared" si="578"/>
        <v>0</v>
      </c>
      <c r="AC181" s="163">
        <f t="shared" si="578"/>
        <v>0</v>
      </c>
      <c r="AD181" s="163">
        <f t="shared" si="578"/>
        <v>0</v>
      </c>
      <c r="AE181" s="163">
        <f t="shared" si="578"/>
        <v>0</v>
      </c>
      <c r="AF181" s="163">
        <f t="shared" si="578"/>
        <v>0</v>
      </c>
      <c r="AG181" s="163">
        <f t="shared" si="578"/>
        <v>0</v>
      </c>
      <c r="AH181" s="163">
        <f t="shared" si="578"/>
        <v>0</v>
      </c>
      <c r="AI181" s="163">
        <f t="shared" si="578"/>
        <v>0</v>
      </c>
      <c r="AJ181" s="163">
        <f t="shared" si="578"/>
        <v>0</v>
      </c>
      <c r="AK181" s="163">
        <f t="shared" si="578"/>
        <v>0</v>
      </c>
      <c r="AL181" s="163">
        <f t="shared" si="578"/>
        <v>0</v>
      </c>
      <c r="AM181" s="163">
        <f t="shared" si="578"/>
        <v>0</v>
      </c>
      <c r="AN181" s="163">
        <f t="shared" si="578"/>
        <v>0</v>
      </c>
      <c r="AO181" s="163">
        <f t="shared" si="578"/>
        <v>0</v>
      </c>
      <c r="AP181" s="163">
        <f t="shared" si="578"/>
        <v>0</v>
      </c>
      <c r="AQ181" s="163">
        <f t="shared" ca="1" si="578"/>
        <v>8883611.6884761341</v>
      </c>
      <c r="AR181" s="163">
        <f t="shared" ref="AR181:BW181" ca="1" si="579">AQ187</f>
        <v>8883611.6884761341</v>
      </c>
      <c r="AS181" s="163">
        <f t="shared" ca="1" si="579"/>
        <v>8883611.6884761341</v>
      </c>
      <c r="AT181" s="163">
        <f t="shared" ca="1" si="579"/>
        <v>8883611.6884761341</v>
      </c>
      <c r="AU181" s="163">
        <f t="shared" ca="1" si="579"/>
        <v>8883611.6884761341</v>
      </c>
      <c r="AV181" s="163">
        <f t="shared" ca="1" si="579"/>
        <v>8883611.6884761341</v>
      </c>
      <c r="AW181" s="163">
        <f t="shared" ca="1" si="579"/>
        <v>8883611.6884761341</v>
      </c>
      <c r="AX181" s="163">
        <f t="shared" ca="1" si="579"/>
        <v>8883611.6884761341</v>
      </c>
      <c r="AY181" s="163">
        <f t="shared" ca="1" si="579"/>
        <v>8883611.6884761341</v>
      </c>
      <c r="AZ181" s="163">
        <f t="shared" ca="1" si="579"/>
        <v>8883611.6884761341</v>
      </c>
      <c r="BA181" s="163">
        <f t="shared" ca="1" si="579"/>
        <v>8883611.6884761341</v>
      </c>
      <c r="BB181" s="163">
        <f t="shared" ca="1" si="579"/>
        <v>8883611.6884761341</v>
      </c>
      <c r="BC181" s="163">
        <f t="shared" ca="1" si="579"/>
        <v>8883611.6884761341</v>
      </c>
      <c r="BD181" s="163">
        <f t="shared" ca="1" si="579"/>
        <v>8883611.6884761341</v>
      </c>
      <c r="BE181" s="163">
        <f t="shared" ca="1" si="579"/>
        <v>8883611.6884761341</v>
      </c>
      <c r="BF181" s="163">
        <f t="shared" ca="1" si="579"/>
        <v>8883611.6884761341</v>
      </c>
      <c r="BG181" s="163">
        <f t="shared" ca="1" si="579"/>
        <v>8883611.6884761341</v>
      </c>
      <c r="BH181" s="163">
        <f t="shared" ca="1" si="579"/>
        <v>8883611.6884761341</v>
      </c>
      <c r="BI181" s="163">
        <f t="shared" ca="1" si="579"/>
        <v>8883611.6884761341</v>
      </c>
      <c r="BJ181" s="163">
        <f t="shared" ca="1" si="579"/>
        <v>8883611.6884761341</v>
      </c>
      <c r="BK181" s="163">
        <f t="shared" ca="1" si="579"/>
        <v>8883611.6884761341</v>
      </c>
      <c r="BL181" s="163">
        <f t="shared" ca="1" si="579"/>
        <v>8883611.6884761341</v>
      </c>
      <c r="BM181" s="163">
        <f t="shared" ca="1" si="579"/>
        <v>8883611.6884761341</v>
      </c>
      <c r="BN181" s="163">
        <f t="shared" ca="1" si="579"/>
        <v>8883611.6884761341</v>
      </c>
      <c r="BO181" s="163">
        <f t="shared" ca="1" si="579"/>
        <v>8883611.6884761341</v>
      </c>
      <c r="BP181" s="163">
        <f t="shared" ca="1" si="579"/>
        <v>8875580.7829745729</v>
      </c>
      <c r="BQ181" s="163">
        <f t="shared" ca="1" si="579"/>
        <v>8867506.376734877</v>
      </c>
      <c r="BR181" s="163">
        <f t="shared" ca="1" si="579"/>
        <v>8859388.2341280505</v>
      </c>
      <c r="BS181" s="163">
        <f t="shared" ca="1" si="579"/>
        <v>8851226.11824877</v>
      </c>
      <c r="BT181" s="163">
        <f t="shared" ca="1" si="579"/>
        <v>8843019.7909084763</v>
      </c>
      <c r="BU181" s="163">
        <f t="shared" ca="1" si="579"/>
        <v>8834769.0126284231</v>
      </c>
      <c r="BV181" s="163">
        <f t="shared" ca="1" si="579"/>
        <v>8826473.542632686</v>
      </c>
      <c r="BW181" s="163">
        <f t="shared" ca="1" si="579"/>
        <v>8818133.1388411392</v>
      </c>
      <c r="BX181" s="163">
        <f t="shared" ref="BX181:DC181" ca="1" si="580">BW187</f>
        <v>8809747.557862388</v>
      </c>
      <c r="BY181" s="163">
        <f t="shared" ca="1" si="580"/>
        <v>8801316.5549866688</v>
      </c>
      <c r="BZ181" s="163">
        <f t="shared" ca="1" si="580"/>
        <v>8792839.8841787055</v>
      </c>
      <c r="CA181" s="163">
        <f t="shared" ca="1" si="580"/>
        <v>8784317.2980705332</v>
      </c>
      <c r="CB181" s="163">
        <f t="shared" ca="1" si="580"/>
        <v>8775748.5479542743</v>
      </c>
      <c r="CC181" s="163">
        <f t="shared" ca="1" si="580"/>
        <v>8767133.3837748859</v>
      </c>
      <c r="CD181" s="163">
        <f t="shared" ca="1" si="580"/>
        <v>8758471.5541228596</v>
      </c>
      <c r="CE181" s="163">
        <f t="shared" ca="1" si="580"/>
        <v>8749762.8062268849</v>
      </c>
      <c r="CF181" s="163">
        <f t="shared" ca="1" si="580"/>
        <v>8741006.8859464731</v>
      </c>
      <c r="CG181" s="163">
        <f t="shared" ca="1" si="580"/>
        <v>8732203.5377645418</v>
      </c>
      <c r="CH181" s="163">
        <f t="shared" ca="1" si="580"/>
        <v>8723352.5047799591</v>
      </c>
      <c r="CI181" s="163">
        <f t="shared" ca="1" si="580"/>
        <v>8714453.5287000425</v>
      </c>
      <c r="CJ181" s="163">
        <f t="shared" ca="1" si="580"/>
        <v>8705506.3498330265</v>
      </c>
      <c r="CK181" s="163">
        <f t="shared" ca="1" si="580"/>
        <v>8696510.7070804816</v>
      </c>
      <c r="CL181" s="163">
        <f t="shared" ca="1" si="580"/>
        <v>8687466.337929694</v>
      </c>
      <c r="CM181" s="163">
        <f t="shared" ca="1" si="580"/>
        <v>8678372.9784460049</v>
      </c>
      <c r="CN181" s="163">
        <f t="shared" ca="1" si="580"/>
        <v>8669230.3632651139</v>
      </c>
      <c r="CO181" s="163">
        <f t="shared" ca="1" si="580"/>
        <v>8660038.2255853247</v>
      </c>
      <c r="CP181" s="163">
        <f t="shared" ca="1" si="580"/>
        <v>8650796.2971597705</v>
      </c>
      <c r="CQ181" s="163">
        <f t="shared" ca="1" si="580"/>
        <v>8641504.3082885779</v>
      </c>
      <c r="CR181" s="163">
        <f t="shared" ca="1" si="580"/>
        <v>8632161.9878109992</v>
      </c>
      <c r="CS181" s="163">
        <f t="shared" ca="1" si="580"/>
        <v>8622769.0630975012</v>
      </c>
      <c r="CT181" s="163">
        <f t="shared" ca="1" si="580"/>
        <v>8613325.260041805</v>
      </c>
      <c r="CU181" s="163">
        <f t="shared" ca="1" si="580"/>
        <v>8603830.303052891</v>
      </c>
      <c r="CV181" s="163">
        <f t="shared" ca="1" si="580"/>
        <v>8594283.9150469527</v>
      </c>
      <c r="CW181" s="163">
        <f t="shared" ca="1" si="580"/>
        <v>8584685.8174393158</v>
      </c>
      <c r="CX181" s="163">
        <f t="shared" ca="1" si="580"/>
        <v>8575035.7301363051</v>
      </c>
      <c r="CY181" s="163">
        <f t="shared" ca="1" si="580"/>
        <v>0</v>
      </c>
      <c r="CZ181" s="163">
        <f t="shared" ca="1" si="580"/>
        <v>0</v>
      </c>
      <c r="DA181" s="163">
        <f t="shared" ca="1" si="580"/>
        <v>0</v>
      </c>
      <c r="DB181" s="163">
        <f t="shared" ca="1" si="580"/>
        <v>0</v>
      </c>
      <c r="DC181" s="163">
        <f t="shared" ca="1" si="580"/>
        <v>0</v>
      </c>
      <c r="DD181" s="163">
        <f t="shared" ref="DD181:EI181" ca="1" si="581">DC187</f>
        <v>0</v>
      </c>
      <c r="DE181" s="163">
        <f t="shared" ca="1" si="581"/>
        <v>0</v>
      </c>
      <c r="DF181" s="163">
        <f t="shared" ca="1" si="581"/>
        <v>0</v>
      </c>
      <c r="DG181" s="163">
        <f t="shared" ca="1" si="581"/>
        <v>0</v>
      </c>
      <c r="DH181" s="163">
        <f t="shared" ca="1" si="581"/>
        <v>0</v>
      </c>
      <c r="DI181" s="163">
        <f t="shared" ca="1" si="581"/>
        <v>0</v>
      </c>
      <c r="DJ181" s="163">
        <f t="shared" ca="1" si="581"/>
        <v>0</v>
      </c>
      <c r="DK181" s="163">
        <f t="shared" ca="1" si="581"/>
        <v>0</v>
      </c>
      <c r="DL181" s="163">
        <f t="shared" ca="1" si="581"/>
        <v>0</v>
      </c>
      <c r="DM181" s="163">
        <f t="shared" ca="1" si="581"/>
        <v>0</v>
      </c>
      <c r="DN181" s="163">
        <f t="shared" ca="1" si="581"/>
        <v>0</v>
      </c>
      <c r="DO181" s="163">
        <f t="shared" ca="1" si="581"/>
        <v>0</v>
      </c>
      <c r="DP181" s="163">
        <f t="shared" ca="1" si="581"/>
        <v>0</v>
      </c>
      <c r="DQ181" s="163">
        <f t="shared" ca="1" si="581"/>
        <v>0</v>
      </c>
      <c r="DR181" s="163">
        <f t="shared" ca="1" si="581"/>
        <v>0</v>
      </c>
      <c r="DS181" s="163">
        <f t="shared" ca="1" si="581"/>
        <v>0</v>
      </c>
      <c r="DT181" s="163">
        <f t="shared" ca="1" si="581"/>
        <v>0</v>
      </c>
      <c r="DU181" s="163">
        <f t="shared" ca="1" si="581"/>
        <v>0</v>
      </c>
      <c r="DV181" s="163">
        <f t="shared" ca="1" si="581"/>
        <v>0</v>
      </c>
      <c r="DW181" s="163">
        <f t="shared" ca="1" si="581"/>
        <v>0</v>
      </c>
      <c r="DX181" s="163">
        <f t="shared" ca="1" si="581"/>
        <v>0</v>
      </c>
      <c r="DY181" s="163">
        <f t="shared" ca="1" si="581"/>
        <v>0</v>
      </c>
      <c r="DZ181" s="163">
        <f t="shared" ca="1" si="581"/>
        <v>0</v>
      </c>
      <c r="EA181" s="163">
        <f t="shared" ca="1" si="581"/>
        <v>0</v>
      </c>
      <c r="EB181" s="163">
        <f t="shared" ca="1" si="581"/>
        <v>0</v>
      </c>
      <c r="EC181" s="163">
        <f t="shared" ca="1" si="581"/>
        <v>0</v>
      </c>
      <c r="ED181" s="163">
        <f t="shared" ca="1" si="581"/>
        <v>0</v>
      </c>
      <c r="EE181" s="163">
        <f t="shared" ca="1" si="581"/>
        <v>0</v>
      </c>
      <c r="EF181" s="163">
        <f t="shared" ca="1" si="581"/>
        <v>0</v>
      </c>
      <c r="EG181" s="163">
        <f t="shared" ca="1" si="581"/>
        <v>0</v>
      </c>
      <c r="EH181" s="163">
        <f t="shared" ca="1" si="581"/>
        <v>0</v>
      </c>
      <c r="EI181" s="163">
        <f t="shared" ca="1" si="581"/>
        <v>0</v>
      </c>
      <c r="EJ181" s="163">
        <f t="shared" ref="EJ181:FF181" ca="1" si="582">EI187</f>
        <v>0</v>
      </c>
      <c r="EK181" s="163">
        <f t="shared" ca="1" si="582"/>
        <v>0</v>
      </c>
      <c r="EL181" s="163">
        <f t="shared" ca="1" si="582"/>
        <v>0</v>
      </c>
      <c r="EM181" s="163">
        <f t="shared" ca="1" si="582"/>
        <v>0</v>
      </c>
      <c r="EN181" s="163">
        <f t="shared" ca="1" si="582"/>
        <v>0</v>
      </c>
      <c r="EO181" s="163">
        <f t="shared" ca="1" si="582"/>
        <v>0</v>
      </c>
      <c r="EP181" s="163">
        <f t="shared" ca="1" si="582"/>
        <v>0</v>
      </c>
      <c r="EQ181" s="163">
        <f t="shared" ca="1" si="582"/>
        <v>0</v>
      </c>
      <c r="ER181" s="163">
        <f t="shared" ca="1" si="582"/>
        <v>0</v>
      </c>
      <c r="ES181" s="163">
        <f t="shared" ca="1" si="582"/>
        <v>0</v>
      </c>
      <c r="ET181" s="163">
        <f t="shared" ca="1" si="582"/>
        <v>0</v>
      </c>
      <c r="EU181" s="163">
        <f t="shared" ca="1" si="582"/>
        <v>0</v>
      </c>
      <c r="EV181" s="163">
        <f t="shared" ca="1" si="582"/>
        <v>0</v>
      </c>
      <c r="EW181" s="163">
        <f t="shared" ca="1" si="582"/>
        <v>0</v>
      </c>
      <c r="EX181" s="163">
        <f t="shared" ca="1" si="582"/>
        <v>0</v>
      </c>
      <c r="EY181" s="163">
        <f t="shared" ca="1" si="582"/>
        <v>0</v>
      </c>
      <c r="EZ181" s="163">
        <f t="shared" ca="1" si="582"/>
        <v>0</v>
      </c>
      <c r="FA181" s="163">
        <f t="shared" ca="1" si="582"/>
        <v>0</v>
      </c>
      <c r="FB181" s="163">
        <f t="shared" ca="1" si="582"/>
        <v>0</v>
      </c>
      <c r="FC181" s="163">
        <f t="shared" ca="1" si="582"/>
        <v>0</v>
      </c>
      <c r="FD181" s="163">
        <f t="shared" ca="1" si="582"/>
        <v>0</v>
      </c>
      <c r="FE181" s="163">
        <f t="shared" ca="1" si="582"/>
        <v>0</v>
      </c>
      <c r="FF181" s="163">
        <f t="shared" ca="1" si="582"/>
        <v>0</v>
      </c>
      <c r="FG181" s="314"/>
      <c r="FH181" s="163">
        <f ca="1">EZ187</f>
        <v>0</v>
      </c>
      <c r="FI181" s="163">
        <f t="shared" ref="FI181:FU181" ca="1" si="583">FH187</f>
        <v>0</v>
      </c>
      <c r="FJ181" s="163">
        <f t="shared" ca="1" si="583"/>
        <v>0</v>
      </c>
      <c r="FK181" s="163">
        <f t="shared" ca="1" si="583"/>
        <v>0</v>
      </c>
      <c r="FL181" s="163">
        <f t="shared" ca="1" si="583"/>
        <v>8883611.6884761341</v>
      </c>
      <c r="FM181" s="163">
        <f t="shared" ca="1" si="583"/>
        <v>8883611.6884761341</v>
      </c>
      <c r="FN181" s="163">
        <f t="shared" ca="1" si="583"/>
        <v>8834769.0126284212</v>
      </c>
      <c r="FO181" s="163">
        <f t="shared" ca="1" si="583"/>
        <v>8732203.5377645362</v>
      </c>
      <c r="FP181" s="163">
        <f t="shared" ca="1" si="583"/>
        <v>8622769.0630974974</v>
      </c>
      <c r="FQ181" s="163">
        <f t="shared" ca="1" si="583"/>
        <v>0</v>
      </c>
      <c r="FR181" s="163">
        <f t="shared" ca="1" si="583"/>
        <v>0</v>
      </c>
      <c r="FS181" s="163">
        <f t="shared" ca="1" si="583"/>
        <v>0</v>
      </c>
      <c r="FT181" s="163">
        <f t="shared" ca="1" si="583"/>
        <v>0</v>
      </c>
      <c r="FU181" s="163">
        <f t="shared" ca="1" si="583"/>
        <v>0</v>
      </c>
      <c r="FV181" s="314"/>
    </row>
    <row r="182" spans="2:178" x14ac:dyDescent="0.2">
      <c r="B182" s="47"/>
      <c r="C182" s="39" t="s">
        <v>127</v>
      </c>
      <c r="E182" s="163">
        <f ca="1">SUM(F182:FF182)</f>
        <v>8883611.6884761341</v>
      </c>
      <c r="F182" s="261">
        <f t="shared" ref="F182:AK182" si="584">IF($C$50=TRUE,0,IF(F53=$E$11,$I$34,0))</f>
        <v>0</v>
      </c>
      <c r="G182" s="163">
        <f t="shared" si="584"/>
        <v>0</v>
      </c>
      <c r="H182" s="163">
        <f t="shared" si="584"/>
        <v>0</v>
      </c>
      <c r="I182" s="163">
        <f t="shared" si="584"/>
        <v>0</v>
      </c>
      <c r="J182" s="163">
        <f t="shared" si="584"/>
        <v>0</v>
      </c>
      <c r="K182" s="163">
        <f t="shared" si="584"/>
        <v>0</v>
      </c>
      <c r="L182" s="163">
        <f t="shared" si="584"/>
        <v>0</v>
      </c>
      <c r="M182" s="163">
        <f t="shared" si="584"/>
        <v>0</v>
      </c>
      <c r="N182" s="163">
        <f t="shared" si="584"/>
        <v>0</v>
      </c>
      <c r="O182" s="163">
        <f t="shared" si="584"/>
        <v>0</v>
      </c>
      <c r="P182" s="163">
        <f t="shared" si="584"/>
        <v>0</v>
      </c>
      <c r="Q182" s="163">
        <f t="shared" si="584"/>
        <v>0</v>
      </c>
      <c r="R182" s="163">
        <f t="shared" si="584"/>
        <v>0</v>
      </c>
      <c r="S182" s="163">
        <f t="shared" si="584"/>
        <v>0</v>
      </c>
      <c r="T182" s="163">
        <f t="shared" si="584"/>
        <v>0</v>
      </c>
      <c r="U182" s="163">
        <f t="shared" si="584"/>
        <v>0</v>
      </c>
      <c r="V182" s="163">
        <f t="shared" si="584"/>
        <v>0</v>
      </c>
      <c r="W182" s="163">
        <f t="shared" si="584"/>
        <v>0</v>
      </c>
      <c r="X182" s="163">
        <f t="shared" si="584"/>
        <v>0</v>
      </c>
      <c r="Y182" s="163">
        <f t="shared" si="584"/>
        <v>0</v>
      </c>
      <c r="Z182" s="163">
        <f t="shared" si="584"/>
        <v>0</v>
      </c>
      <c r="AA182" s="163">
        <f t="shared" si="584"/>
        <v>0</v>
      </c>
      <c r="AB182" s="163">
        <f t="shared" si="584"/>
        <v>0</v>
      </c>
      <c r="AC182" s="163">
        <f t="shared" si="584"/>
        <v>0</v>
      </c>
      <c r="AD182" s="163">
        <f t="shared" si="584"/>
        <v>0</v>
      </c>
      <c r="AE182" s="163">
        <f t="shared" si="584"/>
        <v>0</v>
      </c>
      <c r="AF182" s="163">
        <f t="shared" si="584"/>
        <v>0</v>
      </c>
      <c r="AG182" s="163">
        <f t="shared" si="584"/>
        <v>0</v>
      </c>
      <c r="AH182" s="163">
        <f t="shared" si="584"/>
        <v>0</v>
      </c>
      <c r="AI182" s="163">
        <f t="shared" si="584"/>
        <v>0</v>
      </c>
      <c r="AJ182" s="163">
        <f t="shared" si="584"/>
        <v>0</v>
      </c>
      <c r="AK182" s="163">
        <f t="shared" si="584"/>
        <v>0</v>
      </c>
      <c r="AL182" s="163">
        <f t="shared" ref="AL182:BQ182" si="585">IF($C$50=TRUE,0,IF(AL53=$E$11,$I$34,0))</f>
        <v>0</v>
      </c>
      <c r="AM182" s="163">
        <f t="shared" si="585"/>
        <v>0</v>
      </c>
      <c r="AN182" s="163">
        <f t="shared" si="585"/>
        <v>0</v>
      </c>
      <c r="AO182" s="163">
        <f t="shared" si="585"/>
        <v>0</v>
      </c>
      <c r="AP182" s="163">
        <f t="shared" ca="1" si="585"/>
        <v>8883611.6884761341</v>
      </c>
      <c r="AQ182" s="163">
        <f t="shared" si="585"/>
        <v>0</v>
      </c>
      <c r="AR182" s="163">
        <f t="shared" si="585"/>
        <v>0</v>
      </c>
      <c r="AS182" s="163">
        <f t="shared" si="585"/>
        <v>0</v>
      </c>
      <c r="AT182" s="163">
        <f t="shared" si="585"/>
        <v>0</v>
      </c>
      <c r="AU182" s="163">
        <f t="shared" si="585"/>
        <v>0</v>
      </c>
      <c r="AV182" s="163">
        <f t="shared" si="585"/>
        <v>0</v>
      </c>
      <c r="AW182" s="163">
        <f t="shared" si="585"/>
        <v>0</v>
      </c>
      <c r="AX182" s="163">
        <f t="shared" si="585"/>
        <v>0</v>
      </c>
      <c r="AY182" s="163">
        <f t="shared" si="585"/>
        <v>0</v>
      </c>
      <c r="AZ182" s="163">
        <f t="shared" si="585"/>
        <v>0</v>
      </c>
      <c r="BA182" s="163">
        <f t="shared" si="585"/>
        <v>0</v>
      </c>
      <c r="BB182" s="163">
        <f t="shared" si="585"/>
        <v>0</v>
      </c>
      <c r="BC182" s="163">
        <f t="shared" si="585"/>
        <v>0</v>
      </c>
      <c r="BD182" s="163">
        <f t="shared" si="585"/>
        <v>0</v>
      </c>
      <c r="BE182" s="163">
        <f t="shared" si="585"/>
        <v>0</v>
      </c>
      <c r="BF182" s="163">
        <f t="shared" si="585"/>
        <v>0</v>
      </c>
      <c r="BG182" s="163">
        <f t="shared" si="585"/>
        <v>0</v>
      </c>
      <c r="BH182" s="163">
        <f t="shared" si="585"/>
        <v>0</v>
      </c>
      <c r="BI182" s="163">
        <f t="shared" si="585"/>
        <v>0</v>
      </c>
      <c r="BJ182" s="163">
        <f t="shared" si="585"/>
        <v>0</v>
      </c>
      <c r="BK182" s="163">
        <f t="shared" si="585"/>
        <v>0</v>
      </c>
      <c r="BL182" s="163">
        <f t="shared" si="585"/>
        <v>0</v>
      </c>
      <c r="BM182" s="163">
        <f t="shared" si="585"/>
        <v>0</v>
      </c>
      <c r="BN182" s="163">
        <f t="shared" si="585"/>
        <v>0</v>
      </c>
      <c r="BO182" s="163">
        <f t="shared" si="585"/>
        <v>0</v>
      </c>
      <c r="BP182" s="163">
        <f t="shared" si="585"/>
        <v>0</v>
      </c>
      <c r="BQ182" s="163">
        <f t="shared" si="585"/>
        <v>0</v>
      </c>
      <c r="BR182" s="163">
        <f t="shared" ref="BR182:CW182" si="586">IF($C$50=TRUE,0,IF(BR53=$E$11,$I$34,0))</f>
        <v>0</v>
      </c>
      <c r="BS182" s="163">
        <f t="shared" si="586"/>
        <v>0</v>
      </c>
      <c r="BT182" s="163">
        <f t="shared" si="586"/>
        <v>0</v>
      </c>
      <c r="BU182" s="163">
        <f t="shared" si="586"/>
        <v>0</v>
      </c>
      <c r="BV182" s="163">
        <f t="shared" si="586"/>
        <v>0</v>
      </c>
      <c r="BW182" s="163">
        <f t="shared" si="586"/>
        <v>0</v>
      </c>
      <c r="BX182" s="163">
        <f t="shared" si="586"/>
        <v>0</v>
      </c>
      <c r="BY182" s="163">
        <f t="shared" si="586"/>
        <v>0</v>
      </c>
      <c r="BZ182" s="163">
        <f t="shared" si="586"/>
        <v>0</v>
      </c>
      <c r="CA182" s="163">
        <f t="shared" si="586"/>
        <v>0</v>
      </c>
      <c r="CB182" s="163">
        <f t="shared" si="586"/>
        <v>0</v>
      </c>
      <c r="CC182" s="163">
        <f t="shared" si="586"/>
        <v>0</v>
      </c>
      <c r="CD182" s="163">
        <f t="shared" si="586"/>
        <v>0</v>
      </c>
      <c r="CE182" s="163">
        <f t="shared" si="586"/>
        <v>0</v>
      </c>
      <c r="CF182" s="163">
        <f t="shared" si="586"/>
        <v>0</v>
      </c>
      <c r="CG182" s="163">
        <f t="shared" si="586"/>
        <v>0</v>
      </c>
      <c r="CH182" s="163">
        <f t="shared" si="586"/>
        <v>0</v>
      </c>
      <c r="CI182" s="163">
        <f t="shared" si="586"/>
        <v>0</v>
      </c>
      <c r="CJ182" s="163">
        <f t="shared" si="586"/>
        <v>0</v>
      </c>
      <c r="CK182" s="163">
        <f t="shared" si="586"/>
        <v>0</v>
      </c>
      <c r="CL182" s="163">
        <f t="shared" si="586"/>
        <v>0</v>
      </c>
      <c r="CM182" s="163">
        <f t="shared" si="586"/>
        <v>0</v>
      </c>
      <c r="CN182" s="163">
        <f t="shared" si="586"/>
        <v>0</v>
      </c>
      <c r="CO182" s="163">
        <f t="shared" si="586"/>
        <v>0</v>
      </c>
      <c r="CP182" s="163">
        <f t="shared" si="586"/>
        <v>0</v>
      </c>
      <c r="CQ182" s="163">
        <f t="shared" si="586"/>
        <v>0</v>
      </c>
      <c r="CR182" s="163">
        <f t="shared" si="586"/>
        <v>0</v>
      </c>
      <c r="CS182" s="163">
        <f t="shared" si="586"/>
        <v>0</v>
      </c>
      <c r="CT182" s="163">
        <f t="shared" si="586"/>
        <v>0</v>
      </c>
      <c r="CU182" s="163">
        <f t="shared" si="586"/>
        <v>0</v>
      </c>
      <c r="CV182" s="163">
        <f t="shared" si="586"/>
        <v>0</v>
      </c>
      <c r="CW182" s="163">
        <f t="shared" si="586"/>
        <v>0</v>
      </c>
      <c r="CX182" s="163">
        <f t="shared" ref="CX182:EC182" si="587">IF($C$50=TRUE,0,IF(CX53=$E$11,$I$34,0))</f>
        <v>0</v>
      </c>
      <c r="CY182" s="163">
        <f t="shared" si="587"/>
        <v>0</v>
      </c>
      <c r="CZ182" s="163">
        <f t="shared" si="587"/>
        <v>0</v>
      </c>
      <c r="DA182" s="163">
        <f t="shared" si="587"/>
        <v>0</v>
      </c>
      <c r="DB182" s="163">
        <f t="shared" si="587"/>
        <v>0</v>
      </c>
      <c r="DC182" s="163">
        <f t="shared" si="587"/>
        <v>0</v>
      </c>
      <c r="DD182" s="163">
        <f t="shared" si="587"/>
        <v>0</v>
      </c>
      <c r="DE182" s="163">
        <f t="shared" si="587"/>
        <v>0</v>
      </c>
      <c r="DF182" s="163">
        <f t="shared" si="587"/>
        <v>0</v>
      </c>
      <c r="DG182" s="163">
        <f t="shared" si="587"/>
        <v>0</v>
      </c>
      <c r="DH182" s="163">
        <f t="shared" si="587"/>
        <v>0</v>
      </c>
      <c r="DI182" s="163">
        <f t="shared" si="587"/>
        <v>0</v>
      </c>
      <c r="DJ182" s="163">
        <f t="shared" si="587"/>
        <v>0</v>
      </c>
      <c r="DK182" s="163">
        <f t="shared" si="587"/>
        <v>0</v>
      </c>
      <c r="DL182" s="163">
        <f t="shared" si="587"/>
        <v>0</v>
      </c>
      <c r="DM182" s="163">
        <f t="shared" si="587"/>
        <v>0</v>
      </c>
      <c r="DN182" s="163">
        <f t="shared" si="587"/>
        <v>0</v>
      </c>
      <c r="DO182" s="163">
        <f t="shared" si="587"/>
        <v>0</v>
      </c>
      <c r="DP182" s="163">
        <f t="shared" si="587"/>
        <v>0</v>
      </c>
      <c r="DQ182" s="163">
        <f t="shared" si="587"/>
        <v>0</v>
      </c>
      <c r="DR182" s="163">
        <f t="shared" si="587"/>
        <v>0</v>
      </c>
      <c r="DS182" s="163">
        <f t="shared" si="587"/>
        <v>0</v>
      </c>
      <c r="DT182" s="163">
        <f t="shared" si="587"/>
        <v>0</v>
      </c>
      <c r="DU182" s="163">
        <f t="shared" si="587"/>
        <v>0</v>
      </c>
      <c r="DV182" s="163">
        <f t="shared" si="587"/>
        <v>0</v>
      </c>
      <c r="DW182" s="163">
        <f t="shared" si="587"/>
        <v>0</v>
      </c>
      <c r="DX182" s="163">
        <f t="shared" si="587"/>
        <v>0</v>
      </c>
      <c r="DY182" s="163">
        <f t="shared" si="587"/>
        <v>0</v>
      </c>
      <c r="DZ182" s="163">
        <f t="shared" si="587"/>
        <v>0</v>
      </c>
      <c r="EA182" s="163">
        <f t="shared" si="587"/>
        <v>0</v>
      </c>
      <c r="EB182" s="163">
        <f t="shared" si="587"/>
        <v>0</v>
      </c>
      <c r="EC182" s="163">
        <f t="shared" si="587"/>
        <v>0</v>
      </c>
      <c r="ED182" s="163">
        <f t="shared" ref="ED182:FF182" si="588">IF($C$50=TRUE,0,IF(ED53=$E$11,$I$34,0))</f>
        <v>0</v>
      </c>
      <c r="EE182" s="163">
        <f t="shared" si="588"/>
        <v>0</v>
      </c>
      <c r="EF182" s="163">
        <f t="shared" si="588"/>
        <v>0</v>
      </c>
      <c r="EG182" s="163">
        <f t="shared" si="588"/>
        <v>0</v>
      </c>
      <c r="EH182" s="163">
        <f t="shared" si="588"/>
        <v>0</v>
      </c>
      <c r="EI182" s="163">
        <f t="shared" si="588"/>
        <v>0</v>
      </c>
      <c r="EJ182" s="163">
        <f t="shared" si="588"/>
        <v>0</v>
      </c>
      <c r="EK182" s="163">
        <f t="shared" si="588"/>
        <v>0</v>
      </c>
      <c r="EL182" s="163">
        <f t="shared" si="588"/>
        <v>0</v>
      </c>
      <c r="EM182" s="163">
        <f t="shared" si="588"/>
        <v>0</v>
      </c>
      <c r="EN182" s="163">
        <f t="shared" si="588"/>
        <v>0</v>
      </c>
      <c r="EO182" s="163">
        <f t="shared" si="588"/>
        <v>0</v>
      </c>
      <c r="EP182" s="163">
        <f t="shared" si="588"/>
        <v>0</v>
      </c>
      <c r="EQ182" s="163">
        <f t="shared" si="588"/>
        <v>0</v>
      </c>
      <c r="ER182" s="163">
        <f t="shared" si="588"/>
        <v>0</v>
      </c>
      <c r="ES182" s="163">
        <f t="shared" si="588"/>
        <v>0</v>
      </c>
      <c r="ET182" s="163">
        <f t="shared" si="588"/>
        <v>0</v>
      </c>
      <c r="EU182" s="163">
        <f t="shared" si="588"/>
        <v>0</v>
      </c>
      <c r="EV182" s="163">
        <f t="shared" si="588"/>
        <v>0</v>
      </c>
      <c r="EW182" s="163">
        <f t="shared" si="588"/>
        <v>0</v>
      </c>
      <c r="EX182" s="163">
        <f t="shared" si="588"/>
        <v>0</v>
      </c>
      <c r="EY182" s="163">
        <f t="shared" si="588"/>
        <v>0</v>
      </c>
      <c r="EZ182" s="163">
        <f t="shared" si="588"/>
        <v>0</v>
      </c>
      <c r="FA182" s="163">
        <f t="shared" si="588"/>
        <v>0</v>
      </c>
      <c r="FB182" s="163">
        <f t="shared" si="588"/>
        <v>0</v>
      </c>
      <c r="FC182" s="163">
        <f t="shared" si="588"/>
        <v>0</v>
      </c>
      <c r="FD182" s="163">
        <f t="shared" si="588"/>
        <v>0</v>
      </c>
      <c r="FE182" s="163">
        <f t="shared" si="588"/>
        <v>0</v>
      </c>
      <c r="FF182" s="163">
        <f t="shared" si="588"/>
        <v>0</v>
      </c>
      <c r="FG182" s="314"/>
      <c r="FH182" s="163">
        <f t="shared" ref="FH182:FU186" si="589">SUMIF($F$54:$FF$54,FH$54,$F182:$FF182)</f>
        <v>0</v>
      </c>
      <c r="FI182" s="163">
        <f t="shared" si="589"/>
        <v>0</v>
      </c>
      <c r="FJ182" s="163">
        <f t="shared" si="589"/>
        <v>0</v>
      </c>
      <c r="FK182" s="163">
        <f ca="1">SUMIF($F$54:$FF$54,FK$54,$F182:$FF182)</f>
        <v>8883611.6884761341</v>
      </c>
      <c r="FL182" s="163">
        <f t="shared" si="589"/>
        <v>0</v>
      </c>
      <c r="FM182" s="163">
        <f t="shared" si="589"/>
        <v>0</v>
      </c>
      <c r="FN182" s="163">
        <f t="shared" si="589"/>
        <v>0</v>
      </c>
      <c r="FO182" s="163">
        <f t="shared" si="589"/>
        <v>0</v>
      </c>
      <c r="FP182" s="163">
        <f t="shared" si="589"/>
        <v>0</v>
      </c>
      <c r="FQ182" s="163">
        <f t="shared" si="589"/>
        <v>0</v>
      </c>
      <c r="FR182" s="163">
        <f t="shared" si="589"/>
        <v>0</v>
      </c>
      <c r="FS182" s="163">
        <f t="shared" si="589"/>
        <v>0</v>
      </c>
      <c r="FT182" s="163">
        <f t="shared" si="589"/>
        <v>0</v>
      </c>
      <c r="FU182" s="163">
        <f t="shared" si="589"/>
        <v>0</v>
      </c>
      <c r="FV182" s="314"/>
    </row>
    <row r="183" spans="2:178" x14ac:dyDescent="0.2">
      <c r="B183" s="47"/>
      <c r="C183" s="39" t="s">
        <v>129</v>
      </c>
      <c r="E183" s="163">
        <f ca="1">SUM(F183:FF183)</f>
        <v>2858008.079861904</v>
      </c>
      <c r="F183" s="261">
        <f t="shared" ref="F183:AK183" si="590">IF($C$50=TRUE,0,F181)*$I$36/12</f>
        <v>0</v>
      </c>
      <c r="G183" s="163">
        <f t="shared" si="590"/>
        <v>0</v>
      </c>
      <c r="H183" s="163">
        <f t="shared" si="590"/>
        <v>0</v>
      </c>
      <c r="I183" s="163">
        <f t="shared" si="590"/>
        <v>0</v>
      </c>
      <c r="J183" s="163">
        <f t="shared" si="590"/>
        <v>0</v>
      </c>
      <c r="K183" s="163">
        <f t="shared" si="590"/>
        <v>0</v>
      </c>
      <c r="L183" s="163">
        <f t="shared" si="590"/>
        <v>0</v>
      </c>
      <c r="M183" s="163">
        <f t="shared" si="590"/>
        <v>0</v>
      </c>
      <c r="N183" s="163">
        <f t="shared" si="590"/>
        <v>0</v>
      </c>
      <c r="O183" s="163">
        <f t="shared" si="590"/>
        <v>0</v>
      </c>
      <c r="P183" s="163">
        <f t="shared" si="590"/>
        <v>0</v>
      </c>
      <c r="Q183" s="163">
        <f t="shared" si="590"/>
        <v>0</v>
      </c>
      <c r="R183" s="163">
        <f t="shared" si="590"/>
        <v>0</v>
      </c>
      <c r="S183" s="163">
        <f t="shared" si="590"/>
        <v>0</v>
      </c>
      <c r="T183" s="163">
        <f t="shared" si="590"/>
        <v>0</v>
      </c>
      <c r="U183" s="163">
        <f t="shared" si="590"/>
        <v>0</v>
      </c>
      <c r="V183" s="163">
        <f t="shared" si="590"/>
        <v>0</v>
      </c>
      <c r="W183" s="163">
        <f t="shared" si="590"/>
        <v>0</v>
      </c>
      <c r="X183" s="163">
        <f t="shared" si="590"/>
        <v>0</v>
      </c>
      <c r="Y183" s="163">
        <f t="shared" si="590"/>
        <v>0</v>
      </c>
      <c r="Z183" s="163">
        <f t="shared" si="590"/>
        <v>0</v>
      </c>
      <c r="AA183" s="163">
        <f t="shared" si="590"/>
        <v>0</v>
      </c>
      <c r="AB183" s="163">
        <f t="shared" si="590"/>
        <v>0</v>
      </c>
      <c r="AC183" s="163">
        <f t="shared" si="590"/>
        <v>0</v>
      </c>
      <c r="AD183" s="163">
        <f t="shared" si="590"/>
        <v>0</v>
      </c>
      <c r="AE183" s="163">
        <f t="shared" si="590"/>
        <v>0</v>
      </c>
      <c r="AF183" s="163">
        <f t="shared" si="590"/>
        <v>0</v>
      </c>
      <c r="AG183" s="163">
        <f t="shared" si="590"/>
        <v>0</v>
      </c>
      <c r="AH183" s="163">
        <f t="shared" si="590"/>
        <v>0</v>
      </c>
      <c r="AI183" s="163">
        <f t="shared" si="590"/>
        <v>0</v>
      </c>
      <c r="AJ183" s="163">
        <f t="shared" si="590"/>
        <v>0</v>
      </c>
      <c r="AK183" s="163">
        <f t="shared" si="590"/>
        <v>0</v>
      </c>
      <c r="AL183" s="163">
        <f t="shared" ref="AL183:BQ183" si="591">IF($C$50=TRUE,0,AL181)*$I$36/12</f>
        <v>0</v>
      </c>
      <c r="AM183" s="163">
        <f t="shared" si="591"/>
        <v>0</v>
      </c>
      <c r="AN183" s="163">
        <f t="shared" si="591"/>
        <v>0</v>
      </c>
      <c r="AO183" s="163">
        <f t="shared" si="591"/>
        <v>0</v>
      </c>
      <c r="AP183" s="163">
        <f t="shared" si="591"/>
        <v>0</v>
      </c>
      <c r="AQ183" s="163">
        <f t="shared" ca="1" si="591"/>
        <v>48119.563312579063</v>
      </c>
      <c r="AR183" s="163">
        <f t="shared" ca="1" si="591"/>
        <v>48119.563312579063</v>
      </c>
      <c r="AS183" s="163">
        <f t="shared" ca="1" si="591"/>
        <v>48119.563312579063</v>
      </c>
      <c r="AT183" s="163">
        <f t="shared" ca="1" si="591"/>
        <v>48119.563312579063</v>
      </c>
      <c r="AU183" s="163">
        <f t="shared" ca="1" si="591"/>
        <v>48119.563312579063</v>
      </c>
      <c r="AV183" s="163">
        <f t="shared" ca="1" si="591"/>
        <v>48119.563312579063</v>
      </c>
      <c r="AW183" s="163">
        <f t="shared" ca="1" si="591"/>
        <v>48119.563312579063</v>
      </c>
      <c r="AX183" s="163">
        <f t="shared" ca="1" si="591"/>
        <v>48119.563312579063</v>
      </c>
      <c r="AY183" s="163">
        <f t="shared" ca="1" si="591"/>
        <v>48119.563312579063</v>
      </c>
      <c r="AZ183" s="163">
        <f t="shared" ca="1" si="591"/>
        <v>48119.563312579063</v>
      </c>
      <c r="BA183" s="163">
        <f t="shared" ca="1" si="591"/>
        <v>48119.563312579063</v>
      </c>
      <c r="BB183" s="163">
        <f t="shared" ca="1" si="591"/>
        <v>48119.563312579063</v>
      </c>
      <c r="BC183" s="163">
        <f t="shared" ca="1" si="591"/>
        <v>48119.563312579063</v>
      </c>
      <c r="BD183" s="163">
        <f t="shared" ca="1" si="591"/>
        <v>48119.563312579063</v>
      </c>
      <c r="BE183" s="163">
        <f t="shared" ca="1" si="591"/>
        <v>48119.563312579063</v>
      </c>
      <c r="BF183" s="163">
        <f t="shared" ca="1" si="591"/>
        <v>48119.563312579063</v>
      </c>
      <c r="BG183" s="163">
        <f t="shared" ca="1" si="591"/>
        <v>48119.563312579063</v>
      </c>
      <c r="BH183" s="163">
        <f t="shared" ca="1" si="591"/>
        <v>48119.563312579063</v>
      </c>
      <c r="BI183" s="163">
        <f t="shared" ca="1" si="591"/>
        <v>48119.563312579063</v>
      </c>
      <c r="BJ183" s="163">
        <f t="shared" ca="1" si="591"/>
        <v>48119.563312579063</v>
      </c>
      <c r="BK183" s="163">
        <f t="shared" ca="1" si="591"/>
        <v>48119.563312579063</v>
      </c>
      <c r="BL183" s="163">
        <f t="shared" ca="1" si="591"/>
        <v>48119.563312579063</v>
      </c>
      <c r="BM183" s="163">
        <f t="shared" ca="1" si="591"/>
        <v>48119.563312579063</v>
      </c>
      <c r="BN183" s="163">
        <f t="shared" ca="1" si="591"/>
        <v>48119.563312579063</v>
      </c>
      <c r="BO183" s="163">
        <f t="shared" ca="1" si="591"/>
        <v>48119.563312579063</v>
      </c>
      <c r="BP183" s="163">
        <f t="shared" ca="1" si="591"/>
        <v>48076.062574445597</v>
      </c>
      <c r="BQ183" s="163">
        <f t="shared" ca="1" si="591"/>
        <v>48032.326207313919</v>
      </c>
      <c r="BR183" s="163">
        <f t="shared" ref="BR183:CW183" ca="1" si="592">IF($C$50=TRUE,0,BR181)*$I$36/12</f>
        <v>47988.352934860275</v>
      </c>
      <c r="BS183" s="163">
        <f t="shared" ca="1" si="592"/>
        <v>47944.141473847507</v>
      </c>
      <c r="BT183" s="163">
        <f t="shared" ca="1" si="592"/>
        <v>47899.690534087575</v>
      </c>
      <c r="BU183" s="163">
        <f t="shared" ca="1" si="592"/>
        <v>47854.998818403961</v>
      </c>
      <c r="BV183" s="163">
        <f t="shared" ca="1" si="592"/>
        <v>47810.065022593713</v>
      </c>
      <c r="BW183" s="163">
        <f t="shared" ca="1" si="592"/>
        <v>47764.887835389505</v>
      </c>
      <c r="BX183" s="163">
        <f t="shared" ca="1" si="592"/>
        <v>47719.465938421265</v>
      </c>
      <c r="BY183" s="163">
        <f t="shared" ca="1" si="592"/>
        <v>47673.798006177793</v>
      </c>
      <c r="BZ183" s="163">
        <f t="shared" ca="1" si="592"/>
        <v>47627.88270596799</v>
      </c>
      <c r="CA183" s="163">
        <f t="shared" ca="1" si="592"/>
        <v>47581.718697882054</v>
      </c>
      <c r="CB183" s="163">
        <f t="shared" ca="1" si="592"/>
        <v>47535.304634752327</v>
      </c>
      <c r="CC183" s="163">
        <f t="shared" ca="1" si="592"/>
        <v>47488.63916211397</v>
      </c>
      <c r="CD183" s="163">
        <f t="shared" ca="1" si="592"/>
        <v>47441.720918165491</v>
      </c>
      <c r="CE183" s="163">
        <f t="shared" ca="1" si="592"/>
        <v>47394.548533728957</v>
      </c>
      <c r="CF183" s="163">
        <f t="shared" ca="1" si="592"/>
        <v>47347.12063221007</v>
      </c>
      <c r="CG183" s="163">
        <f t="shared" ca="1" si="592"/>
        <v>47299.435829557937</v>
      </c>
      <c r="CH183" s="163">
        <f t="shared" ca="1" si="592"/>
        <v>47251.492734224776</v>
      </c>
      <c r="CI183" s="163">
        <f t="shared" ca="1" si="592"/>
        <v>47203.289947125239</v>
      </c>
      <c r="CJ183" s="163">
        <f t="shared" ca="1" si="592"/>
        <v>47154.826061595559</v>
      </c>
      <c r="CK183" s="163">
        <f t="shared" ca="1" si="592"/>
        <v>47106.099663352616</v>
      </c>
      <c r="CL183" s="163">
        <f t="shared" ca="1" si="592"/>
        <v>47057.109330452513</v>
      </c>
      <c r="CM183" s="163">
        <f t="shared" ca="1" si="592"/>
        <v>47007.8536332492</v>
      </c>
      <c r="CN183" s="163">
        <f t="shared" ca="1" si="592"/>
        <v>46958.331134352695</v>
      </c>
      <c r="CO183" s="163">
        <f t="shared" ca="1" si="592"/>
        <v>46908.540388587171</v>
      </c>
      <c r="CP183" s="163">
        <f t="shared" ca="1" si="592"/>
        <v>46858.479942948761</v>
      </c>
      <c r="CQ183" s="163">
        <f t="shared" ca="1" si="592"/>
        <v>46808.148336563136</v>
      </c>
      <c r="CR183" s="163">
        <f t="shared" ca="1" si="592"/>
        <v>46757.54410064291</v>
      </c>
      <c r="CS183" s="163">
        <f t="shared" ca="1" si="592"/>
        <v>46706.665758444804</v>
      </c>
      <c r="CT183" s="163">
        <f t="shared" ca="1" si="592"/>
        <v>46655.511825226444</v>
      </c>
      <c r="CU183" s="163">
        <f t="shared" ca="1" si="592"/>
        <v>46604.080808203165</v>
      </c>
      <c r="CV183" s="163">
        <f t="shared" ca="1" si="592"/>
        <v>46552.371206504329</v>
      </c>
      <c r="CW183" s="163">
        <f t="shared" ca="1" si="592"/>
        <v>46500.381511129635</v>
      </c>
      <c r="CX183" s="163">
        <f t="shared" ref="CX183:EC183" ca="1" si="593">IF($C$50=TRUE,0,CX181)*$I$36/12</f>
        <v>46448.110204904988</v>
      </c>
      <c r="CY183" s="163">
        <f t="shared" ca="1" si="593"/>
        <v>0</v>
      </c>
      <c r="CZ183" s="163">
        <f t="shared" ca="1" si="593"/>
        <v>0</v>
      </c>
      <c r="DA183" s="163">
        <f t="shared" ca="1" si="593"/>
        <v>0</v>
      </c>
      <c r="DB183" s="163">
        <f t="shared" ca="1" si="593"/>
        <v>0</v>
      </c>
      <c r="DC183" s="163">
        <f t="shared" ca="1" si="593"/>
        <v>0</v>
      </c>
      <c r="DD183" s="163">
        <f t="shared" ca="1" si="593"/>
        <v>0</v>
      </c>
      <c r="DE183" s="163">
        <f t="shared" ca="1" si="593"/>
        <v>0</v>
      </c>
      <c r="DF183" s="163">
        <f t="shared" ca="1" si="593"/>
        <v>0</v>
      </c>
      <c r="DG183" s="163">
        <f t="shared" ca="1" si="593"/>
        <v>0</v>
      </c>
      <c r="DH183" s="163">
        <f t="shared" ca="1" si="593"/>
        <v>0</v>
      </c>
      <c r="DI183" s="163">
        <f t="shared" ca="1" si="593"/>
        <v>0</v>
      </c>
      <c r="DJ183" s="163">
        <f t="shared" ca="1" si="593"/>
        <v>0</v>
      </c>
      <c r="DK183" s="163">
        <f t="shared" ca="1" si="593"/>
        <v>0</v>
      </c>
      <c r="DL183" s="163">
        <f t="shared" ca="1" si="593"/>
        <v>0</v>
      </c>
      <c r="DM183" s="163">
        <f t="shared" ca="1" si="593"/>
        <v>0</v>
      </c>
      <c r="DN183" s="163">
        <f t="shared" ca="1" si="593"/>
        <v>0</v>
      </c>
      <c r="DO183" s="163">
        <f t="shared" ca="1" si="593"/>
        <v>0</v>
      </c>
      <c r="DP183" s="163">
        <f t="shared" ca="1" si="593"/>
        <v>0</v>
      </c>
      <c r="DQ183" s="163">
        <f t="shared" ca="1" si="593"/>
        <v>0</v>
      </c>
      <c r="DR183" s="163">
        <f t="shared" ca="1" si="593"/>
        <v>0</v>
      </c>
      <c r="DS183" s="163">
        <f t="shared" ca="1" si="593"/>
        <v>0</v>
      </c>
      <c r="DT183" s="163">
        <f t="shared" ca="1" si="593"/>
        <v>0</v>
      </c>
      <c r="DU183" s="163">
        <f t="shared" ca="1" si="593"/>
        <v>0</v>
      </c>
      <c r="DV183" s="163">
        <f t="shared" ca="1" si="593"/>
        <v>0</v>
      </c>
      <c r="DW183" s="163">
        <f t="shared" ca="1" si="593"/>
        <v>0</v>
      </c>
      <c r="DX183" s="163">
        <f t="shared" ca="1" si="593"/>
        <v>0</v>
      </c>
      <c r="DY183" s="163">
        <f t="shared" ca="1" si="593"/>
        <v>0</v>
      </c>
      <c r="DZ183" s="163">
        <f t="shared" ca="1" si="593"/>
        <v>0</v>
      </c>
      <c r="EA183" s="163">
        <f t="shared" ca="1" si="593"/>
        <v>0</v>
      </c>
      <c r="EB183" s="163">
        <f t="shared" ca="1" si="593"/>
        <v>0</v>
      </c>
      <c r="EC183" s="163">
        <f t="shared" ca="1" si="593"/>
        <v>0</v>
      </c>
      <c r="ED183" s="163">
        <f t="shared" ref="ED183:FF183" ca="1" si="594">IF($C$50=TRUE,0,ED181)*$I$36/12</f>
        <v>0</v>
      </c>
      <c r="EE183" s="163">
        <f t="shared" ca="1" si="594"/>
        <v>0</v>
      </c>
      <c r="EF183" s="163">
        <f t="shared" ca="1" si="594"/>
        <v>0</v>
      </c>
      <c r="EG183" s="163">
        <f t="shared" ca="1" si="594"/>
        <v>0</v>
      </c>
      <c r="EH183" s="163">
        <f t="shared" ca="1" si="594"/>
        <v>0</v>
      </c>
      <c r="EI183" s="163">
        <f t="shared" ca="1" si="594"/>
        <v>0</v>
      </c>
      <c r="EJ183" s="163">
        <f t="shared" ca="1" si="594"/>
        <v>0</v>
      </c>
      <c r="EK183" s="163">
        <f t="shared" ca="1" si="594"/>
        <v>0</v>
      </c>
      <c r="EL183" s="163">
        <f t="shared" ca="1" si="594"/>
        <v>0</v>
      </c>
      <c r="EM183" s="163">
        <f t="shared" ca="1" si="594"/>
        <v>0</v>
      </c>
      <c r="EN183" s="163">
        <f t="shared" ca="1" si="594"/>
        <v>0</v>
      </c>
      <c r="EO183" s="163">
        <f t="shared" ca="1" si="594"/>
        <v>0</v>
      </c>
      <c r="EP183" s="163">
        <f t="shared" ca="1" si="594"/>
        <v>0</v>
      </c>
      <c r="EQ183" s="163">
        <f t="shared" ca="1" si="594"/>
        <v>0</v>
      </c>
      <c r="ER183" s="163">
        <f t="shared" ca="1" si="594"/>
        <v>0</v>
      </c>
      <c r="ES183" s="163">
        <f t="shared" ca="1" si="594"/>
        <v>0</v>
      </c>
      <c r="ET183" s="163">
        <f t="shared" ca="1" si="594"/>
        <v>0</v>
      </c>
      <c r="EU183" s="163">
        <f t="shared" ca="1" si="594"/>
        <v>0</v>
      </c>
      <c r="EV183" s="163">
        <f t="shared" ca="1" si="594"/>
        <v>0</v>
      </c>
      <c r="EW183" s="163">
        <f t="shared" ca="1" si="594"/>
        <v>0</v>
      </c>
      <c r="EX183" s="163">
        <f t="shared" ca="1" si="594"/>
        <v>0</v>
      </c>
      <c r="EY183" s="163">
        <f t="shared" ca="1" si="594"/>
        <v>0</v>
      </c>
      <c r="EZ183" s="163">
        <f t="shared" ca="1" si="594"/>
        <v>0</v>
      </c>
      <c r="FA183" s="163">
        <f t="shared" ca="1" si="594"/>
        <v>0</v>
      </c>
      <c r="FB183" s="163">
        <f t="shared" ca="1" si="594"/>
        <v>0</v>
      </c>
      <c r="FC183" s="163">
        <f t="shared" ca="1" si="594"/>
        <v>0</v>
      </c>
      <c r="FD183" s="163">
        <f t="shared" ca="1" si="594"/>
        <v>0</v>
      </c>
      <c r="FE183" s="163">
        <f t="shared" ca="1" si="594"/>
        <v>0</v>
      </c>
      <c r="FF183" s="163">
        <f t="shared" ca="1" si="594"/>
        <v>0</v>
      </c>
      <c r="FG183" s="314"/>
      <c r="FH183" s="163">
        <f t="shared" si="589"/>
        <v>0</v>
      </c>
      <c r="FI183" s="163">
        <f t="shared" si="589"/>
        <v>0</v>
      </c>
      <c r="FJ183" s="163">
        <f t="shared" si="589"/>
        <v>0</v>
      </c>
      <c r="FK183" s="163">
        <f ca="1">SUMIF($F$54:$FF$54,FK$54,$F183:$FF183)</f>
        <v>288717.37987547438</v>
      </c>
      <c r="FL183" s="163">
        <f t="shared" ref="FL183:FU184" ca="1" si="595">SUMIF($F$54:$FF$54,FL$54,$F183:$FF183)</f>
        <v>577434.75975094875</v>
      </c>
      <c r="FM183" s="163">
        <f t="shared" ca="1" si="595"/>
        <v>576777.51691260841</v>
      </c>
      <c r="FN183" s="163">
        <f t="shared" ca="1" si="595"/>
        <v>571240.15090580692</v>
      </c>
      <c r="FO183" s="163">
        <f t="shared" ca="1" si="595"/>
        <v>564371.15110265254</v>
      </c>
      <c r="FP183" s="163">
        <f t="shared" ca="1" si="595"/>
        <v>279467.12131441338</v>
      </c>
      <c r="FQ183" s="163">
        <f t="shared" ca="1" si="595"/>
        <v>0</v>
      </c>
      <c r="FR183" s="163">
        <f t="shared" ca="1" si="595"/>
        <v>0</v>
      </c>
      <c r="FS183" s="163">
        <f t="shared" ca="1" si="595"/>
        <v>0</v>
      </c>
      <c r="FT183" s="163">
        <f t="shared" ca="1" si="595"/>
        <v>0</v>
      </c>
      <c r="FU183" s="163">
        <f t="shared" ca="1" si="595"/>
        <v>0</v>
      </c>
      <c r="FV183" s="314"/>
    </row>
    <row r="184" spans="2:178" x14ac:dyDescent="0.2">
      <c r="B184" s="47"/>
      <c r="C184" s="39" t="s">
        <v>130</v>
      </c>
      <c r="E184" s="163">
        <f ca="1">SUM(F184:FF184)</f>
        <v>-2858008.079861904</v>
      </c>
      <c r="F184" s="261">
        <f t="shared" ref="F184:AK184" si="596">-MIN(F183,F118*(F118&gt;0))</f>
        <v>0</v>
      </c>
      <c r="G184" s="163">
        <f t="shared" si="596"/>
        <v>0</v>
      </c>
      <c r="H184" s="163">
        <f t="shared" si="596"/>
        <v>0</v>
      </c>
      <c r="I184" s="163">
        <f t="shared" si="596"/>
        <v>0</v>
      </c>
      <c r="J184" s="163">
        <f t="shared" si="596"/>
        <v>0</v>
      </c>
      <c r="K184" s="163">
        <f t="shared" si="596"/>
        <v>0</v>
      </c>
      <c r="L184" s="163">
        <f t="shared" si="596"/>
        <v>0</v>
      </c>
      <c r="M184" s="163">
        <f t="shared" si="596"/>
        <v>0</v>
      </c>
      <c r="N184" s="163">
        <f t="shared" si="596"/>
        <v>0</v>
      </c>
      <c r="O184" s="163">
        <f t="shared" si="596"/>
        <v>0</v>
      </c>
      <c r="P184" s="163">
        <f t="shared" si="596"/>
        <v>0</v>
      </c>
      <c r="Q184" s="163">
        <f t="shared" si="596"/>
        <v>0</v>
      </c>
      <c r="R184" s="163">
        <f t="shared" si="596"/>
        <v>0</v>
      </c>
      <c r="S184" s="163">
        <f t="shared" si="596"/>
        <v>0</v>
      </c>
      <c r="T184" s="163">
        <f t="shared" si="596"/>
        <v>0</v>
      </c>
      <c r="U184" s="163">
        <f t="shared" si="596"/>
        <v>0</v>
      </c>
      <c r="V184" s="163">
        <f t="shared" si="596"/>
        <v>0</v>
      </c>
      <c r="W184" s="163">
        <f t="shared" si="596"/>
        <v>0</v>
      </c>
      <c r="X184" s="163">
        <f t="shared" si="596"/>
        <v>0</v>
      </c>
      <c r="Y184" s="163">
        <f t="shared" si="596"/>
        <v>0</v>
      </c>
      <c r="Z184" s="163">
        <f t="shared" si="596"/>
        <v>0</v>
      </c>
      <c r="AA184" s="163">
        <f t="shared" si="596"/>
        <v>0</v>
      </c>
      <c r="AB184" s="163">
        <f t="shared" si="596"/>
        <v>0</v>
      </c>
      <c r="AC184" s="163">
        <f t="shared" si="596"/>
        <v>0</v>
      </c>
      <c r="AD184" s="163">
        <f t="shared" si="596"/>
        <v>0</v>
      </c>
      <c r="AE184" s="163">
        <f t="shared" si="596"/>
        <v>0</v>
      </c>
      <c r="AF184" s="163">
        <f t="shared" si="596"/>
        <v>0</v>
      </c>
      <c r="AG184" s="163">
        <f t="shared" si="596"/>
        <v>0</v>
      </c>
      <c r="AH184" s="163">
        <f t="shared" si="596"/>
        <v>0</v>
      </c>
      <c r="AI184" s="163">
        <f t="shared" si="596"/>
        <v>0</v>
      </c>
      <c r="AJ184" s="163">
        <f t="shared" si="596"/>
        <v>0</v>
      </c>
      <c r="AK184" s="163">
        <f t="shared" si="596"/>
        <v>0</v>
      </c>
      <c r="AL184" s="163">
        <f t="shared" ref="AL184:BQ184" si="597">-MIN(AL183,AL118*(AL118&gt;0))</f>
        <v>0</v>
      </c>
      <c r="AM184" s="163">
        <f t="shared" si="597"/>
        <v>0</v>
      </c>
      <c r="AN184" s="163">
        <f t="shared" si="597"/>
        <v>0</v>
      </c>
      <c r="AO184" s="163">
        <f t="shared" si="597"/>
        <v>0</v>
      </c>
      <c r="AP184" s="163">
        <f t="shared" si="597"/>
        <v>0</v>
      </c>
      <c r="AQ184" s="163">
        <f t="shared" ca="1" si="597"/>
        <v>-48119.563312579063</v>
      </c>
      <c r="AR184" s="163">
        <f t="shared" ca="1" si="597"/>
        <v>-48119.563312579063</v>
      </c>
      <c r="AS184" s="163">
        <f t="shared" ca="1" si="597"/>
        <v>-48119.563312579063</v>
      </c>
      <c r="AT184" s="163">
        <f t="shared" ca="1" si="597"/>
        <v>-48119.563312579063</v>
      </c>
      <c r="AU184" s="163">
        <f t="shared" ca="1" si="597"/>
        <v>-48119.563312579063</v>
      </c>
      <c r="AV184" s="163">
        <f t="shared" ca="1" si="597"/>
        <v>-48119.563312579063</v>
      </c>
      <c r="AW184" s="163">
        <f t="shared" ca="1" si="597"/>
        <v>-48119.563312579063</v>
      </c>
      <c r="AX184" s="163">
        <f t="shared" ca="1" si="597"/>
        <v>-48119.563312579063</v>
      </c>
      <c r="AY184" s="163">
        <f t="shared" ca="1" si="597"/>
        <v>-48119.563312579063</v>
      </c>
      <c r="AZ184" s="163">
        <f t="shared" ca="1" si="597"/>
        <v>-48119.563312579063</v>
      </c>
      <c r="BA184" s="163">
        <f t="shared" ca="1" si="597"/>
        <v>-48119.563312579063</v>
      </c>
      <c r="BB184" s="163">
        <f t="shared" ca="1" si="597"/>
        <v>-48119.563312579063</v>
      </c>
      <c r="BC184" s="163">
        <f t="shared" ca="1" si="597"/>
        <v>-48119.563312579063</v>
      </c>
      <c r="BD184" s="163">
        <f t="shared" ca="1" si="597"/>
        <v>-48119.563312579063</v>
      </c>
      <c r="BE184" s="163">
        <f t="shared" ca="1" si="597"/>
        <v>-48119.563312579063</v>
      </c>
      <c r="BF184" s="163">
        <f t="shared" ca="1" si="597"/>
        <v>-48119.563312579063</v>
      </c>
      <c r="BG184" s="163">
        <f t="shared" ca="1" si="597"/>
        <v>-48119.563312579063</v>
      </c>
      <c r="BH184" s="163">
        <f t="shared" ca="1" si="597"/>
        <v>-48119.563312579063</v>
      </c>
      <c r="BI184" s="163">
        <f t="shared" ca="1" si="597"/>
        <v>-48119.563312579063</v>
      </c>
      <c r="BJ184" s="163">
        <f t="shared" ca="1" si="597"/>
        <v>-48119.563312579063</v>
      </c>
      <c r="BK184" s="163">
        <f t="shared" ca="1" si="597"/>
        <v>-48119.563312579063</v>
      </c>
      <c r="BL184" s="163">
        <f t="shared" ca="1" si="597"/>
        <v>-48119.563312579063</v>
      </c>
      <c r="BM184" s="163">
        <f t="shared" ca="1" si="597"/>
        <v>-48119.563312579063</v>
      </c>
      <c r="BN184" s="163">
        <f t="shared" ca="1" si="597"/>
        <v>-48119.563312579063</v>
      </c>
      <c r="BO184" s="163">
        <f t="shared" ca="1" si="597"/>
        <v>-48119.563312579063</v>
      </c>
      <c r="BP184" s="163">
        <f t="shared" ca="1" si="597"/>
        <v>-48076.062574445597</v>
      </c>
      <c r="BQ184" s="163">
        <f t="shared" ca="1" si="597"/>
        <v>-48032.326207313919</v>
      </c>
      <c r="BR184" s="163">
        <f t="shared" ref="BR184:CW184" ca="1" si="598">-MIN(BR183,BR118*(BR118&gt;0))</f>
        <v>-47988.352934860275</v>
      </c>
      <c r="BS184" s="163">
        <f t="shared" ca="1" si="598"/>
        <v>-47944.141473847507</v>
      </c>
      <c r="BT184" s="163">
        <f t="shared" ca="1" si="598"/>
        <v>-47899.690534087575</v>
      </c>
      <c r="BU184" s="163">
        <f t="shared" ca="1" si="598"/>
        <v>-47854.998818403961</v>
      </c>
      <c r="BV184" s="163">
        <f t="shared" ca="1" si="598"/>
        <v>-47810.065022593713</v>
      </c>
      <c r="BW184" s="163">
        <f t="shared" ca="1" si="598"/>
        <v>-47764.887835389505</v>
      </c>
      <c r="BX184" s="163">
        <f t="shared" ca="1" si="598"/>
        <v>-47719.465938421265</v>
      </c>
      <c r="BY184" s="163">
        <f t="shared" ca="1" si="598"/>
        <v>-47673.798006177793</v>
      </c>
      <c r="BZ184" s="163">
        <f t="shared" ca="1" si="598"/>
        <v>-47627.88270596799</v>
      </c>
      <c r="CA184" s="163">
        <f t="shared" ca="1" si="598"/>
        <v>-47581.718697882054</v>
      </c>
      <c r="CB184" s="163">
        <f t="shared" ca="1" si="598"/>
        <v>-47535.304634752327</v>
      </c>
      <c r="CC184" s="163">
        <f t="shared" ca="1" si="598"/>
        <v>-47488.63916211397</v>
      </c>
      <c r="CD184" s="163">
        <f t="shared" ca="1" si="598"/>
        <v>-47441.720918165491</v>
      </c>
      <c r="CE184" s="163">
        <f t="shared" ca="1" si="598"/>
        <v>-47394.548533728957</v>
      </c>
      <c r="CF184" s="163">
        <f t="shared" ca="1" si="598"/>
        <v>-47347.12063221007</v>
      </c>
      <c r="CG184" s="163">
        <f t="shared" ca="1" si="598"/>
        <v>-47299.435829557937</v>
      </c>
      <c r="CH184" s="163">
        <f t="shared" ca="1" si="598"/>
        <v>-47251.492734224776</v>
      </c>
      <c r="CI184" s="163">
        <f t="shared" ca="1" si="598"/>
        <v>-47203.289947125239</v>
      </c>
      <c r="CJ184" s="163">
        <f t="shared" ca="1" si="598"/>
        <v>-47154.826061595559</v>
      </c>
      <c r="CK184" s="163">
        <f t="shared" ca="1" si="598"/>
        <v>-47106.099663352616</v>
      </c>
      <c r="CL184" s="163">
        <f t="shared" ca="1" si="598"/>
        <v>-47057.109330452513</v>
      </c>
      <c r="CM184" s="163">
        <f t="shared" ca="1" si="598"/>
        <v>-47007.8536332492</v>
      </c>
      <c r="CN184" s="163">
        <f t="shared" ca="1" si="598"/>
        <v>-46958.331134352695</v>
      </c>
      <c r="CO184" s="163">
        <f t="shared" ca="1" si="598"/>
        <v>-46908.540388587171</v>
      </c>
      <c r="CP184" s="163">
        <f t="shared" ca="1" si="598"/>
        <v>-46858.479942948761</v>
      </c>
      <c r="CQ184" s="163">
        <f t="shared" ca="1" si="598"/>
        <v>-46808.148336563136</v>
      </c>
      <c r="CR184" s="163">
        <f t="shared" ca="1" si="598"/>
        <v>-46757.54410064291</v>
      </c>
      <c r="CS184" s="163">
        <f t="shared" ca="1" si="598"/>
        <v>-46706.665758444804</v>
      </c>
      <c r="CT184" s="163">
        <f t="shared" ca="1" si="598"/>
        <v>-46655.511825226444</v>
      </c>
      <c r="CU184" s="163">
        <f t="shared" ca="1" si="598"/>
        <v>-46604.080808203165</v>
      </c>
      <c r="CV184" s="163">
        <f t="shared" ca="1" si="598"/>
        <v>-46552.371206504329</v>
      </c>
      <c r="CW184" s="163">
        <f t="shared" ca="1" si="598"/>
        <v>-46500.381511129635</v>
      </c>
      <c r="CX184" s="163">
        <f t="shared" ref="CX184:EC184" ca="1" si="599">-MIN(CX183,CX118*(CX118&gt;0))</f>
        <v>-46448.110204904988</v>
      </c>
      <c r="CY184" s="163">
        <f t="shared" ca="1" si="599"/>
        <v>0</v>
      </c>
      <c r="CZ184" s="163">
        <f t="shared" ca="1" si="599"/>
        <v>0</v>
      </c>
      <c r="DA184" s="163">
        <f t="shared" ca="1" si="599"/>
        <v>0</v>
      </c>
      <c r="DB184" s="163">
        <f t="shared" ca="1" si="599"/>
        <v>0</v>
      </c>
      <c r="DC184" s="163">
        <f t="shared" ca="1" si="599"/>
        <v>0</v>
      </c>
      <c r="DD184" s="163">
        <f t="shared" ca="1" si="599"/>
        <v>0</v>
      </c>
      <c r="DE184" s="163">
        <f t="shared" ca="1" si="599"/>
        <v>0</v>
      </c>
      <c r="DF184" s="163">
        <f t="shared" ca="1" si="599"/>
        <v>0</v>
      </c>
      <c r="DG184" s="163">
        <f t="shared" ca="1" si="599"/>
        <v>0</v>
      </c>
      <c r="DH184" s="163">
        <f t="shared" ca="1" si="599"/>
        <v>0</v>
      </c>
      <c r="DI184" s="163">
        <f t="shared" ca="1" si="599"/>
        <v>0</v>
      </c>
      <c r="DJ184" s="163">
        <f t="shared" ca="1" si="599"/>
        <v>0</v>
      </c>
      <c r="DK184" s="163">
        <f t="shared" ca="1" si="599"/>
        <v>0</v>
      </c>
      <c r="DL184" s="163">
        <f t="shared" ca="1" si="599"/>
        <v>0</v>
      </c>
      <c r="DM184" s="163">
        <f t="shared" ca="1" si="599"/>
        <v>0</v>
      </c>
      <c r="DN184" s="163">
        <f t="shared" ca="1" si="599"/>
        <v>0</v>
      </c>
      <c r="DO184" s="163">
        <f t="shared" ca="1" si="599"/>
        <v>0</v>
      </c>
      <c r="DP184" s="163">
        <f t="shared" ca="1" si="599"/>
        <v>0</v>
      </c>
      <c r="DQ184" s="163">
        <f t="shared" ca="1" si="599"/>
        <v>0</v>
      </c>
      <c r="DR184" s="163">
        <f t="shared" ca="1" si="599"/>
        <v>0</v>
      </c>
      <c r="DS184" s="163">
        <f t="shared" ca="1" si="599"/>
        <v>0</v>
      </c>
      <c r="DT184" s="163">
        <f t="shared" ca="1" si="599"/>
        <v>0</v>
      </c>
      <c r="DU184" s="163">
        <f t="shared" ca="1" si="599"/>
        <v>0</v>
      </c>
      <c r="DV184" s="163">
        <f t="shared" ca="1" si="599"/>
        <v>0</v>
      </c>
      <c r="DW184" s="163">
        <f t="shared" ca="1" si="599"/>
        <v>0</v>
      </c>
      <c r="DX184" s="163">
        <f t="shared" ca="1" si="599"/>
        <v>0</v>
      </c>
      <c r="DY184" s="163">
        <f t="shared" ca="1" si="599"/>
        <v>0</v>
      </c>
      <c r="DZ184" s="163">
        <f t="shared" ca="1" si="599"/>
        <v>0</v>
      </c>
      <c r="EA184" s="163">
        <f t="shared" ca="1" si="599"/>
        <v>0</v>
      </c>
      <c r="EB184" s="163">
        <f t="shared" ca="1" si="599"/>
        <v>0</v>
      </c>
      <c r="EC184" s="163">
        <f t="shared" ca="1" si="599"/>
        <v>0</v>
      </c>
      <c r="ED184" s="163">
        <f t="shared" ref="ED184:FF184" ca="1" si="600">-MIN(ED183,ED118*(ED118&gt;0))</f>
        <v>0</v>
      </c>
      <c r="EE184" s="163">
        <f t="shared" ca="1" si="600"/>
        <v>0</v>
      </c>
      <c r="EF184" s="163">
        <f t="shared" ca="1" si="600"/>
        <v>0</v>
      </c>
      <c r="EG184" s="163">
        <f t="shared" ca="1" si="600"/>
        <v>0</v>
      </c>
      <c r="EH184" s="163">
        <f t="shared" ca="1" si="600"/>
        <v>0</v>
      </c>
      <c r="EI184" s="163">
        <f t="shared" ca="1" si="600"/>
        <v>0</v>
      </c>
      <c r="EJ184" s="163">
        <f t="shared" ca="1" si="600"/>
        <v>0</v>
      </c>
      <c r="EK184" s="163">
        <f t="shared" ca="1" si="600"/>
        <v>0</v>
      </c>
      <c r="EL184" s="163">
        <f t="shared" ca="1" si="600"/>
        <v>0</v>
      </c>
      <c r="EM184" s="163">
        <f t="shared" ca="1" si="600"/>
        <v>0</v>
      </c>
      <c r="EN184" s="163">
        <f t="shared" ca="1" si="600"/>
        <v>0</v>
      </c>
      <c r="EO184" s="163">
        <f t="shared" ca="1" si="600"/>
        <v>0</v>
      </c>
      <c r="EP184" s="163">
        <f t="shared" ca="1" si="600"/>
        <v>0</v>
      </c>
      <c r="EQ184" s="163">
        <f t="shared" ca="1" si="600"/>
        <v>0</v>
      </c>
      <c r="ER184" s="163">
        <f t="shared" ca="1" si="600"/>
        <v>0</v>
      </c>
      <c r="ES184" s="163">
        <f t="shared" ca="1" si="600"/>
        <v>0</v>
      </c>
      <c r="ET184" s="163">
        <f t="shared" ca="1" si="600"/>
        <v>0</v>
      </c>
      <c r="EU184" s="163">
        <f t="shared" ca="1" si="600"/>
        <v>0</v>
      </c>
      <c r="EV184" s="163">
        <f t="shared" ca="1" si="600"/>
        <v>0</v>
      </c>
      <c r="EW184" s="163">
        <f t="shared" ca="1" si="600"/>
        <v>0</v>
      </c>
      <c r="EX184" s="163">
        <f t="shared" ca="1" si="600"/>
        <v>0</v>
      </c>
      <c r="EY184" s="163">
        <f t="shared" ca="1" si="600"/>
        <v>0</v>
      </c>
      <c r="EZ184" s="163">
        <f t="shared" ca="1" si="600"/>
        <v>0</v>
      </c>
      <c r="FA184" s="163">
        <f t="shared" ca="1" si="600"/>
        <v>0</v>
      </c>
      <c r="FB184" s="163">
        <f t="shared" ca="1" si="600"/>
        <v>0</v>
      </c>
      <c r="FC184" s="163">
        <f t="shared" ca="1" si="600"/>
        <v>0</v>
      </c>
      <c r="FD184" s="163">
        <f t="shared" ca="1" si="600"/>
        <v>0</v>
      </c>
      <c r="FE184" s="163">
        <f t="shared" ca="1" si="600"/>
        <v>0</v>
      </c>
      <c r="FF184" s="163">
        <f t="shared" ca="1" si="600"/>
        <v>0</v>
      </c>
      <c r="FG184" s="314"/>
      <c r="FH184" s="163">
        <f t="shared" si="589"/>
        <v>0</v>
      </c>
      <c r="FI184" s="163">
        <f t="shared" si="589"/>
        <v>0</v>
      </c>
      <c r="FJ184" s="163">
        <f t="shared" si="589"/>
        <v>0</v>
      </c>
      <c r="FK184" s="163">
        <f ca="1">SUMIF($F$54:$FF$54,FK$54,$F184:$FF184)</f>
        <v>-288717.37987547438</v>
      </c>
      <c r="FL184" s="163">
        <f t="shared" ca="1" si="595"/>
        <v>-577434.75975094875</v>
      </c>
      <c r="FM184" s="163">
        <f t="shared" ca="1" si="595"/>
        <v>-576777.51691260841</v>
      </c>
      <c r="FN184" s="163">
        <f t="shared" ca="1" si="595"/>
        <v>-571240.15090580692</v>
      </c>
      <c r="FO184" s="163">
        <f t="shared" ca="1" si="595"/>
        <v>-564371.15110265254</v>
      </c>
      <c r="FP184" s="163">
        <f t="shared" ca="1" si="595"/>
        <v>-279467.12131441338</v>
      </c>
      <c r="FQ184" s="163">
        <f t="shared" ca="1" si="595"/>
        <v>0</v>
      </c>
      <c r="FR184" s="163">
        <f t="shared" ca="1" si="595"/>
        <v>0</v>
      </c>
      <c r="FS184" s="163">
        <f t="shared" ca="1" si="595"/>
        <v>0</v>
      </c>
      <c r="FT184" s="163">
        <f t="shared" ca="1" si="595"/>
        <v>0</v>
      </c>
      <c r="FU184" s="163">
        <f t="shared" ca="1" si="595"/>
        <v>0</v>
      </c>
      <c r="FV184" s="314"/>
    </row>
    <row r="185" spans="2:178" x14ac:dyDescent="0.2">
      <c r="B185" s="47"/>
      <c r="C185" s="39" t="s">
        <v>131</v>
      </c>
      <c r="E185" s="163">
        <f ca="1">SUM(F185:FF185)</f>
        <v>-318278.31694906915</v>
      </c>
      <c r="F185" s="261">
        <f t="shared" ref="F185:AK185" si="601">IF(AND(F55&gt;=EOMONTH($F$11,$H$38+1),F55&lt;=$H$12),-($I$38+F184),0)</f>
        <v>0</v>
      </c>
      <c r="G185" s="163">
        <f t="shared" si="601"/>
        <v>0</v>
      </c>
      <c r="H185" s="163">
        <f t="shared" si="601"/>
        <v>0</v>
      </c>
      <c r="I185" s="163">
        <f t="shared" si="601"/>
        <v>0</v>
      </c>
      <c r="J185" s="163">
        <f t="shared" si="601"/>
        <v>0</v>
      </c>
      <c r="K185" s="163">
        <f t="shared" si="601"/>
        <v>0</v>
      </c>
      <c r="L185" s="163">
        <f t="shared" si="601"/>
        <v>0</v>
      </c>
      <c r="M185" s="163">
        <f t="shared" si="601"/>
        <v>0</v>
      </c>
      <c r="N185" s="163">
        <f t="shared" si="601"/>
        <v>0</v>
      </c>
      <c r="O185" s="163">
        <f t="shared" si="601"/>
        <v>0</v>
      </c>
      <c r="P185" s="163">
        <f t="shared" si="601"/>
        <v>0</v>
      </c>
      <c r="Q185" s="163">
        <f t="shared" si="601"/>
        <v>0</v>
      </c>
      <c r="R185" s="163">
        <f t="shared" si="601"/>
        <v>0</v>
      </c>
      <c r="S185" s="163">
        <f t="shared" si="601"/>
        <v>0</v>
      </c>
      <c r="T185" s="163">
        <f t="shared" si="601"/>
        <v>0</v>
      </c>
      <c r="U185" s="163">
        <f t="shared" si="601"/>
        <v>0</v>
      </c>
      <c r="V185" s="163">
        <f t="shared" si="601"/>
        <v>0</v>
      </c>
      <c r="W185" s="163">
        <f t="shared" si="601"/>
        <v>0</v>
      </c>
      <c r="X185" s="163">
        <f t="shared" si="601"/>
        <v>0</v>
      </c>
      <c r="Y185" s="163">
        <f t="shared" si="601"/>
        <v>0</v>
      </c>
      <c r="Z185" s="163">
        <f t="shared" si="601"/>
        <v>0</v>
      </c>
      <c r="AA185" s="163">
        <f t="shared" si="601"/>
        <v>0</v>
      </c>
      <c r="AB185" s="163">
        <f t="shared" si="601"/>
        <v>0</v>
      </c>
      <c r="AC185" s="163">
        <f t="shared" si="601"/>
        <v>0</v>
      </c>
      <c r="AD185" s="163">
        <f t="shared" si="601"/>
        <v>0</v>
      </c>
      <c r="AE185" s="163">
        <f t="shared" si="601"/>
        <v>0</v>
      </c>
      <c r="AF185" s="163">
        <f t="shared" si="601"/>
        <v>0</v>
      </c>
      <c r="AG185" s="163">
        <f t="shared" si="601"/>
        <v>0</v>
      </c>
      <c r="AH185" s="163">
        <f t="shared" si="601"/>
        <v>0</v>
      </c>
      <c r="AI185" s="163">
        <f t="shared" si="601"/>
        <v>0</v>
      </c>
      <c r="AJ185" s="163">
        <f t="shared" si="601"/>
        <v>0</v>
      </c>
      <c r="AK185" s="163">
        <f t="shared" si="601"/>
        <v>0</v>
      </c>
      <c r="AL185" s="163">
        <f t="shared" ref="AL185:BQ185" si="602">IF(AND(AL55&gt;=EOMONTH($F$11,$H$38+1),AL55&lt;=$H$12),-($I$38+AL184),0)</f>
        <v>0</v>
      </c>
      <c r="AM185" s="163">
        <f t="shared" si="602"/>
        <v>0</v>
      </c>
      <c r="AN185" s="163">
        <f t="shared" si="602"/>
        <v>0</v>
      </c>
      <c r="AO185" s="163">
        <f t="shared" si="602"/>
        <v>0</v>
      </c>
      <c r="AP185" s="163">
        <f t="shared" si="602"/>
        <v>0</v>
      </c>
      <c r="AQ185" s="163">
        <f t="shared" si="602"/>
        <v>0</v>
      </c>
      <c r="AR185" s="163">
        <f t="shared" si="602"/>
        <v>0</v>
      </c>
      <c r="AS185" s="163">
        <f t="shared" si="602"/>
        <v>0</v>
      </c>
      <c r="AT185" s="163">
        <f t="shared" si="602"/>
        <v>0</v>
      </c>
      <c r="AU185" s="163">
        <f t="shared" si="602"/>
        <v>0</v>
      </c>
      <c r="AV185" s="163">
        <f t="shared" si="602"/>
        <v>0</v>
      </c>
      <c r="AW185" s="163">
        <f t="shared" si="602"/>
        <v>0</v>
      </c>
      <c r="AX185" s="163">
        <f t="shared" si="602"/>
        <v>0</v>
      </c>
      <c r="AY185" s="163">
        <f t="shared" si="602"/>
        <v>0</v>
      </c>
      <c r="AZ185" s="163">
        <f t="shared" si="602"/>
        <v>0</v>
      </c>
      <c r="BA185" s="163">
        <f t="shared" si="602"/>
        <v>0</v>
      </c>
      <c r="BB185" s="163">
        <f t="shared" si="602"/>
        <v>0</v>
      </c>
      <c r="BC185" s="163">
        <f t="shared" si="602"/>
        <v>0</v>
      </c>
      <c r="BD185" s="163">
        <f t="shared" si="602"/>
        <v>0</v>
      </c>
      <c r="BE185" s="163">
        <f t="shared" si="602"/>
        <v>0</v>
      </c>
      <c r="BF185" s="163">
        <f t="shared" si="602"/>
        <v>0</v>
      </c>
      <c r="BG185" s="163">
        <f t="shared" si="602"/>
        <v>0</v>
      </c>
      <c r="BH185" s="163">
        <f t="shared" si="602"/>
        <v>0</v>
      </c>
      <c r="BI185" s="163">
        <f t="shared" si="602"/>
        <v>0</v>
      </c>
      <c r="BJ185" s="163">
        <f t="shared" si="602"/>
        <v>0</v>
      </c>
      <c r="BK185" s="163">
        <f t="shared" si="602"/>
        <v>0</v>
      </c>
      <c r="BL185" s="163">
        <f t="shared" si="602"/>
        <v>0</v>
      </c>
      <c r="BM185" s="163">
        <f t="shared" si="602"/>
        <v>0</v>
      </c>
      <c r="BN185" s="163">
        <f t="shared" si="602"/>
        <v>0</v>
      </c>
      <c r="BO185" s="163">
        <f t="shared" ca="1" si="602"/>
        <v>-8030.9055015619379</v>
      </c>
      <c r="BP185" s="163">
        <f t="shared" ca="1" si="602"/>
        <v>-8074.4062396954032</v>
      </c>
      <c r="BQ185" s="163">
        <f t="shared" ca="1" si="602"/>
        <v>-8118.1426068270812</v>
      </c>
      <c r="BR185" s="163">
        <f t="shared" ref="BR185:CW185" ca="1" si="603">IF(AND(BR55&gt;=EOMONTH($F$11,$H$38+1),BR55&lt;=$H$12),-($I$38+BR184),0)</f>
        <v>-8162.1158792807255</v>
      </c>
      <c r="BS185" s="163">
        <f t="shared" ca="1" si="603"/>
        <v>-8206.3273402934938</v>
      </c>
      <c r="BT185" s="163">
        <f t="shared" ca="1" si="603"/>
        <v>-8250.778280053426</v>
      </c>
      <c r="BU185" s="163">
        <f t="shared" ca="1" si="603"/>
        <v>-8295.4699957370394</v>
      </c>
      <c r="BV185" s="163">
        <f t="shared" ca="1" si="603"/>
        <v>-8340.4037915472873</v>
      </c>
      <c r="BW185" s="163">
        <f t="shared" ca="1" si="603"/>
        <v>-8385.5809787514954</v>
      </c>
      <c r="BX185" s="163">
        <f t="shared" ca="1" si="603"/>
        <v>-8431.002875719736</v>
      </c>
      <c r="BY185" s="163">
        <f t="shared" ca="1" si="603"/>
        <v>-8476.6708079632081</v>
      </c>
      <c r="BZ185" s="163">
        <f t="shared" ca="1" si="603"/>
        <v>-8522.5861081730109</v>
      </c>
      <c r="CA185" s="163">
        <f t="shared" ca="1" si="603"/>
        <v>-8568.7501162589469</v>
      </c>
      <c r="CB185" s="163">
        <f t="shared" ca="1" si="603"/>
        <v>-8615.1641793886738</v>
      </c>
      <c r="CC185" s="163">
        <f t="shared" ca="1" si="603"/>
        <v>-8661.8296520270305</v>
      </c>
      <c r="CD185" s="163">
        <f t="shared" ca="1" si="603"/>
        <v>-8708.7478959755099</v>
      </c>
      <c r="CE185" s="163">
        <f t="shared" ca="1" si="603"/>
        <v>-8755.9202804120432</v>
      </c>
      <c r="CF185" s="163">
        <f t="shared" ca="1" si="603"/>
        <v>-8803.3481819309309</v>
      </c>
      <c r="CG185" s="163">
        <f t="shared" ca="1" si="603"/>
        <v>-8851.0329845830638</v>
      </c>
      <c r="CH185" s="163">
        <f t="shared" ca="1" si="603"/>
        <v>-8898.976079916225</v>
      </c>
      <c r="CI185" s="163">
        <f t="shared" ca="1" si="603"/>
        <v>-8947.1788670157621</v>
      </c>
      <c r="CJ185" s="163">
        <f t="shared" ca="1" si="603"/>
        <v>-8995.6427525454419</v>
      </c>
      <c r="CK185" s="163">
        <f t="shared" ca="1" si="603"/>
        <v>-9044.369150788385</v>
      </c>
      <c r="CL185" s="163">
        <f t="shared" ca="1" si="603"/>
        <v>-9093.3594836884877</v>
      </c>
      <c r="CM185" s="163">
        <f t="shared" ca="1" si="603"/>
        <v>-9142.6151808918003</v>
      </c>
      <c r="CN185" s="163">
        <f t="shared" ca="1" si="603"/>
        <v>-9192.1376797883058</v>
      </c>
      <c r="CO185" s="163">
        <f t="shared" ca="1" si="603"/>
        <v>-9241.9284255538296</v>
      </c>
      <c r="CP185" s="163">
        <f t="shared" ca="1" si="603"/>
        <v>-9291.9888711922395</v>
      </c>
      <c r="CQ185" s="163">
        <f t="shared" ca="1" si="603"/>
        <v>-9342.3204775778649</v>
      </c>
      <c r="CR185" s="163">
        <f t="shared" ca="1" si="603"/>
        <v>-9392.9247134980906</v>
      </c>
      <c r="CS185" s="163">
        <f t="shared" ca="1" si="603"/>
        <v>-9443.8030556961967</v>
      </c>
      <c r="CT185" s="163">
        <f t="shared" ca="1" si="603"/>
        <v>-9494.9569889145569</v>
      </c>
      <c r="CU185" s="163">
        <f t="shared" ca="1" si="603"/>
        <v>-9546.3880059378353</v>
      </c>
      <c r="CV185" s="163">
        <f t="shared" ca="1" si="603"/>
        <v>-9598.0976076366715</v>
      </c>
      <c r="CW185" s="163">
        <f t="shared" ca="1" si="603"/>
        <v>-9650.0873030113653</v>
      </c>
      <c r="CX185" s="163">
        <f t="shared" ref="CX185:EC185" ca="1" si="604">IF(AND(CX55&gt;=EOMONTH($F$11,$H$38+1),CX55&lt;=$H$12),-($I$38+CX184),0)</f>
        <v>-9702.3586092360129</v>
      </c>
      <c r="CY185" s="163">
        <f t="shared" si="604"/>
        <v>0</v>
      </c>
      <c r="CZ185" s="163">
        <f t="shared" si="604"/>
        <v>0</v>
      </c>
      <c r="DA185" s="163">
        <f t="shared" si="604"/>
        <v>0</v>
      </c>
      <c r="DB185" s="163">
        <f t="shared" si="604"/>
        <v>0</v>
      </c>
      <c r="DC185" s="163">
        <f t="shared" si="604"/>
        <v>0</v>
      </c>
      <c r="DD185" s="163">
        <f t="shared" si="604"/>
        <v>0</v>
      </c>
      <c r="DE185" s="163">
        <f t="shared" si="604"/>
        <v>0</v>
      </c>
      <c r="DF185" s="163">
        <f t="shared" si="604"/>
        <v>0</v>
      </c>
      <c r="DG185" s="163">
        <f t="shared" si="604"/>
        <v>0</v>
      </c>
      <c r="DH185" s="163">
        <f t="shared" si="604"/>
        <v>0</v>
      </c>
      <c r="DI185" s="163">
        <f t="shared" si="604"/>
        <v>0</v>
      </c>
      <c r="DJ185" s="163">
        <f t="shared" si="604"/>
        <v>0</v>
      </c>
      <c r="DK185" s="163">
        <f t="shared" si="604"/>
        <v>0</v>
      </c>
      <c r="DL185" s="163">
        <f t="shared" si="604"/>
        <v>0</v>
      </c>
      <c r="DM185" s="163">
        <f t="shared" si="604"/>
        <v>0</v>
      </c>
      <c r="DN185" s="163">
        <f t="shared" si="604"/>
        <v>0</v>
      </c>
      <c r="DO185" s="163">
        <f t="shared" si="604"/>
        <v>0</v>
      </c>
      <c r="DP185" s="163">
        <f t="shared" si="604"/>
        <v>0</v>
      </c>
      <c r="DQ185" s="163">
        <f t="shared" si="604"/>
        <v>0</v>
      </c>
      <c r="DR185" s="163">
        <f t="shared" si="604"/>
        <v>0</v>
      </c>
      <c r="DS185" s="163">
        <f t="shared" si="604"/>
        <v>0</v>
      </c>
      <c r="DT185" s="163">
        <f t="shared" si="604"/>
        <v>0</v>
      </c>
      <c r="DU185" s="163">
        <f t="shared" si="604"/>
        <v>0</v>
      </c>
      <c r="DV185" s="163">
        <f t="shared" si="604"/>
        <v>0</v>
      </c>
      <c r="DW185" s="163">
        <f t="shared" si="604"/>
        <v>0</v>
      </c>
      <c r="DX185" s="163">
        <f t="shared" si="604"/>
        <v>0</v>
      </c>
      <c r="DY185" s="163">
        <f t="shared" si="604"/>
        <v>0</v>
      </c>
      <c r="DZ185" s="163">
        <f t="shared" si="604"/>
        <v>0</v>
      </c>
      <c r="EA185" s="163">
        <f t="shared" si="604"/>
        <v>0</v>
      </c>
      <c r="EB185" s="163">
        <f t="shared" si="604"/>
        <v>0</v>
      </c>
      <c r="EC185" s="163">
        <f t="shared" si="604"/>
        <v>0</v>
      </c>
      <c r="ED185" s="163">
        <f t="shared" ref="ED185:FF185" si="605">IF(AND(ED55&gt;=EOMONTH($F$11,$H$38+1),ED55&lt;=$H$12),-($I$38+ED184),0)</f>
        <v>0</v>
      </c>
      <c r="EE185" s="163">
        <f t="shared" si="605"/>
        <v>0</v>
      </c>
      <c r="EF185" s="163">
        <f t="shared" si="605"/>
        <v>0</v>
      </c>
      <c r="EG185" s="163">
        <f t="shared" si="605"/>
        <v>0</v>
      </c>
      <c r="EH185" s="163">
        <f t="shared" si="605"/>
        <v>0</v>
      </c>
      <c r="EI185" s="163">
        <f t="shared" si="605"/>
        <v>0</v>
      </c>
      <c r="EJ185" s="163">
        <f t="shared" si="605"/>
        <v>0</v>
      </c>
      <c r="EK185" s="163">
        <f t="shared" si="605"/>
        <v>0</v>
      </c>
      <c r="EL185" s="163">
        <f t="shared" si="605"/>
        <v>0</v>
      </c>
      <c r="EM185" s="163">
        <f t="shared" si="605"/>
        <v>0</v>
      </c>
      <c r="EN185" s="163">
        <f t="shared" si="605"/>
        <v>0</v>
      </c>
      <c r="EO185" s="163">
        <f t="shared" si="605"/>
        <v>0</v>
      </c>
      <c r="EP185" s="163">
        <f t="shared" si="605"/>
        <v>0</v>
      </c>
      <c r="EQ185" s="163">
        <f t="shared" si="605"/>
        <v>0</v>
      </c>
      <c r="ER185" s="163">
        <f t="shared" si="605"/>
        <v>0</v>
      </c>
      <c r="ES185" s="163">
        <f t="shared" si="605"/>
        <v>0</v>
      </c>
      <c r="ET185" s="163">
        <f t="shared" si="605"/>
        <v>0</v>
      </c>
      <c r="EU185" s="163">
        <f t="shared" si="605"/>
        <v>0</v>
      </c>
      <c r="EV185" s="163">
        <f t="shared" si="605"/>
        <v>0</v>
      </c>
      <c r="EW185" s="163">
        <f t="shared" si="605"/>
        <v>0</v>
      </c>
      <c r="EX185" s="163">
        <f t="shared" si="605"/>
        <v>0</v>
      </c>
      <c r="EY185" s="163">
        <f t="shared" si="605"/>
        <v>0</v>
      </c>
      <c r="EZ185" s="163">
        <f t="shared" si="605"/>
        <v>0</v>
      </c>
      <c r="FA185" s="163">
        <f t="shared" si="605"/>
        <v>0</v>
      </c>
      <c r="FB185" s="163">
        <f t="shared" si="605"/>
        <v>0</v>
      </c>
      <c r="FC185" s="163">
        <f t="shared" si="605"/>
        <v>0</v>
      </c>
      <c r="FD185" s="163">
        <f t="shared" si="605"/>
        <v>0</v>
      </c>
      <c r="FE185" s="163">
        <f t="shared" si="605"/>
        <v>0</v>
      </c>
      <c r="FF185" s="163">
        <f t="shared" si="605"/>
        <v>0</v>
      </c>
      <c r="FG185" s="314"/>
      <c r="FH185" s="163">
        <f t="shared" si="589"/>
        <v>0</v>
      </c>
      <c r="FI185" s="163">
        <f t="shared" si="589"/>
        <v>0</v>
      </c>
      <c r="FJ185" s="163">
        <f t="shared" si="589"/>
        <v>0</v>
      </c>
      <c r="FK185" s="163">
        <f t="shared" si="589"/>
        <v>0</v>
      </c>
      <c r="FL185" s="163">
        <f t="shared" si="589"/>
        <v>0</v>
      </c>
      <c r="FM185" s="163">
        <f ca="1">SUMIF($F$54:$FF$54,FM$54,$F185:$FF185)</f>
        <v>-48842.675847712067</v>
      </c>
      <c r="FN185" s="163">
        <f ca="1">SUMIF($F$54:$FF$54,FN$54,$F185:$FF185)</f>
        <v>-102565.47486388491</v>
      </c>
      <c r="FO185" s="163">
        <f ca="1">SUMIF($F$54:$FF$54,FO$54,$F185:$FF185)</f>
        <v>-109434.4746670395</v>
      </c>
      <c r="FP185" s="163">
        <f ca="1">SUMIF($F$54:$FF$54,FP$54,$F185:$FF185)</f>
        <v>-57435.691570432638</v>
      </c>
      <c r="FQ185" s="163">
        <f t="shared" si="589"/>
        <v>0</v>
      </c>
      <c r="FR185" s="163">
        <f t="shared" si="589"/>
        <v>0</v>
      </c>
      <c r="FS185" s="163">
        <f t="shared" si="589"/>
        <v>0</v>
      </c>
      <c r="FT185" s="163">
        <f t="shared" si="589"/>
        <v>0</v>
      </c>
      <c r="FU185" s="163">
        <f t="shared" si="589"/>
        <v>0</v>
      </c>
      <c r="FV185" s="314"/>
    </row>
    <row r="186" spans="2:178" x14ac:dyDescent="0.2">
      <c r="B186" s="47"/>
      <c r="C186" s="39" t="s">
        <v>132</v>
      </c>
      <c r="E186" s="163">
        <f ca="1">SUM(F186:FF186)</f>
        <v>-8565333.3715270683</v>
      </c>
      <c r="F186" s="261">
        <f t="shared" ref="F186:AK186" si="606">IF(F55=$H$12,-SUM(F181:F185),0)</f>
        <v>0</v>
      </c>
      <c r="G186" s="163">
        <f t="shared" si="606"/>
        <v>0</v>
      </c>
      <c r="H186" s="163">
        <f t="shared" si="606"/>
        <v>0</v>
      </c>
      <c r="I186" s="163">
        <f t="shared" si="606"/>
        <v>0</v>
      </c>
      <c r="J186" s="163">
        <f t="shared" si="606"/>
        <v>0</v>
      </c>
      <c r="K186" s="163">
        <f t="shared" si="606"/>
        <v>0</v>
      </c>
      <c r="L186" s="163">
        <f t="shared" si="606"/>
        <v>0</v>
      </c>
      <c r="M186" s="163">
        <f t="shared" si="606"/>
        <v>0</v>
      </c>
      <c r="N186" s="163">
        <f t="shared" si="606"/>
        <v>0</v>
      </c>
      <c r="O186" s="163">
        <f t="shared" si="606"/>
        <v>0</v>
      </c>
      <c r="P186" s="163">
        <f t="shared" si="606"/>
        <v>0</v>
      </c>
      <c r="Q186" s="163">
        <f t="shared" si="606"/>
        <v>0</v>
      </c>
      <c r="R186" s="163">
        <f t="shared" si="606"/>
        <v>0</v>
      </c>
      <c r="S186" s="163">
        <f t="shared" si="606"/>
        <v>0</v>
      </c>
      <c r="T186" s="163">
        <f t="shared" si="606"/>
        <v>0</v>
      </c>
      <c r="U186" s="163">
        <f t="shared" si="606"/>
        <v>0</v>
      </c>
      <c r="V186" s="163">
        <f t="shared" si="606"/>
        <v>0</v>
      </c>
      <c r="W186" s="163">
        <f t="shared" si="606"/>
        <v>0</v>
      </c>
      <c r="X186" s="163">
        <f t="shared" si="606"/>
        <v>0</v>
      </c>
      <c r="Y186" s="163">
        <f t="shared" si="606"/>
        <v>0</v>
      </c>
      <c r="Z186" s="163">
        <f t="shared" si="606"/>
        <v>0</v>
      </c>
      <c r="AA186" s="163">
        <f t="shared" si="606"/>
        <v>0</v>
      </c>
      <c r="AB186" s="163">
        <f t="shared" si="606"/>
        <v>0</v>
      </c>
      <c r="AC186" s="163">
        <f t="shared" si="606"/>
        <v>0</v>
      </c>
      <c r="AD186" s="163">
        <f t="shared" si="606"/>
        <v>0</v>
      </c>
      <c r="AE186" s="163">
        <f t="shared" si="606"/>
        <v>0</v>
      </c>
      <c r="AF186" s="163">
        <f t="shared" si="606"/>
        <v>0</v>
      </c>
      <c r="AG186" s="163">
        <f t="shared" si="606"/>
        <v>0</v>
      </c>
      <c r="AH186" s="163">
        <f t="shared" si="606"/>
        <v>0</v>
      </c>
      <c r="AI186" s="163">
        <f t="shared" si="606"/>
        <v>0</v>
      </c>
      <c r="AJ186" s="163">
        <f t="shared" si="606"/>
        <v>0</v>
      </c>
      <c r="AK186" s="163">
        <f t="shared" si="606"/>
        <v>0</v>
      </c>
      <c r="AL186" s="163">
        <f t="shared" ref="AL186:BQ186" si="607">IF(AL55=$H$12,-SUM(AL181:AL185),0)</f>
        <v>0</v>
      </c>
      <c r="AM186" s="163">
        <f t="shared" si="607"/>
        <v>0</v>
      </c>
      <c r="AN186" s="163">
        <f t="shared" si="607"/>
        <v>0</v>
      </c>
      <c r="AO186" s="163">
        <f t="shared" si="607"/>
        <v>0</v>
      </c>
      <c r="AP186" s="163">
        <f t="shared" si="607"/>
        <v>0</v>
      </c>
      <c r="AQ186" s="163">
        <f t="shared" si="607"/>
        <v>0</v>
      </c>
      <c r="AR186" s="163">
        <f t="shared" si="607"/>
        <v>0</v>
      </c>
      <c r="AS186" s="163">
        <f t="shared" si="607"/>
        <v>0</v>
      </c>
      <c r="AT186" s="163">
        <f t="shared" si="607"/>
        <v>0</v>
      </c>
      <c r="AU186" s="163">
        <f t="shared" si="607"/>
        <v>0</v>
      </c>
      <c r="AV186" s="163">
        <f t="shared" si="607"/>
        <v>0</v>
      </c>
      <c r="AW186" s="163">
        <f t="shared" si="607"/>
        <v>0</v>
      </c>
      <c r="AX186" s="163">
        <f t="shared" si="607"/>
        <v>0</v>
      </c>
      <c r="AY186" s="163">
        <f t="shared" si="607"/>
        <v>0</v>
      </c>
      <c r="AZ186" s="163">
        <f t="shared" si="607"/>
        <v>0</v>
      </c>
      <c r="BA186" s="163">
        <f t="shared" si="607"/>
        <v>0</v>
      </c>
      <c r="BB186" s="163">
        <f t="shared" si="607"/>
        <v>0</v>
      </c>
      <c r="BC186" s="163">
        <f t="shared" si="607"/>
        <v>0</v>
      </c>
      <c r="BD186" s="163">
        <f t="shared" si="607"/>
        <v>0</v>
      </c>
      <c r="BE186" s="163">
        <f t="shared" si="607"/>
        <v>0</v>
      </c>
      <c r="BF186" s="163">
        <f t="shared" si="607"/>
        <v>0</v>
      </c>
      <c r="BG186" s="163">
        <f t="shared" si="607"/>
        <v>0</v>
      </c>
      <c r="BH186" s="163">
        <f t="shared" si="607"/>
        <v>0</v>
      </c>
      <c r="BI186" s="163">
        <f t="shared" si="607"/>
        <v>0</v>
      </c>
      <c r="BJ186" s="163">
        <f t="shared" si="607"/>
        <v>0</v>
      </c>
      <c r="BK186" s="163">
        <f t="shared" si="607"/>
        <v>0</v>
      </c>
      <c r="BL186" s="163">
        <f t="shared" si="607"/>
        <v>0</v>
      </c>
      <c r="BM186" s="163">
        <f t="shared" si="607"/>
        <v>0</v>
      </c>
      <c r="BN186" s="163">
        <f t="shared" si="607"/>
        <v>0</v>
      </c>
      <c r="BO186" s="163">
        <f t="shared" si="607"/>
        <v>0</v>
      </c>
      <c r="BP186" s="163">
        <f t="shared" si="607"/>
        <v>0</v>
      </c>
      <c r="BQ186" s="163">
        <f t="shared" si="607"/>
        <v>0</v>
      </c>
      <c r="BR186" s="163">
        <f t="shared" ref="BR186:CW186" si="608">IF(BR55=$H$12,-SUM(BR181:BR185),0)</f>
        <v>0</v>
      </c>
      <c r="BS186" s="163">
        <f t="shared" si="608"/>
        <v>0</v>
      </c>
      <c r="BT186" s="163">
        <f t="shared" si="608"/>
        <v>0</v>
      </c>
      <c r="BU186" s="163">
        <f t="shared" si="608"/>
        <v>0</v>
      </c>
      <c r="BV186" s="163">
        <f t="shared" si="608"/>
        <v>0</v>
      </c>
      <c r="BW186" s="163">
        <f t="shared" si="608"/>
        <v>0</v>
      </c>
      <c r="BX186" s="163">
        <f t="shared" si="608"/>
        <v>0</v>
      </c>
      <c r="BY186" s="163">
        <f t="shared" si="608"/>
        <v>0</v>
      </c>
      <c r="BZ186" s="163">
        <f t="shared" si="608"/>
        <v>0</v>
      </c>
      <c r="CA186" s="163">
        <f t="shared" si="608"/>
        <v>0</v>
      </c>
      <c r="CB186" s="163">
        <f t="shared" si="608"/>
        <v>0</v>
      </c>
      <c r="CC186" s="163">
        <f t="shared" si="608"/>
        <v>0</v>
      </c>
      <c r="CD186" s="163">
        <f t="shared" si="608"/>
        <v>0</v>
      </c>
      <c r="CE186" s="163">
        <f t="shared" si="608"/>
        <v>0</v>
      </c>
      <c r="CF186" s="163">
        <f t="shared" si="608"/>
        <v>0</v>
      </c>
      <c r="CG186" s="163">
        <f t="shared" si="608"/>
        <v>0</v>
      </c>
      <c r="CH186" s="163">
        <f t="shared" si="608"/>
        <v>0</v>
      </c>
      <c r="CI186" s="163">
        <f t="shared" si="608"/>
        <v>0</v>
      </c>
      <c r="CJ186" s="163">
        <f t="shared" si="608"/>
        <v>0</v>
      </c>
      <c r="CK186" s="163">
        <f t="shared" si="608"/>
        <v>0</v>
      </c>
      <c r="CL186" s="163">
        <f t="shared" si="608"/>
        <v>0</v>
      </c>
      <c r="CM186" s="163">
        <f t="shared" si="608"/>
        <v>0</v>
      </c>
      <c r="CN186" s="163">
        <f t="shared" si="608"/>
        <v>0</v>
      </c>
      <c r="CO186" s="163">
        <f t="shared" si="608"/>
        <v>0</v>
      </c>
      <c r="CP186" s="163">
        <f t="shared" si="608"/>
        <v>0</v>
      </c>
      <c r="CQ186" s="163">
        <f t="shared" si="608"/>
        <v>0</v>
      </c>
      <c r="CR186" s="163">
        <f t="shared" si="608"/>
        <v>0</v>
      </c>
      <c r="CS186" s="163">
        <f t="shared" si="608"/>
        <v>0</v>
      </c>
      <c r="CT186" s="163">
        <f t="shared" si="608"/>
        <v>0</v>
      </c>
      <c r="CU186" s="163">
        <f t="shared" si="608"/>
        <v>0</v>
      </c>
      <c r="CV186" s="163">
        <f t="shared" si="608"/>
        <v>0</v>
      </c>
      <c r="CW186" s="163">
        <f t="shared" si="608"/>
        <v>0</v>
      </c>
      <c r="CX186" s="163">
        <f t="shared" ref="CX186:EC186" ca="1" si="609">IF(CX55=$H$12,-SUM(CX181:CX185),0)</f>
        <v>-8565333.3715270683</v>
      </c>
      <c r="CY186" s="163">
        <f t="shared" si="609"/>
        <v>0</v>
      </c>
      <c r="CZ186" s="163">
        <f t="shared" si="609"/>
        <v>0</v>
      </c>
      <c r="DA186" s="163">
        <f t="shared" si="609"/>
        <v>0</v>
      </c>
      <c r="DB186" s="163">
        <f t="shared" si="609"/>
        <v>0</v>
      </c>
      <c r="DC186" s="163">
        <f t="shared" si="609"/>
        <v>0</v>
      </c>
      <c r="DD186" s="163">
        <f t="shared" si="609"/>
        <v>0</v>
      </c>
      <c r="DE186" s="163">
        <f t="shared" si="609"/>
        <v>0</v>
      </c>
      <c r="DF186" s="163">
        <f t="shared" si="609"/>
        <v>0</v>
      </c>
      <c r="DG186" s="163">
        <f t="shared" si="609"/>
        <v>0</v>
      </c>
      <c r="DH186" s="163">
        <f t="shared" si="609"/>
        <v>0</v>
      </c>
      <c r="DI186" s="163">
        <f t="shared" si="609"/>
        <v>0</v>
      </c>
      <c r="DJ186" s="163">
        <f t="shared" si="609"/>
        <v>0</v>
      </c>
      <c r="DK186" s="163">
        <f t="shared" si="609"/>
        <v>0</v>
      </c>
      <c r="DL186" s="163">
        <f t="shared" si="609"/>
        <v>0</v>
      </c>
      <c r="DM186" s="163">
        <f t="shared" si="609"/>
        <v>0</v>
      </c>
      <c r="DN186" s="163">
        <f t="shared" si="609"/>
        <v>0</v>
      </c>
      <c r="DO186" s="163">
        <f t="shared" si="609"/>
        <v>0</v>
      </c>
      <c r="DP186" s="163">
        <f t="shared" si="609"/>
        <v>0</v>
      </c>
      <c r="DQ186" s="163">
        <f t="shared" si="609"/>
        <v>0</v>
      </c>
      <c r="DR186" s="163">
        <f t="shared" si="609"/>
        <v>0</v>
      </c>
      <c r="DS186" s="163">
        <f t="shared" si="609"/>
        <v>0</v>
      </c>
      <c r="DT186" s="163">
        <f t="shared" si="609"/>
        <v>0</v>
      </c>
      <c r="DU186" s="163">
        <f t="shared" si="609"/>
        <v>0</v>
      </c>
      <c r="DV186" s="163">
        <f t="shared" si="609"/>
        <v>0</v>
      </c>
      <c r="DW186" s="163">
        <f t="shared" si="609"/>
        <v>0</v>
      </c>
      <c r="DX186" s="163">
        <f t="shared" si="609"/>
        <v>0</v>
      </c>
      <c r="DY186" s="163">
        <f t="shared" si="609"/>
        <v>0</v>
      </c>
      <c r="DZ186" s="163">
        <f t="shared" si="609"/>
        <v>0</v>
      </c>
      <c r="EA186" s="163">
        <f t="shared" si="609"/>
        <v>0</v>
      </c>
      <c r="EB186" s="163">
        <f t="shared" si="609"/>
        <v>0</v>
      </c>
      <c r="EC186" s="163">
        <f t="shared" si="609"/>
        <v>0</v>
      </c>
      <c r="ED186" s="163">
        <f t="shared" ref="ED186:FF186" si="610">IF(ED55=$H$12,-SUM(ED181:ED185),0)</f>
        <v>0</v>
      </c>
      <c r="EE186" s="163">
        <f t="shared" si="610"/>
        <v>0</v>
      </c>
      <c r="EF186" s="163">
        <f t="shared" si="610"/>
        <v>0</v>
      </c>
      <c r="EG186" s="163">
        <f t="shared" si="610"/>
        <v>0</v>
      </c>
      <c r="EH186" s="163">
        <f t="shared" si="610"/>
        <v>0</v>
      </c>
      <c r="EI186" s="163">
        <f t="shared" si="610"/>
        <v>0</v>
      </c>
      <c r="EJ186" s="163">
        <f t="shared" si="610"/>
        <v>0</v>
      </c>
      <c r="EK186" s="163">
        <f t="shared" si="610"/>
        <v>0</v>
      </c>
      <c r="EL186" s="163">
        <f t="shared" si="610"/>
        <v>0</v>
      </c>
      <c r="EM186" s="163">
        <f t="shared" si="610"/>
        <v>0</v>
      </c>
      <c r="EN186" s="163">
        <f t="shared" si="610"/>
        <v>0</v>
      </c>
      <c r="EO186" s="163">
        <f t="shared" si="610"/>
        <v>0</v>
      </c>
      <c r="EP186" s="163">
        <f t="shared" si="610"/>
        <v>0</v>
      </c>
      <c r="EQ186" s="163">
        <f t="shared" si="610"/>
        <v>0</v>
      </c>
      <c r="ER186" s="163">
        <f t="shared" si="610"/>
        <v>0</v>
      </c>
      <c r="ES186" s="163">
        <f t="shared" si="610"/>
        <v>0</v>
      </c>
      <c r="ET186" s="163">
        <f t="shared" si="610"/>
        <v>0</v>
      </c>
      <c r="EU186" s="163">
        <f t="shared" si="610"/>
        <v>0</v>
      </c>
      <c r="EV186" s="163">
        <f t="shared" si="610"/>
        <v>0</v>
      </c>
      <c r="EW186" s="163">
        <f t="shared" si="610"/>
        <v>0</v>
      </c>
      <c r="EX186" s="163">
        <f t="shared" si="610"/>
        <v>0</v>
      </c>
      <c r="EY186" s="163">
        <f t="shared" si="610"/>
        <v>0</v>
      </c>
      <c r="EZ186" s="163">
        <f t="shared" si="610"/>
        <v>0</v>
      </c>
      <c r="FA186" s="163">
        <f t="shared" si="610"/>
        <v>0</v>
      </c>
      <c r="FB186" s="163">
        <f t="shared" si="610"/>
        <v>0</v>
      </c>
      <c r="FC186" s="163">
        <f t="shared" si="610"/>
        <v>0</v>
      </c>
      <c r="FD186" s="163">
        <f t="shared" si="610"/>
        <v>0</v>
      </c>
      <c r="FE186" s="163">
        <f t="shared" si="610"/>
        <v>0</v>
      </c>
      <c r="FF186" s="163">
        <f t="shared" si="610"/>
        <v>0</v>
      </c>
      <c r="FG186" s="314"/>
      <c r="FH186" s="163">
        <f t="shared" si="589"/>
        <v>0</v>
      </c>
      <c r="FI186" s="163">
        <f t="shared" si="589"/>
        <v>0</v>
      </c>
      <c r="FJ186" s="163">
        <f t="shared" si="589"/>
        <v>0</v>
      </c>
      <c r="FK186" s="163">
        <f t="shared" si="589"/>
        <v>0</v>
      </c>
      <c r="FL186" s="163">
        <f t="shared" si="589"/>
        <v>0</v>
      </c>
      <c r="FM186" s="163">
        <f t="shared" si="589"/>
        <v>0</v>
      </c>
      <c r="FN186" s="163">
        <f t="shared" si="589"/>
        <v>0</v>
      </c>
      <c r="FO186" s="163">
        <f t="shared" si="589"/>
        <v>0</v>
      </c>
      <c r="FP186" s="163">
        <f ca="1">SUMIF($F$54:$FF$54,FP$54,$F186:$FF186)</f>
        <v>-8565333.3715270683</v>
      </c>
      <c r="FQ186" s="163">
        <f t="shared" si="589"/>
        <v>0</v>
      </c>
      <c r="FR186" s="163">
        <f t="shared" si="589"/>
        <v>0</v>
      </c>
      <c r="FS186" s="163">
        <f t="shared" si="589"/>
        <v>0</v>
      </c>
      <c r="FT186" s="163">
        <f t="shared" si="589"/>
        <v>0</v>
      </c>
      <c r="FU186" s="163">
        <f t="shared" si="589"/>
        <v>0</v>
      </c>
      <c r="FV186" s="314"/>
    </row>
    <row r="187" spans="2:178" s="77" customFormat="1" x14ac:dyDescent="0.2">
      <c r="B187" s="208"/>
      <c r="C187" s="80" t="s">
        <v>133</v>
      </c>
      <c r="D187" s="80"/>
      <c r="E187" s="80">
        <f ca="1">SUM(E182:E186)</f>
        <v>0</v>
      </c>
      <c r="F187" s="279">
        <f t="shared" ref="F187:AK187" si="611">SUM(F181:F186)</f>
        <v>0</v>
      </c>
      <c r="G187" s="80">
        <f t="shared" si="611"/>
        <v>0</v>
      </c>
      <c r="H187" s="80">
        <f t="shared" si="611"/>
        <v>0</v>
      </c>
      <c r="I187" s="80">
        <f t="shared" si="611"/>
        <v>0</v>
      </c>
      <c r="J187" s="80">
        <f t="shared" si="611"/>
        <v>0</v>
      </c>
      <c r="K187" s="80">
        <f t="shared" si="611"/>
        <v>0</v>
      </c>
      <c r="L187" s="80">
        <f t="shared" si="611"/>
        <v>0</v>
      </c>
      <c r="M187" s="80">
        <f t="shared" si="611"/>
        <v>0</v>
      </c>
      <c r="N187" s="80">
        <f t="shared" si="611"/>
        <v>0</v>
      </c>
      <c r="O187" s="80">
        <f t="shared" si="611"/>
        <v>0</v>
      </c>
      <c r="P187" s="80">
        <f t="shared" si="611"/>
        <v>0</v>
      </c>
      <c r="Q187" s="80">
        <f t="shared" si="611"/>
        <v>0</v>
      </c>
      <c r="R187" s="80">
        <f t="shared" si="611"/>
        <v>0</v>
      </c>
      <c r="S187" s="80">
        <f t="shared" si="611"/>
        <v>0</v>
      </c>
      <c r="T187" s="80">
        <f t="shared" si="611"/>
        <v>0</v>
      </c>
      <c r="U187" s="80">
        <f t="shared" si="611"/>
        <v>0</v>
      </c>
      <c r="V187" s="80">
        <f t="shared" si="611"/>
        <v>0</v>
      </c>
      <c r="W187" s="80">
        <f t="shared" si="611"/>
        <v>0</v>
      </c>
      <c r="X187" s="80">
        <f t="shared" si="611"/>
        <v>0</v>
      </c>
      <c r="Y187" s="80">
        <f t="shared" si="611"/>
        <v>0</v>
      </c>
      <c r="Z187" s="80">
        <f t="shared" si="611"/>
        <v>0</v>
      </c>
      <c r="AA187" s="80">
        <f t="shared" si="611"/>
        <v>0</v>
      </c>
      <c r="AB187" s="80">
        <f t="shared" si="611"/>
        <v>0</v>
      </c>
      <c r="AC187" s="80">
        <f t="shared" si="611"/>
        <v>0</v>
      </c>
      <c r="AD187" s="80">
        <f t="shared" si="611"/>
        <v>0</v>
      </c>
      <c r="AE187" s="80">
        <f t="shared" si="611"/>
        <v>0</v>
      </c>
      <c r="AF187" s="80">
        <f t="shared" si="611"/>
        <v>0</v>
      </c>
      <c r="AG187" s="80">
        <f t="shared" si="611"/>
        <v>0</v>
      </c>
      <c r="AH187" s="80">
        <f t="shared" si="611"/>
        <v>0</v>
      </c>
      <c r="AI187" s="80">
        <f t="shared" si="611"/>
        <v>0</v>
      </c>
      <c r="AJ187" s="80">
        <f t="shared" si="611"/>
        <v>0</v>
      </c>
      <c r="AK187" s="80">
        <f t="shared" si="611"/>
        <v>0</v>
      </c>
      <c r="AL187" s="80">
        <f t="shared" ref="AL187:AP187" si="612">SUM(AL181:AL186)</f>
        <v>0</v>
      </c>
      <c r="AM187" s="80">
        <f t="shared" si="612"/>
        <v>0</v>
      </c>
      <c r="AN187" s="80">
        <f t="shared" si="612"/>
        <v>0</v>
      </c>
      <c r="AO187" s="80">
        <f t="shared" si="612"/>
        <v>0</v>
      </c>
      <c r="AP187" s="80">
        <f t="shared" ca="1" si="612"/>
        <v>8883611.6884761341</v>
      </c>
      <c r="AQ187" s="80">
        <f t="shared" ref="AQ187:BV187" ca="1" si="613">SUM(AQ181:AQ186)</f>
        <v>8883611.6884761341</v>
      </c>
      <c r="AR187" s="80">
        <f t="shared" ca="1" si="613"/>
        <v>8883611.6884761341</v>
      </c>
      <c r="AS187" s="80">
        <f t="shared" ca="1" si="613"/>
        <v>8883611.6884761341</v>
      </c>
      <c r="AT187" s="80">
        <f t="shared" ca="1" si="613"/>
        <v>8883611.6884761341</v>
      </c>
      <c r="AU187" s="80">
        <f t="shared" ca="1" si="613"/>
        <v>8883611.6884761341</v>
      </c>
      <c r="AV187" s="80">
        <f t="shared" ca="1" si="613"/>
        <v>8883611.6884761341</v>
      </c>
      <c r="AW187" s="80">
        <f t="shared" ca="1" si="613"/>
        <v>8883611.6884761341</v>
      </c>
      <c r="AX187" s="80">
        <f t="shared" ca="1" si="613"/>
        <v>8883611.6884761341</v>
      </c>
      <c r="AY187" s="80">
        <f t="shared" ca="1" si="613"/>
        <v>8883611.6884761341</v>
      </c>
      <c r="AZ187" s="80">
        <f t="shared" ca="1" si="613"/>
        <v>8883611.6884761341</v>
      </c>
      <c r="BA187" s="80">
        <f t="shared" ca="1" si="613"/>
        <v>8883611.6884761341</v>
      </c>
      <c r="BB187" s="80">
        <f t="shared" ca="1" si="613"/>
        <v>8883611.6884761341</v>
      </c>
      <c r="BC187" s="80">
        <f t="shared" ca="1" si="613"/>
        <v>8883611.6884761341</v>
      </c>
      <c r="BD187" s="80">
        <f t="shared" ca="1" si="613"/>
        <v>8883611.6884761341</v>
      </c>
      <c r="BE187" s="80">
        <f t="shared" ca="1" si="613"/>
        <v>8883611.6884761341</v>
      </c>
      <c r="BF187" s="80">
        <f t="shared" ca="1" si="613"/>
        <v>8883611.6884761341</v>
      </c>
      <c r="BG187" s="80">
        <f t="shared" ca="1" si="613"/>
        <v>8883611.6884761341</v>
      </c>
      <c r="BH187" s="80">
        <f t="shared" ca="1" si="613"/>
        <v>8883611.6884761341</v>
      </c>
      <c r="BI187" s="80">
        <f t="shared" ca="1" si="613"/>
        <v>8883611.6884761341</v>
      </c>
      <c r="BJ187" s="80">
        <f t="shared" ca="1" si="613"/>
        <v>8883611.6884761341</v>
      </c>
      <c r="BK187" s="80">
        <f t="shared" ca="1" si="613"/>
        <v>8883611.6884761341</v>
      </c>
      <c r="BL187" s="80">
        <f t="shared" ca="1" si="613"/>
        <v>8883611.6884761341</v>
      </c>
      <c r="BM187" s="80">
        <f t="shared" ca="1" si="613"/>
        <v>8883611.6884761341</v>
      </c>
      <c r="BN187" s="80">
        <f t="shared" ca="1" si="613"/>
        <v>8883611.6884761341</v>
      </c>
      <c r="BO187" s="80">
        <f t="shared" ca="1" si="613"/>
        <v>8875580.7829745729</v>
      </c>
      <c r="BP187" s="80">
        <f t="shared" ca="1" si="613"/>
        <v>8867506.376734877</v>
      </c>
      <c r="BQ187" s="80">
        <f t="shared" ca="1" si="613"/>
        <v>8859388.2341280505</v>
      </c>
      <c r="BR187" s="80">
        <f t="shared" ca="1" si="613"/>
        <v>8851226.11824877</v>
      </c>
      <c r="BS187" s="80">
        <f t="shared" ca="1" si="613"/>
        <v>8843019.7909084763</v>
      </c>
      <c r="BT187" s="80">
        <f t="shared" ca="1" si="613"/>
        <v>8834769.0126284231</v>
      </c>
      <c r="BU187" s="80">
        <f t="shared" ca="1" si="613"/>
        <v>8826473.542632686</v>
      </c>
      <c r="BV187" s="80">
        <f t="shared" ca="1" si="613"/>
        <v>8818133.1388411392</v>
      </c>
      <c r="BW187" s="80">
        <f t="shared" ref="BW187:DB187" ca="1" si="614">SUM(BW181:BW186)</f>
        <v>8809747.557862388</v>
      </c>
      <c r="BX187" s="80">
        <f t="shared" ca="1" si="614"/>
        <v>8801316.5549866688</v>
      </c>
      <c r="BY187" s="80">
        <f t="shared" ca="1" si="614"/>
        <v>8792839.8841787055</v>
      </c>
      <c r="BZ187" s="80">
        <f t="shared" ca="1" si="614"/>
        <v>8784317.2980705332</v>
      </c>
      <c r="CA187" s="80">
        <f t="shared" ca="1" si="614"/>
        <v>8775748.5479542743</v>
      </c>
      <c r="CB187" s="80">
        <f t="shared" ca="1" si="614"/>
        <v>8767133.3837748859</v>
      </c>
      <c r="CC187" s="80">
        <f t="shared" ca="1" si="614"/>
        <v>8758471.5541228596</v>
      </c>
      <c r="CD187" s="80">
        <f t="shared" ca="1" si="614"/>
        <v>8749762.8062268849</v>
      </c>
      <c r="CE187" s="80">
        <f t="shared" ca="1" si="614"/>
        <v>8741006.8859464731</v>
      </c>
      <c r="CF187" s="80">
        <f t="shared" ca="1" si="614"/>
        <v>8732203.5377645418</v>
      </c>
      <c r="CG187" s="80">
        <f t="shared" ca="1" si="614"/>
        <v>8723352.5047799591</v>
      </c>
      <c r="CH187" s="80">
        <f t="shared" ca="1" si="614"/>
        <v>8714453.5287000425</v>
      </c>
      <c r="CI187" s="80">
        <f t="shared" ca="1" si="614"/>
        <v>8705506.3498330265</v>
      </c>
      <c r="CJ187" s="80">
        <f t="shared" ca="1" si="614"/>
        <v>8696510.7070804816</v>
      </c>
      <c r="CK187" s="80">
        <f t="shared" ca="1" si="614"/>
        <v>8687466.337929694</v>
      </c>
      <c r="CL187" s="80">
        <f t="shared" ca="1" si="614"/>
        <v>8678372.9784460049</v>
      </c>
      <c r="CM187" s="80">
        <f t="shared" ca="1" si="614"/>
        <v>8669230.3632651139</v>
      </c>
      <c r="CN187" s="80">
        <f t="shared" ca="1" si="614"/>
        <v>8660038.2255853247</v>
      </c>
      <c r="CO187" s="80">
        <f t="shared" ca="1" si="614"/>
        <v>8650796.2971597705</v>
      </c>
      <c r="CP187" s="80">
        <f t="shared" ca="1" si="614"/>
        <v>8641504.3082885779</v>
      </c>
      <c r="CQ187" s="80">
        <f t="shared" ca="1" si="614"/>
        <v>8632161.9878109992</v>
      </c>
      <c r="CR187" s="80">
        <f t="shared" ca="1" si="614"/>
        <v>8622769.0630975012</v>
      </c>
      <c r="CS187" s="80">
        <f t="shared" ca="1" si="614"/>
        <v>8613325.260041805</v>
      </c>
      <c r="CT187" s="80">
        <f t="shared" ca="1" si="614"/>
        <v>8603830.303052891</v>
      </c>
      <c r="CU187" s="80">
        <f t="shared" ca="1" si="614"/>
        <v>8594283.9150469527</v>
      </c>
      <c r="CV187" s="80">
        <f t="shared" ca="1" si="614"/>
        <v>8584685.8174393158</v>
      </c>
      <c r="CW187" s="80">
        <f t="shared" ca="1" si="614"/>
        <v>8575035.7301363051</v>
      </c>
      <c r="CX187" s="80">
        <f t="shared" ca="1" si="614"/>
        <v>0</v>
      </c>
      <c r="CY187" s="80">
        <f t="shared" ca="1" si="614"/>
        <v>0</v>
      </c>
      <c r="CZ187" s="80">
        <f t="shared" ca="1" si="614"/>
        <v>0</v>
      </c>
      <c r="DA187" s="80">
        <f t="shared" ca="1" si="614"/>
        <v>0</v>
      </c>
      <c r="DB187" s="80">
        <f t="shared" ca="1" si="614"/>
        <v>0</v>
      </c>
      <c r="DC187" s="80">
        <f t="shared" ref="DC187:EH187" ca="1" si="615">SUM(DC181:DC186)</f>
        <v>0</v>
      </c>
      <c r="DD187" s="80">
        <f t="shared" ca="1" si="615"/>
        <v>0</v>
      </c>
      <c r="DE187" s="80">
        <f t="shared" ca="1" si="615"/>
        <v>0</v>
      </c>
      <c r="DF187" s="80">
        <f t="shared" ca="1" si="615"/>
        <v>0</v>
      </c>
      <c r="DG187" s="80">
        <f t="shared" ca="1" si="615"/>
        <v>0</v>
      </c>
      <c r="DH187" s="80">
        <f t="shared" ca="1" si="615"/>
        <v>0</v>
      </c>
      <c r="DI187" s="80">
        <f t="shared" ca="1" si="615"/>
        <v>0</v>
      </c>
      <c r="DJ187" s="80">
        <f t="shared" ca="1" si="615"/>
        <v>0</v>
      </c>
      <c r="DK187" s="80">
        <f t="shared" ca="1" si="615"/>
        <v>0</v>
      </c>
      <c r="DL187" s="80">
        <f t="shared" ca="1" si="615"/>
        <v>0</v>
      </c>
      <c r="DM187" s="80">
        <f t="shared" ca="1" si="615"/>
        <v>0</v>
      </c>
      <c r="DN187" s="80">
        <f t="shared" ca="1" si="615"/>
        <v>0</v>
      </c>
      <c r="DO187" s="80">
        <f t="shared" ca="1" si="615"/>
        <v>0</v>
      </c>
      <c r="DP187" s="80">
        <f t="shared" ca="1" si="615"/>
        <v>0</v>
      </c>
      <c r="DQ187" s="80">
        <f t="shared" ca="1" si="615"/>
        <v>0</v>
      </c>
      <c r="DR187" s="80">
        <f t="shared" ca="1" si="615"/>
        <v>0</v>
      </c>
      <c r="DS187" s="80">
        <f t="shared" ca="1" si="615"/>
        <v>0</v>
      </c>
      <c r="DT187" s="80">
        <f t="shared" ca="1" si="615"/>
        <v>0</v>
      </c>
      <c r="DU187" s="80">
        <f t="shared" ca="1" si="615"/>
        <v>0</v>
      </c>
      <c r="DV187" s="80">
        <f t="shared" ca="1" si="615"/>
        <v>0</v>
      </c>
      <c r="DW187" s="80">
        <f t="shared" ca="1" si="615"/>
        <v>0</v>
      </c>
      <c r="DX187" s="80">
        <f t="shared" ca="1" si="615"/>
        <v>0</v>
      </c>
      <c r="DY187" s="80">
        <f t="shared" ca="1" si="615"/>
        <v>0</v>
      </c>
      <c r="DZ187" s="80">
        <f t="shared" ca="1" si="615"/>
        <v>0</v>
      </c>
      <c r="EA187" s="80">
        <f t="shared" ca="1" si="615"/>
        <v>0</v>
      </c>
      <c r="EB187" s="80">
        <f t="shared" ca="1" si="615"/>
        <v>0</v>
      </c>
      <c r="EC187" s="80">
        <f t="shared" ca="1" si="615"/>
        <v>0</v>
      </c>
      <c r="ED187" s="80">
        <f t="shared" ca="1" si="615"/>
        <v>0</v>
      </c>
      <c r="EE187" s="80">
        <f t="shared" ca="1" si="615"/>
        <v>0</v>
      </c>
      <c r="EF187" s="80">
        <f t="shared" ca="1" si="615"/>
        <v>0</v>
      </c>
      <c r="EG187" s="80">
        <f t="shared" ca="1" si="615"/>
        <v>0</v>
      </c>
      <c r="EH187" s="80">
        <f t="shared" ca="1" si="615"/>
        <v>0</v>
      </c>
      <c r="EI187" s="80">
        <f t="shared" ref="EI187:FF187" ca="1" si="616">SUM(EI181:EI186)</f>
        <v>0</v>
      </c>
      <c r="EJ187" s="80">
        <f t="shared" ca="1" si="616"/>
        <v>0</v>
      </c>
      <c r="EK187" s="80">
        <f t="shared" ca="1" si="616"/>
        <v>0</v>
      </c>
      <c r="EL187" s="80">
        <f t="shared" ca="1" si="616"/>
        <v>0</v>
      </c>
      <c r="EM187" s="80">
        <f t="shared" ca="1" si="616"/>
        <v>0</v>
      </c>
      <c r="EN187" s="80">
        <f t="shared" ca="1" si="616"/>
        <v>0</v>
      </c>
      <c r="EO187" s="80">
        <f t="shared" ca="1" si="616"/>
        <v>0</v>
      </c>
      <c r="EP187" s="80">
        <f t="shared" ca="1" si="616"/>
        <v>0</v>
      </c>
      <c r="EQ187" s="80">
        <f t="shared" ca="1" si="616"/>
        <v>0</v>
      </c>
      <c r="ER187" s="80">
        <f t="shared" ca="1" si="616"/>
        <v>0</v>
      </c>
      <c r="ES187" s="80">
        <f t="shared" ca="1" si="616"/>
        <v>0</v>
      </c>
      <c r="ET187" s="80">
        <f t="shared" ca="1" si="616"/>
        <v>0</v>
      </c>
      <c r="EU187" s="80">
        <f t="shared" ca="1" si="616"/>
        <v>0</v>
      </c>
      <c r="EV187" s="80">
        <f t="shared" ca="1" si="616"/>
        <v>0</v>
      </c>
      <c r="EW187" s="80">
        <f t="shared" ca="1" si="616"/>
        <v>0</v>
      </c>
      <c r="EX187" s="80">
        <f t="shared" ca="1" si="616"/>
        <v>0</v>
      </c>
      <c r="EY187" s="80">
        <f t="shared" ca="1" si="616"/>
        <v>0</v>
      </c>
      <c r="EZ187" s="80">
        <f t="shared" ca="1" si="616"/>
        <v>0</v>
      </c>
      <c r="FA187" s="80">
        <f t="shared" ca="1" si="616"/>
        <v>0</v>
      </c>
      <c r="FB187" s="80">
        <f t="shared" ca="1" si="616"/>
        <v>0</v>
      </c>
      <c r="FC187" s="80">
        <f t="shared" ca="1" si="616"/>
        <v>0</v>
      </c>
      <c r="FD187" s="80">
        <f t="shared" ca="1" si="616"/>
        <v>0</v>
      </c>
      <c r="FE187" s="80">
        <f t="shared" ca="1" si="616"/>
        <v>0</v>
      </c>
      <c r="FF187" s="80">
        <f t="shared" ca="1" si="616"/>
        <v>0</v>
      </c>
      <c r="FG187" s="288"/>
      <c r="FH187" s="80">
        <f t="shared" ref="FH187:FU187" ca="1" si="617">SUM(FH181:FH186)</f>
        <v>0</v>
      </c>
      <c r="FI187" s="80">
        <f t="shared" ca="1" si="617"/>
        <v>0</v>
      </c>
      <c r="FJ187" s="80">
        <f t="shared" ca="1" si="617"/>
        <v>0</v>
      </c>
      <c r="FK187" s="80">
        <f t="shared" ca="1" si="617"/>
        <v>8883611.6884761341</v>
      </c>
      <c r="FL187" s="80">
        <f t="shared" ca="1" si="617"/>
        <v>8883611.6884761341</v>
      </c>
      <c r="FM187" s="80">
        <f t="shared" ca="1" si="617"/>
        <v>8834769.0126284212</v>
      </c>
      <c r="FN187" s="80">
        <f t="shared" ca="1" si="617"/>
        <v>8732203.5377645362</v>
      </c>
      <c r="FO187" s="80">
        <f t="shared" ca="1" si="617"/>
        <v>8622769.0630974974</v>
      </c>
      <c r="FP187" s="80">
        <f t="shared" ca="1" si="617"/>
        <v>0</v>
      </c>
      <c r="FQ187" s="80">
        <f t="shared" ca="1" si="617"/>
        <v>0</v>
      </c>
      <c r="FR187" s="80">
        <f t="shared" ca="1" si="617"/>
        <v>0</v>
      </c>
      <c r="FS187" s="80">
        <f t="shared" ca="1" si="617"/>
        <v>0</v>
      </c>
      <c r="FT187" s="80">
        <f t="shared" ca="1" si="617"/>
        <v>0</v>
      </c>
      <c r="FU187" s="80">
        <f t="shared" ca="1" si="617"/>
        <v>0</v>
      </c>
      <c r="FV187" s="288"/>
    </row>
    <row r="188" spans="2:178" x14ac:dyDescent="0.2">
      <c r="F188" s="255"/>
      <c r="FG188" s="39"/>
      <c r="FV188" s="39"/>
    </row>
    <row r="189" spans="2:178" x14ac:dyDescent="0.2">
      <c r="C189" s="50" t="s">
        <v>205</v>
      </c>
      <c r="D189" s="260"/>
      <c r="E189" s="260"/>
      <c r="F189" s="255"/>
      <c r="FG189" s="39"/>
      <c r="FV189" s="39"/>
    </row>
    <row r="190" spans="2:178" x14ac:dyDescent="0.2">
      <c r="C190" s="39" t="s">
        <v>168</v>
      </c>
      <c r="E190" s="77">
        <f>D20</f>
        <v>11392857.142861834</v>
      </c>
      <c r="F190" s="255"/>
      <c r="FG190" s="39"/>
      <c r="FV190" s="39"/>
    </row>
    <row r="191" spans="2:178" x14ac:dyDescent="0.2">
      <c r="C191" s="39" t="s">
        <v>208</v>
      </c>
      <c r="D191" s="340">
        <v>0.8</v>
      </c>
      <c r="E191" s="77">
        <f>E190*D191</f>
        <v>9114285.7142894678</v>
      </c>
      <c r="F191" s="255"/>
      <c r="FG191" s="39"/>
      <c r="FV191" s="39"/>
    </row>
    <row r="192" spans="2:178" x14ac:dyDescent="0.2">
      <c r="C192" s="79" t="s">
        <v>164</v>
      </c>
      <c r="D192" s="79"/>
      <c r="E192" s="272">
        <f>E191/27.5</f>
        <v>331428.57142870792</v>
      </c>
      <c r="F192" s="261"/>
      <c r="FG192" s="39"/>
      <c r="FV192" s="39"/>
    </row>
    <row r="193" spans="2:178" x14ac:dyDescent="0.2">
      <c r="C193" s="47" t="s">
        <v>241</v>
      </c>
      <c r="D193" s="47"/>
      <c r="E193" s="421">
        <f>E192*$D$46</f>
        <v>49714.285714306185</v>
      </c>
      <c r="F193" s="261"/>
      <c r="FG193" s="39"/>
      <c r="FV193" s="39"/>
    </row>
    <row r="194" spans="2:178" x14ac:dyDescent="0.2">
      <c r="C194" s="47"/>
      <c r="D194" s="47"/>
      <c r="E194" s="208"/>
      <c r="F194" s="255"/>
      <c r="FG194" s="39"/>
      <c r="FV194" s="39"/>
    </row>
    <row r="195" spans="2:178" x14ac:dyDescent="0.2">
      <c r="C195" s="39" t="s">
        <v>209</v>
      </c>
      <c r="D195" s="340">
        <v>0.25</v>
      </c>
      <c r="E195" s="77">
        <f>E191*D195</f>
        <v>2278571.4285723669</v>
      </c>
      <c r="F195" s="255"/>
    </row>
    <row r="196" spans="2:178" x14ac:dyDescent="0.2">
      <c r="C196" s="39" t="s">
        <v>210</v>
      </c>
      <c r="D196" s="340">
        <v>0.4</v>
      </c>
      <c r="E196" s="77">
        <f>E195*D196</f>
        <v>911428.5714289468</v>
      </c>
      <c r="F196" s="255"/>
    </row>
    <row r="197" spans="2:178" x14ac:dyDescent="0.2">
      <c r="C197" s="39" t="s">
        <v>212</v>
      </c>
      <c r="D197" s="341">
        <v>10</v>
      </c>
      <c r="E197" s="77">
        <f>(E195-E196)/D197</f>
        <v>136714.28571434203</v>
      </c>
      <c r="F197" s="255"/>
    </row>
    <row r="198" spans="2:178" x14ac:dyDescent="0.2">
      <c r="C198" s="39" t="s">
        <v>211</v>
      </c>
      <c r="D198" s="342">
        <v>27.5</v>
      </c>
      <c r="E198" s="77">
        <f>(E191-E195)/D198</f>
        <v>248571.42857153094</v>
      </c>
      <c r="F198" s="255"/>
    </row>
    <row r="199" spans="2:178" x14ac:dyDescent="0.2">
      <c r="C199" s="79" t="s">
        <v>213</v>
      </c>
      <c r="D199" s="79"/>
      <c r="E199" s="272">
        <f>SUM(E196:E198)</f>
        <v>1296714.2857148198</v>
      </c>
      <c r="F199" s="338"/>
    </row>
    <row r="200" spans="2:178" s="216" customFormat="1" x14ac:dyDescent="0.2">
      <c r="C200" s="216" t="s">
        <v>241</v>
      </c>
      <c r="E200" s="424">
        <f>E199*$D$46</f>
        <v>194507.14285722296</v>
      </c>
      <c r="F200" s="422"/>
      <c r="FG200" s="207"/>
      <c r="FV200" s="207"/>
    </row>
    <row r="201" spans="2:178" x14ac:dyDescent="0.2">
      <c r="C201" s="47" t="s">
        <v>214</v>
      </c>
      <c r="D201" s="47"/>
      <c r="E201" s="208">
        <f>SUM(E197:E198)</f>
        <v>385285.71428587299</v>
      </c>
      <c r="F201" s="300"/>
      <c r="G201" s="77"/>
    </row>
    <row r="202" spans="2:178" s="216" customFormat="1" x14ac:dyDescent="0.2">
      <c r="C202" s="216" t="s">
        <v>241</v>
      </c>
      <c r="E202" s="424">
        <f>E201*$D$46</f>
        <v>57792.857142880945</v>
      </c>
      <c r="F202" s="423"/>
      <c r="G202" s="424"/>
      <c r="FG202" s="207"/>
      <c r="FV202" s="207"/>
    </row>
    <row r="203" spans="2:178" x14ac:dyDescent="0.2">
      <c r="F203" s="255"/>
    </row>
    <row r="204" spans="2:178" x14ac:dyDescent="0.2">
      <c r="C204" s="50" t="s">
        <v>204</v>
      </c>
      <c r="D204" s="260"/>
      <c r="E204" s="260"/>
      <c r="F204" s="286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260"/>
      <c r="W204" s="260"/>
      <c r="X204" s="260"/>
      <c r="Y204" s="260"/>
      <c r="Z204" s="260"/>
      <c r="AA204" s="260"/>
      <c r="AB204" s="260"/>
      <c r="AC204" s="260"/>
      <c r="AD204" s="260"/>
      <c r="AE204" s="260"/>
      <c r="AF204" s="260"/>
      <c r="AG204" s="260"/>
      <c r="AH204" s="260"/>
      <c r="AI204" s="260"/>
      <c r="AJ204" s="260"/>
      <c r="AK204" s="260"/>
      <c r="AL204" s="260"/>
      <c r="AM204" s="260"/>
      <c r="AN204" s="260"/>
      <c r="AO204" s="260"/>
      <c r="AP204" s="260"/>
      <c r="AQ204" s="260"/>
      <c r="AR204" s="260"/>
      <c r="AS204" s="260"/>
      <c r="AT204" s="260"/>
      <c r="AU204" s="260"/>
      <c r="AV204" s="260"/>
      <c r="AW204" s="260"/>
      <c r="AX204" s="260"/>
      <c r="AY204" s="260"/>
      <c r="AZ204" s="260"/>
      <c r="BA204" s="260"/>
      <c r="BB204" s="260"/>
      <c r="BC204" s="260"/>
      <c r="BD204" s="260"/>
      <c r="BE204" s="260"/>
      <c r="BF204" s="260"/>
      <c r="BG204" s="260"/>
      <c r="BH204" s="260"/>
      <c r="BI204" s="260"/>
      <c r="BJ204" s="260"/>
      <c r="BK204" s="260"/>
      <c r="BL204" s="260"/>
      <c r="BM204" s="260"/>
      <c r="BN204" s="260"/>
      <c r="BO204" s="260"/>
      <c r="BP204" s="260"/>
      <c r="BQ204" s="260"/>
      <c r="BR204" s="260"/>
      <c r="BS204" s="260"/>
      <c r="BT204" s="260"/>
      <c r="BU204" s="260"/>
      <c r="BV204" s="260"/>
      <c r="BW204" s="260"/>
      <c r="BX204" s="260"/>
      <c r="BY204" s="260"/>
      <c r="BZ204" s="260"/>
      <c r="CA204" s="260"/>
      <c r="CB204" s="260"/>
      <c r="CC204" s="260"/>
      <c r="CD204" s="260"/>
      <c r="CE204" s="260"/>
      <c r="CF204" s="260"/>
      <c r="CG204" s="260"/>
      <c r="CH204" s="260"/>
      <c r="CI204" s="260"/>
      <c r="CJ204" s="260"/>
      <c r="CK204" s="260"/>
      <c r="CL204" s="260"/>
      <c r="CM204" s="260"/>
      <c r="CN204" s="260"/>
      <c r="CO204" s="260"/>
      <c r="CP204" s="260"/>
      <c r="CQ204" s="260"/>
      <c r="CR204" s="260"/>
      <c r="CS204" s="260"/>
      <c r="CT204" s="260"/>
      <c r="CU204" s="260"/>
      <c r="CV204" s="260"/>
      <c r="CW204" s="260"/>
      <c r="CX204" s="260"/>
      <c r="CY204" s="260"/>
      <c r="CZ204" s="260"/>
      <c r="DA204" s="260"/>
      <c r="DB204" s="260"/>
      <c r="DC204" s="260"/>
      <c r="DD204" s="260"/>
      <c r="DE204" s="260"/>
      <c r="DF204" s="260"/>
      <c r="DG204" s="260"/>
      <c r="DH204" s="260"/>
      <c r="DI204" s="260"/>
      <c r="DJ204" s="260"/>
      <c r="DK204" s="260"/>
      <c r="DL204" s="260"/>
      <c r="DM204" s="260"/>
      <c r="DN204" s="260"/>
      <c r="DO204" s="260"/>
      <c r="DP204" s="260"/>
      <c r="DQ204" s="260"/>
      <c r="DR204" s="260"/>
      <c r="DS204" s="260"/>
      <c r="DT204" s="260"/>
      <c r="DU204" s="260"/>
      <c r="DV204" s="260"/>
      <c r="DW204" s="260"/>
      <c r="DX204" s="260"/>
      <c r="DY204" s="260"/>
      <c r="DZ204" s="260"/>
      <c r="EA204" s="260"/>
      <c r="EB204" s="260"/>
      <c r="EC204" s="260"/>
      <c r="ED204" s="260"/>
      <c r="EE204" s="260"/>
      <c r="EF204" s="260"/>
      <c r="EG204" s="260"/>
      <c r="EH204" s="260"/>
      <c r="EI204" s="260"/>
      <c r="EJ204" s="260"/>
      <c r="EK204" s="260"/>
      <c r="EL204" s="260"/>
      <c r="EM204" s="260"/>
      <c r="EN204" s="260"/>
      <c r="EO204" s="260"/>
      <c r="EP204" s="260"/>
      <c r="EQ204" s="260"/>
      <c r="ER204" s="260"/>
      <c r="ES204" s="260"/>
      <c r="ET204" s="260"/>
      <c r="EU204" s="260"/>
      <c r="EV204" s="260"/>
      <c r="EW204" s="260"/>
      <c r="EX204" s="260"/>
      <c r="EY204" s="260"/>
      <c r="EZ204" s="260"/>
      <c r="FA204" s="260"/>
      <c r="FB204" s="260"/>
      <c r="FC204" s="260"/>
      <c r="FD204" s="260"/>
      <c r="FE204" s="260"/>
      <c r="FF204" s="260"/>
      <c r="FH204" s="260"/>
      <c r="FI204" s="260"/>
      <c r="FJ204" s="260"/>
      <c r="FK204" s="260"/>
      <c r="FL204" s="260"/>
      <c r="FM204" s="260"/>
      <c r="FN204" s="260"/>
      <c r="FO204" s="260"/>
      <c r="FP204" s="260"/>
      <c r="FQ204" s="260"/>
      <c r="FR204" s="260"/>
      <c r="FS204" s="260"/>
      <c r="FT204" s="260"/>
      <c r="FU204" s="260"/>
    </row>
    <row r="205" spans="2:178" x14ac:dyDescent="0.2">
      <c r="C205" s="39" t="s">
        <v>179</v>
      </c>
      <c r="E205" s="163">
        <f>SUM(F205:FF205)</f>
        <v>7064419.1679973807</v>
      </c>
      <c r="F205" s="261">
        <f t="shared" ref="F205:AK205" si="618">F118*(F53&lt;=$I$12)</f>
        <v>0</v>
      </c>
      <c r="G205" s="163">
        <f t="shared" si="618"/>
        <v>65201.564856093741</v>
      </c>
      <c r="H205" s="163">
        <f t="shared" si="618"/>
        <v>65364.568768233978</v>
      </c>
      <c r="I205" s="163">
        <f t="shared" si="618"/>
        <v>65527.980190154572</v>
      </c>
      <c r="J205" s="163">
        <f t="shared" si="618"/>
        <v>65691.80014062993</v>
      </c>
      <c r="K205" s="163">
        <f t="shared" si="618"/>
        <v>65856.02964098152</v>
      </c>
      <c r="L205" s="163">
        <f t="shared" si="618"/>
        <v>66020.669715083961</v>
      </c>
      <c r="M205" s="163">
        <f t="shared" si="618"/>
        <v>66185.721389371669</v>
      </c>
      <c r="N205" s="163">
        <f t="shared" si="618"/>
        <v>66351.185692845087</v>
      </c>
      <c r="O205" s="163">
        <f t="shared" si="618"/>
        <v>66517.063657077219</v>
      </c>
      <c r="P205" s="163">
        <f t="shared" si="618"/>
        <v>66683.356316219899</v>
      </c>
      <c r="Q205" s="163">
        <f t="shared" si="618"/>
        <v>66850.064707010431</v>
      </c>
      <c r="R205" s="163">
        <f t="shared" si="618"/>
        <v>67017.189868777961</v>
      </c>
      <c r="S205" s="163">
        <f t="shared" si="618"/>
        <v>67184.732843449936</v>
      </c>
      <c r="T205" s="163">
        <f t="shared" si="618"/>
        <v>67352.694675558538</v>
      </c>
      <c r="U205" s="163">
        <f t="shared" si="618"/>
        <v>67521.076412247421</v>
      </c>
      <c r="V205" s="163">
        <f t="shared" si="618"/>
        <v>67689.879103278043</v>
      </c>
      <c r="W205" s="163">
        <f t="shared" si="618"/>
        <v>67859.103801036239</v>
      </c>
      <c r="X205" s="163">
        <f t="shared" si="618"/>
        <v>68028.751560538833</v>
      </c>
      <c r="Y205" s="163">
        <f t="shared" si="618"/>
        <v>68198.823439440166</v>
      </c>
      <c r="Z205" s="163">
        <f t="shared" si="618"/>
        <v>68369.320498038782</v>
      </c>
      <c r="AA205" s="163">
        <f t="shared" si="618"/>
        <v>68540.243799283882</v>
      </c>
      <c r="AB205" s="163">
        <f t="shared" si="618"/>
        <v>68711.594408782097</v>
      </c>
      <c r="AC205" s="163">
        <f t="shared" si="618"/>
        <v>68883.373394804046</v>
      </c>
      <c r="AD205" s="163">
        <f t="shared" si="618"/>
        <v>69055.581828291048</v>
      </c>
      <c r="AE205" s="163">
        <f t="shared" si="618"/>
        <v>69228.220782861783</v>
      </c>
      <c r="AF205" s="163">
        <f t="shared" si="618"/>
        <v>69401.291334818932</v>
      </c>
      <c r="AG205" s="163">
        <f t="shared" si="618"/>
        <v>69574.794563155985</v>
      </c>
      <c r="AH205" s="163">
        <f t="shared" si="618"/>
        <v>69748.731549563861</v>
      </c>
      <c r="AI205" s="163">
        <f t="shared" si="618"/>
        <v>69923.10337843778</v>
      </c>
      <c r="AJ205" s="163">
        <f t="shared" si="618"/>
        <v>70097.911136883878</v>
      </c>
      <c r="AK205" s="163">
        <f t="shared" si="618"/>
        <v>70273.155914726056</v>
      </c>
      <c r="AL205" s="163">
        <f t="shared" ref="AL205:BQ205" si="619">AL118*(AL53&lt;=$I$12)</f>
        <v>70448.838804512896</v>
      </c>
      <c r="AM205" s="163">
        <f t="shared" si="619"/>
        <v>70624.960901524173</v>
      </c>
      <c r="AN205" s="163">
        <f t="shared" si="619"/>
        <v>70801.523303777969</v>
      </c>
      <c r="AO205" s="163">
        <f t="shared" si="619"/>
        <v>70978.527112037409</v>
      </c>
      <c r="AP205" s="163">
        <f t="shared" si="619"/>
        <v>71155.973429817503</v>
      </c>
      <c r="AQ205" s="163">
        <f t="shared" si="619"/>
        <v>71333.863363392025</v>
      </c>
      <c r="AR205" s="163">
        <f t="shared" si="619"/>
        <v>71512.198021800505</v>
      </c>
      <c r="AS205" s="163">
        <f t="shared" si="619"/>
        <v>71690.97851685503</v>
      </c>
      <c r="AT205" s="163">
        <f t="shared" si="619"/>
        <v>71870.205963147149</v>
      </c>
      <c r="AU205" s="163">
        <f t="shared" si="619"/>
        <v>72049.881478054987</v>
      </c>
      <c r="AV205" s="163">
        <f t="shared" si="619"/>
        <v>72230.006181750141</v>
      </c>
      <c r="AW205" s="163">
        <f t="shared" si="619"/>
        <v>72410.581197204505</v>
      </c>
      <c r="AX205" s="163">
        <f t="shared" si="619"/>
        <v>72591.607650197519</v>
      </c>
      <c r="AY205" s="163">
        <f t="shared" si="619"/>
        <v>72773.08666932302</v>
      </c>
      <c r="AZ205" s="163">
        <f t="shared" si="619"/>
        <v>72955.019385996347</v>
      </c>
      <c r="BA205" s="163">
        <f t="shared" si="619"/>
        <v>73137.406934461353</v>
      </c>
      <c r="BB205" s="163">
        <f t="shared" si="619"/>
        <v>73320.250451797503</v>
      </c>
      <c r="BC205" s="163">
        <f t="shared" si="619"/>
        <v>73503.551077926983</v>
      </c>
      <c r="BD205" s="163">
        <f t="shared" si="619"/>
        <v>73687.309955621778</v>
      </c>
      <c r="BE205" s="163">
        <f t="shared" si="619"/>
        <v>73871.528230510841</v>
      </c>
      <c r="BF205" s="163">
        <f t="shared" si="619"/>
        <v>74056.207051087069</v>
      </c>
      <c r="BG205" s="163">
        <f t="shared" si="619"/>
        <v>74241.347568714802</v>
      </c>
      <c r="BH205" s="163">
        <f t="shared" si="619"/>
        <v>74426.950937636604</v>
      </c>
      <c r="BI205" s="163">
        <f t="shared" si="619"/>
        <v>74613.018314980698</v>
      </c>
      <c r="BJ205" s="163">
        <f t="shared" si="619"/>
        <v>74799.550860768155</v>
      </c>
      <c r="BK205" s="163">
        <f t="shared" si="619"/>
        <v>74986.549737920039</v>
      </c>
      <c r="BL205" s="163">
        <f t="shared" si="619"/>
        <v>75174.016112264842</v>
      </c>
      <c r="BM205" s="163">
        <f t="shared" si="619"/>
        <v>75361.951152545487</v>
      </c>
      <c r="BN205" s="163">
        <f t="shared" si="619"/>
        <v>75550.356030426832</v>
      </c>
      <c r="BO205" s="163">
        <f t="shared" si="619"/>
        <v>75739.231920502905</v>
      </c>
      <c r="BP205" s="163">
        <f t="shared" si="619"/>
        <v>75928.580000304151</v>
      </c>
      <c r="BQ205" s="163">
        <f t="shared" si="619"/>
        <v>76118.401450304897</v>
      </c>
      <c r="BR205" s="163">
        <f t="shared" ref="BR205:CW205" si="620">BR118*(BR53&lt;=$I$12)</f>
        <v>76308.697453930668</v>
      </c>
      <c r="BS205" s="163">
        <f t="shared" si="620"/>
        <v>76499.469197565501</v>
      </c>
      <c r="BT205" s="163">
        <f t="shared" si="620"/>
        <v>76690.717870559398</v>
      </c>
      <c r="BU205" s="163">
        <f t="shared" si="620"/>
        <v>76882.444665235817</v>
      </c>
      <c r="BV205" s="163">
        <f t="shared" si="620"/>
        <v>77074.65077689891</v>
      </c>
      <c r="BW205" s="163">
        <f t="shared" si="620"/>
        <v>77267.337403841142</v>
      </c>
      <c r="BX205" s="163">
        <f t="shared" si="620"/>
        <v>77460.505747350704</v>
      </c>
      <c r="BY205" s="163">
        <f t="shared" si="620"/>
        <v>77654.157011719086</v>
      </c>
      <c r="BZ205" s="163">
        <f t="shared" si="620"/>
        <v>77848.292404248365</v>
      </c>
      <c r="CA205" s="163">
        <f t="shared" si="620"/>
        <v>78042.913135258961</v>
      </c>
      <c r="CB205" s="163">
        <f t="shared" si="620"/>
        <v>78238.020418097149</v>
      </c>
      <c r="CC205" s="163">
        <f t="shared" si="620"/>
        <v>78433.615469142358</v>
      </c>
      <c r="CD205" s="163">
        <f t="shared" si="620"/>
        <v>78629.699507815225</v>
      </c>
      <c r="CE205" s="163">
        <f t="shared" si="620"/>
        <v>78826.273756584793</v>
      </c>
      <c r="CF205" s="163">
        <f t="shared" si="620"/>
        <v>79023.339440976226</v>
      </c>
      <c r="CG205" s="163">
        <f t="shared" si="620"/>
        <v>79220.897789578623</v>
      </c>
      <c r="CH205" s="163">
        <f t="shared" si="620"/>
        <v>79418.950034052599</v>
      </c>
      <c r="CI205" s="163">
        <f t="shared" si="620"/>
        <v>79617.497409137737</v>
      </c>
      <c r="CJ205" s="163">
        <f t="shared" si="620"/>
        <v>79816.541152660546</v>
      </c>
      <c r="CK205" s="163">
        <f t="shared" si="620"/>
        <v>80016.082505542217</v>
      </c>
      <c r="CL205" s="163">
        <f t="shared" si="620"/>
        <v>80216.122711806063</v>
      </c>
      <c r="CM205" s="163">
        <f t="shared" si="620"/>
        <v>80416.663018585532</v>
      </c>
      <c r="CN205" s="163">
        <f t="shared" si="620"/>
        <v>80617.704676131994</v>
      </c>
      <c r="CO205" s="163">
        <f t="shared" si="620"/>
        <v>80819.24893782234</v>
      </c>
      <c r="CP205" s="163">
        <f t="shared" si="620"/>
        <v>81021.297060166879</v>
      </c>
      <c r="CQ205" s="163">
        <f t="shared" si="620"/>
        <v>81223.8503028173</v>
      </c>
      <c r="CR205" s="163">
        <f t="shared" si="620"/>
        <v>81426.909928574358</v>
      </c>
      <c r="CS205" s="163">
        <f t="shared" si="620"/>
        <v>81630.477203395785</v>
      </c>
      <c r="CT205" s="163">
        <f t="shared" si="620"/>
        <v>81834.55339640427</v>
      </c>
      <c r="CU205" s="163">
        <f t="shared" si="620"/>
        <v>82039.139779895282</v>
      </c>
      <c r="CV205" s="163">
        <f t="shared" si="620"/>
        <v>82244.237629344992</v>
      </c>
      <c r="CW205" s="163">
        <f t="shared" si="620"/>
        <v>82449.848223418376</v>
      </c>
      <c r="CX205" s="163">
        <f t="shared" ref="CX205:EC205" si="621">CX118*(CX53&lt;=$I$12)</f>
        <v>82655.972843976895</v>
      </c>
      <c r="CY205" s="163">
        <f t="shared" si="621"/>
        <v>0</v>
      </c>
      <c r="CZ205" s="163">
        <f t="shared" si="621"/>
        <v>0</v>
      </c>
      <c r="DA205" s="163">
        <f t="shared" si="621"/>
        <v>0</v>
      </c>
      <c r="DB205" s="163">
        <f t="shared" si="621"/>
        <v>0</v>
      </c>
      <c r="DC205" s="163">
        <f t="shared" si="621"/>
        <v>0</v>
      </c>
      <c r="DD205" s="163">
        <f t="shared" si="621"/>
        <v>0</v>
      </c>
      <c r="DE205" s="163">
        <f t="shared" si="621"/>
        <v>0</v>
      </c>
      <c r="DF205" s="163">
        <f t="shared" si="621"/>
        <v>0</v>
      </c>
      <c r="DG205" s="163">
        <f t="shared" si="621"/>
        <v>0</v>
      </c>
      <c r="DH205" s="163">
        <f t="shared" si="621"/>
        <v>0</v>
      </c>
      <c r="DI205" s="163">
        <f t="shared" si="621"/>
        <v>0</v>
      </c>
      <c r="DJ205" s="163">
        <f t="shared" si="621"/>
        <v>0</v>
      </c>
      <c r="DK205" s="163">
        <f t="shared" si="621"/>
        <v>0</v>
      </c>
      <c r="DL205" s="163">
        <f t="shared" si="621"/>
        <v>0</v>
      </c>
      <c r="DM205" s="163">
        <f t="shared" si="621"/>
        <v>0</v>
      </c>
      <c r="DN205" s="163">
        <f t="shared" si="621"/>
        <v>0</v>
      </c>
      <c r="DO205" s="163">
        <f t="shared" si="621"/>
        <v>0</v>
      </c>
      <c r="DP205" s="163">
        <f t="shared" si="621"/>
        <v>0</v>
      </c>
      <c r="DQ205" s="163">
        <f t="shared" si="621"/>
        <v>0</v>
      </c>
      <c r="DR205" s="163">
        <f t="shared" si="621"/>
        <v>0</v>
      </c>
      <c r="DS205" s="163">
        <f t="shared" si="621"/>
        <v>0</v>
      </c>
      <c r="DT205" s="163">
        <f t="shared" si="621"/>
        <v>0</v>
      </c>
      <c r="DU205" s="163">
        <f t="shared" si="621"/>
        <v>0</v>
      </c>
      <c r="DV205" s="163">
        <f t="shared" si="621"/>
        <v>0</v>
      </c>
      <c r="DW205" s="163">
        <f t="shared" si="621"/>
        <v>0</v>
      </c>
      <c r="DX205" s="163">
        <f t="shared" si="621"/>
        <v>0</v>
      </c>
      <c r="DY205" s="163">
        <f t="shared" si="621"/>
        <v>0</v>
      </c>
      <c r="DZ205" s="163">
        <f t="shared" si="621"/>
        <v>0</v>
      </c>
      <c r="EA205" s="163">
        <f t="shared" si="621"/>
        <v>0</v>
      </c>
      <c r="EB205" s="163">
        <f t="shared" si="621"/>
        <v>0</v>
      </c>
      <c r="EC205" s="163">
        <f t="shared" si="621"/>
        <v>0</v>
      </c>
      <c r="ED205" s="163">
        <f t="shared" ref="ED205:FF205" si="622">ED118*(ED53&lt;=$I$12)</f>
        <v>0</v>
      </c>
      <c r="EE205" s="163">
        <f t="shared" si="622"/>
        <v>0</v>
      </c>
      <c r="EF205" s="163">
        <f t="shared" si="622"/>
        <v>0</v>
      </c>
      <c r="EG205" s="163">
        <f t="shared" si="622"/>
        <v>0</v>
      </c>
      <c r="EH205" s="163">
        <f t="shared" si="622"/>
        <v>0</v>
      </c>
      <c r="EI205" s="163">
        <f t="shared" si="622"/>
        <v>0</v>
      </c>
      <c r="EJ205" s="163">
        <f t="shared" si="622"/>
        <v>0</v>
      </c>
      <c r="EK205" s="163">
        <f t="shared" si="622"/>
        <v>0</v>
      </c>
      <c r="EL205" s="163">
        <f t="shared" si="622"/>
        <v>0</v>
      </c>
      <c r="EM205" s="163">
        <f t="shared" si="622"/>
        <v>0</v>
      </c>
      <c r="EN205" s="163">
        <f t="shared" si="622"/>
        <v>0</v>
      </c>
      <c r="EO205" s="163">
        <f t="shared" si="622"/>
        <v>0</v>
      </c>
      <c r="EP205" s="163">
        <f t="shared" si="622"/>
        <v>0</v>
      </c>
      <c r="EQ205" s="163">
        <f t="shared" si="622"/>
        <v>0</v>
      </c>
      <c r="ER205" s="163">
        <f t="shared" si="622"/>
        <v>0</v>
      </c>
      <c r="ES205" s="163">
        <f t="shared" si="622"/>
        <v>0</v>
      </c>
      <c r="ET205" s="163">
        <f t="shared" si="622"/>
        <v>0</v>
      </c>
      <c r="EU205" s="163">
        <f t="shared" si="622"/>
        <v>0</v>
      </c>
      <c r="EV205" s="163">
        <f t="shared" si="622"/>
        <v>0</v>
      </c>
      <c r="EW205" s="163">
        <f t="shared" si="622"/>
        <v>0</v>
      </c>
      <c r="EX205" s="163">
        <f t="shared" si="622"/>
        <v>0</v>
      </c>
      <c r="EY205" s="163">
        <f t="shared" si="622"/>
        <v>0</v>
      </c>
      <c r="EZ205" s="163">
        <f t="shared" si="622"/>
        <v>0</v>
      </c>
      <c r="FA205" s="163">
        <f t="shared" si="622"/>
        <v>0</v>
      </c>
      <c r="FB205" s="163">
        <f t="shared" si="622"/>
        <v>0</v>
      </c>
      <c r="FC205" s="163">
        <f t="shared" si="622"/>
        <v>0</v>
      </c>
      <c r="FD205" s="163">
        <f t="shared" si="622"/>
        <v>0</v>
      </c>
      <c r="FE205" s="163">
        <f t="shared" si="622"/>
        <v>0</v>
      </c>
      <c r="FF205" s="163">
        <f t="shared" si="622"/>
        <v>0</v>
      </c>
    </row>
    <row r="206" spans="2:178" x14ac:dyDescent="0.2">
      <c r="B206" s="46" t="s">
        <v>164</v>
      </c>
      <c r="C206" s="39" t="s">
        <v>207</v>
      </c>
      <c r="E206" s="163">
        <f t="shared" ref="E206:E209" ca="1" si="623">SUM(F206:FF206)</f>
        <v>-4153697.114902345</v>
      </c>
      <c r="F206" s="261">
        <f t="shared" ref="F206:AK206" si="624">SUM(F175,F184)</f>
        <v>0</v>
      </c>
      <c r="G206" s="163">
        <f t="shared" si="624"/>
        <v>-36552.083333333336</v>
      </c>
      <c r="H206" s="163">
        <f t="shared" si="624"/>
        <v>-36522.121896987803</v>
      </c>
      <c r="I206" s="163">
        <f t="shared" si="624"/>
        <v>-36491.985685596926</v>
      </c>
      <c r="J206" s="163">
        <f t="shared" si="624"/>
        <v>-36461.6736796396</v>
      </c>
      <c r="K206" s="163">
        <f t="shared" si="624"/>
        <v>-36431.184853647523</v>
      </c>
      <c r="L206" s="163">
        <f t="shared" si="624"/>
        <v>-36400.518176170495</v>
      </c>
      <c r="M206" s="163">
        <f t="shared" si="624"/>
        <v>-36369.672609741516</v>
      </c>
      <c r="N206" s="163">
        <f t="shared" si="624"/>
        <v>-36338.647110841695</v>
      </c>
      <c r="O206" s="163">
        <f t="shared" si="624"/>
        <v>-36307.44062986497</v>
      </c>
      <c r="P206" s="163">
        <f t="shared" si="624"/>
        <v>-36276.052111082543</v>
      </c>
      <c r="Q206" s="163">
        <f t="shared" si="624"/>
        <v>-36244.480492607217</v>
      </c>
      <c r="R206" s="163">
        <f t="shared" si="624"/>
        <v>-36212.724706357454</v>
      </c>
      <c r="S206" s="163">
        <f t="shared" si="624"/>
        <v>-36180.783678021224</v>
      </c>
      <c r="T206" s="163">
        <f t="shared" si="624"/>
        <v>-36148.656327019708</v>
      </c>
      <c r="U206" s="163">
        <f t="shared" si="624"/>
        <v>-36116.341566470684</v>
      </c>
      <c r="V206" s="163">
        <f t="shared" si="624"/>
        <v>-36083.838303151788</v>
      </c>
      <c r="W206" s="163">
        <f t="shared" si="624"/>
        <v>-36051.145437463529</v>
      </c>
      <c r="X206" s="163">
        <f t="shared" si="624"/>
        <v>-36018.261863392101</v>
      </c>
      <c r="Y206" s="163">
        <f t="shared" si="624"/>
        <v>-35985.186468471911</v>
      </c>
      <c r="Z206" s="163">
        <f t="shared" si="624"/>
        <v>-35951.918133748026</v>
      </c>
      <c r="AA206" s="163">
        <f t="shared" si="624"/>
        <v>-35918.45573373825</v>
      </c>
      <c r="AB206" s="163">
        <f t="shared" si="624"/>
        <v>-35884.798136395082</v>
      </c>
      <c r="AC206" s="163">
        <f t="shared" si="624"/>
        <v>-35850.944203067418</v>
      </c>
      <c r="AD206" s="163">
        <f t="shared" si="624"/>
        <v>-35816.892788461999</v>
      </c>
      <c r="AE206" s="163">
        <f t="shared" si="624"/>
        <v>-35782.642740604722</v>
      </c>
      <c r="AF206" s="163">
        <f t="shared" si="624"/>
        <v>-35748.192900801609</v>
      </c>
      <c r="AG206" s="163">
        <f t="shared" si="624"/>
        <v>-35713.542103599648</v>
      </c>
      <c r="AH206" s="163">
        <f t="shared" si="624"/>
        <v>-35678.689176747335</v>
      </c>
      <c r="AI206" s="163">
        <f t="shared" si="624"/>
        <v>-35643.632941155054</v>
      </c>
      <c r="AJ206" s="163">
        <f t="shared" si="624"/>
        <v>-35608.372210855152</v>
      </c>
      <c r="AK206" s="163">
        <f t="shared" si="624"/>
        <v>-35572.905792961836</v>
      </c>
      <c r="AL206" s="163">
        <f t="shared" ref="AL206:BQ206" si="625">SUM(AL175,AL184)</f>
        <v>-35537.232487630805</v>
      </c>
      <c r="AM206" s="163">
        <f t="shared" si="625"/>
        <v>-35501.351088018673</v>
      </c>
      <c r="AN206" s="163">
        <f t="shared" si="625"/>
        <v>-35465.260380242144</v>
      </c>
      <c r="AO206" s="163">
        <f t="shared" si="625"/>
        <v>-35428.959143336913</v>
      </c>
      <c r="AP206" s="163">
        <f t="shared" si="625"/>
        <v>-35392.446149216405</v>
      </c>
      <c r="AQ206" s="163">
        <f t="shared" ca="1" si="625"/>
        <v>-48119.563312579063</v>
      </c>
      <c r="AR206" s="163">
        <f t="shared" ca="1" si="625"/>
        <v>-48119.563312579063</v>
      </c>
      <c r="AS206" s="163">
        <f t="shared" ca="1" si="625"/>
        <v>-48119.563312579063</v>
      </c>
      <c r="AT206" s="163">
        <f t="shared" ca="1" si="625"/>
        <v>-48119.563312579063</v>
      </c>
      <c r="AU206" s="163">
        <f t="shared" ca="1" si="625"/>
        <v>-48119.563312579063</v>
      </c>
      <c r="AV206" s="163">
        <f t="shared" ca="1" si="625"/>
        <v>-48119.563312579063</v>
      </c>
      <c r="AW206" s="163">
        <f t="shared" ca="1" si="625"/>
        <v>-48119.563312579063</v>
      </c>
      <c r="AX206" s="163">
        <f t="shared" ca="1" si="625"/>
        <v>-48119.563312579063</v>
      </c>
      <c r="AY206" s="163">
        <f t="shared" ca="1" si="625"/>
        <v>-48119.563312579063</v>
      </c>
      <c r="AZ206" s="163">
        <f t="shared" ca="1" si="625"/>
        <v>-48119.563312579063</v>
      </c>
      <c r="BA206" s="163">
        <f t="shared" ca="1" si="625"/>
        <v>-48119.563312579063</v>
      </c>
      <c r="BB206" s="163">
        <f t="shared" ca="1" si="625"/>
        <v>-48119.563312579063</v>
      </c>
      <c r="BC206" s="163">
        <f t="shared" ca="1" si="625"/>
        <v>-48119.563312579063</v>
      </c>
      <c r="BD206" s="163">
        <f t="shared" ca="1" si="625"/>
        <v>-48119.563312579063</v>
      </c>
      <c r="BE206" s="163">
        <f t="shared" ca="1" si="625"/>
        <v>-48119.563312579063</v>
      </c>
      <c r="BF206" s="163">
        <f t="shared" ca="1" si="625"/>
        <v>-48119.563312579063</v>
      </c>
      <c r="BG206" s="163">
        <f t="shared" ca="1" si="625"/>
        <v>-48119.563312579063</v>
      </c>
      <c r="BH206" s="163">
        <f t="shared" ca="1" si="625"/>
        <v>-48119.563312579063</v>
      </c>
      <c r="BI206" s="163">
        <f t="shared" ca="1" si="625"/>
        <v>-48119.563312579063</v>
      </c>
      <c r="BJ206" s="163">
        <f t="shared" ca="1" si="625"/>
        <v>-48119.563312579063</v>
      </c>
      <c r="BK206" s="163">
        <f t="shared" ca="1" si="625"/>
        <v>-48119.563312579063</v>
      </c>
      <c r="BL206" s="163">
        <f t="shared" ca="1" si="625"/>
        <v>-48119.563312579063</v>
      </c>
      <c r="BM206" s="163">
        <f t="shared" ca="1" si="625"/>
        <v>-48119.563312579063</v>
      </c>
      <c r="BN206" s="163">
        <f t="shared" ca="1" si="625"/>
        <v>-48119.563312579063</v>
      </c>
      <c r="BO206" s="163">
        <f t="shared" ca="1" si="625"/>
        <v>-48119.563312579063</v>
      </c>
      <c r="BP206" s="163">
        <f t="shared" ca="1" si="625"/>
        <v>-48076.062574445597</v>
      </c>
      <c r="BQ206" s="163">
        <f t="shared" ca="1" si="625"/>
        <v>-48032.326207313919</v>
      </c>
      <c r="BR206" s="163">
        <f t="shared" ref="BR206:CW206" ca="1" si="626">SUM(BR175,BR184)</f>
        <v>-47988.352934860275</v>
      </c>
      <c r="BS206" s="163">
        <f t="shared" ca="1" si="626"/>
        <v>-47944.141473847507</v>
      </c>
      <c r="BT206" s="163">
        <f t="shared" ca="1" si="626"/>
        <v>-47899.690534087575</v>
      </c>
      <c r="BU206" s="163">
        <f t="shared" ca="1" si="626"/>
        <v>-47854.998818403961</v>
      </c>
      <c r="BV206" s="163">
        <f t="shared" ca="1" si="626"/>
        <v>-47810.065022593713</v>
      </c>
      <c r="BW206" s="163">
        <f t="shared" ca="1" si="626"/>
        <v>-47764.887835389505</v>
      </c>
      <c r="BX206" s="163">
        <f t="shared" ca="1" si="626"/>
        <v>-47719.465938421265</v>
      </c>
      <c r="BY206" s="163">
        <f t="shared" ca="1" si="626"/>
        <v>-47673.798006177793</v>
      </c>
      <c r="BZ206" s="163">
        <f t="shared" ca="1" si="626"/>
        <v>-47627.88270596799</v>
      </c>
      <c r="CA206" s="163">
        <f t="shared" ca="1" si="626"/>
        <v>-47581.718697882054</v>
      </c>
      <c r="CB206" s="163">
        <f t="shared" ca="1" si="626"/>
        <v>-47535.304634752327</v>
      </c>
      <c r="CC206" s="163">
        <f t="shared" ca="1" si="626"/>
        <v>-47488.63916211397</v>
      </c>
      <c r="CD206" s="163">
        <f t="shared" ca="1" si="626"/>
        <v>-47441.720918165491</v>
      </c>
      <c r="CE206" s="163">
        <f t="shared" ca="1" si="626"/>
        <v>-47394.548533728957</v>
      </c>
      <c r="CF206" s="163">
        <f t="shared" ca="1" si="626"/>
        <v>-47347.12063221007</v>
      </c>
      <c r="CG206" s="163">
        <f t="shared" ca="1" si="626"/>
        <v>-47299.435829557937</v>
      </c>
      <c r="CH206" s="163">
        <f t="shared" ca="1" si="626"/>
        <v>-47251.492734224776</v>
      </c>
      <c r="CI206" s="163">
        <f t="shared" ca="1" si="626"/>
        <v>-47203.289947125239</v>
      </c>
      <c r="CJ206" s="163">
        <f t="shared" ca="1" si="626"/>
        <v>-47154.826061595559</v>
      </c>
      <c r="CK206" s="163">
        <f t="shared" ca="1" si="626"/>
        <v>-47106.099663352616</v>
      </c>
      <c r="CL206" s="163">
        <f t="shared" ca="1" si="626"/>
        <v>-47057.109330452513</v>
      </c>
      <c r="CM206" s="163">
        <f t="shared" ca="1" si="626"/>
        <v>-47007.8536332492</v>
      </c>
      <c r="CN206" s="163">
        <f t="shared" ca="1" si="626"/>
        <v>-46958.331134352695</v>
      </c>
      <c r="CO206" s="163">
        <f t="shared" ca="1" si="626"/>
        <v>-46908.540388587171</v>
      </c>
      <c r="CP206" s="163">
        <f t="shared" ca="1" si="626"/>
        <v>-46858.479942948761</v>
      </c>
      <c r="CQ206" s="163">
        <f t="shared" ca="1" si="626"/>
        <v>-46808.148336563136</v>
      </c>
      <c r="CR206" s="163">
        <f t="shared" ca="1" si="626"/>
        <v>-46757.54410064291</v>
      </c>
      <c r="CS206" s="163">
        <f t="shared" ca="1" si="626"/>
        <v>-46706.665758444804</v>
      </c>
      <c r="CT206" s="163">
        <f t="shared" ca="1" si="626"/>
        <v>-46655.511825226444</v>
      </c>
      <c r="CU206" s="163">
        <f t="shared" ca="1" si="626"/>
        <v>-46604.080808203165</v>
      </c>
      <c r="CV206" s="163">
        <f t="shared" ca="1" si="626"/>
        <v>-46552.371206504329</v>
      </c>
      <c r="CW206" s="163">
        <f t="shared" ca="1" si="626"/>
        <v>-46500.381511129635</v>
      </c>
      <c r="CX206" s="163">
        <f t="shared" ref="CX206:EC206" ca="1" si="627">SUM(CX175,CX184)</f>
        <v>-46448.110204904988</v>
      </c>
      <c r="CY206" s="163">
        <f t="shared" ca="1" si="627"/>
        <v>0</v>
      </c>
      <c r="CZ206" s="163">
        <f t="shared" ca="1" si="627"/>
        <v>0</v>
      </c>
      <c r="DA206" s="163">
        <f t="shared" ca="1" si="627"/>
        <v>0</v>
      </c>
      <c r="DB206" s="163">
        <f t="shared" ca="1" si="627"/>
        <v>0</v>
      </c>
      <c r="DC206" s="163">
        <f t="shared" ca="1" si="627"/>
        <v>0</v>
      </c>
      <c r="DD206" s="163">
        <f t="shared" ca="1" si="627"/>
        <v>0</v>
      </c>
      <c r="DE206" s="163">
        <f t="shared" ca="1" si="627"/>
        <v>0</v>
      </c>
      <c r="DF206" s="163">
        <f t="shared" ca="1" si="627"/>
        <v>0</v>
      </c>
      <c r="DG206" s="163">
        <f t="shared" ca="1" si="627"/>
        <v>0</v>
      </c>
      <c r="DH206" s="163">
        <f t="shared" ca="1" si="627"/>
        <v>0</v>
      </c>
      <c r="DI206" s="163">
        <f t="shared" ca="1" si="627"/>
        <v>0</v>
      </c>
      <c r="DJ206" s="163">
        <f t="shared" ca="1" si="627"/>
        <v>0</v>
      </c>
      <c r="DK206" s="163">
        <f t="shared" ca="1" si="627"/>
        <v>0</v>
      </c>
      <c r="DL206" s="163">
        <f t="shared" ca="1" si="627"/>
        <v>0</v>
      </c>
      <c r="DM206" s="163">
        <f t="shared" ca="1" si="627"/>
        <v>0</v>
      </c>
      <c r="DN206" s="163">
        <f t="shared" ca="1" si="627"/>
        <v>0</v>
      </c>
      <c r="DO206" s="163">
        <f t="shared" ca="1" si="627"/>
        <v>0</v>
      </c>
      <c r="DP206" s="163">
        <f t="shared" ca="1" si="627"/>
        <v>0</v>
      </c>
      <c r="DQ206" s="163">
        <f t="shared" ca="1" si="627"/>
        <v>0</v>
      </c>
      <c r="DR206" s="163">
        <f t="shared" ca="1" si="627"/>
        <v>0</v>
      </c>
      <c r="DS206" s="163">
        <f t="shared" ca="1" si="627"/>
        <v>0</v>
      </c>
      <c r="DT206" s="163">
        <f t="shared" ca="1" si="627"/>
        <v>0</v>
      </c>
      <c r="DU206" s="163">
        <f t="shared" ca="1" si="627"/>
        <v>0</v>
      </c>
      <c r="DV206" s="163">
        <f t="shared" ca="1" si="627"/>
        <v>0</v>
      </c>
      <c r="DW206" s="163">
        <f t="shared" ca="1" si="627"/>
        <v>0</v>
      </c>
      <c r="DX206" s="163">
        <f t="shared" ca="1" si="627"/>
        <v>0</v>
      </c>
      <c r="DY206" s="163">
        <f t="shared" ca="1" si="627"/>
        <v>0</v>
      </c>
      <c r="DZ206" s="163">
        <f t="shared" ca="1" si="627"/>
        <v>0</v>
      </c>
      <c r="EA206" s="163">
        <f t="shared" ca="1" si="627"/>
        <v>0</v>
      </c>
      <c r="EB206" s="163">
        <f t="shared" ca="1" si="627"/>
        <v>0</v>
      </c>
      <c r="EC206" s="163">
        <f t="shared" ca="1" si="627"/>
        <v>0</v>
      </c>
      <c r="ED206" s="163">
        <f t="shared" ref="ED206:FF206" ca="1" si="628">SUM(ED175,ED184)</f>
        <v>0</v>
      </c>
      <c r="EE206" s="163">
        <f t="shared" ca="1" si="628"/>
        <v>0</v>
      </c>
      <c r="EF206" s="163">
        <f t="shared" ca="1" si="628"/>
        <v>0</v>
      </c>
      <c r="EG206" s="163">
        <f t="shared" ca="1" si="628"/>
        <v>0</v>
      </c>
      <c r="EH206" s="163">
        <f t="shared" ca="1" si="628"/>
        <v>0</v>
      </c>
      <c r="EI206" s="163">
        <f t="shared" ca="1" si="628"/>
        <v>0</v>
      </c>
      <c r="EJ206" s="163">
        <f t="shared" ca="1" si="628"/>
        <v>0</v>
      </c>
      <c r="EK206" s="163">
        <f t="shared" ca="1" si="628"/>
        <v>0</v>
      </c>
      <c r="EL206" s="163">
        <f t="shared" ca="1" si="628"/>
        <v>0</v>
      </c>
      <c r="EM206" s="163">
        <f t="shared" ca="1" si="628"/>
        <v>0</v>
      </c>
      <c r="EN206" s="163">
        <f t="shared" ca="1" si="628"/>
        <v>0</v>
      </c>
      <c r="EO206" s="163">
        <f t="shared" ca="1" si="628"/>
        <v>0</v>
      </c>
      <c r="EP206" s="163">
        <f t="shared" ca="1" si="628"/>
        <v>0</v>
      </c>
      <c r="EQ206" s="163">
        <f t="shared" ca="1" si="628"/>
        <v>0</v>
      </c>
      <c r="ER206" s="163">
        <f t="shared" ca="1" si="628"/>
        <v>0</v>
      </c>
      <c r="ES206" s="163">
        <f t="shared" ca="1" si="628"/>
        <v>0</v>
      </c>
      <c r="ET206" s="163">
        <f t="shared" ca="1" si="628"/>
        <v>0</v>
      </c>
      <c r="EU206" s="163">
        <f t="shared" ca="1" si="628"/>
        <v>0</v>
      </c>
      <c r="EV206" s="163">
        <f t="shared" ca="1" si="628"/>
        <v>0</v>
      </c>
      <c r="EW206" s="163">
        <f t="shared" ca="1" si="628"/>
        <v>0</v>
      </c>
      <c r="EX206" s="163">
        <f t="shared" ca="1" si="628"/>
        <v>0</v>
      </c>
      <c r="EY206" s="163">
        <f t="shared" ca="1" si="628"/>
        <v>0</v>
      </c>
      <c r="EZ206" s="163">
        <f t="shared" ca="1" si="628"/>
        <v>0</v>
      </c>
      <c r="FA206" s="163">
        <f t="shared" ca="1" si="628"/>
        <v>0</v>
      </c>
      <c r="FB206" s="163">
        <f t="shared" ca="1" si="628"/>
        <v>0</v>
      </c>
      <c r="FC206" s="163">
        <f t="shared" ca="1" si="628"/>
        <v>0</v>
      </c>
      <c r="FD206" s="163">
        <f t="shared" ca="1" si="628"/>
        <v>0</v>
      </c>
      <c r="FE206" s="163">
        <f t="shared" ca="1" si="628"/>
        <v>0</v>
      </c>
      <c r="FF206" s="163">
        <f t="shared" ca="1" si="628"/>
        <v>0</v>
      </c>
    </row>
    <row r="207" spans="2:178" x14ac:dyDescent="0.2">
      <c r="B207" s="46" t="s">
        <v>206</v>
      </c>
      <c r="C207" s="39" t="s">
        <v>203</v>
      </c>
      <c r="D207" s="343" t="s">
        <v>164</v>
      </c>
      <c r="E207" s="163">
        <f t="shared" si="623"/>
        <v>-2651428.5714296675</v>
      </c>
      <c r="F207" s="261">
        <f t="shared" ref="F207:AK207" si="629">-IF($D207="Straight Line",$E$192/12,IF(F$52=1,$E$199/12,$E$201/12))*(F53&gt;0)*(F53&lt;=$I$12)</f>
        <v>0</v>
      </c>
      <c r="G207" s="163">
        <f t="shared" si="629"/>
        <v>-27619.047619058994</v>
      </c>
      <c r="H207" s="163">
        <f t="shared" si="629"/>
        <v>-27619.047619058994</v>
      </c>
      <c r="I207" s="163">
        <f t="shared" si="629"/>
        <v>-27619.047619058994</v>
      </c>
      <c r="J207" s="163">
        <f t="shared" si="629"/>
        <v>-27619.047619058994</v>
      </c>
      <c r="K207" s="163">
        <f t="shared" si="629"/>
        <v>-27619.047619058994</v>
      </c>
      <c r="L207" s="163">
        <f t="shared" si="629"/>
        <v>-27619.047619058994</v>
      </c>
      <c r="M207" s="163">
        <f t="shared" si="629"/>
        <v>-27619.047619058994</v>
      </c>
      <c r="N207" s="163">
        <f t="shared" si="629"/>
        <v>-27619.047619058994</v>
      </c>
      <c r="O207" s="163">
        <f t="shared" si="629"/>
        <v>-27619.047619058994</v>
      </c>
      <c r="P207" s="163">
        <f t="shared" si="629"/>
        <v>-27619.047619058994</v>
      </c>
      <c r="Q207" s="163">
        <f t="shared" si="629"/>
        <v>-27619.047619058994</v>
      </c>
      <c r="R207" s="163">
        <f t="shared" si="629"/>
        <v>-27619.047619058994</v>
      </c>
      <c r="S207" s="163">
        <f t="shared" si="629"/>
        <v>-27619.047619058994</v>
      </c>
      <c r="T207" s="163">
        <f t="shared" si="629"/>
        <v>-27619.047619058994</v>
      </c>
      <c r="U207" s="163">
        <f t="shared" si="629"/>
        <v>-27619.047619058994</v>
      </c>
      <c r="V207" s="163">
        <f t="shared" si="629"/>
        <v>-27619.047619058994</v>
      </c>
      <c r="W207" s="163">
        <f t="shared" si="629"/>
        <v>-27619.047619058994</v>
      </c>
      <c r="X207" s="163">
        <f t="shared" si="629"/>
        <v>-27619.047619058994</v>
      </c>
      <c r="Y207" s="163">
        <f t="shared" si="629"/>
        <v>-27619.047619058994</v>
      </c>
      <c r="Z207" s="163">
        <f t="shared" si="629"/>
        <v>-27619.047619058994</v>
      </c>
      <c r="AA207" s="163">
        <f t="shared" si="629"/>
        <v>-27619.047619058994</v>
      </c>
      <c r="AB207" s="163">
        <f t="shared" si="629"/>
        <v>-27619.047619058994</v>
      </c>
      <c r="AC207" s="163">
        <f t="shared" si="629"/>
        <v>-27619.047619058994</v>
      </c>
      <c r="AD207" s="163">
        <f t="shared" si="629"/>
        <v>-27619.047619058994</v>
      </c>
      <c r="AE207" s="163">
        <f t="shared" si="629"/>
        <v>-27619.047619058994</v>
      </c>
      <c r="AF207" s="163">
        <f t="shared" si="629"/>
        <v>-27619.047619058994</v>
      </c>
      <c r="AG207" s="163">
        <f t="shared" si="629"/>
        <v>-27619.047619058994</v>
      </c>
      <c r="AH207" s="163">
        <f t="shared" si="629"/>
        <v>-27619.047619058994</v>
      </c>
      <c r="AI207" s="163">
        <f t="shared" si="629"/>
        <v>-27619.047619058994</v>
      </c>
      <c r="AJ207" s="163">
        <f t="shared" si="629"/>
        <v>-27619.047619058994</v>
      </c>
      <c r="AK207" s="163">
        <f t="shared" si="629"/>
        <v>-27619.047619058994</v>
      </c>
      <c r="AL207" s="163">
        <f t="shared" ref="AL207:BQ207" si="630">-IF($D207="Straight Line",$E$192/12,IF(AL$52=1,$E$199/12,$E$201/12))*(AL53&gt;0)*(AL53&lt;=$I$12)</f>
        <v>-27619.047619058994</v>
      </c>
      <c r="AM207" s="163">
        <f t="shared" si="630"/>
        <v>-27619.047619058994</v>
      </c>
      <c r="AN207" s="163">
        <f t="shared" si="630"/>
        <v>-27619.047619058994</v>
      </c>
      <c r="AO207" s="163">
        <f t="shared" si="630"/>
        <v>-27619.047619058994</v>
      </c>
      <c r="AP207" s="163">
        <f t="shared" si="630"/>
        <v>-27619.047619058994</v>
      </c>
      <c r="AQ207" s="163">
        <f t="shared" si="630"/>
        <v>-27619.047619058994</v>
      </c>
      <c r="AR207" s="163">
        <f t="shared" si="630"/>
        <v>-27619.047619058994</v>
      </c>
      <c r="AS207" s="163">
        <f t="shared" si="630"/>
        <v>-27619.047619058994</v>
      </c>
      <c r="AT207" s="163">
        <f t="shared" si="630"/>
        <v>-27619.047619058994</v>
      </c>
      <c r="AU207" s="163">
        <f t="shared" si="630"/>
        <v>-27619.047619058994</v>
      </c>
      <c r="AV207" s="163">
        <f t="shared" si="630"/>
        <v>-27619.047619058994</v>
      </c>
      <c r="AW207" s="163">
        <f t="shared" si="630"/>
        <v>-27619.047619058994</v>
      </c>
      <c r="AX207" s="163">
        <f t="shared" si="630"/>
        <v>-27619.047619058994</v>
      </c>
      <c r="AY207" s="163">
        <f t="shared" si="630"/>
        <v>-27619.047619058994</v>
      </c>
      <c r="AZ207" s="163">
        <f t="shared" si="630"/>
        <v>-27619.047619058994</v>
      </c>
      <c r="BA207" s="163">
        <f t="shared" si="630"/>
        <v>-27619.047619058994</v>
      </c>
      <c r="BB207" s="163">
        <f t="shared" si="630"/>
        <v>-27619.047619058994</v>
      </c>
      <c r="BC207" s="163">
        <f t="shared" si="630"/>
        <v>-27619.047619058994</v>
      </c>
      <c r="BD207" s="163">
        <f t="shared" si="630"/>
        <v>-27619.047619058994</v>
      </c>
      <c r="BE207" s="163">
        <f t="shared" si="630"/>
        <v>-27619.047619058994</v>
      </c>
      <c r="BF207" s="163">
        <f t="shared" si="630"/>
        <v>-27619.047619058994</v>
      </c>
      <c r="BG207" s="163">
        <f t="shared" si="630"/>
        <v>-27619.047619058994</v>
      </c>
      <c r="BH207" s="163">
        <f t="shared" si="630"/>
        <v>-27619.047619058994</v>
      </c>
      <c r="BI207" s="163">
        <f t="shared" si="630"/>
        <v>-27619.047619058994</v>
      </c>
      <c r="BJ207" s="163">
        <f t="shared" si="630"/>
        <v>-27619.047619058994</v>
      </c>
      <c r="BK207" s="163">
        <f t="shared" si="630"/>
        <v>-27619.047619058994</v>
      </c>
      <c r="BL207" s="163">
        <f t="shared" si="630"/>
        <v>-27619.047619058994</v>
      </c>
      <c r="BM207" s="163">
        <f t="shared" si="630"/>
        <v>-27619.047619058994</v>
      </c>
      <c r="BN207" s="163">
        <f t="shared" si="630"/>
        <v>-27619.047619058994</v>
      </c>
      <c r="BO207" s="163">
        <f t="shared" si="630"/>
        <v>-27619.047619058994</v>
      </c>
      <c r="BP207" s="163">
        <f t="shared" si="630"/>
        <v>-27619.047619058994</v>
      </c>
      <c r="BQ207" s="163">
        <f t="shared" si="630"/>
        <v>-27619.047619058994</v>
      </c>
      <c r="BR207" s="163">
        <f t="shared" ref="BR207:CW207" si="631">-IF($D207="Straight Line",$E$192/12,IF(BR$52=1,$E$199/12,$E$201/12))*(BR53&gt;0)*(BR53&lt;=$I$12)</f>
        <v>-27619.047619058994</v>
      </c>
      <c r="BS207" s="163">
        <f t="shared" si="631"/>
        <v>-27619.047619058994</v>
      </c>
      <c r="BT207" s="163">
        <f t="shared" si="631"/>
        <v>-27619.047619058994</v>
      </c>
      <c r="BU207" s="163">
        <f t="shared" si="631"/>
        <v>-27619.047619058994</v>
      </c>
      <c r="BV207" s="163">
        <f t="shared" si="631"/>
        <v>-27619.047619058994</v>
      </c>
      <c r="BW207" s="163">
        <f t="shared" si="631"/>
        <v>-27619.047619058994</v>
      </c>
      <c r="BX207" s="163">
        <f t="shared" si="631"/>
        <v>-27619.047619058994</v>
      </c>
      <c r="BY207" s="163">
        <f t="shared" si="631"/>
        <v>-27619.047619058994</v>
      </c>
      <c r="BZ207" s="163">
        <f t="shared" si="631"/>
        <v>-27619.047619058994</v>
      </c>
      <c r="CA207" s="163">
        <f t="shared" si="631"/>
        <v>-27619.047619058994</v>
      </c>
      <c r="CB207" s="163">
        <f t="shared" si="631"/>
        <v>-27619.047619058994</v>
      </c>
      <c r="CC207" s="163">
        <f t="shared" si="631"/>
        <v>-27619.047619058994</v>
      </c>
      <c r="CD207" s="163">
        <f t="shared" si="631"/>
        <v>-27619.047619058994</v>
      </c>
      <c r="CE207" s="163">
        <f t="shared" si="631"/>
        <v>-27619.047619058994</v>
      </c>
      <c r="CF207" s="163">
        <f t="shared" si="631"/>
        <v>-27619.047619058994</v>
      </c>
      <c r="CG207" s="163">
        <f t="shared" si="631"/>
        <v>-27619.047619058994</v>
      </c>
      <c r="CH207" s="163">
        <f t="shared" si="631"/>
        <v>-27619.047619058994</v>
      </c>
      <c r="CI207" s="163">
        <f t="shared" si="631"/>
        <v>-27619.047619058994</v>
      </c>
      <c r="CJ207" s="163">
        <f t="shared" si="631"/>
        <v>-27619.047619058994</v>
      </c>
      <c r="CK207" s="163">
        <f t="shared" si="631"/>
        <v>-27619.047619058994</v>
      </c>
      <c r="CL207" s="163">
        <f t="shared" si="631"/>
        <v>-27619.047619058994</v>
      </c>
      <c r="CM207" s="163">
        <f t="shared" si="631"/>
        <v>-27619.047619058994</v>
      </c>
      <c r="CN207" s="163">
        <f t="shared" si="631"/>
        <v>-27619.047619058994</v>
      </c>
      <c r="CO207" s="163">
        <f t="shared" si="631"/>
        <v>-27619.047619058994</v>
      </c>
      <c r="CP207" s="163">
        <f t="shared" si="631"/>
        <v>-27619.047619058994</v>
      </c>
      <c r="CQ207" s="163">
        <f t="shared" si="631"/>
        <v>-27619.047619058994</v>
      </c>
      <c r="CR207" s="163">
        <f t="shared" si="631"/>
        <v>-27619.047619058994</v>
      </c>
      <c r="CS207" s="163">
        <f t="shared" si="631"/>
        <v>-27619.047619058994</v>
      </c>
      <c r="CT207" s="163">
        <f t="shared" si="631"/>
        <v>-27619.047619058994</v>
      </c>
      <c r="CU207" s="163">
        <f t="shared" si="631"/>
        <v>-27619.047619058994</v>
      </c>
      <c r="CV207" s="163">
        <f t="shared" si="631"/>
        <v>-27619.047619058994</v>
      </c>
      <c r="CW207" s="163">
        <f t="shared" si="631"/>
        <v>-27619.047619058994</v>
      </c>
      <c r="CX207" s="163">
        <f t="shared" ref="CX207:EC207" si="632">-IF($D207="Straight Line",$E$192/12,IF(CX$52=1,$E$199/12,$E$201/12))*(CX53&gt;0)*(CX53&lt;=$I$12)</f>
        <v>-27619.047619058994</v>
      </c>
      <c r="CY207" s="163">
        <f t="shared" si="632"/>
        <v>0</v>
      </c>
      <c r="CZ207" s="163">
        <f t="shared" si="632"/>
        <v>0</v>
      </c>
      <c r="DA207" s="163">
        <f t="shared" si="632"/>
        <v>0</v>
      </c>
      <c r="DB207" s="163">
        <f t="shared" si="632"/>
        <v>0</v>
      </c>
      <c r="DC207" s="163">
        <f t="shared" si="632"/>
        <v>0</v>
      </c>
      <c r="DD207" s="163">
        <f t="shared" si="632"/>
        <v>0</v>
      </c>
      <c r="DE207" s="163">
        <f t="shared" si="632"/>
        <v>0</v>
      </c>
      <c r="DF207" s="163">
        <f t="shared" si="632"/>
        <v>0</v>
      </c>
      <c r="DG207" s="163">
        <f t="shared" si="632"/>
        <v>0</v>
      </c>
      <c r="DH207" s="163">
        <f t="shared" si="632"/>
        <v>0</v>
      </c>
      <c r="DI207" s="163">
        <f t="shared" si="632"/>
        <v>0</v>
      </c>
      <c r="DJ207" s="163">
        <f t="shared" si="632"/>
        <v>0</v>
      </c>
      <c r="DK207" s="163">
        <f t="shared" si="632"/>
        <v>0</v>
      </c>
      <c r="DL207" s="163">
        <f t="shared" si="632"/>
        <v>0</v>
      </c>
      <c r="DM207" s="163">
        <f t="shared" si="632"/>
        <v>0</v>
      </c>
      <c r="DN207" s="163">
        <f t="shared" si="632"/>
        <v>0</v>
      </c>
      <c r="DO207" s="163">
        <f t="shared" si="632"/>
        <v>0</v>
      </c>
      <c r="DP207" s="163">
        <f t="shared" si="632"/>
        <v>0</v>
      </c>
      <c r="DQ207" s="163">
        <f t="shared" si="632"/>
        <v>0</v>
      </c>
      <c r="DR207" s="163">
        <f t="shared" si="632"/>
        <v>0</v>
      </c>
      <c r="DS207" s="163">
        <f t="shared" si="632"/>
        <v>0</v>
      </c>
      <c r="DT207" s="163">
        <f t="shared" si="632"/>
        <v>0</v>
      </c>
      <c r="DU207" s="163">
        <f t="shared" si="632"/>
        <v>0</v>
      </c>
      <c r="DV207" s="163">
        <f t="shared" si="632"/>
        <v>0</v>
      </c>
      <c r="DW207" s="163">
        <f t="shared" si="632"/>
        <v>0</v>
      </c>
      <c r="DX207" s="163">
        <f t="shared" si="632"/>
        <v>0</v>
      </c>
      <c r="DY207" s="163">
        <f t="shared" si="632"/>
        <v>0</v>
      </c>
      <c r="DZ207" s="163">
        <f t="shared" si="632"/>
        <v>0</v>
      </c>
      <c r="EA207" s="163">
        <f t="shared" si="632"/>
        <v>0</v>
      </c>
      <c r="EB207" s="163">
        <f t="shared" si="632"/>
        <v>0</v>
      </c>
      <c r="EC207" s="163">
        <f t="shared" si="632"/>
        <v>0</v>
      </c>
      <c r="ED207" s="163">
        <f t="shared" ref="ED207:FF207" si="633">-IF($D207="Straight Line",$E$192/12,IF(ED$52=1,$E$199/12,$E$201/12))*(ED53&gt;0)*(ED53&lt;=$I$12)</f>
        <v>0</v>
      </c>
      <c r="EE207" s="163">
        <f t="shared" si="633"/>
        <v>0</v>
      </c>
      <c r="EF207" s="163">
        <f t="shared" si="633"/>
        <v>0</v>
      </c>
      <c r="EG207" s="163">
        <f t="shared" si="633"/>
        <v>0</v>
      </c>
      <c r="EH207" s="163">
        <f t="shared" si="633"/>
        <v>0</v>
      </c>
      <c r="EI207" s="163">
        <f t="shared" si="633"/>
        <v>0</v>
      </c>
      <c r="EJ207" s="163">
        <f t="shared" si="633"/>
        <v>0</v>
      </c>
      <c r="EK207" s="163">
        <f t="shared" si="633"/>
        <v>0</v>
      </c>
      <c r="EL207" s="163">
        <f t="shared" si="633"/>
        <v>0</v>
      </c>
      <c r="EM207" s="163">
        <f t="shared" si="633"/>
        <v>0</v>
      </c>
      <c r="EN207" s="163">
        <f t="shared" si="633"/>
        <v>0</v>
      </c>
      <c r="EO207" s="163">
        <f t="shared" si="633"/>
        <v>0</v>
      </c>
      <c r="EP207" s="163">
        <f t="shared" si="633"/>
        <v>0</v>
      </c>
      <c r="EQ207" s="163">
        <f t="shared" si="633"/>
        <v>0</v>
      </c>
      <c r="ER207" s="163">
        <f t="shared" si="633"/>
        <v>0</v>
      </c>
      <c r="ES207" s="163">
        <f t="shared" si="633"/>
        <v>0</v>
      </c>
      <c r="ET207" s="163">
        <f t="shared" si="633"/>
        <v>0</v>
      </c>
      <c r="EU207" s="163">
        <f t="shared" si="633"/>
        <v>0</v>
      </c>
      <c r="EV207" s="163">
        <f t="shared" si="633"/>
        <v>0</v>
      </c>
      <c r="EW207" s="163">
        <f t="shared" si="633"/>
        <v>0</v>
      </c>
      <c r="EX207" s="163">
        <f t="shared" si="633"/>
        <v>0</v>
      </c>
      <c r="EY207" s="163">
        <f t="shared" si="633"/>
        <v>0</v>
      </c>
      <c r="EZ207" s="163">
        <f t="shared" si="633"/>
        <v>0</v>
      </c>
      <c r="FA207" s="163">
        <f t="shared" si="633"/>
        <v>0</v>
      </c>
      <c r="FB207" s="163">
        <f t="shared" si="633"/>
        <v>0</v>
      </c>
      <c r="FC207" s="163">
        <f t="shared" si="633"/>
        <v>0</v>
      </c>
      <c r="FD207" s="163">
        <f t="shared" si="633"/>
        <v>0</v>
      </c>
      <c r="FE207" s="163">
        <f t="shared" si="633"/>
        <v>0</v>
      </c>
      <c r="FF207" s="163">
        <f t="shared" si="633"/>
        <v>0</v>
      </c>
    </row>
    <row r="208" spans="2:178" s="290" customFormat="1" x14ac:dyDescent="0.2">
      <c r="C208" s="169" t="s">
        <v>5</v>
      </c>
      <c r="D208" s="169"/>
      <c r="E208" s="169">
        <f t="shared" ca="1" si="623"/>
        <v>259293.48166536845</v>
      </c>
      <c r="F208" s="339">
        <f>SUM(F205:F207)</f>
        <v>0</v>
      </c>
      <c r="G208" s="169">
        <f t="shared" ref="G208:BR208" si="634">SUM(G205:G207)</f>
        <v>1030.4339037014106</v>
      </c>
      <c r="H208" s="169">
        <f t="shared" si="634"/>
        <v>1223.3992521871805</v>
      </c>
      <c r="I208" s="169">
        <f t="shared" si="634"/>
        <v>1416.9468854986517</v>
      </c>
      <c r="J208" s="169">
        <f t="shared" si="634"/>
        <v>1611.0788419313358</v>
      </c>
      <c r="K208" s="169">
        <f t="shared" si="634"/>
        <v>1805.7971682750031</v>
      </c>
      <c r="L208" s="169">
        <f t="shared" si="634"/>
        <v>2001.1039198544713</v>
      </c>
      <c r="M208" s="169">
        <f t="shared" si="634"/>
        <v>2197.0011605711588</v>
      </c>
      <c r="N208" s="169">
        <f t="shared" si="634"/>
        <v>2393.4909629443973</v>
      </c>
      <c r="O208" s="169">
        <f t="shared" si="634"/>
        <v>2590.5754081532541</v>
      </c>
      <c r="P208" s="169">
        <f t="shared" si="634"/>
        <v>2788.2565860783616</v>
      </c>
      <c r="Q208" s="169">
        <f t="shared" si="634"/>
        <v>2986.5365953442197</v>
      </c>
      <c r="R208" s="169">
        <f t="shared" si="634"/>
        <v>3185.4175433615128</v>
      </c>
      <c r="S208" s="169">
        <f t="shared" si="634"/>
        <v>3384.9015463697178</v>
      </c>
      <c r="T208" s="169">
        <f t="shared" si="634"/>
        <v>3584.9907294798359</v>
      </c>
      <c r="U208" s="169">
        <f t="shared" si="634"/>
        <v>3785.6872267177423</v>
      </c>
      <c r="V208" s="169">
        <f t="shared" si="634"/>
        <v>3986.9931810672606</v>
      </c>
      <c r="W208" s="169">
        <f t="shared" si="634"/>
        <v>4188.9107445137161</v>
      </c>
      <c r="X208" s="169">
        <f t="shared" si="634"/>
        <v>4391.4420780877372</v>
      </c>
      <c r="Y208" s="169">
        <f t="shared" si="634"/>
        <v>4594.5893519092606</v>
      </c>
      <c r="Z208" s="169">
        <f t="shared" si="634"/>
        <v>4798.3547452317616</v>
      </c>
      <c r="AA208" s="169">
        <f t="shared" si="634"/>
        <v>5002.7404464866377</v>
      </c>
      <c r="AB208" s="169">
        <f t="shared" si="634"/>
        <v>5207.7486533280207</v>
      </c>
      <c r="AC208" s="169">
        <f t="shared" si="634"/>
        <v>5413.3815726776338</v>
      </c>
      <c r="AD208" s="169">
        <f t="shared" si="634"/>
        <v>5619.6414207700545</v>
      </c>
      <c r="AE208" s="169">
        <f t="shared" si="634"/>
        <v>5826.5304231980663</v>
      </c>
      <c r="AF208" s="169">
        <f t="shared" si="634"/>
        <v>6034.0508149583293</v>
      </c>
      <c r="AG208" s="169">
        <f t="shared" si="634"/>
        <v>6242.204840497343</v>
      </c>
      <c r="AH208" s="169">
        <f t="shared" si="634"/>
        <v>6450.9947537575317</v>
      </c>
      <c r="AI208" s="169">
        <f t="shared" si="634"/>
        <v>6660.4228182237312</v>
      </c>
      <c r="AJ208" s="169">
        <f t="shared" si="634"/>
        <v>6870.4913069697322</v>
      </c>
      <c r="AK208" s="169">
        <f t="shared" si="634"/>
        <v>7081.2025027052259</v>
      </c>
      <c r="AL208" s="169">
        <f t="shared" si="634"/>
        <v>7292.5586978230967</v>
      </c>
      <c r="AM208" s="169">
        <f t="shared" si="634"/>
        <v>7504.5621944465056</v>
      </c>
      <c r="AN208" s="169">
        <f t="shared" si="634"/>
        <v>7717.2153044768311</v>
      </c>
      <c r="AO208" s="169">
        <f t="shared" si="634"/>
        <v>7930.5203496415015</v>
      </c>
      <c r="AP208" s="169">
        <f t="shared" si="634"/>
        <v>8144.4796615421037</v>
      </c>
      <c r="AQ208" s="169">
        <f t="shared" ca="1" si="634"/>
        <v>-4404.7475682460317</v>
      </c>
      <c r="AR208" s="169">
        <f t="shared" ca="1" si="634"/>
        <v>-4226.4129098375524</v>
      </c>
      <c r="AS208" s="169">
        <f t="shared" ca="1" si="634"/>
        <v>-4047.6324147830273</v>
      </c>
      <c r="AT208" s="169">
        <f t="shared" ca="1" si="634"/>
        <v>-3868.4049684909078</v>
      </c>
      <c r="AU208" s="169">
        <f t="shared" ca="1" si="634"/>
        <v>-3688.7294535830697</v>
      </c>
      <c r="AV208" s="169">
        <f t="shared" ca="1" si="634"/>
        <v>-3508.6047498879161</v>
      </c>
      <c r="AW208" s="169">
        <f t="shared" ca="1" si="634"/>
        <v>-3328.0297344335522</v>
      </c>
      <c r="AX208" s="169">
        <f t="shared" ca="1" si="634"/>
        <v>-3147.0032814405386</v>
      </c>
      <c r="AY208" s="169">
        <f t="shared" ca="1" si="634"/>
        <v>-2965.524262315037</v>
      </c>
      <c r="AZ208" s="169">
        <f t="shared" ca="1" si="634"/>
        <v>-2783.5915456417097</v>
      </c>
      <c r="BA208" s="169">
        <f t="shared" ca="1" si="634"/>
        <v>-2601.2039971767044</v>
      </c>
      <c r="BB208" s="169">
        <f t="shared" ca="1" si="634"/>
        <v>-2418.360479840554</v>
      </c>
      <c r="BC208" s="169">
        <f t="shared" ca="1" si="634"/>
        <v>-2235.0598537110745</v>
      </c>
      <c r="BD208" s="169">
        <f t="shared" ca="1" si="634"/>
        <v>-2051.3009760162786</v>
      </c>
      <c r="BE208" s="169">
        <f t="shared" ca="1" si="634"/>
        <v>-1867.0827011272158</v>
      </c>
      <c r="BF208" s="169">
        <f t="shared" ca="1" si="634"/>
        <v>-1682.4038805509881</v>
      </c>
      <c r="BG208" s="169">
        <f t="shared" ca="1" si="634"/>
        <v>-1497.263362923255</v>
      </c>
      <c r="BH208" s="169">
        <f t="shared" ca="1" si="634"/>
        <v>-1311.659994001453</v>
      </c>
      <c r="BI208" s="169">
        <f t="shared" ca="1" si="634"/>
        <v>-1125.592616657359</v>
      </c>
      <c r="BJ208" s="169">
        <f t="shared" ca="1" si="634"/>
        <v>-939.06007086990212</v>
      </c>
      <c r="BK208" s="169">
        <f t="shared" ca="1" si="634"/>
        <v>-752.06119371801833</v>
      </c>
      <c r="BL208" s="169">
        <f t="shared" ca="1" si="634"/>
        <v>-564.5948193732147</v>
      </c>
      <c r="BM208" s="169">
        <f t="shared" ca="1" si="634"/>
        <v>-376.65977909256981</v>
      </c>
      <c r="BN208" s="169">
        <f t="shared" ca="1" si="634"/>
        <v>-188.25490121122493</v>
      </c>
      <c r="BO208" s="169">
        <f t="shared" ca="1" si="634"/>
        <v>0.62098886484818649</v>
      </c>
      <c r="BP208" s="169">
        <f t="shared" ca="1" si="634"/>
        <v>233.46980679955959</v>
      </c>
      <c r="BQ208" s="169">
        <f t="shared" ca="1" si="634"/>
        <v>467.02762393198282</v>
      </c>
      <c r="BR208" s="169">
        <f t="shared" ca="1" si="634"/>
        <v>701.29690001139898</v>
      </c>
      <c r="BS208" s="169">
        <f t="shared" ref="BS208:ED208" ca="1" si="635">SUM(BS205:BS207)</f>
        <v>936.28010465899933</v>
      </c>
      <c r="BT208" s="169">
        <f t="shared" ca="1" si="635"/>
        <v>1171.9797174128289</v>
      </c>
      <c r="BU208" s="169">
        <f t="shared" ca="1" si="635"/>
        <v>1408.398227772861</v>
      </c>
      <c r="BV208" s="169">
        <f t="shared" ca="1" si="635"/>
        <v>1645.5381352462027</v>
      </c>
      <c r="BW208" s="169">
        <f t="shared" ca="1" si="635"/>
        <v>1883.4019493926426</v>
      </c>
      <c r="BX208" s="169">
        <f t="shared" ca="1" si="635"/>
        <v>2121.9921898704451</v>
      </c>
      <c r="BY208" s="169">
        <f t="shared" ca="1" si="635"/>
        <v>2361.311386482299</v>
      </c>
      <c r="BZ208" s="169">
        <f t="shared" ca="1" si="635"/>
        <v>2601.3620792213806</v>
      </c>
      <c r="CA208" s="169">
        <f t="shared" ca="1" si="635"/>
        <v>2842.1468183179131</v>
      </c>
      <c r="CB208" s="169">
        <f t="shared" ca="1" si="635"/>
        <v>3083.6681642858275</v>
      </c>
      <c r="CC208" s="169">
        <f t="shared" ca="1" si="635"/>
        <v>3325.9286879693936</v>
      </c>
      <c r="CD208" s="169">
        <f t="shared" ca="1" si="635"/>
        <v>3568.9309705907399</v>
      </c>
      <c r="CE208" s="169">
        <f t="shared" ca="1" si="635"/>
        <v>3812.6776037968411</v>
      </c>
      <c r="CF208" s="169">
        <f t="shared" ca="1" si="635"/>
        <v>4057.1711897071618</v>
      </c>
      <c r="CG208" s="169">
        <f t="shared" ca="1" si="635"/>
        <v>4302.4143409616918</v>
      </c>
      <c r="CH208" s="169">
        <f t="shared" ca="1" si="635"/>
        <v>4548.4096807688293</v>
      </c>
      <c r="CI208" s="169">
        <f t="shared" ca="1" si="635"/>
        <v>4795.1598429535043</v>
      </c>
      <c r="CJ208" s="169">
        <f t="shared" ca="1" si="635"/>
        <v>5042.6674720059927</v>
      </c>
      <c r="CK208" s="169">
        <f t="shared" ca="1" si="635"/>
        <v>5290.9352231306075</v>
      </c>
      <c r="CL208" s="169">
        <f t="shared" ca="1" si="635"/>
        <v>5539.965762294556</v>
      </c>
      <c r="CM208" s="169">
        <f t="shared" ca="1" si="635"/>
        <v>5789.7617662773373</v>
      </c>
      <c r="CN208" s="169">
        <f t="shared" ca="1" si="635"/>
        <v>6040.3259227203052</v>
      </c>
      <c r="CO208" s="169">
        <f t="shared" ca="1" si="635"/>
        <v>6291.6609301761746</v>
      </c>
      <c r="CP208" s="169">
        <f t="shared" ca="1" si="635"/>
        <v>6543.769498159123</v>
      </c>
      <c r="CQ208" s="169">
        <f t="shared" ca="1" si="635"/>
        <v>6796.65434719517</v>
      </c>
      <c r="CR208" s="169">
        <f t="shared" ca="1" si="635"/>
        <v>7050.3182088724534</v>
      </c>
      <c r="CS208" s="169">
        <f t="shared" ca="1" si="635"/>
        <v>7304.7638258919869</v>
      </c>
      <c r="CT208" s="169">
        <f t="shared" ca="1" si="635"/>
        <v>7559.9939521188317</v>
      </c>
      <c r="CU208" s="169">
        <f t="shared" ca="1" si="635"/>
        <v>7816.0113526331224</v>
      </c>
      <c r="CV208" s="169">
        <f t="shared" ca="1" si="635"/>
        <v>8072.818803781669</v>
      </c>
      <c r="CW208" s="169">
        <f t="shared" ca="1" si="635"/>
        <v>8330.4190932297461</v>
      </c>
      <c r="CX208" s="169">
        <f t="shared" ca="1" si="635"/>
        <v>8588.815020012913</v>
      </c>
      <c r="CY208" s="169">
        <f t="shared" ca="1" si="635"/>
        <v>0</v>
      </c>
      <c r="CZ208" s="169">
        <f t="shared" ca="1" si="635"/>
        <v>0</v>
      </c>
      <c r="DA208" s="169">
        <f t="shared" ca="1" si="635"/>
        <v>0</v>
      </c>
      <c r="DB208" s="169">
        <f t="shared" ca="1" si="635"/>
        <v>0</v>
      </c>
      <c r="DC208" s="169">
        <f t="shared" ca="1" si="635"/>
        <v>0</v>
      </c>
      <c r="DD208" s="169">
        <f t="shared" ca="1" si="635"/>
        <v>0</v>
      </c>
      <c r="DE208" s="169">
        <f t="shared" ca="1" si="635"/>
        <v>0</v>
      </c>
      <c r="DF208" s="169">
        <f t="shared" ca="1" si="635"/>
        <v>0</v>
      </c>
      <c r="DG208" s="169">
        <f t="shared" ca="1" si="635"/>
        <v>0</v>
      </c>
      <c r="DH208" s="169">
        <f t="shared" ca="1" si="635"/>
        <v>0</v>
      </c>
      <c r="DI208" s="169">
        <f t="shared" ca="1" si="635"/>
        <v>0</v>
      </c>
      <c r="DJ208" s="169">
        <f t="shared" ca="1" si="635"/>
        <v>0</v>
      </c>
      <c r="DK208" s="169">
        <f t="shared" ca="1" si="635"/>
        <v>0</v>
      </c>
      <c r="DL208" s="169">
        <f t="shared" ca="1" si="635"/>
        <v>0</v>
      </c>
      <c r="DM208" s="169">
        <f t="shared" ca="1" si="635"/>
        <v>0</v>
      </c>
      <c r="DN208" s="169">
        <f t="shared" ca="1" si="635"/>
        <v>0</v>
      </c>
      <c r="DO208" s="169">
        <f t="shared" ca="1" si="635"/>
        <v>0</v>
      </c>
      <c r="DP208" s="169">
        <f t="shared" ca="1" si="635"/>
        <v>0</v>
      </c>
      <c r="DQ208" s="169">
        <f t="shared" ca="1" si="635"/>
        <v>0</v>
      </c>
      <c r="DR208" s="169">
        <f t="shared" ca="1" si="635"/>
        <v>0</v>
      </c>
      <c r="DS208" s="169">
        <f t="shared" ca="1" si="635"/>
        <v>0</v>
      </c>
      <c r="DT208" s="169">
        <f t="shared" ca="1" si="635"/>
        <v>0</v>
      </c>
      <c r="DU208" s="169">
        <f t="shared" ca="1" si="635"/>
        <v>0</v>
      </c>
      <c r="DV208" s="169">
        <f t="shared" ca="1" si="635"/>
        <v>0</v>
      </c>
      <c r="DW208" s="169">
        <f t="shared" ca="1" si="635"/>
        <v>0</v>
      </c>
      <c r="DX208" s="169">
        <f t="shared" ca="1" si="635"/>
        <v>0</v>
      </c>
      <c r="DY208" s="169">
        <f t="shared" ca="1" si="635"/>
        <v>0</v>
      </c>
      <c r="DZ208" s="169">
        <f t="shared" ca="1" si="635"/>
        <v>0</v>
      </c>
      <c r="EA208" s="169">
        <f t="shared" ca="1" si="635"/>
        <v>0</v>
      </c>
      <c r="EB208" s="169">
        <f t="shared" ca="1" si="635"/>
        <v>0</v>
      </c>
      <c r="EC208" s="169">
        <f t="shared" ca="1" si="635"/>
        <v>0</v>
      </c>
      <c r="ED208" s="169">
        <f t="shared" ca="1" si="635"/>
        <v>0</v>
      </c>
      <c r="EE208" s="169">
        <f t="shared" ref="EE208:FF208" ca="1" si="636">SUM(EE205:EE207)</f>
        <v>0</v>
      </c>
      <c r="EF208" s="169">
        <f t="shared" ca="1" si="636"/>
        <v>0</v>
      </c>
      <c r="EG208" s="169">
        <f t="shared" ca="1" si="636"/>
        <v>0</v>
      </c>
      <c r="EH208" s="169">
        <f t="shared" ca="1" si="636"/>
        <v>0</v>
      </c>
      <c r="EI208" s="169">
        <f t="shared" ca="1" si="636"/>
        <v>0</v>
      </c>
      <c r="EJ208" s="169">
        <f t="shared" ca="1" si="636"/>
        <v>0</v>
      </c>
      <c r="EK208" s="169">
        <f t="shared" ca="1" si="636"/>
        <v>0</v>
      </c>
      <c r="EL208" s="169">
        <f t="shared" ca="1" si="636"/>
        <v>0</v>
      </c>
      <c r="EM208" s="169">
        <f t="shared" ca="1" si="636"/>
        <v>0</v>
      </c>
      <c r="EN208" s="169">
        <f t="shared" ca="1" si="636"/>
        <v>0</v>
      </c>
      <c r="EO208" s="169">
        <f t="shared" ca="1" si="636"/>
        <v>0</v>
      </c>
      <c r="EP208" s="169">
        <f t="shared" ca="1" si="636"/>
        <v>0</v>
      </c>
      <c r="EQ208" s="169">
        <f t="shared" ca="1" si="636"/>
        <v>0</v>
      </c>
      <c r="ER208" s="169">
        <f t="shared" ca="1" si="636"/>
        <v>0</v>
      </c>
      <c r="ES208" s="169">
        <f t="shared" ca="1" si="636"/>
        <v>0</v>
      </c>
      <c r="ET208" s="169">
        <f t="shared" ca="1" si="636"/>
        <v>0</v>
      </c>
      <c r="EU208" s="169">
        <f t="shared" ca="1" si="636"/>
        <v>0</v>
      </c>
      <c r="EV208" s="169">
        <f t="shared" ca="1" si="636"/>
        <v>0</v>
      </c>
      <c r="EW208" s="169">
        <f t="shared" ca="1" si="636"/>
        <v>0</v>
      </c>
      <c r="EX208" s="169">
        <f t="shared" ca="1" si="636"/>
        <v>0</v>
      </c>
      <c r="EY208" s="169">
        <f t="shared" ca="1" si="636"/>
        <v>0</v>
      </c>
      <c r="EZ208" s="169">
        <f t="shared" ca="1" si="636"/>
        <v>0</v>
      </c>
      <c r="FA208" s="169">
        <f t="shared" ca="1" si="636"/>
        <v>0</v>
      </c>
      <c r="FB208" s="169">
        <f t="shared" ca="1" si="636"/>
        <v>0</v>
      </c>
      <c r="FC208" s="169">
        <f t="shared" ca="1" si="636"/>
        <v>0</v>
      </c>
      <c r="FD208" s="169">
        <f t="shared" ca="1" si="636"/>
        <v>0</v>
      </c>
      <c r="FE208" s="169">
        <f t="shared" ca="1" si="636"/>
        <v>0</v>
      </c>
      <c r="FF208" s="169">
        <f t="shared" ca="1" si="636"/>
        <v>0</v>
      </c>
      <c r="FG208" s="289"/>
      <c r="FV208" s="289"/>
    </row>
    <row r="209" spans="3:178" s="77" customFormat="1" x14ac:dyDescent="0.2">
      <c r="C209" s="421" t="s">
        <v>241</v>
      </c>
      <c r="E209" s="77">
        <f t="shared" ca="1" si="623"/>
        <v>38894.022249805268</v>
      </c>
      <c r="F209" s="300">
        <f>F208*$D$46</f>
        <v>0</v>
      </c>
      <c r="G209" s="77">
        <f t="shared" ref="G209:BR209" si="637">G208*$D$46</f>
        <v>154.5650855552116</v>
      </c>
      <c r="H209" s="77">
        <f t="shared" si="637"/>
        <v>183.50988782807707</v>
      </c>
      <c r="I209" s="77">
        <f t="shared" si="637"/>
        <v>212.54203282479776</v>
      </c>
      <c r="J209" s="77">
        <f t="shared" si="637"/>
        <v>241.66182628970034</v>
      </c>
      <c r="K209" s="77">
        <f t="shared" si="637"/>
        <v>270.86957524125046</v>
      </c>
      <c r="L209" s="77">
        <f t="shared" si="637"/>
        <v>300.16558797817066</v>
      </c>
      <c r="M209" s="77">
        <f t="shared" si="637"/>
        <v>329.5501740856738</v>
      </c>
      <c r="N209" s="77">
        <f t="shared" si="637"/>
        <v>359.0236444416596</v>
      </c>
      <c r="O209" s="77">
        <f t="shared" si="637"/>
        <v>388.58631122298812</v>
      </c>
      <c r="P209" s="77">
        <f t="shared" si="637"/>
        <v>418.23848791175425</v>
      </c>
      <c r="Q209" s="77">
        <f t="shared" si="637"/>
        <v>447.98048930163293</v>
      </c>
      <c r="R209" s="77">
        <f t="shared" si="637"/>
        <v>477.81263150422689</v>
      </c>
      <c r="S209" s="77">
        <f t="shared" si="637"/>
        <v>507.73523195545766</v>
      </c>
      <c r="T209" s="77">
        <f t="shared" si="637"/>
        <v>537.7486094219754</v>
      </c>
      <c r="U209" s="77">
        <f t="shared" si="637"/>
        <v>567.85308400766132</v>
      </c>
      <c r="V209" s="77">
        <f t="shared" si="637"/>
        <v>598.04897716008907</v>
      </c>
      <c r="W209" s="77">
        <f t="shared" si="637"/>
        <v>628.33661167705736</v>
      </c>
      <c r="X209" s="77">
        <f t="shared" si="637"/>
        <v>658.71631171316051</v>
      </c>
      <c r="Y209" s="77">
        <f t="shared" si="637"/>
        <v>689.18840278638902</v>
      </c>
      <c r="Z209" s="77">
        <f t="shared" si="637"/>
        <v>719.75321178476418</v>
      </c>
      <c r="AA209" s="77">
        <f t="shared" si="637"/>
        <v>750.41106697299563</v>
      </c>
      <c r="AB209" s="77">
        <f t="shared" si="637"/>
        <v>781.16229799920313</v>
      </c>
      <c r="AC209" s="77">
        <f t="shared" si="637"/>
        <v>812.007235901645</v>
      </c>
      <c r="AD209" s="77">
        <f t="shared" si="637"/>
        <v>842.94621311550816</v>
      </c>
      <c r="AE209" s="77">
        <f t="shared" si="637"/>
        <v>873.9795634797099</v>
      </c>
      <c r="AF209" s="77">
        <f t="shared" si="637"/>
        <v>905.10762224374935</v>
      </c>
      <c r="AG209" s="77">
        <f t="shared" si="637"/>
        <v>936.33072607460144</v>
      </c>
      <c r="AH209" s="77">
        <f t="shared" si="637"/>
        <v>967.64921306362976</v>
      </c>
      <c r="AI209" s="77">
        <f t="shared" si="637"/>
        <v>999.06342273355961</v>
      </c>
      <c r="AJ209" s="77">
        <f t="shared" si="637"/>
        <v>1030.5736960454599</v>
      </c>
      <c r="AK209" s="77">
        <f t="shared" si="637"/>
        <v>1062.1803754057839</v>
      </c>
      <c r="AL209" s="77">
        <f t="shared" si="637"/>
        <v>1093.8838046734645</v>
      </c>
      <c r="AM209" s="77">
        <f t="shared" si="637"/>
        <v>1125.6843291669759</v>
      </c>
      <c r="AN209" s="77">
        <f t="shared" si="637"/>
        <v>1157.5822956715247</v>
      </c>
      <c r="AO209" s="77">
        <f t="shared" si="637"/>
        <v>1189.5780524462252</v>
      </c>
      <c r="AP209" s="77">
        <f t="shared" si="637"/>
        <v>1221.6719492313155</v>
      </c>
      <c r="AQ209" s="77">
        <f t="shared" ca="1" si="637"/>
        <v>-660.71213523690471</v>
      </c>
      <c r="AR209" s="77">
        <f t="shared" ca="1" si="637"/>
        <v>-633.9619364756328</v>
      </c>
      <c r="AS209" s="77">
        <f t="shared" ca="1" si="637"/>
        <v>-607.14486221745403</v>
      </c>
      <c r="AT209" s="77">
        <f t="shared" ca="1" si="637"/>
        <v>-580.26074527363619</v>
      </c>
      <c r="AU209" s="77">
        <f t="shared" ca="1" si="637"/>
        <v>-553.30941803746043</v>
      </c>
      <c r="AV209" s="77">
        <f t="shared" ca="1" si="637"/>
        <v>-526.29071248318735</v>
      </c>
      <c r="AW209" s="77">
        <f t="shared" ca="1" si="637"/>
        <v>-499.2044601650328</v>
      </c>
      <c r="AX209" s="77">
        <f t="shared" ca="1" si="637"/>
        <v>-472.05049221608078</v>
      </c>
      <c r="AY209" s="77">
        <f t="shared" ca="1" si="637"/>
        <v>-444.82863934725555</v>
      </c>
      <c r="AZ209" s="77">
        <f t="shared" ca="1" si="637"/>
        <v>-417.53873184625644</v>
      </c>
      <c r="BA209" s="77">
        <f t="shared" ca="1" si="637"/>
        <v>-390.18059957650564</v>
      </c>
      <c r="BB209" s="77">
        <f t="shared" ca="1" si="637"/>
        <v>-362.75407197608308</v>
      </c>
      <c r="BC209" s="77">
        <f t="shared" ca="1" si="637"/>
        <v>-335.25897805666119</v>
      </c>
      <c r="BD209" s="77">
        <f t="shared" ca="1" si="637"/>
        <v>-307.69514640244176</v>
      </c>
      <c r="BE209" s="77">
        <f t="shared" ca="1" si="637"/>
        <v>-280.06240516908235</v>
      </c>
      <c r="BF209" s="77">
        <f t="shared" ca="1" si="637"/>
        <v>-252.36058208264819</v>
      </c>
      <c r="BG209" s="77">
        <f t="shared" ca="1" si="637"/>
        <v>-224.58950443848826</v>
      </c>
      <c r="BH209" s="77">
        <f t="shared" ca="1" si="637"/>
        <v>-196.74899910021796</v>
      </c>
      <c r="BI209" s="77">
        <f t="shared" ca="1" si="637"/>
        <v>-168.83889249860385</v>
      </c>
      <c r="BJ209" s="77">
        <f t="shared" ca="1" si="637"/>
        <v>-140.8590106304853</v>
      </c>
      <c r="BK209" s="77">
        <f t="shared" ca="1" si="637"/>
        <v>-112.80917905770275</v>
      </c>
      <c r="BL209" s="77">
        <f t="shared" ca="1" si="637"/>
        <v>-84.689222905982206</v>
      </c>
      <c r="BM209" s="77">
        <f t="shared" ca="1" si="637"/>
        <v>-56.498966863885471</v>
      </c>
      <c r="BN209" s="77">
        <f t="shared" ca="1" si="637"/>
        <v>-28.238235181683738</v>
      </c>
      <c r="BO209" s="77">
        <f t="shared" ca="1" si="637"/>
        <v>9.3148329727227974E-2</v>
      </c>
      <c r="BP209" s="77">
        <f t="shared" ca="1" si="637"/>
        <v>35.020471019933936</v>
      </c>
      <c r="BQ209" s="77">
        <f t="shared" ca="1" si="637"/>
        <v>70.05414358979742</v>
      </c>
      <c r="BR209" s="77">
        <f t="shared" ca="1" si="637"/>
        <v>105.19453500170984</v>
      </c>
      <c r="BS209" s="77">
        <f t="shared" ref="BS209:ED209" ca="1" si="638">BS208*$D$46</f>
        <v>140.4420156988499</v>
      </c>
      <c r="BT209" s="77">
        <f t="shared" ca="1" si="638"/>
        <v>175.79695761192434</v>
      </c>
      <c r="BU209" s="77">
        <f t="shared" ca="1" si="638"/>
        <v>211.25973416592913</v>
      </c>
      <c r="BV209" s="77">
        <f t="shared" ca="1" si="638"/>
        <v>246.83072028693039</v>
      </c>
      <c r="BW209" s="77">
        <f t="shared" ca="1" si="638"/>
        <v>282.51029240889636</v>
      </c>
      <c r="BX209" s="77">
        <f t="shared" ca="1" si="638"/>
        <v>318.29882848056678</v>
      </c>
      <c r="BY209" s="77">
        <f t="shared" ca="1" si="638"/>
        <v>354.19670797234483</v>
      </c>
      <c r="BZ209" s="77">
        <f t="shared" ca="1" si="638"/>
        <v>390.20431188320708</v>
      </c>
      <c r="CA209" s="77">
        <f t="shared" ca="1" si="638"/>
        <v>426.32202274768696</v>
      </c>
      <c r="CB209" s="77">
        <f t="shared" ca="1" si="638"/>
        <v>462.55022464287413</v>
      </c>
      <c r="CC209" s="77">
        <f t="shared" ca="1" si="638"/>
        <v>498.88930319540901</v>
      </c>
      <c r="CD209" s="77">
        <f t="shared" ca="1" si="638"/>
        <v>535.33964558861101</v>
      </c>
      <c r="CE209" s="77">
        <f t="shared" ca="1" si="638"/>
        <v>571.90164056952619</v>
      </c>
      <c r="CF209" s="77">
        <f t="shared" ca="1" si="638"/>
        <v>608.57567845607423</v>
      </c>
      <c r="CG209" s="77">
        <f t="shared" ca="1" si="638"/>
        <v>645.36215114425374</v>
      </c>
      <c r="CH209" s="77">
        <f t="shared" ca="1" si="638"/>
        <v>682.26145211532435</v>
      </c>
      <c r="CI209" s="77">
        <f t="shared" ca="1" si="638"/>
        <v>719.27397644302562</v>
      </c>
      <c r="CJ209" s="77">
        <f t="shared" ca="1" si="638"/>
        <v>756.40012080089889</v>
      </c>
      <c r="CK209" s="77">
        <f t="shared" ca="1" si="638"/>
        <v>793.64028346959105</v>
      </c>
      <c r="CL209" s="77">
        <f t="shared" ca="1" si="638"/>
        <v>830.99486434418338</v>
      </c>
      <c r="CM209" s="77">
        <f t="shared" ca="1" si="638"/>
        <v>868.46426494160062</v>
      </c>
      <c r="CN209" s="77">
        <f t="shared" ca="1" si="638"/>
        <v>906.04888840804574</v>
      </c>
      <c r="CO209" s="77">
        <f t="shared" ca="1" si="638"/>
        <v>943.74913952642612</v>
      </c>
      <c r="CP209" s="77">
        <f t="shared" ca="1" si="638"/>
        <v>981.56542472386843</v>
      </c>
      <c r="CQ209" s="77">
        <f t="shared" ca="1" si="638"/>
        <v>1019.4981520792754</v>
      </c>
      <c r="CR209" s="77">
        <f t="shared" ca="1" si="638"/>
        <v>1057.5477313308679</v>
      </c>
      <c r="CS209" s="77">
        <f t="shared" ca="1" si="638"/>
        <v>1095.714573883798</v>
      </c>
      <c r="CT209" s="77">
        <f t="shared" ca="1" si="638"/>
        <v>1133.9990928178247</v>
      </c>
      <c r="CU209" s="77">
        <f t="shared" ca="1" si="638"/>
        <v>1172.4017028949684</v>
      </c>
      <c r="CV209" s="77">
        <f t="shared" ca="1" si="638"/>
        <v>1210.9228205672503</v>
      </c>
      <c r="CW209" s="77">
        <f t="shared" ca="1" si="638"/>
        <v>1249.562863984462</v>
      </c>
      <c r="CX209" s="77">
        <f t="shared" ca="1" si="638"/>
        <v>1288.3222530019368</v>
      </c>
      <c r="CY209" s="77">
        <f t="shared" ca="1" si="638"/>
        <v>0</v>
      </c>
      <c r="CZ209" s="77">
        <f t="shared" ca="1" si="638"/>
        <v>0</v>
      </c>
      <c r="DA209" s="77">
        <f t="shared" ca="1" si="638"/>
        <v>0</v>
      </c>
      <c r="DB209" s="77">
        <f t="shared" ca="1" si="638"/>
        <v>0</v>
      </c>
      <c r="DC209" s="77">
        <f t="shared" ca="1" si="638"/>
        <v>0</v>
      </c>
      <c r="DD209" s="77">
        <f t="shared" ca="1" si="638"/>
        <v>0</v>
      </c>
      <c r="DE209" s="77">
        <f t="shared" ca="1" si="638"/>
        <v>0</v>
      </c>
      <c r="DF209" s="77">
        <f t="shared" ca="1" si="638"/>
        <v>0</v>
      </c>
      <c r="DG209" s="77">
        <f t="shared" ca="1" si="638"/>
        <v>0</v>
      </c>
      <c r="DH209" s="77">
        <f t="shared" ca="1" si="638"/>
        <v>0</v>
      </c>
      <c r="DI209" s="77">
        <f t="shared" ca="1" si="638"/>
        <v>0</v>
      </c>
      <c r="DJ209" s="77">
        <f t="shared" ca="1" si="638"/>
        <v>0</v>
      </c>
      <c r="DK209" s="77">
        <f t="shared" ca="1" si="638"/>
        <v>0</v>
      </c>
      <c r="DL209" s="77">
        <f t="shared" ca="1" si="638"/>
        <v>0</v>
      </c>
      <c r="DM209" s="77">
        <f t="shared" ca="1" si="638"/>
        <v>0</v>
      </c>
      <c r="DN209" s="77">
        <f t="shared" ca="1" si="638"/>
        <v>0</v>
      </c>
      <c r="DO209" s="77">
        <f t="shared" ca="1" si="638"/>
        <v>0</v>
      </c>
      <c r="DP209" s="77">
        <f t="shared" ca="1" si="638"/>
        <v>0</v>
      </c>
      <c r="DQ209" s="77">
        <f t="shared" ca="1" si="638"/>
        <v>0</v>
      </c>
      <c r="DR209" s="77">
        <f t="shared" ca="1" si="638"/>
        <v>0</v>
      </c>
      <c r="DS209" s="77">
        <f t="shared" ca="1" si="638"/>
        <v>0</v>
      </c>
      <c r="DT209" s="77">
        <f t="shared" ca="1" si="638"/>
        <v>0</v>
      </c>
      <c r="DU209" s="77">
        <f t="shared" ca="1" si="638"/>
        <v>0</v>
      </c>
      <c r="DV209" s="77">
        <f t="shared" ca="1" si="638"/>
        <v>0</v>
      </c>
      <c r="DW209" s="77">
        <f t="shared" ca="1" si="638"/>
        <v>0</v>
      </c>
      <c r="DX209" s="77">
        <f t="shared" ca="1" si="638"/>
        <v>0</v>
      </c>
      <c r="DY209" s="77">
        <f t="shared" ca="1" si="638"/>
        <v>0</v>
      </c>
      <c r="DZ209" s="77">
        <f t="shared" ca="1" si="638"/>
        <v>0</v>
      </c>
      <c r="EA209" s="77">
        <f t="shared" ca="1" si="638"/>
        <v>0</v>
      </c>
      <c r="EB209" s="77">
        <f t="shared" ca="1" si="638"/>
        <v>0</v>
      </c>
      <c r="EC209" s="77">
        <f t="shared" ca="1" si="638"/>
        <v>0</v>
      </c>
      <c r="ED209" s="77">
        <f t="shared" ca="1" si="638"/>
        <v>0</v>
      </c>
      <c r="EE209" s="77">
        <f t="shared" ref="EE209:FF209" ca="1" si="639">EE208*$D$46</f>
        <v>0</v>
      </c>
      <c r="EF209" s="77">
        <f t="shared" ca="1" si="639"/>
        <v>0</v>
      </c>
      <c r="EG209" s="77">
        <f t="shared" ca="1" si="639"/>
        <v>0</v>
      </c>
      <c r="EH209" s="77">
        <f t="shared" ca="1" si="639"/>
        <v>0</v>
      </c>
      <c r="EI209" s="77">
        <f t="shared" ca="1" si="639"/>
        <v>0</v>
      </c>
      <c r="EJ209" s="77">
        <f t="shared" ca="1" si="639"/>
        <v>0</v>
      </c>
      <c r="EK209" s="77">
        <f t="shared" ca="1" si="639"/>
        <v>0</v>
      </c>
      <c r="EL209" s="77">
        <f t="shared" ca="1" si="639"/>
        <v>0</v>
      </c>
      <c r="EM209" s="77">
        <f t="shared" ca="1" si="639"/>
        <v>0</v>
      </c>
      <c r="EN209" s="77">
        <f t="shared" ca="1" si="639"/>
        <v>0</v>
      </c>
      <c r="EO209" s="77">
        <f t="shared" ca="1" si="639"/>
        <v>0</v>
      </c>
      <c r="EP209" s="77">
        <f t="shared" ca="1" si="639"/>
        <v>0</v>
      </c>
      <c r="EQ209" s="77">
        <f t="shared" ca="1" si="639"/>
        <v>0</v>
      </c>
      <c r="ER209" s="77">
        <f t="shared" ca="1" si="639"/>
        <v>0</v>
      </c>
      <c r="ES209" s="77">
        <f t="shared" ca="1" si="639"/>
        <v>0</v>
      </c>
      <c r="ET209" s="77">
        <f t="shared" ca="1" si="639"/>
        <v>0</v>
      </c>
      <c r="EU209" s="77">
        <f t="shared" ca="1" si="639"/>
        <v>0</v>
      </c>
      <c r="EV209" s="77">
        <f t="shared" ca="1" si="639"/>
        <v>0</v>
      </c>
      <c r="EW209" s="77">
        <f t="shared" ca="1" si="639"/>
        <v>0</v>
      </c>
      <c r="EX209" s="77">
        <f t="shared" ca="1" si="639"/>
        <v>0</v>
      </c>
      <c r="EY209" s="77">
        <f t="shared" ca="1" si="639"/>
        <v>0</v>
      </c>
      <c r="EZ209" s="77">
        <f t="shared" ca="1" si="639"/>
        <v>0</v>
      </c>
      <c r="FA209" s="77">
        <f t="shared" ca="1" si="639"/>
        <v>0</v>
      </c>
      <c r="FB209" s="77">
        <f t="shared" ca="1" si="639"/>
        <v>0</v>
      </c>
      <c r="FC209" s="77">
        <f t="shared" ca="1" si="639"/>
        <v>0</v>
      </c>
      <c r="FD209" s="77">
        <f t="shared" ca="1" si="639"/>
        <v>0</v>
      </c>
      <c r="FE209" s="77">
        <f t="shared" ca="1" si="639"/>
        <v>0</v>
      </c>
      <c r="FF209" s="77">
        <f t="shared" ca="1" si="639"/>
        <v>0</v>
      </c>
      <c r="FG209" s="277"/>
      <c r="FV209" s="277"/>
    </row>
    <row r="210" spans="3:178" x14ac:dyDescent="0.2">
      <c r="E210" s="395"/>
    </row>
  </sheetData>
  <dataValidations disablePrompts="1" count="3">
    <dataValidation type="list" allowBlank="1" showInputMessage="1" showErrorMessage="1" sqref="G6" xr:uid="{3AE06CC5-6AF5-4198-8CF9-8B82F296DF8F}">
      <formula1>$AF$3:$AF$7</formula1>
    </dataValidation>
    <dataValidation type="list" allowBlank="1" showInputMessage="1" showErrorMessage="1" sqref="D207" xr:uid="{8A9F84CB-A585-4695-92A9-CBE5A33A8BFD}">
      <formula1>$B$206:$B$207</formula1>
    </dataValidation>
    <dataValidation type="list" allowBlank="1" showInputMessage="1" showErrorMessage="1" sqref="H34" xr:uid="{7027151C-DE3F-42A4-90C6-94E97BECB1C9}">
      <formula1>$G$40:$G$42</formula1>
    </dataValidation>
  </dataValidations>
  <pageMargins left="0.7" right="0.7" top="0.75" bottom="0.75" header="0.3" footer="0.3"/>
  <pageSetup orientation="portrait" r:id="rId1"/>
  <ignoredErrors>
    <ignoredError sqref="G103:FF103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393" r:id="rId4" name="Check Box 1">
              <controlPr defaultSize="0" autoFill="0" autoLine="0" autoPict="0">
                <anchor moveWithCells="1">
                  <from>
                    <xdr:col>3</xdr:col>
                    <xdr:colOff>101600</xdr:colOff>
                    <xdr:row>48</xdr:row>
                    <xdr:rowOff>139700</xdr:rowOff>
                  </from>
                  <to>
                    <xdr:col>4</xdr:col>
                    <xdr:colOff>939800</xdr:colOff>
                    <xdr:row>50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E5E4-2412-4EB5-9B4E-1D3BC71EA082}">
  <dimension ref="A1"/>
  <sheetViews>
    <sheetView workbookViewId="0"/>
  </sheetViews>
  <sheetFormatPr baseColWidth="10" defaultColWidth="8.83203125" defaultRowHeight="18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4D59E-EF29-4E23-8B4D-46D3FF6B7D26}">
  <sheetPr>
    <pageSetUpPr autoPageBreaks="0"/>
  </sheetPr>
  <dimension ref="A1:GV199"/>
  <sheetViews>
    <sheetView showGridLines="0" topLeftCell="B1" zoomScale="85" zoomScaleNormal="85" workbookViewId="0">
      <pane xSplit="2" ySplit="6" topLeftCell="D7" activePane="bottomRight" state="frozen"/>
      <selection activeCell="B1" sqref="B1"/>
      <selection pane="topRight" activeCell="D1" sqref="D1"/>
      <selection pane="bottomLeft" activeCell="B5" sqref="B5"/>
      <selection pane="bottomRight" activeCell="D7" sqref="D7"/>
    </sheetView>
  </sheetViews>
  <sheetFormatPr baseColWidth="10" defaultColWidth="0" defaultRowHeight="15" outlineLevelRow="1" x14ac:dyDescent="0.2"/>
  <cols>
    <col min="1" max="1" width="3.6640625" style="39" customWidth="1"/>
    <col min="2" max="2" width="5" style="39" bestFit="1" customWidth="1"/>
    <col min="3" max="3" width="38.33203125" style="39" bestFit="1" customWidth="1"/>
    <col min="4" max="6" width="15.6640625" style="39" customWidth="1"/>
    <col min="7" max="7" width="20.5" style="39" bestFit="1" customWidth="1"/>
    <col min="8" max="13" width="15.6640625" style="39" customWidth="1"/>
    <col min="14" max="14" width="19.1640625" style="39" bestFit="1" customWidth="1"/>
    <col min="15" max="15" width="20.33203125" style="39" bestFit="1" customWidth="1"/>
    <col min="16" max="16" width="17" style="39" bestFit="1" customWidth="1"/>
    <col min="17" max="20" width="15.6640625" style="39" customWidth="1"/>
    <col min="21" max="21" width="18.33203125" style="39" bestFit="1" customWidth="1"/>
    <col min="22" max="22" width="18.1640625" style="39" customWidth="1"/>
    <col min="23" max="36" width="15.6640625" style="39" customWidth="1"/>
    <col min="37" max="37" width="18.33203125" style="39" bestFit="1" customWidth="1"/>
    <col min="38" max="38" width="17.6640625" style="39" bestFit="1" customWidth="1"/>
    <col min="39" max="39" width="16.6640625" style="39" bestFit="1" customWidth="1"/>
    <col min="40" max="162" width="15.6640625" style="39" customWidth="1"/>
    <col min="163" max="163" width="3.6640625" style="45" customWidth="1"/>
    <col min="164" max="177" width="15.6640625" style="39" customWidth="1"/>
    <col min="178" max="178" width="3.6640625" style="45" customWidth="1"/>
    <col min="179" max="16384" width="9" style="39" hidden="1"/>
  </cols>
  <sheetData>
    <row r="1" spans="3:178" s="331" customFormat="1" x14ac:dyDescent="0.2">
      <c r="D1" s="332"/>
      <c r="E1" s="332" t="s">
        <v>88</v>
      </c>
      <c r="F1" s="333">
        <f>F56</f>
        <v>0</v>
      </c>
      <c r="G1" s="333">
        <f t="shared" ref="G1" si="0">G56</f>
        <v>1</v>
      </c>
      <c r="H1" s="333">
        <f t="shared" ref="H1" si="1">H56</f>
        <v>2</v>
      </c>
      <c r="I1" s="333">
        <f t="shared" ref="I1" si="2">I56</f>
        <v>3</v>
      </c>
      <c r="J1" s="333">
        <f t="shared" ref="J1" si="3">J56</f>
        <v>4</v>
      </c>
      <c r="K1" s="333">
        <f t="shared" ref="K1" si="4">K56</f>
        <v>5</v>
      </c>
      <c r="L1" s="333">
        <f t="shared" ref="L1" si="5">L56</f>
        <v>6</v>
      </c>
      <c r="M1" s="333">
        <f t="shared" ref="M1" si="6">M56</f>
        <v>7</v>
      </c>
      <c r="N1" s="333">
        <f t="shared" ref="N1" si="7">N56</f>
        <v>8</v>
      </c>
      <c r="O1" s="333">
        <f t="shared" ref="O1" si="8">O56</f>
        <v>9</v>
      </c>
      <c r="P1" s="333">
        <f t="shared" ref="P1" si="9">P56</f>
        <v>10</v>
      </c>
      <c r="Q1" s="333">
        <f t="shared" ref="Q1" si="10">Q56</f>
        <v>11</v>
      </c>
      <c r="R1" s="333">
        <f t="shared" ref="R1" si="11">R56</f>
        <v>12</v>
      </c>
      <c r="S1" s="333">
        <f t="shared" ref="S1" si="12">S56</f>
        <v>13</v>
      </c>
      <c r="T1" s="333">
        <f t="shared" ref="T1" si="13">T56</f>
        <v>14</v>
      </c>
      <c r="U1" s="333">
        <f t="shared" ref="U1" si="14">U56</f>
        <v>15</v>
      </c>
      <c r="V1" s="333">
        <f t="shared" ref="V1" si="15">V56</f>
        <v>16</v>
      </c>
      <c r="W1" s="333">
        <f t="shared" ref="W1" si="16">W56</f>
        <v>17</v>
      </c>
      <c r="X1" s="333">
        <f t="shared" ref="X1" si="17">X56</f>
        <v>18</v>
      </c>
      <c r="Y1" s="333">
        <f t="shared" ref="Y1" si="18">Y56</f>
        <v>19</v>
      </c>
      <c r="Z1" s="333">
        <f t="shared" ref="Z1" si="19">Z56</f>
        <v>20</v>
      </c>
      <c r="AA1" s="333">
        <f t="shared" ref="AA1" si="20">AA56</f>
        <v>21</v>
      </c>
      <c r="AB1" s="333">
        <f t="shared" ref="AB1" si="21">AB56</f>
        <v>22</v>
      </c>
      <c r="AC1" s="333">
        <f t="shared" ref="AC1" si="22">AC56</f>
        <v>23</v>
      </c>
      <c r="AD1" s="333">
        <f t="shared" ref="AD1" si="23">AD56</f>
        <v>24</v>
      </c>
      <c r="AE1" s="333">
        <f t="shared" ref="AE1" si="24">AE56</f>
        <v>25</v>
      </c>
      <c r="AF1" s="333">
        <f t="shared" ref="AF1" si="25">AF56</f>
        <v>26</v>
      </c>
      <c r="AG1" s="333">
        <f t="shared" ref="AG1" si="26">AG56</f>
        <v>27</v>
      </c>
      <c r="AH1" s="333">
        <f t="shared" ref="AH1" si="27">AH56</f>
        <v>28</v>
      </c>
      <c r="AI1" s="333">
        <f t="shared" ref="AI1" si="28">AI56</f>
        <v>29</v>
      </c>
      <c r="AJ1" s="333">
        <f t="shared" ref="AJ1" si="29">AJ56</f>
        <v>30</v>
      </c>
      <c r="AK1" s="333">
        <f t="shared" ref="AK1" si="30">AK56</f>
        <v>31</v>
      </c>
      <c r="AL1" s="333">
        <f t="shared" ref="AL1" si="31">AL56</f>
        <v>32</v>
      </c>
      <c r="AM1" s="333">
        <f t="shared" ref="AM1" si="32">AM56</f>
        <v>33</v>
      </c>
      <c r="AN1" s="333">
        <f t="shared" ref="AN1" si="33">AN56</f>
        <v>34</v>
      </c>
      <c r="AO1" s="333">
        <f t="shared" ref="AO1" si="34">AO56</f>
        <v>35</v>
      </c>
      <c r="AP1" s="333">
        <f t="shared" ref="AP1" si="35">AP56</f>
        <v>36</v>
      </c>
      <c r="AQ1" s="333">
        <f t="shared" ref="AQ1" si="36">AQ56</f>
        <v>37</v>
      </c>
      <c r="AR1" s="333">
        <f t="shared" ref="AR1" si="37">AR56</f>
        <v>38</v>
      </c>
      <c r="AS1" s="333">
        <f t="shared" ref="AS1" si="38">AS56</f>
        <v>39</v>
      </c>
      <c r="AT1" s="333">
        <f t="shared" ref="AT1" si="39">AT56</f>
        <v>40</v>
      </c>
      <c r="AU1" s="333">
        <f t="shared" ref="AU1" si="40">AU56</f>
        <v>41</v>
      </c>
      <c r="AV1" s="333">
        <f t="shared" ref="AV1" si="41">AV56</f>
        <v>42</v>
      </c>
      <c r="AW1" s="333">
        <f t="shared" ref="AW1" si="42">AW56</f>
        <v>43</v>
      </c>
      <c r="AX1" s="333">
        <f t="shared" ref="AX1" si="43">AX56</f>
        <v>44</v>
      </c>
      <c r="AY1" s="333">
        <f t="shared" ref="AY1" si="44">AY56</f>
        <v>45</v>
      </c>
      <c r="AZ1" s="333">
        <f t="shared" ref="AZ1" si="45">AZ56</f>
        <v>46</v>
      </c>
      <c r="BA1" s="333">
        <f t="shared" ref="BA1" si="46">BA56</f>
        <v>47</v>
      </c>
      <c r="BB1" s="333">
        <f t="shared" ref="BB1" si="47">BB56</f>
        <v>48</v>
      </c>
      <c r="BC1" s="333">
        <f t="shared" ref="BC1" si="48">BC56</f>
        <v>49</v>
      </c>
      <c r="BD1" s="333">
        <f t="shared" ref="BD1" si="49">BD56</f>
        <v>50</v>
      </c>
      <c r="BE1" s="333">
        <f t="shared" ref="BE1" si="50">BE56</f>
        <v>51</v>
      </c>
      <c r="BF1" s="333">
        <f t="shared" ref="BF1" si="51">BF56</f>
        <v>52</v>
      </c>
      <c r="BG1" s="333">
        <f t="shared" ref="BG1" si="52">BG56</f>
        <v>53</v>
      </c>
      <c r="BH1" s="333">
        <f t="shared" ref="BH1" si="53">BH56</f>
        <v>54</v>
      </c>
      <c r="BI1" s="333">
        <f t="shared" ref="BI1" si="54">BI56</f>
        <v>55</v>
      </c>
      <c r="BJ1" s="333">
        <f t="shared" ref="BJ1" si="55">BJ56</f>
        <v>56</v>
      </c>
      <c r="BK1" s="333">
        <f t="shared" ref="BK1" si="56">BK56</f>
        <v>57</v>
      </c>
      <c r="BL1" s="333">
        <f t="shared" ref="BL1" si="57">BL56</f>
        <v>58</v>
      </c>
      <c r="BM1" s="333">
        <f t="shared" ref="BM1" si="58">BM56</f>
        <v>59</v>
      </c>
      <c r="BN1" s="333">
        <f t="shared" ref="BN1" si="59">BN56</f>
        <v>60</v>
      </c>
      <c r="BO1" s="333">
        <f t="shared" ref="BO1" si="60">BO56</f>
        <v>61</v>
      </c>
      <c r="BP1" s="333">
        <f t="shared" ref="BP1" si="61">BP56</f>
        <v>62</v>
      </c>
      <c r="BQ1" s="333">
        <f t="shared" ref="BQ1" si="62">BQ56</f>
        <v>63</v>
      </c>
      <c r="BR1" s="333">
        <f t="shared" ref="BR1" si="63">BR56</f>
        <v>64</v>
      </c>
      <c r="BS1" s="333">
        <f t="shared" ref="BS1" si="64">BS56</f>
        <v>65</v>
      </c>
      <c r="BT1" s="333">
        <f t="shared" ref="BT1" si="65">BT56</f>
        <v>66</v>
      </c>
      <c r="BU1" s="333">
        <f t="shared" ref="BU1" si="66">BU56</f>
        <v>67</v>
      </c>
      <c r="BV1" s="333">
        <f t="shared" ref="BV1" si="67">BV56</f>
        <v>68</v>
      </c>
      <c r="BW1" s="333">
        <f t="shared" ref="BW1" si="68">BW56</f>
        <v>69</v>
      </c>
      <c r="BX1" s="333">
        <f t="shared" ref="BX1" si="69">BX56</f>
        <v>70</v>
      </c>
      <c r="BY1" s="333">
        <f t="shared" ref="BY1" si="70">BY56</f>
        <v>71</v>
      </c>
      <c r="BZ1" s="333">
        <f t="shared" ref="BZ1" si="71">BZ56</f>
        <v>72</v>
      </c>
      <c r="CA1" s="333">
        <f t="shared" ref="CA1" si="72">CA56</f>
        <v>73</v>
      </c>
      <c r="CB1" s="333">
        <f t="shared" ref="CB1" si="73">CB56</f>
        <v>74</v>
      </c>
      <c r="CC1" s="333">
        <f t="shared" ref="CC1" si="74">CC56</f>
        <v>75</v>
      </c>
      <c r="CD1" s="333">
        <f t="shared" ref="CD1" si="75">CD56</f>
        <v>76</v>
      </c>
      <c r="CE1" s="333">
        <f t="shared" ref="CE1" si="76">CE56</f>
        <v>77</v>
      </c>
      <c r="CF1" s="333">
        <f t="shared" ref="CF1" si="77">CF56</f>
        <v>78</v>
      </c>
      <c r="CG1" s="333">
        <f t="shared" ref="CG1" si="78">CG56</f>
        <v>79</v>
      </c>
      <c r="CH1" s="333">
        <f t="shared" ref="CH1" si="79">CH56</f>
        <v>80</v>
      </c>
      <c r="CI1" s="333">
        <f t="shared" ref="CI1" si="80">CI56</f>
        <v>81</v>
      </c>
      <c r="CJ1" s="333">
        <f t="shared" ref="CJ1" si="81">CJ56</f>
        <v>82</v>
      </c>
      <c r="CK1" s="333">
        <f t="shared" ref="CK1" si="82">CK56</f>
        <v>83</v>
      </c>
      <c r="CL1" s="333">
        <f t="shared" ref="CL1" si="83">CL56</f>
        <v>84</v>
      </c>
      <c r="CM1" s="333">
        <f t="shared" ref="CM1" si="84">CM56</f>
        <v>85</v>
      </c>
      <c r="CN1" s="333">
        <f t="shared" ref="CN1" si="85">CN56</f>
        <v>86</v>
      </c>
      <c r="CO1" s="333">
        <f t="shared" ref="CO1" si="86">CO56</f>
        <v>87</v>
      </c>
      <c r="CP1" s="333">
        <f t="shared" ref="CP1" si="87">CP56</f>
        <v>88</v>
      </c>
      <c r="CQ1" s="333">
        <f t="shared" ref="CQ1" si="88">CQ56</f>
        <v>89</v>
      </c>
      <c r="CR1" s="333">
        <f t="shared" ref="CR1" si="89">CR56</f>
        <v>90</v>
      </c>
      <c r="CS1" s="333">
        <f t="shared" ref="CS1" si="90">CS56</f>
        <v>91</v>
      </c>
      <c r="CT1" s="333">
        <f t="shared" ref="CT1" si="91">CT56</f>
        <v>92</v>
      </c>
      <c r="CU1" s="333">
        <f t="shared" ref="CU1" si="92">CU56</f>
        <v>93</v>
      </c>
      <c r="CV1" s="333">
        <f t="shared" ref="CV1" si="93">CV56</f>
        <v>94</v>
      </c>
      <c r="CW1" s="333">
        <f t="shared" ref="CW1" si="94">CW56</f>
        <v>95</v>
      </c>
      <c r="CX1" s="333">
        <f t="shared" ref="CX1" si="95">CX56</f>
        <v>96</v>
      </c>
      <c r="CY1" s="333">
        <f t="shared" ref="CY1" si="96">CY56</f>
        <v>97</v>
      </c>
      <c r="CZ1" s="333">
        <f t="shared" ref="CZ1" si="97">CZ56</f>
        <v>98</v>
      </c>
      <c r="DA1" s="333">
        <f t="shared" ref="DA1" si="98">DA56</f>
        <v>99</v>
      </c>
      <c r="DB1" s="333">
        <f t="shared" ref="DB1" si="99">DB56</f>
        <v>100</v>
      </c>
      <c r="DC1" s="333">
        <f t="shared" ref="DC1" si="100">DC56</f>
        <v>101</v>
      </c>
      <c r="DD1" s="333">
        <f t="shared" ref="DD1" si="101">DD56</f>
        <v>102</v>
      </c>
      <c r="DE1" s="333">
        <f t="shared" ref="DE1" si="102">DE56</f>
        <v>103</v>
      </c>
      <c r="DF1" s="333">
        <f t="shared" ref="DF1" si="103">DF56</f>
        <v>104</v>
      </c>
      <c r="DG1" s="333">
        <f t="shared" ref="DG1" si="104">DG56</f>
        <v>105</v>
      </c>
      <c r="DH1" s="333">
        <f t="shared" ref="DH1" si="105">DH56</f>
        <v>106</v>
      </c>
      <c r="DI1" s="333">
        <f t="shared" ref="DI1" si="106">DI56</f>
        <v>107</v>
      </c>
      <c r="DJ1" s="333">
        <f t="shared" ref="DJ1" si="107">DJ56</f>
        <v>108</v>
      </c>
      <c r="DK1" s="333">
        <f t="shared" ref="DK1" si="108">DK56</f>
        <v>109</v>
      </c>
      <c r="DL1" s="333">
        <f t="shared" ref="DL1" si="109">DL56</f>
        <v>110</v>
      </c>
      <c r="DM1" s="333">
        <f t="shared" ref="DM1" si="110">DM56</f>
        <v>111</v>
      </c>
      <c r="DN1" s="333">
        <f t="shared" ref="DN1" si="111">DN56</f>
        <v>112</v>
      </c>
      <c r="DO1" s="333">
        <f t="shared" ref="DO1" si="112">DO56</f>
        <v>113</v>
      </c>
      <c r="DP1" s="333">
        <f t="shared" ref="DP1" si="113">DP56</f>
        <v>114</v>
      </c>
      <c r="DQ1" s="333">
        <f t="shared" ref="DQ1" si="114">DQ56</f>
        <v>115</v>
      </c>
      <c r="DR1" s="333">
        <f t="shared" ref="DR1" si="115">DR56</f>
        <v>116</v>
      </c>
      <c r="DS1" s="333">
        <f t="shared" ref="DS1" si="116">DS56</f>
        <v>117</v>
      </c>
      <c r="DT1" s="333">
        <f t="shared" ref="DT1" si="117">DT56</f>
        <v>118</v>
      </c>
      <c r="DU1" s="333">
        <f t="shared" ref="DU1" si="118">DU56</f>
        <v>119</v>
      </c>
      <c r="DV1" s="333">
        <f t="shared" ref="DV1" si="119">DV56</f>
        <v>120</v>
      </c>
      <c r="DW1" s="333">
        <f t="shared" ref="DW1" si="120">DW56</f>
        <v>121</v>
      </c>
      <c r="DX1" s="333">
        <f t="shared" ref="DX1" si="121">DX56</f>
        <v>122</v>
      </c>
      <c r="DY1" s="333">
        <f t="shared" ref="DY1" si="122">DY56</f>
        <v>123</v>
      </c>
      <c r="DZ1" s="333">
        <f t="shared" ref="DZ1" si="123">DZ56</f>
        <v>124</v>
      </c>
      <c r="EA1" s="333">
        <f t="shared" ref="EA1" si="124">EA56</f>
        <v>125</v>
      </c>
      <c r="EB1" s="333">
        <f t="shared" ref="EB1" si="125">EB56</f>
        <v>126</v>
      </c>
      <c r="EC1" s="333">
        <f t="shared" ref="EC1" si="126">EC56</f>
        <v>127</v>
      </c>
      <c r="ED1" s="333">
        <f t="shared" ref="ED1" si="127">ED56</f>
        <v>128</v>
      </c>
      <c r="EE1" s="333">
        <f t="shared" ref="EE1" si="128">EE56</f>
        <v>129</v>
      </c>
      <c r="EF1" s="333">
        <f t="shared" ref="EF1" si="129">EF56</f>
        <v>130</v>
      </c>
      <c r="EG1" s="333">
        <f t="shared" ref="EG1" si="130">EG56</f>
        <v>131</v>
      </c>
      <c r="EH1" s="333">
        <f t="shared" ref="EH1" si="131">EH56</f>
        <v>132</v>
      </c>
      <c r="EI1" s="333">
        <f t="shared" ref="EI1" si="132">EI56</f>
        <v>133</v>
      </c>
      <c r="EJ1" s="333">
        <f t="shared" ref="EJ1" si="133">EJ56</f>
        <v>134</v>
      </c>
      <c r="EK1" s="333">
        <f t="shared" ref="EK1" si="134">EK56</f>
        <v>135</v>
      </c>
      <c r="EL1" s="333">
        <f t="shared" ref="EL1" si="135">EL56</f>
        <v>136</v>
      </c>
      <c r="EM1" s="333">
        <f t="shared" ref="EM1" si="136">EM56</f>
        <v>137</v>
      </c>
      <c r="EN1" s="333">
        <f t="shared" ref="EN1" si="137">EN56</f>
        <v>138</v>
      </c>
      <c r="EO1" s="333">
        <f t="shared" ref="EO1" si="138">EO56</f>
        <v>139</v>
      </c>
      <c r="EP1" s="333">
        <f t="shared" ref="EP1" si="139">EP56</f>
        <v>140</v>
      </c>
      <c r="EQ1" s="333">
        <f t="shared" ref="EQ1" si="140">EQ56</f>
        <v>141</v>
      </c>
      <c r="ER1" s="333">
        <f t="shared" ref="ER1" si="141">ER56</f>
        <v>142</v>
      </c>
      <c r="ES1" s="333">
        <f t="shared" ref="ES1" si="142">ES56</f>
        <v>143</v>
      </c>
      <c r="ET1" s="333">
        <f t="shared" ref="ET1" si="143">ET56</f>
        <v>144</v>
      </c>
      <c r="EU1" s="333">
        <f t="shared" ref="EU1" si="144">EU56</f>
        <v>145</v>
      </c>
      <c r="EV1" s="333">
        <f t="shared" ref="EV1" si="145">EV56</f>
        <v>146</v>
      </c>
      <c r="EW1" s="333">
        <f t="shared" ref="EW1" si="146">EW56</f>
        <v>147</v>
      </c>
      <c r="EX1" s="333">
        <f t="shared" ref="EX1" si="147">EX56</f>
        <v>148</v>
      </c>
      <c r="EY1" s="333">
        <f t="shared" ref="EY1" si="148">EY56</f>
        <v>149</v>
      </c>
      <c r="EZ1" s="333">
        <f t="shared" ref="EZ1" si="149">EZ56</f>
        <v>150</v>
      </c>
      <c r="FA1" s="333">
        <f t="shared" ref="FA1" si="150">FA56</f>
        <v>151</v>
      </c>
      <c r="FB1" s="333">
        <f t="shared" ref="FB1" si="151">FB56</f>
        <v>152</v>
      </c>
      <c r="FC1" s="333">
        <f t="shared" ref="FC1" si="152">FC56</f>
        <v>153</v>
      </c>
      <c r="FD1" s="333">
        <f t="shared" ref="FD1" si="153">FD56</f>
        <v>154</v>
      </c>
      <c r="FG1" s="313"/>
      <c r="FV1" s="313"/>
    </row>
    <row r="2" spans="3:178" s="331" customFormat="1" x14ac:dyDescent="0.2">
      <c r="D2" s="332"/>
      <c r="E2" s="332" t="s">
        <v>81</v>
      </c>
      <c r="F2" s="334">
        <f>F58</f>
        <v>46174</v>
      </c>
      <c r="G2" s="334">
        <f t="shared" ref="G2:BR2" si="154">G58</f>
        <v>46203</v>
      </c>
      <c r="H2" s="334">
        <f t="shared" si="154"/>
        <v>46234</v>
      </c>
      <c r="I2" s="334">
        <f t="shared" si="154"/>
        <v>46265</v>
      </c>
      <c r="J2" s="334">
        <f t="shared" si="154"/>
        <v>46295</v>
      </c>
      <c r="K2" s="334">
        <f t="shared" si="154"/>
        <v>46326</v>
      </c>
      <c r="L2" s="334">
        <f t="shared" si="154"/>
        <v>46356</v>
      </c>
      <c r="M2" s="334">
        <f t="shared" si="154"/>
        <v>46387</v>
      </c>
      <c r="N2" s="334">
        <f t="shared" si="154"/>
        <v>46418</v>
      </c>
      <c r="O2" s="334">
        <f t="shared" si="154"/>
        <v>46446</v>
      </c>
      <c r="P2" s="334">
        <f t="shared" si="154"/>
        <v>46477</v>
      </c>
      <c r="Q2" s="334">
        <f t="shared" si="154"/>
        <v>46507</v>
      </c>
      <c r="R2" s="334">
        <f t="shared" si="154"/>
        <v>46538</v>
      </c>
      <c r="S2" s="334">
        <f t="shared" si="154"/>
        <v>46568</v>
      </c>
      <c r="T2" s="334">
        <f t="shared" si="154"/>
        <v>46599</v>
      </c>
      <c r="U2" s="334">
        <f t="shared" si="154"/>
        <v>46630</v>
      </c>
      <c r="V2" s="334">
        <f t="shared" si="154"/>
        <v>46660</v>
      </c>
      <c r="W2" s="334">
        <f t="shared" si="154"/>
        <v>46691</v>
      </c>
      <c r="X2" s="334">
        <f t="shared" si="154"/>
        <v>46721</v>
      </c>
      <c r="Y2" s="334">
        <f t="shared" si="154"/>
        <v>46752</v>
      </c>
      <c r="Z2" s="334">
        <f t="shared" si="154"/>
        <v>46783</v>
      </c>
      <c r="AA2" s="334">
        <f t="shared" si="154"/>
        <v>46812</v>
      </c>
      <c r="AB2" s="334">
        <f t="shared" si="154"/>
        <v>46843</v>
      </c>
      <c r="AC2" s="334">
        <f t="shared" si="154"/>
        <v>46873</v>
      </c>
      <c r="AD2" s="334">
        <f t="shared" si="154"/>
        <v>46904</v>
      </c>
      <c r="AE2" s="334">
        <f t="shared" si="154"/>
        <v>46934</v>
      </c>
      <c r="AF2" s="334">
        <f t="shared" si="154"/>
        <v>46965</v>
      </c>
      <c r="AG2" s="334">
        <f t="shared" si="154"/>
        <v>46996</v>
      </c>
      <c r="AH2" s="334">
        <f t="shared" si="154"/>
        <v>47026</v>
      </c>
      <c r="AI2" s="334">
        <f t="shared" si="154"/>
        <v>47057</v>
      </c>
      <c r="AJ2" s="334">
        <f t="shared" si="154"/>
        <v>47087</v>
      </c>
      <c r="AK2" s="334">
        <f t="shared" si="154"/>
        <v>47118</v>
      </c>
      <c r="AL2" s="334">
        <f t="shared" si="154"/>
        <v>47149</v>
      </c>
      <c r="AM2" s="334">
        <f t="shared" si="154"/>
        <v>47177</v>
      </c>
      <c r="AN2" s="334">
        <f t="shared" si="154"/>
        <v>47208</v>
      </c>
      <c r="AO2" s="334">
        <f t="shared" si="154"/>
        <v>47238</v>
      </c>
      <c r="AP2" s="334">
        <f t="shared" si="154"/>
        <v>47269</v>
      </c>
      <c r="AQ2" s="334">
        <f t="shared" si="154"/>
        <v>47299</v>
      </c>
      <c r="AR2" s="334">
        <f t="shared" si="154"/>
        <v>47330</v>
      </c>
      <c r="AS2" s="334">
        <f t="shared" si="154"/>
        <v>47361</v>
      </c>
      <c r="AT2" s="334">
        <f t="shared" si="154"/>
        <v>47391</v>
      </c>
      <c r="AU2" s="334">
        <f t="shared" si="154"/>
        <v>47422</v>
      </c>
      <c r="AV2" s="334">
        <f t="shared" si="154"/>
        <v>47452</v>
      </c>
      <c r="AW2" s="334">
        <f t="shared" si="154"/>
        <v>47483</v>
      </c>
      <c r="AX2" s="334">
        <f t="shared" si="154"/>
        <v>47514</v>
      </c>
      <c r="AY2" s="334">
        <f t="shared" si="154"/>
        <v>47542</v>
      </c>
      <c r="AZ2" s="334">
        <f t="shared" si="154"/>
        <v>47573</v>
      </c>
      <c r="BA2" s="334">
        <f t="shared" si="154"/>
        <v>47603</v>
      </c>
      <c r="BB2" s="334">
        <f t="shared" si="154"/>
        <v>47634</v>
      </c>
      <c r="BC2" s="334">
        <f t="shared" si="154"/>
        <v>47664</v>
      </c>
      <c r="BD2" s="334">
        <f t="shared" si="154"/>
        <v>47695</v>
      </c>
      <c r="BE2" s="334">
        <f t="shared" si="154"/>
        <v>47726</v>
      </c>
      <c r="BF2" s="334">
        <f t="shared" si="154"/>
        <v>47756</v>
      </c>
      <c r="BG2" s="334">
        <f t="shared" si="154"/>
        <v>47787</v>
      </c>
      <c r="BH2" s="334">
        <f t="shared" si="154"/>
        <v>47817</v>
      </c>
      <c r="BI2" s="334">
        <f t="shared" si="154"/>
        <v>47848</v>
      </c>
      <c r="BJ2" s="334">
        <f t="shared" si="154"/>
        <v>47879</v>
      </c>
      <c r="BK2" s="334">
        <f t="shared" si="154"/>
        <v>47907</v>
      </c>
      <c r="BL2" s="334">
        <f t="shared" si="154"/>
        <v>47938</v>
      </c>
      <c r="BM2" s="334">
        <f t="shared" si="154"/>
        <v>47968</v>
      </c>
      <c r="BN2" s="334">
        <f t="shared" si="154"/>
        <v>47999</v>
      </c>
      <c r="BO2" s="334">
        <f t="shared" si="154"/>
        <v>48029</v>
      </c>
      <c r="BP2" s="334">
        <f t="shared" si="154"/>
        <v>48060</v>
      </c>
      <c r="BQ2" s="334">
        <f t="shared" si="154"/>
        <v>48091</v>
      </c>
      <c r="BR2" s="334">
        <f t="shared" si="154"/>
        <v>48121</v>
      </c>
      <c r="BS2" s="334">
        <f t="shared" ref="BS2:ED2" si="155">BS58</f>
        <v>48152</v>
      </c>
      <c r="BT2" s="334">
        <f t="shared" si="155"/>
        <v>48182</v>
      </c>
      <c r="BU2" s="334">
        <f t="shared" si="155"/>
        <v>48213</v>
      </c>
      <c r="BV2" s="334">
        <f t="shared" si="155"/>
        <v>48244</v>
      </c>
      <c r="BW2" s="334">
        <f t="shared" si="155"/>
        <v>48273</v>
      </c>
      <c r="BX2" s="334">
        <f t="shared" si="155"/>
        <v>48304</v>
      </c>
      <c r="BY2" s="334">
        <f t="shared" si="155"/>
        <v>48334</v>
      </c>
      <c r="BZ2" s="334">
        <f t="shared" si="155"/>
        <v>48365</v>
      </c>
      <c r="CA2" s="334">
        <f t="shared" si="155"/>
        <v>48395</v>
      </c>
      <c r="CB2" s="334">
        <f t="shared" si="155"/>
        <v>48426</v>
      </c>
      <c r="CC2" s="334">
        <f t="shared" si="155"/>
        <v>48457</v>
      </c>
      <c r="CD2" s="334">
        <f t="shared" si="155"/>
        <v>48487</v>
      </c>
      <c r="CE2" s="334">
        <f t="shared" si="155"/>
        <v>48518</v>
      </c>
      <c r="CF2" s="334">
        <f t="shared" si="155"/>
        <v>48548</v>
      </c>
      <c r="CG2" s="334">
        <f t="shared" si="155"/>
        <v>48579</v>
      </c>
      <c r="CH2" s="334">
        <f t="shared" si="155"/>
        <v>48610</v>
      </c>
      <c r="CI2" s="334">
        <f t="shared" si="155"/>
        <v>48638</v>
      </c>
      <c r="CJ2" s="334">
        <f t="shared" si="155"/>
        <v>48669</v>
      </c>
      <c r="CK2" s="334">
        <f t="shared" si="155"/>
        <v>48699</v>
      </c>
      <c r="CL2" s="334">
        <f t="shared" si="155"/>
        <v>48730</v>
      </c>
      <c r="CM2" s="334">
        <f t="shared" si="155"/>
        <v>48760</v>
      </c>
      <c r="CN2" s="334">
        <f t="shared" si="155"/>
        <v>48791</v>
      </c>
      <c r="CO2" s="334">
        <f t="shared" si="155"/>
        <v>48822</v>
      </c>
      <c r="CP2" s="334">
        <f t="shared" si="155"/>
        <v>48852</v>
      </c>
      <c r="CQ2" s="334">
        <f t="shared" si="155"/>
        <v>48883</v>
      </c>
      <c r="CR2" s="334">
        <f t="shared" si="155"/>
        <v>48913</v>
      </c>
      <c r="CS2" s="334">
        <f t="shared" si="155"/>
        <v>48944</v>
      </c>
      <c r="CT2" s="334">
        <f t="shared" si="155"/>
        <v>48975</v>
      </c>
      <c r="CU2" s="334">
        <f t="shared" si="155"/>
        <v>49003</v>
      </c>
      <c r="CV2" s="334">
        <f t="shared" si="155"/>
        <v>49034</v>
      </c>
      <c r="CW2" s="334">
        <f t="shared" si="155"/>
        <v>49064</v>
      </c>
      <c r="CX2" s="334">
        <f t="shared" si="155"/>
        <v>49095</v>
      </c>
      <c r="CY2" s="334">
        <f t="shared" si="155"/>
        <v>49125</v>
      </c>
      <c r="CZ2" s="334">
        <f t="shared" si="155"/>
        <v>49156</v>
      </c>
      <c r="DA2" s="334">
        <f t="shared" si="155"/>
        <v>49187</v>
      </c>
      <c r="DB2" s="334">
        <f t="shared" si="155"/>
        <v>49217</v>
      </c>
      <c r="DC2" s="334">
        <f t="shared" si="155"/>
        <v>49248</v>
      </c>
      <c r="DD2" s="334">
        <f t="shared" si="155"/>
        <v>49278</v>
      </c>
      <c r="DE2" s="334">
        <f t="shared" si="155"/>
        <v>49309</v>
      </c>
      <c r="DF2" s="334">
        <f t="shared" si="155"/>
        <v>49340</v>
      </c>
      <c r="DG2" s="334">
        <f t="shared" si="155"/>
        <v>49368</v>
      </c>
      <c r="DH2" s="334">
        <f t="shared" si="155"/>
        <v>49399</v>
      </c>
      <c r="DI2" s="334">
        <f t="shared" si="155"/>
        <v>49429</v>
      </c>
      <c r="DJ2" s="334">
        <f t="shared" si="155"/>
        <v>49460</v>
      </c>
      <c r="DK2" s="334">
        <f t="shared" si="155"/>
        <v>49490</v>
      </c>
      <c r="DL2" s="334">
        <f t="shared" si="155"/>
        <v>49521</v>
      </c>
      <c r="DM2" s="334">
        <f t="shared" si="155"/>
        <v>49552</v>
      </c>
      <c r="DN2" s="334">
        <f t="shared" si="155"/>
        <v>49582</v>
      </c>
      <c r="DO2" s="334">
        <f t="shared" si="155"/>
        <v>49613</v>
      </c>
      <c r="DP2" s="334">
        <f t="shared" si="155"/>
        <v>49643</v>
      </c>
      <c r="DQ2" s="334">
        <f t="shared" si="155"/>
        <v>49674</v>
      </c>
      <c r="DR2" s="334">
        <f t="shared" si="155"/>
        <v>49705</v>
      </c>
      <c r="DS2" s="334">
        <f t="shared" si="155"/>
        <v>49734</v>
      </c>
      <c r="DT2" s="334">
        <f t="shared" si="155"/>
        <v>49765</v>
      </c>
      <c r="DU2" s="334">
        <f t="shared" si="155"/>
        <v>49795</v>
      </c>
      <c r="DV2" s="334">
        <f t="shared" si="155"/>
        <v>49826</v>
      </c>
      <c r="DW2" s="334">
        <f t="shared" si="155"/>
        <v>49856</v>
      </c>
      <c r="DX2" s="334">
        <f t="shared" si="155"/>
        <v>49887</v>
      </c>
      <c r="DY2" s="334">
        <f t="shared" si="155"/>
        <v>49918</v>
      </c>
      <c r="DZ2" s="334">
        <f t="shared" si="155"/>
        <v>49948</v>
      </c>
      <c r="EA2" s="334">
        <f t="shared" si="155"/>
        <v>49979</v>
      </c>
      <c r="EB2" s="334">
        <f t="shared" si="155"/>
        <v>50009</v>
      </c>
      <c r="EC2" s="334">
        <f t="shared" si="155"/>
        <v>50040</v>
      </c>
      <c r="ED2" s="334">
        <f t="shared" si="155"/>
        <v>50071</v>
      </c>
      <c r="EE2" s="334">
        <f t="shared" ref="EE2:FD2" si="156">EE58</f>
        <v>50099</v>
      </c>
      <c r="EF2" s="334">
        <f t="shared" si="156"/>
        <v>50130</v>
      </c>
      <c r="EG2" s="334">
        <f t="shared" si="156"/>
        <v>50160</v>
      </c>
      <c r="EH2" s="334">
        <f t="shared" si="156"/>
        <v>50191</v>
      </c>
      <c r="EI2" s="334">
        <f t="shared" si="156"/>
        <v>50221</v>
      </c>
      <c r="EJ2" s="334">
        <f t="shared" si="156"/>
        <v>50252</v>
      </c>
      <c r="EK2" s="334">
        <f t="shared" si="156"/>
        <v>50283</v>
      </c>
      <c r="EL2" s="334">
        <f t="shared" si="156"/>
        <v>50313</v>
      </c>
      <c r="EM2" s="334">
        <f t="shared" si="156"/>
        <v>50344</v>
      </c>
      <c r="EN2" s="334">
        <f t="shared" si="156"/>
        <v>50374</v>
      </c>
      <c r="EO2" s="334">
        <f t="shared" si="156"/>
        <v>50405</v>
      </c>
      <c r="EP2" s="334">
        <f t="shared" si="156"/>
        <v>50436</v>
      </c>
      <c r="EQ2" s="334">
        <f t="shared" si="156"/>
        <v>50464</v>
      </c>
      <c r="ER2" s="334">
        <f t="shared" si="156"/>
        <v>50495</v>
      </c>
      <c r="ES2" s="334">
        <f t="shared" si="156"/>
        <v>50525</v>
      </c>
      <c r="ET2" s="334">
        <f t="shared" si="156"/>
        <v>50556</v>
      </c>
      <c r="EU2" s="334">
        <f t="shared" si="156"/>
        <v>50586</v>
      </c>
      <c r="EV2" s="334">
        <f t="shared" si="156"/>
        <v>50617</v>
      </c>
      <c r="EW2" s="334">
        <f t="shared" si="156"/>
        <v>50648</v>
      </c>
      <c r="EX2" s="334">
        <f t="shared" si="156"/>
        <v>50678</v>
      </c>
      <c r="EY2" s="334">
        <f t="shared" si="156"/>
        <v>50709</v>
      </c>
      <c r="EZ2" s="334">
        <f t="shared" si="156"/>
        <v>50739</v>
      </c>
      <c r="FA2" s="334">
        <f t="shared" si="156"/>
        <v>50770</v>
      </c>
      <c r="FB2" s="334">
        <f t="shared" si="156"/>
        <v>50801</v>
      </c>
      <c r="FC2" s="334">
        <f t="shared" si="156"/>
        <v>50829</v>
      </c>
      <c r="FD2" s="334">
        <f t="shared" si="156"/>
        <v>50860</v>
      </c>
      <c r="FG2" s="313"/>
      <c r="FV2" s="313"/>
    </row>
    <row r="3" spans="3:178" x14ac:dyDescent="0.2">
      <c r="C3" s="40" t="s">
        <v>27</v>
      </c>
      <c r="D3" s="40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312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312"/>
    </row>
    <row r="4" spans="3:178" x14ac:dyDescent="0.2">
      <c r="C4" s="199" t="s">
        <v>197</v>
      </c>
      <c r="D4" s="42">
        <v>101</v>
      </c>
      <c r="E4" s="45"/>
      <c r="AA4" s="45"/>
      <c r="AN4" s="46" t="s">
        <v>160</v>
      </c>
    </row>
    <row r="5" spans="3:178" x14ac:dyDescent="0.2">
      <c r="C5" s="335" t="s">
        <v>79</v>
      </c>
      <c r="D5" s="43"/>
      <c r="E5" s="45"/>
      <c r="AA5" s="45"/>
      <c r="AN5" s="46"/>
    </row>
    <row r="6" spans="3:178" x14ac:dyDescent="0.2">
      <c r="C6" s="199" t="s">
        <v>200</v>
      </c>
      <c r="E6" s="45"/>
      <c r="F6" s="47"/>
      <c r="G6" s="44"/>
      <c r="AA6" s="45"/>
      <c r="AN6" s="46" t="s">
        <v>147</v>
      </c>
    </row>
    <row r="7" spans="3:178" x14ac:dyDescent="0.2">
      <c r="C7" s="48" t="s">
        <v>57</v>
      </c>
      <c r="D7" s="48"/>
      <c r="E7" s="48"/>
      <c r="F7" s="48"/>
      <c r="G7" s="48"/>
      <c r="H7" s="48"/>
      <c r="I7" s="48"/>
      <c r="K7" s="48" t="s">
        <v>149</v>
      </c>
      <c r="L7" s="48"/>
      <c r="M7" s="48"/>
      <c r="N7" s="48"/>
      <c r="O7" s="48"/>
      <c r="P7" s="48"/>
      <c r="Q7" s="48"/>
      <c r="S7" s="49" t="s">
        <v>148</v>
      </c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6"/>
    </row>
    <row r="8" spans="3:178" x14ac:dyDescent="0.2">
      <c r="C8" s="50"/>
      <c r="D8" s="50"/>
      <c r="E8" s="51" t="s">
        <v>144</v>
      </c>
      <c r="F8" s="52" t="s">
        <v>143</v>
      </c>
      <c r="G8" s="53" t="s">
        <v>1</v>
      </c>
      <c r="H8" s="52" t="s">
        <v>145</v>
      </c>
      <c r="I8" s="52" t="s">
        <v>146</v>
      </c>
      <c r="K8" s="50" t="s">
        <v>60</v>
      </c>
      <c r="L8" s="50"/>
      <c r="M8" s="50"/>
      <c r="N8" s="54" t="s">
        <v>29</v>
      </c>
      <c r="O8" s="54" t="s">
        <v>44</v>
      </c>
      <c r="P8" s="54" t="s">
        <v>30</v>
      </c>
      <c r="Q8" s="54" t="s">
        <v>7</v>
      </c>
      <c r="S8" s="55"/>
      <c r="T8" s="54"/>
      <c r="U8" s="51" t="s">
        <v>174</v>
      </c>
      <c r="V8" s="51"/>
      <c r="W8" s="310"/>
      <c r="X8" s="311"/>
      <c r="Y8" s="51"/>
      <c r="Z8" s="51"/>
      <c r="AA8" s="306" t="s">
        <v>194</v>
      </c>
      <c r="AB8" s="307"/>
      <c r="AC8" s="308"/>
      <c r="AD8" s="307"/>
      <c r="AE8" s="309"/>
      <c r="AF8" s="309"/>
    </row>
    <row r="9" spans="3:178" x14ac:dyDescent="0.2">
      <c r="C9" s="45" t="s">
        <v>28</v>
      </c>
      <c r="D9" s="45"/>
      <c r="E9" s="61">
        <v>0</v>
      </c>
      <c r="F9" s="62">
        <v>46174</v>
      </c>
      <c r="G9" s="63">
        <v>1</v>
      </c>
      <c r="H9" s="62">
        <f>EOMONTH(F9,E9)</f>
        <v>46203</v>
      </c>
      <c r="I9" s="63">
        <f>INDEX($F$56:$FV$56,MATCH(H9,$F$58:$FV$58,0))</f>
        <v>1</v>
      </c>
      <c r="K9" s="45" t="s">
        <v>10</v>
      </c>
      <c r="N9" s="64">
        <v>100</v>
      </c>
      <c r="O9" s="65">
        <v>2150</v>
      </c>
      <c r="P9" s="66">
        <v>1000</v>
      </c>
      <c r="Q9" s="67">
        <f>+O9/P9</f>
        <v>2.15</v>
      </c>
      <c r="S9" s="55"/>
      <c r="T9" s="54"/>
      <c r="U9" s="54" t="s">
        <v>140</v>
      </c>
      <c r="V9" s="54" t="s">
        <v>64</v>
      </c>
      <c r="W9" s="56" t="s">
        <v>166</v>
      </c>
      <c r="X9" s="57" t="s">
        <v>64</v>
      </c>
      <c r="Y9" s="54" t="s">
        <v>141</v>
      </c>
      <c r="Z9" s="54" t="s">
        <v>64</v>
      </c>
      <c r="AA9" s="298" t="s">
        <v>138</v>
      </c>
      <c r="AB9" s="59" t="s">
        <v>64</v>
      </c>
      <c r="AC9" s="58" t="s">
        <v>137</v>
      </c>
      <c r="AD9" s="59" t="s">
        <v>64</v>
      </c>
      <c r="AE9" s="60" t="s">
        <v>136</v>
      </c>
      <c r="AF9" s="60" t="s">
        <v>64</v>
      </c>
      <c r="AG9" s="163"/>
    </row>
    <row r="10" spans="3:178" x14ac:dyDescent="0.2">
      <c r="C10" s="45" t="s">
        <v>0</v>
      </c>
      <c r="D10" s="45"/>
      <c r="E10" s="61">
        <f>INDEX($F$56:$FV$56,MATCH(F10,$F$58:$FV$58,0))</f>
        <v>2</v>
      </c>
      <c r="F10" s="74">
        <f>EOMONTH(H9,1)</f>
        <v>46234</v>
      </c>
      <c r="G10" s="63">
        <v>36</v>
      </c>
      <c r="H10" s="62">
        <f>EOMONTH(F10,G10-1)</f>
        <v>47299</v>
      </c>
      <c r="I10" s="63">
        <f>INDEX($F$56:$FV$56,MATCH(H10,$F$58:$FV$58,0))</f>
        <v>37</v>
      </c>
      <c r="K10" s="45" t="s">
        <v>11</v>
      </c>
      <c r="N10" s="64">
        <v>0</v>
      </c>
      <c r="O10" s="65">
        <v>0</v>
      </c>
      <c r="P10" s="66">
        <v>0</v>
      </c>
      <c r="Q10" s="67">
        <f>IFERROR(+O10/P10,0)</f>
        <v>0</v>
      </c>
      <c r="S10" s="45" t="s">
        <v>142</v>
      </c>
      <c r="T10" s="45"/>
      <c r="U10" s="68">
        <f>V10*$N$13*12</f>
        <v>2580000</v>
      </c>
      <c r="V10" s="69">
        <f>O13</f>
        <v>2150</v>
      </c>
      <c r="W10" s="70">
        <f ca="1">SUM(OFFSET(F74,0,$G$40,1,-12))</f>
        <v>2791218.59145243</v>
      </c>
      <c r="X10" s="71">
        <f ca="1">W10/$N$13</f>
        <v>27912.1859145243</v>
      </c>
      <c r="Y10" s="68">
        <f ca="1">SUM(OFFSET(F74,0,$I$40,1,-12))</f>
        <v>3234240.7549328753</v>
      </c>
      <c r="Z10" s="69">
        <f ca="1">Y10/$N$13</f>
        <v>32342.407549328753</v>
      </c>
      <c r="AA10" s="299">
        <v>0</v>
      </c>
      <c r="AB10" s="72">
        <f>AA10/$N$13</f>
        <v>0</v>
      </c>
      <c r="AC10" s="73">
        <v>0</v>
      </c>
      <c r="AD10" s="72">
        <f>AC10/$N$13</f>
        <v>0</v>
      </c>
      <c r="AE10" s="69">
        <v>0</v>
      </c>
      <c r="AF10" s="69">
        <f>AE10/$N$13</f>
        <v>0</v>
      </c>
      <c r="AG10" s="163"/>
    </row>
    <row r="11" spans="3:178" x14ac:dyDescent="0.2">
      <c r="C11" s="45" t="s">
        <v>166</v>
      </c>
      <c r="E11" s="78">
        <f>INDEX($F$56:$FV$56,MATCH(F11,$F$58:$FV$58,0))</f>
        <v>37</v>
      </c>
      <c r="F11" s="74">
        <f>EOMONTH(H10,0)</f>
        <v>47299</v>
      </c>
      <c r="G11" s="63">
        <v>1</v>
      </c>
      <c r="H11" s="62">
        <f>EOMONTH(F11,G11-1)</f>
        <v>47299</v>
      </c>
      <c r="I11" s="63">
        <f>INDEX($F$56:$FV$56,MATCH(H11,$F$58:$FV$58,0))</f>
        <v>37</v>
      </c>
      <c r="K11" s="45" t="s">
        <v>12</v>
      </c>
      <c r="N11" s="64">
        <v>0</v>
      </c>
      <c r="O11" s="65">
        <v>0</v>
      </c>
      <c r="P11" s="66">
        <v>0</v>
      </c>
      <c r="Q11" s="67">
        <f>IFERROR(+O11/P11,0)</f>
        <v>0</v>
      </c>
      <c r="S11" s="39" t="s">
        <v>153</v>
      </c>
      <c r="U11" s="39">
        <v>0</v>
      </c>
      <c r="V11" s="69">
        <f>U11/$N$13</f>
        <v>0</v>
      </c>
      <c r="W11" s="70">
        <f ca="1">SUM(OFFSET(F75,0,$G$40,1,-12))</f>
        <v>-6978.0464786310768</v>
      </c>
      <c r="X11" s="71">
        <f t="shared" ref="X11:Z12" ca="1" si="157">W11/$N$13</f>
        <v>-69.780464786310773</v>
      </c>
      <c r="Y11" s="68">
        <f ca="1">SUM(OFFSET(F75,0,$I$40,1,-12))</f>
        <v>-8085.6018873321891</v>
      </c>
      <c r="Z11" s="69">
        <f t="shared" ca="1" si="157"/>
        <v>-80.856018873321887</v>
      </c>
      <c r="AA11" s="300">
        <v>0</v>
      </c>
      <c r="AB11" s="76">
        <f t="shared" ref="AB11" si="158">AA11/$N$13</f>
        <v>0</v>
      </c>
      <c r="AC11" s="75">
        <v>0</v>
      </c>
      <c r="AD11" s="76">
        <f t="shared" ref="AD11:AF12" si="159">AC11/$N$13</f>
        <v>0</v>
      </c>
      <c r="AE11" s="77">
        <v>0</v>
      </c>
      <c r="AF11" s="77">
        <f t="shared" si="159"/>
        <v>0</v>
      </c>
      <c r="AG11" s="163"/>
    </row>
    <row r="12" spans="3:178" x14ac:dyDescent="0.2">
      <c r="C12" s="45" t="s">
        <v>0</v>
      </c>
      <c r="D12" s="84">
        <v>8</v>
      </c>
      <c r="E12" s="85">
        <f>INDEX($F$56:$FV$56,MATCH(F12,$F$58:$FV$58,0))</f>
        <v>38</v>
      </c>
      <c r="F12" s="86">
        <f>EOMONTH(H11,1)</f>
        <v>47330</v>
      </c>
      <c r="G12" s="87">
        <f>I12-E12+1</f>
        <v>59</v>
      </c>
      <c r="H12" s="88">
        <f>EOMONTH(F9,D12*12)</f>
        <v>49125</v>
      </c>
      <c r="I12" s="63">
        <f>D12*12</f>
        <v>96</v>
      </c>
      <c r="K12" s="45" t="s">
        <v>13</v>
      </c>
      <c r="N12" s="64">
        <v>0</v>
      </c>
      <c r="O12" s="65">
        <v>0</v>
      </c>
      <c r="P12" s="66">
        <v>0</v>
      </c>
      <c r="Q12" s="67">
        <f>IFERROR(+O12/P12,0)</f>
        <v>0</v>
      </c>
      <c r="S12" s="79" t="s">
        <v>56</v>
      </c>
      <c r="T12" s="79"/>
      <c r="U12" s="80">
        <f>SUM(U10:U11)</f>
        <v>2580000</v>
      </c>
      <c r="V12" s="80">
        <f t="shared" ref="V12:Y12" si="160">SUM(V10:V11)</f>
        <v>2150</v>
      </c>
      <c r="W12" s="81">
        <f t="shared" ref="W12" ca="1" si="161">SUM(W10:W11)</f>
        <v>2784240.544973799</v>
      </c>
      <c r="X12" s="82">
        <f t="shared" ca="1" si="157"/>
        <v>27842.405449737991</v>
      </c>
      <c r="Y12" s="80">
        <f t="shared" ca="1" si="160"/>
        <v>3226155.153045543</v>
      </c>
      <c r="Z12" s="80">
        <f t="shared" ca="1" si="157"/>
        <v>32261.551530455428</v>
      </c>
      <c r="AA12" s="279">
        <f>SUM(AA10:AA11)</f>
        <v>0</v>
      </c>
      <c r="AB12" s="83">
        <f t="shared" ref="AB12" si="162">AA12/$N$13</f>
        <v>0</v>
      </c>
      <c r="AC12" s="81">
        <f>SUM(AC10:AC11)</f>
        <v>0</v>
      </c>
      <c r="AD12" s="83">
        <f t="shared" si="159"/>
        <v>0</v>
      </c>
      <c r="AE12" s="80">
        <f>SUM(AE10:AE11)</f>
        <v>0</v>
      </c>
      <c r="AF12" s="80">
        <f t="shared" si="159"/>
        <v>0</v>
      </c>
    </row>
    <row r="13" spans="3:178" x14ac:dyDescent="0.2">
      <c r="C13" s="90"/>
      <c r="D13" s="91"/>
      <c r="E13" s="85"/>
      <c r="F13" s="74"/>
      <c r="G13" s="63"/>
      <c r="H13" s="62"/>
      <c r="I13" s="63"/>
      <c r="K13" s="92" t="s">
        <v>93</v>
      </c>
      <c r="L13" s="93"/>
      <c r="M13" s="93"/>
      <c r="N13" s="94">
        <f>SUM(N9:N12)</f>
        <v>100</v>
      </c>
      <c r="O13" s="95">
        <f>SUMPRODUCT(O9:O12,$N$9:$N$12)/$N$13</f>
        <v>2150</v>
      </c>
      <c r="P13" s="94">
        <f>SUMPRODUCT(P9:P12,$N$9:$N$12)/$N$13</f>
        <v>1000</v>
      </c>
      <c r="Q13" s="96">
        <f>SUMPRODUCT(Q9:Q12,$N$9:$N$12)/$N$13</f>
        <v>2.15</v>
      </c>
      <c r="W13" s="70"/>
      <c r="X13" s="89"/>
      <c r="Y13" s="68"/>
      <c r="Z13" s="77"/>
      <c r="AA13" s="300"/>
      <c r="AB13" s="76"/>
      <c r="AC13" s="75"/>
      <c r="AD13" s="76"/>
      <c r="AE13" s="77"/>
      <c r="AF13" s="77"/>
      <c r="AG13" s="163"/>
    </row>
    <row r="14" spans="3:178" x14ac:dyDescent="0.2">
      <c r="C14" s="48" t="s">
        <v>26</v>
      </c>
      <c r="D14" s="48"/>
      <c r="E14" s="48"/>
      <c r="F14" s="48"/>
      <c r="G14" s="48"/>
      <c r="H14" s="48"/>
      <c r="I14" s="48"/>
      <c r="K14" s="43"/>
      <c r="L14" s="43"/>
      <c r="M14" s="43"/>
      <c r="N14" s="97"/>
      <c r="O14" s="97"/>
      <c r="P14" s="98"/>
      <c r="Q14" s="99"/>
      <c r="S14" s="39" t="str">
        <f>K16</f>
        <v>RUBS</v>
      </c>
      <c r="U14" s="77">
        <f>U38*$N$16</f>
        <v>70000</v>
      </c>
      <c r="V14" s="77">
        <f>U14/$N$13</f>
        <v>700</v>
      </c>
      <c r="W14" s="70">
        <f ca="1">SUM(OFFSET(F79,0,$G$40,1,-12))</f>
        <v>75730.736977391512</v>
      </c>
      <c r="X14" s="71">
        <f t="shared" ref="X14:Z17" ca="1" si="163">W14/$N$13</f>
        <v>757.30736977391507</v>
      </c>
      <c r="Y14" s="68">
        <f ca="1">SUM(OFFSET(F79,0,$I$40,1,-12))</f>
        <v>87750.718157093492</v>
      </c>
      <c r="Z14" s="69">
        <f t="shared" ca="1" si="163"/>
        <v>877.5071815709349</v>
      </c>
      <c r="AA14" s="300">
        <v>0</v>
      </c>
      <c r="AB14" s="76">
        <f t="shared" ref="AB14" si="164">AA14/$N$13</f>
        <v>0</v>
      </c>
      <c r="AC14" s="75">
        <v>0</v>
      </c>
      <c r="AD14" s="76">
        <f t="shared" ref="AD14:AF17" si="165">AC14/$N$13</f>
        <v>0</v>
      </c>
      <c r="AE14" s="77">
        <v>0</v>
      </c>
      <c r="AF14" s="77">
        <f t="shared" si="165"/>
        <v>0</v>
      </c>
      <c r="AG14" s="163"/>
    </row>
    <row r="15" spans="3:178" x14ac:dyDescent="0.2">
      <c r="C15" s="50"/>
      <c r="D15" s="54" t="s">
        <v>3</v>
      </c>
      <c r="E15" s="54" t="s">
        <v>64</v>
      </c>
      <c r="F15" s="54" t="s">
        <v>80</v>
      </c>
      <c r="G15" s="52" t="s">
        <v>175</v>
      </c>
      <c r="H15" s="52" t="s">
        <v>176</v>
      </c>
      <c r="I15" s="52" t="s">
        <v>1</v>
      </c>
      <c r="K15" s="50" t="s">
        <v>17</v>
      </c>
      <c r="L15" s="50"/>
      <c r="M15" s="50"/>
      <c r="N15" s="54" t="s">
        <v>62</v>
      </c>
      <c r="O15" s="54" t="s">
        <v>181</v>
      </c>
      <c r="P15" s="54" t="s">
        <v>31</v>
      </c>
      <c r="Q15" s="54" t="s">
        <v>48</v>
      </c>
      <c r="S15" s="39" t="str">
        <f>K17</f>
        <v>Parking</v>
      </c>
      <c r="U15" s="77">
        <f>O17*P17*12</f>
        <v>0</v>
      </c>
      <c r="V15" s="77">
        <f>U15/$N$13</f>
        <v>0</v>
      </c>
      <c r="W15" s="70">
        <f ca="1">SUM(OFFSET(F80,0,$G$40,1,-12))</f>
        <v>0</v>
      </c>
      <c r="X15" s="71">
        <f t="shared" ca="1" si="163"/>
        <v>0</v>
      </c>
      <c r="Y15" s="68">
        <f ca="1">SUM(OFFSET(F80,0,$I$40,1,-12))</f>
        <v>0</v>
      </c>
      <c r="Z15" s="69">
        <f t="shared" ca="1" si="163"/>
        <v>0</v>
      </c>
      <c r="AA15" s="300">
        <v>0</v>
      </c>
      <c r="AB15" s="76">
        <f t="shared" ref="AB15" si="166">AA15/$N$13</f>
        <v>0</v>
      </c>
      <c r="AC15" s="75">
        <v>0</v>
      </c>
      <c r="AD15" s="76">
        <f t="shared" si="165"/>
        <v>0</v>
      </c>
      <c r="AE15" s="77">
        <v>0</v>
      </c>
      <c r="AF15" s="77">
        <f t="shared" si="165"/>
        <v>0</v>
      </c>
      <c r="AG15" s="163"/>
    </row>
    <row r="16" spans="3:178" x14ac:dyDescent="0.2">
      <c r="C16" s="45" t="s">
        <v>168</v>
      </c>
      <c r="D16" s="100">
        <v>25000000</v>
      </c>
      <c r="E16" s="101">
        <f>D16/$N$13</f>
        <v>250000</v>
      </c>
      <c r="F16" s="77">
        <f t="shared" ref="F16:F23" si="167">D16/($P$13*$N$13)</f>
        <v>250</v>
      </c>
      <c r="G16" s="102">
        <v>1</v>
      </c>
      <c r="H16" s="103">
        <f>$H$9</f>
        <v>46203</v>
      </c>
      <c r="I16" s="104">
        <v>0</v>
      </c>
      <c r="K16" s="45" t="s">
        <v>61</v>
      </c>
      <c r="L16" s="45"/>
      <c r="M16" s="45"/>
      <c r="N16" s="105">
        <v>0.7</v>
      </c>
      <c r="O16" s="106">
        <f>$N$13</f>
        <v>100</v>
      </c>
      <c r="P16" s="107">
        <f>IFERROR(Q16/O16,0)</f>
        <v>700</v>
      </c>
      <c r="Q16" s="107">
        <f>N16*U38</f>
        <v>70000</v>
      </c>
      <c r="S16" s="39" t="str">
        <f>K18</f>
        <v>Other</v>
      </c>
      <c r="U16" s="77">
        <f>Q18</f>
        <v>150000</v>
      </c>
      <c r="V16" s="77">
        <f>U16/$N$13</f>
        <v>1500</v>
      </c>
      <c r="W16" s="70">
        <f ca="1">SUM(OFFSET(F81,0,$G$40,1,-12))</f>
        <v>162280.15066583897</v>
      </c>
      <c r="X16" s="71">
        <f t="shared" ca="1" si="163"/>
        <v>1622.8015066583896</v>
      </c>
      <c r="Y16" s="68">
        <f ca="1">SUM(OFFSET(F81,0,$I$40,1,-12))</f>
        <v>188037.25319377182</v>
      </c>
      <c r="Z16" s="69">
        <f t="shared" ca="1" si="163"/>
        <v>1880.3725319377181</v>
      </c>
      <c r="AA16" s="300">
        <v>0</v>
      </c>
      <c r="AB16" s="76">
        <f t="shared" ref="AB16" si="168">AA16/$N$13</f>
        <v>0</v>
      </c>
      <c r="AC16" s="75">
        <v>0</v>
      </c>
      <c r="AD16" s="76">
        <f t="shared" si="165"/>
        <v>0</v>
      </c>
      <c r="AE16" s="77">
        <v>0</v>
      </c>
      <c r="AF16" s="77">
        <f t="shared" si="165"/>
        <v>0</v>
      </c>
      <c r="AG16" s="45"/>
    </row>
    <row r="17" spans="3:71" x14ac:dyDescent="0.2">
      <c r="C17" s="45" t="s">
        <v>169</v>
      </c>
      <c r="D17" s="107">
        <f>D16*1%</f>
        <v>250000</v>
      </c>
      <c r="E17" s="101">
        <f>D17/$N$13</f>
        <v>2500</v>
      </c>
      <c r="F17" s="77">
        <f t="shared" si="167"/>
        <v>2.5</v>
      </c>
      <c r="G17" s="102">
        <v>1</v>
      </c>
      <c r="H17" s="103">
        <f t="shared" ref="H17:H22" si="169">$H$9</f>
        <v>46203</v>
      </c>
      <c r="I17" s="104">
        <v>0</v>
      </c>
      <c r="K17" s="45" t="s">
        <v>32</v>
      </c>
      <c r="L17" s="45"/>
      <c r="M17" s="45"/>
      <c r="N17" s="115"/>
      <c r="O17" s="116">
        <f t="shared" ref="O17:O18" si="170">$N$13</f>
        <v>100</v>
      </c>
      <c r="P17" s="117">
        <v>0</v>
      </c>
      <c r="Q17" s="69">
        <f>P17*O17*12</f>
        <v>0</v>
      </c>
      <c r="S17" s="92" t="s">
        <v>18</v>
      </c>
      <c r="T17" s="92"/>
      <c r="U17" s="108">
        <f>SUM(U14:U16)</f>
        <v>220000</v>
      </c>
      <c r="V17" s="109">
        <f>SUM(V14:V16)</f>
        <v>2200</v>
      </c>
      <c r="W17" s="110">
        <f ca="1">SUM(W14:W16)</f>
        <v>238010.8876432305</v>
      </c>
      <c r="X17" s="111">
        <f t="shared" ca="1" si="163"/>
        <v>2380.1088764323049</v>
      </c>
      <c r="Y17" s="108">
        <f ca="1">SUM(Y14:Y16)</f>
        <v>275787.97135086532</v>
      </c>
      <c r="Z17" s="112">
        <f t="shared" ca="1" si="163"/>
        <v>2757.8797135086534</v>
      </c>
      <c r="AA17" s="301">
        <f>SUM(AA14:AA16)</f>
        <v>0</v>
      </c>
      <c r="AB17" s="113">
        <f t="shared" ref="AB17" si="171">AA17/$N$13</f>
        <v>0</v>
      </c>
      <c r="AC17" s="114">
        <f>SUM(AC14:AC16)</f>
        <v>0</v>
      </c>
      <c r="AD17" s="113">
        <f t="shared" si="165"/>
        <v>0</v>
      </c>
      <c r="AE17" s="109">
        <f>SUM(AE14:AE16)</f>
        <v>0</v>
      </c>
      <c r="AF17" s="109">
        <f t="shared" si="165"/>
        <v>0</v>
      </c>
      <c r="AG17" s="45"/>
      <c r="BQ17" s="63"/>
      <c r="BR17" s="63"/>
      <c r="BS17" s="63"/>
    </row>
    <row r="18" spans="3:71" x14ac:dyDescent="0.2">
      <c r="C18" s="45" t="s">
        <v>170</v>
      </c>
      <c r="D18" s="107">
        <f>D16*1%</f>
        <v>250000</v>
      </c>
      <c r="E18" s="101">
        <f>D18/$N$13</f>
        <v>2500</v>
      </c>
      <c r="F18" s="77">
        <f t="shared" si="167"/>
        <v>2.5</v>
      </c>
      <c r="G18" s="102">
        <v>1</v>
      </c>
      <c r="H18" s="103">
        <f t="shared" si="169"/>
        <v>46203</v>
      </c>
      <c r="I18" s="104">
        <v>0</v>
      </c>
      <c r="K18" s="119" t="s">
        <v>4</v>
      </c>
      <c r="L18" s="119"/>
      <c r="M18" s="119"/>
      <c r="N18" s="120">
        <f>Q18/U10</f>
        <v>5.8139534883720929E-2</v>
      </c>
      <c r="O18" s="66">
        <f t="shared" si="170"/>
        <v>100</v>
      </c>
      <c r="P18" s="121">
        <v>125</v>
      </c>
      <c r="Q18" s="68">
        <f>O18*P18*12</f>
        <v>150000</v>
      </c>
      <c r="W18" s="75"/>
      <c r="X18" s="76"/>
      <c r="Y18" s="77"/>
      <c r="Z18" s="118"/>
      <c r="AA18" s="300"/>
      <c r="AB18" s="76"/>
      <c r="AC18" s="75"/>
      <c r="AD18" s="76"/>
      <c r="AE18" s="77"/>
      <c r="AF18" s="77"/>
      <c r="AG18" s="163"/>
    </row>
    <row r="19" spans="3:71" x14ac:dyDescent="0.2">
      <c r="C19" s="45" t="s">
        <v>171</v>
      </c>
      <c r="D19" s="107">
        <f>E19*N13</f>
        <v>1500000</v>
      </c>
      <c r="E19" s="101">
        <v>15000</v>
      </c>
      <c r="F19" s="77">
        <f t="shared" si="167"/>
        <v>15</v>
      </c>
      <c r="G19" s="102">
        <v>0</v>
      </c>
      <c r="H19" s="103">
        <f t="shared" si="169"/>
        <v>46203</v>
      </c>
      <c r="I19" s="104">
        <v>12</v>
      </c>
      <c r="K19" s="92" t="s">
        <v>18</v>
      </c>
      <c r="L19" s="92"/>
      <c r="M19" s="92"/>
      <c r="N19" s="123"/>
      <c r="O19" s="123"/>
      <c r="P19" s="124"/>
      <c r="Q19" s="108">
        <f>SUM(Q16:Q18)</f>
        <v>220000</v>
      </c>
      <c r="S19" s="39" t="str">
        <f>K23</f>
        <v>Vacancy Loss</v>
      </c>
      <c r="U19" s="77">
        <f>-SUM($U$12,$U$17)*$M23</f>
        <v>-140000</v>
      </c>
      <c r="V19" s="77">
        <f>U19/$N$13</f>
        <v>-1400</v>
      </c>
      <c r="W19" s="70">
        <f ca="1">SUM(OFFSET(F84,0,$G$40,1,-12))</f>
        <v>-151112.57163085151</v>
      </c>
      <c r="X19" s="122">
        <f t="shared" ref="X19:Z23" ca="1" si="172">W19/$N$13</f>
        <v>-1511.1257163085152</v>
      </c>
      <c r="Y19" s="68">
        <f ca="1">SUM(OFFSET(F84,0,$I$40,1,-12))</f>
        <v>-175097.15621982043</v>
      </c>
      <c r="Z19" s="107">
        <f t="shared" ca="1" si="172"/>
        <v>-1750.9715621982043</v>
      </c>
      <c r="AA19" s="300">
        <v>0</v>
      </c>
      <c r="AB19" s="76">
        <f t="shared" ref="AB19" si="173">AA19/$N$13</f>
        <v>0</v>
      </c>
      <c r="AC19" s="75">
        <v>0</v>
      </c>
      <c r="AD19" s="76">
        <f t="shared" ref="AD19:AF23" si="174">AC19/$N$13</f>
        <v>0</v>
      </c>
      <c r="AE19" s="77">
        <v>0</v>
      </c>
      <c r="AF19" s="77">
        <f t="shared" si="174"/>
        <v>0</v>
      </c>
      <c r="AG19" s="163"/>
    </row>
    <row r="20" spans="3:71" x14ac:dyDescent="0.2">
      <c r="C20" s="45" t="s">
        <v>4</v>
      </c>
      <c r="D20" s="100">
        <f>E20*$N$13</f>
        <v>0</v>
      </c>
      <c r="E20" s="101">
        <v>0</v>
      </c>
      <c r="F20" s="77">
        <f t="shared" si="167"/>
        <v>0</v>
      </c>
      <c r="G20" s="102">
        <v>0</v>
      </c>
      <c r="H20" s="103">
        <f t="shared" si="169"/>
        <v>46203</v>
      </c>
      <c r="I20" s="104">
        <v>0</v>
      </c>
      <c r="K20" s="45"/>
      <c r="L20" s="45"/>
      <c r="M20" s="45"/>
      <c r="N20" s="45"/>
      <c r="O20" s="45"/>
      <c r="P20" s="45"/>
      <c r="Q20" s="45"/>
      <c r="S20" s="39" t="str">
        <f>K24</f>
        <v>Bad Debt</v>
      </c>
      <c r="U20" s="77">
        <f>-SUM($U$12,$U$17)*$M24</f>
        <v>-7000</v>
      </c>
      <c r="V20" s="77">
        <f>U20/$N$13</f>
        <v>-70</v>
      </c>
      <c r="W20" s="70">
        <f ca="1">SUM(OFFSET(F85,0,$G$40,1,-12))</f>
        <v>-7555.6285815425754</v>
      </c>
      <c r="X20" s="122">
        <f t="shared" ca="1" si="172"/>
        <v>-75.556285815425753</v>
      </c>
      <c r="Y20" s="68">
        <f ca="1">SUM(OFFSET(F85,0,$I$40,1,-12))</f>
        <v>-8754.8578109910213</v>
      </c>
      <c r="Z20" s="107">
        <f t="shared" ca="1" si="172"/>
        <v>-87.54857810991021</v>
      </c>
      <c r="AA20" s="300">
        <v>0</v>
      </c>
      <c r="AB20" s="76">
        <f t="shared" ref="AB20" si="175">AA20/$N$13</f>
        <v>0</v>
      </c>
      <c r="AC20" s="75">
        <v>0</v>
      </c>
      <c r="AD20" s="76">
        <f t="shared" si="174"/>
        <v>0</v>
      </c>
      <c r="AE20" s="77">
        <v>0</v>
      </c>
      <c r="AF20" s="77">
        <f t="shared" si="174"/>
        <v>0</v>
      </c>
      <c r="AG20" s="163"/>
    </row>
    <row r="21" spans="3:71" x14ac:dyDescent="0.2">
      <c r="C21" s="45" t="s">
        <v>4</v>
      </c>
      <c r="D21" s="100">
        <f>E21*$N$13</f>
        <v>0</v>
      </c>
      <c r="E21" s="101">
        <v>0</v>
      </c>
      <c r="F21" s="77">
        <f t="shared" si="167"/>
        <v>0</v>
      </c>
      <c r="G21" s="102">
        <v>0</v>
      </c>
      <c r="H21" s="103">
        <f t="shared" si="169"/>
        <v>46203</v>
      </c>
      <c r="I21" s="104">
        <v>0</v>
      </c>
      <c r="K21" s="50" t="s">
        <v>58</v>
      </c>
      <c r="L21" s="52"/>
      <c r="M21" s="52">
        <f>IF(MONTH(F9)=12,YEAR(F9)+1,YEAR(F9))</f>
        <v>2026</v>
      </c>
      <c r="N21" s="52">
        <f>M21+1</f>
        <v>2027</v>
      </c>
      <c r="O21" s="52">
        <f>N21+1</f>
        <v>2028</v>
      </c>
      <c r="P21" s="52">
        <f>O21+1</f>
        <v>2029</v>
      </c>
      <c r="Q21" s="52">
        <f>P21+1</f>
        <v>2030</v>
      </c>
      <c r="S21" s="39" t="str">
        <f>K25</f>
        <v>Concessions</v>
      </c>
      <c r="U21" s="77">
        <f>-SUM($U$12,$U$17)*$M25</f>
        <v>-7000</v>
      </c>
      <c r="V21" s="77">
        <f>U21/$N$13</f>
        <v>-70</v>
      </c>
      <c r="W21" s="70">
        <f ca="1">SUM(OFFSET(F86,0,$G$40,1,-12))</f>
        <v>-7555.6285815425754</v>
      </c>
      <c r="X21" s="122">
        <f t="shared" ca="1" si="172"/>
        <v>-75.556285815425753</v>
      </c>
      <c r="Y21" s="68">
        <f ca="1">SUM(OFFSET(F86,0,$I$40,1,-12))</f>
        <v>-8754.8578109910213</v>
      </c>
      <c r="Z21" s="107">
        <f t="shared" ca="1" si="172"/>
        <v>-87.54857810991021</v>
      </c>
      <c r="AA21" s="300">
        <v>0</v>
      </c>
      <c r="AB21" s="76">
        <f t="shared" ref="AB21" si="176">AA21/$N$13</f>
        <v>0</v>
      </c>
      <c r="AC21" s="75">
        <v>0</v>
      </c>
      <c r="AD21" s="76">
        <f t="shared" si="174"/>
        <v>0</v>
      </c>
      <c r="AE21" s="77">
        <v>0</v>
      </c>
      <c r="AF21" s="77">
        <f t="shared" si="174"/>
        <v>0</v>
      </c>
      <c r="AG21" s="163"/>
    </row>
    <row r="22" spans="3:71" x14ac:dyDescent="0.2">
      <c r="C22" s="119" t="s">
        <v>4</v>
      </c>
      <c r="D22" s="100">
        <v>0</v>
      </c>
      <c r="E22" s="107">
        <f>D22/$N$13</f>
        <v>0</v>
      </c>
      <c r="F22" s="77">
        <f t="shared" si="167"/>
        <v>0</v>
      </c>
      <c r="G22" s="125">
        <v>0</v>
      </c>
      <c r="H22" s="103">
        <f t="shared" si="169"/>
        <v>46203</v>
      </c>
      <c r="I22" s="104">
        <v>0</v>
      </c>
      <c r="K22" s="45" t="s">
        <v>153</v>
      </c>
      <c r="L22" s="45"/>
      <c r="M22" s="126">
        <v>2.5000000000000001E-3</v>
      </c>
      <c r="N22" s="126">
        <v>2.5000000000000001E-3</v>
      </c>
      <c r="O22" s="126">
        <v>2.5000000000000001E-3</v>
      </c>
      <c r="P22" s="126">
        <v>2.5000000000000001E-3</v>
      </c>
      <c r="Q22" s="126">
        <v>2.5000000000000001E-3</v>
      </c>
      <c r="S22" s="39" t="str">
        <f>K26</f>
        <v>Model Units</v>
      </c>
      <c r="U22" s="77">
        <f>-O13*M26*12</f>
        <v>-25800</v>
      </c>
      <c r="V22" s="77">
        <f>U22/$N$13</f>
        <v>-258</v>
      </c>
      <c r="W22" s="70">
        <f ca="1">SUM(OFFSET(F87,0,$G$40,1,-12))</f>
        <v>-27912.185914524307</v>
      </c>
      <c r="X22" s="122">
        <f t="shared" ca="1" si="172"/>
        <v>-279.12185914524309</v>
      </c>
      <c r="Y22" s="68">
        <f ca="1">SUM(OFFSET(F87,0,$I$40,1,-12))</f>
        <v>-32342.407549328756</v>
      </c>
      <c r="Z22" s="107">
        <f t="shared" ca="1" si="172"/>
        <v>-323.42407549328755</v>
      </c>
      <c r="AA22" s="300">
        <v>0</v>
      </c>
      <c r="AB22" s="76">
        <f t="shared" ref="AB22" si="177">AA22/$N$13</f>
        <v>0</v>
      </c>
      <c r="AC22" s="75">
        <v>0</v>
      </c>
      <c r="AD22" s="76">
        <f t="shared" si="174"/>
        <v>0</v>
      </c>
      <c r="AE22" s="77">
        <v>0</v>
      </c>
      <c r="AF22" s="77">
        <f t="shared" si="174"/>
        <v>0</v>
      </c>
    </row>
    <row r="23" spans="3:71" x14ac:dyDescent="0.2">
      <c r="C23" s="129" t="s">
        <v>42</v>
      </c>
      <c r="D23" s="95">
        <f>SUM(D16:D22)</f>
        <v>27000000</v>
      </c>
      <c r="E23" s="130">
        <f>D23/$N$13</f>
        <v>270000</v>
      </c>
      <c r="F23" s="80">
        <f t="shared" si="167"/>
        <v>270</v>
      </c>
      <c r="G23" s="131"/>
      <c r="H23" s="132" t="s">
        <v>139</v>
      </c>
      <c r="I23" s="133" t="s">
        <v>164</v>
      </c>
      <c r="K23" s="45" t="s">
        <v>14</v>
      </c>
      <c r="L23" s="45"/>
      <c r="M23" s="126">
        <v>0.05</v>
      </c>
      <c r="N23" s="126">
        <v>0.05</v>
      </c>
      <c r="O23" s="126">
        <v>0.05</v>
      </c>
      <c r="P23" s="126">
        <v>0.05</v>
      </c>
      <c r="Q23" s="126">
        <v>0.05</v>
      </c>
      <c r="S23" s="92" t="s">
        <v>63</v>
      </c>
      <c r="T23" s="92"/>
      <c r="U23" s="108">
        <f>SUM(U19:U22)</f>
        <v>-179800</v>
      </c>
      <c r="V23" s="108">
        <f>SUM(V19:V22)</f>
        <v>-1798</v>
      </c>
      <c r="W23" s="110">
        <f ca="1">SUM(W19:W22)</f>
        <v>-194136.01470846098</v>
      </c>
      <c r="X23" s="127">
        <f t="shared" ca="1" si="172"/>
        <v>-1941.3601470846097</v>
      </c>
      <c r="Y23" s="108">
        <f ca="1">SUM(Y19:Y22)</f>
        <v>-224949.27939113125</v>
      </c>
      <c r="Z23" s="95">
        <f t="shared" ca="1" si="172"/>
        <v>-2249.4927939113127</v>
      </c>
      <c r="AA23" s="301">
        <f>SUM(AA19:AA22)</f>
        <v>0</v>
      </c>
      <c r="AB23" s="113">
        <f t="shared" ref="AB23" si="178">AA23/$N$13</f>
        <v>0</v>
      </c>
      <c r="AC23" s="81">
        <f>SUM(AC19:AC22)</f>
        <v>0</v>
      </c>
      <c r="AD23" s="113">
        <f t="shared" si="174"/>
        <v>0</v>
      </c>
      <c r="AE23" s="80">
        <f>SUM(AE19:AE22)</f>
        <v>0</v>
      </c>
      <c r="AF23" s="80">
        <f t="shared" si="174"/>
        <v>0</v>
      </c>
    </row>
    <row r="24" spans="3:71" x14ac:dyDescent="0.2">
      <c r="K24" s="45" t="s">
        <v>183</v>
      </c>
      <c r="M24" s="135">
        <v>2.5000000000000001E-3</v>
      </c>
      <c r="N24" s="135">
        <v>2.5000000000000001E-3</v>
      </c>
      <c r="O24" s="135">
        <v>2.5000000000000001E-3</v>
      </c>
      <c r="P24" s="135">
        <v>2.5000000000000001E-3</v>
      </c>
      <c r="Q24" s="135">
        <v>2.5000000000000001E-3</v>
      </c>
      <c r="W24" s="75"/>
      <c r="X24" s="76"/>
      <c r="Y24" s="77"/>
      <c r="Z24" s="118"/>
      <c r="AA24" s="300"/>
      <c r="AB24" s="76"/>
      <c r="AC24" s="134"/>
      <c r="AD24" s="76"/>
      <c r="AE24" s="77"/>
      <c r="AF24" s="77"/>
      <c r="AG24" s="163"/>
    </row>
    <row r="25" spans="3:71" x14ac:dyDescent="0.2">
      <c r="C25" s="48" t="s">
        <v>94</v>
      </c>
      <c r="D25" s="48"/>
      <c r="E25" s="48"/>
      <c r="F25" s="48"/>
      <c r="G25" s="48"/>
      <c r="H25" s="48"/>
      <c r="I25" s="48"/>
      <c r="K25" s="45" t="s">
        <v>182</v>
      </c>
      <c r="M25" s="135">
        <v>2.5000000000000001E-3</v>
      </c>
      <c r="N25" s="135">
        <v>2.5000000000000001E-3</v>
      </c>
      <c r="O25" s="135">
        <v>2.5000000000000001E-3</v>
      </c>
      <c r="P25" s="135">
        <v>2.5000000000000001E-3</v>
      </c>
      <c r="Q25" s="135">
        <v>2.5000000000000001E-3</v>
      </c>
      <c r="S25" s="136" t="s">
        <v>65</v>
      </c>
      <c r="T25" s="136"/>
      <c r="U25" s="137">
        <f t="shared" ref="U25:AF25" si="179">SUM(U12,U17,U23)</f>
        <v>2620200</v>
      </c>
      <c r="V25" s="137">
        <f t="shared" si="179"/>
        <v>2552</v>
      </c>
      <c r="W25" s="138">
        <f t="shared" ca="1" si="179"/>
        <v>2828115.4179085689</v>
      </c>
      <c r="X25" s="139">
        <f t="shared" ca="1" si="179"/>
        <v>28281.154179085686</v>
      </c>
      <c r="Y25" s="137">
        <f t="shared" ca="1" si="179"/>
        <v>3276993.8450052771</v>
      </c>
      <c r="Z25" s="140">
        <f t="shared" ca="1" si="179"/>
        <v>32769.938450052767</v>
      </c>
      <c r="AA25" s="302">
        <f t="shared" si="179"/>
        <v>0</v>
      </c>
      <c r="AB25" s="141">
        <f t="shared" si="179"/>
        <v>0</v>
      </c>
      <c r="AC25" s="295">
        <f t="shared" si="179"/>
        <v>0</v>
      </c>
      <c r="AD25" s="141">
        <f t="shared" si="179"/>
        <v>0</v>
      </c>
      <c r="AE25" s="296">
        <f t="shared" si="179"/>
        <v>0</v>
      </c>
      <c r="AF25" s="296">
        <f t="shared" si="179"/>
        <v>0</v>
      </c>
    </row>
    <row r="26" spans="3:71" x14ac:dyDescent="0.2">
      <c r="C26" s="50" t="s">
        <v>172</v>
      </c>
      <c r="D26" s="50"/>
      <c r="E26" s="51" t="s">
        <v>172</v>
      </c>
      <c r="F26" s="51"/>
      <c r="G26" s="142"/>
      <c r="H26" s="51" t="s">
        <v>166</v>
      </c>
      <c r="I26" s="51"/>
      <c r="K26" s="45" t="s">
        <v>47</v>
      </c>
      <c r="M26" s="143">
        <v>1</v>
      </c>
      <c r="N26" s="143">
        <v>1</v>
      </c>
      <c r="O26" s="143">
        <v>1</v>
      </c>
      <c r="P26" s="143">
        <v>1</v>
      </c>
      <c r="Q26" s="143">
        <v>1</v>
      </c>
      <c r="W26" s="75"/>
      <c r="X26" s="76"/>
      <c r="Y26" s="77"/>
      <c r="Z26" s="118"/>
      <c r="AA26" s="300"/>
      <c r="AB26" s="76"/>
      <c r="AC26" s="134"/>
      <c r="AD26" s="76"/>
      <c r="AE26" s="77"/>
      <c r="AF26" s="77"/>
    </row>
    <row r="27" spans="3:71" x14ac:dyDescent="0.2">
      <c r="C27" s="145" t="s">
        <v>95</v>
      </c>
      <c r="E27" s="146"/>
      <c r="F27" s="147" t="s">
        <v>96</v>
      </c>
      <c r="G27" s="148" t="s">
        <v>95</v>
      </c>
      <c r="H27" s="149"/>
      <c r="I27" s="147" t="s">
        <v>96</v>
      </c>
      <c r="K27" s="55" t="s">
        <v>150</v>
      </c>
      <c r="L27" s="54"/>
      <c r="M27" s="52">
        <f>IF(MONTH(F9)=12,YEAR(F9)+1,YEAR(F9))</f>
        <v>2026</v>
      </c>
      <c r="N27" s="52">
        <f>M27+1</f>
        <v>2027</v>
      </c>
      <c r="O27" s="52">
        <f>N27+1</f>
        <v>2028</v>
      </c>
      <c r="P27" s="52">
        <f>O27+1</f>
        <v>2029</v>
      </c>
      <c r="Q27" s="52">
        <f>P27+1</f>
        <v>2030</v>
      </c>
      <c r="S27" s="43" t="s">
        <v>66</v>
      </c>
      <c r="T27" s="45"/>
      <c r="U27" s="144"/>
      <c r="W27" s="70"/>
      <c r="X27" s="76"/>
      <c r="Y27" s="68"/>
      <c r="Z27" s="118"/>
      <c r="AA27" s="299"/>
      <c r="AB27" s="72"/>
      <c r="AC27" s="75"/>
      <c r="AD27" s="72"/>
      <c r="AE27" s="77"/>
      <c r="AF27" s="77"/>
      <c r="AG27" s="163"/>
    </row>
    <row r="28" spans="3:71" x14ac:dyDescent="0.2">
      <c r="C28" s="145" t="s">
        <v>134</v>
      </c>
      <c r="E28" s="152">
        <v>0.55000000000000004</v>
      </c>
      <c r="F28" s="153">
        <f>E28*$D$23</f>
        <v>14850000.000000002</v>
      </c>
      <c r="G28" s="148" t="s">
        <v>134</v>
      </c>
      <c r="H28" s="337" t="s">
        <v>99</v>
      </c>
      <c r="I28" s="154">
        <f ca="1">INDEX($I$34:$I$36,MATCH(H28,$G$34:$G$36,0))</f>
        <v>21662072.895306453</v>
      </c>
      <c r="K28" s="45" t="s">
        <v>2</v>
      </c>
      <c r="L28" s="45"/>
      <c r="M28" s="126">
        <v>0.03</v>
      </c>
      <c r="N28" s="126">
        <v>0.03</v>
      </c>
      <c r="O28" s="126">
        <v>0.03</v>
      </c>
      <c r="P28" s="126">
        <v>0.03</v>
      </c>
      <c r="Q28" s="126">
        <v>0.03</v>
      </c>
      <c r="S28" s="119" t="s">
        <v>67</v>
      </c>
      <c r="T28" s="150"/>
      <c r="U28" s="68">
        <f t="shared" ref="U28:U34" si="180">V28*$N$13</f>
        <v>150000</v>
      </c>
      <c r="V28" s="121">
        <v>1500</v>
      </c>
      <c r="W28" s="70">
        <f t="shared" ref="W28:W34" ca="1" si="181">SUM(OFFSET(F94,0,$G$40,1,-12))</f>
        <v>162280.15066583897</v>
      </c>
      <c r="X28" s="151">
        <f t="shared" ref="X28:Z34" ca="1" si="182">W28/$N$13</f>
        <v>1622.8015066583896</v>
      </c>
      <c r="Y28" s="68">
        <f t="shared" ref="Y28:Y34" ca="1" si="183">SUM(OFFSET(F94,0,$I$40,1,-12))</f>
        <v>188037.25319377182</v>
      </c>
      <c r="Z28" s="100">
        <f t="shared" ca="1" si="182"/>
        <v>1880.3725319377181</v>
      </c>
      <c r="AA28" s="303">
        <v>0</v>
      </c>
      <c r="AB28" s="72">
        <f t="shared" ref="AB28" si="184">AA28/$N$13</f>
        <v>0</v>
      </c>
      <c r="AC28" s="73">
        <v>0</v>
      </c>
      <c r="AD28" s="72">
        <f t="shared" ref="AD28:AF35" si="185">AC28/$N$13</f>
        <v>0</v>
      </c>
      <c r="AE28" s="77">
        <v>0</v>
      </c>
      <c r="AF28" s="77">
        <f t="shared" si="185"/>
        <v>0</v>
      </c>
      <c r="AG28" s="163"/>
    </row>
    <row r="29" spans="3:71" x14ac:dyDescent="0.2">
      <c r="C29" s="145" t="s">
        <v>97</v>
      </c>
      <c r="E29" s="155">
        <v>36</v>
      </c>
      <c r="F29" s="156">
        <f>EOMONTH(F9,E29)</f>
        <v>47299</v>
      </c>
      <c r="G29" s="148" t="s">
        <v>97</v>
      </c>
      <c r="H29" s="157">
        <v>360</v>
      </c>
      <c r="I29" s="156">
        <f>EOMONTH(F29,H29-1)</f>
        <v>58226</v>
      </c>
      <c r="K29" s="45" t="s">
        <v>17</v>
      </c>
      <c r="L29" s="45"/>
      <c r="M29" s="126">
        <v>0.03</v>
      </c>
      <c r="N29" s="126">
        <v>0.03</v>
      </c>
      <c r="O29" s="126">
        <v>0.03</v>
      </c>
      <c r="P29" s="126">
        <v>0.03</v>
      </c>
      <c r="Q29" s="126">
        <v>0.03</v>
      </c>
      <c r="S29" s="119" t="s">
        <v>68</v>
      </c>
      <c r="T29" s="150"/>
      <c r="U29" s="68">
        <f t="shared" si="180"/>
        <v>30000</v>
      </c>
      <c r="V29" s="121">
        <v>300</v>
      </c>
      <c r="W29" s="70">
        <f t="shared" ca="1" si="181"/>
        <v>32456.030133167795</v>
      </c>
      <c r="X29" s="151">
        <f t="shared" ca="1" si="182"/>
        <v>324.56030133167792</v>
      </c>
      <c r="Y29" s="68">
        <f t="shared" ca="1" si="183"/>
        <v>37607.450638754352</v>
      </c>
      <c r="Z29" s="100">
        <f t="shared" ca="1" si="182"/>
        <v>376.07450638754352</v>
      </c>
      <c r="AA29" s="303">
        <v>0</v>
      </c>
      <c r="AB29" s="72">
        <f t="shared" ref="AB29" si="186">AA29/$N$13</f>
        <v>0</v>
      </c>
      <c r="AC29" s="73">
        <v>0</v>
      </c>
      <c r="AD29" s="72">
        <f t="shared" si="185"/>
        <v>0</v>
      </c>
      <c r="AE29" s="77">
        <v>0</v>
      </c>
      <c r="AF29" s="77">
        <f t="shared" si="185"/>
        <v>0</v>
      </c>
      <c r="AG29" s="163"/>
    </row>
    <row r="30" spans="3:71" x14ac:dyDescent="0.2">
      <c r="C30" s="145" t="s">
        <v>120</v>
      </c>
      <c r="E30" s="158" t="s">
        <v>101</v>
      </c>
      <c r="F30" s="159">
        <v>7.0000000000000007E-2</v>
      </c>
      <c r="G30" s="148" t="s">
        <v>120</v>
      </c>
      <c r="H30" s="160" t="s">
        <v>101</v>
      </c>
      <c r="I30" s="161">
        <v>0.06</v>
      </c>
      <c r="K30" s="45" t="s">
        <v>6</v>
      </c>
      <c r="L30" s="45"/>
      <c r="M30" s="126">
        <v>0.03</v>
      </c>
      <c r="N30" s="126">
        <v>0.03</v>
      </c>
      <c r="O30" s="126">
        <v>0.03</v>
      </c>
      <c r="P30" s="126">
        <v>0.03</v>
      </c>
      <c r="Q30" s="126">
        <v>0.03</v>
      </c>
      <c r="S30" s="119" t="s">
        <v>22</v>
      </c>
      <c r="T30" s="150"/>
      <c r="U30" s="68">
        <f t="shared" si="180"/>
        <v>30000</v>
      </c>
      <c r="V30" s="121">
        <v>300</v>
      </c>
      <c r="W30" s="70">
        <f t="shared" ca="1" si="181"/>
        <v>32456.030133167795</v>
      </c>
      <c r="X30" s="151">
        <f t="shared" ca="1" si="182"/>
        <v>324.56030133167792</v>
      </c>
      <c r="Y30" s="68">
        <f t="shared" ca="1" si="183"/>
        <v>37607.450638754352</v>
      </c>
      <c r="Z30" s="100">
        <f t="shared" ca="1" si="182"/>
        <v>376.07450638754352</v>
      </c>
      <c r="AA30" s="303">
        <v>0</v>
      </c>
      <c r="AB30" s="72">
        <f t="shared" ref="AB30" si="187">AA30/$N$13</f>
        <v>0</v>
      </c>
      <c r="AC30" s="73">
        <v>0</v>
      </c>
      <c r="AD30" s="72">
        <f t="shared" si="185"/>
        <v>0</v>
      </c>
      <c r="AE30" s="77">
        <v>0</v>
      </c>
      <c r="AF30" s="77">
        <f t="shared" si="185"/>
        <v>0</v>
      </c>
      <c r="AG30" s="163"/>
    </row>
    <row r="31" spans="3:71" x14ac:dyDescent="0.2">
      <c r="C31" s="145" t="s">
        <v>100</v>
      </c>
      <c r="E31" s="162">
        <v>0.01</v>
      </c>
      <c r="F31" s="163">
        <f>E31*F28</f>
        <v>148500.00000000003</v>
      </c>
      <c r="G31" s="148" t="s">
        <v>100</v>
      </c>
      <c r="H31" s="161">
        <v>5.0000000000000001E-3</v>
      </c>
      <c r="I31" s="153">
        <f ca="1">H31*I28</f>
        <v>108310.36447653227</v>
      </c>
      <c r="K31" s="45" t="s">
        <v>19</v>
      </c>
      <c r="L31" s="45"/>
      <c r="M31" s="126">
        <v>0.03</v>
      </c>
      <c r="N31" s="126">
        <v>0.03</v>
      </c>
      <c r="O31" s="126">
        <v>0.03</v>
      </c>
      <c r="P31" s="126">
        <v>0.03</v>
      </c>
      <c r="Q31" s="126">
        <v>0.03</v>
      </c>
      <c r="S31" s="119" t="s">
        <v>69</v>
      </c>
      <c r="T31" s="150"/>
      <c r="U31" s="68">
        <f t="shared" si="180"/>
        <v>30000</v>
      </c>
      <c r="V31" s="121">
        <v>300</v>
      </c>
      <c r="W31" s="70">
        <f t="shared" ca="1" si="181"/>
        <v>32456.030133167795</v>
      </c>
      <c r="X31" s="151">
        <f t="shared" ca="1" si="182"/>
        <v>324.56030133167792</v>
      </c>
      <c r="Y31" s="68">
        <f t="shared" ca="1" si="183"/>
        <v>37607.450638754352</v>
      </c>
      <c r="Z31" s="100">
        <f t="shared" ca="1" si="182"/>
        <v>376.07450638754352</v>
      </c>
      <c r="AA31" s="303">
        <v>0</v>
      </c>
      <c r="AB31" s="72">
        <f t="shared" ref="AB31" si="188">AA31/$N$13</f>
        <v>0</v>
      </c>
      <c r="AC31" s="73">
        <v>0</v>
      </c>
      <c r="AD31" s="72">
        <f t="shared" si="185"/>
        <v>0</v>
      </c>
      <c r="AE31" s="77">
        <v>0</v>
      </c>
      <c r="AF31" s="77">
        <f t="shared" si="185"/>
        <v>0</v>
      </c>
      <c r="AG31" s="163"/>
    </row>
    <row r="32" spans="3:71" x14ac:dyDescent="0.2">
      <c r="C32" s="145" t="s">
        <v>180</v>
      </c>
      <c r="E32" s="164">
        <v>24</v>
      </c>
      <c r="F32" s="165">
        <f>PMT(F30/12,360,-F28,0,)</f>
        <v>98797.420534108707</v>
      </c>
      <c r="G32" s="148" t="s">
        <v>180</v>
      </c>
      <c r="H32" s="164">
        <v>24</v>
      </c>
      <c r="I32" s="165">
        <f ca="1">PMT(I30/12,360,-I28,0,)</f>
        <v>129875.07180278187</v>
      </c>
      <c r="S32" s="119" t="s">
        <v>70</v>
      </c>
      <c r="T32" s="150"/>
      <c r="U32" s="68">
        <f t="shared" si="180"/>
        <v>30000</v>
      </c>
      <c r="V32" s="121">
        <v>300</v>
      </c>
      <c r="W32" s="70">
        <f t="shared" ca="1" si="181"/>
        <v>32456.030133167795</v>
      </c>
      <c r="X32" s="151">
        <f t="shared" ca="1" si="182"/>
        <v>324.56030133167792</v>
      </c>
      <c r="Y32" s="68">
        <f t="shared" ca="1" si="183"/>
        <v>37607.450638754352</v>
      </c>
      <c r="Z32" s="100">
        <f t="shared" ca="1" si="182"/>
        <v>376.07450638754352</v>
      </c>
      <c r="AA32" s="303">
        <v>0</v>
      </c>
      <c r="AB32" s="72">
        <f t="shared" ref="AB32" si="189">AA32/$N$13</f>
        <v>0</v>
      </c>
      <c r="AC32" s="73">
        <v>0</v>
      </c>
      <c r="AD32" s="72">
        <f t="shared" si="185"/>
        <v>0</v>
      </c>
      <c r="AE32" s="77">
        <v>0</v>
      </c>
      <c r="AF32" s="77">
        <f t="shared" si="185"/>
        <v>0</v>
      </c>
      <c r="AG32" s="163"/>
    </row>
    <row r="33" spans="3:40" x14ac:dyDescent="0.2">
      <c r="C33" s="50" t="s">
        <v>161</v>
      </c>
      <c r="D33" s="50"/>
      <c r="E33" s="50"/>
      <c r="F33" s="166"/>
      <c r="G33" s="142" t="s">
        <v>161</v>
      </c>
      <c r="H33" s="50"/>
      <c r="I33" s="50"/>
      <c r="K33" s="48" t="s">
        <v>19</v>
      </c>
      <c r="L33" s="48"/>
      <c r="M33" s="48"/>
      <c r="N33" s="48"/>
      <c r="O33" s="48"/>
      <c r="P33" s="48"/>
      <c r="Q33" s="48"/>
      <c r="S33" s="119" t="s">
        <v>21</v>
      </c>
      <c r="T33" s="150"/>
      <c r="U33" s="68">
        <f t="shared" si="180"/>
        <v>30000</v>
      </c>
      <c r="V33" s="121">
        <v>300</v>
      </c>
      <c r="W33" s="70">
        <f t="shared" ca="1" si="181"/>
        <v>32456.030133167795</v>
      </c>
      <c r="X33" s="151">
        <f t="shared" ca="1" si="182"/>
        <v>324.56030133167792</v>
      </c>
      <c r="Y33" s="68">
        <f t="shared" ca="1" si="183"/>
        <v>37607.450638754352</v>
      </c>
      <c r="Z33" s="100">
        <f t="shared" ca="1" si="182"/>
        <v>376.07450638754352</v>
      </c>
      <c r="AA33" s="303">
        <v>0</v>
      </c>
      <c r="AB33" s="72">
        <f t="shared" ref="AB33" si="190">AA33/$N$13</f>
        <v>0</v>
      </c>
      <c r="AC33" s="73">
        <v>0</v>
      </c>
      <c r="AD33" s="72">
        <f t="shared" si="185"/>
        <v>0</v>
      </c>
      <c r="AE33" s="77">
        <v>0</v>
      </c>
      <c r="AF33" s="77">
        <f t="shared" si="185"/>
        <v>0</v>
      </c>
      <c r="AG33" s="163"/>
    </row>
    <row r="34" spans="3:40" x14ac:dyDescent="0.2">
      <c r="C34" s="145" t="s">
        <v>99</v>
      </c>
      <c r="F34" s="167">
        <f>U48/(PMT(6%/12,360,-F28,0)*12)</f>
        <v>1.6909588709835022</v>
      </c>
      <c r="G34" s="148" t="s">
        <v>99</v>
      </c>
      <c r="H34" s="168">
        <v>1.25</v>
      </c>
      <c r="I34" s="77">
        <f ca="1">PV(I30/12,H29,-F41/12/H34)</f>
        <v>21662072.895306453</v>
      </c>
      <c r="K34" s="50"/>
      <c r="L34" s="52"/>
      <c r="M34" s="52" t="s">
        <v>77</v>
      </c>
      <c r="N34" s="52" t="s">
        <v>78</v>
      </c>
      <c r="O34" s="51" t="s">
        <v>86</v>
      </c>
      <c r="P34" s="51"/>
      <c r="Q34" s="51"/>
      <c r="S34" s="119" t="s">
        <v>4</v>
      </c>
      <c r="T34" s="45"/>
      <c r="U34" s="68">
        <f t="shared" si="180"/>
        <v>0</v>
      </c>
      <c r="V34" s="77">
        <v>0</v>
      </c>
      <c r="W34" s="70">
        <f t="shared" ca="1" si="181"/>
        <v>0</v>
      </c>
      <c r="X34" s="76">
        <f t="shared" ca="1" si="182"/>
        <v>0</v>
      </c>
      <c r="Y34" s="68">
        <f t="shared" ca="1" si="183"/>
        <v>0</v>
      </c>
      <c r="Z34" s="118">
        <f t="shared" ca="1" si="182"/>
        <v>0</v>
      </c>
      <c r="AA34" s="299">
        <v>0</v>
      </c>
      <c r="AB34" s="72">
        <f t="shared" ref="AB34" si="191">AA34/$N$13</f>
        <v>0</v>
      </c>
      <c r="AC34" s="73">
        <v>0</v>
      </c>
      <c r="AD34" s="72">
        <f t="shared" si="185"/>
        <v>0</v>
      </c>
      <c r="AE34" s="77">
        <v>0</v>
      </c>
      <c r="AF34" s="77">
        <f t="shared" si="185"/>
        <v>0</v>
      </c>
      <c r="AG34" s="163"/>
    </row>
    <row r="35" spans="3:40" x14ac:dyDescent="0.2">
      <c r="C35" s="145" t="s">
        <v>98</v>
      </c>
      <c r="E35" s="170"/>
      <c r="F35" s="171">
        <f>U48/F28</f>
        <v>0.12165783349318367</v>
      </c>
      <c r="G35" s="148" t="s">
        <v>98</v>
      </c>
      <c r="H35" s="172">
        <v>0.08</v>
      </c>
      <c r="I35" s="77">
        <f ca="1">F41/H35</f>
        <v>24351575.963021867</v>
      </c>
      <c r="K35" s="45" t="s">
        <v>50</v>
      </c>
      <c r="M35" s="173">
        <f>M36*N13</f>
        <v>14000000</v>
      </c>
      <c r="N35" s="173">
        <f>N36*N13</f>
        <v>14000000</v>
      </c>
      <c r="S35" s="129" t="s">
        <v>71</v>
      </c>
      <c r="T35" s="92"/>
      <c r="U35" s="108">
        <f t="shared" ref="U35:AE35" si="192">SUM(U28:U34)</f>
        <v>300000</v>
      </c>
      <c r="V35" s="80">
        <f t="shared" si="192"/>
        <v>3000</v>
      </c>
      <c r="W35" s="110">
        <f t="shared" ref="W35" ca="1" si="193">SUM(W28:W34)</f>
        <v>324560.301331678</v>
      </c>
      <c r="X35" s="83">
        <f t="shared" ref="X35" ca="1" si="194">SUM(X28:X34)</f>
        <v>3245.6030133167787</v>
      </c>
      <c r="Y35" s="108">
        <f t="shared" ca="1" si="192"/>
        <v>376074.50638754357</v>
      </c>
      <c r="Z35" s="169">
        <f t="shared" ca="1" si="192"/>
        <v>3760.7450638754349</v>
      </c>
      <c r="AA35" s="301">
        <f t="shared" si="192"/>
        <v>0</v>
      </c>
      <c r="AB35" s="113">
        <f t="shared" ref="AB35" si="195">AA35/$N$13</f>
        <v>0</v>
      </c>
      <c r="AC35" s="114">
        <f t="shared" si="192"/>
        <v>0</v>
      </c>
      <c r="AD35" s="113">
        <f t="shared" si="185"/>
        <v>0</v>
      </c>
      <c r="AE35" s="80">
        <f t="shared" si="192"/>
        <v>0</v>
      </c>
      <c r="AF35" s="80">
        <f t="shared" si="185"/>
        <v>0</v>
      </c>
    </row>
    <row r="36" spans="3:40" x14ac:dyDescent="0.2">
      <c r="C36" s="39" t="s">
        <v>117</v>
      </c>
      <c r="G36" s="174" t="s">
        <v>117</v>
      </c>
      <c r="H36" s="172">
        <v>0.75</v>
      </c>
      <c r="I36" s="77">
        <f ca="1">H36*F45</f>
        <v>25410340.135327164</v>
      </c>
      <c r="K36" s="45" t="s">
        <v>52</v>
      </c>
      <c r="M36" s="175">
        <v>140000</v>
      </c>
      <c r="N36" s="175">
        <f>M36</f>
        <v>140000</v>
      </c>
      <c r="S36" s="119"/>
      <c r="T36" s="150"/>
      <c r="U36" s="68"/>
      <c r="V36" s="121"/>
      <c r="W36" s="70"/>
      <c r="X36" s="151"/>
      <c r="Y36" s="68"/>
      <c r="Z36" s="100"/>
      <c r="AA36" s="303"/>
      <c r="AB36" s="72"/>
      <c r="AC36" s="134"/>
      <c r="AD36" s="72"/>
      <c r="AE36" s="77"/>
      <c r="AF36" s="77"/>
      <c r="AG36" s="163"/>
    </row>
    <row r="37" spans="3:40" x14ac:dyDescent="0.2">
      <c r="K37" s="45" t="s">
        <v>76</v>
      </c>
      <c r="M37" s="125">
        <v>1</v>
      </c>
      <c r="N37" s="125">
        <f>M37</f>
        <v>1</v>
      </c>
      <c r="S37" s="119" t="s">
        <v>23</v>
      </c>
      <c r="T37" s="150"/>
      <c r="U37" s="68">
        <f>V37*$N$13</f>
        <v>50000</v>
      </c>
      <c r="V37" s="121">
        <v>500</v>
      </c>
      <c r="W37" s="70">
        <f ca="1">SUM(OFFSET(F104,0,$G$40,1,-12))</f>
        <v>54093.383555279652</v>
      </c>
      <c r="X37" s="151">
        <f t="shared" ref="X37:Z41" ca="1" si="196">W37/$N$13</f>
        <v>540.93383555279649</v>
      </c>
      <c r="Y37" s="68">
        <f ca="1">SUM(OFFSET(F104,0,$I$40,1,-12))</f>
        <v>62679.084397923929</v>
      </c>
      <c r="Z37" s="100">
        <f t="shared" ca="1" si="196"/>
        <v>626.7908439792393</v>
      </c>
      <c r="AA37" s="303">
        <v>0</v>
      </c>
      <c r="AB37" s="72">
        <f t="shared" ref="AB37" si="197">AA37/$N$13</f>
        <v>0</v>
      </c>
      <c r="AC37" s="73">
        <v>0</v>
      </c>
      <c r="AD37" s="72">
        <f t="shared" ref="AD37:AF42" si="198">AC37/$N$13</f>
        <v>0</v>
      </c>
      <c r="AE37" s="77">
        <v>0</v>
      </c>
      <c r="AF37" s="77">
        <f t="shared" si="198"/>
        <v>0</v>
      </c>
      <c r="AG37" s="163"/>
      <c r="AI37" s="176">
        <v>1</v>
      </c>
      <c r="AJ37" s="176">
        <f t="shared" ref="AJ37:AN37" si="199">AI37*(1+AJ31)</f>
        <v>1</v>
      </c>
      <c r="AK37" s="176">
        <f t="shared" si="199"/>
        <v>1</v>
      </c>
      <c r="AL37" s="176">
        <f t="shared" si="199"/>
        <v>1</v>
      </c>
      <c r="AM37" s="176">
        <f t="shared" si="199"/>
        <v>1</v>
      </c>
      <c r="AN37" s="176">
        <f t="shared" si="199"/>
        <v>1</v>
      </c>
    </row>
    <row r="38" spans="3:40" x14ac:dyDescent="0.2">
      <c r="C38" s="177" t="s">
        <v>167</v>
      </c>
      <c r="D38" s="177"/>
      <c r="E38" s="177"/>
      <c r="F38" s="177"/>
      <c r="G38" s="177"/>
      <c r="H38" s="177"/>
      <c r="I38" s="177"/>
      <c r="K38" s="45" t="s">
        <v>33</v>
      </c>
      <c r="L38" s="45"/>
      <c r="M38" s="178">
        <v>1.8926798044730162E-2</v>
      </c>
      <c r="N38" s="178">
        <v>1.8926798044730162E-2</v>
      </c>
      <c r="S38" s="119" t="s">
        <v>159</v>
      </c>
      <c r="T38" s="150"/>
      <c r="U38" s="68">
        <f>V38*$N$13</f>
        <v>100000</v>
      </c>
      <c r="V38" s="121">
        <v>1000</v>
      </c>
      <c r="W38" s="70">
        <f ca="1">SUM(OFFSET(F105,0,$G$40,1,-12))</f>
        <v>108186.7671105593</v>
      </c>
      <c r="X38" s="151">
        <f t="shared" ca="1" si="196"/>
        <v>1081.867671105593</v>
      </c>
      <c r="Y38" s="68">
        <f ca="1">SUM(OFFSET(F105,0,$I$40,1,-12))</f>
        <v>125358.16879584786</v>
      </c>
      <c r="Z38" s="100">
        <f t="shared" ca="1" si="196"/>
        <v>1253.5816879584786</v>
      </c>
      <c r="AA38" s="303">
        <v>0</v>
      </c>
      <c r="AB38" s="72">
        <f t="shared" ref="AB38" si="200">AA38/$N$13</f>
        <v>0</v>
      </c>
      <c r="AC38" s="73">
        <v>0</v>
      </c>
      <c r="AD38" s="72">
        <f t="shared" si="198"/>
        <v>0</v>
      </c>
      <c r="AE38" s="77">
        <v>0</v>
      </c>
      <c r="AF38" s="77">
        <f t="shared" si="198"/>
        <v>0</v>
      </c>
      <c r="AG38" s="163"/>
    </row>
    <row r="39" spans="3:40" x14ac:dyDescent="0.2">
      <c r="C39" s="52"/>
      <c r="D39" s="52"/>
      <c r="E39" s="52"/>
      <c r="F39" s="54" t="s">
        <v>166</v>
      </c>
      <c r="G39" s="54" t="s">
        <v>64</v>
      </c>
      <c r="H39" s="56" t="s">
        <v>177</v>
      </c>
      <c r="I39" s="54" t="s">
        <v>64</v>
      </c>
      <c r="K39" s="45" t="s">
        <v>55</v>
      </c>
      <c r="L39" s="45"/>
      <c r="M39" s="181">
        <v>0</v>
      </c>
      <c r="N39" s="181">
        <v>0</v>
      </c>
      <c r="S39" s="45" t="s">
        <v>85</v>
      </c>
      <c r="T39" s="179">
        <v>0.03</v>
      </c>
      <c r="U39" s="68">
        <f>T39*U25</f>
        <v>78606</v>
      </c>
      <c r="V39" s="121">
        <f>U39/N13</f>
        <v>786.06</v>
      </c>
      <c r="W39" s="70">
        <f ca="1">SUM(OFFSET(F106,0,$G$40,1,-12))</f>
        <v>84843.462537257059</v>
      </c>
      <c r="X39" s="151">
        <f t="shared" ca="1" si="196"/>
        <v>848.43462537257062</v>
      </c>
      <c r="Y39" s="68">
        <f ca="1">SUM(OFFSET(F106,0,$I$40,1,-12))</f>
        <v>98309.815350158329</v>
      </c>
      <c r="Z39" s="100">
        <f t="shared" ca="1" si="196"/>
        <v>983.09815350158328</v>
      </c>
      <c r="AA39" s="304">
        <v>0</v>
      </c>
      <c r="AB39" s="180">
        <f t="shared" ref="AB39" si="201">AA39/$N$13</f>
        <v>0</v>
      </c>
      <c r="AC39" s="73">
        <v>0</v>
      </c>
      <c r="AD39" s="180">
        <f t="shared" si="198"/>
        <v>0</v>
      </c>
      <c r="AE39" s="77">
        <v>0</v>
      </c>
      <c r="AF39" s="77">
        <f t="shared" si="198"/>
        <v>0</v>
      </c>
      <c r="AG39" s="163"/>
    </row>
    <row r="40" spans="3:40" x14ac:dyDescent="0.2">
      <c r="C40" s="182" t="s">
        <v>178</v>
      </c>
      <c r="D40" s="183"/>
      <c r="F40" s="184">
        <f>F11</f>
        <v>47299</v>
      </c>
      <c r="G40" s="183">
        <f>E11</f>
        <v>37</v>
      </c>
      <c r="H40" s="185">
        <f>H12</f>
        <v>49125</v>
      </c>
      <c r="I40" s="186">
        <f>I12</f>
        <v>96</v>
      </c>
      <c r="K40" s="43" t="s">
        <v>59</v>
      </c>
      <c r="L40" s="43"/>
      <c r="M40" s="99">
        <f>M35*M38</f>
        <v>264975.17262622225</v>
      </c>
      <c r="N40" s="99">
        <f t="shared" ref="N40" si="202">N35*N38</f>
        <v>264975.17262622225</v>
      </c>
      <c r="S40" s="45" t="s">
        <v>34</v>
      </c>
      <c r="T40" s="45"/>
      <c r="U40" s="68">
        <f>V40*$N$13</f>
        <v>264975.17262622225</v>
      </c>
      <c r="V40" s="77">
        <f>N41</f>
        <v>2649.7517262622223</v>
      </c>
      <c r="W40" s="70">
        <f ca="1">SUM(OFFSET(F107,0,$G$40,1,-12))</f>
        <v>286668.07290993351</v>
      </c>
      <c r="X40" s="151">
        <f t="shared" ca="1" si="196"/>
        <v>2866.6807290993352</v>
      </c>
      <c r="Y40" s="68">
        <f ca="1">SUM(OFFSET(F107,0,$I$40,1,-12))</f>
        <v>332168.02416786895</v>
      </c>
      <c r="Z40" s="100">
        <f t="shared" ca="1" si="196"/>
        <v>3321.6802416786895</v>
      </c>
      <c r="AA40" s="299">
        <v>0</v>
      </c>
      <c r="AB40" s="72">
        <f t="shared" ref="AB40" si="203">AA40/$N$13</f>
        <v>0</v>
      </c>
      <c r="AC40" s="73">
        <v>0</v>
      </c>
      <c r="AD40" s="72">
        <f t="shared" si="198"/>
        <v>0</v>
      </c>
      <c r="AE40" s="77">
        <v>0</v>
      </c>
      <c r="AF40" s="77">
        <f t="shared" si="198"/>
        <v>0</v>
      </c>
      <c r="AG40" s="163"/>
    </row>
    <row r="41" spans="3:40" x14ac:dyDescent="0.2">
      <c r="C41" s="45" t="s">
        <v>173</v>
      </c>
      <c r="D41" s="107"/>
      <c r="E41" s="115"/>
      <c r="F41" s="107">
        <f ca="1">INDEX($F$125:$FV$125,MATCH(G40,$F$56:$FV$56,0))</f>
        <v>1948126.0770417494</v>
      </c>
      <c r="G41" s="107"/>
      <c r="H41" s="187">
        <f ca="1">INDEX($F$125:$FV$125,MATCH(I40,$F$56:$FV$56,0))</f>
        <v>2257332.612146765</v>
      </c>
      <c r="I41" s="107"/>
      <c r="K41" s="43" t="s">
        <v>92</v>
      </c>
      <c r="L41" s="45"/>
      <c r="M41" s="99">
        <f>M40/$N$13</f>
        <v>2649.7517262622223</v>
      </c>
      <c r="N41" s="99">
        <f t="shared" ref="N41" si="204">N40/$N$13</f>
        <v>2649.7517262622223</v>
      </c>
      <c r="S41" s="92" t="s">
        <v>72</v>
      </c>
      <c r="T41" s="92"/>
      <c r="U41" s="108">
        <f>SUM(U37:U40)</f>
        <v>493581.17262622225</v>
      </c>
      <c r="V41" s="80">
        <f>SUM(V37:V40)</f>
        <v>4935.8117262622218</v>
      </c>
      <c r="W41" s="110">
        <f ca="1">SUM(W37:W40)</f>
        <v>533791.68611302949</v>
      </c>
      <c r="X41" s="83">
        <f t="shared" ca="1" si="196"/>
        <v>5337.9168611302948</v>
      </c>
      <c r="Y41" s="108">
        <f ca="1">SUM(Y37:Y40)</f>
        <v>618515.09271179908</v>
      </c>
      <c r="Z41" s="169">
        <f t="shared" ca="1" si="196"/>
        <v>6185.1509271179912</v>
      </c>
      <c r="AA41" s="301">
        <f>SUM(AA37:AA40)</f>
        <v>0</v>
      </c>
      <c r="AB41" s="113">
        <f t="shared" ref="AB41" si="205">AA41/$N$13</f>
        <v>0</v>
      </c>
      <c r="AC41" s="114">
        <f>SUM(AC37:AC40)</f>
        <v>0</v>
      </c>
      <c r="AD41" s="113">
        <f t="shared" si="198"/>
        <v>0</v>
      </c>
      <c r="AE41" s="80">
        <f>SUM(AE37:AE40)</f>
        <v>0</v>
      </c>
      <c r="AF41" s="80">
        <f t="shared" si="198"/>
        <v>0</v>
      </c>
      <c r="AN41" s="45"/>
    </row>
    <row r="42" spans="3:40" x14ac:dyDescent="0.2">
      <c r="C42" s="45" t="s">
        <v>41</v>
      </c>
      <c r="D42" s="188"/>
      <c r="E42" s="189"/>
      <c r="F42" s="188">
        <v>5.7500000000000002E-2</v>
      </c>
      <c r="G42" s="188"/>
      <c r="H42" s="190">
        <v>5.7500000000000002E-2</v>
      </c>
      <c r="I42" s="188"/>
      <c r="S42" s="92" t="s">
        <v>73</v>
      </c>
      <c r="T42" s="92"/>
      <c r="U42" s="108">
        <f>SUM(U35,U41)</f>
        <v>793581.17262622225</v>
      </c>
      <c r="V42" s="80">
        <f>SUM(V35,V41)</f>
        <v>7935.8117262622218</v>
      </c>
      <c r="W42" s="110">
        <f ca="1">SUM(W35,W41)</f>
        <v>858351.98744470743</v>
      </c>
      <c r="X42" s="83">
        <f ca="1">W42/$N$13</f>
        <v>8583.5198744470745</v>
      </c>
      <c r="Y42" s="108">
        <f ca="1">SUM(Y35,Y41)</f>
        <v>994589.59909934271</v>
      </c>
      <c r="Z42" s="169">
        <f ca="1">Y42/$N$13</f>
        <v>9945.8959909934274</v>
      </c>
      <c r="AA42" s="301">
        <f>SUM(AA35,AA41)</f>
        <v>0</v>
      </c>
      <c r="AB42" s="113">
        <f t="shared" ref="AB42" si="206">AA42/$N$13</f>
        <v>0</v>
      </c>
      <c r="AC42" s="114">
        <f>SUM(AC35,AC41)</f>
        <v>0</v>
      </c>
      <c r="AD42" s="113">
        <f t="shared" si="198"/>
        <v>0</v>
      </c>
      <c r="AE42" s="128">
        <f>SUM(AE35,AE41)</f>
        <v>0</v>
      </c>
      <c r="AF42" s="128">
        <f t="shared" si="198"/>
        <v>0</v>
      </c>
    </row>
    <row r="43" spans="3:40" x14ac:dyDescent="0.2">
      <c r="C43" s="92" t="s">
        <v>46</v>
      </c>
      <c r="D43" s="169"/>
      <c r="E43" s="192"/>
      <c r="F43" s="169">
        <f ca="1">F41/F42</f>
        <v>33880453.513769552</v>
      </c>
      <c r="G43" s="169">
        <f ca="1">F43/$N$13</f>
        <v>338804.53513769549</v>
      </c>
      <c r="H43" s="193">
        <f ca="1">H41/H42</f>
        <v>39257958.472117648</v>
      </c>
      <c r="I43" s="169">
        <f ca="1">H43/$N$13</f>
        <v>392579.58472117648</v>
      </c>
      <c r="K43" s="177" t="s">
        <v>109</v>
      </c>
      <c r="L43" s="177"/>
      <c r="M43" s="177"/>
      <c r="S43" s="45" t="s">
        <v>90</v>
      </c>
      <c r="T43" s="45"/>
      <c r="U43" s="191">
        <f>U42/U25</f>
        <v>0.30287045745600422</v>
      </c>
      <c r="V43" s="291"/>
      <c r="W43" s="292">
        <f ca="1">W42/W25</f>
        <v>0.30350670344263064</v>
      </c>
      <c r="X43" s="293"/>
      <c r="Y43" s="191">
        <f ca="1">Y42/Y25</f>
        <v>0.3035067034426307</v>
      </c>
      <c r="Z43" s="118"/>
      <c r="AA43" s="299"/>
      <c r="AB43" s="72"/>
      <c r="AC43" s="134"/>
      <c r="AD43" s="72"/>
      <c r="AE43" s="77"/>
      <c r="AF43" s="77"/>
    </row>
    <row r="44" spans="3:40" x14ac:dyDescent="0.2">
      <c r="C44" s="45" t="s">
        <v>49</v>
      </c>
      <c r="D44" s="194"/>
      <c r="E44" s="45"/>
      <c r="F44" s="194">
        <v>0</v>
      </c>
      <c r="G44" s="194"/>
      <c r="H44" s="195">
        <v>0</v>
      </c>
      <c r="I44" s="194"/>
      <c r="K44" s="52"/>
      <c r="L44" s="54" t="s">
        <v>110</v>
      </c>
      <c r="M44" s="54" t="s">
        <v>111</v>
      </c>
      <c r="S44" s="45"/>
      <c r="T44" s="45"/>
      <c r="U44" s="68"/>
      <c r="W44" s="70"/>
      <c r="X44" s="76"/>
      <c r="Y44" s="68"/>
      <c r="Z44" s="118"/>
      <c r="AA44" s="299"/>
      <c r="AB44" s="72"/>
      <c r="AC44" s="73"/>
      <c r="AD44" s="72"/>
      <c r="AE44" s="77"/>
      <c r="AF44" s="77"/>
      <c r="AG44" s="163"/>
    </row>
    <row r="45" spans="3:40" x14ac:dyDescent="0.2">
      <c r="C45" s="196" t="s">
        <v>51</v>
      </c>
      <c r="D45" s="169"/>
      <c r="E45" s="197"/>
      <c r="F45" s="169">
        <f ca="1">F43+F44</f>
        <v>33880453.513769552</v>
      </c>
      <c r="G45" s="169">
        <f ca="1">F45/$N$13</f>
        <v>338804.53513769549</v>
      </c>
      <c r="H45" s="193">
        <f ca="1">H43+H44</f>
        <v>39257958.472117648</v>
      </c>
      <c r="I45" s="169">
        <f ca="1">H45/$N$13</f>
        <v>392579.58472117648</v>
      </c>
      <c r="K45" s="47" t="s">
        <v>112</v>
      </c>
      <c r="L45" s="163">
        <f ca="1">SUM((F153:FC153))</f>
        <v>28164511.489046507</v>
      </c>
      <c r="M45" s="163">
        <f ca="1">SUM(F162:FC162)</f>
        <v>18717683.065625101</v>
      </c>
      <c r="S45" s="92" t="s">
        <v>179</v>
      </c>
      <c r="T45" s="92"/>
      <c r="U45" s="108">
        <f>U25-U42</f>
        <v>1826618.8273737777</v>
      </c>
      <c r="V45" s="80">
        <f>V25+V42</f>
        <v>10487.811726262222</v>
      </c>
      <c r="W45" s="110">
        <f ca="1">W25-W42</f>
        <v>1969763.4304638614</v>
      </c>
      <c r="X45" s="83">
        <f ca="1">W45/$N$13</f>
        <v>19697.634304638614</v>
      </c>
      <c r="Y45" s="108">
        <f ca="1">Y25-Y42</f>
        <v>2282404.2459059344</v>
      </c>
      <c r="Z45" s="169">
        <f ca="1">Y45/$N$13</f>
        <v>22824.042459059343</v>
      </c>
      <c r="AA45" s="301">
        <f>AA25-AA42</f>
        <v>0</v>
      </c>
      <c r="AB45" s="113">
        <f>AA45/$N$13</f>
        <v>0</v>
      </c>
      <c r="AC45" s="114">
        <f>AC25-AC42</f>
        <v>0</v>
      </c>
      <c r="AD45" s="113">
        <f>AC45/$N$13</f>
        <v>0</v>
      </c>
      <c r="AE45" s="80">
        <f>AE25-AE42</f>
        <v>0</v>
      </c>
      <c r="AF45" s="80">
        <f>AE45/$N$13</f>
        <v>0</v>
      </c>
    </row>
    <row r="46" spans="3:40" x14ac:dyDescent="0.2">
      <c r="C46" s="45"/>
      <c r="D46" s="118"/>
      <c r="F46" s="118"/>
      <c r="G46" s="118"/>
      <c r="H46" s="198"/>
      <c r="I46" s="118"/>
      <c r="K46" s="47" t="s">
        <v>113</v>
      </c>
      <c r="L46" s="163">
        <f ca="1">SUMIF($F$153:$FC$153,"&lt;0",$F$153:$FC$153)</f>
        <v>-25500000</v>
      </c>
      <c r="M46" s="163">
        <f ca="1">SUMIF($F$162:$FC$162,"&lt;0",$F$162:$FC$162)</f>
        <v>-33846438.547513232</v>
      </c>
      <c r="S46" s="119"/>
      <c r="T46" s="150"/>
      <c r="U46" s="68"/>
      <c r="V46" s="121"/>
      <c r="W46" s="70"/>
      <c r="X46" s="151"/>
      <c r="Y46" s="68"/>
      <c r="Z46" s="100"/>
      <c r="AA46" s="303"/>
      <c r="AB46" s="72"/>
      <c r="AC46" s="134"/>
      <c r="AD46" s="72"/>
      <c r="AE46" s="77"/>
      <c r="AF46" s="77"/>
      <c r="AG46" s="163"/>
    </row>
    <row r="47" spans="3:40" x14ac:dyDescent="0.2">
      <c r="C47" s="43" t="s">
        <v>102</v>
      </c>
      <c r="D47" s="199"/>
      <c r="E47" s="200" t="s">
        <v>62</v>
      </c>
      <c r="F47" s="199" t="s">
        <v>5</v>
      </c>
      <c r="G47" s="199" t="s">
        <v>64</v>
      </c>
      <c r="H47" s="201" t="s">
        <v>5</v>
      </c>
      <c r="I47" s="199" t="s">
        <v>64</v>
      </c>
      <c r="K47" s="47" t="s">
        <v>114</v>
      </c>
      <c r="L47" s="202">
        <f ca="1">(1+IRR(F153:FC153,0))^12-1</f>
        <v>0.11501070998987273</v>
      </c>
      <c r="M47" s="202">
        <f ca="1">(1+IRR(F162:FC162,0))^12-1</f>
        <v>0.17620048851013626</v>
      </c>
      <c r="S47" s="119" t="s">
        <v>53</v>
      </c>
      <c r="T47" s="150"/>
      <c r="U47" s="68">
        <f>V47*$N$13</f>
        <v>20000</v>
      </c>
      <c r="V47" s="121">
        <v>200</v>
      </c>
      <c r="W47" s="297">
        <f ca="1">SUM(OFFSET(F119,0,$G$40,1,-12))</f>
        <v>21637.353422111868</v>
      </c>
      <c r="X47" s="151">
        <f ca="1">W47/$N$13</f>
        <v>216.37353422111869</v>
      </c>
      <c r="Y47" s="100">
        <f ca="1">SUM(OFFSET(F119,0,$I$40,1,-12))</f>
        <v>25071.633759169574</v>
      </c>
      <c r="Z47" s="100">
        <f ca="1">Y47/$N$13</f>
        <v>250.71633759169575</v>
      </c>
      <c r="AA47" s="303">
        <v>0</v>
      </c>
      <c r="AB47" s="72">
        <f t="shared" ref="AB47" si="207">AA47/$N$13</f>
        <v>0</v>
      </c>
      <c r="AC47" s="73">
        <v>0</v>
      </c>
      <c r="AD47" s="72">
        <f t="shared" ref="AD47:AF48" si="208">AC47/$N$13</f>
        <v>0</v>
      </c>
      <c r="AE47" s="77">
        <v>0</v>
      </c>
      <c r="AF47" s="77">
        <f t="shared" si="208"/>
        <v>0</v>
      </c>
    </row>
    <row r="48" spans="3:40" x14ac:dyDescent="0.2">
      <c r="C48" s="45" t="s">
        <v>103</v>
      </c>
      <c r="D48" s="203"/>
      <c r="E48" s="204">
        <v>2.5000000000000001E-3</v>
      </c>
      <c r="F48" s="203">
        <f ca="1">F$45*$E48</f>
        <v>84701.133784423888</v>
      </c>
      <c r="G48" s="203">
        <f t="shared" ref="G48:I52" ca="1" si="209">F48/$N$13</f>
        <v>847.01133784423882</v>
      </c>
      <c r="H48" s="205">
        <f ca="1">H$45*$E48</f>
        <v>98144.896180294119</v>
      </c>
      <c r="I48" s="203">
        <f t="shared" ca="1" si="209"/>
        <v>981.4489618029412</v>
      </c>
      <c r="K48" s="47" t="s">
        <v>115</v>
      </c>
      <c r="L48" s="206">
        <f ca="1">(L45-L46)/-L46</f>
        <v>2.1044906466292748</v>
      </c>
      <c r="M48" s="206">
        <f ca="1">(M45-M46)/-M46</f>
        <v>1.5530178024299199</v>
      </c>
      <c r="S48" s="92" t="s">
        <v>54</v>
      </c>
      <c r="T48" s="92"/>
      <c r="U48" s="108">
        <f>U45-U47</f>
        <v>1806618.8273737777</v>
      </c>
      <c r="V48" s="80">
        <f>V45-V47</f>
        <v>10287.811726262222</v>
      </c>
      <c r="W48" s="110">
        <f ca="1">W45-W47</f>
        <v>1948126.0770417496</v>
      </c>
      <c r="X48" s="82">
        <f ca="1">W48/$N$13</f>
        <v>19481.260770417495</v>
      </c>
      <c r="Y48" s="108">
        <f ca="1">Y45-Y47</f>
        <v>2257332.612146765</v>
      </c>
      <c r="Z48" s="80">
        <f ca="1">Y48/$N$13</f>
        <v>22573.32612146765</v>
      </c>
      <c r="AA48" s="301">
        <f>AA45-AA47</f>
        <v>0</v>
      </c>
      <c r="AB48" s="113">
        <f t="shared" ref="AB48" si="210">AA48/$N$13</f>
        <v>0</v>
      </c>
      <c r="AC48" s="114">
        <f>AC45-AC47</f>
        <v>0</v>
      </c>
      <c r="AD48" s="113">
        <f t="shared" si="208"/>
        <v>0</v>
      </c>
      <c r="AE48" s="80">
        <f>AE45-AE47</f>
        <v>0</v>
      </c>
      <c r="AF48" s="80">
        <f t="shared" si="208"/>
        <v>0</v>
      </c>
    </row>
    <row r="49" spans="2:180" x14ac:dyDescent="0.2">
      <c r="C49" s="45" t="s">
        <v>104</v>
      </c>
      <c r="D49" s="203"/>
      <c r="E49" s="204">
        <v>2.5000000000000001E-3</v>
      </c>
      <c r="F49" s="203">
        <f ca="1">F$45*$E49</f>
        <v>84701.133784423888</v>
      </c>
      <c r="G49" s="203">
        <f t="shared" ca="1" si="209"/>
        <v>847.01133784423882</v>
      </c>
      <c r="H49" s="205">
        <f ca="1">H$45*$E49</f>
        <v>98144.896180294119</v>
      </c>
      <c r="I49" s="203">
        <f t="shared" ca="1" si="209"/>
        <v>981.4489618029412</v>
      </c>
      <c r="S49" s="207" t="s">
        <v>74</v>
      </c>
      <c r="T49" s="43"/>
      <c r="U49" s="294">
        <f>U48/$D$23</f>
        <v>6.6911808421251023E-2</v>
      </c>
      <c r="V49" s="208"/>
      <c r="W49" s="294">
        <f ca="1">W48/$D$23</f>
        <v>7.2152817668212951E-2</v>
      </c>
      <c r="X49" s="208"/>
      <c r="Y49" s="294">
        <f ca="1">Y48/$D$23</f>
        <v>8.3604911560991299E-2</v>
      </c>
      <c r="Z49" s="208"/>
      <c r="AA49" s="305"/>
      <c r="AB49" s="289"/>
      <c r="AC49" s="287"/>
      <c r="AD49" s="289"/>
      <c r="AE49" s="77"/>
      <c r="AF49" s="77"/>
      <c r="AN49" s="45"/>
    </row>
    <row r="50" spans="2:180" x14ac:dyDescent="0.2">
      <c r="C50" s="39" t="s">
        <v>105</v>
      </c>
      <c r="D50" s="203"/>
      <c r="E50" s="204">
        <v>2.5000000000000001E-3</v>
      </c>
      <c r="F50" s="203">
        <f ca="1">F$45*$E50</f>
        <v>84701.133784423888</v>
      </c>
      <c r="G50" s="203">
        <f t="shared" ca="1" si="209"/>
        <v>847.01133784423882</v>
      </c>
      <c r="H50" s="205">
        <f ca="1">H$45*$E50</f>
        <v>98144.896180294119</v>
      </c>
      <c r="I50" s="203">
        <f t="shared" ca="1" si="209"/>
        <v>981.4489618029412</v>
      </c>
      <c r="K50" s="39" t="b">
        <v>0</v>
      </c>
      <c r="S50" s="45" t="s">
        <v>75</v>
      </c>
      <c r="T50" s="47"/>
      <c r="U50" s="68"/>
      <c r="V50" s="77"/>
      <c r="W50" s="68"/>
      <c r="X50" s="208"/>
      <c r="Y50" s="68"/>
      <c r="Z50" s="208"/>
      <c r="AA50" s="208"/>
      <c r="AB50" s="290"/>
      <c r="AC50" s="287"/>
      <c r="AD50" s="290"/>
      <c r="AE50" s="77"/>
      <c r="AF50" s="77"/>
      <c r="AM50" s="209"/>
      <c r="AN50" s="45"/>
    </row>
    <row r="51" spans="2:180" x14ac:dyDescent="0.2">
      <c r="C51" s="39" t="s">
        <v>106</v>
      </c>
      <c r="D51" s="203"/>
      <c r="E51" s="204">
        <v>2.5000000000000001E-3</v>
      </c>
      <c r="F51" s="203">
        <f ca="1">F$45*$E51</f>
        <v>84701.133784423888</v>
      </c>
      <c r="G51" s="203">
        <f t="shared" ca="1" si="209"/>
        <v>847.01133784423882</v>
      </c>
      <c r="H51" s="205">
        <f ca="1">H$45*$E51</f>
        <v>98144.896180294119</v>
      </c>
      <c r="I51" s="203">
        <f t="shared" ca="1" si="209"/>
        <v>981.4489618029412</v>
      </c>
      <c r="S51" s="43"/>
      <c r="U51" s="154"/>
      <c r="V51" s="208"/>
      <c r="W51" s="154"/>
      <c r="X51" s="208"/>
      <c r="Y51" s="154"/>
      <c r="Z51" s="208"/>
      <c r="AA51" s="77"/>
      <c r="AB51" s="118"/>
      <c r="AC51" s="287"/>
      <c r="AD51" s="118"/>
      <c r="AE51" s="77"/>
      <c r="AF51" s="77"/>
      <c r="FX51" s="210"/>
    </row>
    <row r="52" spans="2:180" x14ac:dyDescent="0.2">
      <c r="C52" s="79" t="s">
        <v>107</v>
      </c>
      <c r="D52" s="211"/>
      <c r="E52" s="212">
        <f>SUM(E48:E51)</f>
        <v>0.01</v>
      </c>
      <c r="F52" s="211">
        <f ca="1">SUM(F48:F51)</f>
        <v>338804.53513769555</v>
      </c>
      <c r="G52" s="211">
        <f t="shared" ca="1" si="209"/>
        <v>3388.0453513769553</v>
      </c>
      <c r="H52" s="213">
        <f ca="1">SUM(H48:H51)</f>
        <v>392579.58472117648</v>
      </c>
      <c r="I52" s="211">
        <f t="shared" ca="1" si="209"/>
        <v>3925.7958472117648</v>
      </c>
      <c r="T52" s="207"/>
      <c r="U52" s="207"/>
      <c r="V52" s="207"/>
      <c r="W52" s="207"/>
      <c r="X52" s="207"/>
      <c r="Y52" s="207"/>
      <c r="Z52" s="207"/>
      <c r="AA52" s="207"/>
      <c r="AB52" s="207"/>
      <c r="AC52" s="214"/>
      <c r="AD52" s="214"/>
      <c r="FX52" s="210"/>
    </row>
    <row r="53" spans="2:180" x14ac:dyDescent="0.2">
      <c r="C53" s="80" t="s">
        <v>108</v>
      </c>
      <c r="D53" s="215"/>
      <c r="E53" s="215"/>
      <c r="F53" s="80">
        <f ca="1">F45-F52</f>
        <v>33541648.978631858</v>
      </c>
      <c r="G53" s="80">
        <f t="shared" ref="G53:I53" ca="1" si="211">G45-G52</f>
        <v>335416.48978631856</v>
      </c>
      <c r="H53" s="81">
        <f t="shared" ca="1" si="211"/>
        <v>38865378.88739647</v>
      </c>
      <c r="I53" s="80">
        <f t="shared" ca="1" si="211"/>
        <v>388653.78887396469</v>
      </c>
      <c r="T53" s="45"/>
      <c r="U53" s="45"/>
      <c r="V53" s="45"/>
      <c r="W53" s="45"/>
      <c r="X53" s="45"/>
      <c r="Y53" s="45"/>
      <c r="Z53" s="45"/>
      <c r="AA53" s="45"/>
      <c r="AB53" s="45"/>
      <c r="AC53" s="216"/>
      <c r="FX53" s="210"/>
    </row>
    <row r="54" spans="2:180" x14ac:dyDescent="0.2">
      <c r="AJ54" s="216"/>
      <c r="AK54" s="217"/>
      <c r="AL54" s="216"/>
      <c r="FX54" s="210"/>
    </row>
    <row r="55" spans="2:180" s="47" customFormat="1" x14ac:dyDescent="0.2">
      <c r="C55" s="48" t="s">
        <v>89</v>
      </c>
      <c r="D55" s="48"/>
      <c r="E55" s="218"/>
      <c r="F55" s="219">
        <v>0</v>
      </c>
      <c r="G55" s="219">
        <v>1</v>
      </c>
      <c r="H55" s="219">
        <v>1</v>
      </c>
      <c r="I55" s="219">
        <v>1</v>
      </c>
      <c r="J55" s="219">
        <v>1</v>
      </c>
      <c r="K55" s="219">
        <v>1</v>
      </c>
      <c r="L55" s="219">
        <v>1</v>
      </c>
      <c r="M55" s="219">
        <v>1</v>
      </c>
      <c r="N55" s="219">
        <v>1</v>
      </c>
      <c r="O55" s="219">
        <v>1</v>
      </c>
      <c r="P55" s="219">
        <v>1</v>
      </c>
      <c r="Q55" s="219">
        <v>1</v>
      </c>
      <c r="R55" s="219">
        <v>1</v>
      </c>
      <c r="S55" s="219">
        <f>G55+1</f>
        <v>2</v>
      </c>
      <c r="T55" s="219">
        <f>H55+1</f>
        <v>2</v>
      </c>
      <c r="U55" s="219">
        <f>I55+1</f>
        <v>2</v>
      </c>
      <c r="V55" s="219">
        <f t="shared" ref="V55:CG55" si="212">J55+1</f>
        <v>2</v>
      </c>
      <c r="W55" s="219">
        <f t="shared" si="212"/>
        <v>2</v>
      </c>
      <c r="X55" s="219">
        <f t="shared" si="212"/>
        <v>2</v>
      </c>
      <c r="Y55" s="219">
        <f t="shared" si="212"/>
        <v>2</v>
      </c>
      <c r="Z55" s="219">
        <f t="shared" si="212"/>
        <v>2</v>
      </c>
      <c r="AA55" s="219">
        <f t="shared" si="212"/>
        <v>2</v>
      </c>
      <c r="AB55" s="219">
        <f t="shared" si="212"/>
        <v>2</v>
      </c>
      <c r="AC55" s="219">
        <f t="shared" si="212"/>
        <v>2</v>
      </c>
      <c r="AD55" s="219">
        <f t="shared" si="212"/>
        <v>2</v>
      </c>
      <c r="AE55" s="219">
        <f t="shared" si="212"/>
        <v>3</v>
      </c>
      <c r="AF55" s="219">
        <f t="shared" si="212"/>
        <v>3</v>
      </c>
      <c r="AG55" s="219">
        <f t="shared" si="212"/>
        <v>3</v>
      </c>
      <c r="AH55" s="219">
        <f t="shared" si="212"/>
        <v>3</v>
      </c>
      <c r="AI55" s="219">
        <f t="shared" si="212"/>
        <v>3</v>
      </c>
      <c r="AJ55" s="219">
        <f t="shared" si="212"/>
        <v>3</v>
      </c>
      <c r="AK55" s="219">
        <f t="shared" si="212"/>
        <v>3</v>
      </c>
      <c r="AL55" s="219">
        <f t="shared" si="212"/>
        <v>3</v>
      </c>
      <c r="AM55" s="219">
        <f t="shared" si="212"/>
        <v>3</v>
      </c>
      <c r="AN55" s="219">
        <f t="shared" si="212"/>
        <v>3</v>
      </c>
      <c r="AO55" s="219">
        <f t="shared" si="212"/>
        <v>3</v>
      </c>
      <c r="AP55" s="219">
        <f t="shared" si="212"/>
        <v>3</v>
      </c>
      <c r="AQ55" s="219">
        <f t="shared" si="212"/>
        <v>4</v>
      </c>
      <c r="AR55" s="219">
        <f t="shared" si="212"/>
        <v>4</v>
      </c>
      <c r="AS55" s="219">
        <f t="shared" si="212"/>
        <v>4</v>
      </c>
      <c r="AT55" s="219">
        <f t="shared" si="212"/>
        <v>4</v>
      </c>
      <c r="AU55" s="219">
        <f t="shared" si="212"/>
        <v>4</v>
      </c>
      <c r="AV55" s="219">
        <f t="shared" si="212"/>
        <v>4</v>
      </c>
      <c r="AW55" s="219">
        <f t="shared" si="212"/>
        <v>4</v>
      </c>
      <c r="AX55" s="219">
        <f t="shared" si="212"/>
        <v>4</v>
      </c>
      <c r="AY55" s="219">
        <f t="shared" si="212"/>
        <v>4</v>
      </c>
      <c r="AZ55" s="219">
        <f t="shared" si="212"/>
        <v>4</v>
      </c>
      <c r="BA55" s="219">
        <f t="shared" si="212"/>
        <v>4</v>
      </c>
      <c r="BB55" s="219">
        <f t="shared" si="212"/>
        <v>4</v>
      </c>
      <c r="BC55" s="219">
        <f t="shared" si="212"/>
        <v>5</v>
      </c>
      <c r="BD55" s="219">
        <f t="shared" si="212"/>
        <v>5</v>
      </c>
      <c r="BE55" s="219">
        <f t="shared" si="212"/>
        <v>5</v>
      </c>
      <c r="BF55" s="219">
        <f t="shared" si="212"/>
        <v>5</v>
      </c>
      <c r="BG55" s="219">
        <f t="shared" si="212"/>
        <v>5</v>
      </c>
      <c r="BH55" s="219">
        <f t="shared" si="212"/>
        <v>5</v>
      </c>
      <c r="BI55" s="219">
        <f t="shared" si="212"/>
        <v>5</v>
      </c>
      <c r="BJ55" s="219">
        <f t="shared" si="212"/>
        <v>5</v>
      </c>
      <c r="BK55" s="219">
        <f t="shared" si="212"/>
        <v>5</v>
      </c>
      <c r="BL55" s="219">
        <f t="shared" si="212"/>
        <v>5</v>
      </c>
      <c r="BM55" s="219">
        <f t="shared" si="212"/>
        <v>5</v>
      </c>
      <c r="BN55" s="219">
        <f t="shared" si="212"/>
        <v>5</v>
      </c>
      <c r="BO55" s="219">
        <f t="shared" si="212"/>
        <v>6</v>
      </c>
      <c r="BP55" s="219">
        <f t="shared" si="212"/>
        <v>6</v>
      </c>
      <c r="BQ55" s="219">
        <f t="shared" si="212"/>
        <v>6</v>
      </c>
      <c r="BR55" s="219">
        <f t="shared" si="212"/>
        <v>6</v>
      </c>
      <c r="BS55" s="219">
        <f t="shared" si="212"/>
        <v>6</v>
      </c>
      <c r="BT55" s="219">
        <f t="shared" si="212"/>
        <v>6</v>
      </c>
      <c r="BU55" s="219">
        <f t="shared" si="212"/>
        <v>6</v>
      </c>
      <c r="BV55" s="219">
        <f t="shared" si="212"/>
        <v>6</v>
      </c>
      <c r="BW55" s="219">
        <f t="shared" si="212"/>
        <v>6</v>
      </c>
      <c r="BX55" s="219">
        <f t="shared" si="212"/>
        <v>6</v>
      </c>
      <c r="BY55" s="219">
        <f t="shared" si="212"/>
        <v>6</v>
      </c>
      <c r="BZ55" s="219">
        <f t="shared" si="212"/>
        <v>6</v>
      </c>
      <c r="CA55" s="219">
        <f t="shared" si="212"/>
        <v>7</v>
      </c>
      <c r="CB55" s="219">
        <f t="shared" si="212"/>
        <v>7</v>
      </c>
      <c r="CC55" s="219">
        <f t="shared" si="212"/>
        <v>7</v>
      </c>
      <c r="CD55" s="219">
        <f t="shared" si="212"/>
        <v>7</v>
      </c>
      <c r="CE55" s="219">
        <f t="shared" si="212"/>
        <v>7</v>
      </c>
      <c r="CF55" s="219">
        <f t="shared" si="212"/>
        <v>7</v>
      </c>
      <c r="CG55" s="219">
        <f t="shared" si="212"/>
        <v>7</v>
      </c>
      <c r="CH55" s="219">
        <f t="shared" ref="CH55:ES55" si="213">BV55+1</f>
        <v>7</v>
      </c>
      <c r="CI55" s="219">
        <f t="shared" si="213"/>
        <v>7</v>
      </c>
      <c r="CJ55" s="219">
        <f t="shared" si="213"/>
        <v>7</v>
      </c>
      <c r="CK55" s="219">
        <f t="shared" si="213"/>
        <v>7</v>
      </c>
      <c r="CL55" s="219">
        <f t="shared" si="213"/>
        <v>7</v>
      </c>
      <c r="CM55" s="219">
        <f t="shared" si="213"/>
        <v>8</v>
      </c>
      <c r="CN55" s="219">
        <f t="shared" si="213"/>
        <v>8</v>
      </c>
      <c r="CO55" s="219">
        <f t="shared" si="213"/>
        <v>8</v>
      </c>
      <c r="CP55" s="219">
        <f t="shared" si="213"/>
        <v>8</v>
      </c>
      <c r="CQ55" s="219">
        <f t="shared" si="213"/>
        <v>8</v>
      </c>
      <c r="CR55" s="219">
        <f t="shared" si="213"/>
        <v>8</v>
      </c>
      <c r="CS55" s="219">
        <f t="shared" si="213"/>
        <v>8</v>
      </c>
      <c r="CT55" s="219">
        <f t="shared" si="213"/>
        <v>8</v>
      </c>
      <c r="CU55" s="219">
        <f t="shared" si="213"/>
        <v>8</v>
      </c>
      <c r="CV55" s="219">
        <f t="shared" si="213"/>
        <v>8</v>
      </c>
      <c r="CW55" s="219">
        <f t="shared" si="213"/>
        <v>8</v>
      </c>
      <c r="CX55" s="219">
        <f t="shared" si="213"/>
        <v>8</v>
      </c>
      <c r="CY55" s="219">
        <f t="shared" si="213"/>
        <v>9</v>
      </c>
      <c r="CZ55" s="219">
        <f t="shared" si="213"/>
        <v>9</v>
      </c>
      <c r="DA55" s="219">
        <f t="shared" si="213"/>
        <v>9</v>
      </c>
      <c r="DB55" s="219">
        <f t="shared" si="213"/>
        <v>9</v>
      </c>
      <c r="DC55" s="219">
        <f t="shared" si="213"/>
        <v>9</v>
      </c>
      <c r="DD55" s="219">
        <f t="shared" si="213"/>
        <v>9</v>
      </c>
      <c r="DE55" s="219">
        <f t="shared" si="213"/>
        <v>9</v>
      </c>
      <c r="DF55" s="219">
        <f t="shared" si="213"/>
        <v>9</v>
      </c>
      <c r="DG55" s="219">
        <f t="shared" si="213"/>
        <v>9</v>
      </c>
      <c r="DH55" s="219">
        <f t="shared" si="213"/>
        <v>9</v>
      </c>
      <c r="DI55" s="219">
        <f t="shared" si="213"/>
        <v>9</v>
      </c>
      <c r="DJ55" s="219">
        <f t="shared" si="213"/>
        <v>9</v>
      </c>
      <c r="DK55" s="219">
        <f t="shared" si="213"/>
        <v>10</v>
      </c>
      <c r="DL55" s="219">
        <f t="shared" si="213"/>
        <v>10</v>
      </c>
      <c r="DM55" s="219">
        <f t="shared" si="213"/>
        <v>10</v>
      </c>
      <c r="DN55" s="219">
        <f t="shared" si="213"/>
        <v>10</v>
      </c>
      <c r="DO55" s="219">
        <f t="shared" si="213"/>
        <v>10</v>
      </c>
      <c r="DP55" s="219">
        <f t="shared" si="213"/>
        <v>10</v>
      </c>
      <c r="DQ55" s="219">
        <f t="shared" si="213"/>
        <v>10</v>
      </c>
      <c r="DR55" s="219">
        <f t="shared" si="213"/>
        <v>10</v>
      </c>
      <c r="DS55" s="219">
        <f t="shared" si="213"/>
        <v>10</v>
      </c>
      <c r="DT55" s="219">
        <f t="shared" si="213"/>
        <v>10</v>
      </c>
      <c r="DU55" s="219">
        <f t="shared" si="213"/>
        <v>10</v>
      </c>
      <c r="DV55" s="219">
        <f t="shared" si="213"/>
        <v>10</v>
      </c>
      <c r="DW55" s="219">
        <f t="shared" si="213"/>
        <v>11</v>
      </c>
      <c r="DX55" s="219">
        <f t="shared" si="213"/>
        <v>11</v>
      </c>
      <c r="DY55" s="219">
        <f t="shared" si="213"/>
        <v>11</v>
      </c>
      <c r="DZ55" s="219">
        <f t="shared" si="213"/>
        <v>11</v>
      </c>
      <c r="EA55" s="219">
        <f t="shared" si="213"/>
        <v>11</v>
      </c>
      <c r="EB55" s="219">
        <f t="shared" si="213"/>
        <v>11</v>
      </c>
      <c r="EC55" s="219">
        <f t="shared" si="213"/>
        <v>11</v>
      </c>
      <c r="ED55" s="219">
        <f t="shared" si="213"/>
        <v>11</v>
      </c>
      <c r="EE55" s="219">
        <f t="shared" si="213"/>
        <v>11</v>
      </c>
      <c r="EF55" s="219">
        <f t="shared" si="213"/>
        <v>11</v>
      </c>
      <c r="EG55" s="219">
        <f t="shared" si="213"/>
        <v>11</v>
      </c>
      <c r="EH55" s="219">
        <f t="shared" si="213"/>
        <v>11</v>
      </c>
      <c r="EI55" s="219">
        <f t="shared" si="213"/>
        <v>12</v>
      </c>
      <c r="EJ55" s="219">
        <f t="shared" si="213"/>
        <v>12</v>
      </c>
      <c r="EK55" s="219">
        <f t="shared" si="213"/>
        <v>12</v>
      </c>
      <c r="EL55" s="219">
        <f t="shared" si="213"/>
        <v>12</v>
      </c>
      <c r="EM55" s="219">
        <f t="shared" si="213"/>
        <v>12</v>
      </c>
      <c r="EN55" s="219">
        <f t="shared" si="213"/>
        <v>12</v>
      </c>
      <c r="EO55" s="219">
        <f t="shared" si="213"/>
        <v>12</v>
      </c>
      <c r="EP55" s="219">
        <f t="shared" si="213"/>
        <v>12</v>
      </c>
      <c r="EQ55" s="219">
        <f t="shared" si="213"/>
        <v>12</v>
      </c>
      <c r="ER55" s="219">
        <f t="shared" si="213"/>
        <v>12</v>
      </c>
      <c r="ES55" s="219">
        <f t="shared" si="213"/>
        <v>12</v>
      </c>
      <c r="ET55" s="219">
        <f t="shared" ref="ET55:FC55" si="214">EH55+1</f>
        <v>12</v>
      </c>
      <c r="EU55" s="219">
        <f t="shared" si="214"/>
        <v>13</v>
      </c>
      <c r="EV55" s="219">
        <f t="shared" si="214"/>
        <v>13</v>
      </c>
      <c r="EW55" s="219">
        <f t="shared" si="214"/>
        <v>13</v>
      </c>
      <c r="EX55" s="219">
        <f t="shared" si="214"/>
        <v>13</v>
      </c>
      <c r="EY55" s="219">
        <f t="shared" si="214"/>
        <v>13</v>
      </c>
      <c r="EZ55" s="219">
        <f t="shared" si="214"/>
        <v>13</v>
      </c>
      <c r="FA55" s="219">
        <f t="shared" si="214"/>
        <v>13</v>
      </c>
      <c r="FB55" s="219">
        <f t="shared" si="214"/>
        <v>13</v>
      </c>
      <c r="FC55" s="219">
        <f t="shared" si="214"/>
        <v>13</v>
      </c>
      <c r="FD55" s="219">
        <f t="shared" ref="FD55" si="215">ER55+1</f>
        <v>13</v>
      </c>
      <c r="FE55" s="219">
        <f t="shared" ref="FE55:FF55" si="216">ES55+1</f>
        <v>13</v>
      </c>
      <c r="FF55" s="219">
        <f t="shared" si="216"/>
        <v>13</v>
      </c>
      <c r="FG55" s="317"/>
      <c r="FH55" s="219" t="s">
        <v>195</v>
      </c>
      <c r="FI55" s="219"/>
      <c r="FJ55" s="219"/>
      <c r="FK55" s="219"/>
      <c r="FL55" s="219"/>
      <c r="FM55" s="219"/>
      <c r="FN55" s="219"/>
      <c r="FO55" s="219"/>
      <c r="FP55" s="219"/>
      <c r="FQ55" s="219"/>
      <c r="FR55" s="219"/>
      <c r="FS55" s="219"/>
      <c r="FT55" s="219"/>
      <c r="FU55" s="219"/>
      <c r="FV55" s="317"/>
    </row>
    <row r="56" spans="2:180" s="47" customFormat="1" x14ac:dyDescent="0.2">
      <c r="C56" s="48" t="s">
        <v>88</v>
      </c>
      <c r="D56" s="48"/>
      <c r="E56" s="218"/>
      <c r="F56" s="219">
        <v>0</v>
      </c>
      <c r="G56" s="219">
        <f t="shared" ref="G56:Q56" si="217">F56+1</f>
        <v>1</v>
      </c>
      <c r="H56" s="219">
        <f t="shared" si="217"/>
        <v>2</v>
      </c>
      <c r="I56" s="219">
        <f t="shared" si="217"/>
        <v>3</v>
      </c>
      <c r="J56" s="219">
        <f>I56+1</f>
        <v>4</v>
      </c>
      <c r="K56" s="219">
        <f t="shared" si="217"/>
        <v>5</v>
      </c>
      <c r="L56" s="219">
        <f t="shared" si="217"/>
        <v>6</v>
      </c>
      <c r="M56" s="219">
        <f t="shared" si="217"/>
        <v>7</v>
      </c>
      <c r="N56" s="219">
        <f t="shared" si="217"/>
        <v>8</v>
      </c>
      <c r="O56" s="219">
        <f t="shared" si="217"/>
        <v>9</v>
      </c>
      <c r="P56" s="219">
        <f t="shared" si="217"/>
        <v>10</v>
      </c>
      <c r="Q56" s="219">
        <f t="shared" si="217"/>
        <v>11</v>
      </c>
      <c r="R56" s="219">
        <f>Q56+1</f>
        <v>12</v>
      </c>
      <c r="S56" s="219">
        <f t="shared" ref="S56:U56" si="218">R56+1</f>
        <v>13</v>
      </c>
      <c r="T56" s="219">
        <f t="shared" si="218"/>
        <v>14</v>
      </c>
      <c r="U56" s="219">
        <f t="shared" si="218"/>
        <v>15</v>
      </c>
      <c r="V56" s="219">
        <f t="shared" ref="V56" si="219">U56+1</f>
        <v>16</v>
      </c>
      <c r="W56" s="219">
        <f t="shared" ref="W56" si="220">V56+1</f>
        <v>17</v>
      </c>
      <c r="X56" s="219">
        <f t="shared" ref="X56" si="221">W56+1</f>
        <v>18</v>
      </c>
      <c r="Y56" s="219">
        <f t="shared" ref="Y56" si="222">X56+1</f>
        <v>19</v>
      </c>
      <c r="Z56" s="219">
        <f t="shared" ref="Z56" si="223">Y56+1</f>
        <v>20</v>
      </c>
      <c r="AA56" s="219">
        <f t="shared" ref="AA56" si="224">Z56+1</f>
        <v>21</v>
      </c>
      <c r="AB56" s="219">
        <f t="shared" ref="AB56" si="225">AA56+1</f>
        <v>22</v>
      </c>
      <c r="AC56" s="219">
        <f t="shared" ref="AC56" si="226">AB56+1</f>
        <v>23</v>
      </c>
      <c r="AD56" s="219">
        <f t="shared" ref="AD56" si="227">AC56+1</f>
        <v>24</v>
      </c>
      <c r="AE56" s="219">
        <f t="shared" ref="AE56" si="228">AD56+1</f>
        <v>25</v>
      </c>
      <c r="AF56" s="219">
        <f t="shared" ref="AF56" si="229">AE56+1</f>
        <v>26</v>
      </c>
      <c r="AG56" s="219">
        <f t="shared" ref="AG56" si="230">AF56+1</f>
        <v>27</v>
      </c>
      <c r="AH56" s="219">
        <f t="shared" ref="AH56" si="231">AG56+1</f>
        <v>28</v>
      </c>
      <c r="AI56" s="219">
        <f t="shared" ref="AI56" si="232">AH56+1</f>
        <v>29</v>
      </c>
      <c r="AJ56" s="219">
        <f t="shared" ref="AJ56" si="233">AI56+1</f>
        <v>30</v>
      </c>
      <c r="AK56" s="219">
        <f t="shared" ref="AK56" si="234">AJ56+1</f>
        <v>31</v>
      </c>
      <c r="AL56" s="219">
        <f t="shared" ref="AL56" si="235">AK56+1</f>
        <v>32</v>
      </c>
      <c r="AM56" s="219">
        <f t="shared" ref="AM56" si="236">AL56+1</f>
        <v>33</v>
      </c>
      <c r="AN56" s="219">
        <f t="shared" ref="AN56" si="237">AM56+1</f>
        <v>34</v>
      </c>
      <c r="AO56" s="219">
        <f t="shared" ref="AO56" si="238">AN56+1</f>
        <v>35</v>
      </c>
      <c r="AP56" s="219">
        <f t="shared" ref="AP56" si="239">AO56+1</f>
        <v>36</v>
      </c>
      <c r="AQ56" s="219">
        <f t="shared" ref="AQ56" si="240">AP56+1</f>
        <v>37</v>
      </c>
      <c r="AR56" s="219">
        <f t="shared" ref="AR56" si="241">AQ56+1</f>
        <v>38</v>
      </c>
      <c r="AS56" s="219">
        <f t="shared" ref="AS56" si="242">AR56+1</f>
        <v>39</v>
      </c>
      <c r="AT56" s="219">
        <f t="shared" ref="AT56" si="243">AS56+1</f>
        <v>40</v>
      </c>
      <c r="AU56" s="219">
        <f t="shared" ref="AU56" si="244">AT56+1</f>
        <v>41</v>
      </c>
      <c r="AV56" s="219">
        <f t="shared" ref="AV56" si="245">AU56+1</f>
        <v>42</v>
      </c>
      <c r="AW56" s="219">
        <f t="shared" ref="AW56" si="246">AV56+1</f>
        <v>43</v>
      </c>
      <c r="AX56" s="219">
        <f t="shared" ref="AX56" si="247">AW56+1</f>
        <v>44</v>
      </c>
      <c r="AY56" s="219">
        <f t="shared" ref="AY56" si="248">AX56+1</f>
        <v>45</v>
      </c>
      <c r="AZ56" s="219">
        <f t="shared" ref="AZ56" si="249">AY56+1</f>
        <v>46</v>
      </c>
      <c r="BA56" s="219">
        <f t="shared" ref="BA56" si="250">AZ56+1</f>
        <v>47</v>
      </c>
      <c r="BB56" s="219">
        <f t="shared" ref="BB56" si="251">BA56+1</f>
        <v>48</v>
      </c>
      <c r="BC56" s="219">
        <f t="shared" ref="BC56" si="252">BB56+1</f>
        <v>49</v>
      </c>
      <c r="BD56" s="219">
        <f t="shared" ref="BD56" si="253">BC56+1</f>
        <v>50</v>
      </c>
      <c r="BE56" s="219">
        <f t="shared" ref="BE56" si="254">BD56+1</f>
        <v>51</v>
      </c>
      <c r="BF56" s="219">
        <f t="shared" ref="BF56" si="255">BE56+1</f>
        <v>52</v>
      </c>
      <c r="BG56" s="219">
        <f t="shared" ref="BG56" si="256">BF56+1</f>
        <v>53</v>
      </c>
      <c r="BH56" s="219">
        <f t="shared" ref="BH56" si="257">BG56+1</f>
        <v>54</v>
      </c>
      <c r="BI56" s="219">
        <f t="shared" ref="BI56" si="258">BH56+1</f>
        <v>55</v>
      </c>
      <c r="BJ56" s="219">
        <f t="shared" ref="BJ56" si="259">BI56+1</f>
        <v>56</v>
      </c>
      <c r="BK56" s="219">
        <f t="shared" ref="BK56" si="260">BJ56+1</f>
        <v>57</v>
      </c>
      <c r="BL56" s="219">
        <f t="shared" ref="BL56" si="261">BK56+1</f>
        <v>58</v>
      </c>
      <c r="BM56" s="219">
        <f t="shared" ref="BM56" si="262">BL56+1</f>
        <v>59</v>
      </c>
      <c r="BN56" s="219">
        <f t="shared" ref="BN56" si="263">BM56+1</f>
        <v>60</v>
      </c>
      <c r="BO56" s="219">
        <f t="shared" ref="BO56" si="264">BN56+1</f>
        <v>61</v>
      </c>
      <c r="BP56" s="219">
        <f t="shared" ref="BP56" si="265">BO56+1</f>
        <v>62</v>
      </c>
      <c r="BQ56" s="219">
        <f t="shared" ref="BQ56" si="266">BP56+1</f>
        <v>63</v>
      </c>
      <c r="BR56" s="219">
        <f t="shared" ref="BR56" si="267">BQ56+1</f>
        <v>64</v>
      </c>
      <c r="BS56" s="219">
        <f t="shared" ref="BS56" si="268">BR56+1</f>
        <v>65</v>
      </c>
      <c r="BT56" s="219">
        <f t="shared" ref="BT56" si="269">BS56+1</f>
        <v>66</v>
      </c>
      <c r="BU56" s="219">
        <f t="shared" ref="BU56" si="270">BT56+1</f>
        <v>67</v>
      </c>
      <c r="BV56" s="219">
        <f t="shared" ref="BV56" si="271">BU56+1</f>
        <v>68</v>
      </c>
      <c r="BW56" s="219">
        <f t="shared" ref="BW56" si="272">BV56+1</f>
        <v>69</v>
      </c>
      <c r="BX56" s="219">
        <f t="shared" ref="BX56" si="273">BW56+1</f>
        <v>70</v>
      </c>
      <c r="BY56" s="219">
        <f t="shared" ref="BY56" si="274">BX56+1</f>
        <v>71</v>
      </c>
      <c r="BZ56" s="219">
        <f t="shared" ref="BZ56" si="275">BY56+1</f>
        <v>72</v>
      </c>
      <c r="CA56" s="219">
        <f t="shared" ref="CA56" si="276">BZ56+1</f>
        <v>73</v>
      </c>
      <c r="CB56" s="219">
        <f t="shared" ref="CB56" si="277">CA56+1</f>
        <v>74</v>
      </c>
      <c r="CC56" s="219">
        <f t="shared" ref="CC56" si="278">CB56+1</f>
        <v>75</v>
      </c>
      <c r="CD56" s="219">
        <f t="shared" ref="CD56" si="279">CC56+1</f>
        <v>76</v>
      </c>
      <c r="CE56" s="219">
        <f t="shared" ref="CE56" si="280">CD56+1</f>
        <v>77</v>
      </c>
      <c r="CF56" s="219">
        <f t="shared" ref="CF56" si="281">CE56+1</f>
        <v>78</v>
      </c>
      <c r="CG56" s="219">
        <f t="shared" ref="CG56" si="282">CF56+1</f>
        <v>79</v>
      </c>
      <c r="CH56" s="219">
        <f t="shared" ref="CH56" si="283">CG56+1</f>
        <v>80</v>
      </c>
      <c r="CI56" s="219">
        <f t="shared" ref="CI56" si="284">CH56+1</f>
        <v>81</v>
      </c>
      <c r="CJ56" s="219">
        <f t="shared" ref="CJ56" si="285">CI56+1</f>
        <v>82</v>
      </c>
      <c r="CK56" s="219">
        <f t="shared" ref="CK56" si="286">CJ56+1</f>
        <v>83</v>
      </c>
      <c r="CL56" s="219">
        <f t="shared" ref="CL56" si="287">CK56+1</f>
        <v>84</v>
      </c>
      <c r="CM56" s="219">
        <f t="shared" ref="CM56" si="288">CL56+1</f>
        <v>85</v>
      </c>
      <c r="CN56" s="219">
        <f t="shared" ref="CN56" si="289">CM56+1</f>
        <v>86</v>
      </c>
      <c r="CO56" s="219">
        <f t="shared" ref="CO56" si="290">CN56+1</f>
        <v>87</v>
      </c>
      <c r="CP56" s="219">
        <f t="shared" ref="CP56" si="291">CO56+1</f>
        <v>88</v>
      </c>
      <c r="CQ56" s="219">
        <f t="shared" ref="CQ56" si="292">CP56+1</f>
        <v>89</v>
      </c>
      <c r="CR56" s="219">
        <f t="shared" ref="CR56" si="293">CQ56+1</f>
        <v>90</v>
      </c>
      <c r="CS56" s="219">
        <f t="shared" ref="CS56" si="294">CR56+1</f>
        <v>91</v>
      </c>
      <c r="CT56" s="219">
        <f t="shared" ref="CT56" si="295">CS56+1</f>
        <v>92</v>
      </c>
      <c r="CU56" s="219">
        <f t="shared" ref="CU56" si="296">CT56+1</f>
        <v>93</v>
      </c>
      <c r="CV56" s="219">
        <f t="shared" ref="CV56" si="297">CU56+1</f>
        <v>94</v>
      </c>
      <c r="CW56" s="219">
        <f t="shared" ref="CW56" si="298">CV56+1</f>
        <v>95</v>
      </c>
      <c r="CX56" s="219">
        <f t="shared" ref="CX56" si="299">CW56+1</f>
        <v>96</v>
      </c>
      <c r="CY56" s="219">
        <f t="shared" ref="CY56" si="300">CX56+1</f>
        <v>97</v>
      </c>
      <c r="CZ56" s="219">
        <f t="shared" ref="CZ56" si="301">CY56+1</f>
        <v>98</v>
      </c>
      <c r="DA56" s="219">
        <f t="shared" ref="DA56" si="302">CZ56+1</f>
        <v>99</v>
      </c>
      <c r="DB56" s="219">
        <f t="shared" ref="DB56" si="303">DA56+1</f>
        <v>100</v>
      </c>
      <c r="DC56" s="219">
        <f t="shared" ref="DC56" si="304">DB56+1</f>
        <v>101</v>
      </c>
      <c r="DD56" s="219">
        <f t="shared" ref="DD56" si="305">DC56+1</f>
        <v>102</v>
      </c>
      <c r="DE56" s="219">
        <f t="shared" ref="DE56" si="306">DD56+1</f>
        <v>103</v>
      </c>
      <c r="DF56" s="219">
        <f t="shared" ref="DF56" si="307">DE56+1</f>
        <v>104</v>
      </c>
      <c r="DG56" s="219">
        <f t="shared" ref="DG56" si="308">DF56+1</f>
        <v>105</v>
      </c>
      <c r="DH56" s="219">
        <f t="shared" ref="DH56" si="309">DG56+1</f>
        <v>106</v>
      </c>
      <c r="DI56" s="219">
        <f t="shared" ref="DI56" si="310">DH56+1</f>
        <v>107</v>
      </c>
      <c r="DJ56" s="219">
        <f t="shared" ref="DJ56" si="311">DI56+1</f>
        <v>108</v>
      </c>
      <c r="DK56" s="219">
        <f t="shared" ref="DK56" si="312">DJ56+1</f>
        <v>109</v>
      </c>
      <c r="DL56" s="219">
        <f t="shared" ref="DL56" si="313">DK56+1</f>
        <v>110</v>
      </c>
      <c r="DM56" s="219">
        <f t="shared" ref="DM56" si="314">DL56+1</f>
        <v>111</v>
      </c>
      <c r="DN56" s="219">
        <f t="shared" ref="DN56" si="315">DM56+1</f>
        <v>112</v>
      </c>
      <c r="DO56" s="219">
        <f t="shared" ref="DO56" si="316">DN56+1</f>
        <v>113</v>
      </c>
      <c r="DP56" s="219">
        <f t="shared" ref="DP56" si="317">DO56+1</f>
        <v>114</v>
      </c>
      <c r="DQ56" s="219">
        <f t="shared" ref="DQ56" si="318">DP56+1</f>
        <v>115</v>
      </c>
      <c r="DR56" s="219">
        <f t="shared" ref="DR56" si="319">DQ56+1</f>
        <v>116</v>
      </c>
      <c r="DS56" s="219">
        <f t="shared" ref="DS56" si="320">DR56+1</f>
        <v>117</v>
      </c>
      <c r="DT56" s="219">
        <f t="shared" ref="DT56" si="321">DS56+1</f>
        <v>118</v>
      </c>
      <c r="DU56" s="219">
        <f t="shared" ref="DU56" si="322">DT56+1</f>
        <v>119</v>
      </c>
      <c r="DV56" s="219">
        <f t="shared" ref="DV56" si="323">DU56+1</f>
        <v>120</v>
      </c>
      <c r="DW56" s="219">
        <f t="shared" ref="DW56" si="324">DV56+1</f>
        <v>121</v>
      </c>
      <c r="DX56" s="219">
        <f t="shared" ref="DX56" si="325">DW56+1</f>
        <v>122</v>
      </c>
      <c r="DY56" s="219">
        <f t="shared" ref="DY56" si="326">DX56+1</f>
        <v>123</v>
      </c>
      <c r="DZ56" s="219">
        <f t="shared" ref="DZ56" si="327">DY56+1</f>
        <v>124</v>
      </c>
      <c r="EA56" s="219">
        <f t="shared" ref="EA56" si="328">DZ56+1</f>
        <v>125</v>
      </c>
      <c r="EB56" s="219">
        <f t="shared" ref="EB56" si="329">EA56+1</f>
        <v>126</v>
      </c>
      <c r="EC56" s="219">
        <f t="shared" ref="EC56" si="330">EB56+1</f>
        <v>127</v>
      </c>
      <c r="ED56" s="219">
        <f t="shared" ref="ED56" si="331">EC56+1</f>
        <v>128</v>
      </c>
      <c r="EE56" s="219">
        <f t="shared" ref="EE56" si="332">ED56+1</f>
        <v>129</v>
      </c>
      <c r="EF56" s="219">
        <f t="shared" ref="EF56" si="333">EE56+1</f>
        <v>130</v>
      </c>
      <c r="EG56" s="219">
        <f t="shared" ref="EG56" si="334">EF56+1</f>
        <v>131</v>
      </c>
      <c r="EH56" s="219">
        <f t="shared" ref="EH56" si="335">EG56+1</f>
        <v>132</v>
      </c>
      <c r="EI56" s="219">
        <f t="shared" ref="EI56" si="336">EH56+1</f>
        <v>133</v>
      </c>
      <c r="EJ56" s="219">
        <f t="shared" ref="EJ56" si="337">EI56+1</f>
        <v>134</v>
      </c>
      <c r="EK56" s="219">
        <f t="shared" ref="EK56" si="338">EJ56+1</f>
        <v>135</v>
      </c>
      <c r="EL56" s="219">
        <f t="shared" ref="EL56" si="339">EK56+1</f>
        <v>136</v>
      </c>
      <c r="EM56" s="219">
        <f t="shared" ref="EM56" si="340">EL56+1</f>
        <v>137</v>
      </c>
      <c r="EN56" s="219">
        <f t="shared" ref="EN56" si="341">EM56+1</f>
        <v>138</v>
      </c>
      <c r="EO56" s="219">
        <f t="shared" ref="EO56" si="342">EN56+1</f>
        <v>139</v>
      </c>
      <c r="EP56" s="219">
        <f t="shared" ref="EP56" si="343">EO56+1</f>
        <v>140</v>
      </c>
      <c r="EQ56" s="219">
        <f t="shared" ref="EQ56" si="344">EP56+1</f>
        <v>141</v>
      </c>
      <c r="ER56" s="219">
        <f t="shared" ref="ER56" si="345">EQ56+1</f>
        <v>142</v>
      </c>
      <c r="ES56" s="219">
        <f t="shared" ref="ES56" si="346">ER56+1</f>
        <v>143</v>
      </c>
      <c r="ET56" s="219">
        <f t="shared" ref="ET56" si="347">ES56+1</f>
        <v>144</v>
      </c>
      <c r="EU56" s="219">
        <f t="shared" ref="EU56" si="348">ET56+1</f>
        <v>145</v>
      </c>
      <c r="EV56" s="219">
        <f t="shared" ref="EV56" si="349">EU56+1</f>
        <v>146</v>
      </c>
      <c r="EW56" s="219">
        <f t="shared" ref="EW56" si="350">EV56+1</f>
        <v>147</v>
      </c>
      <c r="EX56" s="219">
        <f t="shared" ref="EX56" si="351">EW56+1</f>
        <v>148</v>
      </c>
      <c r="EY56" s="219">
        <f t="shared" ref="EY56" si="352">EX56+1</f>
        <v>149</v>
      </c>
      <c r="EZ56" s="219">
        <f t="shared" ref="EZ56" si="353">EY56+1</f>
        <v>150</v>
      </c>
      <c r="FA56" s="219">
        <f t="shared" ref="FA56" si="354">EZ56+1</f>
        <v>151</v>
      </c>
      <c r="FB56" s="219">
        <f t="shared" ref="FB56" si="355">FA56+1</f>
        <v>152</v>
      </c>
      <c r="FC56" s="219">
        <f t="shared" ref="FC56" si="356">FB56+1</f>
        <v>153</v>
      </c>
      <c r="FD56" s="219">
        <f t="shared" ref="FD56" si="357">FC56+1</f>
        <v>154</v>
      </c>
      <c r="FE56" s="219">
        <f t="shared" ref="FE56:FF56" si="358">FD56+1</f>
        <v>155</v>
      </c>
      <c r="FF56" s="219">
        <f t="shared" si="358"/>
        <v>156</v>
      </c>
      <c r="FG56" s="317"/>
      <c r="FH56" s="219"/>
      <c r="FI56" s="219"/>
      <c r="FJ56" s="219"/>
      <c r="FK56" s="219"/>
      <c r="FL56" s="219"/>
      <c r="FM56" s="219"/>
      <c r="FN56" s="219"/>
      <c r="FO56" s="219"/>
      <c r="FP56" s="219"/>
      <c r="FQ56" s="219"/>
      <c r="FR56" s="219"/>
      <c r="FS56" s="219"/>
      <c r="FT56" s="219"/>
      <c r="FU56" s="219"/>
      <c r="FV56" s="317"/>
    </row>
    <row r="57" spans="2:180" s="47" customFormat="1" x14ac:dyDescent="0.2">
      <c r="C57" s="48" t="s">
        <v>196</v>
      </c>
      <c r="D57" s="48"/>
      <c r="E57" s="218"/>
      <c r="F57" s="48">
        <f>YEAR(F58)</f>
        <v>2026</v>
      </c>
      <c r="G57" s="48">
        <f t="shared" ref="G57:BR57" si="359">YEAR(G58)</f>
        <v>2026</v>
      </c>
      <c r="H57" s="48">
        <f t="shared" si="359"/>
        <v>2026</v>
      </c>
      <c r="I57" s="48">
        <f t="shared" si="359"/>
        <v>2026</v>
      </c>
      <c r="J57" s="48">
        <f t="shared" si="359"/>
        <v>2026</v>
      </c>
      <c r="K57" s="48">
        <f t="shared" si="359"/>
        <v>2026</v>
      </c>
      <c r="L57" s="48">
        <f t="shared" si="359"/>
        <v>2026</v>
      </c>
      <c r="M57" s="48">
        <f t="shared" si="359"/>
        <v>2026</v>
      </c>
      <c r="N57" s="48">
        <f t="shared" si="359"/>
        <v>2027</v>
      </c>
      <c r="O57" s="48">
        <f t="shared" si="359"/>
        <v>2027</v>
      </c>
      <c r="P57" s="48">
        <f t="shared" si="359"/>
        <v>2027</v>
      </c>
      <c r="Q57" s="48">
        <f t="shared" si="359"/>
        <v>2027</v>
      </c>
      <c r="R57" s="48">
        <f t="shared" si="359"/>
        <v>2027</v>
      </c>
      <c r="S57" s="48">
        <f t="shared" si="359"/>
        <v>2027</v>
      </c>
      <c r="T57" s="48">
        <f t="shared" si="359"/>
        <v>2027</v>
      </c>
      <c r="U57" s="48">
        <f t="shared" si="359"/>
        <v>2027</v>
      </c>
      <c r="V57" s="48">
        <f t="shared" si="359"/>
        <v>2027</v>
      </c>
      <c r="W57" s="48">
        <f t="shared" si="359"/>
        <v>2027</v>
      </c>
      <c r="X57" s="48">
        <f t="shared" si="359"/>
        <v>2027</v>
      </c>
      <c r="Y57" s="48">
        <f t="shared" si="359"/>
        <v>2027</v>
      </c>
      <c r="Z57" s="48">
        <f t="shared" si="359"/>
        <v>2028</v>
      </c>
      <c r="AA57" s="48">
        <f t="shared" si="359"/>
        <v>2028</v>
      </c>
      <c r="AB57" s="48">
        <f t="shared" si="359"/>
        <v>2028</v>
      </c>
      <c r="AC57" s="48">
        <f t="shared" si="359"/>
        <v>2028</v>
      </c>
      <c r="AD57" s="48">
        <f t="shared" si="359"/>
        <v>2028</v>
      </c>
      <c r="AE57" s="48">
        <f t="shared" si="359"/>
        <v>2028</v>
      </c>
      <c r="AF57" s="48">
        <f t="shared" si="359"/>
        <v>2028</v>
      </c>
      <c r="AG57" s="48">
        <f t="shared" si="359"/>
        <v>2028</v>
      </c>
      <c r="AH57" s="48">
        <f t="shared" si="359"/>
        <v>2028</v>
      </c>
      <c r="AI57" s="48">
        <f t="shared" si="359"/>
        <v>2028</v>
      </c>
      <c r="AJ57" s="48">
        <f t="shared" si="359"/>
        <v>2028</v>
      </c>
      <c r="AK57" s="48">
        <f t="shared" si="359"/>
        <v>2028</v>
      </c>
      <c r="AL57" s="48">
        <f t="shared" si="359"/>
        <v>2029</v>
      </c>
      <c r="AM57" s="48">
        <f t="shared" si="359"/>
        <v>2029</v>
      </c>
      <c r="AN57" s="48">
        <f t="shared" si="359"/>
        <v>2029</v>
      </c>
      <c r="AO57" s="48">
        <f t="shared" si="359"/>
        <v>2029</v>
      </c>
      <c r="AP57" s="48">
        <f t="shared" si="359"/>
        <v>2029</v>
      </c>
      <c r="AQ57" s="48">
        <f t="shared" si="359"/>
        <v>2029</v>
      </c>
      <c r="AR57" s="48">
        <f t="shared" si="359"/>
        <v>2029</v>
      </c>
      <c r="AS57" s="48">
        <f t="shared" si="359"/>
        <v>2029</v>
      </c>
      <c r="AT57" s="48">
        <f t="shared" si="359"/>
        <v>2029</v>
      </c>
      <c r="AU57" s="48">
        <f t="shared" si="359"/>
        <v>2029</v>
      </c>
      <c r="AV57" s="48">
        <f t="shared" si="359"/>
        <v>2029</v>
      </c>
      <c r="AW57" s="48">
        <f t="shared" si="359"/>
        <v>2029</v>
      </c>
      <c r="AX57" s="48">
        <f t="shared" si="359"/>
        <v>2030</v>
      </c>
      <c r="AY57" s="48">
        <f t="shared" si="359"/>
        <v>2030</v>
      </c>
      <c r="AZ57" s="48">
        <f t="shared" si="359"/>
        <v>2030</v>
      </c>
      <c r="BA57" s="48">
        <f t="shared" si="359"/>
        <v>2030</v>
      </c>
      <c r="BB57" s="48">
        <f t="shared" si="359"/>
        <v>2030</v>
      </c>
      <c r="BC57" s="48">
        <f t="shared" si="359"/>
        <v>2030</v>
      </c>
      <c r="BD57" s="48">
        <f t="shared" si="359"/>
        <v>2030</v>
      </c>
      <c r="BE57" s="48">
        <f t="shared" si="359"/>
        <v>2030</v>
      </c>
      <c r="BF57" s="48">
        <f t="shared" si="359"/>
        <v>2030</v>
      </c>
      <c r="BG57" s="48">
        <f t="shared" si="359"/>
        <v>2030</v>
      </c>
      <c r="BH57" s="48">
        <f t="shared" si="359"/>
        <v>2030</v>
      </c>
      <c r="BI57" s="48">
        <f t="shared" si="359"/>
        <v>2030</v>
      </c>
      <c r="BJ57" s="48">
        <f t="shared" si="359"/>
        <v>2031</v>
      </c>
      <c r="BK57" s="48">
        <f t="shared" si="359"/>
        <v>2031</v>
      </c>
      <c r="BL57" s="48">
        <f t="shared" si="359"/>
        <v>2031</v>
      </c>
      <c r="BM57" s="48">
        <f t="shared" si="359"/>
        <v>2031</v>
      </c>
      <c r="BN57" s="48">
        <f t="shared" si="359"/>
        <v>2031</v>
      </c>
      <c r="BO57" s="48">
        <f t="shared" si="359"/>
        <v>2031</v>
      </c>
      <c r="BP57" s="48">
        <f t="shared" si="359"/>
        <v>2031</v>
      </c>
      <c r="BQ57" s="48">
        <f t="shared" si="359"/>
        <v>2031</v>
      </c>
      <c r="BR57" s="48">
        <f t="shared" si="359"/>
        <v>2031</v>
      </c>
      <c r="BS57" s="48">
        <f t="shared" ref="BS57:ED57" si="360">YEAR(BS58)</f>
        <v>2031</v>
      </c>
      <c r="BT57" s="48">
        <f t="shared" si="360"/>
        <v>2031</v>
      </c>
      <c r="BU57" s="48">
        <f t="shared" si="360"/>
        <v>2031</v>
      </c>
      <c r="BV57" s="48">
        <f t="shared" si="360"/>
        <v>2032</v>
      </c>
      <c r="BW57" s="48">
        <f t="shared" si="360"/>
        <v>2032</v>
      </c>
      <c r="BX57" s="48">
        <f t="shared" si="360"/>
        <v>2032</v>
      </c>
      <c r="BY57" s="48">
        <f t="shared" si="360"/>
        <v>2032</v>
      </c>
      <c r="BZ57" s="48">
        <f t="shared" si="360"/>
        <v>2032</v>
      </c>
      <c r="CA57" s="48">
        <f t="shared" si="360"/>
        <v>2032</v>
      </c>
      <c r="CB57" s="48">
        <f t="shared" si="360"/>
        <v>2032</v>
      </c>
      <c r="CC57" s="48">
        <f t="shared" si="360"/>
        <v>2032</v>
      </c>
      <c r="CD57" s="48">
        <f t="shared" si="360"/>
        <v>2032</v>
      </c>
      <c r="CE57" s="48">
        <f t="shared" si="360"/>
        <v>2032</v>
      </c>
      <c r="CF57" s="48">
        <f t="shared" si="360"/>
        <v>2032</v>
      </c>
      <c r="CG57" s="48">
        <f t="shared" si="360"/>
        <v>2032</v>
      </c>
      <c r="CH57" s="48">
        <f t="shared" si="360"/>
        <v>2033</v>
      </c>
      <c r="CI57" s="48">
        <f t="shared" si="360"/>
        <v>2033</v>
      </c>
      <c r="CJ57" s="48">
        <f t="shared" si="360"/>
        <v>2033</v>
      </c>
      <c r="CK57" s="48">
        <f t="shared" si="360"/>
        <v>2033</v>
      </c>
      <c r="CL57" s="48">
        <f t="shared" si="360"/>
        <v>2033</v>
      </c>
      <c r="CM57" s="48">
        <f t="shared" si="360"/>
        <v>2033</v>
      </c>
      <c r="CN57" s="48">
        <f t="shared" si="360"/>
        <v>2033</v>
      </c>
      <c r="CO57" s="48">
        <f t="shared" si="360"/>
        <v>2033</v>
      </c>
      <c r="CP57" s="48">
        <f t="shared" si="360"/>
        <v>2033</v>
      </c>
      <c r="CQ57" s="48">
        <f t="shared" si="360"/>
        <v>2033</v>
      </c>
      <c r="CR57" s="48">
        <f t="shared" si="360"/>
        <v>2033</v>
      </c>
      <c r="CS57" s="48">
        <f t="shared" si="360"/>
        <v>2033</v>
      </c>
      <c r="CT57" s="48">
        <f t="shared" si="360"/>
        <v>2034</v>
      </c>
      <c r="CU57" s="48">
        <f t="shared" si="360"/>
        <v>2034</v>
      </c>
      <c r="CV57" s="48">
        <f t="shared" si="360"/>
        <v>2034</v>
      </c>
      <c r="CW57" s="48">
        <f t="shared" si="360"/>
        <v>2034</v>
      </c>
      <c r="CX57" s="48">
        <f t="shared" si="360"/>
        <v>2034</v>
      </c>
      <c r="CY57" s="48">
        <f t="shared" si="360"/>
        <v>2034</v>
      </c>
      <c r="CZ57" s="48">
        <f t="shared" si="360"/>
        <v>2034</v>
      </c>
      <c r="DA57" s="48">
        <f t="shared" si="360"/>
        <v>2034</v>
      </c>
      <c r="DB57" s="48">
        <f t="shared" si="360"/>
        <v>2034</v>
      </c>
      <c r="DC57" s="48">
        <f t="shared" si="360"/>
        <v>2034</v>
      </c>
      <c r="DD57" s="48">
        <f t="shared" si="360"/>
        <v>2034</v>
      </c>
      <c r="DE57" s="48">
        <f t="shared" si="360"/>
        <v>2034</v>
      </c>
      <c r="DF57" s="48">
        <f t="shared" si="360"/>
        <v>2035</v>
      </c>
      <c r="DG57" s="48">
        <f t="shared" si="360"/>
        <v>2035</v>
      </c>
      <c r="DH57" s="48">
        <f t="shared" si="360"/>
        <v>2035</v>
      </c>
      <c r="DI57" s="48">
        <f t="shared" si="360"/>
        <v>2035</v>
      </c>
      <c r="DJ57" s="48">
        <f t="shared" si="360"/>
        <v>2035</v>
      </c>
      <c r="DK57" s="48">
        <f t="shared" si="360"/>
        <v>2035</v>
      </c>
      <c r="DL57" s="48">
        <f t="shared" si="360"/>
        <v>2035</v>
      </c>
      <c r="DM57" s="48">
        <f t="shared" si="360"/>
        <v>2035</v>
      </c>
      <c r="DN57" s="48">
        <f t="shared" si="360"/>
        <v>2035</v>
      </c>
      <c r="DO57" s="48">
        <f t="shared" si="360"/>
        <v>2035</v>
      </c>
      <c r="DP57" s="48">
        <f t="shared" si="360"/>
        <v>2035</v>
      </c>
      <c r="DQ57" s="48">
        <f t="shared" si="360"/>
        <v>2035</v>
      </c>
      <c r="DR57" s="48">
        <f t="shared" si="360"/>
        <v>2036</v>
      </c>
      <c r="DS57" s="48">
        <f t="shared" si="360"/>
        <v>2036</v>
      </c>
      <c r="DT57" s="48">
        <f t="shared" si="360"/>
        <v>2036</v>
      </c>
      <c r="DU57" s="48">
        <f t="shared" si="360"/>
        <v>2036</v>
      </c>
      <c r="DV57" s="48">
        <f t="shared" si="360"/>
        <v>2036</v>
      </c>
      <c r="DW57" s="48">
        <f t="shared" si="360"/>
        <v>2036</v>
      </c>
      <c r="DX57" s="48">
        <f t="shared" si="360"/>
        <v>2036</v>
      </c>
      <c r="DY57" s="48">
        <f t="shared" si="360"/>
        <v>2036</v>
      </c>
      <c r="DZ57" s="48">
        <f t="shared" si="360"/>
        <v>2036</v>
      </c>
      <c r="EA57" s="48">
        <f t="shared" si="360"/>
        <v>2036</v>
      </c>
      <c r="EB57" s="48">
        <f t="shared" si="360"/>
        <v>2036</v>
      </c>
      <c r="EC57" s="48">
        <f t="shared" si="360"/>
        <v>2036</v>
      </c>
      <c r="ED57" s="48">
        <f t="shared" si="360"/>
        <v>2037</v>
      </c>
      <c r="EE57" s="48">
        <f t="shared" ref="EE57:FF57" si="361">YEAR(EE58)</f>
        <v>2037</v>
      </c>
      <c r="EF57" s="48">
        <f t="shared" si="361"/>
        <v>2037</v>
      </c>
      <c r="EG57" s="48">
        <f t="shared" si="361"/>
        <v>2037</v>
      </c>
      <c r="EH57" s="48">
        <f t="shared" si="361"/>
        <v>2037</v>
      </c>
      <c r="EI57" s="48">
        <f t="shared" si="361"/>
        <v>2037</v>
      </c>
      <c r="EJ57" s="48">
        <f t="shared" si="361"/>
        <v>2037</v>
      </c>
      <c r="EK57" s="48">
        <f t="shared" si="361"/>
        <v>2037</v>
      </c>
      <c r="EL57" s="48">
        <f t="shared" si="361"/>
        <v>2037</v>
      </c>
      <c r="EM57" s="48">
        <f t="shared" si="361"/>
        <v>2037</v>
      </c>
      <c r="EN57" s="48">
        <f t="shared" si="361"/>
        <v>2037</v>
      </c>
      <c r="EO57" s="48">
        <f t="shared" si="361"/>
        <v>2037</v>
      </c>
      <c r="EP57" s="48">
        <f t="shared" si="361"/>
        <v>2038</v>
      </c>
      <c r="EQ57" s="48">
        <f t="shared" si="361"/>
        <v>2038</v>
      </c>
      <c r="ER57" s="48">
        <f t="shared" si="361"/>
        <v>2038</v>
      </c>
      <c r="ES57" s="48">
        <f t="shared" si="361"/>
        <v>2038</v>
      </c>
      <c r="ET57" s="48">
        <f t="shared" si="361"/>
        <v>2038</v>
      </c>
      <c r="EU57" s="48">
        <f t="shared" si="361"/>
        <v>2038</v>
      </c>
      <c r="EV57" s="48">
        <f t="shared" si="361"/>
        <v>2038</v>
      </c>
      <c r="EW57" s="48">
        <f t="shared" si="361"/>
        <v>2038</v>
      </c>
      <c r="EX57" s="48">
        <f t="shared" si="361"/>
        <v>2038</v>
      </c>
      <c r="EY57" s="48">
        <f t="shared" si="361"/>
        <v>2038</v>
      </c>
      <c r="EZ57" s="48">
        <f t="shared" si="361"/>
        <v>2038</v>
      </c>
      <c r="FA57" s="48">
        <f t="shared" si="361"/>
        <v>2038</v>
      </c>
      <c r="FB57" s="48">
        <f t="shared" si="361"/>
        <v>2039</v>
      </c>
      <c r="FC57" s="48">
        <f t="shared" si="361"/>
        <v>2039</v>
      </c>
      <c r="FD57" s="48">
        <f t="shared" si="361"/>
        <v>2039</v>
      </c>
      <c r="FE57" s="48">
        <f t="shared" si="361"/>
        <v>2039</v>
      </c>
      <c r="FF57" s="48">
        <f t="shared" si="361"/>
        <v>2039</v>
      </c>
      <c r="FG57" s="317"/>
      <c r="FH57" s="48">
        <f>YEAR(F9)</f>
        <v>2026</v>
      </c>
      <c r="FI57" s="48">
        <f>FH57+1</f>
        <v>2027</v>
      </c>
      <c r="FJ57" s="48">
        <f t="shared" ref="FJ57:FU57" si="362">FI57+1</f>
        <v>2028</v>
      </c>
      <c r="FK57" s="48">
        <f t="shared" si="362"/>
        <v>2029</v>
      </c>
      <c r="FL57" s="48">
        <f t="shared" si="362"/>
        <v>2030</v>
      </c>
      <c r="FM57" s="48">
        <f t="shared" si="362"/>
        <v>2031</v>
      </c>
      <c r="FN57" s="48">
        <f t="shared" si="362"/>
        <v>2032</v>
      </c>
      <c r="FO57" s="48">
        <f t="shared" si="362"/>
        <v>2033</v>
      </c>
      <c r="FP57" s="48">
        <f t="shared" si="362"/>
        <v>2034</v>
      </c>
      <c r="FQ57" s="48">
        <f t="shared" si="362"/>
        <v>2035</v>
      </c>
      <c r="FR57" s="48">
        <f t="shared" si="362"/>
        <v>2036</v>
      </c>
      <c r="FS57" s="48">
        <f t="shared" si="362"/>
        <v>2037</v>
      </c>
      <c r="FT57" s="48">
        <f t="shared" si="362"/>
        <v>2038</v>
      </c>
      <c r="FU57" s="48">
        <f t="shared" si="362"/>
        <v>2039</v>
      </c>
      <c r="FV57" s="312"/>
    </row>
    <row r="58" spans="2:180" s="47" customFormat="1" x14ac:dyDescent="0.2">
      <c r="C58" s="48" t="s">
        <v>9</v>
      </c>
      <c r="D58" s="48"/>
      <c r="E58" s="218" t="s">
        <v>5</v>
      </c>
      <c r="F58" s="220">
        <f>F9</f>
        <v>46174</v>
      </c>
      <c r="G58" s="220">
        <f>EOMONTH(F58,0)</f>
        <v>46203</v>
      </c>
      <c r="H58" s="220">
        <f t="shared" ref="H58:BR58" si="363">EOMONTH(G58,1)</f>
        <v>46234</v>
      </c>
      <c r="I58" s="220">
        <f t="shared" si="363"/>
        <v>46265</v>
      </c>
      <c r="J58" s="220">
        <f>EOMONTH(I58,1)</f>
        <v>46295</v>
      </c>
      <c r="K58" s="220">
        <f t="shared" si="363"/>
        <v>46326</v>
      </c>
      <c r="L58" s="220">
        <f t="shared" si="363"/>
        <v>46356</v>
      </c>
      <c r="M58" s="220">
        <f t="shared" si="363"/>
        <v>46387</v>
      </c>
      <c r="N58" s="220">
        <f t="shared" si="363"/>
        <v>46418</v>
      </c>
      <c r="O58" s="220">
        <f t="shared" si="363"/>
        <v>46446</v>
      </c>
      <c r="P58" s="220">
        <f t="shared" si="363"/>
        <v>46477</v>
      </c>
      <c r="Q58" s="220">
        <f t="shared" si="363"/>
        <v>46507</v>
      </c>
      <c r="R58" s="220">
        <f>EOMONTH(Q58,1)</f>
        <v>46538</v>
      </c>
      <c r="S58" s="220">
        <f t="shared" ref="S58:AG58" si="364">EOMONTH(R58,1)</f>
        <v>46568</v>
      </c>
      <c r="T58" s="220">
        <f t="shared" si="364"/>
        <v>46599</v>
      </c>
      <c r="U58" s="220">
        <f t="shared" si="364"/>
        <v>46630</v>
      </c>
      <c r="V58" s="220">
        <f>EOMONTH(U58,1)</f>
        <v>46660</v>
      </c>
      <c r="W58" s="220">
        <f t="shared" si="364"/>
        <v>46691</v>
      </c>
      <c r="X58" s="220">
        <f t="shared" si="364"/>
        <v>46721</v>
      </c>
      <c r="Y58" s="220">
        <f t="shared" si="364"/>
        <v>46752</v>
      </c>
      <c r="Z58" s="220">
        <f t="shared" si="364"/>
        <v>46783</v>
      </c>
      <c r="AA58" s="220">
        <f t="shared" si="364"/>
        <v>46812</v>
      </c>
      <c r="AB58" s="220">
        <f t="shared" si="364"/>
        <v>46843</v>
      </c>
      <c r="AC58" s="220">
        <f t="shared" si="364"/>
        <v>46873</v>
      </c>
      <c r="AD58" s="220">
        <f t="shared" si="364"/>
        <v>46904</v>
      </c>
      <c r="AE58" s="220">
        <f t="shared" si="364"/>
        <v>46934</v>
      </c>
      <c r="AF58" s="220">
        <f t="shared" si="364"/>
        <v>46965</v>
      </c>
      <c r="AG58" s="220">
        <f t="shared" si="364"/>
        <v>46996</v>
      </c>
      <c r="AH58" s="220">
        <f t="shared" si="363"/>
        <v>47026</v>
      </c>
      <c r="AI58" s="220">
        <f t="shared" si="363"/>
        <v>47057</v>
      </c>
      <c r="AJ58" s="220">
        <f t="shared" si="363"/>
        <v>47087</v>
      </c>
      <c r="AK58" s="220">
        <f t="shared" si="363"/>
        <v>47118</v>
      </c>
      <c r="AL58" s="220">
        <f t="shared" si="363"/>
        <v>47149</v>
      </c>
      <c r="AM58" s="220">
        <f t="shared" si="363"/>
        <v>47177</v>
      </c>
      <c r="AN58" s="220">
        <f t="shared" si="363"/>
        <v>47208</v>
      </c>
      <c r="AO58" s="220">
        <f t="shared" si="363"/>
        <v>47238</v>
      </c>
      <c r="AP58" s="220">
        <f t="shared" si="363"/>
        <v>47269</v>
      </c>
      <c r="AQ58" s="220">
        <f t="shared" si="363"/>
        <v>47299</v>
      </c>
      <c r="AR58" s="220">
        <f t="shared" si="363"/>
        <v>47330</v>
      </c>
      <c r="AS58" s="220">
        <f t="shared" si="363"/>
        <v>47361</v>
      </c>
      <c r="AT58" s="220">
        <f t="shared" si="363"/>
        <v>47391</v>
      </c>
      <c r="AU58" s="220">
        <f t="shared" si="363"/>
        <v>47422</v>
      </c>
      <c r="AV58" s="220">
        <f t="shared" si="363"/>
        <v>47452</v>
      </c>
      <c r="AW58" s="220">
        <f t="shared" si="363"/>
        <v>47483</v>
      </c>
      <c r="AX58" s="220">
        <f t="shared" si="363"/>
        <v>47514</v>
      </c>
      <c r="AY58" s="220">
        <f t="shared" si="363"/>
        <v>47542</v>
      </c>
      <c r="AZ58" s="220">
        <f t="shared" si="363"/>
        <v>47573</v>
      </c>
      <c r="BA58" s="220">
        <f t="shared" si="363"/>
        <v>47603</v>
      </c>
      <c r="BB58" s="220">
        <f t="shared" si="363"/>
        <v>47634</v>
      </c>
      <c r="BC58" s="220">
        <f t="shared" si="363"/>
        <v>47664</v>
      </c>
      <c r="BD58" s="220">
        <f t="shared" si="363"/>
        <v>47695</v>
      </c>
      <c r="BE58" s="220">
        <f t="shared" si="363"/>
        <v>47726</v>
      </c>
      <c r="BF58" s="220">
        <f t="shared" si="363"/>
        <v>47756</v>
      </c>
      <c r="BG58" s="220">
        <f t="shared" si="363"/>
        <v>47787</v>
      </c>
      <c r="BH58" s="220">
        <f t="shared" si="363"/>
        <v>47817</v>
      </c>
      <c r="BI58" s="220">
        <f t="shared" si="363"/>
        <v>47848</v>
      </c>
      <c r="BJ58" s="220">
        <f t="shared" si="363"/>
        <v>47879</v>
      </c>
      <c r="BK58" s="220">
        <f t="shared" si="363"/>
        <v>47907</v>
      </c>
      <c r="BL58" s="220">
        <f t="shared" si="363"/>
        <v>47938</v>
      </c>
      <c r="BM58" s="220">
        <f t="shared" si="363"/>
        <v>47968</v>
      </c>
      <c r="BN58" s="220">
        <f t="shared" si="363"/>
        <v>47999</v>
      </c>
      <c r="BO58" s="220">
        <f t="shared" si="363"/>
        <v>48029</v>
      </c>
      <c r="BP58" s="220">
        <f t="shared" si="363"/>
        <v>48060</v>
      </c>
      <c r="BQ58" s="220">
        <f t="shared" si="363"/>
        <v>48091</v>
      </c>
      <c r="BR58" s="220">
        <f t="shared" si="363"/>
        <v>48121</v>
      </c>
      <c r="BS58" s="220">
        <f t="shared" ref="BS58:ED58" si="365">EOMONTH(BR58,1)</f>
        <v>48152</v>
      </c>
      <c r="BT58" s="220">
        <f t="shared" si="365"/>
        <v>48182</v>
      </c>
      <c r="BU58" s="220">
        <f t="shared" si="365"/>
        <v>48213</v>
      </c>
      <c r="BV58" s="220">
        <f t="shared" si="365"/>
        <v>48244</v>
      </c>
      <c r="BW58" s="220">
        <f t="shared" si="365"/>
        <v>48273</v>
      </c>
      <c r="BX58" s="220">
        <f t="shared" si="365"/>
        <v>48304</v>
      </c>
      <c r="BY58" s="220">
        <f t="shared" si="365"/>
        <v>48334</v>
      </c>
      <c r="BZ58" s="220">
        <f t="shared" si="365"/>
        <v>48365</v>
      </c>
      <c r="CA58" s="220">
        <f t="shared" si="365"/>
        <v>48395</v>
      </c>
      <c r="CB58" s="220">
        <f t="shared" si="365"/>
        <v>48426</v>
      </c>
      <c r="CC58" s="220">
        <f t="shared" si="365"/>
        <v>48457</v>
      </c>
      <c r="CD58" s="220">
        <f t="shared" si="365"/>
        <v>48487</v>
      </c>
      <c r="CE58" s="220">
        <f t="shared" si="365"/>
        <v>48518</v>
      </c>
      <c r="CF58" s="220">
        <f t="shared" si="365"/>
        <v>48548</v>
      </c>
      <c r="CG58" s="220">
        <f t="shared" si="365"/>
        <v>48579</v>
      </c>
      <c r="CH58" s="220">
        <f t="shared" si="365"/>
        <v>48610</v>
      </c>
      <c r="CI58" s="220">
        <f t="shared" si="365"/>
        <v>48638</v>
      </c>
      <c r="CJ58" s="220">
        <f t="shared" si="365"/>
        <v>48669</v>
      </c>
      <c r="CK58" s="220">
        <f t="shared" si="365"/>
        <v>48699</v>
      </c>
      <c r="CL58" s="220">
        <f t="shared" si="365"/>
        <v>48730</v>
      </c>
      <c r="CM58" s="220">
        <f t="shared" si="365"/>
        <v>48760</v>
      </c>
      <c r="CN58" s="220">
        <f t="shared" si="365"/>
        <v>48791</v>
      </c>
      <c r="CO58" s="220">
        <f t="shared" si="365"/>
        <v>48822</v>
      </c>
      <c r="CP58" s="220">
        <f t="shared" si="365"/>
        <v>48852</v>
      </c>
      <c r="CQ58" s="220">
        <f t="shared" si="365"/>
        <v>48883</v>
      </c>
      <c r="CR58" s="220">
        <f t="shared" si="365"/>
        <v>48913</v>
      </c>
      <c r="CS58" s="220">
        <f t="shared" si="365"/>
        <v>48944</v>
      </c>
      <c r="CT58" s="220">
        <f t="shared" si="365"/>
        <v>48975</v>
      </c>
      <c r="CU58" s="220">
        <f t="shared" si="365"/>
        <v>49003</v>
      </c>
      <c r="CV58" s="220">
        <f t="shared" si="365"/>
        <v>49034</v>
      </c>
      <c r="CW58" s="220">
        <f t="shared" si="365"/>
        <v>49064</v>
      </c>
      <c r="CX58" s="220">
        <f t="shared" si="365"/>
        <v>49095</v>
      </c>
      <c r="CY58" s="220">
        <f t="shared" si="365"/>
        <v>49125</v>
      </c>
      <c r="CZ58" s="220">
        <f t="shared" si="365"/>
        <v>49156</v>
      </c>
      <c r="DA58" s="220">
        <f t="shared" si="365"/>
        <v>49187</v>
      </c>
      <c r="DB58" s="220">
        <f t="shared" si="365"/>
        <v>49217</v>
      </c>
      <c r="DC58" s="220">
        <f t="shared" si="365"/>
        <v>49248</v>
      </c>
      <c r="DD58" s="220">
        <f t="shared" si="365"/>
        <v>49278</v>
      </c>
      <c r="DE58" s="220">
        <f t="shared" si="365"/>
        <v>49309</v>
      </c>
      <c r="DF58" s="220">
        <f t="shared" si="365"/>
        <v>49340</v>
      </c>
      <c r="DG58" s="220">
        <f t="shared" si="365"/>
        <v>49368</v>
      </c>
      <c r="DH58" s="220">
        <f t="shared" si="365"/>
        <v>49399</v>
      </c>
      <c r="DI58" s="220">
        <f t="shared" si="365"/>
        <v>49429</v>
      </c>
      <c r="DJ58" s="220">
        <f t="shared" si="365"/>
        <v>49460</v>
      </c>
      <c r="DK58" s="220">
        <f t="shared" si="365"/>
        <v>49490</v>
      </c>
      <c r="DL58" s="220">
        <f t="shared" si="365"/>
        <v>49521</v>
      </c>
      <c r="DM58" s="220">
        <f t="shared" si="365"/>
        <v>49552</v>
      </c>
      <c r="DN58" s="220">
        <f t="shared" si="365"/>
        <v>49582</v>
      </c>
      <c r="DO58" s="220">
        <f t="shared" si="365"/>
        <v>49613</v>
      </c>
      <c r="DP58" s="220">
        <f t="shared" si="365"/>
        <v>49643</v>
      </c>
      <c r="DQ58" s="220">
        <f t="shared" si="365"/>
        <v>49674</v>
      </c>
      <c r="DR58" s="220">
        <f t="shared" si="365"/>
        <v>49705</v>
      </c>
      <c r="DS58" s="220">
        <f t="shared" si="365"/>
        <v>49734</v>
      </c>
      <c r="DT58" s="220">
        <f t="shared" si="365"/>
        <v>49765</v>
      </c>
      <c r="DU58" s="220">
        <f t="shared" si="365"/>
        <v>49795</v>
      </c>
      <c r="DV58" s="220">
        <f t="shared" si="365"/>
        <v>49826</v>
      </c>
      <c r="DW58" s="220">
        <f t="shared" si="365"/>
        <v>49856</v>
      </c>
      <c r="DX58" s="220">
        <f t="shared" si="365"/>
        <v>49887</v>
      </c>
      <c r="DY58" s="220">
        <f t="shared" si="365"/>
        <v>49918</v>
      </c>
      <c r="DZ58" s="220">
        <f t="shared" si="365"/>
        <v>49948</v>
      </c>
      <c r="EA58" s="220">
        <f t="shared" si="365"/>
        <v>49979</v>
      </c>
      <c r="EB58" s="220">
        <f t="shared" si="365"/>
        <v>50009</v>
      </c>
      <c r="EC58" s="220">
        <f t="shared" si="365"/>
        <v>50040</v>
      </c>
      <c r="ED58" s="220">
        <f t="shared" si="365"/>
        <v>50071</v>
      </c>
      <c r="EE58" s="220">
        <f t="shared" ref="EE58:FC58" si="366">EOMONTH(ED58,1)</f>
        <v>50099</v>
      </c>
      <c r="EF58" s="220">
        <f t="shared" si="366"/>
        <v>50130</v>
      </c>
      <c r="EG58" s="220">
        <f t="shared" si="366"/>
        <v>50160</v>
      </c>
      <c r="EH58" s="220">
        <f t="shared" si="366"/>
        <v>50191</v>
      </c>
      <c r="EI58" s="220">
        <f t="shared" si="366"/>
        <v>50221</v>
      </c>
      <c r="EJ58" s="220">
        <f t="shared" si="366"/>
        <v>50252</v>
      </c>
      <c r="EK58" s="220">
        <f t="shared" si="366"/>
        <v>50283</v>
      </c>
      <c r="EL58" s="220">
        <f t="shared" si="366"/>
        <v>50313</v>
      </c>
      <c r="EM58" s="220">
        <f t="shared" si="366"/>
        <v>50344</v>
      </c>
      <c r="EN58" s="220">
        <f t="shared" si="366"/>
        <v>50374</v>
      </c>
      <c r="EO58" s="220">
        <f t="shared" si="366"/>
        <v>50405</v>
      </c>
      <c r="EP58" s="220">
        <f t="shared" si="366"/>
        <v>50436</v>
      </c>
      <c r="EQ58" s="220">
        <f t="shared" si="366"/>
        <v>50464</v>
      </c>
      <c r="ER58" s="220">
        <f t="shared" si="366"/>
        <v>50495</v>
      </c>
      <c r="ES58" s="220">
        <f t="shared" si="366"/>
        <v>50525</v>
      </c>
      <c r="ET58" s="220">
        <f t="shared" si="366"/>
        <v>50556</v>
      </c>
      <c r="EU58" s="220">
        <f t="shared" si="366"/>
        <v>50586</v>
      </c>
      <c r="EV58" s="220">
        <f t="shared" si="366"/>
        <v>50617</v>
      </c>
      <c r="EW58" s="220">
        <f t="shared" si="366"/>
        <v>50648</v>
      </c>
      <c r="EX58" s="220">
        <f t="shared" si="366"/>
        <v>50678</v>
      </c>
      <c r="EY58" s="220">
        <f t="shared" si="366"/>
        <v>50709</v>
      </c>
      <c r="EZ58" s="220">
        <f t="shared" si="366"/>
        <v>50739</v>
      </c>
      <c r="FA58" s="220">
        <f t="shared" si="366"/>
        <v>50770</v>
      </c>
      <c r="FB58" s="220">
        <f t="shared" si="366"/>
        <v>50801</v>
      </c>
      <c r="FC58" s="220">
        <f t="shared" si="366"/>
        <v>50829</v>
      </c>
      <c r="FD58" s="220">
        <f t="shared" ref="FD58" si="367">EOMONTH(FC58,1)</f>
        <v>50860</v>
      </c>
      <c r="FE58" s="220">
        <f t="shared" ref="FE58:FF58" si="368">EOMONTH(FD58,1)</f>
        <v>50890</v>
      </c>
      <c r="FF58" s="220">
        <f t="shared" si="368"/>
        <v>50921</v>
      </c>
      <c r="FG58" s="318"/>
      <c r="FH58" s="48"/>
      <c r="FI58" s="48"/>
      <c r="FJ58" s="48"/>
      <c r="FK58" s="48"/>
      <c r="FL58" s="48"/>
      <c r="FM58" s="48"/>
      <c r="FN58" s="48"/>
      <c r="FO58" s="48"/>
      <c r="FP58" s="48"/>
      <c r="FQ58" s="48"/>
      <c r="FR58" s="48"/>
      <c r="FS58" s="48"/>
      <c r="FT58" s="48"/>
      <c r="FU58" s="48"/>
      <c r="FV58" s="312"/>
    </row>
    <row r="59" spans="2:180" x14ac:dyDescent="0.2">
      <c r="C59" s="221" t="s">
        <v>174</v>
      </c>
      <c r="D59" s="222"/>
      <c r="E59" s="223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22"/>
      <c r="AG59" s="222"/>
      <c r="AH59" s="222"/>
      <c r="AI59" s="222"/>
      <c r="AJ59" s="222"/>
      <c r="AK59" s="222"/>
      <c r="AL59" s="222"/>
      <c r="AM59" s="222"/>
      <c r="AN59" s="222"/>
      <c r="AO59" s="222"/>
      <c r="AP59" s="222"/>
      <c r="AQ59" s="222"/>
      <c r="AR59" s="222"/>
      <c r="AS59" s="222"/>
      <c r="AT59" s="222"/>
      <c r="AU59" s="222"/>
      <c r="AV59" s="222"/>
      <c r="AW59" s="222"/>
      <c r="AX59" s="222"/>
      <c r="AY59" s="222"/>
      <c r="AZ59" s="222"/>
      <c r="BA59" s="222"/>
      <c r="BB59" s="222"/>
      <c r="BC59" s="222"/>
      <c r="BD59" s="222"/>
      <c r="BE59" s="222"/>
      <c r="BF59" s="222"/>
      <c r="BG59" s="222"/>
      <c r="BH59" s="222"/>
      <c r="BI59" s="222"/>
      <c r="BJ59" s="222"/>
      <c r="BK59" s="222"/>
      <c r="BL59" s="222"/>
      <c r="BM59" s="222"/>
      <c r="BN59" s="222"/>
      <c r="BO59" s="222"/>
      <c r="BP59" s="222"/>
      <c r="BQ59" s="222"/>
      <c r="BR59" s="222"/>
      <c r="BS59" s="222"/>
      <c r="BT59" s="222"/>
      <c r="BU59" s="222"/>
      <c r="BV59" s="222"/>
      <c r="BW59" s="222"/>
      <c r="BX59" s="222"/>
      <c r="BY59" s="222"/>
      <c r="BZ59" s="222"/>
      <c r="CA59" s="222"/>
      <c r="CB59" s="222"/>
      <c r="CC59" s="222"/>
      <c r="CD59" s="222"/>
      <c r="CE59" s="222"/>
      <c r="CF59" s="222"/>
      <c r="CG59" s="222"/>
      <c r="CH59" s="222"/>
      <c r="CI59" s="222"/>
      <c r="CJ59" s="222"/>
      <c r="CK59" s="222"/>
      <c r="CL59" s="222"/>
      <c r="CM59" s="222"/>
      <c r="CN59" s="222"/>
      <c r="CO59" s="222"/>
      <c r="CP59" s="222"/>
      <c r="CQ59" s="222"/>
      <c r="CR59" s="222"/>
      <c r="CS59" s="222"/>
      <c r="CT59" s="222"/>
      <c r="CU59" s="222"/>
      <c r="CV59" s="222"/>
      <c r="CW59" s="222"/>
      <c r="CX59" s="222"/>
      <c r="CY59" s="222"/>
      <c r="CZ59" s="222"/>
      <c r="DA59" s="222"/>
      <c r="DB59" s="222"/>
      <c r="DC59" s="222"/>
      <c r="DD59" s="222"/>
      <c r="DE59" s="222"/>
      <c r="DF59" s="222"/>
      <c r="DG59" s="222"/>
      <c r="DH59" s="222"/>
      <c r="DI59" s="222"/>
      <c r="DJ59" s="222"/>
      <c r="DK59" s="222"/>
      <c r="DL59" s="222"/>
      <c r="DM59" s="222"/>
      <c r="DN59" s="222"/>
      <c r="DO59" s="222"/>
      <c r="DP59" s="222"/>
      <c r="DQ59" s="222"/>
      <c r="DR59" s="222"/>
      <c r="DS59" s="222"/>
      <c r="DT59" s="222"/>
      <c r="DU59" s="222"/>
      <c r="DV59" s="222"/>
      <c r="DW59" s="222"/>
      <c r="DX59" s="222"/>
      <c r="DY59" s="222"/>
      <c r="DZ59" s="222"/>
      <c r="EA59" s="222"/>
      <c r="EB59" s="222"/>
      <c r="EC59" s="222"/>
      <c r="ED59" s="222"/>
      <c r="EE59" s="222"/>
      <c r="EF59" s="222"/>
      <c r="EG59" s="222"/>
      <c r="EH59" s="222"/>
      <c r="EI59" s="222"/>
      <c r="EJ59" s="222"/>
      <c r="EK59" s="222"/>
      <c r="EL59" s="222"/>
      <c r="EM59" s="222"/>
      <c r="EN59" s="222"/>
      <c r="EO59" s="222"/>
      <c r="EP59" s="222"/>
      <c r="EQ59" s="222"/>
      <c r="ER59" s="222"/>
      <c r="ES59" s="222"/>
      <c r="ET59" s="222"/>
      <c r="EU59" s="222"/>
      <c r="EV59" s="222"/>
      <c r="EW59" s="222"/>
      <c r="EX59" s="222"/>
      <c r="EY59" s="222"/>
      <c r="EZ59" s="222"/>
      <c r="FA59" s="222"/>
      <c r="FB59" s="222"/>
      <c r="FC59" s="222"/>
      <c r="FD59" s="222"/>
      <c r="FE59" s="222"/>
      <c r="FF59" s="222"/>
      <c r="FH59" s="222"/>
      <c r="FI59" s="222"/>
      <c r="FJ59" s="222"/>
      <c r="FK59" s="222"/>
      <c r="FL59" s="222"/>
      <c r="FM59" s="222"/>
      <c r="FN59" s="222"/>
      <c r="FO59" s="222"/>
      <c r="FP59" s="222"/>
      <c r="FQ59" s="222"/>
      <c r="FR59" s="222"/>
      <c r="FS59" s="222"/>
      <c r="FT59" s="222"/>
      <c r="FU59" s="222"/>
    </row>
    <row r="60" spans="2:180" hidden="1" outlineLevel="1" x14ac:dyDescent="0.2">
      <c r="C60" s="47" t="s">
        <v>150</v>
      </c>
      <c r="E60" s="224"/>
    </row>
    <row r="61" spans="2:180" hidden="1" outlineLevel="1" x14ac:dyDescent="0.2">
      <c r="B61" s="47"/>
      <c r="C61" s="39" t="str">
        <f>K28</f>
        <v>Market Rent</v>
      </c>
      <c r="E61" s="224"/>
      <c r="F61" s="225">
        <v>0</v>
      </c>
      <c r="G61" s="225">
        <f t="shared" ref="G61:AL61" si="369">IFERROR(INDEX($M28:$Q28,MATCH(YEAR(G$58),$M$27:$Q$27,0))/12,F61)</f>
        <v>2.5000000000000001E-3</v>
      </c>
      <c r="H61" s="225">
        <f t="shared" si="369"/>
        <v>2.5000000000000001E-3</v>
      </c>
      <c r="I61" s="225">
        <f t="shared" si="369"/>
        <v>2.5000000000000001E-3</v>
      </c>
      <c r="J61" s="225">
        <f t="shared" si="369"/>
        <v>2.5000000000000001E-3</v>
      </c>
      <c r="K61" s="225">
        <f t="shared" si="369"/>
        <v>2.5000000000000001E-3</v>
      </c>
      <c r="L61" s="225">
        <f t="shared" si="369"/>
        <v>2.5000000000000001E-3</v>
      </c>
      <c r="M61" s="225">
        <f t="shared" si="369"/>
        <v>2.5000000000000001E-3</v>
      </c>
      <c r="N61" s="225">
        <f t="shared" si="369"/>
        <v>2.5000000000000001E-3</v>
      </c>
      <c r="O61" s="225">
        <f t="shared" si="369"/>
        <v>2.5000000000000001E-3</v>
      </c>
      <c r="P61" s="225">
        <f t="shared" si="369"/>
        <v>2.5000000000000001E-3</v>
      </c>
      <c r="Q61" s="225">
        <f t="shared" si="369"/>
        <v>2.5000000000000001E-3</v>
      </c>
      <c r="R61" s="225">
        <f t="shared" si="369"/>
        <v>2.5000000000000001E-3</v>
      </c>
      <c r="S61" s="225">
        <f t="shared" si="369"/>
        <v>2.5000000000000001E-3</v>
      </c>
      <c r="T61" s="225">
        <f t="shared" si="369"/>
        <v>2.5000000000000001E-3</v>
      </c>
      <c r="U61" s="225">
        <f t="shared" si="369"/>
        <v>2.5000000000000001E-3</v>
      </c>
      <c r="V61" s="225">
        <f t="shared" si="369"/>
        <v>2.5000000000000001E-3</v>
      </c>
      <c r="W61" s="225">
        <f t="shared" si="369"/>
        <v>2.5000000000000001E-3</v>
      </c>
      <c r="X61" s="225">
        <f t="shared" si="369"/>
        <v>2.5000000000000001E-3</v>
      </c>
      <c r="Y61" s="225">
        <f t="shared" si="369"/>
        <v>2.5000000000000001E-3</v>
      </c>
      <c r="Z61" s="225">
        <f t="shared" si="369"/>
        <v>2.5000000000000001E-3</v>
      </c>
      <c r="AA61" s="225">
        <f t="shared" si="369"/>
        <v>2.5000000000000001E-3</v>
      </c>
      <c r="AB61" s="225">
        <f t="shared" si="369"/>
        <v>2.5000000000000001E-3</v>
      </c>
      <c r="AC61" s="225">
        <f t="shared" si="369"/>
        <v>2.5000000000000001E-3</v>
      </c>
      <c r="AD61" s="225">
        <f t="shared" si="369"/>
        <v>2.5000000000000001E-3</v>
      </c>
      <c r="AE61" s="225">
        <f t="shared" si="369"/>
        <v>2.5000000000000001E-3</v>
      </c>
      <c r="AF61" s="225">
        <f t="shared" si="369"/>
        <v>2.5000000000000001E-3</v>
      </c>
      <c r="AG61" s="225">
        <f t="shared" si="369"/>
        <v>2.5000000000000001E-3</v>
      </c>
      <c r="AH61" s="225">
        <f t="shared" si="369"/>
        <v>2.5000000000000001E-3</v>
      </c>
      <c r="AI61" s="225">
        <f t="shared" si="369"/>
        <v>2.5000000000000001E-3</v>
      </c>
      <c r="AJ61" s="225">
        <f t="shared" si="369"/>
        <v>2.5000000000000001E-3</v>
      </c>
      <c r="AK61" s="225">
        <f t="shared" si="369"/>
        <v>2.5000000000000001E-3</v>
      </c>
      <c r="AL61" s="225">
        <f t="shared" si="369"/>
        <v>2.5000000000000001E-3</v>
      </c>
      <c r="AM61" s="225">
        <f t="shared" ref="AM61:BR61" si="370">IFERROR(INDEX($M28:$Q28,MATCH(YEAR(AM$58),$M$27:$Q$27,0))/12,AL61)</f>
        <v>2.5000000000000001E-3</v>
      </c>
      <c r="AN61" s="225">
        <f t="shared" si="370"/>
        <v>2.5000000000000001E-3</v>
      </c>
      <c r="AO61" s="225">
        <f t="shared" si="370"/>
        <v>2.5000000000000001E-3</v>
      </c>
      <c r="AP61" s="225">
        <f t="shared" si="370"/>
        <v>2.5000000000000001E-3</v>
      </c>
      <c r="AQ61" s="225">
        <f t="shared" si="370"/>
        <v>2.5000000000000001E-3</v>
      </c>
      <c r="AR61" s="225">
        <f t="shared" si="370"/>
        <v>2.5000000000000001E-3</v>
      </c>
      <c r="AS61" s="225">
        <f t="shared" si="370"/>
        <v>2.5000000000000001E-3</v>
      </c>
      <c r="AT61" s="225">
        <f t="shared" si="370"/>
        <v>2.5000000000000001E-3</v>
      </c>
      <c r="AU61" s="225">
        <f t="shared" si="370"/>
        <v>2.5000000000000001E-3</v>
      </c>
      <c r="AV61" s="225">
        <f t="shared" si="370"/>
        <v>2.5000000000000001E-3</v>
      </c>
      <c r="AW61" s="225">
        <f t="shared" si="370"/>
        <v>2.5000000000000001E-3</v>
      </c>
      <c r="AX61" s="225">
        <f t="shared" si="370"/>
        <v>2.5000000000000001E-3</v>
      </c>
      <c r="AY61" s="225">
        <f t="shared" si="370"/>
        <v>2.5000000000000001E-3</v>
      </c>
      <c r="AZ61" s="225">
        <f t="shared" si="370"/>
        <v>2.5000000000000001E-3</v>
      </c>
      <c r="BA61" s="225">
        <f t="shared" si="370"/>
        <v>2.5000000000000001E-3</v>
      </c>
      <c r="BB61" s="225">
        <f t="shared" si="370"/>
        <v>2.5000000000000001E-3</v>
      </c>
      <c r="BC61" s="225">
        <f t="shared" si="370"/>
        <v>2.5000000000000001E-3</v>
      </c>
      <c r="BD61" s="225">
        <f t="shared" si="370"/>
        <v>2.5000000000000001E-3</v>
      </c>
      <c r="BE61" s="225">
        <f t="shared" si="370"/>
        <v>2.5000000000000001E-3</v>
      </c>
      <c r="BF61" s="225">
        <f t="shared" si="370"/>
        <v>2.5000000000000001E-3</v>
      </c>
      <c r="BG61" s="225">
        <f t="shared" si="370"/>
        <v>2.5000000000000001E-3</v>
      </c>
      <c r="BH61" s="225">
        <f t="shared" si="370"/>
        <v>2.5000000000000001E-3</v>
      </c>
      <c r="BI61" s="225">
        <f t="shared" si="370"/>
        <v>2.5000000000000001E-3</v>
      </c>
      <c r="BJ61" s="225">
        <f t="shared" si="370"/>
        <v>2.5000000000000001E-3</v>
      </c>
      <c r="BK61" s="225">
        <f t="shared" si="370"/>
        <v>2.5000000000000001E-3</v>
      </c>
      <c r="BL61" s="225">
        <f t="shared" si="370"/>
        <v>2.5000000000000001E-3</v>
      </c>
      <c r="BM61" s="225">
        <f t="shared" si="370"/>
        <v>2.5000000000000001E-3</v>
      </c>
      <c r="BN61" s="225">
        <f t="shared" si="370"/>
        <v>2.5000000000000001E-3</v>
      </c>
      <c r="BO61" s="225">
        <f t="shared" si="370"/>
        <v>2.5000000000000001E-3</v>
      </c>
      <c r="BP61" s="225">
        <f t="shared" si="370"/>
        <v>2.5000000000000001E-3</v>
      </c>
      <c r="BQ61" s="225">
        <f t="shared" si="370"/>
        <v>2.5000000000000001E-3</v>
      </c>
      <c r="BR61" s="225">
        <f t="shared" si="370"/>
        <v>2.5000000000000001E-3</v>
      </c>
      <c r="BS61" s="225">
        <f t="shared" ref="BS61:CX61" si="371">IFERROR(INDEX($M28:$Q28,MATCH(YEAR(BS$58),$M$27:$Q$27,0))/12,BR61)</f>
        <v>2.5000000000000001E-3</v>
      </c>
      <c r="BT61" s="225">
        <f t="shared" si="371"/>
        <v>2.5000000000000001E-3</v>
      </c>
      <c r="BU61" s="225">
        <f t="shared" si="371"/>
        <v>2.5000000000000001E-3</v>
      </c>
      <c r="BV61" s="225">
        <f t="shared" si="371"/>
        <v>2.5000000000000001E-3</v>
      </c>
      <c r="BW61" s="225">
        <f t="shared" si="371"/>
        <v>2.5000000000000001E-3</v>
      </c>
      <c r="BX61" s="225">
        <f t="shared" si="371"/>
        <v>2.5000000000000001E-3</v>
      </c>
      <c r="BY61" s="225">
        <f t="shared" si="371"/>
        <v>2.5000000000000001E-3</v>
      </c>
      <c r="BZ61" s="225">
        <f t="shared" si="371"/>
        <v>2.5000000000000001E-3</v>
      </c>
      <c r="CA61" s="225">
        <f t="shared" si="371"/>
        <v>2.5000000000000001E-3</v>
      </c>
      <c r="CB61" s="225">
        <f t="shared" si="371"/>
        <v>2.5000000000000001E-3</v>
      </c>
      <c r="CC61" s="225">
        <f t="shared" si="371"/>
        <v>2.5000000000000001E-3</v>
      </c>
      <c r="CD61" s="225">
        <f t="shared" si="371"/>
        <v>2.5000000000000001E-3</v>
      </c>
      <c r="CE61" s="225">
        <f t="shared" si="371"/>
        <v>2.5000000000000001E-3</v>
      </c>
      <c r="CF61" s="225">
        <f t="shared" si="371"/>
        <v>2.5000000000000001E-3</v>
      </c>
      <c r="CG61" s="225">
        <f t="shared" si="371"/>
        <v>2.5000000000000001E-3</v>
      </c>
      <c r="CH61" s="225">
        <f t="shared" si="371"/>
        <v>2.5000000000000001E-3</v>
      </c>
      <c r="CI61" s="225">
        <f t="shared" si="371"/>
        <v>2.5000000000000001E-3</v>
      </c>
      <c r="CJ61" s="225">
        <f t="shared" si="371"/>
        <v>2.5000000000000001E-3</v>
      </c>
      <c r="CK61" s="225">
        <f t="shared" si="371"/>
        <v>2.5000000000000001E-3</v>
      </c>
      <c r="CL61" s="225">
        <f t="shared" si="371"/>
        <v>2.5000000000000001E-3</v>
      </c>
      <c r="CM61" s="225">
        <f t="shared" si="371"/>
        <v>2.5000000000000001E-3</v>
      </c>
      <c r="CN61" s="225">
        <f t="shared" si="371"/>
        <v>2.5000000000000001E-3</v>
      </c>
      <c r="CO61" s="225">
        <f t="shared" si="371"/>
        <v>2.5000000000000001E-3</v>
      </c>
      <c r="CP61" s="225">
        <f t="shared" si="371"/>
        <v>2.5000000000000001E-3</v>
      </c>
      <c r="CQ61" s="225">
        <f t="shared" si="371"/>
        <v>2.5000000000000001E-3</v>
      </c>
      <c r="CR61" s="225">
        <f t="shared" si="371"/>
        <v>2.5000000000000001E-3</v>
      </c>
      <c r="CS61" s="225">
        <f t="shared" si="371"/>
        <v>2.5000000000000001E-3</v>
      </c>
      <c r="CT61" s="225">
        <f t="shared" si="371"/>
        <v>2.5000000000000001E-3</v>
      </c>
      <c r="CU61" s="225">
        <f t="shared" si="371"/>
        <v>2.5000000000000001E-3</v>
      </c>
      <c r="CV61" s="225">
        <f t="shared" si="371"/>
        <v>2.5000000000000001E-3</v>
      </c>
      <c r="CW61" s="225">
        <f t="shared" si="371"/>
        <v>2.5000000000000001E-3</v>
      </c>
      <c r="CX61" s="225">
        <f t="shared" si="371"/>
        <v>2.5000000000000001E-3</v>
      </c>
      <c r="CY61" s="225">
        <f t="shared" ref="CY61:ED61" si="372">IFERROR(INDEX($M28:$Q28,MATCH(YEAR(CY$58),$M$27:$Q$27,0))/12,CX61)</f>
        <v>2.5000000000000001E-3</v>
      </c>
      <c r="CZ61" s="225">
        <f t="shared" si="372"/>
        <v>2.5000000000000001E-3</v>
      </c>
      <c r="DA61" s="225">
        <f t="shared" si="372"/>
        <v>2.5000000000000001E-3</v>
      </c>
      <c r="DB61" s="225">
        <f t="shared" si="372"/>
        <v>2.5000000000000001E-3</v>
      </c>
      <c r="DC61" s="225">
        <f t="shared" si="372"/>
        <v>2.5000000000000001E-3</v>
      </c>
      <c r="DD61" s="225">
        <f t="shared" si="372"/>
        <v>2.5000000000000001E-3</v>
      </c>
      <c r="DE61" s="225">
        <f t="shared" si="372"/>
        <v>2.5000000000000001E-3</v>
      </c>
      <c r="DF61" s="225">
        <f t="shared" si="372"/>
        <v>2.5000000000000001E-3</v>
      </c>
      <c r="DG61" s="225">
        <f t="shared" si="372"/>
        <v>2.5000000000000001E-3</v>
      </c>
      <c r="DH61" s="225">
        <f t="shared" si="372"/>
        <v>2.5000000000000001E-3</v>
      </c>
      <c r="DI61" s="225">
        <f t="shared" si="372"/>
        <v>2.5000000000000001E-3</v>
      </c>
      <c r="DJ61" s="225">
        <f t="shared" si="372"/>
        <v>2.5000000000000001E-3</v>
      </c>
      <c r="DK61" s="225">
        <f t="shared" si="372"/>
        <v>2.5000000000000001E-3</v>
      </c>
      <c r="DL61" s="225">
        <f t="shared" si="372"/>
        <v>2.5000000000000001E-3</v>
      </c>
      <c r="DM61" s="225">
        <f t="shared" si="372"/>
        <v>2.5000000000000001E-3</v>
      </c>
      <c r="DN61" s="225">
        <f t="shared" si="372"/>
        <v>2.5000000000000001E-3</v>
      </c>
      <c r="DO61" s="225">
        <f t="shared" si="372"/>
        <v>2.5000000000000001E-3</v>
      </c>
      <c r="DP61" s="225">
        <f t="shared" si="372"/>
        <v>2.5000000000000001E-3</v>
      </c>
      <c r="DQ61" s="225">
        <f t="shared" si="372"/>
        <v>2.5000000000000001E-3</v>
      </c>
      <c r="DR61" s="225">
        <f t="shared" si="372"/>
        <v>2.5000000000000001E-3</v>
      </c>
      <c r="DS61" s="225">
        <f t="shared" si="372"/>
        <v>2.5000000000000001E-3</v>
      </c>
      <c r="DT61" s="225">
        <f t="shared" si="372"/>
        <v>2.5000000000000001E-3</v>
      </c>
      <c r="DU61" s="225">
        <f t="shared" si="372"/>
        <v>2.5000000000000001E-3</v>
      </c>
      <c r="DV61" s="225">
        <f t="shared" si="372"/>
        <v>2.5000000000000001E-3</v>
      </c>
      <c r="DW61" s="225">
        <f t="shared" si="372"/>
        <v>2.5000000000000001E-3</v>
      </c>
      <c r="DX61" s="225">
        <f t="shared" si="372"/>
        <v>2.5000000000000001E-3</v>
      </c>
      <c r="DY61" s="225">
        <f t="shared" si="372"/>
        <v>2.5000000000000001E-3</v>
      </c>
      <c r="DZ61" s="225">
        <f t="shared" si="372"/>
        <v>2.5000000000000001E-3</v>
      </c>
      <c r="EA61" s="225">
        <f t="shared" si="372"/>
        <v>2.5000000000000001E-3</v>
      </c>
      <c r="EB61" s="225">
        <f t="shared" si="372"/>
        <v>2.5000000000000001E-3</v>
      </c>
      <c r="EC61" s="225">
        <f t="shared" si="372"/>
        <v>2.5000000000000001E-3</v>
      </c>
      <c r="ED61" s="225">
        <f t="shared" si="372"/>
        <v>2.5000000000000001E-3</v>
      </c>
      <c r="EE61" s="225">
        <f t="shared" ref="EE61:FF61" si="373">IFERROR(INDEX($M28:$Q28,MATCH(YEAR(EE$58),$M$27:$Q$27,0))/12,ED61)</f>
        <v>2.5000000000000001E-3</v>
      </c>
      <c r="EF61" s="225">
        <f t="shared" si="373"/>
        <v>2.5000000000000001E-3</v>
      </c>
      <c r="EG61" s="225">
        <f t="shared" si="373"/>
        <v>2.5000000000000001E-3</v>
      </c>
      <c r="EH61" s="225">
        <f t="shared" si="373"/>
        <v>2.5000000000000001E-3</v>
      </c>
      <c r="EI61" s="225">
        <f t="shared" si="373"/>
        <v>2.5000000000000001E-3</v>
      </c>
      <c r="EJ61" s="225">
        <f t="shared" si="373"/>
        <v>2.5000000000000001E-3</v>
      </c>
      <c r="EK61" s="225">
        <f t="shared" si="373"/>
        <v>2.5000000000000001E-3</v>
      </c>
      <c r="EL61" s="225">
        <f t="shared" si="373"/>
        <v>2.5000000000000001E-3</v>
      </c>
      <c r="EM61" s="225">
        <f t="shared" si="373"/>
        <v>2.5000000000000001E-3</v>
      </c>
      <c r="EN61" s="225">
        <f t="shared" si="373"/>
        <v>2.5000000000000001E-3</v>
      </c>
      <c r="EO61" s="225">
        <f t="shared" si="373"/>
        <v>2.5000000000000001E-3</v>
      </c>
      <c r="EP61" s="225">
        <f t="shared" si="373"/>
        <v>2.5000000000000001E-3</v>
      </c>
      <c r="EQ61" s="225">
        <f t="shared" si="373"/>
        <v>2.5000000000000001E-3</v>
      </c>
      <c r="ER61" s="225">
        <f t="shared" si="373"/>
        <v>2.5000000000000001E-3</v>
      </c>
      <c r="ES61" s="225">
        <f t="shared" si="373"/>
        <v>2.5000000000000001E-3</v>
      </c>
      <c r="ET61" s="225">
        <f t="shared" si="373"/>
        <v>2.5000000000000001E-3</v>
      </c>
      <c r="EU61" s="225">
        <f t="shared" si="373"/>
        <v>2.5000000000000001E-3</v>
      </c>
      <c r="EV61" s="225">
        <f t="shared" si="373"/>
        <v>2.5000000000000001E-3</v>
      </c>
      <c r="EW61" s="225">
        <f t="shared" si="373"/>
        <v>2.5000000000000001E-3</v>
      </c>
      <c r="EX61" s="225">
        <f t="shared" si="373"/>
        <v>2.5000000000000001E-3</v>
      </c>
      <c r="EY61" s="225">
        <f t="shared" si="373"/>
        <v>2.5000000000000001E-3</v>
      </c>
      <c r="EZ61" s="225">
        <f t="shared" si="373"/>
        <v>2.5000000000000001E-3</v>
      </c>
      <c r="FA61" s="225">
        <f t="shared" si="373"/>
        <v>2.5000000000000001E-3</v>
      </c>
      <c r="FB61" s="225">
        <f t="shared" si="373"/>
        <v>2.5000000000000001E-3</v>
      </c>
      <c r="FC61" s="225">
        <f t="shared" si="373"/>
        <v>2.5000000000000001E-3</v>
      </c>
      <c r="FD61" s="225">
        <f t="shared" si="373"/>
        <v>2.5000000000000001E-3</v>
      </c>
      <c r="FE61" s="225">
        <f t="shared" si="373"/>
        <v>2.5000000000000001E-3</v>
      </c>
      <c r="FF61" s="225">
        <f t="shared" si="373"/>
        <v>2.5000000000000001E-3</v>
      </c>
      <c r="FG61" s="315"/>
      <c r="FH61" s="225">
        <f t="shared" ref="FH61" si="374">IFERROR(INDEX($M28:$Q28,MATCH(YEAR(FH$58),$M$27:$Q$27,0))/12,EZ61)</f>
        <v>2.5000000000000001E-3</v>
      </c>
      <c r="FI61" s="225"/>
      <c r="FJ61" s="225"/>
      <c r="FK61" s="225"/>
      <c r="FL61" s="225"/>
      <c r="FM61" s="225">
        <f>IFERROR(INDEX($M28:$Q28,MATCH(YEAR(FM$58),$M$27:$Q$27,0))/12,FA61)</f>
        <v>2.5000000000000001E-3</v>
      </c>
      <c r="FN61" s="225">
        <f>IFERROR(INDEX($M28:$Q28,MATCH(YEAR(FN$58),$M$27:$Q$27,0))/12,FB61)</f>
        <v>2.5000000000000001E-3</v>
      </c>
      <c r="FO61" s="225">
        <f>IFERROR(INDEX($M28:$Q28,MATCH(YEAR(FO$58),$M$27:$Q$27,0))/12,FC61)</f>
        <v>2.5000000000000001E-3</v>
      </c>
      <c r="FP61" s="225">
        <f>IFERROR(INDEX($M28:$Q28,MATCH(YEAR(FP$58),$M$27:$Q$27,0))/12,FD61)</f>
        <v>2.5000000000000001E-3</v>
      </c>
      <c r="FQ61" s="225"/>
      <c r="FR61" s="225"/>
      <c r="FS61" s="225"/>
      <c r="FT61" s="225"/>
      <c r="FU61" s="225"/>
      <c r="FV61" s="315"/>
    </row>
    <row r="62" spans="2:180" s="216" customFormat="1" hidden="1" outlineLevel="1" x14ac:dyDescent="0.2">
      <c r="B62" s="226"/>
      <c r="C62" s="216" t="s">
        <v>154</v>
      </c>
      <c r="E62" s="227"/>
      <c r="F62" s="228">
        <v>1</v>
      </c>
      <c r="G62" s="228">
        <f>F62*(1+G61)</f>
        <v>1.0024999999999999</v>
      </c>
      <c r="H62" s="228">
        <f t="shared" ref="H62:BS62" si="375">G62*(1+H61)</f>
        <v>1.0050062499999999</v>
      </c>
      <c r="I62" s="228">
        <f t="shared" si="375"/>
        <v>1.0075187656249998</v>
      </c>
      <c r="J62" s="228">
        <f t="shared" si="375"/>
        <v>1.0100375625390623</v>
      </c>
      <c r="K62" s="228">
        <f t="shared" si="375"/>
        <v>1.01256265644541</v>
      </c>
      <c r="L62" s="228">
        <f t="shared" si="375"/>
        <v>1.0150940630865235</v>
      </c>
      <c r="M62" s="228">
        <f t="shared" si="375"/>
        <v>1.0176317982442398</v>
      </c>
      <c r="N62" s="228">
        <f t="shared" si="375"/>
        <v>1.0201758777398504</v>
      </c>
      <c r="O62" s="228">
        <f t="shared" si="375"/>
        <v>1.0227263174342001</v>
      </c>
      <c r="P62" s="228">
        <f t="shared" si="375"/>
        <v>1.0252831332277854</v>
      </c>
      <c r="Q62" s="228">
        <f t="shared" si="375"/>
        <v>1.0278463410608549</v>
      </c>
      <c r="R62" s="228">
        <f t="shared" si="375"/>
        <v>1.030415956913507</v>
      </c>
      <c r="S62" s="228">
        <f t="shared" si="375"/>
        <v>1.0329919968057906</v>
      </c>
      <c r="T62" s="228">
        <f t="shared" si="375"/>
        <v>1.035574476797805</v>
      </c>
      <c r="U62" s="228">
        <f t="shared" si="375"/>
        <v>1.0381634129897994</v>
      </c>
      <c r="V62" s="228">
        <f t="shared" si="375"/>
        <v>1.0407588215222738</v>
      </c>
      <c r="W62" s="228">
        <f t="shared" si="375"/>
        <v>1.0433607185760794</v>
      </c>
      <c r="X62" s="228">
        <f t="shared" si="375"/>
        <v>1.0459691203725194</v>
      </c>
      <c r="Y62" s="228">
        <f t="shared" si="375"/>
        <v>1.0485840431734508</v>
      </c>
      <c r="Z62" s="228">
        <f t="shared" si="375"/>
        <v>1.0512055032813843</v>
      </c>
      <c r="AA62" s="228">
        <f t="shared" si="375"/>
        <v>1.0538335170395876</v>
      </c>
      <c r="AB62" s="228">
        <f t="shared" si="375"/>
        <v>1.0564681008321866</v>
      </c>
      <c r="AC62" s="228">
        <f t="shared" si="375"/>
        <v>1.0591092710842669</v>
      </c>
      <c r="AD62" s="228">
        <f t="shared" si="375"/>
        <v>1.0617570442619775</v>
      </c>
      <c r="AE62" s="228">
        <f t="shared" si="375"/>
        <v>1.0644114368726323</v>
      </c>
      <c r="AF62" s="228">
        <f t="shared" si="375"/>
        <v>1.0670724654648138</v>
      </c>
      <c r="AG62" s="228">
        <f t="shared" si="375"/>
        <v>1.0697401466284757</v>
      </c>
      <c r="AH62" s="228">
        <f t="shared" si="375"/>
        <v>1.0724144969950469</v>
      </c>
      <c r="AI62" s="228">
        <f t="shared" si="375"/>
        <v>1.0750955332375345</v>
      </c>
      <c r="AJ62" s="228">
        <f t="shared" si="375"/>
        <v>1.0777832720706282</v>
      </c>
      <c r="AK62" s="228">
        <f t="shared" si="375"/>
        <v>1.0804777302508046</v>
      </c>
      <c r="AL62" s="228">
        <f t="shared" si="375"/>
        <v>1.0831789245764316</v>
      </c>
      <c r="AM62" s="228">
        <f t="shared" si="375"/>
        <v>1.0858868718878727</v>
      </c>
      <c r="AN62" s="228">
        <f t="shared" si="375"/>
        <v>1.0886015890675924</v>
      </c>
      <c r="AO62" s="228">
        <f t="shared" si="375"/>
        <v>1.0913230930402613</v>
      </c>
      <c r="AP62" s="228">
        <f t="shared" si="375"/>
        <v>1.0940514007728619</v>
      </c>
      <c r="AQ62" s="228">
        <f t="shared" si="375"/>
        <v>1.096786529274794</v>
      </c>
      <c r="AR62" s="228">
        <f t="shared" si="375"/>
        <v>1.0995284955979809</v>
      </c>
      <c r="AS62" s="228">
        <f t="shared" si="375"/>
        <v>1.1022773168369759</v>
      </c>
      <c r="AT62" s="228">
        <f t="shared" si="375"/>
        <v>1.1050330101290684</v>
      </c>
      <c r="AU62" s="228">
        <f t="shared" si="375"/>
        <v>1.107795592654391</v>
      </c>
      <c r="AV62" s="228">
        <f t="shared" si="375"/>
        <v>1.1105650816360269</v>
      </c>
      <c r="AW62" s="228">
        <f t="shared" si="375"/>
        <v>1.1133414943401168</v>
      </c>
      <c r="AX62" s="228">
        <f t="shared" si="375"/>
        <v>1.1161248480759669</v>
      </c>
      <c r="AY62" s="228">
        <f t="shared" si="375"/>
        <v>1.1189151601961567</v>
      </c>
      <c r="AZ62" s="228">
        <f t="shared" si="375"/>
        <v>1.1217124480966469</v>
      </c>
      <c r="BA62" s="228">
        <f t="shared" si="375"/>
        <v>1.1245167292168885</v>
      </c>
      <c r="BB62" s="228">
        <f t="shared" si="375"/>
        <v>1.1273280210399306</v>
      </c>
      <c r="BC62" s="228">
        <f t="shared" si="375"/>
        <v>1.1301463410925303</v>
      </c>
      <c r="BD62" s="228">
        <f t="shared" si="375"/>
        <v>1.1329717069452616</v>
      </c>
      <c r="BE62" s="228">
        <f t="shared" si="375"/>
        <v>1.1358041362126248</v>
      </c>
      <c r="BF62" s="228">
        <f t="shared" si="375"/>
        <v>1.1386436465531562</v>
      </c>
      <c r="BG62" s="228">
        <f t="shared" si="375"/>
        <v>1.141490255669539</v>
      </c>
      <c r="BH62" s="228">
        <f t="shared" si="375"/>
        <v>1.1443439813087128</v>
      </c>
      <c r="BI62" s="228">
        <f t="shared" si="375"/>
        <v>1.1472048412619846</v>
      </c>
      <c r="BJ62" s="228">
        <f t="shared" si="375"/>
        <v>1.1500728533651394</v>
      </c>
      <c r="BK62" s="228">
        <f t="shared" si="375"/>
        <v>1.1529480354985522</v>
      </c>
      <c r="BL62" s="228">
        <f t="shared" si="375"/>
        <v>1.1558304055872985</v>
      </c>
      <c r="BM62" s="228">
        <f t="shared" si="375"/>
        <v>1.1587199816012668</v>
      </c>
      <c r="BN62" s="228">
        <f t="shared" si="375"/>
        <v>1.1616167815552698</v>
      </c>
      <c r="BO62" s="228">
        <f t="shared" si="375"/>
        <v>1.164520823509158</v>
      </c>
      <c r="BP62" s="228">
        <f t="shared" si="375"/>
        <v>1.1674321255679307</v>
      </c>
      <c r="BQ62" s="228">
        <f t="shared" si="375"/>
        <v>1.1703507058818505</v>
      </c>
      <c r="BR62" s="228">
        <f t="shared" si="375"/>
        <v>1.173276582646555</v>
      </c>
      <c r="BS62" s="228">
        <f t="shared" si="375"/>
        <v>1.1762097741031714</v>
      </c>
      <c r="BT62" s="228">
        <f t="shared" ref="BT62:EE62" si="376">BS62*(1+BT61)</f>
        <v>1.1791502985384292</v>
      </c>
      <c r="BU62" s="228">
        <f t="shared" si="376"/>
        <v>1.1820981742847751</v>
      </c>
      <c r="BV62" s="228">
        <f t="shared" si="376"/>
        <v>1.1850534197204869</v>
      </c>
      <c r="BW62" s="228">
        <f t="shared" si="376"/>
        <v>1.1880160532697881</v>
      </c>
      <c r="BX62" s="228">
        <f t="shared" si="376"/>
        <v>1.1909860934029626</v>
      </c>
      <c r="BY62" s="228">
        <f t="shared" si="376"/>
        <v>1.1939635586364699</v>
      </c>
      <c r="BZ62" s="228">
        <f t="shared" si="376"/>
        <v>1.1969484675330611</v>
      </c>
      <c r="CA62" s="228">
        <f t="shared" si="376"/>
        <v>1.1999408387018937</v>
      </c>
      <c r="CB62" s="228">
        <f t="shared" si="376"/>
        <v>1.2029406907986484</v>
      </c>
      <c r="CC62" s="228">
        <f t="shared" si="376"/>
        <v>1.205948042525645</v>
      </c>
      <c r="CD62" s="228">
        <f t="shared" si="376"/>
        <v>1.208962912631959</v>
      </c>
      <c r="CE62" s="228">
        <f t="shared" si="376"/>
        <v>1.2119853199135389</v>
      </c>
      <c r="CF62" s="228">
        <f t="shared" si="376"/>
        <v>1.2150152832133227</v>
      </c>
      <c r="CG62" s="228">
        <f t="shared" si="376"/>
        <v>1.218052821421356</v>
      </c>
      <c r="CH62" s="228">
        <f t="shared" si="376"/>
        <v>1.2210979534749093</v>
      </c>
      <c r="CI62" s="228">
        <f t="shared" si="376"/>
        <v>1.2241506983585966</v>
      </c>
      <c r="CJ62" s="228">
        <f t="shared" si="376"/>
        <v>1.2272110751044929</v>
      </c>
      <c r="CK62" s="228">
        <f t="shared" si="376"/>
        <v>1.2302791027922542</v>
      </c>
      <c r="CL62" s="228">
        <f t="shared" si="376"/>
        <v>1.2333548005492347</v>
      </c>
      <c r="CM62" s="228">
        <f t="shared" si="376"/>
        <v>1.2364381875506079</v>
      </c>
      <c r="CN62" s="228">
        <f t="shared" si="376"/>
        <v>1.2395292830194844</v>
      </c>
      <c r="CO62" s="228">
        <f t="shared" si="376"/>
        <v>1.242628106227033</v>
      </c>
      <c r="CP62" s="228">
        <f t="shared" si="376"/>
        <v>1.2457346764926005</v>
      </c>
      <c r="CQ62" s="228">
        <f t="shared" si="376"/>
        <v>1.2488490131838319</v>
      </c>
      <c r="CR62" s="228">
        <f t="shared" si="376"/>
        <v>1.2519711357167913</v>
      </c>
      <c r="CS62" s="228">
        <f t="shared" si="376"/>
        <v>1.2551010635560833</v>
      </c>
      <c r="CT62" s="228">
        <f t="shared" si="376"/>
        <v>1.2582388162149734</v>
      </c>
      <c r="CU62" s="228">
        <f t="shared" si="376"/>
        <v>1.2613844132555108</v>
      </c>
      <c r="CV62" s="228">
        <f t="shared" si="376"/>
        <v>1.2645378742886495</v>
      </c>
      <c r="CW62" s="228">
        <f t="shared" si="376"/>
        <v>1.267699218974371</v>
      </c>
      <c r="CX62" s="228">
        <f t="shared" si="376"/>
        <v>1.2708684670218069</v>
      </c>
      <c r="CY62" s="228">
        <f t="shared" si="376"/>
        <v>1.2740456381893615</v>
      </c>
      <c r="CZ62" s="228">
        <f t="shared" si="376"/>
        <v>1.2772307522848347</v>
      </c>
      <c r="DA62" s="228">
        <f t="shared" si="376"/>
        <v>1.2804238291655468</v>
      </c>
      <c r="DB62" s="228">
        <f t="shared" si="376"/>
        <v>1.2836248887384605</v>
      </c>
      <c r="DC62" s="228">
        <f t="shared" si="376"/>
        <v>1.2868339509603066</v>
      </c>
      <c r="DD62" s="228">
        <f t="shared" si="376"/>
        <v>1.2900510358377073</v>
      </c>
      <c r="DE62" s="228">
        <f t="shared" si="376"/>
        <v>1.2932761634273016</v>
      </c>
      <c r="DF62" s="228">
        <f t="shared" si="376"/>
        <v>1.2965093538358698</v>
      </c>
      <c r="DG62" s="228">
        <f t="shared" si="376"/>
        <v>1.2997506272204595</v>
      </c>
      <c r="DH62" s="228">
        <f t="shared" si="376"/>
        <v>1.3030000037885106</v>
      </c>
      <c r="DI62" s="228">
        <f t="shared" si="376"/>
        <v>1.3062575037979818</v>
      </c>
      <c r="DJ62" s="228">
        <f t="shared" si="376"/>
        <v>1.3095231475574767</v>
      </c>
      <c r="DK62" s="228">
        <f t="shared" si="376"/>
        <v>1.3127969554263703</v>
      </c>
      <c r="DL62" s="228">
        <f t="shared" si="376"/>
        <v>1.3160789478149362</v>
      </c>
      <c r="DM62" s="228">
        <f t="shared" si="376"/>
        <v>1.3193691451844733</v>
      </c>
      <c r="DN62" s="228">
        <f t="shared" si="376"/>
        <v>1.3226675680474345</v>
      </c>
      <c r="DO62" s="228">
        <f t="shared" si="376"/>
        <v>1.3259742369675529</v>
      </c>
      <c r="DP62" s="228">
        <f t="shared" si="376"/>
        <v>1.3292891725599718</v>
      </c>
      <c r="DQ62" s="228">
        <f t="shared" si="376"/>
        <v>1.3326123954913716</v>
      </c>
      <c r="DR62" s="228">
        <f t="shared" si="376"/>
        <v>1.3359439264800999</v>
      </c>
      <c r="DS62" s="228">
        <f t="shared" si="376"/>
        <v>1.3392837862963001</v>
      </c>
      <c r="DT62" s="228">
        <f t="shared" si="376"/>
        <v>1.3426319957620407</v>
      </c>
      <c r="DU62" s="228">
        <f t="shared" si="376"/>
        <v>1.3459885757514458</v>
      </c>
      <c r="DV62" s="228">
        <f t="shared" si="376"/>
        <v>1.3493535471908245</v>
      </c>
      <c r="DW62" s="228">
        <f t="shared" si="376"/>
        <v>1.3527269310588015</v>
      </c>
      <c r="DX62" s="228">
        <f t="shared" si="376"/>
        <v>1.3561087483864485</v>
      </c>
      <c r="DY62" s="228">
        <f t="shared" si="376"/>
        <v>1.3594990202574144</v>
      </c>
      <c r="DZ62" s="228">
        <f t="shared" si="376"/>
        <v>1.3628977678080578</v>
      </c>
      <c r="EA62" s="228">
        <f t="shared" si="376"/>
        <v>1.3663050122275779</v>
      </c>
      <c r="EB62" s="228">
        <f t="shared" si="376"/>
        <v>1.3697207747581468</v>
      </c>
      <c r="EC62" s="228">
        <f t="shared" si="376"/>
        <v>1.3731450766950422</v>
      </c>
      <c r="ED62" s="228">
        <f t="shared" si="376"/>
        <v>1.3765779393867796</v>
      </c>
      <c r="EE62" s="228">
        <f t="shared" si="376"/>
        <v>1.3800193842352466</v>
      </c>
      <c r="EF62" s="228">
        <f t="shared" ref="EF62:FC62" si="377">EE62*(1+EF61)</f>
        <v>1.3834694326958346</v>
      </c>
      <c r="EG62" s="228">
        <f t="shared" si="377"/>
        <v>1.386928106277574</v>
      </c>
      <c r="EH62" s="228">
        <f t="shared" si="377"/>
        <v>1.3903954265432679</v>
      </c>
      <c r="EI62" s="228">
        <f t="shared" si="377"/>
        <v>1.3938714151096259</v>
      </c>
      <c r="EJ62" s="228">
        <f t="shared" si="377"/>
        <v>1.3973560936473999</v>
      </c>
      <c r="EK62" s="228">
        <f t="shared" si="377"/>
        <v>1.4008494838815182</v>
      </c>
      <c r="EL62" s="228">
        <f t="shared" si="377"/>
        <v>1.4043516075912219</v>
      </c>
      <c r="EM62" s="228">
        <f t="shared" si="377"/>
        <v>1.4078624866101999</v>
      </c>
      <c r="EN62" s="228">
        <f t="shared" si="377"/>
        <v>1.4113821428267253</v>
      </c>
      <c r="EO62" s="228">
        <f t="shared" si="377"/>
        <v>1.4149105981837919</v>
      </c>
      <c r="EP62" s="228">
        <f t="shared" si="377"/>
        <v>1.4184478746792513</v>
      </c>
      <c r="EQ62" s="228">
        <f t="shared" si="377"/>
        <v>1.4219939943659494</v>
      </c>
      <c r="ER62" s="228">
        <f t="shared" si="377"/>
        <v>1.4255489793518643</v>
      </c>
      <c r="ES62" s="228">
        <f t="shared" si="377"/>
        <v>1.4291128518002438</v>
      </c>
      <c r="ET62" s="228">
        <f t="shared" si="377"/>
        <v>1.4326856339297445</v>
      </c>
      <c r="EU62" s="228">
        <f t="shared" si="377"/>
        <v>1.4362673480145687</v>
      </c>
      <c r="EV62" s="228">
        <f t="shared" si="377"/>
        <v>1.4398580163846051</v>
      </c>
      <c r="EW62" s="228">
        <f t="shared" si="377"/>
        <v>1.4434576614255665</v>
      </c>
      <c r="EX62" s="228">
        <f t="shared" si="377"/>
        <v>1.4470663055791304</v>
      </c>
      <c r="EY62" s="228">
        <f t="shared" si="377"/>
        <v>1.4506839713430781</v>
      </c>
      <c r="EZ62" s="228">
        <f t="shared" si="377"/>
        <v>1.4543106812714357</v>
      </c>
      <c r="FA62" s="228">
        <f t="shared" si="377"/>
        <v>1.4579464579746142</v>
      </c>
      <c r="FB62" s="228">
        <f t="shared" si="377"/>
        <v>1.4615913241195506</v>
      </c>
      <c r="FC62" s="228">
        <f t="shared" si="377"/>
        <v>1.4652453024298495</v>
      </c>
      <c r="FD62" s="228">
        <f t="shared" ref="FD62" si="378">FC62*(1+FD61)</f>
        <v>1.468908415685924</v>
      </c>
      <c r="FE62" s="228">
        <f t="shared" ref="FE62:FF62" si="379">FD62*(1+FE61)</f>
        <v>1.4725806867251388</v>
      </c>
      <c r="FF62" s="228">
        <f t="shared" si="379"/>
        <v>1.4762621384419514</v>
      </c>
      <c r="FG62" s="319"/>
      <c r="FH62" s="228">
        <f t="shared" ref="FH62" si="380">EZ62*(1+FH61)</f>
        <v>1.4579464579746142</v>
      </c>
      <c r="FI62" s="228"/>
      <c r="FJ62" s="228"/>
      <c r="FK62" s="228"/>
      <c r="FL62" s="228"/>
      <c r="FM62" s="228">
        <f>FA62*(1+FM61)</f>
        <v>1.4615913241195506</v>
      </c>
      <c r="FN62" s="228">
        <f>FB62*(1+FN61)</f>
        <v>1.4652453024298495</v>
      </c>
      <c r="FO62" s="228">
        <f>FC62*(1+FO61)</f>
        <v>1.468908415685924</v>
      </c>
      <c r="FP62" s="228">
        <f>FD62*(1+FP61)</f>
        <v>1.4725806867251388</v>
      </c>
      <c r="FQ62" s="228"/>
      <c r="FR62" s="228"/>
      <c r="FS62" s="228"/>
      <c r="FT62" s="228"/>
      <c r="FU62" s="228"/>
      <c r="FV62" s="319"/>
    </row>
    <row r="63" spans="2:180" hidden="1" outlineLevel="1" x14ac:dyDescent="0.2">
      <c r="B63" s="47"/>
      <c r="C63" s="39" t="str">
        <f>K29</f>
        <v>Other Income</v>
      </c>
      <c r="E63" s="224"/>
      <c r="F63" s="225">
        <v>0</v>
      </c>
      <c r="G63" s="225">
        <f t="shared" ref="G63:AL63" si="381">IFERROR(INDEX($M29:$Q29,MATCH(YEAR(G$58),$M$27:$Q$27,0))/12,F63)</f>
        <v>2.5000000000000001E-3</v>
      </c>
      <c r="H63" s="225">
        <f t="shared" si="381"/>
        <v>2.5000000000000001E-3</v>
      </c>
      <c r="I63" s="225">
        <f t="shared" si="381"/>
        <v>2.5000000000000001E-3</v>
      </c>
      <c r="J63" s="225">
        <f t="shared" si="381"/>
        <v>2.5000000000000001E-3</v>
      </c>
      <c r="K63" s="225">
        <f t="shared" si="381"/>
        <v>2.5000000000000001E-3</v>
      </c>
      <c r="L63" s="225">
        <f t="shared" si="381"/>
        <v>2.5000000000000001E-3</v>
      </c>
      <c r="M63" s="225">
        <f t="shared" si="381"/>
        <v>2.5000000000000001E-3</v>
      </c>
      <c r="N63" s="225">
        <f t="shared" si="381"/>
        <v>2.5000000000000001E-3</v>
      </c>
      <c r="O63" s="225">
        <f t="shared" si="381"/>
        <v>2.5000000000000001E-3</v>
      </c>
      <c r="P63" s="225">
        <f t="shared" si="381"/>
        <v>2.5000000000000001E-3</v>
      </c>
      <c r="Q63" s="225">
        <f t="shared" si="381"/>
        <v>2.5000000000000001E-3</v>
      </c>
      <c r="R63" s="225">
        <f t="shared" si="381"/>
        <v>2.5000000000000001E-3</v>
      </c>
      <c r="S63" s="225">
        <f t="shared" si="381"/>
        <v>2.5000000000000001E-3</v>
      </c>
      <c r="T63" s="225">
        <f t="shared" si="381"/>
        <v>2.5000000000000001E-3</v>
      </c>
      <c r="U63" s="225">
        <f t="shared" si="381"/>
        <v>2.5000000000000001E-3</v>
      </c>
      <c r="V63" s="225">
        <f t="shared" si="381"/>
        <v>2.5000000000000001E-3</v>
      </c>
      <c r="W63" s="225">
        <f t="shared" si="381"/>
        <v>2.5000000000000001E-3</v>
      </c>
      <c r="X63" s="225">
        <f t="shared" si="381"/>
        <v>2.5000000000000001E-3</v>
      </c>
      <c r="Y63" s="225">
        <f t="shared" si="381"/>
        <v>2.5000000000000001E-3</v>
      </c>
      <c r="Z63" s="225">
        <f t="shared" si="381"/>
        <v>2.5000000000000001E-3</v>
      </c>
      <c r="AA63" s="225">
        <f t="shared" si="381"/>
        <v>2.5000000000000001E-3</v>
      </c>
      <c r="AB63" s="225">
        <f t="shared" si="381"/>
        <v>2.5000000000000001E-3</v>
      </c>
      <c r="AC63" s="225">
        <f t="shared" si="381"/>
        <v>2.5000000000000001E-3</v>
      </c>
      <c r="AD63" s="225">
        <f t="shared" si="381"/>
        <v>2.5000000000000001E-3</v>
      </c>
      <c r="AE63" s="225">
        <f t="shared" si="381"/>
        <v>2.5000000000000001E-3</v>
      </c>
      <c r="AF63" s="225">
        <f t="shared" si="381"/>
        <v>2.5000000000000001E-3</v>
      </c>
      <c r="AG63" s="225">
        <f t="shared" si="381"/>
        <v>2.5000000000000001E-3</v>
      </c>
      <c r="AH63" s="225">
        <f t="shared" si="381"/>
        <v>2.5000000000000001E-3</v>
      </c>
      <c r="AI63" s="225">
        <f t="shared" si="381"/>
        <v>2.5000000000000001E-3</v>
      </c>
      <c r="AJ63" s="225">
        <f t="shared" si="381"/>
        <v>2.5000000000000001E-3</v>
      </c>
      <c r="AK63" s="225">
        <f t="shared" si="381"/>
        <v>2.5000000000000001E-3</v>
      </c>
      <c r="AL63" s="225">
        <f t="shared" si="381"/>
        <v>2.5000000000000001E-3</v>
      </c>
      <c r="AM63" s="225">
        <f t="shared" ref="AM63:BR63" si="382">IFERROR(INDEX($M29:$Q29,MATCH(YEAR(AM$58),$M$27:$Q$27,0))/12,AL63)</f>
        <v>2.5000000000000001E-3</v>
      </c>
      <c r="AN63" s="225">
        <f t="shared" si="382"/>
        <v>2.5000000000000001E-3</v>
      </c>
      <c r="AO63" s="225">
        <f t="shared" si="382"/>
        <v>2.5000000000000001E-3</v>
      </c>
      <c r="AP63" s="225">
        <f t="shared" si="382"/>
        <v>2.5000000000000001E-3</v>
      </c>
      <c r="AQ63" s="225">
        <f t="shared" si="382"/>
        <v>2.5000000000000001E-3</v>
      </c>
      <c r="AR63" s="225">
        <f t="shared" si="382"/>
        <v>2.5000000000000001E-3</v>
      </c>
      <c r="AS63" s="225">
        <f t="shared" si="382"/>
        <v>2.5000000000000001E-3</v>
      </c>
      <c r="AT63" s="225">
        <f t="shared" si="382"/>
        <v>2.5000000000000001E-3</v>
      </c>
      <c r="AU63" s="225">
        <f t="shared" si="382"/>
        <v>2.5000000000000001E-3</v>
      </c>
      <c r="AV63" s="225">
        <f t="shared" si="382"/>
        <v>2.5000000000000001E-3</v>
      </c>
      <c r="AW63" s="225">
        <f t="shared" si="382"/>
        <v>2.5000000000000001E-3</v>
      </c>
      <c r="AX63" s="225">
        <f t="shared" si="382"/>
        <v>2.5000000000000001E-3</v>
      </c>
      <c r="AY63" s="225">
        <f t="shared" si="382"/>
        <v>2.5000000000000001E-3</v>
      </c>
      <c r="AZ63" s="225">
        <f t="shared" si="382"/>
        <v>2.5000000000000001E-3</v>
      </c>
      <c r="BA63" s="225">
        <f t="shared" si="382"/>
        <v>2.5000000000000001E-3</v>
      </c>
      <c r="BB63" s="225">
        <f t="shared" si="382"/>
        <v>2.5000000000000001E-3</v>
      </c>
      <c r="BC63" s="225">
        <f t="shared" si="382"/>
        <v>2.5000000000000001E-3</v>
      </c>
      <c r="BD63" s="225">
        <f t="shared" si="382"/>
        <v>2.5000000000000001E-3</v>
      </c>
      <c r="BE63" s="225">
        <f t="shared" si="382"/>
        <v>2.5000000000000001E-3</v>
      </c>
      <c r="BF63" s="225">
        <f t="shared" si="382"/>
        <v>2.5000000000000001E-3</v>
      </c>
      <c r="BG63" s="225">
        <f t="shared" si="382"/>
        <v>2.5000000000000001E-3</v>
      </c>
      <c r="BH63" s="225">
        <f t="shared" si="382"/>
        <v>2.5000000000000001E-3</v>
      </c>
      <c r="BI63" s="225">
        <f t="shared" si="382"/>
        <v>2.5000000000000001E-3</v>
      </c>
      <c r="BJ63" s="225">
        <f t="shared" si="382"/>
        <v>2.5000000000000001E-3</v>
      </c>
      <c r="BK63" s="225">
        <f t="shared" si="382"/>
        <v>2.5000000000000001E-3</v>
      </c>
      <c r="BL63" s="225">
        <f t="shared" si="382"/>
        <v>2.5000000000000001E-3</v>
      </c>
      <c r="BM63" s="225">
        <f t="shared" si="382"/>
        <v>2.5000000000000001E-3</v>
      </c>
      <c r="BN63" s="225">
        <f t="shared" si="382"/>
        <v>2.5000000000000001E-3</v>
      </c>
      <c r="BO63" s="225">
        <f t="shared" si="382"/>
        <v>2.5000000000000001E-3</v>
      </c>
      <c r="BP63" s="225">
        <f t="shared" si="382"/>
        <v>2.5000000000000001E-3</v>
      </c>
      <c r="BQ63" s="225">
        <f t="shared" si="382"/>
        <v>2.5000000000000001E-3</v>
      </c>
      <c r="BR63" s="225">
        <f t="shared" si="382"/>
        <v>2.5000000000000001E-3</v>
      </c>
      <c r="BS63" s="225">
        <f t="shared" ref="BS63:CX63" si="383">IFERROR(INDEX($M29:$Q29,MATCH(YEAR(BS$58),$M$27:$Q$27,0))/12,BR63)</f>
        <v>2.5000000000000001E-3</v>
      </c>
      <c r="BT63" s="225">
        <f t="shared" si="383"/>
        <v>2.5000000000000001E-3</v>
      </c>
      <c r="BU63" s="225">
        <f t="shared" si="383"/>
        <v>2.5000000000000001E-3</v>
      </c>
      <c r="BV63" s="225">
        <f t="shared" si="383"/>
        <v>2.5000000000000001E-3</v>
      </c>
      <c r="BW63" s="225">
        <f t="shared" si="383"/>
        <v>2.5000000000000001E-3</v>
      </c>
      <c r="BX63" s="225">
        <f t="shared" si="383"/>
        <v>2.5000000000000001E-3</v>
      </c>
      <c r="BY63" s="225">
        <f t="shared" si="383"/>
        <v>2.5000000000000001E-3</v>
      </c>
      <c r="BZ63" s="225">
        <f t="shared" si="383"/>
        <v>2.5000000000000001E-3</v>
      </c>
      <c r="CA63" s="225">
        <f t="shared" si="383"/>
        <v>2.5000000000000001E-3</v>
      </c>
      <c r="CB63" s="225">
        <f t="shared" si="383"/>
        <v>2.5000000000000001E-3</v>
      </c>
      <c r="CC63" s="225">
        <f t="shared" si="383"/>
        <v>2.5000000000000001E-3</v>
      </c>
      <c r="CD63" s="225">
        <f t="shared" si="383"/>
        <v>2.5000000000000001E-3</v>
      </c>
      <c r="CE63" s="225">
        <f t="shared" si="383"/>
        <v>2.5000000000000001E-3</v>
      </c>
      <c r="CF63" s="225">
        <f t="shared" si="383"/>
        <v>2.5000000000000001E-3</v>
      </c>
      <c r="CG63" s="225">
        <f t="shared" si="383"/>
        <v>2.5000000000000001E-3</v>
      </c>
      <c r="CH63" s="225">
        <f t="shared" si="383"/>
        <v>2.5000000000000001E-3</v>
      </c>
      <c r="CI63" s="225">
        <f t="shared" si="383"/>
        <v>2.5000000000000001E-3</v>
      </c>
      <c r="CJ63" s="225">
        <f t="shared" si="383"/>
        <v>2.5000000000000001E-3</v>
      </c>
      <c r="CK63" s="225">
        <f t="shared" si="383"/>
        <v>2.5000000000000001E-3</v>
      </c>
      <c r="CL63" s="225">
        <f t="shared" si="383"/>
        <v>2.5000000000000001E-3</v>
      </c>
      <c r="CM63" s="225">
        <f t="shared" si="383"/>
        <v>2.5000000000000001E-3</v>
      </c>
      <c r="CN63" s="225">
        <f t="shared" si="383"/>
        <v>2.5000000000000001E-3</v>
      </c>
      <c r="CO63" s="225">
        <f t="shared" si="383"/>
        <v>2.5000000000000001E-3</v>
      </c>
      <c r="CP63" s="225">
        <f t="shared" si="383"/>
        <v>2.5000000000000001E-3</v>
      </c>
      <c r="CQ63" s="225">
        <f t="shared" si="383"/>
        <v>2.5000000000000001E-3</v>
      </c>
      <c r="CR63" s="225">
        <f t="shared" si="383"/>
        <v>2.5000000000000001E-3</v>
      </c>
      <c r="CS63" s="225">
        <f t="shared" si="383"/>
        <v>2.5000000000000001E-3</v>
      </c>
      <c r="CT63" s="225">
        <f t="shared" si="383"/>
        <v>2.5000000000000001E-3</v>
      </c>
      <c r="CU63" s="225">
        <f t="shared" si="383"/>
        <v>2.5000000000000001E-3</v>
      </c>
      <c r="CV63" s="225">
        <f t="shared" si="383"/>
        <v>2.5000000000000001E-3</v>
      </c>
      <c r="CW63" s="225">
        <f t="shared" si="383"/>
        <v>2.5000000000000001E-3</v>
      </c>
      <c r="CX63" s="225">
        <f t="shared" si="383"/>
        <v>2.5000000000000001E-3</v>
      </c>
      <c r="CY63" s="225">
        <f t="shared" ref="CY63:ED63" si="384">IFERROR(INDEX($M29:$Q29,MATCH(YEAR(CY$58),$M$27:$Q$27,0))/12,CX63)</f>
        <v>2.5000000000000001E-3</v>
      </c>
      <c r="CZ63" s="225">
        <f t="shared" si="384"/>
        <v>2.5000000000000001E-3</v>
      </c>
      <c r="DA63" s="225">
        <f t="shared" si="384"/>
        <v>2.5000000000000001E-3</v>
      </c>
      <c r="DB63" s="225">
        <f t="shared" si="384"/>
        <v>2.5000000000000001E-3</v>
      </c>
      <c r="DC63" s="225">
        <f t="shared" si="384"/>
        <v>2.5000000000000001E-3</v>
      </c>
      <c r="DD63" s="225">
        <f t="shared" si="384"/>
        <v>2.5000000000000001E-3</v>
      </c>
      <c r="DE63" s="225">
        <f t="shared" si="384"/>
        <v>2.5000000000000001E-3</v>
      </c>
      <c r="DF63" s="225">
        <f t="shared" si="384"/>
        <v>2.5000000000000001E-3</v>
      </c>
      <c r="DG63" s="225">
        <f t="shared" si="384"/>
        <v>2.5000000000000001E-3</v>
      </c>
      <c r="DH63" s="225">
        <f t="shared" si="384"/>
        <v>2.5000000000000001E-3</v>
      </c>
      <c r="DI63" s="225">
        <f t="shared" si="384"/>
        <v>2.5000000000000001E-3</v>
      </c>
      <c r="DJ63" s="225">
        <f t="shared" si="384"/>
        <v>2.5000000000000001E-3</v>
      </c>
      <c r="DK63" s="225">
        <f t="shared" si="384"/>
        <v>2.5000000000000001E-3</v>
      </c>
      <c r="DL63" s="225">
        <f t="shared" si="384"/>
        <v>2.5000000000000001E-3</v>
      </c>
      <c r="DM63" s="225">
        <f t="shared" si="384"/>
        <v>2.5000000000000001E-3</v>
      </c>
      <c r="DN63" s="225">
        <f t="shared" si="384"/>
        <v>2.5000000000000001E-3</v>
      </c>
      <c r="DO63" s="225">
        <f t="shared" si="384"/>
        <v>2.5000000000000001E-3</v>
      </c>
      <c r="DP63" s="225">
        <f t="shared" si="384"/>
        <v>2.5000000000000001E-3</v>
      </c>
      <c r="DQ63" s="225">
        <f t="shared" si="384"/>
        <v>2.5000000000000001E-3</v>
      </c>
      <c r="DR63" s="225">
        <f t="shared" si="384"/>
        <v>2.5000000000000001E-3</v>
      </c>
      <c r="DS63" s="225">
        <f t="shared" si="384"/>
        <v>2.5000000000000001E-3</v>
      </c>
      <c r="DT63" s="225">
        <f t="shared" si="384"/>
        <v>2.5000000000000001E-3</v>
      </c>
      <c r="DU63" s="225">
        <f t="shared" si="384"/>
        <v>2.5000000000000001E-3</v>
      </c>
      <c r="DV63" s="225">
        <f t="shared" si="384"/>
        <v>2.5000000000000001E-3</v>
      </c>
      <c r="DW63" s="225">
        <f t="shared" si="384"/>
        <v>2.5000000000000001E-3</v>
      </c>
      <c r="DX63" s="225">
        <f t="shared" si="384"/>
        <v>2.5000000000000001E-3</v>
      </c>
      <c r="DY63" s="225">
        <f t="shared" si="384"/>
        <v>2.5000000000000001E-3</v>
      </c>
      <c r="DZ63" s="225">
        <f t="shared" si="384"/>
        <v>2.5000000000000001E-3</v>
      </c>
      <c r="EA63" s="225">
        <f t="shared" si="384"/>
        <v>2.5000000000000001E-3</v>
      </c>
      <c r="EB63" s="225">
        <f t="shared" si="384"/>
        <v>2.5000000000000001E-3</v>
      </c>
      <c r="EC63" s="225">
        <f t="shared" si="384"/>
        <v>2.5000000000000001E-3</v>
      </c>
      <c r="ED63" s="225">
        <f t="shared" si="384"/>
        <v>2.5000000000000001E-3</v>
      </c>
      <c r="EE63" s="225">
        <f t="shared" ref="EE63:FF63" si="385">IFERROR(INDEX($M29:$Q29,MATCH(YEAR(EE$58),$M$27:$Q$27,0))/12,ED63)</f>
        <v>2.5000000000000001E-3</v>
      </c>
      <c r="EF63" s="225">
        <f t="shared" si="385"/>
        <v>2.5000000000000001E-3</v>
      </c>
      <c r="EG63" s="225">
        <f t="shared" si="385"/>
        <v>2.5000000000000001E-3</v>
      </c>
      <c r="EH63" s="225">
        <f t="shared" si="385"/>
        <v>2.5000000000000001E-3</v>
      </c>
      <c r="EI63" s="225">
        <f t="shared" si="385"/>
        <v>2.5000000000000001E-3</v>
      </c>
      <c r="EJ63" s="225">
        <f t="shared" si="385"/>
        <v>2.5000000000000001E-3</v>
      </c>
      <c r="EK63" s="225">
        <f t="shared" si="385"/>
        <v>2.5000000000000001E-3</v>
      </c>
      <c r="EL63" s="225">
        <f t="shared" si="385"/>
        <v>2.5000000000000001E-3</v>
      </c>
      <c r="EM63" s="225">
        <f t="shared" si="385"/>
        <v>2.5000000000000001E-3</v>
      </c>
      <c r="EN63" s="225">
        <f t="shared" si="385"/>
        <v>2.5000000000000001E-3</v>
      </c>
      <c r="EO63" s="225">
        <f t="shared" si="385"/>
        <v>2.5000000000000001E-3</v>
      </c>
      <c r="EP63" s="225">
        <f t="shared" si="385"/>
        <v>2.5000000000000001E-3</v>
      </c>
      <c r="EQ63" s="225">
        <f t="shared" si="385"/>
        <v>2.5000000000000001E-3</v>
      </c>
      <c r="ER63" s="225">
        <f t="shared" si="385"/>
        <v>2.5000000000000001E-3</v>
      </c>
      <c r="ES63" s="225">
        <f t="shared" si="385"/>
        <v>2.5000000000000001E-3</v>
      </c>
      <c r="ET63" s="225">
        <f t="shared" si="385"/>
        <v>2.5000000000000001E-3</v>
      </c>
      <c r="EU63" s="225">
        <f t="shared" si="385"/>
        <v>2.5000000000000001E-3</v>
      </c>
      <c r="EV63" s="225">
        <f t="shared" si="385"/>
        <v>2.5000000000000001E-3</v>
      </c>
      <c r="EW63" s="225">
        <f t="shared" si="385"/>
        <v>2.5000000000000001E-3</v>
      </c>
      <c r="EX63" s="225">
        <f t="shared" si="385"/>
        <v>2.5000000000000001E-3</v>
      </c>
      <c r="EY63" s="225">
        <f t="shared" si="385"/>
        <v>2.5000000000000001E-3</v>
      </c>
      <c r="EZ63" s="225">
        <f t="shared" si="385"/>
        <v>2.5000000000000001E-3</v>
      </c>
      <c r="FA63" s="225">
        <f t="shared" si="385"/>
        <v>2.5000000000000001E-3</v>
      </c>
      <c r="FB63" s="225">
        <f t="shared" si="385"/>
        <v>2.5000000000000001E-3</v>
      </c>
      <c r="FC63" s="225">
        <f t="shared" si="385"/>
        <v>2.5000000000000001E-3</v>
      </c>
      <c r="FD63" s="225">
        <f t="shared" si="385"/>
        <v>2.5000000000000001E-3</v>
      </c>
      <c r="FE63" s="225">
        <f t="shared" si="385"/>
        <v>2.5000000000000001E-3</v>
      </c>
      <c r="FF63" s="225">
        <f t="shared" si="385"/>
        <v>2.5000000000000001E-3</v>
      </c>
      <c r="FG63" s="315"/>
      <c r="FH63" s="225">
        <f t="shared" ref="FH63" si="386">IFERROR(INDEX($M29:$Q29,MATCH(YEAR(FH$58),$M$27:$Q$27,0))/12,EZ63)</f>
        <v>2.5000000000000001E-3</v>
      </c>
      <c r="FI63" s="225"/>
      <c r="FJ63" s="225"/>
      <c r="FK63" s="225"/>
      <c r="FL63" s="225"/>
      <c r="FM63" s="225">
        <f>IFERROR(INDEX($M29:$Q29,MATCH(YEAR(FM$58),$M$27:$Q$27,0))/12,FA63)</f>
        <v>2.5000000000000001E-3</v>
      </c>
      <c r="FN63" s="225">
        <f>IFERROR(INDEX($M29:$Q29,MATCH(YEAR(FN$58),$M$27:$Q$27,0))/12,FB63)</f>
        <v>2.5000000000000001E-3</v>
      </c>
      <c r="FO63" s="225">
        <f>IFERROR(INDEX($M29:$Q29,MATCH(YEAR(FO$58),$M$27:$Q$27,0))/12,FC63)</f>
        <v>2.5000000000000001E-3</v>
      </c>
      <c r="FP63" s="225">
        <f>IFERROR(INDEX($M29:$Q29,MATCH(YEAR(FP$58),$M$27:$Q$27,0))/12,FD63)</f>
        <v>2.5000000000000001E-3</v>
      </c>
      <c r="FQ63" s="225"/>
      <c r="FR63" s="225"/>
      <c r="FS63" s="225"/>
      <c r="FT63" s="225"/>
      <c r="FU63" s="225"/>
      <c r="FV63" s="315"/>
    </row>
    <row r="64" spans="2:180" s="216" customFormat="1" hidden="1" outlineLevel="1" x14ac:dyDescent="0.2">
      <c r="B64" s="226"/>
      <c r="C64" s="216" t="s">
        <v>154</v>
      </c>
      <c r="E64" s="227"/>
      <c r="F64" s="228">
        <v>1</v>
      </c>
      <c r="G64" s="228">
        <f>F64*(1+G63)</f>
        <v>1.0024999999999999</v>
      </c>
      <c r="H64" s="228">
        <f t="shared" ref="H64" si="387">G64*(1+H63)</f>
        <v>1.0050062499999999</v>
      </c>
      <c r="I64" s="228">
        <f t="shared" ref="I64" si="388">H64*(1+I63)</f>
        <v>1.0075187656249998</v>
      </c>
      <c r="J64" s="228">
        <f t="shared" ref="J64" si="389">I64*(1+J63)</f>
        <v>1.0100375625390623</v>
      </c>
      <c r="K64" s="228">
        <f t="shared" ref="K64" si="390">J64*(1+K63)</f>
        <v>1.01256265644541</v>
      </c>
      <c r="L64" s="228">
        <f t="shared" ref="L64" si="391">K64*(1+L63)</f>
        <v>1.0150940630865235</v>
      </c>
      <c r="M64" s="228">
        <f t="shared" ref="M64" si="392">L64*(1+M63)</f>
        <v>1.0176317982442398</v>
      </c>
      <c r="N64" s="228">
        <f t="shared" ref="N64" si="393">M64*(1+N63)</f>
        <v>1.0201758777398504</v>
      </c>
      <c r="O64" s="228">
        <f t="shared" ref="O64" si="394">N64*(1+O63)</f>
        <v>1.0227263174342001</v>
      </c>
      <c r="P64" s="228">
        <f t="shared" ref="P64" si="395">O64*(1+P63)</f>
        <v>1.0252831332277854</v>
      </c>
      <c r="Q64" s="228">
        <f t="shared" ref="Q64" si="396">P64*(1+Q63)</f>
        <v>1.0278463410608549</v>
      </c>
      <c r="R64" s="228">
        <f t="shared" ref="R64" si="397">Q64*(1+R63)</f>
        <v>1.030415956913507</v>
      </c>
      <c r="S64" s="228">
        <f t="shared" ref="S64" si="398">R64*(1+S63)</f>
        <v>1.0329919968057906</v>
      </c>
      <c r="T64" s="228">
        <f t="shared" ref="T64" si="399">S64*(1+T63)</f>
        <v>1.035574476797805</v>
      </c>
      <c r="U64" s="228">
        <f t="shared" ref="U64" si="400">T64*(1+U63)</f>
        <v>1.0381634129897994</v>
      </c>
      <c r="V64" s="228">
        <f t="shared" ref="V64" si="401">U64*(1+V63)</f>
        <v>1.0407588215222738</v>
      </c>
      <c r="W64" s="228">
        <f t="shared" ref="W64" si="402">V64*(1+W63)</f>
        <v>1.0433607185760794</v>
      </c>
      <c r="X64" s="228">
        <f t="shared" ref="X64" si="403">W64*(1+X63)</f>
        <v>1.0459691203725194</v>
      </c>
      <c r="Y64" s="228">
        <f t="shared" ref="Y64" si="404">X64*(1+Y63)</f>
        <v>1.0485840431734508</v>
      </c>
      <c r="Z64" s="228">
        <f t="shared" ref="Z64" si="405">Y64*(1+Z63)</f>
        <v>1.0512055032813843</v>
      </c>
      <c r="AA64" s="228">
        <f t="shared" ref="AA64" si="406">Z64*(1+AA63)</f>
        <v>1.0538335170395876</v>
      </c>
      <c r="AB64" s="228">
        <f t="shared" ref="AB64" si="407">AA64*(1+AB63)</f>
        <v>1.0564681008321866</v>
      </c>
      <c r="AC64" s="228">
        <f t="shared" ref="AC64" si="408">AB64*(1+AC63)</f>
        <v>1.0591092710842669</v>
      </c>
      <c r="AD64" s="228">
        <f t="shared" ref="AD64" si="409">AC64*(1+AD63)</f>
        <v>1.0617570442619775</v>
      </c>
      <c r="AE64" s="228">
        <f t="shared" ref="AE64" si="410">AD64*(1+AE63)</f>
        <v>1.0644114368726323</v>
      </c>
      <c r="AF64" s="228">
        <f t="shared" ref="AF64" si="411">AE64*(1+AF63)</f>
        <v>1.0670724654648138</v>
      </c>
      <c r="AG64" s="228">
        <f t="shared" ref="AG64" si="412">AF64*(1+AG63)</f>
        <v>1.0697401466284757</v>
      </c>
      <c r="AH64" s="228">
        <f t="shared" ref="AH64" si="413">AG64*(1+AH63)</f>
        <v>1.0724144969950469</v>
      </c>
      <c r="AI64" s="228">
        <f t="shared" ref="AI64" si="414">AH64*(1+AI63)</f>
        <v>1.0750955332375345</v>
      </c>
      <c r="AJ64" s="228">
        <f t="shared" ref="AJ64" si="415">AI64*(1+AJ63)</f>
        <v>1.0777832720706282</v>
      </c>
      <c r="AK64" s="228">
        <f t="shared" ref="AK64" si="416">AJ64*(1+AK63)</f>
        <v>1.0804777302508046</v>
      </c>
      <c r="AL64" s="228">
        <f t="shared" ref="AL64" si="417">AK64*(1+AL63)</f>
        <v>1.0831789245764316</v>
      </c>
      <c r="AM64" s="228">
        <f t="shared" ref="AM64" si="418">AL64*(1+AM63)</f>
        <v>1.0858868718878727</v>
      </c>
      <c r="AN64" s="228">
        <f t="shared" ref="AN64" si="419">AM64*(1+AN63)</f>
        <v>1.0886015890675924</v>
      </c>
      <c r="AO64" s="228">
        <f t="shared" ref="AO64" si="420">AN64*(1+AO63)</f>
        <v>1.0913230930402613</v>
      </c>
      <c r="AP64" s="228">
        <f t="shared" ref="AP64" si="421">AO64*(1+AP63)</f>
        <v>1.0940514007728619</v>
      </c>
      <c r="AQ64" s="228">
        <f t="shared" ref="AQ64" si="422">AP64*(1+AQ63)</f>
        <v>1.096786529274794</v>
      </c>
      <c r="AR64" s="228">
        <f t="shared" ref="AR64" si="423">AQ64*(1+AR63)</f>
        <v>1.0995284955979809</v>
      </c>
      <c r="AS64" s="228">
        <f t="shared" ref="AS64" si="424">AR64*(1+AS63)</f>
        <v>1.1022773168369759</v>
      </c>
      <c r="AT64" s="228">
        <f t="shared" ref="AT64" si="425">AS64*(1+AT63)</f>
        <v>1.1050330101290684</v>
      </c>
      <c r="AU64" s="228">
        <f t="shared" ref="AU64" si="426">AT64*(1+AU63)</f>
        <v>1.107795592654391</v>
      </c>
      <c r="AV64" s="228">
        <f t="shared" ref="AV64" si="427">AU64*(1+AV63)</f>
        <v>1.1105650816360269</v>
      </c>
      <c r="AW64" s="228">
        <f t="shared" ref="AW64" si="428">AV64*(1+AW63)</f>
        <v>1.1133414943401168</v>
      </c>
      <c r="AX64" s="228">
        <f t="shared" ref="AX64" si="429">AW64*(1+AX63)</f>
        <v>1.1161248480759669</v>
      </c>
      <c r="AY64" s="228">
        <f t="shared" ref="AY64" si="430">AX64*(1+AY63)</f>
        <v>1.1189151601961567</v>
      </c>
      <c r="AZ64" s="228">
        <f t="shared" ref="AZ64" si="431">AY64*(1+AZ63)</f>
        <v>1.1217124480966469</v>
      </c>
      <c r="BA64" s="228">
        <f t="shared" ref="BA64" si="432">AZ64*(1+BA63)</f>
        <v>1.1245167292168885</v>
      </c>
      <c r="BB64" s="228">
        <f t="shared" ref="BB64" si="433">BA64*(1+BB63)</f>
        <v>1.1273280210399306</v>
      </c>
      <c r="BC64" s="228">
        <f t="shared" ref="BC64" si="434">BB64*(1+BC63)</f>
        <v>1.1301463410925303</v>
      </c>
      <c r="BD64" s="228">
        <f t="shared" ref="BD64" si="435">BC64*(1+BD63)</f>
        <v>1.1329717069452616</v>
      </c>
      <c r="BE64" s="228">
        <f t="shared" ref="BE64" si="436">BD64*(1+BE63)</f>
        <v>1.1358041362126248</v>
      </c>
      <c r="BF64" s="228">
        <f t="shared" ref="BF64" si="437">BE64*(1+BF63)</f>
        <v>1.1386436465531562</v>
      </c>
      <c r="BG64" s="228">
        <f t="shared" ref="BG64" si="438">BF64*(1+BG63)</f>
        <v>1.141490255669539</v>
      </c>
      <c r="BH64" s="228">
        <f t="shared" ref="BH64" si="439">BG64*(1+BH63)</f>
        <v>1.1443439813087128</v>
      </c>
      <c r="BI64" s="228">
        <f t="shared" ref="BI64" si="440">BH64*(1+BI63)</f>
        <v>1.1472048412619846</v>
      </c>
      <c r="BJ64" s="228">
        <f t="shared" ref="BJ64" si="441">BI64*(1+BJ63)</f>
        <v>1.1500728533651394</v>
      </c>
      <c r="BK64" s="228">
        <f t="shared" ref="BK64" si="442">BJ64*(1+BK63)</f>
        <v>1.1529480354985522</v>
      </c>
      <c r="BL64" s="228">
        <f t="shared" ref="BL64" si="443">BK64*(1+BL63)</f>
        <v>1.1558304055872985</v>
      </c>
      <c r="BM64" s="228">
        <f t="shared" ref="BM64" si="444">BL64*(1+BM63)</f>
        <v>1.1587199816012668</v>
      </c>
      <c r="BN64" s="228">
        <f t="shared" ref="BN64" si="445">BM64*(1+BN63)</f>
        <v>1.1616167815552698</v>
      </c>
      <c r="BO64" s="228">
        <f t="shared" ref="BO64" si="446">BN64*(1+BO63)</f>
        <v>1.164520823509158</v>
      </c>
      <c r="BP64" s="228">
        <f t="shared" ref="BP64" si="447">BO64*(1+BP63)</f>
        <v>1.1674321255679307</v>
      </c>
      <c r="BQ64" s="228">
        <f t="shared" ref="BQ64" si="448">BP64*(1+BQ63)</f>
        <v>1.1703507058818505</v>
      </c>
      <c r="BR64" s="228">
        <f t="shared" ref="BR64" si="449">BQ64*(1+BR63)</f>
        <v>1.173276582646555</v>
      </c>
      <c r="BS64" s="228">
        <f t="shared" ref="BS64" si="450">BR64*(1+BS63)</f>
        <v>1.1762097741031714</v>
      </c>
      <c r="BT64" s="228">
        <f t="shared" ref="BT64" si="451">BS64*(1+BT63)</f>
        <v>1.1791502985384292</v>
      </c>
      <c r="BU64" s="228">
        <f t="shared" ref="BU64" si="452">BT64*(1+BU63)</f>
        <v>1.1820981742847751</v>
      </c>
      <c r="BV64" s="228">
        <f t="shared" ref="BV64" si="453">BU64*(1+BV63)</f>
        <v>1.1850534197204869</v>
      </c>
      <c r="BW64" s="228">
        <f t="shared" ref="BW64" si="454">BV64*(1+BW63)</f>
        <v>1.1880160532697881</v>
      </c>
      <c r="BX64" s="228">
        <f t="shared" ref="BX64" si="455">BW64*(1+BX63)</f>
        <v>1.1909860934029626</v>
      </c>
      <c r="BY64" s="228">
        <f t="shared" ref="BY64" si="456">BX64*(1+BY63)</f>
        <v>1.1939635586364699</v>
      </c>
      <c r="BZ64" s="228">
        <f t="shared" ref="BZ64" si="457">BY64*(1+BZ63)</f>
        <v>1.1969484675330611</v>
      </c>
      <c r="CA64" s="228">
        <f t="shared" ref="CA64" si="458">BZ64*(1+CA63)</f>
        <v>1.1999408387018937</v>
      </c>
      <c r="CB64" s="228">
        <f t="shared" ref="CB64" si="459">CA64*(1+CB63)</f>
        <v>1.2029406907986484</v>
      </c>
      <c r="CC64" s="228">
        <f t="shared" ref="CC64" si="460">CB64*(1+CC63)</f>
        <v>1.205948042525645</v>
      </c>
      <c r="CD64" s="228">
        <f t="shared" ref="CD64" si="461">CC64*(1+CD63)</f>
        <v>1.208962912631959</v>
      </c>
      <c r="CE64" s="228">
        <f t="shared" ref="CE64" si="462">CD64*(1+CE63)</f>
        <v>1.2119853199135389</v>
      </c>
      <c r="CF64" s="228">
        <f t="shared" ref="CF64" si="463">CE64*(1+CF63)</f>
        <v>1.2150152832133227</v>
      </c>
      <c r="CG64" s="228">
        <f t="shared" ref="CG64" si="464">CF64*(1+CG63)</f>
        <v>1.218052821421356</v>
      </c>
      <c r="CH64" s="228">
        <f t="shared" ref="CH64" si="465">CG64*(1+CH63)</f>
        <v>1.2210979534749093</v>
      </c>
      <c r="CI64" s="228">
        <f t="shared" ref="CI64" si="466">CH64*(1+CI63)</f>
        <v>1.2241506983585966</v>
      </c>
      <c r="CJ64" s="228">
        <f t="shared" ref="CJ64" si="467">CI64*(1+CJ63)</f>
        <v>1.2272110751044929</v>
      </c>
      <c r="CK64" s="228">
        <f t="shared" ref="CK64" si="468">CJ64*(1+CK63)</f>
        <v>1.2302791027922542</v>
      </c>
      <c r="CL64" s="228">
        <f t="shared" ref="CL64" si="469">CK64*(1+CL63)</f>
        <v>1.2333548005492347</v>
      </c>
      <c r="CM64" s="228">
        <f t="shared" ref="CM64" si="470">CL64*(1+CM63)</f>
        <v>1.2364381875506079</v>
      </c>
      <c r="CN64" s="228">
        <f t="shared" ref="CN64" si="471">CM64*(1+CN63)</f>
        <v>1.2395292830194844</v>
      </c>
      <c r="CO64" s="228">
        <f t="shared" ref="CO64" si="472">CN64*(1+CO63)</f>
        <v>1.242628106227033</v>
      </c>
      <c r="CP64" s="228">
        <f t="shared" ref="CP64" si="473">CO64*(1+CP63)</f>
        <v>1.2457346764926005</v>
      </c>
      <c r="CQ64" s="228">
        <f t="shared" ref="CQ64" si="474">CP64*(1+CQ63)</f>
        <v>1.2488490131838319</v>
      </c>
      <c r="CR64" s="228">
        <f t="shared" ref="CR64" si="475">CQ64*(1+CR63)</f>
        <v>1.2519711357167913</v>
      </c>
      <c r="CS64" s="228">
        <f t="shared" ref="CS64" si="476">CR64*(1+CS63)</f>
        <v>1.2551010635560833</v>
      </c>
      <c r="CT64" s="228">
        <f t="shared" ref="CT64" si="477">CS64*(1+CT63)</f>
        <v>1.2582388162149734</v>
      </c>
      <c r="CU64" s="228">
        <f t="shared" ref="CU64" si="478">CT64*(1+CU63)</f>
        <v>1.2613844132555108</v>
      </c>
      <c r="CV64" s="228">
        <f t="shared" ref="CV64" si="479">CU64*(1+CV63)</f>
        <v>1.2645378742886495</v>
      </c>
      <c r="CW64" s="228">
        <f t="shared" ref="CW64" si="480">CV64*(1+CW63)</f>
        <v>1.267699218974371</v>
      </c>
      <c r="CX64" s="228">
        <f t="shared" ref="CX64" si="481">CW64*(1+CX63)</f>
        <v>1.2708684670218069</v>
      </c>
      <c r="CY64" s="228">
        <f t="shared" ref="CY64" si="482">CX64*(1+CY63)</f>
        <v>1.2740456381893615</v>
      </c>
      <c r="CZ64" s="228">
        <f t="shared" ref="CZ64" si="483">CY64*(1+CZ63)</f>
        <v>1.2772307522848347</v>
      </c>
      <c r="DA64" s="228">
        <f t="shared" ref="DA64" si="484">CZ64*(1+DA63)</f>
        <v>1.2804238291655468</v>
      </c>
      <c r="DB64" s="228">
        <f t="shared" ref="DB64" si="485">DA64*(1+DB63)</f>
        <v>1.2836248887384605</v>
      </c>
      <c r="DC64" s="228">
        <f t="shared" ref="DC64" si="486">DB64*(1+DC63)</f>
        <v>1.2868339509603066</v>
      </c>
      <c r="DD64" s="228">
        <f t="shared" ref="DD64" si="487">DC64*(1+DD63)</f>
        <v>1.2900510358377073</v>
      </c>
      <c r="DE64" s="228">
        <f t="shared" ref="DE64" si="488">DD64*(1+DE63)</f>
        <v>1.2932761634273016</v>
      </c>
      <c r="DF64" s="228">
        <f t="shared" ref="DF64" si="489">DE64*(1+DF63)</f>
        <v>1.2965093538358698</v>
      </c>
      <c r="DG64" s="228">
        <f t="shared" ref="DG64" si="490">DF64*(1+DG63)</f>
        <v>1.2997506272204595</v>
      </c>
      <c r="DH64" s="228">
        <f t="shared" ref="DH64" si="491">DG64*(1+DH63)</f>
        <v>1.3030000037885106</v>
      </c>
      <c r="DI64" s="228">
        <f t="shared" ref="DI64" si="492">DH64*(1+DI63)</f>
        <v>1.3062575037979818</v>
      </c>
      <c r="DJ64" s="228">
        <f t="shared" ref="DJ64" si="493">DI64*(1+DJ63)</f>
        <v>1.3095231475574767</v>
      </c>
      <c r="DK64" s="228">
        <f t="shared" ref="DK64" si="494">DJ64*(1+DK63)</f>
        <v>1.3127969554263703</v>
      </c>
      <c r="DL64" s="228">
        <f t="shared" ref="DL64" si="495">DK64*(1+DL63)</f>
        <v>1.3160789478149362</v>
      </c>
      <c r="DM64" s="228">
        <f t="shared" ref="DM64" si="496">DL64*(1+DM63)</f>
        <v>1.3193691451844733</v>
      </c>
      <c r="DN64" s="228">
        <f t="shared" ref="DN64" si="497">DM64*(1+DN63)</f>
        <v>1.3226675680474345</v>
      </c>
      <c r="DO64" s="228">
        <f t="shared" ref="DO64" si="498">DN64*(1+DO63)</f>
        <v>1.3259742369675529</v>
      </c>
      <c r="DP64" s="228">
        <f t="shared" ref="DP64" si="499">DO64*(1+DP63)</f>
        <v>1.3292891725599718</v>
      </c>
      <c r="DQ64" s="228">
        <f t="shared" ref="DQ64" si="500">DP64*(1+DQ63)</f>
        <v>1.3326123954913716</v>
      </c>
      <c r="DR64" s="228">
        <f t="shared" ref="DR64" si="501">DQ64*(1+DR63)</f>
        <v>1.3359439264800999</v>
      </c>
      <c r="DS64" s="228">
        <f t="shared" ref="DS64" si="502">DR64*(1+DS63)</f>
        <v>1.3392837862963001</v>
      </c>
      <c r="DT64" s="228">
        <f t="shared" ref="DT64" si="503">DS64*(1+DT63)</f>
        <v>1.3426319957620407</v>
      </c>
      <c r="DU64" s="228">
        <f t="shared" ref="DU64" si="504">DT64*(1+DU63)</f>
        <v>1.3459885757514458</v>
      </c>
      <c r="DV64" s="228">
        <f t="shared" ref="DV64" si="505">DU64*(1+DV63)</f>
        <v>1.3493535471908245</v>
      </c>
      <c r="DW64" s="228">
        <f t="shared" ref="DW64" si="506">DV64*(1+DW63)</f>
        <v>1.3527269310588015</v>
      </c>
      <c r="DX64" s="228">
        <f t="shared" ref="DX64" si="507">DW64*(1+DX63)</f>
        <v>1.3561087483864485</v>
      </c>
      <c r="DY64" s="228">
        <f t="shared" ref="DY64" si="508">DX64*(1+DY63)</f>
        <v>1.3594990202574144</v>
      </c>
      <c r="DZ64" s="228">
        <f t="shared" ref="DZ64" si="509">DY64*(1+DZ63)</f>
        <v>1.3628977678080578</v>
      </c>
      <c r="EA64" s="228">
        <f t="shared" ref="EA64" si="510">DZ64*(1+EA63)</f>
        <v>1.3663050122275779</v>
      </c>
      <c r="EB64" s="228">
        <f t="shared" ref="EB64" si="511">EA64*(1+EB63)</f>
        <v>1.3697207747581468</v>
      </c>
      <c r="EC64" s="228">
        <f t="shared" ref="EC64" si="512">EB64*(1+EC63)</f>
        <v>1.3731450766950422</v>
      </c>
      <c r="ED64" s="228">
        <f t="shared" ref="ED64" si="513">EC64*(1+ED63)</f>
        <v>1.3765779393867796</v>
      </c>
      <c r="EE64" s="228">
        <f t="shared" ref="EE64" si="514">ED64*(1+EE63)</f>
        <v>1.3800193842352466</v>
      </c>
      <c r="EF64" s="228">
        <f t="shared" ref="EF64" si="515">EE64*(1+EF63)</f>
        <v>1.3834694326958346</v>
      </c>
      <c r="EG64" s="228">
        <f t="shared" ref="EG64" si="516">EF64*(1+EG63)</f>
        <v>1.386928106277574</v>
      </c>
      <c r="EH64" s="228">
        <f t="shared" ref="EH64" si="517">EG64*(1+EH63)</f>
        <v>1.3903954265432679</v>
      </c>
      <c r="EI64" s="228">
        <f t="shared" ref="EI64" si="518">EH64*(1+EI63)</f>
        <v>1.3938714151096259</v>
      </c>
      <c r="EJ64" s="228">
        <f t="shared" ref="EJ64" si="519">EI64*(1+EJ63)</f>
        <v>1.3973560936473999</v>
      </c>
      <c r="EK64" s="228">
        <f t="shared" ref="EK64" si="520">EJ64*(1+EK63)</f>
        <v>1.4008494838815182</v>
      </c>
      <c r="EL64" s="228">
        <f t="shared" ref="EL64" si="521">EK64*(1+EL63)</f>
        <v>1.4043516075912219</v>
      </c>
      <c r="EM64" s="228">
        <f t="shared" ref="EM64" si="522">EL64*(1+EM63)</f>
        <v>1.4078624866101999</v>
      </c>
      <c r="EN64" s="228">
        <f t="shared" ref="EN64" si="523">EM64*(1+EN63)</f>
        <v>1.4113821428267253</v>
      </c>
      <c r="EO64" s="228">
        <f t="shared" ref="EO64" si="524">EN64*(1+EO63)</f>
        <v>1.4149105981837919</v>
      </c>
      <c r="EP64" s="228">
        <f t="shared" ref="EP64" si="525">EO64*(1+EP63)</f>
        <v>1.4184478746792513</v>
      </c>
      <c r="EQ64" s="228">
        <f t="shared" ref="EQ64" si="526">EP64*(1+EQ63)</f>
        <v>1.4219939943659494</v>
      </c>
      <c r="ER64" s="228">
        <f t="shared" ref="ER64" si="527">EQ64*(1+ER63)</f>
        <v>1.4255489793518643</v>
      </c>
      <c r="ES64" s="228">
        <f t="shared" ref="ES64" si="528">ER64*(1+ES63)</f>
        <v>1.4291128518002438</v>
      </c>
      <c r="ET64" s="228">
        <f t="shared" ref="ET64" si="529">ES64*(1+ET63)</f>
        <v>1.4326856339297445</v>
      </c>
      <c r="EU64" s="228">
        <f t="shared" ref="EU64" si="530">ET64*(1+EU63)</f>
        <v>1.4362673480145687</v>
      </c>
      <c r="EV64" s="228">
        <f t="shared" ref="EV64" si="531">EU64*(1+EV63)</f>
        <v>1.4398580163846051</v>
      </c>
      <c r="EW64" s="228">
        <f t="shared" ref="EW64" si="532">EV64*(1+EW63)</f>
        <v>1.4434576614255665</v>
      </c>
      <c r="EX64" s="228">
        <f t="shared" ref="EX64" si="533">EW64*(1+EX63)</f>
        <v>1.4470663055791304</v>
      </c>
      <c r="EY64" s="228">
        <f t="shared" ref="EY64" si="534">EX64*(1+EY63)</f>
        <v>1.4506839713430781</v>
      </c>
      <c r="EZ64" s="228">
        <f t="shared" ref="EZ64" si="535">EY64*(1+EZ63)</f>
        <v>1.4543106812714357</v>
      </c>
      <c r="FA64" s="228">
        <f t="shared" ref="FA64" si="536">EZ64*(1+FA63)</f>
        <v>1.4579464579746142</v>
      </c>
      <c r="FB64" s="228">
        <f t="shared" ref="FB64" si="537">FA64*(1+FB63)</f>
        <v>1.4615913241195506</v>
      </c>
      <c r="FC64" s="228">
        <f t="shared" ref="FC64" si="538">FB64*(1+FC63)</f>
        <v>1.4652453024298495</v>
      </c>
      <c r="FD64" s="228">
        <f t="shared" ref="FD64" si="539">FC64*(1+FD63)</f>
        <v>1.468908415685924</v>
      </c>
      <c r="FE64" s="228">
        <f t="shared" ref="FE64:FF64" si="540">FD64*(1+FE63)</f>
        <v>1.4725806867251388</v>
      </c>
      <c r="FF64" s="228">
        <f t="shared" si="540"/>
        <v>1.4762621384419514</v>
      </c>
      <c r="FG64" s="319"/>
      <c r="FH64" s="228">
        <f t="shared" ref="FH64" si="541">EZ64*(1+FH63)</f>
        <v>1.4579464579746142</v>
      </c>
      <c r="FI64" s="228"/>
      <c r="FJ64" s="228"/>
      <c r="FK64" s="228"/>
      <c r="FL64" s="228"/>
      <c r="FM64" s="228">
        <f>FA64*(1+FM63)</f>
        <v>1.4615913241195506</v>
      </c>
      <c r="FN64" s="228">
        <f>FB64*(1+FN63)</f>
        <v>1.4652453024298495</v>
      </c>
      <c r="FO64" s="228">
        <f>FC64*(1+FO63)</f>
        <v>1.468908415685924</v>
      </c>
      <c r="FP64" s="228">
        <f>FD64*(1+FP63)</f>
        <v>1.4725806867251388</v>
      </c>
      <c r="FQ64" s="228"/>
      <c r="FR64" s="228"/>
      <c r="FS64" s="228"/>
      <c r="FT64" s="228"/>
      <c r="FU64" s="228"/>
      <c r="FV64" s="319"/>
    </row>
    <row r="65" spans="2:178" hidden="1" outlineLevel="1" x14ac:dyDescent="0.2">
      <c r="B65" s="47"/>
      <c r="C65" s="39" t="str">
        <f>K30</f>
        <v>Operating Expenses</v>
      </c>
      <c r="E65" s="224"/>
      <c r="F65" s="225">
        <v>0</v>
      </c>
      <c r="G65" s="225">
        <f t="shared" ref="G65:AL65" si="542">IFERROR(INDEX($M30:$Q30,MATCH(YEAR(G$58),$M$27:$Q$27,0))/12,F65)</f>
        <v>2.5000000000000001E-3</v>
      </c>
      <c r="H65" s="225">
        <f t="shared" si="542"/>
        <v>2.5000000000000001E-3</v>
      </c>
      <c r="I65" s="225">
        <f t="shared" si="542"/>
        <v>2.5000000000000001E-3</v>
      </c>
      <c r="J65" s="225">
        <f t="shared" si="542"/>
        <v>2.5000000000000001E-3</v>
      </c>
      <c r="K65" s="225">
        <f t="shared" si="542"/>
        <v>2.5000000000000001E-3</v>
      </c>
      <c r="L65" s="225">
        <f t="shared" si="542"/>
        <v>2.5000000000000001E-3</v>
      </c>
      <c r="M65" s="225">
        <f t="shared" si="542"/>
        <v>2.5000000000000001E-3</v>
      </c>
      <c r="N65" s="225">
        <f t="shared" si="542"/>
        <v>2.5000000000000001E-3</v>
      </c>
      <c r="O65" s="225">
        <f t="shared" si="542"/>
        <v>2.5000000000000001E-3</v>
      </c>
      <c r="P65" s="225">
        <f t="shared" si="542"/>
        <v>2.5000000000000001E-3</v>
      </c>
      <c r="Q65" s="225">
        <f t="shared" si="542"/>
        <v>2.5000000000000001E-3</v>
      </c>
      <c r="R65" s="225">
        <f t="shared" si="542"/>
        <v>2.5000000000000001E-3</v>
      </c>
      <c r="S65" s="225">
        <f t="shared" si="542"/>
        <v>2.5000000000000001E-3</v>
      </c>
      <c r="T65" s="225">
        <f t="shared" si="542"/>
        <v>2.5000000000000001E-3</v>
      </c>
      <c r="U65" s="225">
        <f t="shared" si="542"/>
        <v>2.5000000000000001E-3</v>
      </c>
      <c r="V65" s="225">
        <f t="shared" si="542"/>
        <v>2.5000000000000001E-3</v>
      </c>
      <c r="W65" s="225">
        <f t="shared" si="542"/>
        <v>2.5000000000000001E-3</v>
      </c>
      <c r="X65" s="225">
        <f t="shared" si="542"/>
        <v>2.5000000000000001E-3</v>
      </c>
      <c r="Y65" s="225">
        <f t="shared" si="542"/>
        <v>2.5000000000000001E-3</v>
      </c>
      <c r="Z65" s="225">
        <f t="shared" si="542"/>
        <v>2.5000000000000001E-3</v>
      </c>
      <c r="AA65" s="225">
        <f t="shared" si="542"/>
        <v>2.5000000000000001E-3</v>
      </c>
      <c r="AB65" s="225">
        <f t="shared" si="542"/>
        <v>2.5000000000000001E-3</v>
      </c>
      <c r="AC65" s="225">
        <f t="shared" si="542"/>
        <v>2.5000000000000001E-3</v>
      </c>
      <c r="AD65" s="225">
        <f t="shared" si="542"/>
        <v>2.5000000000000001E-3</v>
      </c>
      <c r="AE65" s="225">
        <f t="shared" si="542"/>
        <v>2.5000000000000001E-3</v>
      </c>
      <c r="AF65" s="225">
        <f t="shared" si="542"/>
        <v>2.5000000000000001E-3</v>
      </c>
      <c r="AG65" s="225">
        <f t="shared" si="542"/>
        <v>2.5000000000000001E-3</v>
      </c>
      <c r="AH65" s="225">
        <f t="shared" si="542"/>
        <v>2.5000000000000001E-3</v>
      </c>
      <c r="AI65" s="225">
        <f t="shared" si="542"/>
        <v>2.5000000000000001E-3</v>
      </c>
      <c r="AJ65" s="225">
        <f t="shared" si="542"/>
        <v>2.5000000000000001E-3</v>
      </c>
      <c r="AK65" s="225">
        <f t="shared" si="542"/>
        <v>2.5000000000000001E-3</v>
      </c>
      <c r="AL65" s="225">
        <f t="shared" si="542"/>
        <v>2.5000000000000001E-3</v>
      </c>
      <c r="AM65" s="225">
        <f t="shared" ref="AM65:BR65" si="543">IFERROR(INDEX($M30:$Q30,MATCH(YEAR(AM$58),$M$27:$Q$27,0))/12,AL65)</f>
        <v>2.5000000000000001E-3</v>
      </c>
      <c r="AN65" s="225">
        <f t="shared" si="543"/>
        <v>2.5000000000000001E-3</v>
      </c>
      <c r="AO65" s="225">
        <f t="shared" si="543"/>
        <v>2.5000000000000001E-3</v>
      </c>
      <c r="AP65" s="225">
        <f t="shared" si="543"/>
        <v>2.5000000000000001E-3</v>
      </c>
      <c r="AQ65" s="225">
        <f t="shared" si="543"/>
        <v>2.5000000000000001E-3</v>
      </c>
      <c r="AR65" s="225">
        <f t="shared" si="543"/>
        <v>2.5000000000000001E-3</v>
      </c>
      <c r="AS65" s="225">
        <f t="shared" si="543"/>
        <v>2.5000000000000001E-3</v>
      </c>
      <c r="AT65" s="225">
        <f t="shared" si="543"/>
        <v>2.5000000000000001E-3</v>
      </c>
      <c r="AU65" s="225">
        <f t="shared" si="543"/>
        <v>2.5000000000000001E-3</v>
      </c>
      <c r="AV65" s="225">
        <f t="shared" si="543"/>
        <v>2.5000000000000001E-3</v>
      </c>
      <c r="AW65" s="225">
        <f t="shared" si="543"/>
        <v>2.5000000000000001E-3</v>
      </c>
      <c r="AX65" s="225">
        <f t="shared" si="543"/>
        <v>2.5000000000000001E-3</v>
      </c>
      <c r="AY65" s="225">
        <f t="shared" si="543"/>
        <v>2.5000000000000001E-3</v>
      </c>
      <c r="AZ65" s="225">
        <f t="shared" si="543"/>
        <v>2.5000000000000001E-3</v>
      </c>
      <c r="BA65" s="225">
        <f t="shared" si="543"/>
        <v>2.5000000000000001E-3</v>
      </c>
      <c r="BB65" s="225">
        <f t="shared" si="543"/>
        <v>2.5000000000000001E-3</v>
      </c>
      <c r="BC65" s="225">
        <f t="shared" si="543"/>
        <v>2.5000000000000001E-3</v>
      </c>
      <c r="BD65" s="225">
        <f t="shared" si="543"/>
        <v>2.5000000000000001E-3</v>
      </c>
      <c r="BE65" s="225">
        <f t="shared" si="543"/>
        <v>2.5000000000000001E-3</v>
      </c>
      <c r="BF65" s="225">
        <f t="shared" si="543"/>
        <v>2.5000000000000001E-3</v>
      </c>
      <c r="BG65" s="225">
        <f t="shared" si="543"/>
        <v>2.5000000000000001E-3</v>
      </c>
      <c r="BH65" s="225">
        <f t="shared" si="543"/>
        <v>2.5000000000000001E-3</v>
      </c>
      <c r="BI65" s="225">
        <f t="shared" si="543"/>
        <v>2.5000000000000001E-3</v>
      </c>
      <c r="BJ65" s="225">
        <f t="shared" si="543"/>
        <v>2.5000000000000001E-3</v>
      </c>
      <c r="BK65" s="225">
        <f t="shared" si="543"/>
        <v>2.5000000000000001E-3</v>
      </c>
      <c r="BL65" s="225">
        <f t="shared" si="543"/>
        <v>2.5000000000000001E-3</v>
      </c>
      <c r="BM65" s="225">
        <f t="shared" si="543"/>
        <v>2.5000000000000001E-3</v>
      </c>
      <c r="BN65" s="225">
        <f t="shared" si="543"/>
        <v>2.5000000000000001E-3</v>
      </c>
      <c r="BO65" s="225">
        <f t="shared" si="543"/>
        <v>2.5000000000000001E-3</v>
      </c>
      <c r="BP65" s="225">
        <f t="shared" si="543"/>
        <v>2.5000000000000001E-3</v>
      </c>
      <c r="BQ65" s="225">
        <f t="shared" si="543"/>
        <v>2.5000000000000001E-3</v>
      </c>
      <c r="BR65" s="225">
        <f t="shared" si="543"/>
        <v>2.5000000000000001E-3</v>
      </c>
      <c r="BS65" s="225">
        <f t="shared" ref="BS65:CX65" si="544">IFERROR(INDEX($M30:$Q30,MATCH(YEAR(BS$58),$M$27:$Q$27,0))/12,BR65)</f>
        <v>2.5000000000000001E-3</v>
      </c>
      <c r="BT65" s="225">
        <f t="shared" si="544"/>
        <v>2.5000000000000001E-3</v>
      </c>
      <c r="BU65" s="225">
        <f t="shared" si="544"/>
        <v>2.5000000000000001E-3</v>
      </c>
      <c r="BV65" s="225">
        <f t="shared" si="544"/>
        <v>2.5000000000000001E-3</v>
      </c>
      <c r="BW65" s="225">
        <f t="shared" si="544"/>
        <v>2.5000000000000001E-3</v>
      </c>
      <c r="BX65" s="225">
        <f t="shared" si="544"/>
        <v>2.5000000000000001E-3</v>
      </c>
      <c r="BY65" s="225">
        <f t="shared" si="544"/>
        <v>2.5000000000000001E-3</v>
      </c>
      <c r="BZ65" s="225">
        <f t="shared" si="544"/>
        <v>2.5000000000000001E-3</v>
      </c>
      <c r="CA65" s="225">
        <f t="shared" si="544"/>
        <v>2.5000000000000001E-3</v>
      </c>
      <c r="CB65" s="225">
        <f t="shared" si="544"/>
        <v>2.5000000000000001E-3</v>
      </c>
      <c r="CC65" s="225">
        <f t="shared" si="544"/>
        <v>2.5000000000000001E-3</v>
      </c>
      <c r="CD65" s="225">
        <f t="shared" si="544"/>
        <v>2.5000000000000001E-3</v>
      </c>
      <c r="CE65" s="225">
        <f t="shared" si="544"/>
        <v>2.5000000000000001E-3</v>
      </c>
      <c r="CF65" s="225">
        <f t="shared" si="544"/>
        <v>2.5000000000000001E-3</v>
      </c>
      <c r="CG65" s="225">
        <f t="shared" si="544"/>
        <v>2.5000000000000001E-3</v>
      </c>
      <c r="CH65" s="225">
        <f t="shared" si="544"/>
        <v>2.5000000000000001E-3</v>
      </c>
      <c r="CI65" s="225">
        <f t="shared" si="544"/>
        <v>2.5000000000000001E-3</v>
      </c>
      <c r="CJ65" s="225">
        <f t="shared" si="544"/>
        <v>2.5000000000000001E-3</v>
      </c>
      <c r="CK65" s="225">
        <f t="shared" si="544"/>
        <v>2.5000000000000001E-3</v>
      </c>
      <c r="CL65" s="225">
        <f t="shared" si="544"/>
        <v>2.5000000000000001E-3</v>
      </c>
      <c r="CM65" s="225">
        <f t="shared" si="544"/>
        <v>2.5000000000000001E-3</v>
      </c>
      <c r="CN65" s="225">
        <f t="shared" si="544"/>
        <v>2.5000000000000001E-3</v>
      </c>
      <c r="CO65" s="225">
        <f t="shared" si="544"/>
        <v>2.5000000000000001E-3</v>
      </c>
      <c r="CP65" s="225">
        <f t="shared" si="544"/>
        <v>2.5000000000000001E-3</v>
      </c>
      <c r="CQ65" s="225">
        <f t="shared" si="544"/>
        <v>2.5000000000000001E-3</v>
      </c>
      <c r="CR65" s="225">
        <f t="shared" si="544"/>
        <v>2.5000000000000001E-3</v>
      </c>
      <c r="CS65" s="225">
        <f t="shared" si="544"/>
        <v>2.5000000000000001E-3</v>
      </c>
      <c r="CT65" s="225">
        <f t="shared" si="544"/>
        <v>2.5000000000000001E-3</v>
      </c>
      <c r="CU65" s="225">
        <f t="shared" si="544"/>
        <v>2.5000000000000001E-3</v>
      </c>
      <c r="CV65" s="225">
        <f t="shared" si="544"/>
        <v>2.5000000000000001E-3</v>
      </c>
      <c r="CW65" s="225">
        <f t="shared" si="544"/>
        <v>2.5000000000000001E-3</v>
      </c>
      <c r="CX65" s="225">
        <f t="shared" si="544"/>
        <v>2.5000000000000001E-3</v>
      </c>
      <c r="CY65" s="225">
        <f t="shared" ref="CY65:ED65" si="545">IFERROR(INDEX($M30:$Q30,MATCH(YEAR(CY$58),$M$27:$Q$27,0))/12,CX65)</f>
        <v>2.5000000000000001E-3</v>
      </c>
      <c r="CZ65" s="225">
        <f t="shared" si="545"/>
        <v>2.5000000000000001E-3</v>
      </c>
      <c r="DA65" s="225">
        <f t="shared" si="545"/>
        <v>2.5000000000000001E-3</v>
      </c>
      <c r="DB65" s="225">
        <f t="shared" si="545"/>
        <v>2.5000000000000001E-3</v>
      </c>
      <c r="DC65" s="225">
        <f t="shared" si="545"/>
        <v>2.5000000000000001E-3</v>
      </c>
      <c r="DD65" s="225">
        <f t="shared" si="545"/>
        <v>2.5000000000000001E-3</v>
      </c>
      <c r="DE65" s="225">
        <f t="shared" si="545"/>
        <v>2.5000000000000001E-3</v>
      </c>
      <c r="DF65" s="225">
        <f t="shared" si="545"/>
        <v>2.5000000000000001E-3</v>
      </c>
      <c r="DG65" s="225">
        <f t="shared" si="545"/>
        <v>2.5000000000000001E-3</v>
      </c>
      <c r="DH65" s="225">
        <f t="shared" si="545"/>
        <v>2.5000000000000001E-3</v>
      </c>
      <c r="DI65" s="225">
        <f t="shared" si="545"/>
        <v>2.5000000000000001E-3</v>
      </c>
      <c r="DJ65" s="225">
        <f t="shared" si="545"/>
        <v>2.5000000000000001E-3</v>
      </c>
      <c r="DK65" s="225">
        <f t="shared" si="545"/>
        <v>2.5000000000000001E-3</v>
      </c>
      <c r="DL65" s="225">
        <f t="shared" si="545"/>
        <v>2.5000000000000001E-3</v>
      </c>
      <c r="DM65" s="225">
        <f t="shared" si="545"/>
        <v>2.5000000000000001E-3</v>
      </c>
      <c r="DN65" s="225">
        <f t="shared" si="545"/>
        <v>2.5000000000000001E-3</v>
      </c>
      <c r="DO65" s="225">
        <f t="shared" si="545"/>
        <v>2.5000000000000001E-3</v>
      </c>
      <c r="DP65" s="225">
        <f t="shared" si="545"/>
        <v>2.5000000000000001E-3</v>
      </c>
      <c r="DQ65" s="225">
        <f t="shared" si="545"/>
        <v>2.5000000000000001E-3</v>
      </c>
      <c r="DR65" s="225">
        <f t="shared" si="545"/>
        <v>2.5000000000000001E-3</v>
      </c>
      <c r="DS65" s="225">
        <f t="shared" si="545"/>
        <v>2.5000000000000001E-3</v>
      </c>
      <c r="DT65" s="225">
        <f t="shared" si="545"/>
        <v>2.5000000000000001E-3</v>
      </c>
      <c r="DU65" s="225">
        <f t="shared" si="545"/>
        <v>2.5000000000000001E-3</v>
      </c>
      <c r="DV65" s="225">
        <f t="shared" si="545"/>
        <v>2.5000000000000001E-3</v>
      </c>
      <c r="DW65" s="225">
        <f t="shared" si="545"/>
        <v>2.5000000000000001E-3</v>
      </c>
      <c r="DX65" s="225">
        <f t="shared" si="545"/>
        <v>2.5000000000000001E-3</v>
      </c>
      <c r="DY65" s="225">
        <f t="shared" si="545"/>
        <v>2.5000000000000001E-3</v>
      </c>
      <c r="DZ65" s="225">
        <f t="shared" si="545"/>
        <v>2.5000000000000001E-3</v>
      </c>
      <c r="EA65" s="225">
        <f t="shared" si="545"/>
        <v>2.5000000000000001E-3</v>
      </c>
      <c r="EB65" s="225">
        <f t="shared" si="545"/>
        <v>2.5000000000000001E-3</v>
      </c>
      <c r="EC65" s="225">
        <f t="shared" si="545"/>
        <v>2.5000000000000001E-3</v>
      </c>
      <c r="ED65" s="225">
        <f t="shared" si="545"/>
        <v>2.5000000000000001E-3</v>
      </c>
      <c r="EE65" s="225">
        <f t="shared" ref="EE65:FF65" si="546">IFERROR(INDEX($M30:$Q30,MATCH(YEAR(EE$58),$M$27:$Q$27,0))/12,ED65)</f>
        <v>2.5000000000000001E-3</v>
      </c>
      <c r="EF65" s="225">
        <f t="shared" si="546"/>
        <v>2.5000000000000001E-3</v>
      </c>
      <c r="EG65" s="225">
        <f t="shared" si="546"/>
        <v>2.5000000000000001E-3</v>
      </c>
      <c r="EH65" s="225">
        <f t="shared" si="546"/>
        <v>2.5000000000000001E-3</v>
      </c>
      <c r="EI65" s="225">
        <f t="shared" si="546"/>
        <v>2.5000000000000001E-3</v>
      </c>
      <c r="EJ65" s="225">
        <f t="shared" si="546"/>
        <v>2.5000000000000001E-3</v>
      </c>
      <c r="EK65" s="225">
        <f t="shared" si="546"/>
        <v>2.5000000000000001E-3</v>
      </c>
      <c r="EL65" s="225">
        <f t="shared" si="546"/>
        <v>2.5000000000000001E-3</v>
      </c>
      <c r="EM65" s="225">
        <f t="shared" si="546"/>
        <v>2.5000000000000001E-3</v>
      </c>
      <c r="EN65" s="225">
        <f t="shared" si="546"/>
        <v>2.5000000000000001E-3</v>
      </c>
      <c r="EO65" s="225">
        <f t="shared" si="546"/>
        <v>2.5000000000000001E-3</v>
      </c>
      <c r="EP65" s="225">
        <f t="shared" si="546"/>
        <v>2.5000000000000001E-3</v>
      </c>
      <c r="EQ65" s="225">
        <f t="shared" si="546"/>
        <v>2.5000000000000001E-3</v>
      </c>
      <c r="ER65" s="225">
        <f t="shared" si="546"/>
        <v>2.5000000000000001E-3</v>
      </c>
      <c r="ES65" s="225">
        <f t="shared" si="546"/>
        <v>2.5000000000000001E-3</v>
      </c>
      <c r="ET65" s="225">
        <f t="shared" si="546"/>
        <v>2.5000000000000001E-3</v>
      </c>
      <c r="EU65" s="225">
        <f t="shared" si="546"/>
        <v>2.5000000000000001E-3</v>
      </c>
      <c r="EV65" s="225">
        <f t="shared" si="546"/>
        <v>2.5000000000000001E-3</v>
      </c>
      <c r="EW65" s="225">
        <f t="shared" si="546"/>
        <v>2.5000000000000001E-3</v>
      </c>
      <c r="EX65" s="225">
        <f t="shared" si="546"/>
        <v>2.5000000000000001E-3</v>
      </c>
      <c r="EY65" s="225">
        <f t="shared" si="546"/>
        <v>2.5000000000000001E-3</v>
      </c>
      <c r="EZ65" s="225">
        <f t="shared" si="546"/>
        <v>2.5000000000000001E-3</v>
      </c>
      <c r="FA65" s="225">
        <f t="shared" si="546"/>
        <v>2.5000000000000001E-3</v>
      </c>
      <c r="FB65" s="225">
        <f t="shared" si="546"/>
        <v>2.5000000000000001E-3</v>
      </c>
      <c r="FC65" s="225">
        <f t="shared" si="546"/>
        <v>2.5000000000000001E-3</v>
      </c>
      <c r="FD65" s="225">
        <f t="shared" si="546"/>
        <v>2.5000000000000001E-3</v>
      </c>
      <c r="FE65" s="225">
        <f t="shared" si="546"/>
        <v>2.5000000000000001E-3</v>
      </c>
      <c r="FF65" s="225">
        <f t="shared" si="546"/>
        <v>2.5000000000000001E-3</v>
      </c>
      <c r="FG65" s="315"/>
      <c r="FH65" s="225">
        <f t="shared" ref="FH65" si="547">IFERROR(INDEX($M30:$Q30,MATCH(YEAR(FH$58),$M$27:$Q$27,0))/12,EZ65)</f>
        <v>2.5000000000000001E-3</v>
      </c>
      <c r="FI65" s="225"/>
      <c r="FJ65" s="225"/>
      <c r="FK65" s="225"/>
      <c r="FL65" s="225"/>
      <c r="FM65" s="225">
        <f>IFERROR(INDEX($M30:$Q30,MATCH(YEAR(FM$58),$M$27:$Q$27,0))/12,FA65)</f>
        <v>2.5000000000000001E-3</v>
      </c>
      <c r="FN65" s="225">
        <f>IFERROR(INDEX($M30:$Q30,MATCH(YEAR(FN$58),$M$27:$Q$27,0))/12,FB65)</f>
        <v>2.5000000000000001E-3</v>
      </c>
      <c r="FO65" s="225">
        <f>IFERROR(INDEX($M30:$Q30,MATCH(YEAR(FO$58),$M$27:$Q$27,0))/12,FC65)</f>
        <v>2.5000000000000001E-3</v>
      </c>
      <c r="FP65" s="225">
        <f>IFERROR(INDEX($M30:$Q30,MATCH(YEAR(FP$58),$M$27:$Q$27,0))/12,FD65)</f>
        <v>2.5000000000000001E-3</v>
      </c>
      <c r="FQ65" s="225"/>
      <c r="FR65" s="225"/>
      <c r="FS65" s="225"/>
      <c r="FT65" s="225"/>
      <c r="FU65" s="225"/>
      <c r="FV65" s="315"/>
    </row>
    <row r="66" spans="2:178" s="216" customFormat="1" hidden="1" outlineLevel="1" x14ac:dyDescent="0.2">
      <c r="B66" s="226"/>
      <c r="C66" s="216" t="s">
        <v>154</v>
      </c>
      <c r="E66" s="227"/>
      <c r="F66" s="228">
        <v>1</v>
      </c>
      <c r="G66" s="228">
        <f>F66*(1+G65)</f>
        <v>1.0024999999999999</v>
      </c>
      <c r="H66" s="228">
        <f t="shared" ref="H66" si="548">G66*(1+H65)</f>
        <v>1.0050062499999999</v>
      </c>
      <c r="I66" s="228">
        <f t="shared" ref="I66" si="549">H66*(1+I65)</f>
        <v>1.0075187656249998</v>
      </c>
      <c r="J66" s="228">
        <f t="shared" ref="J66" si="550">I66*(1+J65)</f>
        <v>1.0100375625390623</v>
      </c>
      <c r="K66" s="228">
        <f t="shared" ref="K66" si="551">J66*(1+K65)</f>
        <v>1.01256265644541</v>
      </c>
      <c r="L66" s="228">
        <f t="shared" ref="L66" si="552">K66*(1+L65)</f>
        <v>1.0150940630865235</v>
      </c>
      <c r="M66" s="228">
        <f t="shared" ref="M66" si="553">L66*(1+M65)</f>
        <v>1.0176317982442398</v>
      </c>
      <c r="N66" s="228">
        <f t="shared" ref="N66" si="554">M66*(1+N65)</f>
        <v>1.0201758777398504</v>
      </c>
      <c r="O66" s="228">
        <f t="shared" ref="O66" si="555">N66*(1+O65)</f>
        <v>1.0227263174342001</v>
      </c>
      <c r="P66" s="228">
        <f t="shared" ref="P66" si="556">O66*(1+P65)</f>
        <v>1.0252831332277854</v>
      </c>
      <c r="Q66" s="228">
        <f t="shared" ref="Q66" si="557">P66*(1+Q65)</f>
        <v>1.0278463410608549</v>
      </c>
      <c r="R66" s="228">
        <f t="shared" ref="R66" si="558">Q66*(1+R65)</f>
        <v>1.030415956913507</v>
      </c>
      <c r="S66" s="228">
        <f t="shared" ref="S66" si="559">R66*(1+S65)</f>
        <v>1.0329919968057906</v>
      </c>
      <c r="T66" s="228">
        <f t="shared" ref="T66" si="560">S66*(1+T65)</f>
        <v>1.035574476797805</v>
      </c>
      <c r="U66" s="228">
        <f t="shared" ref="U66" si="561">T66*(1+U65)</f>
        <v>1.0381634129897994</v>
      </c>
      <c r="V66" s="228">
        <f t="shared" ref="V66" si="562">U66*(1+V65)</f>
        <v>1.0407588215222738</v>
      </c>
      <c r="W66" s="228">
        <f t="shared" ref="W66" si="563">V66*(1+W65)</f>
        <v>1.0433607185760794</v>
      </c>
      <c r="X66" s="228">
        <f t="shared" ref="X66" si="564">W66*(1+X65)</f>
        <v>1.0459691203725194</v>
      </c>
      <c r="Y66" s="228">
        <f t="shared" ref="Y66" si="565">X66*(1+Y65)</f>
        <v>1.0485840431734508</v>
      </c>
      <c r="Z66" s="228">
        <f t="shared" ref="Z66" si="566">Y66*(1+Z65)</f>
        <v>1.0512055032813843</v>
      </c>
      <c r="AA66" s="228">
        <f t="shared" ref="AA66" si="567">Z66*(1+AA65)</f>
        <v>1.0538335170395876</v>
      </c>
      <c r="AB66" s="228">
        <f t="shared" ref="AB66" si="568">AA66*(1+AB65)</f>
        <v>1.0564681008321866</v>
      </c>
      <c r="AC66" s="228">
        <f t="shared" ref="AC66" si="569">AB66*(1+AC65)</f>
        <v>1.0591092710842669</v>
      </c>
      <c r="AD66" s="228">
        <f t="shared" ref="AD66" si="570">AC66*(1+AD65)</f>
        <v>1.0617570442619775</v>
      </c>
      <c r="AE66" s="228">
        <f t="shared" ref="AE66" si="571">AD66*(1+AE65)</f>
        <v>1.0644114368726323</v>
      </c>
      <c r="AF66" s="228">
        <f t="shared" ref="AF66" si="572">AE66*(1+AF65)</f>
        <v>1.0670724654648138</v>
      </c>
      <c r="AG66" s="228">
        <f t="shared" ref="AG66" si="573">AF66*(1+AG65)</f>
        <v>1.0697401466284757</v>
      </c>
      <c r="AH66" s="228">
        <f t="shared" ref="AH66" si="574">AG66*(1+AH65)</f>
        <v>1.0724144969950469</v>
      </c>
      <c r="AI66" s="228">
        <f t="shared" ref="AI66" si="575">AH66*(1+AI65)</f>
        <v>1.0750955332375345</v>
      </c>
      <c r="AJ66" s="228">
        <f t="shared" ref="AJ66" si="576">AI66*(1+AJ65)</f>
        <v>1.0777832720706282</v>
      </c>
      <c r="AK66" s="228">
        <f t="shared" ref="AK66" si="577">AJ66*(1+AK65)</f>
        <v>1.0804777302508046</v>
      </c>
      <c r="AL66" s="228">
        <f t="shared" ref="AL66" si="578">AK66*(1+AL65)</f>
        <v>1.0831789245764316</v>
      </c>
      <c r="AM66" s="228">
        <f t="shared" ref="AM66" si="579">AL66*(1+AM65)</f>
        <v>1.0858868718878727</v>
      </c>
      <c r="AN66" s="228">
        <f t="shared" ref="AN66" si="580">AM66*(1+AN65)</f>
        <v>1.0886015890675924</v>
      </c>
      <c r="AO66" s="228">
        <f t="shared" ref="AO66" si="581">AN66*(1+AO65)</f>
        <v>1.0913230930402613</v>
      </c>
      <c r="AP66" s="228">
        <f t="shared" ref="AP66" si="582">AO66*(1+AP65)</f>
        <v>1.0940514007728619</v>
      </c>
      <c r="AQ66" s="228">
        <f t="shared" ref="AQ66" si="583">AP66*(1+AQ65)</f>
        <v>1.096786529274794</v>
      </c>
      <c r="AR66" s="228">
        <f t="shared" ref="AR66" si="584">AQ66*(1+AR65)</f>
        <v>1.0995284955979809</v>
      </c>
      <c r="AS66" s="228">
        <f t="shared" ref="AS66" si="585">AR66*(1+AS65)</f>
        <v>1.1022773168369759</v>
      </c>
      <c r="AT66" s="228">
        <f t="shared" ref="AT66" si="586">AS66*(1+AT65)</f>
        <v>1.1050330101290684</v>
      </c>
      <c r="AU66" s="228">
        <f t="shared" ref="AU66" si="587">AT66*(1+AU65)</f>
        <v>1.107795592654391</v>
      </c>
      <c r="AV66" s="228">
        <f t="shared" ref="AV66" si="588">AU66*(1+AV65)</f>
        <v>1.1105650816360269</v>
      </c>
      <c r="AW66" s="228">
        <f t="shared" ref="AW66" si="589">AV66*(1+AW65)</f>
        <v>1.1133414943401168</v>
      </c>
      <c r="AX66" s="228">
        <f t="shared" ref="AX66" si="590">AW66*(1+AX65)</f>
        <v>1.1161248480759669</v>
      </c>
      <c r="AY66" s="228">
        <f t="shared" ref="AY66" si="591">AX66*(1+AY65)</f>
        <v>1.1189151601961567</v>
      </c>
      <c r="AZ66" s="228">
        <f t="shared" ref="AZ66" si="592">AY66*(1+AZ65)</f>
        <v>1.1217124480966469</v>
      </c>
      <c r="BA66" s="228">
        <f t="shared" ref="BA66" si="593">AZ66*(1+BA65)</f>
        <v>1.1245167292168885</v>
      </c>
      <c r="BB66" s="228">
        <f t="shared" ref="BB66" si="594">BA66*(1+BB65)</f>
        <v>1.1273280210399306</v>
      </c>
      <c r="BC66" s="228">
        <f t="shared" ref="BC66" si="595">BB66*(1+BC65)</f>
        <v>1.1301463410925303</v>
      </c>
      <c r="BD66" s="228">
        <f t="shared" ref="BD66" si="596">BC66*(1+BD65)</f>
        <v>1.1329717069452616</v>
      </c>
      <c r="BE66" s="228">
        <f t="shared" ref="BE66" si="597">BD66*(1+BE65)</f>
        <v>1.1358041362126248</v>
      </c>
      <c r="BF66" s="228">
        <f t="shared" ref="BF66" si="598">BE66*(1+BF65)</f>
        <v>1.1386436465531562</v>
      </c>
      <c r="BG66" s="228">
        <f t="shared" ref="BG66" si="599">BF66*(1+BG65)</f>
        <v>1.141490255669539</v>
      </c>
      <c r="BH66" s="228">
        <f t="shared" ref="BH66" si="600">BG66*(1+BH65)</f>
        <v>1.1443439813087128</v>
      </c>
      <c r="BI66" s="228">
        <f t="shared" ref="BI66" si="601">BH66*(1+BI65)</f>
        <v>1.1472048412619846</v>
      </c>
      <c r="BJ66" s="228">
        <f t="shared" ref="BJ66" si="602">BI66*(1+BJ65)</f>
        <v>1.1500728533651394</v>
      </c>
      <c r="BK66" s="228">
        <f t="shared" ref="BK66" si="603">BJ66*(1+BK65)</f>
        <v>1.1529480354985522</v>
      </c>
      <c r="BL66" s="228">
        <f t="shared" ref="BL66" si="604">BK66*(1+BL65)</f>
        <v>1.1558304055872985</v>
      </c>
      <c r="BM66" s="228">
        <f t="shared" ref="BM66" si="605">BL66*(1+BM65)</f>
        <v>1.1587199816012668</v>
      </c>
      <c r="BN66" s="228">
        <f t="shared" ref="BN66" si="606">BM66*(1+BN65)</f>
        <v>1.1616167815552698</v>
      </c>
      <c r="BO66" s="228">
        <f t="shared" ref="BO66" si="607">BN66*(1+BO65)</f>
        <v>1.164520823509158</v>
      </c>
      <c r="BP66" s="228">
        <f t="shared" ref="BP66" si="608">BO66*(1+BP65)</f>
        <v>1.1674321255679307</v>
      </c>
      <c r="BQ66" s="228">
        <f t="shared" ref="BQ66" si="609">BP66*(1+BQ65)</f>
        <v>1.1703507058818505</v>
      </c>
      <c r="BR66" s="228">
        <f t="shared" ref="BR66" si="610">BQ66*(1+BR65)</f>
        <v>1.173276582646555</v>
      </c>
      <c r="BS66" s="228">
        <f t="shared" ref="BS66" si="611">BR66*(1+BS65)</f>
        <v>1.1762097741031714</v>
      </c>
      <c r="BT66" s="228">
        <f t="shared" ref="BT66" si="612">BS66*(1+BT65)</f>
        <v>1.1791502985384292</v>
      </c>
      <c r="BU66" s="228">
        <f t="shared" ref="BU66" si="613">BT66*(1+BU65)</f>
        <v>1.1820981742847751</v>
      </c>
      <c r="BV66" s="228">
        <f t="shared" ref="BV66" si="614">BU66*(1+BV65)</f>
        <v>1.1850534197204869</v>
      </c>
      <c r="BW66" s="228">
        <f t="shared" ref="BW66" si="615">BV66*(1+BW65)</f>
        <v>1.1880160532697881</v>
      </c>
      <c r="BX66" s="228">
        <f t="shared" ref="BX66" si="616">BW66*(1+BX65)</f>
        <v>1.1909860934029626</v>
      </c>
      <c r="BY66" s="228">
        <f t="shared" ref="BY66" si="617">BX66*(1+BY65)</f>
        <v>1.1939635586364699</v>
      </c>
      <c r="BZ66" s="228">
        <f t="shared" ref="BZ66" si="618">BY66*(1+BZ65)</f>
        <v>1.1969484675330611</v>
      </c>
      <c r="CA66" s="228">
        <f t="shared" ref="CA66" si="619">BZ66*(1+CA65)</f>
        <v>1.1999408387018937</v>
      </c>
      <c r="CB66" s="228">
        <f t="shared" ref="CB66" si="620">CA66*(1+CB65)</f>
        <v>1.2029406907986484</v>
      </c>
      <c r="CC66" s="228">
        <f t="shared" ref="CC66" si="621">CB66*(1+CC65)</f>
        <v>1.205948042525645</v>
      </c>
      <c r="CD66" s="228">
        <f t="shared" ref="CD66" si="622">CC66*(1+CD65)</f>
        <v>1.208962912631959</v>
      </c>
      <c r="CE66" s="228">
        <f t="shared" ref="CE66" si="623">CD66*(1+CE65)</f>
        <v>1.2119853199135389</v>
      </c>
      <c r="CF66" s="228">
        <f t="shared" ref="CF66" si="624">CE66*(1+CF65)</f>
        <v>1.2150152832133227</v>
      </c>
      <c r="CG66" s="228">
        <f t="shared" ref="CG66" si="625">CF66*(1+CG65)</f>
        <v>1.218052821421356</v>
      </c>
      <c r="CH66" s="228">
        <f t="shared" ref="CH66" si="626">CG66*(1+CH65)</f>
        <v>1.2210979534749093</v>
      </c>
      <c r="CI66" s="228">
        <f t="shared" ref="CI66" si="627">CH66*(1+CI65)</f>
        <v>1.2241506983585966</v>
      </c>
      <c r="CJ66" s="228">
        <f t="shared" ref="CJ66" si="628">CI66*(1+CJ65)</f>
        <v>1.2272110751044929</v>
      </c>
      <c r="CK66" s="228">
        <f t="shared" ref="CK66" si="629">CJ66*(1+CK65)</f>
        <v>1.2302791027922542</v>
      </c>
      <c r="CL66" s="228">
        <f t="shared" ref="CL66" si="630">CK66*(1+CL65)</f>
        <v>1.2333548005492347</v>
      </c>
      <c r="CM66" s="228">
        <f t="shared" ref="CM66" si="631">CL66*(1+CM65)</f>
        <v>1.2364381875506079</v>
      </c>
      <c r="CN66" s="228">
        <f t="shared" ref="CN66" si="632">CM66*(1+CN65)</f>
        <v>1.2395292830194844</v>
      </c>
      <c r="CO66" s="228">
        <f t="shared" ref="CO66" si="633">CN66*(1+CO65)</f>
        <v>1.242628106227033</v>
      </c>
      <c r="CP66" s="228">
        <f t="shared" ref="CP66" si="634">CO66*(1+CP65)</f>
        <v>1.2457346764926005</v>
      </c>
      <c r="CQ66" s="228">
        <f t="shared" ref="CQ66" si="635">CP66*(1+CQ65)</f>
        <v>1.2488490131838319</v>
      </c>
      <c r="CR66" s="228">
        <f t="shared" ref="CR66" si="636">CQ66*(1+CR65)</f>
        <v>1.2519711357167913</v>
      </c>
      <c r="CS66" s="228">
        <f t="shared" ref="CS66" si="637">CR66*(1+CS65)</f>
        <v>1.2551010635560833</v>
      </c>
      <c r="CT66" s="228">
        <f t="shared" ref="CT66" si="638">CS66*(1+CT65)</f>
        <v>1.2582388162149734</v>
      </c>
      <c r="CU66" s="228">
        <f t="shared" ref="CU66" si="639">CT66*(1+CU65)</f>
        <v>1.2613844132555108</v>
      </c>
      <c r="CV66" s="228">
        <f t="shared" ref="CV66" si="640">CU66*(1+CV65)</f>
        <v>1.2645378742886495</v>
      </c>
      <c r="CW66" s="228">
        <f t="shared" ref="CW66" si="641">CV66*(1+CW65)</f>
        <v>1.267699218974371</v>
      </c>
      <c r="CX66" s="228">
        <f t="shared" ref="CX66" si="642">CW66*(1+CX65)</f>
        <v>1.2708684670218069</v>
      </c>
      <c r="CY66" s="228">
        <f t="shared" ref="CY66" si="643">CX66*(1+CY65)</f>
        <v>1.2740456381893615</v>
      </c>
      <c r="CZ66" s="228">
        <f t="shared" ref="CZ66" si="644">CY66*(1+CZ65)</f>
        <v>1.2772307522848347</v>
      </c>
      <c r="DA66" s="228">
        <f t="shared" ref="DA66" si="645">CZ66*(1+DA65)</f>
        <v>1.2804238291655468</v>
      </c>
      <c r="DB66" s="228">
        <f t="shared" ref="DB66" si="646">DA66*(1+DB65)</f>
        <v>1.2836248887384605</v>
      </c>
      <c r="DC66" s="228">
        <f t="shared" ref="DC66" si="647">DB66*(1+DC65)</f>
        <v>1.2868339509603066</v>
      </c>
      <c r="DD66" s="228">
        <f t="shared" ref="DD66" si="648">DC66*(1+DD65)</f>
        <v>1.2900510358377073</v>
      </c>
      <c r="DE66" s="228">
        <f t="shared" ref="DE66" si="649">DD66*(1+DE65)</f>
        <v>1.2932761634273016</v>
      </c>
      <c r="DF66" s="228">
        <f t="shared" ref="DF66" si="650">DE66*(1+DF65)</f>
        <v>1.2965093538358698</v>
      </c>
      <c r="DG66" s="228">
        <f t="shared" ref="DG66" si="651">DF66*(1+DG65)</f>
        <v>1.2997506272204595</v>
      </c>
      <c r="DH66" s="228">
        <f t="shared" ref="DH66" si="652">DG66*(1+DH65)</f>
        <v>1.3030000037885106</v>
      </c>
      <c r="DI66" s="228">
        <f t="shared" ref="DI66" si="653">DH66*(1+DI65)</f>
        <v>1.3062575037979818</v>
      </c>
      <c r="DJ66" s="228">
        <f t="shared" ref="DJ66" si="654">DI66*(1+DJ65)</f>
        <v>1.3095231475574767</v>
      </c>
      <c r="DK66" s="228">
        <f t="shared" ref="DK66" si="655">DJ66*(1+DK65)</f>
        <v>1.3127969554263703</v>
      </c>
      <c r="DL66" s="228">
        <f t="shared" ref="DL66" si="656">DK66*(1+DL65)</f>
        <v>1.3160789478149362</v>
      </c>
      <c r="DM66" s="228">
        <f t="shared" ref="DM66" si="657">DL66*(1+DM65)</f>
        <v>1.3193691451844733</v>
      </c>
      <c r="DN66" s="228">
        <f t="shared" ref="DN66" si="658">DM66*(1+DN65)</f>
        <v>1.3226675680474345</v>
      </c>
      <c r="DO66" s="228">
        <f t="shared" ref="DO66" si="659">DN66*(1+DO65)</f>
        <v>1.3259742369675529</v>
      </c>
      <c r="DP66" s="228">
        <f t="shared" ref="DP66" si="660">DO66*(1+DP65)</f>
        <v>1.3292891725599718</v>
      </c>
      <c r="DQ66" s="228">
        <f t="shared" ref="DQ66" si="661">DP66*(1+DQ65)</f>
        <v>1.3326123954913716</v>
      </c>
      <c r="DR66" s="228">
        <f t="shared" ref="DR66" si="662">DQ66*(1+DR65)</f>
        <v>1.3359439264800999</v>
      </c>
      <c r="DS66" s="228">
        <f t="shared" ref="DS66" si="663">DR66*(1+DS65)</f>
        <v>1.3392837862963001</v>
      </c>
      <c r="DT66" s="228">
        <f t="shared" ref="DT66" si="664">DS66*(1+DT65)</f>
        <v>1.3426319957620407</v>
      </c>
      <c r="DU66" s="228">
        <f t="shared" ref="DU66" si="665">DT66*(1+DU65)</f>
        <v>1.3459885757514458</v>
      </c>
      <c r="DV66" s="228">
        <f t="shared" ref="DV66" si="666">DU66*(1+DV65)</f>
        <v>1.3493535471908245</v>
      </c>
      <c r="DW66" s="228">
        <f t="shared" ref="DW66" si="667">DV66*(1+DW65)</f>
        <v>1.3527269310588015</v>
      </c>
      <c r="DX66" s="228">
        <f t="shared" ref="DX66" si="668">DW66*(1+DX65)</f>
        <v>1.3561087483864485</v>
      </c>
      <c r="DY66" s="228">
        <f t="shared" ref="DY66" si="669">DX66*(1+DY65)</f>
        <v>1.3594990202574144</v>
      </c>
      <c r="DZ66" s="228">
        <f t="shared" ref="DZ66" si="670">DY66*(1+DZ65)</f>
        <v>1.3628977678080578</v>
      </c>
      <c r="EA66" s="228">
        <f t="shared" ref="EA66" si="671">DZ66*(1+EA65)</f>
        <v>1.3663050122275779</v>
      </c>
      <c r="EB66" s="228">
        <f t="shared" ref="EB66" si="672">EA66*(1+EB65)</f>
        <v>1.3697207747581468</v>
      </c>
      <c r="EC66" s="228">
        <f t="shared" ref="EC66" si="673">EB66*(1+EC65)</f>
        <v>1.3731450766950422</v>
      </c>
      <c r="ED66" s="228">
        <f t="shared" ref="ED66" si="674">EC66*(1+ED65)</f>
        <v>1.3765779393867796</v>
      </c>
      <c r="EE66" s="228">
        <f t="shared" ref="EE66" si="675">ED66*(1+EE65)</f>
        <v>1.3800193842352466</v>
      </c>
      <c r="EF66" s="228">
        <f t="shared" ref="EF66" si="676">EE66*(1+EF65)</f>
        <v>1.3834694326958346</v>
      </c>
      <c r="EG66" s="228">
        <f t="shared" ref="EG66" si="677">EF66*(1+EG65)</f>
        <v>1.386928106277574</v>
      </c>
      <c r="EH66" s="228">
        <f t="shared" ref="EH66" si="678">EG66*(1+EH65)</f>
        <v>1.3903954265432679</v>
      </c>
      <c r="EI66" s="228">
        <f t="shared" ref="EI66" si="679">EH66*(1+EI65)</f>
        <v>1.3938714151096259</v>
      </c>
      <c r="EJ66" s="228">
        <f t="shared" ref="EJ66" si="680">EI66*(1+EJ65)</f>
        <v>1.3973560936473999</v>
      </c>
      <c r="EK66" s="228">
        <f t="shared" ref="EK66" si="681">EJ66*(1+EK65)</f>
        <v>1.4008494838815182</v>
      </c>
      <c r="EL66" s="228">
        <f t="shared" ref="EL66" si="682">EK66*(1+EL65)</f>
        <v>1.4043516075912219</v>
      </c>
      <c r="EM66" s="228">
        <f t="shared" ref="EM66" si="683">EL66*(1+EM65)</f>
        <v>1.4078624866101999</v>
      </c>
      <c r="EN66" s="228">
        <f t="shared" ref="EN66" si="684">EM66*(1+EN65)</f>
        <v>1.4113821428267253</v>
      </c>
      <c r="EO66" s="228">
        <f t="shared" ref="EO66" si="685">EN66*(1+EO65)</f>
        <v>1.4149105981837919</v>
      </c>
      <c r="EP66" s="228">
        <f t="shared" ref="EP66" si="686">EO66*(1+EP65)</f>
        <v>1.4184478746792513</v>
      </c>
      <c r="EQ66" s="228">
        <f t="shared" ref="EQ66" si="687">EP66*(1+EQ65)</f>
        <v>1.4219939943659494</v>
      </c>
      <c r="ER66" s="228">
        <f t="shared" ref="ER66" si="688">EQ66*(1+ER65)</f>
        <v>1.4255489793518643</v>
      </c>
      <c r="ES66" s="228">
        <f t="shared" ref="ES66" si="689">ER66*(1+ES65)</f>
        <v>1.4291128518002438</v>
      </c>
      <c r="ET66" s="228">
        <f t="shared" ref="ET66" si="690">ES66*(1+ET65)</f>
        <v>1.4326856339297445</v>
      </c>
      <c r="EU66" s="228">
        <f t="shared" ref="EU66" si="691">ET66*(1+EU65)</f>
        <v>1.4362673480145687</v>
      </c>
      <c r="EV66" s="228">
        <f t="shared" ref="EV66" si="692">EU66*(1+EV65)</f>
        <v>1.4398580163846051</v>
      </c>
      <c r="EW66" s="228">
        <f t="shared" ref="EW66" si="693">EV66*(1+EW65)</f>
        <v>1.4434576614255665</v>
      </c>
      <c r="EX66" s="228">
        <f t="shared" ref="EX66" si="694">EW66*(1+EX65)</f>
        <v>1.4470663055791304</v>
      </c>
      <c r="EY66" s="228">
        <f t="shared" ref="EY66" si="695">EX66*(1+EY65)</f>
        <v>1.4506839713430781</v>
      </c>
      <c r="EZ66" s="228">
        <f t="shared" ref="EZ66" si="696">EY66*(1+EZ65)</f>
        <v>1.4543106812714357</v>
      </c>
      <c r="FA66" s="228">
        <f t="shared" ref="FA66" si="697">EZ66*(1+FA65)</f>
        <v>1.4579464579746142</v>
      </c>
      <c r="FB66" s="228">
        <f t="shared" ref="FB66" si="698">FA66*(1+FB65)</f>
        <v>1.4615913241195506</v>
      </c>
      <c r="FC66" s="228">
        <f t="shared" ref="FC66" si="699">FB66*(1+FC65)</f>
        <v>1.4652453024298495</v>
      </c>
      <c r="FD66" s="228">
        <f t="shared" ref="FD66" si="700">FC66*(1+FD65)</f>
        <v>1.468908415685924</v>
      </c>
      <c r="FE66" s="228">
        <f t="shared" ref="FE66:FF66" si="701">FD66*(1+FE65)</f>
        <v>1.4725806867251388</v>
      </c>
      <c r="FF66" s="228">
        <f t="shared" si="701"/>
        <v>1.4762621384419514</v>
      </c>
      <c r="FG66" s="319"/>
      <c r="FH66" s="228">
        <f t="shared" ref="FH66" si="702">EZ66*(1+FH65)</f>
        <v>1.4579464579746142</v>
      </c>
      <c r="FI66" s="228"/>
      <c r="FJ66" s="228"/>
      <c r="FK66" s="228"/>
      <c r="FL66" s="228"/>
      <c r="FM66" s="228">
        <f>FA66*(1+FM65)</f>
        <v>1.4615913241195506</v>
      </c>
      <c r="FN66" s="228">
        <f>FB66*(1+FN65)</f>
        <v>1.4652453024298495</v>
      </c>
      <c r="FO66" s="228">
        <f>FC66*(1+FO65)</f>
        <v>1.468908415685924</v>
      </c>
      <c r="FP66" s="228">
        <f>FD66*(1+FP65)</f>
        <v>1.4725806867251388</v>
      </c>
      <c r="FQ66" s="228"/>
      <c r="FR66" s="228"/>
      <c r="FS66" s="228"/>
      <c r="FT66" s="228"/>
      <c r="FU66" s="228"/>
      <c r="FV66" s="319"/>
    </row>
    <row r="67" spans="2:178" hidden="1" outlineLevel="1" x14ac:dyDescent="0.2">
      <c r="B67" s="47"/>
      <c r="C67" s="39" t="str">
        <f>K31</f>
        <v>Property Taxes</v>
      </c>
      <c r="E67" s="224"/>
      <c r="F67" s="225">
        <v>0</v>
      </c>
      <c r="G67" s="225">
        <f t="shared" ref="G67:AL67" si="703">IFERROR(INDEX($M31:$Q31,MATCH(YEAR(G$58),$M$27:$Q$27,0))/12,F67)</f>
        <v>2.5000000000000001E-3</v>
      </c>
      <c r="H67" s="225">
        <f t="shared" si="703"/>
        <v>2.5000000000000001E-3</v>
      </c>
      <c r="I67" s="225">
        <f t="shared" si="703"/>
        <v>2.5000000000000001E-3</v>
      </c>
      <c r="J67" s="225">
        <f t="shared" si="703"/>
        <v>2.5000000000000001E-3</v>
      </c>
      <c r="K67" s="225">
        <f t="shared" si="703"/>
        <v>2.5000000000000001E-3</v>
      </c>
      <c r="L67" s="225">
        <f t="shared" si="703"/>
        <v>2.5000000000000001E-3</v>
      </c>
      <c r="M67" s="225">
        <f t="shared" si="703"/>
        <v>2.5000000000000001E-3</v>
      </c>
      <c r="N67" s="225">
        <f t="shared" si="703"/>
        <v>2.5000000000000001E-3</v>
      </c>
      <c r="O67" s="225">
        <f t="shared" si="703"/>
        <v>2.5000000000000001E-3</v>
      </c>
      <c r="P67" s="225">
        <f t="shared" si="703"/>
        <v>2.5000000000000001E-3</v>
      </c>
      <c r="Q67" s="225">
        <f t="shared" si="703"/>
        <v>2.5000000000000001E-3</v>
      </c>
      <c r="R67" s="225">
        <f t="shared" si="703"/>
        <v>2.5000000000000001E-3</v>
      </c>
      <c r="S67" s="225">
        <f t="shared" si="703"/>
        <v>2.5000000000000001E-3</v>
      </c>
      <c r="T67" s="225">
        <f t="shared" si="703"/>
        <v>2.5000000000000001E-3</v>
      </c>
      <c r="U67" s="225">
        <f t="shared" si="703"/>
        <v>2.5000000000000001E-3</v>
      </c>
      <c r="V67" s="225">
        <f t="shared" si="703"/>
        <v>2.5000000000000001E-3</v>
      </c>
      <c r="W67" s="225">
        <f t="shared" si="703"/>
        <v>2.5000000000000001E-3</v>
      </c>
      <c r="X67" s="225">
        <f t="shared" si="703"/>
        <v>2.5000000000000001E-3</v>
      </c>
      <c r="Y67" s="225">
        <f t="shared" si="703"/>
        <v>2.5000000000000001E-3</v>
      </c>
      <c r="Z67" s="225">
        <f t="shared" si="703"/>
        <v>2.5000000000000001E-3</v>
      </c>
      <c r="AA67" s="225">
        <f t="shared" si="703"/>
        <v>2.5000000000000001E-3</v>
      </c>
      <c r="AB67" s="225">
        <f t="shared" si="703"/>
        <v>2.5000000000000001E-3</v>
      </c>
      <c r="AC67" s="225">
        <f t="shared" si="703"/>
        <v>2.5000000000000001E-3</v>
      </c>
      <c r="AD67" s="225">
        <f t="shared" si="703"/>
        <v>2.5000000000000001E-3</v>
      </c>
      <c r="AE67" s="225">
        <f t="shared" si="703"/>
        <v>2.5000000000000001E-3</v>
      </c>
      <c r="AF67" s="225">
        <f t="shared" si="703"/>
        <v>2.5000000000000001E-3</v>
      </c>
      <c r="AG67" s="225">
        <f t="shared" si="703"/>
        <v>2.5000000000000001E-3</v>
      </c>
      <c r="AH67" s="225">
        <f t="shared" si="703"/>
        <v>2.5000000000000001E-3</v>
      </c>
      <c r="AI67" s="225">
        <f t="shared" si="703"/>
        <v>2.5000000000000001E-3</v>
      </c>
      <c r="AJ67" s="225">
        <f t="shared" si="703"/>
        <v>2.5000000000000001E-3</v>
      </c>
      <c r="AK67" s="225">
        <f t="shared" si="703"/>
        <v>2.5000000000000001E-3</v>
      </c>
      <c r="AL67" s="225">
        <f t="shared" si="703"/>
        <v>2.5000000000000001E-3</v>
      </c>
      <c r="AM67" s="225">
        <f t="shared" ref="AM67:BR67" si="704">IFERROR(INDEX($M31:$Q31,MATCH(YEAR(AM$58),$M$27:$Q$27,0))/12,AL67)</f>
        <v>2.5000000000000001E-3</v>
      </c>
      <c r="AN67" s="225">
        <f t="shared" si="704"/>
        <v>2.5000000000000001E-3</v>
      </c>
      <c r="AO67" s="225">
        <f t="shared" si="704"/>
        <v>2.5000000000000001E-3</v>
      </c>
      <c r="AP67" s="225">
        <f t="shared" si="704"/>
        <v>2.5000000000000001E-3</v>
      </c>
      <c r="AQ67" s="225">
        <f t="shared" si="704"/>
        <v>2.5000000000000001E-3</v>
      </c>
      <c r="AR67" s="225">
        <f t="shared" si="704"/>
        <v>2.5000000000000001E-3</v>
      </c>
      <c r="AS67" s="225">
        <f t="shared" si="704"/>
        <v>2.5000000000000001E-3</v>
      </c>
      <c r="AT67" s="225">
        <f t="shared" si="704"/>
        <v>2.5000000000000001E-3</v>
      </c>
      <c r="AU67" s="225">
        <f t="shared" si="704"/>
        <v>2.5000000000000001E-3</v>
      </c>
      <c r="AV67" s="225">
        <f t="shared" si="704"/>
        <v>2.5000000000000001E-3</v>
      </c>
      <c r="AW67" s="225">
        <f t="shared" si="704"/>
        <v>2.5000000000000001E-3</v>
      </c>
      <c r="AX67" s="225">
        <f t="shared" si="704"/>
        <v>2.5000000000000001E-3</v>
      </c>
      <c r="AY67" s="225">
        <f t="shared" si="704"/>
        <v>2.5000000000000001E-3</v>
      </c>
      <c r="AZ67" s="225">
        <f t="shared" si="704"/>
        <v>2.5000000000000001E-3</v>
      </c>
      <c r="BA67" s="225">
        <f t="shared" si="704"/>
        <v>2.5000000000000001E-3</v>
      </c>
      <c r="BB67" s="225">
        <f t="shared" si="704"/>
        <v>2.5000000000000001E-3</v>
      </c>
      <c r="BC67" s="225">
        <f t="shared" si="704"/>
        <v>2.5000000000000001E-3</v>
      </c>
      <c r="BD67" s="225">
        <f t="shared" si="704"/>
        <v>2.5000000000000001E-3</v>
      </c>
      <c r="BE67" s="225">
        <f t="shared" si="704"/>
        <v>2.5000000000000001E-3</v>
      </c>
      <c r="BF67" s="225">
        <f t="shared" si="704"/>
        <v>2.5000000000000001E-3</v>
      </c>
      <c r="BG67" s="225">
        <f t="shared" si="704"/>
        <v>2.5000000000000001E-3</v>
      </c>
      <c r="BH67" s="225">
        <f t="shared" si="704"/>
        <v>2.5000000000000001E-3</v>
      </c>
      <c r="BI67" s="225">
        <f t="shared" si="704"/>
        <v>2.5000000000000001E-3</v>
      </c>
      <c r="BJ67" s="225">
        <f t="shared" si="704"/>
        <v>2.5000000000000001E-3</v>
      </c>
      <c r="BK67" s="225">
        <f t="shared" si="704"/>
        <v>2.5000000000000001E-3</v>
      </c>
      <c r="BL67" s="225">
        <f t="shared" si="704"/>
        <v>2.5000000000000001E-3</v>
      </c>
      <c r="BM67" s="225">
        <f t="shared" si="704"/>
        <v>2.5000000000000001E-3</v>
      </c>
      <c r="BN67" s="225">
        <f t="shared" si="704"/>
        <v>2.5000000000000001E-3</v>
      </c>
      <c r="BO67" s="225">
        <f t="shared" si="704"/>
        <v>2.5000000000000001E-3</v>
      </c>
      <c r="BP67" s="225">
        <f t="shared" si="704"/>
        <v>2.5000000000000001E-3</v>
      </c>
      <c r="BQ67" s="225">
        <f t="shared" si="704"/>
        <v>2.5000000000000001E-3</v>
      </c>
      <c r="BR67" s="225">
        <f t="shared" si="704"/>
        <v>2.5000000000000001E-3</v>
      </c>
      <c r="BS67" s="225">
        <f t="shared" ref="BS67:CX67" si="705">IFERROR(INDEX($M31:$Q31,MATCH(YEAR(BS$58),$M$27:$Q$27,0))/12,BR67)</f>
        <v>2.5000000000000001E-3</v>
      </c>
      <c r="BT67" s="225">
        <f t="shared" si="705"/>
        <v>2.5000000000000001E-3</v>
      </c>
      <c r="BU67" s="225">
        <f t="shared" si="705"/>
        <v>2.5000000000000001E-3</v>
      </c>
      <c r="BV67" s="225">
        <f t="shared" si="705"/>
        <v>2.5000000000000001E-3</v>
      </c>
      <c r="BW67" s="225">
        <f t="shared" si="705"/>
        <v>2.5000000000000001E-3</v>
      </c>
      <c r="BX67" s="225">
        <f t="shared" si="705"/>
        <v>2.5000000000000001E-3</v>
      </c>
      <c r="BY67" s="225">
        <f t="shared" si="705"/>
        <v>2.5000000000000001E-3</v>
      </c>
      <c r="BZ67" s="225">
        <f t="shared" si="705"/>
        <v>2.5000000000000001E-3</v>
      </c>
      <c r="CA67" s="225">
        <f t="shared" si="705"/>
        <v>2.5000000000000001E-3</v>
      </c>
      <c r="CB67" s="225">
        <f t="shared" si="705"/>
        <v>2.5000000000000001E-3</v>
      </c>
      <c r="CC67" s="225">
        <f t="shared" si="705"/>
        <v>2.5000000000000001E-3</v>
      </c>
      <c r="CD67" s="225">
        <f t="shared" si="705"/>
        <v>2.5000000000000001E-3</v>
      </c>
      <c r="CE67" s="225">
        <f t="shared" si="705"/>
        <v>2.5000000000000001E-3</v>
      </c>
      <c r="CF67" s="225">
        <f t="shared" si="705"/>
        <v>2.5000000000000001E-3</v>
      </c>
      <c r="CG67" s="225">
        <f t="shared" si="705"/>
        <v>2.5000000000000001E-3</v>
      </c>
      <c r="CH67" s="225">
        <f t="shared" si="705"/>
        <v>2.5000000000000001E-3</v>
      </c>
      <c r="CI67" s="225">
        <f t="shared" si="705"/>
        <v>2.5000000000000001E-3</v>
      </c>
      <c r="CJ67" s="225">
        <f t="shared" si="705"/>
        <v>2.5000000000000001E-3</v>
      </c>
      <c r="CK67" s="225">
        <f t="shared" si="705"/>
        <v>2.5000000000000001E-3</v>
      </c>
      <c r="CL67" s="225">
        <f t="shared" si="705"/>
        <v>2.5000000000000001E-3</v>
      </c>
      <c r="CM67" s="225">
        <f t="shared" si="705"/>
        <v>2.5000000000000001E-3</v>
      </c>
      <c r="CN67" s="225">
        <f t="shared" si="705"/>
        <v>2.5000000000000001E-3</v>
      </c>
      <c r="CO67" s="225">
        <f t="shared" si="705"/>
        <v>2.5000000000000001E-3</v>
      </c>
      <c r="CP67" s="225">
        <f t="shared" si="705"/>
        <v>2.5000000000000001E-3</v>
      </c>
      <c r="CQ67" s="225">
        <f t="shared" si="705"/>
        <v>2.5000000000000001E-3</v>
      </c>
      <c r="CR67" s="225">
        <f t="shared" si="705"/>
        <v>2.5000000000000001E-3</v>
      </c>
      <c r="CS67" s="225">
        <f t="shared" si="705"/>
        <v>2.5000000000000001E-3</v>
      </c>
      <c r="CT67" s="225">
        <f t="shared" si="705"/>
        <v>2.5000000000000001E-3</v>
      </c>
      <c r="CU67" s="225">
        <f t="shared" si="705"/>
        <v>2.5000000000000001E-3</v>
      </c>
      <c r="CV67" s="225">
        <f t="shared" si="705"/>
        <v>2.5000000000000001E-3</v>
      </c>
      <c r="CW67" s="225">
        <f t="shared" si="705"/>
        <v>2.5000000000000001E-3</v>
      </c>
      <c r="CX67" s="225">
        <f t="shared" si="705"/>
        <v>2.5000000000000001E-3</v>
      </c>
      <c r="CY67" s="225">
        <f t="shared" ref="CY67:ED67" si="706">IFERROR(INDEX($M31:$Q31,MATCH(YEAR(CY$58),$M$27:$Q$27,0))/12,CX67)</f>
        <v>2.5000000000000001E-3</v>
      </c>
      <c r="CZ67" s="225">
        <f t="shared" si="706"/>
        <v>2.5000000000000001E-3</v>
      </c>
      <c r="DA67" s="225">
        <f t="shared" si="706"/>
        <v>2.5000000000000001E-3</v>
      </c>
      <c r="DB67" s="225">
        <f t="shared" si="706"/>
        <v>2.5000000000000001E-3</v>
      </c>
      <c r="DC67" s="225">
        <f t="shared" si="706"/>
        <v>2.5000000000000001E-3</v>
      </c>
      <c r="DD67" s="225">
        <f t="shared" si="706"/>
        <v>2.5000000000000001E-3</v>
      </c>
      <c r="DE67" s="225">
        <f t="shared" si="706"/>
        <v>2.5000000000000001E-3</v>
      </c>
      <c r="DF67" s="225">
        <f t="shared" si="706"/>
        <v>2.5000000000000001E-3</v>
      </c>
      <c r="DG67" s="225">
        <f t="shared" si="706"/>
        <v>2.5000000000000001E-3</v>
      </c>
      <c r="DH67" s="225">
        <f t="shared" si="706"/>
        <v>2.5000000000000001E-3</v>
      </c>
      <c r="DI67" s="225">
        <f t="shared" si="706"/>
        <v>2.5000000000000001E-3</v>
      </c>
      <c r="DJ67" s="225">
        <f t="shared" si="706"/>
        <v>2.5000000000000001E-3</v>
      </c>
      <c r="DK67" s="225">
        <f t="shared" si="706"/>
        <v>2.5000000000000001E-3</v>
      </c>
      <c r="DL67" s="225">
        <f t="shared" si="706"/>
        <v>2.5000000000000001E-3</v>
      </c>
      <c r="DM67" s="225">
        <f t="shared" si="706"/>
        <v>2.5000000000000001E-3</v>
      </c>
      <c r="DN67" s="225">
        <f t="shared" si="706"/>
        <v>2.5000000000000001E-3</v>
      </c>
      <c r="DO67" s="225">
        <f t="shared" si="706"/>
        <v>2.5000000000000001E-3</v>
      </c>
      <c r="DP67" s="225">
        <f t="shared" si="706"/>
        <v>2.5000000000000001E-3</v>
      </c>
      <c r="DQ67" s="225">
        <f t="shared" si="706"/>
        <v>2.5000000000000001E-3</v>
      </c>
      <c r="DR67" s="225">
        <f t="shared" si="706"/>
        <v>2.5000000000000001E-3</v>
      </c>
      <c r="DS67" s="225">
        <f t="shared" si="706"/>
        <v>2.5000000000000001E-3</v>
      </c>
      <c r="DT67" s="225">
        <f t="shared" si="706"/>
        <v>2.5000000000000001E-3</v>
      </c>
      <c r="DU67" s="225">
        <f t="shared" si="706"/>
        <v>2.5000000000000001E-3</v>
      </c>
      <c r="DV67" s="225">
        <f t="shared" si="706"/>
        <v>2.5000000000000001E-3</v>
      </c>
      <c r="DW67" s="225">
        <f t="shared" si="706"/>
        <v>2.5000000000000001E-3</v>
      </c>
      <c r="DX67" s="225">
        <f t="shared" si="706"/>
        <v>2.5000000000000001E-3</v>
      </c>
      <c r="DY67" s="225">
        <f t="shared" si="706"/>
        <v>2.5000000000000001E-3</v>
      </c>
      <c r="DZ67" s="225">
        <f t="shared" si="706"/>
        <v>2.5000000000000001E-3</v>
      </c>
      <c r="EA67" s="225">
        <f t="shared" si="706"/>
        <v>2.5000000000000001E-3</v>
      </c>
      <c r="EB67" s="225">
        <f t="shared" si="706"/>
        <v>2.5000000000000001E-3</v>
      </c>
      <c r="EC67" s="225">
        <f t="shared" si="706"/>
        <v>2.5000000000000001E-3</v>
      </c>
      <c r="ED67" s="225">
        <f t="shared" si="706"/>
        <v>2.5000000000000001E-3</v>
      </c>
      <c r="EE67" s="225">
        <f t="shared" ref="EE67:FF67" si="707">IFERROR(INDEX($M31:$Q31,MATCH(YEAR(EE$58),$M$27:$Q$27,0))/12,ED67)</f>
        <v>2.5000000000000001E-3</v>
      </c>
      <c r="EF67" s="225">
        <f t="shared" si="707"/>
        <v>2.5000000000000001E-3</v>
      </c>
      <c r="EG67" s="225">
        <f t="shared" si="707"/>
        <v>2.5000000000000001E-3</v>
      </c>
      <c r="EH67" s="225">
        <f t="shared" si="707"/>
        <v>2.5000000000000001E-3</v>
      </c>
      <c r="EI67" s="225">
        <f t="shared" si="707"/>
        <v>2.5000000000000001E-3</v>
      </c>
      <c r="EJ67" s="225">
        <f t="shared" si="707"/>
        <v>2.5000000000000001E-3</v>
      </c>
      <c r="EK67" s="225">
        <f t="shared" si="707"/>
        <v>2.5000000000000001E-3</v>
      </c>
      <c r="EL67" s="225">
        <f t="shared" si="707"/>
        <v>2.5000000000000001E-3</v>
      </c>
      <c r="EM67" s="225">
        <f t="shared" si="707"/>
        <v>2.5000000000000001E-3</v>
      </c>
      <c r="EN67" s="225">
        <f t="shared" si="707"/>
        <v>2.5000000000000001E-3</v>
      </c>
      <c r="EO67" s="225">
        <f t="shared" si="707"/>
        <v>2.5000000000000001E-3</v>
      </c>
      <c r="EP67" s="225">
        <f t="shared" si="707"/>
        <v>2.5000000000000001E-3</v>
      </c>
      <c r="EQ67" s="225">
        <f t="shared" si="707"/>
        <v>2.5000000000000001E-3</v>
      </c>
      <c r="ER67" s="225">
        <f t="shared" si="707"/>
        <v>2.5000000000000001E-3</v>
      </c>
      <c r="ES67" s="225">
        <f t="shared" si="707"/>
        <v>2.5000000000000001E-3</v>
      </c>
      <c r="ET67" s="225">
        <f t="shared" si="707"/>
        <v>2.5000000000000001E-3</v>
      </c>
      <c r="EU67" s="225">
        <f t="shared" si="707"/>
        <v>2.5000000000000001E-3</v>
      </c>
      <c r="EV67" s="225">
        <f t="shared" si="707"/>
        <v>2.5000000000000001E-3</v>
      </c>
      <c r="EW67" s="225">
        <f t="shared" si="707"/>
        <v>2.5000000000000001E-3</v>
      </c>
      <c r="EX67" s="225">
        <f t="shared" si="707"/>
        <v>2.5000000000000001E-3</v>
      </c>
      <c r="EY67" s="225">
        <f t="shared" si="707"/>
        <v>2.5000000000000001E-3</v>
      </c>
      <c r="EZ67" s="225">
        <f t="shared" si="707"/>
        <v>2.5000000000000001E-3</v>
      </c>
      <c r="FA67" s="225">
        <f t="shared" si="707"/>
        <v>2.5000000000000001E-3</v>
      </c>
      <c r="FB67" s="225">
        <f t="shared" si="707"/>
        <v>2.5000000000000001E-3</v>
      </c>
      <c r="FC67" s="225">
        <f t="shared" si="707"/>
        <v>2.5000000000000001E-3</v>
      </c>
      <c r="FD67" s="225">
        <f t="shared" si="707"/>
        <v>2.5000000000000001E-3</v>
      </c>
      <c r="FE67" s="225">
        <f t="shared" si="707"/>
        <v>2.5000000000000001E-3</v>
      </c>
      <c r="FF67" s="225">
        <f t="shared" si="707"/>
        <v>2.5000000000000001E-3</v>
      </c>
      <c r="FG67" s="315"/>
      <c r="FH67" s="225">
        <f t="shared" ref="FH67" si="708">IFERROR(INDEX($M31:$Q31,MATCH(YEAR(FH$58),$M$27:$Q$27,0))/12,EZ67)</f>
        <v>2.5000000000000001E-3</v>
      </c>
      <c r="FI67" s="225"/>
      <c r="FJ67" s="225"/>
      <c r="FK67" s="225"/>
      <c r="FL67" s="225"/>
      <c r="FM67" s="225">
        <f>IFERROR(INDEX($M31:$Q31,MATCH(YEAR(FM$58),$M$27:$Q$27,0))/12,FA67)</f>
        <v>2.5000000000000001E-3</v>
      </c>
      <c r="FN67" s="225">
        <f>IFERROR(INDEX($M31:$Q31,MATCH(YEAR(FN$58),$M$27:$Q$27,0))/12,FB67)</f>
        <v>2.5000000000000001E-3</v>
      </c>
      <c r="FO67" s="225">
        <f>IFERROR(INDEX($M31:$Q31,MATCH(YEAR(FO$58),$M$27:$Q$27,0))/12,FC67)</f>
        <v>2.5000000000000001E-3</v>
      </c>
      <c r="FP67" s="225">
        <f>IFERROR(INDEX($M31:$Q31,MATCH(YEAR(FP$58),$M$27:$Q$27,0))/12,FD67)</f>
        <v>2.5000000000000001E-3</v>
      </c>
      <c r="FQ67" s="225"/>
      <c r="FR67" s="225"/>
      <c r="FS67" s="225"/>
      <c r="FT67" s="225"/>
      <c r="FU67" s="225"/>
      <c r="FV67" s="315"/>
    </row>
    <row r="68" spans="2:178" s="216" customFormat="1" hidden="1" outlineLevel="1" x14ac:dyDescent="0.2">
      <c r="B68" s="226"/>
      <c r="C68" s="216" t="s">
        <v>154</v>
      </c>
      <c r="E68" s="227"/>
      <c r="F68" s="228">
        <v>1</v>
      </c>
      <c r="G68" s="228">
        <f t="shared" ref="G68:AL68" si="709">F68*(1+G67)</f>
        <v>1.0024999999999999</v>
      </c>
      <c r="H68" s="228">
        <f t="shared" si="709"/>
        <v>1.0050062499999999</v>
      </c>
      <c r="I68" s="228">
        <f t="shared" si="709"/>
        <v>1.0075187656249998</v>
      </c>
      <c r="J68" s="228">
        <f t="shared" si="709"/>
        <v>1.0100375625390623</v>
      </c>
      <c r="K68" s="228">
        <f t="shared" si="709"/>
        <v>1.01256265644541</v>
      </c>
      <c r="L68" s="228">
        <f t="shared" si="709"/>
        <v>1.0150940630865235</v>
      </c>
      <c r="M68" s="228">
        <f t="shared" si="709"/>
        <v>1.0176317982442398</v>
      </c>
      <c r="N68" s="228">
        <f t="shared" si="709"/>
        <v>1.0201758777398504</v>
      </c>
      <c r="O68" s="228">
        <f t="shared" si="709"/>
        <v>1.0227263174342001</v>
      </c>
      <c r="P68" s="228">
        <f t="shared" si="709"/>
        <v>1.0252831332277854</v>
      </c>
      <c r="Q68" s="228">
        <f t="shared" si="709"/>
        <v>1.0278463410608549</v>
      </c>
      <c r="R68" s="228">
        <f t="shared" si="709"/>
        <v>1.030415956913507</v>
      </c>
      <c r="S68" s="228">
        <f t="shared" si="709"/>
        <v>1.0329919968057906</v>
      </c>
      <c r="T68" s="228">
        <f t="shared" si="709"/>
        <v>1.035574476797805</v>
      </c>
      <c r="U68" s="228">
        <f t="shared" si="709"/>
        <v>1.0381634129897994</v>
      </c>
      <c r="V68" s="228">
        <f t="shared" si="709"/>
        <v>1.0407588215222738</v>
      </c>
      <c r="W68" s="228">
        <f t="shared" si="709"/>
        <v>1.0433607185760794</v>
      </c>
      <c r="X68" s="228">
        <f t="shared" si="709"/>
        <v>1.0459691203725194</v>
      </c>
      <c r="Y68" s="228">
        <f t="shared" si="709"/>
        <v>1.0485840431734508</v>
      </c>
      <c r="Z68" s="228">
        <f t="shared" si="709"/>
        <v>1.0512055032813843</v>
      </c>
      <c r="AA68" s="228">
        <f t="shared" si="709"/>
        <v>1.0538335170395876</v>
      </c>
      <c r="AB68" s="228">
        <f t="shared" si="709"/>
        <v>1.0564681008321866</v>
      </c>
      <c r="AC68" s="228">
        <f t="shared" si="709"/>
        <v>1.0591092710842669</v>
      </c>
      <c r="AD68" s="228">
        <f t="shared" si="709"/>
        <v>1.0617570442619775</v>
      </c>
      <c r="AE68" s="228">
        <f t="shared" si="709"/>
        <v>1.0644114368726323</v>
      </c>
      <c r="AF68" s="228">
        <f t="shared" si="709"/>
        <v>1.0670724654648138</v>
      </c>
      <c r="AG68" s="228">
        <f t="shared" si="709"/>
        <v>1.0697401466284757</v>
      </c>
      <c r="AH68" s="228">
        <f t="shared" si="709"/>
        <v>1.0724144969950469</v>
      </c>
      <c r="AI68" s="228">
        <f t="shared" si="709"/>
        <v>1.0750955332375345</v>
      </c>
      <c r="AJ68" s="228">
        <f t="shared" si="709"/>
        <v>1.0777832720706282</v>
      </c>
      <c r="AK68" s="228">
        <f t="shared" si="709"/>
        <v>1.0804777302508046</v>
      </c>
      <c r="AL68" s="228">
        <f t="shared" si="709"/>
        <v>1.0831789245764316</v>
      </c>
      <c r="AM68" s="228">
        <f t="shared" ref="AM68:BR68" si="710">AL68*(1+AM67)</f>
        <v>1.0858868718878727</v>
      </c>
      <c r="AN68" s="228">
        <f t="shared" si="710"/>
        <v>1.0886015890675924</v>
      </c>
      <c r="AO68" s="228">
        <f t="shared" si="710"/>
        <v>1.0913230930402613</v>
      </c>
      <c r="AP68" s="228">
        <f t="shared" si="710"/>
        <v>1.0940514007728619</v>
      </c>
      <c r="AQ68" s="228">
        <f t="shared" si="710"/>
        <v>1.096786529274794</v>
      </c>
      <c r="AR68" s="228">
        <f t="shared" si="710"/>
        <v>1.0995284955979809</v>
      </c>
      <c r="AS68" s="228">
        <f t="shared" si="710"/>
        <v>1.1022773168369759</v>
      </c>
      <c r="AT68" s="228">
        <f t="shared" si="710"/>
        <v>1.1050330101290684</v>
      </c>
      <c r="AU68" s="228">
        <f t="shared" si="710"/>
        <v>1.107795592654391</v>
      </c>
      <c r="AV68" s="228">
        <f t="shared" si="710"/>
        <v>1.1105650816360269</v>
      </c>
      <c r="AW68" s="228">
        <f t="shared" si="710"/>
        <v>1.1133414943401168</v>
      </c>
      <c r="AX68" s="228">
        <f t="shared" si="710"/>
        <v>1.1161248480759669</v>
      </c>
      <c r="AY68" s="228">
        <f t="shared" si="710"/>
        <v>1.1189151601961567</v>
      </c>
      <c r="AZ68" s="228">
        <f t="shared" si="710"/>
        <v>1.1217124480966469</v>
      </c>
      <c r="BA68" s="228">
        <f t="shared" si="710"/>
        <v>1.1245167292168885</v>
      </c>
      <c r="BB68" s="228">
        <f t="shared" si="710"/>
        <v>1.1273280210399306</v>
      </c>
      <c r="BC68" s="228">
        <f t="shared" si="710"/>
        <v>1.1301463410925303</v>
      </c>
      <c r="BD68" s="228">
        <f t="shared" si="710"/>
        <v>1.1329717069452616</v>
      </c>
      <c r="BE68" s="228">
        <f t="shared" si="710"/>
        <v>1.1358041362126248</v>
      </c>
      <c r="BF68" s="228">
        <f t="shared" si="710"/>
        <v>1.1386436465531562</v>
      </c>
      <c r="BG68" s="228">
        <f t="shared" si="710"/>
        <v>1.141490255669539</v>
      </c>
      <c r="BH68" s="228">
        <f t="shared" si="710"/>
        <v>1.1443439813087128</v>
      </c>
      <c r="BI68" s="228">
        <f t="shared" si="710"/>
        <v>1.1472048412619846</v>
      </c>
      <c r="BJ68" s="228">
        <f t="shared" si="710"/>
        <v>1.1500728533651394</v>
      </c>
      <c r="BK68" s="228">
        <f t="shared" si="710"/>
        <v>1.1529480354985522</v>
      </c>
      <c r="BL68" s="228">
        <f t="shared" si="710"/>
        <v>1.1558304055872985</v>
      </c>
      <c r="BM68" s="228">
        <f t="shared" si="710"/>
        <v>1.1587199816012668</v>
      </c>
      <c r="BN68" s="228">
        <f t="shared" si="710"/>
        <v>1.1616167815552698</v>
      </c>
      <c r="BO68" s="228">
        <f t="shared" si="710"/>
        <v>1.164520823509158</v>
      </c>
      <c r="BP68" s="228">
        <f t="shared" si="710"/>
        <v>1.1674321255679307</v>
      </c>
      <c r="BQ68" s="228">
        <f t="shared" si="710"/>
        <v>1.1703507058818505</v>
      </c>
      <c r="BR68" s="228">
        <f t="shared" si="710"/>
        <v>1.173276582646555</v>
      </c>
      <c r="BS68" s="228">
        <f t="shared" ref="BS68:CX68" si="711">BR68*(1+BS67)</f>
        <v>1.1762097741031714</v>
      </c>
      <c r="BT68" s="228">
        <f t="shared" si="711"/>
        <v>1.1791502985384292</v>
      </c>
      <c r="BU68" s="228">
        <f t="shared" si="711"/>
        <v>1.1820981742847751</v>
      </c>
      <c r="BV68" s="228">
        <f t="shared" si="711"/>
        <v>1.1850534197204869</v>
      </c>
      <c r="BW68" s="228">
        <f t="shared" si="711"/>
        <v>1.1880160532697881</v>
      </c>
      <c r="BX68" s="228">
        <f t="shared" si="711"/>
        <v>1.1909860934029626</v>
      </c>
      <c r="BY68" s="228">
        <f t="shared" si="711"/>
        <v>1.1939635586364699</v>
      </c>
      <c r="BZ68" s="228">
        <f t="shared" si="711"/>
        <v>1.1969484675330611</v>
      </c>
      <c r="CA68" s="228">
        <f t="shared" si="711"/>
        <v>1.1999408387018937</v>
      </c>
      <c r="CB68" s="228">
        <f t="shared" si="711"/>
        <v>1.2029406907986484</v>
      </c>
      <c r="CC68" s="228">
        <f t="shared" si="711"/>
        <v>1.205948042525645</v>
      </c>
      <c r="CD68" s="228">
        <f t="shared" si="711"/>
        <v>1.208962912631959</v>
      </c>
      <c r="CE68" s="228">
        <f t="shared" si="711"/>
        <v>1.2119853199135389</v>
      </c>
      <c r="CF68" s="228">
        <f t="shared" si="711"/>
        <v>1.2150152832133227</v>
      </c>
      <c r="CG68" s="228">
        <f t="shared" si="711"/>
        <v>1.218052821421356</v>
      </c>
      <c r="CH68" s="228">
        <f t="shared" si="711"/>
        <v>1.2210979534749093</v>
      </c>
      <c r="CI68" s="228">
        <f t="shared" si="711"/>
        <v>1.2241506983585966</v>
      </c>
      <c r="CJ68" s="228">
        <f t="shared" si="711"/>
        <v>1.2272110751044929</v>
      </c>
      <c r="CK68" s="228">
        <f t="shared" si="711"/>
        <v>1.2302791027922542</v>
      </c>
      <c r="CL68" s="228">
        <f t="shared" si="711"/>
        <v>1.2333548005492347</v>
      </c>
      <c r="CM68" s="228">
        <f t="shared" si="711"/>
        <v>1.2364381875506079</v>
      </c>
      <c r="CN68" s="228">
        <f t="shared" si="711"/>
        <v>1.2395292830194844</v>
      </c>
      <c r="CO68" s="228">
        <f t="shared" si="711"/>
        <v>1.242628106227033</v>
      </c>
      <c r="CP68" s="228">
        <f t="shared" si="711"/>
        <v>1.2457346764926005</v>
      </c>
      <c r="CQ68" s="228">
        <f t="shared" si="711"/>
        <v>1.2488490131838319</v>
      </c>
      <c r="CR68" s="228">
        <f t="shared" si="711"/>
        <v>1.2519711357167913</v>
      </c>
      <c r="CS68" s="228">
        <f t="shared" si="711"/>
        <v>1.2551010635560833</v>
      </c>
      <c r="CT68" s="228">
        <f t="shared" si="711"/>
        <v>1.2582388162149734</v>
      </c>
      <c r="CU68" s="228">
        <f t="shared" si="711"/>
        <v>1.2613844132555108</v>
      </c>
      <c r="CV68" s="228">
        <f t="shared" si="711"/>
        <v>1.2645378742886495</v>
      </c>
      <c r="CW68" s="228">
        <f t="shared" si="711"/>
        <v>1.267699218974371</v>
      </c>
      <c r="CX68" s="228">
        <f t="shared" si="711"/>
        <v>1.2708684670218069</v>
      </c>
      <c r="CY68" s="228">
        <f t="shared" ref="CY68:ED68" si="712">CX68*(1+CY67)</f>
        <v>1.2740456381893615</v>
      </c>
      <c r="CZ68" s="228">
        <f t="shared" si="712"/>
        <v>1.2772307522848347</v>
      </c>
      <c r="DA68" s="228">
        <f t="shared" si="712"/>
        <v>1.2804238291655468</v>
      </c>
      <c r="DB68" s="228">
        <f t="shared" si="712"/>
        <v>1.2836248887384605</v>
      </c>
      <c r="DC68" s="228">
        <f t="shared" si="712"/>
        <v>1.2868339509603066</v>
      </c>
      <c r="DD68" s="228">
        <f t="shared" si="712"/>
        <v>1.2900510358377073</v>
      </c>
      <c r="DE68" s="228">
        <f t="shared" si="712"/>
        <v>1.2932761634273016</v>
      </c>
      <c r="DF68" s="228">
        <f t="shared" si="712"/>
        <v>1.2965093538358698</v>
      </c>
      <c r="DG68" s="228">
        <f t="shared" si="712"/>
        <v>1.2997506272204595</v>
      </c>
      <c r="DH68" s="228">
        <f t="shared" si="712"/>
        <v>1.3030000037885106</v>
      </c>
      <c r="DI68" s="228">
        <f t="shared" si="712"/>
        <v>1.3062575037979818</v>
      </c>
      <c r="DJ68" s="228">
        <f t="shared" si="712"/>
        <v>1.3095231475574767</v>
      </c>
      <c r="DK68" s="228">
        <f t="shared" si="712"/>
        <v>1.3127969554263703</v>
      </c>
      <c r="DL68" s="228">
        <f t="shared" si="712"/>
        <v>1.3160789478149362</v>
      </c>
      <c r="DM68" s="228">
        <f t="shared" si="712"/>
        <v>1.3193691451844733</v>
      </c>
      <c r="DN68" s="228">
        <f t="shared" si="712"/>
        <v>1.3226675680474345</v>
      </c>
      <c r="DO68" s="228">
        <f t="shared" si="712"/>
        <v>1.3259742369675529</v>
      </c>
      <c r="DP68" s="228">
        <f t="shared" si="712"/>
        <v>1.3292891725599718</v>
      </c>
      <c r="DQ68" s="228">
        <f t="shared" si="712"/>
        <v>1.3326123954913716</v>
      </c>
      <c r="DR68" s="228">
        <f t="shared" si="712"/>
        <v>1.3359439264800999</v>
      </c>
      <c r="DS68" s="228">
        <f t="shared" si="712"/>
        <v>1.3392837862963001</v>
      </c>
      <c r="DT68" s="228">
        <f t="shared" si="712"/>
        <v>1.3426319957620407</v>
      </c>
      <c r="DU68" s="228">
        <f t="shared" si="712"/>
        <v>1.3459885757514458</v>
      </c>
      <c r="DV68" s="228">
        <f t="shared" si="712"/>
        <v>1.3493535471908245</v>
      </c>
      <c r="DW68" s="228">
        <f t="shared" si="712"/>
        <v>1.3527269310588015</v>
      </c>
      <c r="DX68" s="228">
        <f t="shared" si="712"/>
        <v>1.3561087483864485</v>
      </c>
      <c r="DY68" s="228">
        <f t="shared" si="712"/>
        <v>1.3594990202574144</v>
      </c>
      <c r="DZ68" s="228">
        <f t="shared" si="712"/>
        <v>1.3628977678080578</v>
      </c>
      <c r="EA68" s="228">
        <f t="shared" si="712"/>
        <v>1.3663050122275779</v>
      </c>
      <c r="EB68" s="228">
        <f t="shared" si="712"/>
        <v>1.3697207747581468</v>
      </c>
      <c r="EC68" s="228">
        <f t="shared" si="712"/>
        <v>1.3731450766950422</v>
      </c>
      <c r="ED68" s="228">
        <f t="shared" si="712"/>
        <v>1.3765779393867796</v>
      </c>
      <c r="EE68" s="228">
        <f t="shared" ref="EE68:FC68" si="713">ED68*(1+EE67)</f>
        <v>1.3800193842352466</v>
      </c>
      <c r="EF68" s="228">
        <f t="shared" si="713"/>
        <v>1.3834694326958346</v>
      </c>
      <c r="EG68" s="228">
        <f t="shared" si="713"/>
        <v>1.386928106277574</v>
      </c>
      <c r="EH68" s="228">
        <f t="shared" si="713"/>
        <v>1.3903954265432679</v>
      </c>
      <c r="EI68" s="228">
        <f t="shared" si="713"/>
        <v>1.3938714151096259</v>
      </c>
      <c r="EJ68" s="228">
        <f t="shared" si="713"/>
        <v>1.3973560936473999</v>
      </c>
      <c r="EK68" s="228">
        <f t="shared" si="713"/>
        <v>1.4008494838815182</v>
      </c>
      <c r="EL68" s="228">
        <f t="shared" si="713"/>
        <v>1.4043516075912219</v>
      </c>
      <c r="EM68" s="228">
        <f t="shared" si="713"/>
        <v>1.4078624866101999</v>
      </c>
      <c r="EN68" s="228">
        <f t="shared" si="713"/>
        <v>1.4113821428267253</v>
      </c>
      <c r="EO68" s="228">
        <f t="shared" si="713"/>
        <v>1.4149105981837919</v>
      </c>
      <c r="EP68" s="228">
        <f t="shared" si="713"/>
        <v>1.4184478746792513</v>
      </c>
      <c r="EQ68" s="228">
        <f t="shared" si="713"/>
        <v>1.4219939943659494</v>
      </c>
      <c r="ER68" s="228">
        <f t="shared" si="713"/>
        <v>1.4255489793518643</v>
      </c>
      <c r="ES68" s="228">
        <f t="shared" si="713"/>
        <v>1.4291128518002438</v>
      </c>
      <c r="ET68" s="228">
        <f t="shared" si="713"/>
        <v>1.4326856339297445</v>
      </c>
      <c r="EU68" s="228">
        <f t="shared" si="713"/>
        <v>1.4362673480145687</v>
      </c>
      <c r="EV68" s="228">
        <f t="shared" si="713"/>
        <v>1.4398580163846051</v>
      </c>
      <c r="EW68" s="228">
        <f t="shared" si="713"/>
        <v>1.4434576614255665</v>
      </c>
      <c r="EX68" s="228">
        <f t="shared" si="713"/>
        <v>1.4470663055791304</v>
      </c>
      <c r="EY68" s="228">
        <f t="shared" si="713"/>
        <v>1.4506839713430781</v>
      </c>
      <c r="EZ68" s="228">
        <f t="shared" si="713"/>
        <v>1.4543106812714357</v>
      </c>
      <c r="FA68" s="228">
        <f t="shared" si="713"/>
        <v>1.4579464579746142</v>
      </c>
      <c r="FB68" s="228">
        <f t="shared" si="713"/>
        <v>1.4615913241195506</v>
      </c>
      <c r="FC68" s="228">
        <f t="shared" si="713"/>
        <v>1.4652453024298495</v>
      </c>
      <c r="FD68" s="228">
        <f t="shared" ref="FD68" si="714">FC68*(1+FD67)</f>
        <v>1.468908415685924</v>
      </c>
      <c r="FE68" s="228">
        <f t="shared" ref="FE68:FF68" si="715">FD68*(1+FE67)</f>
        <v>1.4725806867251388</v>
      </c>
      <c r="FF68" s="228">
        <f t="shared" si="715"/>
        <v>1.4762621384419514</v>
      </c>
      <c r="FG68" s="319"/>
      <c r="FH68" s="228">
        <f t="shared" ref="FH68" si="716">EZ68*(1+FH67)</f>
        <v>1.4579464579746142</v>
      </c>
      <c r="FI68" s="228"/>
      <c r="FJ68" s="228"/>
      <c r="FK68" s="228"/>
      <c r="FL68" s="228"/>
      <c r="FM68" s="228">
        <f>FA68*(1+FM67)</f>
        <v>1.4615913241195506</v>
      </c>
      <c r="FN68" s="228">
        <f>FB68*(1+FN67)</f>
        <v>1.4652453024298495</v>
      </c>
      <c r="FO68" s="228">
        <f>FC68*(1+FO67)</f>
        <v>1.468908415685924</v>
      </c>
      <c r="FP68" s="228">
        <f>FD68*(1+FP67)</f>
        <v>1.4725806867251388</v>
      </c>
      <c r="FQ68" s="228"/>
      <c r="FR68" s="228"/>
      <c r="FS68" s="228"/>
      <c r="FT68" s="228"/>
      <c r="FU68" s="228"/>
      <c r="FV68" s="319"/>
    </row>
    <row r="69" spans="2:178" hidden="1" outlineLevel="1" x14ac:dyDescent="0.2">
      <c r="B69" s="47"/>
      <c r="E69" s="224"/>
      <c r="F69" s="225"/>
    </row>
    <row r="70" spans="2:178" hidden="1" outlineLevel="1" x14ac:dyDescent="0.2">
      <c r="C70" s="47" t="s">
        <v>151</v>
      </c>
      <c r="E70" s="224"/>
    </row>
    <row r="71" spans="2:178" hidden="1" outlineLevel="1" x14ac:dyDescent="0.2">
      <c r="B71" s="47"/>
      <c r="C71" s="39" t="s">
        <v>152</v>
      </c>
      <c r="E71" s="224"/>
      <c r="F71" s="77">
        <f>O13</f>
        <v>2150</v>
      </c>
      <c r="G71" s="77">
        <f t="shared" ref="G71:AL71" si="717">F71*(1+G61)</f>
        <v>2155.375</v>
      </c>
      <c r="H71" s="77">
        <f t="shared" si="717"/>
        <v>2160.7634374999998</v>
      </c>
      <c r="I71" s="77">
        <f t="shared" si="717"/>
        <v>2166.1653460937496</v>
      </c>
      <c r="J71" s="77">
        <f t="shared" si="717"/>
        <v>2171.5807594589837</v>
      </c>
      <c r="K71" s="77">
        <f t="shared" si="717"/>
        <v>2177.0097113576312</v>
      </c>
      <c r="L71" s="77">
        <f t="shared" si="717"/>
        <v>2182.4522356360253</v>
      </c>
      <c r="M71" s="77">
        <f t="shared" si="717"/>
        <v>2187.9083662251151</v>
      </c>
      <c r="N71" s="77">
        <f t="shared" si="717"/>
        <v>2193.3781371406776</v>
      </c>
      <c r="O71" s="77">
        <f t="shared" si="717"/>
        <v>2198.8615824835292</v>
      </c>
      <c r="P71" s="77">
        <f t="shared" si="717"/>
        <v>2204.3587364397381</v>
      </c>
      <c r="Q71" s="77">
        <f t="shared" si="717"/>
        <v>2209.8696332808372</v>
      </c>
      <c r="R71" s="77">
        <f t="shared" si="717"/>
        <v>2215.3943073640394</v>
      </c>
      <c r="S71" s="77">
        <f t="shared" si="717"/>
        <v>2220.9327931324492</v>
      </c>
      <c r="T71" s="77">
        <f t="shared" si="717"/>
        <v>2226.4851251152804</v>
      </c>
      <c r="U71" s="77">
        <f t="shared" si="717"/>
        <v>2232.0513379280687</v>
      </c>
      <c r="V71" s="77">
        <f t="shared" si="717"/>
        <v>2237.6314662728887</v>
      </c>
      <c r="W71" s="77">
        <f t="shared" si="717"/>
        <v>2243.2255449385707</v>
      </c>
      <c r="X71" s="77">
        <f t="shared" si="717"/>
        <v>2248.8336088009169</v>
      </c>
      <c r="Y71" s="77">
        <f t="shared" si="717"/>
        <v>2254.455692822919</v>
      </c>
      <c r="Z71" s="77">
        <f t="shared" si="717"/>
        <v>2260.0918320549763</v>
      </c>
      <c r="AA71" s="77">
        <f t="shared" si="717"/>
        <v>2265.7420616351137</v>
      </c>
      <c r="AB71" s="77">
        <f t="shared" si="717"/>
        <v>2271.4064167892016</v>
      </c>
      <c r="AC71" s="77">
        <f t="shared" si="717"/>
        <v>2277.0849328311742</v>
      </c>
      <c r="AD71" s="77">
        <f t="shared" si="717"/>
        <v>2282.7776451632521</v>
      </c>
      <c r="AE71" s="77">
        <f t="shared" si="717"/>
        <v>2288.48458927616</v>
      </c>
      <c r="AF71" s="77">
        <f t="shared" si="717"/>
        <v>2294.2058007493501</v>
      </c>
      <c r="AG71" s="77">
        <f t="shared" si="717"/>
        <v>2299.9413152512234</v>
      </c>
      <c r="AH71" s="77">
        <f t="shared" si="717"/>
        <v>2305.6911685393511</v>
      </c>
      <c r="AI71" s="77">
        <f t="shared" si="717"/>
        <v>2311.4553964606994</v>
      </c>
      <c r="AJ71" s="77">
        <f t="shared" si="717"/>
        <v>2317.2340349518508</v>
      </c>
      <c r="AK71" s="77">
        <f t="shared" si="717"/>
        <v>2323.0271200392303</v>
      </c>
      <c r="AL71" s="77">
        <f t="shared" si="717"/>
        <v>2328.8346878393281</v>
      </c>
      <c r="AM71" s="77">
        <f t="shared" ref="AM71:BR71" si="718">AL71*(1+AM61)</f>
        <v>2334.6567745589264</v>
      </c>
      <c r="AN71" s="77">
        <f t="shared" si="718"/>
        <v>2340.4934164953233</v>
      </c>
      <c r="AO71" s="77">
        <f t="shared" si="718"/>
        <v>2346.3446500365617</v>
      </c>
      <c r="AP71" s="77">
        <f t="shared" si="718"/>
        <v>2352.2105116616531</v>
      </c>
      <c r="AQ71" s="77">
        <f t="shared" si="718"/>
        <v>2358.0910379408069</v>
      </c>
      <c r="AR71" s="77">
        <f t="shared" si="718"/>
        <v>2363.9862655356587</v>
      </c>
      <c r="AS71" s="77">
        <f t="shared" si="718"/>
        <v>2369.8962311994978</v>
      </c>
      <c r="AT71" s="77">
        <f t="shared" si="718"/>
        <v>2375.8209717774967</v>
      </c>
      <c r="AU71" s="77">
        <f t="shared" si="718"/>
        <v>2381.7605242069403</v>
      </c>
      <c r="AV71" s="77">
        <f t="shared" si="718"/>
        <v>2387.7149255174577</v>
      </c>
      <c r="AW71" s="77">
        <f t="shared" si="718"/>
        <v>2393.684212831251</v>
      </c>
      <c r="AX71" s="77">
        <f t="shared" si="718"/>
        <v>2399.6684233633291</v>
      </c>
      <c r="AY71" s="77">
        <f t="shared" si="718"/>
        <v>2405.6675944217372</v>
      </c>
      <c r="AZ71" s="77">
        <f t="shared" si="718"/>
        <v>2411.6817634077915</v>
      </c>
      <c r="BA71" s="77">
        <f t="shared" si="718"/>
        <v>2417.710967816311</v>
      </c>
      <c r="BB71" s="77">
        <f t="shared" si="718"/>
        <v>2423.7552452358518</v>
      </c>
      <c r="BC71" s="77">
        <f t="shared" si="718"/>
        <v>2429.8146333489412</v>
      </c>
      <c r="BD71" s="77">
        <f t="shared" si="718"/>
        <v>2435.8891699323135</v>
      </c>
      <c r="BE71" s="77">
        <f t="shared" si="718"/>
        <v>2441.9788928571443</v>
      </c>
      <c r="BF71" s="77">
        <f t="shared" si="718"/>
        <v>2448.0838400892872</v>
      </c>
      <c r="BG71" s="77">
        <f t="shared" si="718"/>
        <v>2454.2040496895102</v>
      </c>
      <c r="BH71" s="77">
        <f t="shared" si="718"/>
        <v>2460.339559813734</v>
      </c>
      <c r="BI71" s="77">
        <f t="shared" si="718"/>
        <v>2466.4904087132682</v>
      </c>
      <c r="BJ71" s="77">
        <f t="shared" si="718"/>
        <v>2472.6566347350513</v>
      </c>
      <c r="BK71" s="77">
        <f t="shared" si="718"/>
        <v>2478.8382763218888</v>
      </c>
      <c r="BL71" s="77">
        <f t="shared" si="718"/>
        <v>2485.0353720126932</v>
      </c>
      <c r="BM71" s="77">
        <f t="shared" si="718"/>
        <v>2491.2479604427249</v>
      </c>
      <c r="BN71" s="77">
        <f t="shared" si="718"/>
        <v>2497.4760803438317</v>
      </c>
      <c r="BO71" s="77">
        <f t="shared" si="718"/>
        <v>2503.7197705446911</v>
      </c>
      <c r="BP71" s="77">
        <f t="shared" si="718"/>
        <v>2509.9790699710525</v>
      </c>
      <c r="BQ71" s="77">
        <f t="shared" si="718"/>
        <v>2516.2540176459802</v>
      </c>
      <c r="BR71" s="77">
        <f t="shared" si="718"/>
        <v>2522.5446526900951</v>
      </c>
      <c r="BS71" s="77">
        <f t="shared" ref="BS71:CX71" si="719">BR71*(1+BS61)</f>
        <v>2528.85101432182</v>
      </c>
      <c r="BT71" s="77">
        <f t="shared" si="719"/>
        <v>2535.1731418576246</v>
      </c>
      <c r="BU71" s="77">
        <f t="shared" si="719"/>
        <v>2541.5110747122685</v>
      </c>
      <c r="BV71" s="77">
        <f t="shared" si="719"/>
        <v>2547.8648523990491</v>
      </c>
      <c r="BW71" s="77">
        <f t="shared" si="719"/>
        <v>2554.2345145300465</v>
      </c>
      <c r="BX71" s="77">
        <f t="shared" si="719"/>
        <v>2560.6201008163716</v>
      </c>
      <c r="BY71" s="77">
        <f t="shared" si="719"/>
        <v>2567.0216510684122</v>
      </c>
      <c r="BZ71" s="77">
        <f t="shared" si="719"/>
        <v>2573.4392051960831</v>
      </c>
      <c r="CA71" s="77">
        <f t="shared" si="719"/>
        <v>2579.872803209073</v>
      </c>
      <c r="CB71" s="77">
        <f t="shared" si="719"/>
        <v>2586.3224852170956</v>
      </c>
      <c r="CC71" s="77">
        <f t="shared" si="719"/>
        <v>2592.7882914301381</v>
      </c>
      <c r="CD71" s="77">
        <f t="shared" si="719"/>
        <v>2599.2702621587132</v>
      </c>
      <c r="CE71" s="77">
        <f t="shared" si="719"/>
        <v>2605.7684378141098</v>
      </c>
      <c r="CF71" s="77">
        <f t="shared" si="719"/>
        <v>2612.2828589086448</v>
      </c>
      <c r="CG71" s="77">
        <f t="shared" si="719"/>
        <v>2618.8135660559165</v>
      </c>
      <c r="CH71" s="77">
        <f t="shared" si="719"/>
        <v>2625.3605999710562</v>
      </c>
      <c r="CI71" s="77">
        <f t="shared" si="719"/>
        <v>2631.9240014709835</v>
      </c>
      <c r="CJ71" s="77">
        <f t="shared" si="719"/>
        <v>2638.5038114746608</v>
      </c>
      <c r="CK71" s="77">
        <f t="shared" si="719"/>
        <v>2645.1000710033472</v>
      </c>
      <c r="CL71" s="77">
        <f t="shared" si="719"/>
        <v>2651.7128211808554</v>
      </c>
      <c r="CM71" s="77">
        <f t="shared" si="719"/>
        <v>2658.3421032338074</v>
      </c>
      <c r="CN71" s="77">
        <f t="shared" si="719"/>
        <v>2664.9879584918917</v>
      </c>
      <c r="CO71" s="77">
        <f t="shared" si="719"/>
        <v>2671.6504283881213</v>
      </c>
      <c r="CP71" s="77">
        <f t="shared" si="719"/>
        <v>2678.3295544590915</v>
      </c>
      <c r="CQ71" s="77">
        <f t="shared" si="719"/>
        <v>2685.025378345239</v>
      </c>
      <c r="CR71" s="77">
        <f t="shared" si="719"/>
        <v>2691.737941791102</v>
      </c>
      <c r="CS71" s="77">
        <f t="shared" si="719"/>
        <v>2698.4672866455794</v>
      </c>
      <c r="CT71" s="77">
        <f t="shared" si="719"/>
        <v>2705.2134548621934</v>
      </c>
      <c r="CU71" s="77">
        <f t="shared" si="719"/>
        <v>2711.9764884993488</v>
      </c>
      <c r="CV71" s="77">
        <f t="shared" si="719"/>
        <v>2718.7564297205968</v>
      </c>
      <c r="CW71" s="77">
        <f t="shared" si="719"/>
        <v>2725.5533207948979</v>
      </c>
      <c r="CX71" s="77">
        <f t="shared" si="719"/>
        <v>2732.367204096885</v>
      </c>
      <c r="CY71" s="77">
        <f t="shared" ref="CY71:ED71" si="720">CX71*(1+CY61)</f>
        <v>2739.1981221071269</v>
      </c>
      <c r="CZ71" s="77">
        <f t="shared" si="720"/>
        <v>2746.0461174123948</v>
      </c>
      <c r="DA71" s="77">
        <f t="shared" si="720"/>
        <v>2752.9112327059256</v>
      </c>
      <c r="DB71" s="77">
        <f t="shared" si="720"/>
        <v>2759.7935107876901</v>
      </c>
      <c r="DC71" s="77">
        <f t="shared" si="720"/>
        <v>2766.6929945646593</v>
      </c>
      <c r="DD71" s="77">
        <f t="shared" si="720"/>
        <v>2773.6097270510709</v>
      </c>
      <c r="DE71" s="77">
        <f t="shared" si="720"/>
        <v>2780.5437513686984</v>
      </c>
      <c r="DF71" s="77">
        <f t="shared" si="720"/>
        <v>2787.4951107471202</v>
      </c>
      <c r="DG71" s="77">
        <f t="shared" si="720"/>
        <v>2794.463848523988</v>
      </c>
      <c r="DH71" s="77">
        <f t="shared" si="720"/>
        <v>2801.4500081452979</v>
      </c>
      <c r="DI71" s="77">
        <f t="shared" si="720"/>
        <v>2808.4536331656609</v>
      </c>
      <c r="DJ71" s="77">
        <f t="shared" si="720"/>
        <v>2815.4747672485751</v>
      </c>
      <c r="DK71" s="77">
        <f t="shared" si="720"/>
        <v>2822.5134541666962</v>
      </c>
      <c r="DL71" s="77">
        <f t="shared" si="720"/>
        <v>2829.5697378021127</v>
      </c>
      <c r="DM71" s="77">
        <f t="shared" si="720"/>
        <v>2836.6436621466178</v>
      </c>
      <c r="DN71" s="77">
        <f t="shared" si="720"/>
        <v>2843.7352713019841</v>
      </c>
      <c r="DO71" s="77">
        <f t="shared" si="720"/>
        <v>2850.8446094802389</v>
      </c>
      <c r="DP71" s="77">
        <f t="shared" si="720"/>
        <v>2857.9717210039394</v>
      </c>
      <c r="DQ71" s="77">
        <f t="shared" si="720"/>
        <v>2865.1166503064492</v>
      </c>
      <c r="DR71" s="77">
        <f t="shared" si="720"/>
        <v>2872.2794419322149</v>
      </c>
      <c r="DS71" s="77">
        <f t="shared" si="720"/>
        <v>2879.4601405370454</v>
      </c>
      <c r="DT71" s="77">
        <f t="shared" si="720"/>
        <v>2886.658790888388</v>
      </c>
      <c r="DU71" s="77">
        <f t="shared" si="720"/>
        <v>2893.875437865609</v>
      </c>
      <c r="DV71" s="77">
        <f t="shared" si="720"/>
        <v>2901.110126460273</v>
      </c>
      <c r="DW71" s="77">
        <f t="shared" si="720"/>
        <v>2908.3629017764238</v>
      </c>
      <c r="DX71" s="77">
        <f t="shared" si="720"/>
        <v>2915.6338090308645</v>
      </c>
      <c r="DY71" s="77">
        <f t="shared" si="720"/>
        <v>2922.9228935534416</v>
      </c>
      <c r="DZ71" s="77">
        <f t="shared" si="720"/>
        <v>2930.230200787325</v>
      </c>
      <c r="EA71" s="77">
        <f t="shared" si="720"/>
        <v>2937.5557762892931</v>
      </c>
      <c r="EB71" s="77">
        <f t="shared" si="720"/>
        <v>2944.8996657300163</v>
      </c>
      <c r="EC71" s="77">
        <f t="shared" si="720"/>
        <v>2952.2619148943413</v>
      </c>
      <c r="ED71" s="77">
        <f t="shared" si="720"/>
        <v>2959.6425696815768</v>
      </c>
      <c r="EE71" s="77">
        <f t="shared" ref="EE71:FF71" si="721">ED71*(1+EE61)</f>
        <v>2967.0416761057804</v>
      </c>
      <c r="EF71" s="77">
        <f t="shared" si="721"/>
        <v>2974.4592802960447</v>
      </c>
      <c r="EG71" s="77">
        <f t="shared" si="721"/>
        <v>2981.8954284967845</v>
      </c>
      <c r="EH71" s="77">
        <f t="shared" si="721"/>
        <v>2989.3501670680262</v>
      </c>
      <c r="EI71" s="77">
        <f t="shared" si="721"/>
        <v>2996.8235424856962</v>
      </c>
      <c r="EJ71" s="77">
        <f t="shared" si="721"/>
        <v>3004.3156013419102</v>
      </c>
      <c r="EK71" s="77">
        <f t="shared" si="721"/>
        <v>3011.8263903452648</v>
      </c>
      <c r="EL71" s="77">
        <f t="shared" si="721"/>
        <v>3019.3559563211279</v>
      </c>
      <c r="EM71" s="77">
        <f t="shared" si="721"/>
        <v>3026.9043462119307</v>
      </c>
      <c r="EN71" s="77">
        <f t="shared" si="721"/>
        <v>3034.4716070774602</v>
      </c>
      <c r="EO71" s="77">
        <f t="shared" si="721"/>
        <v>3042.0577860951539</v>
      </c>
      <c r="EP71" s="77">
        <f t="shared" si="721"/>
        <v>3049.6629305603915</v>
      </c>
      <c r="EQ71" s="77">
        <f t="shared" si="721"/>
        <v>3057.2870878867925</v>
      </c>
      <c r="ER71" s="77">
        <f t="shared" si="721"/>
        <v>3064.9303056065091</v>
      </c>
      <c r="ES71" s="77">
        <f t="shared" si="721"/>
        <v>3072.5926313705254</v>
      </c>
      <c r="ET71" s="77">
        <f t="shared" si="721"/>
        <v>3080.2741129489514</v>
      </c>
      <c r="EU71" s="77">
        <f t="shared" si="721"/>
        <v>3087.9747982313238</v>
      </c>
      <c r="EV71" s="77">
        <f t="shared" si="721"/>
        <v>3095.6947352269021</v>
      </c>
      <c r="EW71" s="77">
        <f t="shared" si="721"/>
        <v>3103.4339720649691</v>
      </c>
      <c r="EX71" s="77">
        <f t="shared" si="721"/>
        <v>3111.1925569951313</v>
      </c>
      <c r="EY71" s="77">
        <f t="shared" si="721"/>
        <v>3118.9705383876189</v>
      </c>
      <c r="EZ71" s="77">
        <f t="shared" si="721"/>
        <v>3126.7679647335876</v>
      </c>
      <c r="FA71" s="77">
        <f t="shared" si="721"/>
        <v>3134.5848846454214</v>
      </c>
      <c r="FB71" s="77">
        <f t="shared" si="721"/>
        <v>3142.4213468570347</v>
      </c>
      <c r="FC71" s="77">
        <f t="shared" si="721"/>
        <v>3150.2774002241772</v>
      </c>
      <c r="FD71" s="77">
        <f t="shared" si="721"/>
        <v>3158.1530937247376</v>
      </c>
      <c r="FE71" s="77">
        <f t="shared" si="721"/>
        <v>3166.0484764590492</v>
      </c>
      <c r="FF71" s="77">
        <f t="shared" si="721"/>
        <v>3173.9635976501968</v>
      </c>
      <c r="FG71" s="277"/>
      <c r="FH71" s="77">
        <f t="shared" ref="FH71" si="722">EZ71*(1+FH61)</f>
        <v>3134.5848846454214</v>
      </c>
      <c r="FI71" s="77"/>
      <c r="FJ71" s="77"/>
      <c r="FK71" s="77"/>
      <c r="FL71" s="77"/>
      <c r="FM71" s="77">
        <f>FA71*(1+FM61)</f>
        <v>3142.4213468570347</v>
      </c>
      <c r="FN71" s="77">
        <f>FB71*(1+FN61)</f>
        <v>3150.2774002241772</v>
      </c>
      <c r="FO71" s="77">
        <f>FC71*(1+FO61)</f>
        <v>3158.1530937247376</v>
      </c>
      <c r="FP71" s="77">
        <f>FD71*(1+FP61)</f>
        <v>3166.0484764590492</v>
      </c>
      <c r="FQ71" s="77"/>
      <c r="FR71" s="77"/>
      <c r="FS71" s="77"/>
      <c r="FT71" s="77"/>
      <c r="FU71" s="77"/>
      <c r="FV71" s="277"/>
    </row>
    <row r="72" spans="2:178" hidden="1" outlineLevel="1" x14ac:dyDescent="0.2">
      <c r="B72" s="47"/>
      <c r="E72" s="224"/>
      <c r="G72" s="163"/>
      <c r="H72" s="163"/>
      <c r="I72" s="163"/>
      <c r="J72" s="163"/>
      <c r="K72" s="163"/>
    </row>
    <row r="73" spans="2:178" collapsed="1" x14ac:dyDescent="0.2">
      <c r="C73" s="229" t="s">
        <v>56</v>
      </c>
      <c r="E73" s="224"/>
    </row>
    <row r="74" spans="2:178" s="163" customFormat="1" x14ac:dyDescent="0.2">
      <c r="C74" s="163" t="s">
        <v>156</v>
      </c>
      <c r="E74" s="270">
        <f>SUM(F74:FF74)</f>
        <v>41060940.265773796</v>
      </c>
      <c r="F74" s="163">
        <v>0</v>
      </c>
      <c r="G74" s="163">
        <f t="shared" ref="G74:AL74" si="723">G71*$N$13</f>
        <v>215537.5</v>
      </c>
      <c r="H74" s="163">
        <f t="shared" si="723"/>
        <v>216076.34374999997</v>
      </c>
      <c r="I74" s="163">
        <f t="shared" si="723"/>
        <v>216616.53460937497</v>
      </c>
      <c r="J74" s="163">
        <f t="shared" si="723"/>
        <v>217158.07594589837</v>
      </c>
      <c r="K74" s="163">
        <f t="shared" si="723"/>
        <v>217700.97113576313</v>
      </c>
      <c r="L74" s="163">
        <f t="shared" si="723"/>
        <v>218245.22356360254</v>
      </c>
      <c r="M74" s="163">
        <f t="shared" si="723"/>
        <v>218790.8366225115</v>
      </c>
      <c r="N74" s="163">
        <f t="shared" si="723"/>
        <v>219337.81371406777</v>
      </c>
      <c r="O74" s="163">
        <f t="shared" si="723"/>
        <v>219886.15824835293</v>
      </c>
      <c r="P74" s="163">
        <f t="shared" si="723"/>
        <v>220435.87364397381</v>
      </c>
      <c r="Q74" s="163">
        <f t="shared" si="723"/>
        <v>220986.96332808372</v>
      </c>
      <c r="R74" s="163">
        <f t="shared" si="723"/>
        <v>221539.43073640394</v>
      </c>
      <c r="S74" s="163">
        <f t="shared" si="723"/>
        <v>222093.27931324492</v>
      </c>
      <c r="T74" s="163">
        <f t="shared" si="723"/>
        <v>222648.51251152804</v>
      </c>
      <c r="U74" s="163">
        <f t="shared" si="723"/>
        <v>223205.13379280688</v>
      </c>
      <c r="V74" s="163">
        <f t="shared" si="723"/>
        <v>223763.14662728886</v>
      </c>
      <c r="W74" s="163">
        <f t="shared" si="723"/>
        <v>224322.55449385708</v>
      </c>
      <c r="X74" s="163">
        <f t="shared" si="723"/>
        <v>224883.3608800917</v>
      </c>
      <c r="Y74" s="163">
        <f t="shared" si="723"/>
        <v>225445.56928229189</v>
      </c>
      <c r="Z74" s="163">
        <f t="shared" si="723"/>
        <v>226009.18320549763</v>
      </c>
      <c r="AA74" s="163">
        <f t="shared" si="723"/>
        <v>226574.20616351138</v>
      </c>
      <c r="AB74" s="163">
        <f t="shared" si="723"/>
        <v>227140.64167892016</v>
      </c>
      <c r="AC74" s="163">
        <f t="shared" si="723"/>
        <v>227708.49328311742</v>
      </c>
      <c r="AD74" s="163">
        <f t="shared" si="723"/>
        <v>228277.7645163252</v>
      </c>
      <c r="AE74" s="163">
        <f t="shared" si="723"/>
        <v>228848.45892761601</v>
      </c>
      <c r="AF74" s="163">
        <f t="shared" si="723"/>
        <v>229420.58007493502</v>
      </c>
      <c r="AG74" s="163">
        <f t="shared" si="723"/>
        <v>229994.13152512233</v>
      </c>
      <c r="AH74" s="163">
        <f t="shared" si="723"/>
        <v>230569.11685393512</v>
      </c>
      <c r="AI74" s="163">
        <f t="shared" si="723"/>
        <v>231145.53964606993</v>
      </c>
      <c r="AJ74" s="163">
        <f t="shared" si="723"/>
        <v>231723.40349518508</v>
      </c>
      <c r="AK74" s="163">
        <f t="shared" si="723"/>
        <v>232302.71200392302</v>
      </c>
      <c r="AL74" s="163">
        <f t="shared" si="723"/>
        <v>232883.46878393283</v>
      </c>
      <c r="AM74" s="163">
        <f t="shared" ref="AM74:BR74" si="724">AM71*$N$13</f>
        <v>233465.67745589264</v>
      </c>
      <c r="AN74" s="163">
        <f t="shared" si="724"/>
        <v>234049.34164953235</v>
      </c>
      <c r="AO74" s="163">
        <f t="shared" si="724"/>
        <v>234634.46500365617</v>
      </c>
      <c r="AP74" s="163">
        <f t="shared" si="724"/>
        <v>235221.0511661653</v>
      </c>
      <c r="AQ74" s="163">
        <f t="shared" si="724"/>
        <v>235809.1037940807</v>
      </c>
      <c r="AR74" s="163">
        <f t="shared" si="724"/>
        <v>236398.62655356587</v>
      </c>
      <c r="AS74" s="163">
        <f t="shared" si="724"/>
        <v>236989.62311994977</v>
      </c>
      <c r="AT74" s="163">
        <f t="shared" si="724"/>
        <v>237582.09717774967</v>
      </c>
      <c r="AU74" s="163">
        <f t="shared" si="724"/>
        <v>238176.05242069403</v>
      </c>
      <c r="AV74" s="163">
        <f t="shared" si="724"/>
        <v>238771.49255174576</v>
      </c>
      <c r="AW74" s="163">
        <f t="shared" si="724"/>
        <v>239368.42128312509</v>
      </c>
      <c r="AX74" s="163">
        <f t="shared" si="724"/>
        <v>239966.84233633292</v>
      </c>
      <c r="AY74" s="163">
        <f t="shared" si="724"/>
        <v>240566.75944217373</v>
      </c>
      <c r="AZ74" s="163">
        <f t="shared" si="724"/>
        <v>241168.17634077914</v>
      </c>
      <c r="BA74" s="163">
        <f t="shared" si="724"/>
        <v>241771.09678163112</v>
      </c>
      <c r="BB74" s="163">
        <f t="shared" si="724"/>
        <v>242375.52452358519</v>
      </c>
      <c r="BC74" s="163">
        <f t="shared" si="724"/>
        <v>242981.46333489413</v>
      </c>
      <c r="BD74" s="163">
        <f t="shared" si="724"/>
        <v>243588.91699323134</v>
      </c>
      <c r="BE74" s="163">
        <f t="shared" si="724"/>
        <v>244197.88928571442</v>
      </c>
      <c r="BF74" s="163">
        <f t="shared" si="724"/>
        <v>244808.38400892873</v>
      </c>
      <c r="BG74" s="163">
        <f t="shared" si="724"/>
        <v>245420.40496895101</v>
      </c>
      <c r="BH74" s="163">
        <f t="shared" si="724"/>
        <v>246033.95598137341</v>
      </c>
      <c r="BI74" s="163">
        <f t="shared" si="724"/>
        <v>246649.04087132681</v>
      </c>
      <c r="BJ74" s="163">
        <f t="shared" si="724"/>
        <v>247265.66347350512</v>
      </c>
      <c r="BK74" s="163">
        <f t="shared" si="724"/>
        <v>247883.82763218888</v>
      </c>
      <c r="BL74" s="163">
        <f t="shared" si="724"/>
        <v>248503.53720126933</v>
      </c>
      <c r="BM74" s="163">
        <f t="shared" si="724"/>
        <v>249124.79604427249</v>
      </c>
      <c r="BN74" s="163">
        <f t="shared" si="724"/>
        <v>249747.60803438316</v>
      </c>
      <c r="BO74" s="163">
        <f t="shared" si="724"/>
        <v>250371.97705446911</v>
      </c>
      <c r="BP74" s="163">
        <f t="shared" si="724"/>
        <v>250997.90699710525</v>
      </c>
      <c r="BQ74" s="163">
        <f t="shared" si="724"/>
        <v>251625.40176459801</v>
      </c>
      <c r="BR74" s="163">
        <f t="shared" si="724"/>
        <v>252254.4652690095</v>
      </c>
      <c r="BS74" s="163">
        <f t="shared" ref="BS74:CX74" si="725">BS71*$N$13</f>
        <v>252885.10143218201</v>
      </c>
      <c r="BT74" s="163">
        <f t="shared" si="725"/>
        <v>253517.31418576246</v>
      </c>
      <c r="BU74" s="163">
        <f t="shared" si="725"/>
        <v>254151.10747122686</v>
      </c>
      <c r="BV74" s="163">
        <f t="shared" si="725"/>
        <v>254786.48523990493</v>
      </c>
      <c r="BW74" s="163">
        <f t="shared" si="725"/>
        <v>255423.45145300464</v>
      </c>
      <c r="BX74" s="163">
        <f t="shared" si="725"/>
        <v>256062.01008163716</v>
      </c>
      <c r="BY74" s="163">
        <f t="shared" si="725"/>
        <v>256702.16510684122</v>
      </c>
      <c r="BZ74" s="163">
        <f t="shared" si="725"/>
        <v>257343.92051960831</v>
      </c>
      <c r="CA74" s="163">
        <f t="shared" si="725"/>
        <v>257987.2803209073</v>
      </c>
      <c r="CB74" s="163">
        <f t="shared" si="725"/>
        <v>258632.24852170955</v>
      </c>
      <c r="CC74" s="163">
        <f t="shared" si="725"/>
        <v>259278.82914301381</v>
      </c>
      <c r="CD74" s="163">
        <f t="shared" si="725"/>
        <v>259927.02621587133</v>
      </c>
      <c r="CE74" s="163">
        <f t="shared" si="725"/>
        <v>260576.84378141098</v>
      </c>
      <c r="CF74" s="163">
        <f t="shared" si="725"/>
        <v>261228.28589086447</v>
      </c>
      <c r="CG74" s="163">
        <f t="shared" si="725"/>
        <v>261881.35660559166</v>
      </c>
      <c r="CH74" s="163">
        <f t="shared" si="725"/>
        <v>262536.05999710562</v>
      </c>
      <c r="CI74" s="163">
        <f t="shared" si="725"/>
        <v>263192.40014709835</v>
      </c>
      <c r="CJ74" s="163">
        <f t="shared" si="725"/>
        <v>263850.38114746608</v>
      </c>
      <c r="CK74" s="163">
        <f t="shared" si="725"/>
        <v>264510.00710033474</v>
      </c>
      <c r="CL74" s="163">
        <f t="shared" si="725"/>
        <v>265171.28211808554</v>
      </c>
      <c r="CM74" s="163">
        <f t="shared" si="725"/>
        <v>265834.21032338071</v>
      </c>
      <c r="CN74" s="163">
        <f t="shared" si="725"/>
        <v>266498.79584918916</v>
      </c>
      <c r="CO74" s="163">
        <f t="shared" si="725"/>
        <v>267165.04283881211</v>
      </c>
      <c r="CP74" s="163">
        <f t="shared" si="725"/>
        <v>267832.95544590917</v>
      </c>
      <c r="CQ74" s="163">
        <f t="shared" si="725"/>
        <v>268502.53783452389</v>
      </c>
      <c r="CR74" s="163">
        <f t="shared" si="725"/>
        <v>269173.79417911021</v>
      </c>
      <c r="CS74" s="163">
        <f t="shared" si="725"/>
        <v>269846.72866455792</v>
      </c>
      <c r="CT74" s="163">
        <f t="shared" si="725"/>
        <v>270521.34548621933</v>
      </c>
      <c r="CU74" s="163">
        <f t="shared" si="725"/>
        <v>271197.64884993486</v>
      </c>
      <c r="CV74" s="163">
        <f t="shared" si="725"/>
        <v>271875.64297205966</v>
      </c>
      <c r="CW74" s="163">
        <f t="shared" si="725"/>
        <v>272555.33207948977</v>
      </c>
      <c r="CX74" s="163">
        <f t="shared" si="725"/>
        <v>273236.72040968848</v>
      </c>
      <c r="CY74" s="163">
        <f t="shared" ref="CY74:ED74" si="726">CY71*$N$13</f>
        <v>273919.8122107127</v>
      </c>
      <c r="CZ74" s="163">
        <f t="shared" si="726"/>
        <v>274604.6117412395</v>
      </c>
      <c r="DA74" s="163">
        <f t="shared" si="726"/>
        <v>275291.12327059254</v>
      </c>
      <c r="DB74" s="163">
        <f t="shared" si="726"/>
        <v>275979.35107876902</v>
      </c>
      <c r="DC74" s="163">
        <f t="shared" si="726"/>
        <v>276669.29945646593</v>
      </c>
      <c r="DD74" s="163">
        <f t="shared" si="726"/>
        <v>277360.97270510707</v>
      </c>
      <c r="DE74" s="163">
        <f t="shared" si="726"/>
        <v>278054.37513686984</v>
      </c>
      <c r="DF74" s="163">
        <f t="shared" si="726"/>
        <v>278749.51107471203</v>
      </c>
      <c r="DG74" s="163">
        <f t="shared" si="726"/>
        <v>279446.38485239877</v>
      </c>
      <c r="DH74" s="163">
        <f t="shared" si="726"/>
        <v>280145.00081452978</v>
      </c>
      <c r="DI74" s="163">
        <f t="shared" si="726"/>
        <v>280845.3633165661</v>
      </c>
      <c r="DJ74" s="163">
        <f t="shared" si="726"/>
        <v>281547.47672485752</v>
      </c>
      <c r="DK74" s="163">
        <f t="shared" si="726"/>
        <v>282251.34541666962</v>
      </c>
      <c r="DL74" s="163">
        <f t="shared" si="726"/>
        <v>282956.97378021129</v>
      </c>
      <c r="DM74" s="163">
        <f t="shared" si="726"/>
        <v>283664.3662146618</v>
      </c>
      <c r="DN74" s="163">
        <f t="shared" si="726"/>
        <v>284373.52713019843</v>
      </c>
      <c r="DO74" s="163">
        <f t="shared" si="726"/>
        <v>285084.46094802389</v>
      </c>
      <c r="DP74" s="163">
        <f t="shared" si="726"/>
        <v>285797.17210039392</v>
      </c>
      <c r="DQ74" s="163">
        <f t="shared" si="726"/>
        <v>286511.66503064492</v>
      </c>
      <c r="DR74" s="163">
        <f t="shared" si="726"/>
        <v>287227.94419322151</v>
      </c>
      <c r="DS74" s="163">
        <f t="shared" si="726"/>
        <v>287946.01405370457</v>
      </c>
      <c r="DT74" s="163">
        <f t="shared" si="726"/>
        <v>288665.87908883882</v>
      </c>
      <c r="DU74" s="163">
        <f t="shared" si="726"/>
        <v>289387.54378656088</v>
      </c>
      <c r="DV74" s="163">
        <f t="shared" si="726"/>
        <v>290111.01264602732</v>
      </c>
      <c r="DW74" s="163">
        <f t="shared" si="726"/>
        <v>290836.29017764237</v>
      </c>
      <c r="DX74" s="163">
        <f t="shared" si="726"/>
        <v>291563.38090308645</v>
      </c>
      <c r="DY74" s="163">
        <f t="shared" si="726"/>
        <v>292292.28935534414</v>
      </c>
      <c r="DZ74" s="163">
        <f t="shared" si="726"/>
        <v>293023.02007873252</v>
      </c>
      <c r="EA74" s="163">
        <f t="shared" si="726"/>
        <v>293755.57762892928</v>
      </c>
      <c r="EB74" s="163">
        <f t="shared" si="726"/>
        <v>294489.96657300164</v>
      </c>
      <c r="EC74" s="163">
        <f t="shared" si="726"/>
        <v>295226.1914894341</v>
      </c>
      <c r="ED74" s="163">
        <f t="shared" si="726"/>
        <v>295964.25696815766</v>
      </c>
      <c r="EE74" s="163">
        <f t="shared" ref="EE74:FF74" si="727">EE71*$N$13</f>
        <v>296704.16761057806</v>
      </c>
      <c r="EF74" s="163">
        <f t="shared" si="727"/>
        <v>297445.92802960449</v>
      </c>
      <c r="EG74" s="163">
        <f t="shared" si="727"/>
        <v>298189.54284967843</v>
      </c>
      <c r="EH74" s="163">
        <f t="shared" si="727"/>
        <v>298935.01670680259</v>
      </c>
      <c r="EI74" s="163">
        <f t="shared" si="727"/>
        <v>299682.35424856964</v>
      </c>
      <c r="EJ74" s="163">
        <f t="shared" si="727"/>
        <v>300431.56013419101</v>
      </c>
      <c r="EK74" s="163">
        <f t="shared" si="727"/>
        <v>301182.63903452648</v>
      </c>
      <c r="EL74" s="163">
        <f t="shared" si="727"/>
        <v>301935.59563211282</v>
      </c>
      <c r="EM74" s="163">
        <f t="shared" si="727"/>
        <v>302690.4346211931</v>
      </c>
      <c r="EN74" s="163">
        <f t="shared" si="727"/>
        <v>303447.16070774605</v>
      </c>
      <c r="EO74" s="163">
        <f t="shared" si="727"/>
        <v>304205.7786095154</v>
      </c>
      <c r="EP74" s="163">
        <f t="shared" si="727"/>
        <v>304966.29305603914</v>
      </c>
      <c r="EQ74" s="163">
        <f t="shared" si="727"/>
        <v>305728.70878867927</v>
      </c>
      <c r="ER74" s="163">
        <f t="shared" si="727"/>
        <v>306493.03056065092</v>
      </c>
      <c r="ES74" s="163">
        <f t="shared" si="727"/>
        <v>307259.26313705253</v>
      </c>
      <c r="ET74" s="163">
        <f t="shared" si="727"/>
        <v>308027.41129489511</v>
      </c>
      <c r="EU74" s="163">
        <f t="shared" si="727"/>
        <v>308797.47982313239</v>
      </c>
      <c r="EV74" s="163">
        <f t="shared" si="727"/>
        <v>309569.47352269024</v>
      </c>
      <c r="EW74" s="163">
        <f t="shared" si="727"/>
        <v>310343.39720649691</v>
      </c>
      <c r="EX74" s="163">
        <f t="shared" si="727"/>
        <v>311119.25569951313</v>
      </c>
      <c r="EY74" s="163">
        <f t="shared" si="727"/>
        <v>311897.05383876187</v>
      </c>
      <c r="EZ74" s="163">
        <f t="shared" si="727"/>
        <v>312676.79647335876</v>
      </c>
      <c r="FA74" s="163">
        <f t="shared" si="727"/>
        <v>313458.48846454214</v>
      </c>
      <c r="FB74" s="163">
        <f t="shared" si="727"/>
        <v>314242.1346857035</v>
      </c>
      <c r="FC74" s="163">
        <f t="shared" si="727"/>
        <v>315027.74002241774</v>
      </c>
      <c r="FD74" s="163">
        <f t="shared" si="727"/>
        <v>315815.30937247374</v>
      </c>
      <c r="FE74" s="163">
        <f t="shared" si="727"/>
        <v>316604.84764590493</v>
      </c>
      <c r="FF74" s="163">
        <f t="shared" si="727"/>
        <v>317396.35976501968</v>
      </c>
      <c r="FG74" s="314"/>
      <c r="FH74" s="163">
        <f>SUMIF($F$57:$FF$57,FH$57,$F74:$FF74)</f>
        <v>1520125.4856271506</v>
      </c>
      <c r="FI74" s="163">
        <f t="shared" ref="FI74:FU76" si="728">SUMIF($F$57:$FF$57,FI$57,$F74:$FF74)</f>
        <v>2668547.7965719919</v>
      </c>
      <c r="FJ74" s="163">
        <f t="shared" si="728"/>
        <v>2749714.2313741585</v>
      </c>
      <c r="FK74" s="163">
        <f t="shared" si="728"/>
        <v>2833349.4209600901</v>
      </c>
      <c r="FL74" s="163">
        <f t="shared" si="728"/>
        <v>2919528.4548689215</v>
      </c>
      <c r="FM74" s="163">
        <f t="shared" si="728"/>
        <v>3008328.7065599714</v>
      </c>
      <c r="FN74" s="163">
        <f t="shared" si="728"/>
        <v>3099829.902880366</v>
      </c>
      <c r="FO74" s="163">
        <f t="shared" si="728"/>
        <v>3194114.1956455731</v>
      </c>
      <c r="FP74" s="163">
        <f t="shared" si="728"/>
        <v>3291266.2353971489</v>
      </c>
      <c r="FQ74" s="163">
        <f t="shared" si="728"/>
        <v>3391373.247403868</v>
      </c>
      <c r="FR74" s="163">
        <f t="shared" si="728"/>
        <v>3494525.109974524</v>
      </c>
      <c r="FS74" s="163">
        <f t="shared" si="728"/>
        <v>3600814.435152676</v>
      </c>
      <c r="FT74" s="163">
        <f t="shared" si="728"/>
        <v>3710336.6518658125</v>
      </c>
      <c r="FU74" s="163">
        <f t="shared" si="728"/>
        <v>1579086.3914915195</v>
      </c>
      <c r="FV74" s="314"/>
    </row>
    <row r="75" spans="2:178" s="163" customFormat="1" x14ac:dyDescent="0.2">
      <c r="C75" s="163" t="s">
        <v>155</v>
      </c>
      <c r="E75" s="270">
        <f t="shared" ref="E75:E76" si="729">SUM(F75:FF75)</f>
        <v>-102652.35066443442</v>
      </c>
      <c r="F75" s="271">
        <v>0</v>
      </c>
      <c r="G75" s="271">
        <f t="shared" ref="G75:AL75" si="730">G74*-IFERROR(INDEX($M$22:$Q$22,MATCH(YEAR(G58),$M$21:$Q$21,0)),$Q$22)</f>
        <v>-538.84375</v>
      </c>
      <c r="H75" s="271">
        <f t="shared" si="730"/>
        <v>-540.19085937499995</v>
      </c>
      <c r="I75" s="271">
        <f t="shared" si="730"/>
        <v>-541.54133652343739</v>
      </c>
      <c r="J75" s="271">
        <f t="shared" si="730"/>
        <v>-542.89518986474593</v>
      </c>
      <c r="K75" s="271">
        <f t="shared" si="730"/>
        <v>-544.2524278394078</v>
      </c>
      <c r="L75" s="271">
        <f t="shared" si="730"/>
        <v>-545.61305890900633</v>
      </c>
      <c r="M75" s="271">
        <f t="shared" si="730"/>
        <v>-546.97709155627876</v>
      </c>
      <c r="N75" s="271">
        <f t="shared" si="730"/>
        <v>-548.3445342851694</v>
      </c>
      <c r="O75" s="271">
        <f t="shared" si="730"/>
        <v>-549.7153956208823</v>
      </c>
      <c r="P75" s="271">
        <f t="shared" si="730"/>
        <v>-551.08968410993452</v>
      </c>
      <c r="Q75" s="271">
        <f t="shared" si="730"/>
        <v>-552.4674083202093</v>
      </c>
      <c r="R75" s="271">
        <f t="shared" si="730"/>
        <v>-553.84857684100984</v>
      </c>
      <c r="S75" s="271">
        <f t="shared" si="730"/>
        <v>-555.2331982831123</v>
      </c>
      <c r="T75" s="271">
        <f t="shared" si="730"/>
        <v>-556.62128127882011</v>
      </c>
      <c r="U75" s="271">
        <f t="shared" si="730"/>
        <v>-558.01283448201718</v>
      </c>
      <c r="V75" s="271">
        <f t="shared" si="730"/>
        <v>-559.40786656822218</v>
      </c>
      <c r="W75" s="271">
        <f t="shared" si="730"/>
        <v>-560.80638623464267</v>
      </c>
      <c r="X75" s="271">
        <f t="shared" si="730"/>
        <v>-562.20840220022922</v>
      </c>
      <c r="Y75" s="271">
        <f t="shared" si="730"/>
        <v>-563.61392320572975</v>
      </c>
      <c r="Z75" s="271">
        <f t="shared" si="730"/>
        <v>-565.02295801374407</v>
      </c>
      <c r="AA75" s="271">
        <f t="shared" si="730"/>
        <v>-566.43551540877843</v>
      </c>
      <c r="AB75" s="271">
        <f t="shared" si="730"/>
        <v>-567.85160419730039</v>
      </c>
      <c r="AC75" s="271">
        <f t="shared" si="730"/>
        <v>-569.27123320779356</v>
      </c>
      <c r="AD75" s="271">
        <f t="shared" si="730"/>
        <v>-570.69441129081304</v>
      </c>
      <c r="AE75" s="271">
        <f t="shared" si="730"/>
        <v>-572.12114731904001</v>
      </c>
      <c r="AF75" s="271">
        <f t="shared" si="730"/>
        <v>-573.55145018733754</v>
      </c>
      <c r="AG75" s="271">
        <f t="shared" si="730"/>
        <v>-574.98532881280585</v>
      </c>
      <c r="AH75" s="271">
        <f t="shared" si="730"/>
        <v>-576.42279213483778</v>
      </c>
      <c r="AI75" s="271">
        <f t="shared" si="730"/>
        <v>-577.86384911517484</v>
      </c>
      <c r="AJ75" s="271">
        <f t="shared" si="730"/>
        <v>-579.30850873796271</v>
      </c>
      <c r="AK75" s="271">
        <f t="shared" si="730"/>
        <v>-580.75678000980758</v>
      </c>
      <c r="AL75" s="271">
        <f t="shared" si="730"/>
        <v>-582.20867195983203</v>
      </c>
      <c r="AM75" s="271">
        <f t="shared" ref="AM75:BR75" si="731">AM74*-IFERROR(INDEX($M$22:$Q$22,MATCH(YEAR(AM58),$M$21:$Q$21,0)),$Q$22)</f>
        <v>-583.66419363973159</v>
      </c>
      <c r="AN75" s="271">
        <f t="shared" si="731"/>
        <v>-585.12335412383084</v>
      </c>
      <c r="AO75" s="271">
        <f t="shared" si="731"/>
        <v>-586.58616250914042</v>
      </c>
      <c r="AP75" s="271">
        <f t="shared" si="731"/>
        <v>-588.05262791541327</v>
      </c>
      <c r="AQ75" s="271">
        <f t="shared" si="731"/>
        <v>-589.52275948520173</v>
      </c>
      <c r="AR75" s="271">
        <f t="shared" si="731"/>
        <v>-590.99656638391468</v>
      </c>
      <c r="AS75" s="271">
        <f t="shared" si="731"/>
        <v>-592.47405779987446</v>
      </c>
      <c r="AT75" s="271">
        <f t="shared" si="731"/>
        <v>-593.95524294437416</v>
      </c>
      <c r="AU75" s="271">
        <f t="shared" si="731"/>
        <v>-595.44013105173508</v>
      </c>
      <c r="AV75" s="271">
        <f t="shared" si="731"/>
        <v>-596.92873137936442</v>
      </c>
      <c r="AW75" s="271">
        <f t="shared" si="731"/>
        <v>-598.42105320781275</v>
      </c>
      <c r="AX75" s="271">
        <f t="shared" si="731"/>
        <v>-599.91710584083228</v>
      </c>
      <c r="AY75" s="271">
        <f t="shared" si="731"/>
        <v>-601.41689860543431</v>
      </c>
      <c r="AZ75" s="271">
        <f t="shared" si="731"/>
        <v>-602.92044085194789</v>
      </c>
      <c r="BA75" s="271">
        <f t="shared" si="731"/>
        <v>-604.42774195407776</v>
      </c>
      <c r="BB75" s="271">
        <f t="shared" si="731"/>
        <v>-605.93881130896295</v>
      </c>
      <c r="BC75" s="271">
        <f t="shared" si="731"/>
        <v>-607.45365833723531</v>
      </c>
      <c r="BD75" s="271">
        <f t="shared" si="731"/>
        <v>-608.97229248307838</v>
      </c>
      <c r="BE75" s="271">
        <f t="shared" si="731"/>
        <v>-610.49472321428607</v>
      </c>
      <c r="BF75" s="271">
        <f t="shared" si="731"/>
        <v>-612.02096002232179</v>
      </c>
      <c r="BG75" s="271">
        <f t="shared" si="731"/>
        <v>-613.55101242237754</v>
      </c>
      <c r="BH75" s="271">
        <f t="shared" si="731"/>
        <v>-615.0848899534335</v>
      </c>
      <c r="BI75" s="271">
        <f t="shared" si="731"/>
        <v>-616.62260217831704</v>
      </c>
      <c r="BJ75" s="271">
        <f t="shared" si="731"/>
        <v>-618.16415868376282</v>
      </c>
      <c r="BK75" s="271">
        <f t="shared" si="731"/>
        <v>-619.70956908047219</v>
      </c>
      <c r="BL75" s="271">
        <f t="shared" si="731"/>
        <v>-621.2588430031733</v>
      </c>
      <c r="BM75" s="271">
        <f t="shared" si="731"/>
        <v>-622.81199011068122</v>
      </c>
      <c r="BN75" s="271">
        <f t="shared" si="731"/>
        <v>-624.36902008595791</v>
      </c>
      <c r="BO75" s="271">
        <f t="shared" si="731"/>
        <v>-625.92994263617277</v>
      </c>
      <c r="BP75" s="271">
        <f t="shared" si="731"/>
        <v>-627.49476749276312</v>
      </c>
      <c r="BQ75" s="271">
        <f t="shared" si="731"/>
        <v>-629.06350441149505</v>
      </c>
      <c r="BR75" s="271">
        <f t="shared" si="731"/>
        <v>-630.63616317252377</v>
      </c>
      <c r="BS75" s="271">
        <f t="shared" ref="BS75:CX75" si="732">BS74*-IFERROR(INDEX($M$22:$Q$22,MATCH(YEAR(BS58),$M$21:$Q$21,0)),$Q$22)</f>
        <v>-632.212753580455</v>
      </c>
      <c r="BT75" s="271">
        <f t="shared" si="732"/>
        <v>-633.79328546440615</v>
      </c>
      <c r="BU75" s="271">
        <f t="shared" si="732"/>
        <v>-635.37776867806713</v>
      </c>
      <c r="BV75" s="271">
        <f t="shared" si="732"/>
        <v>-636.96621309976229</v>
      </c>
      <c r="BW75" s="271">
        <f t="shared" si="732"/>
        <v>-638.55862863251161</v>
      </c>
      <c r="BX75" s="271">
        <f t="shared" si="732"/>
        <v>-640.15502520409291</v>
      </c>
      <c r="BY75" s="271">
        <f t="shared" si="732"/>
        <v>-641.75541276710305</v>
      </c>
      <c r="BZ75" s="271">
        <f t="shared" si="732"/>
        <v>-643.35980129902077</v>
      </c>
      <c r="CA75" s="271">
        <f t="shared" si="732"/>
        <v>-644.96820080226826</v>
      </c>
      <c r="CB75" s="271">
        <f t="shared" si="732"/>
        <v>-646.5806213042739</v>
      </c>
      <c r="CC75" s="271">
        <f t="shared" si="732"/>
        <v>-648.19707285753452</v>
      </c>
      <c r="CD75" s="271">
        <f t="shared" si="732"/>
        <v>-649.8175655396783</v>
      </c>
      <c r="CE75" s="271">
        <f t="shared" si="732"/>
        <v>-651.44210945352745</v>
      </c>
      <c r="CF75" s="271">
        <f t="shared" si="732"/>
        <v>-653.0707147271612</v>
      </c>
      <c r="CG75" s="271">
        <f t="shared" si="732"/>
        <v>-654.70339151397911</v>
      </c>
      <c r="CH75" s="271">
        <f t="shared" si="732"/>
        <v>-656.34014999276405</v>
      </c>
      <c r="CI75" s="271">
        <f t="shared" si="732"/>
        <v>-657.98100036774588</v>
      </c>
      <c r="CJ75" s="271">
        <f t="shared" si="732"/>
        <v>-659.62595286866519</v>
      </c>
      <c r="CK75" s="271">
        <f t="shared" si="732"/>
        <v>-661.27501775083681</v>
      </c>
      <c r="CL75" s="271">
        <f t="shared" si="732"/>
        <v>-662.92820529521384</v>
      </c>
      <c r="CM75" s="271">
        <f t="shared" si="732"/>
        <v>-664.58552580845185</v>
      </c>
      <c r="CN75" s="271">
        <f t="shared" si="732"/>
        <v>-666.24698962297293</v>
      </c>
      <c r="CO75" s="271">
        <f t="shared" si="732"/>
        <v>-667.91260709703033</v>
      </c>
      <c r="CP75" s="271">
        <f t="shared" si="732"/>
        <v>-669.58238861477298</v>
      </c>
      <c r="CQ75" s="271">
        <f t="shared" si="732"/>
        <v>-671.25634458630975</v>
      </c>
      <c r="CR75" s="271">
        <f t="shared" si="732"/>
        <v>-672.9344854477755</v>
      </c>
      <c r="CS75" s="271">
        <f t="shared" si="732"/>
        <v>-674.61682166139485</v>
      </c>
      <c r="CT75" s="271">
        <f t="shared" si="732"/>
        <v>-676.30336371554836</v>
      </c>
      <c r="CU75" s="271">
        <f t="shared" si="732"/>
        <v>-677.99412212483719</v>
      </c>
      <c r="CV75" s="271">
        <f t="shared" si="732"/>
        <v>-679.68910743014919</v>
      </c>
      <c r="CW75" s="271">
        <f t="shared" si="732"/>
        <v>-681.38833019872447</v>
      </c>
      <c r="CX75" s="271">
        <f t="shared" si="732"/>
        <v>-683.09180102422124</v>
      </c>
      <c r="CY75" s="271">
        <f t="shared" ref="CY75:ED75" si="733">CY74*-IFERROR(INDEX($M$22:$Q$22,MATCH(YEAR(CY58),$M$21:$Q$21,0)),$Q$22)</f>
        <v>-684.79953052678172</v>
      </c>
      <c r="CZ75" s="271">
        <f t="shared" si="733"/>
        <v>-686.51152935309881</v>
      </c>
      <c r="DA75" s="271">
        <f t="shared" si="733"/>
        <v>-688.2278081764814</v>
      </c>
      <c r="DB75" s="271">
        <f t="shared" si="733"/>
        <v>-689.94837769692253</v>
      </c>
      <c r="DC75" s="271">
        <f t="shared" si="733"/>
        <v>-691.67324864116483</v>
      </c>
      <c r="DD75" s="271">
        <f t="shared" si="733"/>
        <v>-693.40243176276772</v>
      </c>
      <c r="DE75" s="271">
        <f t="shared" si="733"/>
        <v>-695.1359378421746</v>
      </c>
      <c r="DF75" s="271">
        <f t="shared" si="733"/>
        <v>-696.87377768678004</v>
      </c>
      <c r="DG75" s="271">
        <f t="shared" si="733"/>
        <v>-698.61596213099699</v>
      </c>
      <c r="DH75" s="271">
        <f t="shared" si="733"/>
        <v>-700.36250203632449</v>
      </c>
      <c r="DI75" s="271">
        <f t="shared" si="733"/>
        <v>-702.11340829141523</v>
      </c>
      <c r="DJ75" s="271">
        <f t="shared" si="733"/>
        <v>-703.86869181214377</v>
      </c>
      <c r="DK75" s="271">
        <f t="shared" si="733"/>
        <v>-705.62836354167405</v>
      </c>
      <c r="DL75" s="271">
        <f t="shared" si="733"/>
        <v>-707.3924344505283</v>
      </c>
      <c r="DM75" s="271">
        <f t="shared" si="733"/>
        <v>-709.16091553665456</v>
      </c>
      <c r="DN75" s="271">
        <f t="shared" si="733"/>
        <v>-710.93381782549613</v>
      </c>
      <c r="DO75" s="271">
        <f t="shared" si="733"/>
        <v>-712.71115237005972</v>
      </c>
      <c r="DP75" s="271">
        <f t="shared" si="733"/>
        <v>-714.49293025098484</v>
      </c>
      <c r="DQ75" s="271">
        <f t="shared" si="733"/>
        <v>-716.27916257661229</v>
      </c>
      <c r="DR75" s="271">
        <f t="shared" si="733"/>
        <v>-718.06986048305384</v>
      </c>
      <c r="DS75" s="271">
        <f t="shared" si="733"/>
        <v>-719.86503513426146</v>
      </c>
      <c r="DT75" s="271">
        <f t="shared" si="733"/>
        <v>-721.664697722097</v>
      </c>
      <c r="DU75" s="271">
        <f t="shared" si="733"/>
        <v>-723.46885946640225</v>
      </c>
      <c r="DV75" s="271">
        <f t="shared" si="733"/>
        <v>-725.27753161506826</v>
      </c>
      <c r="DW75" s="271">
        <f t="shared" si="733"/>
        <v>-727.09072544410594</v>
      </c>
      <c r="DX75" s="271">
        <f t="shared" si="733"/>
        <v>-728.90845225771614</v>
      </c>
      <c r="DY75" s="271">
        <f t="shared" si="733"/>
        <v>-730.73072338836039</v>
      </c>
      <c r="DZ75" s="271">
        <f t="shared" si="733"/>
        <v>-732.55755019683136</v>
      </c>
      <c r="EA75" s="271">
        <f t="shared" si="733"/>
        <v>-734.38894407232317</v>
      </c>
      <c r="EB75" s="271">
        <f t="shared" si="733"/>
        <v>-736.22491643250407</v>
      </c>
      <c r="EC75" s="271">
        <f t="shared" si="733"/>
        <v>-738.06547872358522</v>
      </c>
      <c r="ED75" s="271">
        <f t="shared" si="733"/>
        <v>-739.9106424203942</v>
      </c>
      <c r="EE75" s="271">
        <f t="shared" ref="EE75:FF75" si="734">EE74*-IFERROR(INDEX($M$22:$Q$22,MATCH(YEAR(EE58),$M$21:$Q$21,0)),$Q$22)</f>
        <v>-741.76041902644522</v>
      </c>
      <c r="EF75" s="271">
        <f t="shared" si="734"/>
        <v>-743.61482007401128</v>
      </c>
      <c r="EG75" s="271">
        <f t="shared" si="734"/>
        <v>-745.47385712419612</v>
      </c>
      <c r="EH75" s="271">
        <f t="shared" si="734"/>
        <v>-747.33754176700654</v>
      </c>
      <c r="EI75" s="271">
        <f t="shared" si="734"/>
        <v>-749.20588562142416</v>
      </c>
      <c r="EJ75" s="271">
        <f t="shared" si="734"/>
        <v>-751.07890033547756</v>
      </c>
      <c r="EK75" s="271">
        <f t="shared" si="734"/>
        <v>-752.95659758631621</v>
      </c>
      <c r="EL75" s="271">
        <f t="shared" si="734"/>
        <v>-754.83898908028209</v>
      </c>
      <c r="EM75" s="271">
        <f t="shared" si="734"/>
        <v>-756.72608655298279</v>
      </c>
      <c r="EN75" s="271">
        <f t="shared" si="734"/>
        <v>-758.61790176936518</v>
      </c>
      <c r="EO75" s="271">
        <f t="shared" si="734"/>
        <v>-760.51444652378848</v>
      </c>
      <c r="EP75" s="271">
        <f t="shared" si="734"/>
        <v>-762.41573264009787</v>
      </c>
      <c r="EQ75" s="271">
        <f t="shared" si="734"/>
        <v>-764.32177197169824</v>
      </c>
      <c r="ER75" s="271">
        <f t="shared" si="734"/>
        <v>-766.23257640162728</v>
      </c>
      <c r="ES75" s="271">
        <f t="shared" si="734"/>
        <v>-768.14815784263135</v>
      </c>
      <c r="ET75" s="271">
        <f t="shared" si="734"/>
        <v>-770.06852823723784</v>
      </c>
      <c r="EU75" s="271">
        <f t="shared" si="734"/>
        <v>-771.99369955783095</v>
      </c>
      <c r="EV75" s="271">
        <f t="shared" si="734"/>
        <v>-773.92368380672565</v>
      </c>
      <c r="EW75" s="271">
        <f t="shared" si="734"/>
        <v>-775.85849301624228</v>
      </c>
      <c r="EX75" s="271">
        <f t="shared" si="734"/>
        <v>-777.79813924878283</v>
      </c>
      <c r="EY75" s="271">
        <f t="shared" si="734"/>
        <v>-779.74263459690474</v>
      </c>
      <c r="EZ75" s="271">
        <f t="shared" si="734"/>
        <v>-781.69199118339691</v>
      </c>
      <c r="FA75" s="271">
        <f t="shared" si="734"/>
        <v>-783.64622116135536</v>
      </c>
      <c r="FB75" s="271">
        <f t="shared" si="734"/>
        <v>-785.60533671425878</v>
      </c>
      <c r="FC75" s="271">
        <f t="shared" si="734"/>
        <v>-787.56935005604441</v>
      </c>
      <c r="FD75" s="271">
        <f t="shared" si="734"/>
        <v>-789.53827343118439</v>
      </c>
      <c r="FE75" s="271">
        <f t="shared" si="734"/>
        <v>-791.5121191147623</v>
      </c>
      <c r="FF75" s="271">
        <f t="shared" si="734"/>
        <v>-793.4908994125492</v>
      </c>
      <c r="FG75" s="320"/>
      <c r="FH75" s="271">
        <f t="shared" ref="FH75:FH76" si="735">SUMIF($F$57:$FF$57,FH$57,$F75:$FF75)</f>
        <v>-3800.3137140678755</v>
      </c>
      <c r="FI75" s="271">
        <f t="shared" si="728"/>
        <v>-6671.3694914299776</v>
      </c>
      <c r="FJ75" s="271">
        <f t="shared" si="728"/>
        <v>-6874.285578435396</v>
      </c>
      <c r="FK75" s="271">
        <f t="shared" si="728"/>
        <v>-7083.3735524002259</v>
      </c>
      <c r="FL75" s="271">
        <f t="shared" si="728"/>
        <v>-7298.8211371723046</v>
      </c>
      <c r="FM75" s="271">
        <f t="shared" si="728"/>
        <v>-7520.8217663999294</v>
      </c>
      <c r="FN75" s="271">
        <f t="shared" si="728"/>
        <v>-7749.5747572009132</v>
      </c>
      <c r="FO75" s="271">
        <f t="shared" si="728"/>
        <v>-7985.285489113935</v>
      </c>
      <c r="FP75" s="271">
        <f t="shared" si="728"/>
        <v>-8228.1655884928732</v>
      </c>
      <c r="FQ75" s="271">
        <f t="shared" si="728"/>
        <v>-8478.4331185096707</v>
      </c>
      <c r="FR75" s="271">
        <f t="shared" si="728"/>
        <v>-8736.3127749363084</v>
      </c>
      <c r="FS75" s="271">
        <f t="shared" si="728"/>
        <v>-9002.0360878816882</v>
      </c>
      <c r="FT75" s="271">
        <f t="shared" si="728"/>
        <v>-9275.8416296645319</v>
      </c>
      <c r="FU75" s="271">
        <f t="shared" si="728"/>
        <v>-3947.7159787287992</v>
      </c>
      <c r="FV75" s="320"/>
    </row>
    <row r="76" spans="2:178" s="208" customFormat="1" x14ac:dyDescent="0.2">
      <c r="C76" s="80" t="s">
        <v>56</v>
      </c>
      <c r="D76" s="80"/>
      <c r="E76" s="272">
        <f t="shared" si="729"/>
        <v>40958287.915109351</v>
      </c>
      <c r="F76" s="80">
        <v>0</v>
      </c>
      <c r="G76" s="80">
        <f t="shared" ref="G76:AL76" si="736">SUM(G74:G75)</f>
        <v>214998.65625</v>
      </c>
      <c r="H76" s="80">
        <f t="shared" si="736"/>
        <v>215536.15289062497</v>
      </c>
      <c r="I76" s="80">
        <f t="shared" si="736"/>
        <v>216074.99327285154</v>
      </c>
      <c r="J76" s="80">
        <f t="shared" si="736"/>
        <v>216615.18075603363</v>
      </c>
      <c r="K76" s="80">
        <f t="shared" si="736"/>
        <v>217156.71870792372</v>
      </c>
      <c r="L76" s="80">
        <f t="shared" si="736"/>
        <v>217699.61050469353</v>
      </c>
      <c r="M76" s="80">
        <f t="shared" si="736"/>
        <v>218243.85953095523</v>
      </c>
      <c r="N76" s="80">
        <f t="shared" si="736"/>
        <v>218789.46917978261</v>
      </c>
      <c r="O76" s="80">
        <f t="shared" si="736"/>
        <v>219336.44285273206</v>
      </c>
      <c r="P76" s="80">
        <f t="shared" si="736"/>
        <v>219884.78395986388</v>
      </c>
      <c r="Q76" s="80">
        <f t="shared" si="736"/>
        <v>220434.49591976352</v>
      </c>
      <c r="R76" s="80">
        <f t="shared" si="736"/>
        <v>220985.58215956294</v>
      </c>
      <c r="S76" s="80">
        <f t="shared" si="736"/>
        <v>221538.04611496179</v>
      </c>
      <c r="T76" s="80">
        <f t="shared" si="736"/>
        <v>222091.89123024922</v>
      </c>
      <c r="U76" s="80">
        <f t="shared" si="736"/>
        <v>222647.12095832487</v>
      </c>
      <c r="V76" s="80">
        <f t="shared" si="736"/>
        <v>223203.73876072065</v>
      </c>
      <c r="W76" s="80">
        <f t="shared" si="736"/>
        <v>223761.74810762244</v>
      </c>
      <c r="X76" s="80">
        <f t="shared" si="736"/>
        <v>224321.15247789148</v>
      </c>
      <c r="Y76" s="80">
        <f t="shared" si="736"/>
        <v>224881.95535908616</v>
      </c>
      <c r="Z76" s="80">
        <f t="shared" si="736"/>
        <v>225444.16024748387</v>
      </c>
      <c r="AA76" s="80">
        <f t="shared" si="736"/>
        <v>226007.7706481026</v>
      </c>
      <c r="AB76" s="80">
        <f t="shared" si="736"/>
        <v>226572.79007472287</v>
      </c>
      <c r="AC76" s="80">
        <f t="shared" si="736"/>
        <v>227139.22204990964</v>
      </c>
      <c r="AD76" s="80">
        <f t="shared" si="736"/>
        <v>227707.07010503439</v>
      </c>
      <c r="AE76" s="80">
        <f t="shared" si="736"/>
        <v>228276.33778029698</v>
      </c>
      <c r="AF76" s="80">
        <f t="shared" si="736"/>
        <v>228847.02862474768</v>
      </c>
      <c r="AG76" s="80">
        <f t="shared" si="736"/>
        <v>229419.14619630954</v>
      </c>
      <c r="AH76" s="80">
        <f t="shared" si="736"/>
        <v>229992.69406180028</v>
      </c>
      <c r="AI76" s="80">
        <f t="shared" si="736"/>
        <v>230567.67579695475</v>
      </c>
      <c r="AJ76" s="80">
        <f t="shared" si="736"/>
        <v>231144.0949864471</v>
      </c>
      <c r="AK76" s="80">
        <f t="shared" si="736"/>
        <v>231721.95522391322</v>
      </c>
      <c r="AL76" s="80">
        <f t="shared" si="736"/>
        <v>232301.26011197298</v>
      </c>
      <c r="AM76" s="80">
        <f t="shared" ref="AM76:BR76" si="737">SUM(AM74:AM75)</f>
        <v>232882.01326225291</v>
      </c>
      <c r="AN76" s="80">
        <f t="shared" si="737"/>
        <v>233464.21829540853</v>
      </c>
      <c r="AO76" s="80">
        <f t="shared" si="737"/>
        <v>234047.87884114703</v>
      </c>
      <c r="AP76" s="80">
        <f t="shared" si="737"/>
        <v>234632.9985382499</v>
      </c>
      <c r="AQ76" s="80">
        <f t="shared" si="737"/>
        <v>235219.5810345955</v>
      </c>
      <c r="AR76" s="80">
        <f t="shared" si="737"/>
        <v>235807.62998718195</v>
      </c>
      <c r="AS76" s="80">
        <f t="shared" si="737"/>
        <v>236397.1490621499</v>
      </c>
      <c r="AT76" s="80">
        <f t="shared" si="737"/>
        <v>236988.14193480529</v>
      </c>
      <c r="AU76" s="80">
        <f t="shared" si="737"/>
        <v>237580.6122896423</v>
      </c>
      <c r="AV76" s="80">
        <f t="shared" si="737"/>
        <v>238174.5638203664</v>
      </c>
      <c r="AW76" s="80">
        <f t="shared" si="737"/>
        <v>238770.00022991729</v>
      </c>
      <c r="AX76" s="80">
        <f t="shared" si="737"/>
        <v>239366.92523049208</v>
      </c>
      <c r="AY76" s="80">
        <f t="shared" si="737"/>
        <v>239965.34254356829</v>
      </c>
      <c r="AZ76" s="80">
        <f t="shared" si="737"/>
        <v>240565.2558999272</v>
      </c>
      <c r="BA76" s="80">
        <f t="shared" si="737"/>
        <v>241166.66903967704</v>
      </c>
      <c r="BB76" s="80">
        <f t="shared" si="737"/>
        <v>241769.58571227622</v>
      </c>
      <c r="BC76" s="80">
        <f t="shared" si="737"/>
        <v>242374.00967655689</v>
      </c>
      <c r="BD76" s="80">
        <f t="shared" si="737"/>
        <v>242979.94470074825</v>
      </c>
      <c r="BE76" s="80">
        <f t="shared" si="737"/>
        <v>243587.39456250015</v>
      </c>
      <c r="BF76" s="80">
        <f t="shared" si="737"/>
        <v>244196.36304890641</v>
      </c>
      <c r="BG76" s="80">
        <f t="shared" si="737"/>
        <v>244806.85395652865</v>
      </c>
      <c r="BH76" s="80">
        <f t="shared" si="737"/>
        <v>245418.87109141998</v>
      </c>
      <c r="BI76" s="80">
        <f t="shared" si="737"/>
        <v>246032.4182691485</v>
      </c>
      <c r="BJ76" s="80">
        <f t="shared" si="737"/>
        <v>246647.49931482135</v>
      </c>
      <c r="BK76" s="80">
        <f t="shared" si="737"/>
        <v>247264.11806310841</v>
      </c>
      <c r="BL76" s="80">
        <f t="shared" si="737"/>
        <v>247882.27835826617</v>
      </c>
      <c r="BM76" s="80">
        <f t="shared" si="737"/>
        <v>248501.98405416182</v>
      </c>
      <c r="BN76" s="80">
        <f t="shared" si="737"/>
        <v>249123.2390142972</v>
      </c>
      <c r="BO76" s="80">
        <f t="shared" si="737"/>
        <v>249746.04711183294</v>
      </c>
      <c r="BP76" s="80">
        <f t="shared" si="737"/>
        <v>250370.4122296125</v>
      </c>
      <c r="BQ76" s="80">
        <f t="shared" si="737"/>
        <v>250996.33826018652</v>
      </c>
      <c r="BR76" s="80">
        <f t="shared" si="737"/>
        <v>251623.82910583698</v>
      </c>
      <c r="BS76" s="80">
        <f t="shared" ref="BS76:CX76" si="738">SUM(BS74:BS75)</f>
        <v>252252.88867860156</v>
      </c>
      <c r="BT76" s="80">
        <f t="shared" si="738"/>
        <v>252883.52090029806</v>
      </c>
      <c r="BU76" s="80">
        <f t="shared" si="738"/>
        <v>253515.72970254879</v>
      </c>
      <c r="BV76" s="80">
        <f t="shared" si="738"/>
        <v>254149.51902680515</v>
      </c>
      <c r="BW76" s="80">
        <f t="shared" si="738"/>
        <v>254784.89282437213</v>
      </c>
      <c r="BX76" s="80">
        <f t="shared" si="738"/>
        <v>255421.85505643307</v>
      </c>
      <c r="BY76" s="80">
        <f t="shared" si="738"/>
        <v>256060.4096940741</v>
      </c>
      <c r="BZ76" s="80">
        <f t="shared" si="738"/>
        <v>256700.56071830928</v>
      </c>
      <c r="CA76" s="80">
        <f t="shared" si="738"/>
        <v>257342.31212010502</v>
      </c>
      <c r="CB76" s="80">
        <f t="shared" si="738"/>
        <v>257985.66790040527</v>
      </c>
      <c r="CC76" s="80">
        <f t="shared" si="738"/>
        <v>258630.63207015628</v>
      </c>
      <c r="CD76" s="80">
        <f t="shared" si="738"/>
        <v>259277.20865033165</v>
      </c>
      <c r="CE76" s="80">
        <f t="shared" si="738"/>
        <v>259925.40167195746</v>
      </c>
      <c r="CF76" s="80">
        <f t="shared" si="738"/>
        <v>260575.21517613731</v>
      </c>
      <c r="CG76" s="80">
        <f t="shared" si="738"/>
        <v>261226.65321407767</v>
      </c>
      <c r="CH76" s="80">
        <f t="shared" si="738"/>
        <v>261879.71984711286</v>
      </c>
      <c r="CI76" s="80">
        <f t="shared" si="738"/>
        <v>262534.41914673062</v>
      </c>
      <c r="CJ76" s="80">
        <f t="shared" si="738"/>
        <v>263190.75519459741</v>
      </c>
      <c r="CK76" s="80">
        <f t="shared" si="738"/>
        <v>263848.73208258388</v>
      </c>
      <c r="CL76" s="80">
        <f t="shared" si="738"/>
        <v>264508.35391279031</v>
      </c>
      <c r="CM76" s="80">
        <f t="shared" si="738"/>
        <v>265169.62479757227</v>
      </c>
      <c r="CN76" s="80">
        <f t="shared" si="738"/>
        <v>265832.54885956622</v>
      </c>
      <c r="CO76" s="80">
        <f t="shared" si="738"/>
        <v>266497.1302317151</v>
      </c>
      <c r="CP76" s="80">
        <f t="shared" si="738"/>
        <v>267163.3730572944</v>
      </c>
      <c r="CQ76" s="80">
        <f t="shared" si="738"/>
        <v>267831.28148993757</v>
      </c>
      <c r="CR76" s="80">
        <f t="shared" si="738"/>
        <v>268500.85969366244</v>
      </c>
      <c r="CS76" s="80">
        <f t="shared" si="738"/>
        <v>269172.1118428965</v>
      </c>
      <c r="CT76" s="80">
        <f t="shared" si="738"/>
        <v>269845.0421225038</v>
      </c>
      <c r="CU76" s="80">
        <f t="shared" si="738"/>
        <v>270519.65472781</v>
      </c>
      <c r="CV76" s="80">
        <f t="shared" si="738"/>
        <v>271195.9538646295</v>
      </c>
      <c r="CW76" s="80">
        <f t="shared" si="738"/>
        <v>271873.94374929107</v>
      </c>
      <c r="CX76" s="80">
        <f t="shared" si="738"/>
        <v>272553.62860866426</v>
      </c>
      <c r="CY76" s="80">
        <f t="shared" ref="CY76:ED76" si="739">SUM(CY74:CY75)</f>
        <v>273235.0126801859</v>
      </c>
      <c r="CZ76" s="80">
        <f t="shared" si="739"/>
        <v>273918.1002118864</v>
      </c>
      <c r="DA76" s="80">
        <f t="shared" si="739"/>
        <v>274602.89546241605</v>
      </c>
      <c r="DB76" s="80">
        <f t="shared" si="739"/>
        <v>275289.4027010721</v>
      </c>
      <c r="DC76" s="80">
        <f t="shared" si="739"/>
        <v>275977.62620782474</v>
      </c>
      <c r="DD76" s="80">
        <f t="shared" si="739"/>
        <v>276667.57027334429</v>
      </c>
      <c r="DE76" s="80">
        <f t="shared" si="739"/>
        <v>277359.23919902765</v>
      </c>
      <c r="DF76" s="80">
        <f t="shared" si="739"/>
        <v>278052.63729702524</v>
      </c>
      <c r="DG76" s="80">
        <f t="shared" si="739"/>
        <v>278747.76889026776</v>
      </c>
      <c r="DH76" s="80">
        <f t="shared" si="739"/>
        <v>279444.63831249345</v>
      </c>
      <c r="DI76" s="80">
        <f t="shared" si="739"/>
        <v>280143.24990827468</v>
      </c>
      <c r="DJ76" s="80">
        <f t="shared" si="739"/>
        <v>280843.60803304537</v>
      </c>
      <c r="DK76" s="80">
        <f t="shared" si="739"/>
        <v>281545.71705312794</v>
      </c>
      <c r="DL76" s="80">
        <f t="shared" si="739"/>
        <v>282249.58134576079</v>
      </c>
      <c r="DM76" s="80">
        <f t="shared" si="739"/>
        <v>282955.20529912517</v>
      </c>
      <c r="DN76" s="80">
        <f t="shared" si="739"/>
        <v>283662.59331237292</v>
      </c>
      <c r="DO76" s="80">
        <f t="shared" si="739"/>
        <v>284371.7497956538</v>
      </c>
      <c r="DP76" s="80">
        <f t="shared" si="739"/>
        <v>285082.67917014292</v>
      </c>
      <c r="DQ76" s="80">
        <f t="shared" si="739"/>
        <v>285795.38586806832</v>
      </c>
      <c r="DR76" s="80">
        <f t="shared" si="739"/>
        <v>286509.87433273846</v>
      </c>
      <c r="DS76" s="80">
        <f t="shared" si="739"/>
        <v>287226.14901857032</v>
      </c>
      <c r="DT76" s="80">
        <f t="shared" si="739"/>
        <v>287944.21439111669</v>
      </c>
      <c r="DU76" s="80">
        <f t="shared" si="739"/>
        <v>288664.07492709451</v>
      </c>
      <c r="DV76" s="80">
        <f t="shared" si="739"/>
        <v>289385.73511441227</v>
      </c>
      <c r="DW76" s="80">
        <f t="shared" si="739"/>
        <v>290109.19945219829</v>
      </c>
      <c r="DX76" s="80">
        <f t="shared" si="739"/>
        <v>290834.47245082876</v>
      </c>
      <c r="DY76" s="80">
        <f t="shared" si="739"/>
        <v>291561.55863195576</v>
      </c>
      <c r="DZ76" s="80">
        <f t="shared" si="739"/>
        <v>292290.46252853569</v>
      </c>
      <c r="EA76" s="80">
        <f t="shared" si="739"/>
        <v>293021.18868485698</v>
      </c>
      <c r="EB76" s="80">
        <f t="shared" si="739"/>
        <v>293753.74165656912</v>
      </c>
      <c r="EC76" s="80">
        <f t="shared" si="739"/>
        <v>294488.12601071049</v>
      </c>
      <c r="ED76" s="80">
        <f t="shared" si="739"/>
        <v>295224.34632573725</v>
      </c>
      <c r="EE76" s="80">
        <f t="shared" ref="EE76:FF76" si="740">SUM(EE74:EE75)</f>
        <v>295962.40719155164</v>
      </c>
      <c r="EF76" s="80">
        <f t="shared" si="740"/>
        <v>296702.31320953049</v>
      </c>
      <c r="EG76" s="80">
        <f t="shared" si="740"/>
        <v>297444.06899255421</v>
      </c>
      <c r="EH76" s="80">
        <f t="shared" si="740"/>
        <v>298187.6791650356</v>
      </c>
      <c r="EI76" s="80">
        <f t="shared" si="740"/>
        <v>298933.14836294821</v>
      </c>
      <c r="EJ76" s="80">
        <f t="shared" si="740"/>
        <v>299680.48123385553</v>
      </c>
      <c r="EK76" s="80">
        <f t="shared" si="740"/>
        <v>300429.68243694014</v>
      </c>
      <c r="EL76" s="80">
        <f t="shared" si="740"/>
        <v>301180.75664303254</v>
      </c>
      <c r="EM76" s="80">
        <f t="shared" si="740"/>
        <v>301933.70853464009</v>
      </c>
      <c r="EN76" s="80">
        <f t="shared" si="740"/>
        <v>302688.5428059767</v>
      </c>
      <c r="EO76" s="80">
        <f t="shared" si="740"/>
        <v>303445.2641629916</v>
      </c>
      <c r="EP76" s="80">
        <f t="shared" si="740"/>
        <v>304203.87732339907</v>
      </c>
      <c r="EQ76" s="80">
        <f t="shared" si="740"/>
        <v>304964.38701670757</v>
      </c>
      <c r="ER76" s="80">
        <f t="shared" si="740"/>
        <v>305726.79798424931</v>
      </c>
      <c r="ES76" s="80">
        <f t="shared" si="740"/>
        <v>306491.1149792099</v>
      </c>
      <c r="ET76" s="80">
        <f t="shared" si="740"/>
        <v>307257.34276665788</v>
      </c>
      <c r="EU76" s="80">
        <f t="shared" si="740"/>
        <v>308025.48612357455</v>
      </c>
      <c r="EV76" s="80">
        <f t="shared" si="740"/>
        <v>308795.54983888351</v>
      </c>
      <c r="EW76" s="80">
        <f t="shared" si="740"/>
        <v>309567.5387134807</v>
      </c>
      <c r="EX76" s="80">
        <f t="shared" si="740"/>
        <v>310341.45756026433</v>
      </c>
      <c r="EY76" s="80">
        <f t="shared" si="740"/>
        <v>311117.31120416499</v>
      </c>
      <c r="EZ76" s="80">
        <f t="shared" si="740"/>
        <v>311895.10448217537</v>
      </c>
      <c r="FA76" s="80">
        <f t="shared" si="740"/>
        <v>312674.84224338079</v>
      </c>
      <c r="FB76" s="80">
        <f t="shared" si="740"/>
        <v>313456.52934898925</v>
      </c>
      <c r="FC76" s="80">
        <f t="shared" si="740"/>
        <v>314240.17067236168</v>
      </c>
      <c r="FD76" s="80">
        <f t="shared" si="740"/>
        <v>315025.77109904255</v>
      </c>
      <c r="FE76" s="80">
        <f t="shared" si="740"/>
        <v>315813.33552679018</v>
      </c>
      <c r="FF76" s="80">
        <f t="shared" si="740"/>
        <v>316602.86886560713</v>
      </c>
      <c r="FG76" s="288"/>
      <c r="FH76" s="80">
        <f t="shared" si="735"/>
        <v>1516325.1719130827</v>
      </c>
      <c r="FI76" s="80">
        <f t="shared" si="728"/>
        <v>2661876.4270805623</v>
      </c>
      <c r="FJ76" s="80">
        <f t="shared" si="728"/>
        <v>2742839.9457957232</v>
      </c>
      <c r="FK76" s="80">
        <f t="shared" si="728"/>
        <v>2826266.04740769</v>
      </c>
      <c r="FL76" s="80">
        <f t="shared" si="728"/>
        <v>2912229.6337317489</v>
      </c>
      <c r="FM76" s="80">
        <f t="shared" si="728"/>
        <v>3000807.8847935717</v>
      </c>
      <c r="FN76" s="80">
        <f t="shared" si="728"/>
        <v>3092080.3281231644</v>
      </c>
      <c r="FO76" s="80">
        <f t="shared" si="728"/>
        <v>3186128.9101564591</v>
      </c>
      <c r="FP76" s="80">
        <f t="shared" si="728"/>
        <v>3283038.0698086554</v>
      </c>
      <c r="FQ76" s="80">
        <f t="shared" si="728"/>
        <v>3382894.8142853584</v>
      </c>
      <c r="FR76" s="80">
        <f t="shared" si="728"/>
        <v>3485788.7971995873</v>
      </c>
      <c r="FS76" s="80">
        <f t="shared" si="728"/>
        <v>3591812.3990647942</v>
      </c>
      <c r="FT76" s="80">
        <f t="shared" si="728"/>
        <v>3701060.8102361481</v>
      </c>
      <c r="FU76" s="80">
        <f t="shared" si="728"/>
        <v>1575138.6755127909</v>
      </c>
      <c r="FV76" s="288"/>
    </row>
    <row r="77" spans="2:178" x14ac:dyDescent="0.2">
      <c r="E77" s="224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77"/>
      <c r="CD77" s="77"/>
      <c r="CE77" s="77"/>
      <c r="CF77" s="77"/>
      <c r="CG77" s="77"/>
      <c r="CH77" s="77"/>
      <c r="CI77" s="77"/>
      <c r="CJ77" s="77"/>
      <c r="CK77" s="77"/>
      <c r="CL77" s="77"/>
      <c r="CM77" s="77"/>
      <c r="CN77" s="77"/>
      <c r="CO77" s="77"/>
      <c r="CP77" s="77"/>
      <c r="CQ77" s="77"/>
      <c r="CR77" s="77"/>
      <c r="CS77" s="77"/>
      <c r="CT77" s="77"/>
      <c r="CU77" s="77"/>
      <c r="CV77" s="77"/>
      <c r="CW77" s="77"/>
      <c r="CX77" s="77"/>
      <c r="CY77" s="77"/>
      <c r="CZ77" s="77"/>
      <c r="DA77" s="77"/>
      <c r="DB77" s="77"/>
      <c r="DC77" s="77"/>
      <c r="DD77" s="77"/>
      <c r="DE77" s="77"/>
      <c r="DF77" s="77"/>
      <c r="DG77" s="77"/>
      <c r="DH77" s="77"/>
      <c r="DI77" s="77"/>
      <c r="DJ77" s="77"/>
      <c r="DK77" s="77"/>
      <c r="DL77" s="77"/>
      <c r="DM77" s="77"/>
      <c r="DN77" s="77"/>
      <c r="DO77" s="77"/>
      <c r="DP77" s="77"/>
      <c r="DQ77" s="77"/>
      <c r="DR77" s="77"/>
      <c r="DS77" s="77"/>
      <c r="DT77" s="77"/>
      <c r="DU77" s="77"/>
      <c r="DV77" s="77"/>
      <c r="DW77" s="77"/>
      <c r="DX77" s="77"/>
      <c r="DY77" s="77"/>
      <c r="DZ77" s="77"/>
      <c r="EA77" s="77"/>
      <c r="EB77" s="77"/>
      <c r="EC77" s="77"/>
      <c r="ED77" s="77"/>
      <c r="EE77" s="77"/>
      <c r="EF77" s="77"/>
      <c r="EG77" s="77"/>
      <c r="EH77" s="77"/>
      <c r="EI77" s="77"/>
      <c r="EJ77" s="77"/>
      <c r="EK77" s="77"/>
      <c r="EL77" s="77"/>
      <c r="EM77" s="77"/>
      <c r="EN77" s="77"/>
      <c r="EO77" s="77"/>
      <c r="EP77" s="77"/>
      <c r="EQ77" s="77"/>
      <c r="ER77" s="77"/>
      <c r="ES77" s="77"/>
      <c r="ET77" s="77"/>
      <c r="EU77" s="77"/>
      <c r="EV77" s="77"/>
      <c r="EW77" s="77"/>
      <c r="EX77" s="77"/>
      <c r="EY77" s="77"/>
      <c r="EZ77" s="77"/>
      <c r="FA77" s="77"/>
      <c r="FB77" s="77"/>
      <c r="FC77" s="77"/>
      <c r="FD77" s="77"/>
      <c r="FE77" s="77"/>
      <c r="FF77" s="77"/>
      <c r="FG77" s="277"/>
      <c r="FH77" s="77"/>
      <c r="FI77" s="77"/>
      <c r="FJ77" s="77"/>
      <c r="FK77" s="77"/>
      <c r="FL77" s="77"/>
      <c r="FM77" s="77"/>
      <c r="FN77" s="77"/>
      <c r="FO77" s="77"/>
      <c r="FP77" s="77"/>
      <c r="FQ77" s="77"/>
      <c r="FR77" s="77"/>
      <c r="FS77" s="77"/>
      <c r="FT77" s="77"/>
      <c r="FU77" s="77"/>
      <c r="FV77" s="277"/>
    </row>
    <row r="78" spans="2:178" x14ac:dyDescent="0.2">
      <c r="C78" s="229" t="s">
        <v>17</v>
      </c>
      <c r="E78" s="224"/>
    </row>
    <row r="79" spans="2:178" x14ac:dyDescent="0.2">
      <c r="C79" s="39" t="s">
        <v>61</v>
      </c>
      <c r="D79" s="230">
        <f>N16</f>
        <v>0.7</v>
      </c>
      <c r="E79" s="231">
        <f t="shared" ref="E79:E82" si="741">SUM(F79:FF79)</f>
        <v>1114056.5188388226</v>
      </c>
      <c r="F79" s="232">
        <v>0</v>
      </c>
      <c r="G79" s="232">
        <f t="shared" ref="G79:AL79" si="742">$D$79*G105</f>
        <v>5847.9166666666661</v>
      </c>
      <c r="H79" s="232">
        <f t="shared" si="742"/>
        <v>5862.5364583333312</v>
      </c>
      <c r="I79" s="232">
        <f t="shared" si="742"/>
        <v>5877.192799479164</v>
      </c>
      <c r="J79" s="232">
        <f t="shared" si="742"/>
        <v>5891.8857814778621</v>
      </c>
      <c r="K79" s="232">
        <f t="shared" si="742"/>
        <v>5906.6154959315572</v>
      </c>
      <c r="L79" s="232">
        <f t="shared" si="742"/>
        <v>5921.3820346713865</v>
      </c>
      <c r="M79" s="232">
        <f t="shared" si="742"/>
        <v>5936.1854897580652</v>
      </c>
      <c r="N79" s="232">
        <f t="shared" si="742"/>
        <v>5951.02595348246</v>
      </c>
      <c r="O79" s="232">
        <f t="shared" si="742"/>
        <v>5965.9035183661663</v>
      </c>
      <c r="P79" s="232">
        <f t="shared" si="742"/>
        <v>5980.8182771620814</v>
      </c>
      <c r="Q79" s="232">
        <f t="shared" si="742"/>
        <v>5995.7703228549854</v>
      </c>
      <c r="R79" s="232">
        <f t="shared" si="742"/>
        <v>6010.7597486621244</v>
      </c>
      <c r="S79" s="232">
        <f t="shared" si="742"/>
        <v>6025.7866480337771</v>
      </c>
      <c r="T79" s="232">
        <f t="shared" si="742"/>
        <v>6040.8511146538622</v>
      </c>
      <c r="U79" s="232">
        <f t="shared" si="742"/>
        <v>6055.9532424404961</v>
      </c>
      <c r="V79" s="232">
        <f t="shared" si="742"/>
        <v>6071.0931255465975</v>
      </c>
      <c r="W79" s="232">
        <f t="shared" si="742"/>
        <v>6086.2708583604626</v>
      </c>
      <c r="X79" s="232">
        <f t="shared" si="742"/>
        <v>6101.4865355063621</v>
      </c>
      <c r="Y79" s="232">
        <f t="shared" si="742"/>
        <v>6116.7402518451281</v>
      </c>
      <c r="Z79" s="232">
        <f t="shared" si="742"/>
        <v>6132.0321024747409</v>
      </c>
      <c r="AA79" s="232">
        <f t="shared" si="742"/>
        <v>6147.3621827309271</v>
      </c>
      <c r="AB79" s="232">
        <f t="shared" si="742"/>
        <v>6162.7305881877546</v>
      </c>
      <c r="AC79" s="232">
        <f t="shared" si="742"/>
        <v>6178.1374146582239</v>
      </c>
      <c r="AD79" s="232">
        <f t="shared" si="742"/>
        <v>6193.5827581948679</v>
      </c>
      <c r="AE79" s="232">
        <f t="shared" si="742"/>
        <v>6209.0667150903537</v>
      </c>
      <c r="AF79" s="232">
        <f t="shared" si="742"/>
        <v>6224.5893818780796</v>
      </c>
      <c r="AG79" s="232">
        <f t="shared" si="742"/>
        <v>6240.150855332774</v>
      </c>
      <c r="AH79" s="232">
        <f t="shared" si="742"/>
        <v>6255.7512324711051</v>
      </c>
      <c r="AI79" s="232">
        <f t="shared" si="742"/>
        <v>6271.3906105522829</v>
      </c>
      <c r="AJ79" s="232">
        <f t="shared" si="742"/>
        <v>6287.0690870786639</v>
      </c>
      <c r="AK79" s="232">
        <f t="shared" si="742"/>
        <v>6302.7867597963595</v>
      </c>
      <c r="AL79" s="232">
        <f t="shared" si="742"/>
        <v>6318.5437266958497</v>
      </c>
      <c r="AM79" s="232">
        <f t="shared" ref="AM79:BR79" si="743">$D$79*AM105</f>
        <v>6334.3400860125903</v>
      </c>
      <c r="AN79" s="232">
        <f t="shared" si="743"/>
        <v>6350.1759362276225</v>
      </c>
      <c r="AO79" s="232">
        <f t="shared" si="743"/>
        <v>6366.0513760681906</v>
      </c>
      <c r="AP79" s="232">
        <f t="shared" si="743"/>
        <v>6381.9665045083602</v>
      </c>
      <c r="AQ79" s="232">
        <f t="shared" si="743"/>
        <v>6397.9214207696314</v>
      </c>
      <c r="AR79" s="232">
        <f t="shared" si="743"/>
        <v>6413.9162243215551</v>
      </c>
      <c r="AS79" s="232">
        <f t="shared" si="743"/>
        <v>6429.9510148823601</v>
      </c>
      <c r="AT79" s="232">
        <f t="shared" si="743"/>
        <v>6446.025892419565</v>
      </c>
      <c r="AU79" s="232">
        <f t="shared" si="743"/>
        <v>6462.1409571506138</v>
      </c>
      <c r="AV79" s="232">
        <f t="shared" si="743"/>
        <v>6478.2963095434898</v>
      </c>
      <c r="AW79" s="232">
        <f t="shared" si="743"/>
        <v>6494.4920503173462</v>
      </c>
      <c r="AX79" s="232">
        <f t="shared" si="743"/>
        <v>6510.7282804431397</v>
      </c>
      <c r="AY79" s="232">
        <f t="shared" si="743"/>
        <v>6527.0051011442465</v>
      </c>
      <c r="AZ79" s="232">
        <f t="shared" si="743"/>
        <v>6543.3226138971058</v>
      </c>
      <c r="BA79" s="232">
        <f t="shared" si="743"/>
        <v>6559.6809204318488</v>
      </c>
      <c r="BB79" s="232">
        <f t="shared" si="743"/>
        <v>6576.0801227329275</v>
      </c>
      <c r="BC79" s="232">
        <f t="shared" si="743"/>
        <v>6592.5203230397592</v>
      </c>
      <c r="BD79" s="232">
        <f t="shared" si="743"/>
        <v>6609.001623847359</v>
      </c>
      <c r="BE79" s="232">
        <f t="shared" si="743"/>
        <v>6625.524127906976</v>
      </c>
      <c r="BF79" s="232">
        <f t="shared" si="743"/>
        <v>6642.087938226744</v>
      </c>
      <c r="BG79" s="232">
        <f t="shared" si="743"/>
        <v>6658.6931580723094</v>
      </c>
      <c r="BH79" s="232">
        <f t="shared" si="743"/>
        <v>6675.3398909674906</v>
      </c>
      <c r="BI79" s="232">
        <f t="shared" si="743"/>
        <v>6692.02824069491</v>
      </c>
      <c r="BJ79" s="232">
        <f t="shared" si="743"/>
        <v>6708.7583112966458</v>
      </c>
      <c r="BK79" s="232">
        <f t="shared" si="743"/>
        <v>6725.5302070748867</v>
      </c>
      <c r="BL79" s="232">
        <f t="shared" si="743"/>
        <v>6742.344032592574</v>
      </c>
      <c r="BM79" s="232">
        <f t="shared" si="743"/>
        <v>6759.1998926740562</v>
      </c>
      <c r="BN79" s="232">
        <f t="shared" si="743"/>
        <v>6776.0978924057399</v>
      </c>
      <c r="BO79" s="232">
        <f t="shared" si="743"/>
        <v>6793.0381371367548</v>
      </c>
      <c r="BP79" s="232">
        <f t="shared" si="743"/>
        <v>6810.0207324795938</v>
      </c>
      <c r="BQ79" s="232">
        <f t="shared" si="743"/>
        <v>6827.0457843107943</v>
      </c>
      <c r="BR79" s="232">
        <f t="shared" si="743"/>
        <v>6844.1133987715702</v>
      </c>
      <c r="BS79" s="232">
        <f t="shared" ref="BS79:CX79" si="744">$D$79*BS105</f>
        <v>6861.223682268499</v>
      </c>
      <c r="BT79" s="232">
        <f t="shared" si="744"/>
        <v>6878.3767414741687</v>
      </c>
      <c r="BU79" s="232">
        <f t="shared" si="744"/>
        <v>6895.5726833278541</v>
      </c>
      <c r="BV79" s="232">
        <f t="shared" si="744"/>
        <v>6912.811615036173</v>
      </c>
      <c r="BW79" s="232">
        <f t="shared" si="744"/>
        <v>6930.0936440737623</v>
      </c>
      <c r="BX79" s="232">
        <f t="shared" si="744"/>
        <v>6947.4188781839475</v>
      </c>
      <c r="BY79" s="232">
        <f t="shared" si="744"/>
        <v>6964.7874253794062</v>
      </c>
      <c r="BZ79" s="232">
        <f t="shared" si="744"/>
        <v>6982.1993939428557</v>
      </c>
      <c r="CA79" s="232">
        <f t="shared" si="744"/>
        <v>6999.6548924277131</v>
      </c>
      <c r="CB79" s="232">
        <f t="shared" si="744"/>
        <v>7017.1540296587809</v>
      </c>
      <c r="CC79" s="232">
        <f t="shared" si="744"/>
        <v>7034.6969147329291</v>
      </c>
      <c r="CD79" s="232">
        <f t="shared" si="744"/>
        <v>7052.2836570197596</v>
      </c>
      <c r="CE79" s="232">
        <f t="shared" si="744"/>
        <v>7069.9143661623093</v>
      </c>
      <c r="CF79" s="232">
        <f t="shared" si="744"/>
        <v>7087.589152077715</v>
      </c>
      <c r="CG79" s="232">
        <f t="shared" si="744"/>
        <v>7105.3081249579091</v>
      </c>
      <c r="CH79" s="232">
        <f t="shared" si="744"/>
        <v>7123.0713952703045</v>
      </c>
      <c r="CI79" s="232">
        <f t="shared" si="744"/>
        <v>7140.8790737584795</v>
      </c>
      <c r="CJ79" s="232">
        <f t="shared" si="744"/>
        <v>7158.7312714428735</v>
      </c>
      <c r="CK79" s="232">
        <f t="shared" si="744"/>
        <v>7176.6280996214819</v>
      </c>
      <c r="CL79" s="232">
        <f t="shared" si="744"/>
        <v>7194.5696698705351</v>
      </c>
      <c r="CM79" s="232">
        <f t="shared" si="744"/>
        <v>7212.5560940452115</v>
      </c>
      <c r="CN79" s="232">
        <f t="shared" si="744"/>
        <v>7230.587484280325</v>
      </c>
      <c r="CO79" s="232">
        <f t="shared" si="744"/>
        <v>7248.6639529910244</v>
      </c>
      <c r="CP79" s="232">
        <f t="shared" si="744"/>
        <v>7266.785612873502</v>
      </c>
      <c r="CQ79" s="232">
        <f t="shared" si="744"/>
        <v>7284.9525769056854</v>
      </c>
      <c r="CR79" s="232">
        <f t="shared" si="744"/>
        <v>7303.1649583479484</v>
      </c>
      <c r="CS79" s="232">
        <f t="shared" si="744"/>
        <v>7321.4228707438187</v>
      </c>
      <c r="CT79" s="232">
        <f t="shared" si="744"/>
        <v>7339.7264279206775</v>
      </c>
      <c r="CU79" s="232">
        <f t="shared" si="744"/>
        <v>7358.0757439904783</v>
      </c>
      <c r="CV79" s="232">
        <f t="shared" si="744"/>
        <v>7376.4709333504543</v>
      </c>
      <c r="CW79" s="232">
        <f t="shared" si="744"/>
        <v>7394.9121106838293</v>
      </c>
      <c r="CX79" s="232">
        <f t="shared" si="744"/>
        <v>7413.3993909605397</v>
      </c>
      <c r="CY79" s="232">
        <f t="shared" ref="CY79:ED79" si="745">$D$79*CY105</f>
        <v>7431.9328894379414</v>
      </c>
      <c r="CZ79" s="232">
        <f t="shared" si="745"/>
        <v>7450.5127216615347</v>
      </c>
      <c r="DA79" s="232">
        <f t="shared" si="745"/>
        <v>7469.1390034656888</v>
      </c>
      <c r="DB79" s="232">
        <f t="shared" si="745"/>
        <v>7487.8118509743517</v>
      </c>
      <c r="DC79" s="232">
        <f t="shared" si="745"/>
        <v>7506.5313806017884</v>
      </c>
      <c r="DD79" s="232">
        <f t="shared" si="745"/>
        <v>7525.2977090532913</v>
      </c>
      <c r="DE79" s="232">
        <f t="shared" si="745"/>
        <v>7544.1109533259241</v>
      </c>
      <c r="DF79" s="232">
        <f t="shared" si="745"/>
        <v>7562.9712307092395</v>
      </c>
      <c r="DG79" s="232">
        <f t="shared" si="745"/>
        <v>7581.8786587860131</v>
      </c>
      <c r="DH79" s="232">
        <f t="shared" si="745"/>
        <v>7600.8333554329774</v>
      </c>
      <c r="DI79" s="232">
        <f t="shared" si="745"/>
        <v>7619.8354388215594</v>
      </c>
      <c r="DJ79" s="232">
        <f t="shared" si="745"/>
        <v>7638.8850274186125</v>
      </c>
      <c r="DK79" s="232">
        <f t="shared" si="745"/>
        <v>7657.9822399871591</v>
      </c>
      <c r="DL79" s="232">
        <f t="shared" si="745"/>
        <v>7677.1271955871262</v>
      </c>
      <c r="DM79" s="232">
        <f t="shared" si="745"/>
        <v>7696.3200135760935</v>
      </c>
      <c r="DN79" s="232">
        <f t="shared" si="745"/>
        <v>7715.5608136100336</v>
      </c>
      <c r="DO79" s="232">
        <f t="shared" si="745"/>
        <v>7734.8497156440571</v>
      </c>
      <c r="DP79" s="232">
        <f t="shared" si="745"/>
        <v>7754.1868399331679</v>
      </c>
      <c r="DQ79" s="232">
        <f t="shared" si="745"/>
        <v>7773.5723070330005</v>
      </c>
      <c r="DR79" s="232">
        <f t="shared" si="745"/>
        <v>7793.0062378005814</v>
      </c>
      <c r="DS79" s="232">
        <f t="shared" si="745"/>
        <v>7812.4887533950823</v>
      </c>
      <c r="DT79" s="232">
        <f t="shared" si="745"/>
        <v>7832.0199752785693</v>
      </c>
      <c r="DU79" s="232">
        <f t="shared" si="745"/>
        <v>7851.600025216766</v>
      </c>
      <c r="DV79" s="232">
        <f t="shared" si="745"/>
        <v>7871.2290252798084</v>
      </c>
      <c r="DW79" s="232">
        <f t="shared" si="745"/>
        <v>7890.9070978430073</v>
      </c>
      <c r="DX79" s="232">
        <f t="shared" si="745"/>
        <v>7910.6343655876144</v>
      </c>
      <c r="DY79" s="232">
        <f t="shared" si="745"/>
        <v>7930.4109515015825</v>
      </c>
      <c r="DZ79" s="232">
        <f t="shared" si="745"/>
        <v>7950.2369788803362</v>
      </c>
      <c r="EA79" s="232">
        <f t="shared" si="745"/>
        <v>7970.1125713275378</v>
      </c>
      <c r="EB79" s="232">
        <f t="shared" si="745"/>
        <v>7990.037852755856</v>
      </c>
      <c r="EC79" s="232">
        <f t="shared" si="745"/>
        <v>8010.0129473877441</v>
      </c>
      <c r="ED79" s="232">
        <f t="shared" si="745"/>
        <v>8030.0379797562136</v>
      </c>
      <c r="EE79" s="232">
        <f t="shared" ref="EE79:FF79" si="746">$D$79*EE105</f>
        <v>8050.113074705604</v>
      </c>
      <c r="EF79" s="232">
        <f t="shared" si="746"/>
        <v>8070.238357392368</v>
      </c>
      <c r="EG79" s="232">
        <f t="shared" si="746"/>
        <v>8090.413953285848</v>
      </c>
      <c r="EH79" s="232">
        <f t="shared" si="746"/>
        <v>8110.6399881690613</v>
      </c>
      <c r="EI79" s="232">
        <f t="shared" si="746"/>
        <v>8130.9165881394829</v>
      </c>
      <c r="EJ79" s="232">
        <f t="shared" si="746"/>
        <v>8151.2438796098313</v>
      </c>
      <c r="EK79" s="232">
        <f t="shared" si="746"/>
        <v>8171.6219893088546</v>
      </c>
      <c r="EL79" s="232">
        <f t="shared" si="746"/>
        <v>8192.0510442821269</v>
      </c>
      <c r="EM79" s="232">
        <f t="shared" si="746"/>
        <v>8212.5311718928315</v>
      </c>
      <c r="EN79" s="232">
        <f t="shared" si="746"/>
        <v>8233.062499822563</v>
      </c>
      <c r="EO79" s="232">
        <f t="shared" si="746"/>
        <v>8253.645156072118</v>
      </c>
      <c r="EP79" s="232">
        <f t="shared" si="746"/>
        <v>8274.2792689622984</v>
      </c>
      <c r="EQ79" s="232">
        <f t="shared" si="746"/>
        <v>8294.9649671347033</v>
      </c>
      <c r="ER79" s="232">
        <f t="shared" si="746"/>
        <v>8315.7023795525402</v>
      </c>
      <c r="ES79" s="232">
        <f t="shared" si="746"/>
        <v>8336.4916355014211</v>
      </c>
      <c r="ET79" s="232">
        <f t="shared" si="746"/>
        <v>8357.3328645901747</v>
      </c>
      <c r="EU79" s="232">
        <f t="shared" si="746"/>
        <v>8378.2261967516497</v>
      </c>
      <c r="EV79" s="232">
        <f t="shared" si="746"/>
        <v>8399.1717622435281</v>
      </c>
      <c r="EW79" s="232">
        <f t="shared" si="746"/>
        <v>8420.1696916491364</v>
      </c>
      <c r="EX79" s="232">
        <f t="shared" si="746"/>
        <v>8441.2201158782591</v>
      </c>
      <c r="EY79" s="232">
        <f t="shared" si="746"/>
        <v>8462.3231661679547</v>
      </c>
      <c r="EZ79" s="232">
        <f t="shared" si="746"/>
        <v>8483.4789740833749</v>
      </c>
      <c r="FA79" s="232">
        <f t="shared" si="746"/>
        <v>8504.6876715185826</v>
      </c>
      <c r="FB79" s="232">
        <f t="shared" si="746"/>
        <v>8525.9493906973767</v>
      </c>
      <c r="FC79" s="232">
        <f t="shared" si="746"/>
        <v>8547.2642641741204</v>
      </c>
      <c r="FD79" s="232">
        <f t="shared" si="746"/>
        <v>8568.6324248345554</v>
      </c>
      <c r="FE79" s="232">
        <f t="shared" si="746"/>
        <v>8590.0540058966417</v>
      </c>
      <c r="FF79" s="232">
        <f t="shared" si="746"/>
        <v>8611.5291409113815</v>
      </c>
      <c r="FG79" s="321"/>
      <c r="FH79" s="232">
        <f t="shared" ref="FH79:FU82" si="747">SUMIF($F$57:$FF$57,FH$57,$F79:$FF79)</f>
        <v>41243.71472631803</v>
      </c>
      <c r="FI79" s="232">
        <f t="shared" si="747"/>
        <v>72402.459596914501</v>
      </c>
      <c r="FJ79" s="232">
        <f t="shared" si="747"/>
        <v>74604.649688446152</v>
      </c>
      <c r="FK79" s="232">
        <f t="shared" si="747"/>
        <v>76873.821498917183</v>
      </c>
      <c r="FL79" s="232">
        <f t="shared" si="747"/>
        <v>79212.012341404814</v>
      </c>
      <c r="FM79" s="232">
        <f t="shared" si="747"/>
        <v>81621.321495813143</v>
      </c>
      <c r="FN79" s="232">
        <f t="shared" si="747"/>
        <v>84103.912093653271</v>
      </c>
      <c r="FO79" s="232">
        <f t="shared" si="747"/>
        <v>86662.013060151177</v>
      </c>
      <c r="FP79" s="232">
        <f t="shared" si="747"/>
        <v>89297.921115426521</v>
      </c>
      <c r="FQ79" s="232">
        <f t="shared" si="747"/>
        <v>92014.002836539046</v>
      </c>
      <c r="FR79" s="232">
        <f t="shared" si="747"/>
        <v>94812.696782254483</v>
      </c>
      <c r="FS79" s="232">
        <f t="shared" si="747"/>
        <v>97696.515682436904</v>
      </c>
      <c r="FT79" s="232">
        <f t="shared" si="747"/>
        <v>100668.04869403363</v>
      </c>
      <c r="FU79" s="232">
        <f t="shared" si="747"/>
        <v>42843.429226514083</v>
      </c>
      <c r="FV79" s="321"/>
    </row>
    <row r="80" spans="2:178" x14ac:dyDescent="0.2">
      <c r="C80" s="39" t="s">
        <v>16</v>
      </c>
      <c r="D80" s="77">
        <f>P17</f>
        <v>0</v>
      </c>
      <c r="E80" s="231">
        <f t="shared" si="741"/>
        <v>0</v>
      </c>
      <c r="F80" s="232">
        <v>0</v>
      </c>
      <c r="G80" s="232">
        <f t="shared" ref="G80:AL80" si="748">IFERROR($P$17*$O$17*G64*(G58&gt;=$F$13),0)</f>
        <v>0</v>
      </c>
      <c r="H80" s="232">
        <f t="shared" si="748"/>
        <v>0</v>
      </c>
      <c r="I80" s="232">
        <f t="shared" si="748"/>
        <v>0</v>
      </c>
      <c r="J80" s="232">
        <f t="shared" si="748"/>
        <v>0</v>
      </c>
      <c r="K80" s="232">
        <f t="shared" si="748"/>
        <v>0</v>
      </c>
      <c r="L80" s="232">
        <f t="shared" si="748"/>
        <v>0</v>
      </c>
      <c r="M80" s="232">
        <f t="shared" si="748"/>
        <v>0</v>
      </c>
      <c r="N80" s="232">
        <f t="shared" si="748"/>
        <v>0</v>
      </c>
      <c r="O80" s="232">
        <f t="shared" si="748"/>
        <v>0</v>
      </c>
      <c r="P80" s="232">
        <f t="shared" si="748"/>
        <v>0</v>
      </c>
      <c r="Q80" s="232">
        <f t="shared" si="748"/>
        <v>0</v>
      </c>
      <c r="R80" s="232">
        <f t="shared" si="748"/>
        <v>0</v>
      </c>
      <c r="S80" s="232">
        <f t="shared" si="748"/>
        <v>0</v>
      </c>
      <c r="T80" s="232">
        <f t="shared" si="748"/>
        <v>0</v>
      </c>
      <c r="U80" s="232">
        <f t="shared" si="748"/>
        <v>0</v>
      </c>
      <c r="V80" s="232">
        <f t="shared" si="748"/>
        <v>0</v>
      </c>
      <c r="W80" s="232">
        <f t="shared" si="748"/>
        <v>0</v>
      </c>
      <c r="X80" s="232">
        <f t="shared" si="748"/>
        <v>0</v>
      </c>
      <c r="Y80" s="232">
        <f t="shared" si="748"/>
        <v>0</v>
      </c>
      <c r="Z80" s="232">
        <f t="shared" si="748"/>
        <v>0</v>
      </c>
      <c r="AA80" s="232">
        <f t="shared" si="748"/>
        <v>0</v>
      </c>
      <c r="AB80" s="232">
        <f t="shared" si="748"/>
        <v>0</v>
      </c>
      <c r="AC80" s="232">
        <f t="shared" si="748"/>
        <v>0</v>
      </c>
      <c r="AD80" s="232">
        <f t="shared" si="748"/>
        <v>0</v>
      </c>
      <c r="AE80" s="232">
        <f t="shared" si="748"/>
        <v>0</v>
      </c>
      <c r="AF80" s="232">
        <f t="shared" si="748"/>
        <v>0</v>
      </c>
      <c r="AG80" s="232">
        <f t="shared" si="748"/>
        <v>0</v>
      </c>
      <c r="AH80" s="232">
        <f t="shared" si="748"/>
        <v>0</v>
      </c>
      <c r="AI80" s="232">
        <f t="shared" si="748"/>
        <v>0</v>
      </c>
      <c r="AJ80" s="232">
        <f t="shared" si="748"/>
        <v>0</v>
      </c>
      <c r="AK80" s="232">
        <f t="shared" si="748"/>
        <v>0</v>
      </c>
      <c r="AL80" s="232">
        <f t="shared" si="748"/>
        <v>0</v>
      </c>
      <c r="AM80" s="232">
        <f t="shared" ref="AM80:BR80" si="749">IFERROR($P$17*$O$17*AM64*(AM58&gt;=$F$13),0)</f>
        <v>0</v>
      </c>
      <c r="AN80" s="232">
        <f t="shared" si="749"/>
        <v>0</v>
      </c>
      <c r="AO80" s="232">
        <f t="shared" si="749"/>
        <v>0</v>
      </c>
      <c r="AP80" s="232">
        <f t="shared" si="749"/>
        <v>0</v>
      </c>
      <c r="AQ80" s="232">
        <f t="shared" si="749"/>
        <v>0</v>
      </c>
      <c r="AR80" s="232">
        <f t="shared" si="749"/>
        <v>0</v>
      </c>
      <c r="AS80" s="232">
        <f t="shared" si="749"/>
        <v>0</v>
      </c>
      <c r="AT80" s="232">
        <f t="shared" si="749"/>
        <v>0</v>
      </c>
      <c r="AU80" s="232">
        <f t="shared" si="749"/>
        <v>0</v>
      </c>
      <c r="AV80" s="232">
        <f t="shared" si="749"/>
        <v>0</v>
      </c>
      <c r="AW80" s="232">
        <f t="shared" si="749"/>
        <v>0</v>
      </c>
      <c r="AX80" s="232">
        <f t="shared" si="749"/>
        <v>0</v>
      </c>
      <c r="AY80" s="232">
        <f t="shared" si="749"/>
        <v>0</v>
      </c>
      <c r="AZ80" s="232">
        <f t="shared" si="749"/>
        <v>0</v>
      </c>
      <c r="BA80" s="232">
        <f t="shared" si="749"/>
        <v>0</v>
      </c>
      <c r="BB80" s="232">
        <f t="shared" si="749"/>
        <v>0</v>
      </c>
      <c r="BC80" s="232">
        <f t="shared" si="749"/>
        <v>0</v>
      </c>
      <c r="BD80" s="232">
        <f t="shared" si="749"/>
        <v>0</v>
      </c>
      <c r="BE80" s="232">
        <f t="shared" si="749"/>
        <v>0</v>
      </c>
      <c r="BF80" s="232">
        <f t="shared" si="749"/>
        <v>0</v>
      </c>
      <c r="BG80" s="232">
        <f t="shared" si="749"/>
        <v>0</v>
      </c>
      <c r="BH80" s="232">
        <f t="shared" si="749"/>
        <v>0</v>
      </c>
      <c r="BI80" s="232">
        <f t="shared" si="749"/>
        <v>0</v>
      </c>
      <c r="BJ80" s="232">
        <f t="shared" si="749"/>
        <v>0</v>
      </c>
      <c r="BK80" s="232">
        <f t="shared" si="749"/>
        <v>0</v>
      </c>
      <c r="BL80" s="232">
        <f t="shared" si="749"/>
        <v>0</v>
      </c>
      <c r="BM80" s="232">
        <f t="shared" si="749"/>
        <v>0</v>
      </c>
      <c r="BN80" s="232">
        <f t="shared" si="749"/>
        <v>0</v>
      </c>
      <c r="BO80" s="232">
        <f t="shared" si="749"/>
        <v>0</v>
      </c>
      <c r="BP80" s="232">
        <f t="shared" si="749"/>
        <v>0</v>
      </c>
      <c r="BQ80" s="232">
        <f t="shared" si="749"/>
        <v>0</v>
      </c>
      <c r="BR80" s="232">
        <f t="shared" si="749"/>
        <v>0</v>
      </c>
      <c r="BS80" s="232">
        <f t="shared" ref="BS80:CX80" si="750">IFERROR($P$17*$O$17*BS64*(BS58&gt;=$F$13),0)</f>
        <v>0</v>
      </c>
      <c r="BT80" s="232">
        <f t="shared" si="750"/>
        <v>0</v>
      </c>
      <c r="BU80" s="232">
        <f t="shared" si="750"/>
        <v>0</v>
      </c>
      <c r="BV80" s="232">
        <f t="shared" si="750"/>
        <v>0</v>
      </c>
      <c r="BW80" s="232">
        <f t="shared" si="750"/>
        <v>0</v>
      </c>
      <c r="BX80" s="232">
        <f t="shared" si="750"/>
        <v>0</v>
      </c>
      <c r="BY80" s="232">
        <f t="shared" si="750"/>
        <v>0</v>
      </c>
      <c r="BZ80" s="232">
        <f t="shared" si="750"/>
        <v>0</v>
      </c>
      <c r="CA80" s="232">
        <f t="shared" si="750"/>
        <v>0</v>
      </c>
      <c r="CB80" s="232">
        <f t="shared" si="750"/>
        <v>0</v>
      </c>
      <c r="CC80" s="232">
        <f t="shared" si="750"/>
        <v>0</v>
      </c>
      <c r="CD80" s="232">
        <f t="shared" si="750"/>
        <v>0</v>
      </c>
      <c r="CE80" s="232">
        <f t="shared" si="750"/>
        <v>0</v>
      </c>
      <c r="CF80" s="232">
        <f t="shared" si="750"/>
        <v>0</v>
      </c>
      <c r="CG80" s="232">
        <f t="shared" si="750"/>
        <v>0</v>
      </c>
      <c r="CH80" s="232">
        <f t="shared" si="750"/>
        <v>0</v>
      </c>
      <c r="CI80" s="232">
        <f t="shared" si="750"/>
        <v>0</v>
      </c>
      <c r="CJ80" s="232">
        <f t="shared" si="750"/>
        <v>0</v>
      </c>
      <c r="CK80" s="232">
        <f t="shared" si="750"/>
        <v>0</v>
      </c>
      <c r="CL80" s="232">
        <f t="shared" si="750"/>
        <v>0</v>
      </c>
      <c r="CM80" s="232">
        <f t="shared" si="750"/>
        <v>0</v>
      </c>
      <c r="CN80" s="232">
        <f t="shared" si="750"/>
        <v>0</v>
      </c>
      <c r="CO80" s="232">
        <f t="shared" si="750"/>
        <v>0</v>
      </c>
      <c r="CP80" s="232">
        <f t="shared" si="750"/>
        <v>0</v>
      </c>
      <c r="CQ80" s="232">
        <f t="shared" si="750"/>
        <v>0</v>
      </c>
      <c r="CR80" s="232">
        <f t="shared" si="750"/>
        <v>0</v>
      </c>
      <c r="CS80" s="232">
        <f t="shared" si="750"/>
        <v>0</v>
      </c>
      <c r="CT80" s="232">
        <f t="shared" si="750"/>
        <v>0</v>
      </c>
      <c r="CU80" s="232">
        <f t="shared" si="750"/>
        <v>0</v>
      </c>
      <c r="CV80" s="232">
        <f t="shared" si="750"/>
        <v>0</v>
      </c>
      <c r="CW80" s="232">
        <f t="shared" si="750"/>
        <v>0</v>
      </c>
      <c r="CX80" s="232">
        <f t="shared" si="750"/>
        <v>0</v>
      </c>
      <c r="CY80" s="232">
        <f t="shared" ref="CY80:ED80" si="751">IFERROR($P$17*$O$17*CY64*(CY58&gt;=$F$13),0)</f>
        <v>0</v>
      </c>
      <c r="CZ80" s="232">
        <f t="shared" si="751"/>
        <v>0</v>
      </c>
      <c r="DA80" s="232">
        <f t="shared" si="751"/>
        <v>0</v>
      </c>
      <c r="DB80" s="232">
        <f t="shared" si="751"/>
        <v>0</v>
      </c>
      <c r="DC80" s="232">
        <f t="shared" si="751"/>
        <v>0</v>
      </c>
      <c r="DD80" s="232">
        <f t="shared" si="751"/>
        <v>0</v>
      </c>
      <c r="DE80" s="232">
        <f t="shared" si="751"/>
        <v>0</v>
      </c>
      <c r="DF80" s="232">
        <f t="shared" si="751"/>
        <v>0</v>
      </c>
      <c r="DG80" s="232">
        <f t="shared" si="751"/>
        <v>0</v>
      </c>
      <c r="DH80" s="232">
        <f t="shared" si="751"/>
        <v>0</v>
      </c>
      <c r="DI80" s="232">
        <f t="shared" si="751"/>
        <v>0</v>
      </c>
      <c r="DJ80" s="232">
        <f t="shared" si="751"/>
        <v>0</v>
      </c>
      <c r="DK80" s="232">
        <f t="shared" si="751"/>
        <v>0</v>
      </c>
      <c r="DL80" s="232">
        <f t="shared" si="751"/>
        <v>0</v>
      </c>
      <c r="DM80" s="232">
        <f t="shared" si="751"/>
        <v>0</v>
      </c>
      <c r="DN80" s="232">
        <f t="shared" si="751"/>
        <v>0</v>
      </c>
      <c r="DO80" s="232">
        <f t="shared" si="751"/>
        <v>0</v>
      </c>
      <c r="DP80" s="232">
        <f t="shared" si="751"/>
        <v>0</v>
      </c>
      <c r="DQ80" s="232">
        <f t="shared" si="751"/>
        <v>0</v>
      </c>
      <c r="DR80" s="232">
        <f t="shared" si="751"/>
        <v>0</v>
      </c>
      <c r="DS80" s="232">
        <f t="shared" si="751"/>
        <v>0</v>
      </c>
      <c r="DT80" s="232">
        <f t="shared" si="751"/>
        <v>0</v>
      </c>
      <c r="DU80" s="232">
        <f t="shared" si="751"/>
        <v>0</v>
      </c>
      <c r="DV80" s="232">
        <f t="shared" si="751"/>
        <v>0</v>
      </c>
      <c r="DW80" s="232">
        <f t="shared" si="751"/>
        <v>0</v>
      </c>
      <c r="DX80" s="232">
        <f t="shared" si="751"/>
        <v>0</v>
      </c>
      <c r="DY80" s="232">
        <f t="shared" si="751"/>
        <v>0</v>
      </c>
      <c r="DZ80" s="232">
        <f t="shared" si="751"/>
        <v>0</v>
      </c>
      <c r="EA80" s="232">
        <f t="shared" si="751"/>
        <v>0</v>
      </c>
      <c r="EB80" s="232">
        <f t="shared" si="751"/>
        <v>0</v>
      </c>
      <c r="EC80" s="232">
        <f t="shared" si="751"/>
        <v>0</v>
      </c>
      <c r="ED80" s="232">
        <f t="shared" si="751"/>
        <v>0</v>
      </c>
      <c r="EE80" s="232">
        <f t="shared" ref="EE80:FF80" si="752">IFERROR($P$17*$O$17*EE64*(EE58&gt;=$F$13),0)</f>
        <v>0</v>
      </c>
      <c r="EF80" s="232">
        <f t="shared" si="752"/>
        <v>0</v>
      </c>
      <c r="EG80" s="232">
        <f t="shared" si="752"/>
        <v>0</v>
      </c>
      <c r="EH80" s="232">
        <f t="shared" si="752"/>
        <v>0</v>
      </c>
      <c r="EI80" s="232">
        <f t="shared" si="752"/>
        <v>0</v>
      </c>
      <c r="EJ80" s="232">
        <f t="shared" si="752"/>
        <v>0</v>
      </c>
      <c r="EK80" s="232">
        <f t="shared" si="752"/>
        <v>0</v>
      </c>
      <c r="EL80" s="232">
        <f t="shared" si="752"/>
        <v>0</v>
      </c>
      <c r="EM80" s="232">
        <f t="shared" si="752"/>
        <v>0</v>
      </c>
      <c r="EN80" s="232">
        <f t="shared" si="752"/>
        <v>0</v>
      </c>
      <c r="EO80" s="232">
        <f t="shared" si="752"/>
        <v>0</v>
      </c>
      <c r="EP80" s="232">
        <f t="shared" si="752"/>
        <v>0</v>
      </c>
      <c r="EQ80" s="232">
        <f t="shared" si="752"/>
        <v>0</v>
      </c>
      <c r="ER80" s="232">
        <f t="shared" si="752"/>
        <v>0</v>
      </c>
      <c r="ES80" s="232">
        <f t="shared" si="752"/>
        <v>0</v>
      </c>
      <c r="ET80" s="232">
        <f t="shared" si="752"/>
        <v>0</v>
      </c>
      <c r="EU80" s="232">
        <f t="shared" si="752"/>
        <v>0</v>
      </c>
      <c r="EV80" s="232">
        <f t="shared" si="752"/>
        <v>0</v>
      </c>
      <c r="EW80" s="232">
        <f t="shared" si="752"/>
        <v>0</v>
      </c>
      <c r="EX80" s="232">
        <f t="shared" si="752"/>
        <v>0</v>
      </c>
      <c r="EY80" s="232">
        <f t="shared" si="752"/>
        <v>0</v>
      </c>
      <c r="EZ80" s="232">
        <f t="shared" si="752"/>
        <v>0</v>
      </c>
      <c r="FA80" s="232">
        <f t="shared" si="752"/>
        <v>0</v>
      </c>
      <c r="FB80" s="232">
        <f t="shared" si="752"/>
        <v>0</v>
      </c>
      <c r="FC80" s="232">
        <f t="shared" si="752"/>
        <v>0</v>
      </c>
      <c r="FD80" s="232">
        <f t="shared" si="752"/>
        <v>0</v>
      </c>
      <c r="FE80" s="232">
        <f t="shared" si="752"/>
        <v>0</v>
      </c>
      <c r="FF80" s="232">
        <f t="shared" si="752"/>
        <v>0</v>
      </c>
      <c r="FG80" s="321"/>
      <c r="FH80" s="232">
        <f t="shared" si="747"/>
        <v>0</v>
      </c>
      <c r="FI80" s="232">
        <f t="shared" si="747"/>
        <v>0</v>
      </c>
      <c r="FJ80" s="232">
        <f t="shared" si="747"/>
        <v>0</v>
      </c>
      <c r="FK80" s="232">
        <f t="shared" si="747"/>
        <v>0</v>
      </c>
      <c r="FL80" s="232">
        <f t="shared" si="747"/>
        <v>0</v>
      </c>
      <c r="FM80" s="232">
        <f t="shared" si="747"/>
        <v>0</v>
      </c>
      <c r="FN80" s="232">
        <f t="shared" si="747"/>
        <v>0</v>
      </c>
      <c r="FO80" s="232">
        <f t="shared" si="747"/>
        <v>0</v>
      </c>
      <c r="FP80" s="232">
        <f t="shared" si="747"/>
        <v>0</v>
      </c>
      <c r="FQ80" s="232">
        <f t="shared" si="747"/>
        <v>0</v>
      </c>
      <c r="FR80" s="232">
        <f t="shared" si="747"/>
        <v>0</v>
      </c>
      <c r="FS80" s="232">
        <f t="shared" si="747"/>
        <v>0</v>
      </c>
      <c r="FT80" s="232">
        <f t="shared" si="747"/>
        <v>0</v>
      </c>
      <c r="FU80" s="232">
        <f t="shared" si="747"/>
        <v>0</v>
      </c>
      <c r="FV80" s="321"/>
    </row>
    <row r="81" spans="3:178" x14ac:dyDescent="0.2">
      <c r="C81" s="39" t="s">
        <v>17</v>
      </c>
      <c r="D81" s="77">
        <f>P18</f>
        <v>125</v>
      </c>
      <c r="E81" s="233">
        <f t="shared" si="741"/>
        <v>2387263.9689403367</v>
      </c>
      <c r="F81" s="234">
        <v>0</v>
      </c>
      <c r="G81" s="234">
        <f t="shared" ref="G81:AL81" si="753">IFERROR($P$18*$O$18*G64*(G58&gt;=$F$13),0)</f>
        <v>12531.25</v>
      </c>
      <c r="H81" s="234">
        <f t="shared" si="753"/>
        <v>12562.578124999998</v>
      </c>
      <c r="I81" s="234">
        <f t="shared" si="753"/>
        <v>12593.984570312497</v>
      </c>
      <c r="J81" s="234">
        <f t="shared" si="753"/>
        <v>12625.469531738279</v>
      </c>
      <c r="K81" s="234">
        <f t="shared" si="753"/>
        <v>12657.033205567624</v>
      </c>
      <c r="L81" s="234">
        <f t="shared" si="753"/>
        <v>12688.675788581544</v>
      </c>
      <c r="M81" s="234">
        <f t="shared" si="753"/>
        <v>12720.397478052997</v>
      </c>
      <c r="N81" s="234">
        <f t="shared" si="753"/>
        <v>12752.19847174813</v>
      </c>
      <c r="O81" s="234">
        <f t="shared" si="753"/>
        <v>12784.0789679275</v>
      </c>
      <c r="P81" s="234">
        <f t="shared" si="753"/>
        <v>12816.039165347318</v>
      </c>
      <c r="Q81" s="234">
        <f t="shared" si="753"/>
        <v>12848.079263260686</v>
      </c>
      <c r="R81" s="234">
        <f t="shared" si="753"/>
        <v>12880.199461418837</v>
      </c>
      <c r="S81" s="234">
        <f t="shared" si="753"/>
        <v>12912.399960072382</v>
      </c>
      <c r="T81" s="234">
        <f t="shared" si="753"/>
        <v>12944.680959972562</v>
      </c>
      <c r="U81" s="234">
        <f t="shared" si="753"/>
        <v>12977.042662372492</v>
      </c>
      <c r="V81" s="234">
        <f t="shared" si="753"/>
        <v>13009.485269028422</v>
      </c>
      <c r="W81" s="234">
        <f t="shared" si="753"/>
        <v>13042.008982200992</v>
      </c>
      <c r="X81" s="234">
        <f t="shared" si="753"/>
        <v>13074.614004656492</v>
      </c>
      <c r="Y81" s="234">
        <f t="shared" si="753"/>
        <v>13107.300539668135</v>
      </c>
      <c r="Z81" s="234">
        <f t="shared" si="753"/>
        <v>13140.068791017304</v>
      </c>
      <c r="AA81" s="234">
        <f t="shared" si="753"/>
        <v>13172.918962994845</v>
      </c>
      <c r="AB81" s="234">
        <f t="shared" si="753"/>
        <v>13205.851260402333</v>
      </c>
      <c r="AC81" s="234">
        <f t="shared" si="753"/>
        <v>13238.865888553337</v>
      </c>
      <c r="AD81" s="234">
        <f t="shared" si="753"/>
        <v>13271.963053274718</v>
      </c>
      <c r="AE81" s="234">
        <f t="shared" si="753"/>
        <v>13305.142960907904</v>
      </c>
      <c r="AF81" s="234">
        <f t="shared" si="753"/>
        <v>13338.405818310173</v>
      </c>
      <c r="AG81" s="234">
        <f t="shared" si="753"/>
        <v>13371.751832855947</v>
      </c>
      <c r="AH81" s="234">
        <f t="shared" si="753"/>
        <v>13405.181212438087</v>
      </c>
      <c r="AI81" s="234">
        <f t="shared" si="753"/>
        <v>13438.694165469182</v>
      </c>
      <c r="AJ81" s="234">
        <f t="shared" si="753"/>
        <v>13472.290900882852</v>
      </c>
      <c r="AK81" s="234">
        <f t="shared" si="753"/>
        <v>13505.971628135057</v>
      </c>
      <c r="AL81" s="234">
        <f t="shared" si="753"/>
        <v>13539.736557205395</v>
      </c>
      <c r="AM81" s="234">
        <f t="shared" ref="AM81:BR81" si="754">IFERROR($P$18*$O$18*AM64*(AM58&gt;=$F$13),0)</f>
        <v>13573.585898598409</v>
      </c>
      <c r="AN81" s="234">
        <f t="shared" si="754"/>
        <v>13607.519863344905</v>
      </c>
      <c r="AO81" s="234">
        <f t="shared" si="754"/>
        <v>13641.538663003266</v>
      </c>
      <c r="AP81" s="234">
        <f t="shared" si="754"/>
        <v>13675.642509660775</v>
      </c>
      <c r="AQ81" s="234">
        <f t="shared" si="754"/>
        <v>13709.831615934925</v>
      </c>
      <c r="AR81" s="234">
        <f t="shared" si="754"/>
        <v>13744.106194974762</v>
      </c>
      <c r="AS81" s="234">
        <f t="shared" si="754"/>
        <v>13778.466460462199</v>
      </c>
      <c r="AT81" s="234">
        <f t="shared" si="754"/>
        <v>13812.912626613355</v>
      </c>
      <c r="AU81" s="234">
        <f t="shared" si="754"/>
        <v>13847.444908179887</v>
      </c>
      <c r="AV81" s="234">
        <f t="shared" si="754"/>
        <v>13882.063520450336</v>
      </c>
      <c r="AW81" s="234">
        <f t="shared" si="754"/>
        <v>13916.76867925146</v>
      </c>
      <c r="AX81" s="234">
        <f t="shared" si="754"/>
        <v>13951.560600949586</v>
      </c>
      <c r="AY81" s="234">
        <f t="shared" si="754"/>
        <v>13986.439502451958</v>
      </c>
      <c r="AZ81" s="234">
        <f t="shared" si="754"/>
        <v>14021.405601208087</v>
      </c>
      <c r="BA81" s="234">
        <f t="shared" si="754"/>
        <v>14056.459115211106</v>
      </c>
      <c r="BB81" s="234">
        <f t="shared" si="754"/>
        <v>14091.600262999133</v>
      </c>
      <c r="BC81" s="234">
        <f t="shared" si="754"/>
        <v>14126.829263656629</v>
      </c>
      <c r="BD81" s="234">
        <f t="shared" si="754"/>
        <v>14162.146336815771</v>
      </c>
      <c r="BE81" s="234">
        <f t="shared" si="754"/>
        <v>14197.551702657809</v>
      </c>
      <c r="BF81" s="234">
        <f t="shared" si="754"/>
        <v>14233.045581914452</v>
      </c>
      <c r="BG81" s="234">
        <f t="shared" si="754"/>
        <v>14268.628195869238</v>
      </c>
      <c r="BH81" s="234">
        <f t="shared" si="754"/>
        <v>14304.29976635891</v>
      </c>
      <c r="BI81" s="234">
        <f t="shared" si="754"/>
        <v>14340.060515774809</v>
      </c>
      <c r="BJ81" s="234">
        <f t="shared" si="754"/>
        <v>14375.910667064243</v>
      </c>
      <c r="BK81" s="234">
        <f t="shared" si="754"/>
        <v>14411.850443731902</v>
      </c>
      <c r="BL81" s="234">
        <f t="shared" si="754"/>
        <v>14447.880069841232</v>
      </c>
      <c r="BM81" s="234">
        <f t="shared" si="754"/>
        <v>14483.999770015835</v>
      </c>
      <c r="BN81" s="234">
        <f t="shared" si="754"/>
        <v>14520.209769440873</v>
      </c>
      <c r="BO81" s="234">
        <f t="shared" si="754"/>
        <v>14556.510293864474</v>
      </c>
      <c r="BP81" s="234">
        <f t="shared" si="754"/>
        <v>14592.901569599135</v>
      </c>
      <c r="BQ81" s="234">
        <f t="shared" si="754"/>
        <v>14629.383823523132</v>
      </c>
      <c r="BR81" s="234">
        <f t="shared" si="754"/>
        <v>14665.957283081938</v>
      </c>
      <c r="BS81" s="234">
        <f t="shared" ref="BS81:CX81" si="755">IFERROR($P$18*$O$18*BS64*(BS58&gt;=$F$13),0)</f>
        <v>14702.622176289642</v>
      </c>
      <c r="BT81" s="234">
        <f t="shared" si="755"/>
        <v>14739.378731730365</v>
      </c>
      <c r="BU81" s="234">
        <f t="shared" si="755"/>
        <v>14776.227178559689</v>
      </c>
      <c r="BV81" s="234">
        <f t="shared" si="755"/>
        <v>14813.167746506087</v>
      </c>
      <c r="BW81" s="234">
        <f t="shared" si="755"/>
        <v>14850.200665872351</v>
      </c>
      <c r="BX81" s="234">
        <f t="shared" si="755"/>
        <v>14887.326167537032</v>
      </c>
      <c r="BY81" s="234">
        <f t="shared" si="755"/>
        <v>14924.544482955873</v>
      </c>
      <c r="BZ81" s="234">
        <f t="shared" si="755"/>
        <v>14961.855844163263</v>
      </c>
      <c r="CA81" s="234">
        <f t="shared" si="755"/>
        <v>14999.260483773671</v>
      </c>
      <c r="CB81" s="234">
        <f t="shared" si="755"/>
        <v>15036.758634983105</v>
      </c>
      <c r="CC81" s="234">
        <f t="shared" si="755"/>
        <v>15074.350531570562</v>
      </c>
      <c r="CD81" s="234">
        <f t="shared" si="755"/>
        <v>15112.036407899488</v>
      </c>
      <c r="CE81" s="234">
        <f t="shared" si="755"/>
        <v>15149.816498919236</v>
      </c>
      <c r="CF81" s="234">
        <f t="shared" si="755"/>
        <v>15187.691040166534</v>
      </c>
      <c r="CG81" s="234">
        <f t="shared" si="755"/>
        <v>15225.660267766949</v>
      </c>
      <c r="CH81" s="234">
        <f t="shared" si="755"/>
        <v>15263.724418436366</v>
      </c>
      <c r="CI81" s="234">
        <f t="shared" si="755"/>
        <v>15301.883729482457</v>
      </c>
      <c r="CJ81" s="234">
        <f t="shared" si="755"/>
        <v>15340.138438806162</v>
      </c>
      <c r="CK81" s="234">
        <f t="shared" si="755"/>
        <v>15378.488784903177</v>
      </c>
      <c r="CL81" s="234">
        <f t="shared" si="755"/>
        <v>15416.935006865435</v>
      </c>
      <c r="CM81" s="234">
        <f t="shared" si="755"/>
        <v>15455.477344382598</v>
      </c>
      <c r="CN81" s="234">
        <f t="shared" si="755"/>
        <v>15494.116037743555</v>
      </c>
      <c r="CO81" s="234">
        <f t="shared" si="755"/>
        <v>15532.851327837912</v>
      </c>
      <c r="CP81" s="234">
        <f t="shared" si="755"/>
        <v>15571.683456157507</v>
      </c>
      <c r="CQ81" s="234">
        <f t="shared" si="755"/>
        <v>15610.612664797898</v>
      </c>
      <c r="CR81" s="234">
        <f t="shared" si="755"/>
        <v>15649.639196459892</v>
      </c>
      <c r="CS81" s="234">
        <f t="shared" si="755"/>
        <v>15688.763294451041</v>
      </c>
      <c r="CT81" s="234">
        <f t="shared" si="755"/>
        <v>15727.985202687167</v>
      </c>
      <c r="CU81" s="234">
        <f t="shared" si="755"/>
        <v>15767.305165693884</v>
      </c>
      <c r="CV81" s="234">
        <f t="shared" si="755"/>
        <v>15806.723428608118</v>
      </c>
      <c r="CW81" s="234">
        <f t="shared" si="755"/>
        <v>15846.240237179638</v>
      </c>
      <c r="CX81" s="234">
        <f t="shared" si="755"/>
        <v>15885.855837772586</v>
      </c>
      <c r="CY81" s="234">
        <f t="shared" ref="CY81:ED81" si="756">IFERROR($P$18*$O$18*CY64*(CY58&gt;=$F$13),0)</f>
        <v>15925.570477367019</v>
      </c>
      <c r="CZ81" s="234">
        <f t="shared" si="756"/>
        <v>15965.384403560434</v>
      </c>
      <c r="DA81" s="234">
        <f t="shared" si="756"/>
        <v>16005.297864569335</v>
      </c>
      <c r="DB81" s="234">
        <f t="shared" si="756"/>
        <v>16045.311109230755</v>
      </c>
      <c r="DC81" s="234">
        <f t="shared" si="756"/>
        <v>16085.424387003834</v>
      </c>
      <c r="DD81" s="234">
        <f t="shared" si="756"/>
        <v>16125.637947971341</v>
      </c>
      <c r="DE81" s="234">
        <f t="shared" si="756"/>
        <v>16165.952042841269</v>
      </c>
      <c r="DF81" s="234">
        <f t="shared" si="756"/>
        <v>16206.366922948373</v>
      </c>
      <c r="DG81" s="234">
        <f t="shared" si="756"/>
        <v>16246.882840255745</v>
      </c>
      <c r="DH81" s="234">
        <f t="shared" si="756"/>
        <v>16287.500047356381</v>
      </c>
      <c r="DI81" s="234">
        <f t="shared" si="756"/>
        <v>16328.218797474772</v>
      </c>
      <c r="DJ81" s="234">
        <f t="shared" si="756"/>
        <v>16369.039344468458</v>
      </c>
      <c r="DK81" s="234">
        <f t="shared" si="756"/>
        <v>16409.961942829628</v>
      </c>
      <c r="DL81" s="234">
        <f t="shared" si="756"/>
        <v>16450.986847686701</v>
      </c>
      <c r="DM81" s="234">
        <f t="shared" si="756"/>
        <v>16492.114314805916</v>
      </c>
      <c r="DN81" s="234">
        <f t="shared" si="756"/>
        <v>16533.344600592929</v>
      </c>
      <c r="DO81" s="234">
        <f t="shared" si="756"/>
        <v>16574.677962094411</v>
      </c>
      <c r="DP81" s="234">
        <f t="shared" si="756"/>
        <v>16616.114656999649</v>
      </c>
      <c r="DQ81" s="234">
        <f t="shared" si="756"/>
        <v>16657.654943642145</v>
      </c>
      <c r="DR81" s="234">
        <f t="shared" si="756"/>
        <v>16699.299081001249</v>
      </c>
      <c r="DS81" s="234">
        <f t="shared" si="756"/>
        <v>16741.047328703749</v>
      </c>
      <c r="DT81" s="234">
        <f t="shared" si="756"/>
        <v>16782.899947025508</v>
      </c>
      <c r="DU81" s="234">
        <f t="shared" si="756"/>
        <v>16824.857196893074</v>
      </c>
      <c r="DV81" s="234">
        <f t="shared" si="756"/>
        <v>16866.919339885306</v>
      </c>
      <c r="DW81" s="234">
        <f t="shared" si="756"/>
        <v>16909.086638235018</v>
      </c>
      <c r="DX81" s="234">
        <f t="shared" si="756"/>
        <v>16951.359354830605</v>
      </c>
      <c r="DY81" s="234">
        <f t="shared" si="756"/>
        <v>16993.73775321768</v>
      </c>
      <c r="DZ81" s="234">
        <f t="shared" si="756"/>
        <v>17036.222097600723</v>
      </c>
      <c r="EA81" s="234">
        <f t="shared" si="756"/>
        <v>17078.812652844725</v>
      </c>
      <c r="EB81" s="234">
        <f t="shared" si="756"/>
        <v>17121.509684476834</v>
      </c>
      <c r="EC81" s="234">
        <f t="shared" si="756"/>
        <v>17164.313458688026</v>
      </c>
      <c r="ED81" s="234">
        <f t="shared" si="756"/>
        <v>17207.224242334745</v>
      </c>
      <c r="EE81" s="234">
        <f t="shared" ref="EE81:FF81" si="757">IFERROR($P$18*$O$18*EE64*(EE58&gt;=$F$13),0)</f>
        <v>17250.242302940584</v>
      </c>
      <c r="EF81" s="234">
        <f t="shared" si="757"/>
        <v>17293.367908697932</v>
      </c>
      <c r="EG81" s="234">
        <f t="shared" si="757"/>
        <v>17336.601328469675</v>
      </c>
      <c r="EH81" s="234">
        <f t="shared" si="757"/>
        <v>17379.94283179085</v>
      </c>
      <c r="EI81" s="234">
        <f t="shared" si="757"/>
        <v>17423.392688870324</v>
      </c>
      <c r="EJ81" s="234">
        <f t="shared" si="757"/>
        <v>17466.9511705925</v>
      </c>
      <c r="EK81" s="234">
        <f t="shared" si="757"/>
        <v>17510.618548518978</v>
      </c>
      <c r="EL81" s="234">
        <f t="shared" si="757"/>
        <v>17554.395094890275</v>
      </c>
      <c r="EM81" s="234">
        <f t="shared" si="757"/>
        <v>17598.281082627498</v>
      </c>
      <c r="EN81" s="234">
        <f t="shared" si="757"/>
        <v>17642.276785334067</v>
      </c>
      <c r="EO81" s="234">
        <f t="shared" si="757"/>
        <v>17686.3824772974</v>
      </c>
      <c r="EP81" s="234">
        <f t="shared" si="757"/>
        <v>17730.598433490642</v>
      </c>
      <c r="EQ81" s="234">
        <f t="shared" si="757"/>
        <v>17774.924929574368</v>
      </c>
      <c r="ER81" s="234">
        <f t="shared" si="757"/>
        <v>17819.362241898303</v>
      </c>
      <c r="ES81" s="234">
        <f t="shared" si="757"/>
        <v>17863.910647503049</v>
      </c>
      <c r="ET81" s="234">
        <f t="shared" si="757"/>
        <v>17908.570424121805</v>
      </c>
      <c r="EU81" s="234">
        <f t="shared" si="757"/>
        <v>17953.341850182107</v>
      </c>
      <c r="EV81" s="234">
        <f t="shared" si="757"/>
        <v>17998.225204807564</v>
      </c>
      <c r="EW81" s="234">
        <f t="shared" si="757"/>
        <v>18043.220767819581</v>
      </c>
      <c r="EX81" s="234">
        <f t="shared" si="757"/>
        <v>18088.32881973913</v>
      </c>
      <c r="EY81" s="234">
        <f t="shared" si="757"/>
        <v>18133.549641788475</v>
      </c>
      <c r="EZ81" s="234">
        <f t="shared" si="757"/>
        <v>18178.883515892947</v>
      </c>
      <c r="FA81" s="234">
        <f t="shared" si="757"/>
        <v>18224.330724682677</v>
      </c>
      <c r="FB81" s="234">
        <f t="shared" si="757"/>
        <v>18269.891551494384</v>
      </c>
      <c r="FC81" s="234">
        <f t="shared" si="757"/>
        <v>18315.566280373117</v>
      </c>
      <c r="FD81" s="234">
        <f t="shared" si="757"/>
        <v>18361.355196074051</v>
      </c>
      <c r="FE81" s="234">
        <f t="shared" si="757"/>
        <v>18407.258584064235</v>
      </c>
      <c r="FF81" s="234">
        <f t="shared" si="757"/>
        <v>18453.276730524394</v>
      </c>
      <c r="FG81" s="321"/>
      <c r="FH81" s="234">
        <f t="shared" si="747"/>
        <v>88379.388699252944</v>
      </c>
      <c r="FI81" s="234">
        <f t="shared" si="747"/>
        <v>155148.12770767394</v>
      </c>
      <c r="FJ81" s="234">
        <f t="shared" si="747"/>
        <v>159867.10647524177</v>
      </c>
      <c r="FK81" s="234">
        <f t="shared" si="747"/>
        <v>164729.61749767969</v>
      </c>
      <c r="FL81" s="234">
        <f t="shared" si="747"/>
        <v>169740.02644586752</v>
      </c>
      <c r="FM81" s="234">
        <f t="shared" si="747"/>
        <v>174902.83177674247</v>
      </c>
      <c r="FN81" s="234">
        <f t="shared" si="747"/>
        <v>180222.66877211418</v>
      </c>
      <c r="FO81" s="234">
        <f t="shared" si="747"/>
        <v>185704.31370032398</v>
      </c>
      <c r="FP81" s="234">
        <f t="shared" si="747"/>
        <v>191352.68810448537</v>
      </c>
      <c r="FQ81" s="234">
        <f t="shared" si="747"/>
        <v>197172.8632211551</v>
      </c>
      <c r="FR81" s="234">
        <f t="shared" si="747"/>
        <v>203170.06453340253</v>
      </c>
      <c r="FS81" s="234">
        <f t="shared" si="747"/>
        <v>209349.67646236482</v>
      </c>
      <c r="FT81" s="234">
        <f t="shared" si="747"/>
        <v>215717.24720150066</v>
      </c>
      <c r="FU81" s="234">
        <f t="shared" si="747"/>
        <v>91807.348342530182</v>
      </c>
      <c r="FV81" s="321"/>
    </row>
    <row r="82" spans="3:178" s="77" customFormat="1" x14ac:dyDescent="0.2">
      <c r="C82" s="80" t="s">
        <v>18</v>
      </c>
      <c r="D82" s="80"/>
      <c r="E82" s="273">
        <f t="shared" si="741"/>
        <v>3501320.4877791572</v>
      </c>
      <c r="F82" s="208">
        <v>0</v>
      </c>
      <c r="G82" s="208">
        <f t="shared" ref="G82:BQ82" si="758">SUM(G79:G81)</f>
        <v>18379.166666666664</v>
      </c>
      <c r="H82" s="208">
        <f t="shared" si="758"/>
        <v>18425.114583333328</v>
      </c>
      <c r="I82" s="208">
        <f t="shared" si="758"/>
        <v>18471.177369791661</v>
      </c>
      <c r="J82" s="208">
        <f t="shared" si="758"/>
        <v>18517.35531321614</v>
      </c>
      <c r="K82" s="208">
        <f t="shared" si="758"/>
        <v>18563.64870149918</v>
      </c>
      <c r="L82" s="208">
        <f t="shared" si="758"/>
        <v>18610.05782325293</v>
      </c>
      <c r="M82" s="208">
        <f t="shared" si="758"/>
        <v>18656.58296781106</v>
      </c>
      <c r="N82" s="208">
        <f t="shared" si="758"/>
        <v>18703.22442523059</v>
      </c>
      <c r="O82" s="208">
        <f t="shared" si="758"/>
        <v>18749.982486293666</v>
      </c>
      <c r="P82" s="208">
        <f t="shared" si="758"/>
        <v>18796.857442509398</v>
      </c>
      <c r="Q82" s="208">
        <f t="shared" si="758"/>
        <v>18843.84958611567</v>
      </c>
      <c r="R82" s="208">
        <f t="shared" si="758"/>
        <v>18890.95921008096</v>
      </c>
      <c r="S82" s="208">
        <f t="shared" si="758"/>
        <v>18938.18660810616</v>
      </c>
      <c r="T82" s="208">
        <f t="shared" si="758"/>
        <v>18985.532074626426</v>
      </c>
      <c r="U82" s="208">
        <f t="shared" si="758"/>
        <v>19032.995904812989</v>
      </c>
      <c r="V82" s="208">
        <f t="shared" si="758"/>
        <v>19080.578394575019</v>
      </c>
      <c r="W82" s="208">
        <f t="shared" si="758"/>
        <v>19128.279840561456</v>
      </c>
      <c r="X82" s="208">
        <f t="shared" si="758"/>
        <v>19176.100540162854</v>
      </c>
      <c r="Y82" s="208">
        <f t="shared" si="758"/>
        <v>19224.040791513264</v>
      </c>
      <c r="Z82" s="208">
        <f t="shared" si="758"/>
        <v>19272.100893492046</v>
      </c>
      <c r="AA82" s="208">
        <f t="shared" si="758"/>
        <v>19320.28114572577</v>
      </c>
      <c r="AB82" s="208">
        <f t="shared" si="758"/>
        <v>19368.581848590089</v>
      </c>
      <c r="AC82" s="208">
        <f t="shared" si="758"/>
        <v>19417.003303211561</v>
      </c>
      <c r="AD82" s="208">
        <f t="shared" si="758"/>
        <v>19465.545811469587</v>
      </c>
      <c r="AE82" s="208">
        <f t="shared" si="758"/>
        <v>19514.20967599826</v>
      </c>
      <c r="AF82" s="208">
        <f t="shared" si="758"/>
        <v>19562.995200188252</v>
      </c>
      <c r="AG82" s="208">
        <f t="shared" si="758"/>
        <v>19611.902688188722</v>
      </c>
      <c r="AH82" s="208">
        <f t="shared" si="758"/>
        <v>19660.932444909191</v>
      </c>
      <c r="AI82" s="208">
        <f t="shared" si="758"/>
        <v>19710.084776021464</v>
      </c>
      <c r="AJ82" s="208">
        <f t="shared" si="758"/>
        <v>19759.359987961514</v>
      </c>
      <c r="AK82" s="208">
        <f t="shared" si="758"/>
        <v>19808.758387931419</v>
      </c>
      <c r="AL82" s="208">
        <f t="shared" si="758"/>
        <v>19858.280283901244</v>
      </c>
      <c r="AM82" s="208">
        <f t="shared" si="758"/>
        <v>19907.925984611</v>
      </c>
      <c r="AN82" s="208">
        <f t="shared" si="758"/>
        <v>19957.695799572528</v>
      </c>
      <c r="AO82" s="208">
        <f t="shared" si="758"/>
        <v>20007.590039071456</v>
      </c>
      <c r="AP82" s="208">
        <f t="shared" si="758"/>
        <v>20057.609014169135</v>
      </c>
      <c r="AQ82" s="208">
        <f t="shared" si="758"/>
        <v>20107.753036704555</v>
      </c>
      <c r="AR82" s="208">
        <f t="shared" si="758"/>
        <v>20158.022419296318</v>
      </c>
      <c r="AS82" s="208">
        <f t="shared" si="758"/>
        <v>20208.417475344559</v>
      </c>
      <c r="AT82" s="208">
        <f t="shared" si="758"/>
        <v>20258.938519032919</v>
      </c>
      <c r="AU82" s="208">
        <f t="shared" si="758"/>
        <v>20309.5858653305</v>
      </c>
      <c r="AV82" s="208">
        <f t="shared" si="758"/>
        <v>20360.359829993824</v>
      </c>
      <c r="AW82" s="208">
        <f t="shared" si="758"/>
        <v>20411.260729568807</v>
      </c>
      <c r="AX82" s="208">
        <f t="shared" si="758"/>
        <v>20462.288881392727</v>
      </c>
      <c r="AY82" s="208">
        <f t="shared" si="758"/>
        <v>20513.444603596203</v>
      </c>
      <c r="AZ82" s="208">
        <f t="shared" si="758"/>
        <v>20564.728215105191</v>
      </c>
      <c r="BA82" s="208">
        <f t="shared" si="758"/>
        <v>20616.140035642955</v>
      </c>
      <c r="BB82" s="208">
        <f t="shared" si="758"/>
        <v>20667.680385732059</v>
      </c>
      <c r="BC82" s="208">
        <f t="shared" si="758"/>
        <v>20719.349586696389</v>
      </c>
      <c r="BD82" s="208">
        <f t="shared" si="758"/>
        <v>20771.147960663129</v>
      </c>
      <c r="BE82" s="208">
        <f t="shared" si="758"/>
        <v>20823.075830564783</v>
      </c>
      <c r="BF82" s="208">
        <f t="shared" si="758"/>
        <v>20875.133520141197</v>
      </c>
      <c r="BG82" s="208">
        <f t="shared" si="758"/>
        <v>20927.321353941548</v>
      </c>
      <c r="BH82" s="208">
        <f t="shared" si="758"/>
        <v>20979.639657326399</v>
      </c>
      <c r="BI82" s="208">
        <f t="shared" si="758"/>
        <v>21032.088756469719</v>
      </c>
      <c r="BJ82" s="208">
        <f t="shared" si="758"/>
        <v>21084.668978360889</v>
      </c>
      <c r="BK82" s="208">
        <f t="shared" si="758"/>
        <v>21137.38065080679</v>
      </c>
      <c r="BL82" s="208">
        <f t="shared" si="758"/>
        <v>21190.224102433807</v>
      </c>
      <c r="BM82" s="208">
        <f t="shared" si="758"/>
        <v>21243.199662689891</v>
      </c>
      <c r="BN82" s="208">
        <f t="shared" si="758"/>
        <v>21296.307661846615</v>
      </c>
      <c r="BO82" s="208">
        <f t="shared" si="758"/>
        <v>21349.548431001229</v>
      </c>
      <c r="BP82" s="208">
        <f t="shared" si="758"/>
        <v>21402.922302078729</v>
      </c>
      <c r="BQ82" s="208">
        <f t="shared" si="758"/>
        <v>21456.429607833925</v>
      </c>
      <c r="BR82" s="208">
        <f t="shared" ref="BR82:EC82" si="759">SUM(BR79:BR81)</f>
        <v>21510.070681853507</v>
      </c>
      <c r="BS82" s="208">
        <f t="shared" si="759"/>
        <v>21563.845858558139</v>
      </c>
      <c r="BT82" s="208">
        <f t="shared" si="759"/>
        <v>21617.755473204532</v>
      </c>
      <c r="BU82" s="208">
        <f t="shared" si="759"/>
        <v>21671.799861887543</v>
      </c>
      <c r="BV82" s="208">
        <f t="shared" si="759"/>
        <v>21725.97936154226</v>
      </c>
      <c r="BW82" s="208">
        <f t="shared" si="759"/>
        <v>21780.294309946112</v>
      </c>
      <c r="BX82" s="208">
        <f t="shared" si="759"/>
        <v>21834.745045720978</v>
      </c>
      <c r="BY82" s="208">
        <f t="shared" si="759"/>
        <v>21889.33190833528</v>
      </c>
      <c r="BZ82" s="208">
        <f t="shared" si="759"/>
        <v>21944.055238106121</v>
      </c>
      <c r="CA82" s="208">
        <f t="shared" si="759"/>
        <v>21998.915376201385</v>
      </c>
      <c r="CB82" s="208">
        <f t="shared" si="759"/>
        <v>22053.912664641888</v>
      </c>
      <c r="CC82" s="208">
        <f t="shared" si="759"/>
        <v>22109.047446303492</v>
      </c>
      <c r="CD82" s="208">
        <f t="shared" si="759"/>
        <v>22164.320064919248</v>
      </c>
      <c r="CE82" s="208">
        <f t="shared" si="759"/>
        <v>22219.730865081547</v>
      </c>
      <c r="CF82" s="208">
        <f t="shared" si="759"/>
        <v>22275.280192244249</v>
      </c>
      <c r="CG82" s="208">
        <f t="shared" si="759"/>
        <v>22330.968392724859</v>
      </c>
      <c r="CH82" s="208">
        <f t="shared" si="759"/>
        <v>22386.795813706671</v>
      </c>
      <c r="CI82" s="208">
        <f t="shared" si="759"/>
        <v>22442.762803240938</v>
      </c>
      <c r="CJ82" s="208">
        <f t="shared" si="759"/>
        <v>22498.869710249033</v>
      </c>
      <c r="CK82" s="208">
        <f t="shared" si="759"/>
        <v>22555.116884524658</v>
      </c>
      <c r="CL82" s="208">
        <f t="shared" si="759"/>
        <v>22611.504676735971</v>
      </c>
      <c r="CM82" s="208">
        <f t="shared" si="759"/>
        <v>22668.03343842781</v>
      </c>
      <c r="CN82" s="208">
        <f t="shared" si="759"/>
        <v>22724.703522023879</v>
      </c>
      <c r="CO82" s="208">
        <f t="shared" si="759"/>
        <v>22781.515280828935</v>
      </c>
      <c r="CP82" s="208">
        <f t="shared" si="759"/>
        <v>22838.469069031009</v>
      </c>
      <c r="CQ82" s="208">
        <f t="shared" si="759"/>
        <v>22895.565241703582</v>
      </c>
      <c r="CR82" s="208">
        <f t="shared" si="759"/>
        <v>22952.80415480784</v>
      </c>
      <c r="CS82" s="208">
        <f t="shared" si="759"/>
        <v>23010.18616519486</v>
      </c>
      <c r="CT82" s="208">
        <f t="shared" si="759"/>
        <v>23067.711630607846</v>
      </c>
      <c r="CU82" s="208">
        <f t="shared" si="759"/>
        <v>23125.380909684362</v>
      </c>
      <c r="CV82" s="208">
        <f t="shared" si="759"/>
        <v>23183.194361958573</v>
      </c>
      <c r="CW82" s="208">
        <f t="shared" si="759"/>
        <v>23241.152347863466</v>
      </c>
      <c r="CX82" s="208">
        <f t="shared" si="759"/>
        <v>23299.255228733127</v>
      </c>
      <c r="CY82" s="208">
        <f t="shared" si="759"/>
        <v>23357.503366804958</v>
      </c>
      <c r="CZ82" s="208">
        <f t="shared" si="759"/>
        <v>23415.897125221971</v>
      </c>
      <c r="DA82" s="208">
        <f t="shared" si="759"/>
        <v>23474.436868035024</v>
      </c>
      <c r="DB82" s="208">
        <f t="shared" si="759"/>
        <v>23533.122960205106</v>
      </c>
      <c r="DC82" s="208">
        <f t="shared" si="759"/>
        <v>23591.955767605621</v>
      </c>
      <c r="DD82" s="208">
        <f t="shared" si="759"/>
        <v>23650.935657024631</v>
      </c>
      <c r="DE82" s="208">
        <f t="shared" si="759"/>
        <v>23710.062996167195</v>
      </c>
      <c r="DF82" s="208">
        <f t="shared" si="759"/>
        <v>23769.338153657613</v>
      </c>
      <c r="DG82" s="208">
        <f t="shared" si="759"/>
        <v>23828.761499041757</v>
      </c>
      <c r="DH82" s="208">
        <f t="shared" si="759"/>
        <v>23888.333402789358</v>
      </c>
      <c r="DI82" s="208">
        <f t="shared" si="759"/>
        <v>23948.054236296332</v>
      </c>
      <c r="DJ82" s="208">
        <f t="shared" si="759"/>
        <v>24007.924371887071</v>
      </c>
      <c r="DK82" s="208">
        <f t="shared" si="759"/>
        <v>24067.944182816787</v>
      </c>
      <c r="DL82" s="208">
        <f t="shared" si="759"/>
        <v>24128.114043273828</v>
      </c>
      <c r="DM82" s="208">
        <f t="shared" si="759"/>
        <v>24188.434328382009</v>
      </c>
      <c r="DN82" s="208">
        <f t="shared" si="759"/>
        <v>24248.905414202964</v>
      </c>
      <c r="DO82" s="208">
        <f t="shared" si="759"/>
        <v>24309.527677738468</v>
      </c>
      <c r="DP82" s="208">
        <f t="shared" si="759"/>
        <v>24370.301496932818</v>
      </c>
      <c r="DQ82" s="208">
        <f t="shared" si="759"/>
        <v>24431.227250675147</v>
      </c>
      <c r="DR82" s="208">
        <f t="shared" si="759"/>
        <v>24492.305318801831</v>
      </c>
      <c r="DS82" s="208">
        <f t="shared" si="759"/>
        <v>24553.536082098832</v>
      </c>
      <c r="DT82" s="208">
        <f t="shared" si="759"/>
        <v>24614.919922304078</v>
      </c>
      <c r="DU82" s="208">
        <f t="shared" si="759"/>
        <v>24676.457222109839</v>
      </c>
      <c r="DV82" s="208">
        <f t="shared" si="759"/>
        <v>24738.148365165114</v>
      </c>
      <c r="DW82" s="208">
        <f t="shared" si="759"/>
        <v>24799.993736078024</v>
      </c>
      <c r="DX82" s="208">
        <f t="shared" si="759"/>
        <v>24861.993720418221</v>
      </c>
      <c r="DY82" s="208">
        <f t="shared" si="759"/>
        <v>24924.148704719264</v>
      </c>
      <c r="DZ82" s="208">
        <f t="shared" si="759"/>
        <v>24986.45907648106</v>
      </c>
      <c r="EA82" s="208">
        <f t="shared" si="759"/>
        <v>25048.925224172264</v>
      </c>
      <c r="EB82" s="208">
        <f t="shared" si="759"/>
        <v>25111.547537232691</v>
      </c>
      <c r="EC82" s="208">
        <f t="shared" si="759"/>
        <v>25174.326406075772</v>
      </c>
      <c r="ED82" s="208">
        <f t="shared" ref="ED82:FC82" si="760">SUM(ED79:ED81)</f>
        <v>25237.262222090958</v>
      </c>
      <c r="EE82" s="208">
        <f t="shared" si="760"/>
        <v>25300.355377646189</v>
      </c>
      <c r="EF82" s="208">
        <f t="shared" si="760"/>
        <v>25363.606266090301</v>
      </c>
      <c r="EG82" s="208">
        <f t="shared" si="760"/>
        <v>25427.015281755521</v>
      </c>
      <c r="EH82" s="208">
        <f t="shared" si="760"/>
        <v>25490.582819959913</v>
      </c>
      <c r="EI82" s="208">
        <f t="shared" si="760"/>
        <v>25554.309277009808</v>
      </c>
      <c r="EJ82" s="208">
        <f t="shared" si="760"/>
        <v>25618.195050202332</v>
      </c>
      <c r="EK82" s="208">
        <f t="shared" si="760"/>
        <v>25682.240537827834</v>
      </c>
      <c r="EL82" s="208">
        <f t="shared" si="760"/>
        <v>25746.446139172403</v>
      </c>
      <c r="EM82" s="208">
        <f t="shared" si="760"/>
        <v>25810.81225452033</v>
      </c>
      <c r="EN82" s="208">
        <f t="shared" si="760"/>
        <v>25875.339285156631</v>
      </c>
      <c r="EO82" s="208">
        <f t="shared" si="760"/>
        <v>25940.027633369518</v>
      </c>
      <c r="EP82" s="208">
        <f t="shared" si="760"/>
        <v>26004.877702452941</v>
      </c>
      <c r="EQ82" s="208">
        <f t="shared" si="760"/>
        <v>26069.889896709072</v>
      </c>
      <c r="ER82" s="208">
        <f t="shared" si="760"/>
        <v>26135.064621450845</v>
      </c>
      <c r="ES82" s="208">
        <f t="shared" si="760"/>
        <v>26200.402283004471</v>
      </c>
      <c r="ET82" s="208">
        <f t="shared" si="760"/>
        <v>26265.903288711979</v>
      </c>
      <c r="EU82" s="208">
        <f t="shared" si="760"/>
        <v>26331.568046933757</v>
      </c>
      <c r="EV82" s="208">
        <f t="shared" si="760"/>
        <v>26397.396967051092</v>
      </c>
      <c r="EW82" s="208">
        <f t="shared" si="760"/>
        <v>26463.390459468719</v>
      </c>
      <c r="EX82" s="208">
        <f t="shared" si="760"/>
        <v>26529.548935617389</v>
      </c>
      <c r="EY82" s="208">
        <f t="shared" si="760"/>
        <v>26595.872807956432</v>
      </c>
      <c r="EZ82" s="208">
        <f t="shared" si="760"/>
        <v>26662.362489976324</v>
      </c>
      <c r="FA82" s="208">
        <f t="shared" si="760"/>
        <v>26729.01839620126</v>
      </c>
      <c r="FB82" s="208">
        <f t="shared" si="760"/>
        <v>26795.84094219176</v>
      </c>
      <c r="FC82" s="208">
        <f t="shared" si="760"/>
        <v>26862.830544547236</v>
      </c>
      <c r="FD82" s="208">
        <f t="shared" ref="FD82:FE82" si="761">SUM(FD79:FD81)</f>
        <v>26929.987620908607</v>
      </c>
      <c r="FE82" s="208">
        <f t="shared" si="761"/>
        <v>26997.312589960879</v>
      </c>
      <c r="FF82" s="208">
        <f t="shared" ref="FF82" si="762">SUM(FF79:FF81)</f>
        <v>27064.805871435776</v>
      </c>
      <c r="FG82" s="288"/>
      <c r="FH82" s="208">
        <f t="shared" si="747"/>
        <v>129623.10342557097</v>
      </c>
      <c r="FI82" s="208">
        <f t="shared" si="747"/>
        <v>227550.58730458844</v>
      </c>
      <c r="FJ82" s="208">
        <f t="shared" si="747"/>
        <v>234471.75616368782</v>
      </c>
      <c r="FK82" s="208">
        <f t="shared" si="747"/>
        <v>241603.43899659687</v>
      </c>
      <c r="FL82" s="208">
        <f t="shared" si="747"/>
        <v>248952.03878727226</v>
      </c>
      <c r="FM82" s="208">
        <f t="shared" si="747"/>
        <v>256524.15327255562</v>
      </c>
      <c r="FN82" s="208">
        <f t="shared" si="747"/>
        <v>264326.58086576738</v>
      </c>
      <c r="FO82" s="208">
        <f t="shared" si="747"/>
        <v>272366.32676047517</v>
      </c>
      <c r="FP82" s="208">
        <f t="shared" si="747"/>
        <v>280650.60921991186</v>
      </c>
      <c r="FQ82" s="208">
        <f t="shared" si="747"/>
        <v>289186.86605769413</v>
      </c>
      <c r="FR82" s="208">
        <f t="shared" si="747"/>
        <v>297982.761315657</v>
      </c>
      <c r="FS82" s="208">
        <f t="shared" si="747"/>
        <v>307046.19214480167</v>
      </c>
      <c r="FT82" s="208">
        <f t="shared" si="747"/>
        <v>316385.29589553428</v>
      </c>
      <c r="FU82" s="208">
        <f t="shared" si="747"/>
        <v>134650.77756904426</v>
      </c>
      <c r="FV82" s="288"/>
    </row>
    <row r="83" spans="3:178" x14ac:dyDescent="0.2">
      <c r="E83" s="224"/>
    </row>
    <row r="84" spans="3:178" x14ac:dyDescent="0.2">
      <c r="C84" s="39" t="s">
        <v>14</v>
      </c>
      <c r="E84" s="236">
        <f t="shared" ref="E84:E88" si="763">SUM(F84:FF84)</f>
        <v>-2222980.4201444262</v>
      </c>
      <c r="F84" s="237">
        <v>0</v>
      </c>
      <c r="G84" s="237">
        <f t="shared" ref="G84:AL84" si="764">-IFERROR(INDEX($M23:$Q23,MATCH(YEAR(G$58),$M$21:$Q$21,0)),$Q$23)*(SUM(G$76,G$82))</f>
        <v>-11668.891145833333</v>
      </c>
      <c r="H84" s="237">
        <f t="shared" si="764"/>
        <v>-11698.063373697916</v>
      </c>
      <c r="I84" s="237">
        <f t="shared" si="764"/>
        <v>-11727.308532132161</v>
      </c>
      <c r="J84" s="237">
        <f t="shared" si="764"/>
        <v>-11756.626803462488</v>
      </c>
      <c r="K84" s="237">
        <f t="shared" si="764"/>
        <v>-11786.018370471145</v>
      </c>
      <c r="L84" s="237">
        <f t="shared" si="764"/>
        <v>-11815.483416397323</v>
      </c>
      <c r="M84" s="237">
        <f t="shared" si="764"/>
        <v>-11845.022124938316</v>
      </c>
      <c r="N84" s="237">
        <f t="shared" si="764"/>
        <v>-11874.63468025066</v>
      </c>
      <c r="O84" s="237">
        <f t="shared" si="764"/>
        <v>-11904.321266951287</v>
      </c>
      <c r="P84" s="237">
        <f t="shared" si="764"/>
        <v>-11934.082070118664</v>
      </c>
      <c r="Q84" s="237">
        <f t="shared" si="764"/>
        <v>-11963.917275293961</v>
      </c>
      <c r="R84" s="237">
        <f t="shared" si="764"/>
        <v>-11993.827068482196</v>
      </c>
      <c r="S84" s="237">
        <f t="shared" si="764"/>
        <v>-12023.811636153398</v>
      </c>
      <c r="T84" s="237">
        <f t="shared" si="764"/>
        <v>-12053.871165243783</v>
      </c>
      <c r="U84" s="237">
        <f t="shared" si="764"/>
        <v>-12084.005843156894</v>
      </c>
      <c r="V84" s="237">
        <f t="shared" si="764"/>
        <v>-12114.215857764784</v>
      </c>
      <c r="W84" s="237">
        <f t="shared" si="764"/>
        <v>-12144.501397409194</v>
      </c>
      <c r="X84" s="237">
        <f t="shared" si="764"/>
        <v>-12174.862650902716</v>
      </c>
      <c r="Y84" s="237">
        <f t="shared" si="764"/>
        <v>-12205.299807529971</v>
      </c>
      <c r="Z84" s="237">
        <f t="shared" si="764"/>
        <v>-12235.813057048797</v>
      </c>
      <c r="AA84" s="237">
        <f t="shared" si="764"/>
        <v>-12266.402589691419</v>
      </c>
      <c r="AB84" s="237">
        <f t="shared" si="764"/>
        <v>-12297.068596165649</v>
      </c>
      <c r="AC84" s="237">
        <f t="shared" si="764"/>
        <v>-12327.811267656061</v>
      </c>
      <c r="AD84" s="237">
        <f t="shared" si="764"/>
        <v>-12358.6307958252</v>
      </c>
      <c r="AE84" s="237">
        <f t="shared" si="764"/>
        <v>-12389.527372814762</v>
      </c>
      <c r="AF84" s="237">
        <f t="shared" si="764"/>
        <v>-12420.501191246796</v>
      </c>
      <c r="AG84" s="237">
        <f t="shared" si="764"/>
        <v>-12451.552444224913</v>
      </c>
      <c r="AH84" s="237">
        <f t="shared" si="764"/>
        <v>-12482.681325335474</v>
      </c>
      <c r="AI84" s="237">
        <f t="shared" si="764"/>
        <v>-12513.888028648811</v>
      </c>
      <c r="AJ84" s="237">
        <f t="shared" si="764"/>
        <v>-12545.172748720432</v>
      </c>
      <c r="AK84" s="237">
        <f t="shared" si="764"/>
        <v>-12576.535680592233</v>
      </c>
      <c r="AL84" s="237">
        <f t="shared" si="764"/>
        <v>-12607.977019793712</v>
      </c>
      <c r="AM84" s="237">
        <f t="shared" ref="AM84:BR84" si="765">-IFERROR(INDEX($M23:$Q23,MATCH(YEAR(AM$58),$M$21:$Q$21,0)),$Q$23)*(SUM(AM$76,AM$82))</f>
        <v>-12639.496962343197</v>
      </c>
      <c r="AN84" s="237">
        <f t="shared" si="765"/>
        <v>-12671.095704749054</v>
      </c>
      <c r="AO84" s="237">
        <f t="shared" si="765"/>
        <v>-12702.773444010925</v>
      </c>
      <c r="AP84" s="237">
        <f t="shared" si="765"/>
        <v>-12734.530377620953</v>
      </c>
      <c r="AQ84" s="237">
        <f t="shared" si="765"/>
        <v>-12766.366703565003</v>
      </c>
      <c r="AR84" s="237">
        <f t="shared" si="765"/>
        <v>-12798.282620323915</v>
      </c>
      <c r="AS84" s="237">
        <f t="shared" si="765"/>
        <v>-12830.278326874723</v>
      </c>
      <c r="AT84" s="237">
        <f t="shared" si="765"/>
        <v>-12862.354022691912</v>
      </c>
      <c r="AU84" s="237">
        <f t="shared" si="765"/>
        <v>-12894.509907748641</v>
      </c>
      <c r="AV84" s="237">
        <f t="shared" si="765"/>
        <v>-12926.746182518013</v>
      </c>
      <c r="AW84" s="237">
        <f t="shared" si="765"/>
        <v>-12959.063047974305</v>
      </c>
      <c r="AX84" s="237">
        <f t="shared" si="765"/>
        <v>-12991.460705594242</v>
      </c>
      <c r="AY84" s="237">
        <f t="shared" si="765"/>
        <v>-13023.939357358226</v>
      </c>
      <c r="AZ84" s="237">
        <f t="shared" si="765"/>
        <v>-13056.499205751621</v>
      </c>
      <c r="BA84" s="237">
        <f t="shared" si="765"/>
        <v>-13089.140453766</v>
      </c>
      <c r="BB84" s="237">
        <f t="shared" si="765"/>
        <v>-13121.863304900413</v>
      </c>
      <c r="BC84" s="237">
        <f t="shared" si="765"/>
        <v>-13154.667963162665</v>
      </c>
      <c r="BD84" s="237">
        <f t="shared" si="765"/>
        <v>-13187.554633070569</v>
      </c>
      <c r="BE84" s="237">
        <f t="shared" si="765"/>
        <v>-13220.523519653249</v>
      </c>
      <c r="BF84" s="237">
        <f t="shared" si="765"/>
        <v>-13253.574828452382</v>
      </c>
      <c r="BG84" s="237">
        <f t="shared" si="765"/>
        <v>-13286.708765523512</v>
      </c>
      <c r="BH84" s="237">
        <f t="shared" si="765"/>
        <v>-13319.925537437321</v>
      </c>
      <c r="BI84" s="237">
        <f t="shared" si="765"/>
        <v>-13353.225351280911</v>
      </c>
      <c r="BJ84" s="237">
        <f t="shared" si="765"/>
        <v>-13386.608414659115</v>
      </c>
      <c r="BK84" s="237">
        <f t="shared" si="765"/>
        <v>-13420.07493569576</v>
      </c>
      <c r="BL84" s="237">
        <f t="shared" si="765"/>
        <v>-13453.625123035001</v>
      </c>
      <c r="BM84" s="237">
        <f t="shared" si="765"/>
        <v>-13487.259185842586</v>
      </c>
      <c r="BN84" s="237">
        <f t="shared" si="765"/>
        <v>-13520.977333807192</v>
      </c>
      <c r="BO84" s="237">
        <f t="shared" si="765"/>
        <v>-13554.77977714171</v>
      </c>
      <c r="BP84" s="237">
        <f t="shared" si="765"/>
        <v>-13588.666726584561</v>
      </c>
      <c r="BQ84" s="237">
        <f t="shared" si="765"/>
        <v>-13622.638393401023</v>
      </c>
      <c r="BR84" s="237">
        <f t="shared" si="765"/>
        <v>-13656.694989384525</v>
      </c>
      <c r="BS84" s="237">
        <f t="shared" ref="BS84:CX84" si="766">-IFERROR(INDEX($M23:$Q23,MATCH(YEAR(BS$58),$M$21:$Q$21,0)),$Q$23)*(SUM(BS$76,BS$82))</f>
        <v>-13690.836726857984</v>
      </c>
      <c r="BT84" s="237">
        <f t="shared" si="766"/>
        <v>-13725.063818675129</v>
      </c>
      <c r="BU84" s="237">
        <f t="shared" si="766"/>
        <v>-13759.376478221819</v>
      </c>
      <c r="BV84" s="237">
        <f t="shared" si="766"/>
        <v>-13793.77491941737</v>
      </c>
      <c r="BW84" s="237">
        <f t="shared" si="766"/>
        <v>-13828.259356715913</v>
      </c>
      <c r="BX84" s="237">
        <f t="shared" si="766"/>
        <v>-13862.830005107704</v>
      </c>
      <c r="BY84" s="237">
        <f t="shared" si="766"/>
        <v>-13897.487080120471</v>
      </c>
      <c r="BZ84" s="237">
        <f t="shared" si="766"/>
        <v>-13932.230797820772</v>
      </c>
      <c r="CA84" s="237">
        <f t="shared" si="766"/>
        <v>-13967.061374815321</v>
      </c>
      <c r="CB84" s="237">
        <f t="shared" si="766"/>
        <v>-14001.979028252359</v>
      </c>
      <c r="CC84" s="237">
        <f t="shared" si="766"/>
        <v>-14036.983975822988</v>
      </c>
      <c r="CD84" s="237">
        <f t="shared" si="766"/>
        <v>-14072.076435762545</v>
      </c>
      <c r="CE84" s="237">
        <f t="shared" si="766"/>
        <v>-14107.256626851951</v>
      </c>
      <c r="CF84" s="237">
        <f t="shared" si="766"/>
        <v>-14142.524768419078</v>
      </c>
      <c r="CG84" s="237">
        <f t="shared" si="766"/>
        <v>-14177.881080340127</v>
      </c>
      <c r="CH84" s="237">
        <f t="shared" si="766"/>
        <v>-14213.325783040978</v>
      </c>
      <c r="CI84" s="237">
        <f t="shared" si="766"/>
        <v>-14248.859097498578</v>
      </c>
      <c r="CJ84" s="237">
        <f t="shared" si="766"/>
        <v>-14284.481245242321</v>
      </c>
      <c r="CK84" s="237">
        <f t="shared" si="766"/>
        <v>-14320.192448355427</v>
      </c>
      <c r="CL84" s="237">
        <f t="shared" si="766"/>
        <v>-14355.992929476313</v>
      </c>
      <c r="CM84" s="237">
        <f t="shared" si="766"/>
        <v>-14391.882911800007</v>
      </c>
      <c r="CN84" s="237">
        <f t="shared" si="766"/>
        <v>-14427.862619079504</v>
      </c>
      <c r="CO84" s="237">
        <f t="shared" si="766"/>
        <v>-14463.932275627201</v>
      </c>
      <c r="CP84" s="237">
        <f t="shared" si="766"/>
        <v>-14500.092106316271</v>
      </c>
      <c r="CQ84" s="237">
        <f t="shared" si="766"/>
        <v>-14536.342336582058</v>
      </c>
      <c r="CR84" s="237">
        <f t="shared" si="766"/>
        <v>-14572.683192423514</v>
      </c>
      <c r="CS84" s="237">
        <f t="shared" si="766"/>
        <v>-14609.114900404567</v>
      </c>
      <c r="CT84" s="237">
        <f t="shared" si="766"/>
        <v>-14645.637687655582</v>
      </c>
      <c r="CU84" s="237">
        <f t="shared" si="766"/>
        <v>-14682.251781874718</v>
      </c>
      <c r="CV84" s="237">
        <f t="shared" si="766"/>
        <v>-14718.957411329406</v>
      </c>
      <c r="CW84" s="237">
        <f t="shared" si="766"/>
        <v>-14755.754804857728</v>
      </c>
      <c r="CX84" s="237">
        <f t="shared" si="766"/>
        <v>-14792.644191869869</v>
      </c>
      <c r="CY84" s="237">
        <f t="shared" ref="CY84:ED84" si="767">-IFERROR(INDEX($M23:$Q23,MATCH(YEAR(CY$58),$M$21:$Q$21,0)),$Q$23)*(SUM(CY$76,CY$82))</f>
        <v>-14829.625802349545</v>
      </c>
      <c r="CZ84" s="237">
        <f t="shared" si="767"/>
        <v>-14866.699866855419</v>
      </c>
      <c r="DA84" s="237">
        <f t="shared" si="767"/>
        <v>-14903.866616522553</v>
      </c>
      <c r="DB84" s="237">
        <f t="shared" si="767"/>
        <v>-14941.126283063863</v>
      </c>
      <c r="DC84" s="237">
        <f t="shared" si="767"/>
        <v>-14978.479098771519</v>
      </c>
      <c r="DD84" s="237">
        <f t="shared" si="767"/>
        <v>-15015.925296518446</v>
      </c>
      <c r="DE84" s="237">
        <f t="shared" si="767"/>
        <v>-15053.465109759745</v>
      </c>
      <c r="DF84" s="237">
        <f t="shared" si="767"/>
        <v>-15091.098772534144</v>
      </c>
      <c r="DG84" s="237">
        <f t="shared" si="767"/>
        <v>-15128.826519465476</v>
      </c>
      <c r="DH84" s="237">
        <f t="shared" si="767"/>
        <v>-15166.648585764142</v>
      </c>
      <c r="DI84" s="237">
        <f t="shared" si="767"/>
        <v>-15204.565207228552</v>
      </c>
      <c r="DJ84" s="237">
        <f t="shared" si="767"/>
        <v>-15242.576620246622</v>
      </c>
      <c r="DK84" s="237">
        <f t="shared" si="767"/>
        <v>-15280.683061797237</v>
      </c>
      <c r="DL84" s="237">
        <f t="shared" si="767"/>
        <v>-15318.884769451732</v>
      </c>
      <c r="DM84" s="237">
        <f t="shared" si="767"/>
        <v>-15357.181981375361</v>
      </c>
      <c r="DN84" s="237">
        <f t="shared" si="767"/>
        <v>-15395.574936328794</v>
      </c>
      <c r="DO84" s="237">
        <f t="shared" si="767"/>
        <v>-15434.063873669613</v>
      </c>
      <c r="DP84" s="237">
        <f t="shared" si="767"/>
        <v>-15472.649033353788</v>
      </c>
      <c r="DQ84" s="237">
        <f t="shared" si="767"/>
        <v>-15511.330655937174</v>
      </c>
      <c r="DR84" s="237">
        <f t="shared" si="767"/>
        <v>-15550.108982577016</v>
      </c>
      <c r="DS84" s="237">
        <f t="shared" si="767"/>
        <v>-15588.984255033458</v>
      </c>
      <c r="DT84" s="237">
        <f t="shared" si="767"/>
        <v>-15627.956715671038</v>
      </c>
      <c r="DU84" s="237">
        <f t="shared" si="767"/>
        <v>-15667.026607460219</v>
      </c>
      <c r="DV84" s="237">
        <f t="shared" si="767"/>
        <v>-15706.194173978869</v>
      </c>
      <c r="DW84" s="237">
        <f t="shared" si="767"/>
        <v>-15745.459659413817</v>
      </c>
      <c r="DX84" s="237">
        <f t="shared" si="767"/>
        <v>-15784.823308562349</v>
      </c>
      <c r="DY84" s="237">
        <f t="shared" si="767"/>
        <v>-15824.285366833752</v>
      </c>
      <c r="DZ84" s="237">
        <f t="shared" si="767"/>
        <v>-15863.846080250838</v>
      </c>
      <c r="EA84" s="237">
        <f t="shared" si="767"/>
        <v>-15903.505695451462</v>
      </c>
      <c r="EB84" s="237">
        <f t="shared" si="767"/>
        <v>-15943.264459690092</v>
      </c>
      <c r="EC84" s="237">
        <f t="shared" si="767"/>
        <v>-15983.122620839315</v>
      </c>
      <c r="ED84" s="237">
        <f t="shared" si="767"/>
        <v>-16023.080427391411</v>
      </c>
      <c r="EE84" s="237">
        <f t="shared" ref="EE84:FF84" si="768">-IFERROR(INDEX($M23:$Q23,MATCH(YEAR(EE$58),$M$21:$Q$21,0)),$Q$23)*(SUM(EE$76,EE$82))</f>
        <v>-16063.13812845989</v>
      </c>
      <c r="EF84" s="237">
        <f t="shared" si="768"/>
        <v>-16103.29597378104</v>
      </c>
      <c r="EG84" s="237">
        <f t="shared" si="768"/>
        <v>-16143.554213715488</v>
      </c>
      <c r="EH84" s="237">
        <f t="shared" si="768"/>
        <v>-16183.913099249776</v>
      </c>
      <c r="EI84" s="237">
        <f t="shared" si="768"/>
        <v>-16224.372881997901</v>
      </c>
      <c r="EJ84" s="237">
        <f t="shared" si="768"/>
        <v>-16264.933814202894</v>
      </c>
      <c r="EK84" s="237">
        <f t="shared" si="768"/>
        <v>-16305.596148738399</v>
      </c>
      <c r="EL84" s="237">
        <f t="shared" si="768"/>
        <v>-16346.360139110249</v>
      </c>
      <c r="EM84" s="237">
        <f t="shared" si="768"/>
        <v>-16387.226039458019</v>
      </c>
      <c r="EN84" s="237">
        <f t="shared" si="768"/>
        <v>-16428.194104556667</v>
      </c>
      <c r="EO84" s="237">
        <f t="shared" si="768"/>
        <v>-16469.264589818056</v>
      </c>
      <c r="EP84" s="237">
        <f t="shared" si="768"/>
        <v>-16510.4377512926</v>
      </c>
      <c r="EQ84" s="237">
        <f t="shared" si="768"/>
        <v>-16551.713845670831</v>
      </c>
      <c r="ER84" s="237">
        <f t="shared" si="768"/>
        <v>-16593.093130285008</v>
      </c>
      <c r="ES84" s="237">
        <f t="shared" si="768"/>
        <v>-16634.57586311072</v>
      </c>
      <c r="ET84" s="237">
        <f t="shared" si="768"/>
        <v>-16676.162302768495</v>
      </c>
      <c r="EU84" s="237">
        <f t="shared" si="768"/>
        <v>-16717.852708525414</v>
      </c>
      <c r="EV84" s="237">
        <f t="shared" si="768"/>
        <v>-16759.647340296731</v>
      </c>
      <c r="EW84" s="237">
        <f t="shared" si="768"/>
        <v>-16801.54645864747</v>
      </c>
      <c r="EX84" s="237">
        <f t="shared" si="768"/>
        <v>-16843.550324794087</v>
      </c>
      <c r="EY84" s="237">
        <f t="shared" si="768"/>
        <v>-16885.659200606071</v>
      </c>
      <c r="EZ84" s="237">
        <f t="shared" si="768"/>
        <v>-16927.873348607587</v>
      </c>
      <c r="FA84" s="237">
        <f t="shared" si="768"/>
        <v>-16970.193031979103</v>
      </c>
      <c r="FB84" s="237">
        <f t="shared" si="768"/>
        <v>-17012.618514559053</v>
      </c>
      <c r="FC84" s="237">
        <f t="shared" si="768"/>
        <v>-17055.150060845448</v>
      </c>
      <c r="FD84" s="237">
        <f t="shared" si="768"/>
        <v>-17097.78793599756</v>
      </c>
      <c r="FE84" s="237">
        <f t="shared" si="768"/>
        <v>-17140.532405837552</v>
      </c>
      <c r="FF84" s="237">
        <f t="shared" si="768"/>
        <v>-17183.383736852145</v>
      </c>
      <c r="FG84" s="322"/>
      <c r="FH84" s="237">
        <f t="shared" ref="FH84:FU88" si="769">SUMIF($F$57:$FF$57,FH$57,$F84:$FF84)</f>
        <v>-82297.413766932688</v>
      </c>
      <c r="FI84" s="237">
        <f t="shared" si="769"/>
        <v>-144471.35071925752</v>
      </c>
      <c r="FJ84" s="237">
        <f t="shared" si="769"/>
        <v>-148865.58509797056</v>
      </c>
      <c r="FK84" s="237">
        <f t="shared" si="769"/>
        <v>-153393.47432021436</v>
      </c>
      <c r="FL84" s="237">
        <f t="shared" si="769"/>
        <v>-158059.08362595111</v>
      </c>
      <c r="FM84" s="237">
        <f t="shared" si="769"/>
        <v>-162866.60190330641</v>
      </c>
      <c r="FN84" s="237">
        <f t="shared" si="769"/>
        <v>-167820.34544944661</v>
      </c>
      <c r="FO84" s="237">
        <f t="shared" si="769"/>
        <v>-172924.76184584672</v>
      </c>
      <c r="FP84" s="237">
        <f t="shared" si="769"/>
        <v>-178184.43395142842</v>
      </c>
      <c r="FQ84" s="237">
        <f t="shared" si="769"/>
        <v>-183604.08401715264</v>
      </c>
      <c r="FR84" s="237">
        <f t="shared" si="769"/>
        <v>-189188.57792576219</v>
      </c>
      <c r="FS84" s="237">
        <f t="shared" si="769"/>
        <v>-194942.92956047977</v>
      </c>
      <c r="FT84" s="237">
        <f t="shared" si="769"/>
        <v>-200872.30530658414</v>
      </c>
      <c r="FU84" s="237">
        <f t="shared" si="769"/>
        <v>-85489.472654091762</v>
      </c>
      <c r="FV84" s="322"/>
    </row>
    <row r="85" spans="3:178" x14ac:dyDescent="0.2">
      <c r="C85" s="39" t="s">
        <v>183</v>
      </c>
      <c r="D85" s="238">
        <f>M24</f>
        <v>2.5000000000000001E-3</v>
      </c>
      <c r="E85" s="231">
        <f t="shared" si="763"/>
        <v>-111149.02100722122</v>
      </c>
      <c r="F85" s="232">
        <v>0</v>
      </c>
      <c r="G85" s="237">
        <f>-IFERROR(INDEX($M24:$Q24,MATCH(YEAR(G$58),$M$21:$Q$21,0)),$Q$24)*(SUM(G$76,G$82))</f>
        <v>-583.44455729166668</v>
      </c>
      <c r="H85" s="237">
        <f t="shared" ref="H85:BS85" si="770">-IFERROR(INDEX($M24:$Q24,MATCH(YEAR(H$58),$M$21:$Q$21,0)),$Q$24)*(SUM(H$76,H$82))</f>
        <v>-584.90316868489583</v>
      </c>
      <c r="I85" s="237">
        <f t="shared" si="770"/>
        <v>-586.36542660660803</v>
      </c>
      <c r="J85" s="237">
        <f t="shared" si="770"/>
        <v>-587.83134017312443</v>
      </c>
      <c r="K85" s="237">
        <f t="shared" si="770"/>
        <v>-589.30091852355724</v>
      </c>
      <c r="L85" s="237">
        <f t="shared" si="770"/>
        <v>-590.77417081986619</v>
      </c>
      <c r="M85" s="237">
        <f t="shared" si="770"/>
        <v>-592.2511062469157</v>
      </c>
      <c r="N85" s="237">
        <f t="shared" si="770"/>
        <v>-593.73173401253302</v>
      </c>
      <c r="O85" s="237">
        <f t="shared" si="770"/>
        <v>-595.21606334756439</v>
      </c>
      <c r="P85" s="237">
        <f t="shared" si="770"/>
        <v>-596.70410350593318</v>
      </c>
      <c r="Q85" s="237">
        <f t="shared" si="770"/>
        <v>-598.19586376469806</v>
      </c>
      <c r="R85" s="237">
        <f t="shared" si="770"/>
        <v>-599.69135342410982</v>
      </c>
      <c r="S85" s="237">
        <f t="shared" si="770"/>
        <v>-601.1905818076699</v>
      </c>
      <c r="T85" s="237">
        <f t="shared" si="770"/>
        <v>-602.69355826218907</v>
      </c>
      <c r="U85" s="237">
        <f t="shared" si="770"/>
        <v>-604.20029215784473</v>
      </c>
      <c r="V85" s="237">
        <f t="shared" si="770"/>
        <v>-605.71079288823921</v>
      </c>
      <c r="W85" s="237">
        <f t="shared" si="770"/>
        <v>-607.22506987045972</v>
      </c>
      <c r="X85" s="237">
        <f t="shared" si="770"/>
        <v>-608.74313254513584</v>
      </c>
      <c r="Y85" s="237">
        <f t="shared" si="770"/>
        <v>-610.26499037649853</v>
      </c>
      <c r="Z85" s="237">
        <f t="shared" si="770"/>
        <v>-611.79065285243985</v>
      </c>
      <c r="AA85" s="237">
        <f t="shared" si="770"/>
        <v>-613.320129484571</v>
      </c>
      <c r="AB85" s="237">
        <f t="shared" si="770"/>
        <v>-614.85342980828239</v>
      </c>
      <c r="AC85" s="237">
        <f t="shared" si="770"/>
        <v>-616.39056338280307</v>
      </c>
      <c r="AD85" s="237">
        <f t="shared" si="770"/>
        <v>-617.93153979125998</v>
      </c>
      <c r="AE85" s="237">
        <f t="shared" si="770"/>
        <v>-619.47636864073809</v>
      </c>
      <c r="AF85" s="237">
        <f t="shared" si="770"/>
        <v>-621.02505956233983</v>
      </c>
      <c r="AG85" s="237">
        <f t="shared" si="770"/>
        <v>-622.57762221124563</v>
      </c>
      <c r="AH85" s="237">
        <f t="shared" si="770"/>
        <v>-624.13406626677363</v>
      </c>
      <c r="AI85" s="237">
        <f t="shared" si="770"/>
        <v>-625.69440143244049</v>
      </c>
      <c r="AJ85" s="237">
        <f t="shared" si="770"/>
        <v>-627.25863743602156</v>
      </c>
      <c r="AK85" s="237">
        <f t="shared" si="770"/>
        <v>-628.82678402961164</v>
      </c>
      <c r="AL85" s="237">
        <f t="shared" si="770"/>
        <v>-630.39885098968557</v>
      </c>
      <c r="AM85" s="237">
        <f t="shared" si="770"/>
        <v>-631.97484811715981</v>
      </c>
      <c r="AN85" s="237">
        <f t="shared" si="770"/>
        <v>-633.55478523745273</v>
      </c>
      <c r="AO85" s="237">
        <f t="shared" si="770"/>
        <v>-635.13867220054624</v>
      </c>
      <c r="AP85" s="237">
        <f t="shared" si="770"/>
        <v>-636.72651888104758</v>
      </c>
      <c r="AQ85" s="237">
        <f t="shared" si="770"/>
        <v>-638.31833517825009</v>
      </c>
      <c r="AR85" s="237">
        <f t="shared" si="770"/>
        <v>-639.91413101619571</v>
      </c>
      <c r="AS85" s="237">
        <f t="shared" si="770"/>
        <v>-641.51391634373613</v>
      </c>
      <c r="AT85" s="237">
        <f t="shared" si="770"/>
        <v>-643.11770113459556</v>
      </c>
      <c r="AU85" s="237">
        <f t="shared" si="770"/>
        <v>-644.72549538743203</v>
      </c>
      <c r="AV85" s="237">
        <f t="shared" si="770"/>
        <v>-646.33730912590056</v>
      </c>
      <c r="AW85" s="237">
        <f t="shared" si="770"/>
        <v>-647.95315239871525</v>
      </c>
      <c r="AX85" s="237">
        <f t="shared" si="770"/>
        <v>-649.57303527971203</v>
      </c>
      <c r="AY85" s="237">
        <f t="shared" si="770"/>
        <v>-651.19696786791121</v>
      </c>
      <c r="AZ85" s="237">
        <f t="shared" si="770"/>
        <v>-652.82496028758101</v>
      </c>
      <c r="BA85" s="237">
        <f t="shared" si="770"/>
        <v>-654.45702268829996</v>
      </c>
      <c r="BB85" s="237">
        <f t="shared" si="770"/>
        <v>-656.09316524502071</v>
      </c>
      <c r="BC85" s="237">
        <f t="shared" si="770"/>
        <v>-657.73339815813324</v>
      </c>
      <c r="BD85" s="237">
        <f t="shared" si="770"/>
        <v>-659.37773165352849</v>
      </c>
      <c r="BE85" s="237">
        <f t="shared" si="770"/>
        <v>-661.02617598266238</v>
      </c>
      <c r="BF85" s="237">
        <f t="shared" si="770"/>
        <v>-662.67874142261905</v>
      </c>
      <c r="BG85" s="237">
        <f t="shared" si="770"/>
        <v>-664.33543827617552</v>
      </c>
      <c r="BH85" s="237">
        <f t="shared" si="770"/>
        <v>-665.99627687186603</v>
      </c>
      <c r="BI85" s="237">
        <f t="shared" si="770"/>
        <v>-667.6612675640456</v>
      </c>
      <c r="BJ85" s="237">
        <f t="shared" si="770"/>
        <v>-669.33042073295564</v>
      </c>
      <c r="BK85" s="237">
        <f t="shared" si="770"/>
        <v>-671.00374678478795</v>
      </c>
      <c r="BL85" s="237">
        <f t="shared" si="770"/>
        <v>-672.68125615174995</v>
      </c>
      <c r="BM85" s="237">
        <f t="shared" si="770"/>
        <v>-674.36295929212929</v>
      </c>
      <c r="BN85" s="237">
        <f t="shared" si="770"/>
        <v>-676.04886669035955</v>
      </c>
      <c r="BO85" s="237">
        <f t="shared" si="770"/>
        <v>-677.73898885708547</v>
      </c>
      <c r="BP85" s="237">
        <f t="shared" si="770"/>
        <v>-679.43333632922804</v>
      </c>
      <c r="BQ85" s="237">
        <f t="shared" si="770"/>
        <v>-681.13191967005116</v>
      </c>
      <c r="BR85" s="237">
        <f t="shared" si="770"/>
        <v>-682.83474946922627</v>
      </c>
      <c r="BS85" s="237">
        <f t="shared" si="770"/>
        <v>-684.54183634289916</v>
      </c>
      <c r="BT85" s="237">
        <f t="shared" ref="BT85:EE85" si="771">-IFERROR(INDEX($M24:$Q24,MATCH(YEAR(BT$58),$M$21:$Q$21,0)),$Q$24)*(SUM(BT$76,BT$82))</f>
        <v>-686.2531909337564</v>
      </c>
      <c r="BU85" s="237">
        <f t="shared" si="771"/>
        <v>-687.96882391109091</v>
      </c>
      <c r="BV85" s="237">
        <f t="shared" si="771"/>
        <v>-689.68874597086847</v>
      </c>
      <c r="BW85" s="237">
        <f t="shared" si="771"/>
        <v>-691.4129678357956</v>
      </c>
      <c r="BX85" s="237">
        <f t="shared" si="771"/>
        <v>-693.14150025538515</v>
      </c>
      <c r="BY85" s="237">
        <f t="shared" si="771"/>
        <v>-694.87435400602351</v>
      </c>
      <c r="BZ85" s="237">
        <f t="shared" si="771"/>
        <v>-696.61153989103855</v>
      </c>
      <c r="CA85" s="237">
        <f t="shared" si="771"/>
        <v>-698.35306874076605</v>
      </c>
      <c r="CB85" s="237">
        <f t="shared" si="771"/>
        <v>-700.09895141261791</v>
      </c>
      <c r="CC85" s="237">
        <f t="shared" si="771"/>
        <v>-701.84919879114943</v>
      </c>
      <c r="CD85" s="237">
        <f t="shared" si="771"/>
        <v>-703.60382178812722</v>
      </c>
      <c r="CE85" s="237">
        <f t="shared" si="771"/>
        <v>-705.36283134259747</v>
      </c>
      <c r="CF85" s="237">
        <f t="shared" si="771"/>
        <v>-707.12623842095388</v>
      </c>
      <c r="CG85" s="237">
        <f t="shared" si="771"/>
        <v>-708.89405401700628</v>
      </c>
      <c r="CH85" s="237">
        <f t="shared" si="771"/>
        <v>-710.66628915204888</v>
      </c>
      <c r="CI85" s="237">
        <f t="shared" si="771"/>
        <v>-712.44295487492889</v>
      </c>
      <c r="CJ85" s="237">
        <f t="shared" si="771"/>
        <v>-714.22406226211604</v>
      </c>
      <c r="CK85" s="237">
        <f t="shared" si="771"/>
        <v>-716.00962241777131</v>
      </c>
      <c r="CL85" s="237">
        <f t="shared" si="771"/>
        <v>-717.79964647381564</v>
      </c>
      <c r="CM85" s="237">
        <f t="shared" si="771"/>
        <v>-719.59414559000027</v>
      </c>
      <c r="CN85" s="237">
        <f t="shared" si="771"/>
        <v>-721.39313095397517</v>
      </c>
      <c r="CO85" s="237">
        <f t="shared" si="771"/>
        <v>-723.19661378136004</v>
      </c>
      <c r="CP85" s="237">
        <f t="shared" si="771"/>
        <v>-725.00460531581359</v>
      </c>
      <c r="CQ85" s="237">
        <f t="shared" si="771"/>
        <v>-726.81711682910293</v>
      </c>
      <c r="CR85" s="237">
        <f t="shared" si="771"/>
        <v>-728.63415962117563</v>
      </c>
      <c r="CS85" s="237">
        <f t="shared" si="771"/>
        <v>-730.45574502022839</v>
      </c>
      <c r="CT85" s="237">
        <f t="shared" si="771"/>
        <v>-732.28188438277914</v>
      </c>
      <c r="CU85" s="237">
        <f t="shared" si="771"/>
        <v>-734.11258909373589</v>
      </c>
      <c r="CV85" s="237">
        <f t="shared" si="771"/>
        <v>-735.94787056647021</v>
      </c>
      <c r="CW85" s="237">
        <f t="shared" si="771"/>
        <v>-737.78774024288634</v>
      </c>
      <c r="CX85" s="237">
        <f t="shared" si="771"/>
        <v>-739.63220959349349</v>
      </c>
      <c r="CY85" s="237">
        <f t="shared" si="771"/>
        <v>-741.48129011747722</v>
      </c>
      <c r="CZ85" s="237">
        <f t="shared" si="771"/>
        <v>-743.33499334277087</v>
      </c>
      <c r="DA85" s="237">
        <f t="shared" si="771"/>
        <v>-745.19333082612764</v>
      </c>
      <c r="DB85" s="237">
        <f t="shared" si="771"/>
        <v>-747.05631415319306</v>
      </c>
      <c r="DC85" s="237">
        <f t="shared" si="771"/>
        <v>-748.92395493857589</v>
      </c>
      <c r="DD85" s="237">
        <f t="shared" si="771"/>
        <v>-750.79626482592232</v>
      </c>
      <c r="DE85" s="237">
        <f t="shared" si="771"/>
        <v>-752.67325548798715</v>
      </c>
      <c r="DF85" s="237">
        <f t="shared" si="771"/>
        <v>-754.55493862670721</v>
      </c>
      <c r="DG85" s="237">
        <f t="shared" si="771"/>
        <v>-756.44132597327382</v>
      </c>
      <c r="DH85" s="237">
        <f t="shared" si="771"/>
        <v>-758.33242928820709</v>
      </c>
      <c r="DI85" s="237">
        <f t="shared" si="771"/>
        <v>-760.22826036142749</v>
      </c>
      <c r="DJ85" s="237">
        <f t="shared" si="771"/>
        <v>-762.12883101233103</v>
      </c>
      <c r="DK85" s="237">
        <f t="shared" si="771"/>
        <v>-764.03415308986177</v>
      </c>
      <c r="DL85" s="237">
        <f t="shared" si="771"/>
        <v>-765.94423847258656</v>
      </c>
      <c r="DM85" s="237">
        <f t="shared" si="771"/>
        <v>-767.85909906876805</v>
      </c>
      <c r="DN85" s="237">
        <f t="shared" si="771"/>
        <v>-769.77874681643971</v>
      </c>
      <c r="DO85" s="237">
        <f t="shared" si="771"/>
        <v>-771.70319368348066</v>
      </c>
      <c r="DP85" s="237">
        <f t="shared" si="771"/>
        <v>-773.63245166768934</v>
      </c>
      <c r="DQ85" s="237">
        <f t="shared" si="771"/>
        <v>-775.56653279685872</v>
      </c>
      <c r="DR85" s="237">
        <f t="shared" si="771"/>
        <v>-777.50544912885073</v>
      </c>
      <c r="DS85" s="237">
        <f t="shared" si="771"/>
        <v>-779.44921275167292</v>
      </c>
      <c r="DT85" s="237">
        <f t="shared" si="771"/>
        <v>-781.39783578355184</v>
      </c>
      <c r="DU85" s="237">
        <f t="shared" si="771"/>
        <v>-783.35133037301091</v>
      </c>
      <c r="DV85" s="237">
        <f t="shared" si="771"/>
        <v>-785.3097086989435</v>
      </c>
      <c r="DW85" s="237">
        <f t="shared" si="771"/>
        <v>-787.2729829706908</v>
      </c>
      <c r="DX85" s="237">
        <f t="shared" si="771"/>
        <v>-789.24116542811737</v>
      </c>
      <c r="DY85" s="237">
        <f t="shared" si="771"/>
        <v>-791.21426834168756</v>
      </c>
      <c r="DZ85" s="237">
        <f t="shared" si="771"/>
        <v>-793.19230401254185</v>
      </c>
      <c r="EA85" s="237">
        <f t="shared" si="771"/>
        <v>-795.17528477257304</v>
      </c>
      <c r="EB85" s="237">
        <f t="shared" si="771"/>
        <v>-797.1632229845045</v>
      </c>
      <c r="EC85" s="237">
        <f t="shared" si="771"/>
        <v>-799.15613104196575</v>
      </c>
      <c r="ED85" s="237">
        <f t="shared" si="771"/>
        <v>-801.15402136957061</v>
      </c>
      <c r="EE85" s="237">
        <f t="shared" si="771"/>
        <v>-803.15690642299455</v>
      </c>
      <c r="EF85" s="237">
        <f t="shared" ref="EF85:FF85" si="772">-IFERROR(INDEX($M24:$Q24,MATCH(YEAR(EF$58),$M$21:$Q$21,0)),$Q$24)*(SUM(EF$76,EF$82))</f>
        <v>-805.16479868905196</v>
      </c>
      <c r="EG85" s="237">
        <f t="shared" si="772"/>
        <v>-807.1777106857744</v>
      </c>
      <c r="EH85" s="237">
        <f t="shared" si="772"/>
        <v>-809.19565496248879</v>
      </c>
      <c r="EI85" s="237">
        <f t="shared" si="772"/>
        <v>-811.21864409989507</v>
      </c>
      <c r="EJ85" s="237">
        <f t="shared" si="772"/>
        <v>-813.24669071014466</v>
      </c>
      <c r="EK85" s="237">
        <f t="shared" si="772"/>
        <v>-815.27980743692001</v>
      </c>
      <c r="EL85" s="237">
        <f t="shared" si="772"/>
        <v>-817.31800695551237</v>
      </c>
      <c r="EM85" s="237">
        <f t="shared" si="772"/>
        <v>-819.36130197290095</v>
      </c>
      <c r="EN85" s="237">
        <f t="shared" si="772"/>
        <v>-821.40970522783334</v>
      </c>
      <c r="EO85" s="237">
        <f t="shared" si="772"/>
        <v>-823.46322949090279</v>
      </c>
      <c r="EP85" s="237">
        <f t="shared" si="772"/>
        <v>-825.52188756462999</v>
      </c>
      <c r="EQ85" s="237">
        <f t="shared" si="772"/>
        <v>-827.58569228354156</v>
      </c>
      <c r="ER85" s="237">
        <f t="shared" si="772"/>
        <v>-829.65465651425041</v>
      </c>
      <c r="ES85" s="237">
        <f t="shared" si="772"/>
        <v>-831.72879315553598</v>
      </c>
      <c r="ET85" s="237">
        <f t="shared" si="772"/>
        <v>-833.80811513842468</v>
      </c>
      <c r="EU85" s="237">
        <f t="shared" si="772"/>
        <v>-835.89263542627077</v>
      </c>
      <c r="EV85" s="237">
        <f t="shared" si="772"/>
        <v>-837.98236701483654</v>
      </c>
      <c r="EW85" s="237">
        <f t="shared" si="772"/>
        <v>-840.07732293237348</v>
      </c>
      <c r="EX85" s="237">
        <f t="shared" si="772"/>
        <v>-842.17751623970435</v>
      </c>
      <c r="EY85" s="237">
        <f t="shared" si="772"/>
        <v>-844.28296003030357</v>
      </c>
      <c r="EZ85" s="237">
        <f t="shared" si="772"/>
        <v>-846.39366743037931</v>
      </c>
      <c r="FA85" s="237">
        <f t="shared" si="772"/>
        <v>-848.50965159895509</v>
      </c>
      <c r="FB85" s="237">
        <f t="shared" si="772"/>
        <v>-850.63092572795256</v>
      </c>
      <c r="FC85" s="237">
        <f t="shared" si="772"/>
        <v>-852.75750304227233</v>
      </c>
      <c r="FD85" s="237">
        <f t="shared" si="772"/>
        <v>-854.88939679987789</v>
      </c>
      <c r="FE85" s="237">
        <f t="shared" si="772"/>
        <v>-857.02662029187763</v>
      </c>
      <c r="FF85" s="237">
        <f t="shared" si="772"/>
        <v>-859.16918684260736</v>
      </c>
      <c r="FG85" s="322"/>
      <c r="FH85" s="237">
        <f t="shared" si="769"/>
        <v>-4114.8706883466339</v>
      </c>
      <c r="FI85" s="237">
        <f t="shared" si="769"/>
        <v>-7223.5675359628758</v>
      </c>
      <c r="FJ85" s="237">
        <f t="shared" si="769"/>
        <v>-7443.2792548985271</v>
      </c>
      <c r="FK85" s="237">
        <f t="shared" si="769"/>
        <v>-7669.6737160107168</v>
      </c>
      <c r="FL85" s="237">
        <f t="shared" si="769"/>
        <v>-7902.9541812975558</v>
      </c>
      <c r="FM85" s="237">
        <f t="shared" si="769"/>
        <v>-8143.33009516532</v>
      </c>
      <c r="FN85" s="237">
        <f t="shared" si="769"/>
        <v>-8391.0172724723307</v>
      </c>
      <c r="FO85" s="237">
        <f t="shared" si="769"/>
        <v>-8646.2380922923367</v>
      </c>
      <c r="FP85" s="237">
        <f t="shared" si="769"/>
        <v>-8909.2216975714182</v>
      </c>
      <c r="FQ85" s="237">
        <f t="shared" si="769"/>
        <v>-9180.2042008576318</v>
      </c>
      <c r="FR85" s="237">
        <f t="shared" si="769"/>
        <v>-9459.428896288111</v>
      </c>
      <c r="FS85" s="237">
        <f t="shared" si="769"/>
        <v>-9747.1464780239894</v>
      </c>
      <c r="FT85" s="237">
        <f t="shared" si="769"/>
        <v>-10043.615265329205</v>
      </c>
      <c r="FU85" s="237">
        <f t="shared" si="769"/>
        <v>-4274.4736327045885</v>
      </c>
      <c r="FV85" s="322"/>
    </row>
    <row r="86" spans="3:178" x14ac:dyDescent="0.2">
      <c r="C86" s="39" t="s">
        <v>182</v>
      </c>
      <c r="D86" s="238">
        <f>M25</f>
        <v>2.5000000000000001E-3</v>
      </c>
      <c r="E86" s="231">
        <f t="shared" si="763"/>
        <v>-111149.02100722122</v>
      </c>
      <c r="F86" s="232">
        <v>0</v>
      </c>
      <c r="G86" s="237">
        <f>-IFERROR(INDEX($M25:$Q25,MATCH(YEAR(G$58),$M$21:$Q$21,0)),$Q$25)*(SUM(G$76,G$82))</f>
        <v>-583.44455729166668</v>
      </c>
      <c r="H86" s="237">
        <f t="shared" ref="H86:BS86" si="773">-IFERROR(INDEX($M25:$Q25,MATCH(YEAR(H$58),$M$21:$Q$21,0)),$Q$25)*(SUM(H$76,H$82))</f>
        <v>-584.90316868489583</v>
      </c>
      <c r="I86" s="237">
        <f t="shared" si="773"/>
        <v>-586.36542660660803</v>
      </c>
      <c r="J86" s="237">
        <f t="shared" si="773"/>
        <v>-587.83134017312443</v>
      </c>
      <c r="K86" s="237">
        <f t="shared" si="773"/>
        <v>-589.30091852355724</v>
      </c>
      <c r="L86" s="237">
        <f t="shared" si="773"/>
        <v>-590.77417081986619</v>
      </c>
      <c r="M86" s="237">
        <f t="shared" si="773"/>
        <v>-592.2511062469157</v>
      </c>
      <c r="N86" s="237">
        <f t="shared" si="773"/>
        <v>-593.73173401253302</v>
      </c>
      <c r="O86" s="237">
        <f t="shared" si="773"/>
        <v>-595.21606334756439</v>
      </c>
      <c r="P86" s="237">
        <f t="shared" si="773"/>
        <v>-596.70410350593318</v>
      </c>
      <c r="Q86" s="237">
        <f t="shared" si="773"/>
        <v>-598.19586376469806</v>
      </c>
      <c r="R86" s="237">
        <f t="shared" si="773"/>
        <v>-599.69135342410982</v>
      </c>
      <c r="S86" s="237">
        <f t="shared" si="773"/>
        <v>-601.1905818076699</v>
      </c>
      <c r="T86" s="237">
        <f t="shared" si="773"/>
        <v>-602.69355826218907</v>
      </c>
      <c r="U86" s="237">
        <f t="shared" si="773"/>
        <v>-604.20029215784473</v>
      </c>
      <c r="V86" s="237">
        <f t="shared" si="773"/>
        <v>-605.71079288823921</v>
      </c>
      <c r="W86" s="237">
        <f t="shared" si="773"/>
        <v>-607.22506987045972</v>
      </c>
      <c r="X86" s="237">
        <f t="shared" si="773"/>
        <v>-608.74313254513584</v>
      </c>
      <c r="Y86" s="237">
        <f t="shared" si="773"/>
        <v>-610.26499037649853</v>
      </c>
      <c r="Z86" s="237">
        <f t="shared" si="773"/>
        <v>-611.79065285243985</v>
      </c>
      <c r="AA86" s="237">
        <f t="shared" si="773"/>
        <v>-613.320129484571</v>
      </c>
      <c r="AB86" s="237">
        <f t="shared" si="773"/>
        <v>-614.85342980828239</v>
      </c>
      <c r="AC86" s="237">
        <f t="shared" si="773"/>
        <v>-616.39056338280307</v>
      </c>
      <c r="AD86" s="237">
        <f t="shared" si="773"/>
        <v>-617.93153979125998</v>
      </c>
      <c r="AE86" s="237">
        <f t="shared" si="773"/>
        <v>-619.47636864073809</v>
      </c>
      <c r="AF86" s="237">
        <f t="shared" si="773"/>
        <v>-621.02505956233983</v>
      </c>
      <c r="AG86" s="237">
        <f t="shared" si="773"/>
        <v>-622.57762221124563</v>
      </c>
      <c r="AH86" s="237">
        <f t="shared" si="773"/>
        <v>-624.13406626677363</v>
      </c>
      <c r="AI86" s="237">
        <f t="shared" si="773"/>
        <v>-625.69440143244049</v>
      </c>
      <c r="AJ86" s="237">
        <f t="shared" si="773"/>
        <v>-627.25863743602156</v>
      </c>
      <c r="AK86" s="237">
        <f t="shared" si="773"/>
        <v>-628.82678402961164</v>
      </c>
      <c r="AL86" s="237">
        <f t="shared" si="773"/>
        <v>-630.39885098968557</v>
      </c>
      <c r="AM86" s="237">
        <f t="shared" si="773"/>
        <v>-631.97484811715981</v>
      </c>
      <c r="AN86" s="237">
        <f t="shared" si="773"/>
        <v>-633.55478523745273</v>
      </c>
      <c r="AO86" s="237">
        <f t="shared" si="773"/>
        <v>-635.13867220054624</v>
      </c>
      <c r="AP86" s="237">
        <f t="shared" si="773"/>
        <v>-636.72651888104758</v>
      </c>
      <c r="AQ86" s="237">
        <f t="shared" si="773"/>
        <v>-638.31833517825009</v>
      </c>
      <c r="AR86" s="237">
        <f t="shared" si="773"/>
        <v>-639.91413101619571</v>
      </c>
      <c r="AS86" s="237">
        <f t="shared" si="773"/>
        <v>-641.51391634373613</v>
      </c>
      <c r="AT86" s="237">
        <f t="shared" si="773"/>
        <v>-643.11770113459556</v>
      </c>
      <c r="AU86" s="237">
        <f t="shared" si="773"/>
        <v>-644.72549538743203</v>
      </c>
      <c r="AV86" s="237">
        <f t="shared" si="773"/>
        <v>-646.33730912590056</v>
      </c>
      <c r="AW86" s="237">
        <f t="shared" si="773"/>
        <v>-647.95315239871525</v>
      </c>
      <c r="AX86" s="237">
        <f t="shared" si="773"/>
        <v>-649.57303527971203</v>
      </c>
      <c r="AY86" s="237">
        <f t="shared" si="773"/>
        <v>-651.19696786791121</v>
      </c>
      <c r="AZ86" s="237">
        <f t="shared" si="773"/>
        <v>-652.82496028758101</v>
      </c>
      <c r="BA86" s="237">
        <f t="shared" si="773"/>
        <v>-654.45702268829996</v>
      </c>
      <c r="BB86" s="237">
        <f t="shared" si="773"/>
        <v>-656.09316524502071</v>
      </c>
      <c r="BC86" s="237">
        <f t="shared" si="773"/>
        <v>-657.73339815813324</v>
      </c>
      <c r="BD86" s="237">
        <f t="shared" si="773"/>
        <v>-659.37773165352849</v>
      </c>
      <c r="BE86" s="237">
        <f t="shared" si="773"/>
        <v>-661.02617598266238</v>
      </c>
      <c r="BF86" s="237">
        <f t="shared" si="773"/>
        <v>-662.67874142261905</v>
      </c>
      <c r="BG86" s="237">
        <f t="shared" si="773"/>
        <v>-664.33543827617552</v>
      </c>
      <c r="BH86" s="237">
        <f t="shared" si="773"/>
        <v>-665.99627687186603</v>
      </c>
      <c r="BI86" s="237">
        <f t="shared" si="773"/>
        <v>-667.6612675640456</v>
      </c>
      <c r="BJ86" s="237">
        <f t="shared" si="773"/>
        <v>-669.33042073295564</v>
      </c>
      <c r="BK86" s="237">
        <f t="shared" si="773"/>
        <v>-671.00374678478795</v>
      </c>
      <c r="BL86" s="237">
        <f t="shared" si="773"/>
        <v>-672.68125615174995</v>
      </c>
      <c r="BM86" s="237">
        <f t="shared" si="773"/>
        <v>-674.36295929212929</v>
      </c>
      <c r="BN86" s="237">
        <f t="shared" si="773"/>
        <v>-676.04886669035955</v>
      </c>
      <c r="BO86" s="237">
        <f t="shared" si="773"/>
        <v>-677.73898885708547</v>
      </c>
      <c r="BP86" s="237">
        <f t="shared" si="773"/>
        <v>-679.43333632922804</v>
      </c>
      <c r="BQ86" s="237">
        <f t="shared" si="773"/>
        <v>-681.13191967005116</v>
      </c>
      <c r="BR86" s="237">
        <f t="shared" si="773"/>
        <v>-682.83474946922627</v>
      </c>
      <c r="BS86" s="237">
        <f t="shared" si="773"/>
        <v>-684.54183634289916</v>
      </c>
      <c r="BT86" s="237">
        <f t="shared" ref="BT86:EE86" si="774">-IFERROR(INDEX($M25:$Q25,MATCH(YEAR(BT$58),$M$21:$Q$21,0)),$Q$25)*(SUM(BT$76,BT$82))</f>
        <v>-686.2531909337564</v>
      </c>
      <c r="BU86" s="237">
        <f t="shared" si="774"/>
        <v>-687.96882391109091</v>
      </c>
      <c r="BV86" s="237">
        <f t="shared" si="774"/>
        <v>-689.68874597086847</v>
      </c>
      <c r="BW86" s="237">
        <f t="shared" si="774"/>
        <v>-691.4129678357956</v>
      </c>
      <c r="BX86" s="237">
        <f t="shared" si="774"/>
        <v>-693.14150025538515</v>
      </c>
      <c r="BY86" s="237">
        <f t="shared" si="774"/>
        <v>-694.87435400602351</v>
      </c>
      <c r="BZ86" s="237">
        <f t="shared" si="774"/>
        <v>-696.61153989103855</v>
      </c>
      <c r="CA86" s="237">
        <f t="shared" si="774"/>
        <v>-698.35306874076605</v>
      </c>
      <c r="CB86" s="237">
        <f t="shared" si="774"/>
        <v>-700.09895141261791</v>
      </c>
      <c r="CC86" s="237">
        <f t="shared" si="774"/>
        <v>-701.84919879114943</v>
      </c>
      <c r="CD86" s="237">
        <f t="shared" si="774"/>
        <v>-703.60382178812722</v>
      </c>
      <c r="CE86" s="237">
        <f t="shared" si="774"/>
        <v>-705.36283134259747</v>
      </c>
      <c r="CF86" s="237">
        <f t="shared" si="774"/>
        <v>-707.12623842095388</v>
      </c>
      <c r="CG86" s="237">
        <f t="shared" si="774"/>
        <v>-708.89405401700628</v>
      </c>
      <c r="CH86" s="237">
        <f t="shared" si="774"/>
        <v>-710.66628915204888</v>
      </c>
      <c r="CI86" s="237">
        <f t="shared" si="774"/>
        <v>-712.44295487492889</v>
      </c>
      <c r="CJ86" s="237">
        <f t="shared" si="774"/>
        <v>-714.22406226211604</v>
      </c>
      <c r="CK86" s="237">
        <f t="shared" si="774"/>
        <v>-716.00962241777131</v>
      </c>
      <c r="CL86" s="237">
        <f t="shared" si="774"/>
        <v>-717.79964647381564</v>
      </c>
      <c r="CM86" s="237">
        <f t="shared" si="774"/>
        <v>-719.59414559000027</v>
      </c>
      <c r="CN86" s="237">
        <f t="shared" si="774"/>
        <v>-721.39313095397517</v>
      </c>
      <c r="CO86" s="237">
        <f t="shared" si="774"/>
        <v>-723.19661378136004</v>
      </c>
      <c r="CP86" s="237">
        <f t="shared" si="774"/>
        <v>-725.00460531581359</v>
      </c>
      <c r="CQ86" s="237">
        <f t="shared" si="774"/>
        <v>-726.81711682910293</v>
      </c>
      <c r="CR86" s="237">
        <f t="shared" si="774"/>
        <v>-728.63415962117563</v>
      </c>
      <c r="CS86" s="237">
        <f t="shared" si="774"/>
        <v>-730.45574502022839</v>
      </c>
      <c r="CT86" s="237">
        <f t="shared" si="774"/>
        <v>-732.28188438277914</v>
      </c>
      <c r="CU86" s="237">
        <f t="shared" si="774"/>
        <v>-734.11258909373589</v>
      </c>
      <c r="CV86" s="237">
        <f t="shared" si="774"/>
        <v>-735.94787056647021</v>
      </c>
      <c r="CW86" s="237">
        <f t="shared" si="774"/>
        <v>-737.78774024288634</v>
      </c>
      <c r="CX86" s="237">
        <f t="shared" si="774"/>
        <v>-739.63220959349349</v>
      </c>
      <c r="CY86" s="237">
        <f t="shared" si="774"/>
        <v>-741.48129011747722</v>
      </c>
      <c r="CZ86" s="237">
        <f t="shared" si="774"/>
        <v>-743.33499334277087</v>
      </c>
      <c r="DA86" s="237">
        <f t="shared" si="774"/>
        <v>-745.19333082612764</v>
      </c>
      <c r="DB86" s="237">
        <f t="shared" si="774"/>
        <v>-747.05631415319306</v>
      </c>
      <c r="DC86" s="237">
        <f t="shared" si="774"/>
        <v>-748.92395493857589</v>
      </c>
      <c r="DD86" s="237">
        <f t="shared" si="774"/>
        <v>-750.79626482592232</v>
      </c>
      <c r="DE86" s="237">
        <f t="shared" si="774"/>
        <v>-752.67325548798715</v>
      </c>
      <c r="DF86" s="237">
        <f t="shared" si="774"/>
        <v>-754.55493862670721</v>
      </c>
      <c r="DG86" s="237">
        <f t="shared" si="774"/>
        <v>-756.44132597327382</v>
      </c>
      <c r="DH86" s="237">
        <f t="shared" si="774"/>
        <v>-758.33242928820709</v>
      </c>
      <c r="DI86" s="237">
        <f t="shared" si="774"/>
        <v>-760.22826036142749</v>
      </c>
      <c r="DJ86" s="237">
        <f t="shared" si="774"/>
        <v>-762.12883101233103</v>
      </c>
      <c r="DK86" s="237">
        <f t="shared" si="774"/>
        <v>-764.03415308986177</v>
      </c>
      <c r="DL86" s="237">
        <f t="shared" si="774"/>
        <v>-765.94423847258656</v>
      </c>
      <c r="DM86" s="237">
        <f t="shared" si="774"/>
        <v>-767.85909906876805</v>
      </c>
      <c r="DN86" s="237">
        <f t="shared" si="774"/>
        <v>-769.77874681643971</v>
      </c>
      <c r="DO86" s="237">
        <f t="shared" si="774"/>
        <v>-771.70319368348066</v>
      </c>
      <c r="DP86" s="237">
        <f t="shared" si="774"/>
        <v>-773.63245166768934</v>
      </c>
      <c r="DQ86" s="237">
        <f t="shared" si="774"/>
        <v>-775.56653279685872</v>
      </c>
      <c r="DR86" s="237">
        <f t="shared" si="774"/>
        <v>-777.50544912885073</v>
      </c>
      <c r="DS86" s="237">
        <f t="shared" si="774"/>
        <v>-779.44921275167292</v>
      </c>
      <c r="DT86" s="237">
        <f t="shared" si="774"/>
        <v>-781.39783578355184</v>
      </c>
      <c r="DU86" s="237">
        <f t="shared" si="774"/>
        <v>-783.35133037301091</v>
      </c>
      <c r="DV86" s="237">
        <f t="shared" si="774"/>
        <v>-785.3097086989435</v>
      </c>
      <c r="DW86" s="237">
        <f t="shared" si="774"/>
        <v>-787.2729829706908</v>
      </c>
      <c r="DX86" s="237">
        <f t="shared" si="774"/>
        <v>-789.24116542811737</v>
      </c>
      <c r="DY86" s="237">
        <f t="shared" si="774"/>
        <v>-791.21426834168756</v>
      </c>
      <c r="DZ86" s="237">
        <f t="shared" si="774"/>
        <v>-793.19230401254185</v>
      </c>
      <c r="EA86" s="237">
        <f t="shared" si="774"/>
        <v>-795.17528477257304</v>
      </c>
      <c r="EB86" s="237">
        <f t="shared" si="774"/>
        <v>-797.1632229845045</v>
      </c>
      <c r="EC86" s="237">
        <f t="shared" si="774"/>
        <v>-799.15613104196575</v>
      </c>
      <c r="ED86" s="237">
        <f t="shared" si="774"/>
        <v>-801.15402136957061</v>
      </c>
      <c r="EE86" s="237">
        <f t="shared" si="774"/>
        <v>-803.15690642299455</v>
      </c>
      <c r="EF86" s="237">
        <f t="shared" ref="EF86:FF86" si="775">-IFERROR(INDEX($M25:$Q25,MATCH(YEAR(EF$58),$M$21:$Q$21,0)),$Q$25)*(SUM(EF$76,EF$82))</f>
        <v>-805.16479868905196</v>
      </c>
      <c r="EG86" s="237">
        <f t="shared" si="775"/>
        <v>-807.1777106857744</v>
      </c>
      <c r="EH86" s="237">
        <f t="shared" si="775"/>
        <v>-809.19565496248879</v>
      </c>
      <c r="EI86" s="237">
        <f t="shared" si="775"/>
        <v>-811.21864409989507</v>
      </c>
      <c r="EJ86" s="237">
        <f t="shared" si="775"/>
        <v>-813.24669071014466</v>
      </c>
      <c r="EK86" s="237">
        <f t="shared" si="775"/>
        <v>-815.27980743692001</v>
      </c>
      <c r="EL86" s="237">
        <f t="shared" si="775"/>
        <v>-817.31800695551237</v>
      </c>
      <c r="EM86" s="237">
        <f t="shared" si="775"/>
        <v>-819.36130197290095</v>
      </c>
      <c r="EN86" s="237">
        <f t="shared" si="775"/>
        <v>-821.40970522783334</v>
      </c>
      <c r="EO86" s="237">
        <f t="shared" si="775"/>
        <v>-823.46322949090279</v>
      </c>
      <c r="EP86" s="237">
        <f t="shared" si="775"/>
        <v>-825.52188756462999</v>
      </c>
      <c r="EQ86" s="237">
        <f t="shared" si="775"/>
        <v>-827.58569228354156</v>
      </c>
      <c r="ER86" s="237">
        <f t="shared" si="775"/>
        <v>-829.65465651425041</v>
      </c>
      <c r="ES86" s="237">
        <f t="shared" si="775"/>
        <v>-831.72879315553598</v>
      </c>
      <c r="ET86" s="237">
        <f t="shared" si="775"/>
        <v>-833.80811513842468</v>
      </c>
      <c r="EU86" s="237">
        <f t="shared" si="775"/>
        <v>-835.89263542627077</v>
      </c>
      <c r="EV86" s="237">
        <f t="shared" si="775"/>
        <v>-837.98236701483654</v>
      </c>
      <c r="EW86" s="237">
        <f t="shared" si="775"/>
        <v>-840.07732293237348</v>
      </c>
      <c r="EX86" s="237">
        <f t="shared" si="775"/>
        <v>-842.17751623970435</v>
      </c>
      <c r="EY86" s="237">
        <f t="shared" si="775"/>
        <v>-844.28296003030357</v>
      </c>
      <c r="EZ86" s="237">
        <f t="shared" si="775"/>
        <v>-846.39366743037931</v>
      </c>
      <c r="FA86" s="237">
        <f t="shared" si="775"/>
        <v>-848.50965159895509</v>
      </c>
      <c r="FB86" s="237">
        <f t="shared" si="775"/>
        <v>-850.63092572795256</v>
      </c>
      <c r="FC86" s="237">
        <f t="shared" si="775"/>
        <v>-852.75750304227233</v>
      </c>
      <c r="FD86" s="237">
        <f t="shared" si="775"/>
        <v>-854.88939679987789</v>
      </c>
      <c r="FE86" s="237">
        <f t="shared" si="775"/>
        <v>-857.02662029187763</v>
      </c>
      <c r="FF86" s="237">
        <f t="shared" si="775"/>
        <v>-859.16918684260736</v>
      </c>
      <c r="FG86" s="322"/>
      <c r="FH86" s="237">
        <f t="shared" si="769"/>
        <v>-4114.8706883466339</v>
      </c>
      <c r="FI86" s="237">
        <f t="shared" si="769"/>
        <v>-7223.5675359628758</v>
      </c>
      <c r="FJ86" s="237">
        <f t="shared" si="769"/>
        <v>-7443.2792548985271</v>
      </c>
      <c r="FK86" s="237">
        <f t="shared" si="769"/>
        <v>-7669.6737160107168</v>
      </c>
      <c r="FL86" s="237">
        <f t="shared" si="769"/>
        <v>-7902.9541812975558</v>
      </c>
      <c r="FM86" s="237">
        <f t="shared" si="769"/>
        <v>-8143.33009516532</v>
      </c>
      <c r="FN86" s="237">
        <f t="shared" si="769"/>
        <v>-8391.0172724723307</v>
      </c>
      <c r="FO86" s="237">
        <f t="shared" si="769"/>
        <v>-8646.2380922923367</v>
      </c>
      <c r="FP86" s="237">
        <f t="shared" si="769"/>
        <v>-8909.2216975714182</v>
      </c>
      <c r="FQ86" s="237">
        <f t="shared" si="769"/>
        <v>-9180.2042008576318</v>
      </c>
      <c r="FR86" s="237">
        <f t="shared" si="769"/>
        <v>-9459.428896288111</v>
      </c>
      <c r="FS86" s="237">
        <f t="shared" si="769"/>
        <v>-9747.1464780239894</v>
      </c>
      <c r="FT86" s="237">
        <f t="shared" si="769"/>
        <v>-10043.615265329205</v>
      </c>
      <c r="FU86" s="237">
        <f t="shared" si="769"/>
        <v>-4274.4736327045885</v>
      </c>
      <c r="FV86" s="322"/>
    </row>
    <row r="87" spans="3:178" x14ac:dyDescent="0.2">
      <c r="C87" s="39" t="s">
        <v>43</v>
      </c>
      <c r="E87" s="233">
        <f t="shared" si="763"/>
        <v>-410609.40265773766</v>
      </c>
      <c r="F87" s="234">
        <v>0</v>
      </c>
      <c r="G87" s="234">
        <f>-IFERROR(INDEX($M26:$Q26,MATCH(YEAR(G$58),$M$21:$Q$21,0)),$Q$26)*G71</f>
        <v>-2155.375</v>
      </c>
      <c r="H87" s="234">
        <f t="shared" ref="H87:BS87" si="776">-IFERROR(INDEX($M26:$Q26,MATCH(YEAR(H$58),$M$21:$Q$21,0)),$Q$26)*H71</f>
        <v>-2160.7634374999998</v>
      </c>
      <c r="I87" s="234">
        <f t="shared" si="776"/>
        <v>-2166.1653460937496</v>
      </c>
      <c r="J87" s="234">
        <f t="shared" si="776"/>
        <v>-2171.5807594589837</v>
      </c>
      <c r="K87" s="234">
        <f t="shared" si="776"/>
        <v>-2177.0097113576312</v>
      </c>
      <c r="L87" s="234">
        <f t="shared" si="776"/>
        <v>-2182.4522356360253</v>
      </c>
      <c r="M87" s="234">
        <f t="shared" si="776"/>
        <v>-2187.9083662251151</v>
      </c>
      <c r="N87" s="234">
        <f t="shared" si="776"/>
        <v>-2193.3781371406776</v>
      </c>
      <c r="O87" s="234">
        <f t="shared" si="776"/>
        <v>-2198.8615824835292</v>
      </c>
      <c r="P87" s="234">
        <f t="shared" si="776"/>
        <v>-2204.3587364397381</v>
      </c>
      <c r="Q87" s="234">
        <f t="shared" si="776"/>
        <v>-2209.8696332808372</v>
      </c>
      <c r="R87" s="234">
        <f t="shared" si="776"/>
        <v>-2215.3943073640394</v>
      </c>
      <c r="S87" s="234">
        <f t="shared" si="776"/>
        <v>-2220.9327931324492</v>
      </c>
      <c r="T87" s="234">
        <f t="shared" si="776"/>
        <v>-2226.4851251152804</v>
      </c>
      <c r="U87" s="234">
        <f t="shared" si="776"/>
        <v>-2232.0513379280687</v>
      </c>
      <c r="V87" s="234">
        <f t="shared" si="776"/>
        <v>-2237.6314662728887</v>
      </c>
      <c r="W87" s="234">
        <f t="shared" si="776"/>
        <v>-2243.2255449385707</v>
      </c>
      <c r="X87" s="234">
        <f t="shared" si="776"/>
        <v>-2248.8336088009169</v>
      </c>
      <c r="Y87" s="234">
        <f t="shared" si="776"/>
        <v>-2254.455692822919</v>
      </c>
      <c r="Z87" s="234">
        <f t="shared" si="776"/>
        <v>-2260.0918320549763</v>
      </c>
      <c r="AA87" s="234">
        <f t="shared" si="776"/>
        <v>-2265.7420616351137</v>
      </c>
      <c r="AB87" s="234">
        <f t="shared" si="776"/>
        <v>-2271.4064167892016</v>
      </c>
      <c r="AC87" s="234">
        <f t="shared" si="776"/>
        <v>-2277.0849328311742</v>
      </c>
      <c r="AD87" s="234">
        <f t="shared" si="776"/>
        <v>-2282.7776451632521</v>
      </c>
      <c r="AE87" s="234">
        <f t="shared" si="776"/>
        <v>-2288.48458927616</v>
      </c>
      <c r="AF87" s="234">
        <f t="shared" si="776"/>
        <v>-2294.2058007493501</v>
      </c>
      <c r="AG87" s="234">
        <f t="shared" si="776"/>
        <v>-2299.9413152512234</v>
      </c>
      <c r="AH87" s="234">
        <f t="shared" si="776"/>
        <v>-2305.6911685393511</v>
      </c>
      <c r="AI87" s="234">
        <f t="shared" si="776"/>
        <v>-2311.4553964606994</v>
      </c>
      <c r="AJ87" s="234">
        <f t="shared" si="776"/>
        <v>-2317.2340349518508</v>
      </c>
      <c r="AK87" s="234">
        <f t="shared" si="776"/>
        <v>-2323.0271200392303</v>
      </c>
      <c r="AL87" s="234">
        <f t="shared" si="776"/>
        <v>-2328.8346878393281</v>
      </c>
      <c r="AM87" s="234">
        <f t="shared" si="776"/>
        <v>-2334.6567745589264</v>
      </c>
      <c r="AN87" s="234">
        <f t="shared" si="776"/>
        <v>-2340.4934164953233</v>
      </c>
      <c r="AO87" s="234">
        <f t="shared" si="776"/>
        <v>-2346.3446500365617</v>
      </c>
      <c r="AP87" s="234">
        <f t="shared" si="776"/>
        <v>-2352.2105116616531</v>
      </c>
      <c r="AQ87" s="234">
        <f t="shared" si="776"/>
        <v>-2358.0910379408069</v>
      </c>
      <c r="AR87" s="234">
        <f t="shared" si="776"/>
        <v>-2363.9862655356587</v>
      </c>
      <c r="AS87" s="234">
        <f t="shared" si="776"/>
        <v>-2369.8962311994978</v>
      </c>
      <c r="AT87" s="234">
        <f t="shared" si="776"/>
        <v>-2375.8209717774967</v>
      </c>
      <c r="AU87" s="234">
        <f t="shared" si="776"/>
        <v>-2381.7605242069403</v>
      </c>
      <c r="AV87" s="234">
        <f t="shared" si="776"/>
        <v>-2387.7149255174577</v>
      </c>
      <c r="AW87" s="234">
        <f t="shared" si="776"/>
        <v>-2393.684212831251</v>
      </c>
      <c r="AX87" s="234">
        <f t="shared" si="776"/>
        <v>-2399.6684233633291</v>
      </c>
      <c r="AY87" s="234">
        <f t="shared" si="776"/>
        <v>-2405.6675944217372</v>
      </c>
      <c r="AZ87" s="234">
        <f t="shared" si="776"/>
        <v>-2411.6817634077915</v>
      </c>
      <c r="BA87" s="234">
        <f t="shared" si="776"/>
        <v>-2417.710967816311</v>
      </c>
      <c r="BB87" s="234">
        <f t="shared" si="776"/>
        <v>-2423.7552452358518</v>
      </c>
      <c r="BC87" s="234">
        <f t="shared" si="776"/>
        <v>-2429.8146333489412</v>
      </c>
      <c r="BD87" s="234">
        <f t="shared" si="776"/>
        <v>-2435.8891699323135</v>
      </c>
      <c r="BE87" s="234">
        <f t="shared" si="776"/>
        <v>-2441.9788928571443</v>
      </c>
      <c r="BF87" s="234">
        <f t="shared" si="776"/>
        <v>-2448.0838400892872</v>
      </c>
      <c r="BG87" s="234">
        <f t="shared" si="776"/>
        <v>-2454.2040496895102</v>
      </c>
      <c r="BH87" s="234">
        <f t="shared" si="776"/>
        <v>-2460.339559813734</v>
      </c>
      <c r="BI87" s="234">
        <f t="shared" si="776"/>
        <v>-2466.4904087132682</v>
      </c>
      <c r="BJ87" s="234">
        <f t="shared" si="776"/>
        <v>-2472.6566347350513</v>
      </c>
      <c r="BK87" s="234">
        <f t="shared" si="776"/>
        <v>-2478.8382763218888</v>
      </c>
      <c r="BL87" s="234">
        <f t="shared" si="776"/>
        <v>-2485.0353720126932</v>
      </c>
      <c r="BM87" s="234">
        <f t="shared" si="776"/>
        <v>-2491.2479604427249</v>
      </c>
      <c r="BN87" s="234">
        <f t="shared" si="776"/>
        <v>-2497.4760803438317</v>
      </c>
      <c r="BO87" s="234">
        <f t="shared" si="776"/>
        <v>-2503.7197705446911</v>
      </c>
      <c r="BP87" s="234">
        <f t="shared" si="776"/>
        <v>-2509.9790699710525</v>
      </c>
      <c r="BQ87" s="234">
        <f t="shared" si="776"/>
        <v>-2516.2540176459802</v>
      </c>
      <c r="BR87" s="234">
        <f t="shared" si="776"/>
        <v>-2522.5446526900951</v>
      </c>
      <c r="BS87" s="234">
        <f t="shared" si="776"/>
        <v>-2528.85101432182</v>
      </c>
      <c r="BT87" s="234">
        <f t="shared" ref="BT87:EE87" si="777">-IFERROR(INDEX($M26:$Q26,MATCH(YEAR(BT$58),$M$21:$Q$21,0)),$Q$26)*BT71</f>
        <v>-2535.1731418576246</v>
      </c>
      <c r="BU87" s="234">
        <f t="shared" si="777"/>
        <v>-2541.5110747122685</v>
      </c>
      <c r="BV87" s="234">
        <f t="shared" si="777"/>
        <v>-2547.8648523990491</v>
      </c>
      <c r="BW87" s="234">
        <f t="shared" si="777"/>
        <v>-2554.2345145300465</v>
      </c>
      <c r="BX87" s="234">
        <f t="shared" si="777"/>
        <v>-2560.6201008163716</v>
      </c>
      <c r="BY87" s="234">
        <f t="shared" si="777"/>
        <v>-2567.0216510684122</v>
      </c>
      <c r="BZ87" s="234">
        <f t="shared" si="777"/>
        <v>-2573.4392051960831</v>
      </c>
      <c r="CA87" s="234">
        <f t="shared" si="777"/>
        <v>-2579.872803209073</v>
      </c>
      <c r="CB87" s="234">
        <f t="shared" si="777"/>
        <v>-2586.3224852170956</v>
      </c>
      <c r="CC87" s="234">
        <f t="shared" si="777"/>
        <v>-2592.7882914301381</v>
      </c>
      <c r="CD87" s="234">
        <f t="shared" si="777"/>
        <v>-2599.2702621587132</v>
      </c>
      <c r="CE87" s="234">
        <f t="shared" si="777"/>
        <v>-2605.7684378141098</v>
      </c>
      <c r="CF87" s="234">
        <f t="shared" si="777"/>
        <v>-2612.2828589086448</v>
      </c>
      <c r="CG87" s="234">
        <f t="shared" si="777"/>
        <v>-2618.8135660559165</v>
      </c>
      <c r="CH87" s="234">
        <f t="shared" si="777"/>
        <v>-2625.3605999710562</v>
      </c>
      <c r="CI87" s="234">
        <f t="shared" si="777"/>
        <v>-2631.9240014709835</v>
      </c>
      <c r="CJ87" s="234">
        <f t="shared" si="777"/>
        <v>-2638.5038114746608</v>
      </c>
      <c r="CK87" s="234">
        <f t="shared" si="777"/>
        <v>-2645.1000710033472</v>
      </c>
      <c r="CL87" s="234">
        <f t="shared" si="777"/>
        <v>-2651.7128211808554</v>
      </c>
      <c r="CM87" s="234">
        <f t="shared" si="777"/>
        <v>-2658.3421032338074</v>
      </c>
      <c r="CN87" s="234">
        <f t="shared" si="777"/>
        <v>-2664.9879584918917</v>
      </c>
      <c r="CO87" s="234">
        <f t="shared" si="777"/>
        <v>-2671.6504283881213</v>
      </c>
      <c r="CP87" s="234">
        <f t="shared" si="777"/>
        <v>-2678.3295544590915</v>
      </c>
      <c r="CQ87" s="234">
        <f t="shared" si="777"/>
        <v>-2685.025378345239</v>
      </c>
      <c r="CR87" s="234">
        <f t="shared" si="777"/>
        <v>-2691.737941791102</v>
      </c>
      <c r="CS87" s="234">
        <f t="shared" si="777"/>
        <v>-2698.4672866455794</v>
      </c>
      <c r="CT87" s="234">
        <f t="shared" si="777"/>
        <v>-2705.2134548621934</v>
      </c>
      <c r="CU87" s="234">
        <f t="shared" si="777"/>
        <v>-2711.9764884993488</v>
      </c>
      <c r="CV87" s="234">
        <f t="shared" si="777"/>
        <v>-2718.7564297205968</v>
      </c>
      <c r="CW87" s="234">
        <f t="shared" si="777"/>
        <v>-2725.5533207948979</v>
      </c>
      <c r="CX87" s="234">
        <f t="shared" si="777"/>
        <v>-2732.367204096885</v>
      </c>
      <c r="CY87" s="234">
        <f t="shared" si="777"/>
        <v>-2739.1981221071269</v>
      </c>
      <c r="CZ87" s="234">
        <f t="shared" si="777"/>
        <v>-2746.0461174123948</v>
      </c>
      <c r="DA87" s="234">
        <f t="shared" si="777"/>
        <v>-2752.9112327059256</v>
      </c>
      <c r="DB87" s="234">
        <f t="shared" si="777"/>
        <v>-2759.7935107876901</v>
      </c>
      <c r="DC87" s="234">
        <f t="shared" si="777"/>
        <v>-2766.6929945646593</v>
      </c>
      <c r="DD87" s="234">
        <f t="shared" si="777"/>
        <v>-2773.6097270510709</v>
      </c>
      <c r="DE87" s="234">
        <f t="shared" si="777"/>
        <v>-2780.5437513686984</v>
      </c>
      <c r="DF87" s="234">
        <f t="shared" si="777"/>
        <v>-2787.4951107471202</v>
      </c>
      <c r="DG87" s="234">
        <f t="shared" si="777"/>
        <v>-2794.463848523988</v>
      </c>
      <c r="DH87" s="234">
        <f t="shared" si="777"/>
        <v>-2801.4500081452979</v>
      </c>
      <c r="DI87" s="234">
        <f t="shared" si="777"/>
        <v>-2808.4536331656609</v>
      </c>
      <c r="DJ87" s="234">
        <f t="shared" si="777"/>
        <v>-2815.4747672485751</v>
      </c>
      <c r="DK87" s="234">
        <f t="shared" si="777"/>
        <v>-2822.5134541666962</v>
      </c>
      <c r="DL87" s="234">
        <f t="shared" si="777"/>
        <v>-2829.5697378021127</v>
      </c>
      <c r="DM87" s="234">
        <f t="shared" si="777"/>
        <v>-2836.6436621466178</v>
      </c>
      <c r="DN87" s="234">
        <f t="shared" si="777"/>
        <v>-2843.7352713019841</v>
      </c>
      <c r="DO87" s="234">
        <f t="shared" si="777"/>
        <v>-2850.8446094802389</v>
      </c>
      <c r="DP87" s="234">
        <f t="shared" si="777"/>
        <v>-2857.9717210039394</v>
      </c>
      <c r="DQ87" s="234">
        <f t="shared" si="777"/>
        <v>-2865.1166503064492</v>
      </c>
      <c r="DR87" s="234">
        <f t="shared" si="777"/>
        <v>-2872.2794419322149</v>
      </c>
      <c r="DS87" s="234">
        <f t="shared" si="777"/>
        <v>-2879.4601405370454</v>
      </c>
      <c r="DT87" s="234">
        <f t="shared" si="777"/>
        <v>-2886.658790888388</v>
      </c>
      <c r="DU87" s="234">
        <f t="shared" si="777"/>
        <v>-2893.875437865609</v>
      </c>
      <c r="DV87" s="234">
        <f t="shared" si="777"/>
        <v>-2901.110126460273</v>
      </c>
      <c r="DW87" s="234">
        <f t="shared" si="777"/>
        <v>-2908.3629017764238</v>
      </c>
      <c r="DX87" s="234">
        <f t="shared" si="777"/>
        <v>-2915.6338090308645</v>
      </c>
      <c r="DY87" s="234">
        <f t="shared" si="777"/>
        <v>-2922.9228935534416</v>
      </c>
      <c r="DZ87" s="234">
        <f t="shared" si="777"/>
        <v>-2930.230200787325</v>
      </c>
      <c r="EA87" s="234">
        <f t="shared" si="777"/>
        <v>-2937.5557762892931</v>
      </c>
      <c r="EB87" s="234">
        <f t="shared" si="777"/>
        <v>-2944.8996657300163</v>
      </c>
      <c r="EC87" s="234">
        <f t="shared" si="777"/>
        <v>-2952.2619148943413</v>
      </c>
      <c r="ED87" s="234">
        <f t="shared" si="777"/>
        <v>-2959.6425696815768</v>
      </c>
      <c r="EE87" s="234">
        <f t="shared" si="777"/>
        <v>-2967.0416761057804</v>
      </c>
      <c r="EF87" s="234">
        <f t="shared" ref="EF87:FF87" si="778">-IFERROR(INDEX($M26:$Q26,MATCH(YEAR(EF$58),$M$21:$Q$21,0)),$Q$26)*EF71</f>
        <v>-2974.4592802960447</v>
      </c>
      <c r="EG87" s="234">
        <f t="shared" si="778"/>
        <v>-2981.8954284967845</v>
      </c>
      <c r="EH87" s="234">
        <f t="shared" si="778"/>
        <v>-2989.3501670680262</v>
      </c>
      <c r="EI87" s="234">
        <f t="shared" si="778"/>
        <v>-2996.8235424856962</v>
      </c>
      <c r="EJ87" s="234">
        <f t="shared" si="778"/>
        <v>-3004.3156013419102</v>
      </c>
      <c r="EK87" s="234">
        <f t="shared" si="778"/>
        <v>-3011.8263903452648</v>
      </c>
      <c r="EL87" s="234">
        <f t="shared" si="778"/>
        <v>-3019.3559563211279</v>
      </c>
      <c r="EM87" s="234">
        <f t="shared" si="778"/>
        <v>-3026.9043462119307</v>
      </c>
      <c r="EN87" s="234">
        <f t="shared" si="778"/>
        <v>-3034.4716070774602</v>
      </c>
      <c r="EO87" s="234">
        <f t="shared" si="778"/>
        <v>-3042.0577860951539</v>
      </c>
      <c r="EP87" s="234">
        <f t="shared" si="778"/>
        <v>-3049.6629305603915</v>
      </c>
      <c r="EQ87" s="234">
        <f t="shared" si="778"/>
        <v>-3057.2870878867925</v>
      </c>
      <c r="ER87" s="234">
        <f t="shared" si="778"/>
        <v>-3064.9303056065091</v>
      </c>
      <c r="ES87" s="234">
        <f t="shared" si="778"/>
        <v>-3072.5926313705254</v>
      </c>
      <c r="ET87" s="234">
        <f t="shared" si="778"/>
        <v>-3080.2741129489514</v>
      </c>
      <c r="EU87" s="234">
        <f t="shared" si="778"/>
        <v>-3087.9747982313238</v>
      </c>
      <c r="EV87" s="234">
        <f t="shared" si="778"/>
        <v>-3095.6947352269021</v>
      </c>
      <c r="EW87" s="234">
        <f t="shared" si="778"/>
        <v>-3103.4339720649691</v>
      </c>
      <c r="EX87" s="234">
        <f t="shared" si="778"/>
        <v>-3111.1925569951313</v>
      </c>
      <c r="EY87" s="234">
        <f t="shared" si="778"/>
        <v>-3118.9705383876189</v>
      </c>
      <c r="EZ87" s="234">
        <f t="shared" si="778"/>
        <v>-3126.7679647335876</v>
      </c>
      <c r="FA87" s="234">
        <f t="shared" si="778"/>
        <v>-3134.5848846454214</v>
      </c>
      <c r="FB87" s="234">
        <f t="shared" si="778"/>
        <v>-3142.4213468570347</v>
      </c>
      <c r="FC87" s="234">
        <f t="shared" si="778"/>
        <v>-3150.2774002241772</v>
      </c>
      <c r="FD87" s="234">
        <f t="shared" si="778"/>
        <v>-3158.1530937247376</v>
      </c>
      <c r="FE87" s="234">
        <f t="shared" si="778"/>
        <v>-3166.0484764590492</v>
      </c>
      <c r="FF87" s="234">
        <f t="shared" si="778"/>
        <v>-3173.9635976501968</v>
      </c>
      <c r="FG87" s="321"/>
      <c r="FH87" s="234">
        <f t="shared" si="769"/>
        <v>-15201.254856271502</v>
      </c>
      <c r="FI87" s="234">
        <f t="shared" si="769"/>
        <v>-26685.477965719911</v>
      </c>
      <c r="FJ87" s="234">
        <f t="shared" si="769"/>
        <v>-27497.142313741584</v>
      </c>
      <c r="FK87" s="234">
        <f t="shared" si="769"/>
        <v>-28333.494209600904</v>
      </c>
      <c r="FL87" s="234">
        <f t="shared" si="769"/>
        <v>-29195.284548689218</v>
      </c>
      <c r="FM87" s="234">
        <f t="shared" si="769"/>
        <v>-30083.287065599718</v>
      </c>
      <c r="FN87" s="234">
        <f t="shared" si="769"/>
        <v>-30998.299028803653</v>
      </c>
      <c r="FO87" s="234">
        <f t="shared" si="769"/>
        <v>-31941.14195645574</v>
      </c>
      <c r="FP87" s="234">
        <f t="shared" si="769"/>
        <v>-32912.662353971493</v>
      </c>
      <c r="FQ87" s="234">
        <f t="shared" si="769"/>
        <v>-33913.732474038676</v>
      </c>
      <c r="FR87" s="234">
        <f t="shared" si="769"/>
        <v>-34945.251099745234</v>
      </c>
      <c r="FS87" s="234">
        <f t="shared" si="769"/>
        <v>-36008.144351526753</v>
      </c>
      <c r="FT87" s="234">
        <f t="shared" si="769"/>
        <v>-37103.366518658127</v>
      </c>
      <c r="FU87" s="234">
        <f t="shared" si="769"/>
        <v>-15790.863914915197</v>
      </c>
      <c r="FV87" s="321"/>
    </row>
    <row r="88" spans="3:178" s="77" customFormat="1" x14ac:dyDescent="0.2">
      <c r="C88" s="80" t="s">
        <v>15</v>
      </c>
      <c r="D88" s="80"/>
      <c r="E88" s="273">
        <f t="shared" si="763"/>
        <v>-2855887.8648166074</v>
      </c>
      <c r="F88" s="208">
        <f>SUM(F84:F87)</f>
        <v>0</v>
      </c>
      <c r="G88" s="208">
        <f t="shared" ref="G88:BR88" si="779">SUM(G84:G87)</f>
        <v>-14991.155260416666</v>
      </c>
      <c r="H88" s="208">
        <f t="shared" si="779"/>
        <v>-15028.633148567707</v>
      </c>
      <c r="I88" s="208">
        <f t="shared" si="779"/>
        <v>-15066.204731439127</v>
      </c>
      <c r="J88" s="208">
        <f t="shared" si="779"/>
        <v>-15103.870243267722</v>
      </c>
      <c r="K88" s="208">
        <f t="shared" si="779"/>
        <v>-15141.629918875889</v>
      </c>
      <c r="L88" s="208">
        <f t="shared" si="779"/>
        <v>-15179.48399367308</v>
      </c>
      <c r="M88" s="208">
        <f t="shared" si="779"/>
        <v>-15217.432703657261</v>
      </c>
      <c r="N88" s="208">
        <f t="shared" si="779"/>
        <v>-15255.476285416404</v>
      </c>
      <c r="O88" s="208">
        <f t="shared" si="779"/>
        <v>-15293.614976129946</v>
      </c>
      <c r="P88" s="208">
        <f t="shared" si="779"/>
        <v>-15331.84901357027</v>
      </c>
      <c r="Q88" s="208">
        <f t="shared" si="779"/>
        <v>-15370.178636104196</v>
      </c>
      <c r="R88" s="208">
        <f t="shared" si="779"/>
        <v>-15408.604082694455</v>
      </c>
      <c r="S88" s="208">
        <f t="shared" si="779"/>
        <v>-15447.125592901188</v>
      </c>
      <c r="T88" s="208">
        <f t="shared" si="779"/>
        <v>-15485.743406883441</v>
      </c>
      <c r="U88" s="208">
        <f t="shared" si="779"/>
        <v>-15524.457765400652</v>
      </c>
      <c r="V88" s="208">
        <f t="shared" si="779"/>
        <v>-15563.268909814153</v>
      </c>
      <c r="W88" s="208">
        <f t="shared" si="779"/>
        <v>-15602.177082088683</v>
      </c>
      <c r="X88" s="208">
        <f t="shared" si="779"/>
        <v>-15641.182524793905</v>
      </c>
      <c r="Y88" s="208">
        <f t="shared" si="779"/>
        <v>-15680.285481105886</v>
      </c>
      <c r="Z88" s="208">
        <f t="shared" si="779"/>
        <v>-15719.486194808655</v>
      </c>
      <c r="AA88" s="208">
        <f t="shared" si="779"/>
        <v>-15758.784910295675</v>
      </c>
      <c r="AB88" s="208">
        <f t="shared" si="779"/>
        <v>-15798.181872571417</v>
      </c>
      <c r="AC88" s="208">
        <f t="shared" si="779"/>
        <v>-15837.677327252843</v>
      </c>
      <c r="AD88" s="208">
        <f t="shared" si="779"/>
        <v>-15877.271520570972</v>
      </c>
      <c r="AE88" s="208">
        <f t="shared" si="779"/>
        <v>-15916.9646993724</v>
      </c>
      <c r="AF88" s="208">
        <f t="shared" si="779"/>
        <v>-15956.757111120827</v>
      </c>
      <c r="AG88" s="208">
        <f t="shared" si="779"/>
        <v>-15996.649003898627</v>
      </c>
      <c r="AH88" s="208">
        <f t="shared" si="779"/>
        <v>-16036.640626408373</v>
      </c>
      <c r="AI88" s="208">
        <f t="shared" si="779"/>
        <v>-16076.732227974389</v>
      </c>
      <c r="AJ88" s="208">
        <f t="shared" si="779"/>
        <v>-16116.924058544326</v>
      </c>
      <c r="AK88" s="208">
        <f t="shared" si="779"/>
        <v>-16157.216368690688</v>
      </c>
      <c r="AL88" s="208">
        <f t="shared" si="779"/>
        <v>-16197.609409612412</v>
      </c>
      <c r="AM88" s="208">
        <f t="shared" si="779"/>
        <v>-16238.103433136443</v>
      </c>
      <c r="AN88" s="208">
        <f t="shared" si="779"/>
        <v>-16278.698691719283</v>
      </c>
      <c r="AO88" s="208">
        <f t="shared" si="779"/>
        <v>-16319.395438448581</v>
      </c>
      <c r="AP88" s="208">
        <f t="shared" si="779"/>
        <v>-16360.1939270447</v>
      </c>
      <c r="AQ88" s="208">
        <f t="shared" si="779"/>
        <v>-16401.094411862308</v>
      </c>
      <c r="AR88" s="208">
        <f t="shared" si="779"/>
        <v>-16442.097147891964</v>
      </c>
      <c r="AS88" s="208">
        <f t="shared" si="779"/>
        <v>-16483.202390761693</v>
      </c>
      <c r="AT88" s="208">
        <f t="shared" si="779"/>
        <v>-16524.4103967386</v>
      </c>
      <c r="AU88" s="208">
        <f t="shared" si="779"/>
        <v>-16565.721422730447</v>
      </c>
      <c r="AV88" s="208">
        <f t="shared" si="779"/>
        <v>-16607.13572628727</v>
      </c>
      <c r="AW88" s="208">
        <f t="shared" si="779"/>
        <v>-16648.653565602988</v>
      </c>
      <c r="AX88" s="208">
        <f t="shared" si="779"/>
        <v>-16690.275199516997</v>
      </c>
      <c r="AY88" s="208">
        <f t="shared" si="779"/>
        <v>-16732.000887515784</v>
      </c>
      <c r="AZ88" s="208">
        <f t="shared" si="779"/>
        <v>-16773.830889734574</v>
      </c>
      <c r="BA88" s="208">
        <f t="shared" si="779"/>
        <v>-16815.765466958914</v>
      </c>
      <c r="BB88" s="208">
        <f t="shared" si="779"/>
        <v>-16857.804880626303</v>
      </c>
      <c r="BC88" s="208">
        <f t="shared" si="779"/>
        <v>-16899.949392827872</v>
      </c>
      <c r="BD88" s="208">
        <f t="shared" si="779"/>
        <v>-16942.199266309941</v>
      </c>
      <c r="BE88" s="208">
        <f t="shared" si="779"/>
        <v>-16984.554764475717</v>
      </c>
      <c r="BF88" s="208">
        <f t="shared" si="779"/>
        <v>-17027.016151386906</v>
      </c>
      <c r="BG88" s="208">
        <f t="shared" si="779"/>
        <v>-17069.583691765372</v>
      </c>
      <c r="BH88" s="208">
        <f t="shared" si="779"/>
        <v>-17112.257650994783</v>
      </c>
      <c r="BI88" s="208">
        <f t="shared" si="779"/>
        <v>-17155.038295122271</v>
      </c>
      <c r="BJ88" s="208">
        <f t="shared" si="779"/>
        <v>-17197.925890860079</v>
      </c>
      <c r="BK88" s="208">
        <f t="shared" si="779"/>
        <v>-17240.920705587225</v>
      </c>
      <c r="BL88" s="208">
        <f t="shared" si="779"/>
        <v>-17284.023007351192</v>
      </c>
      <c r="BM88" s="208">
        <f t="shared" si="779"/>
        <v>-17327.233064869572</v>
      </c>
      <c r="BN88" s="208">
        <f t="shared" si="779"/>
        <v>-17370.551147531743</v>
      </c>
      <c r="BO88" s="208">
        <f t="shared" si="779"/>
        <v>-17413.977525400573</v>
      </c>
      <c r="BP88" s="208">
        <f t="shared" si="779"/>
        <v>-17457.512469214071</v>
      </c>
      <c r="BQ88" s="208">
        <f t="shared" si="779"/>
        <v>-17501.156250387106</v>
      </c>
      <c r="BR88" s="208">
        <f t="shared" si="779"/>
        <v>-17544.909141013071</v>
      </c>
      <c r="BS88" s="208">
        <f t="shared" ref="BS88:ED88" si="780">SUM(BS84:BS87)</f>
        <v>-17588.771413865605</v>
      </c>
      <c r="BT88" s="208">
        <f t="shared" si="780"/>
        <v>-17632.743342400267</v>
      </c>
      <c r="BU88" s="208">
        <f t="shared" si="780"/>
        <v>-17676.82520075627</v>
      </c>
      <c r="BV88" s="208">
        <f t="shared" si="780"/>
        <v>-17721.017263758156</v>
      </c>
      <c r="BW88" s="208">
        <f t="shared" si="780"/>
        <v>-17765.319806917549</v>
      </c>
      <c r="BX88" s="208">
        <f t="shared" si="780"/>
        <v>-17809.733106434847</v>
      </c>
      <c r="BY88" s="208">
        <f t="shared" si="780"/>
        <v>-17854.25743920093</v>
      </c>
      <c r="BZ88" s="208">
        <f t="shared" si="780"/>
        <v>-17898.893082798932</v>
      </c>
      <c r="CA88" s="208">
        <f t="shared" si="780"/>
        <v>-17943.640315505923</v>
      </c>
      <c r="CB88" s="208">
        <f t="shared" si="780"/>
        <v>-17988.49941629469</v>
      </c>
      <c r="CC88" s="208">
        <f t="shared" si="780"/>
        <v>-18033.470664835426</v>
      </c>
      <c r="CD88" s="208">
        <f t="shared" si="780"/>
        <v>-18078.554341497511</v>
      </c>
      <c r="CE88" s="208">
        <f t="shared" si="780"/>
        <v>-18123.750727351257</v>
      </c>
      <c r="CF88" s="208">
        <f t="shared" si="780"/>
        <v>-18169.060104169628</v>
      </c>
      <c r="CG88" s="208">
        <f t="shared" si="780"/>
        <v>-18214.482754430057</v>
      </c>
      <c r="CH88" s="208">
        <f t="shared" si="780"/>
        <v>-18260.018961316131</v>
      </c>
      <c r="CI88" s="208">
        <f t="shared" si="780"/>
        <v>-18305.669008719418</v>
      </c>
      <c r="CJ88" s="208">
        <f t="shared" si="780"/>
        <v>-18351.433181241213</v>
      </c>
      <c r="CK88" s="208">
        <f t="shared" si="780"/>
        <v>-18397.311764194314</v>
      </c>
      <c r="CL88" s="208">
        <f t="shared" si="780"/>
        <v>-18443.3050436048</v>
      </c>
      <c r="CM88" s="208">
        <f t="shared" si="780"/>
        <v>-18489.413306213817</v>
      </c>
      <c r="CN88" s="208">
        <f t="shared" si="780"/>
        <v>-18535.636839479346</v>
      </c>
      <c r="CO88" s="208">
        <f t="shared" si="780"/>
        <v>-18581.975931578043</v>
      </c>
      <c r="CP88" s="208">
        <f t="shared" si="780"/>
        <v>-18628.430871406988</v>
      </c>
      <c r="CQ88" s="208">
        <f t="shared" si="780"/>
        <v>-18675.001948585501</v>
      </c>
      <c r="CR88" s="208">
        <f t="shared" si="780"/>
        <v>-18721.689453456966</v>
      </c>
      <c r="CS88" s="208">
        <f t="shared" si="780"/>
        <v>-18768.493677090602</v>
      </c>
      <c r="CT88" s="208">
        <f t="shared" si="780"/>
        <v>-18815.414911283333</v>
      </c>
      <c r="CU88" s="208">
        <f t="shared" si="780"/>
        <v>-18862.45344856154</v>
      </c>
      <c r="CV88" s="208">
        <f t="shared" si="780"/>
        <v>-18909.60958218294</v>
      </c>
      <c r="CW88" s="208">
        <f t="shared" si="780"/>
        <v>-18956.883606138399</v>
      </c>
      <c r="CX88" s="208">
        <f t="shared" si="780"/>
        <v>-19004.275815153742</v>
      </c>
      <c r="CY88" s="208">
        <f t="shared" si="780"/>
        <v>-19051.786504691627</v>
      </c>
      <c r="CZ88" s="208">
        <f t="shared" si="780"/>
        <v>-19099.415970953356</v>
      </c>
      <c r="DA88" s="208">
        <f t="shared" si="780"/>
        <v>-19147.164510880735</v>
      </c>
      <c r="DB88" s="208">
        <f t="shared" si="780"/>
        <v>-19195.032422157939</v>
      </c>
      <c r="DC88" s="208">
        <f t="shared" si="780"/>
        <v>-19243.020003213329</v>
      </c>
      <c r="DD88" s="208">
        <f t="shared" si="780"/>
        <v>-19291.127553221362</v>
      </c>
      <c r="DE88" s="208">
        <f t="shared" si="780"/>
        <v>-19339.355372104419</v>
      </c>
      <c r="DF88" s="208">
        <f t="shared" si="780"/>
        <v>-19387.703760534678</v>
      </c>
      <c r="DG88" s="208">
        <f t="shared" si="780"/>
        <v>-19436.173019936014</v>
      </c>
      <c r="DH88" s="208">
        <f t="shared" si="780"/>
        <v>-19484.763452485851</v>
      </c>
      <c r="DI88" s="208">
        <f t="shared" si="780"/>
        <v>-19533.475361117067</v>
      </c>
      <c r="DJ88" s="208">
        <f t="shared" si="780"/>
        <v>-19582.309049519859</v>
      </c>
      <c r="DK88" s="208">
        <f t="shared" si="780"/>
        <v>-19631.264822143658</v>
      </c>
      <c r="DL88" s="208">
        <f t="shared" si="780"/>
        <v>-19680.342984199018</v>
      </c>
      <c r="DM88" s="208">
        <f t="shared" si="780"/>
        <v>-19729.543841659513</v>
      </c>
      <c r="DN88" s="208">
        <f t="shared" si="780"/>
        <v>-19778.867701263654</v>
      </c>
      <c r="DO88" s="208">
        <f t="shared" si="780"/>
        <v>-19828.314870516813</v>
      </c>
      <c r="DP88" s="208">
        <f t="shared" si="780"/>
        <v>-19877.885657693103</v>
      </c>
      <c r="DQ88" s="208">
        <f t="shared" si="780"/>
        <v>-19927.580371837339</v>
      </c>
      <c r="DR88" s="208">
        <f t="shared" si="780"/>
        <v>-19977.399322766934</v>
      </c>
      <c r="DS88" s="208">
        <f t="shared" si="780"/>
        <v>-20027.342821073849</v>
      </c>
      <c r="DT88" s="208">
        <f t="shared" si="780"/>
        <v>-20077.411178126531</v>
      </c>
      <c r="DU88" s="208">
        <f t="shared" si="780"/>
        <v>-20127.604706071848</v>
      </c>
      <c r="DV88" s="208">
        <f t="shared" si="780"/>
        <v>-20177.923717837028</v>
      </c>
      <c r="DW88" s="208">
        <f t="shared" si="780"/>
        <v>-20228.368527131624</v>
      </c>
      <c r="DX88" s="208">
        <f t="shared" si="780"/>
        <v>-20278.939448449448</v>
      </c>
      <c r="DY88" s="208">
        <f t="shared" si="780"/>
        <v>-20329.636797070565</v>
      </c>
      <c r="DZ88" s="208">
        <f t="shared" si="780"/>
        <v>-20380.460889063244</v>
      </c>
      <c r="EA88" s="208">
        <f t="shared" si="780"/>
        <v>-20431.412041285901</v>
      </c>
      <c r="EB88" s="208">
        <f t="shared" si="780"/>
        <v>-20482.490571389117</v>
      </c>
      <c r="EC88" s="208">
        <f t="shared" si="780"/>
        <v>-20533.696797817589</v>
      </c>
      <c r="ED88" s="208">
        <f t="shared" si="780"/>
        <v>-20585.031039812129</v>
      </c>
      <c r="EE88" s="208">
        <f t="shared" ref="EE88:FF88" si="781">SUM(EE84:EE87)</f>
        <v>-20636.493617411659</v>
      </c>
      <c r="EF88" s="208">
        <f t="shared" si="781"/>
        <v>-20688.084851455187</v>
      </c>
      <c r="EG88" s="208">
        <f t="shared" si="781"/>
        <v>-20739.805063583819</v>
      </c>
      <c r="EH88" s="208">
        <f t="shared" si="781"/>
        <v>-20791.654576242781</v>
      </c>
      <c r="EI88" s="208">
        <f t="shared" si="781"/>
        <v>-20843.63371268339</v>
      </c>
      <c r="EJ88" s="208">
        <f t="shared" si="781"/>
        <v>-20895.742796965093</v>
      </c>
      <c r="EK88" s="208">
        <f t="shared" si="781"/>
        <v>-20947.982153957502</v>
      </c>
      <c r="EL88" s="208">
        <f t="shared" si="781"/>
        <v>-21000.352109342402</v>
      </c>
      <c r="EM88" s="208">
        <f t="shared" si="781"/>
        <v>-21052.852989615752</v>
      </c>
      <c r="EN88" s="208">
        <f t="shared" si="781"/>
        <v>-21105.485122089794</v>
      </c>
      <c r="EO88" s="208">
        <f t="shared" si="781"/>
        <v>-21158.248834895014</v>
      </c>
      <c r="EP88" s="208">
        <f t="shared" si="781"/>
        <v>-21211.144456982256</v>
      </c>
      <c r="EQ88" s="208">
        <f t="shared" si="781"/>
        <v>-21264.172318124707</v>
      </c>
      <c r="ER88" s="208">
        <f t="shared" si="781"/>
        <v>-21317.332748920016</v>
      </c>
      <c r="ES88" s="208">
        <f t="shared" si="781"/>
        <v>-21370.626080792317</v>
      </c>
      <c r="ET88" s="208">
        <f t="shared" si="781"/>
        <v>-21424.052645994296</v>
      </c>
      <c r="EU88" s="208">
        <f t="shared" si="781"/>
        <v>-21477.612777609276</v>
      </c>
      <c r="EV88" s="208">
        <f t="shared" si="781"/>
        <v>-21531.306809553305</v>
      </c>
      <c r="EW88" s="208">
        <f t="shared" si="781"/>
        <v>-21585.135076577189</v>
      </c>
      <c r="EX88" s="208">
        <f t="shared" si="781"/>
        <v>-21639.097914268623</v>
      </c>
      <c r="EY88" s="208">
        <f t="shared" si="781"/>
        <v>-21693.195659054298</v>
      </c>
      <c r="EZ88" s="208">
        <f t="shared" si="781"/>
        <v>-21747.428648201934</v>
      </c>
      <c r="FA88" s="208">
        <f t="shared" si="781"/>
        <v>-21801.797219822431</v>
      </c>
      <c r="FB88" s="208">
        <f t="shared" si="781"/>
        <v>-21856.301712871995</v>
      </c>
      <c r="FC88" s="208">
        <f t="shared" si="781"/>
        <v>-21910.942467154175</v>
      </c>
      <c r="FD88" s="208">
        <f t="shared" si="781"/>
        <v>-21965.719823322052</v>
      </c>
      <c r="FE88" s="208">
        <f t="shared" si="781"/>
        <v>-22020.634122880358</v>
      </c>
      <c r="FF88" s="208">
        <f t="shared" si="781"/>
        <v>-22075.685708187553</v>
      </c>
      <c r="FG88" s="288"/>
      <c r="FH88" s="208">
        <f t="shared" si="769"/>
        <v>-105728.40999989746</v>
      </c>
      <c r="FI88" s="208">
        <f t="shared" si="769"/>
        <v>-185603.96375690316</v>
      </c>
      <c r="FJ88" s="208">
        <f t="shared" si="769"/>
        <v>-191249.2859215092</v>
      </c>
      <c r="FK88" s="208">
        <f t="shared" si="769"/>
        <v>-197066.31596183669</v>
      </c>
      <c r="FL88" s="208">
        <f t="shared" si="769"/>
        <v>-203060.27653723539</v>
      </c>
      <c r="FM88" s="208">
        <f t="shared" si="769"/>
        <v>-209236.54915923678</v>
      </c>
      <c r="FN88" s="208">
        <f t="shared" si="769"/>
        <v>-215600.67902319491</v>
      </c>
      <c r="FO88" s="208">
        <f t="shared" si="769"/>
        <v>-222158.3799868871</v>
      </c>
      <c r="FP88" s="208">
        <f t="shared" si="769"/>
        <v>-228915.53970054272</v>
      </c>
      <c r="FQ88" s="208">
        <f t="shared" si="769"/>
        <v>-235878.22489290655</v>
      </c>
      <c r="FR88" s="208">
        <f t="shared" si="769"/>
        <v>-243052.68681808366</v>
      </c>
      <c r="FS88" s="208">
        <f t="shared" si="769"/>
        <v>-250445.36686805455</v>
      </c>
      <c r="FT88" s="208">
        <f t="shared" si="769"/>
        <v>-258062.90235590062</v>
      </c>
      <c r="FU88" s="208">
        <f t="shared" si="769"/>
        <v>-109829.28383441613</v>
      </c>
      <c r="FV88" s="288"/>
    </row>
    <row r="89" spans="3:178" x14ac:dyDescent="0.2">
      <c r="E89" s="224"/>
    </row>
    <row r="90" spans="3:178" s="277" customFormat="1" x14ac:dyDescent="0.2">
      <c r="C90" s="274" t="s">
        <v>91</v>
      </c>
      <c r="D90" s="275"/>
      <c r="E90" s="276">
        <f>SUM(F90:FF90)</f>
        <v>41603720.538071901</v>
      </c>
      <c r="F90" s="274">
        <f t="shared" ref="F90:AK90" si="782">SUM(F76,F82,F88)</f>
        <v>0</v>
      </c>
      <c r="G90" s="274">
        <f t="shared" si="782"/>
        <v>218386.66765624998</v>
      </c>
      <c r="H90" s="274">
        <f t="shared" si="782"/>
        <v>218932.63432539062</v>
      </c>
      <c r="I90" s="274">
        <f t="shared" si="782"/>
        <v>219479.96591120408</v>
      </c>
      <c r="J90" s="274">
        <f t="shared" si="782"/>
        <v>220028.66582598205</v>
      </c>
      <c r="K90" s="274">
        <f t="shared" si="782"/>
        <v>220578.73749054701</v>
      </c>
      <c r="L90" s="274">
        <f t="shared" si="782"/>
        <v>221130.18433427336</v>
      </c>
      <c r="M90" s="274">
        <f t="shared" si="782"/>
        <v>221683.00979510904</v>
      </c>
      <c r="N90" s="274">
        <f t="shared" si="782"/>
        <v>222237.21731959679</v>
      </c>
      <c r="O90" s="274">
        <f t="shared" si="782"/>
        <v>222792.81036289578</v>
      </c>
      <c r="P90" s="274">
        <f t="shared" si="782"/>
        <v>223349.79238880301</v>
      </c>
      <c r="Q90" s="274">
        <f t="shared" si="782"/>
        <v>223908.16686977501</v>
      </c>
      <c r="R90" s="274">
        <f t="shared" si="782"/>
        <v>224467.93728694945</v>
      </c>
      <c r="S90" s="274">
        <f t="shared" si="782"/>
        <v>225029.10713016675</v>
      </c>
      <c r="T90" s="274">
        <f t="shared" si="782"/>
        <v>225591.6798979922</v>
      </c>
      <c r="U90" s="274">
        <f t="shared" si="782"/>
        <v>226155.65909773723</v>
      </c>
      <c r="V90" s="274">
        <f t="shared" si="782"/>
        <v>226721.04824548151</v>
      </c>
      <c r="W90" s="274">
        <f t="shared" si="782"/>
        <v>227287.85086609519</v>
      </c>
      <c r="X90" s="274">
        <f t="shared" si="782"/>
        <v>227856.07049326043</v>
      </c>
      <c r="Y90" s="274">
        <f t="shared" si="782"/>
        <v>228425.71066949354</v>
      </c>
      <c r="Z90" s="274">
        <f t="shared" si="782"/>
        <v>228996.77494616728</v>
      </c>
      <c r="AA90" s="274">
        <f t="shared" si="782"/>
        <v>229569.26688353269</v>
      </c>
      <c r="AB90" s="274">
        <f t="shared" si="782"/>
        <v>230143.19005074154</v>
      </c>
      <c r="AC90" s="274">
        <f t="shared" si="782"/>
        <v>230718.54802586837</v>
      </c>
      <c r="AD90" s="274">
        <f t="shared" si="782"/>
        <v>231295.344395933</v>
      </c>
      <c r="AE90" s="274">
        <f t="shared" si="782"/>
        <v>231873.58275692284</v>
      </c>
      <c r="AF90" s="274">
        <f t="shared" si="782"/>
        <v>232453.2667138151</v>
      </c>
      <c r="AG90" s="274">
        <f t="shared" si="782"/>
        <v>233034.39988059961</v>
      </c>
      <c r="AH90" s="274">
        <f t="shared" si="782"/>
        <v>233616.9858803011</v>
      </c>
      <c r="AI90" s="274">
        <f t="shared" si="782"/>
        <v>234201.0283450018</v>
      </c>
      <c r="AJ90" s="274">
        <f t="shared" si="782"/>
        <v>234786.53091586428</v>
      </c>
      <c r="AK90" s="274">
        <f t="shared" si="782"/>
        <v>235373.49724315395</v>
      </c>
      <c r="AL90" s="274">
        <f t="shared" ref="AL90:BQ90" si="783">SUM(AL76,AL82,AL88)</f>
        <v>235961.93098626184</v>
      </c>
      <c r="AM90" s="274">
        <f t="shared" si="783"/>
        <v>236551.83581372746</v>
      </c>
      <c r="AN90" s="274">
        <f t="shared" si="783"/>
        <v>237143.2154032618</v>
      </c>
      <c r="AO90" s="274">
        <f t="shared" si="783"/>
        <v>237736.0734417699</v>
      </c>
      <c r="AP90" s="274">
        <f t="shared" si="783"/>
        <v>238330.41362537435</v>
      </c>
      <c r="AQ90" s="274">
        <f t="shared" si="783"/>
        <v>238926.23965943774</v>
      </c>
      <c r="AR90" s="274">
        <f t="shared" si="783"/>
        <v>239523.5552585863</v>
      </c>
      <c r="AS90" s="274">
        <f t="shared" si="783"/>
        <v>240122.36414673275</v>
      </c>
      <c r="AT90" s="274">
        <f t="shared" si="783"/>
        <v>240722.67005709963</v>
      </c>
      <c r="AU90" s="274">
        <f t="shared" si="783"/>
        <v>241324.47673224236</v>
      </c>
      <c r="AV90" s="274">
        <f t="shared" si="783"/>
        <v>241927.78792407297</v>
      </c>
      <c r="AW90" s="274">
        <f t="shared" si="783"/>
        <v>242532.60739388311</v>
      </c>
      <c r="AX90" s="274">
        <f t="shared" si="783"/>
        <v>243138.93891236783</v>
      </c>
      <c r="AY90" s="274">
        <f t="shared" si="783"/>
        <v>243746.78625964871</v>
      </c>
      <c r="AZ90" s="274">
        <f t="shared" si="783"/>
        <v>244356.15322529781</v>
      </c>
      <c r="BA90" s="274">
        <f t="shared" si="783"/>
        <v>244967.04360836107</v>
      </c>
      <c r="BB90" s="274">
        <f t="shared" si="783"/>
        <v>245579.46121738196</v>
      </c>
      <c r="BC90" s="274">
        <f t="shared" si="783"/>
        <v>246193.40987042541</v>
      </c>
      <c r="BD90" s="274">
        <f t="shared" si="783"/>
        <v>246808.89339510145</v>
      </c>
      <c r="BE90" s="274">
        <f t="shared" si="783"/>
        <v>247425.91562858922</v>
      </c>
      <c r="BF90" s="274">
        <f t="shared" si="783"/>
        <v>248044.48041766073</v>
      </c>
      <c r="BG90" s="274">
        <f t="shared" si="783"/>
        <v>248664.59161870484</v>
      </c>
      <c r="BH90" s="274">
        <f t="shared" si="783"/>
        <v>249286.25309775161</v>
      </c>
      <c r="BI90" s="274">
        <f t="shared" si="783"/>
        <v>249909.46873049595</v>
      </c>
      <c r="BJ90" s="274">
        <f t="shared" si="783"/>
        <v>250534.24240232218</v>
      </c>
      <c r="BK90" s="274">
        <f t="shared" si="783"/>
        <v>251160.57800832795</v>
      </c>
      <c r="BL90" s="274">
        <f t="shared" si="783"/>
        <v>251788.47945334879</v>
      </c>
      <c r="BM90" s="274">
        <f t="shared" si="783"/>
        <v>252417.95065198213</v>
      </c>
      <c r="BN90" s="274">
        <f t="shared" si="783"/>
        <v>253048.99552861208</v>
      </c>
      <c r="BO90" s="274">
        <f t="shared" si="783"/>
        <v>253681.61801743362</v>
      </c>
      <c r="BP90" s="274">
        <f t="shared" si="783"/>
        <v>254315.82206247715</v>
      </c>
      <c r="BQ90" s="274">
        <f t="shared" si="783"/>
        <v>254951.61161763335</v>
      </c>
      <c r="BR90" s="274">
        <f t="shared" ref="BR90:CW90" si="784">SUM(BR76,BR82,BR88)</f>
        <v>255588.99064667741</v>
      </c>
      <c r="BS90" s="274">
        <f t="shared" si="784"/>
        <v>256227.96312329406</v>
      </c>
      <c r="BT90" s="274">
        <f t="shared" si="784"/>
        <v>256868.5330311023</v>
      </c>
      <c r="BU90" s="274">
        <f t="shared" si="784"/>
        <v>257510.7043636801</v>
      </c>
      <c r="BV90" s="274">
        <f t="shared" si="784"/>
        <v>258154.48112458922</v>
      </c>
      <c r="BW90" s="274">
        <f t="shared" si="784"/>
        <v>258799.86732740069</v>
      </c>
      <c r="BX90" s="274">
        <f t="shared" si="784"/>
        <v>259446.86699571923</v>
      </c>
      <c r="BY90" s="274">
        <f t="shared" si="784"/>
        <v>260095.48416320846</v>
      </c>
      <c r="BZ90" s="274">
        <f t="shared" si="784"/>
        <v>260745.7228736165</v>
      </c>
      <c r="CA90" s="274">
        <f t="shared" si="784"/>
        <v>261397.5871808005</v>
      </c>
      <c r="CB90" s="274">
        <f t="shared" si="784"/>
        <v>262051.08114875248</v>
      </c>
      <c r="CC90" s="274">
        <f t="shared" si="784"/>
        <v>262706.20885162434</v>
      </c>
      <c r="CD90" s="274">
        <f t="shared" si="784"/>
        <v>263362.97437375342</v>
      </c>
      <c r="CE90" s="274">
        <f t="shared" si="784"/>
        <v>264021.38180968777</v>
      </c>
      <c r="CF90" s="274">
        <f t="shared" si="784"/>
        <v>264681.4352642119</v>
      </c>
      <c r="CG90" s="274">
        <f t="shared" si="784"/>
        <v>265343.13885237247</v>
      </c>
      <c r="CH90" s="274">
        <f t="shared" si="784"/>
        <v>266006.49669950339</v>
      </c>
      <c r="CI90" s="274">
        <f t="shared" si="784"/>
        <v>266671.51294125209</v>
      </c>
      <c r="CJ90" s="274">
        <f t="shared" si="784"/>
        <v>267338.19172360521</v>
      </c>
      <c r="CK90" s="274">
        <f t="shared" si="784"/>
        <v>268006.53720291419</v>
      </c>
      <c r="CL90" s="274">
        <f t="shared" si="784"/>
        <v>268676.55354592146</v>
      </c>
      <c r="CM90" s="274">
        <f t="shared" si="784"/>
        <v>269348.24492978631</v>
      </c>
      <c r="CN90" s="274">
        <f t="shared" si="784"/>
        <v>270021.61554211075</v>
      </c>
      <c r="CO90" s="274">
        <f t="shared" si="784"/>
        <v>270696.669580966</v>
      </c>
      <c r="CP90" s="274">
        <f t="shared" si="784"/>
        <v>271373.41125491844</v>
      </c>
      <c r="CQ90" s="274">
        <f t="shared" si="784"/>
        <v>272051.84478305565</v>
      </c>
      <c r="CR90" s="274">
        <f t="shared" si="784"/>
        <v>272731.9743950133</v>
      </c>
      <c r="CS90" s="274">
        <f t="shared" si="784"/>
        <v>273413.80433100072</v>
      </c>
      <c r="CT90" s="274">
        <f t="shared" si="784"/>
        <v>274097.33884182828</v>
      </c>
      <c r="CU90" s="274">
        <f t="shared" si="784"/>
        <v>274782.58218893281</v>
      </c>
      <c r="CV90" s="274">
        <f t="shared" si="784"/>
        <v>275469.53864440514</v>
      </c>
      <c r="CW90" s="274">
        <f t="shared" si="784"/>
        <v>276158.21249101614</v>
      </c>
      <c r="CX90" s="274">
        <f t="shared" ref="CX90:EC90" si="785">SUM(CX76,CX82,CX88)</f>
        <v>276848.60802224366</v>
      </c>
      <c r="CY90" s="274">
        <f t="shared" si="785"/>
        <v>277540.72954229923</v>
      </c>
      <c r="CZ90" s="274">
        <f t="shared" si="785"/>
        <v>278234.58136615501</v>
      </c>
      <c r="DA90" s="274">
        <f t="shared" si="785"/>
        <v>278930.16781957034</v>
      </c>
      <c r="DB90" s="274">
        <f t="shared" si="785"/>
        <v>279627.4932391193</v>
      </c>
      <c r="DC90" s="274">
        <f t="shared" si="785"/>
        <v>280326.56197221705</v>
      </c>
      <c r="DD90" s="274">
        <f t="shared" si="785"/>
        <v>281027.37837714754</v>
      </c>
      <c r="DE90" s="274">
        <f t="shared" si="785"/>
        <v>281729.94682309043</v>
      </c>
      <c r="DF90" s="274">
        <f t="shared" si="785"/>
        <v>282434.27169014816</v>
      </c>
      <c r="DG90" s="274">
        <f t="shared" si="785"/>
        <v>283140.35736937349</v>
      </c>
      <c r="DH90" s="274">
        <f t="shared" si="785"/>
        <v>283848.20826279698</v>
      </c>
      <c r="DI90" s="274">
        <f t="shared" si="785"/>
        <v>284557.82878345397</v>
      </c>
      <c r="DJ90" s="274">
        <f t="shared" si="785"/>
        <v>285269.22335541254</v>
      </c>
      <c r="DK90" s="274">
        <f t="shared" si="785"/>
        <v>285982.39641380106</v>
      </c>
      <c r="DL90" s="274">
        <f t="shared" si="785"/>
        <v>286697.35240483563</v>
      </c>
      <c r="DM90" s="274">
        <f t="shared" si="785"/>
        <v>287414.09578584769</v>
      </c>
      <c r="DN90" s="274">
        <f t="shared" si="785"/>
        <v>288132.63102531224</v>
      </c>
      <c r="DO90" s="274">
        <f t="shared" si="785"/>
        <v>288852.96260287543</v>
      </c>
      <c r="DP90" s="274">
        <f t="shared" si="785"/>
        <v>289575.09500938264</v>
      </c>
      <c r="DQ90" s="274">
        <f t="shared" si="785"/>
        <v>290299.0327469061</v>
      </c>
      <c r="DR90" s="274">
        <f t="shared" si="785"/>
        <v>291024.78032877337</v>
      </c>
      <c r="DS90" s="274">
        <f t="shared" si="785"/>
        <v>291752.34227959532</v>
      </c>
      <c r="DT90" s="274">
        <f t="shared" si="785"/>
        <v>292481.72313529422</v>
      </c>
      <c r="DU90" s="274">
        <f t="shared" si="785"/>
        <v>293212.9274431325</v>
      </c>
      <c r="DV90" s="274">
        <f t="shared" si="785"/>
        <v>293945.95976174035</v>
      </c>
      <c r="DW90" s="274">
        <f t="shared" si="785"/>
        <v>294680.8246611447</v>
      </c>
      <c r="DX90" s="274">
        <f t="shared" si="785"/>
        <v>295417.52672279748</v>
      </c>
      <c r="DY90" s="274">
        <f t="shared" si="785"/>
        <v>296156.07053960447</v>
      </c>
      <c r="DZ90" s="274">
        <f t="shared" si="785"/>
        <v>296896.46071595349</v>
      </c>
      <c r="EA90" s="274">
        <f t="shared" si="785"/>
        <v>297638.70186774334</v>
      </c>
      <c r="EB90" s="274">
        <f t="shared" si="785"/>
        <v>298382.79862241272</v>
      </c>
      <c r="EC90" s="274">
        <f t="shared" si="785"/>
        <v>299128.75561896869</v>
      </c>
      <c r="ED90" s="274">
        <f t="shared" ref="ED90:FF90" si="786">SUM(ED76,ED82,ED88)</f>
        <v>299876.57750801608</v>
      </c>
      <c r="EE90" s="274">
        <f t="shared" si="786"/>
        <v>300626.26895178616</v>
      </c>
      <c r="EF90" s="274">
        <f t="shared" si="786"/>
        <v>301377.83462416561</v>
      </c>
      <c r="EG90" s="274">
        <f t="shared" si="786"/>
        <v>302131.27921072592</v>
      </c>
      <c r="EH90" s="274">
        <f t="shared" si="786"/>
        <v>302886.60740875272</v>
      </c>
      <c r="EI90" s="274">
        <f t="shared" si="786"/>
        <v>303643.82392727461</v>
      </c>
      <c r="EJ90" s="274">
        <f t="shared" si="786"/>
        <v>304402.93348709273</v>
      </c>
      <c r="EK90" s="274">
        <f t="shared" si="786"/>
        <v>305163.9408208105</v>
      </c>
      <c r="EL90" s="274">
        <f t="shared" si="786"/>
        <v>305926.85067286255</v>
      </c>
      <c r="EM90" s="274">
        <f t="shared" si="786"/>
        <v>306691.66779954464</v>
      </c>
      <c r="EN90" s="274">
        <f t="shared" si="786"/>
        <v>307458.39696904353</v>
      </c>
      <c r="EO90" s="274">
        <f t="shared" si="786"/>
        <v>308227.04296146607</v>
      </c>
      <c r="EP90" s="274">
        <f t="shared" si="786"/>
        <v>308997.61056886974</v>
      </c>
      <c r="EQ90" s="274">
        <f t="shared" si="786"/>
        <v>309770.10459529189</v>
      </c>
      <c r="ER90" s="274">
        <f t="shared" si="786"/>
        <v>310544.52985678014</v>
      </c>
      <c r="ES90" s="274">
        <f t="shared" si="786"/>
        <v>311320.89118142205</v>
      </c>
      <c r="ET90" s="274">
        <f t="shared" si="786"/>
        <v>312099.19340937556</v>
      </c>
      <c r="EU90" s="274">
        <f t="shared" si="786"/>
        <v>312879.44139289903</v>
      </c>
      <c r="EV90" s="274">
        <f t="shared" si="786"/>
        <v>313661.6399963813</v>
      </c>
      <c r="EW90" s="274">
        <f t="shared" si="786"/>
        <v>314445.79409637221</v>
      </c>
      <c r="EX90" s="274">
        <f t="shared" si="786"/>
        <v>315231.9085816131</v>
      </c>
      <c r="EY90" s="274">
        <f t="shared" si="786"/>
        <v>316019.98835306708</v>
      </c>
      <c r="EZ90" s="274">
        <f t="shared" si="786"/>
        <v>316810.03832394979</v>
      </c>
      <c r="FA90" s="274">
        <f t="shared" si="786"/>
        <v>317602.06341975962</v>
      </c>
      <c r="FB90" s="274">
        <f t="shared" si="786"/>
        <v>318396.06857830903</v>
      </c>
      <c r="FC90" s="274">
        <f t="shared" si="786"/>
        <v>319192.05874975474</v>
      </c>
      <c r="FD90" s="274">
        <f t="shared" si="786"/>
        <v>319990.03889662912</v>
      </c>
      <c r="FE90" s="274">
        <f t="shared" si="786"/>
        <v>320790.0139938707</v>
      </c>
      <c r="FF90" s="274">
        <f t="shared" si="786"/>
        <v>321591.98902885534</v>
      </c>
      <c r="FG90" s="288"/>
      <c r="FH90" s="274">
        <f>SUMIF($F$57:$FF$57,FH$57,$F90:$FF90)</f>
        <v>1540219.8653387565</v>
      </c>
      <c r="FI90" s="274">
        <f t="shared" ref="FI90:FU90" si="787">SUMIF($F$57:$FF$57,FI$57,$F90:$FF90)</f>
        <v>2703823.0506282467</v>
      </c>
      <c r="FJ90" s="274">
        <f t="shared" si="787"/>
        <v>2786062.4160379013</v>
      </c>
      <c r="FK90" s="274">
        <f t="shared" si="787"/>
        <v>2870803.1704424503</v>
      </c>
      <c r="FL90" s="274">
        <f t="shared" si="787"/>
        <v>2958121.3959817868</v>
      </c>
      <c r="FM90" s="274">
        <f t="shared" si="787"/>
        <v>3048095.4889068911</v>
      </c>
      <c r="FN90" s="274">
        <f t="shared" si="787"/>
        <v>3140806.2299657371</v>
      </c>
      <c r="FO90" s="274">
        <f t="shared" si="787"/>
        <v>3236336.8569300482</v>
      </c>
      <c r="FP90" s="274">
        <f t="shared" si="787"/>
        <v>3334773.1393280248</v>
      </c>
      <c r="FQ90" s="274">
        <f t="shared" si="787"/>
        <v>3436203.455450146</v>
      </c>
      <c r="FR90" s="274">
        <f t="shared" si="787"/>
        <v>3540718.8716971609</v>
      </c>
      <c r="FS90" s="274">
        <f t="shared" si="787"/>
        <v>3648413.2243415411</v>
      </c>
      <c r="FT90" s="274">
        <f t="shared" si="787"/>
        <v>3759383.2037757817</v>
      </c>
      <c r="FU90" s="274">
        <f t="shared" si="787"/>
        <v>1599960.1692474191</v>
      </c>
      <c r="FV90" s="288"/>
    </row>
    <row r="91" spans="3:178" x14ac:dyDescent="0.2">
      <c r="E91" s="224"/>
      <c r="F91" s="237"/>
      <c r="G91" s="237"/>
      <c r="H91" s="237"/>
      <c r="I91" s="237"/>
      <c r="J91" s="237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  <c r="AA91" s="237"/>
      <c r="AB91" s="237"/>
      <c r="AC91" s="237"/>
      <c r="AD91" s="237"/>
      <c r="AE91" s="237"/>
      <c r="AF91" s="237"/>
      <c r="AG91" s="237"/>
      <c r="AH91" s="237"/>
      <c r="AI91" s="237"/>
      <c r="AJ91" s="237"/>
      <c r="AK91" s="237"/>
      <c r="AL91" s="237"/>
      <c r="AM91" s="237"/>
      <c r="AN91" s="237"/>
      <c r="AO91" s="237"/>
      <c r="AP91" s="237"/>
      <c r="AQ91" s="237"/>
      <c r="AR91" s="237"/>
      <c r="AS91" s="237"/>
      <c r="AT91" s="237"/>
      <c r="AU91" s="237"/>
      <c r="AV91" s="237"/>
      <c r="AW91" s="237"/>
      <c r="AX91" s="237"/>
      <c r="AY91" s="237"/>
      <c r="AZ91" s="237"/>
      <c r="BA91" s="237"/>
      <c r="BB91" s="237"/>
      <c r="BC91" s="237"/>
      <c r="BD91" s="237"/>
      <c r="BE91" s="237"/>
      <c r="BF91" s="237"/>
      <c r="BG91" s="237"/>
      <c r="BH91" s="237"/>
      <c r="BI91" s="237"/>
      <c r="BJ91" s="237"/>
      <c r="BK91" s="237"/>
      <c r="BL91" s="237"/>
      <c r="BM91" s="237"/>
      <c r="BN91" s="237"/>
      <c r="BO91" s="237"/>
      <c r="BP91" s="237"/>
      <c r="BQ91" s="237"/>
      <c r="BR91" s="237"/>
      <c r="BS91" s="237"/>
      <c r="BT91" s="237"/>
      <c r="BU91" s="237"/>
      <c r="BV91" s="237"/>
      <c r="BW91" s="237"/>
      <c r="BX91" s="237"/>
      <c r="BY91" s="237"/>
      <c r="BZ91" s="237"/>
      <c r="CA91" s="237"/>
      <c r="CB91" s="237"/>
      <c r="CC91" s="237"/>
      <c r="CD91" s="237"/>
      <c r="CE91" s="237"/>
      <c r="CF91" s="237"/>
      <c r="CG91" s="237"/>
      <c r="CH91" s="237"/>
      <c r="CI91" s="237"/>
      <c r="CJ91" s="237"/>
      <c r="CK91" s="237"/>
      <c r="CL91" s="237"/>
      <c r="CM91" s="237"/>
      <c r="CN91" s="237"/>
      <c r="CO91" s="237"/>
      <c r="CP91" s="237"/>
      <c r="CQ91" s="237"/>
      <c r="CR91" s="237"/>
      <c r="CS91" s="237"/>
      <c r="CT91" s="237"/>
      <c r="CU91" s="237"/>
      <c r="CV91" s="237"/>
      <c r="CW91" s="237"/>
      <c r="CX91" s="237"/>
      <c r="CY91" s="237"/>
      <c r="CZ91" s="237"/>
      <c r="DA91" s="237"/>
      <c r="DB91" s="237"/>
      <c r="DC91" s="237"/>
      <c r="DD91" s="237"/>
      <c r="DE91" s="237"/>
      <c r="DF91" s="237"/>
      <c r="DG91" s="237"/>
      <c r="DH91" s="237"/>
      <c r="DI91" s="237"/>
      <c r="DJ91" s="237"/>
      <c r="DK91" s="237"/>
      <c r="DL91" s="237"/>
      <c r="DM91" s="237"/>
      <c r="DN91" s="237"/>
      <c r="DO91" s="237"/>
      <c r="DP91" s="237"/>
      <c r="DQ91" s="237"/>
      <c r="DR91" s="237"/>
      <c r="DS91" s="237"/>
      <c r="DT91" s="237"/>
      <c r="DU91" s="237"/>
      <c r="DV91" s="237"/>
      <c r="DW91" s="237"/>
      <c r="DX91" s="237"/>
      <c r="DY91" s="237"/>
      <c r="DZ91" s="237"/>
      <c r="EA91" s="237"/>
      <c r="EB91" s="237"/>
      <c r="EC91" s="237"/>
      <c r="ED91" s="237"/>
      <c r="EE91" s="237"/>
      <c r="EF91" s="237"/>
      <c r="EG91" s="237"/>
      <c r="EH91" s="237"/>
      <c r="EI91" s="237"/>
      <c r="EJ91" s="237"/>
      <c r="EK91" s="237"/>
      <c r="EL91" s="237"/>
      <c r="EM91" s="237"/>
      <c r="EN91" s="237"/>
      <c r="EO91" s="237"/>
      <c r="EP91" s="237"/>
      <c r="EQ91" s="237"/>
      <c r="ER91" s="237"/>
      <c r="ES91" s="237"/>
      <c r="ET91" s="237"/>
      <c r="EU91" s="237"/>
      <c r="EV91" s="237"/>
      <c r="EW91" s="237"/>
      <c r="EX91" s="237"/>
      <c r="EY91" s="237"/>
      <c r="EZ91" s="237"/>
      <c r="FA91" s="237"/>
      <c r="FB91" s="237"/>
      <c r="FC91" s="237"/>
      <c r="FD91" s="237"/>
      <c r="FE91" s="237"/>
      <c r="FF91" s="237"/>
      <c r="FG91" s="322"/>
      <c r="FH91" s="237"/>
      <c r="FI91" s="237"/>
      <c r="FJ91" s="237"/>
      <c r="FK91" s="237"/>
      <c r="FL91" s="237"/>
      <c r="FM91" s="237"/>
      <c r="FN91" s="237"/>
      <c r="FO91" s="237"/>
      <c r="FP91" s="237"/>
      <c r="FQ91" s="237"/>
      <c r="FR91" s="237"/>
      <c r="FS91" s="237"/>
      <c r="FT91" s="237"/>
      <c r="FU91" s="237"/>
      <c r="FV91" s="322"/>
    </row>
    <row r="92" spans="3:178" x14ac:dyDescent="0.2">
      <c r="C92" s="229" t="s">
        <v>6</v>
      </c>
      <c r="D92" s="229"/>
      <c r="E92" s="224"/>
    </row>
    <row r="93" spans="3:178" x14ac:dyDescent="0.2">
      <c r="C93" s="47" t="s">
        <v>45</v>
      </c>
      <c r="D93" s="239" t="s">
        <v>64</v>
      </c>
      <c r="E93" s="240" t="s">
        <v>5</v>
      </c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/>
      <c r="BB93" s="163"/>
      <c r="BC93" s="163"/>
      <c r="BD93" s="163"/>
      <c r="BE93" s="163"/>
      <c r="BF93" s="163"/>
      <c r="BG93" s="163"/>
      <c r="BH93" s="163"/>
      <c r="BI93" s="163"/>
      <c r="BJ93" s="163"/>
      <c r="BK93" s="163"/>
      <c r="BL93" s="163"/>
      <c r="BM93" s="163"/>
      <c r="BN93" s="163"/>
      <c r="BO93" s="163"/>
      <c r="BP93" s="163"/>
      <c r="BQ93" s="163"/>
      <c r="BR93" s="163"/>
      <c r="BS93" s="163"/>
      <c r="BT93" s="163"/>
      <c r="BU93" s="163"/>
      <c r="BV93" s="163"/>
      <c r="BW93" s="163"/>
      <c r="BX93" s="163"/>
      <c r="BY93" s="163"/>
      <c r="BZ93" s="163"/>
      <c r="CA93" s="163"/>
      <c r="CB93" s="163"/>
      <c r="CC93" s="163"/>
      <c r="CD93" s="163"/>
      <c r="CE93" s="163"/>
      <c r="CF93" s="163"/>
      <c r="CG93" s="163"/>
      <c r="CH93" s="163"/>
      <c r="CI93" s="163"/>
      <c r="CJ93" s="163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3"/>
      <c r="CZ93" s="163"/>
      <c r="DA93" s="163"/>
      <c r="DB93" s="163"/>
      <c r="DC93" s="163"/>
      <c r="DD93" s="163"/>
      <c r="DE93" s="163"/>
      <c r="DF93" s="163"/>
      <c r="DG93" s="163"/>
      <c r="DH93" s="163"/>
      <c r="DI93" s="163"/>
      <c r="DJ93" s="163"/>
      <c r="DK93" s="163"/>
      <c r="DL93" s="163"/>
      <c r="DM93" s="163"/>
      <c r="DN93" s="163"/>
      <c r="DO93" s="163"/>
      <c r="DP93" s="163"/>
      <c r="DQ93" s="163"/>
      <c r="DR93" s="163"/>
      <c r="DS93" s="163"/>
      <c r="DT93" s="163"/>
      <c r="DU93" s="163"/>
      <c r="DV93" s="163"/>
      <c r="DW93" s="163"/>
      <c r="DX93" s="163"/>
      <c r="DY93" s="163"/>
      <c r="DZ93" s="163"/>
      <c r="EA93" s="163"/>
      <c r="EB93" s="163"/>
      <c r="EC93" s="163"/>
      <c r="ED93" s="163"/>
      <c r="EE93" s="163"/>
      <c r="EF93" s="163"/>
      <c r="EG93" s="163"/>
      <c r="EH93" s="163"/>
      <c r="EI93" s="163"/>
      <c r="EJ93" s="163"/>
      <c r="EK93" s="163"/>
      <c r="EL93" s="163"/>
      <c r="EM93" s="163"/>
      <c r="EN93" s="163"/>
      <c r="EO93" s="163"/>
      <c r="EP93" s="163"/>
      <c r="EQ93" s="163"/>
      <c r="ER93" s="163"/>
      <c r="ES93" s="163"/>
      <c r="ET93" s="163"/>
      <c r="EU93" s="163"/>
      <c r="EV93" s="163"/>
      <c r="EW93" s="163"/>
      <c r="EX93" s="163"/>
      <c r="EY93" s="163"/>
      <c r="EZ93" s="163"/>
      <c r="FA93" s="163"/>
      <c r="FB93" s="163"/>
      <c r="FC93" s="163"/>
      <c r="FD93" s="163"/>
      <c r="FE93" s="163"/>
      <c r="FF93" s="163"/>
      <c r="FG93" s="314"/>
      <c r="FH93" s="163"/>
      <c r="FI93" s="163"/>
      <c r="FJ93" s="163"/>
      <c r="FK93" s="163"/>
      <c r="FL93" s="163"/>
      <c r="FM93" s="163"/>
      <c r="FN93" s="163"/>
      <c r="FO93" s="163"/>
      <c r="FP93" s="163"/>
      <c r="FQ93" s="163"/>
      <c r="FR93" s="163"/>
      <c r="FS93" s="163"/>
      <c r="FT93" s="163"/>
      <c r="FU93" s="163"/>
      <c r="FV93" s="314"/>
    </row>
    <row r="94" spans="3:178" x14ac:dyDescent="0.2">
      <c r="C94" s="39" t="str">
        <f t="shared" ref="C94:C100" si="788">IF(S28&lt;&gt;"",S28,"")</f>
        <v>Payroll</v>
      </c>
      <c r="D94" s="232">
        <f t="shared" ref="D94:D100" si="789">V28</f>
        <v>1500</v>
      </c>
      <c r="E94" s="231">
        <f t="shared" ref="E94:E101" si="790">SUM(F94:FF94)</f>
        <v>2387263.9689403367</v>
      </c>
      <c r="F94" s="232">
        <v>0</v>
      </c>
      <c r="G94" s="232">
        <f t="shared" ref="G94:P100" si="791">$D94/12*G$66*$N$13</f>
        <v>12531.25</v>
      </c>
      <c r="H94" s="232">
        <f t="shared" si="791"/>
        <v>12562.578124999998</v>
      </c>
      <c r="I94" s="232">
        <f t="shared" si="791"/>
        <v>12593.984570312497</v>
      </c>
      <c r="J94" s="232">
        <f t="shared" si="791"/>
        <v>12625.469531738278</v>
      </c>
      <c r="K94" s="232">
        <f t="shared" si="791"/>
        <v>12657.033205567624</v>
      </c>
      <c r="L94" s="232">
        <f t="shared" si="791"/>
        <v>12688.675788581544</v>
      </c>
      <c r="M94" s="232">
        <f t="shared" si="791"/>
        <v>12720.397478052997</v>
      </c>
      <c r="N94" s="232">
        <f t="shared" si="791"/>
        <v>12752.19847174813</v>
      </c>
      <c r="O94" s="232">
        <f t="shared" si="791"/>
        <v>12784.0789679275</v>
      </c>
      <c r="P94" s="232">
        <f t="shared" si="791"/>
        <v>12816.039165347316</v>
      </c>
      <c r="Q94" s="232">
        <f t="shared" ref="Q94:Z100" si="792">$D94/12*Q$66*$N$13</f>
        <v>12848.079263260686</v>
      </c>
      <c r="R94" s="232">
        <f t="shared" si="792"/>
        <v>12880.199461418837</v>
      </c>
      <c r="S94" s="232">
        <f t="shared" si="792"/>
        <v>12912.399960072384</v>
      </c>
      <c r="T94" s="232">
        <f t="shared" si="792"/>
        <v>12944.680959972564</v>
      </c>
      <c r="U94" s="232">
        <f t="shared" si="792"/>
        <v>12977.042662372492</v>
      </c>
      <c r="V94" s="232">
        <f t="shared" si="792"/>
        <v>13009.485269028422</v>
      </c>
      <c r="W94" s="232">
        <f t="shared" si="792"/>
        <v>13042.00898220099</v>
      </c>
      <c r="X94" s="232">
        <f t="shared" si="792"/>
        <v>13074.614004656492</v>
      </c>
      <c r="Y94" s="232">
        <f t="shared" si="792"/>
        <v>13107.300539668135</v>
      </c>
      <c r="Z94" s="232">
        <f t="shared" si="792"/>
        <v>13140.068791017306</v>
      </c>
      <c r="AA94" s="232">
        <f t="shared" ref="AA94:AJ100" si="793">$D94/12*AA$66*$N$13</f>
        <v>13172.918962994845</v>
      </c>
      <c r="AB94" s="232">
        <f t="shared" si="793"/>
        <v>13205.851260402333</v>
      </c>
      <c r="AC94" s="232">
        <f t="shared" si="793"/>
        <v>13238.865888553337</v>
      </c>
      <c r="AD94" s="232">
        <f t="shared" si="793"/>
        <v>13271.963053274718</v>
      </c>
      <c r="AE94" s="232">
        <f t="shared" si="793"/>
        <v>13305.142960907904</v>
      </c>
      <c r="AF94" s="232">
        <f t="shared" si="793"/>
        <v>13338.405818310173</v>
      </c>
      <c r="AG94" s="232">
        <f t="shared" si="793"/>
        <v>13371.751832855947</v>
      </c>
      <c r="AH94" s="232">
        <f t="shared" si="793"/>
        <v>13405.181212438087</v>
      </c>
      <c r="AI94" s="232">
        <f t="shared" si="793"/>
        <v>13438.694165469182</v>
      </c>
      <c r="AJ94" s="232">
        <f t="shared" si="793"/>
        <v>13472.29090088285</v>
      </c>
      <c r="AK94" s="232">
        <f t="shared" ref="AK94:AT100" si="794">$D94/12*AK$66*$N$13</f>
        <v>13505.971628135057</v>
      </c>
      <c r="AL94" s="232">
        <f t="shared" si="794"/>
        <v>13539.736557205395</v>
      </c>
      <c r="AM94" s="232">
        <f t="shared" si="794"/>
        <v>13573.585898598409</v>
      </c>
      <c r="AN94" s="232">
        <f t="shared" si="794"/>
        <v>13607.519863344905</v>
      </c>
      <c r="AO94" s="232">
        <f t="shared" si="794"/>
        <v>13641.538663003266</v>
      </c>
      <c r="AP94" s="232">
        <f t="shared" si="794"/>
        <v>13675.642509660773</v>
      </c>
      <c r="AQ94" s="232">
        <f t="shared" si="794"/>
        <v>13709.831615934925</v>
      </c>
      <c r="AR94" s="232">
        <f t="shared" si="794"/>
        <v>13744.106194974762</v>
      </c>
      <c r="AS94" s="232">
        <f t="shared" si="794"/>
        <v>13778.466460462198</v>
      </c>
      <c r="AT94" s="232">
        <f t="shared" si="794"/>
        <v>13812.912626613353</v>
      </c>
      <c r="AU94" s="232">
        <f t="shared" ref="AU94:BD100" si="795">$D94/12*AU$66*$N$13</f>
        <v>13847.444908179887</v>
      </c>
      <c r="AV94" s="232">
        <f t="shared" si="795"/>
        <v>13882.063520450336</v>
      </c>
      <c r="AW94" s="232">
        <f t="shared" si="795"/>
        <v>13916.768679251458</v>
      </c>
      <c r="AX94" s="232">
        <f t="shared" si="795"/>
        <v>13951.560600949586</v>
      </c>
      <c r="AY94" s="232">
        <f t="shared" si="795"/>
        <v>13986.439502451958</v>
      </c>
      <c r="AZ94" s="232">
        <f t="shared" si="795"/>
        <v>14021.405601208087</v>
      </c>
      <c r="BA94" s="232">
        <f t="shared" si="795"/>
        <v>14056.459115211106</v>
      </c>
      <c r="BB94" s="232">
        <f t="shared" si="795"/>
        <v>14091.600262999131</v>
      </c>
      <c r="BC94" s="232">
        <f t="shared" si="795"/>
        <v>14126.829263656629</v>
      </c>
      <c r="BD94" s="232">
        <f t="shared" si="795"/>
        <v>14162.146336815769</v>
      </c>
      <c r="BE94" s="232">
        <f t="shared" ref="BE94:BN100" si="796">$D94/12*BE$66*$N$13</f>
        <v>14197.551702657811</v>
      </c>
      <c r="BF94" s="232">
        <f t="shared" si="796"/>
        <v>14233.045581914454</v>
      </c>
      <c r="BG94" s="232">
        <f t="shared" si="796"/>
        <v>14268.628195869238</v>
      </c>
      <c r="BH94" s="232">
        <f t="shared" si="796"/>
        <v>14304.299766358912</v>
      </c>
      <c r="BI94" s="232">
        <f t="shared" si="796"/>
        <v>14340.060515774809</v>
      </c>
      <c r="BJ94" s="232">
        <f t="shared" si="796"/>
        <v>14375.910667064243</v>
      </c>
      <c r="BK94" s="232">
        <f t="shared" si="796"/>
        <v>14411.850443731902</v>
      </c>
      <c r="BL94" s="232">
        <f t="shared" si="796"/>
        <v>14447.880069841232</v>
      </c>
      <c r="BM94" s="232">
        <f t="shared" si="796"/>
        <v>14483.999770015833</v>
      </c>
      <c r="BN94" s="232">
        <f t="shared" si="796"/>
        <v>14520.209769440873</v>
      </c>
      <c r="BO94" s="232">
        <f t="shared" ref="BO94:BX100" si="797">$D94/12*BO$66*$N$13</f>
        <v>14556.510293864474</v>
      </c>
      <c r="BP94" s="232">
        <f t="shared" si="797"/>
        <v>14592.901569599135</v>
      </c>
      <c r="BQ94" s="232">
        <f t="shared" si="797"/>
        <v>14629.383823523131</v>
      </c>
      <c r="BR94" s="232">
        <f t="shared" si="797"/>
        <v>14665.957283081938</v>
      </c>
      <c r="BS94" s="232">
        <f t="shared" si="797"/>
        <v>14702.622176289642</v>
      </c>
      <c r="BT94" s="232">
        <f t="shared" si="797"/>
        <v>14739.378731730367</v>
      </c>
      <c r="BU94" s="232">
        <f t="shared" si="797"/>
        <v>14776.227178559688</v>
      </c>
      <c r="BV94" s="232">
        <f t="shared" si="797"/>
        <v>14813.167746506087</v>
      </c>
      <c r="BW94" s="232">
        <f t="shared" si="797"/>
        <v>14850.200665872349</v>
      </c>
      <c r="BX94" s="232">
        <f t="shared" si="797"/>
        <v>14887.326167537032</v>
      </c>
      <c r="BY94" s="232">
        <f t="shared" ref="BY94:CH100" si="798">$D94/12*BY$66*$N$13</f>
        <v>14924.544482955873</v>
      </c>
      <c r="BZ94" s="232">
        <f t="shared" si="798"/>
        <v>14961.855844163265</v>
      </c>
      <c r="CA94" s="232">
        <f t="shared" si="798"/>
        <v>14999.260483773671</v>
      </c>
      <c r="CB94" s="232">
        <f t="shared" si="798"/>
        <v>15036.758634983104</v>
      </c>
      <c r="CC94" s="232">
        <f t="shared" si="798"/>
        <v>15074.350531570562</v>
      </c>
      <c r="CD94" s="232">
        <f t="shared" si="798"/>
        <v>15112.036407899486</v>
      </c>
      <c r="CE94" s="232">
        <f t="shared" si="798"/>
        <v>15149.816498919236</v>
      </c>
      <c r="CF94" s="232">
        <f t="shared" si="798"/>
        <v>15187.691040166535</v>
      </c>
      <c r="CG94" s="232">
        <f t="shared" si="798"/>
        <v>15225.660267766949</v>
      </c>
      <c r="CH94" s="232">
        <f t="shared" si="798"/>
        <v>15263.724418436368</v>
      </c>
      <c r="CI94" s="232">
        <f t="shared" ref="CI94:CR100" si="799">$D94/12*CI$66*$N$13</f>
        <v>15301.883729482457</v>
      </c>
      <c r="CJ94" s="232">
        <f t="shared" si="799"/>
        <v>15340.138438806162</v>
      </c>
      <c r="CK94" s="232">
        <f t="shared" si="799"/>
        <v>15378.488784903178</v>
      </c>
      <c r="CL94" s="232">
        <f t="shared" si="799"/>
        <v>15416.935006865435</v>
      </c>
      <c r="CM94" s="232">
        <f t="shared" si="799"/>
        <v>15455.477344382598</v>
      </c>
      <c r="CN94" s="232">
        <f t="shared" si="799"/>
        <v>15494.116037743555</v>
      </c>
      <c r="CO94" s="232">
        <f t="shared" si="799"/>
        <v>15532.851327837912</v>
      </c>
      <c r="CP94" s="232">
        <f t="shared" si="799"/>
        <v>15571.683456157507</v>
      </c>
      <c r="CQ94" s="232">
        <f t="shared" si="799"/>
        <v>15610.612664797898</v>
      </c>
      <c r="CR94" s="232">
        <f t="shared" si="799"/>
        <v>15649.63919645989</v>
      </c>
      <c r="CS94" s="232">
        <f t="shared" ref="CS94:DB100" si="800">$D94/12*CS$66*$N$13</f>
        <v>15688.763294451041</v>
      </c>
      <c r="CT94" s="232">
        <f t="shared" si="800"/>
        <v>15727.985202687169</v>
      </c>
      <c r="CU94" s="232">
        <f t="shared" si="800"/>
        <v>15767.305165693884</v>
      </c>
      <c r="CV94" s="232">
        <f t="shared" si="800"/>
        <v>15806.723428608117</v>
      </c>
      <c r="CW94" s="232">
        <f t="shared" si="800"/>
        <v>15846.240237179638</v>
      </c>
      <c r="CX94" s="232">
        <f t="shared" si="800"/>
        <v>15885.855837772588</v>
      </c>
      <c r="CY94" s="232">
        <f t="shared" si="800"/>
        <v>15925.570477367017</v>
      </c>
      <c r="CZ94" s="232">
        <f t="shared" si="800"/>
        <v>15965.384403560434</v>
      </c>
      <c r="DA94" s="232">
        <f t="shared" si="800"/>
        <v>16005.297864569335</v>
      </c>
      <c r="DB94" s="232">
        <f t="shared" si="800"/>
        <v>16045.311109230755</v>
      </c>
      <c r="DC94" s="232">
        <f t="shared" ref="DC94:DL100" si="801">$D94/12*DC$66*$N$13</f>
        <v>16085.424387003832</v>
      </c>
      <c r="DD94" s="232">
        <f t="shared" si="801"/>
        <v>16125.637947971341</v>
      </c>
      <c r="DE94" s="232">
        <f t="shared" si="801"/>
        <v>16165.952042841269</v>
      </c>
      <c r="DF94" s="232">
        <f t="shared" si="801"/>
        <v>16206.366922948373</v>
      </c>
      <c r="DG94" s="232">
        <f t="shared" si="801"/>
        <v>16246.882840255745</v>
      </c>
      <c r="DH94" s="232">
        <f t="shared" si="801"/>
        <v>16287.500047356383</v>
      </c>
      <c r="DI94" s="232">
        <f t="shared" si="801"/>
        <v>16328.218797474772</v>
      </c>
      <c r="DJ94" s="232">
        <f t="shared" si="801"/>
        <v>16369.03934446846</v>
      </c>
      <c r="DK94" s="232">
        <f t="shared" si="801"/>
        <v>16409.961942829628</v>
      </c>
      <c r="DL94" s="232">
        <f t="shared" si="801"/>
        <v>16450.986847686701</v>
      </c>
      <c r="DM94" s="232">
        <f t="shared" ref="DM94:DV100" si="802">$D94/12*DM$66*$N$13</f>
        <v>16492.114314805916</v>
      </c>
      <c r="DN94" s="232">
        <f t="shared" si="802"/>
        <v>16533.344600592933</v>
      </c>
      <c r="DO94" s="232">
        <f t="shared" si="802"/>
        <v>16574.677962094411</v>
      </c>
      <c r="DP94" s="232">
        <f t="shared" si="802"/>
        <v>16616.114656999649</v>
      </c>
      <c r="DQ94" s="232">
        <f t="shared" si="802"/>
        <v>16657.654943642145</v>
      </c>
      <c r="DR94" s="232">
        <f t="shared" si="802"/>
        <v>16699.299081001249</v>
      </c>
      <c r="DS94" s="232">
        <f t="shared" si="802"/>
        <v>16741.047328703753</v>
      </c>
      <c r="DT94" s="232">
        <f t="shared" si="802"/>
        <v>16782.899947025511</v>
      </c>
      <c r="DU94" s="232">
        <f t="shared" si="802"/>
        <v>16824.85719689307</v>
      </c>
      <c r="DV94" s="232">
        <f t="shared" si="802"/>
        <v>16866.919339885306</v>
      </c>
      <c r="DW94" s="232">
        <f t="shared" ref="DW94:EF100" si="803">$D94/12*DW$66*$N$13</f>
        <v>16909.086638235018</v>
      </c>
      <c r="DX94" s="232">
        <f t="shared" si="803"/>
        <v>16951.359354830605</v>
      </c>
      <c r="DY94" s="232">
        <f t="shared" si="803"/>
        <v>16993.73775321768</v>
      </c>
      <c r="DZ94" s="232">
        <f t="shared" si="803"/>
        <v>17036.222097600723</v>
      </c>
      <c r="EA94" s="232">
        <f t="shared" si="803"/>
        <v>17078.812652844725</v>
      </c>
      <c r="EB94" s="232">
        <f t="shared" si="803"/>
        <v>17121.509684476834</v>
      </c>
      <c r="EC94" s="232">
        <f t="shared" si="803"/>
        <v>17164.31345868803</v>
      </c>
      <c r="ED94" s="232">
        <f t="shared" si="803"/>
        <v>17207.224242334745</v>
      </c>
      <c r="EE94" s="232">
        <f t="shared" si="803"/>
        <v>17250.242302940584</v>
      </c>
      <c r="EF94" s="232">
        <f t="shared" si="803"/>
        <v>17293.367908697932</v>
      </c>
      <c r="EG94" s="232">
        <f t="shared" ref="EG94:EP100" si="804">$D94/12*EG$66*$N$13</f>
        <v>17336.601328469675</v>
      </c>
      <c r="EH94" s="232">
        <f t="shared" si="804"/>
        <v>17379.94283179085</v>
      </c>
      <c r="EI94" s="232">
        <f t="shared" si="804"/>
        <v>17423.392688870321</v>
      </c>
      <c r="EJ94" s="232">
        <f t="shared" si="804"/>
        <v>17466.951170592496</v>
      </c>
      <c r="EK94" s="232">
        <f t="shared" si="804"/>
        <v>17510.618548518978</v>
      </c>
      <c r="EL94" s="232">
        <f t="shared" si="804"/>
        <v>17554.395094890275</v>
      </c>
      <c r="EM94" s="232">
        <f t="shared" si="804"/>
        <v>17598.281082627498</v>
      </c>
      <c r="EN94" s="232">
        <f t="shared" si="804"/>
        <v>17642.276785334063</v>
      </c>
      <c r="EO94" s="232">
        <f t="shared" si="804"/>
        <v>17686.3824772974</v>
      </c>
      <c r="EP94" s="232">
        <f t="shared" si="804"/>
        <v>17730.598433490642</v>
      </c>
      <c r="EQ94" s="232">
        <f t="shared" ref="EQ94:EZ100" si="805">$D94/12*EQ$66*$N$13</f>
        <v>17774.924929574368</v>
      </c>
      <c r="ER94" s="232">
        <f t="shared" si="805"/>
        <v>17819.362241898303</v>
      </c>
      <c r="ES94" s="232">
        <f t="shared" si="805"/>
        <v>17863.910647503046</v>
      </c>
      <c r="ET94" s="232">
        <f t="shared" si="805"/>
        <v>17908.570424121805</v>
      </c>
      <c r="EU94" s="232">
        <f t="shared" si="805"/>
        <v>17953.341850182107</v>
      </c>
      <c r="EV94" s="232">
        <f t="shared" si="805"/>
        <v>17998.225204807561</v>
      </c>
      <c r="EW94" s="232">
        <f t="shared" si="805"/>
        <v>18043.220767819581</v>
      </c>
      <c r="EX94" s="232">
        <f t="shared" si="805"/>
        <v>18088.32881973913</v>
      </c>
      <c r="EY94" s="232">
        <f t="shared" si="805"/>
        <v>18133.549641788479</v>
      </c>
      <c r="EZ94" s="232">
        <f t="shared" si="805"/>
        <v>18178.883515892947</v>
      </c>
      <c r="FA94" s="232">
        <f t="shared" ref="FA94:FF100" si="806">$D94/12*FA$66*$N$13</f>
        <v>18224.330724682677</v>
      </c>
      <c r="FB94" s="232">
        <f t="shared" si="806"/>
        <v>18269.891551494384</v>
      </c>
      <c r="FC94" s="232">
        <f t="shared" si="806"/>
        <v>18315.566280373117</v>
      </c>
      <c r="FD94" s="232">
        <f t="shared" si="806"/>
        <v>18361.355196074048</v>
      </c>
      <c r="FE94" s="232">
        <f t="shared" si="806"/>
        <v>18407.258584064235</v>
      </c>
      <c r="FF94" s="232">
        <f t="shared" si="806"/>
        <v>18453.276730524394</v>
      </c>
      <c r="FG94" s="321"/>
      <c r="FH94" s="232">
        <f t="shared" ref="FH94:FU101" si="807">SUMIF($F$57:$FF$57,FH$57,$F94:$FF94)</f>
        <v>88379.388699252944</v>
      </c>
      <c r="FI94" s="232">
        <f t="shared" si="807"/>
        <v>155148.12770767394</v>
      </c>
      <c r="FJ94" s="232">
        <f t="shared" si="807"/>
        <v>159867.10647524177</v>
      </c>
      <c r="FK94" s="232">
        <f t="shared" si="807"/>
        <v>164729.61749767969</v>
      </c>
      <c r="FL94" s="232">
        <f t="shared" si="807"/>
        <v>169740.02644586752</v>
      </c>
      <c r="FM94" s="232">
        <f t="shared" si="807"/>
        <v>174902.83177674245</v>
      </c>
      <c r="FN94" s="232">
        <f t="shared" si="807"/>
        <v>180222.66877211415</v>
      </c>
      <c r="FO94" s="232">
        <f t="shared" si="807"/>
        <v>185704.31370032398</v>
      </c>
      <c r="FP94" s="232">
        <f t="shared" si="807"/>
        <v>191352.68810448537</v>
      </c>
      <c r="FQ94" s="232">
        <f t="shared" si="807"/>
        <v>197172.86322115513</v>
      </c>
      <c r="FR94" s="232">
        <f t="shared" si="807"/>
        <v>203170.0645334025</v>
      </c>
      <c r="FS94" s="232">
        <f t="shared" si="807"/>
        <v>209349.67646236479</v>
      </c>
      <c r="FT94" s="232">
        <f t="shared" si="807"/>
        <v>215717.24720150066</v>
      </c>
      <c r="FU94" s="232">
        <f t="shared" si="807"/>
        <v>91807.348342530182</v>
      </c>
      <c r="FV94" s="321"/>
    </row>
    <row r="95" spans="3:178" x14ac:dyDescent="0.2">
      <c r="C95" s="39" t="str">
        <f t="shared" si="788"/>
        <v>Admin</v>
      </c>
      <c r="D95" s="232">
        <f t="shared" si="789"/>
        <v>300</v>
      </c>
      <c r="E95" s="231">
        <f t="shared" si="790"/>
        <v>477452.79378806689</v>
      </c>
      <c r="F95" s="232">
        <v>0</v>
      </c>
      <c r="G95" s="232">
        <f t="shared" si="791"/>
        <v>2506.25</v>
      </c>
      <c r="H95" s="232">
        <f t="shared" si="791"/>
        <v>2512.5156249999995</v>
      </c>
      <c r="I95" s="232">
        <f t="shared" si="791"/>
        <v>2518.7969140624991</v>
      </c>
      <c r="J95" s="232">
        <f t="shared" si="791"/>
        <v>2525.0939063476558</v>
      </c>
      <c r="K95" s="232">
        <f t="shared" si="791"/>
        <v>2531.406641113525</v>
      </c>
      <c r="L95" s="232">
        <f t="shared" si="791"/>
        <v>2537.7351577163085</v>
      </c>
      <c r="M95" s="232">
        <f t="shared" si="791"/>
        <v>2544.0794956105992</v>
      </c>
      <c r="N95" s="232">
        <f t="shared" si="791"/>
        <v>2550.4396943496258</v>
      </c>
      <c r="O95" s="232">
        <f t="shared" si="791"/>
        <v>2556.8157935855002</v>
      </c>
      <c r="P95" s="232">
        <f t="shared" si="791"/>
        <v>2563.2078330694635</v>
      </c>
      <c r="Q95" s="232">
        <f t="shared" si="792"/>
        <v>2569.6158526521372</v>
      </c>
      <c r="R95" s="232">
        <f t="shared" si="792"/>
        <v>2576.0398922837671</v>
      </c>
      <c r="S95" s="232">
        <f t="shared" si="792"/>
        <v>2582.4799920144765</v>
      </c>
      <c r="T95" s="232">
        <f t="shared" si="792"/>
        <v>2588.9361919945122</v>
      </c>
      <c r="U95" s="232">
        <f t="shared" si="792"/>
        <v>2595.4085324744983</v>
      </c>
      <c r="V95" s="232">
        <f t="shared" si="792"/>
        <v>2601.8970538056847</v>
      </c>
      <c r="W95" s="232">
        <f t="shared" si="792"/>
        <v>2608.4017964401983</v>
      </c>
      <c r="X95" s="232">
        <f t="shared" si="792"/>
        <v>2614.9228009312983</v>
      </c>
      <c r="Y95" s="232">
        <f t="shared" si="792"/>
        <v>2621.4601079336271</v>
      </c>
      <c r="Z95" s="232">
        <f t="shared" si="792"/>
        <v>2628.0137582034608</v>
      </c>
      <c r="AA95" s="232">
        <f t="shared" si="793"/>
        <v>2634.583792598969</v>
      </c>
      <c r="AB95" s="232">
        <f t="shared" si="793"/>
        <v>2641.1702520804665</v>
      </c>
      <c r="AC95" s="232">
        <f t="shared" si="793"/>
        <v>2647.7731777106674</v>
      </c>
      <c r="AD95" s="232">
        <f t="shared" si="793"/>
        <v>2654.3926106549438</v>
      </c>
      <c r="AE95" s="232">
        <f t="shared" si="793"/>
        <v>2661.0285921815807</v>
      </c>
      <c r="AF95" s="232">
        <f t="shared" si="793"/>
        <v>2667.6811636620346</v>
      </c>
      <c r="AG95" s="232">
        <f t="shared" si="793"/>
        <v>2674.3503665711892</v>
      </c>
      <c r="AH95" s="232">
        <f t="shared" si="793"/>
        <v>2681.0362424876171</v>
      </c>
      <c r="AI95" s="232">
        <f t="shared" si="793"/>
        <v>2687.7388330938361</v>
      </c>
      <c r="AJ95" s="232">
        <f t="shared" si="793"/>
        <v>2694.4581801765703</v>
      </c>
      <c r="AK95" s="232">
        <f t="shared" si="794"/>
        <v>2701.1943256270115</v>
      </c>
      <c r="AL95" s="232">
        <f t="shared" si="794"/>
        <v>2707.9473114410789</v>
      </c>
      <c r="AM95" s="232">
        <f t="shared" si="794"/>
        <v>2714.717179719682</v>
      </c>
      <c r="AN95" s="232">
        <f t="shared" si="794"/>
        <v>2721.5039726689811</v>
      </c>
      <c r="AO95" s="232">
        <f t="shared" si="794"/>
        <v>2728.3077326006533</v>
      </c>
      <c r="AP95" s="232">
        <f t="shared" si="794"/>
        <v>2735.1285019321549</v>
      </c>
      <c r="AQ95" s="232">
        <f t="shared" si="794"/>
        <v>2741.9663231869849</v>
      </c>
      <c r="AR95" s="232">
        <f t="shared" si="794"/>
        <v>2748.8212389949522</v>
      </c>
      <c r="AS95" s="232">
        <f t="shared" si="794"/>
        <v>2755.6932920924401</v>
      </c>
      <c r="AT95" s="232">
        <f t="shared" si="794"/>
        <v>2762.5825253226712</v>
      </c>
      <c r="AU95" s="232">
        <f t="shared" si="795"/>
        <v>2769.4889816359778</v>
      </c>
      <c r="AV95" s="232">
        <f t="shared" si="795"/>
        <v>2776.4127040900671</v>
      </c>
      <c r="AW95" s="232">
        <f t="shared" si="795"/>
        <v>2783.3537358502917</v>
      </c>
      <c r="AX95" s="232">
        <f t="shared" si="795"/>
        <v>2790.3121201899171</v>
      </c>
      <c r="AY95" s="232">
        <f t="shared" si="795"/>
        <v>2797.2879004903916</v>
      </c>
      <c r="AZ95" s="232">
        <f t="shared" si="795"/>
        <v>2804.2811202416174</v>
      </c>
      <c r="BA95" s="232">
        <f t="shared" si="795"/>
        <v>2811.2918230422215</v>
      </c>
      <c r="BB95" s="232">
        <f t="shared" si="795"/>
        <v>2818.3200525998263</v>
      </c>
      <c r="BC95" s="232">
        <f t="shared" si="795"/>
        <v>2825.365852731326</v>
      </c>
      <c r="BD95" s="232">
        <f t="shared" si="795"/>
        <v>2832.4292673631539</v>
      </c>
      <c r="BE95" s="232">
        <f t="shared" si="796"/>
        <v>2839.5103405315622</v>
      </c>
      <c r="BF95" s="232">
        <f t="shared" si="796"/>
        <v>2846.6091163828905</v>
      </c>
      <c r="BG95" s="232">
        <f t="shared" si="796"/>
        <v>2853.7256391738474</v>
      </c>
      <c r="BH95" s="232">
        <f t="shared" si="796"/>
        <v>2860.8599532717822</v>
      </c>
      <c r="BI95" s="232">
        <f t="shared" si="796"/>
        <v>2868.0121031549616</v>
      </c>
      <c r="BJ95" s="232">
        <f t="shared" si="796"/>
        <v>2875.1821334128485</v>
      </c>
      <c r="BK95" s="232">
        <f t="shared" si="796"/>
        <v>2882.3700887463806</v>
      </c>
      <c r="BL95" s="232">
        <f t="shared" si="796"/>
        <v>2889.5760139682461</v>
      </c>
      <c r="BM95" s="232">
        <f t="shared" si="796"/>
        <v>2896.7999540031669</v>
      </c>
      <c r="BN95" s="232">
        <f t="shared" si="796"/>
        <v>2904.0419538881747</v>
      </c>
      <c r="BO95" s="232">
        <f t="shared" si="797"/>
        <v>2911.3020587728952</v>
      </c>
      <c r="BP95" s="232">
        <f t="shared" si="797"/>
        <v>2918.5803139198265</v>
      </c>
      <c r="BQ95" s="232">
        <f t="shared" si="797"/>
        <v>2925.8767647046261</v>
      </c>
      <c r="BR95" s="232">
        <f t="shared" si="797"/>
        <v>2933.1914566163873</v>
      </c>
      <c r="BS95" s="232">
        <f t="shared" si="797"/>
        <v>2940.5244352579284</v>
      </c>
      <c r="BT95" s="232">
        <f t="shared" si="797"/>
        <v>2947.8757463460729</v>
      </c>
      <c r="BU95" s="232">
        <f t="shared" si="797"/>
        <v>2955.2454357119382</v>
      </c>
      <c r="BV95" s="232">
        <f t="shared" si="797"/>
        <v>2962.6335493012175</v>
      </c>
      <c r="BW95" s="232">
        <f t="shared" si="797"/>
        <v>2970.0401331744706</v>
      </c>
      <c r="BX95" s="232">
        <f t="shared" si="797"/>
        <v>2977.4652335074065</v>
      </c>
      <c r="BY95" s="232">
        <f t="shared" si="798"/>
        <v>2984.9088965911747</v>
      </c>
      <c r="BZ95" s="232">
        <f t="shared" si="798"/>
        <v>2992.3711688326525</v>
      </c>
      <c r="CA95" s="232">
        <f t="shared" si="798"/>
        <v>2999.8520967547342</v>
      </c>
      <c r="CB95" s="232">
        <f t="shared" si="798"/>
        <v>3007.351726996621</v>
      </c>
      <c r="CC95" s="232">
        <f t="shared" si="798"/>
        <v>3014.8701063141125</v>
      </c>
      <c r="CD95" s="232">
        <f t="shared" si="798"/>
        <v>3022.4072815798977</v>
      </c>
      <c r="CE95" s="232">
        <f t="shared" si="798"/>
        <v>3029.9632997838471</v>
      </c>
      <c r="CF95" s="232">
        <f t="shared" si="798"/>
        <v>3037.538208033307</v>
      </c>
      <c r="CG95" s="232">
        <f t="shared" si="798"/>
        <v>3045.1320535533901</v>
      </c>
      <c r="CH95" s="232">
        <f t="shared" si="798"/>
        <v>3052.7448836872732</v>
      </c>
      <c r="CI95" s="232">
        <f t="shared" si="799"/>
        <v>3060.3767458964912</v>
      </c>
      <c r="CJ95" s="232">
        <f t="shared" si="799"/>
        <v>3068.0276877612323</v>
      </c>
      <c r="CK95" s="232">
        <f t="shared" si="799"/>
        <v>3075.6977569806354</v>
      </c>
      <c r="CL95" s="232">
        <f t="shared" si="799"/>
        <v>3083.3870013730871</v>
      </c>
      <c r="CM95" s="232">
        <f t="shared" si="799"/>
        <v>3091.0954688765196</v>
      </c>
      <c r="CN95" s="232">
        <f t="shared" si="799"/>
        <v>3098.8232075487113</v>
      </c>
      <c r="CO95" s="232">
        <f t="shared" si="799"/>
        <v>3106.5702655675823</v>
      </c>
      <c r="CP95" s="232">
        <f t="shared" si="799"/>
        <v>3114.3366912315014</v>
      </c>
      <c r="CQ95" s="232">
        <f t="shared" si="799"/>
        <v>3122.1225329595795</v>
      </c>
      <c r="CR95" s="232">
        <f t="shared" si="799"/>
        <v>3129.9278392919782</v>
      </c>
      <c r="CS95" s="232">
        <f t="shared" si="800"/>
        <v>3137.7526588902083</v>
      </c>
      <c r="CT95" s="232">
        <f t="shared" si="800"/>
        <v>3145.5970405374333</v>
      </c>
      <c r="CU95" s="232">
        <f t="shared" si="800"/>
        <v>3153.4610331387767</v>
      </c>
      <c r="CV95" s="232">
        <f t="shared" si="800"/>
        <v>3161.344685721624</v>
      </c>
      <c r="CW95" s="232">
        <f t="shared" si="800"/>
        <v>3169.2480474359277</v>
      </c>
      <c r="CX95" s="232">
        <f t="shared" si="800"/>
        <v>3177.1711675545175</v>
      </c>
      <c r="CY95" s="232">
        <f t="shared" si="800"/>
        <v>3185.1140954734037</v>
      </c>
      <c r="CZ95" s="232">
        <f t="shared" si="800"/>
        <v>3193.0768807120871</v>
      </c>
      <c r="DA95" s="232">
        <f t="shared" si="800"/>
        <v>3201.0595729138672</v>
      </c>
      <c r="DB95" s="232">
        <f t="shared" si="800"/>
        <v>3209.0622218461513</v>
      </c>
      <c r="DC95" s="232">
        <f t="shared" si="801"/>
        <v>3217.0848774007668</v>
      </c>
      <c r="DD95" s="232">
        <f t="shared" si="801"/>
        <v>3225.1275895942681</v>
      </c>
      <c r="DE95" s="232">
        <f t="shared" si="801"/>
        <v>3233.1904085682536</v>
      </c>
      <c r="DF95" s="232">
        <f t="shared" si="801"/>
        <v>3241.2733845896746</v>
      </c>
      <c r="DG95" s="232">
        <f t="shared" si="801"/>
        <v>3249.3765680511488</v>
      </c>
      <c r="DH95" s="232">
        <f t="shared" si="801"/>
        <v>3257.5000094712764</v>
      </c>
      <c r="DI95" s="232">
        <f t="shared" si="801"/>
        <v>3265.6437594949543</v>
      </c>
      <c r="DJ95" s="232">
        <f t="shared" si="801"/>
        <v>3273.8078688936916</v>
      </c>
      <c r="DK95" s="232">
        <f t="shared" si="801"/>
        <v>3281.9923885659259</v>
      </c>
      <c r="DL95" s="232">
        <f t="shared" si="801"/>
        <v>3290.1973695373408</v>
      </c>
      <c r="DM95" s="232">
        <f t="shared" si="802"/>
        <v>3298.4228629611835</v>
      </c>
      <c r="DN95" s="232">
        <f t="shared" si="802"/>
        <v>3306.6689201185859</v>
      </c>
      <c r="DO95" s="232">
        <f t="shared" si="802"/>
        <v>3314.9355924188826</v>
      </c>
      <c r="DP95" s="232">
        <f t="shared" si="802"/>
        <v>3323.2229313999296</v>
      </c>
      <c r="DQ95" s="232">
        <f t="shared" si="802"/>
        <v>3331.5309887284284</v>
      </c>
      <c r="DR95" s="232">
        <f t="shared" si="802"/>
        <v>3339.8598162002495</v>
      </c>
      <c r="DS95" s="232">
        <f t="shared" si="802"/>
        <v>3348.2094657407501</v>
      </c>
      <c r="DT95" s="232">
        <f t="shared" si="802"/>
        <v>3356.579989405102</v>
      </c>
      <c r="DU95" s="232">
        <f t="shared" si="802"/>
        <v>3364.9714393786148</v>
      </c>
      <c r="DV95" s="232">
        <f t="shared" si="802"/>
        <v>3373.3838679770615</v>
      </c>
      <c r="DW95" s="232">
        <f t="shared" si="803"/>
        <v>3381.8173276470034</v>
      </c>
      <c r="DX95" s="232">
        <f t="shared" si="803"/>
        <v>3390.2718709661208</v>
      </c>
      <c r="DY95" s="232">
        <f t="shared" si="803"/>
        <v>3398.7475506435358</v>
      </c>
      <c r="DZ95" s="232">
        <f t="shared" si="803"/>
        <v>3407.2444195201447</v>
      </c>
      <c r="EA95" s="232">
        <f t="shared" si="803"/>
        <v>3415.7625305689448</v>
      </c>
      <c r="EB95" s="232">
        <f t="shared" si="803"/>
        <v>3424.3019368953669</v>
      </c>
      <c r="EC95" s="232">
        <f t="shared" si="803"/>
        <v>3432.8626917376055</v>
      </c>
      <c r="ED95" s="232">
        <f t="shared" si="803"/>
        <v>3441.4448484669492</v>
      </c>
      <c r="EE95" s="232">
        <f t="shared" si="803"/>
        <v>3450.0484605881161</v>
      </c>
      <c r="EF95" s="232">
        <f t="shared" si="803"/>
        <v>3458.6735817395861</v>
      </c>
      <c r="EG95" s="232">
        <f t="shared" si="804"/>
        <v>3467.3202656939352</v>
      </c>
      <c r="EH95" s="232">
        <f t="shared" si="804"/>
        <v>3475.9885663581699</v>
      </c>
      <c r="EI95" s="232">
        <f t="shared" si="804"/>
        <v>3484.6785377740644</v>
      </c>
      <c r="EJ95" s="232">
        <f t="shared" si="804"/>
        <v>3493.3902341184998</v>
      </c>
      <c r="EK95" s="232">
        <f t="shared" si="804"/>
        <v>3502.1237097037956</v>
      </c>
      <c r="EL95" s="232">
        <f t="shared" si="804"/>
        <v>3510.8790189780548</v>
      </c>
      <c r="EM95" s="232">
        <f t="shared" si="804"/>
        <v>3519.6562165254995</v>
      </c>
      <c r="EN95" s="232">
        <f t="shared" si="804"/>
        <v>3528.4553570668131</v>
      </c>
      <c r="EO95" s="232">
        <f t="shared" si="804"/>
        <v>3537.27649545948</v>
      </c>
      <c r="EP95" s="232">
        <f t="shared" si="804"/>
        <v>3546.1196866981281</v>
      </c>
      <c r="EQ95" s="232">
        <f t="shared" si="805"/>
        <v>3554.9849859148735</v>
      </c>
      <c r="ER95" s="232">
        <f t="shared" si="805"/>
        <v>3563.8724483796609</v>
      </c>
      <c r="ES95" s="232">
        <f t="shared" si="805"/>
        <v>3572.7821295006097</v>
      </c>
      <c r="ET95" s="232">
        <f t="shared" si="805"/>
        <v>3581.7140848243612</v>
      </c>
      <c r="EU95" s="232">
        <f t="shared" si="805"/>
        <v>3590.6683700364219</v>
      </c>
      <c r="EV95" s="232">
        <f t="shared" si="805"/>
        <v>3599.6450409615127</v>
      </c>
      <c r="EW95" s="232">
        <f t="shared" si="805"/>
        <v>3608.644153563916</v>
      </c>
      <c r="EX95" s="232">
        <f t="shared" si="805"/>
        <v>3617.6657639478258</v>
      </c>
      <c r="EY95" s="232">
        <f t="shared" si="805"/>
        <v>3626.7099283576954</v>
      </c>
      <c r="EZ95" s="232">
        <f t="shared" si="805"/>
        <v>3635.7767031785888</v>
      </c>
      <c r="FA95" s="232">
        <f t="shared" si="806"/>
        <v>3644.8661449365354</v>
      </c>
      <c r="FB95" s="232">
        <f t="shared" si="806"/>
        <v>3653.9783102988763</v>
      </c>
      <c r="FC95" s="232">
        <f t="shared" si="806"/>
        <v>3663.1132560746237</v>
      </c>
      <c r="FD95" s="232">
        <f t="shared" si="806"/>
        <v>3672.2710392148101</v>
      </c>
      <c r="FE95" s="232">
        <f t="shared" si="806"/>
        <v>3681.4517168128468</v>
      </c>
      <c r="FF95" s="232">
        <f t="shared" si="806"/>
        <v>3690.6553461048788</v>
      </c>
      <c r="FG95" s="321"/>
      <c r="FH95" s="232">
        <f t="shared" si="807"/>
        <v>17675.877739850588</v>
      </c>
      <c r="FI95" s="232">
        <f t="shared" si="807"/>
        <v>31029.625541534791</v>
      </c>
      <c r="FJ95" s="232">
        <f t="shared" si="807"/>
        <v>31973.421295048349</v>
      </c>
      <c r="FK95" s="232">
        <f t="shared" si="807"/>
        <v>32945.923499535937</v>
      </c>
      <c r="FL95" s="232">
        <f t="shared" si="807"/>
        <v>33948.005289173496</v>
      </c>
      <c r="FM95" s="232">
        <f t="shared" si="807"/>
        <v>34980.566355348485</v>
      </c>
      <c r="FN95" s="232">
        <f t="shared" si="807"/>
        <v>36044.533754422831</v>
      </c>
      <c r="FO95" s="232">
        <f t="shared" si="807"/>
        <v>37140.862740064797</v>
      </c>
      <c r="FP95" s="232">
        <f t="shared" si="807"/>
        <v>38270.537620897077</v>
      </c>
      <c r="FQ95" s="232">
        <f t="shared" si="807"/>
        <v>39434.572644231026</v>
      </c>
      <c r="FR95" s="232">
        <f t="shared" si="807"/>
        <v>40634.012906680502</v>
      </c>
      <c r="FS95" s="232">
        <f t="shared" si="807"/>
        <v>41869.935292472968</v>
      </c>
      <c r="FT95" s="232">
        <f t="shared" si="807"/>
        <v>43143.44944030013</v>
      </c>
      <c r="FU95" s="232">
        <f t="shared" si="807"/>
        <v>18361.469668506037</v>
      </c>
      <c r="FV95" s="321"/>
    </row>
    <row r="96" spans="3:178" x14ac:dyDescent="0.2">
      <c r="C96" s="39" t="str">
        <f t="shared" si="788"/>
        <v>Marketing</v>
      </c>
      <c r="D96" s="232">
        <f t="shared" si="789"/>
        <v>300</v>
      </c>
      <c r="E96" s="231">
        <f t="shared" si="790"/>
        <v>477452.79378806689</v>
      </c>
      <c r="F96" s="232">
        <v>0</v>
      </c>
      <c r="G96" s="232">
        <f t="shared" si="791"/>
        <v>2506.25</v>
      </c>
      <c r="H96" s="232">
        <f t="shared" si="791"/>
        <v>2512.5156249999995</v>
      </c>
      <c r="I96" s="232">
        <f t="shared" si="791"/>
        <v>2518.7969140624991</v>
      </c>
      <c r="J96" s="232">
        <f t="shared" si="791"/>
        <v>2525.0939063476558</v>
      </c>
      <c r="K96" s="232">
        <f t="shared" si="791"/>
        <v>2531.406641113525</v>
      </c>
      <c r="L96" s="232">
        <f t="shared" si="791"/>
        <v>2537.7351577163085</v>
      </c>
      <c r="M96" s="232">
        <f t="shared" si="791"/>
        <v>2544.0794956105992</v>
      </c>
      <c r="N96" s="232">
        <f t="shared" si="791"/>
        <v>2550.4396943496258</v>
      </c>
      <c r="O96" s="232">
        <f t="shared" si="791"/>
        <v>2556.8157935855002</v>
      </c>
      <c r="P96" s="232">
        <f t="shared" si="791"/>
        <v>2563.2078330694635</v>
      </c>
      <c r="Q96" s="232">
        <f t="shared" si="792"/>
        <v>2569.6158526521372</v>
      </c>
      <c r="R96" s="232">
        <f t="shared" si="792"/>
        <v>2576.0398922837671</v>
      </c>
      <c r="S96" s="232">
        <f t="shared" si="792"/>
        <v>2582.4799920144765</v>
      </c>
      <c r="T96" s="232">
        <f t="shared" si="792"/>
        <v>2588.9361919945122</v>
      </c>
      <c r="U96" s="232">
        <f t="shared" si="792"/>
        <v>2595.4085324744983</v>
      </c>
      <c r="V96" s="232">
        <f t="shared" si="792"/>
        <v>2601.8970538056847</v>
      </c>
      <c r="W96" s="232">
        <f t="shared" si="792"/>
        <v>2608.4017964401983</v>
      </c>
      <c r="X96" s="232">
        <f t="shared" si="792"/>
        <v>2614.9228009312983</v>
      </c>
      <c r="Y96" s="232">
        <f t="shared" si="792"/>
        <v>2621.4601079336271</v>
      </c>
      <c r="Z96" s="232">
        <f t="shared" si="792"/>
        <v>2628.0137582034608</v>
      </c>
      <c r="AA96" s="232">
        <f t="shared" si="793"/>
        <v>2634.583792598969</v>
      </c>
      <c r="AB96" s="232">
        <f t="shared" si="793"/>
        <v>2641.1702520804665</v>
      </c>
      <c r="AC96" s="232">
        <f t="shared" si="793"/>
        <v>2647.7731777106674</v>
      </c>
      <c r="AD96" s="232">
        <f t="shared" si="793"/>
        <v>2654.3926106549438</v>
      </c>
      <c r="AE96" s="232">
        <f t="shared" si="793"/>
        <v>2661.0285921815807</v>
      </c>
      <c r="AF96" s="232">
        <f t="shared" si="793"/>
        <v>2667.6811636620346</v>
      </c>
      <c r="AG96" s="232">
        <f t="shared" si="793"/>
        <v>2674.3503665711892</v>
      </c>
      <c r="AH96" s="232">
        <f t="shared" si="793"/>
        <v>2681.0362424876171</v>
      </c>
      <c r="AI96" s="232">
        <f t="shared" si="793"/>
        <v>2687.7388330938361</v>
      </c>
      <c r="AJ96" s="232">
        <f t="shared" si="793"/>
        <v>2694.4581801765703</v>
      </c>
      <c r="AK96" s="232">
        <f t="shared" si="794"/>
        <v>2701.1943256270115</v>
      </c>
      <c r="AL96" s="232">
        <f t="shared" si="794"/>
        <v>2707.9473114410789</v>
      </c>
      <c r="AM96" s="232">
        <f t="shared" si="794"/>
        <v>2714.717179719682</v>
      </c>
      <c r="AN96" s="232">
        <f t="shared" si="794"/>
        <v>2721.5039726689811</v>
      </c>
      <c r="AO96" s="232">
        <f t="shared" si="794"/>
        <v>2728.3077326006533</v>
      </c>
      <c r="AP96" s="232">
        <f t="shared" si="794"/>
        <v>2735.1285019321549</v>
      </c>
      <c r="AQ96" s="232">
        <f t="shared" si="794"/>
        <v>2741.9663231869849</v>
      </c>
      <c r="AR96" s="232">
        <f t="shared" si="794"/>
        <v>2748.8212389949522</v>
      </c>
      <c r="AS96" s="232">
        <f t="shared" si="794"/>
        <v>2755.6932920924401</v>
      </c>
      <c r="AT96" s="232">
        <f t="shared" si="794"/>
        <v>2762.5825253226712</v>
      </c>
      <c r="AU96" s="232">
        <f t="shared" si="795"/>
        <v>2769.4889816359778</v>
      </c>
      <c r="AV96" s="232">
        <f t="shared" si="795"/>
        <v>2776.4127040900671</v>
      </c>
      <c r="AW96" s="232">
        <f t="shared" si="795"/>
        <v>2783.3537358502917</v>
      </c>
      <c r="AX96" s="232">
        <f t="shared" si="795"/>
        <v>2790.3121201899171</v>
      </c>
      <c r="AY96" s="232">
        <f t="shared" si="795"/>
        <v>2797.2879004903916</v>
      </c>
      <c r="AZ96" s="232">
        <f t="shared" si="795"/>
        <v>2804.2811202416174</v>
      </c>
      <c r="BA96" s="232">
        <f t="shared" si="795"/>
        <v>2811.2918230422215</v>
      </c>
      <c r="BB96" s="232">
        <f t="shared" si="795"/>
        <v>2818.3200525998263</v>
      </c>
      <c r="BC96" s="232">
        <f t="shared" si="795"/>
        <v>2825.365852731326</v>
      </c>
      <c r="BD96" s="232">
        <f t="shared" si="795"/>
        <v>2832.4292673631539</v>
      </c>
      <c r="BE96" s="232">
        <f t="shared" si="796"/>
        <v>2839.5103405315622</v>
      </c>
      <c r="BF96" s="232">
        <f t="shared" si="796"/>
        <v>2846.6091163828905</v>
      </c>
      <c r="BG96" s="232">
        <f t="shared" si="796"/>
        <v>2853.7256391738474</v>
      </c>
      <c r="BH96" s="232">
        <f t="shared" si="796"/>
        <v>2860.8599532717822</v>
      </c>
      <c r="BI96" s="232">
        <f t="shared" si="796"/>
        <v>2868.0121031549616</v>
      </c>
      <c r="BJ96" s="232">
        <f t="shared" si="796"/>
        <v>2875.1821334128485</v>
      </c>
      <c r="BK96" s="232">
        <f t="shared" si="796"/>
        <v>2882.3700887463806</v>
      </c>
      <c r="BL96" s="232">
        <f t="shared" si="796"/>
        <v>2889.5760139682461</v>
      </c>
      <c r="BM96" s="232">
        <f t="shared" si="796"/>
        <v>2896.7999540031669</v>
      </c>
      <c r="BN96" s="232">
        <f t="shared" si="796"/>
        <v>2904.0419538881747</v>
      </c>
      <c r="BO96" s="232">
        <f t="shared" si="797"/>
        <v>2911.3020587728952</v>
      </c>
      <c r="BP96" s="232">
        <f t="shared" si="797"/>
        <v>2918.5803139198265</v>
      </c>
      <c r="BQ96" s="232">
        <f t="shared" si="797"/>
        <v>2925.8767647046261</v>
      </c>
      <c r="BR96" s="232">
        <f t="shared" si="797"/>
        <v>2933.1914566163873</v>
      </c>
      <c r="BS96" s="232">
        <f t="shared" si="797"/>
        <v>2940.5244352579284</v>
      </c>
      <c r="BT96" s="232">
        <f t="shared" si="797"/>
        <v>2947.8757463460729</v>
      </c>
      <c r="BU96" s="232">
        <f t="shared" si="797"/>
        <v>2955.2454357119382</v>
      </c>
      <c r="BV96" s="232">
        <f t="shared" si="797"/>
        <v>2962.6335493012175</v>
      </c>
      <c r="BW96" s="232">
        <f t="shared" si="797"/>
        <v>2970.0401331744706</v>
      </c>
      <c r="BX96" s="232">
        <f t="shared" si="797"/>
        <v>2977.4652335074065</v>
      </c>
      <c r="BY96" s="232">
        <f t="shared" si="798"/>
        <v>2984.9088965911747</v>
      </c>
      <c r="BZ96" s="232">
        <f t="shared" si="798"/>
        <v>2992.3711688326525</v>
      </c>
      <c r="CA96" s="232">
        <f t="shared" si="798"/>
        <v>2999.8520967547342</v>
      </c>
      <c r="CB96" s="232">
        <f t="shared" si="798"/>
        <v>3007.351726996621</v>
      </c>
      <c r="CC96" s="232">
        <f t="shared" si="798"/>
        <v>3014.8701063141125</v>
      </c>
      <c r="CD96" s="232">
        <f t="shared" si="798"/>
        <v>3022.4072815798977</v>
      </c>
      <c r="CE96" s="232">
        <f t="shared" si="798"/>
        <v>3029.9632997838471</v>
      </c>
      <c r="CF96" s="232">
        <f t="shared" si="798"/>
        <v>3037.538208033307</v>
      </c>
      <c r="CG96" s="232">
        <f t="shared" si="798"/>
        <v>3045.1320535533901</v>
      </c>
      <c r="CH96" s="232">
        <f t="shared" si="798"/>
        <v>3052.7448836872732</v>
      </c>
      <c r="CI96" s="232">
        <f t="shared" si="799"/>
        <v>3060.3767458964912</v>
      </c>
      <c r="CJ96" s="232">
        <f t="shared" si="799"/>
        <v>3068.0276877612323</v>
      </c>
      <c r="CK96" s="232">
        <f t="shared" si="799"/>
        <v>3075.6977569806354</v>
      </c>
      <c r="CL96" s="232">
        <f t="shared" si="799"/>
        <v>3083.3870013730871</v>
      </c>
      <c r="CM96" s="232">
        <f t="shared" si="799"/>
        <v>3091.0954688765196</v>
      </c>
      <c r="CN96" s="232">
        <f t="shared" si="799"/>
        <v>3098.8232075487113</v>
      </c>
      <c r="CO96" s="232">
        <f t="shared" si="799"/>
        <v>3106.5702655675823</v>
      </c>
      <c r="CP96" s="232">
        <f t="shared" si="799"/>
        <v>3114.3366912315014</v>
      </c>
      <c r="CQ96" s="232">
        <f t="shared" si="799"/>
        <v>3122.1225329595795</v>
      </c>
      <c r="CR96" s="232">
        <f t="shared" si="799"/>
        <v>3129.9278392919782</v>
      </c>
      <c r="CS96" s="232">
        <f t="shared" si="800"/>
        <v>3137.7526588902083</v>
      </c>
      <c r="CT96" s="232">
        <f t="shared" si="800"/>
        <v>3145.5970405374333</v>
      </c>
      <c r="CU96" s="232">
        <f t="shared" si="800"/>
        <v>3153.4610331387767</v>
      </c>
      <c r="CV96" s="232">
        <f t="shared" si="800"/>
        <v>3161.344685721624</v>
      </c>
      <c r="CW96" s="232">
        <f t="shared" si="800"/>
        <v>3169.2480474359277</v>
      </c>
      <c r="CX96" s="232">
        <f t="shared" si="800"/>
        <v>3177.1711675545175</v>
      </c>
      <c r="CY96" s="232">
        <f t="shared" si="800"/>
        <v>3185.1140954734037</v>
      </c>
      <c r="CZ96" s="232">
        <f t="shared" si="800"/>
        <v>3193.0768807120871</v>
      </c>
      <c r="DA96" s="232">
        <f t="shared" si="800"/>
        <v>3201.0595729138672</v>
      </c>
      <c r="DB96" s="232">
        <f t="shared" si="800"/>
        <v>3209.0622218461513</v>
      </c>
      <c r="DC96" s="232">
        <f t="shared" si="801"/>
        <v>3217.0848774007668</v>
      </c>
      <c r="DD96" s="232">
        <f t="shared" si="801"/>
        <v>3225.1275895942681</v>
      </c>
      <c r="DE96" s="232">
        <f t="shared" si="801"/>
        <v>3233.1904085682536</v>
      </c>
      <c r="DF96" s="232">
        <f t="shared" si="801"/>
        <v>3241.2733845896746</v>
      </c>
      <c r="DG96" s="232">
        <f t="shared" si="801"/>
        <v>3249.3765680511488</v>
      </c>
      <c r="DH96" s="232">
        <f t="shared" si="801"/>
        <v>3257.5000094712764</v>
      </c>
      <c r="DI96" s="232">
        <f t="shared" si="801"/>
        <v>3265.6437594949543</v>
      </c>
      <c r="DJ96" s="232">
        <f t="shared" si="801"/>
        <v>3273.8078688936916</v>
      </c>
      <c r="DK96" s="232">
        <f t="shared" si="801"/>
        <v>3281.9923885659259</v>
      </c>
      <c r="DL96" s="232">
        <f t="shared" si="801"/>
        <v>3290.1973695373408</v>
      </c>
      <c r="DM96" s="232">
        <f t="shared" si="802"/>
        <v>3298.4228629611835</v>
      </c>
      <c r="DN96" s="232">
        <f t="shared" si="802"/>
        <v>3306.6689201185859</v>
      </c>
      <c r="DO96" s="232">
        <f t="shared" si="802"/>
        <v>3314.9355924188826</v>
      </c>
      <c r="DP96" s="232">
        <f t="shared" si="802"/>
        <v>3323.2229313999296</v>
      </c>
      <c r="DQ96" s="232">
        <f t="shared" si="802"/>
        <v>3331.5309887284284</v>
      </c>
      <c r="DR96" s="232">
        <f t="shared" si="802"/>
        <v>3339.8598162002495</v>
      </c>
      <c r="DS96" s="232">
        <f t="shared" si="802"/>
        <v>3348.2094657407501</v>
      </c>
      <c r="DT96" s="232">
        <f t="shared" si="802"/>
        <v>3356.579989405102</v>
      </c>
      <c r="DU96" s="232">
        <f t="shared" si="802"/>
        <v>3364.9714393786148</v>
      </c>
      <c r="DV96" s="232">
        <f t="shared" si="802"/>
        <v>3373.3838679770615</v>
      </c>
      <c r="DW96" s="232">
        <f t="shared" si="803"/>
        <v>3381.8173276470034</v>
      </c>
      <c r="DX96" s="232">
        <f t="shared" si="803"/>
        <v>3390.2718709661208</v>
      </c>
      <c r="DY96" s="232">
        <f t="shared" si="803"/>
        <v>3398.7475506435358</v>
      </c>
      <c r="DZ96" s="232">
        <f t="shared" si="803"/>
        <v>3407.2444195201447</v>
      </c>
      <c r="EA96" s="232">
        <f t="shared" si="803"/>
        <v>3415.7625305689448</v>
      </c>
      <c r="EB96" s="232">
        <f t="shared" si="803"/>
        <v>3424.3019368953669</v>
      </c>
      <c r="EC96" s="232">
        <f t="shared" si="803"/>
        <v>3432.8626917376055</v>
      </c>
      <c r="ED96" s="232">
        <f t="shared" si="803"/>
        <v>3441.4448484669492</v>
      </c>
      <c r="EE96" s="232">
        <f t="shared" si="803"/>
        <v>3450.0484605881161</v>
      </c>
      <c r="EF96" s="232">
        <f t="shared" si="803"/>
        <v>3458.6735817395861</v>
      </c>
      <c r="EG96" s="232">
        <f t="shared" si="804"/>
        <v>3467.3202656939352</v>
      </c>
      <c r="EH96" s="232">
        <f t="shared" si="804"/>
        <v>3475.9885663581699</v>
      </c>
      <c r="EI96" s="232">
        <f t="shared" si="804"/>
        <v>3484.6785377740644</v>
      </c>
      <c r="EJ96" s="232">
        <f t="shared" si="804"/>
        <v>3493.3902341184998</v>
      </c>
      <c r="EK96" s="232">
        <f t="shared" si="804"/>
        <v>3502.1237097037956</v>
      </c>
      <c r="EL96" s="232">
        <f t="shared" si="804"/>
        <v>3510.8790189780548</v>
      </c>
      <c r="EM96" s="232">
        <f t="shared" si="804"/>
        <v>3519.6562165254995</v>
      </c>
      <c r="EN96" s="232">
        <f t="shared" si="804"/>
        <v>3528.4553570668131</v>
      </c>
      <c r="EO96" s="232">
        <f t="shared" si="804"/>
        <v>3537.27649545948</v>
      </c>
      <c r="EP96" s="232">
        <f t="shared" si="804"/>
        <v>3546.1196866981281</v>
      </c>
      <c r="EQ96" s="232">
        <f t="shared" si="805"/>
        <v>3554.9849859148735</v>
      </c>
      <c r="ER96" s="232">
        <f t="shared" si="805"/>
        <v>3563.8724483796609</v>
      </c>
      <c r="ES96" s="232">
        <f t="shared" si="805"/>
        <v>3572.7821295006097</v>
      </c>
      <c r="ET96" s="232">
        <f t="shared" si="805"/>
        <v>3581.7140848243612</v>
      </c>
      <c r="EU96" s="232">
        <f t="shared" si="805"/>
        <v>3590.6683700364219</v>
      </c>
      <c r="EV96" s="232">
        <f t="shared" si="805"/>
        <v>3599.6450409615127</v>
      </c>
      <c r="EW96" s="232">
        <f t="shared" si="805"/>
        <v>3608.644153563916</v>
      </c>
      <c r="EX96" s="232">
        <f t="shared" si="805"/>
        <v>3617.6657639478258</v>
      </c>
      <c r="EY96" s="232">
        <f t="shared" si="805"/>
        <v>3626.7099283576954</v>
      </c>
      <c r="EZ96" s="232">
        <f t="shared" si="805"/>
        <v>3635.7767031785888</v>
      </c>
      <c r="FA96" s="232">
        <f t="shared" si="806"/>
        <v>3644.8661449365354</v>
      </c>
      <c r="FB96" s="232">
        <f t="shared" si="806"/>
        <v>3653.9783102988763</v>
      </c>
      <c r="FC96" s="232">
        <f t="shared" si="806"/>
        <v>3663.1132560746237</v>
      </c>
      <c r="FD96" s="232">
        <f t="shared" si="806"/>
        <v>3672.2710392148101</v>
      </c>
      <c r="FE96" s="232">
        <f t="shared" si="806"/>
        <v>3681.4517168128468</v>
      </c>
      <c r="FF96" s="232">
        <f t="shared" si="806"/>
        <v>3690.6553461048788</v>
      </c>
      <c r="FG96" s="321"/>
      <c r="FH96" s="232">
        <f t="shared" si="807"/>
        <v>17675.877739850588</v>
      </c>
      <c r="FI96" s="232">
        <f t="shared" si="807"/>
        <v>31029.625541534791</v>
      </c>
      <c r="FJ96" s="232">
        <f t="shared" si="807"/>
        <v>31973.421295048349</v>
      </c>
      <c r="FK96" s="232">
        <f t="shared" si="807"/>
        <v>32945.923499535937</v>
      </c>
      <c r="FL96" s="232">
        <f t="shared" si="807"/>
        <v>33948.005289173496</v>
      </c>
      <c r="FM96" s="232">
        <f t="shared" si="807"/>
        <v>34980.566355348485</v>
      </c>
      <c r="FN96" s="232">
        <f t="shared" si="807"/>
        <v>36044.533754422831</v>
      </c>
      <c r="FO96" s="232">
        <f t="shared" si="807"/>
        <v>37140.862740064797</v>
      </c>
      <c r="FP96" s="232">
        <f t="shared" si="807"/>
        <v>38270.537620897077</v>
      </c>
      <c r="FQ96" s="232">
        <f t="shared" si="807"/>
        <v>39434.572644231026</v>
      </c>
      <c r="FR96" s="232">
        <f t="shared" si="807"/>
        <v>40634.012906680502</v>
      </c>
      <c r="FS96" s="232">
        <f t="shared" si="807"/>
        <v>41869.935292472968</v>
      </c>
      <c r="FT96" s="232">
        <f t="shared" si="807"/>
        <v>43143.44944030013</v>
      </c>
      <c r="FU96" s="232">
        <f t="shared" si="807"/>
        <v>18361.469668506037</v>
      </c>
      <c r="FV96" s="321"/>
    </row>
    <row r="97" spans="3:178" x14ac:dyDescent="0.2">
      <c r="C97" s="39" t="str">
        <f t="shared" si="788"/>
        <v>R&amp;M</v>
      </c>
      <c r="D97" s="232">
        <f t="shared" si="789"/>
        <v>300</v>
      </c>
      <c r="E97" s="231">
        <f t="shared" si="790"/>
        <v>477452.79378806689</v>
      </c>
      <c r="F97" s="232">
        <v>0</v>
      </c>
      <c r="G97" s="232">
        <f t="shared" si="791"/>
        <v>2506.25</v>
      </c>
      <c r="H97" s="232">
        <f t="shared" si="791"/>
        <v>2512.5156249999995</v>
      </c>
      <c r="I97" s="232">
        <f t="shared" si="791"/>
        <v>2518.7969140624991</v>
      </c>
      <c r="J97" s="232">
        <f t="shared" si="791"/>
        <v>2525.0939063476558</v>
      </c>
      <c r="K97" s="232">
        <f t="shared" si="791"/>
        <v>2531.406641113525</v>
      </c>
      <c r="L97" s="232">
        <f t="shared" si="791"/>
        <v>2537.7351577163085</v>
      </c>
      <c r="M97" s="232">
        <f t="shared" si="791"/>
        <v>2544.0794956105992</v>
      </c>
      <c r="N97" s="232">
        <f t="shared" si="791"/>
        <v>2550.4396943496258</v>
      </c>
      <c r="O97" s="232">
        <f t="shared" si="791"/>
        <v>2556.8157935855002</v>
      </c>
      <c r="P97" s="232">
        <f t="shared" si="791"/>
        <v>2563.2078330694635</v>
      </c>
      <c r="Q97" s="232">
        <f t="shared" si="792"/>
        <v>2569.6158526521372</v>
      </c>
      <c r="R97" s="232">
        <f t="shared" si="792"/>
        <v>2576.0398922837671</v>
      </c>
      <c r="S97" s="232">
        <f t="shared" si="792"/>
        <v>2582.4799920144765</v>
      </c>
      <c r="T97" s="232">
        <f t="shared" si="792"/>
        <v>2588.9361919945122</v>
      </c>
      <c r="U97" s="232">
        <f t="shared" si="792"/>
        <v>2595.4085324744983</v>
      </c>
      <c r="V97" s="232">
        <f t="shared" si="792"/>
        <v>2601.8970538056847</v>
      </c>
      <c r="W97" s="232">
        <f t="shared" si="792"/>
        <v>2608.4017964401983</v>
      </c>
      <c r="X97" s="232">
        <f t="shared" si="792"/>
        <v>2614.9228009312983</v>
      </c>
      <c r="Y97" s="232">
        <f t="shared" si="792"/>
        <v>2621.4601079336271</v>
      </c>
      <c r="Z97" s="232">
        <f t="shared" si="792"/>
        <v>2628.0137582034608</v>
      </c>
      <c r="AA97" s="232">
        <f t="shared" si="793"/>
        <v>2634.583792598969</v>
      </c>
      <c r="AB97" s="232">
        <f t="shared" si="793"/>
        <v>2641.1702520804665</v>
      </c>
      <c r="AC97" s="232">
        <f t="shared" si="793"/>
        <v>2647.7731777106674</v>
      </c>
      <c r="AD97" s="232">
        <f t="shared" si="793"/>
        <v>2654.3926106549438</v>
      </c>
      <c r="AE97" s="232">
        <f t="shared" si="793"/>
        <v>2661.0285921815807</v>
      </c>
      <c r="AF97" s="232">
        <f t="shared" si="793"/>
        <v>2667.6811636620346</v>
      </c>
      <c r="AG97" s="232">
        <f t="shared" si="793"/>
        <v>2674.3503665711892</v>
      </c>
      <c r="AH97" s="232">
        <f t="shared" si="793"/>
        <v>2681.0362424876171</v>
      </c>
      <c r="AI97" s="232">
        <f t="shared" si="793"/>
        <v>2687.7388330938361</v>
      </c>
      <c r="AJ97" s="232">
        <f t="shared" si="793"/>
        <v>2694.4581801765703</v>
      </c>
      <c r="AK97" s="232">
        <f t="shared" si="794"/>
        <v>2701.1943256270115</v>
      </c>
      <c r="AL97" s="232">
        <f t="shared" si="794"/>
        <v>2707.9473114410789</v>
      </c>
      <c r="AM97" s="232">
        <f t="shared" si="794"/>
        <v>2714.717179719682</v>
      </c>
      <c r="AN97" s="232">
        <f t="shared" si="794"/>
        <v>2721.5039726689811</v>
      </c>
      <c r="AO97" s="232">
        <f t="shared" si="794"/>
        <v>2728.3077326006533</v>
      </c>
      <c r="AP97" s="232">
        <f t="shared" si="794"/>
        <v>2735.1285019321549</v>
      </c>
      <c r="AQ97" s="232">
        <f t="shared" si="794"/>
        <v>2741.9663231869849</v>
      </c>
      <c r="AR97" s="232">
        <f t="shared" si="794"/>
        <v>2748.8212389949522</v>
      </c>
      <c r="AS97" s="232">
        <f t="shared" si="794"/>
        <v>2755.6932920924401</v>
      </c>
      <c r="AT97" s="232">
        <f t="shared" si="794"/>
        <v>2762.5825253226712</v>
      </c>
      <c r="AU97" s="232">
        <f t="shared" si="795"/>
        <v>2769.4889816359778</v>
      </c>
      <c r="AV97" s="232">
        <f t="shared" si="795"/>
        <v>2776.4127040900671</v>
      </c>
      <c r="AW97" s="232">
        <f t="shared" si="795"/>
        <v>2783.3537358502917</v>
      </c>
      <c r="AX97" s="232">
        <f t="shared" si="795"/>
        <v>2790.3121201899171</v>
      </c>
      <c r="AY97" s="232">
        <f t="shared" si="795"/>
        <v>2797.2879004903916</v>
      </c>
      <c r="AZ97" s="232">
        <f t="shared" si="795"/>
        <v>2804.2811202416174</v>
      </c>
      <c r="BA97" s="232">
        <f t="shared" si="795"/>
        <v>2811.2918230422215</v>
      </c>
      <c r="BB97" s="232">
        <f t="shared" si="795"/>
        <v>2818.3200525998263</v>
      </c>
      <c r="BC97" s="232">
        <f t="shared" si="795"/>
        <v>2825.365852731326</v>
      </c>
      <c r="BD97" s="232">
        <f t="shared" si="795"/>
        <v>2832.4292673631539</v>
      </c>
      <c r="BE97" s="232">
        <f t="shared" si="796"/>
        <v>2839.5103405315622</v>
      </c>
      <c r="BF97" s="232">
        <f t="shared" si="796"/>
        <v>2846.6091163828905</v>
      </c>
      <c r="BG97" s="232">
        <f t="shared" si="796"/>
        <v>2853.7256391738474</v>
      </c>
      <c r="BH97" s="232">
        <f t="shared" si="796"/>
        <v>2860.8599532717822</v>
      </c>
      <c r="BI97" s="232">
        <f t="shared" si="796"/>
        <v>2868.0121031549616</v>
      </c>
      <c r="BJ97" s="232">
        <f t="shared" si="796"/>
        <v>2875.1821334128485</v>
      </c>
      <c r="BK97" s="232">
        <f t="shared" si="796"/>
        <v>2882.3700887463806</v>
      </c>
      <c r="BL97" s="232">
        <f t="shared" si="796"/>
        <v>2889.5760139682461</v>
      </c>
      <c r="BM97" s="232">
        <f t="shared" si="796"/>
        <v>2896.7999540031669</v>
      </c>
      <c r="BN97" s="232">
        <f t="shared" si="796"/>
        <v>2904.0419538881747</v>
      </c>
      <c r="BO97" s="232">
        <f t="shared" si="797"/>
        <v>2911.3020587728952</v>
      </c>
      <c r="BP97" s="232">
        <f t="shared" si="797"/>
        <v>2918.5803139198265</v>
      </c>
      <c r="BQ97" s="232">
        <f t="shared" si="797"/>
        <v>2925.8767647046261</v>
      </c>
      <c r="BR97" s="232">
        <f t="shared" si="797"/>
        <v>2933.1914566163873</v>
      </c>
      <c r="BS97" s="232">
        <f t="shared" si="797"/>
        <v>2940.5244352579284</v>
      </c>
      <c r="BT97" s="232">
        <f t="shared" si="797"/>
        <v>2947.8757463460729</v>
      </c>
      <c r="BU97" s="232">
        <f t="shared" si="797"/>
        <v>2955.2454357119382</v>
      </c>
      <c r="BV97" s="232">
        <f t="shared" si="797"/>
        <v>2962.6335493012175</v>
      </c>
      <c r="BW97" s="232">
        <f t="shared" si="797"/>
        <v>2970.0401331744706</v>
      </c>
      <c r="BX97" s="232">
        <f t="shared" si="797"/>
        <v>2977.4652335074065</v>
      </c>
      <c r="BY97" s="232">
        <f t="shared" si="798"/>
        <v>2984.9088965911747</v>
      </c>
      <c r="BZ97" s="232">
        <f t="shared" si="798"/>
        <v>2992.3711688326525</v>
      </c>
      <c r="CA97" s="232">
        <f t="shared" si="798"/>
        <v>2999.8520967547342</v>
      </c>
      <c r="CB97" s="232">
        <f t="shared" si="798"/>
        <v>3007.351726996621</v>
      </c>
      <c r="CC97" s="232">
        <f t="shared" si="798"/>
        <v>3014.8701063141125</v>
      </c>
      <c r="CD97" s="232">
        <f t="shared" si="798"/>
        <v>3022.4072815798977</v>
      </c>
      <c r="CE97" s="232">
        <f t="shared" si="798"/>
        <v>3029.9632997838471</v>
      </c>
      <c r="CF97" s="232">
        <f t="shared" si="798"/>
        <v>3037.538208033307</v>
      </c>
      <c r="CG97" s="232">
        <f t="shared" si="798"/>
        <v>3045.1320535533901</v>
      </c>
      <c r="CH97" s="232">
        <f t="shared" si="798"/>
        <v>3052.7448836872732</v>
      </c>
      <c r="CI97" s="232">
        <f t="shared" si="799"/>
        <v>3060.3767458964912</v>
      </c>
      <c r="CJ97" s="232">
        <f t="shared" si="799"/>
        <v>3068.0276877612323</v>
      </c>
      <c r="CK97" s="232">
        <f t="shared" si="799"/>
        <v>3075.6977569806354</v>
      </c>
      <c r="CL97" s="232">
        <f t="shared" si="799"/>
        <v>3083.3870013730871</v>
      </c>
      <c r="CM97" s="232">
        <f t="shared" si="799"/>
        <v>3091.0954688765196</v>
      </c>
      <c r="CN97" s="232">
        <f t="shared" si="799"/>
        <v>3098.8232075487113</v>
      </c>
      <c r="CO97" s="232">
        <f t="shared" si="799"/>
        <v>3106.5702655675823</v>
      </c>
      <c r="CP97" s="232">
        <f t="shared" si="799"/>
        <v>3114.3366912315014</v>
      </c>
      <c r="CQ97" s="232">
        <f t="shared" si="799"/>
        <v>3122.1225329595795</v>
      </c>
      <c r="CR97" s="232">
        <f t="shared" si="799"/>
        <v>3129.9278392919782</v>
      </c>
      <c r="CS97" s="232">
        <f t="shared" si="800"/>
        <v>3137.7526588902083</v>
      </c>
      <c r="CT97" s="232">
        <f t="shared" si="800"/>
        <v>3145.5970405374333</v>
      </c>
      <c r="CU97" s="232">
        <f t="shared" si="800"/>
        <v>3153.4610331387767</v>
      </c>
      <c r="CV97" s="232">
        <f t="shared" si="800"/>
        <v>3161.344685721624</v>
      </c>
      <c r="CW97" s="232">
        <f t="shared" si="800"/>
        <v>3169.2480474359277</v>
      </c>
      <c r="CX97" s="232">
        <f t="shared" si="800"/>
        <v>3177.1711675545175</v>
      </c>
      <c r="CY97" s="232">
        <f t="shared" si="800"/>
        <v>3185.1140954734037</v>
      </c>
      <c r="CZ97" s="232">
        <f t="shared" si="800"/>
        <v>3193.0768807120871</v>
      </c>
      <c r="DA97" s="232">
        <f t="shared" si="800"/>
        <v>3201.0595729138672</v>
      </c>
      <c r="DB97" s="232">
        <f t="shared" si="800"/>
        <v>3209.0622218461513</v>
      </c>
      <c r="DC97" s="232">
        <f t="shared" si="801"/>
        <v>3217.0848774007668</v>
      </c>
      <c r="DD97" s="232">
        <f t="shared" si="801"/>
        <v>3225.1275895942681</v>
      </c>
      <c r="DE97" s="232">
        <f t="shared" si="801"/>
        <v>3233.1904085682536</v>
      </c>
      <c r="DF97" s="232">
        <f t="shared" si="801"/>
        <v>3241.2733845896746</v>
      </c>
      <c r="DG97" s="232">
        <f t="shared" si="801"/>
        <v>3249.3765680511488</v>
      </c>
      <c r="DH97" s="232">
        <f t="shared" si="801"/>
        <v>3257.5000094712764</v>
      </c>
      <c r="DI97" s="232">
        <f t="shared" si="801"/>
        <v>3265.6437594949543</v>
      </c>
      <c r="DJ97" s="232">
        <f t="shared" si="801"/>
        <v>3273.8078688936916</v>
      </c>
      <c r="DK97" s="232">
        <f t="shared" si="801"/>
        <v>3281.9923885659259</v>
      </c>
      <c r="DL97" s="232">
        <f t="shared" si="801"/>
        <v>3290.1973695373408</v>
      </c>
      <c r="DM97" s="232">
        <f t="shared" si="802"/>
        <v>3298.4228629611835</v>
      </c>
      <c r="DN97" s="232">
        <f t="shared" si="802"/>
        <v>3306.6689201185859</v>
      </c>
      <c r="DO97" s="232">
        <f t="shared" si="802"/>
        <v>3314.9355924188826</v>
      </c>
      <c r="DP97" s="232">
        <f t="shared" si="802"/>
        <v>3323.2229313999296</v>
      </c>
      <c r="DQ97" s="232">
        <f t="shared" si="802"/>
        <v>3331.5309887284284</v>
      </c>
      <c r="DR97" s="232">
        <f t="shared" si="802"/>
        <v>3339.8598162002495</v>
      </c>
      <c r="DS97" s="232">
        <f t="shared" si="802"/>
        <v>3348.2094657407501</v>
      </c>
      <c r="DT97" s="232">
        <f t="shared" si="802"/>
        <v>3356.579989405102</v>
      </c>
      <c r="DU97" s="232">
        <f t="shared" si="802"/>
        <v>3364.9714393786148</v>
      </c>
      <c r="DV97" s="232">
        <f t="shared" si="802"/>
        <v>3373.3838679770615</v>
      </c>
      <c r="DW97" s="232">
        <f t="shared" si="803"/>
        <v>3381.8173276470034</v>
      </c>
      <c r="DX97" s="232">
        <f t="shared" si="803"/>
        <v>3390.2718709661208</v>
      </c>
      <c r="DY97" s="232">
        <f t="shared" si="803"/>
        <v>3398.7475506435358</v>
      </c>
      <c r="DZ97" s="232">
        <f t="shared" si="803"/>
        <v>3407.2444195201447</v>
      </c>
      <c r="EA97" s="232">
        <f t="shared" si="803"/>
        <v>3415.7625305689448</v>
      </c>
      <c r="EB97" s="232">
        <f t="shared" si="803"/>
        <v>3424.3019368953669</v>
      </c>
      <c r="EC97" s="232">
        <f t="shared" si="803"/>
        <v>3432.8626917376055</v>
      </c>
      <c r="ED97" s="232">
        <f t="shared" si="803"/>
        <v>3441.4448484669492</v>
      </c>
      <c r="EE97" s="232">
        <f t="shared" si="803"/>
        <v>3450.0484605881161</v>
      </c>
      <c r="EF97" s="232">
        <f t="shared" si="803"/>
        <v>3458.6735817395861</v>
      </c>
      <c r="EG97" s="232">
        <f t="shared" si="804"/>
        <v>3467.3202656939352</v>
      </c>
      <c r="EH97" s="232">
        <f t="shared" si="804"/>
        <v>3475.9885663581699</v>
      </c>
      <c r="EI97" s="232">
        <f t="shared" si="804"/>
        <v>3484.6785377740644</v>
      </c>
      <c r="EJ97" s="232">
        <f t="shared" si="804"/>
        <v>3493.3902341184998</v>
      </c>
      <c r="EK97" s="232">
        <f t="shared" si="804"/>
        <v>3502.1237097037956</v>
      </c>
      <c r="EL97" s="232">
        <f t="shared" si="804"/>
        <v>3510.8790189780548</v>
      </c>
      <c r="EM97" s="232">
        <f t="shared" si="804"/>
        <v>3519.6562165254995</v>
      </c>
      <c r="EN97" s="232">
        <f t="shared" si="804"/>
        <v>3528.4553570668131</v>
      </c>
      <c r="EO97" s="232">
        <f t="shared" si="804"/>
        <v>3537.27649545948</v>
      </c>
      <c r="EP97" s="232">
        <f t="shared" si="804"/>
        <v>3546.1196866981281</v>
      </c>
      <c r="EQ97" s="232">
        <f t="shared" si="805"/>
        <v>3554.9849859148735</v>
      </c>
      <c r="ER97" s="232">
        <f t="shared" si="805"/>
        <v>3563.8724483796609</v>
      </c>
      <c r="ES97" s="232">
        <f t="shared" si="805"/>
        <v>3572.7821295006097</v>
      </c>
      <c r="ET97" s="232">
        <f t="shared" si="805"/>
        <v>3581.7140848243612</v>
      </c>
      <c r="EU97" s="232">
        <f t="shared" si="805"/>
        <v>3590.6683700364219</v>
      </c>
      <c r="EV97" s="232">
        <f t="shared" si="805"/>
        <v>3599.6450409615127</v>
      </c>
      <c r="EW97" s="232">
        <f t="shared" si="805"/>
        <v>3608.644153563916</v>
      </c>
      <c r="EX97" s="232">
        <f t="shared" si="805"/>
        <v>3617.6657639478258</v>
      </c>
      <c r="EY97" s="232">
        <f t="shared" si="805"/>
        <v>3626.7099283576954</v>
      </c>
      <c r="EZ97" s="232">
        <f t="shared" si="805"/>
        <v>3635.7767031785888</v>
      </c>
      <c r="FA97" s="232">
        <f t="shared" si="806"/>
        <v>3644.8661449365354</v>
      </c>
      <c r="FB97" s="232">
        <f t="shared" si="806"/>
        <v>3653.9783102988763</v>
      </c>
      <c r="FC97" s="232">
        <f t="shared" si="806"/>
        <v>3663.1132560746237</v>
      </c>
      <c r="FD97" s="232">
        <f t="shared" si="806"/>
        <v>3672.2710392148101</v>
      </c>
      <c r="FE97" s="232">
        <f t="shared" si="806"/>
        <v>3681.4517168128468</v>
      </c>
      <c r="FF97" s="232">
        <f t="shared" si="806"/>
        <v>3690.6553461048788</v>
      </c>
      <c r="FG97" s="321"/>
      <c r="FH97" s="232">
        <f t="shared" si="807"/>
        <v>17675.877739850588</v>
      </c>
      <c r="FI97" s="232">
        <f t="shared" si="807"/>
        <v>31029.625541534791</v>
      </c>
      <c r="FJ97" s="232">
        <f t="shared" si="807"/>
        <v>31973.421295048349</v>
      </c>
      <c r="FK97" s="232">
        <f t="shared" si="807"/>
        <v>32945.923499535937</v>
      </c>
      <c r="FL97" s="232">
        <f t="shared" si="807"/>
        <v>33948.005289173496</v>
      </c>
      <c r="FM97" s="232">
        <f t="shared" si="807"/>
        <v>34980.566355348485</v>
      </c>
      <c r="FN97" s="232">
        <f t="shared" si="807"/>
        <v>36044.533754422831</v>
      </c>
      <c r="FO97" s="232">
        <f t="shared" si="807"/>
        <v>37140.862740064797</v>
      </c>
      <c r="FP97" s="232">
        <f t="shared" si="807"/>
        <v>38270.537620897077</v>
      </c>
      <c r="FQ97" s="232">
        <f t="shared" si="807"/>
        <v>39434.572644231026</v>
      </c>
      <c r="FR97" s="232">
        <f t="shared" si="807"/>
        <v>40634.012906680502</v>
      </c>
      <c r="FS97" s="232">
        <f t="shared" si="807"/>
        <v>41869.935292472968</v>
      </c>
      <c r="FT97" s="232">
        <f t="shared" si="807"/>
        <v>43143.44944030013</v>
      </c>
      <c r="FU97" s="232">
        <f t="shared" si="807"/>
        <v>18361.469668506037</v>
      </c>
      <c r="FV97" s="321"/>
    </row>
    <row r="98" spans="3:178" x14ac:dyDescent="0.2">
      <c r="C98" s="39" t="str">
        <f t="shared" si="788"/>
        <v>Contract Service</v>
      </c>
      <c r="D98" s="232">
        <f t="shared" si="789"/>
        <v>300</v>
      </c>
      <c r="E98" s="231">
        <f t="shared" si="790"/>
        <v>477452.79378806689</v>
      </c>
      <c r="F98" s="232">
        <v>0</v>
      </c>
      <c r="G98" s="232">
        <f t="shared" si="791"/>
        <v>2506.25</v>
      </c>
      <c r="H98" s="232">
        <f t="shared" si="791"/>
        <v>2512.5156249999995</v>
      </c>
      <c r="I98" s="232">
        <f t="shared" si="791"/>
        <v>2518.7969140624991</v>
      </c>
      <c r="J98" s="232">
        <f t="shared" si="791"/>
        <v>2525.0939063476558</v>
      </c>
      <c r="K98" s="232">
        <f t="shared" si="791"/>
        <v>2531.406641113525</v>
      </c>
      <c r="L98" s="232">
        <f t="shared" si="791"/>
        <v>2537.7351577163085</v>
      </c>
      <c r="M98" s="232">
        <f t="shared" si="791"/>
        <v>2544.0794956105992</v>
      </c>
      <c r="N98" s="232">
        <f t="shared" si="791"/>
        <v>2550.4396943496258</v>
      </c>
      <c r="O98" s="232">
        <f t="shared" si="791"/>
        <v>2556.8157935855002</v>
      </c>
      <c r="P98" s="232">
        <f t="shared" si="791"/>
        <v>2563.2078330694635</v>
      </c>
      <c r="Q98" s="232">
        <f t="shared" si="792"/>
        <v>2569.6158526521372</v>
      </c>
      <c r="R98" s="232">
        <f t="shared" si="792"/>
        <v>2576.0398922837671</v>
      </c>
      <c r="S98" s="232">
        <f t="shared" si="792"/>
        <v>2582.4799920144765</v>
      </c>
      <c r="T98" s="232">
        <f t="shared" si="792"/>
        <v>2588.9361919945122</v>
      </c>
      <c r="U98" s="232">
        <f t="shared" si="792"/>
        <v>2595.4085324744983</v>
      </c>
      <c r="V98" s="232">
        <f t="shared" si="792"/>
        <v>2601.8970538056847</v>
      </c>
      <c r="W98" s="232">
        <f t="shared" si="792"/>
        <v>2608.4017964401983</v>
      </c>
      <c r="X98" s="232">
        <f t="shared" si="792"/>
        <v>2614.9228009312983</v>
      </c>
      <c r="Y98" s="232">
        <f t="shared" si="792"/>
        <v>2621.4601079336271</v>
      </c>
      <c r="Z98" s="232">
        <f t="shared" si="792"/>
        <v>2628.0137582034608</v>
      </c>
      <c r="AA98" s="232">
        <f t="shared" si="793"/>
        <v>2634.583792598969</v>
      </c>
      <c r="AB98" s="232">
        <f t="shared" si="793"/>
        <v>2641.1702520804665</v>
      </c>
      <c r="AC98" s="232">
        <f t="shared" si="793"/>
        <v>2647.7731777106674</v>
      </c>
      <c r="AD98" s="232">
        <f t="shared" si="793"/>
        <v>2654.3926106549438</v>
      </c>
      <c r="AE98" s="232">
        <f t="shared" si="793"/>
        <v>2661.0285921815807</v>
      </c>
      <c r="AF98" s="232">
        <f t="shared" si="793"/>
        <v>2667.6811636620346</v>
      </c>
      <c r="AG98" s="232">
        <f t="shared" si="793"/>
        <v>2674.3503665711892</v>
      </c>
      <c r="AH98" s="232">
        <f t="shared" si="793"/>
        <v>2681.0362424876171</v>
      </c>
      <c r="AI98" s="232">
        <f t="shared" si="793"/>
        <v>2687.7388330938361</v>
      </c>
      <c r="AJ98" s="232">
        <f t="shared" si="793"/>
        <v>2694.4581801765703</v>
      </c>
      <c r="AK98" s="232">
        <f t="shared" si="794"/>
        <v>2701.1943256270115</v>
      </c>
      <c r="AL98" s="232">
        <f t="shared" si="794"/>
        <v>2707.9473114410789</v>
      </c>
      <c r="AM98" s="232">
        <f t="shared" si="794"/>
        <v>2714.717179719682</v>
      </c>
      <c r="AN98" s="232">
        <f t="shared" si="794"/>
        <v>2721.5039726689811</v>
      </c>
      <c r="AO98" s="232">
        <f t="shared" si="794"/>
        <v>2728.3077326006533</v>
      </c>
      <c r="AP98" s="232">
        <f t="shared" si="794"/>
        <v>2735.1285019321549</v>
      </c>
      <c r="AQ98" s="232">
        <f t="shared" si="794"/>
        <v>2741.9663231869849</v>
      </c>
      <c r="AR98" s="232">
        <f t="shared" si="794"/>
        <v>2748.8212389949522</v>
      </c>
      <c r="AS98" s="232">
        <f t="shared" si="794"/>
        <v>2755.6932920924401</v>
      </c>
      <c r="AT98" s="232">
        <f t="shared" si="794"/>
        <v>2762.5825253226712</v>
      </c>
      <c r="AU98" s="232">
        <f t="shared" si="795"/>
        <v>2769.4889816359778</v>
      </c>
      <c r="AV98" s="232">
        <f t="shared" si="795"/>
        <v>2776.4127040900671</v>
      </c>
      <c r="AW98" s="232">
        <f t="shared" si="795"/>
        <v>2783.3537358502917</v>
      </c>
      <c r="AX98" s="232">
        <f t="shared" si="795"/>
        <v>2790.3121201899171</v>
      </c>
      <c r="AY98" s="232">
        <f t="shared" si="795"/>
        <v>2797.2879004903916</v>
      </c>
      <c r="AZ98" s="232">
        <f t="shared" si="795"/>
        <v>2804.2811202416174</v>
      </c>
      <c r="BA98" s="232">
        <f t="shared" si="795"/>
        <v>2811.2918230422215</v>
      </c>
      <c r="BB98" s="232">
        <f t="shared" si="795"/>
        <v>2818.3200525998263</v>
      </c>
      <c r="BC98" s="232">
        <f t="shared" si="795"/>
        <v>2825.365852731326</v>
      </c>
      <c r="BD98" s="232">
        <f t="shared" si="795"/>
        <v>2832.4292673631539</v>
      </c>
      <c r="BE98" s="232">
        <f t="shared" si="796"/>
        <v>2839.5103405315622</v>
      </c>
      <c r="BF98" s="232">
        <f t="shared" si="796"/>
        <v>2846.6091163828905</v>
      </c>
      <c r="BG98" s="232">
        <f t="shared" si="796"/>
        <v>2853.7256391738474</v>
      </c>
      <c r="BH98" s="232">
        <f t="shared" si="796"/>
        <v>2860.8599532717822</v>
      </c>
      <c r="BI98" s="232">
        <f t="shared" si="796"/>
        <v>2868.0121031549616</v>
      </c>
      <c r="BJ98" s="232">
        <f t="shared" si="796"/>
        <v>2875.1821334128485</v>
      </c>
      <c r="BK98" s="232">
        <f t="shared" si="796"/>
        <v>2882.3700887463806</v>
      </c>
      <c r="BL98" s="232">
        <f t="shared" si="796"/>
        <v>2889.5760139682461</v>
      </c>
      <c r="BM98" s="232">
        <f t="shared" si="796"/>
        <v>2896.7999540031669</v>
      </c>
      <c r="BN98" s="232">
        <f t="shared" si="796"/>
        <v>2904.0419538881747</v>
      </c>
      <c r="BO98" s="232">
        <f t="shared" si="797"/>
        <v>2911.3020587728952</v>
      </c>
      <c r="BP98" s="232">
        <f t="shared" si="797"/>
        <v>2918.5803139198265</v>
      </c>
      <c r="BQ98" s="232">
        <f t="shared" si="797"/>
        <v>2925.8767647046261</v>
      </c>
      <c r="BR98" s="232">
        <f t="shared" si="797"/>
        <v>2933.1914566163873</v>
      </c>
      <c r="BS98" s="232">
        <f t="shared" si="797"/>
        <v>2940.5244352579284</v>
      </c>
      <c r="BT98" s="232">
        <f t="shared" si="797"/>
        <v>2947.8757463460729</v>
      </c>
      <c r="BU98" s="232">
        <f t="shared" si="797"/>
        <v>2955.2454357119382</v>
      </c>
      <c r="BV98" s="232">
        <f t="shared" si="797"/>
        <v>2962.6335493012175</v>
      </c>
      <c r="BW98" s="232">
        <f t="shared" si="797"/>
        <v>2970.0401331744706</v>
      </c>
      <c r="BX98" s="232">
        <f t="shared" si="797"/>
        <v>2977.4652335074065</v>
      </c>
      <c r="BY98" s="232">
        <f t="shared" si="798"/>
        <v>2984.9088965911747</v>
      </c>
      <c r="BZ98" s="232">
        <f t="shared" si="798"/>
        <v>2992.3711688326525</v>
      </c>
      <c r="CA98" s="232">
        <f t="shared" si="798"/>
        <v>2999.8520967547342</v>
      </c>
      <c r="CB98" s="232">
        <f t="shared" si="798"/>
        <v>3007.351726996621</v>
      </c>
      <c r="CC98" s="232">
        <f t="shared" si="798"/>
        <v>3014.8701063141125</v>
      </c>
      <c r="CD98" s="232">
        <f t="shared" si="798"/>
        <v>3022.4072815798977</v>
      </c>
      <c r="CE98" s="232">
        <f t="shared" si="798"/>
        <v>3029.9632997838471</v>
      </c>
      <c r="CF98" s="232">
        <f t="shared" si="798"/>
        <v>3037.538208033307</v>
      </c>
      <c r="CG98" s="232">
        <f t="shared" si="798"/>
        <v>3045.1320535533901</v>
      </c>
      <c r="CH98" s="232">
        <f t="shared" si="798"/>
        <v>3052.7448836872732</v>
      </c>
      <c r="CI98" s="232">
        <f t="shared" si="799"/>
        <v>3060.3767458964912</v>
      </c>
      <c r="CJ98" s="232">
        <f t="shared" si="799"/>
        <v>3068.0276877612323</v>
      </c>
      <c r="CK98" s="232">
        <f t="shared" si="799"/>
        <v>3075.6977569806354</v>
      </c>
      <c r="CL98" s="232">
        <f t="shared" si="799"/>
        <v>3083.3870013730871</v>
      </c>
      <c r="CM98" s="232">
        <f t="shared" si="799"/>
        <v>3091.0954688765196</v>
      </c>
      <c r="CN98" s="232">
        <f t="shared" si="799"/>
        <v>3098.8232075487113</v>
      </c>
      <c r="CO98" s="232">
        <f t="shared" si="799"/>
        <v>3106.5702655675823</v>
      </c>
      <c r="CP98" s="232">
        <f t="shared" si="799"/>
        <v>3114.3366912315014</v>
      </c>
      <c r="CQ98" s="232">
        <f t="shared" si="799"/>
        <v>3122.1225329595795</v>
      </c>
      <c r="CR98" s="232">
        <f t="shared" si="799"/>
        <v>3129.9278392919782</v>
      </c>
      <c r="CS98" s="232">
        <f t="shared" si="800"/>
        <v>3137.7526588902083</v>
      </c>
      <c r="CT98" s="232">
        <f t="shared" si="800"/>
        <v>3145.5970405374333</v>
      </c>
      <c r="CU98" s="232">
        <f t="shared" si="800"/>
        <v>3153.4610331387767</v>
      </c>
      <c r="CV98" s="232">
        <f t="shared" si="800"/>
        <v>3161.344685721624</v>
      </c>
      <c r="CW98" s="232">
        <f t="shared" si="800"/>
        <v>3169.2480474359277</v>
      </c>
      <c r="CX98" s="232">
        <f t="shared" si="800"/>
        <v>3177.1711675545175</v>
      </c>
      <c r="CY98" s="232">
        <f t="shared" si="800"/>
        <v>3185.1140954734037</v>
      </c>
      <c r="CZ98" s="232">
        <f t="shared" si="800"/>
        <v>3193.0768807120871</v>
      </c>
      <c r="DA98" s="232">
        <f t="shared" si="800"/>
        <v>3201.0595729138672</v>
      </c>
      <c r="DB98" s="232">
        <f t="shared" si="800"/>
        <v>3209.0622218461513</v>
      </c>
      <c r="DC98" s="232">
        <f t="shared" si="801"/>
        <v>3217.0848774007668</v>
      </c>
      <c r="DD98" s="232">
        <f t="shared" si="801"/>
        <v>3225.1275895942681</v>
      </c>
      <c r="DE98" s="232">
        <f t="shared" si="801"/>
        <v>3233.1904085682536</v>
      </c>
      <c r="DF98" s="232">
        <f t="shared" si="801"/>
        <v>3241.2733845896746</v>
      </c>
      <c r="DG98" s="232">
        <f t="shared" si="801"/>
        <v>3249.3765680511488</v>
      </c>
      <c r="DH98" s="232">
        <f t="shared" si="801"/>
        <v>3257.5000094712764</v>
      </c>
      <c r="DI98" s="232">
        <f t="shared" si="801"/>
        <v>3265.6437594949543</v>
      </c>
      <c r="DJ98" s="232">
        <f t="shared" si="801"/>
        <v>3273.8078688936916</v>
      </c>
      <c r="DK98" s="232">
        <f t="shared" si="801"/>
        <v>3281.9923885659259</v>
      </c>
      <c r="DL98" s="232">
        <f t="shared" si="801"/>
        <v>3290.1973695373408</v>
      </c>
      <c r="DM98" s="232">
        <f t="shared" si="802"/>
        <v>3298.4228629611835</v>
      </c>
      <c r="DN98" s="232">
        <f t="shared" si="802"/>
        <v>3306.6689201185859</v>
      </c>
      <c r="DO98" s="232">
        <f t="shared" si="802"/>
        <v>3314.9355924188826</v>
      </c>
      <c r="DP98" s="232">
        <f t="shared" si="802"/>
        <v>3323.2229313999296</v>
      </c>
      <c r="DQ98" s="232">
        <f t="shared" si="802"/>
        <v>3331.5309887284284</v>
      </c>
      <c r="DR98" s="232">
        <f t="shared" si="802"/>
        <v>3339.8598162002495</v>
      </c>
      <c r="DS98" s="232">
        <f t="shared" si="802"/>
        <v>3348.2094657407501</v>
      </c>
      <c r="DT98" s="232">
        <f t="shared" si="802"/>
        <v>3356.579989405102</v>
      </c>
      <c r="DU98" s="232">
        <f t="shared" si="802"/>
        <v>3364.9714393786148</v>
      </c>
      <c r="DV98" s="232">
        <f t="shared" si="802"/>
        <v>3373.3838679770615</v>
      </c>
      <c r="DW98" s="232">
        <f t="shared" si="803"/>
        <v>3381.8173276470034</v>
      </c>
      <c r="DX98" s="232">
        <f t="shared" si="803"/>
        <v>3390.2718709661208</v>
      </c>
      <c r="DY98" s="232">
        <f t="shared" si="803"/>
        <v>3398.7475506435358</v>
      </c>
      <c r="DZ98" s="232">
        <f t="shared" si="803"/>
        <v>3407.2444195201447</v>
      </c>
      <c r="EA98" s="232">
        <f t="shared" si="803"/>
        <v>3415.7625305689448</v>
      </c>
      <c r="EB98" s="232">
        <f t="shared" si="803"/>
        <v>3424.3019368953669</v>
      </c>
      <c r="EC98" s="232">
        <f t="shared" si="803"/>
        <v>3432.8626917376055</v>
      </c>
      <c r="ED98" s="232">
        <f t="shared" si="803"/>
        <v>3441.4448484669492</v>
      </c>
      <c r="EE98" s="232">
        <f t="shared" si="803"/>
        <v>3450.0484605881161</v>
      </c>
      <c r="EF98" s="232">
        <f t="shared" si="803"/>
        <v>3458.6735817395861</v>
      </c>
      <c r="EG98" s="232">
        <f t="shared" si="804"/>
        <v>3467.3202656939352</v>
      </c>
      <c r="EH98" s="232">
        <f t="shared" si="804"/>
        <v>3475.9885663581699</v>
      </c>
      <c r="EI98" s="232">
        <f t="shared" si="804"/>
        <v>3484.6785377740644</v>
      </c>
      <c r="EJ98" s="232">
        <f t="shared" si="804"/>
        <v>3493.3902341184998</v>
      </c>
      <c r="EK98" s="232">
        <f t="shared" si="804"/>
        <v>3502.1237097037956</v>
      </c>
      <c r="EL98" s="232">
        <f t="shared" si="804"/>
        <v>3510.8790189780548</v>
      </c>
      <c r="EM98" s="232">
        <f t="shared" si="804"/>
        <v>3519.6562165254995</v>
      </c>
      <c r="EN98" s="232">
        <f t="shared" si="804"/>
        <v>3528.4553570668131</v>
      </c>
      <c r="EO98" s="232">
        <f t="shared" si="804"/>
        <v>3537.27649545948</v>
      </c>
      <c r="EP98" s="232">
        <f t="shared" si="804"/>
        <v>3546.1196866981281</v>
      </c>
      <c r="EQ98" s="232">
        <f t="shared" si="805"/>
        <v>3554.9849859148735</v>
      </c>
      <c r="ER98" s="232">
        <f t="shared" si="805"/>
        <v>3563.8724483796609</v>
      </c>
      <c r="ES98" s="232">
        <f t="shared" si="805"/>
        <v>3572.7821295006097</v>
      </c>
      <c r="ET98" s="232">
        <f t="shared" si="805"/>
        <v>3581.7140848243612</v>
      </c>
      <c r="EU98" s="232">
        <f t="shared" si="805"/>
        <v>3590.6683700364219</v>
      </c>
      <c r="EV98" s="232">
        <f t="shared" si="805"/>
        <v>3599.6450409615127</v>
      </c>
      <c r="EW98" s="232">
        <f t="shared" si="805"/>
        <v>3608.644153563916</v>
      </c>
      <c r="EX98" s="232">
        <f t="shared" si="805"/>
        <v>3617.6657639478258</v>
      </c>
      <c r="EY98" s="232">
        <f t="shared" si="805"/>
        <v>3626.7099283576954</v>
      </c>
      <c r="EZ98" s="232">
        <f t="shared" si="805"/>
        <v>3635.7767031785888</v>
      </c>
      <c r="FA98" s="232">
        <f t="shared" si="806"/>
        <v>3644.8661449365354</v>
      </c>
      <c r="FB98" s="232">
        <f t="shared" si="806"/>
        <v>3653.9783102988763</v>
      </c>
      <c r="FC98" s="232">
        <f t="shared" si="806"/>
        <v>3663.1132560746237</v>
      </c>
      <c r="FD98" s="232">
        <f t="shared" si="806"/>
        <v>3672.2710392148101</v>
      </c>
      <c r="FE98" s="232">
        <f t="shared" si="806"/>
        <v>3681.4517168128468</v>
      </c>
      <c r="FF98" s="232">
        <f t="shared" si="806"/>
        <v>3690.6553461048788</v>
      </c>
      <c r="FG98" s="321"/>
      <c r="FH98" s="232">
        <f t="shared" si="807"/>
        <v>17675.877739850588</v>
      </c>
      <c r="FI98" s="232">
        <f t="shared" si="807"/>
        <v>31029.625541534791</v>
      </c>
      <c r="FJ98" s="232">
        <f t="shared" si="807"/>
        <v>31973.421295048349</v>
      </c>
      <c r="FK98" s="232">
        <f t="shared" si="807"/>
        <v>32945.923499535937</v>
      </c>
      <c r="FL98" s="232">
        <f t="shared" si="807"/>
        <v>33948.005289173496</v>
      </c>
      <c r="FM98" s="232">
        <f t="shared" si="807"/>
        <v>34980.566355348485</v>
      </c>
      <c r="FN98" s="232">
        <f t="shared" si="807"/>
        <v>36044.533754422831</v>
      </c>
      <c r="FO98" s="232">
        <f t="shared" si="807"/>
        <v>37140.862740064797</v>
      </c>
      <c r="FP98" s="232">
        <f t="shared" si="807"/>
        <v>38270.537620897077</v>
      </c>
      <c r="FQ98" s="232">
        <f t="shared" si="807"/>
        <v>39434.572644231026</v>
      </c>
      <c r="FR98" s="232">
        <f t="shared" si="807"/>
        <v>40634.012906680502</v>
      </c>
      <c r="FS98" s="232">
        <f t="shared" si="807"/>
        <v>41869.935292472968</v>
      </c>
      <c r="FT98" s="232">
        <f t="shared" si="807"/>
        <v>43143.44944030013</v>
      </c>
      <c r="FU98" s="232">
        <f t="shared" si="807"/>
        <v>18361.469668506037</v>
      </c>
      <c r="FV98" s="321"/>
    </row>
    <row r="99" spans="3:178" x14ac:dyDescent="0.2">
      <c r="C99" s="39" t="str">
        <f t="shared" si="788"/>
        <v>Turnover</v>
      </c>
      <c r="D99" s="232">
        <f t="shared" si="789"/>
        <v>300</v>
      </c>
      <c r="E99" s="231">
        <f t="shared" si="790"/>
        <v>477452.79378806689</v>
      </c>
      <c r="F99" s="232">
        <v>0</v>
      </c>
      <c r="G99" s="232">
        <f t="shared" si="791"/>
        <v>2506.25</v>
      </c>
      <c r="H99" s="232">
        <f t="shared" si="791"/>
        <v>2512.5156249999995</v>
      </c>
      <c r="I99" s="232">
        <f t="shared" si="791"/>
        <v>2518.7969140624991</v>
      </c>
      <c r="J99" s="232">
        <f t="shared" si="791"/>
        <v>2525.0939063476558</v>
      </c>
      <c r="K99" s="232">
        <f t="shared" si="791"/>
        <v>2531.406641113525</v>
      </c>
      <c r="L99" s="232">
        <f t="shared" si="791"/>
        <v>2537.7351577163085</v>
      </c>
      <c r="M99" s="232">
        <f t="shared" si="791"/>
        <v>2544.0794956105992</v>
      </c>
      <c r="N99" s="232">
        <f t="shared" si="791"/>
        <v>2550.4396943496258</v>
      </c>
      <c r="O99" s="232">
        <f t="shared" si="791"/>
        <v>2556.8157935855002</v>
      </c>
      <c r="P99" s="232">
        <f t="shared" si="791"/>
        <v>2563.2078330694635</v>
      </c>
      <c r="Q99" s="232">
        <f t="shared" si="792"/>
        <v>2569.6158526521372</v>
      </c>
      <c r="R99" s="232">
        <f t="shared" si="792"/>
        <v>2576.0398922837671</v>
      </c>
      <c r="S99" s="232">
        <f t="shared" si="792"/>
        <v>2582.4799920144765</v>
      </c>
      <c r="T99" s="232">
        <f t="shared" si="792"/>
        <v>2588.9361919945122</v>
      </c>
      <c r="U99" s="232">
        <f t="shared" si="792"/>
        <v>2595.4085324744983</v>
      </c>
      <c r="V99" s="232">
        <f t="shared" si="792"/>
        <v>2601.8970538056847</v>
      </c>
      <c r="W99" s="232">
        <f t="shared" si="792"/>
        <v>2608.4017964401983</v>
      </c>
      <c r="X99" s="232">
        <f t="shared" si="792"/>
        <v>2614.9228009312983</v>
      </c>
      <c r="Y99" s="232">
        <f t="shared" si="792"/>
        <v>2621.4601079336271</v>
      </c>
      <c r="Z99" s="232">
        <f t="shared" si="792"/>
        <v>2628.0137582034608</v>
      </c>
      <c r="AA99" s="232">
        <f t="shared" si="793"/>
        <v>2634.583792598969</v>
      </c>
      <c r="AB99" s="232">
        <f t="shared" si="793"/>
        <v>2641.1702520804665</v>
      </c>
      <c r="AC99" s="232">
        <f t="shared" si="793"/>
        <v>2647.7731777106674</v>
      </c>
      <c r="AD99" s="232">
        <f t="shared" si="793"/>
        <v>2654.3926106549438</v>
      </c>
      <c r="AE99" s="232">
        <f t="shared" si="793"/>
        <v>2661.0285921815807</v>
      </c>
      <c r="AF99" s="232">
        <f t="shared" si="793"/>
        <v>2667.6811636620346</v>
      </c>
      <c r="AG99" s="232">
        <f t="shared" si="793"/>
        <v>2674.3503665711892</v>
      </c>
      <c r="AH99" s="232">
        <f t="shared" si="793"/>
        <v>2681.0362424876171</v>
      </c>
      <c r="AI99" s="232">
        <f t="shared" si="793"/>
        <v>2687.7388330938361</v>
      </c>
      <c r="AJ99" s="232">
        <f t="shared" si="793"/>
        <v>2694.4581801765703</v>
      </c>
      <c r="AK99" s="232">
        <f t="shared" si="794"/>
        <v>2701.1943256270115</v>
      </c>
      <c r="AL99" s="232">
        <f t="shared" si="794"/>
        <v>2707.9473114410789</v>
      </c>
      <c r="AM99" s="232">
        <f t="shared" si="794"/>
        <v>2714.717179719682</v>
      </c>
      <c r="AN99" s="232">
        <f t="shared" si="794"/>
        <v>2721.5039726689811</v>
      </c>
      <c r="AO99" s="232">
        <f t="shared" si="794"/>
        <v>2728.3077326006533</v>
      </c>
      <c r="AP99" s="232">
        <f t="shared" si="794"/>
        <v>2735.1285019321549</v>
      </c>
      <c r="AQ99" s="232">
        <f t="shared" si="794"/>
        <v>2741.9663231869849</v>
      </c>
      <c r="AR99" s="232">
        <f t="shared" si="794"/>
        <v>2748.8212389949522</v>
      </c>
      <c r="AS99" s="232">
        <f t="shared" si="794"/>
        <v>2755.6932920924401</v>
      </c>
      <c r="AT99" s="232">
        <f t="shared" si="794"/>
        <v>2762.5825253226712</v>
      </c>
      <c r="AU99" s="232">
        <f t="shared" si="795"/>
        <v>2769.4889816359778</v>
      </c>
      <c r="AV99" s="232">
        <f t="shared" si="795"/>
        <v>2776.4127040900671</v>
      </c>
      <c r="AW99" s="232">
        <f t="shared" si="795"/>
        <v>2783.3537358502917</v>
      </c>
      <c r="AX99" s="232">
        <f t="shared" si="795"/>
        <v>2790.3121201899171</v>
      </c>
      <c r="AY99" s="232">
        <f t="shared" si="795"/>
        <v>2797.2879004903916</v>
      </c>
      <c r="AZ99" s="232">
        <f t="shared" si="795"/>
        <v>2804.2811202416174</v>
      </c>
      <c r="BA99" s="232">
        <f t="shared" si="795"/>
        <v>2811.2918230422215</v>
      </c>
      <c r="BB99" s="232">
        <f t="shared" si="795"/>
        <v>2818.3200525998263</v>
      </c>
      <c r="BC99" s="232">
        <f t="shared" si="795"/>
        <v>2825.365852731326</v>
      </c>
      <c r="BD99" s="232">
        <f t="shared" si="795"/>
        <v>2832.4292673631539</v>
      </c>
      <c r="BE99" s="232">
        <f t="shared" si="796"/>
        <v>2839.5103405315622</v>
      </c>
      <c r="BF99" s="232">
        <f t="shared" si="796"/>
        <v>2846.6091163828905</v>
      </c>
      <c r="BG99" s="232">
        <f t="shared" si="796"/>
        <v>2853.7256391738474</v>
      </c>
      <c r="BH99" s="232">
        <f t="shared" si="796"/>
        <v>2860.8599532717822</v>
      </c>
      <c r="BI99" s="232">
        <f t="shared" si="796"/>
        <v>2868.0121031549616</v>
      </c>
      <c r="BJ99" s="232">
        <f t="shared" si="796"/>
        <v>2875.1821334128485</v>
      </c>
      <c r="BK99" s="232">
        <f t="shared" si="796"/>
        <v>2882.3700887463806</v>
      </c>
      <c r="BL99" s="232">
        <f t="shared" si="796"/>
        <v>2889.5760139682461</v>
      </c>
      <c r="BM99" s="232">
        <f t="shared" si="796"/>
        <v>2896.7999540031669</v>
      </c>
      <c r="BN99" s="232">
        <f t="shared" si="796"/>
        <v>2904.0419538881747</v>
      </c>
      <c r="BO99" s="232">
        <f t="shared" si="797"/>
        <v>2911.3020587728952</v>
      </c>
      <c r="BP99" s="232">
        <f t="shared" si="797"/>
        <v>2918.5803139198265</v>
      </c>
      <c r="BQ99" s="232">
        <f t="shared" si="797"/>
        <v>2925.8767647046261</v>
      </c>
      <c r="BR99" s="232">
        <f t="shared" si="797"/>
        <v>2933.1914566163873</v>
      </c>
      <c r="BS99" s="232">
        <f t="shared" si="797"/>
        <v>2940.5244352579284</v>
      </c>
      <c r="BT99" s="232">
        <f t="shared" si="797"/>
        <v>2947.8757463460729</v>
      </c>
      <c r="BU99" s="232">
        <f t="shared" si="797"/>
        <v>2955.2454357119382</v>
      </c>
      <c r="BV99" s="232">
        <f t="shared" si="797"/>
        <v>2962.6335493012175</v>
      </c>
      <c r="BW99" s="232">
        <f t="shared" si="797"/>
        <v>2970.0401331744706</v>
      </c>
      <c r="BX99" s="232">
        <f t="shared" si="797"/>
        <v>2977.4652335074065</v>
      </c>
      <c r="BY99" s="232">
        <f t="shared" si="798"/>
        <v>2984.9088965911747</v>
      </c>
      <c r="BZ99" s="232">
        <f t="shared" si="798"/>
        <v>2992.3711688326525</v>
      </c>
      <c r="CA99" s="232">
        <f t="shared" si="798"/>
        <v>2999.8520967547342</v>
      </c>
      <c r="CB99" s="232">
        <f t="shared" si="798"/>
        <v>3007.351726996621</v>
      </c>
      <c r="CC99" s="232">
        <f t="shared" si="798"/>
        <v>3014.8701063141125</v>
      </c>
      <c r="CD99" s="232">
        <f t="shared" si="798"/>
        <v>3022.4072815798977</v>
      </c>
      <c r="CE99" s="232">
        <f t="shared" si="798"/>
        <v>3029.9632997838471</v>
      </c>
      <c r="CF99" s="232">
        <f t="shared" si="798"/>
        <v>3037.538208033307</v>
      </c>
      <c r="CG99" s="232">
        <f t="shared" si="798"/>
        <v>3045.1320535533901</v>
      </c>
      <c r="CH99" s="232">
        <f t="shared" si="798"/>
        <v>3052.7448836872732</v>
      </c>
      <c r="CI99" s="232">
        <f t="shared" si="799"/>
        <v>3060.3767458964912</v>
      </c>
      <c r="CJ99" s="232">
        <f t="shared" si="799"/>
        <v>3068.0276877612323</v>
      </c>
      <c r="CK99" s="232">
        <f t="shared" si="799"/>
        <v>3075.6977569806354</v>
      </c>
      <c r="CL99" s="232">
        <f t="shared" si="799"/>
        <v>3083.3870013730871</v>
      </c>
      <c r="CM99" s="232">
        <f t="shared" si="799"/>
        <v>3091.0954688765196</v>
      </c>
      <c r="CN99" s="232">
        <f t="shared" si="799"/>
        <v>3098.8232075487113</v>
      </c>
      <c r="CO99" s="232">
        <f t="shared" si="799"/>
        <v>3106.5702655675823</v>
      </c>
      <c r="CP99" s="232">
        <f t="shared" si="799"/>
        <v>3114.3366912315014</v>
      </c>
      <c r="CQ99" s="232">
        <f t="shared" si="799"/>
        <v>3122.1225329595795</v>
      </c>
      <c r="CR99" s="232">
        <f t="shared" si="799"/>
        <v>3129.9278392919782</v>
      </c>
      <c r="CS99" s="232">
        <f t="shared" si="800"/>
        <v>3137.7526588902083</v>
      </c>
      <c r="CT99" s="232">
        <f t="shared" si="800"/>
        <v>3145.5970405374333</v>
      </c>
      <c r="CU99" s="232">
        <f t="shared" si="800"/>
        <v>3153.4610331387767</v>
      </c>
      <c r="CV99" s="232">
        <f t="shared" si="800"/>
        <v>3161.344685721624</v>
      </c>
      <c r="CW99" s="232">
        <f t="shared" si="800"/>
        <v>3169.2480474359277</v>
      </c>
      <c r="CX99" s="232">
        <f t="shared" si="800"/>
        <v>3177.1711675545175</v>
      </c>
      <c r="CY99" s="232">
        <f t="shared" si="800"/>
        <v>3185.1140954734037</v>
      </c>
      <c r="CZ99" s="232">
        <f t="shared" si="800"/>
        <v>3193.0768807120871</v>
      </c>
      <c r="DA99" s="232">
        <f t="shared" si="800"/>
        <v>3201.0595729138672</v>
      </c>
      <c r="DB99" s="232">
        <f t="shared" si="800"/>
        <v>3209.0622218461513</v>
      </c>
      <c r="DC99" s="232">
        <f t="shared" si="801"/>
        <v>3217.0848774007668</v>
      </c>
      <c r="DD99" s="232">
        <f t="shared" si="801"/>
        <v>3225.1275895942681</v>
      </c>
      <c r="DE99" s="232">
        <f t="shared" si="801"/>
        <v>3233.1904085682536</v>
      </c>
      <c r="DF99" s="232">
        <f t="shared" si="801"/>
        <v>3241.2733845896746</v>
      </c>
      <c r="DG99" s="232">
        <f t="shared" si="801"/>
        <v>3249.3765680511488</v>
      </c>
      <c r="DH99" s="232">
        <f t="shared" si="801"/>
        <v>3257.5000094712764</v>
      </c>
      <c r="DI99" s="232">
        <f t="shared" si="801"/>
        <v>3265.6437594949543</v>
      </c>
      <c r="DJ99" s="232">
        <f t="shared" si="801"/>
        <v>3273.8078688936916</v>
      </c>
      <c r="DK99" s="232">
        <f t="shared" si="801"/>
        <v>3281.9923885659259</v>
      </c>
      <c r="DL99" s="232">
        <f t="shared" si="801"/>
        <v>3290.1973695373408</v>
      </c>
      <c r="DM99" s="232">
        <f t="shared" si="802"/>
        <v>3298.4228629611835</v>
      </c>
      <c r="DN99" s="232">
        <f t="shared" si="802"/>
        <v>3306.6689201185859</v>
      </c>
      <c r="DO99" s="232">
        <f t="shared" si="802"/>
        <v>3314.9355924188826</v>
      </c>
      <c r="DP99" s="232">
        <f t="shared" si="802"/>
        <v>3323.2229313999296</v>
      </c>
      <c r="DQ99" s="232">
        <f t="shared" si="802"/>
        <v>3331.5309887284284</v>
      </c>
      <c r="DR99" s="232">
        <f t="shared" si="802"/>
        <v>3339.8598162002495</v>
      </c>
      <c r="DS99" s="232">
        <f t="shared" si="802"/>
        <v>3348.2094657407501</v>
      </c>
      <c r="DT99" s="232">
        <f t="shared" si="802"/>
        <v>3356.579989405102</v>
      </c>
      <c r="DU99" s="232">
        <f t="shared" si="802"/>
        <v>3364.9714393786148</v>
      </c>
      <c r="DV99" s="232">
        <f t="shared" si="802"/>
        <v>3373.3838679770615</v>
      </c>
      <c r="DW99" s="232">
        <f t="shared" si="803"/>
        <v>3381.8173276470034</v>
      </c>
      <c r="DX99" s="232">
        <f t="shared" si="803"/>
        <v>3390.2718709661208</v>
      </c>
      <c r="DY99" s="232">
        <f t="shared" si="803"/>
        <v>3398.7475506435358</v>
      </c>
      <c r="DZ99" s="232">
        <f t="shared" si="803"/>
        <v>3407.2444195201447</v>
      </c>
      <c r="EA99" s="232">
        <f t="shared" si="803"/>
        <v>3415.7625305689448</v>
      </c>
      <c r="EB99" s="232">
        <f t="shared" si="803"/>
        <v>3424.3019368953669</v>
      </c>
      <c r="EC99" s="232">
        <f t="shared" si="803"/>
        <v>3432.8626917376055</v>
      </c>
      <c r="ED99" s="232">
        <f t="shared" si="803"/>
        <v>3441.4448484669492</v>
      </c>
      <c r="EE99" s="232">
        <f t="shared" si="803"/>
        <v>3450.0484605881161</v>
      </c>
      <c r="EF99" s="232">
        <f t="shared" si="803"/>
        <v>3458.6735817395861</v>
      </c>
      <c r="EG99" s="232">
        <f t="shared" si="804"/>
        <v>3467.3202656939352</v>
      </c>
      <c r="EH99" s="232">
        <f t="shared" si="804"/>
        <v>3475.9885663581699</v>
      </c>
      <c r="EI99" s="232">
        <f t="shared" si="804"/>
        <v>3484.6785377740644</v>
      </c>
      <c r="EJ99" s="232">
        <f t="shared" si="804"/>
        <v>3493.3902341184998</v>
      </c>
      <c r="EK99" s="232">
        <f t="shared" si="804"/>
        <v>3502.1237097037956</v>
      </c>
      <c r="EL99" s="232">
        <f t="shared" si="804"/>
        <v>3510.8790189780548</v>
      </c>
      <c r="EM99" s="232">
        <f t="shared" si="804"/>
        <v>3519.6562165254995</v>
      </c>
      <c r="EN99" s="232">
        <f t="shared" si="804"/>
        <v>3528.4553570668131</v>
      </c>
      <c r="EO99" s="232">
        <f t="shared" si="804"/>
        <v>3537.27649545948</v>
      </c>
      <c r="EP99" s="232">
        <f t="shared" si="804"/>
        <v>3546.1196866981281</v>
      </c>
      <c r="EQ99" s="232">
        <f t="shared" si="805"/>
        <v>3554.9849859148735</v>
      </c>
      <c r="ER99" s="232">
        <f t="shared" si="805"/>
        <v>3563.8724483796609</v>
      </c>
      <c r="ES99" s="232">
        <f t="shared" si="805"/>
        <v>3572.7821295006097</v>
      </c>
      <c r="ET99" s="232">
        <f t="shared" si="805"/>
        <v>3581.7140848243612</v>
      </c>
      <c r="EU99" s="232">
        <f t="shared" si="805"/>
        <v>3590.6683700364219</v>
      </c>
      <c r="EV99" s="232">
        <f t="shared" si="805"/>
        <v>3599.6450409615127</v>
      </c>
      <c r="EW99" s="232">
        <f t="shared" si="805"/>
        <v>3608.644153563916</v>
      </c>
      <c r="EX99" s="232">
        <f t="shared" si="805"/>
        <v>3617.6657639478258</v>
      </c>
      <c r="EY99" s="232">
        <f t="shared" si="805"/>
        <v>3626.7099283576954</v>
      </c>
      <c r="EZ99" s="232">
        <f t="shared" si="805"/>
        <v>3635.7767031785888</v>
      </c>
      <c r="FA99" s="232">
        <f t="shared" si="806"/>
        <v>3644.8661449365354</v>
      </c>
      <c r="FB99" s="232">
        <f t="shared" si="806"/>
        <v>3653.9783102988763</v>
      </c>
      <c r="FC99" s="232">
        <f t="shared" si="806"/>
        <v>3663.1132560746237</v>
      </c>
      <c r="FD99" s="232">
        <f t="shared" si="806"/>
        <v>3672.2710392148101</v>
      </c>
      <c r="FE99" s="232">
        <f t="shared" si="806"/>
        <v>3681.4517168128468</v>
      </c>
      <c r="FF99" s="232">
        <f t="shared" si="806"/>
        <v>3690.6553461048788</v>
      </c>
      <c r="FG99" s="321"/>
      <c r="FH99" s="232">
        <f t="shared" si="807"/>
        <v>17675.877739850588</v>
      </c>
      <c r="FI99" s="232">
        <f t="shared" si="807"/>
        <v>31029.625541534791</v>
      </c>
      <c r="FJ99" s="232">
        <f t="shared" si="807"/>
        <v>31973.421295048349</v>
      </c>
      <c r="FK99" s="232">
        <f t="shared" si="807"/>
        <v>32945.923499535937</v>
      </c>
      <c r="FL99" s="232">
        <f t="shared" si="807"/>
        <v>33948.005289173496</v>
      </c>
      <c r="FM99" s="232">
        <f t="shared" si="807"/>
        <v>34980.566355348485</v>
      </c>
      <c r="FN99" s="232">
        <f t="shared" si="807"/>
        <v>36044.533754422831</v>
      </c>
      <c r="FO99" s="232">
        <f t="shared" si="807"/>
        <v>37140.862740064797</v>
      </c>
      <c r="FP99" s="232">
        <f t="shared" si="807"/>
        <v>38270.537620897077</v>
      </c>
      <c r="FQ99" s="232">
        <f t="shared" si="807"/>
        <v>39434.572644231026</v>
      </c>
      <c r="FR99" s="232">
        <f t="shared" si="807"/>
        <v>40634.012906680502</v>
      </c>
      <c r="FS99" s="232">
        <f t="shared" si="807"/>
        <v>41869.935292472968</v>
      </c>
      <c r="FT99" s="232">
        <f t="shared" si="807"/>
        <v>43143.44944030013</v>
      </c>
      <c r="FU99" s="232">
        <f t="shared" si="807"/>
        <v>18361.469668506037</v>
      </c>
      <c r="FV99" s="321"/>
    </row>
    <row r="100" spans="3:178" x14ac:dyDescent="0.2">
      <c r="C100" s="241" t="str">
        <f t="shared" si="788"/>
        <v>Other</v>
      </c>
      <c r="D100" s="234">
        <f t="shared" si="789"/>
        <v>0</v>
      </c>
      <c r="E100" s="233">
        <f t="shared" si="790"/>
        <v>0</v>
      </c>
      <c r="F100" s="234">
        <v>0</v>
      </c>
      <c r="G100" s="234">
        <f t="shared" si="791"/>
        <v>0</v>
      </c>
      <c r="H100" s="234">
        <f t="shared" si="791"/>
        <v>0</v>
      </c>
      <c r="I100" s="234">
        <f t="shared" si="791"/>
        <v>0</v>
      </c>
      <c r="J100" s="234">
        <f t="shared" si="791"/>
        <v>0</v>
      </c>
      <c r="K100" s="234">
        <f t="shared" si="791"/>
        <v>0</v>
      </c>
      <c r="L100" s="234">
        <f t="shared" si="791"/>
        <v>0</v>
      </c>
      <c r="M100" s="234">
        <f t="shared" si="791"/>
        <v>0</v>
      </c>
      <c r="N100" s="234">
        <f t="shared" si="791"/>
        <v>0</v>
      </c>
      <c r="O100" s="234">
        <f t="shared" si="791"/>
        <v>0</v>
      </c>
      <c r="P100" s="234">
        <f t="shared" si="791"/>
        <v>0</v>
      </c>
      <c r="Q100" s="234">
        <f t="shared" si="792"/>
        <v>0</v>
      </c>
      <c r="R100" s="234">
        <f t="shared" si="792"/>
        <v>0</v>
      </c>
      <c r="S100" s="234">
        <f t="shared" si="792"/>
        <v>0</v>
      </c>
      <c r="T100" s="234">
        <f t="shared" si="792"/>
        <v>0</v>
      </c>
      <c r="U100" s="234">
        <f t="shared" si="792"/>
        <v>0</v>
      </c>
      <c r="V100" s="234">
        <f t="shared" si="792"/>
        <v>0</v>
      </c>
      <c r="W100" s="234">
        <f t="shared" si="792"/>
        <v>0</v>
      </c>
      <c r="X100" s="234">
        <f t="shared" si="792"/>
        <v>0</v>
      </c>
      <c r="Y100" s="234">
        <f t="shared" si="792"/>
        <v>0</v>
      </c>
      <c r="Z100" s="234">
        <f t="shared" si="792"/>
        <v>0</v>
      </c>
      <c r="AA100" s="234">
        <f t="shared" si="793"/>
        <v>0</v>
      </c>
      <c r="AB100" s="234">
        <f t="shared" si="793"/>
        <v>0</v>
      </c>
      <c r="AC100" s="234">
        <f t="shared" si="793"/>
        <v>0</v>
      </c>
      <c r="AD100" s="234">
        <f t="shared" si="793"/>
        <v>0</v>
      </c>
      <c r="AE100" s="234">
        <f t="shared" si="793"/>
        <v>0</v>
      </c>
      <c r="AF100" s="234">
        <f t="shared" si="793"/>
        <v>0</v>
      </c>
      <c r="AG100" s="234">
        <f t="shared" si="793"/>
        <v>0</v>
      </c>
      <c r="AH100" s="234">
        <f t="shared" si="793"/>
        <v>0</v>
      </c>
      <c r="AI100" s="234">
        <f t="shared" si="793"/>
        <v>0</v>
      </c>
      <c r="AJ100" s="234">
        <f t="shared" si="793"/>
        <v>0</v>
      </c>
      <c r="AK100" s="234">
        <f t="shared" si="794"/>
        <v>0</v>
      </c>
      <c r="AL100" s="234">
        <f t="shared" si="794"/>
        <v>0</v>
      </c>
      <c r="AM100" s="234">
        <f t="shared" si="794"/>
        <v>0</v>
      </c>
      <c r="AN100" s="234">
        <f t="shared" si="794"/>
        <v>0</v>
      </c>
      <c r="AO100" s="234">
        <f t="shared" si="794"/>
        <v>0</v>
      </c>
      <c r="AP100" s="234">
        <f t="shared" si="794"/>
        <v>0</v>
      </c>
      <c r="AQ100" s="234">
        <f t="shared" si="794"/>
        <v>0</v>
      </c>
      <c r="AR100" s="234">
        <f t="shared" si="794"/>
        <v>0</v>
      </c>
      <c r="AS100" s="234">
        <f t="shared" si="794"/>
        <v>0</v>
      </c>
      <c r="AT100" s="234">
        <f t="shared" si="794"/>
        <v>0</v>
      </c>
      <c r="AU100" s="234">
        <f t="shared" si="795"/>
        <v>0</v>
      </c>
      <c r="AV100" s="234">
        <f t="shared" si="795"/>
        <v>0</v>
      </c>
      <c r="AW100" s="234">
        <f t="shared" si="795"/>
        <v>0</v>
      </c>
      <c r="AX100" s="234">
        <f t="shared" si="795"/>
        <v>0</v>
      </c>
      <c r="AY100" s="234">
        <f t="shared" si="795"/>
        <v>0</v>
      </c>
      <c r="AZ100" s="234">
        <f t="shared" si="795"/>
        <v>0</v>
      </c>
      <c r="BA100" s="234">
        <f t="shared" si="795"/>
        <v>0</v>
      </c>
      <c r="BB100" s="234">
        <f t="shared" si="795"/>
        <v>0</v>
      </c>
      <c r="BC100" s="234">
        <f t="shared" si="795"/>
        <v>0</v>
      </c>
      <c r="BD100" s="234">
        <f t="shared" si="795"/>
        <v>0</v>
      </c>
      <c r="BE100" s="234">
        <f t="shared" si="796"/>
        <v>0</v>
      </c>
      <c r="BF100" s="234">
        <f t="shared" si="796"/>
        <v>0</v>
      </c>
      <c r="BG100" s="234">
        <f t="shared" si="796"/>
        <v>0</v>
      </c>
      <c r="BH100" s="234">
        <f t="shared" si="796"/>
        <v>0</v>
      </c>
      <c r="BI100" s="234">
        <f t="shared" si="796"/>
        <v>0</v>
      </c>
      <c r="BJ100" s="234">
        <f t="shared" si="796"/>
        <v>0</v>
      </c>
      <c r="BK100" s="234">
        <f t="shared" si="796"/>
        <v>0</v>
      </c>
      <c r="BL100" s="234">
        <f t="shared" si="796"/>
        <v>0</v>
      </c>
      <c r="BM100" s="234">
        <f t="shared" si="796"/>
        <v>0</v>
      </c>
      <c r="BN100" s="234">
        <f t="shared" si="796"/>
        <v>0</v>
      </c>
      <c r="BO100" s="234">
        <f t="shared" si="797"/>
        <v>0</v>
      </c>
      <c r="BP100" s="234">
        <f t="shared" si="797"/>
        <v>0</v>
      </c>
      <c r="BQ100" s="234">
        <f t="shared" si="797"/>
        <v>0</v>
      </c>
      <c r="BR100" s="234">
        <f t="shared" si="797"/>
        <v>0</v>
      </c>
      <c r="BS100" s="234">
        <f t="shared" si="797"/>
        <v>0</v>
      </c>
      <c r="BT100" s="234">
        <f t="shared" si="797"/>
        <v>0</v>
      </c>
      <c r="BU100" s="234">
        <f t="shared" si="797"/>
        <v>0</v>
      </c>
      <c r="BV100" s="234">
        <f t="shared" si="797"/>
        <v>0</v>
      </c>
      <c r="BW100" s="234">
        <f t="shared" si="797"/>
        <v>0</v>
      </c>
      <c r="BX100" s="234">
        <f t="shared" si="797"/>
        <v>0</v>
      </c>
      <c r="BY100" s="234">
        <f t="shared" si="798"/>
        <v>0</v>
      </c>
      <c r="BZ100" s="234">
        <f t="shared" si="798"/>
        <v>0</v>
      </c>
      <c r="CA100" s="234">
        <f t="shared" si="798"/>
        <v>0</v>
      </c>
      <c r="CB100" s="234">
        <f t="shared" si="798"/>
        <v>0</v>
      </c>
      <c r="CC100" s="234">
        <f t="shared" si="798"/>
        <v>0</v>
      </c>
      <c r="CD100" s="234">
        <f t="shared" si="798"/>
        <v>0</v>
      </c>
      <c r="CE100" s="234">
        <f t="shared" si="798"/>
        <v>0</v>
      </c>
      <c r="CF100" s="234">
        <f t="shared" si="798"/>
        <v>0</v>
      </c>
      <c r="CG100" s="234">
        <f t="shared" si="798"/>
        <v>0</v>
      </c>
      <c r="CH100" s="234">
        <f t="shared" si="798"/>
        <v>0</v>
      </c>
      <c r="CI100" s="234">
        <f t="shared" si="799"/>
        <v>0</v>
      </c>
      <c r="CJ100" s="234">
        <f t="shared" si="799"/>
        <v>0</v>
      </c>
      <c r="CK100" s="234">
        <f t="shared" si="799"/>
        <v>0</v>
      </c>
      <c r="CL100" s="234">
        <f t="shared" si="799"/>
        <v>0</v>
      </c>
      <c r="CM100" s="234">
        <f t="shared" si="799"/>
        <v>0</v>
      </c>
      <c r="CN100" s="234">
        <f t="shared" si="799"/>
        <v>0</v>
      </c>
      <c r="CO100" s="234">
        <f t="shared" si="799"/>
        <v>0</v>
      </c>
      <c r="CP100" s="234">
        <f t="shared" si="799"/>
        <v>0</v>
      </c>
      <c r="CQ100" s="234">
        <f t="shared" si="799"/>
        <v>0</v>
      </c>
      <c r="CR100" s="234">
        <f t="shared" si="799"/>
        <v>0</v>
      </c>
      <c r="CS100" s="234">
        <f t="shared" si="800"/>
        <v>0</v>
      </c>
      <c r="CT100" s="234">
        <f t="shared" si="800"/>
        <v>0</v>
      </c>
      <c r="CU100" s="234">
        <f t="shared" si="800"/>
        <v>0</v>
      </c>
      <c r="CV100" s="234">
        <f t="shared" si="800"/>
        <v>0</v>
      </c>
      <c r="CW100" s="234">
        <f t="shared" si="800"/>
        <v>0</v>
      </c>
      <c r="CX100" s="234">
        <f t="shared" si="800"/>
        <v>0</v>
      </c>
      <c r="CY100" s="234">
        <f t="shared" si="800"/>
        <v>0</v>
      </c>
      <c r="CZ100" s="234">
        <f t="shared" si="800"/>
        <v>0</v>
      </c>
      <c r="DA100" s="234">
        <f t="shared" si="800"/>
        <v>0</v>
      </c>
      <c r="DB100" s="234">
        <f t="shared" si="800"/>
        <v>0</v>
      </c>
      <c r="DC100" s="234">
        <f t="shared" si="801"/>
        <v>0</v>
      </c>
      <c r="DD100" s="234">
        <f t="shared" si="801"/>
        <v>0</v>
      </c>
      <c r="DE100" s="234">
        <f t="shared" si="801"/>
        <v>0</v>
      </c>
      <c r="DF100" s="234">
        <f t="shared" si="801"/>
        <v>0</v>
      </c>
      <c r="DG100" s="234">
        <f t="shared" si="801"/>
        <v>0</v>
      </c>
      <c r="DH100" s="234">
        <f t="shared" si="801"/>
        <v>0</v>
      </c>
      <c r="DI100" s="234">
        <f t="shared" si="801"/>
        <v>0</v>
      </c>
      <c r="DJ100" s="234">
        <f t="shared" si="801"/>
        <v>0</v>
      </c>
      <c r="DK100" s="234">
        <f t="shared" si="801"/>
        <v>0</v>
      </c>
      <c r="DL100" s="234">
        <f t="shared" si="801"/>
        <v>0</v>
      </c>
      <c r="DM100" s="234">
        <f t="shared" si="802"/>
        <v>0</v>
      </c>
      <c r="DN100" s="234">
        <f t="shared" si="802"/>
        <v>0</v>
      </c>
      <c r="DO100" s="234">
        <f t="shared" si="802"/>
        <v>0</v>
      </c>
      <c r="DP100" s="234">
        <f t="shared" si="802"/>
        <v>0</v>
      </c>
      <c r="DQ100" s="234">
        <f t="shared" si="802"/>
        <v>0</v>
      </c>
      <c r="DR100" s="234">
        <f t="shared" si="802"/>
        <v>0</v>
      </c>
      <c r="DS100" s="234">
        <f t="shared" si="802"/>
        <v>0</v>
      </c>
      <c r="DT100" s="234">
        <f t="shared" si="802"/>
        <v>0</v>
      </c>
      <c r="DU100" s="234">
        <f t="shared" si="802"/>
        <v>0</v>
      </c>
      <c r="DV100" s="234">
        <f t="shared" si="802"/>
        <v>0</v>
      </c>
      <c r="DW100" s="234">
        <f t="shared" si="803"/>
        <v>0</v>
      </c>
      <c r="DX100" s="234">
        <f t="shared" si="803"/>
        <v>0</v>
      </c>
      <c r="DY100" s="234">
        <f t="shared" si="803"/>
        <v>0</v>
      </c>
      <c r="DZ100" s="234">
        <f t="shared" si="803"/>
        <v>0</v>
      </c>
      <c r="EA100" s="234">
        <f t="shared" si="803"/>
        <v>0</v>
      </c>
      <c r="EB100" s="234">
        <f t="shared" si="803"/>
        <v>0</v>
      </c>
      <c r="EC100" s="234">
        <f t="shared" si="803"/>
        <v>0</v>
      </c>
      <c r="ED100" s="234">
        <f t="shared" si="803"/>
        <v>0</v>
      </c>
      <c r="EE100" s="234">
        <f t="shared" si="803"/>
        <v>0</v>
      </c>
      <c r="EF100" s="234">
        <f t="shared" si="803"/>
        <v>0</v>
      </c>
      <c r="EG100" s="234">
        <f t="shared" si="804"/>
        <v>0</v>
      </c>
      <c r="EH100" s="234">
        <f t="shared" si="804"/>
        <v>0</v>
      </c>
      <c r="EI100" s="234">
        <f t="shared" si="804"/>
        <v>0</v>
      </c>
      <c r="EJ100" s="234">
        <f t="shared" si="804"/>
        <v>0</v>
      </c>
      <c r="EK100" s="234">
        <f t="shared" si="804"/>
        <v>0</v>
      </c>
      <c r="EL100" s="234">
        <f t="shared" si="804"/>
        <v>0</v>
      </c>
      <c r="EM100" s="234">
        <f t="shared" si="804"/>
        <v>0</v>
      </c>
      <c r="EN100" s="234">
        <f t="shared" si="804"/>
        <v>0</v>
      </c>
      <c r="EO100" s="234">
        <f t="shared" si="804"/>
        <v>0</v>
      </c>
      <c r="EP100" s="234">
        <f t="shared" si="804"/>
        <v>0</v>
      </c>
      <c r="EQ100" s="234">
        <f t="shared" si="805"/>
        <v>0</v>
      </c>
      <c r="ER100" s="234">
        <f t="shared" si="805"/>
        <v>0</v>
      </c>
      <c r="ES100" s="234">
        <f t="shared" si="805"/>
        <v>0</v>
      </c>
      <c r="ET100" s="234">
        <f t="shared" si="805"/>
        <v>0</v>
      </c>
      <c r="EU100" s="234">
        <f t="shared" si="805"/>
        <v>0</v>
      </c>
      <c r="EV100" s="234">
        <f t="shared" si="805"/>
        <v>0</v>
      </c>
      <c r="EW100" s="234">
        <f t="shared" si="805"/>
        <v>0</v>
      </c>
      <c r="EX100" s="234">
        <f t="shared" si="805"/>
        <v>0</v>
      </c>
      <c r="EY100" s="234">
        <f t="shared" si="805"/>
        <v>0</v>
      </c>
      <c r="EZ100" s="234">
        <f t="shared" si="805"/>
        <v>0</v>
      </c>
      <c r="FA100" s="234">
        <f t="shared" si="806"/>
        <v>0</v>
      </c>
      <c r="FB100" s="234">
        <f t="shared" si="806"/>
        <v>0</v>
      </c>
      <c r="FC100" s="234">
        <f t="shared" si="806"/>
        <v>0</v>
      </c>
      <c r="FD100" s="234">
        <f t="shared" si="806"/>
        <v>0</v>
      </c>
      <c r="FE100" s="234">
        <f t="shared" si="806"/>
        <v>0</v>
      </c>
      <c r="FF100" s="234">
        <f t="shared" si="806"/>
        <v>0</v>
      </c>
      <c r="FG100" s="321"/>
      <c r="FH100" s="234">
        <f t="shared" si="807"/>
        <v>0</v>
      </c>
      <c r="FI100" s="234">
        <f t="shared" si="807"/>
        <v>0</v>
      </c>
      <c r="FJ100" s="234">
        <f t="shared" si="807"/>
        <v>0</v>
      </c>
      <c r="FK100" s="234">
        <f t="shared" si="807"/>
        <v>0</v>
      </c>
      <c r="FL100" s="234">
        <f t="shared" si="807"/>
        <v>0</v>
      </c>
      <c r="FM100" s="234">
        <f t="shared" si="807"/>
        <v>0</v>
      </c>
      <c r="FN100" s="234">
        <f t="shared" si="807"/>
        <v>0</v>
      </c>
      <c r="FO100" s="234">
        <f t="shared" si="807"/>
        <v>0</v>
      </c>
      <c r="FP100" s="234">
        <f t="shared" si="807"/>
        <v>0</v>
      </c>
      <c r="FQ100" s="234">
        <f t="shared" si="807"/>
        <v>0</v>
      </c>
      <c r="FR100" s="234">
        <f t="shared" si="807"/>
        <v>0</v>
      </c>
      <c r="FS100" s="234">
        <f t="shared" si="807"/>
        <v>0</v>
      </c>
      <c r="FT100" s="234">
        <f t="shared" si="807"/>
        <v>0</v>
      </c>
      <c r="FU100" s="234">
        <f t="shared" si="807"/>
        <v>0</v>
      </c>
      <c r="FV100" s="321"/>
    </row>
    <row r="101" spans="3:178" s="77" customFormat="1" x14ac:dyDescent="0.2">
      <c r="C101" s="80" t="s">
        <v>82</v>
      </c>
      <c r="D101" s="278"/>
      <c r="E101" s="80">
        <f t="shared" si="790"/>
        <v>4774527.9378806734</v>
      </c>
      <c r="F101" s="279">
        <f>SUM(F94:F100)</f>
        <v>0</v>
      </c>
      <c r="G101" s="80">
        <f>SUM(G94:G100)</f>
        <v>25062.5</v>
      </c>
      <c r="H101" s="80">
        <f t="shared" ref="H101:BS101" si="808">SUM(H94:H100)</f>
        <v>25125.156249999996</v>
      </c>
      <c r="I101" s="80">
        <f t="shared" si="808"/>
        <v>25187.969140624991</v>
      </c>
      <c r="J101" s="80">
        <f t="shared" si="808"/>
        <v>25250.939063476551</v>
      </c>
      <c r="K101" s="80">
        <f t="shared" si="808"/>
        <v>25314.066411135249</v>
      </c>
      <c r="L101" s="80">
        <f t="shared" si="808"/>
        <v>25377.351577163092</v>
      </c>
      <c r="M101" s="80">
        <f t="shared" si="808"/>
        <v>25440.794956105998</v>
      </c>
      <c r="N101" s="80">
        <f t="shared" si="808"/>
        <v>25504.396943496256</v>
      </c>
      <c r="O101" s="80">
        <f t="shared" si="808"/>
        <v>25568.157935855004</v>
      </c>
      <c r="P101" s="80">
        <f t="shared" si="808"/>
        <v>25632.078330694636</v>
      </c>
      <c r="Q101" s="80">
        <f t="shared" si="808"/>
        <v>25696.158526521369</v>
      </c>
      <c r="R101" s="80">
        <f t="shared" si="808"/>
        <v>25760.39892283767</v>
      </c>
      <c r="S101" s="80">
        <f t="shared" si="808"/>
        <v>25824.799920144764</v>
      </c>
      <c r="T101" s="80">
        <f t="shared" si="808"/>
        <v>25889.36191994512</v>
      </c>
      <c r="U101" s="80">
        <f t="shared" si="808"/>
        <v>25954.085324744989</v>
      </c>
      <c r="V101" s="80">
        <f t="shared" si="808"/>
        <v>26018.970538056848</v>
      </c>
      <c r="W101" s="80">
        <f t="shared" si="808"/>
        <v>26084.017964401977</v>
      </c>
      <c r="X101" s="80">
        <f t="shared" si="808"/>
        <v>26149.228009312981</v>
      </c>
      <c r="Y101" s="80">
        <f t="shared" si="808"/>
        <v>26214.601079336273</v>
      </c>
      <c r="Z101" s="80">
        <f t="shared" si="808"/>
        <v>26280.137582034615</v>
      </c>
      <c r="AA101" s="80">
        <f t="shared" si="808"/>
        <v>26345.83792598969</v>
      </c>
      <c r="AB101" s="80">
        <f t="shared" si="808"/>
        <v>26411.702520804669</v>
      </c>
      <c r="AC101" s="80">
        <f t="shared" si="808"/>
        <v>26477.731777106674</v>
      </c>
      <c r="AD101" s="80">
        <f t="shared" si="808"/>
        <v>26543.926106549439</v>
      </c>
      <c r="AE101" s="80">
        <f t="shared" si="808"/>
        <v>26610.285921815808</v>
      </c>
      <c r="AF101" s="80">
        <f t="shared" si="808"/>
        <v>26676.811636620343</v>
      </c>
      <c r="AG101" s="80">
        <f t="shared" si="808"/>
        <v>26743.503665711898</v>
      </c>
      <c r="AH101" s="80">
        <f t="shared" si="808"/>
        <v>26810.362424876177</v>
      </c>
      <c r="AI101" s="80">
        <f t="shared" si="808"/>
        <v>26877.388330938367</v>
      </c>
      <c r="AJ101" s="80">
        <f t="shared" si="808"/>
        <v>26944.581801765704</v>
      </c>
      <c r="AK101" s="80">
        <f t="shared" si="808"/>
        <v>27011.943256270111</v>
      </c>
      <c r="AL101" s="80">
        <f t="shared" si="808"/>
        <v>27079.47311441079</v>
      </c>
      <c r="AM101" s="80">
        <f t="shared" si="808"/>
        <v>27147.171797196821</v>
      </c>
      <c r="AN101" s="80">
        <f t="shared" si="808"/>
        <v>27215.039726689807</v>
      </c>
      <c r="AO101" s="80">
        <f t="shared" si="808"/>
        <v>27283.077326006533</v>
      </c>
      <c r="AP101" s="80">
        <f t="shared" si="808"/>
        <v>27351.285019321549</v>
      </c>
      <c r="AQ101" s="80">
        <f t="shared" si="808"/>
        <v>27419.66323186985</v>
      </c>
      <c r="AR101" s="80">
        <f t="shared" si="808"/>
        <v>27488.21238994952</v>
      </c>
      <c r="AS101" s="80">
        <f t="shared" si="808"/>
        <v>27556.932920924402</v>
      </c>
      <c r="AT101" s="80">
        <f t="shared" si="808"/>
        <v>27625.825253226714</v>
      </c>
      <c r="AU101" s="80">
        <f t="shared" si="808"/>
        <v>27694.889816359781</v>
      </c>
      <c r="AV101" s="80">
        <f t="shared" si="808"/>
        <v>27764.127040900672</v>
      </c>
      <c r="AW101" s="80">
        <f t="shared" si="808"/>
        <v>27833.537358502912</v>
      </c>
      <c r="AX101" s="80">
        <f t="shared" si="808"/>
        <v>27903.121201899165</v>
      </c>
      <c r="AY101" s="80">
        <f t="shared" si="808"/>
        <v>27972.879004903916</v>
      </c>
      <c r="AZ101" s="80">
        <f t="shared" si="808"/>
        <v>28042.811202416167</v>
      </c>
      <c r="BA101" s="80">
        <f t="shared" si="808"/>
        <v>28112.918230422216</v>
      </c>
      <c r="BB101" s="80">
        <f t="shared" si="808"/>
        <v>28183.200525998258</v>
      </c>
      <c r="BC101" s="80">
        <f t="shared" si="808"/>
        <v>28253.658527313266</v>
      </c>
      <c r="BD101" s="80">
        <f t="shared" si="808"/>
        <v>28324.292673631538</v>
      </c>
      <c r="BE101" s="80">
        <f t="shared" si="808"/>
        <v>28395.103405315618</v>
      </c>
      <c r="BF101" s="80">
        <f t="shared" si="808"/>
        <v>28466.091163828904</v>
      </c>
      <c r="BG101" s="80">
        <f t="shared" si="808"/>
        <v>28537.25639173848</v>
      </c>
      <c r="BH101" s="80">
        <f t="shared" si="808"/>
        <v>28608.599532717821</v>
      </c>
      <c r="BI101" s="80">
        <f t="shared" si="808"/>
        <v>28680.121031549614</v>
      </c>
      <c r="BJ101" s="80">
        <f t="shared" si="808"/>
        <v>28751.821334128479</v>
      </c>
      <c r="BK101" s="80">
        <f t="shared" si="808"/>
        <v>28823.700887463812</v>
      </c>
      <c r="BL101" s="80">
        <f t="shared" si="808"/>
        <v>28895.760139682461</v>
      </c>
      <c r="BM101" s="80">
        <f t="shared" si="808"/>
        <v>28967.999540031669</v>
      </c>
      <c r="BN101" s="80">
        <f t="shared" si="808"/>
        <v>29040.419538881753</v>
      </c>
      <c r="BO101" s="80">
        <f t="shared" si="808"/>
        <v>29113.020587728955</v>
      </c>
      <c r="BP101" s="80">
        <f t="shared" si="808"/>
        <v>29185.803139198262</v>
      </c>
      <c r="BQ101" s="80">
        <f t="shared" si="808"/>
        <v>29258.767647046261</v>
      </c>
      <c r="BR101" s="80">
        <f t="shared" si="808"/>
        <v>29331.914566163872</v>
      </c>
      <c r="BS101" s="80">
        <f t="shared" si="808"/>
        <v>29405.244352579284</v>
      </c>
      <c r="BT101" s="80">
        <f t="shared" ref="BT101:EE101" si="809">SUM(BT94:BT100)</f>
        <v>29478.757463460726</v>
      </c>
      <c r="BU101" s="80">
        <f t="shared" si="809"/>
        <v>29552.454357119379</v>
      </c>
      <c r="BV101" s="80">
        <f t="shared" si="809"/>
        <v>29626.335493012171</v>
      </c>
      <c r="BW101" s="80">
        <f t="shared" si="809"/>
        <v>29700.40133174471</v>
      </c>
      <c r="BX101" s="80">
        <f t="shared" si="809"/>
        <v>29774.652335074064</v>
      </c>
      <c r="BY101" s="80">
        <f t="shared" si="809"/>
        <v>29849.088965911753</v>
      </c>
      <c r="BZ101" s="80">
        <f t="shared" si="809"/>
        <v>29923.711688326523</v>
      </c>
      <c r="CA101" s="80">
        <f t="shared" si="809"/>
        <v>29998.520967547342</v>
      </c>
      <c r="CB101" s="80">
        <f t="shared" si="809"/>
        <v>30073.517269966211</v>
      </c>
      <c r="CC101" s="80">
        <f t="shared" si="809"/>
        <v>30148.701063141125</v>
      </c>
      <c r="CD101" s="80">
        <f t="shared" si="809"/>
        <v>30224.072815798972</v>
      </c>
      <c r="CE101" s="80">
        <f t="shared" si="809"/>
        <v>30299.632997838475</v>
      </c>
      <c r="CF101" s="80">
        <f t="shared" si="809"/>
        <v>30375.382080333071</v>
      </c>
      <c r="CG101" s="80">
        <f t="shared" si="809"/>
        <v>30451.320535533894</v>
      </c>
      <c r="CH101" s="80">
        <f t="shared" si="809"/>
        <v>30527.448836872729</v>
      </c>
      <c r="CI101" s="80">
        <f t="shared" si="809"/>
        <v>30603.76745896491</v>
      </c>
      <c r="CJ101" s="80">
        <f t="shared" si="809"/>
        <v>30680.276877612327</v>
      </c>
      <c r="CK101" s="80">
        <f t="shared" si="809"/>
        <v>30756.97756980636</v>
      </c>
      <c r="CL101" s="80">
        <f t="shared" si="809"/>
        <v>30833.870013730877</v>
      </c>
      <c r="CM101" s="80">
        <f t="shared" si="809"/>
        <v>30910.954688765196</v>
      </c>
      <c r="CN101" s="80">
        <f t="shared" si="809"/>
        <v>30988.232075487107</v>
      </c>
      <c r="CO101" s="80">
        <f t="shared" si="809"/>
        <v>31065.702655675821</v>
      </c>
      <c r="CP101" s="80">
        <f t="shared" si="809"/>
        <v>31143.366912315018</v>
      </c>
      <c r="CQ101" s="80">
        <f t="shared" si="809"/>
        <v>31221.225329595796</v>
      </c>
      <c r="CR101" s="80">
        <f t="shared" si="809"/>
        <v>31299.278392919776</v>
      </c>
      <c r="CS101" s="80">
        <f t="shared" si="809"/>
        <v>31377.526588902077</v>
      </c>
      <c r="CT101" s="80">
        <f t="shared" si="809"/>
        <v>31455.97040537433</v>
      </c>
      <c r="CU101" s="80">
        <f t="shared" si="809"/>
        <v>31534.610331387772</v>
      </c>
      <c r="CV101" s="80">
        <f t="shared" si="809"/>
        <v>31613.446857216244</v>
      </c>
      <c r="CW101" s="80">
        <f t="shared" si="809"/>
        <v>31692.480474359283</v>
      </c>
      <c r="CX101" s="80">
        <f t="shared" si="809"/>
        <v>31771.711675545172</v>
      </c>
      <c r="CY101" s="80">
        <f t="shared" si="809"/>
        <v>31851.140954734037</v>
      </c>
      <c r="CZ101" s="80">
        <f t="shared" si="809"/>
        <v>31930.768807120872</v>
      </c>
      <c r="DA101" s="80">
        <f t="shared" si="809"/>
        <v>32010.595729138666</v>
      </c>
      <c r="DB101" s="80">
        <f t="shared" si="809"/>
        <v>32090.622218461507</v>
      </c>
      <c r="DC101" s="80">
        <f t="shared" si="809"/>
        <v>32170.848774007671</v>
      </c>
      <c r="DD101" s="80">
        <f t="shared" si="809"/>
        <v>32251.275895942679</v>
      </c>
      <c r="DE101" s="80">
        <f t="shared" si="809"/>
        <v>32331.904085682541</v>
      </c>
      <c r="DF101" s="80">
        <f t="shared" si="809"/>
        <v>32412.733845896742</v>
      </c>
      <c r="DG101" s="80">
        <f t="shared" si="809"/>
        <v>32493.765680511493</v>
      </c>
      <c r="DH101" s="80">
        <f t="shared" si="809"/>
        <v>32575.00009471277</v>
      </c>
      <c r="DI101" s="80">
        <f t="shared" si="809"/>
        <v>32656.437594949537</v>
      </c>
      <c r="DJ101" s="80">
        <f t="shared" si="809"/>
        <v>32738.078688936916</v>
      </c>
      <c r="DK101" s="80">
        <f t="shared" si="809"/>
        <v>32819.923885659256</v>
      </c>
      <c r="DL101" s="80">
        <f t="shared" si="809"/>
        <v>32901.97369537341</v>
      </c>
      <c r="DM101" s="80">
        <f t="shared" si="809"/>
        <v>32984.228629611833</v>
      </c>
      <c r="DN101" s="80">
        <f t="shared" si="809"/>
        <v>33066.689201185865</v>
      </c>
      <c r="DO101" s="80">
        <f t="shared" si="809"/>
        <v>33149.355924188822</v>
      </c>
      <c r="DP101" s="80">
        <f t="shared" si="809"/>
        <v>33232.229313999298</v>
      </c>
      <c r="DQ101" s="80">
        <f t="shared" si="809"/>
        <v>33315.309887284282</v>
      </c>
      <c r="DR101" s="80">
        <f t="shared" si="809"/>
        <v>33398.598162002498</v>
      </c>
      <c r="DS101" s="80">
        <f t="shared" si="809"/>
        <v>33482.094657407506</v>
      </c>
      <c r="DT101" s="80">
        <f t="shared" si="809"/>
        <v>33565.799894051022</v>
      </c>
      <c r="DU101" s="80">
        <f t="shared" si="809"/>
        <v>33649.714393786147</v>
      </c>
      <c r="DV101" s="80">
        <f t="shared" si="809"/>
        <v>33733.838679770619</v>
      </c>
      <c r="DW101" s="80">
        <f t="shared" si="809"/>
        <v>33818.173276470035</v>
      </c>
      <c r="DX101" s="80">
        <f t="shared" si="809"/>
        <v>33902.718709661211</v>
      </c>
      <c r="DY101" s="80">
        <f t="shared" si="809"/>
        <v>33987.475506435359</v>
      </c>
      <c r="DZ101" s="80">
        <f t="shared" si="809"/>
        <v>34072.444195201453</v>
      </c>
      <c r="EA101" s="80">
        <f t="shared" si="809"/>
        <v>34157.625305689442</v>
      </c>
      <c r="EB101" s="80">
        <f t="shared" si="809"/>
        <v>34243.019368953675</v>
      </c>
      <c r="EC101" s="80">
        <f t="shared" si="809"/>
        <v>34328.626917376059</v>
      </c>
      <c r="ED101" s="80">
        <f t="shared" si="809"/>
        <v>34414.44848466949</v>
      </c>
      <c r="EE101" s="80">
        <f t="shared" si="809"/>
        <v>34500.484605881167</v>
      </c>
      <c r="EF101" s="80">
        <f t="shared" ref="EF101:FF101" si="810">SUM(EF94:EF100)</f>
        <v>34586.735817395864</v>
      </c>
      <c r="EG101" s="80">
        <f t="shared" si="810"/>
        <v>34673.202656939349</v>
      </c>
      <c r="EH101" s="80">
        <f t="shared" si="810"/>
        <v>34759.885663581699</v>
      </c>
      <c r="EI101" s="80">
        <f t="shared" si="810"/>
        <v>34846.785377740642</v>
      </c>
      <c r="EJ101" s="80">
        <f t="shared" si="810"/>
        <v>34933.902341184992</v>
      </c>
      <c r="EK101" s="80">
        <f t="shared" si="810"/>
        <v>35021.237097037956</v>
      </c>
      <c r="EL101" s="80">
        <f t="shared" si="810"/>
        <v>35108.79018978055</v>
      </c>
      <c r="EM101" s="80">
        <f t="shared" si="810"/>
        <v>35196.562165254989</v>
      </c>
      <c r="EN101" s="80">
        <f t="shared" si="810"/>
        <v>35284.553570668133</v>
      </c>
      <c r="EO101" s="80">
        <f t="shared" si="810"/>
        <v>35372.764954594793</v>
      </c>
      <c r="EP101" s="80">
        <f t="shared" si="810"/>
        <v>35461.196866981278</v>
      </c>
      <c r="EQ101" s="80">
        <f t="shared" si="810"/>
        <v>35549.849859148737</v>
      </c>
      <c r="ER101" s="80">
        <f t="shared" si="810"/>
        <v>35638.724483796606</v>
      </c>
      <c r="ES101" s="80">
        <f t="shared" si="810"/>
        <v>35727.821295006099</v>
      </c>
      <c r="ET101" s="80">
        <f t="shared" si="810"/>
        <v>35817.140848243609</v>
      </c>
      <c r="EU101" s="80">
        <f t="shared" si="810"/>
        <v>35906.683700364221</v>
      </c>
      <c r="EV101" s="80">
        <f t="shared" si="810"/>
        <v>35996.450409615129</v>
      </c>
      <c r="EW101" s="80">
        <f t="shared" si="810"/>
        <v>36086.441535639162</v>
      </c>
      <c r="EX101" s="80">
        <f t="shared" si="810"/>
        <v>36176.657639478261</v>
      </c>
      <c r="EY101" s="80">
        <f t="shared" si="810"/>
        <v>36267.099283576965</v>
      </c>
      <c r="EZ101" s="80">
        <f t="shared" si="810"/>
        <v>36357.767031785887</v>
      </c>
      <c r="FA101" s="80">
        <f t="shared" si="810"/>
        <v>36448.661449365347</v>
      </c>
      <c r="FB101" s="80">
        <f t="shared" si="810"/>
        <v>36539.78310298876</v>
      </c>
      <c r="FC101" s="80">
        <f t="shared" si="810"/>
        <v>36631.132560746235</v>
      </c>
      <c r="FD101" s="80">
        <f t="shared" si="810"/>
        <v>36722.710392148096</v>
      </c>
      <c r="FE101" s="80">
        <f t="shared" si="810"/>
        <v>36814.51716812847</v>
      </c>
      <c r="FF101" s="80">
        <f t="shared" si="810"/>
        <v>36906.553461048781</v>
      </c>
      <c r="FG101" s="288"/>
      <c r="FH101" s="80">
        <f t="shared" si="807"/>
        <v>176758.77739850589</v>
      </c>
      <c r="FI101" s="80">
        <f t="shared" si="807"/>
        <v>310296.25541534787</v>
      </c>
      <c r="FJ101" s="80">
        <f t="shared" si="807"/>
        <v>319734.21295048355</v>
      </c>
      <c r="FK101" s="80">
        <f t="shared" si="807"/>
        <v>329459.23499535932</v>
      </c>
      <c r="FL101" s="80">
        <f t="shared" si="807"/>
        <v>339480.05289173499</v>
      </c>
      <c r="FM101" s="80">
        <f t="shared" si="807"/>
        <v>349805.66355348495</v>
      </c>
      <c r="FN101" s="80">
        <f t="shared" si="807"/>
        <v>360445.33754422836</v>
      </c>
      <c r="FO101" s="80">
        <f t="shared" si="807"/>
        <v>371408.62740064802</v>
      </c>
      <c r="FP101" s="80">
        <f t="shared" si="807"/>
        <v>382705.37620897085</v>
      </c>
      <c r="FQ101" s="80">
        <f t="shared" si="807"/>
        <v>394345.72644231026</v>
      </c>
      <c r="FR101" s="80">
        <f t="shared" si="807"/>
        <v>406340.12906680506</v>
      </c>
      <c r="FS101" s="80">
        <f t="shared" si="807"/>
        <v>418699.35292472952</v>
      </c>
      <c r="FT101" s="80">
        <f t="shared" si="807"/>
        <v>431434.49440300127</v>
      </c>
      <c r="FU101" s="80">
        <f t="shared" si="807"/>
        <v>183614.69668506036</v>
      </c>
      <c r="FV101" s="288"/>
    </row>
    <row r="102" spans="3:178" x14ac:dyDescent="0.2">
      <c r="C102" s="229"/>
      <c r="D102" s="229"/>
      <c r="E102" s="224"/>
    </row>
    <row r="103" spans="3:178" x14ac:dyDescent="0.2">
      <c r="C103" s="47" t="s">
        <v>83</v>
      </c>
      <c r="D103" s="239" t="s">
        <v>64</v>
      </c>
      <c r="E103" s="240" t="s">
        <v>5</v>
      </c>
    </row>
    <row r="104" spans="3:178" x14ac:dyDescent="0.2">
      <c r="C104" s="39" t="str">
        <f>IF(S37&lt;&gt;"",S37,"")</f>
        <v>Insurance</v>
      </c>
      <c r="D104" s="232">
        <f>V37</f>
        <v>500</v>
      </c>
      <c r="E104" s="231">
        <f t="shared" ref="E104:E108" si="811">SUM(F104:FF104)</f>
        <v>795754.65631344495</v>
      </c>
      <c r="F104" s="232">
        <v>0</v>
      </c>
      <c r="G104" s="232">
        <f t="shared" ref="G104:P105" si="812">$D104/12*G$66*$N$13</f>
        <v>4177.083333333333</v>
      </c>
      <c r="H104" s="232">
        <f t="shared" si="812"/>
        <v>4187.5260416666652</v>
      </c>
      <c r="I104" s="232">
        <f t="shared" si="812"/>
        <v>4197.9948567708316</v>
      </c>
      <c r="J104" s="232">
        <f t="shared" si="812"/>
        <v>4208.4898439127592</v>
      </c>
      <c r="K104" s="232">
        <f t="shared" si="812"/>
        <v>4219.0110685225409</v>
      </c>
      <c r="L104" s="232">
        <f t="shared" si="812"/>
        <v>4229.5585961938477</v>
      </c>
      <c r="M104" s="232">
        <f t="shared" si="812"/>
        <v>4240.1324926843326</v>
      </c>
      <c r="N104" s="232">
        <f t="shared" si="812"/>
        <v>4250.7328239160433</v>
      </c>
      <c r="O104" s="232">
        <f t="shared" si="812"/>
        <v>4261.3596559758334</v>
      </c>
      <c r="P104" s="232">
        <f t="shared" si="812"/>
        <v>4272.0130551157727</v>
      </c>
      <c r="Q104" s="232">
        <f t="shared" ref="Q104:Z105" si="813">$D104/12*Q$66*$N$13</f>
        <v>4282.6930877535615</v>
      </c>
      <c r="R104" s="232">
        <f t="shared" si="813"/>
        <v>4293.399820472946</v>
      </c>
      <c r="S104" s="232">
        <f t="shared" si="813"/>
        <v>4304.133320024127</v>
      </c>
      <c r="T104" s="232">
        <f t="shared" si="813"/>
        <v>4314.8936533241877</v>
      </c>
      <c r="U104" s="232">
        <f t="shared" si="813"/>
        <v>4325.6808874574972</v>
      </c>
      <c r="V104" s="232">
        <f t="shared" si="813"/>
        <v>4336.4950896761411</v>
      </c>
      <c r="W104" s="232">
        <f t="shared" si="813"/>
        <v>4347.3363274003304</v>
      </c>
      <c r="X104" s="232">
        <f t="shared" si="813"/>
        <v>4358.2046682188302</v>
      </c>
      <c r="Y104" s="232">
        <f t="shared" si="813"/>
        <v>4369.1001798893776</v>
      </c>
      <c r="Z104" s="232">
        <f t="shared" si="813"/>
        <v>4380.0229303391006</v>
      </c>
      <c r="AA104" s="232">
        <f t="shared" ref="AA104:AJ105" si="814">$D104/12*AA$66*$N$13</f>
        <v>4390.9729876649481</v>
      </c>
      <c r="AB104" s="232">
        <f t="shared" si="814"/>
        <v>4401.9504201341106</v>
      </c>
      <c r="AC104" s="232">
        <f t="shared" si="814"/>
        <v>4412.9552961844456</v>
      </c>
      <c r="AD104" s="232">
        <f t="shared" si="814"/>
        <v>4423.9876844249056</v>
      </c>
      <c r="AE104" s="232">
        <f t="shared" si="814"/>
        <v>4435.0476536359674</v>
      </c>
      <c r="AF104" s="232">
        <f t="shared" si="814"/>
        <v>4446.1352727700569</v>
      </c>
      <c r="AG104" s="232">
        <f t="shared" si="814"/>
        <v>4457.2506109519818</v>
      </c>
      <c r="AH104" s="232">
        <f t="shared" si="814"/>
        <v>4468.3937374793613</v>
      </c>
      <c r="AI104" s="232">
        <f t="shared" si="814"/>
        <v>4479.5647218230597</v>
      </c>
      <c r="AJ104" s="232">
        <f t="shared" si="814"/>
        <v>4490.7636336276173</v>
      </c>
      <c r="AK104" s="232">
        <f t="shared" ref="AK104:AT105" si="815">$D104/12*AK$66*$N$13</f>
        <v>4501.9905427116855</v>
      </c>
      <c r="AL104" s="232">
        <f t="shared" si="815"/>
        <v>4513.2455190684641</v>
      </c>
      <c r="AM104" s="232">
        <f t="shared" si="815"/>
        <v>4524.5286328661359</v>
      </c>
      <c r="AN104" s="232">
        <f t="shared" si="815"/>
        <v>4535.8399544483018</v>
      </c>
      <c r="AO104" s="232">
        <f t="shared" si="815"/>
        <v>4547.1795543344224</v>
      </c>
      <c r="AP104" s="232">
        <f t="shared" si="815"/>
        <v>4558.5475032202576</v>
      </c>
      <c r="AQ104" s="232">
        <f t="shared" si="815"/>
        <v>4569.9438719783084</v>
      </c>
      <c r="AR104" s="232">
        <f t="shared" si="815"/>
        <v>4581.3687316582536</v>
      </c>
      <c r="AS104" s="232">
        <f t="shared" si="815"/>
        <v>4592.8221534874001</v>
      </c>
      <c r="AT104" s="232">
        <f t="shared" si="815"/>
        <v>4604.3042088711181</v>
      </c>
      <c r="AU104" s="232">
        <f t="shared" ref="AU104:BD105" si="816">$D104/12*AU$66*$N$13</f>
        <v>4615.8149693932955</v>
      </c>
      <c r="AV104" s="232">
        <f t="shared" si="816"/>
        <v>4627.3545068167787</v>
      </c>
      <c r="AW104" s="232">
        <f t="shared" si="816"/>
        <v>4638.922893083819</v>
      </c>
      <c r="AX104" s="232">
        <f t="shared" si="816"/>
        <v>4650.5202003165286</v>
      </c>
      <c r="AY104" s="232">
        <f t="shared" si="816"/>
        <v>4662.1465008173191</v>
      </c>
      <c r="AZ104" s="232">
        <f t="shared" si="816"/>
        <v>4673.8018670693618</v>
      </c>
      <c r="BA104" s="232">
        <f t="shared" si="816"/>
        <v>4685.4863717370354</v>
      </c>
      <c r="BB104" s="232">
        <f t="shared" si="816"/>
        <v>4697.2000876663769</v>
      </c>
      <c r="BC104" s="232">
        <f t="shared" si="816"/>
        <v>4708.9430878855428</v>
      </c>
      <c r="BD104" s="232">
        <f t="shared" si="816"/>
        <v>4720.7154456052567</v>
      </c>
      <c r="BE104" s="232">
        <f t="shared" ref="BE104:BN105" si="817">$D104/12*BE$66*$N$13</f>
        <v>4732.5172342192691</v>
      </c>
      <c r="BF104" s="232">
        <f t="shared" si="817"/>
        <v>4744.3485273048173</v>
      </c>
      <c r="BG104" s="232">
        <f t="shared" si="817"/>
        <v>4756.2093986230784</v>
      </c>
      <c r="BH104" s="232">
        <f t="shared" si="817"/>
        <v>4768.0999221196362</v>
      </c>
      <c r="BI104" s="232">
        <f t="shared" si="817"/>
        <v>4780.0201719249362</v>
      </c>
      <c r="BJ104" s="232">
        <f t="shared" si="817"/>
        <v>4791.9702223547474</v>
      </c>
      <c r="BK104" s="232">
        <f t="shared" si="817"/>
        <v>4803.9501479106339</v>
      </c>
      <c r="BL104" s="232">
        <f t="shared" si="817"/>
        <v>4815.9600232804105</v>
      </c>
      <c r="BM104" s="232">
        <f t="shared" si="817"/>
        <v>4827.9999233386116</v>
      </c>
      <c r="BN104" s="232">
        <f t="shared" si="817"/>
        <v>4840.0699231469571</v>
      </c>
      <c r="BO104" s="232">
        <f t="shared" ref="BO104:BX105" si="818">$D104/12*BO$66*$N$13</f>
        <v>4852.170097954825</v>
      </c>
      <c r="BP104" s="232">
        <f t="shared" si="818"/>
        <v>4864.3005231997104</v>
      </c>
      <c r="BQ104" s="232">
        <f t="shared" si="818"/>
        <v>4876.4612745077102</v>
      </c>
      <c r="BR104" s="232">
        <f t="shared" si="818"/>
        <v>4888.652427693979</v>
      </c>
      <c r="BS104" s="232">
        <f t="shared" si="818"/>
        <v>4900.8740587632137</v>
      </c>
      <c r="BT104" s="232">
        <f t="shared" si="818"/>
        <v>4913.126243910121</v>
      </c>
      <c r="BU104" s="232">
        <f t="shared" si="818"/>
        <v>4925.4090595198959</v>
      </c>
      <c r="BV104" s="232">
        <f t="shared" si="818"/>
        <v>4937.7225821686952</v>
      </c>
      <c r="BW104" s="232">
        <f t="shared" si="818"/>
        <v>4950.0668886241165</v>
      </c>
      <c r="BX104" s="232">
        <f t="shared" si="818"/>
        <v>4962.4420558456768</v>
      </c>
      <c r="BY104" s="232">
        <f t="shared" ref="BY104:CH105" si="819">$D104/12*BY$66*$N$13</f>
        <v>4974.8481609852906</v>
      </c>
      <c r="BZ104" s="232">
        <f t="shared" si="819"/>
        <v>4987.2852813877544</v>
      </c>
      <c r="CA104" s="232">
        <f t="shared" si="819"/>
        <v>4999.7534945912239</v>
      </c>
      <c r="CB104" s="232">
        <f t="shared" si="819"/>
        <v>5012.2528783277012</v>
      </c>
      <c r="CC104" s="232">
        <f t="shared" si="819"/>
        <v>5024.7835105235208</v>
      </c>
      <c r="CD104" s="232">
        <f t="shared" si="819"/>
        <v>5037.3454692998284</v>
      </c>
      <c r="CE104" s="232">
        <f t="shared" si="819"/>
        <v>5049.9388329730782</v>
      </c>
      <c r="CF104" s="232">
        <f t="shared" si="819"/>
        <v>5062.5636800555112</v>
      </c>
      <c r="CG104" s="232">
        <f t="shared" si="819"/>
        <v>5075.2200892556493</v>
      </c>
      <c r="CH104" s="232">
        <f t="shared" si="819"/>
        <v>5087.9081394787891</v>
      </c>
      <c r="CI104" s="232">
        <f t="shared" ref="CI104:CR105" si="820">$D104/12*CI$66*$N$13</f>
        <v>5100.6279098274854</v>
      </c>
      <c r="CJ104" s="232">
        <f t="shared" si="820"/>
        <v>5113.3794796020529</v>
      </c>
      <c r="CK104" s="232">
        <f t="shared" si="820"/>
        <v>5126.1629283010589</v>
      </c>
      <c r="CL104" s="232">
        <f t="shared" si="820"/>
        <v>5138.9783356218113</v>
      </c>
      <c r="CM104" s="232">
        <f t="shared" si="820"/>
        <v>5151.825781460866</v>
      </c>
      <c r="CN104" s="232">
        <f t="shared" si="820"/>
        <v>5164.7053459145181</v>
      </c>
      <c r="CO104" s="232">
        <f t="shared" si="820"/>
        <v>5177.6171092793038</v>
      </c>
      <c r="CP104" s="232">
        <f t="shared" si="820"/>
        <v>5190.5611520525017</v>
      </c>
      <c r="CQ104" s="232">
        <f t="shared" si="820"/>
        <v>5203.5375549326327</v>
      </c>
      <c r="CR104" s="232">
        <f t="shared" si="820"/>
        <v>5216.5463988199635</v>
      </c>
      <c r="CS104" s="232">
        <f t="shared" ref="CS104:DB105" si="821">$D104/12*CS$66*$N$13</f>
        <v>5229.5877648170135</v>
      </c>
      <c r="CT104" s="232">
        <f t="shared" si="821"/>
        <v>5242.6617342290556</v>
      </c>
      <c r="CU104" s="232">
        <f t="shared" si="821"/>
        <v>5255.7683885646275</v>
      </c>
      <c r="CV104" s="232">
        <f t="shared" si="821"/>
        <v>5268.9078095360392</v>
      </c>
      <c r="CW104" s="232">
        <f t="shared" si="821"/>
        <v>5282.0800790598787</v>
      </c>
      <c r="CX104" s="232">
        <f t="shared" si="821"/>
        <v>5295.2852792575286</v>
      </c>
      <c r="CY104" s="232">
        <f t="shared" si="821"/>
        <v>5308.5234924556726</v>
      </c>
      <c r="CZ104" s="232">
        <f t="shared" si="821"/>
        <v>5321.7948011868111</v>
      </c>
      <c r="DA104" s="232">
        <f t="shared" si="821"/>
        <v>5335.0992881897782</v>
      </c>
      <c r="DB104" s="232">
        <f t="shared" si="821"/>
        <v>5348.4370364102515</v>
      </c>
      <c r="DC104" s="232">
        <f t="shared" ref="DC104:DL105" si="822">$D104/12*DC$66*$N$13</f>
        <v>5361.8081290012778</v>
      </c>
      <c r="DD104" s="232">
        <f t="shared" si="822"/>
        <v>5375.2126493237802</v>
      </c>
      <c r="DE104" s="232">
        <f t="shared" si="822"/>
        <v>5388.6506809470893</v>
      </c>
      <c r="DF104" s="232">
        <f t="shared" si="822"/>
        <v>5402.1223076494571</v>
      </c>
      <c r="DG104" s="232">
        <f t="shared" si="822"/>
        <v>5415.6276134185809</v>
      </c>
      <c r="DH104" s="232">
        <f t="shared" si="822"/>
        <v>5429.1666824521271</v>
      </c>
      <c r="DI104" s="232">
        <f t="shared" si="822"/>
        <v>5442.7395991582571</v>
      </c>
      <c r="DJ104" s="232">
        <f t="shared" si="822"/>
        <v>5456.3464481561523</v>
      </c>
      <c r="DK104" s="232">
        <f t="shared" si="822"/>
        <v>5469.9873142765427</v>
      </c>
      <c r="DL104" s="232">
        <f t="shared" si="822"/>
        <v>5483.6622825622335</v>
      </c>
      <c r="DM104" s="232">
        <f t="shared" ref="DM104:DV105" si="823">$D104/12*DM$66*$N$13</f>
        <v>5497.3714382686385</v>
      </c>
      <c r="DN104" s="232">
        <f t="shared" si="823"/>
        <v>5511.11486686431</v>
      </c>
      <c r="DO104" s="232">
        <f t="shared" si="823"/>
        <v>5524.8926540314696</v>
      </c>
      <c r="DP104" s="232">
        <f t="shared" si="823"/>
        <v>5538.7048856665488</v>
      </c>
      <c r="DQ104" s="232">
        <f t="shared" si="823"/>
        <v>5552.5516478807149</v>
      </c>
      <c r="DR104" s="232">
        <f t="shared" si="823"/>
        <v>5566.4330270004157</v>
      </c>
      <c r="DS104" s="232">
        <f t="shared" si="823"/>
        <v>5580.3491095679165</v>
      </c>
      <c r="DT104" s="232">
        <f t="shared" si="823"/>
        <v>5594.2999823418359</v>
      </c>
      <c r="DU104" s="232">
        <f t="shared" si="823"/>
        <v>5608.2857322976906</v>
      </c>
      <c r="DV104" s="232">
        <f t="shared" si="823"/>
        <v>5622.306446628435</v>
      </c>
      <c r="DW104" s="232">
        <f t="shared" ref="DW104:EF105" si="824">$D104/12*DW$66*$N$13</f>
        <v>5636.3622127450053</v>
      </c>
      <c r="DX104" s="232">
        <f t="shared" si="824"/>
        <v>5650.4531182768678</v>
      </c>
      <c r="DY104" s="232">
        <f t="shared" si="824"/>
        <v>5664.5792510725596</v>
      </c>
      <c r="DZ104" s="232">
        <f t="shared" si="824"/>
        <v>5678.7406992002407</v>
      </c>
      <c r="EA104" s="232">
        <f t="shared" si="824"/>
        <v>5692.9375509482416</v>
      </c>
      <c r="EB104" s="232">
        <f t="shared" si="824"/>
        <v>5707.1698948256117</v>
      </c>
      <c r="EC104" s="232">
        <f t="shared" si="824"/>
        <v>5721.437819562675</v>
      </c>
      <c r="ED104" s="232">
        <f t="shared" si="824"/>
        <v>5735.7414141115814</v>
      </c>
      <c r="EE104" s="232">
        <f t="shared" si="824"/>
        <v>5750.0807676468603</v>
      </c>
      <c r="EF104" s="232">
        <f t="shared" si="824"/>
        <v>5764.4559695659773</v>
      </c>
      <c r="EG104" s="232">
        <f t="shared" ref="EG104:EP105" si="825">$D104/12*EG$66*$N$13</f>
        <v>5778.8671094898918</v>
      </c>
      <c r="EH104" s="232">
        <f t="shared" si="825"/>
        <v>5793.3142772636156</v>
      </c>
      <c r="EI104" s="232">
        <f t="shared" si="825"/>
        <v>5807.7975629567736</v>
      </c>
      <c r="EJ104" s="232">
        <f t="shared" si="825"/>
        <v>5822.3170568641654</v>
      </c>
      <c r="EK104" s="232">
        <f t="shared" si="825"/>
        <v>5836.8728495063251</v>
      </c>
      <c r="EL104" s="232">
        <f t="shared" si="825"/>
        <v>5851.4650316300913</v>
      </c>
      <c r="EM104" s="232">
        <f t="shared" si="825"/>
        <v>5866.0936942091657</v>
      </c>
      <c r="EN104" s="232">
        <f t="shared" si="825"/>
        <v>5880.7589284446885</v>
      </c>
      <c r="EO104" s="232">
        <f t="shared" si="825"/>
        <v>5895.4608257657992</v>
      </c>
      <c r="EP104" s="232">
        <f t="shared" si="825"/>
        <v>5910.1994778302133</v>
      </c>
      <c r="EQ104" s="232">
        <f t="shared" ref="EQ104:EZ105" si="826">$D104/12*EQ$66*$N$13</f>
        <v>5924.9749765247889</v>
      </c>
      <c r="ER104" s="232">
        <f t="shared" si="826"/>
        <v>5939.7874139661008</v>
      </c>
      <c r="ES104" s="232">
        <f t="shared" si="826"/>
        <v>5954.6368825010159</v>
      </c>
      <c r="ET104" s="232">
        <f t="shared" si="826"/>
        <v>5969.5234747072682</v>
      </c>
      <c r="EU104" s="232">
        <f t="shared" si="826"/>
        <v>5984.4472833940363</v>
      </c>
      <c r="EV104" s="232">
        <f t="shared" si="826"/>
        <v>5999.4084016025208</v>
      </c>
      <c r="EW104" s="232">
        <f t="shared" si="826"/>
        <v>6014.4069226065267</v>
      </c>
      <c r="EX104" s="232">
        <f t="shared" si="826"/>
        <v>6029.4429399130431</v>
      </c>
      <c r="EY104" s="232">
        <f t="shared" si="826"/>
        <v>6044.516547262825</v>
      </c>
      <c r="EZ104" s="232">
        <f t="shared" si="826"/>
        <v>6059.6278386309823</v>
      </c>
      <c r="FA104" s="232">
        <f t="shared" ref="FA104:FF105" si="827">$D104/12*FA$66*$N$13</f>
        <v>6074.776908227559</v>
      </c>
      <c r="FB104" s="232">
        <f t="shared" si="827"/>
        <v>6089.9638504981267</v>
      </c>
      <c r="FC104" s="232">
        <f t="shared" si="827"/>
        <v>6105.1887601243725</v>
      </c>
      <c r="FD104" s="232">
        <f t="shared" si="827"/>
        <v>6120.4517320246832</v>
      </c>
      <c r="FE104" s="232">
        <f t="shared" si="827"/>
        <v>6135.7528613547447</v>
      </c>
      <c r="FF104" s="232">
        <f t="shared" si="827"/>
        <v>6151.0922435081302</v>
      </c>
      <c r="FG104" s="321"/>
      <c r="FH104" s="232">
        <f t="shared" ref="FH104:FU108" si="828">SUMIF($F$57:$FF$57,FH$57,$F104:$FF104)</f>
        <v>29459.796233084315</v>
      </c>
      <c r="FI104" s="232">
        <f t="shared" si="828"/>
        <v>51716.04256922465</v>
      </c>
      <c r="FJ104" s="232">
        <f t="shared" si="828"/>
        <v>53289.035491747236</v>
      </c>
      <c r="FK104" s="232">
        <f t="shared" si="828"/>
        <v>54909.872499226556</v>
      </c>
      <c r="FL104" s="232">
        <f t="shared" si="828"/>
        <v>56580.008815289162</v>
      </c>
      <c r="FM104" s="232">
        <f t="shared" si="828"/>
        <v>58300.94392558081</v>
      </c>
      <c r="FN104" s="232">
        <f t="shared" si="828"/>
        <v>60074.222924038047</v>
      </c>
      <c r="FO104" s="232">
        <f t="shared" si="828"/>
        <v>61901.437900108001</v>
      </c>
      <c r="FP104" s="232">
        <f t="shared" si="828"/>
        <v>63784.229368161788</v>
      </c>
      <c r="FQ104" s="232">
        <f t="shared" si="828"/>
        <v>65724.287740385029</v>
      </c>
      <c r="FR104" s="232">
        <f t="shared" si="828"/>
        <v>67723.354844467496</v>
      </c>
      <c r="FS104" s="232">
        <f t="shared" si="828"/>
        <v>69783.22548745494</v>
      </c>
      <c r="FT104" s="232">
        <f t="shared" si="828"/>
        <v>71905.749067166893</v>
      </c>
      <c r="FU104" s="232">
        <f t="shared" si="828"/>
        <v>30602.449447510055</v>
      </c>
      <c r="FV104" s="321"/>
    </row>
    <row r="105" spans="3:178" x14ac:dyDescent="0.2">
      <c r="C105" s="39" t="str">
        <f>IF(S38&lt;&gt;"",S38,"")</f>
        <v>Utilities</v>
      </c>
      <c r="D105" s="232">
        <f>V38</f>
        <v>1000</v>
      </c>
      <c r="E105" s="231">
        <f t="shared" si="811"/>
        <v>1591509.3126268899</v>
      </c>
      <c r="F105" s="232">
        <v>0</v>
      </c>
      <c r="G105" s="232">
        <f t="shared" si="812"/>
        <v>8354.1666666666661</v>
      </c>
      <c r="H105" s="232">
        <f t="shared" si="812"/>
        <v>8375.0520833333303</v>
      </c>
      <c r="I105" s="232">
        <f t="shared" si="812"/>
        <v>8395.9897135416631</v>
      </c>
      <c r="J105" s="232">
        <f t="shared" si="812"/>
        <v>8416.9796878255183</v>
      </c>
      <c r="K105" s="232">
        <f t="shared" si="812"/>
        <v>8438.0221370450818</v>
      </c>
      <c r="L105" s="232">
        <f t="shared" si="812"/>
        <v>8459.1171923876955</v>
      </c>
      <c r="M105" s="232">
        <f t="shared" si="812"/>
        <v>8480.2649853686653</v>
      </c>
      <c r="N105" s="232">
        <f t="shared" si="812"/>
        <v>8501.4656478320867</v>
      </c>
      <c r="O105" s="232">
        <f t="shared" si="812"/>
        <v>8522.7193119516669</v>
      </c>
      <c r="P105" s="232">
        <f t="shared" si="812"/>
        <v>8544.0261102315453</v>
      </c>
      <c r="Q105" s="232">
        <f t="shared" si="813"/>
        <v>8565.386175507123</v>
      </c>
      <c r="R105" s="232">
        <f t="shared" si="813"/>
        <v>8586.799640945892</v>
      </c>
      <c r="S105" s="232">
        <f t="shared" si="813"/>
        <v>8608.266640048254</v>
      </c>
      <c r="T105" s="232">
        <f t="shared" si="813"/>
        <v>8629.7873066483753</v>
      </c>
      <c r="U105" s="232">
        <f t="shared" si="813"/>
        <v>8651.3617749149944</v>
      </c>
      <c r="V105" s="232">
        <f t="shared" si="813"/>
        <v>8672.9901793522822</v>
      </c>
      <c r="W105" s="232">
        <f t="shared" si="813"/>
        <v>8694.6726548006609</v>
      </c>
      <c r="X105" s="232">
        <f t="shared" si="813"/>
        <v>8716.4093364376604</v>
      </c>
      <c r="Y105" s="232">
        <f t="shared" si="813"/>
        <v>8738.2003597787552</v>
      </c>
      <c r="Z105" s="232">
        <f t="shared" si="813"/>
        <v>8760.0458606782013</v>
      </c>
      <c r="AA105" s="232">
        <f t="shared" si="814"/>
        <v>8781.9459753298961</v>
      </c>
      <c r="AB105" s="232">
        <f t="shared" si="814"/>
        <v>8803.9008402682211</v>
      </c>
      <c r="AC105" s="232">
        <f t="shared" si="814"/>
        <v>8825.9105923688912</v>
      </c>
      <c r="AD105" s="232">
        <f t="shared" si="814"/>
        <v>8847.9753688498113</v>
      </c>
      <c r="AE105" s="232">
        <f t="shared" si="814"/>
        <v>8870.0953072719349</v>
      </c>
      <c r="AF105" s="232">
        <f t="shared" si="814"/>
        <v>8892.2705455401137</v>
      </c>
      <c r="AG105" s="232">
        <f t="shared" si="814"/>
        <v>8914.5012219039636</v>
      </c>
      <c r="AH105" s="232">
        <f t="shared" si="814"/>
        <v>8936.7874749587227</v>
      </c>
      <c r="AI105" s="232">
        <f t="shared" si="814"/>
        <v>8959.1294436461194</v>
      </c>
      <c r="AJ105" s="232">
        <f t="shared" si="814"/>
        <v>8981.5272672552346</v>
      </c>
      <c r="AK105" s="232">
        <f t="shared" si="815"/>
        <v>9003.981085423371</v>
      </c>
      <c r="AL105" s="232">
        <f t="shared" si="815"/>
        <v>9026.4910381369282</v>
      </c>
      <c r="AM105" s="232">
        <f t="shared" si="815"/>
        <v>9049.0572657322718</v>
      </c>
      <c r="AN105" s="232">
        <f t="shared" si="815"/>
        <v>9071.6799088966036</v>
      </c>
      <c r="AO105" s="232">
        <f t="shared" si="815"/>
        <v>9094.3591086688448</v>
      </c>
      <c r="AP105" s="232">
        <f t="shared" si="815"/>
        <v>9117.0950064405151</v>
      </c>
      <c r="AQ105" s="232">
        <f t="shared" si="815"/>
        <v>9139.8877439566168</v>
      </c>
      <c r="AR105" s="232">
        <f t="shared" si="815"/>
        <v>9162.7374633165073</v>
      </c>
      <c r="AS105" s="232">
        <f t="shared" si="815"/>
        <v>9185.6443069748002</v>
      </c>
      <c r="AT105" s="232">
        <f t="shared" si="815"/>
        <v>9208.6084177422363</v>
      </c>
      <c r="AU105" s="232">
        <f t="shared" si="816"/>
        <v>9231.6299387865911</v>
      </c>
      <c r="AV105" s="232">
        <f t="shared" si="816"/>
        <v>9254.7090136335573</v>
      </c>
      <c r="AW105" s="232">
        <f t="shared" si="816"/>
        <v>9277.8457861676379</v>
      </c>
      <c r="AX105" s="232">
        <f t="shared" si="816"/>
        <v>9301.0404006330573</v>
      </c>
      <c r="AY105" s="232">
        <f t="shared" si="816"/>
        <v>9324.2930016346381</v>
      </c>
      <c r="AZ105" s="232">
        <f t="shared" si="816"/>
        <v>9347.6037341387237</v>
      </c>
      <c r="BA105" s="232">
        <f t="shared" si="816"/>
        <v>9370.9727434740707</v>
      </c>
      <c r="BB105" s="232">
        <f t="shared" si="816"/>
        <v>9394.4001753327539</v>
      </c>
      <c r="BC105" s="232">
        <f t="shared" si="816"/>
        <v>9417.8861757710856</v>
      </c>
      <c r="BD105" s="232">
        <f t="shared" si="816"/>
        <v>9441.4308912105134</v>
      </c>
      <c r="BE105" s="232">
        <f t="shared" si="817"/>
        <v>9465.0344684385382</v>
      </c>
      <c r="BF105" s="232">
        <f t="shared" si="817"/>
        <v>9488.6970546096345</v>
      </c>
      <c r="BG105" s="232">
        <f t="shared" si="817"/>
        <v>9512.4187972461568</v>
      </c>
      <c r="BH105" s="232">
        <f t="shared" si="817"/>
        <v>9536.1998442392724</v>
      </c>
      <c r="BI105" s="232">
        <f t="shared" si="817"/>
        <v>9560.0403438498724</v>
      </c>
      <c r="BJ105" s="232">
        <f t="shared" si="817"/>
        <v>9583.9404447094948</v>
      </c>
      <c r="BK105" s="232">
        <f t="shared" si="817"/>
        <v>9607.9002958212677</v>
      </c>
      <c r="BL105" s="232">
        <f t="shared" si="817"/>
        <v>9631.920046560821</v>
      </c>
      <c r="BM105" s="232">
        <f t="shared" si="817"/>
        <v>9655.9998466772231</v>
      </c>
      <c r="BN105" s="232">
        <f t="shared" si="817"/>
        <v>9680.1398462939142</v>
      </c>
      <c r="BO105" s="232">
        <f t="shared" si="818"/>
        <v>9704.34019590965</v>
      </c>
      <c r="BP105" s="232">
        <f t="shared" si="818"/>
        <v>9728.6010463994207</v>
      </c>
      <c r="BQ105" s="232">
        <f t="shared" si="818"/>
        <v>9752.9225490154204</v>
      </c>
      <c r="BR105" s="232">
        <f t="shared" si="818"/>
        <v>9777.304855387958</v>
      </c>
      <c r="BS105" s="232">
        <f t="shared" si="818"/>
        <v>9801.7481175264274</v>
      </c>
      <c r="BT105" s="232">
        <f t="shared" si="818"/>
        <v>9826.2524878202421</v>
      </c>
      <c r="BU105" s="232">
        <f t="shared" si="818"/>
        <v>9850.8181190397918</v>
      </c>
      <c r="BV105" s="232">
        <f t="shared" si="818"/>
        <v>9875.4451643373905</v>
      </c>
      <c r="BW105" s="232">
        <f t="shared" si="818"/>
        <v>9900.1337772482329</v>
      </c>
      <c r="BX105" s="232">
        <f t="shared" si="818"/>
        <v>9924.8841116913536</v>
      </c>
      <c r="BY105" s="232">
        <f t="shared" si="819"/>
        <v>9949.6963219705813</v>
      </c>
      <c r="BZ105" s="232">
        <f t="shared" si="819"/>
        <v>9974.5705627755087</v>
      </c>
      <c r="CA105" s="232">
        <f t="shared" si="819"/>
        <v>9999.5069891824478</v>
      </c>
      <c r="CB105" s="232">
        <f t="shared" si="819"/>
        <v>10024.505756655402</v>
      </c>
      <c r="CC105" s="232">
        <f t="shared" si="819"/>
        <v>10049.567021047042</v>
      </c>
      <c r="CD105" s="232">
        <f t="shared" si="819"/>
        <v>10074.690938599657</v>
      </c>
      <c r="CE105" s="232">
        <f t="shared" si="819"/>
        <v>10099.877665946156</v>
      </c>
      <c r="CF105" s="232">
        <f t="shared" si="819"/>
        <v>10125.127360111022</v>
      </c>
      <c r="CG105" s="232">
        <f t="shared" si="819"/>
        <v>10150.440178511299</v>
      </c>
      <c r="CH105" s="232">
        <f t="shared" si="819"/>
        <v>10175.816278957578</v>
      </c>
      <c r="CI105" s="232">
        <f t="shared" si="820"/>
        <v>10201.255819654971</v>
      </c>
      <c r="CJ105" s="232">
        <f t="shared" si="820"/>
        <v>10226.758959204106</v>
      </c>
      <c r="CK105" s="232">
        <f t="shared" si="820"/>
        <v>10252.325856602118</v>
      </c>
      <c r="CL105" s="232">
        <f t="shared" si="820"/>
        <v>10277.956671243623</v>
      </c>
      <c r="CM105" s="232">
        <f t="shared" si="820"/>
        <v>10303.651562921732</v>
      </c>
      <c r="CN105" s="232">
        <f t="shared" si="820"/>
        <v>10329.410691829036</v>
      </c>
      <c r="CO105" s="232">
        <f t="shared" si="820"/>
        <v>10355.234218558608</v>
      </c>
      <c r="CP105" s="232">
        <f t="shared" si="820"/>
        <v>10381.122304105003</v>
      </c>
      <c r="CQ105" s="232">
        <f t="shared" si="820"/>
        <v>10407.075109865265</v>
      </c>
      <c r="CR105" s="232">
        <f t="shared" si="820"/>
        <v>10433.092797639927</v>
      </c>
      <c r="CS105" s="232">
        <f t="shared" si="821"/>
        <v>10459.175529634027</v>
      </c>
      <c r="CT105" s="232">
        <f t="shared" si="821"/>
        <v>10485.323468458111</v>
      </c>
      <c r="CU105" s="232">
        <f t="shared" si="821"/>
        <v>10511.536777129255</v>
      </c>
      <c r="CV105" s="232">
        <f t="shared" si="821"/>
        <v>10537.815619072078</v>
      </c>
      <c r="CW105" s="232">
        <f t="shared" si="821"/>
        <v>10564.160158119757</v>
      </c>
      <c r="CX105" s="232">
        <f t="shared" si="821"/>
        <v>10590.570558515057</v>
      </c>
      <c r="CY105" s="232">
        <f t="shared" si="821"/>
        <v>10617.046984911345</v>
      </c>
      <c r="CZ105" s="232">
        <f t="shared" si="821"/>
        <v>10643.589602373622</v>
      </c>
      <c r="DA105" s="232">
        <f t="shared" si="821"/>
        <v>10670.198576379556</v>
      </c>
      <c r="DB105" s="232">
        <f t="shared" si="821"/>
        <v>10696.874072820503</v>
      </c>
      <c r="DC105" s="232">
        <f t="shared" si="822"/>
        <v>10723.616258002556</v>
      </c>
      <c r="DD105" s="232">
        <f t="shared" si="822"/>
        <v>10750.42529864756</v>
      </c>
      <c r="DE105" s="232">
        <f t="shared" si="822"/>
        <v>10777.301361894179</v>
      </c>
      <c r="DF105" s="232">
        <f t="shared" si="822"/>
        <v>10804.244615298914</v>
      </c>
      <c r="DG105" s="232">
        <f t="shared" si="822"/>
        <v>10831.255226837162</v>
      </c>
      <c r="DH105" s="232">
        <f t="shared" si="822"/>
        <v>10858.333364904254</v>
      </c>
      <c r="DI105" s="232">
        <f t="shared" si="822"/>
        <v>10885.479198316514</v>
      </c>
      <c r="DJ105" s="232">
        <f t="shared" si="822"/>
        <v>10912.692896312305</v>
      </c>
      <c r="DK105" s="232">
        <f t="shared" si="822"/>
        <v>10939.974628553085</v>
      </c>
      <c r="DL105" s="232">
        <f t="shared" si="822"/>
        <v>10967.324565124467</v>
      </c>
      <c r="DM105" s="232">
        <f t="shared" si="823"/>
        <v>10994.742876537277</v>
      </c>
      <c r="DN105" s="232">
        <f t="shared" si="823"/>
        <v>11022.22973372862</v>
      </c>
      <c r="DO105" s="232">
        <f t="shared" si="823"/>
        <v>11049.785308062939</v>
      </c>
      <c r="DP105" s="232">
        <f t="shared" si="823"/>
        <v>11077.409771333098</v>
      </c>
      <c r="DQ105" s="232">
        <f t="shared" si="823"/>
        <v>11105.10329576143</v>
      </c>
      <c r="DR105" s="232">
        <f t="shared" si="823"/>
        <v>11132.866054000831</v>
      </c>
      <c r="DS105" s="232">
        <f t="shared" si="823"/>
        <v>11160.698219135833</v>
      </c>
      <c r="DT105" s="232">
        <f t="shared" si="823"/>
        <v>11188.599964683672</v>
      </c>
      <c r="DU105" s="232">
        <f t="shared" si="823"/>
        <v>11216.571464595381</v>
      </c>
      <c r="DV105" s="232">
        <f t="shared" si="823"/>
        <v>11244.61289325687</v>
      </c>
      <c r="DW105" s="232">
        <f t="shared" si="824"/>
        <v>11272.724425490011</v>
      </c>
      <c r="DX105" s="232">
        <f t="shared" si="824"/>
        <v>11300.906236553736</v>
      </c>
      <c r="DY105" s="232">
        <f t="shared" si="824"/>
        <v>11329.158502145119</v>
      </c>
      <c r="DZ105" s="232">
        <f t="shared" si="824"/>
        <v>11357.481398400481</v>
      </c>
      <c r="EA105" s="232">
        <f t="shared" si="824"/>
        <v>11385.875101896483</v>
      </c>
      <c r="EB105" s="232">
        <f t="shared" si="824"/>
        <v>11414.339789651223</v>
      </c>
      <c r="EC105" s="232">
        <f t="shared" si="824"/>
        <v>11442.87563912535</v>
      </c>
      <c r="ED105" s="232">
        <f t="shared" si="824"/>
        <v>11471.482828223163</v>
      </c>
      <c r="EE105" s="232">
        <f t="shared" si="824"/>
        <v>11500.161535293721</v>
      </c>
      <c r="EF105" s="232">
        <f t="shared" si="824"/>
        <v>11528.911939131955</v>
      </c>
      <c r="EG105" s="232">
        <f t="shared" si="825"/>
        <v>11557.734218979784</v>
      </c>
      <c r="EH105" s="232">
        <f t="shared" si="825"/>
        <v>11586.628554527231</v>
      </c>
      <c r="EI105" s="232">
        <f t="shared" si="825"/>
        <v>11615.595125913547</v>
      </c>
      <c r="EJ105" s="232">
        <f t="shared" si="825"/>
        <v>11644.634113728331</v>
      </c>
      <c r="EK105" s="232">
        <f t="shared" si="825"/>
        <v>11673.74569901265</v>
      </c>
      <c r="EL105" s="232">
        <f t="shared" si="825"/>
        <v>11702.930063260183</v>
      </c>
      <c r="EM105" s="232">
        <f t="shared" si="825"/>
        <v>11732.187388418331</v>
      </c>
      <c r="EN105" s="232">
        <f t="shared" si="825"/>
        <v>11761.517856889377</v>
      </c>
      <c r="EO105" s="232">
        <f t="shared" si="825"/>
        <v>11790.921651531598</v>
      </c>
      <c r="EP105" s="232">
        <f t="shared" si="825"/>
        <v>11820.398955660427</v>
      </c>
      <c r="EQ105" s="232">
        <f t="shared" si="826"/>
        <v>11849.949953049578</v>
      </c>
      <c r="ER105" s="232">
        <f t="shared" si="826"/>
        <v>11879.574827932202</v>
      </c>
      <c r="ES105" s="232">
        <f t="shared" si="826"/>
        <v>11909.273765002032</v>
      </c>
      <c r="ET105" s="232">
        <f t="shared" si="826"/>
        <v>11939.046949414536</v>
      </c>
      <c r="EU105" s="232">
        <f t="shared" si="826"/>
        <v>11968.894566788073</v>
      </c>
      <c r="EV105" s="232">
        <f t="shared" si="826"/>
        <v>11998.816803205042</v>
      </c>
      <c r="EW105" s="232">
        <f t="shared" si="826"/>
        <v>12028.813845213053</v>
      </c>
      <c r="EX105" s="232">
        <f t="shared" si="826"/>
        <v>12058.885879826086</v>
      </c>
      <c r="EY105" s="232">
        <f t="shared" si="826"/>
        <v>12089.03309452565</v>
      </c>
      <c r="EZ105" s="232">
        <f t="shared" si="826"/>
        <v>12119.255677261965</v>
      </c>
      <c r="FA105" s="232">
        <f t="shared" si="827"/>
        <v>12149.553816455118</v>
      </c>
      <c r="FB105" s="232">
        <f t="shared" si="827"/>
        <v>12179.927700996253</v>
      </c>
      <c r="FC105" s="232">
        <f t="shared" si="827"/>
        <v>12210.377520248745</v>
      </c>
      <c r="FD105" s="232">
        <f t="shared" si="827"/>
        <v>12240.903464049366</v>
      </c>
      <c r="FE105" s="232">
        <f t="shared" si="827"/>
        <v>12271.505722709489</v>
      </c>
      <c r="FF105" s="232">
        <f t="shared" si="827"/>
        <v>12302.18448701626</v>
      </c>
      <c r="FG105" s="321"/>
      <c r="FH105" s="232">
        <f t="shared" si="828"/>
        <v>58919.592466168629</v>
      </c>
      <c r="FI105" s="232">
        <f t="shared" si="828"/>
        <v>103432.0851384493</v>
      </c>
      <c r="FJ105" s="232">
        <f t="shared" si="828"/>
        <v>106578.07098349447</v>
      </c>
      <c r="FK105" s="232">
        <f t="shared" si="828"/>
        <v>109819.74499845311</v>
      </c>
      <c r="FL105" s="232">
        <f t="shared" si="828"/>
        <v>113160.01763057832</v>
      </c>
      <c r="FM105" s="232">
        <f t="shared" si="828"/>
        <v>116601.88785116162</v>
      </c>
      <c r="FN105" s="232">
        <f t="shared" si="828"/>
        <v>120148.44584807609</v>
      </c>
      <c r="FO105" s="232">
        <f t="shared" si="828"/>
        <v>123802.875800216</v>
      </c>
      <c r="FP105" s="232">
        <f t="shared" si="828"/>
        <v>127568.45873632358</v>
      </c>
      <c r="FQ105" s="232">
        <f t="shared" si="828"/>
        <v>131448.57548077006</v>
      </c>
      <c r="FR105" s="232">
        <f t="shared" si="828"/>
        <v>135446.70968893499</v>
      </c>
      <c r="FS105" s="232">
        <f t="shared" si="828"/>
        <v>139566.45097490988</v>
      </c>
      <c r="FT105" s="232">
        <f t="shared" si="828"/>
        <v>143811.49813433379</v>
      </c>
      <c r="FU105" s="232">
        <f t="shared" si="828"/>
        <v>61204.898895020109</v>
      </c>
      <c r="FV105" s="321"/>
    </row>
    <row r="106" spans="3:178" x14ac:dyDescent="0.2">
      <c r="C106" s="39" t="s">
        <v>20</v>
      </c>
      <c r="D106" s="232">
        <f>V39</f>
        <v>786.06</v>
      </c>
      <c r="E106" s="231">
        <f t="shared" si="811"/>
        <v>1248111.6161421568</v>
      </c>
      <c r="F106" s="232">
        <v>0</v>
      </c>
      <c r="G106" s="232">
        <f t="shared" ref="G106:AL106" si="829">($T$39*G90)</f>
        <v>6551.600029687499</v>
      </c>
      <c r="H106" s="232">
        <f t="shared" si="829"/>
        <v>6567.9790297617183</v>
      </c>
      <c r="I106" s="232">
        <f t="shared" si="829"/>
        <v>6584.3989773361218</v>
      </c>
      <c r="J106" s="232">
        <f t="shared" si="829"/>
        <v>6600.8599747794615</v>
      </c>
      <c r="K106" s="232">
        <f t="shared" si="829"/>
        <v>6617.3621247164101</v>
      </c>
      <c r="L106" s="232">
        <f t="shared" si="829"/>
        <v>6633.9055300282007</v>
      </c>
      <c r="M106" s="232">
        <f t="shared" si="829"/>
        <v>6650.4902938532714</v>
      </c>
      <c r="N106" s="232">
        <f t="shared" si="829"/>
        <v>6667.1165195879039</v>
      </c>
      <c r="O106" s="232">
        <f t="shared" si="829"/>
        <v>6683.7843108868728</v>
      </c>
      <c r="P106" s="232">
        <f t="shared" si="829"/>
        <v>6700.4937716640898</v>
      </c>
      <c r="Q106" s="232">
        <f t="shared" si="829"/>
        <v>6717.2450060932506</v>
      </c>
      <c r="R106" s="232">
        <f t="shared" si="829"/>
        <v>6734.0381186084833</v>
      </c>
      <c r="S106" s="232">
        <f t="shared" si="829"/>
        <v>6750.8732139050026</v>
      </c>
      <c r="T106" s="232">
        <f t="shared" si="829"/>
        <v>6767.7503969397658</v>
      </c>
      <c r="U106" s="232">
        <f t="shared" si="829"/>
        <v>6784.6697729321168</v>
      </c>
      <c r="V106" s="232">
        <f t="shared" si="829"/>
        <v>6801.6314473644452</v>
      </c>
      <c r="W106" s="232">
        <f t="shared" si="829"/>
        <v>6818.6355259828551</v>
      </c>
      <c r="X106" s="232">
        <f t="shared" si="829"/>
        <v>6835.6821147978126</v>
      </c>
      <c r="Y106" s="232">
        <f t="shared" si="829"/>
        <v>6852.7713200848057</v>
      </c>
      <c r="Z106" s="232">
        <f t="shared" si="829"/>
        <v>6869.9032483850178</v>
      </c>
      <c r="AA106" s="232">
        <f t="shared" si="829"/>
        <v>6887.0780065059807</v>
      </c>
      <c r="AB106" s="232">
        <f t="shared" si="829"/>
        <v>6904.2957015222464</v>
      </c>
      <c r="AC106" s="232">
        <f t="shared" si="829"/>
        <v>6921.5564407760512</v>
      </c>
      <c r="AD106" s="232">
        <f t="shared" si="829"/>
        <v>6938.8603318779897</v>
      </c>
      <c r="AE106" s="232">
        <f t="shared" si="829"/>
        <v>6956.2074827076849</v>
      </c>
      <c r="AF106" s="232">
        <f t="shared" si="829"/>
        <v>6973.5980014144525</v>
      </c>
      <c r="AG106" s="232">
        <f t="shared" si="829"/>
        <v>6991.031996417988</v>
      </c>
      <c r="AH106" s="232">
        <f t="shared" si="829"/>
        <v>7008.5095764090329</v>
      </c>
      <c r="AI106" s="232">
        <f t="shared" si="829"/>
        <v>7026.0308503500537</v>
      </c>
      <c r="AJ106" s="232">
        <f t="shared" si="829"/>
        <v>7043.595927475928</v>
      </c>
      <c r="AK106" s="232">
        <f t="shared" si="829"/>
        <v>7061.2049172946181</v>
      </c>
      <c r="AL106" s="232">
        <f t="shared" si="829"/>
        <v>7078.8579295878553</v>
      </c>
      <c r="AM106" s="232">
        <f t="shared" ref="AM106:BR106" si="830">($T$39*AM90)</f>
        <v>7096.5550744118236</v>
      </c>
      <c r="AN106" s="232">
        <f t="shared" si="830"/>
        <v>7114.2964620978537</v>
      </c>
      <c r="AO106" s="232">
        <f t="shared" si="830"/>
        <v>7132.0822032530968</v>
      </c>
      <c r="AP106" s="232">
        <f t="shared" si="830"/>
        <v>7149.9124087612299</v>
      </c>
      <c r="AQ106" s="232">
        <f t="shared" si="830"/>
        <v>7167.7871897831319</v>
      </c>
      <c r="AR106" s="232">
        <f t="shared" si="830"/>
        <v>7185.7066577575888</v>
      </c>
      <c r="AS106" s="232">
        <f t="shared" si="830"/>
        <v>7203.6709244019821</v>
      </c>
      <c r="AT106" s="232">
        <f t="shared" si="830"/>
        <v>7221.6801017129883</v>
      </c>
      <c r="AU106" s="232">
        <f t="shared" si="830"/>
        <v>7239.7343019672708</v>
      </c>
      <c r="AV106" s="232">
        <f t="shared" si="830"/>
        <v>7257.8336377221885</v>
      </c>
      <c r="AW106" s="232">
        <f t="shared" si="830"/>
        <v>7275.9782218164928</v>
      </c>
      <c r="AX106" s="232">
        <f t="shared" si="830"/>
        <v>7294.1681673710345</v>
      </c>
      <c r="AY106" s="232">
        <f t="shared" si="830"/>
        <v>7312.4035877894612</v>
      </c>
      <c r="AZ106" s="232">
        <f t="shared" si="830"/>
        <v>7330.6845967589343</v>
      </c>
      <c r="BA106" s="232">
        <f t="shared" si="830"/>
        <v>7349.0113082508315</v>
      </c>
      <c r="BB106" s="232">
        <f t="shared" si="830"/>
        <v>7367.3838365214588</v>
      </c>
      <c r="BC106" s="232">
        <f t="shared" si="830"/>
        <v>7385.8022961127617</v>
      </c>
      <c r="BD106" s="232">
        <f t="shared" si="830"/>
        <v>7404.266801853043</v>
      </c>
      <c r="BE106" s="232">
        <f t="shared" si="830"/>
        <v>7422.7774688576765</v>
      </c>
      <c r="BF106" s="232">
        <f t="shared" si="830"/>
        <v>7441.3344125298217</v>
      </c>
      <c r="BG106" s="232">
        <f t="shared" si="830"/>
        <v>7459.9377485611449</v>
      </c>
      <c r="BH106" s="232">
        <f t="shared" si="830"/>
        <v>7478.5875929325484</v>
      </c>
      <c r="BI106" s="232">
        <f t="shared" si="830"/>
        <v>7497.2840619148783</v>
      </c>
      <c r="BJ106" s="232">
        <f t="shared" si="830"/>
        <v>7516.0272720696648</v>
      </c>
      <c r="BK106" s="232">
        <f t="shared" si="830"/>
        <v>7534.8173402498387</v>
      </c>
      <c r="BL106" s="232">
        <f t="shared" si="830"/>
        <v>7553.654383600463</v>
      </c>
      <c r="BM106" s="232">
        <f t="shared" si="830"/>
        <v>7572.5385195594636</v>
      </c>
      <c r="BN106" s="232">
        <f t="shared" si="830"/>
        <v>7591.469865858362</v>
      </c>
      <c r="BO106" s="232">
        <f t="shared" si="830"/>
        <v>7610.448540523008</v>
      </c>
      <c r="BP106" s="232">
        <f t="shared" si="830"/>
        <v>7629.4746618743138</v>
      </c>
      <c r="BQ106" s="232">
        <f t="shared" si="830"/>
        <v>7648.5483485289997</v>
      </c>
      <c r="BR106" s="232">
        <f t="shared" si="830"/>
        <v>7667.6697194003218</v>
      </c>
      <c r="BS106" s="232">
        <f t="shared" ref="BS106:CX106" si="831">($T$39*BS90)</f>
        <v>7686.8388936988213</v>
      </c>
      <c r="BT106" s="232">
        <f t="shared" si="831"/>
        <v>7706.0559909330686</v>
      </c>
      <c r="BU106" s="232">
        <f t="shared" si="831"/>
        <v>7725.3211309104026</v>
      </c>
      <c r="BV106" s="232">
        <f t="shared" si="831"/>
        <v>7744.6344337376759</v>
      </c>
      <c r="BW106" s="232">
        <f t="shared" si="831"/>
        <v>7763.9960198220206</v>
      </c>
      <c r="BX106" s="232">
        <f t="shared" si="831"/>
        <v>7783.4060098715763</v>
      </c>
      <c r="BY106" s="232">
        <f t="shared" si="831"/>
        <v>7802.864524896253</v>
      </c>
      <c r="BZ106" s="232">
        <f t="shared" si="831"/>
        <v>7822.3716862084948</v>
      </c>
      <c r="CA106" s="232">
        <f t="shared" si="831"/>
        <v>7841.9276154240151</v>
      </c>
      <c r="CB106" s="232">
        <f t="shared" si="831"/>
        <v>7861.5324344625742</v>
      </c>
      <c r="CC106" s="232">
        <f t="shared" si="831"/>
        <v>7881.1862655487303</v>
      </c>
      <c r="CD106" s="232">
        <f t="shared" si="831"/>
        <v>7900.8892312126018</v>
      </c>
      <c r="CE106" s="232">
        <f t="shared" si="831"/>
        <v>7920.6414542906323</v>
      </c>
      <c r="CF106" s="232">
        <f t="shared" si="831"/>
        <v>7940.4430579263571</v>
      </c>
      <c r="CG106" s="232">
        <f t="shared" si="831"/>
        <v>7960.2941655711738</v>
      </c>
      <c r="CH106" s="232">
        <f t="shared" si="831"/>
        <v>7980.1949009851014</v>
      </c>
      <c r="CI106" s="232">
        <f t="shared" si="831"/>
        <v>8000.1453882375627</v>
      </c>
      <c r="CJ106" s="232">
        <f t="shared" si="831"/>
        <v>8020.1457517081562</v>
      </c>
      <c r="CK106" s="232">
        <f t="shared" si="831"/>
        <v>8040.1961160874253</v>
      </c>
      <c r="CL106" s="232">
        <f t="shared" si="831"/>
        <v>8060.2966063776439</v>
      </c>
      <c r="CM106" s="232">
        <f t="shared" si="831"/>
        <v>8080.4473478935888</v>
      </c>
      <c r="CN106" s="232">
        <f t="shared" si="831"/>
        <v>8100.648466263322</v>
      </c>
      <c r="CO106" s="232">
        <f t="shared" si="831"/>
        <v>8120.9000874289795</v>
      </c>
      <c r="CP106" s="232">
        <f t="shared" si="831"/>
        <v>8141.2023376475527</v>
      </c>
      <c r="CQ106" s="232">
        <f t="shared" si="831"/>
        <v>8161.5553434916692</v>
      </c>
      <c r="CR106" s="232">
        <f t="shared" si="831"/>
        <v>8181.9592318503983</v>
      </c>
      <c r="CS106" s="232">
        <f t="shared" si="831"/>
        <v>8202.4141299300209</v>
      </c>
      <c r="CT106" s="232">
        <f t="shared" si="831"/>
        <v>8222.9201652548491</v>
      </c>
      <c r="CU106" s="232">
        <f t="shared" si="831"/>
        <v>8243.4774656679838</v>
      </c>
      <c r="CV106" s="232">
        <f t="shared" si="831"/>
        <v>8264.0861593321533</v>
      </c>
      <c r="CW106" s="232">
        <f t="shared" si="831"/>
        <v>8284.7463747304846</v>
      </c>
      <c r="CX106" s="232">
        <f t="shared" si="831"/>
        <v>8305.4582406673089</v>
      </c>
      <c r="CY106" s="232">
        <f t="shared" ref="CY106:ED106" si="832">($T$39*CY90)</f>
        <v>8326.221886268977</v>
      </c>
      <c r="CZ106" s="232">
        <f t="shared" si="832"/>
        <v>8347.0374409846499</v>
      </c>
      <c r="DA106" s="232">
        <f t="shared" si="832"/>
        <v>8367.9050345871092</v>
      </c>
      <c r="DB106" s="232">
        <f t="shared" si="832"/>
        <v>8388.8247971735782</v>
      </c>
      <c r="DC106" s="232">
        <f t="shared" si="832"/>
        <v>8409.7968591665121</v>
      </c>
      <c r="DD106" s="232">
        <f t="shared" si="832"/>
        <v>8430.8213513144256</v>
      </c>
      <c r="DE106" s="232">
        <f t="shared" si="832"/>
        <v>8451.8984046927126</v>
      </c>
      <c r="DF106" s="232">
        <f t="shared" si="832"/>
        <v>8473.0281507044438</v>
      </c>
      <c r="DG106" s="232">
        <f t="shared" si="832"/>
        <v>8494.2107210812046</v>
      </c>
      <c r="DH106" s="232">
        <f t="shared" si="832"/>
        <v>8515.4462478839087</v>
      </c>
      <c r="DI106" s="232">
        <f t="shared" si="832"/>
        <v>8536.7348635036178</v>
      </c>
      <c r="DJ106" s="232">
        <f t="shared" si="832"/>
        <v>8558.0767006623755</v>
      </c>
      <c r="DK106" s="232">
        <f t="shared" si="832"/>
        <v>8579.4718924140325</v>
      </c>
      <c r="DL106" s="232">
        <f t="shared" si="832"/>
        <v>8600.9205721450689</v>
      </c>
      <c r="DM106" s="232">
        <f t="shared" si="832"/>
        <v>8622.4228735754295</v>
      </c>
      <c r="DN106" s="232">
        <f t="shared" si="832"/>
        <v>8643.9789307593674</v>
      </c>
      <c r="DO106" s="232">
        <f t="shared" si="832"/>
        <v>8665.5888780862624</v>
      </c>
      <c r="DP106" s="232">
        <f t="shared" si="832"/>
        <v>8687.2528502814785</v>
      </c>
      <c r="DQ106" s="232">
        <f t="shared" si="832"/>
        <v>8708.9709824071833</v>
      </c>
      <c r="DR106" s="232">
        <f t="shared" si="832"/>
        <v>8730.7434098632002</v>
      </c>
      <c r="DS106" s="232">
        <f t="shared" si="832"/>
        <v>8752.570268387859</v>
      </c>
      <c r="DT106" s="232">
        <f t="shared" si="832"/>
        <v>8774.4516940588255</v>
      </c>
      <c r="DU106" s="232">
        <f t="shared" si="832"/>
        <v>8796.3878232939751</v>
      </c>
      <c r="DV106" s="232">
        <f t="shared" si="832"/>
        <v>8818.3787928522106</v>
      </c>
      <c r="DW106" s="232">
        <f t="shared" si="832"/>
        <v>8840.4247398343414</v>
      </c>
      <c r="DX106" s="232">
        <f t="shared" si="832"/>
        <v>8862.5258016839234</v>
      </c>
      <c r="DY106" s="232">
        <f t="shared" si="832"/>
        <v>8884.6821161881344</v>
      </c>
      <c r="DZ106" s="232">
        <f t="shared" si="832"/>
        <v>8906.8938214786049</v>
      </c>
      <c r="EA106" s="232">
        <f t="shared" si="832"/>
        <v>8929.1610560323006</v>
      </c>
      <c r="EB106" s="232">
        <f t="shared" si="832"/>
        <v>8951.483958672381</v>
      </c>
      <c r="EC106" s="232">
        <f t="shared" si="832"/>
        <v>8973.8626685690597</v>
      </c>
      <c r="ED106" s="232">
        <f t="shared" si="832"/>
        <v>8996.2973252404827</v>
      </c>
      <c r="EE106" s="232">
        <f t="shared" ref="EE106:FF106" si="833">($T$39*EE90)</f>
        <v>9018.7880685535838</v>
      </c>
      <c r="EF106" s="232">
        <f t="shared" si="833"/>
        <v>9041.3350387249684</v>
      </c>
      <c r="EG106" s="232">
        <f t="shared" si="833"/>
        <v>9063.9383763217775</v>
      </c>
      <c r="EH106" s="232">
        <f t="shared" si="833"/>
        <v>9086.5982222625807</v>
      </c>
      <c r="EI106" s="232">
        <f t="shared" si="833"/>
        <v>9109.3147178182389</v>
      </c>
      <c r="EJ106" s="232">
        <f t="shared" si="833"/>
        <v>9132.0880046127822</v>
      </c>
      <c r="EK106" s="232">
        <f t="shared" si="833"/>
        <v>9154.9182246243145</v>
      </c>
      <c r="EL106" s="232">
        <f t="shared" si="833"/>
        <v>9177.805520185877</v>
      </c>
      <c r="EM106" s="232">
        <f t="shared" si="833"/>
        <v>9200.7500339863382</v>
      </c>
      <c r="EN106" s="232">
        <f t="shared" si="833"/>
        <v>9223.7519090713049</v>
      </c>
      <c r="EO106" s="232">
        <f t="shared" si="833"/>
        <v>9246.8112888439809</v>
      </c>
      <c r="EP106" s="232">
        <f t="shared" si="833"/>
        <v>9269.928317066091</v>
      </c>
      <c r="EQ106" s="232">
        <f t="shared" si="833"/>
        <v>9293.1031378587559</v>
      </c>
      <c r="ER106" s="232">
        <f t="shared" si="833"/>
        <v>9316.3358957034034</v>
      </c>
      <c r="ES106" s="232">
        <f t="shared" si="833"/>
        <v>9339.6267354426618</v>
      </c>
      <c r="ET106" s="232">
        <f t="shared" si="833"/>
        <v>9362.9758022812657</v>
      </c>
      <c r="EU106" s="232">
        <f t="shared" si="833"/>
        <v>9386.3832417869708</v>
      </c>
      <c r="EV106" s="232">
        <f t="shared" si="833"/>
        <v>9409.8491998914378</v>
      </c>
      <c r="EW106" s="232">
        <f t="shared" si="833"/>
        <v>9433.3738228911661</v>
      </c>
      <c r="EX106" s="232">
        <f t="shared" si="833"/>
        <v>9456.9572574483918</v>
      </c>
      <c r="EY106" s="232">
        <f t="shared" si="833"/>
        <v>9480.599650592012</v>
      </c>
      <c r="EZ106" s="232">
        <f t="shared" si="833"/>
        <v>9504.3011497184925</v>
      </c>
      <c r="FA106" s="232">
        <f t="shared" si="833"/>
        <v>9528.0619025927881</v>
      </c>
      <c r="FB106" s="232">
        <f t="shared" si="833"/>
        <v>9551.8820573492703</v>
      </c>
      <c r="FC106" s="232">
        <f t="shared" si="833"/>
        <v>9575.7617624926424</v>
      </c>
      <c r="FD106" s="232">
        <f t="shared" si="833"/>
        <v>9599.7011668988725</v>
      </c>
      <c r="FE106" s="232">
        <f t="shared" si="833"/>
        <v>9623.7004198161212</v>
      </c>
      <c r="FF106" s="232">
        <f t="shared" si="833"/>
        <v>9647.7596708656602</v>
      </c>
      <c r="FG106" s="321"/>
      <c r="FH106" s="232">
        <f t="shared" si="828"/>
        <v>46206.595960162675</v>
      </c>
      <c r="FI106" s="232">
        <f t="shared" si="828"/>
        <v>81114.691518847409</v>
      </c>
      <c r="FJ106" s="232">
        <f t="shared" si="828"/>
        <v>83581.872481137034</v>
      </c>
      <c r="FK106" s="232">
        <f t="shared" si="828"/>
        <v>86124.095113273506</v>
      </c>
      <c r="FL106" s="232">
        <f t="shared" si="828"/>
        <v>88743.6418794536</v>
      </c>
      <c r="FM106" s="232">
        <f t="shared" si="828"/>
        <v>91442.864667206741</v>
      </c>
      <c r="FN106" s="232">
        <f t="shared" si="828"/>
        <v>94224.186898972097</v>
      </c>
      <c r="FO106" s="232">
        <f t="shared" si="828"/>
        <v>97090.105707901428</v>
      </c>
      <c r="FP106" s="232">
        <f t="shared" si="828"/>
        <v>100043.19417984075</v>
      </c>
      <c r="FQ106" s="232">
        <f t="shared" si="828"/>
        <v>103086.10366350436</v>
      </c>
      <c r="FR106" s="232">
        <f t="shared" si="828"/>
        <v>106221.56615091482</v>
      </c>
      <c r="FS106" s="232">
        <f t="shared" si="828"/>
        <v>109452.39673024623</v>
      </c>
      <c r="FT106" s="232">
        <f t="shared" si="828"/>
        <v>112781.49611327345</v>
      </c>
      <c r="FU106" s="232">
        <f t="shared" si="828"/>
        <v>47998.80507742257</v>
      </c>
      <c r="FV106" s="321"/>
    </row>
    <row r="107" spans="3:178" x14ac:dyDescent="0.2">
      <c r="C107" s="241" t="s">
        <v>19</v>
      </c>
      <c r="D107" s="242">
        <f>'Pro Forma Template'!V40</f>
        <v>2649.7517262622223</v>
      </c>
      <c r="E107" s="233">
        <f t="shared" si="811"/>
        <v>4217104.548495505</v>
      </c>
      <c r="F107" s="234">
        <v>0</v>
      </c>
      <c r="G107" s="234">
        <f t="shared" ref="G107:AL107" si="834">$D107/12*G$66*$N$13</f>
        <v>22136.467546482316</v>
      </c>
      <c r="H107" s="234">
        <f t="shared" si="834"/>
        <v>22191.808715348521</v>
      </c>
      <c r="I107" s="234">
        <f t="shared" si="834"/>
        <v>22247.288237136887</v>
      </c>
      <c r="J107" s="234">
        <f t="shared" si="834"/>
        <v>22302.906457729732</v>
      </c>
      <c r="K107" s="234">
        <f t="shared" si="834"/>
        <v>22358.663723874055</v>
      </c>
      <c r="L107" s="234">
        <f t="shared" si="834"/>
        <v>22414.56038318374</v>
      </c>
      <c r="M107" s="234">
        <f t="shared" si="834"/>
        <v>22470.5967841417</v>
      </c>
      <c r="N107" s="234">
        <f t="shared" si="834"/>
        <v>22526.773276102052</v>
      </c>
      <c r="O107" s="234">
        <f t="shared" si="834"/>
        <v>22583.09020929231</v>
      </c>
      <c r="P107" s="234">
        <f t="shared" si="834"/>
        <v>22639.547934815539</v>
      </c>
      <c r="Q107" s="234">
        <f t="shared" si="834"/>
        <v>22696.146804652577</v>
      </c>
      <c r="R107" s="234">
        <f t="shared" si="834"/>
        <v>22752.887171664206</v>
      </c>
      <c r="S107" s="234">
        <f t="shared" si="834"/>
        <v>22809.769389593366</v>
      </c>
      <c r="T107" s="234">
        <f t="shared" si="834"/>
        <v>22866.793813067346</v>
      </c>
      <c r="U107" s="234">
        <f t="shared" si="834"/>
        <v>22923.960797600012</v>
      </c>
      <c r="V107" s="234">
        <f t="shared" si="834"/>
        <v>22981.270699594013</v>
      </c>
      <c r="W107" s="234">
        <f t="shared" si="834"/>
        <v>23038.723876342992</v>
      </c>
      <c r="X107" s="234">
        <f t="shared" si="834"/>
        <v>23096.320686033847</v>
      </c>
      <c r="Y107" s="234">
        <f t="shared" si="834"/>
        <v>23154.061487748932</v>
      </c>
      <c r="Z107" s="234">
        <f t="shared" si="834"/>
        <v>23211.946641468301</v>
      </c>
      <c r="AA107" s="234">
        <f t="shared" si="834"/>
        <v>23269.97650807197</v>
      </c>
      <c r="AB107" s="234">
        <f t="shared" si="834"/>
        <v>23328.151449342149</v>
      </c>
      <c r="AC107" s="234">
        <f t="shared" si="834"/>
        <v>23386.471827965503</v>
      </c>
      <c r="AD107" s="234">
        <f t="shared" si="834"/>
        <v>23444.938007535413</v>
      </c>
      <c r="AE107" s="234">
        <f t="shared" si="834"/>
        <v>23503.550352554252</v>
      </c>
      <c r="AF107" s="234">
        <f t="shared" si="834"/>
        <v>23562.309228435635</v>
      </c>
      <c r="AG107" s="234">
        <f t="shared" si="834"/>
        <v>23621.21500150672</v>
      </c>
      <c r="AH107" s="234">
        <f t="shared" si="834"/>
        <v>23680.268039010487</v>
      </c>
      <c r="AI107" s="234">
        <f t="shared" si="834"/>
        <v>23739.468709108012</v>
      </c>
      <c r="AJ107" s="234">
        <f t="shared" si="834"/>
        <v>23798.817380880781</v>
      </c>
      <c r="AK107" s="234">
        <f t="shared" si="834"/>
        <v>23858.314424332981</v>
      </c>
      <c r="AL107" s="234">
        <f t="shared" si="834"/>
        <v>23917.960210393809</v>
      </c>
      <c r="AM107" s="234">
        <f t="shared" ref="AM107:BR107" si="835">$D107/12*AM$66*$N$13</f>
        <v>23977.755110919796</v>
      </c>
      <c r="AN107" s="234">
        <f t="shared" si="835"/>
        <v>24037.699498697093</v>
      </c>
      <c r="AO107" s="234">
        <f t="shared" si="835"/>
        <v>24097.793747443837</v>
      </c>
      <c r="AP107" s="234">
        <f t="shared" si="835"/>
        <v>24158.038231812443</v>
      </c>
      <c r="AQ107" s="234">
        <f t="shared" si="835"/>
        <v>24218.433327391976</v>
      </c>
      <c r="AR107" s="234">
        <f t="shared" si="835"/>
        <v>24278.979410710454</v>
      </c>
      <c r="AS107" s="234">
        <f t="shared" si="835"/>
        <v>24339.676859237228</v>
      </c>
      <c r="AT107" s="234">
        <f t="shared" si="835"/>
        <v>24400.526051385325</v>
      </c>
      <c r="AU107" s="234">
        <f t="shared" si="835"/>
        <v>24461.527366513787</v>
      </c>
      <c r="AV107" s="234">
        <f t="shared" si="835"/>
        <v>24522.681184930068</v>
      </c>
      <c r="AW107" s="234">
        <f t="shared" si="835"/>
        <v>24583.987887892388</v>
      </c>
      <c r="AX107" s="234">
        <f t="shared" si="835"/>
        <v>24645.447857612118</v>
      </c>
      <c r="AY107" s="234">
        <f t="shared" si="835"/>
        <v>24707.061477256146</v>
      </c>
      <c r="AZ107" s="234">
        <f t="shared" si="835"/>
        <v>24768.829130949282</v>
      </c>
      <c r="BA107" s="234">
        <f t="shared" si="835"/>
        <v>24830.751203776654</v>
      </c>
      <c r="BB107" s="234">
        <f t="shared" si="835"/>
        <v>24892.828081786094</v>
      </c>
      <c r="BC107" s="234">
        <f t="shared" si="835"/>
        <v>24955.060151990554</v>
      </c>
      <c r="BD107" s="234">
        <f t="shared" si="835"/>
        <v>25017.447802370531</v>
      </c>
      <c r="BE107" s="234">
        <f t="shared" si="835"/>
        <v>25079.991421876457</v>
      </c>
      <c r="BF107" s="234">
        <f t="shared" si="835"/>
        <v>25142.691400431144</v>
      </c>
      <c r="BG107" s="234">
        <f t="shared" si="835"/>
        <v>25205.548128932223</v>
      </c>
      <c r="BH107" s="234">
        <f t="shared" si="835"/>
        <v>25268.561999254554</v>
      </c>
      <c r="BI107" s="234">
        <f t="shared" si="835"/>
        <v>25331.733404252689</v>
      </c>
      <c r="BJ107" s="234">
        <f t="shared" si="835"/>
        <v>25395.062737763317</v>
      </c>
      <c r="BK107" s="234">
        <f t="shared" si="835"/>
        <v>25458.550394607722</v>
      </c>
      <c r="BL107" s="234">
        <f t="shared" si="835"/>
        <v>25522.196770594241</v>
      </c>
      <c r="BM107" s="234">
        <f t="shared" si="835"/>
        <v>25586.002262520728</v>
      </c>
      <c r="BN107" s="234">
        <f t="shared" si="835"/>
        <v>25649.967268177028</v>
      </c>
      <c r="BO107" s="234">
        <f t="shared" si="835"/>
        <v>25714.092186347465</v>
      </c>
      <c r="BP107" s="234">
        <f t="shared" si="835"/>
        <v>25778.377416813335</v>
      </c>
      <c r="BQ107" s="234">
        <f t="shared" si="835"/>
        <v>25842.823360355367</v>
      </c>
      <c r="BR107" s="234">
        <f t="shared" si="835"/>
        <v>25907.430418756252</v>
      </c>
      <c r="BS107" s="234">
        <f t="shared" ref="BS107:CX107" si="836">$D107/12*BS$66*$N$13</f>
        <v>25972.198994803141</v>
      </c>
      <c r="BT107" s="234">
        <f t="shared" si="836"/>
        <v>26037.129492290147</v>
      </c>
      <c r="BU107" s="234">
        <f t="shared" si="836"/>
        <v>26102.222316020867</v>
      </c>
      <c r="BV107" s="234">
        <f t="shared" si="836"/>
        <v>26167.477871810916</v>
      </c>
      <c r="BW107" s="234">
        <f t="shared" si="836"/>
        <v>26232.896566490446</v>
      </c>
      <c r="BX107" s="234">
        <f t="shared" si="836"/>
        <v>26298.478807906675</v>
      </c>
      <c r="BY107" s="234">
        <f t="shared" si="836"/>
        <v>26364.225004926437</v>
      </c>
      <c r="BZ107" s="234">
        <f t="shared" si="836"/>
        <v>26430.135567438752</v>
      </c>
      <c r="CA107" s="234">
        <f t="shared" si="836"/>
        <v>26496.210906357352</v>
      </c>
      <c r="CB107" s="234">
        <f t="shared" si="836"/>
        <v>26562.451433623242</v>
      </c>
      <c r="CC107" s="234">
        <f t="shared" si="836"/>
        <v>26628.857562207297</v>
      </c>
      <c r="CD107" s="234">
        <f t="shared" si="836"/>
        <v>26695.429706112816</v>
      </c>
      <c r="CE107" s="234">
        <f t="shared" si="836"/>
        <v>26762.168280378097</v>
      </c>
      <c r="CF107" s="234">
        <f t="shared" si="836"/>
        <v>26829.07370107904</v>
      </c>
      <c r="CG107" s="234">
        <f t="shared" si="836"/>
        <v>26896.146385331736</v>
      </c>
      <c r="CH107" s="234">
        <f t="shared" si="836"/>
        <v>26963.386751295064</v>
      </c>
      <c r="CI107" s="234">
        <f t="shared" si="836"/>
        <v>27030.795218173302</v>
      </c>
      <c r="CJ107" s="234">
        <f t="shared" si="836"/>
        <v>27098.372206218733</v>
      </c>
      <c r="CK107" s="234">
        <f t="shared" si="836"/>
        <v>27166.11813673428</v>
      </c>
      <c r="CL107" s="234">
        <f t="shared" si="836"/>
        <v>27234.033432076114</v>
      </c>
      <c r="CM107" s="234">
        <f t="shared" si="836"/>
        <v>27302.118515656304</v>
      </c>
      <c r="CN107" s="234">
        <f t="shared" si="836"/>
        <v>27370.373811945443</v>
      </c>
      <c r="CO107" s="234">
        <f t="shared" si="836"/>
        <v>27438.79974647531</v>
      </c>
      <c r="CP107" s="234">
        <f t="shared" si="836"/>
        <v>27507.396745841492</v>
      </c>
      <c r="CQ107" s="234">
        <f t="shared" si="836"/>
        <v>27576.165237706096</v>
      </c>
      <c r="CR107" s="234">
        <f t="shared" si="836"/>
        <v>27645.105650800353</v>
      </c>
      <c r="CS107" s="234">
        <f t="shared" si="836"/>
        <v>27714.21841492736</v>
      </c>
      <c r="CT107" s="234">
        <f t="shared" si="836"/>
        <v>27783.503960964674</v>
      </c>
      <c r="CU107" s="234">
        <f t="shared" si="836"/>
        <v>27852.962720867083</v>
      </c>
      <c r="CV107" s="234">
        <f t="shared" si="836"/>
        <v>27922.59512766925</v>
      </c>
      <c r="CW107" s="234">
        <f t="shared" si="836"/>
        <v>27992.401615488423</v>
      </c>
      <c r="CX107" s="234">
        <f t="shared" si="836"/>
        <v>28062.382619527143</v>
      </c>
      <c r="CY107" s="234">
        <f t="shared" ref="CY107:ED107" si="837">$D107/12*CY$66*$N$13</f>
        <v>28132.53857607596</v>
      </c>
      <c r="CZ107" s="234">
        <f t="shared" si="837"/>
        <v>28202.869922516147</v>
      </c>
      <c r="DA107" s="234">
        <f t="shared" si="837"/>
        <v>28273.377097322435</v>
      </c>
      <c r="DB107" s="234">
        <f t="shared" si="837"/>
        <v>28344.060540065737</v>
      </c>
      <c r="DC107" s="234">
        <f t="shared" si="837"/>
        <v>28414.920691415904</v>
      </c>
      <c r="DD107" s="234">
        <f t="shared" si="837"/>
        <v>28485.957993144446</v>
      </c>
      <c r="DE107" s="234">
        <f t="shared" si="837"/>
        <v>28557.172888127305</v>
      </c>
      <c r="DF107" s="234">
        <f t="shared" si="837"/>
        <v>28628.56582034762</v>
      </c>
      <c r="DG107" s="234">
        <f t="shared" si="837"/>
        <v>28700.137234898488</v>
      </c>
      <c r="DH107" s="234">
        <f t="shared" si="837"/>
        <v>28771.887577985734</v>
      </c>
      <c r="DI107" s="234">
        <f t="shared" si="837"/>
        <v>28843.817296930702</v>
      </c>
      <c r="DJ107" s="234">
        <f t="shared" si="837"/>
        <v>28915.926840173022</v>
      </c>
      <c r="DK107" s="234">
        <f t="shared" si="837"/>
        <v>28988.216657273453</v>
      </c>
      <c r="DL107" s="234">
        <f t="shared" si="837"/>
        <v>29060.687198916639</v>
      </c>
      <c r="DM107" s="234">
        <f t="shared" si="837"/>
        <v>29133.338916913926</v>
      </c>
      <c r="DN107" s="234">
        <f t="shared" si="837"/>
        <v>29206.172264206209</v>
      </c>
      <c r="DO107" s="234">
        <f t="shared" si="837"/>
        <v>29279.18769486672</v>
      </c>
      <c r="DP107" s="234">
        <f t="shared" si="837"/>
        <v>29352.385664103887</v>
      </c>
      <c r="DQ107" s="234">
        <f t="shared" si="837"/>
        <v>29425.766628264144</v>
      </c>
      <c r="DR107" s="234">
        <f t="shared" si="837"/>
        <v>29499.331044834798</v>
      </c>
      <c r="DS107" s="234">
        <f t="shared" si="837"/>
        <v>29573.079372446886</v>
      </c>
      <c r="DT107" s="234">
        <f t="shared" si="837"/>
        <v>29647.012070878001</v>
      </c>
      <c r="DU107" s="234">
        <f t="shared" si="837"/>
        <v>29721.129601055196</v>
      </c>
      <c r="DV107" s="234">
        <f t="shared" si="837"/>
        <v>29795.432425057836</v>
      </c>
      <c r="DW107" s="234">
        <f t="shared" si="837"/>
        <v>29869.921006120479</v>
      </c>
      <c r="DX107" s="234">
        <f t="shared" si="837"/>
        <v>29944.595808635779</v>
      </c>
      <c r="DY107" s="234">
        <f t="shared" si="837"/>
        <v>30019.457298157369</v>
      </c>
      <c r="DZ107" s="234">
        <f t="shared" si="837"/>
        <v>30094.505941402756</v>
      </c>
      <c r="EA107" s="234">
        <f t="shared" si="837"/>
        <v>30169.742206256262</v>
      </c>
      <c r="EB107" s="234">
        <f t="shared" si="837"/>
        <v>30245.166561771901</v>
      </c>
      <c r="EC107" s="234">
        <f t="shared" si="837"/>
        <v>30320.77947817633</v>
      </c>
      <c r="ED107" s="234">
        <f t="shared" si="837"/>
        <v>30396.58142687177</v>
      </c>
      <c r="EE107" s="234">
        <f t="shared" ref="EE107:FF107" si="838">$D107/12*EE$66*$N$13</f>
        <v>30472.572880438951</v>
      </c>
      <c r="EF107" s="234">
        <f t="shared" si="838"/>
        <v>30548.754312640045</v>
      </c>
      <c r="EG107" s="234">
        <f t="shared" si="838"/>
        <v>30625.12619842164</v>
      </c>
      <c r="EH107" s="234">
        <f t="shared" si="838"/>
        <v>30701.689013917694</v>
      </c>
      <c r="EI107" s="234">
        <f t="shared" si="838"/>
        <v>30778.443236452484</v>
      </c>
      <c r="EJ107" s="234">
        <f t="shared" si="838"/>
        <v>30855.389344543612</v>
      </c>
      <c r="EK107" s="234">
        <f t="shared" si="838"/>
        <v>30932.527817904967</v>
      </c>
      <c r="EL107" s="234">
        <f t="shared" si="838"/>
        <v>31009.85913744973</v>
      </c>
      <c r="EM107" s="234">
        <f t="shared" si="838"/>
        <v>31087.38378529335</v>
      </c>
      <c r="EN107" s="234">
        <f t="shared" si="838"/>
        <v>31165.102244756581</v>
      </c>
      <c r="EO107" s="234">
        <f t="shared" si="838"/>
        <v>31243.015000368472</v>
      </c>
      <c r="EP107" s="234">
        <f t="shared" si="838"/>
        <v>31321.122537869389</v>
      </c>
      <c r="EQ107" s="234">
        <f t="shared" si="838"/>
        <v>31399.425344214062</v>
      </c>
      <c r="ER107" s="234">
        <f t="shared" si="838"/>
        <v>31477.923907574597</v>
      </c>
      <c r="ES107" s="234">
        <f t="shared" si="838"/>
        <v>31556.618717343532</v>
      </c>
      <c r="ET107" s="234">
        <f t="shared" si="838"/>
        <v>31635.51026413689</v>
      </c>
      <c r="EU107" s="234">
        <f t="shared" si="838"/>
        <v>31714.599039797231</v>
      </c>
      <c r="EV107" s="234">
        <f t="shared" si="838"/>
        <v>31793.88553739672</v>
      </c>
      <c r="EW107" s="234">
        <f t="shared" si="838"/>
        <v>31873.370251240216</v>
      </c>
      <c r="EX107" s="234">
        <f t="shared" si="838"/>
        <v>31953.053676868312</v>
      </c>
      <c r="EY107" s="234">
        <f t="shared" si="838"/>
        <v>32032.936311060479</v>
      </c>
      <c r="EZ107" s="234">
        <f t="shared" si="838"/>
        <v>32113.018651838127</v>
      </c>
      <c r="FA107" s="234">
        <f t="shared" si="838"/>
        <v>32193.301198467718</v>
      </c>
      <c r="FB107" s="234">
        <f t="shared" si="838"/>
        <v>32273.784451463889</v>
      </c>
      <c r="FC107" s="234">
        <f t="shared" si="838"/>
        <v>32354.468912592551</v>
      </c>
      <c r="FD107" s="234">
        <f t="shared" si="838"/>
        <v>32435.355084874027</v>
      </c>
      <c r="FE107" s="234">
        <f t="shared" si="838"/>
        <v>32516.443472586212</v>
      </c>
      <c r="FF107" s="234">
        <f t="shared" si="838"/>
        <v>32597.734581267672</v>
      </c>
      <c r="FG107" s="321"/>
      <c r="FH107" s="234">
        <f t="shared" si="828"/>
        <v>156122.29184789694</v>
      </c>
      <c r="FI107" s="234">
        <f t="shared" si="828"/>
        <v>274069.34614650719</v>
      </c>
      <c r="FJ107" s="234">
        <f t="shared" si="828"/>
        <v>282405.42757021222</v>
      </c>
      <c r="FK107" s="234">
        <f t="shared" si="828"/>
        <v>290995.05888732825</v>
      </c>
      <c r="FL107" s="234">
        <f t="shared" si="828"/>
        <v>299845.95206048846</v>
      </c>
      <c r="FM107" s="234">
        <f t="shared" si="828"/>
        <v>308966.05361904961</v>
      </c>
      <c r="FN107" s="234">
        <f t="shared" si="828"/>
        <v>318363.55179366283</v>
      </c>
      <c r="FO107" s="234">
        <f t="shared" si="828"/>
        <v>328046.88386784977</v>
      </c>
      <c r="FP107" s="234">
        <f t="shared" si="828"/>
        <v>338024.74375318451</v>
      </c>
      <c r="FQ107" s="234">
        <f t="shared" si="828"/>
        <v>348306.08979488059</v>
      </c>
      <c r="FR107" s="234">
        <f t="shared" si="828"/>
        <v>358900.15281479358</v>
      </c>
      <c r="FS107" s="234">
        <f t="shared" si="828"/>
        <v>369816.44439905934</v>
      </c>
      <c r="FT107" s="234">
        <f t="shared" si="828"/>
        <v>381064.76543780731</v>
      </c>
      <c r="FU107" s="234">
        <f t="shared" si="828"/>
        <v>162177.78650278435</v>
      </c>
      <c r="FV107" s="321"/>
    </row>
    <row r="108" spans="3:178" s="208" customFormat="1" x14ac:dyDescent="0.2">
      <c r="C108" s="208" t="s">
        <v>84</v>
      </c>
      <c r="D108" s="280"/>
      <c r="E108" s="208">
        <f t="shared" si="811"/>
        <v>7852480.1335780025</v>
      </c>
      <c r="F108" s="279">
        <f>SUM(F104:F107)</f>
        <v>0</v>
      </c>
      <c r="G108" s="208">
        <f t="shared" ref="G108:BR108" si="839">SUM(G104:G107)</f>
        <v>41219.317576169815</v>
      </c>
      <c r="H108" s="208">
        <f t="shared" si="839"/>
        <v>41322.365870110239</v>
      </c>
      <c r="I108" s="208">
        <f t="shared" si="839"/>
        <v>41425.671784785503</v>
      </c>
      <c r="J108" s="208">
        <f t="shared" si="839"/>
        <v>41529.235964247469</v>
      </c>
      <c r="K108" s="208">
        <f t="shared" si="839"/>
        <v>41633.05905415809</v>
      </c>
      <c r="L108" s="208">
        <f t="shared" si="839"/>
        <v>41737.141701793487</v>
      </c>
      <c r="M108" s="208">
        <f t="shared" si="839"/>
        <v>41841.484556047973</v>
      </c>
      <c r="N108" s="208">
        <f t="shared" si="839"/>
        <v>41946.088267438085</v>
      </c>
      <c r="O108" s="208">
        <f t="shared" si="839"/>
        <v>42050.953488106679</v>
      </c>
      <c r="P108" s="208">
        <f t="shared" si="839"/>
        <v>42156.080871826947</v>
      </c>
      <c r="Q108" s="208">
        <f t="shared" si="839"/>
        <v>42261.471074006513</v>
      </c>
      <c r="R108" s="208">
        <f t="shared" si="839"/>
        <v>42367.124751691532</v>
      </c>
      <c r="S108" s="208">
        <f t="shared" si="839"/>
        <v>42473.042563570751</v>
      </c>
      <c r="T108" s="208">
        <f t="shared" si="839"/>
        <v>42579.225169979676</v>
      </c>
      <c r="U108" s="208">
        <f t="shared" si="839"/>
        <v>42685.673232904621</v>
      </c>
      <c r="V108" s="208">
        <f t="shared" si="839"/>
        <v>42792.387415986886</v>
      </c>
      <c r="W108" s="208">
        <f t="shared" si="839"/>
        <v>42899.368384526839</v>
      </c>
      <c r="X108" s="208">
        <f t="shared" si="839"/>
        <v>43006.616805488149</v>
      </c>
      <c r="Y108" s="208">
        <f t="shared" si="839"/>
        <v>43114.133347501869</v>
      </c>
      <c r="Z108" s="208">
        <f t="shared" si="839"/>
        <v>43221.918680870622</v>
      </c>
      <c r="AA108" s="208">
        <f t="shared" si="839"/>
        <v>43329.973477572799</v>
      </c>
      <c r="AB108" s="208">
        <f t="shared" si="839"/>
        <v>43438.298411266725</v>
      </c>
      <c r="AC108" s="208">
        <f t="shared" si="839"/>
        <v>43546.89415729489</v>
      </c>
      <c r="AD108" s="208">
        <f t="shared" si="839"/>
        <v>43655.761392688117</v>
      </c>
      <c r="AE108" s="208">
        <f t="shared" si="839"/>
        <v>43764.900796169837</v>
      </c>
      <c r="AF108" s="208">
        <f t="shared" si="839"/>
        <v>43874.313048160257</v>
      </c>
      <c r="AG108" s="208">
        <f t="shared" si="839"/>
        <v>43983.998830780649</v>
      </c>
      <c r="AH108" s="208">
        <f t="shared" si="839"/>
        <v>44093.958827857605</v>
      </c>
      <c r="AI108" s="208">
        <f t="shared" si="839"/>
        <v>44204.193724927245</v>
      </c>
      <c r="AJ108" s="208">
        <f t="shared" si="839"/>
        <v>44314.704209239557</v>
      </c>
      <c r="AK108" s="208">
        <f t="shared" si="839"/>
        <v>44425.490969762657</v>
      </c>
      <c r="AL108" s="208">
        <f t="shared" si="839"/>
        <v>44536.554697187057</v>
      </c>
      <c r="AM108" s="208">
        <f t="shared" si="839"/>
        <v>44647.896083930027</v>
      </c>
      <c r="AN108" s="208">
        <f t="shared" si="839"/>
        <v>44759.515824139853</v>
      </c>
      <c r="AO108" s="208">
        <f t="shared" si="839"/>
        <v>44871.414613700195</v>
      </c>
      <c r="AP108" s="208">
        <f t="shared" si="839"/>
        <v>44983.593150234447</v>
      </c>
      <c r="AQ108" s="208">
        <f t="shared" si="839"/>
        <v>45096.052133110032</v>
      </c>
      <c r="AR108" s="208">
        <f t="shared" si="839"/>
        <v>45208.792263442803</v>
      </c>
      <c r="AS108" s="208">
        <f t="shared" si="839"/>
        <v>45321.814244101406</v>
      </c>
      <c r="AT108" s="208">
        <f t="shared" si="839"/>
        <v>45435.118779711665</v>
      </c>
      <c r="AU108" s="208">
        <f t="shared" si="839"/>
        <v>45548.706576660945</v>
      </c>
      <c r="AV108" s="208">
        <f t="shared" si="839"/>
        <v>45662.578343102592</v>
      </c>
      <c r="AW108" s="208">
        <f t="shared" si="839"/>
        <v>45776.734788960341</v>
      </c>
      <c r="AX108" s="208">
        <f t="shared" si="839"/>
        <v>45891.176625932741</v>
      </c>
      <c r="AY108" s="208">
        <f t="shared" si="839"/>
        <v>46005.904567497564</v>
      </c>
      <c r="AZ108" s="208">
        <f t="shared" si="839"/>
        <v>46120.919328916301</v>
      </c>
      <c r="BA108" s="208">
        <f t="shared" si="839"/>
        <v>46236.221627238592</v>
      </c>
      <c r="BB108" s="208">
        <f t="shared" si="839"/>
        <v>46351.812181306683</v>
      </c>
      <c r="BC108" s="208">
        <f t="shared" si="839"/>
        <v>46467.691711759944</v>
      </c>
      <c r="BD108" s="208">
        <f t="shared" si="839"/>
        <v>46583.86094103934</v>
      </c>
      <c r="BE108" s="208">
        <f t="shared" si="839"/>
        <v>46700.320593391938</v>
      </c>
      <c r="BF108" s="208">
        <f t="shared" si="839"/>
        <v>46817.071394875413</v>
      </c>
      <c r="BG108" s="208">
        <f t="shared" si="839"/>
        <v>46934.114073362602</v>
      </c>
      <c r="BH108" s="208">
        <f t="shared" si="839"/>
        <v>47051.449358546015</v>
      </c>
      <c r="BI108" s="208">
        <f t="shared" si="839"/>
        <v>47169.077981942377</v>
      </c>
      <c r="BJ108" s="208">
        <f t="shared" si="839"/>
        <v>47287.000676897223</v>
      </c>
      <c r="BK108" s="208">
        <f t="shared" si="839"/>
        <v>47405.218178589465</v>
      </c>
      <c r="BL108" s="208">
        <f t="shared" si="839"/>
        <v>47523.731224035932</v>
      </c>
      <c r="BM108" s="208">
        <f t="shared" si="839"/>
        <v>47642.540552096027</v>
      </c>
      <c r="BN108" s="208">
        <f t="shared" si="839"/>
        <v>47761.646903476256</v>
      </c>
      <c r="BO108" s="208">
        <f t="shared" si="839"/>
        <v>47881.051020734943</v>
      </c>
      <c r="BP108" s="208">
        <f t="shared" si="839"/>
        <v>48000.75364828678</v>
      </c>
      <c r="BQ108" s="208">
        <f t="shared" si="839"/>
        <v>48120.755532407493</v>
      </c>
      <c r="BR108" s="208">
        <f t="shared" si="839"/>
        <v>48241.057421238511</v>
      </c>
      <c r="BS108" s="208">
        <f t="shared" ref="BS108:ED108" si="840">SUM(BS104:BS107)</f>
        <v>48361.660064791606</v>
      </c>
      <c r="BT108" s="208">
        <f t="shared" si="840"/>
        <v>48482.564214953578</v>
      </c>
      <c r="BU108" s="208">
        <f t="shared" si="840"/>
        <v>48603.770625490957</v>
      </c>
      <c r="BV108" s="208">
        <f t="shared" si="840"/>
        <v>48725.280052054673</v>
      </c>
      <c r="BW108" s="208">
        <f t="shared" si="840"/>
        <v>48847.093252184815</v>
      </c>
      <c r="BX108" s="208">
        <f t="shared" si="840"/>
        <v>48969.21098531528</v>
      </c>
      <c r="BY108" s="208">
        <f t="shared" si="840"/>
        <v>49091.634012778566</v>
      </c>
      <c r="BZ108" s="208">
        <f t="shared" si="840"/>
        <v>49214.363097810507</v>
      </c>
      <c r="CA108" s="208">
        <f t="shared" si="840"/>
        <v>49337.399005555038</v>
      </c>
      <c r="CB108" s="208">
        <f t="shared" si="840"/>
        <v>49460.742503068919</v>
      </c>
      <c r="CC108" s="208">
        <f t="shared" si="840"/>
        <v>49584.394359326587</v>
      </c>
      <c r="CD108" s="208">
        <f t="shared" si="840"/>
        <v>49708.355345224903</v>
      </c>
      <c r="CE108" s="208">
        <f t="shared" si="840"/>
        <v>49832.626233587958</v>
      </c>
      <c r="CF108" s="208">
        <f t="shared" si="840"/>
        <v>49957.207799171927</v>
      </c>
      <c r="CG108" s="208">
        <f t="shared" si="840"/>
        <v>50082.10081866986</v>
      </c>
      <c r="CH108" s="208">
        <f t="shared" si="840"/>
        <v>50207.306070716528</v>
      </c>
      <c r="CI108" s="208">
        <f t="shared" si="840"/>
        <v>50332.824335893325</v>
      </c>
      <c r="CJ108" s="208">
        <f t="shared" si="840"/>
        <v>50458.656396733044</v>
      </c>
      <c r="CK108" s="208">
        <f t="shared" si="840"/>
        <v>50584.80303772488</v>
      </c>
      <c r="CL108" s="208">
        <f t="shared" si="840"/>
        <v>50711.265045319189</v>
      </c>
      <c r="CM108" s="208">
        <f t="shared" si="840"/>
        <v>50838.043207932496</v>
      </c>
      <c r="CN108" s="208">
        <f t="shared" si="840"/>
        <v>50965.138315952325</v>
      </c>
      <c r="CO108" s="208">
        <f t="shared" si="840"/>
        <v>51092.551161742202</v>
      </c>
      <c r="CP108" s="208">
        <f t="shared" si="840"/>
        <v>51220.282539646549</v>
      </c>
      <c r="CQ108" s="208">
        <f t="shared" si="840"/>
        <v>51348.333245995665</v>
      </c>
      <c r="CR108" s="208">
        <f t="shared" si="840"/>
        <v>51476.704079110641</v>
      </c>
      <c r="CS108" s="208">
        <f t="shared" si="840"/>
        <v>51605.395839308418</v>
      </c>
      <c r="CT108" s="208">
        <f t="shared" si="840"/>
        <v>51734.409328906695</v>
      </c>
      <c r="CU108" s="208">
        <f t="shared" si="840"/>
        <v>51863.745352228943</v>
      </c>
      <c r="CV108" s="208">
        <f t="shared" si="840"/>
        <v>51993.404715609518</v>
      </c>
      <c r="CW108" s="208">
        <f t="shared" si="840"/>
        <v>52123.388227398544</v>
      </c>
      <c r="CX108" s="208">
        <f t="shared" si="840"/>
        <v>52253.69669796704</v>
      </c>
      <c r="CY108" s="208">
        <f t="shared" si="840"/>
        <v>52384.330939711959</v>
      </c>
      <c r="CZ108" s="208">
        <f t="shared" si="840"/>
        <v>52515.29176706123</v>
      </c>
      <c r="DA108" s="208">
        <f t="shared" si="840"/>
        <v>52646.579996478875</v>
      </c>
      <c r="DB108" s="208">
        <f t="shared" si="840"/>
        <v>52778.196446470072</v>
      </c>
      <c r="DC108" s="208">
        <f t="shared" si="840"/>
        <v>52910.141937586246</v>
      </c>
      <c r="DD108" s="208">
        <f t="shared" si="840"/>
        <v>53042.417292430211</v>
      </c>
      <c r="DE108" s="208">
        <f t="shared" si="840"/>
        <v>53175.023335661288</v>
      </c>
      <c r="DF108" s="208">
        <f t="shared" si="840"/>
        <v>53307.960894000433</v>
      </c>
      <c r="DG108" s="208">
        <f t="shared" si="840"/>
        <v>53441.230796235439</v>
      </c>
      <c r="DH108" s="208">
        <f t="shared" si="840"/>
        <v>53574.833873226024</v>
      </c>
      <c r="DI108" s="208">
        <f t="shared" si="840"/>
        <v>53708.770957909088</v>
      </c>
      <c r="DJ108" s="208">
        <f t="shared" si="840"/>
        <v>53843.042885303854</v>
      </c>
      <c r="DK108" s="208">
        <f t="shared" si="840"/>
        <v>53977.650492517118</v>
      </c>
      <c r="DL108" s="208">
        <f t="shared" si="840"/>
        <v>54112.594618748408</v>
      </c>
      <c r="DM108" s="208">
        <f t="shared" si="840"/>
        <v>54247.876105295276</v>
      </c>
      <c r="DN108" s="208">
        <f t="shared" si="840"/>
        <v>54383.495795558505</v>
      </c>
      <c r="DO108" s="208">
        <f t="shared" si="840"/>
        <v>54519.454535047393</v>
      </c>
      <c r="DP108" s="208">
        <f t="shared" si="840"/>
        <v>54655.753171385011</v>
      </c>
      <c r="DQ108" s="208">
        <f t="shared" si="840"/>
        <v>54792.392554313468</v>
      </c>
      <c r="DR108" s="208">
        <f t="shared" si="840"/>
        <v>54929.373535699247</v>
      </c>
      <c r="DS108" s="208">
        <f t="shared" si="840"/>
        <v>55066.696969538491</v>
      </c>
      <c r="DT108" s="208">
        <f t="shared" si="840"/>
        <v>55204.363711962331</v>
      </c>
      <c r="DU108" s="208">
        <f t="shared" si="840"/>
        <v>55342.374621242241</v>
      </c>
      <c r="DV108" s="208">
        <f t="shared" si="840"/>
        <v>55480.730557795352</v>
      </c>
      <c r="DW108" s="208">
        <f t="shared" si="840"/>
        <v>55619.432384189837</v>
      </c>
      <c r="DX108" s="208">
        <f t="shared" si="840"/>
        <v>55758.480965150302</v>
      </c>
      <c r="DY108" s="208">
        <f t="shared" si="840"/>
        <v>55897.877167563187</v>
      </c>
      <c r="DZ108" s="208">
        <f t="shared" si="840"/>
        <v>56037.621860482082</v>
      </c>
      <c r="EA108" s="208">
        <f t="shared" si="840"/>
        <v>56177.715915133289</v>
      </c>
      <c r="EB108" s="208">
        <f t="shared" si="840"/>
        <v>56318.160204921121</v>
      </c>
      <c r="EC108" s="208">
        <f t="shared" si="840"/>
        <v>56458.955605433417</v>
      </c>
      <c r="ED108" s="208">
        <f t="shared" si="840"/>
        <v>56600.102994446992</v>
      </c>
      <c r="EE108" s="208">
        <f t="shared" ref="EE108:FF108" si="841">SUM(EE104:EE107)</f>
        <v>56741.603251933113</v>
      </c>
      <c r="EF108" s="208">
        <f t="shared" si="841"/>
        <v>56883.457260062947</v>
      </c>
      <c r="EG108" s="208">
        <f t="shared" si="841"/>
        <v>57025.665903213092</v>
      </c>
      <c r="EH108" s="208">
        <f t="shared" si="841"/>
        <v>57168.230067971119</v>
      </c>
      <c r="EI108" s="208">
        <f t="shared" si="841"/>
        <v>57311.150643141045</v>
      </c>
      <c r="EJ108" s="208">
        <f t="shared" si="841"/>
        <v>57454.428519748893</v>
      </c>
      <c r="EK108" s="208">
        <f t="shared" si="841"/>
        <v>57598.064591048256</v>
      </c>
      <c r="EL108" s="208">
        <f t="shared" si="841"/>
        <v>57742.059752525878</v>
      </c>
      <c r="EM108" s="208">
        <f t="shared" si="841"/>
        <v>57886.414901907185</v>
      </c>
      <c r="EN108" s="208">
        <f t="shared" si="841"/>
        <v>58031.130939161958</v>
      </c>
      <c r="EO108" s="208">
        <f t="shared" si="841"/>
        <v>58176.208766509852</v>
      </c>
      <c r="EP108" s="208">
        <f t="shared" si="841"/>
        <v>58321.649288426124</v>
      </c>
      <c r="EQ108" s="208">
        <f t="shared" si="841"/>
        <v>58467.453411647184</v>
      </c>
      <c r="ER108" s="208">
        <f t="shared" si="841"/>
        <v>58613.622045176307</v>
      </c>
      <c r="ES108" s="208">
        <f t="shared" si="841"/>
        <v>58760.156100289241</v>
      </c>
      <c r="ET108" s="208">
        <f t="shared" si="841"/>
        <v>58907.056490539966</v>
      </c>
      <c r="EU108" s="208">
        <f t="shared" si="841"/>
        <v>59054.324131766305</v>
      </c>
      <c r="EV108" s="208">
        <f t="shared" si="841"/>
        <v>59201.959942095724</v>
      </c>
      <c r="EW108" s="208">
        <f t="shared" si="841"/>
        <v>59349.964841950961</v>
      </c>
      <c r="EX108" s="208">
        <f t="shared" si="841"/>
        <v>59498.339754055836</v>
      </c>
      <c r="EY108" s="208">
        <f t="shared" si="841"/>
        <v>59647.085603440966</v>
      </c>
      <c r="EZ108" s="208">
        <f t="shared" si="841"/>
        <v>59796.203317449566</v>
      </c>
      <c r="FA108" s="208">
        <f t="shared" si="841"/>
        <v>59945.693825743183</v>
      </c>
      <c r="FB108" s="208">
        <f t="shared" si="841"/>
        <v>60095.558060307536</v>
      </c>
      <c r="FC108" s="208">
        <f t="shared" si="841"/>
        <v>60245.796955458311</v>
      </c>
      <c r="FD108" s="208">
        <f t="shared" si="841"/>
        <v>60396.411447846949</v>
      </c>
      <c r="FE108" s="208">
        <f t="shared" si="841"/>
        <v>60547.402476466566</v>
      </c>
      <c r="FF108" s="208">
        <f t="shared" si="841"/>
        <v>60698.770982657719</v>
      </c>
      <c r="FG108" s="288"/>
      <c r="FH108" s="208">
        <f t="shared" si="828"/>
        <v>290708.27650731255</v>
      </c>
      <c r="FI108" s="208">
        <f t="shared" si="828"/>
        <v>510332.16537302849</v>
      </c>
      <c r="FJ108" s="208">
        <f t="shared" si="828"/>
        <v>525854.40652659105</v>
      </c>
      <c r="FK108" s="208">
        <f t="shared" si="828"/>
        <v>541848.77149828128</v>
      </c>
      <c r="FL108" s="208">
        <f t="shared" si="828"/>
        <v>558329.62038580945</v>
      </c>
      <c r="FM108" s="208">
        <f t="shared" si="828"/>
        <v>575311.75006299885</v>
      </c>
      <c r="FN108" s="208">
        <f t="shared" si="828"/>
        <v>592810.40746474906</v>
      </c>
      <c r="FO108" s="208">
        <f t="shared" si="828"/>
        <v>610841.30327607528</v>
      </c>
      <c r="FP108" s="208">
        <f t="shared" si="828"/>
        <v>629420.62603751058</v>
      </c>
      <c r="FQ108" s="208">
        <f t="shared" si="828"/>
        <v>648565.05667954008</v>
      </c>
      <c r="FR108" s="208">
        <f t="shared" si="828"/>
        <v>668291.78349911096</v>
      </c>
      <c r="FS108" s="208">
        <f t="shared" si="828"/>
        <v>688618.5175916705</v>
      </c>
      <c r="FT108" s="208">
        <f t="shared" si="828"/>
        <v>709563.50875258143</v>
      </c>
      <c r="FU108" s="208">
        <f t="shared" si="828"/>
        <v>301983.93992273707</v>
      </c>
      <c r="FV108" s="288"/>
    </row>
    <row r="109" spans="3:178" x14ac:dyDescent="0.2">
      <c r="E109" s="231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32"/>
      <c r="AQ109" s="232"/>
      <c r="AR109" s="232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232"/>
      <c r="BH109" s="232"/>
      <c r="BI109" s="232"/>
      <c r="BJ109" s="232"/>
      <c r="BK109" s="232"/>
      <c r="BL109" s="232"/>
      <c r="BM109" s="232"/>
      <c r="BN109" s="232"/>
      <c r="BO109" s="232"/>
      <c r="BP109" s="232"/>
      <c r="BQ109" s="232"/>
      <c r="BR109" s="232"/>
      <c r="BS109" s="232"/>
      <c r="BT109" s="232"/>
      <c r="BU109" s="232"/>
      <c r="BV109" s="232"/>
      <c r="BW109" s="232"/>
      <c r="BX109" s="232"/>
      <c r="BY109" s="232"/>
      <c r="BZ109" s="232"/>
      <c r="CA109" s="232"/>
      <c r="CB109" s="232"/>
      <c r="CC109" s="232"/>
      <c r="CD109" s="232"/>
      <c r="CE109" s="232"/>
      <c r="CF109" s="232"/>
      <c r="CG109" s="232"/>
      <c r="CH109" s="232"/>
      <c r="CI109" s="232"/>
      <c r="CJ109" s="232"/>
      <c r="CK109" s="232"/>
      <c r="CL109" s="232"/>
      <c r="CM109" s="232"/>
      <c r="CN109" s="232"/>
      <c r="CO109" s="232"/>
      <c r="CP109" s="232"/>
      <c r="CQ109" s="232"/>
      <c r="CR109" s="232"/>
      <c r="CS109" s="232"/>
      <c r="CT109" s="232"/>
      <c r="CU109" s="232"/>
      <c r="CV109" s="232"/>
      <c r="CW109" s="232"/>
      <c r="CX109" s="232"/>
      <c r="CY109" s="232"/>
      <c r="CZ109" s="232"/>
      <c r="DA109" s="232"/>
      <c r="DB109" s="232"/>
      <c r="DC109" s="232"/>
      <c r="DD109" s="232"/>
      <c r="DE109" s="232"/>
      <c r="DF109" s="232"/>
      <c r="DG109" s="232"/>
      <c r="DH109" s="232"/>
      <c r="DI109" s="232"/>
      <c r="DJ109" s="232"/>
      <c r="DK109" s="232"/>
      <c r="DL109" s="232"/>
      <c r="DM109" s="232"/>
      <c r="DN109" s="232"/>
      <c r="DO109" s="232"/>
      <c r="DP109" s="232"/>
      <c r="DQ109" s="232"/>
      <c r="DR109" s="232"/>
      <c r="DS109" s="232"/>
      <c r="DT109" s="232"/>
      <c r="DU109" s="232"/>
      <c r="DV109" s="232"/>
      <c r="DW109" s="232"/>
      <c r="DX109" s="232"/>
      <c r="DY109" s="232"/>
      <c r="DZ109" s="232"/>
      <c r="EA109" s="232"/>
      <c r="EB109" s="232"/>
      <c r="EC109" s="232"/>
      <c r="ED109" s="232"/>
      <c r="EE109" s="232"/>
      <c r="EF109" s="232"/>
      <c r="EG109" s="232"/>
      <c r="EH109" s="232"/>
      <c r="EI109" s="232"/>
      <c r="EJ109" s="232"/>
      <c r="EK109" s="232"/>
      <c r="EL109" s="232"/>
      <c r="EM109" s="232"/>
      <c r="EN109" s="232"/>
      <c r="EO109" s="232"/>
      <c r="EP109" s="232"/>
      <c r="EQ109" s="232"/>
      <c r="ER109" s="232"/>
      <c r="ES109" s="232"/>
      <c r="ET109" s="232"/>
      <c r="EU109" s="232"/>
      <c r="EV109" s="232"/>
      <c r="EW109" s="232"/>
      <c r="EX109" s="232"/>
      <c r="EY109" s="232"/>
      <c r="EZ109" s="232"/>
      <c r="FA109" s="232"/>
      <c r="FB109" s="232"/>
      <c r="FC109" s="232"/>
      <c r="FD109" s="232"/>
      <c r="FE109" s="232"/>
      <c r="FF109" s="232"/>
      <c r="FG109" s="321"/>
      <c r="FH109" s="232"/>
      <c r="FI109" s="232"/>
      <c r="FJ109" s="232"/>
      <c r="FK109" s="232"/>
      <c r="FL109" s="232"/>
      <c r="FM109" s="232"/>
      <c r="FN109" s="232"/>
      <c r="FO109" s="232"/>
      <c r="FP109" s="232"/>
      <c r="FQ109" s="232"/>
      <c r="FR109" s="232"/>
      <c r="FS109" s="232"/>
      <c r="FT109" s="232"/>
      <c r="FU109" s="232"/>
      <c r="FV109" s="321"/>
    </row>
    <row r="110" spans="3:178" s="277" customFormat="1" x14ac:dyDescent="0.2">
      <c r="C110" s="274" t="s">
        <v>73</v>
      </c>
      <c r="D110" s="274"/>
      <c r="E110" s="276">
        <f>SUM(F110:FF110)</f>
        <v>12627008.07145866</v>
      </c>
      <c r="F110" s="274">
        <f>SUM(F101,F108)</f>
        <v>0</v>
      </c>
      <c r="G110" s="274">
        <f t="shared" ref="G110:BR110" si="842">SUM(G101,G108)</f>
        <v>66281.817576169822</v>
      </c>
      <c r="H110" s="274">
        <f t="shared" si="842"/>
        <v>66447.522120110239</v>
      </c>
      <c r="I110" s="274">
        <f t="shared" si="842"/>
        <v>66613.640925410495</v>
      </c>
      <c r="J110" s="274">
        <f t="shared" si="842"/>
        <v>66780.175027724021</v>
      </c>
      <c r="K110" s="274">
        <f t="shared" si="842"/>
        <v>66947.125465293342</v>
      </c>
      <c r="L110" s="274">
        <f t="shared" si="842"/>
        <v>67114.493278956579</v>
      </c>
      <c r="M110" s="274">
        <f t="shared" si="842"/>
        <v>67282.279512153968</v>
      </c>
      <c r="N110" s="274">
        <f t="shared" si="842"/>
        <v>67450.485210934334</v>
      </c>
      <c r="O110" s="274">
        <f t="shared" si="842"/>
        <v>67619.111423961687</v>
      </c>
      <c r="P110" s="274">
        <f t="shared" si="842"/>
        <v>67788.15920252158</v>
      </c>
      <c r="Q110" s="274">
        <f t="shared" si="842"/>
        <v>67957.629600527885</v>
      </c>
      <c r="R110" s="274">
        <f t="shared" si="842"/>
        <v>68127.523674529206</v>
      </c>
      <c r="S110" s="274">
        <f t="shared" si="842"/>
        <v>68297.842483715518</v>
      </c>
      <c r="T110" s="274">
        <f t="shared" si="842"/>
        <v>68468.587089924797</v>
      </c>
      <c r="U110" s="274">
        <f t="shared" si="842"/>
        <v>68639.758557649606</v>
      </c>
      <c r="V110" s="274">
        <f t="shared" si="842"/>
        <v>68811.357954043735</v>
      </c>
      <c r="W110" s="274">
        <f t="shared" si="842"/>
        <v>68983.38634892882</v>
      </c>
      <c r="X110" s="274">
        <f t="shared" si="842"/>
        <v>69155.844814801123</v>
      </c>
      <c r="Y110" s="274">
        <f t="shared" si="842"/>
        <v>69328.734426838142</v>
      </c>
      <c r="Z110" s="274">
        <f t="shared" si="842"/>
        <v>69502.056262905244</v>
      </c>
      <c r="AA110" s="274">
        <f t="shared" si="842"/>
        <v>69675.811403562489</v>
      </c>
      <c r="AB110" s="274">
        <f t="shared" si="842"/>
        <v>69850.000932071387</v>
      </c>
      <c r="AC110" s="274">
        <f t="shared" si="842"/>
        <v>70024.625934401556</v>
      </c>
      <c r="AD110" s="274">
        <f t="shared" si="842"/>
        <v>70199.687499237552</v>
      </c>
      <c r="AE110" s="274">
        <f t="shared" si="842"/>
        <v>70375.186717985649</v>
      </c>
      <c r="AF110" s="274">
        <f t="shared" si="842"/>
        <v>70551.124684780603</v>
      </c>
      <c r="AG110" s="274">
        <f t="shared" si="842"/>
        <v>70727.502496492554</v>
      </c>
      <c r="AH110" s="274">
        <f t="shared" si="842"/>
        <v>70904.321252733789</v>
      </c>
      <c r="AI110" s="274">
        <f t="shared" si="842"/>
        <v>71081.582055865612</v>
      </c>
      <c r="AJ110" s="274">
        <f t="shared" si="842"/>
        <v>71259.286011005257</v>
      </c>
      <c r="AK110" s="274">
        <f t="shared" si="842"/>
        <v>71437.434226032768</v>
      </c>
      <c r="AL110" s="274">
        <f t="shared" si="842"/>
        <v>71616.027811597844</v>
      </c>
      <c r="AM110" s="274">
        <f t="shared" si="842"/>
        <v>71795.067881126844</v>
      </c>
      <c r="AN110" s="274">
        <f t="shared" si="842"/>
        <v>71974.555550829653</v>
      </c>
      <c r="AO110" s="274">
        <f t="shared" si="842"/>
        <v>72154.491939706728</v>
      </c>
      <c r="AP110" s="274">
        <f t="shared" si="842"/>
        <v>72334.878169556003</v>
      </c>
      <c r="AQ110" s="274">
        <f t="shared" si="842"/>
        <v>72515.715364979886</v>
      </c>
      <c r="AR110" s="274">
        <f t="shared" si="842"/>
        <v>72697.004653392331</v>
      </c>
      <c r="AS110" s="274">
        <f t="shared" si="842"/>
        <v>72878.747165025808</v>
      </c>
      <c r="AT110" s="274">
        <f t="shared" si="842"/>
        <v>73060.94403293838</v>
      </c>
      <c r="AU110" s="274">
        <f t="shared" si="842"/>
        <v>73243.596393020722</v>
      </c>
      <c r="AV110" s="274">
        <f t="shared" si="842"/>
        <v>73426.70538400326</v>
      </c>
      <c r="AW110" s="274">
        <f t="shared" si="842"/>
        <v>73610.272147463256</v>
      </c>
      <c r="AX110" s="274">
        <f t="shared" si="842"/>
        <v>73794.297827831906</v>
      </c>
      <c r="AY110" s="274">
        <f t="shared" si="842"/>
        <v>73978.783572401473</v>
      </c>
      <c r="AZ110" s="274">
        <f t="shared" si="842"/>
        <v>74163.730531332461</v>
      </c>
      <c r="BA110" s="274">
        <f t="shared" si="842"/>
        <v>74349.139857660804</v>
      </c>
      <c r="BB110" s="274">
        <f t="shared" si="842"/>
        <v>74535.012707304937</v>
      </c>
      <c r="BC110" s="274">
        <f t="shared" si="842"/>
        <v>74721.350239073217</v>
      </c>
      <c r="BD110" s="274">
        <f t="shared" si="842"/>
        <v>74908.153614670882</v>
      </c>
      <c r="BE110" s="274">
        <f t="shared" si="842"/>
        <v>75095.423998707556</v>
      </c>
      <c r="BF110" s="274">
        <f t="shared" si="842"/>
        <v>75283.162558704324</v>
      </c>
      <c r="BG110" s="274">
        <f t="shared" si="842"/>
        <v>75471.370465101078</v>
      </c>
      <c r="BH110" s="274">
        <f t="shared" si="842"/>
        <v>75660.048891263839</v>
      </c>
      <c r="BI110" s="274">
        <f t="shared" si="842"/>
        <v>75849.199013491991</v>
      </c>
      <c r="BJ110" s="274">
        <f t="shared" si="842"/>
        <v>76038.82201102571</v>
      </c>
      <c r="BK110" s="274">
        <f t="shared" si="842"/>
        <v>76228.919066053277</v>
      </c>
      <c r="BL110" s="274">
        <f t="shared" si="842"/>
        <v>76419.491363718393</v>
      </c>
      <c r="BM110" s="274">
        <f t="shared" si="842"/>
        <v>76610.540092127689</v>
      </c>
      <c r="BN110" s="274">
        <f t="shared" si="842"/>
        <v>76802.066442358017</v>
      </c>
      <c r="BO110" s="274">
        <f t="shared" si="842"/>
        <v>76994.071608463899</v>
      </c>
      <c r="BP110" s="274">
        <f t="shared" si="842"/>
        <v>77186.556787485039</v>
      </c>
      <c r="BQ110" s="274">
        <f t="shared" si="842"/>
        <v>77379.523179453754</v>
      </c>
      <c r="BR110" s="274">
        <f t="shared" si="842"/>
        <v>77572.971987402387</v>
      </c>
      <c r="BS110" s="274">
        <f t="shared" ref="BS110:ED110" si="843">SUM(BS101,BS108)</f>
        <v>77766.904417370883</v>
      </c>
      <c r="BT110" s="274">
        <f t="shared" si="843"/>
        <v>77961.321678414301</v>
      </c>
      <c r="BU110" s="274">
        <f t="shared" si="843"/>
        <v>78156.224982610336</v>
      </c>
      <c r="BV110" s="274">
        <f t="shared" si="843"/>
        <v>78351.615545066845</v>
      </c>
      <c r="BW110" s="274">
        <f t="shared" si="843"/>
        <v>78547.494583929525</v>
      </c>
      <c r="BX110" s="274">
        <f t="shared" si="843"/>
        <v>78743.863320389341</v>
      </c>
      <c r="BY110" s="274">
        <f t="shared" si="843"/>
        <v>78940.722978690319</v>
      </c>
      <c r="BZ110" s="274">
        <f t="shared" si="843"/>
        <v>79138.074786137033</v>
      </c>
      <c r="CA110" s="274">
        <f t="shared" si="843"/>
        <v>79335.919973102384</v>
      </c>
      <c r="CB110" s="274">
        <f t="shared" si="843"/>
        <v>79534.259773035126</v>
      </c>
      <c r="CC110" s="274">
        <f t="shared" si="843"/>
        <v>79733.095422467712</v>
      </c>
      <c r="CD110" s="274">
        <f t="shared" si="843"/>
        <v>79932.428161023883</v>
      </c>
      <c r="CE110" s="274">
        <f t="shared" si="843"/>
        <v>80132.259231426433</v>
      </c>
      <c r="CF110" s="274">
        <f t="shared" si="843"/>
        <v>80332.589879505002</v>
      </c>
      <c r="CG110" s="274">
        <f t="shared" si="843"/>
        <v>80533.421354203747</v>
      </c>
      <c r="CH110" s="274">
        <f t="shared" si="843"/>
        <v>80734.75490758926</v>
      </c>
      <c r="CI110" s="274">
        <f t="shared" si="843"/>
        <v>80936.591794858236</v>
      </c>
      <c r="CJ110" s="274">
        <f t="shared" si="843"/>
        <v>81138.933274345371</v>
      </c>
      <c r="CK110" s="274">
        <f t="shared" si="843"/>
        <v>81341.78060753124</v>
      </c>
      <c r="CL110" s="274">
        <f t="shared" si="843"/>
        <v>81545.135059050066</v>
      </c>
      <c r="CM110" s="274">
        <f t="shared" si="843"/>
        <v>81748.997896697692</v>
      </c>
      <c r="CN110" s="274">
        <f t="shared" si="843"/>
        <v>81953.370391439428</v>
      </c>
      <c r="CO110" s="274">
        <f t="shared" si="843"/>
        <v>82158.253817418023</v>
      </c>
      <c r="CP110" s="274">
        <f t="shared" si="843"/>
        <v>82363.649451961566</v>
      </c>
      <c r="CQ110" s="274">
        <f t="shared" si="843"/>
        <v>82569.558575591465</v>
      </c>
      <c r="CR110" s="274">
        <f t="shared" si="843"/>
        <v>82775.982472030417</v>
      </c>
      <c r="CS110" s="274">
        <f t="shared" si="843"/>
        <v>82982.922428210499</v>
      </c>
      <c r="CT110" s="274">
        <f t="shared" si="843"/>
        <v>83190.379734281029</v>
      </c>
      <c r="CU110" s="274">
        <f t="shared" si="843"/>
        <v>83398.355683616712</v>
      </c>
      <c r="CV110" s="274">
        <f t="shared" si="843"/>
        <v>83606.851572825763</v>
      </c>
      <c r="CW110" s="274">
        <f t="shared" si="843"/>
        <v>83815.868701757834</v>
      </c>
      <c r="CX110" s="274">
        <f t="shared" si="843"/>
        <v>84025.408373512211</v>
      </c>
      <c r="CY110" s="274">
        <f t="shared" si="843"/>
        <v>84235.471894446004</v>
      </c>
      <c r="CZ110" s="274">
        <f t="shared" si="843"/>
        <v>84446.060574182105</v>
      </c>
      <c r="DA110" s="274">
        <f t="shared" si="843"/>
        <v>84657.175725617533</v>
      </c>
      <c r="DB110" s="274">
        <f t="shared" si="843"/>
        <v>84868.818664931576</v>
      </c>
      <c r="DC110" s="274">
        <f t="shared" si="843"/>
        <v>85080.990711593913</v>
      </c>
      <c r="DD110" s="274">
        <f t="shared" si="843"/>
        <v>85293.693188372883</v>
      </c>
      <c r="DE110" s="274">
        <f t="shared" si="843"/>
        <v>85506.927421343833</v>
      </c>
      <c r="DF110" s="274">
        <f t="shared" si="843"/>
        <v>85720.694739897182</v>
      </c>
      <c r="DG110" s="274">
        <f t="shared" si="843"/>
        <v>85934.996476746936</v>
      </c>
      <c r="DH110" s="274">
        <f t="shared" si="843"/>
        <v>86149.833967938786</v>
      </c>
      <c r="DI110" s="274">
        <f t="shared" si="843"/>
        <v>86365.208552858618</v>
      </c>
      <c r="DJ110" s="274">
        <f t="shared" si="843"/>
        <v>86581.121574240766</v>
      </c>
      <c r="DK110" s="274">
        <f t="shared" si="843"/>
        <v>86797.574378176374</v>
      </c>
      <c r="DL110" s="274">
        <f t="shared" si="843"/>
        <v>87014.568314121818</v>
      </c>
      <c r="DM110" s="274">
        <f t="shared" si="843"/>
        <v>87232.104734907101</v>
      </c>
      <c r="DN110" s="274">
        <f t="shared" si="843"/>
        <v>87450.18499674437</v>
      </c>
      <c r="DO110" s="274">
        <f t="shared" si="843"/>
        <v>87668.810459236207</v>
      </c>
      <c r="DP110" s="274">
        <f t="shared" si="843"/>
        <v>87887.982485384302</v>
      </c>
      <c r="DQ110" s="274">
        <f t="shared" si="843"/>
        <v>88107.70244159775</v>
      </c>
      <c r="DR110" s="274">
        <f t="shared" si="843"/>
        <v>88327.971697701752</v>
      </c>
      <c r="DS110" s="274">
        <f t="shared" si="843"/>
        <v>88548.791626945997</v>
      </c>
      <c r="DT110" s="274">
        <f t="shared" si="843"/>
        <v>88770.163606013346</v>
      </c>
      <c r="DU110" s="274">
        <f t="shared" si="843"/>
        <v>88992.089015028381</v>
      </c>
      <c r="DV110" s="274">
        <f t="shared" si="843"/>
        <v>89214.569237565971</v>
      </c>
      <c r="DW110" s="274">
        <f t="shared" si="843"/>
        <v>89437.605660659872</v>
      </c>
      <c r="DX110" s="274">
        <f t="shared" si="843"/>
        <v>89661.199674811505</v>
      </c>
      <c r="DY110" s="274">
        <f t="shared" si="843"/>
        <v>89885.352673998539</v>
      </c>
      <c r="DZ110" s="274">
        <f t="shared" si="843"/>
        <v>90110.066055683536</v>
      </c>
      <c r="EA110" s="274">
        <f t="shared" si="843"/>
        <v>90335.341220822738</v>
      </c>
      <c r="EB110" s="274">
        <f t="shared" si="843"/>
        <v>90561.179573874804</v>
      </c>
      <c r="EC110" s="274">
        <f t="shared" si="843"/>
        <v>90787.582522809476</v>
      </c>
      <c r="ED110" s="274">
        <f t="shared" si="843"/>
        <v>91014.55147911649</v>
      </c>
      <c r="EE110" s="274">
        <f t="shared" ref="EE110:FC110" si="844">SUM(EE101,EE108)</f>
        <v>91242.087857814273</v>
      </c>
      <c r="EF110" s="274">
        <f t="shared" si="844"/>
        <v>91470.193077458811</v>
      </c>
      <c r="EG110" s="274">
        <f t="shared" si="844"/>
        <v>91698.868560152448</v>
      </c>
      <c r="EH110" s="274">
        <f t="shared" si="844"/>
        <v>91928.115731552825</v>
      </c>
      <c r="EI110" s="274">
        <f t="shared" si="844"/>
        <v>92157.936020881694</v>
      </c>
      <c r="EJ110" s="274">
        <f t="shared" si="844"/>
        <v>92388.330860933886</v>
      </c>
      <c r="EK110" s="274">
        <f t="shared" si="844"/>
        <v>92619.301688086212</v>
      </c>
      <c r="EL110" s="274">
        <f t="shared" si="844"/>
        <v>92850.849942306435</v>
      </c>
      <c r="EM110" s="274">
        <f t="shared" si="844"/>
        <v>93082.977067162166</v>
      </c>
      <c r="EN110" s="274">
        <f t="shared" si="844"/>
        <v>93315.684509830084</v>
      </c>
      <c r="EO110" s="274">
        <f t="shared" si="844"/>
        <v>93548.973721104645</v>
      </c>
      <c r="EP110" s="274">
        <f t="shared" si="844"/>
        <v>93782.846155407402</v>
      </c>
      <c r="EQ110" s="274">
        <f t="shared" si="844"/>
        <v>94017.303270795921</v>
      </c>
      <c r="ER110" s="274">
        <f t="shared" si="844"/>
        <v>94252.346528972907</v>
      </c>
      <c r="ES110" s="274">
        <f t="shared" si="844"/>
        <v>94487.97739529534</v>
      </c>
      <c r="ET110" s="274">
        <f t="shared" si="844"/>
        <v>94724.197338783575</v>
      </c>
      <c r="EU110" s="274">
        <f t="shared" si="844"/>
        <v>94961.007832130534</v>
      </c>
      <c r="EV110" s="274">
        <f t="shared" si="844"/>
        <v>95198.41035171086</v>
      </c>
      <c r="EW110" s="274">
        <f t="shared" si="844"/>
        <v>95436.406377590116</v>
      </c>
      <c r="EX110" s="274">
        <f t="shared" si="844"/>
        <v>95674.997393534097</v>
      </c>
      <c r="EY110" s="274">
        <f t="shared" si="844"/>
        <v>95914.184887017938</v>
      </c>
      <c r="EZ110" s="274">
        <f t="shared" si="844"/>
        <v>96153.97034923546</v>
      </c>
      <c r="FA110" s="274">
        <f t="shared" si="844"/>
        <v>96394.355275108537</v>
      </c>
      <c r="FB110" s="274">
        <f t="shared" si="844"/>
        <v>96635.341163296296</v>
      </c>
      <c r="FC110" s="274">
        <f t="shared" si="844"/>
        <v>96876.929516204546</v>
      </c>
      <c r="FD110" s="274">
        <f t="shared" ref="FD110:FE110" si="845">SUM(FD101,FD108)</f>
        <v>97119.121839995045</v>
      </c>
      <c r="FE110" s="274">
        <f t="shared" si="845"/>
        <v>97361.919644595037</v>
      </c>
      <c r="FF110" s="274">
        <f t="shared" ref="FF110" si="846">SUM(FF101,FF108)</f>
        <v>97605.3244437065</v>
      </c>
      <c r="FG110" s="288"/>
      <c r="FH110" s="274">
        <f>SUMIF($F$57:$FF$57,FH$57,$F110:$FF110)</f>
        <v>467467.05390581849</v>
      </c>
      <c r="FI110" s="274">
        <f t="shared" ref="FI110:FU110" si="847">SUMIF($F$57:$FF$57,FI$57,$F110:$FF110)</f>
        <v>820628.42078837636</v>
      </c>
      <c r="FJ110" s="274">
        <f t="shared" si="847"/>
        <v>845588.61947707459</v>
      </c>
      <c r="FK110" s="274">
        <f t="shared" si="847"/>
        <v>871308.0064936406</v>
      </c>
      <c r="FL110" s="274">
        <f t="shared" si="847"/>
        <v>897809.67327754444</v>
      </c>
      <c r="FM110" s="274">
        <f t="shared" si="847"/>
        <v>925117.41361648368</v>
      </c>
      <c r="FN110" s="274">
        <f t="shared" si="847"/>
        <v>953255.74500897725</v>
      </c>
      <c r="FO110" s="274">
        <f t="shared" si="847"/>
        <v>982249.93067672325</v>
      </c>
      <c r="FP110" s="274">
        <f t="shared" si="847"/>
        <v>1012126.0022464815</v>
      </c>
      <c r="FQ110" s="274">
        <f t="shared" si="847"/>
        <v>1042910.7831218501</v>
      </c>
      <c r="FR110" s="274">
        <f t="shared" si="847"/>
        <v>1074631.9125659158</v>
      </c>
      <c r="FS110" s="274">
        <f t="shared" si="847"/>
        <v>1107317.8705163999</v>
      </c>
      <c r="FT110" s="274">
        <f t="shared" si="847"/>
        <v>1140998.0031555826</v>
      </c>
      <c r="FU110" s="274">
        <f t="shared" si="847"/>
        <v>485598.63660779741</v>
      </c>
      <c r="FV110" s="288"/>
    </row>
    <row r="111" spans="3:178" s="216" customFormat="1" x14ac:dyDescent="0.2">
      <c r="C111" s="216" t="s">
        <v>90</v>
      </c>
      <c r="E111" s="227"/>
      <c r="F111" s="243">
        <f t="shared" ref="F111:AK111" si="848">IFERROR(F110/SUM(F76,F82),0)</f>
        <v>0</v>
      </c>
      <c r="G111" s="244">
        <f t="shared" si="848"/>
        <v>0.28401078023526422</v>
      </c>
      <c r="H111" s="244">
        <f t="shared" si="848"/>
        <v>0.28401078023526422</v>
      </c>
      <c r="I111" s="244">
        <f t="shared" si="848"/>
        <v>0.2840107802352641</v>
      </c>
      <c r="J111" s="244">
        <f t="shared" si="848"/>
        <v>0.28401078023526416</v>
      </c>
      <c r="K111" s="244">
        <f t="shared" si="848"/>
        <v>0.28401078023526422</v>
      </c>
      <c r="L111" s="244">
        <f t="shared" si="848"/>
        <v>0.28401078023526422</v>
      </c>
      <c r="M111" s="244">
        <f t="shared" si="848"/>
        <v>0.28401078023526427</v>
      </c>
      <c r="N111" s="244">
        <f t="shared" si="848"/>
        <v>0.28401078023526416</v>
      </c>
      <c r="O111" s="244">
        <f t="shared" si="848"/>
        <v>0.28401078023526427</v>
      </c>
      <c r="P111" s="244">
        <f t="shared" si="848"/>
        <v>0.28401078023526422</v>
      </c>
      <c r="Q111" s="244">
        <f t="shared" si="848"/>
        <v>0.28401078023526422</v>
      </c>
      <c r="R111" s="244">
        <f t="shared" si="848"/>
        <v>0.28401078023526422</v>
      </c>
      <c r="S111" s="244">
        <f t="shared" si="848"/>
        <v>0.28401078023526427</v>
      </c>
      <c r="T111" s="244">
        <f t="shared" si="848"/>
        <v>0.28401078023526422</v>
      </c>
      <c r="U111" s="244">
        <f t="shared" si="848"/>
        <v>0.28401078023526416</v>
      </c>
      <c r="V111" s="244">
        <f t="shared" si="848"/>
        <v>0.28401078023526422</v>
      </c>
      <c r="W111" s="244">
        <f t="shared" si="848"/>
        <v>0.28401078023526416</v>
      </c>
      <c r="X111" s="244">
        <f t="shared" si="848"/>
        <v>0.2840107802352641</v>
      </c>
      <c r="Y111" s="244">
        <f t="shared" si="848"/>
        <v>0.28401078023526422</v>
      </c>
      <c r="Z111" s="244">
        <f t="shared" si="848"/>
        <v>0.28401078023526422</v>
      </c>
      <c r="AA111" s="244">
        <f t="shared" si="848"/>
        <v>0.28401078023526416</v>
      </c>
      <c r="AB111" s="244">
        <f t="shared" si="848"/>
        <v>0.2840107802352641</v>
      </c>
      <c r="AC111" s="244">
        <f t="shared" si="848"/>
        <v>0.2840107802352641</v>
      </c>
      <c r="AD111" s="244">
        <f t="shared" si="848"/>
        <v>0.2840107802352641</v>
      </c>
      <c r="AE111" s="244">
        <f t="shared" si="848"/>
        <v>0.2840107802352641</v>
      </c>
      <c r="AF111" s="244">
        <f t="shared" si="848"/>
        <v>0.2840107802352641</v>
      </c>
      <c r="AG111" s="244">
        <f t="shared" si="848"/>
        <v>0.28401078023526416</v>
      </c>
      <c r="AH111" s="244">
        <f t="shared" si="848"/>
        <v>0.28401078023526422</v>
      </c>
      <c r="AI111" s="244">
        <f t="shared" si="848"/>
        <v>0.28401078023526422</v>
      </c>
      <c r="AJ111" s="244">
        <f t="shared" si="848"/>
        <v>0.28401078023526416</v>
      </c>
      <c r="AK111" s="244">
        <f t="shared" si="848"/>
        <v>0.28401078023526416</v>
      </c>
      <c r="AL111" s="244">
        <f t="shared" ref="AL111:BQ111" si="849">IFERROR(AL110/SUM(AL76,AL82),0)</f>
        <v>0.2840107802352641</v>
      </c>
      <c r="AM111" s="244">
        <f t="shared" si="849"/>
        <v>0.28401078023526416</v>
      </c>
      <c r="AN111" s="244">
        <f t="shared" si="849"/>
        <v>0.2840107802352641</v>
      </c>
      <c r="AO111" s="244">
        <f t="shared" si="849"/>
        <v>0.28401078023526416</v>
      </c>
      <c r="AP111" s="244">
        <f t="shared" si="849"/>
        <v>0.28401078023526422</v>
      </c>
      <c r="AQ111" s="244">
        <f t="shared" si="849"/>
        <v>0.28401078023526422</v>
      </c>
      <c r="AR111" s="244">
        <f t="shared" si="849"/>
        <v>0.28401078023526422</v>
      </c>
      <c r="AS111" s="244">
        <f t="shared" si="849"/>
        <v>0.28401078023526422</v>
      </c>
      <c r="AT111" s="244">
        <f t="shared" si="849"/>
        <v>0.28401078023526422</v>
      </c>
      <c r="AU111" s="244">
        <f t="shared" si="849"/>
        <v>0.28401078023526422</v>
      </c>
      <c r="AV111" s="244">
        <f t="shared" si="849"/>
        <v>0.28401078023526416</v>
      </c>
      <c r="AW111" s="244">
        <f t="shared" si="849"/>
        <v>0.28401078023526416</v>
      </c>
      <c r="AX111" s="244">
        <f t="shared" si="849"/>
        <v>0.2840107802352641</v>
      </c>
      <c r="AY111" s="244">
        <f t="shared" si="849"/>
        <v>0.2840107802352641</v>
      </c>
      <c r="AZ111" s="244">
        <f t="shared" si="849"/>
        <v>0.28401078023526405</v>
      </c>
      <c r="BA111" s="244">
        <f t="shared" si="849"/>
        <v>0.2840107802352641</v>
      </c>
      <c r="BB111" s="244">
        <f t="shared" si="849"/>
        <v>0.28401078023526405</v>
      </c>
      <c r="BC111" s="244">
        <f t="shared" si="849"/>
        <v>0.2840107802352641</v>
      </c>
      <c r="BD111" s="244">
        <f t="shared" si="849"/>
        <v>0.2840107802352641</v>
      </c>
      <c r="BE111" s="244">
        <f t="shared" si="849"/>
        <v>0.28401078023526405</v>
      </c>
      <c r="BF111" s="244">
        <f t="shared" si="849"/>
        <v>0.28401078023526399</v>
      </c>
      <c r="BG111" s="244">
        <f t="shared" si="849"/>
        <v>0.28401078023526399</v>
      </c>
      <c r="BH111" s="244">
        <f t="shared" si="849"/>
        <v>0.28401078023526405</v>
      </c>
      <c r="BI111" s="244">
        <f t="shared" si="849"/>
        <v>0.28401078023526405</v>
      </c>
      <c r="BJ111" s="244">
        <f t="shared" si="849"/>
        <v>0.28401078023526399</v>
      </c>
      <c r="BK111" s="244">
        <f t="shared" si="849"/>
        <v>0.28401078023526405</v>
      </c>
      <c r="BL111" s="244">
        <f t="shared" si="849"/>
        <v>0.28401078023526399</v>
      </c>
      <c r="BM111" s="244">
        <f t="shared" si="849"/>
        <v>0.28401078023526405</v>
      </c>
      <c r="BN111" s="244">
        <f t="shared" si="849"/>
        <v>0.28401078023526405</v>
      </c>
      <c r="BO111" s="244">
        <f t="shared" si="849"/>
        <v>0.28401078023526399</v>
      </c>
      <c r="BP111" s="244">
        <f t="shared" si="849"/>
        <v>0.28401078023526399</v>
      </c>
      <c r="BQ111" s="244">
        <f t="shared" si="849"/>
        <v>0.28401078023526399</v>
      </c>
      <c r="BR111" s="244">
        <f t="shared" ref="BR111:CW111" si="850">IFERROR(BR110/SUM(BR76,BR82),0)</f>
        <v>0.28401078023526399</v>
      </c>
      <c r="BS111" s="244">
        <f t="shared" si="850"/>
        <v>0.28401078023526399</v>
      </c>
      <c r="BT111" s="244">
        <f t="shared" si="850"/>
        <v>0.28401078023526399</v>
      </c>
      <c r="BU111" s="244">
        <f t="shared" si="850"/>
        <v>0.28401078023526394</v>
      </c>
      <c r="BV111" s="244">
        <f t="shared" si="850"/>
        <v>0.28401078023526394</v>
      </c>
      <c r="BW111" s="244">
        <f t="shared" si="850"/>
        <v>0.28401078023526405</v>
      </c>
      <c r="BX111" s="244">
        <f t="shared" si="850"/>
        <v>0.28401078023526394</v>
      </c>
      <c r="BY111" s="244">
        <f t="shared" si="850"/>
        <v>0.28401078023526405</v>
      </c>
      <c r="BZ111" s="244">
        <f t="shared" si="850"/>
        <v>0.28401078023526399</v>
      </c>
      <c r="CA111" s="244">
        <f t="shared" si="850"/>
        <v>0.28401078023526405</v>
      </c>
      <c r="CB111" s="244">
        <f t="shared" si="850"/>
        <v>0.28401078023526405</v>
      </c>
      <c r="CC111" s="244">
        <f t="shared" si="850"/>
        <v>0.28401078023526405</v>
      </c>
      <c r="CD111" s="244">
        <f t="shared" si="850"/>
        <v>0.28401078023526405</v>
      </c>
      <c r="CE111" s="244">
        <f t="shared" si="850"/>
        <v>0.28401078023526405</v>
      </c>
      <c r="CF111" s="244">
        <f t="shared" si="850"/>
        <v>0.2840107802352641</v>
      </c>
      <c r="CG111" s="244">
        <f t="shared" si="850"/>
        <v>0.28401078023526405</v>
      </c>
      <c r="CH111" s="244">
        <f t="shared" si="850"/>
        <v>0.28401078023526405</v>
      </c>
      <c r="CI111" s="244">
        <f t="shared" si="850"/>
        <v>0.2840107802352641</v>
      </c>
      <c r="CJ111" s="244">
        <f t="shared" si="850"/>
        <v>0.2840107802352641</v>
      </c>
      <c r="CK111" s="244">
        <f t="shared" si="850"/>
        <v>0.28401078023526416</v>
      </c>
      <c r="CL111" s="244">
        <f t="shared" si="850"/>
        <v>0.28401078023526416</v>
      </c>
      <c r="CM111" s="244">
        <f t="shared" si="850"/>
        <v>0.28401078023526416</v>
      </c>
      <c r="CN111" s="244">
        <f t="shared" si="850"/>
        <v>0.28401078023526416</v>
      </c>
      <c r="CO111" s="244">
        <f t="shared" si="850"/>
        <v>0.28401078023526416</v>
      </c>
      <c r="CP111" s="244">
        <f t="shared" si="850"/>
        <v>0.2840107802352641</v>
      </c>
      <c r="CQ111" s="244">
        <f t="shared" si="850"/>
        <v>0.28401078023526416</v>
      </c>
      <c r="CR111" s="244">
        <f t="shared" si="850"/>
        <v>0.2840107802352641</v>
      </c>
      <c r="CS111" s="244">
        <f t="shared" si="850"/>
        <v>0.28401078023526416</v>
      </c>
      <c r="CT111" s="244">
        <f t="shared" si="850"/>
        <v>0.2840107802352641</v>
      </c>
      <c r="CU111" s="244">
        <f t="shared" si="850"/>
        <v>0.2840107802352641</v>
      </c>
      <c r="CV111" s="244">
        <f t="shared" si="850"/>
        <v>0.28401078023526416</v>
      </c>
      <c r="CW111" s="244">
        <f t="shared" si="850"/>
        <v>0.28401078023526422</v>
      </c>
      <c r="CX111" s="244">
        <f t="shared" ref="CX111:EC111" si="851">IFERROR(CX110/SUM(CX76,CX82),0)</f>
        <v>0.28401078023526416</v>
      </c>
      <c r="CY111" s="244">
        <f t="shared" si="851"/>
        <v>0.28401078023526422</v>
      </c>
      <c r="CZ111" s="244">
        <f t="shared" si="851"/>
        <v>0.28401078023526416</v>
      </c>
      <c r="DA111" s="244">
        <f t="shared" si="851"/>
        <v>0.28401078023526416</v>
      </c>
      <c r="DB111" s="244">
        <f t="shared" si="851"/>
        <v>0.2840107802352641</v>
      </c>
      <c r="DC111" s="244">
        <f t="shared" si="851"/>
        <v>0.28401078023526416</v>
      </c>
      <c r="DD111" s="244">
        <f t="shared" si="851"/>
        <v>0.28401078023526416</v>
      </c>
      <c r="DE111" s="244">
        <f t="shared" si="851"/>
        <v>0.28401078023526416</v>
      </c>
      <c r="DF111" s="244">
        <f t="shared" si="851"/>
        <v>0.28401078023526416</v>
      </c>
      <c r="DG111" s="244">
        <f t="shared" si="851"/>
        <v>0.28401078023526422</v>
      </c>
      <c r="DH111" s="244">
        <f t="shared" si="851"/>
        <v>0.28401078023526416</v>
      </c>
      <c r="DI111" s="244">
        <f t="shared" si="851"/>
        <v>0.2840107802352641</v>
      </c>
      <c r="DJ111" s="244">
        <f t="shared" si="851"/>
        <v>0.28401078023526416</v>
      </c>
      <c r="DK111" s="244">
        <f t="shared" si="851"/>
        <v>0.28401078023526422</v>
      </c>
      <c r="DL111" s="244">
        <f t="shared" si="851"/>
        <v>0.28401078023526416</v>
      </c>
      <c r="DM111" s="244">
        <f t="shared" si="851"/>
        <v>0.2840107802352641</v>
      </c>
      <c r="DN111" s="244">
        <f t="shared" si="851"/>
        <v>0.28401078023526422</v>
      </c>
      <c r="DO111" s="244">
        <f t="shared" si="851"/>
        <v>0.28401078023526416</v>
      </c>
      <c r="DP111" s="244">
        <f t="shared" si="851"/>
        <v>0.28401078023526422</v>
      </c>
      <c r="DQ111" s="244">
        <f t="shared" si="851"/>
        <v>0.2840107802352641</v>
      </c>
      <c r="DR111" s="244">
        <f t="shared" si="851"/>
        <v>0.28401078023526416</v>
      </c>
      <c r="DS111" s="244">
        <f t="shared" si="851"/>
        <v>0.2840107802352641</v>
      </c>
      <c r="DT111" s="244">
        <f t="shared" si="851"/>
        <v>0.28401078023526416</v>
      </c>
      <c r="DU111" s="244">
        <f t="shared" si="851"/>
        <v>0.2840107802352641</v>
      </c>
      <c r="DV111" s="244">
        <f t="shared" si="851"/>
        <v>0.28401078023526416</v>
      </c>
      <c r="DW111" s="244">
        <f t="shared" si="851"/>
        <v>0.2840107802352641</v>
      </c>
      <c r="DX111" s="244">
        <f t="shared" si="851"/>
        <v>0.2840107802352641</v>
      </c>
      <c r="DY111" s="244">
        <f t="shared" si="851"/>
        <v>0.28401078023526416</v>
      </c>
      <c r="DZ111" s="244">
        <f t="shared" si="851"/>
        <v>0.2840107802352641</v>
      </c>
      <c r="EA111" s="244">
        <f t="shared" si="851"/>
        <v>0.28401078023526416</v>
      </c>
      <c r="EB111" s="244">
        <f t="shared" si="851"/>
        <v>0.28401078023526416</v>
      </c>
      <c r="EC111" s="244">
        <f t="shared" si="851"/>
        <v>0.28401078023526416</v>
      </c>
      <c r="ED111" s="244">
        <f t="shared" ref="ED111:FF111" si="852">IFERROR(ED110/SUM(ED76,ED82),0)</f>
        <v>0.28401078023526416</v>
      </c>
      <c r="EE111" s="244">
        <f t="shared" si="852"/>
        <v>0.2840107802352641</v>
      </c>
      <c r="EF111" s="244">
        <f t="shared" si="852"/>
        <v>0.28401078023526416</v>
      </c>
      <c r="EG111" s="244">
        <f t="shared" si="852"/>
        <v>0.28401078023526422</v>
      </c>
      <c r="EH111" s="244">
        <f t="shared" si="852"/>
        <v>0.28401078023526416</v>
      </c>
      <c r="EI111" s="244">
        <f t="shared" si="852"/>
        <v>0.28401078023526416</v>
      </c>
      <c r="EJ111" s="244">
        <f t="shared" si="852"/>
        <v>0.28401078023526416</v>
      </c>
      <c r="EK111" s="244">
        <f t="shared" si="852"/>
        <v>0.28401078023526416</v>
      </c>
      <c r="EL111" s="244">
        <f t="shared" si="852"/>
        <v>0.2840107802352641</v>
      </c>
      <c r="EM111" s="244">
        <f t="shared" si="852"/>
        <v>0.28401078023526405</v>
      </c>
      <c r="EN111" s="244">
        <f t="shared" si="852"/>
        <v>0.28401078023526405</v>
      </c>
      <c r="EO111" s="244">
        <f t="shared" si="852"/>
        <v>0.2840107802352641</v>
      </c>
      <c r="EP111" s="244">
        <f t="shared" si="852"/>
        <v>0.28401078023526405</v>
      </c>
      <c r="EQ111" s="244">
        <f t="shared" si="852"/>
        <v>0.28401078023526405</v>
      </c>
      <c r="ER111" s="244">
        <f t="shared" si="852"/>
        <v>0.28401078023526405</v>
      </c>
      <c r="ES111" s="244">
        <f t="shared" si="852"/>
        <v>0.2840107802352641</v>
      </c>
      <c r="ET111" s="244">
        <f t="shared" si="852"/>
        <v>0.28401078023526416</v>
      </c>
      <c r="EU111" s="244">
        <f t="shared" si="852"/>
        <v>0.2840107802352641</v>
      </c>
      <c r="EV111" s="244">
        <f t="shared" si="852"/>
        <v>0.2840107802352641</v>
      </c>
      <c r="EW111" s="244">
        <f t="shared" si="852"/>
        <v>0.28401078023526405</v>
      </c>
      <c r="EX111" s="244">
        <f t="shared" si="852"/>
        <v>0.28401078023526416</v>
      </c>
      <c r="EY111" s="244">
        <f t="shared" si="852"/>
        <v>0.28401078023526416</v>
      </c>
      <c r="EZ111" s="244">
        <f t="shared" si="852"/>
        <v>0.2840107802352641</v>
      </c>
      <c r="FA111" s="244">
        <f t="shared" si="852"/>
        <v>0.2840107802352641</v>
      </c>
      <c r="FB111" s="244">
        <f t="shared" si="852"/>
        <v>0.28401078023526405</v>
      </c>
      <c r="FC111" s="244">
        <f t="shared" si="852"/>
        <v>0.2840107802352641</v>
      </c>
      <c r="FD111" s="244">
        <f t="shared" si="852"/>
        <v>0.2840107802352641</v>
      </c>
      <c r="FE111" s="244">
        <f t="shared" si="852"/>
        <v>0.2840107802352641</v>
      </c>
      <c r="FF111" s="244">
        <f t="shared" si="852"/>
        <v>0.28401078023526405</v>
      </c>
      <c r="FG111" s="323"/>
      <c r="FH111" s="244">
        <f t="shared" ref="FH111:FO111" si="853">IFERROR(FH110/SUM(FH76,FH82),0)</f>
        <v>0.28401078023526422</v>
      </c>
      <c r="FI111" s="244"/>
      <c r="FJ111" s="244"/>
      <c r="FK111" s="244"/>
      <c r="FL111" s="244"/>
      <c r="FM111" s="244">
        <f t="shared" si="853"/>
        <v>0.28401078023526405</v>
      </c>
      <c r="FN111" s="244">
        <f t="shared" si="853"/>
        <v>0.28401078023526399</v>
      </c>
      <c r="FO111" s="244">
        <f t="shared" si="853"/>
        <v>0.28401078023526416</v>
      </c>
      <c r="FP111" s="244">
        <f>IFERROR(FP110/SUM(FP76,FP82),0)</f>
        <v>0.28401078023526422</v>
      </c>
      <c r="FQ111" s="244"/>
      <c r="FR111" s="244"/>
      <c r="FS111" s="244"/>
      <c r="FT111" s="244"/>
      <c r="FU111" s="244"/>
      <c r="FV111" s="323"/>
    </row>
    <row r="112" spans="3:178" x14ac:dyDescent="0.2">
      <c r="E112" s="224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32"/>
      <c r="AQ112" s="232"/>
      <c r="AR112" s="232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232"/>
      <c r="BH112" s="232"/>
      <c r="BI112" s="232"/>
      <c r="BJ112" s="232"/>
      <c r="BK112" s="232"/>
      <c r="BL112" s="232"/>
      <c r="BM112" s="232"/>
      <c r="BN112" s="232"/>
      <c r="BO112" s="232"/>
      <c r="BP112" s="232"/>
      <c r="BQ112" s="232"/>
      <c r="BR112" s="232"/>
      <c r="BS112" s="232"/>
      <c r="BT112" s="232"/>
      <c r="BU112" s="232"/>
      <c r="BV112" s="232"/>
      <c r="BW112" s="232"/>
      <c r="BX112" s="232"/>
      <c r="BY112" s="232"/>
      <c r="BZ112" s="232"/>
      <c r="CA112" s="232"/>
      <c r="CB112" s="232"/>
      <c r="CC112" s="232"/>
      <c r="CD112" s="232"/>
      <c r="CE112" s="232"/>
      <c r="CF112" s="232"/>
      <c r="CG112" s="232"/>
      <c r="CH112" s="232"/>
      <c r="CI112" s="232"/>
      <c r="CJ112" s="232"/>
      <c r="CK112" s="232"/>
      <c r="CL112" s="232"/>
      <c r="CM112" s="232"/>
      <c r="CN112" s="232"/>
      <c r="CO112" s="232"/>
      <c r="CP112" s="232"/>
      <c r="CQ112" s="232"/>
      <c r="CR112" s="232"/>
      <c r="CS112" s="232"/>
      <c r="CT112" s="232"/>
      <c r="CU112" s="232"/>
      <c r="CV112" s="232"/>
      <c r="CW112" s="232"/>
      <c r="CX112" s="232"/>
      <c r="CY112" s="232"/>
      <c r="CZ112" s="232"/>
      <c r="DA112" s="232"/>
      <c r="DB112" s="232"/>
      <c r="DC112" s="232"/>
      <c r="DD112" s="232"/>
      <c r="DE112" s="232"/>
      <c r="DF112" s="232"/>
      <c r="DG112" s="232"/>
      <c r="DH112" s="232"/>
      <c r="DI112" s="232"/>
      <c r="DJ112" s="232"/>
      <c r="DK112" s="232"/>
      <c r="DL112" s="232"/>
      <c r="DM112" s="232"/>
      <c r="DN112" s="232"/>
      <c r="DO112" s="232"/>
      <c r="DP112" s="232"/>
      <c r="DQ112" s="232"/>
      <c r="DR112" s="232"/>
      <c r="DS112" s="232"/>
      <c r="DT112" s="232"/>
      <c r="DU112" s="232"/>
      <c r="DV112" s="232"/>
      <c r="DW112" s="232"/>
      <c r="DX112" s="232"/>
      <c r="DY112" s="232"/>
      <c r="DZ112" s="232"/>
      <c r="EA112" s="232"/>
      <c r="EB112" s="232"/>
      <c r="EC112" s="232"/>
      <c r="ED112" s="232"/>
      <c r="EE112" s="232"/>
      <c r="EF112" s="232"/>
      <c r="EG112" s="232"/>
      <c r="EH112" s="232"/>
      <c r="EI112" s="232"/>
      <c r="EJ112" s="232"/>
      <c r="EK112" s="232"/>
      <c r="EL112" s="232"/>
      <c r="EM112" s="232"/>
      <c r="EN112" s="232"/>
      <c r="EO112" s="232"/>
      <c r="EP112" s="232"/>
      <c r="EQ112" s="232"/>
      <c r="ER112" s="232"/>
      <c r="ES112" s="232"/>
      <c r="ET112" s="232"/>
      <c r="EU112" s="232"/>
      <c r="EV112" s="232"/>
      <c r="EW112" s="232"/>
      <c r="EX112" s="232"/>
      <c r="EY112" s="232"/>
      <c r="EZ112" s="232"/>
      <c r="FA112" s="232"/>
      <c r="FB112" s="232"/>
      <c r="FC112" s="232"/>
      <c r="FD112" s="232"/>
      <c r="FE112" s="232"/>
      <c r="FF112" s="232"/>
      <c r="FG112" s="321"/>
      <c r="FH112" s="232"/>
      <c r="FI112" s="232"/>
      <c r="FJ112" s="232"/>
      <c r="FK112" s="232"/>
      <c r="FL112" s="232"/>
      <c r="FM112" s="232"/>
      <c r="FN112" s="232"/>
      <c r="FO112" s="232"/>
      <c r="FP112" s="232"/>
      <c r="FQ112" s="232"/>
      <c r="FR112" s="232"/>
      <c r="FS112" s="232"/>
      <c r="FT112" s="232"/>
      <c r="FU112" s="232"/>
      <c r="FV112" s="321"/>
    </row>
    <row r="113" spans="3:178" s="277" customFormat="1" x14ac:dyDescent="0.2">
      <c r="C113" s="274" t="s">
        <v>87</v>
      </c>
      <c r="D113" s="274"/>
      <c r="E113" s="276">
        <f>SUM(F113:FF113)</f>
        <v>28976712.466613222</v>
      </c>
      <c r="F113" s="274">
        <f t="shared" ref="F113:AK113" si="854">F90-F110</f>
        <v>0</v>
      </c>
      <c r="G113" s="274">
        <f t="shared" si="854"/>
        <v>152104.85008008016</v>
      </c>
      <c r="H113" s="274">
        <f t="shared" si="854"/>
        <v>152485.1122052804</v>
      </c>
      <c r="I113" s="274">
        <f t="shared" si="854"/>
        <v>152866.32498579359</v>
      </c>
      <c r="J113" s="274">
        <f t="shared" si="854"/>
        <v>153248.49079825805</v>
      </c>
      <c r="K113" s="274">
        <f t="shared" si="854"/>
        <v>153631.61202525365</v>
      </c>
      <c r="L113" s="274">
        <f t="shared" si="854"/>
        <v>154015.69105531677</v>
      </c>
      <c r="M113" s="274">
        <f t="shared" si="854"/>
        <v>154400.73028295508</v>
      </c>
      <c r="N113" s="274">
        <f t="shared" si="854"/>
        <v>154786.73210866246</v>
      </c>
      <c r="O113" s="274">
        <f t="shared" si="854"/>
        <v>155173.69893893407</v>
      </c>
      <c r="P113" s="274">
        <f t="shared" si="854"/>
        <v>155561.63318628143</v>
      </c>
      <c r="Q113" s="274">
        <f t="shared" si="854"/>
        <v>155950.53726924711</v>
      </c>
      <c r="R113" s="274">
        <f t="shared" si="854"/>
        <v>156340.41361242026</v>
      </c>
      <c r="S113" s="274">
        <f t="shared" si="854"/>
        <v>156731.26464645122</v>
      </c>
      <c r="T113" s="274">
        <f t="shared" si="854"/>
        <v>157123.09280806739</v>
      </c>
      <c r="U113" s="274">
        <f t="shared" si="854"/>
        <v>157515.9005400876</v>
      </c>
      <c r="V113" s="274">
        <f t="shared" si="854"/>
        <v>157909.69029143779</v>
      </c>
      <c r="W113" s="274">
        <f t="shared" si="854"/>
        <v>158304.46451716637</v>
      </c>
      <c r="X113" s="274">
        <f t="shared" si="854"/>
        <v>158700.2256784593</v>
      </c>
      <c r="Y113" s="274">
        <f t="shared" si="854"/>
        <v>159096.97624265539</v>
      </c>
      <c r="Z113" s="274">
        <f t="shared" si="854"/>
        <v>159494.71868326204</v>
      </c>
      <c r="AA113" s="274">
        <f t="shared" si="854"/>
        <v>159893.4554799702</v>
      </c>
      <c r="AB113" s="274">
        <f t="shared" si="854"/>
        <v>160293.18911867015</v>
      </c>
      <c r="AC113" s="274">
        <f t="shared" si="854"/>
        <v>160693.92209146681</v>
      </c>
      <c r="AD113" s="274">
        <f t="shared" si="854"/>
        <v>161095.65689669544</v>
      </c>
      <c r="AE113" s="274">
        <f t="shared" si="854"/>
        <v>161498.39603893721</v>
      </c>
      <c r="AF113" s="274">
        <f t="shared" si="854"/>
        <v>161902.1420290345</v>
      </c>
      <c r="AG113" s="274">
        <f t="shared" si="854"/>
        <v>162306.89738410705</v>
      </c>
      <c r="AH113" s="274">
        <f t="shared" si="854"/>
        <v>162712.66462756731</v>
      </c>
      <c r="AI113" s="274">
        <f t="shared" si="854"/>
        <v>163119.44628913619</v>
      </c>
      <c r="AJ113" s="274">
        <f t="shared" si="854"/>
        <v>163527.24490485902</v>
      </c>
      <c r="AK113" s="274">
        <f t="shared" si="854"/>
        <v>163936.06301712117</v>
      </c>
      <c r="AL113" s="274">
        <f t="shared" ref="AL113:BQ113" si="855">AL90-AL110</f>
        <v>164345.90317466401</v>
      </c>
      <c r="AM113" s="274">
        <f t="shared" si="855"/>
        <v>164756.76793260063</v>
      </c>
      <c r="AN113" s="274">
        <f t="shared" si="855"/>
        <v>165168.65985243215</v>
      </c>
      <c r="AO113" s="274">
        <f t="shared" si="855"/>
        <v>165581.58150206317</v>
      </c>
      <c r="AP113" s="274">
        <f t="shared" si="855"/>
        <v>165995.53545581835</v>
      </c>
      <c r="AQ113" s="274">
        <f t="shared" si="855"/>
        <v>166410.52429445786</v>
      </c>
      <c r="AR113" s="274">
        <f t="shared" si="855"/>
        <v>166826.55060519397</v>
      </c>
      <c r="AS113" s="274">
        <f t="shared" si="855"/>
        <v>167243.61698170693</v>
      </c>
      <c r="AT113" s="274">
        <f t="shared" si="855"/>
        <v>167661.72602416127</v>
      </c>
      <c r="AU113" s="274">
        <f t="shared" si="855"/>
        <v>168080.88033922162</v>
      </c>
      <c r="AV113" s="274">
        <f t="shared" si="855"/>
        <v>168501.08254006971</v>
      </c>
      <c r="AW113" s="274">
        <f t="shared" si="855"/>
        <v>168922.33524641985</v>
      </c>
      <c r="AX113" s="274">
        <f t="shared" si="855"/>
        <v>169344.64108453592</v>
      </c>
      <c r="AY113" s="274">
        <f t="shared" si="855"/>
        <v>169768.00268724724</v>
      </c>
      <c r="AZ113" s="274">
        <f t="shared" si="855"/>
        <v>170192.42269396535</v>
      </c>
      <c r="BA113" s="274">
        <f t="shared" si="855"/>
        <v>170617.90375070026</v>
      </c>
      <c r="BB113" s="274">
        <f t="shared" si="855"/>
        <v>171044.44851007703</v>
      </c>
      <c r="BC113" s="274">
        <f t="shared" si="855"/>
        <v>171472.0596313522</v>
      </c>
      <c r="BD113" s="274">
        <f t="shared" si="855"/>
        <v>171900.73978043057</v>
      </c>
      <c r="BE113" s="274">
        <f t="shared" si="855"/>
        <v>172330.49162988167</v>
      </c>
      <c r="BF113" s="274">
        <f t="shared" si="855"/>
        <v>172761.3178589564</v>
      </c>
      <c r="BG113" s="274">
        <f t="shared" si="855"/>
        <v>173193.22115360375</v>
      </c>
      <c r="BH113" s="274">
        <f t="shared" si="855"/>
        <v>173626.20420648778</v>
      </c>
      <c r="BI113" s="274">
        <f t="shared" si="855"/>
        <v>174060.26971700398</v>
      </c>
      <c r="BJ113" s="274">
        <f t="shared" si="855"/>
        <v>174495.42039129647</v>
      </c>
      <c r="BK113" s="274">
        <f t="shared" si="855"/>
        <v>174931.65894227469</v>
      </c>
      <c r="BL113" s="274">
        <f t="shared" si="855"/>
        <v>175368.98808963038</v>
      </c>
      <c r="BM113" s="274">
        <f t="shared" si="855"/>
        <v>175807.41055985444</v>
      </c>
      <c r="BN113" s="274">
        <f t="shared" si="855"/>
        <v>176246.92908625407</v>
      </c>
      <c r="BO113" s="274">
        <f t="shared" si="855"/>
        <v>176687.54640896973</v>
      </c>
      <c r="BP113" s="274">
        <f t="shared" si="855"/>
        <v>177129.2652749921</v>
      </c>
      <c r="BQ113" s="274">
        <f t="shared" si="855"/>
        <v>177572.08843817958</v>
      </c>
      <c r="BR113" s="274">
        <f t="shared" ref="BR113:CW113" si="856">BR90-BR110</f>
        <v>178016.01865927503</v>
      </c>
      <c r="BS113" s="274">
        <f t="shared" si="856"/>
        <v>178461.05870592318</v>
      </c>
      <c r="BT113" s="274">
        <f t="shared" si="856"/>
        <v>178907.211352688</v>
      </c>
      <c r="BU113" s="274">
        <f t="shared" si="856"/>
        <v>179354.47938106977</v>
      </c>
      <c r="BV113" s="274">
        <f t="shared" si="856"/>
        <v>179802.86557952239</v>
      </c>
      <c r="BW113" s="274">
        <f t="shared" si="856"/>
        <v>180252.37274347118</v>
      </c>
      <c r="BX113" s="274">
        <f t="shared" si="856"/>
        <v>180703.00367532991</v>
      </c>
      <c r="BY113" s="274">
        <f t="shared" si="856"/>
        <v>181154.76118451814</v>
      </c>
      <c r="BZ113" s="274">
        <f t="shared" si="856"/>
        <v>181607.64808747947</v>
      </c>
      <c r="CA113" s="274">
        <f t="shared" si="856"/>
        <v>182061.6672076981</v>
      </c>
      <c r="CB113" s="274">
        <f t="shared" si="856"/>
        <v>182516.82137571735</v>
      </c>
      <c r="CC113" s="274">
        <f t="shared" si="856"/>
        <v>182973.11342915663</v>
      </c>
      <c r="CD113" s="274">
        <f t="shared" si="856"/>
        <v>183430.54621272953</v>
      </c>
      <c r="CE113" s="274">
        <f t="shared" si="856"/>
        <v>183889.12257826133</v>
      </c>
      <c r="CF113" s="274">
        <f t="shared" si="856"/>
        <v>184348.84538470692</v>
      </c>
      <c r="CG113" s="274">
        <f t="shared" si="856"/>
        <v>184809.71749816873</v>
      </c>
      <c r="CH113" s="274">
        <f t="shared" si="856"/>
        <v>185271.74179191413</v>
      </c>
      <c r="CI113" s="274">
        <f t="shared" si="856"/>
        <v>185734.92114639387</v>
      </c>
      <c r="CJ113" s="274">
        <f t="shared" si="856"/>
        <v>186199.25844925985</v>
      </c>
      <c r="CK113" s="274">
        <f t="shared" si="856"/>
        <v>186664.75659538293</v>
      </c>
      <c r="CL113" s="274">
        <f t="shared" si="856"/>
        <v>187131.41848687141</v>
      </c>
      <c r="CM113" s="274">
        <f t="shared" si="856"/>
        <v>187599.24703308861</v>
      </c>
      <c r="CN113" s="274">
        <f t="shared" si="856"/>
        <v>188068.24515067134</v>
      </c>
      <c r="CO113" s="274">
        <f t="shared" si="856"/>
        <v>188538.41576354799</v>
      </c>
      <c r="CP113" s="274">
        <f t="shared" si="856"/>
        <v>189009.76180295687</v>
      </c>
      <c r="CQ113" s="274">
        <f t="shared" si="856"/>
        <v>189482.28620746417</v>
      </c>
      <c r="CR113" s="274">
        <f t="shared" si="856"/>
        <v>189955.99192298288</v>
      </c>
      <c r="CS113" s="274">
        <f t="shared" si="856"/>
        <v>190430.88190279022</v>
      </c>
      <c r="CT113" s="274">
        <f t="shared" si="856"/>
        <v>190906.95910754724</v>
      </c>
      <c r="CU113" s="274">
        <f t="shared" si="856"/>
        <v>191384.2265053161</v>
      </c>
      <c r="CV113" s="274">
        <f t="shared" si="856"/>
        <v>191862.68707157939</v>
      </c>
      <c r="CW113" s="274">
        <f t="shared" si="856"/>
        <v>192342.3437892583</v>
      </c>
      <c r="CX113" s="274">
        <f t="shared" ref="CX113:EC113" si="857">CX90-CX110</f>
        <v>192823.19964873145</v>
      </c>
      <c r="CY113" s="274">
        <f t="shared" si="857"/>
        <v>193305.25764785323</v>
      </c>
      <c r="CZ113" s="274">
        <f t="shared" si="857"/>
        <v>193788.5207919729</v>
      </c>
      <c r="DA113" s="274">
        <f t="shared" si="857"/>
        <v>194272.99209395281</v>
      </c>
      <c r="DB113" s="274">
        <f t="shared" si="857"/>
        <v>194758.67457418772</v>
      </c>
      <c r="DC113" s="274">
        <f t="shared" si="857"/>
        <v>195245.57126062314</v>
      </c>
      <c r="DD113" s="274">
        <f t="shared" si="857"/>
        <v>195733.68518877466</v>
      </c>
      <c r="DE113" s="274">
        <f t="shared" si="857"/>
        <v>196223.0194017466</v>
      </c>
      <c r="DF113" s="274">
        <f t="shared" si="857"/>
        <v>196713.57695025098</v>
      </c>
      <c r="DG113" s="274">
        <f t="shared" si="857"/>
        <v>197205.36089262657</v>
      </c>
      <c r="DH113" s="274">
        <f t="shared" si="857"/>
        <v>197698.37429485819</v>
      </c>
      <c r="DI113" s="274">
        <f t="shared" si="857"/>
        <v>198192.62023059535</v>
      </c>
      <c r="DJ113" s="274">
        <f t="shared" si="857"/>
        <v>198688.10178117178</v>
      </c>
      <c r="DK113" s="274">
        <f t="shared" si="857"/>
        <v>199184.8220356247</v>
      </c>
      <c r="DL113" s="274">
        <f t="shared" si="857"/>
        <v>199682.78409071383</v>
      </c>
      <c r="DM113" s="274">
        <f t="shared" si="857"/>
        <v>200181.99105094059</v>
      </c>
      <c r="DN113" s="274">
        <f t="shared" si="857"/>
        <v>200682.44602856785</v>
      </c>
      <c r="DO113" s="274">
        <f t="shared" si="857"/>
        <v>201184.15214363922</v>
      </c>
      <c r="DP113" s="274">
        <f t="shared" si="857"/>
        <v>201687.11252399834</v>
      </c>
      <c r="DQ113" s="274">
        <f t="shared" si="857"/>
        <v>202191.33030530834</v>
      </c>
      <c r="DR113" s="274">
        <f t="shared" si="857"/>
        <v>202696.80863107162</v>
      </c>
      <c r="DS113" s="274">
        <f t="shared" si="857"/>
        <v>203203.55065264931</v>
      </c>
      <c r="DT113" s="274">
        <f t="shared" si="857"/>
        <v>203711.55952928087</v>
      </c>
      <c r="DU113" s="274">
        <f t="shared" si="857"/>
        <v>204220.83842810412</v>
      </c>
      <c r="DV113" s="274">
        <f t="shared" si="857"/>
        <v>204731.39052417438</v>
      </c>
      <c r="DW113" s="274">
        <f t="shared" si="857"/>
        <v>205243.21900048482</v>
      </c>
      <c r="DX113" s="274">
        <f t="shared" si="857"/>
        <v>205756.32704798598</v>
      </c>
      <c r="DY113" s="274">
        <f t="shared" si="857"/>
        <v>206270.71786560593</v>
      </c>
      <c r="DZ113" s="274">
        <f t="shared" si="857"/>
        <v>206786.39466026996</v>
      </c>
      <c r="EA113" s="274">
        <f t="shared" si="857"/>
        <v>207303.3606469206</v>
      </c>
      <c r="EB113" s="274">
        <f t="shared" si="857"/>
        <v>207821.61904853792</v>
      </c>
      <c r="EC113" s="274">
        <f t="shared" si="857"/>
        <v>208341.17309615921</v>
      </c>
      <c r="ED113" s="274">
        <f t="shared" ref="ED113:FF113" si="858">ED90-ED110</f>
        <v>208862.02602889959</v>
      </c>
      <c r="EE113" s="274">
        <f t="shared" si="858"/>
        <v>209384.18109397189</v>
      </c>
      <c r="EF113" s="274">
        <f t="shared" si="858"/>
        <v>209907.64154670679</v>
      </c>
      <c r="EG113" s="274">
        <f t="shared" si="858"/>
        <v>210432.41065057347</v>
      </c>
      <c r="EH113" s="274">
        <f t="shared" si="858"/>
        <v>210958.4916771999</v>
      </c>
      <c r="EI113" s="274">
        <f t="shared" si="858"/>
        <v>211485.88790639292</v>
      </c>
      <c r="EJ113" s="274">
        <f t="shared" si="858"/>
        <v>212014.60262615886</v>
      </c>
      <c r="EK113" s="274">
        <f t="shared" si="858"/>
        <v>212544.63913272429</v>
      </c>
      <c r="EL113" s="274">
        <f t="shared" si="858"/>
        <v>213076.00073055612</v>
      </c>
      <c r="EM113" s="274">
        <f t="shared" si="858"/>
        <v>213608.69073238247</v>
      </c>
      <c r="EN113" s="274">
        <f t="shared" si="858"/>
        <v>214142.71245921345</v>
      </c>
      <c r="EO113" s="274">
        <f t="shared" si="858"/>
        <v>214678.06924036142</v>
      </c>
      <c r="EP113" s="274">
        <f t="shared" si="858"/>
        <v>215214.76441346234</v>
      </c>
      <c r="EQ113" s="274">
        <f t="shared" si="858"/>
        <v>215752.80132449599</v>
      </c>
      <c r="ER113" s="274">
        <f t="shared" si="858"/>
        <v>216292.18332780723</v>
      </c>
      <c r="ES113" s="274">
        <f t="shared" si="858"/>
        <v>216832.91378612671</v>
      </c>
      <c r="ET113" s="274">
        <f t="shared" si="858"/>
        <v>217374.99607059197</v>
      </c>
      <c r="EU113" s="274">
        <f t="shared" si="858"/>
        <v>217918.43356076849</v>
      </c>
      <c r="EV113" s="274">
        <f t="shared" si="858"/>
        <v>218463.22964467044</v>
      </c>
      <c r="EW113" s="274">
        <f t="shared" si="858"/>
        <v>219009.38771878209</v>
      </c>
      <c r="EX113" s="274">
        <f t="shared" si="858"/>
        <v>219556.91118807899</v>
      </c>
      <c r="EY113" s="274">
        <f t="shared" si="858"/>
        <v>220105.80346604914</v>
      </c>
      <c r="EZ113" s="274">
        <f t="shared" si="858"/>
        <v>220656.06797471433</v>
      </c>
      <c r="FA113" s="274">
        <f t="shared" si="858"/>
        <v>221207.70814465109</v>
      </c>
      <c r="FB113" s="274">
        <f t="shared" si="858"/>
        <v>221760.72741501272</v>
      </c>
      <c r="FC113" s="274">
        <f t="shared" si="858"/>
        <v>222315.12923355019</v>
      </c>
      <c r="FD113" s="274">
        <f t="shared" si="858"/>
        <v>222870.91705663409</v>
      </c>
      <c r="FE113" s="274">
        <f t="shared" si="858"/>
        <v>223428.09434927566</v>
      </c>
      <c r="FF113" s="274">
        <f t="shared" si="858"/>
        <v>223986.66458514886</v>
      </c>
      <c r="FG113" s="288"/>
      <c r="FH113" s="274">
        <f>SUMIF($F$57:$FF$57,FH$57,$F113:$FF113)</f>
        <v>1072752.8114329376</v>
      </c>
      <c r="FI113" s="274">
        <f t="shared" ref="FI113:FU113" si="859">SUMIF($F$57:$FF$57,FI$57,$F113:$FF113)</f>
        <v>1883194.6298398704</v>
      </c>
      <c r="FJ113" s="274">
        <f t="shared" si="859"/>
        <v>1940473.7965608272</v>
      </c>
      <c r="FK113" s="274">
        <f t="shared" si="859"/>
        <v>1999495.1639488093</v>
      </c>
      <c r="FL113" s="274">
        <f t="shared" si="859"/>
        <v>2060311.722704242</v>
      </c>
      <c r="FM113" s="274">
        <f t="shared" si="859"/>
        <v>2122978.0752904071</v>
      </c>
      <c r="FN113" s="274">
        <f t="shared" si="859"/>
        <v>2187550.48495676</v>
      </c>
      <c r="FO113" s="274">
        <f t="shared" si="859"/>
        <v>2254086.9262533244</v>
      </c>
      <c r="FP113" s="274">
        <f t="shared" si="859"/>
        <v>2322647.1370815439</v>
      </c>
      <c r="FQ113" s="274">
        <f t="shared" si="859"/>
        <v>2393292.6723282961</v>
      </c>
      <c r="FR113" s="274">
        <f t="shared" si="859"/>
        <v>2466086.9591312441</v>
      </c>
      <c r="FS113" s="274">
        <f t="shared" si="859"/>
        <v>2541095.3538251412</v>
      </c>
      <c r="FT113" s="274">
        <f t="shared" si="859"/>
        <v>2618385.2006201991</v>
      </c>
      <c r="FU113" s="274">
        <f t="shared" si="859"/>
        <v>1114361.5326396215</v>
      </c>
      <c r="FV113" s="288"/>
    </row>
    <row r="114" spans="3:178" x14ac:dyDescent="0.2">
      <c r="E114" s="245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32"/>
      <c r="AQ114" s="232"/>
      <c r="AR114" s="232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232"/>
      <c r="BH114" s="232"/>
      <c r="BI114" s="232"/>
      <c r="BJ114" s="232"/>
      <c r="BK114" s="232"/>
      <c r="BL114" s="232"/>
      <c r="BM114" s="232"/>
      <c r="BN114" s="232"/>
      <c r="BO114" s="232"/>
      <c r="BP114" s="232"/>
      <c r="BQ114" s="232"/>
      <c r="BR114" s="232"/>
      <c r="BS114" s="232"/>
      <c r="BT114" s="232"/>
      <c r="BU114" s="232"/>
      <c r="BV114" s="232"/>
      <c r="BW114" s="232"/>
      <c r="BX114" s="232"/>
      <c r="BY114" s="232"/>
      <c r="BZ114" s="232"/>
      <c r="CA114" s="232"/>
      <c r="CB114" s="232"/>
      <c r="CC114" s="232"/>
      <c r="CD114" s="232"/>
      <c r="CE114" s="232"/>
      <c r="CF114" s="232"/>
      <c r="CG114" s="232"/>
      <c r="CH114" s="232"/>
      <c r="CI114" s="232"/>
      <c r="CJ114" s="232"/>
      <c r="CK114" s="232"/>
      <c r="CL114" s="232"/>
      <c r="CM114" s="232"/>
      <c r="CN114" s="232"/>
      <c r="CO114" s="232"/>
      <c r="CP114" s="232"/>
      <c r="CQ114" s="232"/>
      <c r="CR114" s="232"/>
      <c r="CS114" s="232"/>
      <c r="CT114" s="232"/>
      <c r="CU114" s="232"/>
      <c r="CV114" s="232"/>
      <c r="CW114" s="232"/>
      <c r="CX114" s="232"/>
      <c r="CY114" s="232"/>
      <c r="CZ114" s="232"/>
      <c r="DA114" s="232"/>
      <c r="DB114" s="232"/>
      <c r="DC114" s="232"/>
      <c r="DD114" s="232"/>
      <c r="DE114" s="232"/>
      <c r="DF114" s="232"/>
      <c r="DG114" s="232"/>
      <c r="DH114" s="232"/>
      <c r="DI114" s="232"/>
      <c r="DJ114" s="232"/>
      <c r="DK114" s="232"/>
      <c r="DL114" s="232"/>
      <c r="DM114" s="232"/>
      <c r="DN114" s="232"/>
      <c r="DO114" s="232"/>
      <c r="DP114" s="232"/>
      <c r="DQ114" s="232"/>
      <c r="DR114" s="232"/>
      <c r="DS114" s="232"/>
      <c r="DT114" s="232"/>
      <c r="DU114" s="232"/>
      <c r="DV114" s="232"/>
      <c r="DW114" s="232"/>
      <c r="DX114" s="232"/>
      <c r="DY114" s="232"/>
      <c r="DZ114" s="232"/>
      <c r="EA114" s="232"/>
      <c r="EB114" s="232"/>
      <c r="EC114" s="232"/>
      <c r="ED114" s="232"/>
      <c r="EE114" s="232"/>
      <c r="EF114" s="232"/>
      <c r="EG114" s="232"/>
      <c r="EH114" s="232"/>
      <c r="EI114" s="232"/>
      <c r="EJ114" s="232"/>
      <c r="EK114" s="232"/>
      <c r="EL114" s="232"/>
      <c r="EM114" s="232"/>
      <c r="EN114" s="232"/>
      <c r="EO114" s="232"/>
      <c r="EP114" s="232"/>
      <c r="EQ114" s="232"/>
      <c r="ER114" s="232"/>
      <c r="ES114" s="232"/>
      <c r="ET114" s="232"/>
      <c r="EU114" s="232"/>
      <c r="EV114" s="232"/>
      <c r="EW114" s="232"/>
      <c r="EX114" s="232"/>
      <c r="EY114" s="232"/>
      <c r="EZ114" s="232"/>
      <c r="FA114" s="232"/>
      <c r="FB114" s="232"/>
      <c r="FC114" s="232"/>
      <c r="FD114" s="232"/>
      <c r="FE114" s="232"/>
      <c r="FF114" s="232"/>
      <c r="FG114" s="321"/>
      <c r="FH114" s="232"/>
      <c r="FI114" s="232"/>
      <c r="FJ114" s="232"/>
      <c r="FK114" s="232"/>
      <c r="FL114" s="232"/>
      <c r="FM114" s="232"/>
      <c r="FN114" s="232"/>
      <c r="FO114" s="232"/>
      <c r="FP114" s="232"/>
      <c r="FQ114" s="232"/>
      <c r="FR114" s="232"/>
      <c r="FS114" s="232"/>
      <c r="FT114" s="232"/>
      <c r="FU114" s="232"/>
      <c r="FV114" s="321"/>
    </row>
    <row r="115" spans="3:178" x14ac:dyDescent="0.2">
      <c r="C115" s="47" t="s">
        <v>24</v>
      </c>
      <c r="D115" s="239" t="s">
        <v>64</v>
      </c>
      <c r="E115" s="240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32"/>
      <c r="AQ115" s="232"/>
      <c r="AR115" s="232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232"/>
      <c r="BH115" s="232"/>
      <c r="BI115" s="232"/>
      <c r="BJ115" s="232"/>
      <c r="BK115" s="232"/>
      <c r="BL115" s="232"/>
      <c r="BM115" s="232"/>
      <c r="BN115" s="232"/>
      <c r="BO115" s="232"/>
      <c r="BP115" s="232"/>
      <c r="BQ115" s="232"/>
      <c r="BR115" s="232"/>
      <c r="BS115" s="232"/>
      <c r="BT115" s="232"/>
      <c r="BU115" s="232"/>
      <c r="BV115" s="232"/>
      <c r="BW115" s="232"/>
      <c r="BX115" s="232"/>
      <c r="BY115" s="232"/>
      <c r="BZ115" s="232"/>
      <c r="CA115" s="232"/>
      <c r="CB115" s="232"/>
      <c r="CC115" s="232"/>
      <c r="CD115" s="232"/>
      <c r="CE115" s="232"/>
      <c r="CF115" s="232"/>
      <c r="CG115" s="232"/>
      <c r="CH115" s="232"/>
      <c r="CI115" s="232"/>
      <c r="CJ115" s="232"/>
      <c r="CK115" s="232"/>
      <c r="CL115" s="232"/>
      <c r="CM115" s="232"/>
      <c r="CN115" s="232"/>
      <c r="CO115" s="232"/>
      <c r="CP115" s="232"/>
      <c r="CQ115" s="232"/>
      <c r="CR115" s="232"/>
      <c r="CS115" s="232"/>
      <c r="CT115" s="232"/>
      <c r="CU115" s="232"/>
      <c r="CV115" s="232"/>
      <c r="CW115" s="232"/>
      <c r="CX115" s="232"/>
      <c r="CY115" s="232"/>
      <c r="CZ115" s="232"/>
      <c r="DA115" s="232"/>
      <c r="DB115" s="232"/>
      <c r="DC115" s="232"/>
      <c r="DD115" s="232"/>
      <c r="DE115" s="232"/>
      <c r="DF115" s="232"/>
      <c r="DG115" s="232"/>
      <c r="DH115" s="232"/>
      <c r="DI115" s="232"/>
      <c r="DJ115" s="232"/>
      <c r="DK115" s="232"/>
      <c r="DL115" s="232"/>
      <c r="DM115" s="232"/>
      <c r="DN115" s="232"/>
      <c r="DO115" s="232"/>
      <c r="DP115" s="232"/>
      <c r="DQ115" s="232"/>
      <c r="DR115" s="232"/>
      <c r="DS115" s="232"/>
      <c r="DT115" s="232"/>
      <c r="DU115" s="232"/>
      <c r="DV115" s="232"/>
      <c r="DW115" s="232"/>
      <c r="DX115" s="232"/>
      <c r="DY115" s="232"/>
      <c r="DZ115" s="232"/>
      <c r="EA115" s="232"/>
      <c r="EB115" s="232"/>
      <c r="EC115" s="232"/>
      <c r="ED115" s="232"/>
      <c r="EE115" s="232"/>
      <c r="EF115" s="232"/>
      <c r="EG115" s="232"/>
      <c r="EH115" s="232"/>
      <c r="EI115" s="232"/>
      <c r="EJ115" s="232"/>
      <c r="EK115" s="232"/>
      <c r="EL115" s="232"/>
      <c r="EM115" s="232"/>
      <c r="EN115" s="232"/>
      <c r="EO115" s="232"/>
      <c r="EP115" s="232"/>
      <c r="EQ115" s="232"/>
      <c r="ER115" s="232"/>
      <c r="ES115" s="232"/>
      <c r="ET115" s="232"/>
      <c r="EU115" s="232"/>
      <c r="EV115" s="232"/>
      <c r="EW115" s="232"/>
      <c r="EX115" s="232"/>
      <c r="EY115" s="232"/>
      <c r="EZ115" s="232"/>
      <c r="FA115" s="232"/>
      <c r="FB115" s="232"/>
      <c r="FC115" s="232"/>
      <c r="FD115" s="232"/>
      <c r="FE115" s="232"/>
      <c r="FF115" s="232"/>
      <c r="FG115" s="321"/>
      <c r="FH115" s="232"/>
      <c r="FI115" s="232"/>
      <c r="FJ115" s="232"/>
      <c r="FK115" s="232"/>
      <c r="FL115" s="232"/>
      <c r="FM115" s="232"/>
      <c r="FN115" s="232"/>
      <c r="FO115" s="232"/>
      <c r="FP115" s="232"/>
      <c r="FQ115" s="232"/>
      <c r="FR115" s="232"/>
      <c r="FS115" s="232"/>
      <c r="FT115" s="232"/>
      <c r="FU115" s="232"/>
      <c r="FV115" s="321"/>
    </row>
    <row r="116" spans="3:178" x14ac:dyDescent="0.2">
      <c r="C116" s="39" t="s">
        <v>24</v>
      </c>
      <c r="D116" s="77">
        <f>V47</f>
        <v>200</v>
      </c>
      <c r="E116" s="232">
        <f t="shared" ref="E116:E119" si="860">SUM(F116:FF116)</f>
        <v>318301.862525378</v>
      </c>
      <c r="F116" s="246">
        <v>0</v>
      </c>
      <c r="G116" s="247">
        <f t="shared" ref="G116:P118" si="861">$D116/12*G$66*$N$13</f>
        <v>1670.8333333333333</v>
      </c>
      <c r="H116" s="247">
        <f t="shared" si="861"/>
        <v>1675.0104166666667</v>
      </c>
      <c r="I116" s="247">
        <f t="shared" si="861"/>
        <v>1679.1979427083329</v>
      </c>
      <c r="J116" s="247">
        <f t="shared" si="861"/>
        <v>1683.3959375651041</v>
      </c>
      <c r="K116" s="247">
        <f t="shared" si="861"/>
        <v>1687.604427409017</v>
      </c>
      <c r="L116" s="247">
        <f t="shared" si="861"/>
        <v>1691.8234384775392</v>
      </c>
      <c r="M116" s="247">
        <f t="shared" si="861"/>
        <v>1696.052997073733</v>
      </c>
      <c r="N116" s="247">
        <f t="shared" si="861"/>
        <v>1700.2931295664175</v>
      </c>
      <c r="O116" s="247">
        <f t="shared" si="861"/>
        <v>1704.5438623903337</v>
      </c>
      <c r="P116" s="247">
        <f t="shared" si="861"/>
        <v>1708.8052220463092</v>
      </c>
      <c r="Q116" s="247">
        <f t="shared" ref="Q116:Z118" si="862">$D116/12*Q$66*$N$13</f>
        <v>1713.077235101425</v>
      </c>
      <c r="R116" s="247">
        <f t="shared" si="862"/>
        <v>1717.3599281891782</v>
      </c>
      <c r="S116" s="247">
        <f t="shared" si="862"/>
        <v>1721.653328009651</v>
      </c>
      <c r="T116" s="247">
        <f t="shared" si="862"/>
        <v>1725.9574613296752</v>
      </c>
      <c r="U116" s="247">
        <f t="shared" si="862"/>
        <v>1730.2723549829991</v>
      </c>
      <c r="V116" s="247">
        <f t="shared" si="862"/>
        <v>1734.5980358704564</v>
      </c>
      <c r="W116" s="247">
        <f t="shared" si="862"/>
        <v>1738.9345309601324</v>
      </c>
      <c r="X116" s="247">
        <f t="shared" si="862"/>
        <v>1743.2818672875324</v>
      </c>
      <c r="Y116" s="247">
        <f t="shared" si="862"/>
        <v>1747.6400719557514</v>
      </c>
      <c r="Z116" s="247">
        <f t="shared" si="862"/>
        <v>1752.0091721356405</v>
      </c>
      <c r="AA116" s="247">
        <f t="shared" ref="AA116:AJ118" si="863">$D116/12*AA$66*$N$13</f>
        <v>1756.3891950659795</v>
      </c>
      <c r="AB116" s="247">
        <f t="shared" si="863"/>
        <v>1760.7801680536443</v>
      </c>
      <c r="AC116" s="247">
        <f t="shared" si="863"/>
        <v>1765.1821184737785</v>
      </c>
      <c r="AD116" s="247">
        <f t="shared" si="863"/>
        <v>1769.5950737699625</v>
      </c>
      <c r="AE116" s="247">
        <f t="shared" si="863"/>
        <v>1774.0190614543874</v>
      </c>
      <c r="AF116" s="247">
        <f t="shared" si="863"/>
        <v>1778.4541091080232</v>
      </c>
      <c r="AG116" s="247">
        <f t="shared" si="863"/>
        <v>1782.9002443807931</v>
      </c>
      <c r="AH116" s="247">
        <f t="shared" si="863"/>
        <v>1787.3574949917447</v>
      </c>
      <c r="AI116" s="247">
        <f t="shared" si="863"/>
        <v>1791.8258887292243</v>
      </c>
      <c r="AJ116" s="247">
        <f t="shared" si="863"/>
        <v>1796.305453451047</v>
      </c>
      <c r="AK116" s="247">
        <f t="shared" ref="AK116:AT118" si="864">$D116/12*AK$66*$N$13</f>
        <v>1800.7962170846745</v>
      </c>
      <c r="AL116" s="247">
        <f t="shared" si="864"/>
        <v>1805.2982076273861</v>
      </c>
      <c r="AM116" s="247">
        <f t="shared" si="864"/>
        <v>1809.8114531464546</v>
      </c>
      <c r="AN116" s="247">
        <f t="shared" si="864"/>
        <v>1814.3359817793207</v>
      </c>
      <c r="AO116" s="247">
        <f t="shared" si="864"/>
        <v>1818.8718217337691</v>
      </c>
      <c r="AP116" s="247">
        <f t="shared" si="864"/>
        <v>1823.4190012881033</v>
      </c>
      <c r="AQ116" s="247">
        <f t="shared" si="864"/>
        <v>1827.9775487913234</v>
      </c>
      <c r="AR116" s="247">
        <f t="shared" si="864"/>
        <v>1832.5474926633017</v>
      </c>
      <c r="AS116" s="247">
        <f t="shared" si="864"/>
        <v>1837.1288613949598</v>
      </c>
      <c r="AT116" s="247">
        <f t="shared" si="864"/>
        <v>1841.7216835484473</v>
      </c>
      <c r="AU116" s="247">
        <f t="shared" ref="AU116:BD118" si="865">$D116/12*AU$66*$N$13</f>
        <v>1846.3259877573182</v>
      </c>
      <c r="AV116" s="247">
        <f t="shared" si="865"/>
        <v>1850.9418027267116</v>
      </c>
      <c r="AW116" s="247">
        <f t="shared" si="865"/>
        <v>1855.5691572335281</v>
      </c>
      <c r="AX116" s="247">
        <f t="shared" si="865"/>
        <v>1860.2080801266115</v>
      </c>
      <c r="AY116" s="247">
        <f t="shared" si="865"/>
        <v>1864.8586003269279</v>
      </c>
      <c r="AZ116" s="247">
        <f t="shared" si="865"/>
        <v>1869.5207468277449</v>
      </c>
      <c r="BA116" s="247">
        <f t="shared" si="865"/>
        <v>1874.1945486948143</v>
      </c>
      <c r="BB116" s="247">
        <f t="shared" si="865"/>
        <v>1878.880035066551</v>
      </c>
      <c r="BC116" s="247">
        <f t="shared" si="865"/>
        <v>1883.5772351542171</v>
      </c>
      <c r="BD116" s="247">
        <f t="shared" si="865"/>
        <v>1888.2861782421028</v>
      </c>
      <c r="BE116" s="247">
        <f t="shared" ref="BE116:BN118" si="866">$D116/12*BE$66*$N$13</f>
        <v>1893.006893687708</v>
      </c>
      <c r="BF116" s="247">
        <f t="shared" si="866"/>
        <v>1897.7394109219272</v>
      </c>
      <c r="BG116" s="247">
        <f t="shared" si="866"/>
        <v>1902.4837594492319</v>
      </c>
      <c r="BH116" s="247">
        <f t="shared" si="866"/>
        <v>1907.2399688478547</v>
      </c>
      <c r="BI116" s="247">
        <f t="shared" si="866"/>
        <v>1912.0080687699744</v>
      </c>
      <c r="BJ116" s="247">
        <f t="shared" si="866"/>
        <v>1916.7880889418991</v>
      </c>
      <c r="BK116" s="247">
        <f t="shared" si="866"/>
        <v>1921.5800591642537</v>
      </c>
      <c r="BL116" s="247">
        <f t="shared" si="866"/>
        <v>1926.3840093121644</v>
      </c>
      <c r="BM116" s="247">
        <f t="shared" si="866"/>
        <v>1931.1999693354448</v>
      </c>
      <c r="BN116" s="247">
        <f t="shared" si="866"/>
        <v>1936.0279692587831</v>
      </c>
      <c r="BO116" s="247">
        <f t="shared" ref="BO116:BX118" si="867">$D116/12*BO$66*$N$13</f>
        <v>1940.8680391819303</v>
      </c>
      <c r="BP116" s="247">
        <f t="shared" si="867"/>
        <v>1945.7202092798848</v>
      </c>
      <c r="BQ116" s="247">
        <f t="shared" si="867"/>
        <v>1950.5845098030843</v>
      </c>
      <c r="BR116" s="247">
        <f t="shared" si="867"/>
        <v>1955.4609710775917</v>
      </c>
      <c r="BS116" s="247">
        <f t="shared" si="867"/>
        <v>1960.3496235052858</v>
      </c>
      <c r="BT116" s="247">
        <f t="shared" si="867"/>
        <v>1965.2504975640491</v>
      </c>
      <c r="BU116" s="247">
        <f t="shared" si="867"/>
        <v>1970.1636238079586</v>
      </c>
      <c r="BV116" s="247">
        <f t="shared" si="867"/>
        <v>1975.0890328674786</v>
      </c>
      <c r="BW116" s="247">
        <f t="shared" si="867"/>
        <v>1980.0267554496468</v>
      </c>
      <c r="BX116" s="247">
        <f t="shared" si="867"/>
        <v>1984.9768223382712</v>
      </c>
      <c r="BY116" s="247">
        <f t="shared" ref="BY116:CH118" si="868">$D116/12*BY$66*$N$13</f>
        <v>1989.9392643941167</v>
      </c>
      <c r="BZ116" s="247">
        <f t="shared" si="868"/>
        <v>1994.9141125551018</v>
      </c>
      <c r="CA116" s="247">
        <f t="shared" si="868"/>
        <v>1999.9013978364897</v>
      </c>
      <c r="CB116" s="247">
        <f t="shared" si="868"/>
        <v>2004.9011513310809</v>
      </c>
      <c r="CC116" s="247">
        <f t="shared" si="868"/>
        <v>2009.9134042094086</v>
      </c>
      <c r="CD116" s="247">
        <f t="shared" si="868"/>
        <v>2014.9381877199316</v>
      </c>
      <c r="CE116" s="247">
        <f t="shared" si="868"/>
        <v>2019.9755331892316</v>
      </c>
      <c r="CF116" s="247">
        <f t="shared" si="868"/>
        <v>2025.0254720222047</v>
      </c>
      <c r="CG116" s="247">
        <f t="shared" si="868"/>
        <v>2030.08803570226</v>
      </c>
      <c r="CH116" s="247">
        <f t="shared" si="868"/>
        <v>2035.1632557915157</v>
      </c>
      <c r="CI116" s="247">
        <f t="shared" ref="CI116:CR118" si="869">$D116/12*CI$66*$N$13</f>
        <v>2040.2511639309946</v>
      </c>
      <c r="CJ116" s="247">
        <f t="shared" si="869"/>
        <v>2045.3517918408218</v>
      </c>
      <c r="CK116" s="247">
        <f t="shared" si="869"/>
        <v>2050.4651713204235</v>
      </c>
      <c r="CL116" s="247">
        <f t="shared" si="869"/>
        <v>2055.5913342487247</v>
      </c>
      <c r="CM116" s="247">
        <f t="shared" si="869"/>
        <v>2060.7303125843464</v>
      </c>
      <c r="CN116" s="247">
        <f t="shared" si="869"/>
        <v>2065.8821383658074</v>
      </c>
      <c r="CO116" s="247">
        <f t="shared" si="869"/>
        <v>2071.046843711722</v>
      </c>
      <c r="CP116" s="247">
        <f t="shared" si="869"/>
        <v>2076.2244608210012</v>
      </c>
      <c r="CQ116" s="247">
        <f t="shared" si="869"/>
        <v>2081.4150219730532</v>
      </c>
      <c r="CR116" s="247">
        <f t="shared" si="869"/>
        <v>2086.6185595279853</v>
      </c>
      <c r="CS116" s="247">
        <f t="shared" ref="CS116:DB118" si="870">$D116/12*CS$66*$N$13</f>
        <v>2091.8351059268057</v>
      </c>
      <c r="CT116" s="247">
        <f t="shared" si="870"/>
        <v>2097.0646936916223</v>
      </c>
      <c r="CU116" s="247">
        <f t="shared" si="870"/>
        <v>2102.3073554258513</v>
      </c>
      <c r="CV116" s="247">
        <f t="shared" si="870"/>
        <v>2107.563123814416</v>
      </c>
      <c r="CW116" s="247">
        <f t="shared" si="870"/>
        <v>2112.8320316239515</v>
      </c>
      <c r="CX116" s="247">
        <f t="shared" si="870"/>
        <v>2118.1141117030115</v>
      </c>
      <c r="CY116" s="247">
        <f t="shared" si="870"/>
        <v>2123.4093969822693</v>
      </c>
      <c r="CZ116" s="247">
        <f t="shared" si="870"/>
        <v>2128.7179204747245</v>
      </c>
      <c r="DA116" s="247">
        <f t="shared" si="870"/>
        <v>2134.0397152759115</v>
      </c>
      <c r="DB116" s="247">
        <f t="shared" si="870"/>
        <v>2139.3748145641007</v>
      </c>
      <c r="DC116" s="247">
        <f t="shared" ref="DC116:DL118" si="871">$D116/12*DC$66*$N$13</f>
        <v>2144.723251600511</v>
      </c>
      <c r="DD116" s="247">
        <f t="shared" si="871"/>
        <v>2150.0850597295125</v>
      </c>
      <c r="DE116" s="247">
        <f t="shared" si="871"/>
        <v>2155.4602723788362</v>
      </c>
      <c r="DF116" s="247">
        <f t="shared" si="871"/>
        <v>2160.8489230597834</v>
      </c>
      <c r="DG116" s="247">
        <f t="shared" si="871"/>
        <v>2166.2510453674327</v>
      </c>
      <c r="DH116" s="247">
        <f t="shared" si="871"/>
        <v>2171.6666729808512</v>
      </c>
      <c r="DI116" s="247">
        <f t="shared" si="871"/>
        <v>2177.0958396633032</v>
      </c>
      <c r="DJ116" s="247">
        <f t="shared" si="871"/>
        <v>2182.5385792624611</v>
      </c>
      <c r="DK116" s="247">
        <f t="shared" si="871"/>
        <v>2187.9949257106173</v>
      </c>
      <c r="DL116" s="247">
        <f t="shared" si="871"/>
        <v>2193.464913024894</v>
      </c>
      <c r="DM116" s="247">
        <f t="shared" ref="DM116:DV118" si="872">$D116/12*DM$66*$N$13</f>
        <v>2198.9485753074559</v>
      </c>
      <c r="DN116" s="247">
        <f t="shared" si="872"/>
        <v>2204.4459467457245</v>
      </c>
      <c r="DO116" s="247">
        <f t="shared" si="872"/>
        <v>2209.9570616125884</v>
      </c>
      <c r="DP116" s="247">
        <f t="shared" si="872"/>
        <v>2215.4819542666201</v>
      </c>
      <c r="DQ116" s="247">
        <f t="shared" si="872"/>
        <v>2221.020659152286</v>
      </c>
      <c r="DR116" s="247">
        <f t="shared" si="872"/>
        <v>2226.5732108001666</v>
      </c>
      <c r="DS116" s="247">
        <f t="shared" si="872"/>
        <v>2232.1396438271668</v>
      </c>
      <c r="DT116" s="247">
        <f t="shared" si="872"/>
        <v>2237.7199929367348</v>
      </c>
      <c r="DU116" s="247">
        <f t="shared" si="872"/>
        <v>2243.3142929190767</v>
      </c>
      <c r="DV116" s="247">
        <f t="shared" si="872"/>
        <v>2248.9225786513744</v>
      </c>
      <c r="DW116" s="247">
        <f t="shared" ref="DW116:EF118" si="873">$D116/12*DW$66*$N$13</f>
        <v>2254.5448850980029</v>
      </c>
      <c r="DX116" s="247">
        <f t="shared" si="873"/>
        <v>2260.1812473107475</v>
      </c>
      <c r="DY116" s="247">
        <f t="shared" si="873"/>
        <v>2265.8317004290243</v>
      </c>
      <c r="DZ116" s="247">
        <f t="shared" si="873"/>
        <v>2271.4962796800964</v>
      </c>
      <c r="EA116" s="247">
        <f t="shared" si="873"/>
        <v>2277.1750203792967</v>
      </c>
      <c r="EB116" s="247">
        <f t="shared" si="873"/>
        <v>2282.8679579302448</v>
      </c>
      <c r="EC116" s="247">
        <f t="shared" si="873"/>
        <v>2288.5751278250705</v>
      </c>
      <c r="ED116" s="247">
        <f t="shared" si="873"/>
        <v>2294.2965656446331</v>
      </c>
      <c r="EE116" s="247">
        <f t="shared" si="873"/>
        <v>2300.0323070587447</v>
      </c>
      <c r="EF116" s="247">
        <f t="shared" si="873"/>
        <v>2305.7823878263912</v>
      </c>
      <c r="EG116" s="247">
        <f t="shared" ref="EG116:EP118" si="874">$D116/12*EG$66*$N$13</f>
        <v>2311.5468437959566</v>
      </c>
      <c r="EH116" s="247">
        <f t="shared" si="874"/>
        <v>2317.3257109054466</v>
      </c>
      <c r="EI116" s="247">
        <f t="shared" si="874"/>
        <v>2323.1190251827102</v>
      </c>
      <c r="EJ116" s="247">
        <f t="shared" si="874"/>
        <v>2328.9268227456669</v>
      </c>
      <c r="EK116" s="247">
        <f t="shared" si="874"/>
        <v>2334.7491398025304</v>
      </c>
      <c r="EL116" s="247">
        <f t="shared" si="874"/>
        <v>2340.5860126520365</v>
      </c>
      <c r="EM116" s="247">
        <f t="shared" si="874"/>
        <v>2346.4374776836667</v>
      </c>
      <c r="EN116" s="247">
        <f t="shared" si="874"/>
        <v>2352.3035713778759</v>
      </c>
      <c r="EO116" s="247">
        <f t="shared" si="874"/>
        <v>2358.1843303063201</v>
      </c>
      <c r="EP116" s="247">
        <f t="shared" si="874"/>
        <v>2364.0797911320856</v>
      </c>
      <c r="EQ116" s="247">
        <f t="shared" ref="EQ116:EZ118" si="875">$D116/12*EQ$66*$N$13</f>
        <v>2369.9899906099158</v>
      </c>
      <c r="ER116" s="247">
        <f t="shared" si="875"/>
        <v>2375.9149655864403</v>
      </c>
      <c r="ES116" s="247">
        <f t="shared" si="875"/>
        <v>2381.8547530004066</v>
      </c>
      <c r="ET116" s="247">
        <f t="shared" si="875"/>
        <v>2387.8093898829075</v>
      </c>
      <c r="EU116" s="247">
        <f t="shared" si="875"/>
        <v>2393.7789133576148</v>
      </c>
      <c r="EV116" s="247">
        <f t="shared" si="875"/>
        <v>2399.7633606410086</v>
      </c>
      <c r="EW116" s="247">
        <f t="shared" si="875"/>
        <v>2405.7627690426111</v>
      </c>
      <c r="EX116" s="247">
        <f t="shared" si="875"/>
        <v>2411.7771759652173</v>
      </c>
      <c r="EY116" s="247">
        <f t="shared" si="875"/>
        <v>2417.8066189051306</v>
      </c>
      <c r="EZ116" s="247">
        <f t="shared" si="875"/>
        <v>2423.851135452393</v>
      </c>
      <c r="FA116" s="247">
        <f t="shared" ref="FA116:FF118" si="876">$D116/12*FA$66*$N$13</f>
        <v>2429.9107632910241</v>
      </c>
      <c r="FB116" s="247">
        <f t="shared" si="876"/>
        <v>2435.9855401992513</v>
      </c>
      <c r="FC116" s="247">
        <f t="shared" si="876"/>
        <v>2442.0755040497493</v>
      </c>
      <c r="FD116" s="247">
        <f t="shared" si="876"/>
        <v>2448.1806928098736</v>
      </c>
      <c r="FE116" s="247">
        <f t="shared" si="876"/>
        <v>2454.3011445418979</v>
      </c>
      <c r="FF116" s="247">
        <f t="shared" si="876"/>
        <v>2460.4368974032523</v>
      </c>
      <c r="FG116" s="324"/>
      <c r="FH116" s="247">
        <f>SUMIF($F$57:$FF$57,FH$57,$F116:$FF116)</f>
        <v>11783.918493233727</v>
      </c>
      <c r="FI116" s="247">
        <f t="shared" ref="FI116:FU119" si="877">SUMIF($F$57:$FF$57,FI$57,$F116:$FF116)</f>
        <v>20686.417027689866</v>
      </c>
      <c r="FJ116" s="247">
        <f t="shared" si="877"/>
        <v>21315.614196698902</v>
      </c>
      <c r="FK116" s="247">
        <f t="shared" si="877"/>
        <v>21963.948999690623</v>
      </c>
      <c r="FL116" s="247">
        <f t="shared" si="877"/>
        <v>22632.003526115663</v>
      </c>
      <c r="FM116" s="247">
        <f t="shared" si="877"/>
        <v>23320.377570232329</v>
      </c>
      <c r="FN116" s="247">
        <f t="shared" si="877"/>
        <v>24029.68916961522</v>
      </c>
      <c r="FO116" s="247">
        <f t="shared" si="877"/>
        <v>24760.575160043205</v>
      </c>
      <c r="FP116" s="247">
        <f t="shared" si="877"/>
        <v>25513.691747264718</v>
      </c>
      <c r="FQ116" s="247">
        <f t="shared" si="877"/>
        <v>26289.715096154017</v>
      </c>
      <c r="FR116" s="247">
        <f t="shared" si="877"/>
        <v>27089.341937787005</v>
      </c>
      <c r="FS116" s="247">
        <f t="shared" si="877"/>
        <v>27913.290194981979</v>
      </c>
      <c r="FT116" s="247">
        <f t="shared" si="877"/>
        <v>28762.299626866759</v>
      </c>
      <c r="FU116" s="247">
        <f t="shared" si="877"/>
        <v>12240.979779004025</v>
      </c>
      <c r="FV116" s="324"/>
    </row>
    <row r="117" spans="3:178" x14ac:dyDescent="0.2">
      <c r="C117" s="39" t="s">
        <v>25</v>
      </c>
      <c r="E117" s="232">
        <f t="shared" si="860"/>
        <v>0</v>
      </c>
      <c r="F117" s="246">
        <v>0</v>
      </c>
      <c r="G117" s="247">
        <f t="shared" si="861"/>
        <v>0</v>
      </c>
      <c r="H117" s="247">
        <f t="shared" si="861"/>
        <v>0</v>
      </c>
      <c r="I117" s="247">
        <f t="shared" si="861"/>
        <v>0</v>
      </c>
      <c r="J117" s="247">
        <f t="shared" si="861"/>
        <v>0</v>
      </c>
      <c r="K117" s="247">
        <f t="shared" si="861"/>
        <v>0</v>
      </c>
      <c r="L117" s="247">
        <f t="shared" si="861"/>
        <v>0</v>
      </c>
      <c r="M117" s="247">
        <f t="shared" si="861"/>
        <v>0</v>
      </c>
      <c r="N117" s="247">
        <f t="shared" si="861"/>
        <v>0</v>
      </c>
      <c r="O117" s="247">
        <f t="shared" si="861"/>
        <v>0</v>
      </c>
      <c r="P117" s="247">
        <f t="shared" si="861"/>
        <v>0</v>
      </c>
      <c r="Q117" s="247">
        <f t="shared" si="862"/>
        <v>0</v>
      </c>
      <c r="R117" s="247">
        <f t="shared" si="862"/>
        <v>0</v>
      </c>
      <c r="S117" s="247">
        <f t="shared" si="862"/>
        <v>0</v>
      </c>
      <c r="T117" s="247">
        <f t="shared" si="862"/>
        <v>0</v>
      </c>
      <c r="U117" s="247">
        <f t="shared" si="862"/>
        <v>0</v>
      </c>
      <c r="V117" s="247">
        <f t="shared" si="862"/>
        <v>0</v>
      </c>
      <c r="W117" s="247">
        <f t="shared" si="862"/>
        <v>0</v>
      </c>
      <c r="X117" s="247">
        <f t="shared" si="862"/>
        <v>0</v>
      </c>
      <c r="Y117" s="247">
        <f t="shared" si="862"/>
        <v>0</v>
      </c>
      <c r="Z117" s="247">
        <f t="shared" si="862"/>
        <v>0</v>
      </c>
      <c r="AA117" s="247">
        <f t="shared" si="863"/>
        <v>0</v>
      </c>
      <c r="AB117" s="247">
        <f t="shared" si="863"/>
        <v>0</v>
      </c>
      <c r="AC117" s="247">
        <f t="shared" si="863"/>
        <v>0</v>
      </c>
      <c r="AD117" s="247">
        <f t="shared" si="863"/>
        <v>0</v>
      </c>
      <c r="AE117" s="247">
        <f t="shared" si="863"/>
        <v>0</v>
      </c>
      <c r="AF117" s="247">
        <f t="shared" si="863"/>
        <v>0</v>
      </c>
      <c r="AG117" s="247">
        <f t="shared" si="863"/>
        <v>0</v>
      </c>
      <c r="AH117" s="247">
        <f t="shared" si="863"/>
        <v>0</v>
      </c>
      <c r="AI117" s="247">
        <f t="shared" si="863"/>
        <v>0</v>
      </c>
      <c r="AJ117" s="247">
        <f t="shared" si="863"/>
        <v>0</v>
      </c>
      <c r="AK117" s="247">
        <f t="shared" si="864"/>
        <v>0</v>
      </c>
      <c r="AL117" s="247">
        <f t="shared" si="864"/>
        <v>0</v>
      </c>
      <c r="AM117" s="247">
        <f t="shared" si="864"/>
        <v>0</v>
      </c>
      <c r="AN117" s="247">
        <f t="shared" si="864"/>
        <v>0</v>
      </c>
      <c r="AO117" s="247">
        <f t="shared" si="864"/>
        <v>0</v>
      </c>
      <c r="AP117" s="247">
        <f t="shared" si="864"/>
        <v>0</v>
      </c>
      <c r="AQ117" s="247">
        <f t="shared" si="864"/>
        <v>0</v>
      </c>
      <c r="AR117" s="247">
        <f t="shared" si="864"/>
        <v>0</v>
      </c>
      <c r="AS117" s="247">
        <f t="shared" si="864"/>
        <v>0</v>
      </c>
      <c r="AT117" s="247">
        <f t="shared" si="864"/>
        <v>0</v>
      </c>
      <c r="AU117" s="247">
        <f t="shared" si="865"/>
        <v>0</v>
      </c>
      <c r="AV117" s="247">
        <f t="shared" si="865"/>
        <v>0</v>
      </c>
      <c r="AW117" s="247">
        <f t="shared" si="865"/>
        <v>0</v>
      </c>
      <c r="AX117" s="247">
        <f t="shared" si="865"/>
        <v>0</v>
      </c>
      <c r="AY117" s="247">
        <f t="shared" si="865"/>
        <v>0</v>
      </c>
      <c r="AZ117" s="247">
        <f t="shared" si="865"/>
        <v>0</v>
      </c>
      <c r="BA117" s="247">
        <f t="shared" si="865"/>
        <v>0</v>
      </c>
      <c r="BB117" s="247">
        <f t="shared" si="865"/>
        <v>0</v>
      </c>
      <c r="BC117" s="247">
        <f t="shared" si="865"/>
        <v>0</v>
      </c>
      <c r="BD117" s="247">
        <f t="shared" si="865"/>
        <v>0</v>
      </c>
      <c r="BE117" s="247">
        <f t="shared" si="866"/>
        <v>0</v>
      </c>
      <c r="BF117" s="247">
        <f t="shared" si="866"/>
        <v>0</v>
      </c>
      <c r="BG117" s="247">
        <f t="shared" si="866"/>
        <v>0</v>
      </c>
      <c r="BH117" s="247">
        <f t="shared" si="866"/>
        <v>0</v>
      </c>
      <c r="BI117" s="247">
        <f t="shared" si="866"/>
        <v>0</v>
      </c>
      <c r="BJ117" s="247">
        <f t="shared" si="866"/>
        <v>0</v>
      </c>
      <c r="BK117" s="247">
        <f t="shared" si="866"/>
        <v>0</v>
      </c>
      <c r="BL117" s="247">
        <f t="shared" si="866"/>
        <v>0</v>
      </c>
      <c r="BM117" s="247">
        <f t="shared" si="866"/>
        <v>0</v>
      </c>
      <c r="BN117" s="247">
        <f t="shared" si="866"/>
        <v>0</v>
      </c>
      <c r="BO117" s="247">
        <f t="shared" si="867"/>
        <v>0</v>
      </c>
      <c r="BP117" s="247">
        <f t="shared" si="867"/>
        <v>0</v>
      </c>
      <c r="BQ117" s="247">
        <f t="shared" si="867"/>
        <v>0</v>
      </c>
      <c r="BR117" s="247">
        <f t="shared" si="867"/>
        <v>0</v>
      </c>
      <c r="BS117" s="247">
        <f t="shared" si="867"/>
        <v>0</v>
      </c>
      <c r="BT117" s="247">
        <f t="shared" si="867"/>
        <v>0</v>
      </c>
      <c r="BU117" s="247">
        <f t="shared" si="867"/>
        <v>0</v>
      </c>
      <c r="BV117" s="247">
        <f t="shared" si="867"/>
        <v>0</v>
      </c>
      <c r="BW117" s="247">
        <f t="shared" si="867"/>
        <v>0</v>
      </c>
      <c r="BX117" s="247">
        <f t="shared" si="867"/>
        <v>0</v>
      </c>
      <c r="BY117" s="247">
        <f t="shared" si="868"/>
        <v>0</v>
      </c>
      <c r="BZ117" s="247">
        <f t="shared" si="868"/>
        <v>0</v>
      </c>
      <c r="CA117" s="247">
        <f t="shared" si="868"/>
        <v>0</v>
      </c>
      <c r="CB117" s="247">
        <f t="shared" si="868"/>
        <v>0</v>
      </c>
      <c r="CC117" s="247">
        <f t="shared" si="868"/>
        <v>0</v>
      </c>
      <c r="CD117" s="247">
        <f t="shared" si="868"/>
        <v>0</v>
      </c>
      <c r="CE117" s="247">
        <f t="shared" si="868"/>
        <v>0</v>
      </c>
      <c r="CF117" s="247">
        <f t="shared" si="868"/>
        <v>0</v>
      </c>
      <c r="CG117" s="247">
        <f t="shared" si="868"/>
        <v>0</v>
      </c>
      <c r="CH117" s="247">
        <f t="shared" si="868"/>
        <v>0</v>
      </c>
      <c r="CI117" s="247">
        <f t="shared" si="869"/>
        <v>0</v>
      </c>
      <c r="CJ117" s="247">
        <f t="shared" si="869"/>
        <v>0</v>
      </c>
      <c r="CK117" s="247">
        <f t="shared" si="869"/>
        <v>0</v>
      </c>
      <c r="CL117" s="247">
        <f t="shared" si="869"/>
        <v>0</v>
      </c>
      <c r="CM117" s="247">
        <f t="shared" si="869"/>
        <v>0</v>
      </c>
      <c r="CN117" s="247">
        <f t="shared" si="869"/>
        <v>0</v>
      </c>
      <c r="CO117" s="247">
        <f t="shared" si="869"/>
        <v>0</v>
      </c>
      <c r="CP117" s="247">
        <f t="shared" si="869"/>
        <v>0</v>
      </c>
      <c r="CQ117" s="247">
        <f t="shared" si="869"/>
        <v>0</v>
      </c>
      <c r="CR117" s="247">
        <f t="shared" si="869"/>
        <v>0</v>
      </c>
      <c r="CS117" s="247">
        <f t="shared" si="870"/>
        <v>0</v>
      </c>
      <c r="CT117" s="247">
        <f t="shared" si="870"/>
        <v>0</v>
      </c>
      <c r="CU117" s="247">
        <f t="shared" si="870"/>
        <v>0</v>
      </c>
      <c r="CV117" s="247">
        <f t="shared" si="870"/>
        <v>0</v>
      </c>
      <c r="CW117" s="247">
        <f t="shared" si="870"/>
        <v>0</v>
      </c>
      <c r="CX117" s="247">
        <f t="shared" si="870"/>
        <v>0</v>
      </c>
      <c r="CY117" s="247">
        <f t="shared" si="870"/>
        <v>0</v>
      </c>
      <c r="CZ117" s="247">
        <f t="shared" si="870"/>
        <v>0</v>
      </c>
      <c r="DA117" s="247">
        <f t="shared" si="870"/>
        <v>0</v>
      </c>
      <c r="DB117" s="247">
        <f t="shared" si="870"/>
        <v>0</v>
      </c>
      <c r="DC117" s="247">
        <f t="shared" si="871"/>
        <v>0</v>
      </c>
      <c r="DD117" s="247">
        <f t="shared" si="871"/>
        <v>0</v>
      </c>
      <c r="DE117" s="247">
        <f t="shared" si="871"/>
        <v>0</v>
      </c>
      <c r="DF117" s="247">
        <f t="shared" si="871"/>
        <v>0</v>
      </c>
      <c r="DG117" s="247">
        <f t="shared" si="871"/>
        <v>0</v>
      </c>
      <c r="DH117" s="247">
        <f t="shared" si="871"/>
        <v>0</v>
      </c>
      <c r="DI117" s="247">
        <f t="shared" si="871"/>
        <v>0</v>
      </c>
      <c r="DJ117" s="247">
        <f t="shared" si="871"/>
        <v>0</v>
      </c>
      <c r="DK117" s="247">
        <f t="shared" si="871"/>
        <v>0</v>
      </c>
      <c r="DL117" s="247">
        <f t="shared" si="871"/>
        <v>0</v>
      </c>
      <c r="DM117" s="247">
        <f t="shared" si="872"/>
        <v>0</v>
      </c>
      <c r="DN117" s="247">
        <f t="shared" si="872"/>
        <v>0</v>
      </c>
      <c r="DO117" s="247">
        <f t="shared" si="872"/>
        <v>0</v>
      </c>
      <c r="DP117" s="247">
        <f t="shared" si="872"/>
        <v>0</v>
      </c>
      <c r="DQ117" s="247">
        <f t="shared" si="872"/>
        <v>0</v>
      </c>
      <c r="DR117" s="247">
        <f t="shared" si="872"/>
        <v>0</v>
      </c>
      <c r="DS117" s="247">
        <f t="shared" si="872"/>
        <v>0</v>
      </c>
      <c r="DT117" s="247">
        <f t="shared" si="872"/>
        <v>0</v>
      </c>
      <c r="DU117" s="247">
        <f t="shared" si="872"/>
        <v>0</v>
      </c>
      <c r="DV117" s="247">
        <f t="shared" si="872"/>
        <v>0</v>
      </c>
      <c r="DW117" s="247">
        <f t="shared" si="873"/>
        <v>0</v>
      </c>
      <c r="DX117" s="247">
        <f t="shared" si="873"/>
        <v>0</v>
      </c>
      <c r="DY117" s="247">
        <f t="shared" si="873"/>
        <v>0</v>
      </c>
      <c r="DZ117" s="247">
        <f t="shared" si="873"/>
        <v>0</v>
      </c>
      <c r="EA117" s="247">
        <f t="shared" si="873"/>
        <v>0</v>
      </c>
      <c r="EB117" s="247">
        <f t="shared" si="873"/>
        <v>0</v>
      </c>
      <c r="EC117" s="247">
        <f t="shared" si="873"/>
        <v>0</v>
      </c>
      <c r="ED117" s="247">
        <f t="shared" si="873"/>
        <v>0</v>
      </c>
      <c r="EE117" s="247">
        <f t="shared" si="873"/>
        <v>0</v>
      </c>
      <c r="EF117" s="247">
        <f t="shared" si="873"/>
        <v>0</v>
      </c>
      <c r="EG117" s="247">
        <f t="shared" si="874"/>
        <v>0</v>
      </c>
      <c r="EH117" s="247">
        <f t="shared" si="874"/>
        <v>0</v>
      </c>
      <c r="EI117" s="247">
        <f t="shared" si="874"/>
        <v>0</v>
      </c>
      <c r="EJ117" s="247">
        <f t="shared" si="874"/>
        <v>0</v>
      </c>
      <c r="EK117" s="247">
        <f t="shared" si="874"/>
        <v>0</v>
      </c>
      <c r="EL117" s="247">
        <f t="shared" si="874"/>
        <v>0</v>
      </c>
      <c r="EM117" s="247">
        <f t="shared" si="874"/>
        <v>0</v>
      </c>
      <c r="EN117" s="247">
        <f t="shared" si="874"/>
        <v>0</v>
      </c>
      <c r="EO117" s="247">
        <f t="shared" si="874"/>
        <v>0</v>
      </c>
      <c r="EP117" s="247">
        <f t="shared" si="874"/>
        <v>0</v>
      </c>
      <c r="EQ117" s="247">
        <f t="shared" si="875"/>
        <v>0</v>
      </c>
      <c r="ER117" s="247">
        <f t="shared" si="875"/>
        <v>0</v>
      </c>
      <c r="ES117" s="247">
        <f t="shared" si="875"/>
        <v>0</v>
      </c>
      <c r="ET117" s="247">
        <f t="shared" si="875"/>
        <v>0</v>
      </c>
      <c r="EU117" s="247">
        <f t="shared" si="875"/>
        <v>0</v>
      </c>
      <c r="EV117" s="247">
        <f t="shared" si="875"/>
        <v>0</v>
      </c>
      <c r="EW117" s="247">
        <f t="shared" si="875"/>
        <v>0</v>
      </c>
      <c r="EX117" s="247">
        <f t="shared" si="875"/>
        <v>0</v>
      </c>
      <c r="EY117" s="247">
        <f t="shared" si="875"/>
        <v>0</v>
      </c>
      <c r="EZ117" s="247">
        <f t="shared" si="875"/>
        <v>0</v>
      </c>
      <c r="FA117" s="247">
        <f t="shared" si="876"/>
        <v>0</v>
      </c>
      <c r="FB117" s="247">
        <f t="shared" si="876"/>
        <v>0</v>
      </c>
      <c r="FC117" s="247">
        <f t="shared" si="876"/>
        <v>0</v>
      </c>
      <c r="FD117" s="247">
        <f t="shared" si="876"/>
        <v>0</v>
      </c>
      <c r="FE117" s="247">
        <f t="shared" si="876"/>
        <v>0</v>
      </c>
      <c r="FF117" s="247">
        <f t="shared" si="876"/>
        <v>0</v>
      </c>
      <c r="FG117" s="324"/>
      <c r="FH117" s="247">
        <f>SUMIF($F$57:$FF$57,FH$57,$F117:$FF117)</f>
        <v>0</v>
      </c>
      <c r="FI117" s="247">
        <f t="shared" si="877"/>
        <v>0</v>
      </c>
      <c r="FJ117" s="247">
        <f t="shared" si="877"/>
        <v>0</v>
      </c>
      <c r="FK117" s="247">
        <f t="shared" si="877"/>
        <v>0</v>
      </c>
      <c r="FL117" s="247">
        <f t="shared" si="877"/>
        <v>0</v>
      </c>
      <c r="FM117" s="247">
        <f t="shared" si="877"/>
        <v>0</v>
      </c>
      <c r="FN117" s="247">
        <f t="shared" si="877"/>
        <v>0</v>
      </c>
      <c r="FO117" s="247">
        <f t="shared" si="877"/>
        <v>0</v>
      </c>
      <c r="FP117" s="247">
        <f t="shared" si="877"/>
        <v>0</v>
      </c>
      <c r="FQ117" s="247">
        <f t="shared" si="877"/>
        <v>0</v>
      </c>
      <c r="FR117" s="247">
        <f t="shared" si="877"/>
        <v>0</v>
      </c>
      <c r="FS117" s="247">
        <f t="shared" si="877"/>
        <v>0</v>
      </c>
      <c r="FT117" s="247">
        <f t="shared" si="877"/>
        <v>0</v>
      </c>
      <c r="FU117" s="247">
        <f t="shared" si="877"/>
        <v>0</v>
      </c>
      <c r="FV117" s="324"/>
    </row>
    <row r="118" spans="3:178" x14ac:dyDescent="0.2">
      <c r="C118" s="39" t="s">
        <v>25</v>
      </c>
      <c r="E118" s="233">
        <f t="shared" si="860"/>
        <v>0</v>
      </c>
      <c r="F118" s="246">
        <v>0</v>
      </c>
      <c r="G118" s="247">
        <f t="shared" si="861"/>
        <v>0</v>
      </c>
      <c r="H118" s="247">
        <f t="shared" si="861"/>
        <v>0</v>
      </c>
      <c r="I118" s="247">
        <f t="shared" si="861"/>
        <v>0</v>
      </c>
      <c r="J118" s="247">
        <f t="shared" si="861"/>
        <v>0</v>
      </c>
      <c r="K118" s="247">
        <f t="shared" si="861"/>
        <v>0</v>
      </c>
      <c r="L118" s="247">
        <f t="shared" si="861"/>
        <v>0</v>
      </c>
      <c r="M118" s="247">
        <f t="shared" si="861"/>
        <v>0</v>
      </c>
      <c r="N118" s="247">
        <f t="shared" si="861"/>
        <v>0</v>
      </c>
      <c r="O118" s="247">
        <f t="shared" si="861"/>
        <v>0</v>
      </c>
      <c r="P118" s="247">
        <f t="shared" si="861"/>
        <v>0</v>
      </c>
      <c r="Q118" s="247">
        <f t="shared" si="862"/>
        <v>0</v>
      </c>
      <c r="R118" s="247">
        <f t="shared" si="862"/>
        <v>0</v>
      </c>
      <c r="S118" s="247">
        <f t="shared" si="862"/>
        <v>0</v>
      </c>
      <c r="T118" s="247">
        <f t="shared" si="862"/>
        <v>0</v>
      </c>
      <c r="U118" s="247">
        <f t="shared" si="862"/>
        <v>0</v>
      </c>
      <c r="V118" s="247">
        <f t="shared" si="862"/>
        <v>0</v>
      </c>
      <c r="W118" s="247">
        <f t="shared" si="862"/>
        <v>0</v>
      </c>
      <c r="X118" s="247">
        <f t="shared" si="862"/>
        <v>0</v>
      </c>
      <c r="Y118" s="247">
        <f t="shared" si="862"/>
        <v>0</v>
      </c>
      <c r="Z118" s="247">
        <f t="shared" si="862"/>
        <v>0</v>
      </c>
      <c r="AA118" s="247">
        <f t="shared" si="863"/>
        <v>0</v>
      </c>
      <c r="AB118" s="247">
        <f t="shared" si="863"/>
        <v>0</v>
      </c>
      <c r="AC118" s="247">
        <f t="shared" si="863"/>
        <v>0</v>
      </c>
      <c r="AD118" s="247">
        <f t="shared" si="863"/>
        <v>0</v>
      </c>
      <c r="AE118" s="247">
        <f t="shared" si="863"/>
        <v>0</v>
      </c>
      <c r="AF118" s="247">
        <f t="shared" si="863"/>
        <v>0</v>
      </c>
      <c r="AG118" s="247">
        <f t="shared" si="863"/>
        <v>0</v>
      </c>
      <c r="AH118" s="247">
        <f t="shared" si="863"/>
        <v>0</v>
      </c>
      <c r="AI118" s="247">
        <f t="shared" si="863"/>
        <v>0</v>
      </c>
      <c r="AJ118" s="247">
        <f t="shared" si="863"/>
        <v>0</v>
      </c>
      <c r="AK118" s="247">
        <f t="shared" si="864"/>
        <v>0</v>
      </c>
      <c r="AL118" s="247">
        <f t="shared" si="864"/>
        <v>0</v>
      </c>
      <c r="AM118" s="247">
        <f t="shared" si="864"/>
        <v>0</v>
      </c>
      <c r="AN118" s="247">
        <f t="shared" si="864"/>
        <v>0</v>
      </c>
      <c r="AO118" s="247">
        <f t="shared" si="864"/>
        <v>0</v>
      </c>
      <c r="AP118" s="247">
        <f t="shared" si="864"/>
        <v>0</v>
      </c>
      <c r="AQ118" s="247">
        <f t="shared" si="864"/>
        <v>0</v>
      </c>
      <c r="AR118" s="247">
        <f t="shared" si="864"/>
        <v>0</v>
      </c>
      <c r="AS118" s="247">
        <f t="shared" si="864"/>
        <v>0</v>
      </c>
      <c r="AT118" s="247">
        <f t="shared" si="864"/>
        <v>0</v>
      </c>
      <c r="AU118" s="247">
        <f t="shared" si="865"/>
        <v>0</v>
      </c>
      <c r="AV118" s="247">
        <f t="shared" si="865"/>
        <v>0</v>
      </c>
      <c r="AW118" s="247">
        <f t="shared" si="865"/>
        <v>0</v>
      </c>
      <c r="AX118" s="247">
        <f t="shared" si="865"/>
        <v>0</v>
      </c>
      <c r="AY118" s="247">
        <f t="shared" si="865"/>
        <v>0</v>
      </c>
      <c r="AZ118" s="247">
        <f t="shared" si="865"/>
        <v>0</v>
      </c>
      <c r="BA118" s="247">
        <f t="shared" si="865"/>
        <v>0</v>
      </c>
      <c r="BB118" s="247">
        <f t="shared" si="865"/>
        <v>0</v>
      </c>
      <c r="BC118" s="247">
        <f t="shared" si="865"/>
        <v>0</v>
      </c>
      <c r="BD118" s="247">
        <f t="shared" si="865"/>
        <v>0</v>
      </c>
      <c r="BE118" s="247">
        <f t="shared" si="866"/>
        <v>0</v>
      </c>
      <c r="BF118" s="247">
        <f t="shared" si="866"/>
        <v>0</v>
      </c>
      <c r="BG118" s="247">
        <f t="shared" si="866"/>
        <v>0</v>
      </c>
      <c r="BH118" s="247">
        <f t="shared" si="866"/>
        <v>0</v>
      </c>
      <c r="BI118" s="247">
        <f t="shared" si="866"/>
        <v>0</v>
      </c>
      <c r="BJ118" s="247">
        <f t="shared" si="866"/>
        <v>0</v>
      </c>
      <c r="BK118" s="247">
        <f t="shared" si="866"/>
        <v>0</v>
      </c>
      <c r="BL118" s="247">
        <f t="shared" si="866"/>
        <v>0</v>
      </c>
      <c r="BM118" s="247">
        <f t="shared" si="866"/>
        <v>0</v>
      </c>
      <c r="BN118" s="247">
        <f t="shared" si="866"/>
        <v>0</v>
      </c>
      <c r="BO118" s="247">
        <f t="shared" si="867"/>
        <v>0</v>
      </c>
      <c r="BP118" s="247">
        <f t="shared" si="867"/>
        <v>0</v>
      </c>
      <c r="BQ118" s="247">
        <f t="shared" si="867"/>
        <v>0</v>
      </c>
      <c r="BR118" s="247">
        <f t="shared" si="867"/>
        <v>0</v>
      </c>
      <c r="BS118" s="247">
        <f t="shared" si="867"/>
        <v>0</v>
      </c>
      <c r="BT118" s="247">
        <f t="shared" si="867"/>
        <v>0</v>
      </c>
      <c r="BU118" s="247">
        <f t="shared" si="867"/>
        <v>0</v>
      </c>
      <c r="BV118" s="247">
        <f t="shared" si="867"/>
        <v>0</v>
      </c>
      <c r="BW118" s="247">
        <f t="shared" si="867"/>
        <v>0</v>
      </c>
      <c r="BX118" s="247">
        <f t="shared" si="867"/>
        <v>0</v>
      </c>
      <c r="BY118" s="247">
        <f t="shared" si="868"/>
        <v>0</v>
      </c>
      <c r="BZ118" s="247">
        <f t="shared" si="868"/>
        <v>0</v>
      </c>
      <c r="CA118" s="247">
        <f t="shared" si="868"/>
        <v>0</v>
      </c>
      <c r="CB118" s="247">
        <f t="shared" si="868"/>
        <v>0</v>
      </c>
      <c r="CC118" s="247">
        <f t="shared" si="868"/>
        <v>0</v>
      </c>
      <c r="CD118" s="247">
        <f t="shared" si="868"/>
        <v>0</v>
      </c>
      <c r="CE118" s="247">
        <f t="shared" si="868"/>
        <v>0</v>
      </c>
      <c r="CF118" s="247">
        <f t="shared" si="868"/>
        <v>0</v>
      </c>
      <c r="CG118" s="247">
        <f t="shared" si="868"/>
        <v>0</v>
      </c>
      <c r="CH118" s="247">
        <f t="shared" si="868"/>
        <v>0</v>
      </c>
      <c r="CI118" s="247">
        <f t="shared" si="869"/>
        <v>0</v>
      </c>
      <c r="CJ118" s="247">
        <f t="shared" si="869"/>
        <v>0</v>
      </c>
      <c r="CK118" s="247">
        <f t="shared" si="869"/>
        <v>0</v>
      </c>
      <c r="CL118" s="247">
        <f t="shared" si="869"/>
        <v>0</v>
      </c>
      <c r="CM118" s="247">
        <f t="shared" si="869"/>
        <v>0</v>
      </c>
      <c r="CN118" s="247">
        <f t="shared" si="869"/>
        <v>0</v>
      </c>
      <c r="CO118" s="247">
        <f t="shared" si="869"/>
        <v>0</v>
      </c>
      <c r="CP118" s="247">
        <f t="shared" si="869"/>
        <v>0</v>
      </c>
      <c r="CQ118" s="247">
        <f t="shared" si="869"/>
        <v>0</v>
      </c>
      <c r="CR118" s="247">
        <f t="shared" si="869"/>
        <v>0</v>
      </c>
      <c r="CS118" s="247">
        <f t="shared" si="870"/>
        <v>0</v>
      </c>
      <c r="CT118" s="247">
        <f t="shared" si="870"/>
        <v>0</v>
      </c>
      <c r="CU118" s="247">
        <f t="shared" si="870"/>
        <v>0</v>
      </c>
      <c r="CV118" s="247">
        <f t="shared" si="870"/>
        <v>0</v>
      </c>
      <c r="CW118" s="247">
        <f t="shared" si="870"/>
        <v>0</v>
      </c>
      <c r="CX118" s="247">
        <f t="shared" si="870"/>
        <v>0</v>
      </c>
      <c r="CY118" s="247">
        <f t="shared" si="870"/>
        <v>0</v>
      </c>
      <c r="CZ118" s="247">
        <f t="shared" si="870"/>
        <v>0</v>
      </c>
      <c r="DA118" s="247">
        <f t="shared" si="870"/>
        <v>0</v>
      </c>
      <c r="DB118" s="247">
        <f t="shared" si="870"/>
        <v>0</v>
      </c>
      <c r="DC118" s="247">
        <f t="shared" si="871"/>
        <v>0</v>
      </c>
      <c r="DD118" s="247">
        <f t="shared" si="871"/>
        <v>0</v>
      </c>
      <c r="DE118" s="247">
        <f t="shared" si="871"/>
        <v>0</v>
      </c>
      <c r="DF118" s="247">
        <f t="shared" si="871"/>
        <v>0</v>
      </c>
      <c r="DG118" s="247">
        <f t="shared" si="871"/>
        <v>0</v>
      </c>
      <c r="DH118" s="247">
        <f t="shared" si="871"/>
        <v>0</v>
      </c>
      <c r="DI118" s="247">
        <f t="shared" si="871"/>
        <v>0</v>
      </c>
      <c r="DJ118" s="247">
        <f t="shared" si="871"/>
        <v>0</v>
      </c>
      <c r="DK118" s="247">
        <f t="shared" si="871"/>
        <v>0</v>
      </c>
      <c r="DL118" s="247">
        <f t="shared" si="871"/>
        <v>0</v>
      </c>
      <c r="DM118" s="247">
        <f t="shared" si="872"/>
        <v>0</v>
      </c>
      <c r="DN118" s="247">
        <f t="shared" si="872"/>
        <v>0</v>
      </c>
      <c r="DO118" s="247">
        <f t="shared" si="872"/>
        <v>0</v>
      </c>
      <c r="DP118" s="247">
        <f t="shared" si="872"/>
        <v>0</v>
      </c>
      <c r="DQ118" s="247">
        <f t="shared" si="872"/>
        <v>0</v>
      </c>
      <c r="DR118" s="247">
        <f t="shared" si="872"/>
        <v>0</v>
      </c>
      <c r="DS118" s="247">
        <f t="shared" si="872"/>
        <v>0</v>
      </c>
      <c r="DT118" s="247">
        <f t="shared" si="872"/>
        <v>0</v>
      </c>
      <c r="DU118" s="247">
        <f t="shared" si="872"/>
        <v>0</v>
      </c>
      <c r="DV118" s="247">
        <f t="shared" si="872"/>
        <v>0</v>
      </c>
      <c r="DW118" s="247">
        <f t="shared" si="873"/>
        <v>0</v>
      </c>
      <c r="DX118" s="247">
        <f t="shared" si="873"/>
        <v>0</v>
      </c>
      <c r="DY118" s="247">
        <f t="shared" si="873"/>
        <v>0</v>
      </c>
      <c r="DZ118" s="247">
        <f t="shared" si="873"/>
        <v>0</v>
      </c>
      <c r="EA118" s="247">
        <f t="shared" si="873"/>
        <v>0</v>
      </c>
      <c r="EB118" s="247">
        <f t="shared" si="873"/>
        <v>0</v>
      </c>
      <c r="EC118" s="247">
        <f t="shared" si="873"/>
        <v>0</v>
      </c>
      <c r="ED118" s="247">
        <f t="shared" si="873"/>
        <v>0</v>
      </c>
      <c r="EE118" s="247">
        <f t="shared" si="873"/>
        <v>0</v>
      </c>
      <c r="EF118" s="247">
        <f t="shared" si="873"/>
        <v>0</v>
      </c>
      <c r="EG118" s="247">
        <f t="shared" si="874"/>
        <v>0</v>
      </c>
      <c r="EH118" s="247">
        <f t="shared" si="874"/>
        <v>0</v>
      </c>
      <c r="EI118" s="247">
        <f t="shared" si="874"/>
        <v>0</v>
      </c>
      <c r="EJ118" s="247">
        <f t="shared" si="874"/>
        <v>0</v>
      </c>
      <c r="EK118" s="247">
        <f t="shared" si="874"/>
        <v>0</v>
      </c>
      <c r="EL118" s="247">
        <f t="shared" si="874"/>
        <v>0</v>
      </c>
      <c r="EM118" s="247">
        <f t="shared" si="874"/>
        <v>0</v>
      </c>
      <c r="EN118" s="247">
        <f t="shared" si="874"/>
        <v>0</v>
      </c>
      <c r="EO118" s="247">
        <f t="shared" si="874"/>
        <v>0</v>
      </c>
      <c r="EP118" s="247">
        <f t="shared" si="874"/>
        <v>0</v>
      </c>
      <c r="EQ118" s="247">
        <f t="shared" si="875"/>
        <v>0</v>
      </c>
      <c r="ER118" s="247">
        <f t="shared" si="875"/>
        <v>0</v>
      </c>
      <c r="ES118" s="247">
        <f t="shared" si="875"/>
        <v>0</v>
      </c>
      <c r="ET118" s="247">
        <f t="shared" si="875"/>
        <v>0</v>
      </c>
      <c r="EU118" s="247">
        <f t="shared" si="875"/>
        <v>0</v>
      </c>
      <c r="EV118" s="247">
        <f t="shared" si="875"/>
        <v>0</v>
      </c>
      <c r="EW118" s="247">
        <f t="shared" si="875"/>
        <v>0</v>
      </c>
      <c r="EX118" s="247">
        <f t="shared" si="875"/>
        <v>0</v>
      </c>
      <c r="EY118" s="247">
        <f t="shared" si="875"/>
        <v>0</v>
      </c>
      <c r="EZ118" s="247">
        <f t="shared" si="875"/>
        <v>0</v>
      </c>
      <c r="FA118" s="247">
        <f t="shared" si="876"/>
        <v>0</v>
      </c>
      <c r="FB118" s="247">
        <f t="shared" si="876"/>
        <v>0</v>
      </c>
      <c r="FC118" s="247">
        <f t="shared" si="876"/>
        <v>0</v>
      </c>
      <c r="FD118" s="247">
        <f t="shared" si="876"/>
        <v>0</v>
      </c>
      <c r="FE118" s="247">
        <f t="shared" si="876"/>
        <v>0</v>
      </c>
      <c r="FF118" s="247">
        <f t="shared" si="876"/>
        <v>0</v>
      </c>
      <c r="FG118" s="324"/>
      <c r="FH118" s="247">
        <f>SUMIF($F$57:$FF$57,FH$57,$F118:$FF118)</f>
        <v>0</v>
      </c>
      <c r="FI118" s="247">
        <f t="shared" si="877"/>
        <v>0</v>
      </c>
      <c r="FJ118" s="247">
        <f t="shared" si="877"/>
        <v>0</v>
      </c>
      <c r="FK118" s="247">
        <f t="shared" si="877"/>
        <v>0</v>
      </c>
      <c r="FL118" s="247">
        <f t="shared" si="877"/>
        <v>0</v>
      </c>
      <c r="FM118" s="247">
        <f t="shared" si="877"/>
        <v>0</v>
      </c>
      <c r="FN118" s="247">
        <f t="shared" si="877"/>
        <v>0</v>
      </c>
      <c r="FO118" s="247">
        <f t="shared" si="877"/>
        <v>0</v>
      </c>
      <c r="FP118" s="247">
        <f t="shared" si="877"/>
        <v>0</v>
      </c>
      <c r="FQ118" s="247">
        <f t="shared" si="877"/>
        <v>0</v>
      </c>
      <c r="FR118" s="247">
        <f t="shared" si="877"/>
        <v>0</v>
      </c>
      <c r="FS118" s="247">
        <f t="shared" si="877"/>
        <v>0</v>
      </c>
      <c r="FT118" s="247">
        <f t="shared" si="877"/>
        <v>0</v>
      </c>
      <c r="FU118" s="247">
        <f t="shared" si="877"/>
        <v>0</v>
      </c>
      <c r="FV118" s="324"/>
    </row>
    <row r="119" spans="3:178" s="77" customFormat="1" x14ac:dyDescent="0.2">
      <c r="C119" s="80" t="s">
        <v>184</v>
      </c>
      <c r="D119" s="80"/>
      <c r="E119" s="281">
        <f t="shared" si="860"/>
        <v>318301.862525378</v>
      </c>
      <c r="F119" s="282">
        <v>0</v>
      </c>
      <c r="G119" s="283">
        <f t="shared" ref="G119:BQ119" si="878">SUM(G116:G118)</f>
        <v>1670.8333333333333</v>
      </c>
      <c r="H119" s="283">
        <f t="shared" si="878"/>
        <v>1675.0104166666667</v>
      </c>
      <c r="I119" s="283">
        <f t="shared" si="878"/>
        <v>1679.1979427083329</v>
      </c>
      <c r="J119" s="283">
        <f t="shared" si="878"/>
        <v>1683.3959375651041</v>
      </c>
      <c r="K119" s="283">
        <f t="shared" si="878"/>
        <v>1687.604427409017</v>
      </c>
      <c r="L119" s="283">
        <f t="shared" si="878"/>
        <v>1691.8234384775392</v>
      </c>
      <c r="M119" s="283">
        <f t="shared" si="878"/>
        <v>1696.052997073733</v>
      </c>
      <c r="N119" s="283">
        <f t="shared" si="878"/>
        <v>1700.2931295664175</v>
      </c>
      <c r="O119" s="283">
        <f t="shared" si="878"/>
        <v>1704.5438623903337</v>
      </c>
      <c r="P119" s="283">
        <f t="shared" si="878"/>
        <v>1708.8052220463092</v>
      </c>
      <c r="Q119" s="283">
        <f t="shared" si="878"/>
        <v>1713.077235101425</v>
      </c>
      <c r="R119" s="283">
        <f t="shared" si="878"/>
        <v>1717.3599281891782</v>
      </c>
      <c r="S119" s="283">
        <f t="shared" si="878"/>
        <v>1721.653328009651</v>
      </c>
      <c r="T119" s="283">
        <f t="shared" si="878"/>
        <v>1725.9574613296752</v>
      </c>
      <c r="U119" s="283">
        <f t="shared" si="878"/>
        <v>1730.2723549829991</v>
      </c>
      <c r="V119" s="283">
        <f t="shared" si="878"/>
        <v>1734.5980358704564</v>
      </c>
      <c r="W119" s="283">
        <f t="shared" si="878"/>
        <v>1738.9345309601324</v>
      </c>
      <c r="X119" s="283">
        <f t="shared" si="878"/>
        <v>1743.2818672875324</v>
      </c>
      <c r="Y119" s="283">
        <f t="shared" si="878"/>
        <v>1747.6400719557514</v>
      </c>
      <c r="Z119" s="283">
        <f t="shared" si="878"/>
        <v>1752.0091721356405</v>
      </c>
      <c r="AA119" s="283">
        <f t="shared" si="878"/>
        <v>1756.3891950659795</v>
      </c>
      <c r="AB119" s="283">
        <f t="shared" si="878"/>
        <v>1760.7801680536443</v>
      </c>
      <c r="AC119" s="283">
        <f t="shared" si="878"/>
        <v>1765.1821184737785</v>
      </c>
      <c r="AD119" s="283">
        <f t="shared" si="878"/>
        <v>1769.5950737699625</v>
      </c>
      <c r="AE119" s="283">
        <f t="shared" si="878"/>
        <v>1774.0190614543874</v>
      </c>
      <c r="AF119" s="283">
        <f t="shared" si="878"/>
        <v>1778.4541091080232</v>
      </c>
      <c r="AG119" s="283">
        <f t="shared" si="878"/>
        <v>1782.9002443807931</v>
      </c>
      <c r="AH119" s="283">
        <f t="shared" si="878"/>
        <v>1787.3574949917447</v>
      </c>
      <c r="AI119" s="283">
        <f t="shared" si="878"/>
        <v>1791.8258887292243</v>
      </c>
      <c r="AJ119" s="283">
        <f t="shared" si="878"/>
        <v>1796.305453451047</v>
      </c>
      <c r="AK119" s="283">
        <f t="shared" si="878"/>
        <v>1800.7962170846745</v>
      </c>
      <c r="AL119" s="283">
        <f t="shared" si="878"/>
        <v>1805.2982076273861</v>
      </c>
      <c r="AM119" s="283">
        <f t="shared" si="878"/>
        <v>1809.8114531464546</v>
      </c>
      <c r="AN119" s="283">
        <f t="shared" si="878"/>
        <v>1814.3359817793207</v>
      </c>
      <c r="AO119" s="283">
        <f t="shared" si="878"/>
        <v>1818.8718217337691</v>
      </c>
      <c r="AP119" s="283">
        <f t="shared" si="878"/>
        <v>1823.4190012881033</v>
      </c>
      <c r="AQ119" s="283">
        <f t="shared" si="878"/>
        <v>1827.9775487913234</v>
      </c>
      <c r="AR119" s="283">
        <f t="shared" si="878"/>
        <v>1832.5474926633017</v>
      </c>
      <c r="AS119" s="283">
        <f t="shared" si="878"/>
        <v>1837.1288613949598</v>
      </c>
      <c r="AT119" s="283">
        <f t="shared" si="878"/>
        <v>1841.7216835484473</v>
      </c>
      <c r="AU119" s="283">
        <f t="shared" si="878"/>
        <v>1846.3259877573182</v>
      </c>
      <c r="AV119" s="283">
        <f t="shared" si="878"/>
        <v>1850.9418027267116</v>
      </c>
      <c r="AW119" s="283">
        <f t="shared" si="878"/>
        <v>1855.5691572335281</v>
      </c>
      <c r="AX119" s="283">
        <f t="shared" si="878"/>
        <v>1860.2080801266115</v>
      </c>
      <c r="AY119" s="283">
        <f t="shared" si="878"/>
        <v>1864.8586003269279</v>
      </c>
      <c r="AZ119" s="283">
        <f t="shared" si="878"/>
        <v>1869.5207468277449</v>
      </c>
      <c r="BA119" s="283">
        <f t="shared" si="878"/>
        <v>1874.1945486948143</v>
      </c>
      <c r="BB119" s="283">
        <f t="shared" si="878"/>
        <v>1878.880035066551</v>
      </c>
      <c r="BC119" s="283">
        <f t="shared" si="878"/>
        <v>1883.5772351542171</v>
      </c>
      <c r="BD119" s="283">
        <f t="shared" si="878"/>
        <v>1888.2861782421028</v>
      </c>
      <c r="BE119" s="283">
        <f t="shared" si="878"/>
        <v>1893.006893687708</v>
      </c>
      <c r="BF119" s="283">
        <f t="shared" si="878"/>
        <v>1897.7394109219272</v>
      </c>
      <c r="BG119" s="283">
        <f t="shared" si="878"/>
        <v>1902.4837594492319</v>
      </c>
      <c r="BH119" s="283">
        <f t="shared" si="878"/>
        <v>1907.2399688478547</v>
      </c>
      <c r="BI119" s="283">
        <f t="shared" si="878"/>
        <v>1912.0080687699744</v>
      </c>
      <c r="BJ119" s="283">
        <f t="shared" si="878"/>
        <v>1916.7880889418991</v>
      </c>
      <c r="BK119" s="283">
        <f t="shared" si="878"/>
        <v>1921.5800591642537</v>
      </c>
      <c r="BL119" s="283">
        <f t="shared" si="878"/>
        <v>1926.3840093121644</v>
      </c>
      <c r="BM119" s="283">
        <f t="shared" si="878"/>
        <v>1931.1999693354448</v>
      </c>
      <c r="BN119" s="283">
        <f t="shared" si="878"/>
        <v>1936.0279692587831</v>
      </c>
      <c r="BO119" s="283">
        <f t="shared" si="878"/>
        <v>1940.8680391819303</v>
      </c>
      <c r="BP119" s="283">
        <f t="shared" si="878"/>
        <v>1945.7202092798848</v>
      </c>
      <c r="BQ119" s="283">
        <f t="shared" si="878"/>
        <v>1950.5845098030843</v>
      </c>
      <c r="BR119" s="283">
        <f t="shared" ref="BR119:EC119" si="879">SUM(BR116:BR118)</f>
        <v>1955.4609710775917</v>
      </c>
      <c r="BS119" s="283">
        <f t="shared" si="879"/>
        <v>1960.3496235052858</v>
      </c>
      <c r="BT119" s="283">
        <f t="shared" si="879"/>
        <v>1965.2504975640491</v>
      </c>
      <c r="BU119" s="283">
        <f t="shared" si="879"/>
        <v>1970.1636238079586</v>
      </c>
      <c r="BV119" s="283">
        <f t="shared" si="879"/>
        <v>1975.0890328674786</v>
      </c>
      <c r="BW119" s="283">
        <f t="shared" si="879"/>
        <v>1980.0267554496468</v>
      </c>
      <c r="BX119" s="283">
        <f t="shared" si="879"/>
        <v>1984.9768223382712</v>
      </c>
      <c r="BY119" s="283">
        <f t="shared" si="879"/>
        <v>1989.9392643941167</v>
      </c>
      <c r="BZ119" s="283">
        <f t="shared" si="879"/>
        <v>1994.9141125551018</v>
      </c>
      <c r="CA119" s="283">
        <f t="shared" si="879"/>
        <v>1999.9013978364897</v>
      </c>
      <c r="CB119" s="283">
        <f t="shared" si="879"/>
        <v>2004.9011513310809</v>
      </c>
      <c r="CC119" s="283">
        <f t="shared" si="879"/>
        <v>2009.9134042094086</v>
      </c>
      <c r="CD119" s="283">
        <f t="shared" si="879"/>
        <v>2014.9381877199316</v>
      </c>
      <c r="CE119" s="283">
        <f t="shared" si="879"/>
        <v>2019.9755331892316</v>
      </c>
      <c r="CF119" s="283">
        <f t="shared" si="879"/>
        <v>2025.0254720222047</v>
      </c>
      <c r="CG119" s="283">
        <f t="shared" si="879"/>
        <v>2030.08803570226</v>
      </c>
      <c r="CH119" s="283">
        <f t="shared" si="879"/>
        <v>2035.1632557915157</v>
      </c>
      <c r="CI119" s="283">
        <f t="shared" si="879"/>
        <v>2040.2511639309946</v>
      </c>
      <c r="CJ119" s="283">
        <f t="shared" si="879"/>
        <v>2045.3517918408218</v>
      </c>
      <c r="CK119" s="283">
        <f t="shared" si="879"/>
        <v>2050.4651713204235</v>
      </c>
      <c r="CL119" s="283">
        <f t="shared" si="879"/>
        <v>2055.5913342487247</v>
      </c>
      <c r="CM119" s="283">
        <f t="shared" si="879"/>
        <v>2060.7303125843464</v>
      </c>
      <c r="CN119" s="283">
        <f t="shared" si="879"/>
        <v>2065.8821383658074</v>
      </c>
      <c r="CO119" s="283">
        <f t="shared" si="879"/>
        <v>2071.046843711722</v>
      </c>
      <c r="CP119" s="283">
        <f t="shared" si="879"/>
        <v>2076.2244608210012</v>
      </c>
      <c r="CQ119" s="283">
        <f t="shared" si="879"/>
        <v>2081.4150219730532</v>
      </c>
      <c r="CR119" s="283">
        <f t="shared" si="879"/>
        <v>2086.6185595279853</v>
      </c>
      <c r="CS119" s="283">
        <f t="shared" si="879"/>
        <v>2091.8351059268057</v>
      </c>
      <c r="CT119" s="283">
        <f t="shared" si="879"/>
        <v>2097.0646936916223</v>
      </c>
      <c r="CU119" s="283">
        <f t="shared" si="879"/>
        <v>2102.3073554258513</v>
      </c>
      <c r="CV119" s="283">
        <f t="shared" si="879"/>
        <v>2107.563123814416</v>
      </c>
      <c r="CW119" s="283">
        <f t="shared" si="879"/>
        <v>2112.8320316239515</v>
      </c>
      <c r="CX119" s="283">
        <f t="shared" si="879"/>
        <v>2118.1141117030115</v>
      </c>
      <c r="CY119" s="283">
        <f t="shared" si="879"/>
        <v>2123.4093969822693</v>
      </c>
      <c r="CZ119" s="283">
        <f t="shared" si="879"/>
        <v>2128.7179204747245</v>
      </c>
      <c r="DA119" s="283">
        <f t="shared" si="879"/>
        <v>2134.0397152759115</v>
      </c>
      <c r="DB119" s="283">
        <f t="shared" si="879"/>
        <v>2139.3748145641007</v>
      </c>
      <c r="DC119" s="283">
        <f t="shared" si="879"/>
        <v>2144.723251600511</v>
      </c>
      <c r="DD119" s="283">
        <f t="shared" si="879"/>
        <v>2150.0850597295125</v>
      </c>
      <c r="DE119" s="283">
        <f t="shared" si="879"/>
        <v>2155.4602723788362</v>
      </c>
      <c r="DF119" s="283">
        <f t="shared" si="879"/>
        <v>2160.8489230597834</v>
      </c>
      <c r="DG119" s="283">
        <f t="shared" si="879"/>
        <v>2166.2510453674327</v>
      </c>
      <c r="DH119" s="283">
        <f t="shared" si="879"/>
        <v>2171.6666729808512</v>
      </c>
      <c r="DI119" s="283">
        <f t="shared" si="879"/>
        <v>2177.0958396633032</v>
      </c>
      <c r="DJ119" s="283">
        <f t="shared" si="879"/>
        <v>2182.5385792624611</v>
      </c>
      <c r="DK119" s="283">
        <f t="shared" si="879"/>
        <v>2187.9949257106173</v>
      </c>
      <c r="DL119" s="283">
        <f t="shared" si="879"/>
        <v>2193.464913024894</v>
      </c>
      <c r="DM119" s="283">
        <f t="shared" si="879"/>
        <v>2198.9485753074559</v>
      </c>
      <c r="DN119" s="283">
        <f t="shared" si="879"/>
        <v>2204.4459467457245</v>
      </c>
      <c r="DO119" s="283">
        <f t="shared" si="879"/>
        <v>2209.9570616125884</v>
      </c>
      <c r="DP119" s="283">
        <f t="shared" si="879"/>
        <v>2215.4819542666201</v>
      </c>
      <c r="DQ119" s="283">
        <f t="shared" si="879"/>
        <v>2221.020659152286</v>
      </c>
      <c r="DR119" s="283">
        <f t="shared" si="879"/>
        <v>2226.5732108001666</v>
      </c>
      <c r="DS119" s="283">
        <f t="shared" si="879"/>
        <v>2232.1396438271668</v>
      </c>
      <c r="DT119" s="283">
        <f t="shared" si="879"/>
        <v>2237.7199929367348</v>
      </c>
      <c r="DU119" s="283">
        <f t="shared" si="879"/>
        <v>2243.3142929190767</v>
      </c>
      <c r="DV119" s="283">
        <f t="shared" si="879"/>
        <v>2248.9225786513744</v>
      </c>
      <c r="DW119" s="283">
        <f t="shared" si="879"/>
        <v>2254.5448850980029</v>
      </c>
      <c r="DX119" s="283">
        <f t="shared" si="879"/>
        <v>2260.1812473107475</v>
      </c>
      <c r="DY119" s="283">
        <f t="shared" si="879"/>
        <v>2265.8317004290243</v>
      </c>
      <c r="DZ119" s="283">
        <f t="shared" si="879"/>
        <v>2271.4962796800964</v>
      </c>
      <c r="EA119" s="283">
        <f t="shared" si="879"/>
        <v>2277.1750203792967</v>
      </c>
      <c r="EB119" s="283">
        <f t="shared" si="879"/>
        <v>2282.8679579302448</v>
      </c>
      <c r="EC119" s="283">
        <f t="shared" si="879"/>
        <v>2288.5751278250705</v>
      </c>
      <c r="ED119" s="283">
        <f t="shared" ref="ED119:FC119" si="880">SUM(ED116:ED118)</f>
        <v>2294.2965656446331</v>
      </c>
      <c r="EE119" s="283">
        <f t="shared" si="880"/>
        <v>2300.0323070587447</v>
      </c>
      <c r="EF119" s="283">
        <f t="shared" si="880"/>
        <v>2305.7823878263912</v>
      </c>
      <c r="EG119" s="283">
        <f t="shared" si="880"/>
        <v>2311.5468437959566</v>
      </c>
      <c r="EH119" s="283">
        <f t="shared" si="880"/>
        <v>2317.3257109054466</v>
      </c>
      <c r="EI119" s="283">
        <f t="shared" si="880"/>
        <v>2323.1190251827102</v>
      </c>
      <c r="EJ119" s="283">
        <f t="shared" si="880"/>
        <v>2328.9268227456669</v>
      </c>
      <c r="EK119" s="283">
        <f t="shared" si="880"/>
        <v>2334.7491398025304</v>
      </c>
      <c r="EL119" s="283">
        <f t="shared" si="880"/>
        <v>2340.5860126520365</v>
      </c>
      <c r="EM119" s="283">
        <f t="shared" si="880"/>
        <v>2346.4374776836667</v>
      </c>
      <c r="EN119" s="283">
        <f t="shared" si="880"/>
        <v>2352.3035713778759</v>
      </c>
      <c r="EO119" s="283">
        <f t="shared" si="880"/>
        <v>2358.1843303063201</v>
      </c>
      <c r="EP119" s="283">
        <f t="shared" si="880"/>
        <v>2364.0797911320856</v>
      </c>
      <c r="EQ119" s="283">
        <f t="shared" si="880"/>
        <v>2369.9899906099158</v>
      </c>
      <c r="ER119" s="283">
        <f t="shared" si="880"/>
        <v>2375.9149655864403</v>
      </c>
      <c r="ES119" s="283">
        <f t="shared" si="880"/>
        <v>2381.8547530004066</v>
      </c>
      <c r="ET119" s="283">
        <f t="shared" si="880"/>
        <v>2387.8093898829075</v>
      </c>
      <c r="EU119" s="283">
        <f t="shared" si="880"/>
        <v>2393.7789133576148</v>
      </c>
      <c r="EV119" s="283">
        <f t="shared" si="880"/>
        <v>2399.7633606410086</v>
      </c>
      <c r="EW119" s="283">
        <f t="shared" si="880"/>
        <v>2405.7627690426111</v>
      </c>
      <c r="EX119" s="283">
        <f t="shared" si="880"/>
        <v>2411.7771759652173</v>
      </c>
      <c r="EY119" s="283">
        <f t="shared" si="880"/>
        <v>2417.8066189051306</v>
      </c>
      <c r="EZ119" s="283">
        <f t="shared" si="880"/>
        <v>2423.851135452393</v>
      </c>
      <c r="FA119" s="283">
        <f t="shared" si="880"/>
        <v>2429.9107632910241</v>
      </c>
      <c r="FB119" s="283">
        <f t="shared" si="880"/>
        <v>2435.9855401992513</v>
      </c>
      <c r="FC119" s="283">
        <f t="shared" si="880"/>
        <v>2442.0755040497493</v>
      </c>
      <c r="FD119" s="283">
        <f t="shared" ref="FD119:FE119" si="881">SUM(FD116:FD118)</f>
        <v>2448.1806928098736</v>
      </c>
      <c r="FE119" s="283">
        <f t="shared" si="881"/>
        <v>2454.3011445418979</v>
      </c>
      <c r="FF119" s="283">
        <f t="shared" ref="FF119" si="882">SUM(FF116:FF118)</f>
        <v>2460.4368974032523</v>
      </c>
      <c r="FG119" s="325"/>
      <c r="FH119" s="283">
        <f>SUMIF($F$57:$FF$57,FH$57,$F119:$FF119)</f>
        <v>11783.918493233727</v>
      </c>
      <c r="FI119" s="283">
        <f t="shared" si="877"/>
        <v>20686.417027689866</v>
      </c>
      <c r="FJ119" s="283">
        <f t="shared" si="877"/>
        <v>21315.614196698902</v>
      </c>
      <c r="FK119" s="283">
        <f t="shared" si="877"/>
        <v>21963.948999690623</v>
      </c>
      <c r="FL119" s="283">
        <f t="shared" si="877"/>
        <v>22632.003526115663</v>
      </c>
      <c r="FM119" s="283">
        <f t="shared" si="877"/>
        <v>23320.377570232329</v>
      </c>
      <c r="FN119" s="283">
        <f t="shared" si="877"/>
        <v>24029.68916961522</v>
      </c>
      <c r="FO119" s="283">
        <f t="shared" si="877"/>
        <v>24760.575160043205</v>
      </c>
      <c r="FP119" s="283">
        <f t="shared" si="877"/>
        <v>25513.691747264718</v>
      </c>
      <c r="FQ119" s="283">
        <f t="shared" si="877"/>
        <v>26289.715096154017</v>
      </c>
      <c r="FR119" s="283">
        <f t="shared" si="877"/>
        <v>27089.341937787005</v>
      </c>
      <c r="FS119" s="283">
        <f t="shared" si="877"/>
        <v>27913.290194981979</v>
      </c>
      <c r="FT119" s="283">
        <f t="shared" si="877"/>
        <v>28762.299626866759</v>
      </c>
      <c r="FU119" s="283">
        <f t="shared" si="877"/>
        <v>12240.979779004025</v>
      </c>
      <c r="FV119" s="325"/>
    </row>
    <row r="120" spans="3:178" x14ac:dyDescent="0.2">
      <c r="E120" s="231"/>
    </row>
    <row r="121" spans="3:178" s="277" customFormat="1" x14ac:dyDescent="0.2">
      <c r="C121" s="274" t="s">
        <v>185</v>
      </c>
      <c r="D121" s="275"/>
      <c r="E121" s="276">
        <f>SUM(F121:FF121)</f>
        <v>28658410.604087833</v>
      </c>
      <c r="F121" s="274">
        <f>F113-F119</f>
        <v>0</v>
      </c>
      <c r="G121" s="274">
        <f t="shared" ref="G121:BR121" si="883">G113-G119</f>
        <v>150434.01674674681</v>
      </c>
      <c r="H121" s="274">
        <f t="shared" si="883"/>
        <v>150810.10178861374</v>
      </c>
      <c r="I121" s="274">
        <f t="shared" si="883"/>
        <v>151187.12704308526</v>
      </c>
      <c r="J121" s="274">
        <f t="shared" si="883"/>
        <v>151565.09486069295</v>
      </c>
      <c r="K121" s="274">
        <f t="shared" si="883"/>
        <v>151944.00759784464</v>
      </c>
      <c r="L121" s="274">
        <f t="shared" si="883"/>
        <v>152323.86761683924</v>
      </c>
      <c r="M121" s="274">
        <f t="shared" si="883"/>
        <v>152704.67728588133</v>
      </c>
      <c r="N121" s="274">
        <f t="shared" si="883"/>
        <v>153086.43897909604</v>
      </c>
      <c r="O121" s="274">
        <f t="shared" si="883"/>
        <v>153469.15507654374</v>
      </c>
      <c r="P121" s="274">
        <f t="shared" si="883"/>
        <v>153852.82796423513</v>
      </c>
      <c r="Q121" s="274">
        <f t="shared" si="883"/>
        <v>154237.46003414568</v>
      </c>
      <c r="R121" s="274">
        <f t="shared" si="883"/>
        <v>154623.0536842311</v>
      </c>
      <c r="S121" s="274">
        <f t="shared" si="883"/>
        <v>155009.61131844157</v>
      </c>
      <c r="T121" s="274">
        <f t="shared" si="883"/>
        <v>155397.13534673772</v>
      </c>
      <c r="U121" s="274">
        <f t="shared" si="883"/>
        <v>155785.62818510461</v>
      </c>
      <c r="V121" s="274">
        <f t="shared" si="883"/>
        <v>156175.09225556732</v>
      </c>
      <c r="W121" s="274">
        <f t="shared" si="883"/>
        <v>156565.52998620624</v>
      </c>
      <c r="X121" s="274">
        <f t="shared" si="883"/>
        <v>156956.94381117178</v>
      </c>
      <c r="Y121" s="274">
        <f t="shared" si="883"/>
        <v>157349.33617069965</v>
      </c>
      <c r="Z121" s="274">
        <f t="shared" si="883"/>
        <v>157742.70951112639</v>
      </c>
      <c r="AA121" s="274">
        <f t="shared" si="883"/>
        <v>158137.06628490423</v>
      </c>
      <c r="AB121" s="274">
        <f t="shared" si="883"/>
        <v>158532.40895061652</v>
      </c>
      <c r="AC121" s="274">
        <f t="shared" si="883"/>
        <v>158928.73997299303</v>
      </c>
      <c r="AD121" s="274">
        <f t="shared" si="883"/>
        <v>159326.06182292546</v>
      </c>
      <c r="AE121" s="274">
        <f t="shared" si="883"/>
        <v>159724.37697748281</v>
      </c>
      <c r="AF121" s="274">
        <f t="shared" si="883"/>
        <v>160123.68791992648</v>
      </c>
      <c r="AG121" s="274">
        <f t="shared" si="883"/>
        <v>160523.99713972627</v>
      </c>
      <c r="AH121" s="274">
        <f t="shared" si="883"/>
        <v>160925.30713257557</v>
      </c>
      <c r="AI121" s="274">
        <f t="shared" si="883"/>
        <v>161327.62040040697</v>
      </c>
      <c r="AJ121" s="274">
        <f t="shared" si="883"/>
        <v>161730.93945140796</v>
      </c>
      <c r="AK121" s="274">
        <f t="shared" si="883"/>
        <v>162135.26680003648</v>
      </c>
      <c r="AL121" s="274">
        <f t="shared" si="883"/>
        <v>162540.60496703663</v>
      </c>
      <c r="AM121" s="274">
        <f t="shared" si="883"/>
        <v>162946.95647945418</v>
      </c>
      <c r="AN121" s="274">
        <f t="shared" si="883"/>
        <v>163354.32387065282</v>
      </c>
      <c r="AO121" s="274">
        <f t="shared" si="883"/>
        <v>163762.7096803294</v>
      </c>
      <c r="AP121" s="274">
        <f t="shared" si="883"/>
        <v>164172.11645453025</v>
      </c>
      <c r="AQ121" s="274">
        <f t="shared" si="883"/>
        <v>164582.54674566654</v>
      </c>
      <c r="AR121" s="274">
        <f t="shared" si="883"/>
        <v>164994.00311253069</v>
      </c>
      <c r="AS121" s="274">
        <f t="shared" si="883"/>
        <v>165406.48812031196</v>
      </c>
      <c r="AT121" s="274">
        <f t="shared" si="883"/>
        <v>165820.00434061282</v>
      </c>
      <c r="AU121" s="274">
        <f t="shared" si="883"/>
        <v>166234.55435146429</v>
      </c>
      <c r="AV121" s="274">
        <f t="shared" si="883"/>
        <v>166650.140737343</v>
      </c>
      <c r="AW121" s="274">
        <f t="shared" si="883"/>
        <v>167066.76608918633</v>
      </c>
      <c r="AX121" s="274">
        <f t="shared" si="883"/>
        <v>167484.43300440931</v>
      </c>
      <c r="AY121" s="274">
        <f t="shared" si="883"/>
        <v>167903.14408692031</v>
      </c>
      <c r="AZ121" s="274">
        <f t="shared" si="883"/>
        <v>168322.90194713761</v>
      </c>
      <c r="BA121" s="274">
        <f t="shared" si="883"/>
        <v>168743.70920200544</v>
      </c>
      <c r="BB121" s="274">
        <f t="shared" si="883"/>
        <v>169165.56847501048</v>
      </c>
      <c r="BC121" s="274">
        <f t="shared" si="883"/>
        <v>169588.48239619797</v>
      </c>
      <c r="BD121" s="274">
        <f t="shared" si="883"/>
        <v>170012.45360218847</v>
      </c>
      <c r="BE121" s="274">
        <f t="shared" si="883"/>
        <v>170437.48473619396</v>
      </c>
      <c r="BF121" s="274">
        <f t="shared" si="883"/>
        <v>170863.57844803447</v>
      </c>
      <c r="BG121" s="274">
        <f t="shared" si="883"/>
        <v>171290.73739415451</v>
      </c>
      <c r="BH121" s="274">
        <f t="shared" si="883"/>
        <v>171718.96423763991</v>
      </c>
      <c r="BI121" s="274">
        <f t="shared" si="883"/>
        <v>172148.26164823401</v>
      </c>
      <c r="BJ121" s="274">
        <f t="shared" si="883"/>
        <v>172578.63230235458</v>
      </c>
      <c r="BK121" s="274">
        <f t="shared" si="883"/>
        <v>173010.07888311043</v>
      </c>
      <c r="BL121" s="274">
        <f t="shared" si="883"/>
        <v>173442.60408031821</v>
      </c>
      <c r="BM121" s="274">
        <f t="shared" si="883"/>
        <v>173876.21059051898</v>
      </c>
      <c r="BN121" s="274">
        <f t="shared" si="883"/>
        <v>174310.90111699529</v>
      </c>
      <c r="BO121" s="274">
        <f t="shared" si="883"/>
        <v>174746.67836978781</v>
      </c>
      <c r="BP121" s="274">
        <f t="shared" si="883"/>
        <v>175183.54506571221</v>
      </c>
      <c r="BQ121" s="274">
        <f t="shared" si="883"/>
        <v>175621.50392837648</v>
      </c>
      <c r="BR121" s="274">
        <f t="shared" si="883"/>
        <v>176060.55768819744</v>
      </c>
      <c r="BS121" s="274">
        <f t="shared" ref="BS121:ED121" si="884">BS113-BS119</f>
        <v>176500.70908241789</v>
      </c>
      <c r="BT121" s="274">
        <f t="shared" si="884"/>
        <v>176941.96085512394</v>
      </c>
      <c r="BU121" s="274">
        <f t="shared" si="884"/>
        <v>177384.31575726182</v>
      </c>
      <c r="BV121" s="274">
        <f t="shared" si="884"/>
        <v>177827.7765466549</v>
      </c>
      <c r="BW121" s="274">
        <f t="shared" si="884"/>
        <v>178272.34598802152</v>
      </c>
      <c r="BX121" s="274">
        <f t="shared" si="884"/>
        <v>178718.02685299164</v>
      </c>
      <c r="BY121" s="274">
        <f t="shared" si="884"/>
        <v>179164.82192012403</v>
      </c>
      <c r="BZ121" s="274">
        <f t="shared" si="884"/>
        <v>179612.73397492437</v>
      </c>
      <c r="CA121" s="274">
        <f t="shared" si="884"/>
        <v>180061.76580986162</v>
      </c>
      <c r="CB121" s="274">
        <f t="shared" si="884"/>
        <v>180511.92022438627</v>
      </c>
      <c r="CC121" s="274">
        <f t="shared" si="884"/>
        <v>180963.2000249472</v>
      </c>
      <c r="CD121" s="274">
        <f t="shared" si="884"/>
        <v>181415.6080250096</v>
      </c>
      <c r="CE121" s="274">
        <f t="shared" si="884"/>
        <v>181869.14704507211</v>
      </c>
      <c r="CF121" s="274">
        <f t="shared" si="884"/>
        <v>182323.8199126847</v>
      </c>
      <c r="CG121" s="274">
        <f t="shared" si="884"/>
        <v>182779.62946246646</v>
      </c>
      <c r="CH121" s="274">
        <f t="shared" si="884"/>
        <v>183236.5785361226</v>
      </c>
      <c r="CI121" s="274">
        <f t="shared" si="884"/>
        <v>183694.66998246289</v>
      </c>
      <c r="CJ121" s="274">
        <f t="shared" si="884"/>
        <v>184153.90665741902</v>
      </c>
      <c r="CK121" s="274">
        <f t="shared" si="884"/>
        <v>184614.29142406251</v>
      </c>
      <c r="CL121" s="274">
        <f t="shared" si="884"/>
        <v>185075.82715262269</v>
      </c>
      <c r="CM121" s="274">
        <f t="shared" si="884"/>
        <v>185538.51672050427</v>
      </c>
      <c r="CN121" s="274">
        <f t="shared" si="884"/>
        <v>186002.36301230552</v>
      </c>
      <c r="CO121" s="274">
        <f t="shared" si="884"/>
        <v>186467.36891983627</v>
      </c>
      <c r="CP121" s="274">
        <f t="shared" si="884"/>
        <v>186933.53734213588</v>
      </c>
      <c r="CQ121" s="274">
        <f t="shared" si="884"/>
        <v>187400.87118549112</v>
      </c>
      <c r="CR121" s="274">
        <f t="shared" si="884"/>
        <v>187869.37336345488</v>
      </c>
      <c r="CS121" s="274">
        <f t="shared" si="884"/>
        <v>188339.0467968634</v>
      </c>
      <c r="CT121" s="274">
        <f t="shared" si="884"/>
        <v>188809.89441385563</v>
      </c>
      <c r="CU121" s="274">
        <f t="shared" si="884"/>
        <v>189281.91914989025</v>
      </c>
      <c r="CV121" s="274">
        <f t="shared" si="884"/>
        <v>189755.12394776498</v>
      </c>
      <c r="CW121" s="274">
        <f t="shared" si="884"/>
        <v>190229.51175763435</v>
      </c>
      <c r="CX121" s="274">
        <f t="shared" si="884"/>
        <v>190705.08553702844</v>
      </c>
      <c r="CY121" s="274">
        <f t="shared" si="884"/>
        <v>191181.84825087097</v>
      </c>
      <c r="CZ121" s="274">
        <f t="shared" si="884"/>
        <v>191659.80287149816</v>
      </c>
      <c r="DA121" s="274">
        <f t="shared" si="884"/>
        <v>192138.95237867688</v>
      </c>
      <c r="DB121" s="274">
        <f t="shared" si="884"/>
        <v>192619.29975962362</v>
      </c>
      <c r="DC121" s="274">
        <f t="shared" si="884"/>
        <v>193100.84800902262</v>
      </c>
      <c r="DD121" s="274">
        <f t="shared" si="884"/>
        <v>193583.60012904514</v>
      </c>
      <c r="DE121" s="274">
        <f t="shared" si="884"/>
        <v>194067.55912936776</v>
      </c>
      <c r="DF121" s="274">
        <f t="shared" si="884"/>
        <v>194552.72802719119</v>
      </c>
      <c r="DG121" s="274">
        <f t="shared" si="884"/>
        <v>195039.10984725915</v>
      </c>
      <c r="DH121" s="274">
        <f t="shared" si="884"/>
        <v>195526.70762187734</v>
      </c>
      <c r="DI121" s="274">
        <f t="shared" si="884"/>
        <v>196015.52439093206</v>
      </c>
      <c r="DJ121" s="274">
        <f t="shared" si="884"/>
        <v>196505.5632019093</v>
      </c>
      <c r="DK121" s="274">
        <f t="shared" si="884"/>
        <v>196996.8271099141</v>
      </c>
      <c r="DL121" s="274">
        <f t="shared" si="884"/>
        <v>197489.31917768894</v>
      </c>
      <c r="DM121" s="274">
        <f t="shared" si="884"/>
        <v>197983.04247563312</v>
      </c>
      <c r="DN121" s="274">
        <f t="shared" si="884"/>
        <v>198478.00008182213</v>
      </c>
      <c r="DO121" s="274">
        <f t="shared" si="884"/>
        <v>198974.19508202662</v>
      </c>
      <c r="DP121" s="274">
        <f t="shared" si="884"/>
        <v>199471.63056973173</v>
      </c>
      <c r="DQ121" s="274">
        <f t="shared" si="884"/>
        <v>199970.30964615606</v>
      </c>
      <c r="DR121" s="274">
        <f t="shared" si="884"/>
        <v>200470.23542027146</v>
      </c>
      <c r="DS121" s="274">
        <f t="shared" si="884"/>
        <v>200971.41100882215</v>
      </c>
      <c r="DT121" s="274">
        <f t="shared" si="884"/>
        <v>201473.83953634414</v>
      </c>
      <c r="DU121" s="274">
        <f t="shared" si="884"/>
        <v>201977.52413518506</v>
      </c>
      <c r="DV121" s="274">
        <f t="shared" si="884"/>
        <v>202482.46794552301</v>
      </c>
      <c r="DW121" s="274">
        <f t="shared" si="884"/>
        <v>202988.67411538682</v>
      </c>
      <c r="DX121" s="274">
        <f t="shared" si="884"/>
        <v>203496.14580067524</v>
      </c>
      <c r="DY121" s="274">
        <f t="shared" si="884"/>
        <v>204004.8861651769</v>
      </c>
      <c r="DZ121" s="274">
        <f t="shared" si="884"/>
        <v>204514.89838058988</v>
      </c>
      <c r="EA121" s="274">
        <f t="shared" si="884"/>
        <v>205026.18562654129</v>
      </c>
      <c r="EB121" s="274">
        <f t="shared" si="884"/>
        <v>205538.75109060766</v>
      </c>
      <c r="EC121" s="274">
        <f t="shared" si="884"/>
        <v>206052.59796833413</v>
      </c>
      <c r="ED121" s="274">
        <f t="shared" si="884"/>
        <v>206567.72946325495</v>
      </c>
      <c r="EE121" s="274">
        <f t="shared" ref="EE121:FC121" si="885">EE113-EE119</f>
        <v>207084.14878691314</v>
      </c>
      <c r="EF121" s="274">
        <f t="shared" si="885"/>
        <v>207601.8591588804</v>
      </c>
      <c r="EG121" s="274">
        <f t="shared" si="885"/>
        <v>208120.86380677752</v>
      </c>
      <c r="EH121" s="274">
        <f t="shared" si="885"/>
        <v>208641.16596629444</v>
      </c>
      <c r="EI121" s="274">
        <f t="shared" si="885"/>
        <v>209162.76888121021</v>
      </c>
      <c r="EJ121" s="274">
        <f t="shared" si="885"/>
        <v>209685.67580341318</v>
      </c>
      <c r="EK121" s="274">
        <f t="shared" si="885"/>
        <v>210209.88999292176</v>
      </c>
      <c r="EL121" s="274">
        <f t="shared" si="885"/>
        <v>210735.41471790409</v>
      </c>
      <c r="EM121" s="274">
        <f t="shared" si="885"/>
        <v>211262.25325469879</v>
      </c>
      <c r="EN121" s="274">
        <f t="shared" si="885"/>
        <v>211790.40888783557</v>
      </c>
      <c r="EO121" s="274">
        <f t="shared" si="885"/>
        <v>212319.88491005512</v>
      </c>
      <c r="EP121" s="274">
        <f t="shared" si="885"/>
        <v>212850.68462233024</v>
      </c>
      <c r="EQ121" s="274">
        <f t="shared" si="885"/>
        <v>213382.81133388609</v>
      </c>
      <c r="ER121" s="274">
        <f t="shared" si="885"/>
        <v>213916.26836222078</v>
      </c>
      <c r="ES121" s="274">
        <f t="shared" si="885"/>
        <v>214451.05903312631</v>
      </c>
      <c r="ET121" s="274">
        <f t="shared" si="885"/>
        <v>214987.18668070907</v>
      </c>
      <c r="EU121" s="274">
        <f t="shared" si="885"/>
        <v>215524.65464741088</v>
      </c>
      <c r="EV121" s="274">
        <f t="shared" si="885"/>
        <v>216063.46628402945</v>
      </c>
      <c r="EW121" s="274">
        <f t="shared" si="885"/>
        <v>216603.62494973949</v>
      </c>
      <c r="EX121" s="274">
        <f t="shared" si="885"/>
        <v>217145.13401211376</v>
      </c>
      <c r="EY121" s="274">
        <f t="shared" si="885"/>
        <v>217687.99684714401</v>
      </c>
      <c r="EZ121" s="274">
        <f t="shared" si="885"/>
        <v>218232.21683926194</v>
      </c>
      <c r="FA121" s="274">
        <f t="shared" si="885"/>
        <v>218777.79738136005</v>
      </c>
      <c r="FB121" s="274">
        <f t="shared" si="885"/>
        <v>219324.74187481348</v>
      </c>
      <c r="FC121" s="274">
        <f t="shared" si="885"/>
        <v>219873.05372950045</v>
      </c>
      <c r="FD121" s="274">
        <f t="shared" ref="FD121:FE121" si="886">FD113-FD119</f>
        <v>220422.73636382422</v>
      </c>
      <c r="FE121" s="274">
        <f t="shared" si="886"/>
        <v>220973.79320473375</v>
      </c>
      <c r="FF121" s="274">
        <f t="shared" ref="FF121" si="887">FF113-FF119</f>
        <v>221526.22768774562</v>
      </c>
      <c r="FG121" s="288"/>
      <c r="FH121" s="274">
        <f>SUMIF($F$57:$FF$57,FH$57,$F121:$FF121)</f>
        <v>1060968.892939704</v>
      </c>
      <c r="FI121" s="274">
        <f t="shared" ref="FI121:FU121" si="888">SUMIF($F$57:$FF$57,FI$57,$F121:$FF121)</f>
        <v>1862508.2128121806</v>
      </c>
      <c r="FJ121" s="274">
        <f t="shared" si="888"/>
        <v>1919158.1823641281</v>
      </c>
      <c r="FK121" s="274">
        <f t="shared" si="888"/>
        <v>1977531.2149491191</v>
      </c>
      <c r="FL121" s="274">
        <f t="shared" si="888"/>
        <v>2037679.7191781264</v>
      </c>
      <c r="FM121" s="274">
        <f t="shared" si="888"/>
        <v>2099657.6977201747</v>
      </c>
      <c r="FN121" s="274">
        <f t="shared" si="888"/>
        <v>2163520.7957871445</v>
      </c>
      <c r="FO121" s="274">
        <f t="shared" si="888"/>
        <v>2229326.3510932806</v>
      </c>
      <c r="FP121" s="274">
        <f t="shared" si="888"/>
        <v>2297133.445334279</v>
      </c>
      <c r="FQ121" s="274">
        <f t="shared" si="888"/>
        <v>2367002.9572321419</v>
      </c>
      <c r="FR121" s="274">
        <f t="shared" si="888"/>
        <v>2438997.6171934581</v>
      </c>
      <c r="FS121" s="274">
        <f t="shared" si="888"/>
        <v>2513182.063630159</v>
      </c>
      <c r="FT121" s="274">
        <f t="shared" si="888"/>
        <v>2589622.9009933318</v>
      </c>
      <c r="FU121" s="274">
        <f t="shared" si="888"/>
        <v>1102120.5528606176</v>
      </c>
      <c r="FV121" s="288"/>
    </row>
    <row r="122" spans="3:178" x14ac:dyDescent="0.2">
      <c r="C122" s="47"/>
      <c r="E122" s="224"/>
    </row>
    <row r="123" spans="3:178" x14ac:dyDescent="0.2">
      <c r="C123" s="39" t="s">
        <v>157</v>
      </c>
      <c r="E123" s="231">
        <f>SUM(F123:FF123)</f>
        <v>0</v>
      </c>
      <c r="F123" s="232">
        <f>IF(F58&lt;=$H$12,MIN(F121,0),0)</f>
        <v>0</v>
      </c>
      <c r="G123" s="232">
        <f>G121*(G121&lt;0)</f>
        <v>0</v>
      </c>
      <c r="H123" s="232">
        <f t="shared" ref="H123:BS123" si="889">H121*(H121&lt;0)</f>
        <v>0</v>
      </c>
      <c r="I123" s="232">
        <f t="shared" si="889"/>
        <v>0</v>
      </c>
      <c r="J123" s="232">
        <f t="shared" si="889"/>
        <v>0</v>
      </c>
      <c r="K123" s="232">
        <f t="shared" si="889"/>
        <v>0</v>
      </c>
      <c r="L123" s="232">
        <f t="shared" si="889"/>
        <v>0</v>
      </c>
      <c r="M123" s="232">
        <f t="shared" si="889"/>
        <v>0</v>
      </c>
      <c r="N123" s="232">
        <f t="shared" si="889"/>
        <v>0</v>
      </c>
      <c r="O123" s="232">
        <f t="shared" si="889"/>
        <v>0</v>
      </c>
      <c r="P123" s="232">
        <f t="shared" si="889"/>
        <v>0</v>
      </c>
      <c r="Q123" s="232">
        <f t="shared" si="889"/>
        <v>0</v>
      </c>
      <c r="R123" s="232">
        <f t="shared" si="889"/>
        <v>0</v>
      </c>
      <c r="S123" s="232">
        <f t="shared" si="889"/>
        <v>0</v>
      </c>
      <c r="T123" s="232">
        <f t="shared" si="889"/>
        <v>0</v>
      </c>
      <c r="U123" s="232">
        <f t="shared" si="889"/>
        <v>0</v>
      </c>
      <c r="V123" s="232">
        <f t="shared" si="889"/>
        <v>0</v>
      </c>
      <c r="W123" s="232">
        <f t="shared" si="889"/>
        <v>0</v>
      </c>
      <c r="X123" s="232">
        <f t="shared" si="889"/>
        <v>0</v>
      </c>
      <c r="Y123" s="232">
        <f t="shared" si="889"/>
        <v>0</v>
      </c>
      <c r="Z123" s="232">
        <f t="shared" si="889"/>
        <v>0</v>
      </c>
      <c r="AA123" s="232">
        <f t="shared" si="889"/>
        <v>0</v>
      </c>
      <c r="AB123" s="232">
        <f t="shared" si="889"/>
        <v>0</v>
      </c>
      <c r="AC123" s="232">
        <f t="shared" si="889"/>
        <v>0</v>
      </c>
      <c r="AD123" s="232">
        <f t="shared" si="889"/>
        <v>0</v>
      </c>
      <c r="AE123" s="232">
        <f t="shared" si="889"/>
        <v>0</v>
      </c>
      <c r="AF123" s="232">
        <f t="shared" si="889"/>
        <v>0</v>
      </c>
      <c r="AG123" s="232">
        <f t="shared" si="889"/>
        <v>0</v>
      </c>
      <c r="AH123" s="232">
        <f t="shared" si="889"/>
        <v>0</v>
      </c>
      <c r="AI123" s="232">
        <f t="shared" si="889"/>
        <v>0</v>
      </c>
      <c r="AJ123" s="232">
        <f t="shared" si="889"/>
        <v>0</v>
      </c>
      <c r="AK123" s="232">
        <f t="shared" si="889"/>
        <v>0</v>
      </c>
      <c r="AL123" s="232">
        <f t="shared" si="889"/>
        <v>0</v>
      </c>
      <c r="AM123" s="232">
        <f t="shared" si="889"/>
        <v>0</v>
      </c>
      <c r="AN123" s="232">
        <f t="shared" si="889"/>
        <v>0</v>
      </c>
      <c r="AO123" s="232">
        <f t="shared" si="889"/>
        <v>0</v>
      </c>
      <c r="AP123" s="232">
        <f t="shared" si="889"/>
        <v>0</v>
      </c>
      <c r="AQ123" s="232">
        <f t="shared" si="889"/>
        <v>0</v>
      </c>
      <c r="AR123" s="232">
        <f t="shared" si="889"/>
        <v>0</v>
      </c>
      <c r="AS123" s="232">
        <f t="shared" si="889"/>
        <v>0</v>
      </c>
      <c r="AT123" s="232">
        <f t="shared" si="889"/>
        <v>0</v>
      </c>
      <c r="AU123" s="232">
        <f t="shared" si="889"/>
        <v>0</v>
      </c>
      <c r="AV123" s="232">
        <f t="shared" si="889"/>
        <v>0</v>
      </c>
      <c r="AW123" s="232">
        <f t="shared" si="889"/>
        <v>0</v>
      </c>
      <c r="AX123" s="232">
        <f t="shared" si="889"/>
        <v>0</v>
      </c>
      <c r="AY123" s="232">
        <f t="shared" si="889"/>
        <v>0</v>
      </c>
      <c r="AZ123" s="232">
        <f t="shared" si="889"/>
        <v>0</v>
      </c>
      <c r="BA123" s="232">
        <f t="shared" si="889"/>
        <v>0</v>
      </c>
      <c r="BB123" s="232">
        <f t="shared" si="889"/>
        <v>0</v>
      </c>
      <c r="BC123" s="232">
        <f t="shared" si="889"/>
        <v>0</v>
      </c>
      <c r="BD123" s="232">
        <f t="shared" si="889"/>
        <v>0</v>
      </c>
      <c r="BE123" s="232">
        <f t="shared" si="889"/>
        <v>0</v>
      </c>
      <c r="BF123" s="232">
        <f t="shared" si="889"/>
        <v>0</v>
      </c>
      <c r="BG123" s="232">
        <f t="shared" si="889"/>
        <v>0</v>
      </c>
      <c r="BH123" s="232">
        <f t="shared" si="889"/>
        <v>0</v>
      </c>
      <c r="BI123" s="232">
        <f t="shared" si="889"/>
        <v>0</v>
      </c>
      <c r="BJ123" s="232">
        <f t="shared" si="889"/>
        <v>0</v>
      </c>
      <c r="BK123" s="232">
        <f t="shared" si="889"/>
        <v>0</v>
      </c>
      <c r="BL123" s="232">
        <f t="shared" si="889"/>
        <v>0</v>
      </c>
      <c r="BM123" s="232">
        <f t="shared" si="889"/>
        <v>0</v>
      </c>
      <c r="BN123" s="232">
        <f t="shared" si="889"/>
        <v>0</v>
      </c>
      <c r="BO123" s="232">
        <f t="shared" si="889"/>
        <v>0</v>
      </c>
      <c r="BP123" s="232">
        <f t="shared" si="889"/>
        <v>0</v>
      </c>
      <c r="BQ123" s="232">
        <f t="shared" si="889"/>
        <v>0</v>
      </c>
      <c r="BR123" s="232">
        <f t="shared" si="889"/>
        <v>0</v>
      </c>
      <c r="BS123" s="232">
        <f t="shared" si="889"/>
        <v>0</v>
      </c>
      <c r="BT123" s="232">
        <f t="shared" ref="BT123:EE123" si="890">BT121*(BT121&lt;0)</f>
        <v>0</v>
      </c>
      <c r="BU123" s="232">
        <f t="shared" si="890"/>
        <v>0</v>
      </c>
      <c r="BV123" s="232">
        <f t="shared" si="890"/>
        <v>0</v>
      </c>
      <c r="BW123" s="232">
        <f t="shared" si="890"/>
        <v>0</v>
      </c>
      <c r="BX123" s="232">
        <f t="shared" si="890"/>
        <v>0</v>
      </c>
      <c r="BY123" s="232">
        <f t="shared" si="890"/>
        <v>0</v>
      </c>
      <c r="BZ123" s="232">
        <f t="shared" si="890"/>
        <v>0</v>
      </c>
      <c r="CA123" s="232">
        <f t="shared" si="890"/>
        <v>0</v>
      </c>
      <c r="CB123" s="232">
        <f t="shared" si="890"/>
        <v>0</v>
      </c>
      <c r="CC123" s="232">
        <f t="shared" si="890"/>
        <v>0</v>
      </c>
      <c r="CD123" s="232">
        <f t="shared" si="890"/>
        <v>0</v>
      </c>
      <c r="CE123" s="232">
        <f t="shared" si="890"/>
        <v>0</v>
      </c>
      <c r="CF123" s="232">
        <f t="shared" si="890"/>
        <v>0</v>
      </c>
      <c r="CG123" s="232">
        <f t="shared" si="890"/>
        <v>0</v>
      </c>
      <c r="CH123" s="232">
        <f t="shared" si="890"/>
        <v>0</v>
      </c>
      <c r="CI123" s="232">
        <f t="shared" si="890"/>
        <v>0</v>
      </c>
      <c r="CJ123" s="232">
        <f t="shared" si="890"/>
        <v>0</v>
      </c>
      <c r="CK123" s="232">
        <f t="shared" si="890"/>
        <v>0</v>
      </c>
      <c r="CL123" s="232">
        <f t="shared" si="890"/>
        <v>0</v>
      </c>
      <c r="CM123" s="232">
        <f t="shared" si="890"/>
        <v>0</v>
      </c>
      <c r="CN123" s="232">
        <f t="shared" si="890"/>
        <v>0</v>
      </c>
      <c r="CO123" s="232">
        <f t="shared" si="890"/>
        <v>0</v>
      </c>
      <c r="CP123" s="232">
        <f t="shared" si="890"/>
        <v>0</v>
      </c>
      <c r="CQ123" s="232">
        <f t="shared" si="890"/>
        <v>0</v>
      </c>
      <c r="CR123" s="232">
        <f t="shared" si="890"/>
        <v>0</v>
      </c>
      <c r="CS123" s="232">
        <f t="shared" si="890"/>
        <v>0</v>
      </c>
      <c r="CT123" s="232">
        <f t="shared" si="890"/>
        <v>0</v>
      </c>
      <c r="CU123" s="232">
        <f t="shared" si="890"/>
        <v>0</v>
      </c>
      <c r="CV123" s="232">
        <f t="shared" si="890"/>
        <v>0</v>
      </c>
      <c r="CW123" s="232">
        <f t="shared" si="890"/>
        <v>0</v>
      </c>
      <c r="CX123" s="232">
        <f t="shared" si="890"/>
        <v>0</v>
      </c>
      <c r="CY123" s="232">
        <f t="shared" si="890"/>
        <v>0</v>
      </c>
      <c r="CZ123" s="232">
        <f t="shared" si="890"/>
        <v>0</v>
      </c>
      <c r="DA123" s="232">
        <f t="shared" si="890"/>
        <v>0</v>
      </c>
      <c r="DB123" s="232">
        <f t="shared" si="890"/>
        <v>0</v>
      </c>
      <c r="DC123" s="232">
        <f t="shared" si="890"/>
        <v>0</v>
      </c>
      <c r="DD123" s="232">
        <f t="shared" si="890"/>
        <v>0</v>
      </c>
      <c r="DE123" s="232">
        <f t="shared" si="890"/>
        <v>0</v>
      </c>
      <c r="DF123" s="232">
        <f t="shared" si="890"/>
        <v>0</v>
      </c>
      <c r="DG123" s="232">
        <f t="shared" si="890"/>
        <v>0</v>
      </c>
      <c r="DH123" s="232">
        <f t="shared" si="890"/>
        <v>0</v>
      </c>
      <c r="DI123" s="232">
        <f t="shared" si="890"/>
        <v>0</v>
      </c>
      <c r="DJ123" s="232">
        <f t="shared" si="890"/>
        <v>0</v>
      </c>
      <c r="DK123" s="232">
        <f t="shared" si="890"/>
        <v>0</v>
      </c>
      <c r="DL123" s="232">
        <f t="shared" si="890"/>
        <v>0</v>
      </c>
      <c r="DM123" s="232">
        <f t="shared" si="890"/>
        <v>0</v>
      </c>
      <c r="DN123" s="232">
        <f t="shared" si="890"/>
        <v>0</v>
      </c>
      <c r="DO123" s="232">
        <f t="shared" si="890"/>
        <v>0</v>
      </c>
      <c r="DP123" s="232">
        <f t="shared" si="890"/>
        <v>0</v>
      </c>
      <c r="DQ123" s="232">
        <f t="shared" si="890"/>
        <v>0</v>
      </c>
      <c r="DR123" s="232">
        <f t="shared" si="890"/>
        <v>0</v>
      </c>
      <c r="DS123" s="232">
        <f t="shared" si="890"/>
        <v>0</v>
      </c>
      <c r="DT123" s="232">
        <f t="shared" si="890"/>
        <v>0</v>
      </c>
      <c r="DU123" s="232">
        <f t="shared" si="890"/>
        <v>0</v>
      </c>
      <c r="DV123" s="232">
        <f t="shared" si="890"/>
        <v>0</v>
      </c>
      <c r="DW123" s="232">
        <f t="shared" si="890"/>
        <v>0</v>
      </c>
      <c r="DX123" s="232">
        <f t="shared" si="890"/>
        <v>0</v>
      </c>
      <c r="DY123" s="232">
        <f t="shared" si="890"/>
        <v>0</v>
      </c>
      <c r="DZ123" s="232">
        <f t="shared" si="890"/>
        <v>0</v>
      </c>
      <c r="EA123" s="232">
        <f t="shared" si="890"/>
        <v>0</v>
      </c>
      <c r="EB123" s="232">
        <f t="shared" si="890"/>
        <v>0</v>
      </c>
      <c r="EC123" s="232">
        <f t="shared" si="890"/>
        <v>0</v>
      </c>
      <c r="ED123" s="232">
        <f t="shared" si="890"/>
        <v>0</v>
      </c>
      <c r="EE123" s="232">
        <f t="shared" si="890"/>
        <v>0</v>
      </c>
      <c r="EF123" s="232">
        <f t="shared" ref="EF123:FE123" si="891">EF121*(EF121&lt;0)</f>
        <v>0</v>
      </c>
      <c r="EG123" s="232">
        <f t="shared" si="891"/>
        <v>0</v>
      </c>
      <c r="EH123" s="232">
        <f t="shared" si="891"/>
        <v>0</v>
      </c>
      <c r="EI123" s="232">
        <f t="shared" si="891"/>
        <v>0</v>
      </c>
      <c r="EJ123" s="232">
        <f t="shared" si="891"/>
        <v>0</v>
      </c>
      <c r="EK123" s="232">
        <f t="shared" si="891"/>
        <v>0</v>
      </c>
      <c r="EL123" s="232">
        <f t="shared" si="891"/>
        <v>0</v>
      </c>
      <c r="EM123" s="232">
        <f t="shared" si="891"/>
        <v>0</v>
      </c>
      <c r="EN123" s="232">
        <f t="shared" si="891"/>
        <v>0</v>
      </c>
      <c r="EO123" s="232">
        <f t="shared" si="891"/>
        <v>0</v>
      </c>
      <c r="EP123" s="232">
        <f t="shared" si="891"/>
        <v>0</v>
      </c>
      <c r="EQ123" s="232">
        <f t="shared" si="891"/>
        <v>0</v>
      </c>
      <c r="ER123" s="232">
        <f t="shared" si="891"/>
        <v>0</v>
      </c>
      <c r="ES123" s="232">
        <f t="shared" si="891"/>
        <v>0</v>
      </c>
      <c r="ET123" s="232">
        <f t="shared" si="891"/>
        <v>0</v>
      </c>
      <c r="EU123" s="232">
        <f t="shared" si="891"/>
        <v>0</v>
      </c>
      <c r="EV123" s="232">
        <f t="shared" si="891"/>
        <v>0</v>
      </c>
      <c r="EW123" s="232">
        <f t="shared" si="891"/>
        <v>0</v>
      </c>
      <c r="EX123" s="232">
        <f t="shared" si="891"/>
        <v>0</v>
      </c>
      <c r="EY123" s="232">
        <f t="shared" si="891"/>
        <v>0</v>
      </c>
      <c r="EZ123" s="232">
        <f t="shared" si="891"/>
        <v>0</v>
      </c>
      <c r="FA123" s="232">
        <f t="shared" si="891"/>
        <v>0</v>
      </c>
      <c r="FB123" s="232">
        <f t="shared" si="891"/>
        <v>0</v>
      </c>
      <c r="FC123" s="232">
        <f t="shared" si="891"/>
        <v>0</v>
      </c>
      <c r="FD123" s="232">
        <f t="shared" si="891"/>
        <v>0</v>
      </c>
      <c r="FE123" s="232">
        <f t="shared" si="891"/>
        <v>0</v>
      </c>
      <c r="FF123" s="232">
        <f t="shared" ref="FF123" si="892">FF121*(FF121&lt;0)</f>
        <v>0</v>
      </c>
      <c r="FG123" s="321"/>
      <c r="FH123" s="232">
        <f>SUMIF($F$57:$FF$57,FH$57,$F123:$FF123)</f>
        <v>0</v>
      </c>
      <c r="FI123" s="232">
        <f t="shared" ref="FI123:FU123" si="893">SUMIF($F$57:$FF$57,FI$57,$F123:$FF123)</f>
        <v>0</v>
      </c>
      <c r="FJ123" s="232">
        <f t="shared" si="893"/>
        <v>0</v>
      </c>
      <c r="FK123" s="232">
        <f t="shared" si="893"/>
        <v>0</v>
      </c>
      <c r="FL123" s="232">
        <f t="shared" si="893"/>
        <v>0</v>
      </c>
      <c r="FM123" s="232">
        <f t="shared" si="893"/>
        <v>0</v>
      </c>
      <c r="FN123" s="232">
        <f t="shared" si="893"/>
        <v>0</v>
      </c>
      <c r="FO123" s="232">
        <f t="shared" si="893"/>
        <v>0</v>
      </c>
      <c r="FP123" s="232">
        <f t="shared" si="893"/>
        <v>0</v>
      </c>
      <c r="FQ123" s="232">
        <f t="shared" si="893"/>
        <v>0</v>
      </c>
      <c r="FR123" s="232">
        <f t="shared" si="893"/>
        <v>0</v>
      </c>
      <c r="FS123" s="232">
        <f t="shared" si="893"/>
        <v>0</v>
      </c>
      <c r="FT123" s="232">
        <f t="shared" si="893"/>
        <v>0</v>
      </c>
      <c r="FU123" s="232">
        <f t="shared" si="893"/>
        <v>0</v>
      </c>
      <c r="FV123" s="321"/>
    </row>
    <row r="124" spans="3:178" x14ac:dyDescent="0.2">
      <c r="C124" s="47"/>
      <c r="E124" s="224"/>
    </row>
    <row r="125" spans="3:178" x14ac:dyDescent="0.2">
      <c r="C125" s="39" t="s">
        <v>186</v>
      </c>
      <c r="E125" s="232"/>
      <c r="F125" s="248">
        <f ca="1">IF(F$56&gt;12,SUM(OFFSET(F121,,,,-12)),0)</f>
        <v>0</v>
      </c>
      <c r="G125" s="235">
        <f ca="1">IF(G$56&gt;12,SUM(OFFSET(G121,,,,-12)),0)</f>
        <v>0</v>
      </c>
      <c r="H125" s="235">
        <f t="shared" ref="H125:BS125" ca="1" si="894">IF(H$56&gt;12,SUM(OFFSET(H121,,,,-12)),0)</f>
        <v>0</v>
      </c>
      <c r="I125" s="235">
        <f t="shared" ca="1" si="894"/>
        <v>0</v>
      </c>
      <c r="J125" s="235">
        <f t="shared" ca="1" si="894"/>
        <v>0</v>
      </c>
      <c r="K125" s="235">
        <f t="shared" ca="1" si="894"/>
        <v>0</v>
      </c>
      <c r="L125" s="235">
        <f t="shared" ca="1" si="894"/>
        <v>0</v>
      </c>
      <c r="M125" s="235">
        <f t="shared" ca="1" si="894"/>
        <v>0</v>
      </c>
      <c r="N125" s="235">
        <f t="shared" ca="1" si="894"/>
        <v>0</v>
      </c>
      <c r="O125" s="235">
        <f t="shared" ca="1" si="894"/>
        <v>0</v>
      </c>
      <c r="P125" s="235">
        <f t="shared" ca="1" si="894"/>
        <v>0</v>
      </c>
      <c r="Q125" s="235">
        <f t="shared" ca="1" si="894"/>
        <v>0</v>
      </c>
      <c r="R125" s="235">
        <f t="shared" ca="1" si="894"/>
        <v>0</v>
      </c>
      <c r="S125" s="235">
        <f t="shared" ca="1" si="894"/>
        <v>1834813.4232496507</v>
      </c>
      <c r="T125" s="235">
        <f t="shared" ca="1" si="894"/>
        <v>1839400.4568077745</v>
      </c>
      <c r="U125" s="235">
        <f t="shared" ca="1" si="894"/>
        <v>1843998.9579497937</v>
      </c>
      <c r="V125" s="235">
        <f t="shared" ca="1" si="894"/>
        <v>1848608.9553446681</v>
      </c>
      <c r="W125" s="235">
        <f t="shared" ca="1" si="894"/>
        <v>1853230.4777330298</v>
      </c>
      <c r="X125" s="235">
        <f t="shared" ca="1" si="894"/>
        <v>1857863.5539273622</v>
      </c>
      <c r="Y125" s="235">
        <f t="shared" ca="1" si="894"/>
        <v>1862508.2128121806</v>
      </c>
      <c r="Z125" s="235">
        <f t="shared" ca="1" si="894"/>
        <v>1867164.4833442108</v>
      </c>
      <c r="AA125" s="235">
        <f t="shared" ca="1" si="894"/>
        <v>1871832.3945525712</v>
      </c>
      <c r="AB125" s="235">
        <f t="shared" ca="1" si="894"/>
        <v>1876511.9755389527</v>
      </c>
      <c r="AC125" s="235">
        <f t="shared" ca="1" si="894"/>
        <v>1881203.2554778003</v>
      </c>
      <c r="AD125" s="235">
        <f t="shared" ca="1" si="894"/>
        <v>1885906.2636164946</v>
      </c>
      <c r="AE125" s="235">
        <f t="shared" ca="1" si="894"/>
        <v>1890621.0292755361</v>
      </c>
      <c r="AF125" s="235">
        <f t="shared" ca="1" si="894"/>
        <v>1895347.5818487247</v>
      </c>
      <c r="AG125" s="235">
        <f t="shared" ca="1" si="894"/>
        <v>1900085.9508033465</v>
      </c>
      <c r="AH125" s="235">
        <f t="shared" ca="1" si="894"/>
        <v>1904836.1656803545</v>
      </c>
      <c r="AI125" s="235">
        <f t="shared" ca="1" si="894"/>
        <v>1909598.2560945549</v>
      </c>
      <c r="AJ125" s="235">
        <f t="shared" ca="1" si="894"/>
        <v>1914372.2517347911</v>
      </c>
      <c r="AK125" s="235">
        <f t="shared" ca="1" si="894"/>
        <v>1919158.1823641281</v>
      </c>
      <c r="AL125" s="235">
        <f t="shared" ca="1" si="894"/>
        <v>1923956.0778200384</v>
      </c>
      <c r="AM125" s="235">
        <f t="shared" ca="1" si="894"/>
        <v>1928765.9680145883</v>
      </c>
      <c r="AN125" s="235">
        <f t="shared" ca="1" si="894"/>
        <v>1933587.8829346246</v>
      </c>
      <c r="AO125" s="235">
        <f t="shared" ca="1" si="894"/>
        <v>1938421.8526419611</v>
      </c>
      <c r="AP125" s="235">
        <f t="shared" ca="1" si="894"/>
        <v>1943267.9072735657</v>
      </c>
      <c r="AQ125" s="235">
        <f t="shared" ca="1" si="894"/>
        <v>1948126.0770417494</v>
      </c>
      <c r="AR125" s="235">
        <f t="shared" ca="1" si="894"/>
        <v>1952996.3922343538</v>
      </c>
      <c r="AS125" s="235">
        <f t="shared" ca="1" si="894"/>
        <v>1957878.8832149394</v>
      </c>
      <c r="AT125" s="235">
        <f t="shared" ca="1" si="894"/>
        <v>1962773.5804229765</v>
      </c>
      <c r="AU125" s="235">
        <f t="shared" ca="1" si="894"/>
        <v>1967680.514374034</v>
      </c>
      <c r="AV125" s="235">
        <f t="shared" ca="1" si="894"/>
        <v>1972599.7156599695</v>
      </c>
      <c r="AW125" s="235">
        <f t="shared" ca="1" si="894"/>
        <v>1977531.2149491191</v>
      </c>
      <c r="AX125" s="235">
        <f t="shared" ca="1" si="894"/>
        <v>1982475.0429864917</v>
      </c>
      <c r="AY125" s="235">
        <f t="shared" ca="1" si="894"/>
        <v>1987431.2305939579</v>
      </c>
      <c r="AZ125" s="235">
        <f t="shared" ca="1" si="894"/>
        <v>1992399.8086704423</v>
      </c>
      <c r="BA125" s="235">
        <f t="shared" ca="1" si="894"/>
        <v>1997380.8081921188</v>
      </c>
      <c r="BB125" s="235">
        <f t="shared" ca="1" si="894"/>
        <v>2002374.2602125988</v>
      </c>
      <c r="BC125" s="235">
        <f t="shared" ca="1" si="894"/>
        <v>2007380.1958631305</v>
      </c>
      <c r="BD125" s="235">
        <f t="shared" ca="1" si="894"/>
        <v>2012398.6463527882</v>
      </c>
      <c r="BE125" s="235">
        <f t="shared" ca="1" si="894"/>
        <v>2017429.6429686702</v>
      </c>
      <c r="BF125" s="235">
        <f t="shared" ca="1" si="894"/>
        <v>2022473.2170760916</v>
      </c>
      <c r="BG125" s="235">
        <f t="shared" ca="1" si="894"/>
        <v>2027529.4001187817</v>
      </c>
      <c r="BH125" s="235">
        <f t="shared" ca="1" si="894"/>
        <v>2032598.2236190785</v>
      </c>
      <c r="BI125" s="235">
        <f t="shared" ca="1" si="894"/>
        <v>2037679.7191781264</v>
      </c>
      <c r="BJ125" s="235">
        <f t="shared" ca="1" si="894"/>
        <v>2042773.9184760719</v>
      </c>
      <c r="BK125" s="235">
        <f t="shared" ca="1" si="894"/>
        <v>2047880.8532722616</v>
      </c>
      <c r="BL125" s="235">
        <f t="shared" ca="1" si="894"/>
        <v>2053000.5554054424</v>
      </c>
      <c r="BM125" s="235">
        <f t="shared" ca="1" si="894"/>
        <v>2058133.0567939563</v>
      </c>
      <c r="BN125" s="235">
        <f t="shared" ca="1" si="894"/>
        <v>2063278.3894359409</v>
      </c>
      <c r="BO125" s="235">
        <f t="shared" ca="1" si="894"/>
        <v>2068436.5854095307</v>
      </c>
      <c r="BP125" s="235">
        <f t="shared" ca="1" si="894"/>
        <v>2073607.6768730544</v>
      </c>
      <c r="BQ125" s="235">
        <f t="shared" ca="1" si="894"/>
        <v>2078791.6960652368</v>
      </c>
      <c r="BR125" s="235">
        <f t="shared" ca="1" si="894"/>
        <v>2083988.6753053998</v>
      </c>
      <c r="BS125" s="235">
        <f t="shared" ca="1" si="894"/>
        <v>2089198.6469936632</v>
      </c>
      <c r="BT125" s="235">
        <f t="shared" ref="BT125:EE125" ca="1" si="895">IF(BT$56&gt;12,SUM(OFFSET(BT121,,,,-12)),0)</f>
        <v>2094421.6436111471</v>
      </c>
      <c r="BU125" s="235">
        <f t="shared" ca="1" si="895"/>
        <v>2099657.6977201747</v>
      </c>
      <c r="BV125" s="235">
        <f t="shared" ca="1" si="895"/>
        <v>2104906.8419644753</v>
      </c>
      <c r="BW125" s="235">
        <f t="shared" ca="1" si="895"/>
        <v>2110169.109069387</v>
      </c>
      <c r="BX125" s="235">
        <f t="shared" ca="1" si="895"/>
        <v>2115444.5318420599</v>
      </c>
      <c r="BY125" s="235">
        <f t="shared" ca="1" si="895"/>
        <v>2120733.1431716648</v>
      </c>
      <c r="BZ125" s="235">
        <f t="shared" ca="1" si="895"/>
        <v>2126034.9760295944</v>
      </c>
      <c r="CA125" s="235">
        <f t="shared" ca="1" si="895"/>
        <v>2131350.0634696679</v>
      </c>
      <c r="CB125" s="235">
        <f t="shared" ca="1" si="895"/>
        <v>2136678.438628342</v>
      </c>
      <c r="CC125" s="235">
        <f t="shared" ca="1" si="895"/>
        <v>2142020.1347249127</v>
      </c>
      <c r="CD125" s="235">
        <f t="shared" ca="1" si="895"/>
        <v>2147375.1850617249</v>
      </c>
      <c r="CE125" s="235">
        <f t="shared" ca="1" si="895"/>
        <v>2152743.6230243789</v>
      </c>
      <c r="CF125" s="235">
        <f t="shared" ca="1" si="895"/>
        <v>2158125.4820819399</v>
      </c>
      <c r="CG125" s="235">
        <f t="shared" ca="1" si="895"/>
        <v>2163520.7957871445</v>
      </c>
      <c r="CH125" s="235">
        <f t="shared" ca="1" si="895"/>
        <v>2168929.5977766123</v>
      </c>
      <c r="CI125" s="235">
        <f t="shared" ca="1" si="895"/>
        <v>2174351.9217710532</v>
      </c>
      <c r="CJ125" s="235">
        <f t="shared" ca="1" si="895"/>
        <v>2179787.8015754805</v>
      </c>
      <c r="CK125" s="235">
        <f t="shared" ca="1" si="895"/>
        <v>2185237.2710794192</v>
      </c>
      <c r="CL125" s="235">
        <f t="shared" ca="1" si="895"/>
        <v>2190700.3642571177</v>
      </c>
      <c r="CM125" s="235">
        <f t="shared" ca="1" si="895"/>
        <v>2196177.1151677603</v>
      </c>
      <c r="CN125" s="235">
        <f t="shared" ca="1" si="895"/>
        <v>2201667.5579556795</v>
      </c>
      <c r="CO125" s="235">
        <f t="shared" ca="1" si="895"/>
        <v>2207171.7268505683</v>
      </c>
      <c r="CP125" s="235">
        <f t="shared" ca="1" si="895"/>
        <v>2212689.6561676948</v>
      </c>
      <c r="CQ125" s="235">
        <f t="shared" ca="1" si="895"/>
        <v>2218221.380308114</v>
      </c>
      <c r="CR125" s="235">
        <f t="shared" ca="1" si="895"/>
        <v>2223766.9337588842</v>
      </c>
      <c r="CS125" s="235">
        <f t="shared" ca="1" si="895"/>
        <v>2229326.3510932806</v>
      </c>
      <c r="CT125" s="235">
        <f t="shared" ca="1" si="895"/>
        <v>2234899.6669710139</v>
      </c>
      <c r="CU125" s="235">
        <f t="shared" ca="1" si="895"/>
        <v>2240486.9161384413</v>
      </c>
      <c r="CV125" s="235">
        <f t="shared" ca="1" si="895"/>
        <v>2246088.1334287873</v>
      </c>
      <c r="CW125" s="235">
        <f t="shared" ca="1" si="895"/>
        <v>2251703.3537623594</v>
      </c>
      <c r="CX125" s="235">
        <f t="shared" ca="1" si="895"/>
        <v>2257332.612146765</v>
      </c>
      <c r="CY125" s="235">
        <f t="shared" ca="1" si="895"/>
        <v>2262975.943677132</v>
      </c>
      <c r="CZ125" s="235">
        <f t="shared" ca="1" si="895"/>
        <v>2268633.3835363244</v>
      </c>
      <c r="DA125" s="235">
        <f t="shared" ca="1" si="895"/>
        <v>2274304.9669951652</v>
      </c>
      <c r="DB125" s="235">
        <f t="shared" ca="1" si="895"/>
        <v>2279990.729412653</v>
      </c>
      <c r="DC125" s="235">
        <f t="shared" ca="1" si="895"/>
        <v>2285690.7062361846</v>
      </c>
      <c r="DD125" s="235">
        <f t="shared" ca="1" si="895"/>
        <v>2291404.9330017748</v>
      </c>
      <c r="DE125" s="235">
        <f t="shared" ca="1" si="895"/>
        <v>2297133.445334279</v>
      </c>
      <c r="DF125" s="235">
        <f t="shared" ca="1" si="895"/>
        <v>2302876.2789476141</v>
      </c>
      <c r="DG125" s="235">
        <f t="shared" ca="1" si="895"/>
        <v>2308633.4696449833</v>
      </c>
      <c r="DH125" s="235">
        <f t="shared" ca="1" si="895"/>
        <v>2314405.0533190961</v>
      </c>
      <c r="DI125" s="235">
        <f t="shared" ca="1" si="895"/>
        <v>2320191.0659523937</v>
      </c>
      <c r="DJ125" s="235">
        <f t="shared" ca="1" si="895"/>
        <v>2325991.5436172746</v>
      </c>
      <c r="DK125" s="235">
        <f t="shared" ca="1" si="895"/>
        <v>2331806.5224763178</v>
      </c>
      <c r="DL125" s="235">
        <f t="shared" ca="1" si="895"/>
        <v>2337636.0387825086</v>
      </c>
      <c r="DM125" s="235">
        <f t="shared" ca="1" si="895"/>
        <v>2343480.1288794647</v>
      </c>
      <c r="DN125" s="235">
        <f t="shared" ca="1" si="895"/>
        <v>2349338.8292016634</v>
      </c>
      <c r="DO125" s="235">
        <f t="shared" ca="1" si="895"/>
        <v>2355212.176274667</v>
      </c>
      <c r="DP125" s="235">
        <f t="shared" ca="1" si="895"/>
        <v>2361100.2067153533</v>
      </c>
      <c r="DQ125" s="235">
        <f t="shared" ca="1" si="895"/>
        <v>2367002.9572321419</v>
      </c>
      <c r="DR125" s="235">
        <f t="shared" ca="1" si="895"/>
        <v>2372920.4646252217</v>
      </c>
      <c r="DS125" s="235">
        <f t="shared" ca="1" si="895"/>
        <v>2378852.7657867852</v>
      </c>
      <c r="DT125" s="235">
        <f t="shared" ca="1" si="895"/>
        <v>2384799.8977012518</v>
      </c>
      <c r="DU125" s="235">
        <f t="shared" ca="1" si="895"/>
        <v>2390761.897445505</v>
      </c>
      <c r="DV125" s="235">
        <f t="shared" ca="1" si="895"/>
        <v>2396738.8021891187</v>
      </c>
      <c r="DW125" s="235">
        <f t="shared" ca="1" si="895"/>
        <v>2402730.6491945912</v>
      </c>
      <c r="DX125" s="235">
        <f t="shared" ca="1" si="895"/>
        <v>2408737.4758175774</v>
      </c>
      <c r="DY125" s="235">
        <f t="shared" ca="1" si="895"/>
        <v>2414759.3195071216</v>
      </c>
      <c r="DZ125" s="235">
        <f t="shared" ca="1" si="895"/>
        <v>2420796.217805889</v>
      </c>
      <c r="EA125" s="235">
        <f t="shared" ca="1" si="895"/>
        <v>2426848.2083504037</v>
      </c>
      <c r="EB125" s="235">
        <f t="shared" ca="1" si="895"/>
        <v>2432915.32887128</v>
      </c>
      <c r="EC125" s="235">
        <f t="shared" ca="1" si="895"/>
        <v>2438997.6171934581</v>
      </c>
      <c r="ED125" s="235">
        <f t="shared" ca="1" si="895"/>
        <v>2445095.1112364414</v>
      </c>
      <c r="EE125" s="235">
        <f t="shared" ca="1" si="895"/>
        <v>2451207.8490145323</v>
      </c>
      <c r="EF125" s="235">
        <f t="shared" ref="EF125:FE125" ca="1" si="896">IF(EF$56&gt;12,SUM(OFFSET(EF121,,,,-12)),0)</f>
        <v>2457335.8686370687</v>
      </c>
      <c r="EG125" s="235">
        <f t="shared" ca="1" si="896"/>
        <v>2463479.2083086609</v>
      </c>
      <c r="EH125" s="235">
        <f t="shared" ca="1" si="896"/>
        <v>2469637.906329432</v>
      </c>
      <c r="EI125" s="235">
        <f t="shared" ca="1" si="896"/>
        <v>2475812.0010952554</v>
      </c>
      <c r="EJ125" s="235">
        <f t="shared" ca="1" si="896"/>
        <v>2482001.5310979937</v>
      </c>
      <c r="EK125" s="235">
        <f t="shared" ca="1" si="896"/>
        <v>2488206.5349257383</v>
      </c>
      <c r="EL125" s="235">
        <f t="shared" ca="1" si="896"/>
        <v>2494427.051263053</v>
      </c>
      <c r="EM125" s="235">
        <f t="shared" ca="1" si="896"/>
        <v>2500663.1188912103</v>
      </c>
      <c r="EN125" s="235">
        <f t="shared" ca="1" si="896"/>
        <v>2506914.7766884384</v>
      </c>
      <c r="EO125" s="235">
        <f t="shared" ca="1" si="896"/>
        <v>2513182.063630159</v>
      </c>
      <c r="EP125" s="235">
        <f t="shared" ca="1" si="896"/>
        <v>2519465.0187892346</v>
      </c>
      <c r="EQ125" s="235">
        <f t="shared" ca="1" si="896"/>
        <v>2525763.6813362068</v>
      </c>
      <c r="ER125" s="235">
        <f t="shared" ca="1" si="896"/>
        <v>2532078.0905395481</v>
      </c>
      <c r="ES125" s="235">
        <f t="shared" ca="1" si="896"/>
        <v>2538408.2857658966</v>
      </c>
      <c r="ET125" s="235">
        <f t="shared" ca="1" si="896"/>
        <v>2544754.3064803109</v>
      </c>
      <c r="EU125" s="235">
        <f t="shared" ca="1" si="896"/>
        <v>2551116.192246512</v>
      </c>
      <c r="EV125" s="235">
        <f t="shared" ca="1" si="896"/>
        <v>2557493.9827271285</v>
      </c>
      <c r="EW125" s="235">
        <f t="shared" ca="1" si="896"/>
        <v>2563887.7176839458</v>
      </c>
      <c r="EX125" s="235">
        <f t="shared" ca="1" si="896"/>
        <v>2570297.4369781553</v>
      </c>
      <c r="EY125" s="235">
        <f t="shared" ca="1" si="896"/>
        <v>2576723.1805706006</v>
      </c>
      <c r="EZ125" s="235">
        <f t="shared" ca="1" si="896"/>
        <v>2583164.9885220267</v>
      </c>
      <c r="FA125" s="235">
        <f t="shared" ca="1" si="896"/>
        <v>2589622.9009933318</v>
      </c>
      <c r="FB125" s="235">
        <f t="shared" ca="1" si="896"/>
        <v>2596096.9582458157</v>
      </c>
      <c r="FC125" s="235">
        <f t="shared" ca="1" si="896"/>
        <v>2602587.20064143</v>
      </c>
      <c r="FD125" s="235">
        <f t="shared" ca="1" si="896"/>
        <v>2609093.6686430331</v>
      </c>
      <c r="FE125" s="235">
        <f t="shared" ca="1" si="896"/>
        <v>2615616.4028146411</v>
      </c>
      <c r="FF125" s="235">
        <f t="shared" ref="FF125" ca="1" si="897">IF(FF$56&gt;12,SUM(OFFSET(FF121,,,,-12)),0)</f>
        <v>2622155.4438216775</v>
      </c>
      <c r="FG125" s="326"/>
      <c r="FH125" s="235">
        <f t="shared" ref="FH125:FO125" ca="1" si="898">IF(FH$56&gt;12,SUM(OFFSET(FH121,,,,-12)),0)</f>
        <v>0</v>
      </c>
      <c r="FI125" s="235"/>
      <c r="FJ125" s="235"/>
      <c r="FK125" s="235"/>
      <c r="FL125" s="235"/>
      <c r="FM125" s="235">
        <f t="shared" ca="1" si="898"/>
        <v>0</v>
      </c>
      <c r="FN125" s="235">
        <f t="shared" ca="1" si="898"/>
        <v>0</v>
      </c>
      <c r="FO125" s="235">
        <f t="shared" ca="1" si="898"/>
        <v>0</v>
      </c>
      <c r="FP125" s="235">
        <f t="shared" ref="FP125" ca="1" si="899">IF(FP$56&gt;12,SUM(OFFSET(FP121,,,,-12)),0)</f>
        <v>0</v>
      </c>
      <c r="FQ125" s="235"/>
      <c r="FR125" s="235"/>
      <c r="FS125" s="235"/>
      <c r="FT125" s="235"/>
      <c r="FU125" s="235"/>
      <c r="FV125" s="326"/>
    </row>
    <row r="126" spans="3:178" x14ac:dyDescent="0.2">
      <c r="C126" s="39" t="s">
        <v>41</v>
      </c>
      <c r="E126" s="225">
        <f>SUM(F126:FV126)</f>
        <v>0.115</v>
      </c>
      <c r="F126" s="249">
        <f t="shared" ref="F126:AK126" si="900">(F56=$I$12)*$H$42</f>
        <v>0</v>
      </c>
      <c r="G126" s="209">
        <f t="shared" si="900"/>
        <v>0</v>
      </c>
      <c r="H126" s="209">
        <f t="shared" si="900"/>
        <v>0</v>
      </c>
      <c r="I126" s="209">
        <f t="shared" si="900"/>
        <v>0</v>
      </c>
      <c r="J126" s="209">
        <f t="shared" si="900"/>
        <v>0</v>
      </c>
      <c r="K126" s="209">
        <f t="shared" si="900"/>
        <v>0</v>
      </c>
      <c r="L126" s="209">
        <f t="shared" si="900"/>
        <v>0</v>
      </c>
      <c r="M126" s="209">
        <f t="shared" si="900"/>
        <v>0</v>
      </c>
      <c r="N126" s="209">
        <f t="shared" si="900"/>
        <v>0</v>
      </c>
      <c r="O126" s="209">
        <f t="shared" si="900"/>
        <v>0</v>
      </c>
      <c r="P126" s="209">
        <f t="shared" si="900"/>
        <v>0</v>
      </c>
      <c r="Q126" s="209">
        <f t="shared" si="900"/>
        <v>0</v>
      </c>
      <c r="R126" s="209">
        <f t="shared" si="900"/>
        <v>0</v>
      </c>
      <c r="S126" s="209">
        <f t="shared" si="900"/>
        <v>0</v>
      </c>
      <c r="T126" s="209">
        <f t="shared" si="900"/>
        <v>0</v>
      </c>
      <c r="U126" s="209">
        <f t="shared" si="900"/>
        <v>0</v>
      </c>
      <c r="V126" s="209">
        <f t="shared" si="900"/>
        <v>0</v>
      </c>
      <c r="W126" s="209">
        <f t="shared" si="900"/>
        <v>0</v>
      </c>
      <c r="X126" s="209">
        <f t="shared" si="900"/>
        <v>0</v>
      </c>
      <c r="Y126" s="209">
        <f t="shared" si="900"/>
        <v>0</v>
      </c>
      <c r="Z126" s="209">
        <f t="shared" si="900"/>
        <v>0</v>
      </c>
      <c r="AA126" s="209">
        <f t="shared" si="900"/>
        <v>0</v>
      </c>
      <c r="AB126" s="209">
        <f t="shared" si="900"/>
        <v>0</v>
      </c>
      <c r="AC126" s="209">
        <f t="shared" si="900"/>
        <v>0</v>
      </c>
      <c r="AD126" s="209">
        <f t="shared" si="900"/>
        <v>0</v>
      </c>
      <c r="AE126" s="209">
        <f t="shared" si="900"/>
        <v>0</v>
      </c>
      <c r="AF126" s="209">
        <f t="shared" si="900"/>
        <v>0</v>
      </c>
      <c r="AG126" s="209">
        <f t="shared" si="900"/>
        <v>0</v>
      </c>
      <c r="AH126" s="209">
        <f t="shared" si="900"/>
        <v>0</v>
      </c>
      <c r="AI126" s="209">
        <f t="shared" si="900"/>
        <v>0</v>
      </c>
      <c r="AJ126" s="209">
        <f t="shared" si="900"/>
        <v>0</v>
      </c>
      <c r="AK126" s="209">
        <f t="shared" si="900"/>
        <v>0</v>
      </c>
      <c r="AL126" s="209">
        <f t="shared" ref="AL126:BQ126" si="901">(AL56=$I$12)*$H$42</f>
        <v>0</v>
      </c>
      <c r="AM126" s="209">
        <f t="shared" si="901"/>
        <v>0</v>
      </c>
      <c r="AN126" s="209">
        <f t="shared" si="901"/>
        <v>0</v>
      </c>
      <c r="AO126" s="209">
        <f t="shared" si="901"/>
        <v>0</v>
      </c>
      <c r="AP126" s="209">
        <f t="shared" si="901"/>
        <v>0</v>
      </c>
      <c r="AQ126" s="209">
        <f t="shared" si="901"/>
        <v>0</v>
      </c>
      <c r="AR126" s="209">
        <f t="shared" si="901"/>
        <v>0</v>
      </c>
      <c r="AS126" s="209">
        <f t="shared" si="901"/>
        <v>0</v>
      </c>
      <c r="AT126" s="209">
        <f t="shared" si="901"/>
        <v>0</v>
      </c>
      <c r="AU126" s="209">
        <f t="shared" si="901"/>
        <v>0</v>
      </c>
      <c r="AV126" s="209">
        <f t="shared" si="901"/>
        <v>0</v>
      </c>
      <c r="AW126" s="209">
        <f t="shared" si="901"/>
        <v>0</v>
      </c>
      <c r="AX126" s="209">
        <f t="shared" si="901"/>
        <v>0</v>
      </c>
      <c r="AY126" s="209">
        <f t="shared" si="901"/>
        <v>0</v>
      </c>
      <c r="AZ126" s="209">
        <f t="shared" si="901"/>
        <v>0</v>
      </c>
      <c r="BA126" s="209">
        <f t="shared" si="901"/>
        <v>0</v>
      </c>
      <c r="BB126" s="209">
        <f t="shared" si="901"/>
        <v>0</v>
      </c>
      <c r="BC126" s="209">
        <f t="shared" si="901"/>
        <v>0</v>
      </c>
      <c r="BD126" s="209">
        <f t="shared" si="901"/>
        <v>0</v>
      </c>
      <c r="BE126" s="209">
        <f t="shared" si="901"/>
        <v>0</v>
      </c>
      <c r="BF126" s="209">
        <f t="shared" si="901"/>
        <v>0</v>
      </c>
      <c r="BG126" s="209">
        <f t="shared" si="901"/>
        <v>0</v>
      </c>
      <c r="BH126" s="209">
        <f t="shared" si="901"/>
        <v>0</v>
      </c>
      <c r="BI126" s="209">
        <f t="shared" si="901"/>
        <v>0</v>
      </c>
      <c r="BJ126" s="209">
        <f t="shared" si="901"/>
        <v>0</v>
      </c>
      <c r="BK126" s="209">
        <f t="shared" si="901"/>
        <v>0</v>
      </c>
      <c r="BL126" s="209">
        <f t="shared" si="901"/>
        <v>0</v>
      </c>
      <c r="BM126" s="209">
        <f t="shared" si="901"/>
        <v>0</v>
      </c>
      <c r="BN126" s="209">
        <f t="shared" si="901"/>
        <v>0</v>
      </c>
      <c r="BO126" s="209">
        <f t="shared" si="901"/>
        <v>0</v>
      </c>
      <c r="BP126" s="209">
        <f t="shared" si="901"/>
        <v>0</v>
      </c>
      <c r="BQ126" s="209">
        <f t="shared" si="901"/>
        <v>0</v>
      </c>
      <c r="BR126" s="209">
        <f t="shared" ref="BR126:CW126" si="902">(BR56=$I$12)*$H$42</f>
        <v>0</v>
      </c>
      <c r="BS126" s="209">
        <f t="shared" si="902"/>
        <v>0</v>
      </c>
      <c r="BT126" s="209">
        <f t="shared" si="902"/>
        <v>0</v>
      </c>
      <c r="BU126" s="209">
        <f t="shared" si="902"/>
        <v>0</v>
      </c>
      <c r="BV126" s="209">
        <f t="shared" si="902"/>
        <v>0</v>
      </c>
      <c r="BW126" s="209">
        <f t="shared" si="902"/>
        <v>0</v>
      </c>
      <c r="BX126" s="209">
        <f t="shared" si="902"/>
        <v>0</v>
      </c>
      <c r="BY126" s="209">
        <f t="shared" si="902"/>
        <v>0</v>
      </c>
      <c r="BZ126" s="209">
        <f t="shared" si="902"/>
        <v>0</v>
      </c>
      <c r="CA126" s="209">
        <f t="shared" si="902"/>
        <v>0</v>
      </c>
      <c r="CB126" s="209">
        <f t="shared" si="902"/>
        <v>0</v>
      </c>
      <c r="CC126" s="209">
        <f t="shared" si="902"/>
        <v>0</v>
      </c>
      <c r="CD126" s="209">
        <f t="shared" si="902"/>
        <v>0</v>
      </c>
      <c r="CE126" s="209">
        <f t="shared" si="902"/>
        <v>0</v>
      </c>
      <c r="CF126" s="209">
        <f t="shared" si="902"/>
        <v>0</v>
      </c>
      <c r="CG126" s="209">
        <f t="shared" si="902"/>
        <v>0</v>
      </c>
      <c r="CH126" s="209">
        <f t="shared" si="902"/>
        <v>0</v>
      </c>
      <c r="CI126" s="209">
        <f t="shared" si="902"/>
        <v>0</v>
      </c>
      <c r="CJ126" s="209">
        <f t="shared" si="902"/>
        <v>0</v>
      </c>
      <c r="CK126" s="209">
        <f t="shared" si="902"/>
        <v>0</v>
      </c>
      <c r="CL126" s="209">
        <f t="shared" si="902"/>
        <v>0</v>
      </c>
      <c r="CM126" s="209">
        <f t="shared" si="902"/>
        <v>0</v>
      </c>
      <c r="CN126" s="209">
        <f t="shared" si="902"/>
        <v>0</v>
      </c>
      <c r="CO126" s="209">
        <f t="shared" si="902"/>
        <v>0</v>
      </c>
      <c r="CP126" s="209">
        <f t="shared" si="902"/>
        <v>0</v>
      </c>
      <c r="CQ126" s="209">
        <f t="shared" si="902"/>
        <v>0</v>
      </c>
      <c r="CR126" s="209">
        <f t="shared" si="902"/>
        <v>0</v>
      </c>
      <c r="CS126" s="209">
        <f t="shared" si="902"/>
        <v>0</v>
      </c>
      <c r="CT126" s="209">
        <f t="shared" si="902"/>
        <v>0</v>
      </c>
      <c r="CU126" s="209">
        <f t="shared" si="902"/>
        <v>0</v>
      </c>
      <c r="CV126" s="209">
        <f t="shared" si="902"/>
        <v>0</v>
      </c>
      <c r="CW126" s="209">
        <f t="shared" si="902"/>
        <v>0</v>
      </c>
      <c r="CX126" s="209">
        <f t="shared" ref="CX126:EC126" si="903">(CX56=$I$12)*$H$42</f>
        <v>5.7500000000000002E-2</v>
      </c>
      <c r="CY126" s="209">
        <f t="shared" si="903"/>
        <v>0</v>
      </c>
      <c r="CZ126" s="209">
        <f t="shared" si="903"/>
        <v>0</v>
      </c>
      <c r="DA126" s="209">
        <f t="shared" si="903"/>
        <v>0</v>
      </c>
      <c r="DB126" s="209">
        <f t="shared" si="903"/>
        <v>0</v>
      </c>
      <c r="DC126" s="209">
        <f t="shared" si="903"/>
        <v>0</v>
      </c>
      <c r="DD126" s="209">
        <f t="shared" si="903"/>
        <v>0</v>
      </c>
      <c r="DE126" s="209">
        <f t="shared" si="903"/>
        <v>0</v>
      </c>
      <c r="DF126" s="209">
        <f t="shared" si="903"/>
        <v>0</v>
      </c>
      <c r="DG126" s="209">
        <f t="shared" si="903"/>
        <v>0</v>
      </c>
      <c r="DH126" s="209">
        <f t="shared" si="903"/>
        <v>0</v>
      </c>
      <c r="DI126" s="209">
        <f t="shared" si="903"/>
        <v>0</v>
      </c>
      <c r="DJ126" s="209">
        <f t="shared" si="903"/>
        <v>0</v>
      </c>
      <c r="DK126" s="209">
        <f t="shared" si="903"/>
        <v>0</v>
      </c>
      <c r="DL126" s="209">
        <f t="shared" si="903"/>
        <v>0</v>
      </c>
      <c r="DM126" s="209">
        <f t="shared" si="903"/>
        <v>0</v>
      </c>
      <c r="DN126" s="209">
        <f t="shared" si="903"/>
        <v>0</v>
      </c>
      <c r="DO126" s="209">
        <f t="shared" si="903"/>
        <v>0</v>
      </c>
      <c r="DP126" s="209">
        <f t="shared" si="903"/>
        <v>0</v>
      </c>
      <c r="DQ126" s="209">
        <f t="shared" si="903"/>
        <v>0</v>
      </c>
      <c r="DR126" s="209">
        <f t="shared" si="903"/>
        <v>0</v>
      </c>
      <c r="DS126" s="209">
        <f t="shared" si="903"/>
        <v>0</v>
      </c>
      <c r="DT126" s="209">
        <f t="shared" si="903"/>
        <v>0</v>
      </c>
      <c r="DU126" s="209">
        <f t="shared" si="903"/>
        <v>0</v>
      </c>
      <c r="DV126" s="209">
        <f t="shared" si="903"/>
        <v>0</v>
      </c>
      <c r="DW126" s="209">
        <f t="shared" si="903"/>
        <v>0</v>
      </c>
      <c r="DX126" s="209">
        <f t="shared" si="903"/>
        <v>0</v>
      </c>
      <c r="DY126" s="209">
        <f t="shared" si="903"/>
        <v>0</v>
      </c>
      <c r="DZ126" s="209">
        <f t="shared" si="903"/>
        <v>0</v>
      </c>
      <c r="EA126" s="209">
        <f t="shared" si="903"/>
        <v>0</v>
      </c>
      <c r="EB126" s="209">
        <f t="shared" si="903"/>
        <v>0</v>
      </c>
      <c r="EC126" s="209">
        <f t="shared" si="903"/>
        <v>0</v>
      </c>
      <c r="ED126" s="209">
        <f t="shared" ref="ED126:FF126" si="904">(ED56=$I$12)*$H$42</f>
        <v>0</v>
      </c>
      <c r="EE126" s="209">
        <f t="shared" si="904"/>
        <v>0</v>
      </c>
      <c r="EF126" s="209">
        <f t="shared" si="904"/>
        <v>0</v>
      </c>
      <c r="EG126" s="209">
        <f t="shared" si="904"/>
        <v>0</v>
      </c>
      <c r="EH126" s="209">
        <f t="shared" si="904"/>
        <v>0</v>
      </c>
      <c r="EI126" s="209">
        <f t="shared" si="904"/>
        <v>0</v>
      </c>
      <c r="EJ126" s="209">
        <f t="shared" si="904"/>
        <v>0</v>
      </c>
      <c r="EK126" s="209">
        <f t="shared" si="904"/>
        <v>0</v>
      </c>
      <c r="EL126" s="209">
        <f t="shared" si="904"/>
        <v>0</v>
      </c>
      <c r="EM126" s="209">
        <f t="shared" si="904"/>
        <v>0</v>
      </c>
      <c r="EN126" s="209">
        <f t="shared" si="904"/>
        <v>0</v>
      </c>
      <c r="EO126" s="209">
        <f t="shared" si="904"/>
        <v>0</v>
      </c>
      <c r="EP126" s="209">
        <f t="shared" si="904"/>
        <v>0</v>
      </c>
      <c r="EQ126" s="209">
        <f t="shared" si="904"/>
        <v>0</v>
      </c>
      <c r="ER126" s="209">
        <f t="shared" si="904"/>
        <v>0</v>
      </c>
      <c r="ES126" s="209">
        <f t="shared" si="904"/>
        <v>0</v>
      </c>
      <c r="ET126" s="209">
        <f t="shared" si="904"/>
        <v>0</v>
      </c>
      <c r="EU126" s="209">
        <f t="shared" si="904"/>
        <v>0</v>
      </c>
      <c r="EV126" s="209">
        <f t="shared" si="904"/>
        <v>0</v>
      </c>
      <c r="EW126" s="209">
        <f t="shared" si="904"/>
        <v>0</v>
      </c>
      <c r="EX126" s="209">
        <f t="shared" si="904"/>
        <v>0</v>
      </c>
      <c r="EY126" s="209">
        <f t="shared" si="904"/>
        <v>0</v>
      </c>
      <c r="EZ126" s="209">
        <f t="shared" si="904"/>
        <v>0</v>
      </c>
      <c r="FA126" s="209">
        <f t="shared" si="904"/>
        <v>0</v>
      </c>
      <c r="FB126" s="209">
        <f t="shared" si="904"/>
        <v>0</v>
      </c>
      <c r="FC126" s="209">
        <f t="shared" si="904"/>
        <v>0</v>
      </c>
      <c r="FD126" s="209">
        <f t="shared" si="904"/>
        <v>0</v>
      </c>
      <c r="FE126" s="209">
        <f t="shared" si="904"/>
        <v>0</v>
      </c>
      <c r="FF126" s="209">
        <f t="shared" si="904"/>
        <v>0</v>
      </c>
      <c r="FG126" s="315"/>
      <c r="FH126" s="209">
        <f>SUMIF($F$57:$FF$57,FH$57,$F126:$FF126)</f>
        <v>0</v>
      </c>
      <c r="FI126" s="209">
        <f t="shared" ref="FI126:FU126" si="905">SUMIF($F$57:$FF$57,FI$57,$F126:$FF126)</f>
        <v>0</v>
      </c>
      <c r="FJ126" s="209">
        <f t="shared" si="905"/>
        <v>0</v>
      </c>
      <c r="FK126" s="209">
        <f t="shared" si="905"/>
        <v>0</v>
      </c>
      <c r="FL126" s="209">
        <f t="shared" si="905"/>
        <v>0</v>
      </c>
      <c r="FM126" s="209">
        <f t="shared" si="905"/>
        <v>0</v>
      </c>
      <c r="FN126" s="209">
        <f t="shared" si="905"/>
        <v>0</v>
      </c>
      <c r="FO126" s="209">
        <f t="shared" si="905"/>
        <v>0</v>
      </c>
      <c r="FP126" s="209">
        <f t="shared" si="905"/>
        <v>5.7500000000000002E-2</v>
      </c>
      <c r="FQ126" s="209">
        <f t="shared" si="905"/>
        <v>0</v>
      </c>
      <c r="FR126" s="209">
        <f t="shared" si="905"/>
        <v>0</v>
      </c>
      <c r="FS126" s="209">
        <f t="shared" si="905"/>
        <v>0</v>
      </c>
      <c r="FT126" s="209">
        <f t="shared" si="905"/>
        <v>0</v>
      </c>
      <c r="FU126" s="209">
        <f t="shared" si="905"/>
        <v>0</v>
      </c>
      <c r="FV126" s="315"/>
    </row>
    <row r="127" spans="3:178" s="208" customFormat="1" x14ac:dyDescent="0.2">
      <c r="C127" s="80" t="s">
        <v>187</v>
      </c>
      <c r="D127" s="80"/>
      <c r="E127" s="80">
        <f ca="1">SUM(F127:FF127)</f>
        <v>39257958.472117648</v>
      </c>
      <c r="F127" s="279">
        <f ca="1">IFERROR(F125/F126,0)</f>
        <v>0</v>
      </c>
      <c r="G127" s="80">
        <f t="shared" ref="G127:BR127" ca="1" si="906">IFERROR(G125/G126,0)</f>
        <v>0</v>
      </c>
      <c r="H127" s="80">
        <f t="shared" ca="1" si="906"/>
        <v>0</v>
      </c>
      <c r="I127" s="80">
        <f t="shared" ca="1" si="906"/>
        <v>0</v>
      </c>
      <c r="J127" s="80">
        <f t="shared" ca="1" si="906"/>
        <v>0</v>
      </c>
      <c r="K127" s="80">
        <f t="shared" ca="1" si="906"/>
        <v>0</v>
      </c>
      <c r="L127" s="80">
        <f t="shared" ca="1" si="906"/>
        <v>0</v>
      </c>
      <c r="M127" s="80">
        <f t="shared" ca="1" si="906"/>
        <v>0</v>
      </c>
      <c r="N127" s="80">
        <f t="shared" ca="1" si="906"/>
        <v>0</v>
      </c>
      <c r="O127" s="80">
        <f t="shared" ca="1" si="906"/>
        <v>0</v>
      </c>
      <c r="P127" s="80">
        <f t="shared" ca="1" si="906"/>
        <v>0</v>
      </c>
      <c r="Q127" s="80">
        <f t="shared" ca="1" si="906"/>
        <v>0</v>
      </c>
      <c r="R127" s="80">
        <f t="shared" ca="1" si="906"/>
        <v>0</v>
      </c>
      <c r="S127" s="80">
        <f t="shared" ca="1" si="906"/>
        <v>0</v>
      </c>
      <c r="T127" s="80">
        <f t="shared" ca="1" si="906"/>
        <v>0</v>
      </c>
      <c r="U127" s="80">
        <f t="shared" ca="1" si="906"/>
        <v>0</v>
      </c>
      <c r="V127" s="80">
        <f t="shared" ca="1" si="906"/>
        <v>0</v>
      </c>
      <c r="W127" s="80">
        <f t="shared" ca="1" si="906"/>
        <v>0</v>
      </c>
      <c r="X127" s="80">
        <f t="shared" ca="1" si="906"/>
        <v>0</v>
      </c>
      <c r="Y127" s="80">
        <f t="shared" ca="1" si="906"/>
        <v>0</v>
      </c>
      <c r="Z127" s="80">
        <f t="shared" ca="1" si="906"/>
        <v>0</v>
      </c>
      <c r="AA127" s="80">
        <f t="shared" ca="1" si="906"/>
        <v>0</v>
      </c>
      <c r="AB127" s="80">
        <f t="shared" ca="1" si="906"/>
        <v>0</v>
      </c>
      <c r="AC127" s="80">
        <f t="shared" ca="1" si="906"/>
        <v>0</v>
      </c>
      <c r="AD127" s="80">
        <f t="shared" ca="1" si="906"/>
        <v>0</v>
      </c>
      <c r="AE127" s="80">
        <f t="shared" ca="1" si="906"/>
        <v>0</v>
      </c>
      <c r="AF127" s="80">
        <f t="shared" ca="1" si="906"/>
        <v>0</v>
      </c>
      <c r="AG127" s="80">
        <f t="shared" ca="1" si="906"/>
        <v>0</v>
      </c>
      <c r="AH127" s="80">
        <f t="shared" ca="1" si="906"/>
        <v>0</v>
      </c>
      <c r="AI127" s="80">
        <f t="shared" ca="1" si="906"/>
        <v>0</v>
      </c>
      <c r="AJ127" s="80">
        <f t="shared" ca="1" si="906"/>
        <v>0</v>
      </c>
      <c r="AK127" s="80">
        <f t="shared" ca="1" si="906"/>
        <v>0</v>
      </c>
      <c r="AL127" s="80">
        <f t="shared" ca="1" si="906"/>
        <v>0</v>
      </c>
      <c r="AM127" s="80">
        <f t="shared" ca="1" si="906"/>
        <v>0</v>
      </c>
      <c r="AN127" s="80">
        <f t="shared" ca="1" si="906"/>
        <v>0</v>
      </c>
      <c r="AO127" s="80">
        <f t="shared" ca="1" si="906"/>
        <v>0</v>
      </c>
      <c r="AP127" s="80">
        <f t="shared" ca="1" si="906"/>
        <v>0</v>
      </c>
      <c r="AQ127" s="80">
        <f t="shared" ca="1" si="906"/>
        <v>0</v>
      </c>
      <c r="AR127" s="80">
        <f t="shared" ca="1" si="906"/>
        <v>0</v>
      </c>
      <c r="AS127" s="80">
        <f t="shared" ca="1" si="906"/>
        <v>0</v>
      </c>
      <c r="AT127" s="80">
        <f t="shared" ca="1" si="906"/>
        <v>0</v>
      </c>
      <c r="AU127" s="80">
        <f t="shared" ca="1" si="906"/>
        <v>0</v>
      </c>
      <c r="AV127" s="80">
        <f t="shared" ca="1" si="906"/>
        <v>0</v>
      </c>
      <c r="AW127" s="80">
        <f t="shared" ca="1" si="906"/>
        <v>0</v>
      </c>
      <c r="AX127" s="80">
        <f t="shared" ca="1" si="906"/>
        <v>0</v>
      </c>
      <c r="AY127" s="80">
        <f t="shared" ca="1" si="906"/>
        <v>0</v>
      </c>
      <c r="AZ127" s="80">
        <f t="shared" ca="1" si="906"/>
        <v>0</v>
      </c>
      <c r="BA127" s="80">
        <f t="shared" ca="1" si="906"/>
        <v>0</v>
      </c>
      <c r="BB127" s="80">
        <f t="shared" ca="1" si="906"/>
        <v>0</v>
      </c>
      <c r="BC127" s="80">
        <f t="shared" ca="1" si="906"/>
        <v>0</v>
      </c>
      <c r="BD127" s="80">
        <f t="shared" ca="1" si="906"/>
        <v>0</v>
      </c>
      <c r="BE127" s="80">
        <f t="shared" ca="1" si="906"/>
        <v>0</v>
      </c>
      <c r="BF127" s="80">
        <f t="shared" ca="1" si="906"/>
        <v>0</v>
      </c>
      <c r="BG127" s="80">
        <f t="shared" ca="1" si="906"/>
        <v>0</v>
      </c>
      <c r="BH127" s="80">
        <f t="shared" ca="1" si="906"/>
        <v>0</v>
      </c>
      <c r="BI127" s="80">
        <f t="shared" ca="1" si="906"/>
        <v>0</v>
      </c>
      <c r="BJ127" s="80">
        <f t="shared" ca="1" si="906"/>
        <v>0</v>
      </c>
      <c r="BK127" s="80">
        <f t="shared" ca="1" si="906"/>
        <v>0</v>
      </c>
      <c r="BL127" s="80">
        <f t="shared" ca="1" si="906"/>
        <v>0</v>
      </c>
      <c r="BM127" s="80">
        <f t="shared" ca="1" si="906"/>
        <v>0</v>
      </c>
      <c r="BN127" s="80">
        <f t="shared" ca="1" si="906"/>
        <v>0</v>
      </c>
      <c r="BO127" s="80">
        <f t="shared" ca="1" si="906"/>
        <v>0</v>
      </c>
      <c r="BP127" s="80">
        <f t="shared" ca="1" si="906"/>
        <v>0</v>
      </c>
      <c r="BQ127" s="80">
        <f t="shared" ca="1" si="906"/>
        <v>0</v>
      </c>
      <c r="BR127" s="80">
        <f t="shared" ca="1" si="906"/>
        <v>0</v>
      </c>
      <c r="BS127" s="80">
        <f t="shared" ref="BS127:ED127" ca="1" si="907">IFERROR(BS125/BS126,0)</f>
        <v>0</v>
      </c>
      <c r="BT127" s="80">
        <f t="shared" ca="1" si="907"/>
        <v>0</v>
      </c>
      <c r="BU127" s="80">
        <f t="shared" ca="1" si="907"/>
        <v>0</v>
      </c>
      <c r="BV127" s="80">
        <f t="shared" ca="1" si="907"/>
        <v>0</v>
      </c>
      <c r="BW127" s="80">
        <f t="shared" ca="1" si="907"/>
        <v>0</v>
      </c>
      <c r="BX127" s="80">
        <f t="shared" ca="1" si="907"/>
        <v>0</v>
      </c>
      <c r="BY127" s="80">
        <f t="shared" ca="1" si="907"/>
        <v>0</v>
      </c>
      <c r="BZ127" s="80">
        <f t="shared" ca="1" si="907"/>
        <v>0</v>
      </c>
      <c r="CA127" s="80">
        <f t="shared" ca="1" si="907"/>
        <v>0</v>
      </c>
      <c r="CB127" s="80">
        <f t="shared" ca="1" si="907"/>
        <v>0</v>
      </c>
      <c r="CC127" s="80">
        <f t="shared" ca="1" si="907"/>
        <v>0</v>
      </c>
      <c r="CD127" s="80">
        <f t="shared" ca="1" si="907"/>
        <v>0</v>
      </c>
      <c r="CE127" s="80">
        <f t="shared" ca="1" si="907"/>
        <v>0</v>
      </c>
      <c r="CF127" s="80">
        <f t="shared" ca="1" si="907"/>
        <v>0</v>
      </c>
      <c r="CG127" s="80">
        <f t="shared" ca="1" si="907"/>
        <v>0</v>
      </c>
      <c r="CH127" s="80">
        <f t="shared" ca="1" si="907"/>
        <v>0</v>
      </c>
      <c r="CI127" s="80">
        <f t="shared" ca="1" si="907"/>
        <v>0</v>
      </c>
      <c r="CJ127" s="80">
        <f t="shared" ca="1" si="907"/>
        <v>0</v>
      </c>
      <c r="CK127" s="80">
        <f t="shared" ca="1" si="907"/>
        <v>0</v>
      </c>
      <c r="CL127" s="80">
        <f t="shared" ca="1" si="907"/>
        <v>0</v>
      </c>
      <c r="CM127" s="80">
        <f t="shared" ca="1" si="907"/>
        <v>0</v>
      </c>
      <c r="CN127" s="80">
        <f t="shared" ca="1" si="907"/>
        <v>0</v>
      </c>
      <c r="CO127" s="80">
        <f t="shared" ca="1" si="907"/>
        <v>0</v>
      </c>
      <c r="CP127" s="80">
        <f t="shared" ca="1" si="907"/>
        <v>0</v>
      </c>
      <c r="CQ127" s="80">
        <f t="shared" ca="1" si="907"/>
        <v>0</v>
      </c>
      <c r="CR127" s="80">
        <f t="shared" ca="1" si="907"/>
        <v>0</v>
      </c>
      <c r="CS127" s="80">
        <f t="shared" ca="1" si="907"/>
        <v>0</v>
      </c>
      <c r="CT127" s="80">
        <f t="shared" ca="1" si="907"/>
        <v>0</v>
      </c>
      <c r="CU127" s="80">
        <f t="shared" ca="1" si="907"/>
        <v>0</v>
      </c>
      <c r="CV127" s="80">
        <f t="shared" ca="1" si="907"/>
        <v>0</v>
      </c>
      <c r="CW127" s="80">
        <f t="shared" ca="1" si="907"/>
        <v>0</v>
      </c>
      <c r="CX127" s="80">
        <f t="shared" ca="1" si="907"/>
        <v>39257958.472117648</v>
      </c>
      <c r="CY127" s="80">
        <f t="shared" ca="1" si="907"/>
        <v>0</v>
      </c>
      <c r="CZ127" s="80">
        <f t="shared" ca="1" si="907"/>
        <v>0</v>
      </c>
      <c r="DA127" s="80">
        <f t="shared" ca="1" si="907"/>
        <v>0</v>
      </c>
      <c r="DB127" s="80">
        <f t="shared" ca="1" si="907"/>
        <v>0</v>
      </c>
      <c r="DC127" s="80">
        <f t="shared" ca="1" si="907"/>
        <v>0</v>
      </c>
      <c r="DD127" s="80">
        <f t="shared" ca="1" si="907"/>
        <v>0</v>
      </c>
      <c r="DE127" s="80">
        <f t="shared" ca="1" si="907"/>
        <v>0</v>
      </c>
      <c r="DF127" s="80">
        <f t="shared" ca="1" si="907"/>
        <v>0</v>
      </c>
      <c r="DG127" s="80">
        <f t="shared" ca="1" si="907"/>
        <v>0</v>
      </c>
      <c r="DH127" s="80">
        <f t="shared" ca="1" si="907"/>
        <v>0</v>
      </c>
      <c r="DI127" s="80">
        <f t="shared" ca="1" si="907"/>
        <v>0</v>
      </c>
      <c r="DJ127" s="80">
        <f t="shared" ca="1" si="907"/>
        <v>0</v>
      </c>
      <c r="DK127" s="80">
        <f t="shared" ca="1" si="907"/>
        <v>0</v>
      </c>
      <c r="DL127" s="80">
        <f t="shared" ca="1" si="907"/>
        <v>0</v>
      </c>
      <c r="DM127" s="80">
        <f t="shared" ca="1" si="907"/>
        <v>0</v>
      </c>
      <c r="DN127" s="80">
        <f t="shared" ca="1" si="907"/>
        <v>0</v>
      </c>
      <c r="DO127" s="80">
        <f t="shared" ca="1" si="907"/>
        <v>0</v>
      </c>
      <c r="DP127" s="80">
        <f t="shared" ca="1" si="907"/>
        <v>0</v>
      </c>
      <c r="DQ127" s="80">
        <f t="shared" ca="1" si="907"/>
        <v>0</v>
      </c>
      <c r="DR127" s="80">
        <f t="shared" ca="1" si="907"/>
        <v>0</v>
      </c>
      <c r="DS127" s="80">
        <f t="shared" ca="1" si="907"/>
        <v>0</v>
      </c>
      <c r="DT127" s="80">
        <f t="shared" ca="1" si="907"/>
        <v>0</v>
      </c>
      <c r="DU127" s="80">
        <f t="shared" ca="1" si="907"/>
        <v>0</v>
      </c>
      <c r="DV127" s="80">
        <f t="shared" ca="1" si="907"/>
        <v>0</v>
      </c>
      <c r="DW127" s="80">
        <f t="shared" ca="1" si="907"/>
        <v>0</v>
      </c>
      <c r="DX127" s="80">
        <f t="shared" ca="1" si="907"/>
        <v>0</v>
      </c>
      <c r="DY127" s="80">
        <f t="shared" ca="1" si="907"/>
        <v>0</v>
      </c>
      <c r="DZ127" s="80">
        <f t="shared" ca="1" si="907"/>
        <v>0</v>
      </c>
      <c r="EA127" s="80">
        <f t="shared" ca="1" si="907"/>
        <v>0</v>
      </c>
      <c r="EB127" s="80">
        <f t="shared" ca="1" si="907"/>
        <v>0</v>
      </c>
      <c r="EC127" s="80">
        <f t="shared" ca="1" si="907"/>
        <v>0</v>
      </c>
      <c r="ED127" s="80">
        <f t="shared" ca="1" si="907"/>
        <v>0</v>
      </c>
      <c r="EE127" s="80">
        <f t="shared" ref="EE127:FF127" ca="1" si="908">IFERROR(EE125/EE126,0)</f>
        <v>0</v>
      </c>
      <c r="EF127" s="80">
        <f t="shared" ca="1" si="908"/>
        <v>0</v>
      </c>
      <c r="EG127" s="80">
        <f t="shared" ca="1" si="908"/>
        <v>0</v>
      </c>
      <c r="EH127" s="80">
        <f t="shared" ca="1" si="908"/>
        <v>0</v>
      </c>
      <c r="EI127" s="80">
        <f t="shared" ca="1" si="908"/>
        <v>0</v>
      </c>
      <c r="EJ127" s="80">
        <f t="shared" ca="1" si="908"/>
        <v>0</v>
      </c>
      <c r="EK127" s="80">
        <f t="shared" ca="1" si="908"/>
        <v>0</v>
      </c>
      <c r="EL127" s="80">
        <f t="shared" ca="1" si="908"/>
        <v>0</v>
      </c>
      <c r="EM127" s="80">
        <f t="shared" ca="1" si="908"/>
        <v>0</v>
      </c>
      <c r="EN127" s="80">
        <f t="shared" ca="1" si="908"/>
        <v>0</v>
      </c>
      <c r="EO127" s="80">
        <f t="shared" ca="1" si="908"/>
        <v>0</v>
      </c>
      <c r="EP127" s="80">
        <f t="shared" ca="1" si="908"/>
        <v>0</v>
      </c>
      <c r="EQ127" s="80">
        <f t="shared" ca="1" si="908"/>
        <v>0</v>
      </c>
      <c r="ER127" s="80">
        <f t="shared" ca="1" si="908"/>
        <v>0</v>
      </c>
      <c r="ES127" s="80">
        <f t="shared" ca="1" si="908"/>
        <v>0</v>
      </c>
      <c r="ET127" s="80">
        <f t="shared" ca="1" si="908"/>
        <v>0</v>
      </c>
      <c r="EU127" s="80">
        <f t="shared" ca="1" si="908"/>
        <v>0</v>
      </c>
      <c r="EV127" s="80">
        <f t="shared" ca="1" si="908"/>
        <v>0</v>
      </c>
      <c r="EW127" s="80">
        <f t="shared" ca="1" si="908"/>
        <v>0</v>
      </c>
      <c r="EX127" s="80">
        <f t="shared" ca="1" si="908"/>
        <v>0</v>
      </c>
      <c r="EY127" s="80">
        <f t="shared" ca="1" si="908"/>
        <v>0</v>
      </c>
      <c r="EZ127" s="80">
        <f t="shared" ca="1" si="908"/>
        <v>0</v>
      </c>
      <c r="FA127" s="80">
        <f t="shared" ca="1" si="908"/>
        <v>0</v>
      </c>
      <c r="FB127" s="80">
        <f t="shared" ca="1" si="908"/>
        <v>0</v>
      </c>
      <c r="FC127" s="80">
        <f t="shared" ca="1" si="908"/>
        <v>0</v>
      </c>
      <c r="FD127" s="80">
        <f t="shared" ca="1" si="908"/>
        <v>0</v>
      </c>
      <c r="FE127" s="80">
        <f t="shared" ca="1" si="908"/>
        <v>0</v>
      </c>
      <c r="FF127" s="80">
        <f t="shared" ca="1" si="908"/>
        <v>0</v>
      </c>
      <c r="FG127" s="288"/>
      <c r="FH127" s="80">
        <f ca="1">SUMIF($F$57:$FF$57,FH$57,$F127:$FF127)</f>
        <v>0</v>
      </c>
      <c r="FI127" s="80">
        <f t="shared" ref="FI127:FU127" ca="1" si="909">SUMIF($F$57:$FF$57,FI$57,$F127:$FF127)</f>
        <v>0</v>
      </c>
      <c r="FJ127" s="80">
        <f t="shared" ca="1" si="909"/>
        <v>0</v>
      </c>
      <c r="FK127" s="80">
        <f t="shared" ca="1" si="909"/>
        <v>0</v>
      </c>
      <c r="FL127" s="80">
        <f t="shared" ca="1" si="909"/>
        <v>0</v>
      </c>
      <c r="FM127" s="80">
        <f t="shared" ca="1" si="909"/>
        <v>0</v>
      </c>
      <c r="FN127" s="80">
        <f t="shared" ca="1" si="909"/>
        <v>0</v>
      </c>
      <c r="FO127" s="80">
        <f t="shared" ca="1" si="909"/>
        <v>0</v>
      </c>
      <c r="FP127" s="80">
        <f t="shared" ca="1" si="909"/>
        <v>39257958.472117648</v>
      </c>
      <c r="FQ127" s="80">
        <f t="shared" ca="1" si="909"/>
        <v>0</v>
      </c>
      <c r="FR127" s="80">
        <f t="shared" ca="1" si="909"/>
        <v>0</v>
      </c>
      <c r="FS127" s="80">
        <f t="shared" ca="1" si="909"/>
        <v>0</v>
      </c>
      <c r="FT127" s="80">
        <f t="shared" ca="1" si="909"/>
        <v>0</v>
      </c>
      <c r="FU127" s="80">
        <f t="shared" ca="1" si="909"/>
        <v>0</v>
      </c>
      <c r="FV127" s="288"/>
    </row>
    <row r="128" spans="3:178" s="216" customFormat="1" x14ac:dyDescent="0.2">
      <c r="C128" s="216" t="s">
        <v>64</v>
      </c>
      <c r="E128" s="250">
        <f ca="1">SUM(F128:FV128)</f>
        <v>785159.16944235296</v>
      </c>
      <c r="F128" s="251">
        <f ca="1">F127/$N$13</f>
        <v>0</v>
      </c>
      <c r="G128" s="252">
        <f t="shared" ref="G128:BR128" ca="1" si="910">G127/$N$13</f>
        <v>0</v>
      </c>
      <c r="H128" s="252">
        <f t="shared" ca="1" si="910"/>
        <v>0</v>
      </c>
      <c r="I128" s="252">
        <f t="shared" ca="1" si="910"/>
        <v>0</v>
      </c>
      <c r="J128" s="252">
        <f t="shared" ca="1" si="910"/>
        <v>0</v>
      </c>
      <c r="K128" s="252">
        <f t="shared" ca="1" si="910"/>
        <v>0</v>
      </c>
      <c r="L128" s="252">
        <f t="shared" ca="1" si="910"/>
        <v>0</v>
      </c>
      <c r="M128" s="252">
        <f t="shared" ca="1" si="910"/>
        <v>0</v>
      </c>
      <c r="N128" s="252">
        <f t="shared" ca="1" si="910"/>
        <v>0</v>
      </c>
      <c r="O128" s="252">
        <f t="shared" ca="1" si="910"/>
        <v>0</v>
      </c>
      <c r="P128" s="252">
        <f t="shared" ca="1" si="910"/>
        <v>0</v>
      </c>
      <c r="Q128" s="252">
        <f t="shared" ca="1" si="910"/>
        <v>0</v>
      </c>
      <c r="R128" s="252">
        <f t="shared" ca="1" si="910"/>
        <v>0</v>
      </c>
      <c r="S128" s="252">
        <f t="shared" ca="1" si="910"/>
        <v>0</v>
      </c>
      <c r="T128" s="252">
        <f t="shared" ca="1" si="910"/>
        <v>0</v>
      </c>
      <c r="U128" s="252">
        <f t="shared" ca="1" si="910"/>
        <v>0</v>
      </c>
      <c r="V128" s="252">
        <f t="shared" ca="1" si="910"/>
        <v>0</v>
      </c>
      <c r="W128" s="252">
        <f t="shared" ca="1" si="910"/>
        <v>0</v>
      </c>
      <c r="X128" s="252">
        <f t="shared" ca="1" si="910"/>
        <v>0</v>
      </c>
      <c r="Y128" s="252">
        <f t="shared" ca="1" si="910"/>
        <v>0</v>
      </c>
      <c r="Z128" s="252">
        <f t="shared" ca="1" si="910"/>
        <v>0</v>
      </c>
      <c r="AA128" s="252">
        <f t="shared" ca="1" si="910"/>
        <v>0</v>
      </c>
      <c r="AB128" s="252">
        <f t="shared" ca="1" si="910"/>
        <v>0</v>
      </c>
      <c r="AC128" s="252">
        <f t="shared" ca="1" si="910"/>
        <v>0</v>
      </c>
      <c r="AD128" s="252">
        <f t="shared" ca="1" si="910"/>
        <v>0</v>
      </c>
      <c r="AE128" s="252">
        <f t="shared" ca="1" si="910"/>
        <v>0</v>
      </c>
      <c r="AF128" s="252">
        <f t="shared" ca="1" si="910"/>
        <v>0</v>
      </c>
      <c r="AG128" s="252">
        <f t="shared" ca="1" si="910"/>
        <v>0</v>
      </c>
      <c r="AH128" s="252">
        <f t="shared" ca="1" si="910"/>
        <v>0</v>
      </c>
      <c r="AI128" s="252">
        <f t="shared" ca="1" si="910"/>
        <v>0</v>
      </c>
      <c r="AJ128" s="252">
        <f t="shared" ca="1" si="910"/>
        <v>0</v>
      </c>
      <c r="AK128" s="252">
        <f t="shared" ca="1" si="910"/>
        <v>0</v>
      </c>
      <c r="AL128" s="252">
        <f t="shared" ca="1" si="910"/>
        <v>0</v>
      </c>
      <c r="AM128" s="252">
        <f t="shared" ca="1" si="910"/>
        <v>0</v>
      </c>
      <c r="AN128" s="252">
        <f t="shared" ca="1" si="910"/>
        <v>0</v>
      </c>
      <c r="AO128" s="252">
        <f t="shared" ca="1" si="910"/>
        <v>0</v>
      </c>
      <c r="AP128" s="252">
        <f t="shared" ca="1" si="910"/>
        <v>0</v>
      </c>
      <c r="AQ128" s="252">
        <f t="shared" ca="1" si="910"/>
        <v>0</v>
      </c>
      <c r="AR128" s="252">
        <f t="shared" ca="1" si="910"/>
        <v>0</v>
      </c>
      <c r="AS128" s="252">
        <f t="shared" ca="1" si="910"/>
        <v>0</v>
      </c>
      <c r="AT128" s="252">
        <f t="shared" ca="1" si="910"/>
        <v>0</v>
      </c>
      <c r="AU128" s="252">
        <f t="shared" ca="1" si="910"/>
        <v>0</v>
      </c>
      <c r="AV128" s="252">
        <f t="shared" ca="1" si="910"/>
        <v>0</v>
      </c>
      <c r="AW128" s="252">
        <f t="shared" ca="1" si="910"/>
        <v>0</v>
      </c>
      <c r="AX128" s="252">
        <f t="shared" ca="1" si="910"/>
        <v>0</v>
      </c>
      <c r="AY128" s="252">
        <f t="shared" ca="1" si="910"/>
        <v>0</v>
      </c>
      <c r="AZ128" s="252">
        <f t="shared" ca="1" si="910"/>
        <v>0</v>
      </c>
      <c r="BA128" s="252">
        <f t="shared" ca="1" si="910"/>
        <v>0</v>
      </c>
      <c r="BB128" s="252">
        <f t="shared" ca="1" si="910"/>
        <v>0</v>
      </c>
      <c r="BC128" s="252">
        <f t="shared" ca="1" si="910"/>
        <v>0</v>
      </c>
      <c r="BD128" s="252">
        <f t="shared" ca="1" si="910"/>
        <v>0</v>
      </c>
      <c r="BE128" s="252">
        <f t="shared" ca="1" si="910"/>
        <v>0</v>
      </c>
      <c r="BF128" s="252">
        <f t="shared" ca="1" si="910"/>
        <v>0</v>
      </c>
      <c r="BG128" s="252">
        <f t="shared" ca="1" si="910"/>
        <v>0</v>
      </c>
      <c r="BH128" s="252">
        <f t="shared" ca="1" si="910"/>
        <v>0</v>
      </c>
      <c r="BI128" s="252">
        <f t="shared" ca="1" si="910"/>
        <v>0</v>
      </c>
      <c r="BJ128" s="252">
        <f t="shared" ca="1" si="910"/>
        <v>0</v>
      </c>
      <c r="BK128" s="252">
        <f t="shared" ca="1" si="910"/>
        <v>0</v>
      </c>
      <c r="BL128" s="252">
        <f t="shared" ca="1" si="910"/>
        <v>0</v>
      </c>
      <c r="BM128" s="252">
        <f t="shared" ca="1" si="910"/>
        <v>0</v>
      </c>
      <c r="BN128" s="252">
        <f t="shared" ca="1" si="910"/>
        <v>0</v>
      </c>
      <c r="BO128" s="252">
        <f t="shared" ca="1" si="910"/>
        <v>0</v>
      </c>
      <c r="BP128" s="252">
        <f t="shared" ca="1" si="910"/>
        <v>0</v>
      </c>
      <c r="BQ128" s="252">
        <f t="shared" ca="1" si="910"/>
        <v>0</v>
      </c>
      <c r="BR128" s="252">
        <f t="shared" ca="1" si="910"/>
        <v>0</v>
      </c>
      <c r="BS128" s="252">
        <f t="shared" ref="BS128:ED128" ca="1" si="911">BS127/$N$13</f>
        <v>0</v>
      </c>
      <c r="BT128" s="252">
        <f t="shared" ca="1" si="911"/>
        <v>0</v>
      </c>
      <c r="BU128" s="252">
        <f t="shared" ca="1" si="911"/>
        <v>0</v>
      </c>
      <c r="BV128" s="252">
        <f t="shared" ca="1" si="911"/>
        <v>0</v>
      </c>
      <c r="BW128" s="252">
        <f t="shared" ca="1" si="911"/>
        <v>0</v>
      </c>
      <c r="BX128" s="252">
        <f t="shared" ca="1" si="911"/>
        <v>0</v>
      </c>
      <c r="BY128" s="252">
        <f t="shared" ca="1" si="911"/>
        <v>0</v>
      </c>
      <c r="BZ128" s="252">
        <f t="shared" ca="1" si="911"/>
        <v>0</v>
      </c>
      <c r="CA128" s="252">
        <f t="shared" ca="1" si="911"/>
        <v>0</v>
      </c>
      <c r="CB128" s="252">
        <f t="shared" ca="1" si="911"/>
        <v>0</v>
      </c>
      <c r="CC128" s="252">
        <f t="shared" ca="1" si="911"/>
        <v>0</v>
      </c>
      <c r="CD128" s="252">
        <f t="shared" ca="1" si="911"/>
        <v>0</v>
      </c>
      <c r="CE128" s="252">
        <f t="shared" ca="1" si="911"/>
        <v>0</v>
      </c>
      <c r="CF128" s="252">
        <f t="shared" ca="1" si="911"/>
        <v>0</v>
      </c>
      <c r="CG128" s="252">
        <f t="shared" ca="1" si="911"/>
        <v>0</v>
      </c>
      <c r="CH128" s="252">
        <f t="shared" ca="1" si="911"/>
        <v>0</v>
      </c>
      <c r="CI128" s="252">
        <f t="shared" ca="1" si="911"/>
        <v>0</v>
      </c>
      <c r="CJ128" s="252">
        <f t="shared" ca="1" si="911"/>
        <v>0</v>
      </c>
      <c r="CK128" s="252">
        <f t="shared" ca="1" si="911"/>
        <v>0</v>
      </c>
      <c r="CL128" s="252">
        <f t="shared" ca="1" si="911"/>
        <v>0</v>
      </c>
      <c r="CM128" s="252">
        <f t="shared" ca="1" si="911"/>
        <v>0</v>
      </c>
      <c r="CN128" s="252">
        <f t="shared" ca="1" si="911"/>
        <v>0</v>
      </c>
      <c r="CO128" s="252">
        <f t="shared" ca="1" si="911"/>
        <v>0</v>
      </c>
      <c r="CP128" s="252">
        <f t="shared" ca="1" si="911"/>
        <v>0</v>
      </c>
      <c r="CQ128" s="252">
        <f t="shared" ca="1" si="911"/>
        <v>0</v>
      </c>
      <c r="CR128" s="252">
        <f t="shared" ca="1" si="911"/>
        <v>0</v>
      </c>
      <c r="CS128" s="252">
        <f t="shared" ca="1" si="911"/>
        <v>0</v>
      </c>
      <c r="CT128" s="252">
        <f t="shared" ca="1" si="911"/>
        <v>0</v>
      </c>
      <c r="CU128" s="252">
        <f t="shared" ca="1" si="911"/>
        <v>0</v>
      </c>
      <c r="CV128" s="252">
        <f t="shared" ca="1" si="911"/>
        <v>0</v>
      </c>
      <c r="CW128" s="252">
        <f t="shared" ca="1" si="911"/>
        <v>0</v>
      </c>
      <c r="CX128" s="252">
        <f t="shared" ca="1" si="911"/>
        <v>392579.58472117648</v>
      </c>
      <c r="CY128" s="252">
        <f t="shared" ca="1" si="911"/>
        <v>0</v>
      </c>
      <c r="CZ128" s="252">
        <f t="shared" ca="1" si="911"/>
        <v>0</v>
      </c>
      <c r="DA128" s="252">
        <f t="shared" ca="1" si="911"/>
        <v>0</v>
      </c>
      <c r="DB128" s="252">
        <f t="shared" ca="1" si="911"/>
        <v>0</v>
      </c>
      <c r="DC128" s="252">
        <f t="shared" ca="1" si="911"/>
        <v>0</v>
      </c>
      <c r="DD128" s="252">
        <f t="shared" ca="1" si="911"/>
        <v>0</v>
      </c>
      <c r="DE128" s="252">
        <f t="shared" ca="1" si="911"/>
        <v>0</v>
      </c>
      <c r="DF128" s="252">
        <f t="shared" ca="1" si="911"/>
        <v>0</v>
      </c>
      <c r="DG128" s="252">
        <f t="shared" ca="1" si="911"/>
        <v>0</v>
      </c>
      <c r="DH128" s="252">
        <f t="shared" ca="1" si="911"/>
        <v>0</v>
      </c>
      <c r="DI128" s="252">
        <f t="shared" ca="1" si="911"/>
        <v>0</v>
      </c>
      <c r="DJ128" s="252">
        <f t="shared" ca="1" si="911"/>
        <v>0</v>
      </c>
      <c r="DK128" s="252">
        <f t="shared" ca="1" si="911"/>
        <v>0</v>
      </c>
      <c r="DL128" s="252">
        <f t="shared" ca="1" si="911"/>
        <v>0</v>
      </c>
      <c r="DM128" s="252">
        <f t="shared" ca="1" si="911"/>
        <v>0</v>
      </c>
      <c r="DN128" s="252">
        <f t="shared" ca="1" si="911"/>
        <v>0</v>
      </c>
      <c r="DO128" s="252">
        <f t="shared" ca="1" si="911"/>
        <v>0</v>
      </c>
      <c r="DP128" s="252">
        <f t="shared" ca="1" si="911"/>
        <v>0</v>
      </c>
      <c r="DQ128" s="252">
        <f t="shared" ca="1" si="911"/>
        <v>0</v>
      </c>
      <c r="DR128" s="252">
        <f t="shared" ca="1" si="911"/>
        <v>0</v>
      </c>
      <c r="DS128" s="252">
        <f t="shared" ca="1" si="911"/>
        <v>0</v>
      </c>
      <c r="DT128" s="252">
        <f t="shared" ca="1" si="911"/>
        <v>0</v>
      </c>
      <c r="DU128" s="252">
        <f t="shared" ca="1" si="911"/>
        <v>0</v>
      </c>
      <c r="DV128" s="252">
        <f t="shared" ca="1" si="911"/>
        <v>0</v>
      </c>
      <c r="DW128" s="252">
        <f t="shared" ca="1" si="911"/>
        <v>0</v>
      </c>
      <c r="DX128" s="252">
        <f t="shared" ca="1" si="911"/>
        <v>0</v>
      </c>
      <c r="DY128" s="252">
        <f t="shared" ca="1" si="911"/>
        <v>0</v>
      </c>
      <c r="DZ128" s="252">
        <f t="shared" ca="1" si="911"/>
        <v>0</v>
      </c>
      <c r="EA128" s="252">
        <f t="shared" ca="1" si="911"/>
        <v>0</v>
      </c>
      <c r="EB128" s="252">
        <f t="shared" ca="1" si="911"/>
        <v>0</v>
      </c>
      <c r="EC128" s="252">
        <f t="shared" ca="1" si="911"/>
        <v>0</v>
      </c>
      <c r="ED128" s="252">
        <f t="shared" ca="1" si="911"/>
        <v>0</v>
      </c>
      <c r="EE128" s="252">
        <f t="shared" ref="EE128:FF128" ca="1" si="912">EE127/$N$13</f>
        <v>0</v>
      </c>
      <c r="EF128" s="252">
        <f t="shared" ca="1" si="912"/>
        <v>0</v>
      </c>
      <c r="EG128" s="252">
        <f t="shared" ca="1" si="912"/>
        <v>0</v>
      </c>
      <c r="EH128" s="252">
        <f t="shared" ca="1" si="912"/>
        <v>0</v>
      </c>
      <c r="EI128" s="252">
        <f t="shared" ca="1" si="912"/>
        <v>0</v>
      </c>
      <c r="EJ128" s="252">
        <f t="shared" ca="1" si="912"/>
        <v>0</v>
      </c>
      <c r="EK128" s="252">
        <f t="shared" ca="1" si="912"/>
        <v>0</v>
      </c>
      <c r="EL128" s="252">
        <f t="shared" ca="1" si="912"/>
        <v>0</v>
      </c>
      <c r="EM128" s="252">
        <f t="shared" ca="1" si="912"/>
        <v>0</v>
      </c>
      <c r="EN128" s="252">
        <f t="shared" ca="1" si="912"/>
        <v>0</v>
      </c>
      <c r="EO128" s="252">
        <f t="shared" ca="1" si="912"/>
        <v>0</v>
      </c>
      <c r="EP128" s="252">
        <f t="shared" ca="1" si="912"/>
        <v>0</v>
      </c>
      <c r="EQ128" s="252">
        <f t="shared" ca="1" si="912"/>
        <v>0</v>
      </c>
      <c r="ER128" s="252">
        <f t="shared" ca="1" si="912"/>
        <v>0</v>
      </c>
      <c r="ES128" s="252">
        <f t="shared" ca="1" si="912"/>
        <v>0</v>
      </c>
      <c r="ET128" s="252">
        <f t="shared" ca="1" si="912"/>
        <v>0</v>
      </c>
      <c r="EU128" s="252">
        <f t="shared" ca="1" si="912"/>
        <v>0</v>
      </c>
      <c r="EV128" s="252">
        <f t="shared" ca="1" si="912"/>
        <v>0</v>
      </c>
      <c r="EW128" s="252">
        <f t="shared" ca="1" si="912"/>
        <v>0</v>
      </c>
      <c r="EX128" s="252">
        <f t="shared" ca="1" si="912"/>
        <v>0</v>
      </c>
      <c r="EY128" s="252">
        <f t="shared" ca="1" si="912"/>
        <v>0</v>
      </c>
      <c r="EZ128" s="252">
        <f t="shared" ca="1" si="912"/>
        <v>0</v>
      </c>
      <c r="FA128" s="252">
        <f t="shared" ca="1" si="912"/>
        <v>0</v>
      </c>
      <c r="FB128" s="252">
        <f t="shared" ca="1" si="912"/>
        <v>0</v>
      </c>
      <c r="FC128" s="252">
        <f t="shared" ca="1" si="912"/>
        <v>0</v>
      </c>
      <c r="FD128" s="252">
        <f t="shared" ca="1" si="912"/>
        <v>0</v>
      </c>
      <c r="FE128" s="252">
        <f t="shared" ca="1" si="912"/>
        <v>0</v>
      </c>
      <c r="FF128" s="252">
        <f t="shared" ca="1" si="912"/>
        <v>0</v>
      </c>
      <c r="FG128" s="327"/>
      <c r="FH128" s="252">
        <f t="shared" ref="FH128" ca="1" si="913">FH127/$N$13</f>
        <v>0</v>
      </c>
      <c r="FI128" s="252"/>
      <c r="FJ128" s="252"/>
      <c r="FK128" s="252"/>
      <c r="FL128" s="252"/>
      <c r="FM128" s="252">
        <f t="shared" ref="FM128" ca="1" si="914">FM127/$N$13</f>
        <v>0</v>
      </c>
      <c r="FN128" s="252">
        <f t="shared" ref="FN128" ca="1" si="915">FN127/$N$13</f>
        <v>0</v>
      </c>
      <c r="FO128" s="252">
        <f t="shared" ref="FO128" ca="1" si="916">FO127/$N$13</f>
        <v>0</v>
      </c>
      <c r="FP128" s="252">
        <f ca="1">FP127/$N$13</f>
        <v>392579.58472117648</v>
      </c>
      <c r="FQ128" s="252"/>
      <c r="FR128" s="252"/>
      <c r="FS128" s="252"/>
      <c r="FT128" s="252"/>
      <c r="FU128" s="252"/>
      <c r="FV128" s="327"/>
    </row>
    <row r="129" spans="1:204" x14ac:dyDescent="0.2">
      <c r="E129" s="235"/>
      <c r="F129" s="248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35"/>
      <c r="X129" s="235"/>
      <c r="Y129" s="235"/>
      <c r="Z129" s="235"/>
      <c r="AA129" s="235"/>
      <c r="AB129" s="235"/>
      <c r="AC129" s="235"/>
      <c r="AD129" s="235"/>
      <c r="AE129" s="235"/>
      <c r="AF129" s="235"/>
      <c r="AG129" s="235"/>
      <c r="AH129" s="235"/>
      <c r="AI129" s="235"/>
      <c r="AJ129" s="235"/>
      <c r="AK129" s="235"/>
      <c r="AL129" s="235"/>
      <c r="AM129" s="235"/>
      <c r="AN129" s="235"/>
      <c r="AO129" s="235"/>
      <c r="AP129" s="235"/>
      <c r="AQ129" s="235"/>
      <c r="AR129" s="235"/>
      <c r="AS129" s="235"/>
      <c r="AT129" s="235"/>
      <c r="AU129" s="235"/>
      <c r="AV129" s="235"/>
      <c r="AW129" s="235"/>
      <c r="AX129" s="235"/>
      <c r="AY129" s="235"/>
      <c r="AZ129" s="235"/>
      <c r="BA129" s="235"/>
      <c r="BB129" s="235"/>
      <c r="BC129" s="235"/>
      <c r="BD129" s="235"/>
      <c r="BE129" s="235"/>
      <c r="BF129" s="235"/>
      <c r="BG129" s="235"/>
      <c r="BH129" s="235"/>
      <c r="BI129" s="235"/>
      <c r="BJ129" s="235"/>
      <c r="BK129" s="235"/>
      <c r="BL129" s="235"/>
      <c r="BM129" s="235"/>
      <c r="BN129" s="235"/>
      <c r="BO129" s="235"/>
      <c r="BP129" s="235"/>
      <c r="BQ129" s="235"/>
      <c r="BR129" s="235"/>
      <c r="BS129" s="235"/>
      <c r="BT129" s="235"/>
      <c r="BU129" s="235"/>
      <c r="BV129" s="235"/>
      <c r="BW129" s="235"/>
      <c r="BX129" s="235"/>
      <c r="BY129" s="235"/>
      <c r="BZ129" s="235"/>
      <c r="CA129" s="235"/>
      <c r="CB129" s="235"/>
      <c r="CC129" s="235"/>
      <c r="CD129" s="235"/>
      <c r="CE129" s="235"/>
      <c r="CF129" s="235"/>
      <c r="CG129" s="235"/>
      <c r="CH129" s="235"/>
      <c r="CI129" s="235"/>
      <c r="CJ129" s="235"/>
      <c r="CK129" s="235"/>
      <c r="CL129" s="235"/>
      <c r="CM129" s="235"/>
      <c r="CN129" s="235"/>
      <c r="CO129" s="235"/>
      <c r="CP129" s="235"/>
      <c r="CQ129" s="235"/>
      <c r="CR129" s="235"/>
      <c r="CS129" s="235"/>
      <c r="CT129" s="235"/>
      <c r="CU129" s="235"/>
      <c r="CV129" s="235"/>
      <c r="CW129" s="235"/>
      <c r="CX129" s="235"/>
      <c r="CY129" s="235"/>
      <c r="CZ129" s="235"/>
      <c r="DA129" s="235"/>
      <c r="DB129" s="235"/>
      <c r="DC129" s="235"/>
      <c r="DD129" s="235"/>
      <c r="DE129" s="235"/>
      <c r="DF129" s="235"/>
      <c r="DG129" s="235"/>
      <c r="DH129" s="235"/>
      <c r="DI129" s="235"/>
      <c r="DJ129" s="235"/>
      <c r="DK129" s="235"/>
      <c r="DL129" s="235"/>
      <c r="DM129" s="235"/>
      <c r="DN129" s="235"/>
      <c r="DO129" s="235"/>
      <c r="DP129" s="235"/>
      <c r="DQ129" s="235"/>
      <c r="DR129" s="235"/>
      <c r="DS129" s="235"/>
      <c r="DT129" s="235"/>
      <c r="DU129" s="235"/>
      <c r="DV129" s="235"/>
      <c r="DW129" s="235"/>
      <c r="DX129" s="235"/>
      <c r="DY129" s="235"/>
      <c r="DZ129" s="235"/>
      <c r="EA129" s="235"/>
      <c r="EB129" s="235"/>
      <c r="EC129" s="235"/>
      <c r="ED129" s="235"/>
      <c r="EE129" s="235"/>
      <c r="EF129" s="235"/>
      <c r="EG129" s="235"/>
      <c r="EH129" s="235"/>
      <c r="EI129" s="235"/>
      <c r="EJ129" s="235"/>
      <c r="EK129" s="235"/>
      <c r="EL129" s="235"/>
      <c r="EM129" s="235"/>
      <c r="EN129" s="235"/>
      <c r="EO129" s="235"/>
      <c r="EP129" s="235"/>
      <c r="EQ129" s="235"/>
      <c r="ER129" s="235"/>
      <c r="ES129" s="235"/>
      <c r="ET129" s="235"/>
      <c r="EU129" s="235"/>
      <c r="EV129" s="235"/>
      <c r="EW129" s="235"/>
      <c r="EX129" s="235"/>
      <c r="EY129" s="235"/>
      <c r="EZ129" s="235"/>
      <c r="FA129" s="235"/>
      <c r="FB129" s="235"/>
      <c r="FC129" s="235"/>
      <c r="FD129" s="235"/>
      <c r="FE129" s="235"/>
      <c r="FF129" s="235"/>
      <c r="FG129" s="326"/>
      <c r="FH129" s="235"/>
      <c r="FI129" s="235"/>
      <c r="FJ129" s="235"/>
      <c r="FK129" s="235"/>
      <c r="FL129" s="235"/>
      <c r="FM129" s="235"/>
      <c r="FN129" s="235"/>
      <c r="FO129" s="235"/>
      <c r="FP129" s="235"/>
      <c r="FQ129" s="235"/>
      <c r="FR129" s="235"/>
      <c r="FS129" s="235"/>
      <c r="FT129" s="235"/>
      <c r="FU129" s="235"/>
      <c r="FV129" s="326"/>
    </row>
    <row r="130" spans="1:204" x14ac:dyDescent="0.2">
      <c r="C130" s="241" t="s">
        <v>102</v>
      </c>
      <c r="D130" s="241"/>
      <c r="E130" s="253">
        <f ca="1">SUM(F130:FF130)</f>
        <v>-392579.58472117648</v>
      </c>
      <c r="F130" s="254">
        <f t="shared" ref="F130:AK130" ca="1" si="917">F127*-$E$52</f>
        <v>0</v>
      </c>
      <c r="G130" s="254">
        <f t="shared" ca="1" si="917"/>
        <v>0</v>
      </c>
      <c r="H130" s="254">
        <f t="shared" ca="1" si="917"/>
        <v>0</v>
      </c>
      <c r="I130" s="254">
        <f t="shared" ca="1" si="917"/>
        <v>0</v>
      </c>
      <c r="J130" s="254">
        <f t="shared" ca="1" si="917"/>
        <v>0</v>
      </c>
      <c r="K130" s="254">
        <f t="shared" ca="1" si="917"/>
        <v>0</v>
      </c>
      <c r="L130" s="254">
        <f t="shared" ca="1" si="917"/>
        <v>0</v>
      </c>
      <c r="M130" s="254">
        <f t="shared" ca="1" si="917"/>
        <v>0</v>
      </c>
      <c r="N130" s="254">
        <f t="shared" ca="1" si="917"/>
        <v>0</v>
      </c>
      <c r="O130" s="254">
        <f t="shared" ca="1" si="917"/>
        <v>0</v>
      </c>
      <c r="P130" s="254">
        <f t="shared" ca="1" si="917"/>
        <v>0</v>
      </c>
      <c r="Q130" s="254">
        <f t="shared" ca="1" si="917"/>
        <v>0</v>
      </c>
      <c r="R130" s="254">
        <f t="shared" ca="1" si="917"/>
        <v>0</v>
      </c>
      <c r="S130" s="254">
        <f t="shared" ca="1" si="917"/>
        <v>0</v>
      </c>
      <c r="T130" s="254">
        <f t="shared" ca="1" si="917"/>
        <v>0</v>
      </c>
      <c r="U130" s="254">
        <f t="shared" ca="1" si="917"/>
        <v>0</v>
      </c>
      <c r="V130" s="254">
        <f t="shared" ca="1" si="917"/>
        <v>0</v>
      </c>
      <c r="W130" s="254">
        <f t="shared" ca="1" si="917"/>
        <v>0</v>
      </c>
      <c r="X130" s="254">
        <f t="shared" ca="1" si="917"/>
        <v>0</v>
      </c>
      <c r="Y130" s="254">
        <f t="shared" ca="1" si="917"/>
        <v>0</v>
      </c>
      <c r="Z130" s="254">
        <f t="shared" ca="1" si="917"/>
        <v>0</v>
      </c>
      <c r="AA130" s="254">
        <f t="shared" ca="1" si="917"/>
        <v>0</v>
      </c>
      <c r="AB130" s="254">
        <f t="shared" ca="1" si="917"/>
        <v>0</v>
      </c>
      <c r="AC130" s="254">
        <f t="shared" ca="1" si="917"/>
        <v>0</v>
      </c>
      <c r="AD130" s="254">
        <f t="shared" ca="1" si="917"/>
        <v>0</v>
      </c>
      <c r="AE130" s="254">
        <f t="shared" ca="1" si="917"/>
        <v>0</v>
      </c>
      <c r="AF130" s="254">
        <f t="shared" ca="1" si="917"/>
        <v>0</v>
      </c>
      <c r="AG130" s="254">
        <f t="shared" ca="1" si="917"/>
        <v>0</v>
      </c>
      <c r="AH130" s="254">
        <f t="shared" ca="1" si="917"/>
        <v>0</v>
      </c>
      <c r="AI130" s="254">
        <f t="shared" ca="1" si="917"/>
        <v>0</v>
      </c>
      <c r="AJ130" s="254">
        <f t="shared" ca="1" si="917"/>
        <v>0</v>
      </c>
      <c r="AK130" s="254">
        <f t="shared" ca="1" si="917"/>
        <v>0</v>
      </c>
      <c r="AL130" s="254">
        <f t="shared" ref="AL130:BQ130" ca="1" si="918">AL127*-$E$52</f>
        <v>0</v>
      </c>
      <c r="AM130" s="254">
        <f t="shared" ca="1" si="918"/>
        <v>0</v>
      </c>
      <c r="AN130" s="254">
        <f t="shared" ca="1" si="918"/>
        <v>0</v>
      </c>
      <c r="AO130" s="254">
        <f t="shared" ca="1" si="918"/>
        <v>0</v>
      </c>
      <c r="AP130" s="254">
        <f t="shared" ca="1" si="918"/>
        <v>0</v>
      </c>
      <c r="AQ130" s="254">
        <f t="shared" ca="1" si="918"/>
        <v>0</v>
      </c>
      <c r="AR130" s="254">
        <f t="shared" ca="1" si="918"/>
        <v>0</v>
      </c>
      <c r="AS130" s="254">
        <f t="shared" ca="1" si="918"/>
        <v>0</v>
      </c>
      <c r="AT130" s="254">
        <f t="shared" ca="1" si="918"/>
        <v>0</v>
      </c>
      <c r="AU130" s="254">
        <f t="shared" ca="1" si="918"/>
        <v>0</v>
      </c>
      <c r="AV130" s="254">
        <f t="shared" ca="1" si="918"/>
        <v>0</v>
      </c>
      <c r="AW130" s="254">
        <f t="shared" ca="1" si="918"/>
        <v>0</v>
      </c>
      <c r="AX130" s="254">
        <f t="shared" ca="1" si="918"/>
        <v>0</v>
      </c>
      <c r="AY130" s="254">
        <f t="shared" ca="1" si="918"/>
        <v>0</v>
      </c>
      <c r="AZ130" s="254">
        <f t="shared" ca="1" si="918"/>
        <v>0</v>
      </c>
      <c r="BA130" s="254">
        <f t="shared" ca="1" si="918"/>
        <v>0</v>
      </c>
      <c r="BB130" s="254">
        <f t="shared" ca="1" si="918"/>
        <v>0</v>
      </c>
      <c r="BC130" s="254">
        <f t="shared" ca="1" si="918"/>
        <v>0</v>
      </c>
      <c r="BD130" s="254">
        <f t="shared" ca="1" si="918"/>
        <v>0</v>
      </c>
      <c r="BE130" s="254">
        <f t="shared" ca="1" si="918"/>
        <v>0</v>
      </c>
      <c r="BF130" s="254">
        <f t="shared" ca="1" si="918"/>
        <v>0</v>
      </c>
      <c r="BG130" s="254">
        <f t="shared" ca="1" si="918"/>
        <v>0</v>
      </c>
      <c r="BH130" s="254">
        <f t="shared" ca="1" si="918"/>
        <v>0</v>
      </c>
      <c r="BI130" s="254">
        <f t="shared" ca="1" si="918"/>
        <v>0</v>
      </c>
      <c r="BJ130" s="254">
        <f t="shared" ca="1" si="918"/>
        <v>0</v>
      </c>
      <c r="BK130" s="254">
        <f t="shared" ca="1" si="918"/>
        <v>0</v>
      </c>
      <c r="BL130" s="254">
        <f t="shared" ca="1" si="918"/>
        <v>0</v>
      </c>
      <c r="BM130" s="254">
        <f t="shared" ca="1" si="918"/>
        <v>0</v>
      </c>
      <c r="BN130" s="254">
        <f t="shared" ca="1" si="918"/>
        <v>0</v>
      </c>
      <c r="BO130" s="254">
        <f t="shared" ca="1" si="918"/>
        <v>0</v>
      </c>
      <c r="BP130" s="254">
        <f t="shared" ca="1" si="918"/>
        <v>0</v>
      </c>
      <c r="BQ130" s="254">
        <f t="shared" ca="1" si="918"/>
        <v>0</v>
      </c>
      <c r="BR130" s="254">
        <f t="shared" ref="BR130:CW130" ca="1" si="919">BR127*-$E$52</f>
        <v>0</v>
      </c>
      <c r="BS130" s="254">
        <f t="shared" ca="1" si="919"/>
        <v>0</v>
      </c>
      <c r="BT130" s="254">
        <f t="shared" ca="1" si="919"/>
        <v>0</v>
      </c>
      <c r="BU130" s="254">
        <f t="shared" ca="1" si="919"/>
        <v>0</v>
      </c>
      <c r="BV130" s="254">
        <f t="shared" ca="1" si="919"/>
        <v>0</v>
      </c>
      <c r="BW130" s="254">
        <f t="shared" ca="1" si="919"/>
        <v>0</v>
      </c>
      <c r="BX130" s="254">
        <f t="shared" ca="1" si="919"/>
        <v>0</v>
      </c>
      <c r="BY130" s="254">
        <f t="shared" ca="1" si="919"/>
        <v>0</v>
      </c>
      <c r="BZ130" s="254">
        <f t="shared" ca="1" si="919"/>
        <v>0</v>
      </c>
      <c r="CA130" s="254">
        <f t="shared" ca="1" si="919"/>
        <v>0</v>
      </c>
      <c r="CB130" s="254">
        <f t="shared" ca="1" si="919"/>
        <v>0</v>
      </c>
      <c r="CC130" s="254">
        <f t="shared" ca="1" si="919"/>
        <v>0</v>
      </c>
      <c r="CD130" s="254">
        <f t="shared" ca="1" si="919"/>
        <v>0</v>
      </c>
      <c r="CE130" s="254">
        <f t="shared" ca="1" si="919"/>
        <v>0</v>
      </c>
      <c r="CF130" s="254">
        <f t="shared" ca="1" si="919"/>
        <v>0</v>
      </c>
      <c r="CG130" s="254">
        <f t="shared" ca="1" si="919"/>
        <v>0</v>
      </c>
      <c r="CH130" s="254">
        <f t="shared" ca="1" si="919"/>
        <v>0</v>
      </c>
      <c r="CI130" s="254">
        <f t="shared" ca="1" si="919"/>
        <v>0</v>
      </c>
      <c r="CJ130" s="254">
        <f t="shared" ca="1" si="919"/>
        <v>0</v>
      </c>
      <c r="CK130" s="254">
        <f t="shared" ca="1" si="919"/>
        <v>0</v>
      </c>
      <c r="CL130" s="254">
        <f t="shared" ca="1" si="919"/>
        <v>0</v>
      </c>
      <c r="CM130" s="254">
        <f t="shared" ca="1" si="919"/>
        <v>0</v>
      </c>
      <c r="CN130" s="254">
        <f t="shared" ca="1" si="919"/>
        <v>0</v>
      </c>
      <c r="CO130" s="254">
        <f t="shared" ca="1" si="919"/>
        <v>0</v>
      </c>
      <c r="CP130" s="254">
        <f t="shared" ca="1" si="919"/>
        <v>0</v>
      </c>
      <c r="CQ130" s="254">
        <f t="shared" ca="1" si="919"/>
        <v>0</v>
      </c>
      <c r="CR130" s="254">
        <f t="shared" ca="1" si="919"/>
        <v>0</v>
      </c>
      <c r="CS130" s="254">
        <f t="shared" ca="1" si="919"/>
        <v>0</v>
      </c>
      <c r="CT130" s="254">
        <f t="shared" ca="1" si="919"/>
        <v>0</v>
      </c>
      <c r="CU130" s="254">
        <f t="shared" ca="1" si="919"/>
        <v>0</v>
      </c>
      <c r="CV130" s="254">
        <f t="shared" ca="1" si="919"/>
        <v>0</v>
      </c>
      <c r="CW130" s="254">
        <f t="shared" ca="1" si="919"/>
        <v>0</v>
      </c>
      <c r="CX130" s="254">
        <f t="shared" ref="CX130:EC130" ca="1" si="920">CX127*-$E$52</f>
        <v>-392579.58472117648</v>
      </c>
      <c r="CY130" s="254">
        <f t="shared" ca="1" si="920"/>
        <v>0</v>
      </c>
      <c r="CZ130" s="254">
        <f t="shared" ca="1" si="920"/>
        <v>0</v>
      </c>
      <c r="DA130" s="254">
        <f t="shared" ca="1" si="920"/>
        <v>0</v>
      </c>
      <c r="DB130" s="254">
        <f t="shared" ca="1" si="920"/>
        <v>0</v>
      </c>
      <c r="DC130" s="254">
        <f t="shared" ca="1" si="920"/>
        <v>0</v>
      </c>
      <c r="DD130" s="254">
        <f t="shared" ca="1" si="920"/>
        <v>0</v>
      </c>
      <c r="DE130" s="254">
        <f t="shared" ca="1" si="920"/>
        <v>0</v>
      </c>
      <c r="DF130" s="254">
        <f t="shared" ca="1" si="920"/>
        <v>0</v>
      </c>
      <c r="DG130" s="254">
        <f t="shared" ca="1" si="920"/>
        <v>0</v>
      </c>
      <c r="DH130" s="254">
        <f t="shared" ca="1" si="920"/>
        <v>0</v>
      </c>
      <c r="DI130" s="254">
        <f t="shared" ca="1" si="920"/>
        <v>0</v>
      </c>
      <c r="DJ130" s="254">
        <f t="shared" ca="1" si="920"/>
        <v>0</v>
      </c>
      <c r="DK130" s="254">
        <f t="shared" ca="1" si="920"/>
        <v>0</v>
      </c>
      <c r="DL130" s="254">
        <f t="shared" ca="1" si="920"/>
        <v>0</v>
      </c>
      <c r="DM130" s="254">
        <f t="shared" ca="1" si="920"/>
        <v>0</v>
      </c>
      <c r="DN130" s="254">
        <f t="shared" ca="1" si="920"/>
        <v>0</v>
      </c>
      <c r="DO130" s="254">
        <f t="shared" ca="1" si="920"/>
        <v>0</v>
      </c>
      <c r="DP130" s="254">
        <f t="shared" ca="1" si="920"/>
        <v>0</v>
      </c>
      <c r="DQ130" s="254">
        <f t="shared" ca="1" si="920"/>
        <v>0</v>
      </c>
      <c r="DR130" s="254">
        <f t="shared" ca="1" si="920"/>
        <v>0</v>
      </c>
      <c r="DS130" s="254">
        <f t="shared" ca="1" si="920"/>
        <v>0</v>
      </c>
      <c r="DT130" s="254">
        <f t="shared" ca="1" si="920"/>
        <v>0</v>
      </c>
      <c r="DU130" s="254">
        <f t="shared" ca="1" si="920"/>
        <v>0</v>
      </c>
      <c r="DV130" s="254">
        <f t="shared" ca="1" si="920"/>
        <v>0</v>
      </c>
      <c r="DW130" s="254">
        <f t="shared" ca="1" si="920"/>
        <v>0</v>
      </c>
      <c r="DX130" s="254">
        <f t="shared" ca="1" si="920"/>
        <v>0</v>
      </c>
      <c r="DY130" s="254">
        <f t="shared" ca="1" si="920"/>
        <v>0</v>
      </c>
      <c r="DZ130" s="254">
        <f t="shared" ca="1" si="920"/>
        <v>0</v>
      </c>
      <c r="EA130" s="254">
        <f t="shared" ca="1" si="920"/>
        <v>0</v>
      </c>
      <c r="EB130" s="254">
        <f t="shared" ca="1" si="920"/>
        <v>0</v>
      </c>
      <c r="EC130" s="254">
        <f t="shared" ca="1" si="920"/>
        <v>0</v>
      </c>
      <c r="ED130" s="254">
        <f t="shared" ref="ED130:FF130" ca="1" si="921">ED127*-$E$52</f>
        <v>0</v>
      </c>
      <c r="EE130" s="254">
        <f t="shared" ca="1" si="921"/>
        <v>0</v>
      </c>
      <c r="EF130" s="254">
        <f t="shared" ca="1" si="921"/>
        <v>0</v>
      </c>
      <c r="EG130" s="254">
        <f t="shared" ca="1" si="921"/>
        <v>0</v>
      </c>
      <c r="EH130" s="254">
        <f t="shared" ca="1" si="921"/>
        <v>0</v>
      </c>
      <c r="EI130" s="254">
        <f t="shared" ca="1" si="921"/>
        <v>0</v>
      </c>
      <c r="EJ130" s="254">
        <f t="shared" ca="1" si="921"/>
        <v>0</v>
      </c>
      <c r="EK130" s="254">
        <f t="shared" ca="1" si="921"/>
        <v>0</v>
      </c>
      <c r="EL130" s="254">
        <f t="shared" ca="1" si="921"/>
        <v>0</v>
      </c>
      <c r="EM130" s="254">
        <f t="shared" ca="1" si="921"/>
        <v>0</v>
      </c>
      <c r="EN130" s="254">
        <f t="shared" ca="1" si="921"/>
        <v>0</v>
      </c>
      <c r="EO130" s="254">
        <f t="shared" ca="1" si="921"/>
        <v>0</v>
      </c>
      <c r="EP130" s="254">
        <f t="shared" ca="1" si="921"/>
        <v>0</v>
      </c>
      <c r="EQ130" s="254">
        <f t="shared" ca="1" si="921"/>
        <v>0</v>
      </c>
      <c r="ER130" s="254">
        <f t="shared" ca="1" si="921"/>
        <v>0</v>
      </c>
      <c r="ES130" s="254">
        <f t="shared" ca="1" si="921"/>
        <v>0</v>
      </c>
      <c r="ET130" s="254">
        <f t="shared" ca="1" si="921"/>
        <v>0</v>
      </c>
      <c r="EU130" s="254">
        <f t="shared" ca="1" si="921"/>
        <v>0</v>
      </c>
      <c r="EV130" s="254">
        <f t="shared" ca="1" si="921"/>
        <v>0</v>
      </c>
      <c r="EW130" s="254">
        <f t="shared" ca="1" si="921"/>
        <v>0</v>
      </c>
      <c r="EX130" s="254">
        <f t="shared" ca="1" si="921"/>
        <v>0</v>
      </c>
      <c r="EY130" s="254">
        <f t="shared" ca="1" si="921"/>
        <v>0</v>
      </c>
      <c r="EZ130" s="254">
        <f t="shared" ca="1" si="921"/>
        <v>0</v>
      </c>
      <c r="FA130" s="254">
        <f t="shared" ca="1" si="921"/>
        <v>0</v>
      </c>
      <c r="FB130" s="254">
        <f t="shared" ca="1" si="921"/>
        <v>0</v>
      </c>
      <c r="FC130" s="254">
        <f t="shared" ca="1" si="921"/>
        <v>0</v>
      </c>
      <c r="FD130" s="254">
        <f t="shared" ca="1" si="921"/>
        <v>0</v>
      </c>
      <c r="FE130" s="254">
        <f t="shared" ca="1" si="921"/>
        <v>0</v>
      </c>
      <c r="FF130" s="254">
        <f t="shared" ca="1" si="921"/>
        <v>0</v>
      </c>
      <c r="FG130" s="326"/>
      <c r="FH130" s="254">
        <f ca="1">SUMIF($F$57:$FF$57,FH$57,$F130:$FF130)</f>
        <v>0</v>
      </c>
      <c r="FI130" s="254">
        <f t="shared" ref="FI130:FU131" ca="1" si="922">SUMIF($F$57:$FF$57,FI$57,$F130:$FF130)</f>
        <v>0</v>
      </c>
      <c r="FJ130" s="254">
        <f t="shared" ca="1" si="922"/>
        <v>0</v>
      </c>
      <c r="FK130" s="254">
        <f t="shared" ca="1" si="922"/>
        <v>0</v>
      </c>
      <c r="FL130" s="254">
        <f t="shared" ca="1" si="922"/>
        <v>0</v>
      </c>
      <c r="FM130" s="254">
        <f t="shared" ca="1" si="922"/>
        <v>0</v>
      </c>
      <c r="FN130" s="254">
        <f t="shared" ca="1" si="922"/>
        <v>0</v>
      </c>
      <c r="FO130" s="254">
        <f t="shared" ca="1" si="922"/>
        <v>0</v>
      </c>
      <c r="FP130" s="254">
        <f t="shared" ca="1" si="922"/>
        <v>-392579.58472117648</v>
      </c>
      <c r="FQ130" s="254">
        <f t="shared" ca="1" si="922"/>
        <v>0</v>
      </c>
      <c r="FR130" s="254">
        <f t="shared" ca="1" si="922"/>
        <v>0</v>
      </c>
      <c r="FS130" s="254">
        <f t="shared" ca="1" si="922"/>
        <v>0</v>
      </c>
      <c r="FT130" s="254">
        <f t="shared" ca="1" si="922"/>
        <v>0</v>
      </c>
      <c r="FU130" s="254">
        <f t="shared" ca="1" si="922"/>
        <v>0</v>
      </c>
      <c r="FV130" s="326"/>
    </row>
    <row r="131" spans="1:204" s="277" customFormat="1" x14ac:dyDescent="0.2">
      <c r="C131" s="274" t="s">
        <v>108</v>
      </c>
      <c r="D131" s="275"/>
      <c r="E131" s="276">
        <f ca="1">SUM(F131:FF131)</f>
        <v>38865378.88739647</v>
      </c>
      <c r="F131" s="274">
        <f ca="1">SUM(F127,F130)</f>
        <v>0</v>
      </c>
      <c r="G131" s="274">
        <f t="shared" ref="G131:BR131" ca="1" si="923">SUM(G127,G130)</f>
        <v>0</v>
      </c>
      <c r="H131" s="274">
        <f t="shared" ca="1" si="923"/>
        <v>0</v>
      </c>
      <c r="I131" s="274">
        <f t="shared" ca="1" si="923"/>
        <v>0</v>
      </c>
      <c r="J131" s="274">
        <f t="shared" ca="1" si="923"/>
        <v>0</v>
      </c>
      <c r="K131" s="274">
        <f t="shared" ca="1" si="923"/>
        <v>0</v>
      </c>
      <c r="L131" s="274">
        <f t="shared" ca="1" si="923"/>
        <v>0</v>
      </c>
      <c r="M131" s="274">
        <f t="shared" ca="1" si="923"/>
        <v>0</v>
      </c>
      <c r="N131" s="274">
        <f t="shared" ca="1" si="923"/>
        <v>0</v>
      </c>
      <c r="O131" s="274">
        <f t="shared" ca="1" si="923"/>
        <v>0</v>
      </c>
      <c r="P131" s="274">
        <f t="shared" ca="1" si="923"/>
        <v>0</v>
      </c>
      <c r="Q131" s="274">
        <f t="shared" ca="1" si="923"/>
        <v>0</v>
      </c>
      <c r="R131" s="274">
        <f t="shared" ca="1" si="923"/>
        <v>0</v>
      </c>
      <c r="S131" s="274">
        <f t="shared" ca="1" si="923"/>
        <v>0</v>
      </c>
      <c r="T131" s="274">
        <f t="shared" ca="1" si="923"/>
        <v>0</v>
      </c>
      <c r="U131" s="274">
        <f t="shared" ca="1" si="923"/>
        <v>0</v>
      </c>
      <c r="V131" s="274">
        <f t="shared" ca="1" si="923"/>
        <v>0</v>
      </c>
      <c r="W131" s="274">
        <f t="shared" ca="1" si="923"/>
        <v>0</v>
      </c>
      <c r="X131" s="274">
        <f t="shared" ca="1" si="923"/>
        <v>0</v>
      </c>
      <c r="Y131" s="274">
        <f t="shared" ca="1" si="923"/>
        <v>0</v>
      </c>
      <c r="Z131" s="274">
        <f t="shared" ca="1" si="923"/>
        <v>0</v>
      </c>
      <c r="AA131" s="274">
        <f t="shared" ca="1" si="923"/>
        <v>0</v>
      </c>
      <c r="AB131" s="274">
        <f t="shared" ca="1" si="923"/>
        <v>0</v>
      </c>
      <c r="AC131" s="274">
        <f t="shared" ca="1" si="923"/>
        <v>0</v>
      </c>
      <c r="AD131" s="274">
        <f t="shared" ca="1" si="923"/>
        <v>0</v>
      </c>
      <c r="AE131" s="274">
        <f t="shared" ca="1" si="923"/>
        <v>0</v>
      </c>
      <c r="AF131" s="274">
        <f t="shared" ca="1" si="923"/>
        <v>0</v>
      </c>
      <c r="AG131" s="274">
        <f t="shared" ca="1" si="923"/>
        <v>0</v>
      </c>
      <c r="AH131" s="274">
        <f t="shared" ca="1" si="923"/>
        <v>0</v>
      </c>
      <c r="AI131" s="274">
        <f t="shared" ca="1" si="923"/>
        <v>0</v>
      </c>
      <c r="AJ131" s="274">
        <f t="shared" ca="1" si="923"/>
        <v>0</v>
      </c>
      <c r="AK131" s="274">
        <f t="shared" ca="1" si="923"/>
        <v>0</v>
      </c>
      <c r="AL131" s="274">
        <f t="shared" ca="1" si="923"/>
        <v>0</v>
      </c>
      <c r="AM131" s="274">
        <f t="shared" ca="1" si="923"/>
        <v>0</v>
      </c>
      <c r="AN131" s="274">
        <f t="shared" ca="1" si="923"/>
        <v>0</v>
      </c>
      <c r="AO131" s="274">
        <f t="shared" ca="1" si="923"/>
        <v>0</v>
      </c>
      <c r="AP131" s="274">
        <f t="shared" ca="1" si="923"/>
        <v>0</v>
      </c>
      <c r="AQ131" s="274">
        <f t="shared" ca="1" si="923"/>
        <v>0</v>
      </c>
      <c r="AR131" s="274">
        <f t="shared" ca="1" si="923"/>
        <v>0</v>
      </c>
      <c r="AS131" s="274">
        <f t="shared" ca="1" si="923"/>
        <v>0</v>
      </c>
      <c r="AT131" s="274">
        <f t="shared" ca="1" si="923"/>
        <v>0</v>
      </c>
      <c r="AU131" s="274">
        <f t="shared" ca="1" si="923"/>
        <v>0</v>
      </c>
      <c r="AV131" s="274">
        <f t="shared" ca="1" si="923"/>
        <v>0</v>
      </c>
      <c r="AW131" s="274">
        <f t="shared" ca="1" si="923"/>
        <v>0</v>
      </c>
      <c r="AX131" s="274">
        <f t="shared" ca="1" si="923"/>
        <v>0</v>
      </c>
      <c r="AY131" s="274">
        <f t="shared" ca="1" si="923"/>
        <v>0</v>
      </c>
      <c r="AZ131" s="274">
        <f t="shared" ca="1" si="923"/>
        <v>0</v>
      </c>
      <c r="BA131" s="274">
        <f t="shared" ca="1" si="923"/>
        <v>0</v>
      </c>
      <c r="BB131" s="274">
        <f t="shared" ca="1" si="923"/>
        <v>0</v>
      </c>
      <c r="BC131" s="274">
        <f t="shared" ca="1" si="923"/>
        <v>0</v>
      </c>
      <c r="BD131" s="274">
        <f t="shared" ca="1" si="923"/>
        <v>0</v>
      </c>
      <c r="BE131" s="274">
        <f t="shared" ca="1" si="923"/>
        <v>0</v>
      </c>
      <c r="BF131" s="274">
        <f t="shared" ca="1" si="923"/>
        <v>0</v>
      </c>
      <c r="BG131" s="274">
        <f t="shared" ca="1" si="923"/>
        <v>0</v>
      </c>
      <c r="BH131" s="274">
        <f t="shared" ca="1" si="923"/>
        <v>0</v>
      </c>
      <c r="BI131" s="274">
        <f t="shared" ca="1" si="923"/>
        <v>0</v>
      </c>
      <c r="BJ131" s="274">
        <f t="shared" ca="1" si="923"/>
        <v>0</v>
      </c>
      <c r="BK131" s="274">
        <f t="shared" ca="1" si="923"/>
        <v>0</v>
      </c>
      <c r="BL131" s="274">
        <f t="shared" ca="1" si="923"/>
        <v>0</v>
      </c>
      <c r="BM131" s="274">
        <f t="shared" ca="1" si="923"/>
        <v>0</v>
      </c>
      <c r="BN131" s="274">
        <f t="shared" ca="1" si="923"/>
        <v>0</v>
      </c>
      <c r="BO131" s="274">
        <f t="shared" ca="1" si="923"/>
        <v>0</v>
      </c>
      <c r="BP131" s="274">
        <f t="shared" ca="1" si="923"/>
        <v>0</v>
      </c>
      <c r="BQ131" s="274">
        <f t="shared" ca="1" si="923"/>
        <v>0</v>
      </c>
      <c r="BR131" s="274">
        <f t="shared" ca="1" si="923"/>
        <v>0</v>
      </c>
      <c r="BS131" s="274">
        <f t="shared" ref="BS131:ED131" ca="1" si="924">SUM(BS127,BS130)</f>
        <v>0</v>
      </c>
      <c r="BT131" s="274">
        <f t="shared" ca="1" si="924"/>
        <v>0</v>
      </c>
      <c r="BU131" s="274">
        <f t="shared" ca="1" si="924"/>
        <v>0</v>
      </c>
      <c r="BV131" s="274">
        <f t="shared" ca="1" si="924"/>
        <v>0</v>
      </c>
      <c r="BW131" s="274">
        <f t="shared" ca="1" si="924"/>
        <v>0</v>
      </c>
      <c r="BX131" s="274">
        <f t="shared" ca="1" si="924"/>
        <v>0</v>
      </c>
      <c r="BY131" s="274">
        <f t="shared" ca="1" si="924"/>
        <v>0</v>
      </c>
      <c r="BZ131" s="274">
        <f t="shared" ca="1" si="924"/>
        <v>0</v>
      </c>
      <c r="CA131" s="274">
        <f t="shared" ca="1" si="924"/>
        <v>0</v>
      </c>
      <c r="CB131" s="274">
        <f t="shared" ca="1" si="924"/>
        <v>0</v>
      </c>
      <c r="CC131" s="274">
        <f t="shared" ca="1" si="924"/>
        <v>0</v>
      </c>
      <c r="CD131" s="274">
        <f t="shared" ca="1" si="924"/>
        <v>0</v>
      </c>
      <c r="CE131" s="274">
        <f t="shared" ca="1" si="924"/>
        <v>0</v>
      </c>
      <c r="CF131" s="274">
        <f t="shared" ca="1" si="924"/>
        <v>0</v>
      </c>
      <c r="CG131" s="274">
        <f t="shared" ca="1" si="924"/>
        <v>0</v>
      </c>
      <c r="CH131" s="274">
        <f t="shared" ca="1" si="924"/>
        <v>0</v>
      </c>
      <c r="CI131" s="274">
        <f t="shared" ca="1" si="924"/>
        <v>0</v>
      </c>
      <c r="CJ131" s="274">
        <f t="shared" ca="1" si="924"/>
        <v>0</v>
      </c>
      <c r="CK131" s="274">
        <f t="shared" ca="1" si="924"/>
        <v>0</v>
      </c>
      <c r="CL131" s="274">
        <f t="shared" ca="1" si="924"/>
        <v>0</v>
      </c>
      <c r="CM131" s="274">
        <f t="shared" ca="1" si="924"/>
        <v>0</v>
      </c>
      <c r="CN131" s="274">
        <f t="shared" ca="1" si="924"/>
        <v>0</v>
      </c>
      <c r="CO131" s="274">
        <f t="shared" ca="1" si="924"/>
        <v>0</v>
      </c>
      <c r="CP131" s="274">
        <f t="shared" ca="1" si="924"/>
        <v>0</v>
      </c>
      <c r="CQ131" s="274">
        <f t="shared" ca="1" si="924"/>
        <v>0</v>
      </c>
      <c r="CR131" s="274">
        <f t="shared" ca="1" si="924"/>
        <v>0</v>
      </c>
      <c r="CS131" s="274">
        <f t="shared" ca="1" si="924"/>
        <v>0</v>
      </c>
      <c r="CT131" s="274">
        <f t="shared" ca="1" si="924"/>
        <v>0</v>
      </c>
      <c r="CU131" s="274">
        <f t="shared" ca="1" si="924"/>
        <v>0</v>
      </c>
      <c r="CV131" s="274">
        <f t="shared" ca="1" si="924"/>
        <v>0</v>
      </c>
      <c r="CW131" s="274">
        <f t="shared" ca="1" si="924"/>
        <v>0</v>
      </c>
      <c r="CX131" s="274">
        <f t="shared" ca="1" si="924"/>
        <v>38865378.88739647</v>
      </c>
      <c r="CY131" s="274">
        <f t="shared" ca="1" si="924"/>
        <v>0</v>
      </c>
      <c r="CZ131" s="274">
        <f t="shared" ca="1" si="924"/>
        <v>0</v>
      </c>
      <c r="DA131" s="274">
        <f t="shared" ca="1" si="924"/>
        <v>0</v>
      </c>
      <c r="DB131" s="274">
        <f t="shared" ca="1" si="924"/>
        <v>0</v>
      </c>
      <c r="DC131" s="274">
        <f t="shared" ca="1" si="924"/>
        <v>0</v>
      </c>
      <c r="DD131" s="274">
        <f t="shared" ca="1" si="924"/>
        <v>0</v>
      </c>
      <c r="DE131" s="274">
        <f t="shared" ca="1" si="924"/>
        <v>0</v>
      </c>
      <c r="DF131" s="274">
        <f t="shared" ca="1" si="924"/>
        <v>0</v>
      </c>
      <c r="DG131" s="274">
        <f t="shared" ca="1" si="924"/>
        <v>0</v>
      </c>
      <c r="DH131" s="274">
        <f t="shared" ca="1" si="924"/>
        <v>0</v>
      </c>
      <c r="DI131" s="274">
        <f t="shared" ca="1" si="924"/>
        <v>0</v>
      </c>
      <c r="DJ131" s="274">
        <f t="shared" ca="1" si="924"/>
        <v>0</v>
      </c>
      <c r="DK131" s="274">
        <f t="shared" ca="1" si="924"/>
        <v>0</v>
      </c>
      <c r="DL131" s="274">
        <f t="shared" ca="1" si="924"/>
        <v>0</v>
      </c>
      <c r="DM131" s="274">
        <f t="shared" ca="1" si="924"/>
        <v>0</v>
      </c>
      <c r="DN131" s="274">
        <f t="shared" ca="1" si="924"/>
        <v>0</v>
      </c>
      <c r="DO131" s="274">
        <f t="shared" ca="1" si="924"/>
        <v>0</v>
      </c>
      <c r="DP131" s="274">
        <f t="shared" ca="1" si="924"/>
        <v>0</v>
      </c>
      <c r="DQ131" s="274">
        <f t="shared" ca="1" si="924"/>
        <v>0</v>
      </c>
      <c r="DR131" s="274">
        <f t="shared" ca="1" si="924"/>
        <v>0</v>
      </c>
      <c r="DS131" s="274">
        <f t="shared" ca="1" si="924"/>
        <v>0</v>
      </c>
      <c r="DT131" s="274">
        <f t="shared" ca="1" si="924"/>
        <v>0</v>
      </c>
      <c r="DU131" s="274">
        <f t="shared" ca="1" si="924"/>
        <v>0</v>
      </c>
      <c r="DV131" s="274">
        <f t="shared" ca="1" si="924"/>
        <v>0</v>
      </c>
      <c r="DW131" s="274">
        <f t="shared" ca="1" si="924"/>
        <v>0</v>
      </c>
      <c r="DX131" s="274">
        <f t="shared" ca="1" si="924"/>
        <v>0</v>
      </c>
      <c r="DY131" s="274">
        <f t="shared" ca="1" si="924"/>
        <v>0</v>
      </c>
      <c r="DZ131" s="274">
        <f t="shared" ca="1" si="924"/>
        <v>0</v>
      </c>
      <c r="EA131" s="274">
        <f t="shared" ca="1" si="924"/>
        <v>0</v>
      </c>
      <c r="EB131" s="274">
        <f t="shared" ca="1" si="924"/>
        <v>0</v>
      </c>
      <c r="EC131" s="274">
        <f t="shared" ca="1" si="924"/>
        <v>0</v>
      </c>
      <c r="ED131" s="274">
        <f t="shared" ca="1" si="924"/>
        <v>0</v>
      </c>
      <c r="EE131" s="274">
        <f t="shared" ref="EE131:FF131" ca="1" si="925">SUM(EE127,EE130)</f>
        <v>0</v>
      </c>
      <c r="EF131" s="274">
        <f t="shared" ca="1" si="925"/>
        <v>0</v>
      </c>
      <c r="EG131" s="274">
        <f t="shared" ca="1" si="925"/>
        <v>0</v>
      </c>
      <c r="EH131" s="274">
        <f t="shared" ca="1" si="925"/>
        <v>0</v>
      </c>
      <c r="EI131" s="274">
        <f t="shared" ca="1" si="925"/>
        <v>0</v>
      </c>
      <c r="EJ131" s="274">
        <f t="shared" ca="1" si="925"/>
        <v>0</v>
      </c>
      <c r="EK131" s="274">
        <f t="shared" ca="1" si="925"/>
        <v>0</v>
      </c>
      <c r="EL131" s="274">
        <f t="shared" ca="1" si="925"/>
        <v>0</v>
      </c>
      <c r="EM131" s="274">
        <f t="shared" ca="1" si="925"/>
        <v>0</v>
      </c>
      <c r="EN131" s="274">
        <f t="shared" ca="1" si="925"/>
        <v>0</v>
      </c>
      <c r="EO131" s="274">
        <f t="shared" ca="1" si="925"/>
        <v>0</v>
      </c>
      <c r="EP131" s="274">
        <f t="shared" ca="1" si="925"/>
        <v>0</v>
      </c>
      <c r="EQ131" s="274">
        <f t="shared" ca="1" si="925"/>
        <v>0</v>
      </c>
      <c r="ER131" s="274">
        <f t="shared" ca="1" si="925"/>
        <v>0</v>
      </c>
      <c r="ES131" s="274">
        <f t="shared" ca="1" si="925"/>
        <v>0</v>
      </c>
      <c r="ET131" s="274">
        <f t="shared" ca="1" si="925"/>
        <v>0</v>
      </c>
      <c r="EU131" s="274">
        <f t="shared" ca="1" si="925"/>
        <v>0</v>
      </c>
      <c r="EV131" s="274">
        <f t="shared" ca="1" si="925"/>
        <v>0</v>
      </c>
      <c r="EW131" s="274">
        <f t="shared" ca="1" si="925"/>
        <v>0</v>
      </c>
      <c r="EX131" s="274">
        <f t="shared" ca="1" si="925"/>
        <v>0</v>
      </c>
      <c r="EY131" s="274">
        <f t="shared" ca="1" si="925"/>
        <v>0</v>
      </c>
      <c r="EZ131" s="274">
        <f t="shared" ca="1" si="925"/>
        <v>0</v>
      </c>
      <c r="FA131" s="274">
        <f t="shared" ca="1" si="925"/>
        <v>0</v>
      </c>
      <c r="FB131" s="274">
        <f t="shared" ca="1" si="925"/>
        <v>0</v>
      </c>
      <c r="FC131" s="274">
        <f t="shared" ca="1" si="925"/>
        <v>0</v>
      </c>
      <c r="FD131" s="274">
        <f t="shared" ca="1" si="925"/>
        <v>0</v>
      </c>
      <c r="FE131" s="274">
        <f t="shared" ca="1" si="925"/>
        <v>0</v>
      </c>
      <c r="FF131" s="274">
        <f t="shared" ca="1" si="925"/>
        <v>0</v>
      </c>
      <c r="FG131" s="288"/>
      <c r="FH131" s="274">
        <f ca="1">SUMIF($F$57:$FF$57,FH$57,$F131:$FF131)</f>
        <v>0</v>
      </c>
      <c r="FI131" s="274">
        <f t="shared" ca="1" si="922"/>
        <v>0</v>
      </c>
      <c r="FJ131" s="274">
        <f t="shared" ca="1" si="922"/>
        <v>0</v>
      </c>
      <c r="FK131" s="274">
        <f t="shared" ca="1" si="922"/>
        <v>0</v>
      </c>
      <c r="FL131" s="274">
        <f t="shared" ca="1" si="922"/>
        <v>0</v>
      </c>
      <c r="FM131" s="274">
        <f t="shared" ca="1" si="922"/>
        <v>0</v>
      </c>
      <c r="FN131" s="274">
        <f t="shared" ca="1" si="922"/>
        <v>0</v>
      </c>
      <c r="FO131" s="274">
        <f t="shared" ca="1" si="922"/>
        <v>0</v>
      </c>
      <c r="FP131" s="274">
        <f t="shared" ca="1" si="922"/>
        <v>38865378.88739647</v>
      </c>
      <c r="FQ131" s="274">
        <f t="shared" ca="1" si="922"/>
        <v>0</v>
      </c>
      <c r="FR131" s="274">
        <f t="shared" ca="1" si="922"/>
        <v>0</v>
      </c>
      <c r="FS131" s="274">
        <f t="shared" ca="1" si="922"/>
        <v>0</v>
      </c>
      <c r="FT131" s="274">
        <f t="shared" ca="1" si="922"/>
        <v>0</v>
      </c>
      <c r="FU131" s="274">
        <f t="shared" ca="1" si="922"/>
        <v>0</v>
      </c>
      <c r="FV131" s="288"/>
    </row>
    <row r="132" spans="1:204" x14ac:dyDescent="0.2">
      <c r="B132" s="47"/>
      <c r="F132" s="255"/>
    </row>
    <row r="133" spans="1:204" s="47" customFormat="1" x14ac:dyDescent="0.2">
      <c r="A133" s="39"/>
      <c r="C133" s="50" t="s">
        <v>8</v>
      </c>
      <c r="D133" s="260"/>
      <c r="E133" s="260"/>
      <c r="F133" s="285">
        <f t="shared" ref="F133:R133" si="926">YEAR(F58)</f>
        <v>2026</v>
      </c>
      <c r="G133" s="284">
        <f t="shared" si="926"/>
        <v>2026</v>
      </c>
      <c r="H133" s="284">
        <f t="shared" si="926"/>
        <v>2026</v>
      </c>
      <c r="I133" s="284">
        <f t="shared" si="926"/>
        <v>2026</v>
      </c>
      <c r="J133" s="284">
        <f t="shared" si="926"/>
        <v>2026</v>
      </c>
      <c r="K133" s="284">
        <f t="shared" si="926"/>
        <v>2026</v>
      </c>
      <c r="L133" s="284">
        <f t="shared" si="926"/>
        <v>2026</v>
      </c>
      <c r="M133" s="284">
        <f t="shared" si="926"/>
        <v>2026</v>
      </c>
      <c r="N133" s="284">
        <f t="shared" si="926"/>
        <v>2027</v>
      </c>
      <c r="O133" s="284">
        <f t="shared" si="926"/>
        <v>2027</v>
      </c>
      <c r="P133" s="284">
        <f t="shared" si="926"/>
        <v>2027</v>
      </c>
      <c r="Q133" s="284">
        <f t="shared" si="926"/>
        <v>2027</v>
      </c>
      <c r="R133" s="284">
        <f t="shared" si="926"/>
        <v>2027</v>
      </c>
      <c r="S133" s="284" t="e">
        <f>YEAR(#REF!)</f>
        <v>#REF!</v>
      </c>
      <c r="T133" s="284" t="e">
        <f>YEAR(#REF!)</f>
        <v>#REF!</v>
      </c>
      <c r="U133" s="284" t="e">
        <f>YEAR(#REF!)</f>
        <v>#REF!</v>
      </c>
      <c r="V133" s="284" t="e">
        <f>YEAR(#REF!)</f>
        <v>#REF!</v>
      </c>
      <c r="W133" s="284" t="e">
        <f>YEAR(#REF!)</f>
        <v>#REF!</v>
      </c>
      <c r="X133" s="284" t="e">
        <f>YEAR(#REF!)</f>
        <v>#REF!</v>
      </c>
      <c r="Y133" s="284" t="e">
        <f>YEAR(#REF!)</f>
        <v>#REF!</v>
      </c>
      <c r="Z133" s="284" t="e">
        <f>YEAR(#REF!)</f>
        <v>#REF!</v>
      </c>
      <c r="AA133" s="284" t="e">
        <f>YEAR(#REF!)</f>
        <v>#REF!</v>
      </c>
      <c r="AB133" s="284" t="e">
        <f>YEAR(#REF!)</f>
        <v>#REF!</v>
      </c>
      <c r="AC133" s="284">
        <f t="shared" ref="AC133:BH133" si="927">YEAR(AC58)</f>
        <v>2028</v>
      </c>
      <c r="AD133" s="284">
        <f t="shared" si="927"/>
        <v>2028</v>
      </c>
      <c r="AE133" s="284">
        <f t="shared" si="927"/>
        <v>2028</v>
      </c>
      <c r="AF133" s="284">
        <f t="shared" si="927"/>
        <v>2028</v>
      </c>
      <c r="AG133" s="284">
        <f t="shared" si="927"/>
        <v>2028</v>
      </c>
      <c r="AH133" s="284">
        <f t="shared" si="927"/>
        <v>2028</v>
      </c>
      <c r="AI133" s="284">
        <f t="shared" si="927"/>
        <v>2028</v>
      </c>
      <c r="AJ133" s="284">
        <f t="shared" si="927"/>
        <v>2028</v>
      </c>
      <c r="AK133" s="284">
        <f t="shared" si="927"/>
        <v>2028</v>
      </c>
      <c r="AL133" s="284">
        <f t="shared" si="927"/>
        <v>2029</v>
      </c>
      <c r="AM133" s="284">
        <f t="shared" si="927"/>
        <v>2029</v>
      </c>
      <c r="AN133" s="284">
        <f t="shared" si="927"/>
        <v>2029</v>
      </c>
      <c r="AO133" s="284">
        <f t="shared" si="927"/>
        <v>2029</v>
      </c>
      <c r="AP133" s="284">
        <f t="shared" si="927"/>
        <v>2029</v>
      </c>
      <c r="AQ133" s="284">
        <f t="shared" si="927"/>
        <v>2029</v>
      </c>
      <c r="AR133" s="284">
        <f t="shared" si="927"/>
        <v>2029</v>
      </c>
      <c r="AS133" s="284">
        <f t="shared" si="927"/>
        <v>2029</v>
      </c>
      <c r="AT133" s="284">
        <f t="shared" si="927"/>
        <v>2029</v>
      </c>
      <c r="AU133" s="284">
        <f t="shared" si="927"/>
        <v>2029</v>
      </c>
      <c r="AV133" s="284">
        <f t="shared" si="927"/>
        <v>2029</v>
      </c>
      <c r="AW133" s="284">
        <f t="shared" si="927"/>
        <v>2029</v>
      </c>
      <c r="AX133" s="284">
        <f t="shared" si="927"/>
        <v>2030</v>
      </c>
      <c r="AY133" s="284">
        <f t="shared" si="927"/>
        <v>2030</v>
      </c>
      <c r="AZ133" s="284">
        <f t="shared" si="927"/>
        <v>2030</v>
      </c>
      <c r="BA133" s="284">
        <f t="shared" si="927"/>
        <v>2030</v>
      </c>
      <c r="BB133" s="284">
        <f t="shared" si="927"/>
        <v>2030</v>
      </c>
      <c r="BC133" s="284">
        <f t="shared" si="927"/>
        <v>2030</v>
      </c>
      <c r="BD133" s="284">
        <f t="shared" si="927"/>
        <v>2030</v>
      </c>
      <c r="BE133" s="284">
        <f t="shared" si="927"/>
        <v>2030</v>
      </c>
      <c r="BF133" s="284">
        <f t="shared" si="927"/>
        <v>2030</v>
      </c>
      <c r="BG133" s="284">
        <f t="shared" si="927"/>
        <v>2030</v>
      </c>
      <c r="BH133" s="284">
        <f t="shared" si="927"/>
        <v>2030</v>
      </c>
      <c r="BI133" s="284">
        <f t="shared" ref="BI133:CN133" si="928">YEAR(BI58)</f>
        <v>2030</v>
      </c>
      <c r="BJ133" s="284">
        <f t="shared" si="928"/>
        <v>2031</v>
      </c>
      <c r="BK133" s="284">
        <f t="shared" si="928"/>
        <v>2031</v>
      </c>
      <c r="BL133" s="284">
        <f t="shared" si="928"/>
        <v>2031</v>
      </c>
      <c r="BM133" s="284">
        <f t="shared" si="928"/>
        <v>2031</v>
      </c>
      <c r="BN133" s="284">
        <f t="shared" si="928"/>
        <v>2031</v>
      </c>
      <c r="BO133" s="284">
        <f t="shared" si="928"/>
        <v>2031</v>
      </c>
      <c r="BP133" s="284">
        <f t="shared" si="928"/>
        <v>2031</v>
      </c>
      <c r="BQ133" s="284">
        <f t="shared" si="928"/>
        <v>2031</v>
      </c>
      <c r="BR133" s="284">
        <f t="shared" si="928"/>
        <v>2031</v>
      </c>
      <c r="BS133" s="284">
        <f t="shared" si="928"/>
        <v>2031</v>
      </c>
      <c r="BT133" s="284">
        <f t="shared" si="928"/>
        <v>2031</v>
      </c>
      <c r="BU133" s="284">
        <f t="shared" si="928"/>
        <v>2031</v>
      </c>
      <c r="BV133" s="284">
        <f t="shared" si="928"/>
        <v>2032</v>
      </c>
      <c r="BW133" s="284">
        <f t="shared" si="928"/>
        <v>2032</v>
      </c>
      <c r="BX133" s="284">
        <f t="shared" si="928"/>
        <v>2032</v>
      </c>
      <c r="BY133" s="284">
        <f t="shared" si="928"/>
        <v>2032</v>
      </c>
      <c r="BZ133" s="284">
        <f t="shared" si="928"/>
        <v>2032</v>
      </c>
      <c r="CA133" s="284">
        <f t="shared" si="928"/>
        <v>2032</v>
      </c>
      <c r="CB133" s="284">
        <f t="shared" si="928"/>
        <v>2032</v>
      </c>
      <c r="CC133" s="284">
        <f t="shared" si="928"/>
        <v>2032</v>
      </c>
      <c r="CD133" s="284">
        <f t="shared" si="928"/>
        <v>2032</v>
      </c>
      <c r="CE133" s="284">
        <f t="shared" si="928"/>
        <v>2032</v>
      </c>
      <c r="CF133" s="284">
        <f t="shared" si="928"/>
        <v>2032</v>
      </c>
      <c r="CG133" s="284">
        <f t="shared" si="928"/>
        <v>2032</v>
      </c>
      <c r="CH133" s="284">
        <f t="shared" si="928"/>
        <v>2033</v>
      </c>
      <c r="CI133" s="284">
        <f t="shared" si="928"/>
        <v>2033</v>
      </c>
      <c r="CJ133" s="284">
        <f t="shared" si="928"/>
        <v>2033</v>
      </c>
      <c r="CK133" s="284">
        <f t="shared" si="928"/>
        <v>2033</v>
      </c>
      <c r="CL133" s="284">
        <f t="shared" si="928"/>
        <v>2033</v>
      </c>
      <c r="CM133" s="284">
        <f t="shared" si="928"/>
        <v>2033</v>
      </c>
      <c r="CN133" s="284">
        <f t="shared" si="928"/>
        <v>2033</v>
      </c>
      <c r="CO133" s="284">
        <f t="shared" ref="CO133:DT133" si="929">YEAR(CO58)</f>
        <v>2033</v>
      </c>
      <c r="CP133" s="284">
        <f t="shared" si="929"/>
        <v>2033</v>
      </c>
      <c r="CQ133" s="284">
        <f t="shared" si="929"/>
        <v>2033</v>
      </c>
      <c r="CR133" s="284">
        <f t="shared" si="929"/>
        <v>2033</v>
      </c>
      <c r="CS133" s="284">
        <f t="shared" si="929"/>
        <v>2033</v>
      </c>
      <c r="CT133" s="284">
        <f t="shared" si="929"/>
        <v>2034</v>
      </c>
      <c r="CU133" s="284">
        <f t="shared" si="929"/>
        <v>2034</v>
      </c>
      <c r="CV133" s="284">
        <f t="shared" si="929"/>
        <v>2034</v>
      </c>
      <c r="CW133" s="284">
        <f t="shared" si="929"/>
        <v>2034</v>
      </c>
      <c r="CX133" s="284">
        <f t="shared" si="929"/>
        <v>2034</v>
      </c>
      <c r="CY133" s="284">
        <f t="shared" si="929"/>
        <v>2034</v>
      </c>
      <c r="CZ133" s="284">
        <f t="shared" si="929"/>
        <v>2034</v>
      </c>
      <c r="DA133" s="284">
        <f t="shared" si="929"/>
        <v>2034</v>
      </c>
      <c r="DB133" s="284">
        <f t="shared" si="929"/>
        <v>2034</v>
      </c>
      <c r="DC133" s="284">
        <f t="shared" si="929"/>
        <v>2034</v>
      </c>
      <c r="DD133" s="284">
        <f t="shared" si="929"/>
        <v>2034</v>
      </c>
      <c r="DE133" s="284">
        <f t="shared" si="929"/>
        <v>2034</v>
      </c>
      <c r="DF133" s="284">
        <f t="shared" si="929"/>
        <v>2035</v>
      </c>
      <c r="DG133" s="284">
        <f t="shared" si="929"/>
        <v>2035</v>
      </c>
      <c r="DH133" s="284">
        <f t="shared" si="929"/>
        <v>2035</v>
      </c>
      <c r="DI133" s="284">
        <f t="shared" si="929"/>
        <v>2035</v>
      </c>
      <c r="DJ133" s="284">
        <f t="shared" si="929"/>
        <v>2035</v>
      </c>
      <c r="DK133" s="284">
        <f t="shared" si="929"/>
        <v>2035</v>
      </c>
      <c r="DL133" s="284">
        <f t="shared" si="929"/>
        <v>2035</v>
      </c>
      <c r="DM133" s="284">
        <f t="shared" si="929"/>
        <v>2035</v>
      </c>
      <c r="DN133" s="284">
        <f t="shared" si="929"/>
        <v>2035</v>
      </c>
      <c r="DO133" s="284">
        <f t="shared" si="929"/>
        <v>2035</v>
      </c>
      <c r="DP133" s="284">
        <f t="shared" si="929"/>
        <v>2035</v>
      </c>
      <c r="DQ133" s="284">
        <f t="shared" si="929"/>
        <v>2035</v>
      </c>
      <c r="DR133" s="284">
        <f t="shared" si="929"/>
        <v>2036</v>
      </c>
      <c r="DS133" s="284">
        <f t="shared" si="929"/>
        <v>2036</v>
      </c>
      <c r="DT133" s="284">
        <f t="shared" si="929"/>
        <v>2036</v>
      </c>
      <c r="DU133" s="284">
        <f t="shared" ref="DU133:EZ133" si="930">YEAR(DU58)</f>
        <v>2036</v>
      </c>
      <c r="DV133" s="284">
        <f t="shared" si="930"/>
        <v>2036</v>
      </c>
      <c r="DW133" s="284">
        <f t="shared" si="930"/>
        <v>2036</v>
      </c>
      <c r="DX133" s="284">
        <f t="shared" si="930"/>
        <v>2036</v>
      </c>
      <c r="DY133" s="284">
        <f t="shared" si="930"/>
        <v>2036</v>
      </c>
      <c r="DZ133" s="284">
        <f t="shared" si="930"/>
        <v>2036</v>
      </c>
      <c r="EA133" s="284">
        <f t="shared" si="930"/>
        <v>2036</v>
      </c>
      <c r="EB133" s="284">
        <f t="shared" si="930"/>
        <v>2036</v>
      </c>
      <c r="EC133" s="284">
        <f t="shared" si="930"/>
        <v>2036</v>
      </c>
      <c r="ED133" s="284">
        <f t="shared" si="930"/>
        <v>2037</v>
      </c>
      <c r="EE133" s="284">
        <f t="shared" si="930"/>
        <v>2037</v>
      </c>
      <c r="EF133" s="284">
        <f t="shared" si="930"/>
        <v>2037</v>
      </c>
      <c r="EG133" s="284">
        <f t="shared" si="930"/>
        <v>2037</v>
      </c>
      <c r="EH133" s="284">
        <f t="shared" si="930"/>
        <v>2037</v>
      </c>
      <c r="EI133" s="284">
        <f t="shared" si="930"/>
        <v>2037</v>
      </c>
      <c r="EJ133" s="284">
        <f t="shared" si="930"/>
        <v>2037</v>
      </c>
      <c r="EK133" s="284">
        <f t="shared" si="930"/>
        <v>2037</v>
      </c>
      <c r="EL133" s="284">
        <f t="shared" si="930"/>
        <v>2037</v>
      </c>
      <c r="EM133" s="284">
        <f t="shared" si="930"/>
        <v>2037</v>
      </c>
      <c r="EN133" s="284">
        <f t="shared" si="930"/>
        <v>2037</v>
      </c>
      <c r="EO133" s="284">
        <f t="shared" si="930"/>
        <v>2037</v>
      </c>
      <c r="EP133" s="284">
        <f t="shared" si="930"/>
        <v>2038</v>
      </c>
      <c r="EQ133" s="284">
        <f t="shared" si="930"/>
        <v>2038</v>
      </c>
      <c r="ER133" s="284">
        <f t="shared" si="930"/>
        <v>2038</v>
      </c>
      <c r="ES133" s="284">
        <f t="shared" si="930"/>
        <v>2038</v>
      </c>
      <c r="ET133" s="284">
        <f t="shared" si="930"/>
        <v>2038</v>
      </c>
      <c r="EU133" s="284">
        <f t="shared" si="930"/>
        <v>2038</v>
      </c>
      <c r="EV133" s="284">
        <f t="shared" si="930"/>
        <v>2038</v>
      </c>
      <c r="EW133" s="284">
        <f t="shared" si="930"/>
        <v>2038</v>
      </c>
      <c r="EX133" s="284">
        <f t="shared" si="930"/>
        <v>2038</v>
      </c>
      <c r="EY133" s="284">
        <f t="shared" si="930"/>
        <v>2038</v>
      </c>
      <c r="EZ133" s="284">
        <f t="shared" si="930"/>
        <v>2038</v>
      </c>
      <c r="FA133" s="284">
        <f t="shared" ref="FA133:FF133" si="931">YEAR(FA58)</f>
        <v>2038</v>
      </c>
      <c r="FB133" s="284">
        <f t="shared" si="931"/>
        <v>2039</v>
      </c>
      <c r="FC133" s="284">
        <f t="shared" si="931"/>
        <v>2039</v>
      </c>
      <c r="FD133" s="284">
        <f t="shared" si="931"/>
        <v>2039</v>
      </c>
      <c r="FE133" s="284">
        <f t="shared" si="931"/>
        <v>2039</v>
      </c>
      <c r="FF133" s="284">
        <f t="shared" si="931"/>
        <v>2039</v>
      </c>
      <c r="FG133" s="316"/>
      <c r="FH133" s="284">
        <f t="shared" ref="FH133:FO133" si="932">YEAR(FH58)</f>
        <v>1900</v>
      </c>
      <c r="FI133" s="284"/>
      <c r="FJ133" s="284"/>
      <c r="FK133" s="284"/>
      <c r="FL133" s="284"/>
      <c r="FM133" s="284">
        <f t="shared" si="932"/>
        <v>1900</v>
      </c>
      <c r="FN133" s="284">
        <f t="shared" si="932"/>
        <v>1900</v>
      </c>
      <c r="FO133" s="284">
        <f t="shared" si="932"/>
        <v>1900</v>
      </c>
      <c r="FP133" s="284">
        <f>YEAR(FP58)</f>
        <v>1900</v>
      </c>
      <c r="FQ133" s="284"/>
      <c r="FR133" s="284"/>
      <c r="FS133" s="284"/>
      <c r="FT133" s="284"/>
      <c r="FU133" s="284"/>
      <c r="FV133" s="316"/>
      <c r="FW133" s="284">
        <f t="shared" ref="FW133:GV133" si="933">YEAR(FW58)</f>
        <v>1900</v>
      </c>
      <c r="FX133" s="284">
        <f t="shared" si="933"/>
        <v>1900</v>
      </c>
      <c r="FY133" s="284">
        <f t="shared" si="933"/>
        <v>1900</v>
      </c>
      <c r="FZ133" s="284">
        <f t="shared" si="933"/>
        <v>1900</v>
      </c>
      <c r="GA133" s="284">
        <f t="shared" si="933"/>
        <v>1900</v>
      </c>
      <c r="GB133" s="284">
        <f t="shared" si="933"/>
        <v>1900</v>
      </c>
      <c r="GC133" s="284">
        <f t="shared" si="933"/>
        <v>1900</v>
      </c>
      <c r="GD133" s="284">
        <f t="shared" si="933"/>
        <v>1900</v>
      </c>
      <c r="GE133" s="284">
        <f t="shared" si="933"/>
        <v>1900</v>
      </c>
      <c r="GF133" s="284">
        <f t="shared" si="933"/>
        <v>1900</v>
      </c>
      <c r="GG133" s="284">
        <f t="shared" si="933"/>
        <v>1900</v>
      </c>
      <c r="GH133" s="284">
        <f t="shared" si="933"/>
        <v>1900</v>
      </c>
      <c r="GI133" s="284">
        <f t="shared" si="933"/>
        <v>1900</v>
      </c>
      <c r="GJ133" s="284">
        <f t="shared" si="933"/>
        <v>1900</v>
      </c>
      <c r="GK133" s="284">
        <f t="shared" si="933"/>
        <v>1900</v>
      </c>
      <c r="GL133" s="284">
        <f t="shared" si="933"/>
        <v>1900</v>
      </c>
      <c r="GM133" s="284">
        <f t="shared" si="933"/>
        <v>1900</v>
      </c>
      <c r="GN133" s="284">
        <f t="shared" si="933"/>
        <v>1900</v>
      </c>
      <c r="GO133" s="284">
        <f t="shared" si="933"/>
        <v>1900</v>
      </c>
      <c r="GP133" s="284">
        <f t="shared" si="933"/>
        <v>1900</v>
      </c>
      <c r="GQ133" s="284">
        <f t="shared" si="933"/>
        <v>1900</v>
      </c>
      <c r="GR133" s="284">
        <f t="shared" si="933"/>
        <v>1900</v>
      </c>
      <c r="GS133" s="284">
        <f t="shared" si="933"/>
        <v>1900</v>
      </c>
      <c r="GT133" s="284">
        <f t="shared" si="933"/>
        <v>1900</v>
      </c>
      <c r="GU133" s="284">
        <f t="shared" si="933"/>
        <v>1900</v>
      </c>
      <c r="GV133" s="284">
        <f t="shared" si="933"/>
        <v>1900</v>
      </c>
    </row>
    <row r="134" spans="1:204" x14ac:dyDescent="0.2">
      <c r="C134" s="39" t="str">
        <f t="shared" ref="C134:C140" si="934">C16</f>
        <v>Acquisition Cost</v>
      </c>
      <c r="E134" s="256">
        <f t="shared" ref="E134:E141" si="935">SUM(F134:FF134)</f>
        <v>25000000</v>
      </c>
      <c r="F134" s="257">
        <f t="shared" ref="F134:AK134" si="936">IF(F$56=0,$D16*$G16,IF(AND(F$58&gt;=$H$16,F$58&lt;=EOMONTH($H16,$I16-1)),($D16*(1-$G16))/$I16,0))</f>
        <v>25000000</v>
      </c>
      <c r="G134" s="257">
        <f t="shared" si="936"/>
        <v>0</v>
      </c>
      <c r="H134" s="257">
        <f t="shared" si="936"/>
        <v>0</v>
      </c>
      <c r="I134" s="257">
        <f t="shared" si="936"/>
        <v>0</v>
      </c>
      <c r="J134" s="257">
        <f t="shared" si="936"/>
        <v>0</v>
      </c>
      <c r="K134" s="257">
        <f t="shared" si="936"/>
        <v>0</v>
      </c>
      <c r="L134" s="257">
        <f t="shared" si="936"/>
        <v>0</v>
      </c>
      <c r="M134" s="257">
        <f t="shared" si="936"/>
        <v>0</v>
      </c>
      <c r="N134" s="257">
        <f t="shared" si="936"/>
        <v>0</v>
      </c>
      <c r="O134" s="257">
        <f t="shared" si="936"/>
        <v>0</v>
      </c>
      <c r="P134" s="257">
        <f t="shared" si="936"/>
        <v>0</v>
      </c>
      <c r="Q134" s="257">
        <f t="shared" si="936"/>
        <v>0</v>
      </c>
      <c r="R134" s="257">
        <f t="shared" si="936"/>
        <v>0</v>
      </c>
      <c r="S134" s="257">
        <f t="shared" si="936"/>
        <v>0</v>
      </c>
      <c r="T134" s="257">
        <f t="shared" si="936"/>
        <v>0</v>
      </c>
      <c r="U134" s="257">
        <f t="shared" si="936"/>
        <v>0</v>
      </c>
      <c r="V134" s="257">
        <f t="shared" si="936"/>
        <v>0</v>
      </c>
      <c r="W134" s="257">
        <f t="shared" si="936"/>
        <v>0</v>
      </c>
      <c r="X134" s="257">
        <f t="shared" si="936"/>
        <v>0</v>
      </c>
      <c r="Y134" s="257">
        <f t="shared" si="936"/>
        <v>0</v>
      </c>
      <c r="Z134" s="257">
        <f t="shared" si="936"/>
        <v>0</v>
      </c>
      <c r="AA134" s="257">
        <f t="shared" si="936"/>
        <v>0</v>
      </c>
      <c r="AB134" s="257">
        <f t="shared" si="936"/>
        <v>0</v>
      </c>
      <c r="AC134" s="257">
        <f t="shared" si="936"/>
        <v>0</v>
      </c>
      <c r="AD134" s="257">
        <f t="shared" si="936"/>
        <v>0</v>
      </c>
      <c r="AE134" s="257">
        <f t="shared" si="936"/>
        <v>0</v>
      </c>
      <c r="AF134" s="257">
        <f t="shared" si="936"/>
        <v>0</v>
      </c>
      <c r="AG134" s="257">
        <f t="shared" si="936"/>
        <v>0</v>
      </c>
      <c r="AH134" s="257">
        <f t="shared" si="936"/>
        <v>0</v>
      </c>
      <c r="AI134" s="257">
        <f t="shared" si="936"/>
        <v>0</v>
      </c>
      <c r="AJ134" s="257">
        <f t="shared" si="936"/>
        <v>0</v>
      </c>
      <c r="AK134" s="257">
        <f t="shared" si="936"/>
        <v>0</v>
      </c>
      <c r="AL134" s="257">
        <f t="shared" ref="AL134:BQ134" si="937">IF(AL$56=0,$D16*$G16,IF(AND(AL$58&gt;=$H$16,AL$58&lt;=EOMONTH($H16,$I16-1)),($D16*(1-$G16))/$I16,0))</f>
        <v>0</v>
      </c>
      <c r="AM134" s="257">
        <f t="shared" si="937"/>
        <v>0</v>
      </c>
      <c r="AN134" s="257">
        <f t="shared" si="937"/>
        <v>0</v>
      </c>
      <c r="AO134" s="257">
        <f t="shared" si="937"/>
        <v>0</v>
      </c>
      <c r="AP134" s="257">
        <f t="shared" si="937"/>
        <v>0</v>
      </c>
      <c r="AQ134" s="257">
        <f t="shared" si="937"/>
        <v>0</v>
      </c>
      <c r="AR134" s="257">
        <f t="shared" si="937"/>
        <v>0</v>
      </c>
      <c r="AS134" s="257">
        <f t="shared" si="937"/>
        <v>0</v>
      </c>
      <c r="AT134" s="257">
        <f t="shared" si="937"/>
        <v>0</v>
      </c>
      <c r="AU134" s="257">
        <f t="shared" si="937"/>
        <v>0</v>
      </c>
      <c r="AV134" s="257">
        <f t="shared" si="937"/>
        <v>0</v>
      </c>
      <c r="AW134" s="257">
        <f t="shared" si="937"/>
        <v>0</v>
      </c>
      <c r="AX134" s="257">
        <f t="shared" si="937"/>
        <v>0</v>
      </c>
      <c r="AY134" s="257">
        <f t="shared" si="937"/>
        <v>0</v>
      </c>
      <c r="AZ134" s="257">
        <f t="shared" si="937"/>
        <v>0</v>
      </c>
      <c r="BA134" s="257">
        <f t="shared" si="937"/>
        <v>0</v>
      </c>
      <c r="BB134" s="257">
        <f t="shared" si="937"/>
        <v>0</v>
      </c>
      <c r="BC134" s="257">
        <f t="shared" si="937"/>
        <v>0</v>
      </c>
      <c r="BD134" s="257">
        <f t="shared" si="937"/>
        <v>0</v>
      </c>
      <c r="BE134" s="257">
        <f t="shared" si="937"/>
        <v>0</v>
      </c>
      <c r="BF134" s="257">
        <f t="shared" si="937"/>
        <v>0</v>
      </c>
      <c r="BG134" s="257">
        <f t="shared" si="937"/>
        <v>0</v>
      </c>
      <c r="BH134" s="257">
        <f t="shared" si="937"/>
        <v>0</v>
      </c>
      <c r="BI134" s="257">
        <f t="shared" si="937"/>
        <v>0</v>
      </c>
      <c r="BJ134" s="257">
        <f t="shared" si="937"/>
        <v>0</v>
      </c>
      <c r="BK134" s="257">
        <f t="shared" si="937"/>
        <v>0</v>
      </c>
      <c r="BL134" s="257">
        <f t="shared" si="937"/>
        <v>0</v>
      </c>
      <c r="BM134" s="257">
        <f t="shared" si="937"/>
        <v>0</v>
      </c>
      <c r="BN134" s="257">
        <f t="shared" si="937"/>
        <v>0</v>
      </c>
      <c r="BO134" s="257">
        <f t="shared" si="937"/>
        <v>0</v>
      </c>
      <c r="BP134" s="257">
        <f t="shared" si="937"/>
        <v>0</v>
      </c>
      <c r="BQ134" s="257">
        <f t="shared" si="937"/>
        <v>0</v>
      </c>
      <c r="BR134" s="257">
        <f t="shared" ref="BR134:CW134" si="938">IF(BR$56=0,$D16*$G16,IF(AND(BR$58&gt;=$H$16,BR$58&lt;=EOMONTH($H16,$I16-1)),($D16*(1-$G16))/$I16,0))</f>
        <v>0</v>
      </c>
      <c r="BS134" s="257">
        <f t="shared" si="938"/>
        <v>0</v>
      </c>
      <c r="BT134" s="257">
        <f t="shared" si="938"/>
        <v>0</v>
      </c>
      <c r="BU134" s="257">
        <f t="shared" si="938"/>
        <v>0</v>
      </c>
      <c r="BV134" s="257">
        <f t="shared" si="938"/>
        <v>0</v>
      </c>
      <c r="BW134" s="257">
        <f t="shared" si="938"/>
        <v>0</v>
      </c>
      <c r="BX134" s="257">
        <f t="shared" si="938"/>
        <v>0</v>
      </c>
      <c r="BY134" s="257">
        <f t="shared" si="938"/>
        <v>0</v>
      </c>
      <c r="BZ134" s="257">
        <f t="shared" si="938"/>
        <v>0</v>
      </c>
      <c r="CA134" s="257">
        <f t="shared" si="938"/>
        <v>0</v>
      </c>
      <c r="CB134" s="257">
        <f t="shared" si="938"/>
        <v>0</v>
      </c>
      <c r="CC134" s="257">
        <f t="shared" si="938"/>
        <v>0</v>
      </c>
      <c r="CD134" s="257">
        <f t="shared" si="938"/>
        <v>0</v>
      </c>
      <c r="CE134" s="257">
        <f t="shared" si="938"/>
        <v>0</v>
      </c>
      <c r="CF134" s="257">
        <f t="shared" si="938"/>
        <v>0</v>
      </c>
      <c r="CG134" s="257">
        <f t="shared" si="938"/>
        <v>0</v>
      </c>
      <c r="CH134" s="257">
        <f t="shared" si="938"/>
        <v>0</v>
      </c>
      <c r="CI134" s="257">
        <f t="shared" si="938"/>
        <v>0</v>
      </c>
      <c r="CJ134" s="257">
        <f t="shared" si="938"/>
        <v>0</v>
      </c>
      <c r="CK134" s="257">
        <f t="shared" si="938"/>
        <v>0</v>
      </c>
      <c r="CL134" s="257">
        <f t="shared" si="938"/>
        <v>0</v>
      </c>
      <c r="CM134" s="257">
        <f t="shared" si="938"/>
        <v>0</v>
      </c>
      <c r="CN134" s="257">
        <f t="shared" si="938"/>
        <v>0</v>
      </c>
      <c r="CO134" s="257">
        <f t="shared" si="938"/>
        <v>0</v>
      </c>
      <c r="CP134" s="257">
        <f t="shared" si="938"/>
        <v>0</v>
      </c>
      <c r="CQ134" s="257">
        <f t="shared" si="938"/>
        <v>0</v>
      </c>
      <c r="CR134" s="257">
        <f t="shared" si="938"/>
        <v>0</v>
      </c>
      <c r="CS134" s="257">
        <f t="shared" si="938"/>
        <v>0</v>
      </c>
      <c r="CT134" s="257">
        <f t="shared" si="938"/>
        <v>0</v>
      </c>
      <c r="CU134" s="257">
        <f t="shared" si="938"/>
        <v>0</v>
      </c>
      <c r="CV134" s="257">
        <f t="shared" si="938"/>
        <v>0</v>
      </c>
      <c r="CW134" s="257">
        <f t="shared" si="938"/>
        <v>0</v>
      </c>
      <c r="CX134" s="257">
        <f t="shared" ref="CX134:EC134" si="939">IF(CX$56=0,$D16*$G16,IF(AND(CX$58&gt;=$H$16,CX$58&lt;=EOMONTH($H16,$I16-1)),($D16*(1-$G16))/$I16,0))</f>
        <v>0</v>
      </c>
      <c r="CY134" s="257">
        <f t="shared" si="939"/>
        <v>0</v>
      </c>
      <c r="CZ134" s="257">
        <f t="shared" si="939"/>
        <v>0</v>
      </c>
      <c r="DA134" s="257">
        <f t="shared" si="939"/>
        <v>0</v>
      </c>
      <c r="DB134" s="257">
        <f t="shared" si="939"/>
        <v>0</v>
      </c>
      <c r="DC134" s="257">
        <f t="shared" si="939"/>
        <v>0</v>
      </c>
      <c r="DD134" s="257">
        <f t="shared" si="939"/>
        <v>0</v>
      </c>
      <c r="DE134" s="257">
        <f t="shared" si="939"/>
        <v>0</v>
      </c>
      <c r="DF134" s="257">
        <f t="shared" si="939"/>
        <v>0</v>
      </c>
      <c r="DG134" s="257">
        <f t="shared" si="939"/>
        <v>0</v>
      </c>
      <c r="DH134" s="257">
        <f t="shared" si="939"/>
        <v>0</v>
      </c>
      <c r="DI134" s="257">
        <f t="shared" si="939"/>
        <v>0</v>
      </c>
      <c r="DJ134" s="257">
        <f t="shared" si="939"/>
        <v>0</v>
      </c>
      <c r="DK134" s="257">
        <f t="shared" si="939"/>
        <v>0</v>
      </c>
      <c r="DL134" s="257">
        <f t="shared" si="939"/>
        <v>0</v>
      </c>
      <c r="DM134" s="257">
        <f t="shared" si="939"/>
        <v>0</v>
      </c>
      <c r="DN134" s="257">
        <f t="shared" si="939"/>
        <v>0</v>
      </c>
      <c r="DO134" s="257">
        <f t="shared" si="939"/>
        <v>0</v>
      </c>
      <c r="DP134" s="257">
        <f t="shared" si="939"/>
        <v>0</v>
      </c>
      <c r="DQ134" s="257">
        <f t="shared" si="939"/>
        <v>0</v>
      </c>
      <c r="DR134" s="257">
        <f t="shared" si="939"/>
        <v>0</v>
      </c>
      <c r="DS134" s="257">
        <f t="shared" si="939"/>
        <v>0</v>
      </c>
      <c r="DT134" s="257">
        <f t="shared" si="939"/>
        <v>0</v>
      </c>
      <c r="DU134" s="257">
        <f t="shared" si="939"/>
        <v>0</v>
      </c>
      <c r="DV134" s="257">
        <f t="shared" si="939"/>
        <v>0</v>
      </c>
      <c r="DW134" s="257">
        <f t="shared" si="939"/>
        <v>0</v>
      </c>
      <c r="DX134" s="257">
        <f t="shared" si="939"/>
        <v>0</v>
      </c>
      <c r="DY134" s="257">
        <f t="shared" si="939"/>
        <v>0</v>
      </c>
      <c r="DZ134" s="257">
        <f t="shared" si="939"/>
        <v>0</v>
      </c>
      <c r="EA134" s="257">
        <f t="shared" si="939"/>
        <v>0</v>
      </c>
      <c r="EB134" s="257">
        <f t="shared" si="939"/>
        <v>0</v>
      </c>
      <c r="EC134" s="257">
        <f t="shared" si="939"/>
        <v>0</v>
      </c>
      <c r="ED134" s="257">
        <f t="shared" ref="ED134:FF134" si="940">IF(ED$56=0,$D16*$G16,IF(AND(ED$58&gt;=$H$16,ED$58&lt;=EOMONTH($H16,$I16-1)),($D16*(1-$G16))/$I16,0))</f>
        <v>0</v>
      </c>
      <c r="EE134" s="257">
        <f t="shared" si="940"/>
        <v>0</v>
      </c>
      <c r="EF134" s="257">
        <f t="shared" si="940"/>
        <v>0</v>
      </c>
      <c r="EG134" s="257">
        <f t="shared" si="940"/>
        <v>0</v>
      </c>
      <c r="EH134" s="257">
        <f t="shared" si="940"/>
        <v>0</v>
      </c>
      <c r="EI134" s="257">
        <f t="shared" si="940"/>
        <v>0</v>
      </c>
      <c r="EJ134" s="257">
        <f t="shared" si="940"/>
        <v>0</v>
      </c>
      <c r="EK134" s="257">
        <f t="shared" si="940"/>
        <v>0</v>
      </c>
      <c r="EL134" s="257">
        <f t="shared" si="940"/>
        <v>0</v>
      </c>
      <c r="EM134" s="257">
        <f t="shared" si="940"/>
        <v>0</v>
      </c>
      <c r="EN134" s="257">
        <f t="shared" si="940"/>
        <v>0</v>
      </c>
      <c r="EO134" s="257">
        <f t="shared" si="940"/>
        <v>0</v>
      </c>
      <c r="EP134" s="257">
        <f t="shared" si="940"/>
        <v>0</v>
      </c>
      <c r="EQ134" s="257">
        <f t="shared" si="940"/>
        <v>0</v>
      </c>
      <c r="ER134" s="257">
        <f t="shared" si="940"/>
        <v>0</v>
      </c>
      <c r="ES134" s="257">
        <f t="shared" si="940"/>
        <v>0</v>
      </c>
      <c r="ET134" s="257">
        <f t="shared" si="940"/>
        <v>0</v>
      </c>
      <c r="EU134" s="257">
        <f t="shared" si="940"/>
        <v>0</v>
      </c>
      <c r="EV134" s="257">
        <f t="shared" si="940"/>
        <v>0</v>
      </c>
      <c r="EW134" s="257">
        <f t="shared" si="940"/>
        <v>0</v>
      </c>
      <c r="EX134" s="257">
        <f t="shared" si="940"/>
        <v>0</v>
      </c>
      <c r="EY134" s="257">
        <f t="shared" si="940"/>
        <v>0</v>
      </c>
      <c r="EZ134" s="257">
        <f t="shared" si="940"/>
        <v>0</v>
      </c>
      <c r="FA134" s="257">
        <f t="shared" si="940"/>
        <v>0</v>
      </c>
      <c r="FB134" s="257">
        <f t="shared" si="940"/>
        <v>0</v>
      </c>
      <c r="FC134" s="257">
        <f t="shared" si="940"/>
        <v>0</v>
      </c>
      <c r="FD134" s="257">
        <f t="shared" si="940"/>
        <v>0</v>
      </c>
      <c r="FE134" s="257">
        <f t="shared" si="940"/>
        <v>0</v>
      </c>
      <c r="FF134" s="257">
        <f t="shared" si="940"/>
        <v>0</v>
      </c>
      <c r="FG134" s="328"/>
      <c r="FH134" s="257">
        <f t="shared" ref="FH134:FU141" si="941">SUMIF($F$57:$FF$57,FH$57,$F134:$FF134)</f>
        <v>25000000</v>
      </c>
      <c r="FI134" s="257">
        <f t="shared" si="941"/>
        <v>0</v>
      </c>
      <c r="FJ134" s="257">
        <f t="shared" si="941"/>
        <v>0</v>
      </c>
      <c r="FK134" s="257">
        <f t="shared" si="941"/>
        <v>0</v>
      </c>
      <c r="FL134" s="257">
        <f t="shared" si="941"/>
        <v>0</v>
      </c>
      <c r="FM134" s="257">
        <f t="shared" si="941"/>
        <v>0</v>
      </c>
      <c r="FN134" s="257">
        <f t="shared" si="941"/>
        <v>0</v>
      </c>
      <c r="FO134" s="257">
        <f t="shared" si="941"/>
        <v>0</v>
      </c>
      <c r="FP134" s="257">
        <f t="shared" si="941"/>
        <v>0</v>
      </c>
      <c r="FQ134" s="257">
        <f t="shared" si="941"/>
        <v>0</v>
      </c>
      <c r="FR134" s="257">
        <f t="shared" si="941"/>
        <v>0</v>
      </c>
      <c r="FS134" s="257">
        <f t="shared" si="941"/>
        <v>0</v>
      </c>
      <c r="FT134" s="257">
        <f t="shared" si="941"/>
        <v>0</v>
      </c>
      <c r="FU134" s="257">
        <f t="shared" si="941"/>
        <v>0</v>
      </c>
      <c r="FV134" s="328"/>
    </row>
    <row r="135" spans="1:204" x14ac:dyDescent="0.2">
      <c r="C135" s="39" t="str">
        <f t="shared" si="934"/>
        <v>Closing Cost</v>
      </c>
      <c r="E135" s="256">
        <f t="shared" si="935"/>
        <v>250000</v>
      </c>
      <c r="F135" s="257">
        <f t="shared" ref="F135:AK135" si="942">IF(F$56=0,$D17*$G17,IF(AND(F$58&gt;=$H$16,F$58&lt;=EOMONTH($H17,$I17-1)),($D17*(1-$G17))/$I17,0))</f>
        <v>250000</v>
      </c>
      <c r="G135" s="257">
        <f t="shared" si="942"/>
        <v>0</v>
      </c>
      <c r="H135" s="257">
        <f t="shared" si="942"/>
        <v>0</v>
      </c>
      <c r="I135" s="257">
        <f t="shared" si="942"/>
        <v>0</v>
      </c>
      <c r="J135" s="257">
        <f t="shared" si="942"/>
        <v>0</v>
      </c>
      <c r="K135" s="257">
        <f t="shared" si="942"/>
        <v>0</v>
      </c>
      <c r="L135" s="257">
        <f t="shared" si="942"/>
        <v>0</v>
      </c>
      <c r="M135" s="257">
        <f t="shared" si="942"/>
        <v>0</v>
      </c>
      <c r="N135" s="257">
        <f t="shared" si="942"/>
        <v>0</v>
      </c>
      <c r="O135" s="257">
        <f t="shared" si="942"/>
        <v>0</v>
      </c>
      <c r="P135" s="257">
        <f t="shared" si="942"/>
        <v>0</v>
      </c>
      <c r="Q135" s="257">
        <f t="shared" si="942"/>
        <v>0</v>
      </c>
      <c r="R135" s="257">
        <f t="shared" si="942"/>
        <v>0</v>
      </c>
      <c r="S135" s="257">
        <f t="shared" si="942"/>
        <v>0</v>
      </c>
      <c r="T135" s="257">
        <f t="shared" si="942"/>
        <v>0</v>
      </c>
      <c r="U135" s="257">
        <f t="shared" si="942"/>
        <v>0</v>
      </c>
      <c r="V135" s="257">
        <f t="shared" si="942"/>
        <v>0</v>
      </c>
      <c r="W135" s="257">
        <f t="shared" si="942"/>
        <v>0</v>
      </c>
      <c r="X135" s="257">
        <f t="shared" si="942"/>
        <v>0</v>
      </c>
      <c r="Y135" s="257">
        <f t="shared" si="942"/>
        <v>0</v>
      </c>
      <c r="Z135" s="257">
        <f t="shared" si="942"/>
        <v>0</v>
      </c>
      <c r="AA135" s="257">
        <f t="shared" si="942"/>
        <v>0</v>
      </c>
      <c r="AB135" s="257">
        <f t="shared" si="942"/>
        <v>0</v>
      </c>
      <c r="AC135" s="257">
        <f t="shared" si="942"/>
        <v>0</v>
      </c>
      <c r="AD135" s="257">
        <f t="shared" si="942"/>
        <v>0</v>
      </c>
      <c r="AE135" s="257">
        <f t="shared" si="942"/>
        <v>0</v>
      </c>
      <c r="AF135" s="257">
        <f t="shared" si="942"/>
        <v>0</v>
      </c>
      <c r="AG135" s="257">
        <f t="shared" si="942"/>
        <v>0</v>
      </c>
      <c r="AH135" s="257">
        <f t="shared" si="942"/>
        <v>0</v>
      </c>
      <c r="AI135" s="257">
        <f t="shared" si="942"/>
        <v>0</v>
      </c>
      <c r="AJ135" s="257">
        <f t="shared" si="942"/>
        <v>0</v>
      </c>
      <c r="AK135" s="257">
        <f t="shared" si="942"/>
        <v>0</v>
      </c>
      <c r="AL135" s="257">
        <f t="shared" ref="AL135:BQ135" si="943">IF(AL$56=0,$D17*$G17,IF(AND(AL$58&gt;=$H$16,AL$58&lt;=EOMONTH($H17,$I17-1)),($D17*(1-$G17))/$I17,0))</f>
        <v>0</v>
      </c>
      <c r="AM135" s="257">
        <f t="shared" si="943"/>
        <v>0</v>
      </c>
      <c r="AN135" s="257">
        <f t="shared" si="943"/>
        <v>0</v>
      </c>
      <c r="AO135" s="257">
        <f t="shared" si="943"/>
        <v>0</v>
      </c>
      <c r="AP135" s="257">
        <f t="shared" si="943"/>
        <v>0</v>
      </c>
      <c r="AQ135" s="257">
        <f t="shared" si="943"/>
        <v>0</v>
      </c>
      <c r="AR135" s="257">
        <f t="shared" si="943"/>
        <v>0</v>
      </c>
      <c r="AS135" s="257">
        <f t="shared" si="943"/>
        <v>0</v>
      </c>
      <c r="AT135" s="257">
        <f t="shared" si="943"/>
        <v>0</v>
      </c>
      <c r="AU135" s="257">
        <f t="shared" si="943"/>
        <v>0</v>
      </c>
      <c r="AV135" s="257">
        <f t="shared" si="943"/>
        <v>0</v>
      </c>
      <c r="AW135" s="257">
        <f t="shared" si="943"/>
        <v>0</v>
      </c>
      <c r="AX135" s="257">
        <f t="shared" si="943"/>
        <v>0</v>
      </c>
      <c r="AY135" s="257">
        <f t="shared" si="943"/>
        <v>0</v>
      </c>
      <c r="AZ135" s="257">
        <f t="shared" si="943"/>
        <v>0</v>
      </c>
      <c r="BA135" s="257">
        <f t="shared" si="943"/>
        <v>0</v>
      </c>
      <c r="BB135" s="257">
        <f t="shared" si="943"/>
        <v>0</v>
      </c>
      <c r="BC135" s="257">
        <f t="shared" si="943"/>
        <v>0</v>
      </c>
      <c r="BD135" s="257">
        <f t="shared" si="943"/>
        <v>0</v>
      </c>
      <c r="BE135" s="257">
        <f t="shared" si="943"/>
        <v>0</v>
      </c>
      <c r="BF135" s="257">
        <f t="shared" si="943"/>
        <v>0</v>
      </c>
      <c r="BG135" s="257">
        <f t="shared" si="943"/>
        <v>0</v>
      </c>
      <c r="BH135" s="257">
        <f t="shared" si="943"/>
        <v>0</v>
      </c>
      <c r="BI135" s="257">
        <f t="shared" si="943"/>
        <v>0</v>
      </c>
      <c r="BJ135" s="257">
        <f t="shared" si="943"/>
        <v>0</v>
      </c>
      <c r="BK135" s="257">
        <f t="shared" si="943"/>
        <v>0</v>
      </c>
      <c r="BL135" s="257">
        <f t="shared" si="943"/>
        <v>0</v>
      </c>
      <c r="BM135" s="257">
        <f t="shared" si="943"/>
        <v>0</v>
      </c>
      <c r="BN135" s="257">
        <f t="shared" si="943"/>
        <v>0</v>
      </c>
      <c r="BO135" s="257">
        <f t="shared" si="943"/>
        <v>0</v>
      </c>
      <c r="BP135" s="257">
        <f t="shared" si="943"/>
        <v>0</v>
      </c>
      <c r="BQ135" s="257">
        <f t="shared" si="943"/>
        <v>0</v>
      </c>
      <c r="BR135" s="257">
        <f t="shared" ref="BR135:CW135" si="944">IF(BR$56=0,$D17*$G17,IF(AND(BR$58&gt;=$H$16,BR$58&lt;=EOMONTH($H17,$I17-1)),($D17*(1-$G17))/$I17,0))</f>
        <v>0</v>
      </c>
      <c r="BS135" s="257">
        <f t="shared" si="944"/>
        <v>0</v>
      </c>
      <c r="BT135" s="257">
        <f t="shared" si="944"/>
        <v>0</v>
      </c>
      <c r="BU135" s="257">
        <f t="shared" si="944"/>
        <v>0</v>
      </c>
      <c r="BV135" s="257">
        <f t="shared" si="944"/>
        <v>0</v>
      </c>
      <c r="BW135" s="257">
        <f t="shared" si="944"/>
        <v>0</v>
      </c>
      <c r="BX135" s="257">
        <f t="shared" si="944"/>
        <v>0</v>
      </c>
      <c r="BY135" s="257">
        <f t="shared" si="944"/>
        <v>0</v>
      </c>
      <c r="BZ135" s="257">
        <f t="shared" si="944"/>
        <v>0</v>
      </c>
      <c r="CA135" s="257">
        <f t="shared" si="944"/>
        <v>0</v>
      </c>
      <c r="CB135" s="257">
        <f t="shared" si="944"/>
        <v>0</v>
      </c>
      <c r="CC135" s="257">
        <f t="shared" si="944"/>
        <v>0</v>
      </c>
      <c r="CD135" s="257">
        <f t="shared" si="944"/>
        <v>0</v>
      </c>
      <c r="CE135" s="257">
        <f t="shared" si="944"/>
        <v>0</v>
      </c>
      <c r="CF135" s="257">
        <f t="shared" si="944"/>
        <v>0</v>
      </c>
      <c r="CG135" s="257">
        <f t="shared" si="944"/>
        <v>0</v>
      </c>
      <c r="CH135" s="257">
        <f t="shared" si="944"/>
        <v>0</v>
      </c>
      <c r="CI135" s="257">
        <f t="shared" si="944"/>
        <v>0</v>
      </c>
      <c r="CJ135" s="257">
        <f t="shared" si="944"/>
        <v>0</v>
      </c>
      <c r="CK135" s="257">
        <f t="shared" si="944"/>
        <v>0</v>
      </c>
      <c r="CL135" s="257">
        <f t="shared" si="944"/>
        <v>0</v>
      </c>
      <c r="CM135" s="257">
        <f t="shared" si="944"/>
        <v>0</v>
      </c>
      <c r="CN135" s="257">
        <f t="shared" si="944"/>
        <v>0</v>
      </c>
      <c r="CO135" s="257">
        <f t="shared" si="944"/>
        <v>0</v>
      </c>
      <c r="CP135" s="257">
        <f t="shared" si="944"/>
        <v>0</v>
      </c>
      <c r="CQ135" s="257">
        <f t="shared" si="944"/>
        <v>0</v>
      </c>
      <c r="CR135" s="257">
        <f t="shared" si="944"/>
        <v>0</v>
      </c>
      <c r="CS135" s="257">
        <f t="shared" si="944"/>
        <v>0</v>
      </c>
      <c r="CT135" s="257">
        <f t="shared" si="944"/>
        <v>0</v>
      </c>
      <c r="CU135" s="257">
        <f t="shared" si="944"/>
        <v>0</v>
      </c>
      <c r="CV135" s="257">
        <f t="shared" si="944"/>
        <v>0</v>
      </c>
      <c r="CW135" s="257">
        <f t="shared" si="944"/>
        <v>0</v>
      </c>
      <c r="CX135" s="257">
        <f t="shared" ref="CX135:EC135" si="945">IF(CX$56=0,$D17*$G17,IF(AND(CX$58&gt;=$H$16,CX$58&lt;=EOMONTH($H17,$I17-1)),($D17*(1-$G17))/$I17,0))</f>
        <v>0</v>
      </c>
      <c r="CY135" s="257">
        <f t="shared" si="945"/>
        <v>0</v>
      </c>
      <c r="CZ135" s="257">
        <f t="shared" si="945"/>
        <v>0</v>
      </c>
      <c r="DA135" s="257">
        <f t="shared" si="945"/>
        <v>0</v>
      </c>
      <c r="DB135" s="257">
        <f t="shared" si="945"/>
        <v>0</v>
      </c>
      <c r="DC135" s="257">
        <f t="shared" si="945"/>
        <v>0</v>
      </c>
      <c r="DD135" s="257">
        <f t="shared" si="945"/>
        <v>0</v>
      </c>
      <c r="DE135" s="257">
        <f t="shared" si="945"/>
        <v>0</v>
      </c>
      <c r="DF135" s="257">
        <f t="shared" si="945"/>
        <v>0</v>
      </c>
      <c r="DG135" s="257">
        <f t="shared" si="945"/>
        <v>0</v>
      </c>
      <c r="DH135" s="257">
        <f t="shared" si="945"/>
        <v>0</v>
      </c>
      <c r="DI135" s="257">
        <f t="shared" si="945"/>
        <v>0</v>
      </c>
      <c r="DJ135" s="257">
        <f t="shared" si="945"/>
        <v>0</v>
      </c>
      <c r="DK135" s="257">
        <f t="shared" si="945"/>
        <v>0</v>
      </c>
      <c r="DL135" s="257">
        <f t="shared" si="945"/>
        <v>0</v>
      </c>
      <c r="DM135" s="257">
        <f t="shared" si="945"/>
        <v>0</v>
      </c>
      <c r="DN135" s="257">
        <f t="shared" si="945"/>
        <v>0</v>
      </c>
      <c r="DO135" s="257">
        <f t="shared" si="945"/>
        <v>0</v>
      </c>
      <c r="DP135" s="257">
        <f t="shared" si="945"/>
        <v>0</v>
      </c>
      <c r="DQ135" s="257">
        <f t="shared" si="945"/>
        <v>0</v>
      </c>
      <c r="DR135" s="257">
        <f t="shared" si="945"/>
        <v>0</v>
      </c>
      <c r="DS135" s="257">
        <f t="shared" si="945"/>
        <v>0</v>
      </c>
      <c r="DT135" s="257">
        <f t="shared" si="945"/>
        <v>0</v>
      </c>
      <c r="DU135" s="257">
        <f t="shared" si="945"/>
        <v>0</v>
      </c>
      <c r="DV135" s="257">
        <f t="shared" si="945"/>
        <v>0</v>
      </c>
      <c r="DW135" s="257">
        <f t="shared" si="945"/>
        <v>0</v>
      </c>
      <c r="DX135" s="257">
        <f t="shared" si="945"/>
        <v>0</v>
      </c>
      <c r="DY135" s="257">
        <f t="shared" si="945"/>
        <v>0</v>
      </c>
      <c r="DZ135" s="257">
        <f t="shared" si="945"/>
        <v>0</v>
      </c>
      <c r="EA135" s="257">
        <f t="shared" si="945"/>
        <v>0</v>
      </c>
      <c r="EB135" s="257">
        <f t="shared" si="945"/>
        <v>0</v>
      </c>
      <c r="EC135" s="257">
        <f t="shared" si="945"/>
        <v>0</v>
      </c>
      <c r="ED135" s="257">
        <f t="shared" ref="ED135:FF135" si="946">IF(ED$56=0,$D17*$G17,IF(AND(ED$58&gt;=$H$16,ED$58&lt;=EOMONTH($H17,$I17-1)),($D17*(1-$G17))/$I17,0))</f>
        <v>0</v>
      </c>
      <c r="EE135" s="257">
        <f t="shared" si="946"/>
        <v>0</v>
      </c>
      <c r="EF135" s="257">
        <f t="shared" si="946"/>
        <v>0</v>
      </c>
      <c r="EG135" s="257">
        <f t="shared" si="946"/>
        <v>0</v>
      </c>
      <c r="EH135" s="257">
        <f t="shared" si="946"/>
        <v>0</v>
      </c>
      <c r="EI135" s="257">
        <f t="shared" si="946"/>
        <v>0</v>
      </c>
      <c r="EJ135" s="257">
        <f t="shared" si="946"/>
        <v>0</v>
      </c>
      <c r="EK135" s="257">
        <f t="shared" si="946"/>
        <v>0</v>
      </c>
      <c r="EL135" s="257">
        <f t="shared" si="946"/>
        <v>0</v>
      </c>
      <c r="EM135" s="257">
        <f t="shared" si="946"/>
        <v>0</v>
      </c>
      <c r="EN135" s="257">
        <f t="shared" si="946"/>
        <v>0</v>
      </c>
      <c r="EO135" s="257">
        <f t="shared" si="946"/>
        <v>0</v>
      </c>
      <c r="EP135" s="257">
        <f t="shared" si="946"/>
        <v>0</v>
      </c>
      <c r="EQ135" s="257">
        <f t="shared" si="946"/>
        <v>0</v>
      </c>
      <c r="ER135" s="257">
        <f t="shared" si="946"/>
        <v>0</v>
      </c>
      <c r="ES135" s="257">
        <f t="shared" si="946"/>
        <v>0</v>
      </c>
      <c r="ET135" s="257">
        <f t="shared" si="946"/>
        <v>0</v>
      </c>
      <c r="EU135" s="257">
        <f t="shared" si="946"/>
        <v>0</v>
      </c>
      <c r="EV135" s="257">
        <f t="shared" si="946"/>
        <v>0</v>
      </c>
      <c r="EW135" s="257">
        <f t="shared" si="946"/>
        <v>0</v>
      </c>
      <c r="EX135" s="257">
        <f t="shared" si="946"/>
        <v>0</v>
      </c>
      <c r="EY135" s="257">
        <f t="shared" si="946"/>
        <v>0</v>
      </c>
      <c r="EZ135" s="257">
        <f t="shared" si="946"/>
        <v>0</v>
      </c>
      <c r="FA135" s="257">
        <f t="shared" si="946"/>
        <v>0</v>
      </c>
      <c r="FB135" s="257">
        <f t="shared" si="946"/>
        <v>0</v>
      </c>
      <c r="FC135" s="257">
        <f t="shared" si="946"/>
        <v>0</v>
      </c>
      <c r="FD135" s="257">
        <f t="shared" si="946"/>
        <v>0</v>
      </c>
      <c r="FE135" s="257">
        <f t="shared" si="946"/>
        <v>0</v>
      </c>
      <c r="FF135" s="257">
        <f t="shared" si="946"/>
        <v>0</v>
      </c>
      <c r="FG135" s="328"/>
      <c r="FH135" s="257">
        <f t="shared" si="941"/>
        <v>250000</v>
      </c>
      <c r="FI135" s="257">
        <f t="shared" si="941"/>
        <v>0</v>
      </c>
      <c r="FJ135" s="257">
        <f t="shared" si="941"/>
        <v>0</v>
      </c>
      <c r="FK135" s="257">
        <f t="shared" si="941"/>
        <v>0</v>
      </c>
      <c r="FL135" s="257">
        <f t="shared" si="941"/>
        <v>0</v>
      </c>
      <c r="FM135" s="257">
        <f t="shared" si="941"/>
        <v>0</v>
      </c>
      <c r="FN135" s="257">
        <f t="shared" si="941"/>
        <v>0</v>
      </c>
      <c r="FO135" s="257">
        <f t="shared" si="941"/>
        <v>0</v>
      </c>
      <c r="FP135" s="257">
        <f t="shared" si="941"/>
        <v>0</v>
      </c>
      <c r="FQ135" s="257">
        <f t="shared" si="941"/>
        <v>0</v>
      </c>
      <c r="FR135" s="257">
        <f t="shared" si="941"/>
        <v>0</v>
      </c>
      <c r="FS135" s="257">
        <f t="shared" si="941"/>
        <v>0</v>
      </c>
      <c r="FT135" s="257">
        <f t="shared" si="941"/>
        <v>0</v>
      </c>
      <c r="FU135" s="257">
        <f t="shared" si="941"/>
        <v>0</v>
      </c>
      <c r="FV135" s="328"/>
    </row>
    <row r="136" spans="1:204" x14ac:dyDescent="0.2">
      <c r="C136" s="39" t="str">
        <f t="shared" si="934"/>
        <v>Acquisition Fee</v>
      </c>
      <c r="E136" s="256">
        <f t="shared" si="935"/>
        <v>250000</v>
      </c>
      <c r="F136" s="257">
        <f t="shared" ref="F136:AK136" si="947">IF(F$56=0,$D18*$G18,IF(AND(F$58&gt;=$H$16,F$58&lt;=EOMONTH($H18,$I18-1)),($D18*(1-$G18))/$I18,0))</f>
        <v>250000</v>
      </c>
      <c r="G136" s="257">
        <f t="shared" si="947"/>
        <v>0</v>
      </c>
      <c r="H136" s="257">
        <f t="shared" si="947"/>
        <v>0</v>
      </c>
      <c r="I136" s="257">
        <f t="shared" si="947"/>
        <v>0</v>
      </c>
      <c r="J136" s="257">
        <f t="shared" si="947"/>
        <v>0</v>
      </c>
      <c r="K136" s="257">
        <f t="shared" si="947"/>
        <v>0</v>
      </c>
      <c r="L136" s="257">
        <f t="shared" si="947"/>
        <v>0</v>
      </c>
      <c r="M136" s="257">
        <f t="shared" si="947"/>
        <v>0</v>
      </c>
      <c r="N136" s="257">
        <f t="shared" si="947"/>
        <v>0</v>
      </c>
      <c r="O136" s="257">
        <f t="shared" si="947"/>
        <v>0</v>
      </c>
      <c r="P136" s="257">
        <f t="shared" si="947"/>
        <v>0</v>
      </c>
      <c r="Q136" s="257">
        <f t="shared" si="947"/>
        <v>0</v>
      </c>
      <c r="R136" s="257">
        <f t="shared" si="947"/>
        <v>0</v>
      </c>
      <c r="S136" s="257">
        <f t="shared" si="947"/>
        <v>0</v>
      </c>
      <c r="T136" s="257">
        <f t="shared" si="947"/>
        <v>0</v>
      </c>
      <c r="U136" s="257">
        <f t="shared" si="947"/>
        <v>0</v>
      </c>
      <c r="V136" s="257">
        <f t="shared" si="947"/>
        <v>0</v>
      </c>
      <c r="W136" s="257">
        <f t="shared" si="947"/>
        <v>0</v>
      </c>
      <c r="X136" s="257">
        <f t="shared" si="947"/>
        <v>0</v>
      </c>
      <c r="Y136" s="257">
        <f t="shared" si="947"/>
        <v>0</v>
      </c>
      <c r="Z136" s="257">
        <f t="shared" si="947"/>
        <v>0</v>
      </c>
      <c r="AA136" s="257">
        <f t="shared" si="947"/>
        <v>0</v>
      </c>
      <c r="AB136" s="257">
        <f t="shared" si="947"/>
        <v>0</v>
      </c>
      <c r="AC136" s="257">
        <f t="shared" si="947"/>
        <v>0</v>
      </c>
      <c r="AD136" s="257">
        <f t="shared" si="947"/>
        <v>0</v>
      </c>
      <c r="AE136" s="257">
        <f t="shared" si="947"/>
        <v>0</v>
      </c>
      <c r="AF136" s="257">
        <f t="shared" si="947"/>
        <v>0</v>
      </c>
      <c r="AG136" s="257">
        <f t="shared" si="947"/>
        <v>0</v>
      </c>
      <c r="AH136" s="257">
        <f t="shared" si="947"/>
        <v>0</v>
      </c>
      <c r="AI136" s="257">
        <f t="shared" si="947"/>
        <v>0</v>
      </c>
      <c r="AJ136" s="257">
        <f t="shared" si="947"/>
        <v>0</v>
      </c>
      <c r="AK136" s="257">
        <f t="shared" si="947"/>
        <v>0</v>
      </c>
      <c r="AL136" s="257">
        <f t="shared" ref="AL136:BQ136" si="948">IF(AL$56=0,$D18*$G18,IF(AND(AL$58&gt;=$H$16,AL$58&lt;=EOMONTH($H18,$I18-1)),($D18*(1-$G18))/$I18,0))</f>
        <v>0</v>
      </c>
      <c r="AM136" s="257">
        <f t="shared" si="948"/>
        <v>0</v>
      </c>
      <c r="AN136" s="257">
        <f t="shared" si="948"/>
        <v>0</v>
      </c>
      <c r="AO136" s="257">
        <f t="shared" si="948"/>
        <v>0</v>
      </c>
      <c r="AP136" s="257">
        <f t="shared" si="948"/>
        <v>0</v>
      </c>
      <c r="AQ136" s="257">
        <f t="shared" si="948"/>
        <v>0</v>
      </c>
      <c r="AR136" s="257">
        <f t="shared" si="948"/>
        <v>0</v>
      </c>
      <c r="AS136" s="257">
        <f t="shared" si="948"/>
        <v>0</v>
      </c>
      <c r="AT136" s="257">
        <f t="shared" si="948"/>
        <v>0</v>
      </c>
      <c r="AU136" s="257">
        <f t="shared" si="948"/>
        <v>0</v>
      </c>
      <c r="AV136" s="257">
        <f t="shared" si="948"/>
        <v>0</v>
      </c>
      <c r="AW136" s="257">
        <f t="shared" si="948"/>
        <v>0</v>
      </c>
      <c r="AX136" s="257">
        <f t="shared" si="948"/>
        <v>0</v>
      </c>
      <c r="AY136" s="257">
        <f t="shared" si="948"/>
        <v>0</v>
      </c>
      <c r="AZ136" s="257">
        <f t="shared" si="948"/>
        <v>0</v>
      </c>
      <c r="BA136" s="257">
        <f t="shared" si="948"/>
        <v>0</v>
      </c>
      <c r="BB136" s="257">
        <f t="shared" si="948"/>
        <v>0</v>
      </c>
      <c r="BC136" s="257">
        <f t="shared" si="948"/>
        <v>0</v>
      </c>
      <c r="BD136" s="257">
        <f t="shared" si="948"/>
        <v>0</v>
      </c>
      <c r="BE136" s="257">
        <f t="shared" si="948"/>
        <v>0</v>
      </c>
      <c r="BF136" s="257">
        <f t="shared" si="948"/>
        <v>0</v>
      </c>
      <c r="BG136" s="257">
        <f t="shared" si="948"/>
        <v>0</v>
      </c>
      <c r="BH136" s="257">
        <f t="shared" si="948"/>
        <v>0</v>
      </c>
      <c r="BI136" s="257">
        <f t="shared" si="948"/>
        <v>0</v>
      </c>
      <c r="BJ136" s="257">
        <f t="shared" si="948"/>
        <v>0</v>
      </c>
      <c r="BK136" s="257">
        <f t="shared" si="948"/>
        <v>0</v>
      </c>
      <c r="BL136" s="257">
        <f t="shared" si="948"/>
        <v>0</v>
      </c>
      <c r="BM136" s="257">
        <f t="shared" si="948"/>
        <v>0</v>
      </c>
      <c r="BN136" s="257">
        <f t="shared" si="948"/>
        <v>0</v>
      </c>
      <c r="BO136" s="257">
        <f t="shared" si="948"/>
        <v>0</v>
      </c>
      <c r="BP136" s="257">
        <f t="shared" si="948"/>
        <v>0</v>
      </c>
      <c r="BQ136" s="257">
        <f t="shared" si="948"/>
        <v>0</v>
      </c>
      <c r="BR136" s="257">
        <f t="shared" ref="BR136:CW136" si="949">IF(BR$56=0,$D18*$G18,IF(AND(BR$58&gt;=$H$16,BR$58&lt;=EOMONTH($H18,$I18-1)),($D18*(1-$G18))/$I18,0))</f>
        <v>0</v>
      </c>
      <c r="BS136" s="257">
        <f t="shared" si="949"/>
        <v>0</v>
      </c>
      <c r="BT136" s="257">
        <f t="shared" si="949"/>
        <v>0</v>
      </c>
      <c r="BU136" s="257">
        <f t="shared" si="949"/>
        <v>0</v>
      </c>
      <c r="BV136" s="257">
        <f t="shared" si="949"/>
        <v>0</v>
      </c>
      <c r="BW136" s="257">
        <f t="shared" si="949"/>
        <v>0</v>
      </c>
      <c r="BX136" s="257">
        <f t="shared" si="949"/>
        <v>0</v>
      </c>
      <c r="BY136" s="257">
        <f t="shared" si="949"/>
        <v>0</v>
      </c>
      <c r="BZ136" s="257">
        <f t="shared" si="949"/>
        <v>0</v>
      </c>
      <c r="CA136" s="257">
        <f t="shared" si="949"/>
        <v>0</v>
      </c>
      <c r="CB136" s="257">
        <f t="shared" si="949"/>
        <v>0</v>
      </c>
      <c r="CC136" s="257">
        <f t="shared" si="949"/>
        <v>0</v>
      </c>
      <c r="CD136" s="257">
        <f t="shared" si="949"/>
        <v>0</v>
      </c>
      <c r="CE136" s="257">
        <f t="shared" si="949"/>
        <v>0</v>
      </c>
      <c r="CF136" s="257">
        <f t="shared" si="949"/>
        <v>0</v>
      </c>
      <c r="CG136" s="257">
        <f t="shared" si="949"/>
        <v>0</v>
      </c>
      <c r="CH136" s="257">
        <f t="shared" si="949"/>
        <v>0</v>
      </c>
      <c r="CI136" s="257">
        <f t="shared" si="949"/>
        <v>0</v>
      </c>
      <c r="CJ136" s="257">
        <f t="shared" si="949"/>
        <v>0</v>
      </c>
      <c r="CK136" s="257">
        <f t="shared" si="949"/>
        <v>0</v>
      </c>
      <c r="CL136" s="257">
        <f t="shared" si="949"/>
        <v>0</v>
      </c>
      <c r="CM136" s="257">
        <f t="shared" si="949"/>
        <v>0</v>
      </c>
      <c r="CN136" s="257">
        <f t="shared" si="949"/>
        <v>0</v>
      </c>
      <c r="CO136" s="257">
        <f t="shared" si="949"/>
        <v>0</v>
      </c>
      <c r="CP136" s="257">
        <f t="shared" si="949"/>
        <v>0</v>
      </c>
      <c r="CQ136" s="257">
        <f t="shared" si="949"/>
        <v>0</v>
      </c>
      <c r="CR136" s="257">
        <f t="shared" si="949"/>
        <v>0</v>
      </c>
      <c r="CS136" s="257">
        <f t="shared" si="949"/>
        <v>0</v>
      </c>
      <c r="CT136" s="257">
        <f t="shared" si="949"/>
        <v>0</v>
      </c>
      <c r="CU136" s="257">
        <f t="shared" si="949"/>
        <v>0</v>
      </c>
      <c r="CV136" s="257">
        <f t="shared" si="949"/>
        <v>0</v>
      </c>
      <c r="CW136" s="257">
        <f t="shared" si="949"/>
        <v>0</v>
      </c>
      <c r="CX136" s="257">
        <f t="shared" ref="CX136:EC136" si="950">IF(CX$56=0,$D18*$G18,IF(AND(CX$58&gt;=$H$16,CX$58&lt;=EOMONTH($H18,$I18-1)),($D18*(1-$G18))/$I18,0))</f>
        <v>0</v>
      </c>
      <c r="CY136" s="257">
        <f t="shared" si="950"/>
        <v>0</v>
      </c>
      <c r="CZ136" s="257">
        <f t="shared" si="950"/>
        <v>0</v>
      </c>
      <c r="DA136" s="257">
        <f t="shared" si="950"/>
        <v>0</v>
      </c>
      <c r="DB136" s="257">
        <f t="shared" si="950"/>
        <v>0</v>
      </c>
      <c r="DC136" s="257">
        <f t="shared" si="950"/>
        <v>0</v>
      </c>
      <c r="DD136" s="257">
        <f t="shared" si="950"/>
        <v>0</v>
      </c>
      <c r="DE136" s="257">
        <f t="shared" si="950"/>
        <v>0</v>
      </c>
      <c r="DF136" s="257">
        <f t="shared" si="950"/>
        <v>0</v>
      </c>
      <c r="DG136" s="257">
        <f t="shared" si="950"/>
        <v>0</v>
      </c>
      <c r="DH136" s="257">
        <f t="shared" si="950"/>
        <v>0</v>
      </c>
      <c r="DI136" s="257">
        <f t="shared" si="950"/>
        <v>0</v>
      </c>
      <c r="DJ136" s="257">
        <f t="shared" si="950"/>
        <v>0</v>
      </c>
      <c r="DK136" s="257">
        <f t="shared" si="950"/>
        <v>0</v>
      </c>
      <c r="DL136" s="257">
        <f t="shared" si="950"/>
        <v>0</v>
      </c>
      <c r="DM136" s="257">
        <f t="shared" si="950"/>
        <v>0</v>
      </c>
      <c r="DN136" s="257">
        <f t="shared" si="950"/>
        <v>0</v>
      </c>
      <c r="DO136" s="257">
        <f t="shared" si="950"/>
        <v>0</v>
      </c>
      <c r="DP136" s="257">
        <f t="shared" si="950"/>
        <v>0</v>
      </c>
      <c r="DQ136" s="257">
        <f t="shared" si="950"/>
        <v>0</v>
      </c>
      <c r="DR136" s="257">
        <f t="shared" si="950"/>
        <v>0</v>
      </c>
      <c r="DS136" s="257">
        <f t="shared" si="950"/>
        <v>0</v>
      </c>
      <c r="DT136" s="257">
        <f t="shared" si="950"/>
        <v>0</v>
      </c>
      <c r="DU136" s="257">
        <f t="shared" si="950"/>
        <v>0</v>
      </c>
      <c r="DV136" s="257">
        <f t="shared" si="950"/>
        <v>0</v>
      </c>
      <c r="DW136" s="257">
        <f t="shared" si="950"/>
        <v>0</v>
      </c>
      <c r="DX136" s="257">
        <f t="shared" si="950"/>
        <v>0</v>
      </c>
      <c r="DY136" s="257">
        <f t="shared" si="950"/>
        <v>0</v>
      </c>
      <c r="DZ136" s="257">
        <f t="shared" si="950"/>
        <v>0</v>
      </c>
      <c r="EA136" s="257">
        <f t="shared" si="950"/>
        <v>0</v>
      </c>
      <c r="EB136" s="257">
        <f t="shared" si="950"/>
        <v>0</v>
      </c>
      <c r="EC136" s="257">
        <f t="shared" si="950"/>
        <v>0</v>
      </c>
      <c r="ED136" s="257">
        <f t="shared" ref="ED136:FF136" si="951">IF(ED$56=0,$D18*$G18,IF(AND(ED$58&gt;=$H$16,ED$58&lt;=EOMONTH($H18,$I18-1)),($D18*(1-$G18))/$I18,0))</f>
        <v>0</v>
      </c>
      <c r="EE136" s="257">
        <f t="shared" si="951"/>
        <v>0</v>
      </c>
      <c r="EF136" s="257">
        <f t="shared" si="951"/>
        <v>0</v>
      </c>
      <c r="EG136" s="257">
        <f t="shared" si="951"/>
        <v>0</v>
      </c>
      <c r="EH136" s="257">
        <f t="shared" si="951"/>
        <v>0</v>
      </c>
      <c r="EI136" s="257">
        <f t="shared" si="951"/>
        <v>0</v>
      </c>
      <c r="EJ136" s="257">
        <f t="shared" si="951"/>
        <v>0</v>
      </c>
      <c r="EK136" s="257">
        <f t="shared" si="951"/>
        <v>0</v>
      </c>
      <c r="EL136" s="257">
        <f t="shared" si="951"/>
        <v>0</v>
      </c>
      <c r="EM136" s="257">
        <f t="shared" si="951"/>
        <v>0</v>
      </c>
      <c r="EN136" s="257">
        <f t="shared" si="951"/>
        <v>0</v>
      </c>
      <c r="EO136" s="257">
        <f t="shared" si="951"/>
        <v>0</v>
      </c>
      <c r="EP136" s="257">
        <f t="shared" si="951"/>
        <v>0</v>
      </c>
      <c r="EQ136" s="257">
        <f t="shared" si="951"/>
        <v>0</v>
      </c>
      <c r="ER136" s="257">
        <f t="shared" si="951"/>
        <v>0</v>
      </c>
      <c r="ES136" s="257">
        <f t="shared" si="951"/>
        <v>0</v>
      </c>
      <c r="ET136" s="257">
        <f t="shared" si="951"/>
        <v>0</v>
      </c>
      <c r="EU136" s="257">
        <f t="shared" si="951"/>
        <v>0</v>
      </c>
      <c r="EV136" s="257">
        <f t="shared" si="951"/>
        <v>0</v>
      </c>
      <c r="EW136" s="257">
        <f t="shared" si="951"/>
        <v>0</v>
      </c>
      <c r="EX136" s="257">
        <f t="shared" si="951"/>
        <v>0</v>
      </c>
      <c r="EY136" s="257">
        <f t="shared" si="951"/>
        <v>0</v>
      </c>
      <c r="EZ136" s="257">
        <f t="shared" si="951"/>
        <v>0</v>
      </c>
      <c r="FA136" s="257">
        <f t="shared" si="951"/>
        <v>0</v>
      </c>
      <c r="FB136" s="257">
        <f t="shared" si="951"/>
        <v>0</v>
      </c>
      <c r="FC136" s="257">
        <f t="shared" si="951"/>
        <v>0</v>
      </c>
      <c r="FD136" s="257">
        <f t="shared" si="951"/>
        <v>0</v>
      </c>
      <c r="FE136" s="257">
        <f t="shared" si="951"/>
        <v>0</v>
      </c>
      <c r="FF136" s="257">
        <f t="shared" si="951"/>
        <v>0</v>
      </c>
      <c r="FG136" s="328"/>
      <c r="FH136" s="257">
        <f t="shared" si="941"/>
        <v>250000</v>
      </c>
      <c r="FI136" s="257">
        <f t="shared" si="941"/>
        <v>0</v>
      </c>
      <c r="FJ136" s="257">
        <f t="shared" si="941"/>
        <v>0</v>
      </c>
      <c r="FK136" s="257">
        <f t="shared" si="941"/>
        <v>0</v>
      </c>
      <c r="FL136" s="257">
        <f t="shared" si="941"/>
        <v>0</v>
      </c>
      <c r="FM136" s="257">
        <f t="shared" si="941"/>
        <v>0</v>
      </c>
      <c r="FN136" s="257">
        <f t="shared" si="941"/>
        <v>0</v>
      </c>
      <c r="FO136" s="257">
        <f t="shared" si="941"/>
        <v>0</v>
      </c>
      <c r="FP136" s="257">
        <f t="shared" si="941"/>
        <v>0</v>
      </c>
      <c r="FQ136" s="257">
        <f t="shared" si="941"/>
        <v>0</v>
      </c>
      <c r="FR136" s="257">
        <f t="shared" si="941"/>
        <v>0</v>
      </c>
      <c r="FS136" s="257">
        <f t="shared" si="941"/>
        <v>0</v>
      </c>
      <c r="FT136" s="257">
        <f t="shared" si="941"/>
        <v>0</v>
      </c>
      <c r="FU136" s="257">
        <f t="shared" si="941"/>
        <v>0</v>
      </c>
      <c r="FV136" s="328"/>
    </row>
    <row r="137" spans="1:204" x14ac:dyDescent="0.2">
      <c r="C137" s="39" t="str">
        <f t="shared" si="934"/>
        <v>Capital Improvements</v>
      </c>
      <c r="E137" s="256">
        <f t="shared" si="935"/>
        <v>1500000</v>
      </c>
      <c r="F137" s="257">
        <f t="shared" ref="F137:AK137" si="952">IF(F$56=0,$D19*$G19,IF(AND(F$58&gt;=$H$16,F$58&lt;=EOMONTH($H19,$I19-1)),($D19*(1-$G19))/$I19,0))</f>
        <v>0</v>
      </c>
      <c r="G137" s="257">
        <f t="shared" si="952"/>
        <v>125000</v>
      </c>
      <c r="H137" s="257">
        <f t="shared" si="952"/>
        <v>125000</v>
      </c>
      <c r="I137" s="257">
        <f t="shared" si="952"/>
        <v>125000</v>
      </c>
      <c r="J137" s="257">
        <f t="shared" si="952"/>
        <v>125000</v>
      </c>
      <c r="K137" s="257">
        <f t="shared" si="952"/>
        <v>125000</v>
      </c>
      <c r="L137" s="257">
        <f t="shared" si="952"/>
        <v>125000</v>
      </c>
      <c r="M137" s="257">
        <f t="shared" si="952"/>
        <v>125000</v>
      </c>
      <c r="N137" s="257">
        <f t="shared" si="952"/>
        <v>125000</v>
      </c>
      <c r="O137" s="257">
        <f t="shared" si="952"/>
        <v>125000</v>
      </c>
      <c r="P137" s="257">
        <f t="shared" si="952"/>
        <v>125000</v>
      </c>
      <c r="Q137" s="257">
        <f t="shared" si="952"/>
        <v>125000</v>
      </c>
      <c r="R137" s="257">
        <f t="shared" si="952"/>
        <v>125000</v>
      </c>
      <c r="S137" s="257">
        <f t="shared" si="952"/>
        <v>0</v>
      </c>
      <c r="T137" s="257">
        <f t="shared" si="952"/>
        <v>0</v>
      </c>
      <c r="U137" s="257">
        <f t="shared" si="952"/>
        <v>0</v>
      </c>
      <c r="V137" s="257">
        <f t="shared" si="952"/>
        <v>0</v>
      </c>
      <c r="W137" s="257">
        <f t="shared" si="952"/>
        <v>0</v>
      </c>
      <c r="X137" s="257">
        <f t="shared" si="952"/>
        <v>0</v>
      </c>
      <c r="Y137" s="257">
        <f t="shared" si="952"/>
        <v>0</v>
      </c>
      <c r="Z137" s="257">
        <f t="shared" si="952"/>
        <v>0</v>
      </c>
      <c r="AA137" s="257">
        <f t="shared" si="952"/>
        <v>0</v>
      </c>
      <c r="AB137" s="257">
        <f t="shared" si="952"/>
        <v>0</v>
      </c>
      <c r="AC137" s="257">
        <f t="shared" si="952"/>
        <v>0</v>
      </c>
      <c r="AD137" s="257">
        <f t="shared" si="952"/>
        <v>0</v>
      </c>
      <c r="AE137" s="257">
        <f t="shared" si="952"/>
        <v>0</v>
      </c>
      <c r="AF137" s="257">
        <f t="shared" si="952"/>
        <v>0</v>
      </c>
      <c r="AG137" s="257">
        <f t="shared" si="952"/>
        <v>0</v>
      </c>
      <c r="AH137" s="257">
        <f t="shared" si="952"/>
        <v>0</v>
      </c>
      <c r="AI137" s="257">
        <f t="shared" si="952"/>
        <v>0</v>
      </c>
      <c r="AJ137" s="257">
        <f t="shared" si="952"/>
        <v>0</v>
      </c>
      <c r="AK137" s="257">
        <f t="shared" si="952"/>
        <v>0</v>
      </c>
      <c r="AL137" s="257">
        <f t="shared" ref="AL137:BQ137" si="953">IF(AL$56=0,$D19*$G19,IF(AND(AL$58&gt;=$H$16,AL$58&lt;=EOMONTH($H19,$I19-1)),($D19*(1-$G19))/$I19,0))</f>
        <v>0</v>
      </c>
      <c r="AM137" s="257">
        <f t="shared" si="953"/>
        <v>0</v>
      </c>
      <c r="AN137" s="257">
        <f t="shared" si="953"/>
        <v>0</v>
      </c>
      <c r="AO137" s="257">
        <f t="shared" si="953"/>
        <v>0</v>
      </c>
      <c r="AP137" s="257">
        <f t="shared" si="953"/>
        <v>0</v>
      </c>
      <c r="AQ137" s="257">
        <f t="shared" si="953"/>
        <v>0</v>
      </c>
      <c r="AR137" s="257">
        <f t="shared" si="953"/>
        <v>0</v>
      </c>
      <c r="AS137" s="257">
        <f t="shared" si="953"/>
        <v>0</v>
      </c>
      <c r="AT137" s="257">
        <f t="shared" si="953"/>
        <v>0</v>
      </c>
      <c r="AU137" s="257">
        <f t="shared" si="953"/>
        <v>0</v>
      </c>
      <c r="AV137" s="257">
        <f t="shared" si="953"/>
        <v>0</v>
      </c>
      <c r="AW137" s="257">
        <f t="shared" si="953"/>
        <v>0</v>
      </c>
      <c r="AX137" s="257">
        <f t="shared" si="953"/>
        <v>0</v>
      </c>
      <c r="AY137" s="257">
        <f t="shared" si="953"/>
        <v>0</v>
      </c>
      <c r="AZ137" s="257">
        <f t="shared" si="953"/>
        <v>0</v>
      </c>
      <c r="BA137" s="257">
        <f t="shared" si="953"/>
        <v>0</v>
      </c>
      <c r="BB137" s="257">
        <f t="shared" si="953"/>
        <v>0</v>
      </c>
      <c r="BC137" s="257">
        <f t="shared" si="953"/>
        <v>0</v>
      </c>
      <c r="BD137" s="257">
        <f t="shared" si="953"/>
        <v>0</v>
      </c>
      <c r="BE137" s="257">
        <f t="shared" si="953"/>
        <v>0</v>
      </c>
      <c r="BF137" s="257">
        <f t="shared" si="953"/>
        <v>0</v>
      </c>
      <c r="BG137" s="257">
        <f t="shared" si="953"/>
        <v>0</v>
      </c>
      <c r="BH137" s="257">
        <f t="shared" si="953"/>
        <v>0</v>
      </c>
      <c r="BI137" s="257">
        <f t="shared" si="953"/>
        <v>0</v>
      </c>
      <c r="BJ137" s="257">
        <f t="shared" si="953"/>
        <v>0</v>
      </c>
      <c r="BK137" s="257">
        <f t="shared" si="953"/>
        <v>0</v>
      </c>
      <c r="BL137" s="257">
        <f t="shared" si="953"/>
        <v>0</v>
      </c>
      <c r="BM137" s="257">
        <f t="shared" si="953"/>
        <v>0</v>
      </c>
      <c r="BN137" s="257">
        <f t="shared" si="953"/>
        <v>0</v>
      </c>
      <c r="BO137" s="257">
        <f t="shared" si="953"/>
        <v>0</v>
      </c>
      <c r="BP137" s="257">
        <f t="shared" si="953"/>
        <v>0</v>
      </c>
      <c r="BQ137" s="257">
        <f t="shared" si="953"/>
        <v>0</v>
      </c>
      <c r="BR137" s="257">
        <f t="shared" ref="BR137:CW137" si="954">IF(BR$56=0,$D19*$G19,IF(AND(BR$58&gt;=$H$16,BR$58&lt;=EOMONTH($H19,$I19-1)),($D19*(1-$G19))/$I19,0))</f>
        <v>0</v>
      </c>
      <c r="BS137" s="257">
        <f t="shared" si="954"/>
        <v>0</v>
      </c>
      <c r="BT137" s="257">
        <f t="shared" si="954"/>
        <v>0</v>
      </c>
      <c r="BU137" s="257">
        <f t="shared" si="954"/>
        <v>0</v>
      </c>
      <c r="BV137" s="257">
        <f t="shared" si="954"/>
        <v>0</v>
      </c>
      <c r="BW137" s="257">
        <f t="shared" si="954"/>
        <v>0</v>
      </c>
      <c r="BX137" s="257">
        <f t="shared" si="954"/>
        <v>0</v>
      </c>
      <c r="BY137" s="257">
        <f t="shared" si="954"/>
        <v>0</v>
      </c>
      <c r="BZ137" s="257">
        <f t="shared" si="954"/>
        <v>0</v>
      </c>
      <c r="CA137" s="257">
        <f t="shared" si="954"/>
        <v>0</v>
      </c>
      <c r="CB137" s="257">
        <f t="shared" si="954"/>
        <v>0</v>
      </c>
      <c r="CC137" s="257">
        <f t="shared" si="954"/>
        <v>0</v>
      </c>
      <c r="CD137" s="257">
        <f t="shared" si="954"/>
        <v>0</v>
      </c>
      <c r="CE137" s="257">
        <f t="shared" si="954"/>
        <v>0</v>
      </c>
      <c r="CF137" s="257">
        <f t="shared" si="954"/>
        <v>0</v>
      </c>
      <c r="CG137" s="257">
        <f t="shared" si="954"/>
        <v>0</v>
      </c>
      <c r="CH137" s="257">
        <f t="shared" si="954"/>
        <v>0</v>
      </c>
      <c r="CI137" s="257">
        <f t="shared" si="954"/>
        <v>0</v>
      </c>
      <c r="CJ137" s="257">
        <f t="shared" si="954"/>
        <v>0</v>
      </c>
      <c r="CK137" s="257">
        <f t="shared" si="954"/>
        <v>0</v>
      </c>
      <c r="CL137" s="257">
        <f t="shared" si="954"/>
        <v>0</v>
      </c>
      <c r="CM137" s="257">
        <f t="shared" si="954"/>
        <v>0</v>
      </c>
      <c r="CN137" s="257">
        <f t="shared" si="954"/>
        <v>0</v>
      </c>
      <c r="CO137" s="257">
        <f t="shared" si="954"/>
        <v>0</v>
      </c>
      <c r="CP137" s="257">
        <f t="shared" si="954"/>
        <v>0</v>
      </c>
      <c r="CQ137" s="257">
        <f t="shared" si="954"/>
        <v>0</v>
      </c>
      <c r="CR137" s="257">
        <f t="shared" si="954"/>
        <v>0</v>
      </c>
      <c r="CS137" s="257">
        <f t="shared" si="954"/>
        <v>0</v>
      </c>
      <c r="CT137" s="257">
        <f t="shared" si="954"/>
        <v>0</v>
      </c>
      <c r="CU137" s="257">
        <f t="shared" si="954"/>
        <v>0</v>
      </c>
      <c r="CV137" s="257">
        <f t="shared" si="954"/>
        <v>0</v>
      </c>
      <c r="CW137" s="257">
        <f t="shared" si="954"/>
        <v>0</v>
      </c>
      <c r="CX137" s="257">
        <f t="shared" ref="CX137:EC137" si="955">IF(CX$56=0,$D19*$G19,IF(AND(CX$58&gt;=$H$16,CX$58&lt;=EOMONTH($H19,$I19-1)),($D19*(1-$G19))/$I19,0))</f>
        <v>0</v>
      </c>
      <c r="CY137" s="257">
        <f t="shared" si="955"/>
        <v>0</v>
      </c>
      <c r="CZ137" s="257">
        <f t="shared" si="955"/>
        <v>0</v>
      </c>
      <c r="DA137" s="257">
        <f t="shared" si="955"/>
        <v>0</v>
      </c>
      <c r="DB137" s="257">
        <f t="shared" si="955"/>
        <v>0</v>
      </c>
      <c r="DC137" s="257">
        <f t="shared" si="955"/>
        <v>0</v>
      </c>
      <c r="DD137" s="257">
        <f t="shared" si="955"/>
        <v>0</v>
      </c>
      <c r="DE137" s="257">
        <f t="shared" si="955"/>
        <v>0</v>
      </c>
      <c r="DF137" s="257">
        <f t="shared" si="955"/>
        <v>0</v>
      </c>
      <c r="DG137" s="257">
        <f t="shared" si="955"/>
        <v>0</v>
      </c>
      <c r="DH137" s="257">
        <f t="shared" si="955"/>
        <v>0</v>
      </c>
      <c r="DI137" s="257">
        <f t="shared" si="955"/>
        <v>0</v>
      </c>
      <c r="DJ137" s="257">
        <f t="shared" si="955"/>
        <v>0</v>
      </c>
      <c r="DK137" s="257">
        <f t="shared" si="955"/>
        <v>0</v>
      </c>
      <c r="DL137" s="257">
        <f t="shared" si="955"/>
        <v>0</v>
      </c>
      <c r="DM137" s="257">
        <f t="shared" si="955"/>
        <v>0</v>
      </c>
      <c r="DN137" s="257">
        <f t="shared" si="955"/>
        <v>0</v>
      </c>
      <c r="DO137" s="257">
        <f t="shared" si="955"/>
        <v>0</v>
      </c>
      <c r="DP137" s="257">
        <f t="shared" si="955"/>
        <v>0</v>
      </c>
      <c r="DQ137" s="257">
        <f t="shared" si="955"/>
        <v>0</v>
      </c>
      <c r="DR137" s="257">
        <f t="shared" si="955"/>
        <v>0</v>
      </c>
      <c r="DS137" s="257">
        <f t="shared" si="955"/>
        <v>0</v>
      </c>
      <c r="DT137" s="257">
        <f t="shared" si="955"/>
        <v>0</v>
      </c>
      <c r="DU137" s="257">
        <f t="shared" si="955"/>
        <v>0</v>
      </c>
      <c r="DV137" s="257">
        <f t="shared" si="955"/>
        <v>0</v>
      </c>
      <c r="DW137" s="257">
        <f t="shared" si="955"/>
        <v>0</v>
      </c>
      <c r="DX137" s="257">
        <f t="shared" si="955"/>
        <v>0</v>
      </c>
      <c r="DY137" s="257">
        <f t="shared" si="955"/>
        <v>0</v>
      </c>
      <c r="DZ137" s="257">
        <f t="shared" si="955"/>
        <v>0</v>
      </c>
      <c r="EA137" s="257">
        <f t="shared" si="955"/>
        <v>0</v>
      </c>
      <c r="EB137" s="257">
        <f t="shared" si="955"/>
        <v>0</v>
      </c>
      <c r="EC137" s="257">
        <f t="shared" si="955"/>
        <v>0</v>
      </c>
      <c r="ED137" s="257">
        <f t="shared" ref="ED137:FF137" si="956">IF(ED$56=0,$D19*$G19,IF(AND(ED$58&gt;=$H$16,ED$58&lt;=EOMONTH($H19,$I19-1)),($D19*(1-$G19))/$I19,0))</f>
        <v>0</v>
      </c>
      <c r="EE137" s="257">
        <f t="shared" si="956"/>
        <v>0</v>
      </c>
      <c r="EF137" s="257">
        <f t="shared" si="956"/>
        <v>0</v>
      </c>
      <c r="EG137" s="257">
        <f t="shared" si="956"/>
        <v>0</v>
      </c>
      <c r="EH137" s="257">
        <f t="shared" si="956"/>
        <v>0</v>
      </c>
      <c r="EI137" s="257">
        <f t="shared" si="956"/>
        <v>0</v>
      </c>
      <c r="EJ137" s="257">
        <f t="shared" si="956"/>
        <v>0</v>
      </c>
      <c r="EK137" s="257">
        <f t="shared" si="956"/>
        <v>0</v>
      </c>
      <c r="EL137" s="257">
        <f t="shared" si="956"/>
        <v>0</v>
      </c>
      <c r="EM137" s="257">
        <f t="shared" si="956"/>
        <v>0</v>
      </c>
      <c r="EN137" s="257">
        <f t="shared" si="956"/>
        <v>0</v>
      </c>
      <c r="EO137" s="257">
        <f t="shared" si="956"/>
        <v>0</v>
      </c>
      <c r="EP137" s="257">
        <f t="shared" si="956"/>
        <v>0</v>
      </c>
      <c r="EQ137" s="257">
        <f t="shared" si="956"/>
        <v>0</v>
      </c>
      <c r="ER137" s="257">
        <f t="shared" si="956"/>
        <v>0</v>
      </c>
      <c r="ES137" s="257">
        <f t="shared" si="956"/>
        <v>0</v>
      </c>
      <c r="ET137" s="257">
        <f t="shared" si="956"/>
        <v>0</v>
      </c>
      <c r="EU137" s="257">
        <f t="shared" si="956"/>
        <v>0</v>
      </c>
      <c r="EV137" s="257">
        <f t="shared" si="956"/>
        <v>0</v>
      </c>
      <c r="EW137" s="257">
        <f t="shared" si="956"/>
        <v>0</v>
      </c>
      <c r="EX137" s="257">
        <f t="shared" si="956"/>
        <v>0</v>
      </c>
      <c r="EY137" s="257">
        <f t="shared" si="956"/>
        <v>0</v>
      </c>
      <c r="EZ137" s="257">
        <f t="shared" si="956"/>
        <v>0</v>
      </c>
      <c r="FA137" s="257">
        <f t="shared" si="956"/>
        <v>0</v>
      </c>
      <c r="FB137" s="257">
        <f t="shared" si="956"/>
        <v>0</v>
      </c>
      <c r="FC137" s="257">
        <f t="shared" si="956"/>
        <v>0</v>
      </c>
      <c r="FD137" s="257">
        <f t="shared" si="956"/>
        <v>0</v>
      </c>
      <c r="FE137" s="257">
        <f t="shared" si="956"/>
        <v>0</v>
      </c>
      <c r="FF137" s="257">
        <f t="shared" si="956"/>
        <v>0</v>
      </c>
      <c r="FG137" s="328"/>
      <c r="FH137" s="257">
        <f t="shared" si="941"/>
        <v>875000</v>
      </c>
      <c r="FI137" s="257">
        <f t="shared" si="941"/>
        <v>625000</v>
      </c>
      <c r="FJ137" s="257">
        <f t="shared" si="941"/>
        <v>0</v>
      </c>
      <c r="FK137" s="257">
        <f t="shared" si="941"/>
        <v>0</v>
      </c>
      <c r="FL137" s="257">
        <f t="shared" si="941"/>
        <v>0</v>
      </c>
      <c r="FM137" s="257">
        <f t="shared" si="941"/>
        <v>0</v>
      </c>
      <c r="FN137" s="257">
        <f t="shared" si="941"/>
        <v>0</v>
      </c>
      <c r="FO137" s="257">
        <f t="shared" si="941"/>
        <v>0</v>
      </c>
      <c r="FP137" s="257">
        <f t="shared" si="941"/>
        <v>0</v>
      </c>
      <c r="FQ137" s="257">
        <f t="shared" si="941"/>
        <v>0</v>
      </c>
      <c r="FR137" s="257">
        <f t="shared" si="941"/>
        <v>0</v>
      </c>
      <c r="FS137" s="257">
        <f t="shared" si="941"/>
        <v>0</v>
      </c>
      <c r="FT137" s="257">
        <f t="shared" si="941"/>
        <v>0</v>
      </c>
      <c r="FU137" s="257">
        <f t="shared" si="941"/>
        <v>0</v>
      </c>
      <c r="FV137" s="328"/>
    </row>
    <row r="138" spans="1:204" x14ac:dyDescent="0.2">
      <c r="C138" s="39" t="str">
        <f t="shared" si="934"/>
        <v>Other</v>
      </c>
      <c r="E138" s="256">
        <f t="shared" si="935"/>
        <v>0</v>
      </c>
      <c r="F138" s="257">
        <f t="shared" ref="F138:AK138" si="957">IF(F$56=0,$D20*$G20,IF(AND(F$58&gt;=$H$16,F$58&lt;=EOMONTH($H20,$I20-1)),($D20*(1-$G20))/$I20,0))</f>
        <v>0</v>
      </c>
      <c r="G138" s="257">
        <f t="shared" si="957"/>
        <v>0</v>
      </c>
      <c r="H138" s="257">
        <f t="shared" si="957"/>
        <v>0</v>
      </c>
      <c r="I138" s="257">
        <f t="shared" si="957"/>
        <v>0</v>
      </c>
      <c r="J138" s="257">
        <f t="shared" si="957"/>
        <v>0</v>
      </c>
      <c r="K138" s="257">
        <f t="shared" si="957"/>
        <v>0</v>
      </c>
      <c r="L138" s="257">
        <f t="shared" si="957"/>
        <v>0</v>
      </c>
      <c r="M138" s="257">
        <f t="shared" si="957"/>
        <v>0</v>
      </c>
      <c r="N138" s="257">
        <f t="shared" si="957"/>
        <v>0</v>
      </c>
      <c r="O138" s="257">
        <f t="shared" si="957"/>
        <v>0</v>
      </c>
      <c r="P138" s="257">
        <f t="shared" si="957"/>
        <v>0</v>
      </c>
      <c r="Q138" s="257">
        <f t="shared" si="957"/>
        <v>0</v>
      </c>
      <c r="R138" s="257">
        <f t="shared" si="957"/>
        <v>0</v>
      </c>
      <c r="S138" s="257">
        <f t="shared" si="957"/>
        <v>0</v>
      </c>
      <c r="T138" s="257">
        <f t="shared" si="957"/>
        <v>0</v>
      </c>
      <c r="U138" s="257">
        <f t="shared" si="957"/>
        <v>0</v>
      </c>
      <c r="V138" s="257">
        <f t="shared" si="957"/>
        <v>0</v>
      </c>
      <c r="W138" s="257">
        <f t="shared" si="957"/>
        <v>0</v>
      </c>
      <c r="X138" s="257">
        <f t="shared" si="957"/>
        <v>0</v>
      </c>
      <c r="Y138" s="257">
        <f t="shared" si="957"/>
        <v>0</v>
      </c>
      <c r="Z138" s="257">
        <f t="shared" si="957"/>
        <v>0</v>
      </c>
      <c r="AA138" s="257">
        <f t="shared" si="957"/>
        <v>0</v>
      </c>
      <c r="AB138" s="257">
        <f t="shared" si="957"/>
        <v>0</v>
      </c>
      <c r="AC138" s="257">
        <f t="shared" si="957"/>
        <v>0</v>
      </c>
      <c r="AD138" s="257">
        <f t="shared" si="957"/>
        <v>0</v>
      </c>
      <c r="AE138" s="257">
        <f t="shared" si="957"/>
        <v>0</v>
      </c>
      <c r="AF138" s="257">
        <f t="shared" si="957"/>
        <v>0</v>
      </c>
      <c r="AG138" s="257">
        <f t="shared" si="957"/>
        <v>0</v>
      </c>
      <c r="AH138" s="257">
        <f t="shared" si="957"/>
        <v>0</v>
      </c>
      <c r="AI138" s="257">
        <f t="shared" si="957"/>
        <v>0</v>
      </c>
      <c r="AJ138" s="257">
        <f t="shared" si="957"/>
        <v>0</v>
      </c>
      <c r="AK138" s="257">
        <f t="shared" si="957"/>
        <v>0</v>
      </c>
      <c r="AL138" s="257">
        <f t="shared" ref="AL138:BQ138" si="958">IF(AL$56=0,$D20*$G20,IF(AND(AL$58&gt;=$H$16,AL$58&lt;=EOMONTH($H20,$I20-1)),($D20*(1-$G20))/$I20,0))</f>
        <v>0</v>
      </c>
      <c r="AM138" s="257">
        <f t="shared" si="958"/>
        <v>0</v>
      </c>
      <c r="AN138" s="257">
        <f t="shared" si="958"/>
        <v>0</v>
      </c>
      <c r="AO138" s="257">
        <f t="shared" si="958"/>
        <v>0</v>
      </c>
      <c r="AP138" s="257">
        <f t="shared" si="958"/>
        <v>0</v>
      </c>
      <c r="AQ138" s="257">
        <f t="shared" si="958"/>
        <v>0</v>
      </c>
      <c r="AR138" s="257">
        <f t="shared" si="958"/>
        <v>0</v>
      </c>
      <c r="AS138" s="257">
        <f t="shared" si="958"/>
        <v>0</v>
      </c>
      <c r="AT138" s="257">
        <f t="shared" si="958"/>
        <v>0</v>
      </c>
      <c r="AU138" s="257">
        <f t="shared" si="958"/>
        <v>0</v>
      </c>
      <c r="AV138" s="257">
        <f t="shared" si="958"/>
        <v>0</v>
      </c>
      <c r="AW138" s="257">
        <f t="shared" si="958"/>
        <v>0</v>
      </c>
      <c r="AX138" s="257">
        <f t="shared" si="958"/>
        <v>0</v>
      </c>
      <c r="AY138" s="257">
        <f t="shared" si="958"/>
        <v>0</v>
      </c>
      <c r="AZ138" s="257">
        <f t="shared" si="958"/>
        <v>0</v>
      </c>
      <c r="BA138" s="257">
        <f t="shared" si="958"/>
        <v>0</v>
      </c>
      <c r="BB138" s="257">
        <f t="shared" si="958"/>
        <v>0</v>
      </c>
      <c r="BC138" s="257">
        <f t="shared" si="958"/>
        <v>0</v>
      </c>
      <c r="BD138" s="257">
        <f t="shared" si="958"/>
        <v>0</v>
      </c>
      <c r="BE138" s="257">
        <f t="shared" si="958"/>
        <v>0</v>
      </c>
      <c r="BF138" s="257">
        <f t="shared" si="958"/>
        <v>0</v>
      </c>
      <c r="BG138" s="257">
        <f t="shared" si="958"/>
        <v>0</v>
      </c>
      <c r="BH138" s="257">
        <f t="shared" si="958"/>
        <v>0</v>
      </c>
      <c r="BI138" s="257">
        <f t="shared" si="958"/>
        <v>0</v>
      </c>
      <c r="BJ138" s="257">
        <f t="shared" si="958"/>
        <v>0</v>
      </c>
      <c r="BK138" s="257">
        <f t="shared" si="958"/>
        <v>0</v>
      </c>
      <c r="BL138" s="257">
        <f t="shared" si="958"/>
        <v>0</v>
      </c>
      <c r="BM138" s="257">
        <f t="shared" si="958"/>
        <v>0</v>
      </c>
      <c r="BN138" s="257">
        <f t="shared" si="958"/>
        <v>0</v>
      </c>
      <c r="BO138" s="257">
        <f t="shared" si="958"/>
        <v>0</v>
      </c>
      <c r="BP138" s="257">
        <f t="shared" si="958"/>
        <v>0</v>
      </c>
      <c r="BQ138" s="257">
        <f t="shared" si="958"/>
        <v>0</v>
      </c>
      <c r="BR138" s="257">
        <f t="shared" ref="BR138:CW138" si="959">IF(BR$56=0,$D20*$G20,IF(AND(BR$58&gt;=$H$16,BR$58&lt;=EOMONTH($H20,$I20-1)),($D20*(1-$G20))/$I20,0))</f>
        <v>0</v>
      </c>
      <c r="BS138" s="257">
        <f t="shared" si="959"/>
        <v>0</v>
      </c>
      <c r="BT138" s="257">
        <f t="shared" si="959"/>
        <v>0</v>
      </c>
      <c r="BU138" s="257">
        <f t="shared" si="959"/>
        <v>0</v>
      </c>
      <c r="BV138" s="257">
        <f t="shared" si="959"/>
        <v>0</v>
      </c>
      <c r="BW138" s="257">
        <f t="shared" si="959"/>
        <v>0</v>
      </c>
      <c r="BX138" s="257">
        <f t="shared" si="959"/>
        <v>0</v>
      </c>
      <c r="BY138" s="257">
        <f t="shared" si="959"/>
        <v>0</v>
      </c>
      <c r="BZ138" s="257">
        <f t="shared" si="959"/>
        <v>0</v>
      </c>
      <c r="CA138" s="257">
        <f t="shared" si="959"/>
        <v>0</v>
      </c>
      <c r="CB138" s="257">
        <f t="shared" si="959"/>
        <v>0</v>
      </c>
      <c r="CC138" s="257">
        <f t="shared" si="959"/>
        <v>0</v>
      </c>
      <c r="CD138" s="257">
        <f t="shared" si="959"/>
        <v>0</v>
      </c>
      <c r="CE138" s="257">
        <f t="shared" si="959"/>
        <v>0</v>
      </c>
      <c r="CF138" s="257">
        <f t="shared" si="959"/>
        <v>0</v>
      </c>
      <c r="CG138" s="257">
        <f t="shared" si="959"/>
        <v>0</v>
      </c>
      <c r="CH138" s="257">
        <f t="shared" si="959"/>
        <v>0</v>
      </c>
      <c r="CI138" s="257">
        <f t="shared" si="959"/>
        <v>0</v>
      </c>
      <c r="CJ138" s="257">
        <f t="shared" si="959"/>
        <v>0</v>
      </c>
      <c r="CK138" s="257">
        <f t="shared" si="959"/>
        <v>0</v>
      </c>
      <c r="CL138" s="257">
        <f t="shared" si="959"/>
        <v>0</v>
      </c>
      <c r="CM138" s="257">
        <f t="shared" si="959"/>
        <v>0</v>
      </c>
      <c r="CN138" s="257">
        <f t="shared" si="959"/>
        <v>0</v>
      </c>
      <c r="CO138" s="257">
        <f t="shared" si="959"/>
        <v>0</v>
      </c>
      <c r="CP138" s="257">
        <f t="shared" si="959"/>
        <v>0</v>
      </c>
      <c r="CQ138" s="257">
        <f t="shared" si="959"/>
        <v>0</v>
      </c>
      <c r="CR138" s="257">
        <f t="shared" si="959"/>
        <v>0</v>
      </c>
      <c r="CS138" s="257">
        <f t="shared" si="959"/>
        <v>0</v>
      </c>
      <c r="CT138" s="257">
        <f t="shared" si="959"/>
        <v>0</v>
      </c>
      <c r="CU138" s="257">
        <f t="shared" si="959"/>
        <v>0</v>
      </c>
      <c r="CV138" s="257">
        <f t="shared" si="959"/>
        <v>0</v>
      </c>
      <c r="CW138" s="257">
        <f t="shared" si="959"/>
        <v>0</v>
      </c>
      <c r="CX138" s="257">
        <f t="shared" ref="CX138:EC138" si="960">IF(CX$56=0,$D20*$G20,IF(AND(CX$58&gt;=$H$16,CX$58&lt;=EOMONTH($H20,$I20-1)),($D20*(1-$G20))/$I20,0))</f>
        <v>0</v>
      </c>
      <c r="CY138" s="257">
        <f t="shared" si="960"/>
        <v>0</v>
      </c>
      <c r="CZ138" s="257">
        <f t="shared" si="960"/>
        <v>0</v>
      </c>
      <c r="DA138" s="257">
        <f t="shared" si="960"/>
        <v>0</v>
      </c>
      <c r="DB138" s="257">
        <f t="shared" si="960"/>
        <v>0</v>
      </c>
      <c r="DC138" s="257">
        <f t="shared" si="960"/>
        <v>0</v>
      </c>
      <c r="DD138" s="257">
        <f t="shared" si="960"/>
        <v>0</v>
      </c>
      <c r="DE138" s="257">
        <f t="shared" si="960"/>
        <v>0</v>
      </c>
      <c r="DF138" s="257">
        <f t="shared" si="960"/>
        <v>0</v>
      </c>
      <c r="DG138" s="257">
        <f t="shared" si="960"/>
        <v>0</v>
      </c>
      <c r="DH138" s="257">
        <f t="shared" si="960"/>
        <v>0</v>
      </c>
      <c r="DI138" s="257">
        <f t="shared" si="960"/>
        <v>0</v>
      </c>
      <c r="DJ138" s="257">
        <f t="shared" si="960"/>
        <v>0</v>
      </c>
      <c r="DK138" s="257">
        <f t="shared" si="960"/>
        <v>0</v>
      </c>
      <c r="DL138" s="257">
        <f t="shared" si="960"/>
        <v>0</v>
      </c>
      <c r="DM138" s="257">
        <f t="shared" si="960"/>
        <v>0</v>
      </c>
      <c r="DN138" s="257">
        <f t="shared" si="960"/>
        <v>0</v>
      </c>
      <c r="DO138" s="257">
        <f t="shared" si="960"/>
        <v>0</v>
      </c>
      <c r="DP138" s="257">
        <f t="shared" si="960"/>
        <v>0</v>
      </c>
      <c r="DQ138" s="257">
        <f t="shared" si="960"/>
        <v>0</v>
      </c>
      <c r="DR138" s="257">
        <f t="shared" si="960"/>
        <v>0</v>
      </c>
      <c r="DS138" s="257">
        <f t="shared" si="960"/>
        <v>0</v>
      </c>
      <c r="DT138" s="257">
        <f t="shared" si="960"/>
        <v>0</v>
      </c>
      <c r="DU138" s="257">
        <f t="shared" si="960"/>
        <v>0</v>
      </c>
      <c r="DV138" s="257">
        <f t="shared" si="960"/>
        <v>0</v>
      </c>
      <c r="DW138" s="257">
        <f t="shared" si="960"/>
        <v>0</v>
      </c>
      <c r="DX138" s="257">
        <f t="shared" si="960"/>
        <v>0</v>
      </c>
      <c r="DY138" s="257">
        <f t="shared" si="960"/>
        <v>0</v>
      </c>
      <c r="DZ138" s="257">
        <f t="shared" si="960"/>
        <v>0</v>
      </c>
      <c r="EA138" s="257">
        <f t="shared" si="960"/>
        <v>0</v>
      </c>
      <c r="EB138" s="257">
        <f t="shared" si="960"/>
        <v>0</v>
      </c>
      <c r="EC138" s="257">
        <f t="shared" si="960"/>
        <v>0</v>
      </c>
      <c r="ED138" s="257">
        <f t="shared" ref="ED138:FF138" si="961">IF(ED$56=0,$D20*$G20,IF(AND(ED$58&gt;=$H$16,ED$58&lt;=EOMONTH($H20,$I20-1)),($D20*(1-$G20))/$I20,0))</f>
        <v>0</v>
      </c>
      <c r="EE138" s="257">
        <f t="shared" si="961"/>
        <v>0</v>
      </c>
      <c r="EF138" s="257">
        <f t="shared" si="961"/>
        <v>0</v>
      </c>
      <c r="EG138" s="257">
        <f t="shared" si="961"/>
        <v>0</v>
      </c>
      <c r="EH138" s="257">
        <f t="shared" si="961"/>
        <v>0</v>
      </c>
      <c r="EI138" s="257">
        <f t="shared" si="961"/>
        <v>0</v>
      </c>
      <c r="EJ138" s="257">
        <f t="shared" si="961"/>
        <v>0</v>
      </c>
      <c r="EK138" s="257">
        <f t="shared" si="961"/>
        <v>0</v>
      </c>
      <c r="EL138" s="257">
        <f t="shared" si="961"/>
        <v>0</v>
      </c>
      <c r="EM138" s="257">
        <f t="shared" si="961"/>
        <v>0</v>
      </c>
      <c r="EN138" s="257">
        <f t="shared" si="961"/>
        <v>0</v>
      </c>
      <c r="EO138" s="257">
        <f t="shared" si="961"/>
        <v>0</v>
      </c>
      <c r="EP138" s="257">
        <f t="shared" si="961"/>
        <v>0</v>
      </c>
      <c r="EQ138" s="257">
        <f t="shared" si="961"/>
        <v>0</v>
      </c>
      <c r="ER138" s="257">
        <f t="shared" si="961"/>
        <v>0</v>
      </c>
      <c r="ES138" s="257">
        <f t="shared" si="961"/>
        <v>0</v>
      </c>
      <c r="ET138" s="257">
        <f t="shared" si="961"/>
        <v>0</v>
      </c>
      <c r="EU138" s="257">
        <f t="shared" si="961"/>
        <v>0</v>
      </c>
      <c r="EV138" s="257">
        <f t="shared" si="961"/>
        <v>0</v>
      </c>
      <c r="EW138" s="257">
        <f t="shared" si="961"/>
        <v>0</v>
      </c>
      <c r="EX138" s="257">
        <f t="shared" si="961"/>
        <v>0</v>
      </c>
      <c r="EY138" s="257">
        <f t="shared" si="961"/>
        <v>0</v>
      </c>
      <c r="EZ138" s="257">
        <f t="shared" si="961"/>
        <v>0</v>
      </c>
      <c r="FA138" s="257">
        <f t="shared" si="961"/>
        <v>0</v>
      </c>
      <c r="FB138" s="257">
        <f t="shared" si="961"/>
        <v>0</v>
      </c>
      <c r="FC138" s="257">
        <f t="shared" si="961"/>
        <v>0</v>
      </c>
      <c r="FD138" s="257">
        <f t="shared" si="961"/>
        <v>0</v>
      </c>
      <c r="FE138" s="257">
        <f t="shared" si="961"/>
        <v>0</v>
      </c>
      <c r="FF138" s="257">
        <f t="shared" si="961"/>
        <v>0</v>
      </c>
      <c r="FG138" s="328"/>
      <c r="FH138" s="257">
        <f t="shared" si="941"/>
        <v>0</v>
      </c>
      <c r="FI138" s="257">
        <f t="shared" si="941"/>
        <v>0</v>
      </c>
      <c r="FJ138" s="257">
        <f t="shared" si="941"/>
        <v>0</v>
      </c>
      <c r="FK138" s="257">
        <f t="shared" si="941"/>
        <v>0</v>
      </c>
      <c r="FL138" s="257">
        <f t="shared" si="941"/>
        <v>0</v>
      </c>
      <c r="FM138" s="257">
        <f t="shared" si="941"/>
        <v>0</v>
      </c>
      <c r="FN138" s="257">
        <f t="shared" si="941"/>
        <v>0</v>
      </c>
      <c r="FO138" s="257">
        <f t="shared" si="941"/>
        <v>0</v>
      </c>
      <c r="FP138" s="257">
        <f t="shared" si="941"/>
        <v>0</v>
      </c>
      <c r="FQ138" s="257">
        <f t="shared" si="941"/>
        <v>0</v>
      </c>
      <c r="FR138" s="257">
        <f t="shared" si="941"/>
        <v>0</v>
      </c>
      <c r="FS138" s="257">
        <f t="shared" si="941"/>
        <v>0</v>
      </c>
      <c r="FT138" s="257">
        <f t="shared" si="941"/>
        <v>0</v>
      </c>
      <c r="FU138" s="257">
        <f t="shared" si="941"/>
        <v>0</v>
      </c>
      <c r="FV138" s="328"/>
    </row>
    <row r="139" spans="1:204" x14ac:dyDescent="0.2">
      <c r="C139" s="39" t="str">
        <f t="shared" si="934"/>
        <v>Other</v>
      </c>
      <c r="E139" s="256">
        <f t="shared" si="935"/>
        <v>0</v>
      </c>
      <c r="F139" s="257">
        <f t="shared" ref="F139:AK139" si="962">IF(F$56=0,$D21*$G21,IF(AND(F$58&gt;=$H$16,F$58&lt;=EOMONTH($H21,$I21-1)),($D21*(1-$G21))/$I21,0))</f>
        <v>0</v>
      </c>
      <c r="G139" s="257">
        <f t="shared" si="962"/>
        <v>0</v>
      </c>
      <c r="H139" s="257">
        <f t="shared" si="962"/>
        <v>0</v>
      </c>
      <c r="I139" s="257">
        <f t="shared" si="962"/>
        <v>0</v>
      </c>
      <c r="J139" s="257">
        <f t="shared" si="962"/>
        <v>0</v>
      </c>
      <c r="K139" s="257">
        <f t="shared" si="962"/>
        <v>0</v>
      </c>
      <c r="L139" s="257">
        <f t="shared" si="962"/>
        <v>0</v>
      </c>
      <c r="M139" s="257">
        <f t="shared" si="962"/>
        <v>0</v>
      </c>
      <c r="N139" s="257">
        <f t="shared" si="962"/>
        <v>0</v>
      </c>
      <c r="O139" s="257">
        <f t="shared" si="962"/>
        <v>0</v>
      </c>
      <c r="P139" s="257">
        <f t="shared" si="962"/>
        <v>0</v>
      </c>
      <c r="Q139" s="257">
        <f t="shared" si="962"/>
        <v>0</v>
      </c>
      <c r="R139" s="257">
        <f t="shared" si="962"/>
        <v>0</v>
      </c>
      <c r="S139" s="257">
        <f t="shared" si="962"/>
        <v>0</v>
      </c>
      <c r="T139" s="257">
        <f t="shared" si="962"/>
        <v>0</v>
      </c>
      <c r="U139" s="257">
        <f t="shared" si="962"/>
        <v>0</v>
      </c>
      <c r="V139" s="257">
        <f t="shared" si="962"/>
        <v>0</v>
      </c>
      <c r="W139" s="257">
        <f t="shared" si="962"/>
        <v>0</v>
      </c>
      <c r="X139" s="257">
        <f t="shared" si="962"/>
        <v>0</v>
      </c>
      <c r="Y139" s="257">
        <f t="shared" si="962"/>
        <v>0</v>
      </c>
      <c r="Z139" s="257">
        <f t="shared" si="962"/>
        <v>0</v>
      </c>
      <c r="AA139" s="257">
        <f t="shared" si="962"/>
        <v>0</v>
      </c>
      <c r="AB139" s="257">
        <f t="shared" si="962"/>
        <v>0</v>
      </c>
      <c r="AC139" s="257">
        <f t="shared" si="962"/>
        <v>0</v>
      </c>
      <c r="AD139" s="257">
        <f t="shared" si="962"/>
        <v>0</v>
      </c>
      <c r="AE139" s="257">
        <f t="shared" si="962"/>
        <v>0</v>
      </c>
      <c r="AF139" s="257">
        <f t="shared" si="962"/>
        <v>0</v>
      </c>
      <c r="AG139" s="257">
        <f t="shared" si="962"/>
        <v>0</v>
      </c>
      <c r="AH139" s="257">
        <f t="shared" si="962"/>
        <v>0</v>
      </c>
      <c r="AI139" s="257">
        <f t="shared" si="962"/>
        <v>0</v>
      </c>
      <c r="AJ139" s="257">
        <f t="shared" si="962"/>
        <v>0</v>
      </c>
      <c r="AK139" s="257">
        <f t="shared" si="962"/>
        <v>0</v>
      </c>
      <c r="AL139" s="257">
        <f t="shared" ref="AL139:BQ139" si="963">IF(AL$56=0,$D21*$G21,IF(AND(AL$58&gt;=$H$16,AL$58&lt;=EOMONTH($H21,$I21-1)),($D21*(1-$G21))/$I21,0))</f>
        <v>0</v>
      </c>
      <c r="AM139" s="257">
        <f t="shared" si="963"/>
        <v>0</v>
      </c>
      <c r="AN139" s="257">
        <f t="shared" si="963"/>
        <v>0</v>
      </c>
      <c r="AO139" s="257">
        <f t="shared" si="963"/>
        <v>0</v>
      </c>
      <c r="AP139" s="257">
        <f t="shared" si="963"/>
        <v>0</v>
      </c>
      <c r="AQ139" s="257">
        <f t="shared" si="963"/>
        <v>0</v>
      </c>
      <c r="AR139" s="257">
        <f t="shared" si="963"/>
        <v>0</v>
      </c>
      <c r="AS139" s="257">
        <f t="shared" si="963"/>
        <v>0</v>
      </c>
      <c r="AT139" s="257">
        <f t="shared" si="963"/>
        <v>0</v>
      </c>
      <c r="AU139" s="257">
        <f t="shared" si="963"/>
        <v>0</v>
      </c>
      <c r="AV139" s="257">
        <f t="shared" si="963"/>
        <v>0</v>
      </c>
      <c r="AW139" s="257">
        <f t="shared" si="963"/>
        <v>0</v>
      </c>
      <c r="AX139" s="257">
        <f t="shared" si="963"/>
        <v>0</v>
      </c>
      <c r="AY139" s="257">
        <f t="shared" si="963"/>
        <v>0</v>
      </c>
      <c r="AZ139" s="257">
        <f t="shared" si="963"/>
        <v>0</v>
      </c>
      <c r="BA139" s="257">
        <f t="shared" si="963"/>
        <v>0</v>
      </c>
      <c r="BB139" s="257">
        <f t="shared" si="963"/>
        <v>0</v>
      </c>
      <c r="BC139" s="257">
        <f t="shared" si="963"/>
        <v>0</v>
      </c>
      <c r="BD139" s="257">
        <f t="shared" si="963"/>
        <v>0</v>
      </c>
      <c r="BE139" s="257">
        <f t="shared" si="963"/>
        <v>0</v>
      </c>
      <c r="BF139" s="257">
        <f t="shared" si="963"/>
        <v>0</v>
      </c>
      <c r="BG139" s="257">
        <f t="shared" si="963"/>
        <v>0</v>
      </c>
      <c r="BH139" s="257">
        <f t="shared" si="963"/>
        <v>0</v>
      </c>
      <c r="BI139" s="257">
        <f t="shared" si="963"/>
        <v>0</v>
      </c>
      <c r="BJ139" s="257">
        <f t="shared" si="963"/>
        <v>0</v>
      </c>
      <c r="BK139" s="257">
        <f t="shared" si="963"/>
        <v>0</v>
      </c>
      <c r="BL139" s="257">
        <f t="shared" si="963"/>
        <v>0</v>
      </c>
      <c r="BM139" s="257">
        <f t="shared" si="963"/>
        <v>0</v>
      </c>
      <c r="BN139" s="257">
        <f t="shared" si="963"/>
        <v>0</v>
      </c>
      <c r="BO139" s="257">
        <f t="shared" si="963"/>
        <v>0</v>
      </c>
      <c r="BP139" s="257">
        <f t="shared" si="963"/>
        <v>0</v>
      </c>
      <c r="BQ139" s="257">
        <f t="shared" si="963"/>
        <v>0</v>
      </c>
      <c r="BR139" s="257">
        <f t="shared" ref="BR139:CW139" si="964">IF(BR$56=0,$D21*$G21,IF(AND(BR$58&gt;=$H$16,BR$58&lt;=EOMONTH($H21,$I21-1)),($D21*(1-$G21))/$I21,0))</f>
        <v>0</v>
      </c>
      <c r="BS139" s="257">
        <f t="shared" si="964"/>
        <v>0</v>
      </c>
      <c r="BT139" s="257">
        <f t="shared" si="964"/>
        <v>0</v>
      </c>
      <c r="BU139" s="257">
        <f t="shared" si="964"/>
        <v>0</v>
      </c>
      <c r="BV139" s="257">
        <f t="shared" si="964"/>
        <v>0</v>
      </c>
      <c r="BW139" s="257">
        <f t="shared" si="964"/>
        <v>0</v>
      </c>
      <c r="BX139" s="257">
        <f t="shared" si="964"/>
        <v>0</v>
      </c>
      <c r="BY139" s="257">
        <f t="shared" si="964"/>
        <v>0</v>
      </c>
      <c r="BZ139" s="257">
        <f t="shared" si="964"/>
        <v>0</v>
      </c>
      <c r="CA139" s="257">
        <f t="shared" si="964"/>
        <v>0</v>
      </c>
      <c r="CB139" s="257">
        <f t="shared" si="964"/>
        <v>0</v>
      </c>
      <c r="CC139" s="257">
        <f t="shared" si="964"/>
        <v>0</v>
      </c>
      <c r="CD139" s="257">
        <f t="shared" si="964"/>
        <v>0</v>
      </c>
      <c r="CE139" s="257">
        <f t="shared" si="964"/>
        <v>0</v>
      </c>
      <c r="CF139" s="257">
        <f t="shared" si="964"/>
        <v>0</v>
      </c>
      <c r="CG139" s="257">
        <f t="shared" si="964"/>
        <v>0</v>
      </c>
      <c r="CH139" s="257">
        <f t="shared" si="964"/>
        <v>0</v>
      </c>
      <c r="CI139" s="257">
        <f t="shared" si="964"/>
        <v>0</v>
      </c>
      <c r="CJ139" s="257">
        <f t="shared" si="964"/>
        <v>0</v>
      </c>
      <c r="CK139" s="257">
        <f t="shared" si="964"/>
        <v>0</v>
      </c>
      <c r="CL139" s="257">
        <f t="shared" si="964"/>
        <v>0</v>
      </c>
      <c r="CM139" s="257">
        <f t="shared" si="964"/>
        <v>0</v>
      </c>
      <c r="CN139" s="257">
        <f t="shared" si="964"/>
        <v>0</v>
      </c>
      <c r="CO139" s="257">
        <f t="shared" si="964"/>
        <v>0</v>
      </c>
      <c r="CP139" s="257">
        <f t="shared" si="964"/>
        <v>0</v>
      </c>
      <c r="CQ139" s="257">
        <f t="shared" si="964"/>
        <v>0</v>
      </c>
      <c r="CR139" s="257">
        <f t="shared" si="964"/>
        <v>0</v>
      </c>
      <c r="CS139" s="257">
        <f t="shared" si="964"/>
        <v>0</v>
      </c>
      <c r="CT139" s="257">
        <f t="shared" si="964"/>
        <v>0</v>
      </c>
      <c r="CU139" s="257">
        <f t="shared" si="964"/>
        <v>0</v>
      </c>
      <c r="CV139" s="257">
        <f t="shared" si="964"/>
        <v>0</v>
      </c>
      <c r="CW139" s="257">
        <f t="shared" si="964"/>
        <v>0</v>
      </c>
      <c r="CX139" s="257">
        <f t="shared" ref="CX139:EC139" si="965">IF(CX$56=0,$D21*$G21,IF(AND(CX$58&gt;=$H$16,CX$58&lt;=EOMONTH($H21,$I21-1)),($D21*(1-$G21))/$I21,0))</f>
        <v>0</v>
      </c>
      <c r="CY139" s="257">
        <f t="shared" si="965"/>
        <v>0</v>
      </c>
      <c r="CZ139" s="257">
        <f t="shared" si="965"/>
        <v>0</v>
      </c>
      <c r="DA139" s="257">
        <f t="shared" si="965"/>
        <v>0</v>
      </c>
      <c r="DB139" s="257">
        <f t="shared" si="965"/>
        <v>0</v>
      </c>
      <c r="DC139" s="257">
        <f t="shared" si="965"/>
        <v>0</v>
      </c>
      <c r="DD139" s="257">
        <f t="shared" si="965"/>
        <v>0</v>
      </c>
      <c r="DE139" s="257">
        <f t="shared" si="965"/>
        <v>0</v>
      </c>
      <c r="DF139" s="257">
        <f t="shared" si="965"/>
        <v>0</v>
      </c>
      <c r="DG139" s="257">
        <f t="shared" si="965"/>
        <v>0</v>
      </c>
      <c r="DH139" s="257">
        <f t="shared" si="965"/>
        <v>0</v>
      </c>
      <c r="DI139" s="257">
        <f t="shared" si="965"/>
        <v>0</v>
      </c>
      <c r="DJ139" s="257">
        <f t="shared" si="965"/>
        <v>0</v>
      </c>
      <c r="DK139" s="257">
        <f t="shared" si="965"/>
        <v>0</v>
      </c>
      <c r="DL139" s="257">
        <f t="shared" si="965"/>
        <v>0</v>
      </c>
      <c r="DM139" s="257">
        <f t="shared" si="965"/>
        <v>0</v>
      </c>
      <c r="DN139" s="257">
        <f t="shared" si="965"/>
        <v>0</v>
      </c>
      <c r="DO139" s="257">
        <f t="shared" si="965"/>
        <v>0</v>
      </c>
      <c r="DP139" s="257">
        <f t="shared" si="965"/>
        <v>0</v>
      </c>
      <c r="DQ139" s="257">
        <f t="shared" si="965"/>
        <v>0</v>
      </c>
      <c r="DR139" s="257">
        <f t="shared" si="965"/>
        <v>0</v>
      </c>
      <c r="DS139" s="257">
        <f t="shared" si="965"/>
        <v>0</v>
      </c>
      <c r="DT139" s="257">
        <f t="shared" si="965"/>
        <v>0</v>
      </c>
      <c r="DU139" s="257">
        <f t="shared" si="965"/>
        <v>0</v>
      </c>
      <c r="DV139" s="257">
        <f t="shared" si="965"/>
        <v>0</v>
      </c>
      <c r="DW139" s="257">
        <f t="shared" si="965"/>
        <v>0</v>
      </c>
      <c r="DX139" s="257">
        <f t="shared" si="965"/>
        <v>0</v>
      </c>
      <c r="DY139" s="257">
        <f t="shared" si="965"/>
        <v>0</v>
      </c>
      <c r="DZ139" s="257">
        <f t="shared" si="965"/>
        <v>0</v>
      </c>
      <c r="EA139" s="257">
        <f t="shared" si="965"/>
        <v>0</v>
      </c>
      <c r="EB139" s="257">
        <f t="shared" si="965"/>
        <v>0</v>
      </c>
      <c r="EC139" s="257">
        <f t="shared" si="965"/>
        <v>0</v>
      </c>
      <c r="ED139" s="257">
        <f t="shared" ref="ED139:FF139" si="966">IF(ED$56=0,$D21*$G21,IF(AND(ED$58&gt;=$H$16,ED$58&lt;=EOMONTH($H21,$I21-1)),($D21*(1-$G21))/$I21,0))</f>
        <v>0</v>
      </c>
      <c r="EE139" s="257">
        <f t="shared" si="966"/>
        <v>0</v>
      </c>
      <c r="EF139" s="257">
        <f t="shared" si="966"/>
        <v>0</v>
      </c>
      <c r="EG139" s="257">
        <f t="shared" si="966"/>
        <v>0</v>
      </c>
      <c r="EH139" s="257">
        <f t="shared" si="966"/>
        <v>0</v>
      </c>
      <c r="EI139" s="257">
        <f t="shared" si="966"/>
        <v>0</v>
      </c>
      <c r="EJ139" s="257">
        <f t="shared" si="966"/>
        <v>0</v>
      </c>
      <c r="EK139" s="257">
        <f t="shared" si="966"/>
        <v>0</v>
      </c>
      <c r="EL139" s="257">
        <f t="shared" si="966"/>
        <v>0</v>
      </c>
      <c r="EM139" s="257">
        <f t="shared" si="966"/>
        <v>0</v>
      </c>
      <c r="EN139" s="257">
        <f t="shared" si="966"/>
        <v>0</v>
      </c>
      <c r="EO139" s="257">
        <f t="shared" si="966"/>
        <v>0</v>
      </c>
      <c r="EP139" s="257">
        <f t="shared" si="966"/>
        <v>0</v>
      </c>
      <c r="EQ139" s="257">
        <f t="shared" si="966"/>
        <v>0</v>
      </c>
      <c r="ER139" s="257">
        <f t="shared" si="966"/>
        <v>0</v>
      </c>
      <c r="ES139" s="257">
        <f t="shared" si="966"/>
        <v>0</v>
      </c>
      <c r="ET139" s="257">
        <f t="shared" si="966"/>
        <v>0</v>
      </c>
      <c r="EU139" s="257">
        <f t="shared" si="966"/>
        <v>0</v>
      </c>
      <c r="EV139" s="257">
        <f t="shared" si="966"/>
        <v>0</v>
      </c>
      <c r="EW139" s="257">
        <f t="shared" si="966"/>
        <v>0</v>
      </c>
      <c r="EX139" s="257">
        <f t="shared" si="966"/>
        <v>0</v>
      </c>
      <c r="EY139" s="257">
        <f t="shared" si="966"/>
        <v>0</v>
      </c>
      <c r="EZ139" s="257">
        <f t="shared" si="966"/>
        <v>0</v>
      </c>
      <c r="FA139" s="257">
        <f t="shared" si="966"/>
        <v>0</v>
      </c>
      <c r="FB139" s="257">
        <f t="shared" si="966"/>
        <v>0</v>
      </c>
      <c r="FC139" s="257">
        <f t="shared" si="966"/>
        <v>0</v>
      </c>
      <c r="FD139" s="257">
        <f t="shared" si="966"/>
        <v>0</v>
      </c>
      <c r="FE139" s="257">
        <f t="shared" si="966"/>
        <v>0</v>
      </c>
      <c r="FF139" s="257">
        <f t="shared" si="966"/>
        <v>0</v>
      </c>
      <c r="FG139" s="328"/>
      <c r="FH139" s="257">
        <f t="shared" si="941"/>
        <v>0</v>
      </c>
      <c r="FI139" s="257">
        <f t="shared" si="941"/>
        <v>0</v>
      </c>
      <c r="FJ139" s="257">
        <f t="shared" si="941"/>
        <v>0</v>
      </c>
      <c r="FK139" s="257">
        <f t="shared" si="941"/>
        <v>0</v>
      </c>
      <c r="FL139" s="257">
        <f t="shared" si="941"/>
        <v>0</v>
      </c>
      <c r="FM139" s="257">
        <f t="shared" si="941"/>
        <v>0</v>
      </c>
      <c r="FN139" s="257">
        <f t="shared" si="941"/>
        <v>0</v>
      </c>
      <c r="FO139" s="257">
        <f t="shared" si="941"/>
        <v>0</v>
      </c>
      <c r="FP139" s="257">
        <f t="shared" si="941"/>
        <v>0</v>
      </c>
      <c r="FQ139" s="257">
        <f t="shared" si="941"/>
        <v>0</v>
      </c>
      <c r="FR139" s="257">
        <f t="shared" si="941"/>
        <v>0</v>
      </c>
      <c r="FS139" s="257">
        <f t="shared" si="941"/>
        <v>0</v>
      </c>
      <c r="FT139" s="257">
        <f t="shared" si="941"/>
        <v>0</v>
      </c>
      <c r="FU139" s="257">
        <f t="shared" si="941"/>
        <v>0</v>
      </c>
      <c r="FV139" s="328"/>
    </row>
    <row r="140" spans="1:204" x14ac:dyDescent="0.2">
      <c r="C140" s="39" t="str">
        <f t="shared" si="934"/>
        <v>Other</v>
      </c>
      <c r="E140" s="256">
        <f t="shared" si="935"/>
        <v>0</v>
      </c>
      <c r="F140" s="257">
        <f t="shared" ref="F140:AK140" si="967">IF(F$56=0,$D22*$G22,IF(AND(F$58&gt;=$H$16,F$58&lt;=EOMONTH($H22,$I22-1)),($D22*(1-$G22))/$I22,0))</f>
        <v>0</v>
      </c>
      <c r="G140" s="257">
        <f t="shared" si="967"/>
        <v>0</v>
      </c>
      <c r="H140" s="257">
        <f t="shared" si="967"/>
        <v>0</v>
      </c>
      <c r="I140" s="257">
        <f t="shared" si="967"/>
        <v>0</v>
      </c>
      <c r="J140" s="257">
        <f t="shared" si="967"/>
        <v>0</v>
      </c>
      <c r="K140" s="257">
        <f t="shared" si="967"/>
        <v>0</v>
      </c>
      <c r="L140" s="257">
        <f t="shared" si="967"/>
        <v>0</v>
      </c>
      <c r="M140" s="257">
        <f t="shared" si="967"/>
        <v>0</v>
      </c>
      <c r="N140" s="257">
        <f t="shared" si="967"/>
        <v>0</v>
      </c>
      <c r="O140" s="257">
        <f t="shared" si="967"/>
        <v>0</v>
      </c>
      <c r="P140" s="257">
        <f t="shared" si="967"/>
        <v>0</v>
      </c>
      <c r="Q140" s="257">
        <f t="shared" si="967"/>
        <v>0</v>
      </c>
      <c r="R140" s="257">
        <f t="shared" si="967"/>
        <v>0</v>
      </c>
      <c r="S140" s="257">
        <f t="shared" si="967"/>
        <v>0</v>
      </c>
      <c r="T140" s="257">
        <f t="shared" si="967"/>
        <v>0</v>
      </c>
      <c r="U140" s="257">
        <f t="shared" si="967"/>
        <v>0</v>
      </c>
      <c r="V140" s="257">
        <f t="shared" si="967"/>
        <v>0</v>
      </c>
      <c r="W140" s="257">
        <f t="shared" si="967"/>
        <v>0</v>
      </c>
      <c r="X140" s="257">
        <f t="shared" si="967"/>
        <v>0</v>
      </c>
      <c r="Y140" s="257">
        <f t="shared" si="967"/>
        <v>0</v>
      </c>
      <c r="Z140" s="257">
        <f t="shared" si="967"/>
        <v>0</v>
      </c>
      <c r="AA140" s="257">
        <f t="shared" si="967"/>
        <v>0</v>
      </c>
      <c r="AB140" s="257">
        <f t="shared" si="967"/>
        <v>0</v>
      </c>
      <c r="AC140" s="257">
        <f t="shared" si="967"/>
        <v>0</v>
      </c>
      <c r="AD140" s="257">
        <f t="shared" si="967"/>
        <v>0</v>
      </c>
      <c r="AE140" s="257">
        <f t="shared" si="967"/>
        <v>0</v>
      </c>
      <c r="AF140" s="257">
        <f t="shared" si="967"/>
        <v>0</v>
      </c>
      <c r="AG140" s="257">
        <f t="shared" si="967"/>
        <v>0</v>
      </c>
      <c r="AH140" s="257">
        <f t="shared" si="967"/>
        <v>0</v>
      </c>
      <c r="AI140" s="257">
        <f t="shared" si="967"/>
        <v>0</v>
      </c>
      <c r="AJ140" s="257">
        <f t="shared" si="967"/>
        <v>0</v>
      </c>
      <c r="AK140" s="257">
        <f t="shared" si="967"/>
        <v>0</v>
      </c>
      <c r="AL140" s="257">
        <f t="shared" ref="AL140:BQ140" si="968">IF(AL$56=0,$D22*$G22,IF(AND(AL$58&gt;=$H$16,AL$58&lt;=EOMONTH($H22,$I22-1)),($D22*(1-$G22))/$I22,0))</f>
        <v>0</v>
      </c>
      <c r="AM140" s="257">
        <f t="shared" si="968"/>
        <v>0</v>
      </c>
      <c r="AN140" s="257">
        <f t="shared" si="968"/>
        <v>0</v>
      </c>
      <c r="AO140" s="257">
        <f t="shared" si="968"/>
        <v>0</v>
      </c>
      <c r="AP140" s="257">
        <f t="shared" si="968"/>
        <v>0</v>
      </c>
      <c r="AQ140" s="257">
        <f t="shared" si="968"/>
        <v>0</v>
      </c>
      <c r="AR140" s="257">
        <f t="shared" si="968"/>
        <v>0</v>
      </c>
      <c r="AS140" s="257">
        <f t="shared" si="968"/>
        <v>0</v>
      </c>
      <c r="AT140" s="257">
        <f t="shared" si="968"/>
        <v>0</v>
      </c>
      <c r="AU140" s="257">
        <f t="shared" si="968"/>
        <v>0</v>
      </c>
      <c r="AV140" s="257">
        <f t="shared" si="968"/>
        <v>0</v>
      </c>
      <c r="AW140" s="257">
        <f t="shared" si="968"/>
        <v>0</v>
      </c>
      <c r="AX140" s="257">
        <f t="shared" si="968"/>
        <v>0</v>
      </c>
      <c r="AY140" s="257">
        <f t="shared" si="968"/>
        <v>0</v>
      </c>
      <c r="AZ140" s="257">
        <f t="shared" si="968"/>
        <v>0</v>
      </c>
      <c r="BA140" s="257">
        <f t="shared" si="968"/>
        <v>0</v>
      </c>
      <c r="BB140" s="257">
        <f t="shared" si="968"/>
        <v>0</v>
      </c>
      <c r="BC140" s="257">
        <f t="shared" si="968"/>
        <v>0</v>
      </c>
      <c r="BD140" s="257">
        <f t="shared" si="968"/>
        <v>0</v>
      </c>
      <c r="BE140" s="257">
        <f t="shared" si="968"/>
        <v>0</v>
      </c>
      <c r="BF140" s="257">
        <f t="shared" si="968"/>
        <v>0</v>
      </c>
      <c r="BG140" s="257">
        <f t="shared" si="968"/>
        <v>0</v>
      </c>
      <c r="BH140" s="257">
        <f t="shared" si="968"/>
        <v>0</v>
      </c>
      <c r="BI140" s="257">
        <f t="shared" si="968"/>
        <v>0</v>
      </c>
      <c r="BJ140" s="257">
        <f t="shared" si="968"/>
        <v>0</v>
      </c>
      <c r="BK140" s="257">
        <f t="shared" si="968"/>
        <v>0</v>
      </c>
      <c r="BL140" s="257">
        <f t="shared" si="968"/>
        <v>0</v>
      </c>
      <c r="BM140" s="257">
        <f t="shared" si="968"/>
        <v>0</v>
      </c>
      <c r="BN140" s="257">
        <f t="shared" si="968"/>
        <v>0</v>
      </c>
      <c r="BO140" s="257">
        <f t="shared" si="968"/>
        <v>0</v>
      </c>
      <c r="BP140" s="257">
        <f t="shared" si="968"/>
        <v>0</v>
      </c>
      <c r="BQ140" s="257">
        <f t="shared" si="968"/>
        <v>0</v>
      </c>
      <c r="BR140" s="257">
        <f t="shared" ref="BR140:CW140" si="969">IF(BR$56=0,$D22*$G22,IF(AND(BR$58&gt;=$H$16,BR$58&lt;=EOMONTH($H22,$I22-1)),($D22*(1-$G22))/$I22,0))</f>
        <v>0</v>
      </c>
      <c r="BS140" s="257">
        <f t="shared" si="969"/>
        <v>0</v>
      </c>
      <c r="BT140" s="257">
        <f t="shared" si="969"/>
        <v>0</v>
      </c>
      <c r="BU140" s="257">
        <f t="shared" si="969"/>
        <v>0</v>
      </c>
      <c r="BV140" s="257">
        <f t="shared" si="969"/>
        <v>0</v>
      </c>
      <c r="BW140" s="257">
        <f t="shared" si="969"/>
        <v>0</v>
      </c>
      <c r="BX140" s="257">
        <f t="shared" si="969"/>
        <v>0</v>
      </c>
      <c r="BY140" s="257">
        <f t="shared" si="969"/>
        <v>0</v>
      </c>
      <c r="BZ140" s="257">
        <f t="shared" si="969"/>
        <v>0</v>
      </c>
      <c r="CA140" s="257">
        <f t="shared" si="969"/>
        <v>0</v>
      </c>
      <c r="CB140" s="257">
        <f t="shared" si="969"/>
        <v>0</v>
      </c>
      <c r="CC140" s="257">
        <f t="shared" si="969"/>
        <v>0</v>
      </c>
      <c r="CD140" s="257">
        <f t="shared" si="969"/>
        <v>0</v>
      </c>
      <c r="CE140" s="257">
        <f t="shared" si="969"/>
        <v>0</v>
      </c>
      <c r="CF140" s="257">
        <f t="shared" si="969"/>
        <v>0</v>
      </c>
      <c r="CG140" s="257">
        <f t="shared" si="969"/>
        <v>0</v>
      </c>
      <c r="CH140" s="257">
        <f t="shared" si="969"/>
        <v>0</v>
      </c>
      <c r="CI140" s="257">
        <f t="shared" si="969"/>
        <v>0</v>
      </c>
      <c r="CJ140" s="257">
        <f t="shared" si="969"/>
        <v>0</v>
      </c>
      <c r="CK140" s="257">
        <f t="shared" si="969"/>
        <v>0</v>
      </c>
      <c r="CL140" s="257">
        <f t="shared" si="969"/>
        <v>0</v>
      </c>
      <c r="CM140" s="257">
        <f t="shared" si="969"/>
        <v>0</v>
      </c>
      <c r="CN140" s="257">
        <f t="shared" si="969"/>
        <v>0</v>
      </c>
      <c r="CO140" s="257">
        <f t="shared" si="969"/>
        <v>0</v>
      </c>
      <c r="CP140" s="257">
        <f t="shared" si="969"/>
        <v>0</v>
      </c>
      <c r="CQ140" s="257">
        <f t="shared" si="969"/>
        <v>0</v>
      </c>
      <c r="CR140" s="257">
        <f t="shared" si="969"/>
        <v>0</v>
      </c>
      <c r="CS140" s="257">
        <f t="shared" si="969"/>
        <v>0</v>
      </c>
      <c r="CT140" s="257">
        <f t="shared" si="969"/>
        <v>0</v>
      </c>
      <c r="CU140" s="257">
        <f t="shared" si="969"/>
        <v>0</v>
      </c>
      <c r="CV140" s="257">
        <f t="shared" si="969"/>
        <v>0</v>
      </c>
      <c r="CW140" s="257">
        <f t="shared" si="969"/>
        <v>0</v>
      </c>
      <c r="CX140" s="257">
        <f t="shared" ref="CX140:EC140" si="970">IF(CX$56=0,$D22*$G22,IF(AND(CX$58&gt;=$H$16,CX$58&lt;=EOMONTH($H22,$I22-1)),($D22*(1-$G22))/$I22,0))</f>
        <v>0</v>
      </c>
      <c r="CY140" s="257">
        <f t="shared" si="970"/>
        <v>0</v>
      </c>
      <c r="CZ140" s="257">
        <f t="shared" si="970"/>
        <v>0</v>
      </c>
      <c r="DA140" s="257">
        <f t="shared" si="970"/>
        <v>0</v>
      </c>
      <c r="DB140" s="257">
        <f t="shared" si="970"/>
        <v>0</v>
      </c>
      <c r="DC140" s="257">
        <f t="shared" si="970"/>
        <v>0</v>
      </c>
      <c r="DD140" s="257">
        <f t="shared" si="970"/>
        <v>0</v>
      </c>
      <c r="DE140" s="257">
        <f t="shared" si="970"/>
        <v>0</v>
      </c>
      <c r="DF140" s="257">
        <f t="shared" si="970"/>
        <v>0</v>
      </c>
      <c r="DG140" s="257">
        <f t="shared" si="970"/>
        <v>0</v>
      </c>
      <c r="DH140" s="257">
        <f t="shared" si="970"/>
        <v>0</v>
      </c>
      <c r="DI140" s="257">
        <f t="shared" si="970"/>
        <v>0</v>
      </c>
      <c r="DJ140" s="257">
        <f t="shared" si="970"/>
        <v>0</v>
      </c>
      <c r="DK140" s="257">
        <f t="shared" si="970"/>
        <v>0</v>
      </c>
      <c r="DL140" s="257">
        <f t="shared" si="970"/>
        <v>0</v>
      </c>
      <c r="DM140" s="257">
        <f t="shared" si="970"/>
        <v>0</v>
      </c>
      <c r="DN140" s="257">
        <f t="shared" si="970"/>
        <v>0</v>
      </c>
      <c r="DO140" s="257">
        <f t="shared" si="970"/>
        <v>0</v>
      </c>
      <c r="DP140" s="257">
        <f t="shared" si="970"/>
        <v>0</v>
      </c>
      <c r="DQ140" s="257">
        <f t="shared" si="970"/>
        <v>0</v>
      </c>
      <c r="DR140" s="257">
        <f t="shared" si="970"/>
        <v>0</v>
      </c>
      <c r="DS140" s="257">
        <f t="shared" si="970"/>
        <v>0</v>
      </c>
      <c r="DT140" s="257">
        <f t="shared" si="970"/>
        <v>0</v>
      </c>
      <c r="DU140" s="257">
        <f t="shared" si="970"/>
        <v>0</v>
      </c>
      <c r="DV140" s="257">
        <f t="shared" si="970"/>
        <v>0</v>
      </c>
      <c r="DW140" s="257">
        <f t="shared" si="970"/>
        <v>0</v>
      </c>
      <c r="DX140" s="257">
        <f t="shared" si="970"/>
        <v>0</v>
      </c>
      <c r="DY140" s="257">
        <f t="shared" si="970"/>
        <v>0</v>
      </c>
      <c r="DZ140" s="257">
        <f t="shared" si="970"/>
        <v>0</v>
      </c>
      <c r="EA140" s="257">
        <f t="shared" si="970"/>
        <v>0</v>
      </c>
      <c r="EB140" s="257">
        <f t="shared" si="970"/>
        <v>0</v>
      </c>
      <c r="EC140" s="257">
        <f t="shared" si="970"/>
        <v>0</v>
      </c>
      <c r="ED140" s="257">
        <f t="shared" ref="ED140:FF140" si="971">IF(ED$56=0,$D22*$G22,IF(AND(ED$58&gt;=$H$16,ED$58&lt;=EOMONTH($H22,$I22-1)),($D22*(1-$G22))/$I22,0))</f>
        <v>0</v>
      </c>
      <c r="EE140" s="257">
        <f t="shared" si="971"/>
        <v>0</v>
      </c>
      <c r="EF140" s="257">
        <f t="shared" si="971"/>
        <v>0</v>
      </c>
      <c r="EG140" s="257">
        <f t="shared" si="971"/>
        <v>0</v>
      </c>
      <c r="EH140" s="257">
        <f t="shared" si="971"/>
        <v>0</v>
      </c>
      <c r="EI140" s="257">
        <f t="shared" si="971"/>
        <v>0</v>
      </c>
      <c r="EJ140" s="257">
        <f t="shared" si="971"/>
        <v>0</v>
      </c>
      <c r="EK140" s="257">
        <f t="shared" si="971"/>
        <v>0</v>
      </c>
      <c r="EL140" s="257">
        <f t="shared" si="971"/>
        <v>0</v>
      </c>
      <c r="EM140" s="257">
        <f t="shared" si="971"/>
        <v>0</v>
      </c>
      <c r="EN140" s="257">
        <f t="shared" si="971"/>
        <v>0</v>
      </c>
      <c r="EO140" s="257">
        <f t="shared" si="971"/>
        <v>0</v>
      </c>
      <c r="EP140" s="257">
        <f t="shared" si="971"/>
        <v>0</v>
      </c>
      <c r="EQ140" s="257">
        <f t="shared" si="971"/>
        <v>0</v>
      </c>
      <c r="ER140" s="257">
        <f t="shared" si="971"/>
        <v>0</v>
      </c>
      <c r="ES140" s="257">
        <f t="shared" si="971"/>
        <v>0</v>
      </c>
      <c r="ET140" s="257">
        <f t="shared" si="971"/>
        <v>0</v>
      </c>
      <c r="EU140" s="257">
        <f t="shared" si="971"/>
        <v>0</v>
      </c>
      <c r="EV140" s="257">
        <f t="shared" si="971"/>
        <v>0</v>
      </c>
      <c r="EW140" s="257">
        <f t="shared" si="971"/>
        <v>0</v>
      </c>
      <c r="EX140" s="257">
        <f t="shared" si="971"/>
        <v>0</v>
      </c>
      <c r="EY140" s="257">
        <f t="shared" si="971"/>
        <v>0</v>
      </c>
      <c r="EZ140" s="257">
        <f t="shared" si="971"/>
        <v>0</v>
      </c>
      <c r="FA140" s="257">
        <f t="shared" si="971"/>
        <v>0</v>
      </c>
      <c r="FB140" s="257">
        <f t="shared" si="971"/>
        <v>0</v>
      </c>
      <c r="FC140" s="257">
        <f t="shared" si="971"/>
        <v>0</v>
      </c>
      <c r="FD140" s="257">
        <f t="shared" si="971"/>
        <v>0</v>
      </c>
      <c r="FE140" s="257">
        <f t="shared" si="971"/>
        <v>0</v>
      </c>
      <c r="FF140" s="257">
        <f t="shared" si="971"/>
        <v>0</v>
      </c>
      <c r="FG140" s="328"/>
      <c r="FH140" s="257">
        <f t="shared" si="941"/>
        <v>0</v>
      </c>
      <c r="FI140" s="257">
        <f t="shared" si="941"/>
        <v>0</v>
      </c>
      <c r="FJ140" s="257">
        <f t="shared" si="941"/>
        <v>0</v>
      </c>
      <c r="FK140" s="257">
        <f t="shared" si="941"/>
        <v>0</v>
      </c>
      <c r="FL140" s="257">
        <f t="shared" si="941"/>
        <v>0</v>
      </c>
      <c r="FM140" s="257">
        <f t="shared" si="941"/>
        <v>0</v>
      </c>
      <c r="FN140" s="257">
        <f t="shared" si="941"/>
        <v>0</v>
      </c>
      <c r="FO140" s="257">
        <f t="shared" si="941"/>
        <v>0</v>
      </c>
      <c r="FP140" s="257">
        <f t="shared" si="941"/>
        <v>0</v>
      </c>
      <c r="FQ140" s="257">
        <f t="shared" si="941"/>
        <v>0</v>
      </c>
      <c r="FR140" s="257">
        <f t="shared" si="941"/>
        <v>0</v>
      </c>
      <c r="FS140" s="257">
        <f t="shared" si="941"/>
        <v>0</v>
      </c>
      <c r="FT140" s="257">
        <f t="shared" si="941"/>
        <v>0</v>
      </c>
      <c r="FU140" s="257">
        <f t="shared" si="941"/>
        <v>0</v>
      </c>
      <c r="FV140" s="328"/>
    </row>
    <row r="141" spans="1:204" s="77" customFormat="1" x14ac:dyDescent="0.2">
      <c r="C141" s="80" t="s">
        <v>42</v>
      </c>
      <c r="D141" s="128"/>
      <c r="E141" s="272">
        <f t="shared" si="935"/>
        <v>27000000</v>
      </c>
      <c r="F141" s="80">
        <f>SUM(F134:F140)</f>
        <v>25500000</v>
      </c>
      <c r="G141" s="80">
        <f t="shared" ref="G141:BR141" si="972">SUM(G134:G140)</f>
        <v>125000</v>
      </c>
      <c r="H141" s="80">
        <f t="shared" si="972"/>
        <v>125000</v>
      </c>
      <c r="I141" s="80">
        <f t="shared" si="972"/>
        <v>125000</v>
      </c>
      <c r="J141" s="80">
        <f t="shared" si="972"/>
        <v>125000</v>
      </c>
      <c r="K141" s="80">
        <f t="shared" si="972"/>
        <v>125000</v>
      </c>
      <c r="L141" s="80">
        <f t="shared" si="972"/>
        <v>125000</v>
      </c>
      <c r="M141" s="80">
        <f t="shared" si="972"/>
        <v>125000</v>
      </c>
      <c r="N141" s="80">
        <f t="shared" si="972"/>
        <v>125000</v>
      </c>
      <c r="O141" s="80">
        <f t="shared" si="972"/>
        <v>125000</v>
      </c>
      <c r="P141" s="80">
        <f t="shared" si="972"/>
        <v>125000</v>
      </c>
      <c r="Q141" s="80">
        <f t="shared" si="972"/>
        <v>125000</v>
      </c>
      <c r="R141" s="80">
        <f t="shared" si="972"/>
        <v>125000</v>
      </c>
      <c r="S141" s="80">
        <f t="shared" si="972"/>
        <v>0</v>
      </c>
      <c r="T141" s="80">
        <f t="shared" si="972"/>
        <v>0</v>
      </c>
      <c r="U141" s="80">
        <f t="shared" si="972"/>
        <v>0</v>
      </c>
      <c r="V141" s="80">
        <f t="shared" si="972"/>
        <v>0</v>
      </c>
      <c r="W141" s="80">
        <f t="shared" si="972"/>
        <v>0</v>
      </c>
      <c r="X141" s="80">
        <f t="shared" si="972"/>
        <v>0</v>
      </c>
      <c r="Y141" s="80">
        <f t="shared" si="972"/>
        <v>0</v>
      </c>
      <c r="Z141" s="80">
        <f t="shared" si="972"/>
        <v>0</v>
      </c>
      <c r="AA141" s="80">
        <f t="shared" si="972"/>
        <v>0</v>
      </c>
      <c r="AB141" s="80">
        <f t="shared" si="972"/>
        <v>0</v>
      </c>
      <c r="AC141" s="80">
        <f t="shared" si="972"/>
        <v>0</v>
      </c>
      <c r="AD141" s="80">
        <f t="shared" si="972"/>
        <v>0</v>
      </c>
      <c r="AE141" s="80">
        <f t="shared" si="972"/>
        <v>0</v>
      </c>
      <c r="AF141" s="80">
        <f t="shared" si="972"/>
        <v>0</v>
      </c>
      <c r="AG141" s="80">
        <f t="shared" si="972"/>
        <v>0</v>
      </c>
      <c r="AH141" s="80">
        <f t="shared" si="972"/>
        <v>0</v>
      </c>
      <c r="AI141" s="80">
        <f t="shared" si="972"/>
        <v>0</v>
      </c>
      <c r="AJ141" s="80">
        <f t="shared" si="972"/>
        <v>0</v>
      </c>
      <c r="AK141" s="80">
        <f t="shared" si="972"/>
        <v>0</v>
      </c>
      <c r="AL141" s="80">
        <f t="shared" si="972"/>
        <v>0</v>
      </c>
      <c r="AM141" s="80">
        <f t="shared" si="972"/>
        <v>0</v>
      </c>
      <c r="AN141" s="80">
        <f t="shared" si="972"/>
        <v>0</v>
      </c>
      <c r="AO141" s="80">
        <f t="shared" si="972"/>
        <v>0</v>
      </c>
      <c r="AP141" s="80">
        <f t="shared" si="972"/>
        <v>0</v>
      </c>
      <c r="AQ141" s="80">
        <f t="shared" si="972"/>
        <v>0</v>
      </c>
      <c r="AR141" s="80">
        <f t="shared" si="972"/>
        <v>0</v>
      </c>
      <c r="AS141" s="80">
        <f t="shared" si="972"/>
        <v>0</v>
      </c>
      <c r="AT141" s="80">
        <f t="shared" si="972"/>
        <v>0</v>
      </c>
      <c r="AU141" s="80">
        <f t="shared" si="972"/>
        <v>0</v>
      </c>
      <c r="AV141" s="80">
        <f t="shared" si="972"/>
        <v>0</v>
      </c>
      <c r="AW141" s="80">
        <f t="shared" si="972"/>
        <v>0</v>
      </c>
      <c r="AX141" s="80">
        <f t="shared" si="972"/>
        <v>0</v>
      </c>
      <c r="AY141" s="80">
        <f t="shared" si="972"/>
        <v>0</v>
      </c>
      <c r="AZ141" s="80">
        <f t="shared" si="972"/>
        <v>0</v>
      </c>
      <c r="BA141" s="80">
        <f t="shared" si="972"/>
        <v>0</v>
      </c>
      <c r="BB141" s="80">
        <f t="shared" si="972"/>
        <v>0</v>
      </c>
      <c r="BC141" s="80">
        <f t="shared" si="972"/>
        <v>0</v>
      </c>
      <c r="BD141" s="80">
        <f t="shared" si="972"/>
        <v>0</v>
      </c>
      <c r="BE141" s="80">
        <f t="shared" si="972"/>
        <v>0</v>
      </c>
      <c r="BF141" s="80">
        <f t="shared" si="972"/>
        <v>0</v>
      </c>
      <c r="BG141" s="80">
        <f t="shared" si="972"/>
        <v>0</v>
      </c>
      <c r="BH141" s="80">
        <f t="shared" si="972"/>
        <v>0</v>
      </c>
      <c r="BI141" s="80">
        <f t="shared" si="972"/>
        <v>0</v>
      </c>
      <c r="BJ141" s="80">
        <f t="shared" si="972"/>
        <v>0</v>
      </c>
      <c r="BK141" s="80">
        <f t="shared" si="972"/>
        <v>0</v>
      </c>
      <c r="BL141" s="80">
        <f t="shared" si="972"/>
        <v>0</v>
      </c>
      <c r="BM141" s="80">
        <f t="shared" si="972"/>
        <v>0</v>
      </c>
      <c r="BN141" s="80">
        <f t="shared" si="972"/>
        <v>0</v>
      </c>
      <c r="BO141" s="80">
        <f t="shared" si="972"/>
        <v>0</v>
      </c>
      <c r="BP141" s="80">
        <f t="shared" si="972"/>
        <v>0</v>
      </c>
      <c r="BQ141" s="80">
        <f t="shared" si="972"/>
        <v>0</v>
      </c>
      <c r="BR141" s="80">
        <f t="shared" si="972"/>
        <v>0</v>
      </c>
      <c r="BS141" s="80">
        <f t="shared" ref="BS141:ED141" si="973">SUM(BS134:BS140)</f>
        <v>0</v>
      </c>
      <c r="BT141" s="80">
        <f t="shared" si="973"/>
        <v>0</v>
      </c>
      <c r="BU141" s="80">
        <f t="shared" si="973"/>
        <v>0</v>
      </c>
      <c r="BV141" s="80">
        <f t="shared" si="973"/>
        <v>0</v>
      </c>
      <c r="BW141" s="80">
        <f t="shared" si="973"/>
        <v>0</v>
      </c>
      <c r="BX141" s="80">
        <f t="shared" si="973"/>
        <v>0</v>
      </c>
      <c r="BY141" s="80">
        <f t="shared" si="973"/>
        <v>0</v>
      </c>
      <c r="BZ141" s="80">
        <f t="shared" si="973"/>
        <v>0</v>
      </c>
      <c r="CA141" s="80">
        <f t="shared" si="973"/>
        <v>0</v>
      </c>
      <c r="CB141" s="80">
        <f t="shared" si="973"/>
        <v>0</v>
      </c>
      <c r="CC141" s="80">
        <f t="shared" si="973"/>
        <v>0</v>
      </c>
      <c r="CD141" s="80">
        <f t="shared" si="973"/>
        <v>0</v>
      </c>
      <c r="CE141" s="80">
        <f t="shared" si="973"/>
        <v>0</v>
      </c>
      <c r="CF141" s="80">
        <f t="shared" si="973"/>
        <v>0</v>
      </c>
      <c r="CG141" s="80">
        <f t="shared" si="973"/>
        <v>0</v>
      </c>
      <c r="CH141" s="80">
        <f t="shared" si="973"/>
        <v>0</v>
      </c>
      <c r="CI141" s="80">
        <f t="shared" si="973"/>
        <v>0</v>
      </c>
      <c r="CJ141" s="80">
        <f t="shared" si="973"/>
        <v>0</v>
      </c>
      <c r="CK141" s="80">
        <f t="shared" si="973"/>
        <v>0</v>
      </c>
      <c r="CL141" s="80">
        <f t="shared" si="973"/>
        <v>0</v>
      </c>
      <c r="CM141" s="80">
        <f t="shared" si="973"/>
        <v>0</v>
      </c>
      <c r="CN141" s="80">
        <f t="shared" si="973"/>
        <v>0</v>
      </c>
      <c r="CO141" s="80">
        <f t="shared" si="973"/>
        <v>0</v>
      </c>
      <c r="CP141" s="80">
        <f t="shared" si="973"/>
        <v>0</v>
      </c>
      <c r="CQ141" s="80">
        <f t="shared" si="973"/>
        <v>0</v>
      </c>
      <c r="CR141" s="80">
        <f t="shared" si="973"/>
        <v>0</v>
      </c>
      <c r="CS141" s="80">
        <f t="shared" si="973"/>
        <v>0</v>
      </c>
      <c r="CT141" s="80">
        <f t="shared" si="973"/>
        <v>0</v>
      </c>
      <c r="CU141" s="80">
        <f t="shared" si="973"/>
        <v>0</v>
      </c>
      <c r="CV141" s="80">
        <f t="shared" si="973"/>
        <v>0</v>
      </c>
      <c r="CW141" s="80">
        <f t="shared" si="973"/>
        <v>0</v>
      </c>
      <c r="CX141" s="80">
        <f t="shared" si="973"/>
        <v>0</v>
      </c>
      <c r="CY141" s="80">
        <f t="shared" si="973"/>
        <v>0</v>
      </c>
      <c r="CZ141" s="80">
        <f t="shared" si="973"/>
        <v>0</v>
      </c>
      <c r="DA141" s="80">
        <f t="shared" si="973"/>
        <v>0</v>
      </c>
      <c r="DB141" s="80">
        <f t="shared" si="973"/>
        <v>0</v>
      </c>
      <c r="DC141" s="80">
        <f t="shared" si="973"/>
        <v>0</v>
      </c>
      <c r="DD141" s="80">
        <f t="shared" si="973"/>
        <v>0</v>
      </c>
      <c r="DE141" s="80">
        <f t="shared" si="973"/>
        <v>0</v>
      </c>
      <c r="DF141" s="80">
        <f t="shared" si="973"/>
        <v>0</v>
      </c>
      <c r="DG141" s="80">
        <f t="shared" si="973"/>
        <v>0</v>
      </c>
      <c r="DH141" s="80">
        <f t="shared" si="973"/>
        <v>0</v>
      </c>
      <c r="DI141" s="80">
        <f t="shared" si="973"/>
        <v>0</v>
      </c>
      <c r="DJ141" s="80">
        <f t="shared" si="973"/>
        <v>0</v>
      </c>
      <c r="DK141" s="80">
        <f t="shared" si="973"/>
        <v>0</v>
      </c>
      <c r="DL141" s="80">
        <f t="shared" si="973"/>
        <v>0</v>
      </c>
      <c r="DM141" s="80">
        <f t="shared" si="973"/>
        <v>0</v>
      </c>
      <c r="DN141" s="80">
        <f t="shared" si="973"/>
        <v>0</v>
      </c>
      <c r="DO141" s="80">
        <f t="shared" si="973"/>
        <v>0</v>
      </c>
      <c r="DP141" s="80">
        <f t="shared" si="973"/>
        <v>0</v>
      </c>
      <c r="DQ141" s="80">
        <f t="shared" si="973"/>
        <v>0</v>
      </c>
      <c r="DR141" s="80">
        <f t="shared" si="973"/>
        <v>0</v>
      </c>
      <c r="DS141" s="80">
        <f t="shared" si="973"/>
        <v>0</v>
      </c>
      <c r="DT141" s="80">
        <f t="shared" si="973"/>
        <v>0</v>
      </c>
      <c r="DU141" s="80">
        <f t="shared" si="973"/>
        <v>0</v>
      </c>
      <c r="DV141" s="80">
        <f t="shared" si="973"/>
        <v>0</v>
      </c>
      <c r="DW141" s="80">
        <f t="shared" si="973"/>
        <v>0</v>
      </c>
      <c r="DX141" s="80">
        <f t="shared" si="973"/>
        <v>0</v>
      </c>
      <c r="DY141" s="80">
        <f t="shared" si="973"/>
        <v>0</v>
      </c>
      <c r="DZ141" s="80">
        <f t="shared" si="973"/>
        <v>0</v>
      </c>
      <c r="EA141" s="80">
        <f t="shared" si="973"/>
        <v>0</v>
      </c>
      <c r="EB141" s="80">
        <f t="shared" si="973"/>
        <v>0</v>
      </c>
      <c r="EC141" s="80">
        <f t="shared" si="973"/>
        <v>0</v>
      </c>
      <c r="ED141" s="80">
        <f t="shared" si="973"/>
        <v>0</v>
      </c>
      <c r="EE141" s="80">
        <f t="shared" ref="EE141:FC141" si="974">SUM(EE134:EE140)</f>
        <v>0</v>
      </c>
      <c r="EF141" s="80">
        <f t="shared" si="974"/>
        <v>0</v>
      </c>
      <c r="EG141" s="80">
        <f t="shared" si="974"/>
        <v>0</v>
      </c>
      <c r="EH141" s="80">
        <f t="shared" si="974"/>
        <v>0</v>
      </c>
      <c r="EI141" s="80">
        <f t="shared" si="974"/>
        <v>0</v>
      </c>
      <c r="EJ141" s="80">
        <f t="shared" si="974"/>
        <v>0</v>
      </c>
      <c r="EK141" s="80">
        <f t="shared" si="974"/>
        <v>0</v>
      </c>
      <c r="EL141" s="80">
        <f t="shared" si="974"/>
        <v>0</v>
      </c>
      <c r="EM141" s="80">
        <f t="shared" si="974"/>
        <v>0</v>
      </c>
      <c r="EN141" s="80">
        <f t="shared" si="974"/>
        <v>0</v>
      </c>
      <c r="EO141" s="80">
        <f t="shared" si="974"/>
        <v>0</v>
      </c>
      <c r="EP141" s="80">
        <f t="shared" si="974"/>
        <v>0</v>
      </c>
      <c r="EQ141" s="80">
        <f t="shared" si="974"/>
        <v>0</v>
      </c>
      <c r="ER141" s="80">
        <f t="shared" si="974"/>
        <v>0</v>
      </c>
      <c r="ES141" s="80">
        <f t="shared" si="974"/>
        <v>0</v>
      </c>
      <c r="ET141" s="80">
        <f t="shared" si="974"/>
        <v>0</v>
      </c>
      <c r="EU141" s="80">
        <f t="shared" si="974"/>
        <v>0</v>
      </c>
      <c r="EV141" s="80">
        <f t="shared" si="974"/>
        <v>0</v>
      </c>
      <c r="EW141" s="80">
        <f t="shared" si="974"/>
        <v>0</v>
      </c>
      <c r="EX141" s="80">
        <f t="shared" si="974"/>
        <v>0</v>
      </c>
      <c r="EY141" s="80">
        <f t="shared" si="974"/>
        <v>0</v>
      </c>
      <c r="EZ141" s="80">
        <f t="shared" si="974"/>
        <v>0</v>
      </c>
      <c r="FA141" s="80">
        <f t="shared" si="974"/>
        <v>0</v>
      </c>
      <c r="FB141" s="80">
        <f t="shared" si="974"/>
        <v>0</v>
      </c>
      <c r="FC141" s="80">
        <f t="shared" si="974"/>
        <v>0</v>
      </c>
      <c r="FD141" s="80">
        <f t="shared" ref="FD141:FE141" si="975">SUM(FD134:FD140)</f>
        <v>0</v>
      </c>
      <c r="FE141" s="80">
        <f t="shared" si="975"/>
        <v>0</v>
      </c>
      <c r="FF141" s="80">
        <f t="shared" ref="FF141" si="976">SUM(FF134:FF140)</f>
        <v>0</v>
      </c>
      <c r="FG141" s="288"/>
      <c r="FH141" s="80">
        <f t="shared" si="941"/>
        <v>26375000</v>
      </c>
      <c r="FI141" s="80">
        <f t="shared" si="941"/>
        <v>625000</v>
      </c>
      <c r="FJ141" s="80">
        <f t="shared" si="941"/>
        <v>0</v>
      </c>
      <c r="FK141" s="80">
        <f t="shared" si="941"/>
        <v>0</v>
      </c>
      <c r="FL141" s="80">
        <f t="shared" si="941"/>
        <v>0</v>
      </c>
      <c r="FM141" s="80">
        <f t="shared" si="941"/>
        <v>0</v>
      </c>
      <c r="FN141" s="80">
        <f t="shared" si="941"/>
        <v>0</v>
      </c>
      <c r="FO141" s="80">
        <f t="shared" si="941"/>
        <v>0</v>
      </c>
      <c r="FP141" s="80">
        <f t="shared" si="941"/>
        <v>0</v>
      </c>
      <c r="FQ141" s="80">
        <f t="shared" si="941"/>
        <v>0</v>
      </c>
      <c r="FR141" s="80">
        <f t="shared" si="941"/>
        <v>0</v>
      </c>
      <c r="FS141" s="80">
        <f t="shared" si="941"/>
        <v>0</v>
      </c>
      <c r="FT141" s="80">
        <f t="shared" si="941"/>
        <v>0</v>
      </c>
      <c r="FU141" s="80">
        <f t="shared" si="941"/>
        <v>0</v>
      </c>
      <c r="FV141" s="288"/>
    </row>
    <row r="142" spans="1:204" x14ac:dyDescent="0.2">
      <c r="B142" s="47"/>
      <c r="F142" s="258"/>
    </row>
    <row r="143" spans="1:204" s="277" customFormat="1" collapsed="1" x14ac:dyDescent="0.2">
      <c r="C143" s="274" t="s">
        <v>110</v>
      </c>
      <c r="D143" s="275"/>
      <c r="E143" s="276">
        <f ca="1">SUM(F143:FF143)</f>
        <v>28164511.489046507</v>
      </c>
      <c r="F143" s="274">
        <f t="shared" ref="F143:AK143" ca="1" si="977">(F56&lt;=$I$12)*SUM(F121,F131,-F141)</f>
        <v>-25500000</v>
      </c>
      <c r="G143" s="274">
        <f t="shared" ca="1" si="977"/>
        <v>25434.016746746813</v>
      </c>
      <c r="H143" s="274">
        <f t="shared" ca="1" si="977"/>
        <v>25810.101788613742</v>
      </c>
      <c r="I143" s="274">
        <f t="shared" ca="1" si="977"/>
        <v>26187.12704308526</v>
      </c>
      <c r="J143" s="274">
        <f t="shared" ca="1" si="977"/>
        <v>26565.094860692945</v>
      </c>
      <c r="K143" s="274">
        <f t="shared" ca="1" si="977"/>
        <v>26944.00759784464</v>
      </c>
      <c r="L143" s="274">
        <f t="shared" ca="1" si="977"/>
        <v>27323.867616839241</v>
      </c>
      <c r="M143" s="274">
        <f t="shared" ca="1" si="977"/>
        <v>27704.677285881335</v>
      </c>
      <c r="N143" s="274">
        <f t="shared" ca="1" si="977"/>
        <v>28086.438979096041</v>
      </c>
      <c r="O143" s="274">
        <f t="shared" ca="1" si="977"/>
        <v>28469.155076543742</v>
      </c>
      <c r="P143" s="274">
        <f t="shared" ca="1" si="977"/>
        <v>28852.827964235126</v>
      </c>
      <c r="Q143" s="274">
        <f t="shared" ca="1" si="977"/>
        <v>29237.460034145683</v>
      </c>
      <c r="R143" s="274">
        <f t="shared" ca="1" si="977"/>
        <v>29623.053684231098</v>
      </c>
      <c r="S143" s="274">
        <f t="shared" ca="1" si="977"/>
        <v>155009.61131844157</v>
      </c>
      <c r="T143" s="274">
        <f t="shared" ca="1" si="977"/>
        <v>155397.13534673772</v>
      </c>
      <c r="U143" s="274">
        <f t="shared" ca="1" si="977"/>
        <v>155785.62818510461</v>
      </c>
      <c r="V143" s="274">
        <f t="shared" ca="1" si="977"/>
        <v>156175.09225556732</v>
      </c>
      <c r="W143" s="274">
        <f t="shared" ca="1" si="977"/>
        <v>156565.52998620624</v>
      </c>
      <c r="X143" s="274">
        <f t="shared" ca="1" si="977"/>
        <v>156956.94381117178</v>
      </c>
      <c r="Y143" s="274">
        <f t="shared" ca="1" si="977"/>
        <v>157349.33617069965</v>
      </c>
      <c r="Z143" s="274">
        <f t="shared" ca="1" si="977"/>
        <v>157742.70951112639</v>
      </c>
      <c r="AA143" s="274">
        <f t="shared" ca="1" si="977"/>
        <v>158137.06628490423</v>
      </c>
      <c r="AB143" s="274">
        <f t="shared" ca="1" si="977"/>
        <v>158532.40895061652</v>
      </c>
      <c r="AC143" s="274">
        <f t="shared" ca="1" si="977"/>
        <v>158928.73997299303</v>
      </c>
      <c r="AD143" s="274">
        <f t="shared" ca="1" si="977"/>
        <v>159326.06182292546</v>
      </c>
      <c r="AE143" s="274">
        <f t="shared" ca="1" si="977"/>
        <v>159724.37697748281</v>
      </c>
      <c r="AF143" s="274">
        <f t="shared" ca="1" si="977"/>
        <v>160123.68791992648</v>
      </c>
      <c r="AG143" s="274">
        <f t="shared" ca="1" si="977"/>
        <v>160523.99713972627</v>
      </c>
      <c r="AH143" s="274">
        <f t="shared" ca="1" si="977"/>
        <v>160925.30713257557</v>
      </c>
      <c r="AI143" s="274">
        <f t="shared" ca="1" si="977"/>
        <v>161327.62040040697</v>
      </c>
      <c r="AJ143" s="274">
        <f t="shared" ca="1" si="977"/>
        <v>161730.93945140796</v>
      </c>
      <c r="AK143" s="274">
        <f t="shared" ca="1" si="977"/>
        <v>162135.26680003648</v>
      </c>
      <c r="AL143" s="274">
        <f t="shared" ref="AL143:BQ143" ca="1" si="978">(AL56&lt;=$I$12)*SUM(AL121,AL131,-AL141)</f>
        <v>162540.60496703663</v>
      </c>
      <c r="AM143" s="274">
        <f t="shared" ca="1" si="978"/>
        <v>162946.95647945418</v>
      </c>
      <c r="AN143" s="274">
        <f t="shared" ca="1" si="978"/>
        <v>163354.32387065282</v>
      </c>
      <c r="AO143" s="274">
        <f t="shared" ca="1" si="978"/>
        <v>163762.7096803294</v>
      </c>
      <c r="AP143" s="274">
        <f t="shared" ca="1" si="978"/>
        <v>164172.11645453025</v>
      </c>
      <c r="AQ143" s="274">
        <f t="shared" ca="1" si="978"/>
        <v>164582.54674566654</v>
      </c>
      <c r="AR143" s="274">
        <f t="shared" ca="1" si="978"/>
        <v>164994.00311253069</v>
      </c>
      <c r="AS143" s="274">
        <f t="shared" ca="1" si="978"/>
        <v>165406.48812031196</v>
      </c>
      <c r="AT143" s="274">
        <f t="shared" ca="1" si="978"/>
        <v>165820.00434061282</v>
      </c>
      <c r="AU143" s="274">
        <f t="shared" ca="1" si="978"/>
        <v>166234.55435146429</v>
      </c>
      <c r="AV143" s="274">
        <f t="shared" ca="1" si="978"/>
        <v>166650.140737343</v>
      </c>
      <c r="AW143" s="274">
        <f t="shared" ca="1" si="978"/>
        <v>167066.76608918633</v>
      </c>
      <c r="AX143" s="274">
        <f t="shared" ca="1" si="978"/>
        <v>167484.43300440931</v>
      </c>
      <c r="AY143" s="274">
        <f t="shared" ca="1" si="978"/>
        <v>167903.14408692031</v>
      </c>
      <c r="AZ143" s="274">
        <f t="shared" ca="1" si="978"/>
        <v>168322.90194713761</v>
      </c>
      <c r="BA143" s="274">
        <f t="shared" ca="1" si="978"/>
        <v>168743.70920200544</v>
      </c>
      <c r="BB143" s="274">
        <f t="shared" ca="1" si="978"/>
        <v>169165.56847501048</v>
      </c>
      <c r="BC143" s="274">
        <f t="shared" ca="1" si="978"/>
        <v>169588.48239619797</v>
      </c>
      <c r="BD143" s="274">
        <f t="shared" ca="1" si="978"/>
        <v>170012.45360218847</v>
      </c>
      <c r="BE143" s="274">
        <f t="shared" ca="1" si="978"/>
        <v>170437.48473619396</v>
      </c>
      <c r="BF143" s="274">
        <f t="shared" ca="1" si="978"/>
        <v>170863.57844803447</v>
      </c>
      <c r="BG143" s="274">
        <f t="shared" ca="1" si="978"/>
        <v>171290.73739415451</v>
      </c>
      <c r="BH143" s="274">
        <f t="shared" ca="1" si="978"/>
        <v>171718.96423763991</v>
      </c>
      <c r="BI143" s="274">
        <f t="shared" ca="1" si="978"/>
        <v>172148.26164823401</v>
      </c>
      <c r="BJ143" s="274">
        <f t="shared" ca="1" si="978"/>
        <v>172578.63230235458</v>
      </c>
      <c r="BK143" s="274">
        <f t="shared" ca="1" si="978"/>
        <v>173010.07888311043</v>
      </c>
      <c r="BL143" s="274">
        <f t="shared" ca="1" si="978"/>
        <v>173442.60408031821</v>
      </c>
      <c r="BM143" s="274">
        <f t="shared" ca="1" si="978"/>
        <v>173876.21059051898</v>
      </c>
      <c r="BN143" s="274">
        <f t="shared" ca="1" si="978"/>
        <v>174310.90111699529</v>
      </c>
      <c r="BO143" s="274">
        <f t="shared" ca="1" si="978"/>
        <v>174746.67836978781</v>
      </c>
      <c r="BP143" s="274">
        <f t="shared" ca="1" si="978"/>
        <v>175183.54506571221</v>
      </c>
      <c r="BQ143" s="274">
        <f t="shared" ca="1" si="978"/>
        <v>175621.50392837648</v>
      </c>
      <c r="BR143" s="274">
        <f t="shared" ref="BR143:CW143" ca="1" si="979">(BR56&lt;=$I$12)*SUM(BR121,BR131,-BR141)</f>
        <v>176060.55768819744</v>
      </c>
      <c r="BS143" s="274">
        <f t="shared" ca="1" si="979"/>
        <v>176500.70908241789</v>
      </c>
      <c r="BT143" s="274">
        <f t="shared" ca="1" si="979"/>
        <v>176941.96085512394</v>
      </c>
      <c r="BU143" s="274">
        <f t="shared" ca="1" si="979"/>
        <v>177384.31575726182</v>
      </c>
      <c r="BV143" s="274">
        <f t="shared" ca="1" si="979"/>
        <v>177827.7765466549</v>
      </c>
      <c r="BW143" s="274">
        <f t="shared" ca="1" si="979"/>
        <v>178272.34598802152</v>
      </c>
      <c r="BX143" s="274">
        <f t="shared" ca="1" si="979"/>
        <v>178718.02685299164</v>
      </c>
      <c r="BY143" s="274">
        <f t="shared" ca="1" si="979"/>
        <v>179164.82192012403</v>
      </c>
      <c r="BZ143" s="274">
        <f t="shared" ca="1" si="979"/>
        <v>179612.73397492437</v>
      </c>
      <c r="CA143" s="274">
        <f t="shared" ca="1" si="979"/>
        <v>180061.76580986162</v>
      </c>
      <c r="CB143" s="274">
        <f t="shared" ca="1" si="979"/>
        <v>180511.92022438627</v>
      </c>
      <c r="CC143" s="274">
        <f t="shared" ca="1" si="979"/>
        <v>180963.2000249472</v>
      </c>
      <c r="CD143" s="274">
        <f t="shared" ca="1" si="979"/>
        <v>181415.6080250096</v>
      </c>
      <c r="CE143" s="274">
        <f t="shared" ca="1" si="979"/>
        <v>181869.14704507211</v>
      </c>
      <c r="CF143" s="274">
        <f t="shared" ca="1" si="979"/>
        <v>182323.8199126847</v>
      </c>
      <c r="CG143" s="274">
        <f t="shared" ca="1" si="979"/>
        <v>182779.62946246646</v>
      </c>
      <c r="CH143" s="274">
        <f t="shared" ca="1" si="979"/>
        <v>183236.5785361226</v>
      </c>
      <c r="CI143" s="274">
        <f t="shared" ca="1" si="979"/>
        <v>183694.66998246289</v>
      </c>
      <c r="CJ143" s="274">
        <f t="shared" ca="1" si="979"/>
        <v>184153.90665741902</v>
      </c>
      <c r="CK143" s="274">
        <f t="shared" ca="1" si="979"/>
        <v>184614.29142406251</v>
      </c>
      <c r="CL143" s="274">
        <f t="shared" ca="1" si="979"/>
        <v>185075.82715262269</v>
      </c>
      <c r="CM143" s="274">
        <f t="shared" ca="1" si="979"/>
        <v>185538.51672050427</v>
      </c>
      <c r="CN143" s="274">
        <f t="shared" ca="1" si="979"/>
        <v>186002.36301230552</v>
      </c>
      <c r="CO143" s="274">
        <f t="shared" ca="1" si="979"/>
        <v>186467.36891983627</v>
      </c>
      <c r="CP143" s="274">
        <f t="shared" ca="1" si="979"/>
        <v>186933.53734213588</v>
      </c>
      <c r="CQ143" s="274">
        <f t="shared" ca="1" si="979"/>
        <v>187400.87118549112</v>
      </c>
      <c r="CR143" s="274">
        <f t="shared" ca="1" si="979"/>
        <v>187869.37336345488</v>
      </c>
      <c r="CS143" s="274">
        <f t="shared" ca="1" si="979"/>
        <v>188339.0467968634</v>
      </c>
      <c r="CT143" s="274">
        <f t="shared" ca="1" si="979"/>
        <v>188809.89441385563</v>
      </c>
      <c r="CU143" s="274">
        <f t="shared" ca="1" si="979"/>
        <v>189281.91914989025</v>
      </c>
      <c r="CV143" s="274">
        <f t="shared" ca="1" si="979"/>
        <v>189755.12394776498</v>
      </c>
      <c r="CW143" s="274">
        <f t="shared" ca="1" si="979"/>
        <v>190229.51175763435</v>
      </c>
      <c r="CX143" s="274">
        <f t="shared" ref="CX143:EC143" ca="1" si="980">(CX56&lt;=$I$12)*SUM(CX121,CX131,-CX141)</f>
        <v>39056083.972933501</v>
      </c>
      <c r="CY143" s="274">
        <f t="shared" ca="1" si="980"/>
        <v>0</v>
      </c>
      <c r="CZ143" s="274">
        <f t="shared" ca="1" si="980"/>
        <v>0</v>
      </c>
      <c r="DA143" s="274">
        <f t="shared" ca="1" si="980"/>
        <v>0</v>
      </c>
      <c r="DB143" s="274">
        <f t="shared" ca="1" si="980"/>
        <v>0</v>
      </c>
      <c r="DC143" s="274">
        <f t="shared" ca="1" si="980"/>
        <v>0</v>
      </c>
      <c r="DD143" s="274">
        <f t="shared" ca="1" si="980"/>
        <v>0</v>
      </c>
      <c r="DE143" s="274">
        <f t="shared" ca="1" si="980"/>
        <v>0</v>
      </c>
      <c r="DF143" s="274">
        <f t="shared" ca="1" si="980"/>
        <v>0</v>
      </c>
      <c r="DG143" s="274">
        <f t="shared" ca="1" si="980"/>
        <v>0</v>
      </c>
      <c r="DH143" s="274">
        <f t="shared" ca="1" si="980"/>
        <v>0</v>
      </c>
      <c r="DI143" s="274">
        <f t="shared" ca="1" si="980"/>
        <v>0</v>
      </c>
      <c r="DJ143" s="274">
        <f t="shared" ca="1" si="980"/>
        <v>0</v>
      </c>
      <c r="DK143" s="274">
        <f t="shared" ca="1" si="980"/>
        <v>0</v>
      </c>
      <c r="DL143" s="274">
        <f t="shared" ca="1" si="980"/>
        <v>0</v>
      </c>
      <c r="DM143" s="274">
        <f t="shared" ca="1" si="980"/>
        <v>0</v>
      </c>
      <c r="DN143" s="274">
        <f t="shared" ca="1" si="980"/>
        <v>0</v>
      </c>
      <c r="DO143" s="274">
        <f t="shared" ca="1" si="980"/>
        <v>0</v>
      </c>
      <c r="DP143" s="274">
        <f t="shared" ca="1" si="980"/>
        <v>0</v>
      </c>
      <c r="DQ143" s="274">
        <f t="shared" ca="1" si="980"/>
        <v>0</v>
      </c>
      <c r="DR143" s="274">
        <f t="shared" ca="1" si="980"/>
        <v>0</v>
      </c>
      <c r="DS143" s="274">
        <f t="shared" ca="1" si="980"/>
        <v>0</v>
      </c>
      <c r="DT143" s="274">
        <f t="shared" ca="1" si="980"/>
        <v>0</v>
      </c>
      <c r="DU143" s="274">
        <f t="shared" ca="1" si="980"/>
        <v>0</v>
      </c>
      <c r="DV143" s="274">
        <f t="shared" ca="1" si="980"/>
        <v>0</v>
      </c>
      <c r="DW143" s="274">
        <f t="shared" ca="1" si="980"/>
        <v>0</v>
      </c>
      <c r="DX143" s="274">
        <f t="shared" ca="1" si="980"/>
        <v>0</v>
      </c>
      <c r="DY143" s="274">
        <f t="shared" ca="1" si="980"/>
        <v>0</v>
      </c>
      <c r="DZ143" s="274">
        <f t="shared" ca="1" si="980"/>
        <v>0</v>
      </c>
      <c r="EA143" s="274">
        <f t="shared" ca="1" si="980"/>
        <v>0</v>
      </c>
      <c r="EB143" s="274">
        <f t="shared" ca="1" si="980"/>
        <v>0</v>
      </c>
      <c r="EC143" s="274">
        <f t="shared" ca="1" si="980"/>
        <v>0</v>
      </c>
      <c r="ED143" s="274">
        <f t="shared" ref="ED143:FF143" ca="1" si="981">(ED56&lt;=$I$12)*SUM(ED121,ED131,-ED141)</f>
        <v>0</v>
      </c>
      <c r="EE143" s="274">
        <f t="shared" ca="1" si="981"/>
        <v>0</v>
      </c>
      <c r="EF143" s="274">
        <f t="shared" ca="1" si="981"/>
        <v>0</v>
      </c>
      <c r="EG143" s="274">
        <f t="shared" ca="1" si="981"/>
        <v>0</v>
      </c>
      <c r="EH143" s="274">
        <f t="shared" ca="1" si="981"/>
        <v>0</v>
      </c>
      <c r="EI143" s="274">
        <f t="shared" ca="1" si="981"/>
        <v>0</v>
      </c>
      <c r="EJ143" s="274">
        <f t="shared" ca="1" si="981"/>
        <v>0</v>
      </c>
      <c r="EK143" s="274">
        <f t="shared" ca="1" si="981"/>
        <v>0</v>
      </c>
      <c r="EL143" s="274">
        <f t="shared" ca="1" si="981"/>
        <v>0</v>
      </c>
      <c r="EM143" s="274">
        <f t="shared" ca="1" si="981"/>
        <v>0</v>
      </c>
      <c r="EN143" s="274">
        <f t="shared" ca="1" si="981"/>
        <v>0</v>
      </c>
      <c r="EO143" s="274">
        <f t="shared" ca="1" si="981"/>
        <v>0</v>
      </c>
      <c r="EP143" s="274">
        <f t="shared" ca="1" si="981"/>
        <v>0</v>
      </c>
      <c r="EQ143" s="274">
        <f t="shared" ca="1" si="981"/>
        <v>0</v>
      </c>
      <c r="ER143" s="274">
        <f t="shared" ca="1" si="981"/>
        <v>0</v>
      </c>
      <c r="ES143" s="274">
        <f t="shared" ca="1" si="981"/>
        <v>0</v>
      </c>
      <c r="ET143" s="274">
        <f t="shared" ca="1" si="981"/>
        <v>0</v>
      </c>
      <c r="EU143" s="274">
        <f t="shared" ca="1" si="981"/>
        <v>0</v>
      </c>
      <c r="EV143" s="274">
        <f t="shared" ca="1" si="981"/>
        <v>0</v>
      </c>
      <c r="EW143" s="274">
        <f t="shared" ca="1" si="981"/>
        <v>0</v>
      </c>
      <c r="EX143" s="274">
        <f t="shared" ca="1" si="981"/>
        <v>0</v>
      </c>
      <c r="EY143" s="274">
        <f t="shared" ca="1" si="981"/>
        <v>0</v>
      </c>
      <c r="EZ143" s="274">
        <f t="shared" ca="1" si="981"/>
        <v>0</v>
      </c>
      <c r="FA143" s="274">
        <f t="shared" ca="1" si="981"/>
        <v>0</v>
      </c>
      <c r="FB143" s="274">
        <f t="shared" ca="1" si="981"/>
        <v>0</v>
      </c>
      <c r="FC143" s="274">
        <f t="shared" ca="1" si="981"/>
        <v>0</v>
      </c>
      <c r="FD143" s="274">
        <f t="shared" ca="1" si="981"/>
        <v>0</v>
      </c>
      <c r="FE143" s="274">
        <f t="shared" ca="1" si="981"/>
        <v>0</v>
      </c>
      <c r="FF143" s="274">
        <f t="shared" ca="1" si="981"/>
        <v>0</v>
      </c>
      <c r="FG143" s="288"/>
      <c r="FH143" s="274">
        <f ca="1">SUMIF($F$57:$FF$57,FH$57,$F143:$FF143)</f>
        <v>-25314031.107060295</v>
      </c>
      <c r="FI143" s="274">
        <f t="shared" ref="FI143:FU143" ca="1" si="982">SUMIF($F$57:$FF$57,FI$57,$F143:$FF143)</f>
        <v>1237508.2128121804</v>
      </c>
      <c r="FJ143" s="274">
        <f t="shared" ca="1" si="982"/>
        <v>1919158.1823641281</v>
      </c>
      <c r="FK143" s="274">
        <f t="shared" ca="1" si="982"/>
        <v>1977531.2149491191</v>
      </c>
      <c r="FL143" s="274">
        <f t="shared" ca="1" si="982"/>
        <v>2037679.7191781264</v>
      </c>
      <c r="FM143" s="274">
        <f t="shared" ca="1" si="982"/>
        <v>2099657.6977201747</v>
      </c>
      <c r="FN143" s="274">
        <f t="shared" ca="1" si="982"/>
        <v>2163520.7957871445</v>
      </c>
      <c r="FO143" s="274">
        <f t="shared" ca="1" si="982"/>
        <v>2229326.3510932806</v>
      </c>
      <c r="FP143" s="274">
        <f t="shared" ca="1" si="982"/>
        <v>39814160.422202647</v>
      </c>
      <c r="FQ143" s="274">
        <f t="shared" ca="1" si="982"/>
        <v>0</v>
      </c>
      <c r="FR143" s="274">
        <f t="shared" ca="1" si="982"/>
        <v>0</v>
      </c>
      <c r="FS143" s="274">
        <f t="shared" ca="1" si="982"/>
        <v>0</v>
      </c>
      <c r="FT143" s="274">
        <f t="shared" ca="1" si="982"/>
        <v>0</v>
      </c>
      <c r="FU143" s="274">
        <f t="shared" ca="1" si="982"/>
        <v>0</v>
      </c>
      <c r="FV143" s="288"/>
    </row>
    <row r="144" spans="1:204" x14ac:dyDescent="0.2">
      <c r="B144" s="47"/>
      <c r="F144" s="259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32"/>
      <c r="AQ144" s="232"/>
      <c r="AR144" s="232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232"/>
      <c r="BH144" s="232"/>
      <c r="BI144" s="232"/>
      <c r="BJ144" s="232"/>
      <c r="BK144" s="232"/>
      <c r="BL144" s="232"/>
      <c r="BM144" s="232"/>
      <c r="BN144" s="232"/>
      <c r="BO144" s="232"/>
      <c r="BP144" s="232"/>
      <c r="BQ144" s="232"/>
      <c r="BR144" s="232"/>
      <c r="BS144" s="232"/>
      <c r="BT144" s="232"/>
      <c r="BU144" s="232"/>
      <c r="BV144" s="232"/>
      <c r="BW144" s="232"/>
      <c r="BX144" s="232"/>
      <c r="BY144" s="232"/>
      <c r="BZ144" s="232"/>
      <c r="CA144" s="232"/>
      <c r="CB144" s="232"/>
      <c r="CC144" s="232"/>
      <c r="CD144" s="232"/>
      <c r="CE144" s="232"/>
      <c r="CF144" s="232"/>
      <c r="CG144" s="232"/>
      <c r="CH144" s="232"/>
      <c r="CI144" s="232"/>
      <c r="CJ144" s="232"/>
      <c r="CK144" s="232"/>
      <c r="CL144" s="232"/>
      <c r="CM144" s="232"/>
      <c r="CN144" s="232"/>
      <c r="CO144" s="232"/>
      <c r="CP144" s="232"/>
      <c r="CQ144" s="232"/>
      <c r="CR144" s="232"/>
      <c r="CS144" s="232"/>
      <c r="CT144" s="232"/>
      <c r="CU144" s="232"/>
      <c r="CV144" s="232"/>
      <c r="CW144" s="232"/>
      <c r="CX144" s="232"/>
      <c r="CY144" s="232"/>
      <c r="CZ144" s="232"/>
      <c r="DA144" s="232"/>
      <c r="DB144" s="232"/>
      <c r="DC144" s="232"/>
      <c r="DD144" s="232"/>
      <c r="DE144" s="232"/>
      <c r="DF144" s="232"/>
      <c r="DG144" s="232"/>
      <c r="DH144" s="232"/>
      <c r="DI144" s="232"/>
      <c r="DJ144" s="232"/>
      <c r="DK144" s="232"/>
      <c r="DL144" s="232"/>
      <c r="DM144" s="232"/>
      <c r="DN144" s="232"/>
      <c r="DO144" s="232"/>
      <c r="DP144" s="232"/>
      <c r="DQ144" s="232"/>
      <c r="DR144" s="232"/>
      <c r="DS144" s="232"/>
      <c r="DT144" s="232"/>
      <c r="DU144" s="232"/>
      <c r="DV144" s="232"/>
      <c r="DW144" s="232"/>
      <c r="DX144" s="232"/>
      <c r="DY144" s="232"/>
      <c r="DZ144" s="232"/>
      <c r="EA144" s="232"/>
      <c r="EB144" s="232"/>
      <c r="EC144" s="232"/>
      <c r="ED144" s="232"/>
      <c r="EE144" s="232"/>
      <c r="EF144" s="232"/>
      <c r="EG144" s="232"/>
      <c r="EH144" s="232"/>
      <c r="EI144" s="232"/>
      <c r="EJ144" s="232"/>
      <c r="EK144" s="232"/>
      <c r="EL144" s="232"/>
      <c r="EM144" s="232"/>
      <c r="EN144" s="232"/>
      <c r="EO144" s="232"/>
      <c r="EP144" s="232"/>
      <c r="EQ144" s="232"/>
      <c r="ER144" s="232"/>
      <c r="ES144" s="232"/>
      <c r="ET144" s="232"/>
      <c r="EU144" s="232"/>
      <c r="EV144" s="232"/>
      <c r="EW144" s="232"/>
      <c r="EX144" s="232"/>
      <c r="EY144" s="232"/>
      <c r="EZ144" s="232"/>
      <c r="FA144" s="232"/>
      <c r="FB144" s="232"/>
      <c r="FC144" s="232"/>
      <c r="FD144" s="232"/>
      <c r="FE144" s="232"/>
      <c r="FF144" s="232"/>
      <c r="FG144" s="321"/>
      <c r="FH144" s="232"/>
      <c r="FI144" s="232"/>
      <c r="FJ144" s="232"/>
      <c r="FK144" s="232"/>
      <c r="FL144" s="232"/>
      <c r="FM144" s="232"/>
      <c r="FN144" s="232"/>
      <c r="FO144" s="232"/>
      <c r="FP144" s="232"/>
      <c r="FQ144" s="232"/>
      <c r="FR144" s="232"/>
      <c r="FS144" s="232"/>
      <c r="FT144" s="232"/>
      <c r="FU144" s="232"/>
      <c r="FV144" s="321"/>
    </row>
    <row r="145" spans="2:178" x14ac:dyDescent="0.2">
      <c r="B145" s="47"/>
      <c r="C145" s="50" t="s">
        <v>163</v>
      </c>
      <c r="D145" s="260"/>
      <c r="E145" s="260"/>
      <c r="F145" s="261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163"/>
      <c r="BB145" s="163"/>
      <c r="BC145" s="163"/>
      <c r="BD145" s="163"/>
      <c r="BE145" s="163"/>
      <c r="BF145" s="163"/>
      <c r="BG145" s="163"/>
      <c r="BH145" s="163"/>
      <c r="BI145" s="163"/>
      <c r="BJ145" s="163"/>
      <c r="BK145" s="163"/>
      <c r="BL145" s="163"/>
      <c r="BM145" s="163"/>
      <c r="BN145" s="163"/>
      <c r="BO145" s="163"/>
      <c r="BP145" s="163"/>
      <c r="BQ145" s="163"/>
      <c r="BR145" s="163"/>
      <c r="BS145" s="163"/>
      <c r="BT145" s="163"/>
      <c r="BU145" s="163"/>
      <c r="BV145" s="163"/>
      <c r="BW145" s="163"/>
      <c r="BX145" s="163"/>
      <c r="BY145" s="163"/>
      <c r="BZ145" s="163"/>
      <c r="CA145" s="163"/>
      <c r="CB145" s="163"/>
      <c r="CC145" s="163"/>
      <c r="CD145" s="163"/>
      <c r="CE145" s="163"/>
      <c r="CF145" s="163"/>
      <c r="CG145" s="163"/>
      <c r="CH145" s="163"/>
      <c r="CI145" s="163"/>
      <c r="CJ145" s="163"/>
      <c r="CK145" s="163"/>
      <c r="CL145" s="163"/>
      <c r="CM145" s="163"/>
      <c r="CN145" s="163"/>
      <c r="CO145" s="163"/>
      <c r="CP145" s="163"/>
      <c r="CQ145" s="163"/>
      <c r="CR145" s="163"/>
      <c r="CS145" s="163"/>
      <c r="CT145" s="163"/>
      <c r="CU145" s="163"/>
      <c r="CV145" s="163"/>
      <c r="CW145" s="163"/>
      <c r="CX145" s="163"/>
      <c r="CY145" s="163"/>
      <c r="CZ145" s="163"/>
      <c r="DA145" s="163"/>
      <c r="DB145" s="163"/>
      <c r="DC145" s="163"/>
      <c r="DD145" s="163"/>
      <c r="DE145" s="163"/>
      <c r="DF145" s="163"/>
      <c r="DG145" s="163"/>
      <c r="DH145" s="163"/>
      <c r="DI145" s="163"/>
      <c r="DJ145" s="163"/>
      <c r="DK145" s="163"/>
      <c r="DL145" s="163"/>
      <c r="DM145" s="163"/>
      <c r="DN145" s="163"/>
      <c r="DO145" s="163"/>
      <c r="DP145" s="163"/>
      <c r="DQ145" s="163"/>
      <c r="DR145" s="163"/>
      <c r="DS145" s="163"/>
      <c r="DT145" s="163"/>
      <c r="DU145" s="163"/>
      <c r="DV145" s="163"/>
      <c r="DW145" s="163"/>
      <c r="DX145" s="163"/>
      <c r="DY145" s="163"/>
      <c r="DZ145" s="163"/>
      <c r="EA145" s="163"/>
      <c r="EB145" s="163"/>
      <c r="EC145" s="163"/>
      <c r="ED145" s="163"/>
      <c r="EE145" s="163"/>
      <c r="EF145" s="163"/>
      <c r="EG145" s="163"/>
      <c r="EH145" s="163"/>
      <c r="EI145" s="163"/>
      <c r="EJ145" s="163"/>
      <c r="EK145" s="163"/>
      <c r="EL145" s="163"/>
      <c r="EM145" s="163"/>
      <c r="EN145" s="163"/>
      <c r="EO145" s="163"/>
      <c r="EP145" s="163"/>
      <c r="EQ145" s="163"/>
      <c r="ER145" s="163"/>
      <c r="ES145" s="163"/>
      <c r="ET145" s="163"/>
      <c r="EU145" s="163"/>
      <c r="EV145" s="163"/>
      <c r="EW145" s="163"/>
      <c r="EX145" s="163"/>
      <c r="EY145" s="163"/>
      <c r="EZ145" s="163"/>
      <c r="FA145" s="163"/>
      <c r="FB145" s="163"/>
      <c r="FC145" s="163"/>
      <c r="FD145" s="163"/>
      <c r="FE145" s="163"/>
      <c r="FF145" s="163"/>
      <c r="FG145" s="314"/>
      <c r="FH145" s="163"/>
      <c r="FI145" s="163"/>
      <c r="FJ145" s="163"/>
      <c r="FK145" s="163"/>
      <c r="FL145" s="163"/>
      <c r="FM145" s="163"/>
      <c r="FN145" s="163"/>
      <c r="FO145" s="163"/>
      <c r="FP145" s="163"/>
      <c r="FQ145" s="163"/>
      <c r="FR145" s="163"/>
      <c r="FS145" s="163"/>
      <c r="FT145" s="163"/>
      <c r="FU145" s="163"/>
      <c r="FV145" s="314"/>
    </row>
    <row r="146" spans="2:178" x14ac:dyDescent="0.2">
      <c r="B146" s="47"/>
      <c r="C146" s="47" t="s">
        <v>112</v>
      </c>
      <c r="E146" s="262">
        <f ca="1">E143</f>
        <v>28164511.489046507</v>
      </c>
      <c r="F146" s="259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32"/>
      <c r="AQ146" s="232"/>
      <c r="AR146" s="232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232"/>
      <c r="BH146" s="232"/>
      <c r="BI146" s="232"/>
      <c r="BJ146" s="232"/>
      <c r="BK146" s="232"/>
      <c r="BL146" s="232"/>
      <c r="BM146" s="232"/>
      <c r="BN146" s="232"/>
      <c r="BO146" s="232"/>
      <c r="BP146" s="232"/>
      <c r="BQ146" s="232"/>
      <c r="BR146" s="232"/>
      <c r="BS146" s="232"/>
      <c r="BT146" s="232"/>
      <c r="BU146" s="232"/>
      <c r="BV146" s="232"/>
      <c r="BW146" s="232"/>
      <c r="BX146" s="232"/>
      <c r="BY146" s="232"/>
      <c r="BZ146" s="232"/>
      <c r="CA146" s="232"/>
      <c r="CB146" s="232"/>
      <c r="CC146" s="232"/>
      <c r="CD146" s="232"/>
      <c r="CE146" s="232"/>
      <c r="CF146" s="232"/>
      <c r="CG146" s="232"/>
      <c r="CH146" s="232"/>
      <c r="CI146" s="232"/>
      <c r="CJ146" s="232"/>
      <c r="CK146" s="232"/>
      <c r="CL146" s="232"/>
      <c r="CM146" s="232"/>
      <c r="CN146" s="232"/>
      <c r="CO146" s="232"/>
      <c r="CP146" s="232"/>
      <c r="CQ146" s="232"/>
      <c r="CR146" s="232"/>
      <c r="CS146" s="232"/>
      <c r="CT146" s="232"/>
      <c r="CU146" s="232"/>
      <c r="CV146" s="232"/>
      <c r="CW146" s="232"/>
      <c r="CX146" s="232"/>
      <c r="CY146" s="232"/>
      <c r="CZ146" s="232"/>
      <c r="DA146" s="232"/>
      <c r="DB146" s="232"/>
      <c r="DC146" s="232"/>
      <c r="DD146" s="232"/>
      <c r="DE146" s="232"/>
      <c r="DF146" s="232"/>
      <c r="DG146" s="232"/>
      <c r="DH146" s="232"/>
      <c r="DI146" s="232"/>
      <c r="DJ146" s="232"/>
      <c r="DK146" s="232"/>
      <c r="DL146" s="232"/>
      <c r="DM146" s="232"/>
      <c r="DN146" s="232"/>
      <c r="DO146" s="232"/>
      <c r="DP146" s="232"/>
      <c r="DQ146" s="232"/>
      <c r="DR146" s="232"/>
      <c r="DS146" s="232"/>
      <c r="DT146" s="232"/>
      <c r="DU146" s="232"/>
      <c r="DV146" s="232"/>
      <c r="DW146" s="232"/>
      <c r="DX146" s="232"/>
      <c r="DY146" s="232"/>
      <c r="DZ146" s="232"/>
      <c r="EA146" s="232"/>
      <c r="EB146" s="232"/>
      <c r="EC146" s="232"/>
      <c r="ED146" s="232"/>
      <c r="EE146" s="232"/>
      <c r="EF146" s="232"/>
      <c r="EG146" s="232"/>
      <c r="EH146" s="232"/>
      <c r="EI146" s="232"/>
      <c r="EJ146" s="232"/>
      <c r="EK146" s="232"/>
      <c r="EL146" s="232"/>
      <c r="EM146" s="232"/>
      <c r="EN146" s="232"/>
      <c r="EO146" s="232"/>
      <c r="EP146" s="232"/>
      <c r="EQ146" s="232"/>
      <c r="ER146" s="232"/>
      <c r="ES146" s="232"/>
      <c r="ET146" s="232"/>
      <c r="EU146" s="232"/>
      <c r="EV146" s="232"/>
      <c r="EW146" s="232"/>
      <c r="EX146" s="232"/>
      <c r="EY146" s="232"/>
      <c r="EZ146" s="232"/>
      <c r="FA146" s="232"/>
      <c r="FB146" s="232"/>
      <c r="FC146" s="232"/>
      <c r="FD146" s="232"/>
      <c r="FE146" s="232"/>
      <c r="FF146" s="232"/>
      <c r="FG146" s="321"/>
      <c r="FH146" s="232"/>
      <c r="FI146" s="232"/>
      <c r="FJ146" s="232"/>
      <c r="FK146" s="232"/>
      <c r="FL146" s="232"/>
      <c r="FM146" s="232"/>
      <c r="FN146" s="232"/>
      <c r="FO146" s="232"/>
      <c r="FP146" s="232"/>
      <c r="FQ146" s="232"/>
      <c r="FR146" s="232"/>
      <c r="FS146" s="232"/>
      <c r="FT146" s="232"/>
      <c r="FU146" s="232"/>
      <c r="FV146" s="321"/>
    </row>
    <row r="147" spans="2:178" x14ac:dyDescent="0.2">
      <c r="B147" s="47"/>
      <c r="C147" s="47" t="s">
        <v>113</v>
      </c>
      <c r="E147" s="262">
        <f ca="1">SUMIF(F143:FV143,"&lt;0",F143:FV143)</f>
        <v>-50814031.107060298</v>
      </c>
      <c r="F147" s="259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32"/>
      <c r="AQ147" s="232"/>
      <c r="AR147" s="232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232"/>
      <c r="BH147" s="232"/>
      <c r="BI147" s="232"/>
      <c r="BJ147" s="232"/>
      <c r="BK147" s="232"/>
      <c r="BL147" s="232"/>
      <c r="BM147" s="232"/>
      <c r="BN147" s="232"/>
      <c r="BO147" s="232"/>
      <c r="BP147" s="232"/>
      <c r="BQ147" s="232"/>
      <c r="BR147" s="232"/>
      <c r="BS147" s="232"/>
      <c r="BT147" s="232"/>
      <c r="BU147" s="232"/>
      <c r="BV147" s="232"/>
      <c r="BW147" s="232"/>
      <c r="BX147" s="232"/>
      <c r="BY147" s="232"/>
      <c r="BZ147" s="232"/>
      <c r="CA147" s="232"/>
      <c r="CB147" s="232"/>
      <c r="CC147" s="232"/>
      <c r="CD147" s="232"/>
      <c r="CE147" s="232"/>
      <c r="CF147" s="232"/>
      <c r="CG147" s="232"/>
      <c r="CH147" s="232"/>
      <c r="CI147" s="232"/>
      <c r="CJ147" s="232"/>
      <c r="CK147" s="232"/>
      <c r="CL147" s="232"/>
      <c r="CM147" s="232"/>
      <c r="CN147" s="232"/>
      <c r="CO147" s="232"/>
      <c r="CP147" s="232"/>
      <c r="CQ147" s="232"/>
      <c r="CR147" s="232"/>
      <c r="CS147" s="232"/>
      <c r="CT147" s="232"/>
      <c r="CU147" s="232"/>
      <c r="CV147" s="232"/>
      <c r="CW147" s="232"/>
      <c r="CX147" s="232"/>
      <c r="CY147" s="232"/>
      <c r="CZ147" s="232"/>
      <c r="DA147" s="232"/>
      <c r="DB147" s="232"/>
      <c r="DC147" s="232"/>
      <c r="DD147" s="232"/>
      <c r="DE147" s="232"/>
      <c r="DF147" s="232"/>
      <c r="DG147" s="232"/>
      <c r="DH147" s="232"/>
      <c r="DI147" s="232"/>
      <c r="DJ147" s="232"/>
      <c r="DK147" s="232"/>
      <c r="DL147" s="232"/>
      <c r="DM147" s="232"/>
      <c r="DN147" s="232"/>
      <c r="DO147" s="232"/>
      <c r="DP147" s="232"/>
      <c r="DQ147" s="232"/>
      <c r="DR147" s="232"/>
      <c r="DS147" s="232"/>
      <c r="DT147" s="232"/>
      <c r="DU147" s="232"/>
      <c r="DV147" s="232"/>
      <c r="DW147" s="232"/>
      <c r="DX147" s="232"/>
      <c r="DY147" s="232"/>
      <c r="DZ147" s="232"/>
      <c r="EA147" s="232"/>
      <c r="EB147" s="232"/>
      <c r="EC147" s="232"/>
      <c r="ED147" s="232"/>
      <c r="EE147" s="232"/>
      <c r="EF147" s="232"/>
      <c r="EG147" s="232"/>
      <c r="EH147" s="232"/>
      <c r="EI147" s="232"/>
      <c r="EJ147" s="232"/>
      <c r="EK147" s="232"/>
      <c r="EL147" s="232"/>
      <c r="EM147" s="232"/>
      <c r="EN147" s="232"/>
      <c r="EO147" s="232"/>
      <c r="EP147" s="232"/>
      <c r="EQ147" s="232"/>
      <c r="ER147" s="232"/>
      <c r="ES147" s="232"/>
      <c r="ET147" s="232"/>
      <c r="EU147" s="232"/>
      <c r="EV147" s="232"/>
      <c r="EW147" s="232"/>
      <c r="EX147" s="232"/>
      <c r="EY147" s="232"/>
      <c r="EZ147" s="232"/>
      <c r="FA147" s="232"/>
      <c r="FB147" s="232"/>
      <c r="FC147" s="232"/>
      <c r="FD147" s="232"/>
      <c r="FE147" s="232"/>
      <c r="FF147" s="232"/>
      <c r="FG147" s="321"/>
      <c r="FH147" s="232"/>
      <c r="FI147" s="232"/>
      <c r="FJ147" s="232"/>
      <c r="FK147" s="232"/>
      <c r="FL147" s="232"/>
      <c r="FM147" s="232"/>
      <c r="FN147" s="232"/>
      <c r="FO147" s="232"/>
      <c r="FP147" s="232"/>
      <c r="FQ147" s="232"/>
      <c r="FR147" s="232"/>
      <c r="FS147" s="232"/>
      <c r="FT147" s="232"/>
      <c r="FU147" s="232"/>
      <c r="FV147" s="321"/>
    </row>
    <row r="148" spans="2:178" x14ac:dyDescent="0.2">
      <c r="B148" s="47"/>
      <c r="C148" s="47" t="s">
        <v>114</v>
      </c>
      <c r="E148" s="263">
        <f ca="1">(1+IRR(F143:FC143,0))^12-1</f>
        <v>0.11501070998987273</v>
      </c>
      <c r="F148" s="259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32"/>
      <c r="AQ148" s="232"/>
      <c r="AR148" s="232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232"/>
      <c r="BH148" s="232"/>
      <c r="BI148" s="232"/>
      <c r="BJ148" s="232"/>
      <c r="BK148" s="232"/>
      <c r="BL148" s="232"/>
      <c r="BM148" s="232"/>
      <c r="BN148" s="232"/>
      <c r="BO148" s="232"/>
      <c r="BP148" s="232"/>
      <c r="BQ148" s="232"/>
      <c r="BR148" s="232"/>
      <c r="BS148" s="232"/>
      <c r="BT148" s="232"/>
      <c r="BU148" s="232"/>
      <c r="BV148" s="232"/>
      <c r="BW148" s="232"/>
      <c r="BX148" s="232"/>
      <c r="BY148" s="232"/>
      <c r="BZ148" s="232"/>
      <c r="CA148" s="232"/>
      <c r="CB148" s="232"/>
      <c r="CC148" s="232"/>
      <c r="CD148" s="232"/>
      <c r="CE148" s="232"/>
      <c r="CF148" s="232"/>
      <c r="CG148" s="232"/>
      <c r="CH148" s="232"/>
      <c r="CI148" s="232"/>
      <c r="CJ148" s="232"/>
      <c r="CK148" s="232"/>
      <c r="CL148" s="232"/>
      <c r="CM148" s="232"/>
      <c r="CN148" s="232"/>
      <c r="CO148" s="232"/>
      <c r="CP148" s="232"/>
      <c r="CQ148" s="232"/>
      <c r="CR148" s="232"/>
      <c r="CS148" s="232"/>
      <c r="CT148" s="232"/>
      <c r="CU148" s="232"/>
      <c r="CV148" s="232"/>
      <c r="CW148" s="232"/>
      <c r="CX148" s="232"/>
      <c r="CY148" s="232"/>
      <c r="CZ148" s="232"/>
      <c r="DA148" s="232"/>
      <c r="DB148" s="232"/>
      <c r="DC148" s="232"/>
      <c r="DD148" s="232"/>
      <c r="DE148" s="232"/>
      <c r="DF148" s="232"/>
      <c r="DG148" s="232"/>
      <c r="DH148" s="232"/>
      <c r="DI148" s="232"/>
      <c r="DJ148" s="232"/>
      <c r="DK148" s="232"/>
      <c r="DL148" s="232"/>
      <c r="DM148" s="232"/>
      <c r="DN148" s="232"/>
      <c r="DO148" s="232"/>
      <c r="DP148" s="232"/>
      <c r="DQ148" s="232"/>
      <c r="DR148" s="232"/>
      <c r="DS148" s="232"/>
      <c r="DT148" s="232"/>
      <c r="DU148" s="232"/>
      <c r="DV148" s="232"/>
      <c r="DW148" s="232"/>
      <c r="DX148" s="232"/>
      <c r="DY148" s="232"/>
      <c r="DZ148" s="232"/>
      <c r="EA148" s="232"/>
      <c r="EB148" s="232"/>
      <c r="EC148" s="232"/>
      <c r="ED148" s="232"/>
      <c r="EE148" s="232"/>
      <c r="EF148" s="232"/>
      <c r="EG148" s="232"/>
      <c r="EH148" s="232"/>
      <c r="EI148" s="232"/>
      <c r="EJ148" s="232"/>
      <c r="EK148" s="232"/>
      <c r="EL148" s="232"/>
      <c r="EM148" s="232"/>
      <c r="EN148" s="232"/>
      <c r="EO148" s="232"/>
      <c r="EP148" s="232"/>
      <c r="EQ148" s="232"/>
      <c r="ER148" s="232"/>
      <c r="ES148" s="232"/>
      <c r="ET148" s="232"/>
      <c r="EU148" s="232"/>
      <c r="EV148" s="232"/>
      <c r="EW148" s="232"/>
      <c r="EX148" s="232"/>
      <c r="EY148" s="232"/>
      <c r="EZ148" s="232"/>
      <c r="FA148" s="232"/>
      <c r="FB148" s="232"/>
      <c r="FC148" s="232"/>
      <c r="FD148" s="232"/>
      <c r="FE148" s="232"/>
      <c r="FF148" s="232"/>
      <c r="FG148" s="321"/>
      <c r="FH148" s="232"/>
      <c r="FI148" s="232"/>
      <c r="FJ148" s="232"/>
      <c r="FK148" s="232"/>
      <c r="FL148" s="232"/>
      <c r="FM148" s="232"/>
      <c r="FN148" s="232"/>
      <c r="FO148" s="232"/>
      <c r="FP148" s="232"/>
      <c r="FQ148" s="232"/>
      <c r="FR148" s="232"/>
      <c r="FS148" s="232"/>
      <c r="FT148" s="232"/>
      <c r="FU148" s="232"/>
      <c r="FV148" s="321"/>
    </row>
    <row r="149" spans="2:178" x14ac:dyDescent="0.2">
      <c r="B149" s="47"/>
      <c r="C149" s="47" t="s">
        <v>115</v>
      </c>
      <c r="E149" s="264">
        <f ca="1">(E146-E147)/(-E147)</f>
        <v>1.5542664275090983</v>
      </c>
      <c r="F149" s="255"/>
    </row>
    <row r="150" spans="2:178" x14ac:dyDescent="0.2">
      <c r="B150" s="47"/>
      <c r="F150" s="255"/>
    </row>
    <row r="151" spans="2:178" x14ac:dyDescent="0.2">
      <c r="C151" s="50" t="s">
        <v>158</v>
      </c>
      <c r="D151" s="260"/>
      <c r="E151" s="260"/>
      <c r="F151" s="286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  <c r="AA151" s="260"/>
      <c r="AB151" s="260"/>
      <c r="AC151" s="260"/>
      <c r="AD151" s="260"/>
      <c r="AE151" s="260"/>
      <c r="AF151" s="260"/>
      <c r="AG151" s="260"/>
      <c r="AH151" s="260"/>
      <c r="AI151" s="260"/>
      <c r="AJ151" s="260"/>
      <c r="AK151" s="260"/>
      <c r="AL151" s="260"/>
      <c r="AM151" s="260"/>
      <c r="AN151" s="260"/>
      <c r="AO151" s="260"/>
      <c r="AP151" s="260"/>
      <c r="AQ151" s="260"/>
      <c r="AR151" s="260"/>
      <c r="AS151" s="260"/>
      <c r="AT151" s="260"/>
      <c r="AU151" s="260"/>
      <c r="AV151" s="260"/>
      <c r="AW151" s="260"/>
      <c r="AX151" s="260"/>
      <c r="AY151" s="260"/>
      <c r="AZ151" s="260"/>
      <c r="BA151" s="260"/>
      <c r="BB151" s="260"/>
      <c r="BC151" s="260"/>
      <c r="BD151" s="260"/>
      <c r="BE151" s="260"/>
      <c r="BF151" s="260"/>
      <c r="BG151" s="260"/>
      <c r="BH151" s="260"/>
      <c r="BI151" s="260"/>
      <c r="BJ151" s="260"/>
      <c r="BK151" s="260"/>
      <c r="BL151" s="260"/>
      <c r="BM151" s="260"/>
      <c r="BN151" s="260"/>
      <c r="BO151" s="260"/>
      <c r="BP151" s="260"/>
      <c r="BQ151" s="260"/>
      <c r="BR151" s="260"/>
      <c r="BS151" s="260"/>
      <c r="BT151" s="260"/>
      <c r="BU151" s="260"/>
      <c r="BV151" s="260"/>
      <c r="BW151" s="260"/>
      <c r="BX151" s="260"/>
      <c r="BY151" s="260"/>
      <c r="BZ151" s="260"/>
      <c r="CA151" s="260"/>
      <c r="CB151" s="260"/>
      <c r="CC151" s="260"/>
      <c r="CD151" s="260"/>
      <c r="CE151" s="260"/>
      <c r="CF151" s="260"/>
      <c r="CG151" s="260"/>
      <c r="CH151" s="260"/>
      <c r="CI151" s="260"/>
      <c r="CJ151" s="260"/>
      <c r="CK151" s="260"/>
      <c r="CL151" s="260"/>
      <c r="CM151" s="260"/>
      <c r="CN151" s="260"/>
      <c r="CO151" s="260"/>
      <c r="CP151" s="260"/>
      <c r="CQ151" s="260"/>
      <c r="CR151" s="260"/>
      <c r="CS151" s="260"/>
      <c r="CT151" s="260"/>
      <c r="CU151" s="260"/>
      <c r="CV151" s="260"/>
      <c r="CW151" s="260"/>
      <c r="CX151" s="260"/>
      <c r="CY151" s="260"/>
      <c r="CZ151" s="260"/>
      <c r="DA151" s="260"/>
      <c r="DB151" s="260"/>
      <c r="DC151" s="260"/>
      <c r="DD151" s="260"/>
      <c r="DE151" s="260"/>
      <c r="DF151" s="260"/>
      <c r="DG151" s="260"/>
      <c r="DH151" s="260"/>
      <c r="DI151" s="260"/>
      <c r="DJ151" s="260"/>
      <c r="DK151" s="260"/>
      <c r="DL151" s="260"/>
      <c r="DM151" s="260"/>
      <c r="DN151" s="260"/>
      <c r="DO151" s="260"/>
      <c r="DP151" s="260"/>
      <c r="DQ151" s="260"/>
      <c r="DR151" s="260"/>
      <c r="DS151" s="260"/>
      <c r="DT151" s="260"/>
      <c r="DU151" s="260"/>
      <c r="DV151" s="260"/>
      <c r="DW151" s="260"/>
      <c r="DX151" s="260"/>
      <c r="DY151" s="260"/>
      <c r="DZ151" s="260"/>
      <c r="EA151" s="260"/>
      <c r="EB151" s="260"/>
      <c r="EC151" s="260"/>
      <c r="ED151" s="260"/>
      <c r="EE151" s="260"/>
      <c r="EF151" s="260"/>
      <c r="EG151" s="260"/>
      <c r="EH151" s="260"/>
      <c r="EI151" s="260"/>
      <c r="EJ151" s="260"/>
      <c r="EK151" s="260"/>
      <c r="EL151" s="260"/>
      <c r="EM151" s="260"/>
      <c r="EN151" s="260"/>
      <c r="EO151" s="260"/>
      <c r="EP151" s="260"/>
      <c r="EQ151" s="260"/>
      <c r="ER151" s="260"/>
      <c r="ES151" s="260"/>
      <c r="ET151" s="260"/>
      <c r="EU151" s="260"/>
      <c r="EV151" s="260"/>
      <c r="EW151" s="260"/>
      <c r="EX151" s="260"/>
      <c r="EY151" s="260"/>
      <c r="EZ151" s="260"/>
      <c r="FA151" s="260"/>
      <c r="FB151" s="260"/>
      <c r="FC151" s="260"/>
      <c r="FD151" s="260"/>
      <c r="FE151" s="260"/>
      <c r="FF151" s="260"/>
      <c r="FH151" s="260"/>
      <c r="FI151" s="260"/>
      <c r="FJ151" s="260"/>
      <c r="FK151" s="260"/>
      <c r="FL151" s="260"/>
      <c r="FM151" s="260"/>
      <c r="FN151" s="260"/>
      <c r="FO151" s="260"/>
      <c r="FP151" s="260"/>
      <c r="FQ151" s="260"/>
      <c r="FR151" s="260"/>
      <c r="FS151" s="260"/>
      <c r="FT151" s="260"/>
      <c r="FU151" s="260"/>
    </row>
    <row r="152" spans="2:178" x14ac:dyDescent="0.2">
      <c r="B152" s="47"/>
      <c r="C152" s="47" t="s">
        <v>111</v>
      </c>
      <c r="F152" s="261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</row>
    <row r="153" spans="2:178" x14ac:dyDescent="0.2">
      <c r="C153" s="39" t="s">
        <v>110</v>
      </c>
      <c r="E153" s="163">
        <f t="shared" ref="E153:E162" ca="1" si="983">SUM(F153:FF153)</f>
        <v>28164511.489046507</v>
      </c>
      <c r="F153" s="259">
        <f ca="1">F143</f>
        <v>-25500000</v>
      </c>
      <c r="G153" s="232">
        <f t="shared" ref="G153:BR153" ca="1" si="984">G143</f>
        <v>25434.016746746813</v>
      </c>
      <c r="H153" s="232">
        <f t="shared" ca="1" si="984"/>
        <v>25810.101788613742</v>
      </c>
      <c r="I153" s="232">
        <f t="shared" ca="1" si="984"/>
        <v>26187.12704308526</v>
      </c>
      <c r="J153" s="232">
        <f t="shared" ca="1" si="984"/>
        <v>26565.094860692945</v>
      </c>
      <c r="K153" s="232">
        <f t="shared" ca="1" si="984"/>
        <v>26944.00759784464</v>
      </c>
      <c r="L153" s="232">
        <f t="shared" ca="1" si="984"/>
        <v>27323.867616839241</v>
      </c>
      <c r="M153" s="232">
        <f t="shared" ca="1" si="984"/>
        <v>27704.677285881335</v>
      </c>
      <c r="N153" s="232">
        <f t="shared" ca="1" si="984"/>
        <v>28086.438979096041</v>
      </c>
      <c r="O153" s="232">
        <f t="shared" ca="1" si="984"/>
        <v>28469.155076543742</v>
      </c>
      <c r="P153" s="232">
        <f t="shared" ca="1" si="984"/>
        <v>28852.827964235126</v>
      </c>
      <c r="Q153" s="232">
        <f t="shared" ca="1" si="984"/>
        <v>29237.460034145683</v>
      </c>
      <c r="R153" s="232">
        <f t="shared" ca="1" si="984"/>
        <v>29623.053684231098</v>
      </c>
      <c r="S153" s="232">
        <f t="shared" ca="1" si="984"/>
        <v>155009.61131844157</v>
      </c>
      <c r="T153" s="232">
        <f t="shared" ca="1" si="984"/>
        <v>155397.13534673772</v>
      </c>
      <c r="U153" s="232">
        <f t="shared" ca="1" si="984"/>
        <v>155785.62818510461</v>
      </c>
      <c r="V153" s="232">
        <f t="shared" ca="1" si="984"/>
        <v>156175.09225556732</v>
      </c>
      <c r="W153" s="232">
        <f t="shared" ca="1" si="984"/>
        <v>156565.52998620624</v>
      </c>
      <c r="X153" s="232">
        <f t="shared" ca="1" si="984"/>
        <v>156956.94381117178</v>
      </c>
      <c r="Y153" s="232">
        <f t="shared" ca="1" si="984"/>
        <v>157349.33617069965</v>
      </c>
      <c r="Z153" s="232">
        <f t="shared" ca="1" si="984"/>
        <v>157742.70951112639</v>
      </c>
      <c r="AA153" s="232">
        <f t="shared" ca="1" si="984"/>
        <v>158137.06628490423</v>
      </c>
      <c r="AB153" s="232">
        <f t="shared" ca="1" si="984"/>
        <v>158532.40895061652</v>
      </c>
      <c r="AC153" s="232">
        <f t="shared" ca="1" si="984"/>
        <v>158928.73997299303</v>
      </c>
      <c r="AD153" s="232">
        <f t="shared" ca="1" si="984"/>
        <v>159326.06182292546</v>
      </c>
      <c r="AE153" s="232">
        <f t="shared" ca="1" si="984"/>
        <v>159724.37697748281</v>
      </c>
      <c r="AF153" s="232">
        <f t="shared" ca="1" si="984"/>
        <v>160123.68791992648</v>
      </c>
      <c r="AG153" s="232">
        <f t="shared" ca="1" si="984"/>
        <v>160523.99713972627</v>
      </c>
      <c r="AH153" s="232">
        <f t="shared" ca="1" si="984"/>
        <v>160925.30713257557</v>
      </c>
      <c r="AI153" s="232">
        <f t="shared" ca="1" si="984"/>
        <v>161327.62040040697</v>
      </c>
      <c r="AJ153" s="232">
        <f t="shared" ca="1" si="984"/>
        <v>161730.93945140796</v>
      </c>
      <c r="AK153" s="232">
        <f t="shared" ca="1" si="984"/>
        <v>162135.26680003648</v>
      </c>
      <c r="AL153" s="232">
        <f t="shared" ca="1" si="984"/>
        <v>162540.60496703663</v>
      </c>
      <c r="AM153" s="232">
        <f t="shared" ca="1" si="984"/>
        <v>162946.95647945418</v>
      </c>
      <c r="AN153" s="232">
        <f t="shared" ca="1" si="984"/>
        <v>163354.32387065282</v>
      </c>
      <c r="AO153" s="232">
        <f t="shared" ca="1" si="984"/>
        <v>163762.7096803294</v>
      </c>
      <c r="AP153" s="232">
        <f t="shared" ca="1" si="984"/>
        <v>164172.11645453025</v>
      </c>
      <c r="AQ153" s="232">
        <f t="shared" ca="1" si="984"/>
        <v>164582.54674566654</v>
      </c>
      <c r="AR153" s="232">
        <f t="shared" ca="1" si="984"/>
        <v>164994.00311253069</v>
      </c>
      <c r="AS153" s="232">
        <f t="shared" ca="1" si="984"/>
        <v>165406.48812031196</v>
      </c>
      <c r="AT153" s="232">
        <f t="shared" ca="1" si="984"/>
        <v>165820.00434061282</v>
      </c>
      <c r="AU153" s="232">
        <f t="shared" ca="1" si="984"/>
        <v>166234.55435146429</v>
      </c>
      <c r="AV153" s="232">
        <f t="shared" ca="1" si="984"/>
        <v>166650.140737343</v>
      </c>
      <c r="AW153" s="232">
        <f t="shared" ca="1" si="984"/>
        <v>167066.76608918633</v>
      </c>
      <c r="AX153" s="232">
        <f t="shared" ca="1" si="984"/>
        <v>167484.43300440931</v>
      </c>
      <c r="AY153" s="232">
        <f t="shared" ca="1" si="984"/>
        <v>167903.14408692031</v>
      </c>
      <c r="AZ153" s="232">
        <f t="shared" ca="1" si="984"/>
        <v>168322.90194713761</v>
      </c>
      <c r="BA153" s="232">
        <f t="shared" ca="1" si="984"/>
        <v>168743.70920200544</v>
      </c>
      <c r="BB153" s="232">
        <f t="shared" ca="1" si="984"/>
        <v>169165.56847501048</v>
      </c>
      <c r="BC153" s="232">
        <f t="shared" ca="1" si="984"/>
        <v>169588.48239619797</v>
      </c>
      <c r="BD153" s="232">
        <f t="shared" ca="1" si="984"/>
        <v>170012.45360218847</v>
      </c>
      <c r="BE153" s="232">
        <f t="shared" ca="1" si="984"/>
        <v>170437.48473619396</v>
      </c>
      <c r="BF153" s="232">
        <f t="shared" ca="1" si="984"/>
        <v>170863.57844803447</v>
      </c>
      <c r="BG153" s="232">
        <f t="shared" ca="1" si="984"/>
        <v>171290.73739415451</v>
      </c>
      <c r="BH153" s="232">
        <f t="shared" ca="1" si="984"/>
        <v>171718.96423763991</v>
      </c>
      <c r="BI153" s="232">
        <f t="shared" ca="1" si="984"/>
        <v>172148.26164823401</v>
      </c>
      <c r="BJ153" s="232">
        <f t="shared" ca="1" si="984"/>
        <v>172578.63230235458</v>
      </c>
      <c r="BK153" s="232">
        <f t="shared" ca="1" si="984"/>
        <v>173010.07888311043</v>
      </c>
      <c r="BL153" s="232">
        <f t="shared" ca="1" si="984"/>
        <v>173442.60408031821</v>
      </c>
      <c r="BM153" s="232">
        <f t="shared" ca="1" si="984"/>
        <v>173876.21059051898</v>
      </c>
      <c r="BN153" s="232">
        <f t="shared" ca="1" si="984"/>
        <v>174310.90111699529</v>
      </c>
      <c r="BO153" s="232">
        <f t="shared" ca="1" si="984"/>
        <v>174746.67836978781</v>
      </c>
      <c r="BP153" s="232">
        <f t="shared" ca="1" si="984"/>
        <v>175183.54506571221</v>
      </c>
      <c r="BQ153" s="232">
        <f t="shared" ca="1" si="984"/>
        <v>175621.50392837648</v>
      </c>
      <c r="BR153" s="232">
        <f t="shared" ca="1" si="984"/>
        <v>176060.55768819744</v>
      </c>
      <c r="BS153" s="232">
        <f t="shared" ref="BS153:ED153" ca="1" si="985">BS143</f>
        <v>176500.70908241789</v>
      </c>
      <c r="BT153" s="232">
        <f t="shared" ca="1" si="985"/>
        <v>176941.96085512394</v>
      </c>
      <c r="BU153" s="232">
        <f t="shared" ca="1" si="985"/>
        <v>177384.31575726182</v>
      </c>
      <c r="BV153" s="232">
        <f t="shared" ca="1" si="985"/>
        <v>177827.7765466549</v>
      </c>
      <c r="BW153" s="232">
        <f t="shared" ca="1" si="985"/>
        <v>178272.34598802152</v>
      </c>
      <c r="BX153" s="232">
        <f t="shared" ca="1" si="985"/>
        <v>178718.02685299164</v>
      </c>
      <c r="BY153" s="232">
        <f t="shared" ca="1" si="985"/>
        <v>179164.82192012403</v>
      </c>
      <c r="BZ153" s="232">
        <f t="shared" ca="1" si="985"/>
        <v>179612.73397492437</v>
      </c>
      <c r="CA153" s="232">
        <f t="shared" ca="1" si="985"/>
        <v>180061.76580986162</v>
      </c>
      <c r="CB153" s="232">
        <f t="shared" ca="1" si="985"/>
        <v>180511.92022438627</v>
      </c>
      <c r="CC153" s="232">
        <f t="shared" ca="1" si="985"/>
        <v>180963.2000249472</v>
      </c>
      <c r="CD153" s="232">
        <f t="shared" ca="1" si="985"/>
        <v>181415.6080250096</v>
      </c>
      <c r="CE153" s="232">
        <f t="shared" ca="1" si="985"/>
        <v>181869.14704507211</v>
      </c>
      <c r="CF153" s="232">
        <f t="shared" ca="1" si="985"/>
        <v>182323.8199126847</v>
      </c>
      <c r="CG153" s="232">
        <f t="shared" ca="1" si="985"/>
        <v>182779.62946246646</v>
      </c>
      <c r="CH153" s="232">
        <f t="shared" ca="1" si="985"/>
        <v>183236.5785361226</v>
      </c>
      <c r="CI153" s="232">
        <f t="shared" ca="1" si="985"/>
        <v>183694.66998246289</v>
      </c>
      <c r="CJ153" s="232">
        <f t="shared" ca="1" si="985"/>
        <v>184153.90665741902</v>
      </c>
      <c r="CK153" s="232">
        <f t="shared" ca="1" si="985"/>
        <v>184614.29142406251</v>
      </c>
      <c r="CL153" s="232">
        <f t="shared" ca="1" si="985"/>
        <v>185075.82715262269</v>
      </c>
      <c r="CM153" s="232">
        <f t="shared" ca="1" si="985"/>
        <v>185538.51672050427</v>
      </c>
      <c r="CN153" s="232">
        <f t="shared" ca="1" si="985"/>
        <v>186002.36301230552</v>
      </c>
      <c r="CO153" s="232">
        <f t="shared" ca="1" si="985"/>
        <v>186467.36891983627</v>
      </c>
      <c r="CP153" s="232">
        <f t="shared" ca="1" si="985"/>
        <v>186933.53734213588</v>
      </c>
      <c r="CQ153" s="232">
        <f t="shared" ca="1" si="985"/>
        <v>187400.87118549112</v>
      </c>
      <c r="CR153" s="232">
        <f t="shared" ca="1" si="985"/>
        <v>187869.37336345488</v>
      </c>
      <c r="CS153" s="232">
        <f t="shared" ca="1" si="985"/>
        <v>188339.0467968634</v>
      </c>
      <c r="CT153" s="232">
        <f t="shared" ca="1" si="985"/>
        <v>188809.89441385563</v>
      </c>
      <c r="CU153" s="232">
        <f t="shared" ca="1" si="985"/>
        <v>189281.91914989025</v>
      </c>
      <c r="CV153" s="232">
        <f t="shared" ca="1" si="985"/>
        <v>189755.12394776498</v>
      </c>
      <c r="CW153" s="232">
        <f t="shared" ca="1" si="985"/>
        <v>190229.51175763435</v>
      </c>
      <c r="CX153" s="232">
        <f t="shared" ca="1" si="985"/>
        <v>39056083.972933501</v>
      </c>
      <c r="CY153" s="232">
        <f t="shared" ca="1" si="985"/>
        <v>0</v>
      </c>
      <c r="CZ153" s="232">
        <f t="shared" ca="1" si="985"/>
        <v>0</v>
      </c>
      <c r="DA153" s="232">
        <f t="shared" ca="1" si="985"/>
        <v>0</v>
      </c>
      <c r="DB153" s="232">
        <f t="shared" ca="1" si="985"/>
        <v>0</v>
      </c>
      <c r="DC153" s="232">
        <f t="shared" ca="1" si="985"/>
        <v>0</v>
      </c>
      <c r="DD153" s="232">
        <f t="shared" ca="1" si="985"/>
        <v>0</v>
      </c>
      <c r="DE153" s="232">
        <f t="shared" ca="1" si="985"/>
        <v>0</v>
      </c>
      <c r="DF153" s="232">
        <f t="shared" ca="1" si="985"/>
        <v>0</v>
      </c>
      <c r="DG153" s="232">
        <f t="shared" ca="1" si="985"/>
        <v>0</v>
      </c>
      <c r="DH153" s="232">
        <f t="shared" ca="1" si="985"/>
        <v>0</v>
      </c>
      <c r="DI153" s="232">
        <f t="shared" ca="1" si="985"/>
        <v>0</v>
      </c>
      <c r="DJ153" s="232">
        <f t="shared" ca="1" si="985"/>
        <v>0</v>
      </c>
      <c r="DK153" s="232">
        <f t="shared" ca="1" si="985"/>
        <v>0</v>
      </c>
      <c r="DL153" s="232">
        <f t="shared" ca="1" si="985"/>
        <v>0</v>
      </c>
      <c r="DM153" s="232">
        <f t="shared" ca="1" si="985"/>
        <v>0</v>
      </c>
      <c r="DN153" s="232">
        <f t="shared" ca="1" si="985"/>
        <v>0</v>
      </c>
      <c r="DO153" s="232">
        <f t="shared" ca="1" si="985"/>
        <v>0</v>
      </c>
      <c r="DP153" s="232">
        <f t="shared" ca="1" si="985"/>
        <v>0</v>
      </c>
      <c r="DQ153" s="232">
        <f t="shared" ca="1" si="985"/>
        <v>0</v>
      </c>
      <c r="DR153" s="232">
        <f t="shared" ca="1" si="985"/>
        <v>0</v>
      </c>
      <c r="DS153" s="232">
        <f t="shared" ca="1" si="985"/>
        <v>0</v>
      </c>
      <c r="DT153" s="232">
        <f t="shared" ca="1" si="985"/>
        <v>0</v>
      </c>
      <c r="DU153" s="232">
        <f t="shared" ca="1" si="985"/>
        <v>0</v>
      </c>
      <c r="DV153" s="232">
        <f t="shared" ca="1" si="985"/>
        <v>0</v>
      </c>
      <c r="DW153" s="232">
        <f t="shared" ca="1" si="985"/>
        <v>0</v>
      </c>
      <c r="DX153" s="232">
        <f t="shared" ca="1" si="985"/>
        <v>0</v>
      </c>
      <c r="DY153" s="232">
        <f t="shared" ca="1" si="985"/>
        <v>0</v>
      </c>
      <c r="DZ153" s="232">
        <f t="shared" ca="1" si="985"/>
        <v>0</v>
      </c>
      <c r="EA153" s="232">
        <f t="shared" ca="1" si="985"/>
        <v>0</v>
      </c>
      <c r="EB153" s="232">
        <f t="shared" ca="1" si="985"/>
        <v>0</v>
      </c>
      <c r="EC153" s="232">
        <f t="shared" ca="1" si="985"/>
        <v>0</v>
      </c>
      <c r="ED153" s="232">
        <f t="shared" ca="1" si="985"/>
        <v>0</v>
      </c>
      <c r="EE153" s="232">
        <f t="shared" ref="EE153:FE153" ca="1" si="986">EE143</f>
        <v>0</v>
      </c>
      <c r="EF153" s="232">
        <f t="shared" ca="1" si="986"/>
        <v>0</v>
      </c>
      <c r="EG153" s="232">
        <f t="shared" ca="1" si="986"/>
        <v>0</v>
      </c>
      <c r="EH153" s="232">
        <f t="shared" ca="1" si="986"/>
        <v>0</v>
      </c>
      <c r="EI153" s="232">
        <f t="shared" ca="1" si="986"/>
        <v>0</v>
      </c>
      <c r="EJ153" s="232">
        <f t="shared" ca="1" si="986"/>
        <v>0</v>
      </c>
      <c r="EK153" s="232">
        <f t="shared" ca="1" si="986"/>
        <v>0</v>
      </c>
      <c r="EL153" s="232">
        <f t="shared" ca="1" si="986"/>
        <v>0</v>
      </c>
      <c r="EM153" s="232">
        <f t="shared" ca="1" si="986"/>
        <v>0</v>
      </c>
      <c r="EN153" s="232">
        <f t="shared" ca="1" si="986"/>
        <v>0</v>
      </c>
      <c r="EO153" s="232">
        <f t="shared" ca="1" si="986"/>
        <v>0</v>
      </c>
      <c r="EP153" s="232">
        <f t="shared" ca="1" si="986"/>
        <v>0</v>
      </c>
      <c r="EQ153" s="232">
        <f t="shared" ca="1" si="986"/>
        <v>0</v>
      </c>
      <c r="ER153" s="232">
        <f t="shared" ca="1" si="986"/>
        <v>0</v>
      </c>
      <c r="ES153" s="232">
        <f t="shared" ca="1" si="986"/>
        <v>0</v>
      </c>
      <c r="ET153" s="232">
        <f t="shared" ca="1" si="986"/>
        <v>0</v>
      </c>
      <c r="EU153" s="232">
        <f t="shared" ca="1" si="986"/>
        <v>0</v>
      </c>
      <c r="EV153" s="232">
        <f t="shared" ca="1" si="986"/>
        <v>0</v>
      </c>
      <c r="EW153" s="232">
        <f t="shared" ca="1" si="986"/>
        <v>0</v>
      </c>
      <c r="EX153" s="232">
        <f t="shared" ca="1" si="986"/>
        <v>0</v>
      </c>
      <c r="EY153" s="232">
        <f t="shared" ca="1" si="986"/>
        <v>0</v>
      </c>
      <c r="EZ153" s="232">
        <f t="shared" ca="1" si="986"/>
        <v>0</v>
      </c>
      <c r="FA153" s="232">
        <f t="shared" ca="1" si="986"/>
        <v>0</v>
      </c>
      <c r="FB153" s="232">
        <f t="shared" ca="1" si="986"/>
        <v>0</v>
      </c>
      <c r="FC153" s="232">
        <f t="shared" ca="1" si="986"/>
        <v>0</v>
      </c>
      <c r="FD153" s="232">
        <f t="shared" ca="1" si="986"/>
        <v>0</v>
      </c>
      <c r="FE153" s="232">
        <f t="shared" ca="1" si="986"/>
        <v>0</v>
      </c>
      <c r="FF153" s="232">
        <f t="shared" ref="FF153" ca="1" si="987">FF143</f>
        <v>0</v>
      </c>
      <c r="FG153" s="321"/>
      <c r="FH153" s="232">
        <f t="shared" ref="FH153:FU162" ca="1" si="988">SUMIF($F$57:$FF$57,FH$57,$F153:$FF153)</f>
        <v>-25314031.107060295</v>
      </c>
      <c r="FI153" s="232">
        <f t="shared" ca="1" si="988"/>
        <v>1237508.2128121804</v>
      </c>
      <c r="FJ153" s="232">
        <f t="shared" ca="1" si="988"/>
        <v>1919158.1823641281</v>
      </c>
      <c r="FK153" s="232">
        <f t="shared" ca="1" si="988"/>
        <v>1977531.2149491191</v>
      </c>
      <c r="FL153" s="232">
        <f t="shared" ca="1" si="988"/>
        <v>2037679.7191781264</v>
      </c>
      <c r="FM153" s="232">
        <f t="shared" ca="1" si="988"/>
        <v>2099657.6977201747</v>
      </c>
      <c r="FN153" s="232">
        <f t="shared" ca="1" si="988"/>
        <v>2163520.7957871445</v>
      </c>
      <c r="FO153" s="232">
        <f t="shared" ca="1" si="988"/>
        <v>2229326.3510932806</v>
      </c>
      <c r="FP153" s="232">
        <f t="shared" ca="1" si="988"/>
        <v>39814160.422202647</v>
      </c>
      <c r="FQ153" s="232">
        <f t="shared" ca="1" si="988"/>
        <v>0</v>
      </c>
      <c r="FR153" s="232">
        <f t="shared" ca="1" si="988"/>
        <v>0</v>
      </c>
      <c r="FS153" s="232">
        <f t="shared" ca="1" si="988"/>
        <v>0</v>
      </c>
      <c r="FT153" s="232">
        <f t="shared" ca="1" si="988"/>
        <v>0</v>
      </c>
      <c r="FU153" s="232">
        <f t="shared" ca="1" si="988"/>
        <v>0</v>
      </c>
      <c r="FV153" s="321"/>
    </row>
    <row r="154" spans="2:178" x14ac:dyDescent="0.2">
      <c r="C154" s="39" t="s">
        <v>100</v>
      </c>
      <c r="E154" s="163">
        <f t="shared" si="983"/>
        <v>-148500.00000000003</v>
      </c>
      <c r="F154" s="259">
        <f t="shared" ref="F154:AK154" si="989">IF($K$50=TRUE,0,(F58=$F$9)*-$F$31)</f>
        <v>-148500.00000000003</v>
      </c>
      <c r="G154" s="232">
        <f t="shared" si="989"/>
        <v>0</v>
      </c>
      <c r="H154" s="232">
        <f t="shared" si="989"/>
        <v>0</v>
      </c>
      <c r="I154" s="232">
        <f t="shared" si="989"/>
        <v>0</v>
      </c>
      <c r="J154" s="232">
        <f t="shared" si="989"/>
        <v>0</v>
      </c>
      <c r="K154" s="232">
        <f t="shared" si="989"/>
        <v>0</v>
      </c>
      <c r="L154" s="232">
        <f t="shared" si="989"/>
        <v>0</v>
      </c>
      <c r="M154" s="232">
        <f t="shared" si="989"/>
        <v>0</v>
      </c>
      <c r="N154" s="232">
        <f t="shared" si="989"/>
        <v>0</v>
      </c>
      <c r="O154" s="232">
        <f t="shared" si="989"/>
        <v>0</v>
      </c>
      <c r="P154" s="232">
        <f t="shared" si="989"/>
        <v>0</v>
      </c>
      <c r="Q154" s="232">
        <f t="shared" si="989"/>
        <v>0</v>
      </c>
      <c r="R154" s="232">
        <f t="shared" si="989"/>
        <v>0</v>
      </c>
      <c r="S154" s="232">
        <f t="shared" si="989"/>
        <v>0</v>
      </c>
      <c r="T154" s="232">
        <f t="shared" si="989"/>
        <v>0</v>
      </c>
      <c r="U154" s="232">
        <f t="shared" si="989"/>
        <v>0</v>
      </c>
      <c r="V154" s="232">
        <f t="shared" si="989"/>
        <v>0</v>
      </c>
      <c r="W154" s="232">
        <f t="shared" si="989"/>
        <v>0</v>
      </c>
      <c r="X154" s="232">
        <f t="shared" si="989"/>
        <v>0</v>
      </c>
      <c r="Y154" s="232">
        <f t="shared" si="989"/>
        <v>0</v>
      </c>
      <c r="Z154" s="232">
        <f t="shared" si="989"/>
        <v>0</v>
      </c>
      <c r="AA154" s="232">
        <f t="shared" si="989"/>
        <v>0</v>
      </c>
      <c r="AB154" s="232">
        <f t="shared" si="989"/>
        <v>0</v>
      </c>
      <c r="AC154" s="232">
        <f t="shared" si="989"/>
        <v>0</v>
      </c>
      <c r="AD154" s="232">
        <f t="shared" si="989"/>
        <v>0</v>
      </c>
      <c r="AE154" s="232">
        <f t="shared" si="989"/>
        <v>0</v>
      </c>
      <c r="AF154" s="232">
        <f t="shared" si="989"/>
        <v>0</v>
      </c>
      <c r="AG154" s="232">
        <f t="shared" si="989"/>
        <v>0</v>
      </c>
      <c r="AH154" s="232">
        <f t="shared" si="989"/>
        <v>0</v>
      </c>
      <c r="AI154" s="232">
        <f t="shared" si="989"/>
        <v>0</v>
      </c>
      <c r="AJ154" s="232">
        <f t="shared" si="989"/>
        <v>0</v>
      </c>
      <c r="AK154" s="232">
        <f t="shared" si="989"/>
        <v>0</v>
      </c>
      <c r="AL154" s="232">
        <f t="shared" ref="AL154:BQ154" si="990">IF($K$50=TRUE,0,(AL58=$F$9)*-$F$31)</f>
        <v>0</v>
      </c>
      <c r="AM154" s="232">
        <f t="shared" si="990"/>
        <v>0</v>
      </c>
      <c r="AN154" s="232">
        <f t="shared" si="990"/>
        <v>0</v>
      </c>
      <c r="AO154" s="232">
        <f t="shared" si="990"/>
        <v>0</v>
      </c>
      <c r="AP154" s="232">
        <f t="shared" si="990"/>
        <v>0</v>
      </c>
      <c r="AQ154" s="232">
        <f t="shared" si="990"/>
        <v>0</v>
      </c>
      <c r="AR154" s="232">
        <f t="shared" si="990"/>
        <v>0</v>
      </c>
      <c r="AS154" s="232">
        <f t="shared" si="990"/>
        <v>0</v>
      </c>
      <c r="AT154" s="232">
        <f t="shared" si="990"/>
        <v>0</v>
      </c>
      <c r="AU154" s="232">
        <f t="shared" si="990"/>
        <v>0</v>
      </c>
      <c r="AV154" s="232">
        <f t="shared" si="990"/>
        <v>0</v>
      </c>
      <c r="AW154" s="232">
        <f t="shared" si="990"/>
        <v>0</v>
      </c>
      <c r="AX154" s="232">
        <f t="shared" si="990"/>
        <v>0</v>
      </c>
      <c r="AY154" s="232">
        <f t="shared" si="990"/>
        <v>0</v>
      </c>
      <c r="AZ154" s="232">
        <f t="shared" si="990"/>
        <v>0</v>
      </c>
      <c r="BA154" s="232">
        <f t="shared" si="990"/>
        <v>0</v>
      </c>
      <c r="BB154" s="232">
        <f t="shared" si="990"/>
        <v>0</v>
      </c>
      <c r="BC154" s="232">
        <f t="shared" si="990"/>
        <v>0</v>
      </c>
      <c r="BD154" s="232">
        <f t="shared" si="990"/>
        <v>0</v>
      </c>
      <c r="BE154" s="232">
        <f t="shared" si="990"/>
        <v>0</v>
      </c>
      <c r="BF154" s="232">
        <f t="shared" si="990"/>
        <v>0</v>
      </c>
      <c r="BG154" s="232">
        <f t="shared" si="990"/>
        <v>0</v>
      </c>
      <c r="BH154" s="232">
        <f t="shared" si="990"/>
        <v>0</v>
      </c>
      <c r="BI154" s="232">
        <f t="shared" si="990"/>
        <v>0</v>
      </c>
      <c r="BJ154" s="232">
        <f t="shared" si="990"/>
        <v>0</v>
      </c>
      <c r="BK154" s="232">
        <f t="shared" si="990"/>
        <v>0</v>
      </c>
      <c r="BL154" s="232">
        <f t="shared" si="990"/>
        <v>0</v>
      </c>
      <c r="BM154" s="232">
        <f t="shared" si="990"/>
        <v>0</v>
      </c>
      <c r="BN154" s="232">
        <f t="shared" si="990"/>
        <v>0</v>
      </c>
      <c r="BO154" s="232">
        <f t="shared" si="990"/>
        <v>0</v>
      </c>
      <c r="BP154" s="232">
        <f t="shared" si="990"/>
        <v>0</v>
      </c>
      <c r="BQ154" s="232">
        <f t="shared" si="990"/>
        <v>0</v>
      </c>
      <c r="BR154" s="232">
        <f t="shared" ref="BR154:CW154" si="991">IF($K$50=TRUE,0,(BR58=$F$9)*-$F$31)</f>
        <v>0</v>
      </c>
      <c r="BS154" s="232">
        <f t="shared" si="991"/>
        <v>0</v>
      </c>
      <c r="BT154" s="232">
        <f t="shared" si="991"/>
        <v>0</v>
      </c>
      <c r="BU154" s="232">
        <f t="shared" si="991"/>
        <v>0</v>
      </c>
      <c r="BV154" s="232">
        <f t="shared" si="991"/>
        <v>0</v>
      </c>
      <c r="BW154" s="232">
        <f t="shared" si="991"/>
        <v>0</v>
      </c>
      <c r="BX154" s="232">
        <f t="shared" si="991"/>
        <v>0</v>
      </c>
      <c r="BY154" s="232">
        <f t="shared" si="991"/>
        <v>0</v>
      </c>
      <c r="BZ154" s="232">
        <f t="shared" si="991"/>
        <v>0</v>
      </c>
      <c r="CA154" s="232">
        <f t="shared" si="991"/>
        <v>0</v>
      </c>
      <c r="CB154" s="232">
        <f t="shared" si="991"/>
        <v>0</v>
      </c>
      <c r="CC154" s="232">
        <f t="shared" si="991"/>
        <v>0</v>
      </c>
      <c r="CD154" s="232">
        <f t="shared" si="991"/>
        <v>0</v>
      </c>
      <c r="CE154" s="232">
        <f t="shared" si="991"/>
        <v>0</v>
      </c>
      <c r="CF154" s="232">
        <f t="shared" si="991"/>
        <v>0</v>
      </c>
      <c r="CG154" s="232">
        <f t="shared" si="991"/>
        <v>0</v>
      </c>
      <c r="CH154" s="232">
        <f t="shared" si="991"/>
        <v>0</v>
      </c>
      <c r="CI154" s="232">
        <f t="shared" si="991"/>
        <v>0</v>
      </c>
      <c r="CJ154" s="232">
        <f t="shared" si="991"/>
        <v>0</v>
      </c>
      <c r="CK154" s="232">
        <f t="shared" si="991"/>
        <v>0</v>
      </c>
      <c r="CL154" s="232">
        <f t="shared" si="991"/>
        <v>0</v>
      </c>
      <c r="CM154" s="232">
        <f t="shared" si="991"/>
        <v>0</v>
      </c>
      <c r="CN154" s="232">
        <f t="shared" si="991"/>
        <v>0</v>
      </c>
      <c r="CO154" s="232">
        <f t="shared" si="991"/>
        <v>0</v>
      </c>
      <c r="CP154" s="232">
        <f t="shared" si="991"/>
        <v>0</v>
      </c>
      <c r="CQ154" s="232">
        <f t="shared" si="991"/>
        <v>0</v>
      </c>
      <c r="CR154" s="232">
        <f t="shared" si="991"/>
        <v>0</v>
      </c>
      <c r="CS154" s="232">
        <f t="shared" si="991"/>
        <v>0</v>
      </c>
      <c r="CT154" s="232">
        <f t="shared" si="991"/>
        <v>0</v>
      </c>
      <c r="CU154" s="232">
        <f t="shared" si="991"/>
        <v>0</v>
      </c>
      <c r="CV154" s="232">
        <f t="shared" si="991"/>
        <v>0</v>
      </c>
      <c r="CW154" s="232">
        <f t="shared" si="991"/>
        <v>0</v>
      </c>
      <c r="CX154" s="232">
        <f t="shared" ref="CX154:EC154" si="992">IF($K$50=TRUE,0,(CX58=$F$9)*-$F$31)</f>
        <v>0</v>
      </c>
      <c r="CY154" s="232">
        <f t="shared" si="992"/>
        <v>0</v>
      </c>
      <c r="CZ154" s="232">
        <f t="shared" si="992"/>
        <v>0</v>
      </c>
      <c r="DA154" s="232">
        <f t="shared" si="992"/>
        <v>0</v>
      </c>
      <c r="DB154" s="232">
        <f t="shared" si="992"/>
        <v>0</v>
      </c>
      <c r="DC154" s="232">
        <f t="shared" si="992"/>
        <v>0</v>
      </c>
      <c r="DD154" s="232">
        <f t="shared" si="992"/>
        <v>0</v>
      </c>
      <c r="DE154" s="232">
        <f t="shared" si="992"/>
        <v>0</v>
      </c>
      <c r="DF154" s="232">
        <f t="shared" si="992"/>
        <v>0</v>
      </c>
      <c r="DG154" s="232">
        <f t="shared" si="992"/>
        <v>0</v>
      </c>
      <c r="DH154" s="232">
        <f t="shared" si="992"/>
        <v>0</v>
      </c>
      <c r="DI154" s="232">
        <f t="shared" si="992"/>
        <v>0</v>
      </c>
      <c r="DJ154" s="232">
        <f t="shared" si="992"/>
        <v>0</v>
      </c>
      <c r="DK154" s="232">
        <f t="shared" si="992"/>
        <v>0</v>
      </c>
      <c r="DL154" s="232">
        <f t="shared" si="992"/>
        <v>0</v>
      </c>
      <c r="DM154" s="232">
        <f t="shared" si="992"/>
        <v>0</v>
      </c>
      <c r="DN154" s="232">
        <f t="shared" si="992"/>
        <v>0</v>
      </c>
      <c r="DO154" s="232">
        <f t="shared" si="992"/>
        <v>0</v>
      </c>
      <c r="DP154" s="232">
        <f t="shared" si="992"/>
        <v>0</v>
      </c>
      <c r="DQ154" s="232">
        <f t="shared" si="992"/>
        <v>0</v>
      </c>
      <c r="DR154" s="232">
        <f t="shared" si="992"/>
        <v>0</v>
      </c>
      <c r="DS154" s="232">
        <f t="shared" si="992"/>
        <v>0</v>
      </c>
      <c r="DT154" s="232">
        <f t="shared" si="992"/>
        <v>0</v>
      </c>
      <c r="DU154" s="232">
        <f t="shared" si="992"/>
        <v>0</v>
      </c>
      <c r="DV154" s="232">
        <f t="shared" si="992"/>
        <v>0</v>
      </c>
      <c r="DW154" s="232">
        <f t="shared" si="992"/>
        <v>0</v>
      </c>
      <c r="DX154" s="232">
        <f t="shared" si="992"/>
        <v>0</v>
      </c>
      <c r="DY154" s="232">
        <f t="shared" si="992"/>
        <v>0</v>
      </c>
      <c r="DZ154" s="232">
        <f t="shared" si="992"/>
        <v>0</v>
      </c>
      <c r="EA154" s="232">
        <f t="shared" si="992"/>
        <v>0</v>
      </c>
      <c r="EB154" s="232">
        <f t="shared" si="992"/>
        <v>0</v>
      </c>
      <c r="EC154" s="232">
        <f t="shared" si="992"/>
        <v>0</v>
      </c>
      <c r="ED154" s="232">
        <f t="shared" ref="ED154:FF154" si="993">IF($K$50=TRUE,0,(ED58=$F$9)*-$F$31)</f>
        <v>0</v>
      </c>
      <c r="EE154" s="232">
        <f t="shared" si="993"/>
        <v>0</v>
      </c>
      <c r="EF154" s="232">
        <f t="shared" si="993"/>
        <v>0</v>
      </c>
      <c r="EG154" s="232">
        <f t="shared" si="993"/>
        <v>0</v>
      </c>
      <c r="EH154" s="232">
        <f t="shared" si="993"/>
        <v>0</v>
      </c>
      <c r="EI154" s="232">
        <f t="shared" si="993"/>
        <v>0</v>
      </c>
      <c r="EJ154" s="232">
        <f t="shared" si="993"/>
        <v>0</v>
      </c>
      <c r="EK154" s="232">
        <f t="shared" si="993"/>
        <v>0</v>
      </c>
      <c r="EL154" s="232">
        <f t="shared" si="993"/>
        <v>0</v>
      </c>
      <c r="EM154" s="232">
        <f t="shared" si="993"/>
        <v>0</v>
      </c>
      <c r="EN154" s="232">
        <f t="shared" si="993"/>
        <v>0</v>
      </c>
      <c r="EO154" s="232">
        <f t="shared" si="993"/>
        <v>0</v>
      </c>
      <c r="EP154" s="232">
        <f t="shared" si="993"/>
        <v>0</v>
      </c>
      <c r="EQ154" s="232">
        <f t="shared" si="993"/>
        <v>0</v>
      </c>
      <c r="ER154" s="232">
        <f t="shared" si="993"/>
        <v>0</v>
      </c>
      <c r="ES154" s="232">
        <f t="shared" si="993"/>
        <v>0</v>
      </c>
      <c r="ET154" s="232">
        <f t="shared" si="993"/>
        <v>0</v>
      </c>
      <c r="EU154" s="232">
        <f t="shared" si="993"/>
        <v>0</v>
      </c>
      <c r="EV154" s="232">
        <f t="shared" si="993"/>
        <v>0</v>
      </c>
      <c r="EW154" s="232">
        <f t="shared" si="993"/>
        <v>0</v>
      </c>
      <c r="EX154" s="232">
        <f t="shared" si="993"/>
        <v>0</v>
      </c>
      <c r="EY154" s="232">
        <f t="shared" si="993"/>
        <v>0</v>
      </c>
      <c r="EZ154" s="232">
        <f t="shared" si="993"/>
        <v>0</v>
      </c>
      <c r="FA154" s="232">
        <f t="shared" si="993"/>
        <v>0</v>
      </c>
      <c r="FB154" s="232">
        <f t="shared" si="993"/>
        <v>0</v>
      </c>
      <c r="FC154" s="232">
        <f t="shared" si="993"/>
        <v>0</v>
      </c>
      <c r="FD154" s="232">
        <f t="shared" si="993"/>
        <v>0</v>
      </c>
      <c r="FE154" s="232">
        <f t="shared" si="993"/>
        <v>0</v>
      </c>
      <c r="FF154" s="232">
        <f t="shared" si="993"/>
        <v>0</v>
      </c>
      <c r="FG154" s="321"/>
      <c r="FH154" s="232">
        <f t="shared" si="988"/>
        <v>-148500.00000000003</v>
      </c>
      <c r="FI154" s="232">
        <f t="shared" si="988"/>
        <v>0</v>
      </c>
      <c r="FJ154" s="232">
        <f t="shared" si="988"/>
        <v>0</v>
      </c>
      <c r="FK154" s="232">
        <f t="shared" si="988"/>
        <v>0</v>
      </c>
      <c r="FL154" s="232">
        <f t="shared" si="988"/>
        <v>0</v>
      </c>
      <c r="FM154" s="232">
        <f t="shared" si="988"/>
        <v>0</v>
      </c>
      <c r="FN154" s="232">
        <f t="shared" si="988"/>
        <v>0</v>
      </c>
      <c r="FO154" s="232">
        <f t="shared" si="988"/>
        <v>0</v>
      </c>
      <c r="FP154" s="232">
        <f t="shared" si="988"/>
        <v>0</v>
      </c>
      <c r="FQ154" s="232">
        <f t="shared" si="988"/>
        <v>0</v>
      </c>
      <c r="FR154" s="232">
        <f t="shared" si="988"/>
        <v>0</v>
      </c>
      <c r="FS154" s="232">
        <f t="shared" si="988"/>
        <v>0</v>
      </c>
      <c r="FT154" s="232">
        <f t="shared" si="988"/>
        <v>0</v>
      </c>
      <c r="FU154" s="232">
        <f t="shared" si="988"/>
        <v>0</v>
      </c>
      <c r="FV154" s="321"/>
    </row>
    <row r="155" spans="2:178" x14ac:dyDescent="0.2">
      <c r="C155" s="39" t="s">
        <v>190</v>
      </c>
      <c r="E155" s="163">
        <f t="shared" si="983"/>
        <v>13350000.000000002</v>
      </c>
      <c r="F155" s="259">
        <f t="shared" ref="F155:AK155" si="994">F185</f>
        <v>13350000.000000002</v>
      </c>
      <c r="G155" s="232">
        <f t="shared" si="994"/>
        <v>0</v>
      </c>
      <c r="H155" s="232">
        <f t="shared" si="994"/>
        <v>0</v>
      </c>
      <c r="I155" s="232">
        <f t="shared" si="994"/>
        <v>0</v>
      </c>
      <c r="J155" s="232">
        <f t="shared" si="994"/>
        <v>0</v>
      </c>
      <c r="K155" s="232">
        <f t="shared" si="994"/>
        <v>0</v>
      </c>
      <c r="L155" s="232">
        <f t="shared" si="994"/>
        <v>0</v>
      </c>
      <c r="M155" s="232">
        <f t="shared" si="994"/>
        <v>0</v>
      </c>
      <c r="N155" s="232">
        <f t="shared" si="994"/>
        <v>0</v>
      </c>
      <c r="O155" s="232">
        <f t="shared" si="994"/>
        <v>0</v>
      </c>
      <c r="P155" s="232">
        <f t="shared" si="994"/>
        <v>0</v>
      </c>
      <c r="Q155" s="232">
        <f t="shared" si="994"/>
        <v>0</v>
      </c>
      <c r="R155" s="232">
        <f t="shared" si="994"/>
        <v>0</v>
      </c>
      <c r="S155" s="232">
        <f t="shared" si="994"/>
        <v>0</v>
      </c>
      <c r="T155" s="232">
        <f t="shared" si="994"/>
        <v>0</v>
      </c>
      <c r="U155" s="232">
        <f t="shared" si="994"/>
        <v>0</v>
      </c>
      <c r="V155" s="232">
        <f t="shared" si="994"/>
        <v>0</v>
      </c>
      <c r="W155" s="232">
        <f t="shared" si="994"/>
        <v>0</v>
      </c>
      <c r="X155" s="232">
        <f t="shared" si="994"/>
        <v>0</v>
      </c>
      <c r="Y155" s="232">
        <f t="shared" si="994"/>
        <v>0</v>
      </c>
      <c r="Z155" s="232">
        <f t="shared" si="994"/>
        <v>0</v>
      </c>
      <c r="AA155" s="232">
        <f t="shared" si="994"/>
        <v>0</v>
      </c>
      <c r="AB155" s="232">
        <f t="shared" si="994"/>
        <v>0</v>
      </c>
      <c r="AC155" s="232">
        <f t="shared" si="994"/>
        <v>0</v>
      </c>
      <c r="AD155" s="232">
        <f t="shared" si="994"/>
        <v>0</v>
      </c>
      <c r="AE155" s="232">
        <f t="shared" si="994"/>
        <v>0</v>
      </c>
      <c r="AF155" s="232">
        <f t="shared" si="994"/>
        <v>0</v>
      </c>
      <c r="AG155" s="232">
        <f t="shared" si="994"/>
        <v>0</v>
      </c>
      <c r="AH155" s="232">
        <f t="shared" si="994"/>
        <v>0</v>
      </c>
      <c r="AI155" s="232">
        <f t="shared" si="994"/>
        <v>0</v>
      </c>
      <c r="AJ155" s="232">
        <f t="shared" si="994"/>
        <v>0</v>
      </c>
      <c r="AK155" s="232">
        <f t="shared" si="994"/>
        <v>0</v>
      </c>
      <c r="AL155" s="232">
        <f t="shared" ref="AL155:BQ155" si="995">AL185</f>
        <v>0</v>
      </c>
      <c r="AM155" s="232">
        <f t="shared" si="995"/>
        <v>0</v>
      </c>
      <c r="AN155" s="232">
        <f t="shared" si="995"/>
        <v>0</v>
      </c>
      <c r="AO155" s="232">
        <f t="shared" si="995"/>
        <v>0</v>
      </c>
      <c r="AP155" s="232">
        <f t="shared" si="995"/>
        <v>0</v>
      </c>
      <c r="AQ155" s="232">
        <f t="shared" si="995"/>
        <v>0</v>
      </c>
      <c r="AR155" s="232">
        <f t="shared" si="995"/>
        <v>0</v>
      </c>
      <c r="AS155" s="232">
        <f t="shared" si="995"/>
        <v>0</v>
      </c>
      <c r="AT155" s="232">
        <f t="shared" si="995"/>
        <v>0</v>
      </c>
      <c r="AU155" s="232">
        <f t="shared" si="995"/>
        <v>0</v>
      </c>
      <c r="AV155" s="232">
        <f t="shared" si="995"/>
        <v>0</v>
      </c>
      <c r="AW155" s="232">
        <f t="shared" si="995"/>
        <v>0</v>
      </c>
      <c r="AX155" s="232">
        <f t="shared" si="995"/>
        <v>0</v>
      </c>
      <c r="AY155" s="232">
        <f t="shared" si="995"/>
        <v>0</v>
      </c>
      <c r="AZ155" s="232">
        <f t="shared" si="995"/>
        <v>0</v>
      </c>
      <c r="BA155" s="232">
        <f t="shared" si="995"/>
        <v>0</v>
      </c>
      <c r="BB155" s="232">
        <f t="shared" si="995"/>
        <v>0</v>
      </c>
      <c r="BC155" s="232">
        <f t="shared" si="995"/>
        <v>0</v>
      </c>
      <c r="BD155" s="232">
        <f t="shared" si="995"/>
        <v>0</v>
      </c>
      <c r="BE155" s="232">
        <f t="shared" si="995"/>
        <v>0</v>
      </c>
      <c r="BF155" s="232">
        <f t="shared" si="995"/>
        <v>0</v>
      </c>
      <c r="BG155" s="232">
        <f t="shared" si="995"/>
        <v>0</v>
      </c>
      <c r="BH155" s="232">
        <f t="shared" si="995"/>
        <v>0</v>
      </c>
      <c r="BI155" s="232">
        <f t="shared" si="995"/>
        <v>0</v>
      </c>
      <c r="BJ155" s="232">
        <f t="shared" si="995"/>
        <v>0</v>
      </c>
      <c r="BK155" s="232">
        <f t="shared" si="995"/>
        <v>0</v>
      </c>
      <c r="BL155" s="232">
        <f t="shared" si="995"/>
        <v>0</v>
      </c>
      <c r="BM155" s="232">
        <f t="shared" si="995"/>
        <v>0</v>
      </c>
      <c r="BN155" s="232">
        <f t="shared" si="995"/>
        <v>0</v>
      </c>
      <c r="BO155" s="232">
        <f t="shared" si="995"/>
        <v>0</v>
      </c>
      <c r="BP155" s="232">
        <f t="shared" si="995"/>
        <v>0</v>
      </c>
      <c r="BQ155" s="232">
        <f t="shared" si="995"/>
        <v>0</v>
      </c>
      <c r="BR155" s="232">
        <f t="shared" ref="BR155:CW155" si="996">BR185</f>
        <v>0</v>
      </c>
      <c r="BS155" s="232">
        <f t="shared" si="996"/>
        <v>0</v>
      </c>
      <c r="BT155" s="232">
        <f t="shared" si="996"/>
        <v>0</v>
      </c>
      <c r="BU155" s="232">
        <f t="shared" si="996"/>
        <v>0</v>
      </c>
      <c r="BV155" s="232">
        <f t="shared" si="996"/>
        <v>0</v>
      </c>
      <c r="BW155" s="232">
        <f t="shared" si="996"/>
        <v>0</v>
      </c>
      <c r="BX155" s="232">
        <f t="shared" si="996"/>
        <v>0</v>
      </c>
      <c r="BY155" s="232">
        <f t="shared" si="996"/>
        <v>0</v>
      </c>
      <c r="BZ155" s="232">
        <f t="shared" si="996"/>
        <v>0</v>
      </c>
      <c r="CA155" s="232">
        <f t="shared" si="996"/>
        <v>0</v>
      </c>
      <c r="CB155" s="232">
        <f t="shared" si="996"/>
        <v>0</v>
      </c>
      <c r="CC155" s="232">
        <f t="shared" si="996"/>
        <v>0</v>
      </c>
      <c r="CD155" s="232">
        <f t="shared" si="996"/>
        <v>0</v>
      </c>
      <c r="CE155" s="232">
        <f t="shared" si="996"/>
        <v>0</v>
      </c>
      <c r="CF155" s="232">
        <f t="shared" si="996"/>
        <v>0</v>
      </c>
      <c r="CG155" s="232">
        <f t="shared" si="996"/>
        <v>0</v>
      </c>
      <c r="CH155" s="232">
        <f t="shared" si="996"/>
        <v>0</v>
      </c>
      <c r="CI155" s="232">
        <f t="shared" si="996"/>
        <v>0</v>
      </c>
      <c r="CJ155" s="232">
        <f t="shared" si="996"/>
        <v>0</v>
      </c>
      <c r="CK155" s="232">
        <f t="shared" si="996"/>
        <v>0</v>
      </c>
      <c r="CL155" s="232">
        <f t="shared" si="996"/>
        <v>0</v>
      </c>
      <c r="CM155" s="232">
        <f t="shared" si="996"/>
        <v>0</v>
      </c>
      <c r="CN155" s="232">
        <f t="shared" si="996"/>
        <v>0</v>
      </c>
      <c r="CO155" s="232">
        <f t="shared" si="996"/>
        <v>0</v>
      </c>
      <c r="CP155" s="232">
        <f t="shared" si="996"/>
        <v>0</v>
      </c>
      <c r="CQ155" s="232">
        <f t="shared" si="996"/>
        <v>0</v>
      </c>
      <c r="CR155" s="232">
        <f t="shared" si="996"/>
        <v>0</v>
      </c>
      <c r="CS155" s="232">
        <f t="shared" si="996"/>
        <v>0</v>
      </c>
      <c r="CT155" s="232">
        <f t="shared" si="996"/>
        <v>0</v>
      </c>
      <c r="CU155" s="232">
        <f t="shared" si="996"/>
        <v>0</v>
      </c>
      <c r="CV155" s="232">
        <f t="shared" si="996"/>
        <v>0</v>
      </c>
      <c r="CW155" s="232">
        <f t="shared" si="996"/>
        <v>0</v>
      </c>
      <c r="CX155" s="232">
        <f t="shared" ref="CX155:EC155" si="997">CX185</f>
        <v>0</v>
      </c>
      <c r="CY155" s="232">
        <f t="shared" si="997"/>
        <v>0</v>
      </c>
      <c r="CZ155" s="232">
        <f t="shared" si="997"/>
        <v>0</v>
      </c>
      <c r="DA155" s="232">
        <f t="shared" si="997"/>
        <v>0</v>
      </c>
      <c r="DB155" s="232">
        <f t="shared" si="997"/>
        <v>0</v>
      </c>
      <c r="DC155" s="232">
        <f t="shared" si="997"/>
        <v>0</v>
      </c>
      <c r="DD155" s="232">
        <f t="shared" si="997"/>
        <v>0</v>
      </c>
      <c r="DE155" s="232">
        <f t="shared" si="997"/>
        <v>0</v>
      </c>
      <c r="DF155" s="232">
        <f t="shared" si="997"/>
        <v>0</v>
      </c>
      <c r="DG155" s="232">
        <f t="shared" si="997"/>
        <v>0</v>
      </c>
      <c r="DH155" s="232">
        <f t="shared" si="997"/>
        <v>0</v>
      </c>
      <c r="DI155" s="232">
        <f t="shared" si="997"/>
        <v>0</v>
      </c>
      <c r="DJ155" s="232">
        <f t="shared" si="997"/>
        <v>0</v>
      </c>
      <c r="DK155" s="232">
        <f t="shared" si="997"/>
        <v>0</v>
      </c>
      <c r="DL155" s="232">
        <f t="shared" si="997"/>
        <v>0</v>
      </c>
      <c r="DM155" s="232">
        <f t="shared" si="997"/>
        <v>0</v>
      </c>
      <c r="DN155" s="232">
        <f t="shared" si="997"/>
        <v>0</v>
      </c>
      <c r="DO155" s="232">
        <f t="shared" si="997"/>
        <v>0</v>
      </c>
      <c r="DP155" s="232">
        <f t="shared" si="997"/>
        <v>0</v>
      </c>
      <c r="DQ155" s="232">
        <f t="shared" si="997"/>
        <v>0</v>
      </c>
      <c r="DR155" s="232">
        <f t="shared" si="997"/>
        <v>0</v>
      </c>
      <c r="DS155" s="232">
        <f t="shared" si="997"/>
        <v>0</v>
      </c>
      <c r="DT155" s="232">
        <f t="shared" si="997"/>
        <v>0</v>
      </c>
      <c r="DU155" s="232">
        <f t="shared" si="997"/>
        <v>0</v>
      </c>
      <c r="DV155" s="232">
        <f t="shared" si="997"/>
        <v>0</v>
      </c>
      <c r="DW155" s="232">
        <f t="shared" si="997"/>
        <v>0</v>
      </c>
      <c r="DX155" s="232">
        <f t="shared" si="997"/>
        <v>0</v>
      </c>
      <c r="DY155" s="232">
        <f t="shared" si="997"/>
        <v>0</v>
      </c>
      <c r="DZ155" s="232">
        <f t="shared" si="997"/>
        <v>0</v>
      </c>
      <c r="EA155" s="232">
        <f t="shared" si="997"/>
        <v>0</v>
      </c>
      <c r="EB155" s="232">
        <f t="shared" si="997"/>
        <v>0</v>
      </c>
      <c r="EC155" s="232">
        <f t="shared" si="997"/>
        <v>0</v>
      </c>
      <c r="ED155" s="232">
        <f t="shared" ref="ED155:FF155" si="998">ED185</f>
        <v>0</v>
      </c>
      <c r="EE155" s="232">
        <f t="shared" si="998"/>
        <v>0</v>
      </c>
      <c r="EF155" s="232">
        <f t="shared" si="998"/>
        <v>0</v>
      </c>
      <c r="EG155" s="232">
        <f t="shared" si="998"/>
        <v>0</v>
      </c>
      <c r="EH155" s="232">
        <f t="shared" si="998"/>
        <v>0</v>
      </c>
      <c r="EI155" s="232">
        <f t="shared" si="998"/>
        <v>0</v>
      </c>
      <c r="EJ155" s="232">
        <f t="shared" si="998"/>
        <v>0</v>
      </c>
      <c r="EK155" s="232">
        <f t="shared" si="998"/>
        <v>0</v>
      </c>
      <c r="EL155" s="232">
        <f t="shared" si="998"/>
        <v>0</v>
      </c>
      <c r="EM155" s="232">
        <f t="shared" si="998"/>
        <v>0</v>
      </c>
      <c r="EN155" s="232">
        <f t="shared" si="998"/>
        <v>0</v>
      </c>
      <c r="EO155" s="232">
        <f t="shared" si="998"/>
        <v>0</v>
      </c>
      <c r="EP155" s="232">
        <f t="shared" si="998"/>
        <v>0</v>
      </c>
      <c r="EQ155" s="232">
        <f t="shared" si="998"/>
        <v>0</v>
      </c>
      <c r="ER155" s="232">
        <f t="shared" si="998"/>
        <v>0</v>
      </c>
      <c r="ES155" s="232">
        <f t="shared" si="998"/>
        <v>0</v>
      </c>
      <c r="ET155" s="232">
        <f t="shared" si="998"/>
        <v>0</v>
      </c>
      <c r="EU155" s="232">
        <f t="shared" si="998"/>
        <v>0</v>
      </c>
      <c r="EV155" s="232">
        <f t="shared" si="998"/>
        <v>0</v>
      </c>
      <c r="EW155" s="232">
        <f t="shared" si="998"/>
        <v>0</v>
      </c>
      <c r="EX155" s="232">
        <f t="shared" si="998"/>
        <v>0</v>
      </c>
      <c r="EY155" s="232">
        <f t="shared" si="998"/>
        <v>0</v>
      </c>
      <c r="EZ155" s="232">
        <f t="shared" si="998"/>
        <v>0</v>
      </c>
      <c r="FA155" s="232">
        <f t="shared" si="998"/>
        <v>0</v>
      </c>
      <c r="FB155" s="232">
        <f t="shared" si="998"/>
        <v>0</v>
      </c>
      <c r="FC155" s="232">
        <f t="shared" si="998"/>
        <v>0</v>
      </c>
      <c r="FD155" s="232">
        <f t="shared" si="998"/>
        <v>0</v>
      </c>
      <c r="FE155" s="232">
        <f t="shared" si="998"/>
        <v>0</v>
      </c>
      <c r="FF155" s="232">
        <f t="shared" si="998"/>
        <v>0</v>
      </c>
      <c r="FG155" s="321"/>
      <c r="FH155" s="232">
        <f t="shared" si="988"/>
        <v>13350000.000000002</v>
      </c>
      <c r="FI155" s="232">
        <f t="shared" si="988"/>
        <v>0</v>
      </c>
      <c r="FJ155" s="232">
        <f t="shared" si="988"/>
        <v>0</v>
      </c>
      <c r="FK155" s="232">
        <f t="shared" si="988"/>
        <v>0</v>
      </c>
      <c r="FL155" s="232">
        <f t="shared" si="988"/>
        <v>0</v>
      </c>
      <c r="FM155" s="232">
        <f t="shared" si="988"/>
        <v>0</v>
      </c>
      <c r="FN155" s="232">
        <f t="shared" si="988"/>
        <v>0</v>
      </c>
      <c r="FO155" s="232">
        <f t="shared" si="988"/>
        <v>0</v>
      </c>
      <c r="FP155" s="232">
        <f t="shared" si="988"/>
        <v>0</v>
      </c>
      <c r="FQ155" s="232">
        <f t="shared" si="988"/>
        <v>0</v>
      </c>
      <c r="FR155" s="232">
        <f t="shared" si="988"/>
        <v>0</v>
      </c>
      <c r="FS155" s="232">
        <f t="shared" si="988"/>
        <v>0</v>
      </c>
      <c r="FT155" s="232">
        <f t="shared" si="988"/>
        <v>0</v>
      </c>
      <c r="FU155" s="232">
        <f t="shared" si="988"/>
        <v>0</v>
      </c>
      <c r="FV155" s="321"/>
    </row>
    <row r="156" spans="2:178" x14ac:dyDescent="0.2">
      <c r="C156" s="39" t="s">
        <v>191</v>
      </c>
      <c r="E156" s="163">
        <f t="shared" si="983"/>
        <v>-3153366.466943414</v>
      </c>
      <c r="F156" s="259">
        <f>SUM(F187:F188)</f>
        <v>0</v>
      </c>
      <c r="G156" s="232">
        <f t="shared" ref="G156:BR156" si="999">SUM(G187:G188)</f>
        <v>-77875.000000000015</v>
      </c>
      <c r="H156" s="232">
        <f t="shared" si="999"/>
        <v>-77875.000000000015</v>
      </c>
      <c r="I156" s="232">
        <f t="shared" si="999"/>
        <v>-77875.000000000015</v>
      </c>
      <c r="J156" s="232">
        <f t="shared" si="999"/>
        <v>-77875.000000000015</v>
      </c>
      <c r="K156" s="232">
        <f t="shared" si="999"/>
        <v>-77875.000000000015</v>
      </c>
      <c r="L156" s="232">
        <f t="shared" si="999"/>
        <v>-77875.000000000015</v>
      </c>
      <c r="M156" s="232">
        <f t="shared" si="999"/>
        <v>-77875.000000000015</v>
      </c>
      <c r="N156" s="232">
        <f t="shared" si="999"/>
        <v>-77875.000000000015</v>
      </c>
      <c r="O156" s="232">
        <f t="shared" si="999"/>
        <v>-77875.000000000015</v>
      </c>
      <c r="P156" s="232">
        <f t="shared" si="999"/>
        <v>-77875.000000000015</v>
      </c>
      <c r="Q156" s="232">
        <f t="shared" si="999"/>
        <v>-77875.000000000015</v>
      </c>
      <c r="R156" s="232">
        <f t="shared" si="999"/>
        <v>-77875.000000000015</v>
      </c>
      <c r="S156" s="232">
        <f t="shared" si="999"/>
        <v>-77875.000000000015</v>
      </c>
      <c r="T156" s="232">
        <f t="shared" si="999"/>
        <v>-77875.000000000015</v>
      </c>
      <c r="U156" s="232">
        <f t="shared" si="999"/>
        <v>-77875.000000000015</v>
      </c>
      <c r="V156" s="232">
        <f t="shared" si="999"/>
        <v>-77875.000000000015</v>
      </c>
      <c r="W156" s="232">
        <f t="shared" si="999"/>
        <v>-77875.000000000015</v>
      </c>
      <c r="X156" s="232">
        <f t="shared" si="999"/>
        <v>-77875.000000000015</v>
      </c>
      <c r="Y156" s="232">
        <f t="shared" si="999"/>
        <v>-77875.000000000015</v>
      </c>
      <c r="Z156" s="232">
        <f t="shared" si="999"/>
        <v>-77875.000000000015</v>
      </c>
      <c r="AA156" s="232">
        <f t="shared" si="999"/>
        <v>-77875.000000000015</v>
      </c>
      <c r="AB156" s="232">
        <f t="shared" si="999"/>
        <v>-77875.000000000015</v>
      </c>
      <c r="AC156" s="232">
        <f t="shared" si="999"/>
        <v>-77875.000000000015</v>
      </c>
      <c r="AD156" s="232">
        <f t="shared" si="999"/>
        <v>-77875.000000000015</v>
      </c>
      <c r="AE156" s="232">
        <f t="shared" si="999"/>
        <v>-98797.420534108707</v>
      </c>
      <c r="AF156" s="232">
        <f t="shared" si="999"/>
        <v>-98797.420534108707</v>
      </c>
      <c r="AG156" s="232">
        <f t="shared" si="999"/>
        <v>-98797.420534108707</v>
      </c>
      <c r="AH156" s="232">
        <f t="shared" si="999"/>
        <v>-98797.420534108707</v>
      </c>
      <c r="AI156" s="232">
        <f t="shared" si="999"/>
        <v>-98797.420534108707</v>
      </c>
      <c r="AJ156" s="232">
        <f t="shared" si="999"/>
        <v>-98797.420534108707</v>
      </c>
      <c r="AK156" s="232">
        <f t="shared" si="999"/>
        <v>-98797.420534108707</v>
      </c>
      <c r="AL156" s="232">
        <f t="shared" si="999"/>
        <v>-98797.420534108707</v>
      </c>
      <c r="AM156" s="232">
        <f t="shared" si="999"/>
        <v>-98797.420534108707</v>
      </c>
      <c r="AN156" s="232">
        <f t="shared" si="999"/>
        <v>-98797.420534108707</v>
      </c>
      <c r="AO156" s="232">
        <f t="shared" si="999"/>
        <v>-98797.420534108707</v>
      </c>
      <c r="AP156" s="232">
        <f t="shared" si="999"/>
        <v>-98797.420534108707</v>
      </c>
      <c r="AQ156" s="232">
        <f t="shared" si="999"/>
        <v>-98797.420534108707</v>
      </c>
      <c r="AR156" s="232">
        <f t="shared" si="999"/>
        <v>0</v>
      </c>
      <c r="AS156" s="232">
        <f t="shared" si="999"/>
        <v>0</v>
      </c>
      <c r="AT156" s="232">
        <f t="shared" si="999"/>
        <v>0</v>
      </c>
      <c r="AU156" s="232">
        <f t="shared" si="999"/>
        <v>0</v>
      </c>
      <c r="AV156" s="232">
        <f t="shared" si="999"/>
        <v>0</v>
      </c>
      <c r="AW156" s="232">
        <f t="shared" si="999"/>
        <v>0</v>
      </c>
      <c r="AX156" s="232">
        <f t="shared" si="999"/>
        <v>0</v>
      </c>
      <c r="AY156" s="232">
        <f t="shared" si="999"/>
        <v>0</v>
      </c>
      <c r="AZ156" s="232">
        <f t="shared" si="999"/>
        <v>0</v>
      </c>
      <c r="BA156" s="232">
        <f t="shared" si="999"/>
        <v>0</v>
      </c>
      <c r="BB156" s="232">
        <f t="shared" si="999"/>
        <v>0</v>
      </c>
      <c r="BC156" s="232">
        <f t="shared" si="999"/>
        <v>0</v>
      </c>
      <c r="BD156" s="232">
        <f t="shared" si="999"/>
        <v>0</v>
      </c>
      <c r="BE156" s="232">
        <f t="shared" si="999"/>
        <v>0</v>
      </c>
      <c r="BF156" s="232">
        <f t="shared" si="999"/>
        <v>0</v>
      </c>
      <c r="BG156" s="232">
        <f t="shared" si="999"/>
        <v>0</v>
      </c>
      <c r="BH156" s="232">
        <f t="shared" si="999"/>
        <v>0</v>
      </c>
      <c r="BI156" s="232">
        <f t="shared" si="999"/>
        <v>0</v>
      </c>
      <c r="BJ156" s="232">
        <f t="shared" si="999"/>
        <v>0</v>
      </c>
      <c r="BK156" s="232">
        <f t="shared" si="999"/>
        <v>0</v>
      </c>
      <c r="BL156" s="232">
        <f t="shared" si="999"/>
        <v>0</v>
      </c>
      <c r="BM156" s="232">
        <f t="shared" si="999"/>
        <v>0</v>
      </c>
      <c r="BN156" s="232">
        <f t="shared" si="999"/>
        <v>0</v>
      </c>
      <c r="BO156" s="232">
        <f t="shared" si="999"/>
        <v>0</v>
      </c>
      <c r="BP156" s="232">
        <f t="shared" si="999"/>
        <v>0</v>
      </c>
      <c r="BQ156" s="232">
        <f t="shared" si="999"/>
        <v>0</v>
      </c>
      <c r="BR156" s="232">
        <f t="shared" si="999"/>
        <v>0</v>
      </c>
      <c r="BS156" s="232">
        <f t="shared" ref="BS156:ED156" si="1000">SUM(BS187:BS188)</f>
        <v>0</v>
      </c>
      <c r="BT156" s="232">
        <f t="shared" si="1000"/>
        <v>0</v>
      </c>
      <c r="BU156" s="232">
        <f t="shared" si="1000"/>
        <v>0</v>
      </c>
      <c r="BV156" s="232">
        <f t="shared" si="1000"/>
        <v>0</v>
      </c>
      <c r="BW156" s="232">
        <f t="shared" si="1000"/>
        <v>0</v>
      </c>
      <c r="BX156" s="232">
        <f t="shared" si="1000"/>
        <v>0</v>
      </c>
      <c r="BY156" s="232">
        <f t="shared" si="1000"/>
        <v>0</v>
      </c>
      <c r="BZ156" s="232">
        <f t="shared" si="1000"/>
        <v>0</v>
      </c>
      <c r="CA156" s="232">
        <f t="shared" si="1000"/>
        <v>0</v>
      </c>
      <c r="CB156" s="232">
        <f t="shared" si="1000"/>
        <v>0</v>
      </c>
      <c r="CC156" s="232">
        <f t="shared" si="1000"/>
        <v>0</v>
      </c>
      <c r="CD156" s="232">
        <f t="shared" si="1000"/>
        <v>0</v>
      </c>
      <c r="CE156" s="232">
        <f t="shared" si="1000"/>
        <v>0</v>
      </c>
      <c r="CF156" s="232">
        <f t="shared" si="1000"/>
        <v>0</v>
      </c>
      <c r="CG156" s="232">
        <f t="shared" si="1000"/>
        <v>0</v>
      </c>
      <c r="CH156" s="232">
        <f t="shared" si="1000"/>
        <v>0</v>
      </c>
      <c r="CI156" s="232">
        <f t="shared" si="1000"/>
        <v>0</v>
      </c>
      <c r="CJ156" s="232">
        <f t="shared" si="1000"/>
        <v>0</v>
      </c>
      <c r="CK156" s="232">
        <f t="shared" si="1000"/>
        <v>0</v>
      </c>
      <c r="CL156" s="232">
        <f t="shared" si="1000"/>
        <v>0</v>
      </c>
      <c r="CM156" s="232">
        <f t="shared" si="1000"/>
        <v>0</v>
      </c>
      <c r="CN156" s="232">
        <f t="shared" si="1000"/>
        <v>0</v>
      </c>
      <c r="CO156" s="232">
        <f t="shared" si="1000"/>
        <v>0</v>
      </c>
      <c r="CP156" s="232">
        <f t="shared" si="1000"/>
        <v>0</v>
      </c>
      <c r="CQ156" s="232">
        <f t="shared" si="1000"/>
        <v>0</v>
      </c>
      <c r="CR156" s="232">
        <f t="shared" si="1000"/>
        <v>0</v>
      </c>
      <c r="CS156" s="232">
        <f t="shared" si="1000"/>
        <v>0</v>
      </c>
      <c r="CT156" s="232">
        <f t="shared" si="1000"/>
        <v>0</v>
      </c>
      <c r="CU156" s="232">
        <f t="shared" si="1000"/>
        <v>0</v>
      </c>
      <c r="CV156" s="232">
        <f t="shared" si="1000"/>
        <v>0</v>
      </c>
      <c r="CW156" s="232">
        <f t="shared" si="1000"/>
        <v>0</v>
      </c>
      <c r="CX156" s="232">
        <f t="shared" si="1000"/>
        <v>0</v>
      </c>
      <c r="CY156" s="232">
        <f t="shared" si="1000"/>
        <v>0</v>
      </c>
      <c r="CZ156" s="232">
        <f t="shared" si="1000"/>
        <v>0</v>
      </c>
      <c r="DA156" s="232">
        <f t="shared" si="1000"/>
        <v>0</v>
      </c>
      <c r="DB156" s="232">
        <f t="shared" si="1000"/>
        <v>0</v>
      </c>
      <c r="DC156" s="232">
        <f t="shared" si="1000"/>
        <v>0</v>
      </c>
      <c r="DD156" s="232">
        <f t="shared" si="1000"/>
        <v>0</v>
      </c>
      <c r="DE156" s="232">
        <f t="shared" si="1000"/>
        <v>0</v>
      </c>
      <c r="DF156" s="232">
        <f t="shared" si="1000"/>
        <v>0</v>
      </c>
      <c r="DG156" s="232">
        <f t="shared" si="1000"/>
        <v>0</v>
      </c>
      <c r="DH156" s="232">
        <f t="shared" si="1000"/>
        <v>0</v>
      </c>
      <c r="DI156" s="232">
        <f t="shared" si="1000"/>
        <v>0</v>
      </c>
      <c r="DJ156" s="232">
        <f t="shared" si="1000"/>
        <v>0</v>
      </c>
      <c r="DK156" s="232">
        <f t="shared" si="1000"/>
        <v>0</v>
      </c>
      <c r="DL156" s="232">
        <f t="shared" si="1000"/>
        <v>0</v>
      </c>
      <c r="DM156" s="232">
        <f t="shared" si="1000"/>
        <v>0</v>
      </c>
      <c r="DN156" s="232">
        <f t="shared" si="1000"/>
        <v>0</v>
      </c>
      <c r="DO156" s="232">
        <f t="shared" si="1000"/>
        <v>0</v>
      </c>
      <c r="DP156" s="232">
        <f t="shared" si="1000"/>
        <v>0</v>
      </c>
      <c r="DQ156" s="232">
        <f t="shared" si="1000"/>
        <v>0</v>
      </c>
      <c r="DR156" s="232">
        <f t="shared" si="1000"/>
        <v>0</v>
      </c>
      <c r="DS156" s="232">
        <f t="shared" si="1000"/>
        <v>0</v>
      </c>
      <c r="DT156" s="232">
        <f t="shared" si="1000"/>
        <v>0</v>
      </c>
      <c r="DU156" s="232">
        <f t="shared" si="1000"/>
        <v>0</v>
      </c>
      <c r="DV156" s="232">
        <f t="shared" si="1000"/>
        <v>0</v>
      </c>
      <c r="DW156" s="232">
        <f t="shared" si="1000"/>
        <v>0</v>
      </c>
      <c r="DX156" s="232">
        <f t="shared" si="1000"/>
        <v>0</v>
      </c>
      <c r="DY156" s="232">
        <f t="shared" si="1000"/>
        <v>0</v>
      </c>
      <c r="DZ156" s="232">
        <f t="shared" si="1000"/>
        <v>0</v>
      </c>
      <c r="EA156" s="232">
        <f t="shared" si="1000"/>
        <v>0</v>
      </c>
      <c r="EB156" s="232">
        <f t="shared" si="1000"/>
        <v>0</v>
      </c>
      <c r="EC156" s="232">
        <f t="shared" si="1000"/>
        <v>0</v>
      </c>
      <c r="ED156" s="232">
        <f t="shared" si="1000"/>
        <v>0</v>
      </c>
      <c r="EE156" s="232">
        <f t="shared" ref="EE156:FE156" si="1001">SUM(EE187:EE188)</f>
        <v>0</v>
      </c>
      <c r="EF156" s="232">
        <f t="shared" si="1001"/>
        <v>0</v>
      </c>
      <c r="EG156" s="232">
        <f t="shared" si="1001"/>
        <v>0</v>
      </c>
      <c r="EH156" s="232">
        <f t="shared" si="1001"/>
        <v>0</v>
      </c>
      <c r="EI156" s="232">
        <f t="shared" si="1001"/>
        <v>0</v>
      </c>
      <c r="EJ156" s="232">
        <f t="shared" si="1001"/>
        <v>0</v>
      </c>
      <c r="EK156" s="232">
        <f t="shared" si="1001"/>
        <v>0</v>
      </c>
      <c r="EL156" s="232">
        <f t="shared" si="1001"/>
        <v>0</v>
      </c>
      <c r="EM156" s="232">
        <f t="shared" si="1001"/>
        <v>0</v>
      </c>
      <c r="EN156" s="232">
        <f t="shared" si="1001"/>
        <v>0</v>
      </c>
      <c r="EO156" s="232">
        <f t="shared" si="1001"/>
        <v>0</v>
      </c>
      <c r="EP156" s="232">
        <f t="shared" si="1001"/>
        <v>0</v>
      </c>
      <c r="EQ156" s="232">
        <f t="shared" si="1001"/>
        <v>0</v>
      </c>
      <c r="ER156" s="232">
        <f t="shared" si="1001"/>
        <v>0</v>
      </c>
      <c r="ES156" s="232">
        <f t="shared" si="1001"/>
        <v>0</v>
      </c>
      <c r="ET156" s="232">
        <f t="shared" si="1001"/>
        <v>0</v>
      </c>
      <c r="EU156" s="232">
        <f t="shared" si="1001"/>
        <v>0</v>
      </c>
      <c r="EV156" s="232">
        <f t="shared" si="1001"/>
        <v>0</v>
      </c>
      <c r="EW156" s="232">
        <f t="shared" si="1001"/>
        <v>0</v>
      </c>
      <c r="EX156" s="232">
        <f t="shared" si="1001"/>
        <v>0</v>
      </c>
      <c r="EY156" s="232">
        <f t="shared" si="1001"/>
        <v>0</v>
      </c>
      <c r="EZ156" s="232">
        <f t="shared" si="1001"/>
        <v>0</v>
      </c>
      <c r="FA156" s="232">
        <f t="shared" si="1001"/>
        <v>0</v>
      </c>
      <c r="FB156" s="232">
        <f t="shared" si="1001"/>
        <v>0</v>
      </c>
      <c r="FC156" s="232">
        <f t="shared" si="1001"/>
        <v>0</v>
      </c>
      <c r="FD156" s="232">
        <f t="shared" si="1001"/>
        <v>0</v>
      </c>
      <c r="FE156" s="232">
        <f t="shared" si="1001"/>
        <v>0</v>
      </c>
      <c r="FF156" s="232">
        <f t="shared" ref="FF156" si="1002">SUM(FF187:FF188)</f>
        <v>0</v>
      </c>
      <c r="FG156" s="321"/>
      <c r="FH156" s="232">
        <f t="shared" si="988"/>
        <v>-545125.00000000012</v>
      </c>
      <c r="FI156" s="232">
        <f t="shared" si="988"/>
        <v>-934500.00000000012</v>
      </c>
      <c r="FJ156" s="232">
        <f t="shared" si="988"/>
        <v>-1080956.9437387614</v>
      </c>
      <c r="FK156" s="232">
        <f t="shared" si="988"/>
        <v>-592784.52320465224</v>
      </c>
      <c r="FL156" s="232">
        <f t="shared" si="988"/>
        <v>0</v>
      </c>
      <c r="FM156" s="232">
        <f t="shared" si="988"/>
        <v>0</v>
      </c>
      <c r="FN156" s="232">
        <f t="shared" si="988"/>
        <v>0</v>
      </c>
      <c r="FO156" s="232">
        <f t="shared" si="988"/>
        <v>0</v>
      </c>
      <c r="FP156" s="232">
        <f t="shared" si="988"/>
        <v>0</v>
      </c>
      <c r="FQ156" s="232">
        <f t="shared" si="988"/>
        <v>0</v>
      </c>
      <c r="FR156" s="232">
        <f t="shared" si="988"/>
        <v>0</v>
      </c>
      <c r="FS156" s="232">
        <f t="shared" si="988"/>
        <v>0</v>
      </c>
      <c r="FT156" s="232">
        <f t="shared" si="988"/>
        <v>0</v>
      </c>
      <c r="FU156" s="232">
        <f t="shared" si="988"/>
        <v>0</v>
      </c>
      <c r="FV156" s="321"/>
    </row>
    <row r="157" spans="2:178" x14ac:dyDescent="0.2">
      <c r="C157" s="39" t="s">
        <v>192</v>
      </c>
      <c r="E157" s="163">
        <f t="shared" si="983"/>
        <v>-13068282.215059111</v>
      </c>
      <c r="F157" s="259">
        <f t="shared" ref="F157:AK157" si="1003">F189</f>
        <v>0</v>
      </c>
      <c r="G157" s="232">
        <f t="shared" si="1003"/>
        <v>0</v>
      </c>
      <c r="H157" s="232">
        <f t="shared" si="1003"/>
        <v>0</v>
      </c>
      <c r="I157" s="232">
        <f t="shared" si="1003"/>
        <v>0</v>
      </c>
      <c r="J157" s="232">
        <f t="shared" si="1003"/>
        <v>0</v>
      </c>
      <c r="K157" s="232">
        <f t="shared" si="1003"/>
        <v>0</v>
      </c>
      <c r="L157" s="232">
        <f t="shared" si="1003"/>
        <v>0</v>
      </c>
      <c r="M157" s="232">
        <f t="shared" si="1003"/>
        <v>0</v>
      </c>
      <c r="N157" s="232">
        <f t="shared" si="1003"/>
        <v>0</v>
      </c>
      <c r="O157" s="232">
        <f t="shared" si="1003"/>
        <v>0</v>
      </c>
      <c r="P157" s="232">
        <f t="shared" si="1003"/>
        <v>0</v>
      </c>
      <c r="Q157" s="232">
        <f t="shared" si="1003"/>
        <v>0</v>
      </c>
      <c r="R157" s="232">
        <f t="shared" si="1003"/>
        <v>0</v>
      </c>
      <c r="S157" s="232">
        <f t="shared" si="1003"/>
        <v>0</v>
      </c>
      <c r="T157" s="232">
        <f t="shared" si="1003"/>
        <v>0</v>
      </c>
      <c r="U157" s="232">
        <f t="shared" si="1003"/>
        <v>0</v>
      </c>
      <c r="V157" s="232">
        <f t="shared" si="1003"/>
        <v>0</v>
      </c>
      <c r="W157" s="232">
        <f t="shared" si="1003"/>
        <v>0</v>
      </c>
      <c r="X157" s="232">
        <f t="shared" si="1003"/>
        <v>0</v>
      </c>
      <c r="Y157" s="232">
        <f t="shared" si="1003"/>
        <v>0</v>
      </c>
      <c r="Z157" s="232">
        <f t="shared" si="1003"/>
        <v>0</v>
      </c>
      <c r="AA157" s="232">
        <f t="shared" si="1003"/>
        <v>0</v>
      </c>
      <c r="AB157" s="232">
        <f t="shared" si="1003"/>
        <v>0</v>
      </c>
      <c r="AC157" s="232">
        <f t="shared" si="1003"/>
        <v>0</v>
      </c>
      <c r="AD157" s="232">
        <f t="shared" si="1003"/>
        <v>0</v>
      </c>
      <c r="AE157" s="232">
        <f t="shared" si="1003"/>
        <v>0</v>
      </c>
      <c r="AF157" s="232">
        <f t="shared" si="1003"/>
        <v>0</v>
      </c>
      <c r="AG157" s="232">
        <f t="shared" si="1003"/>
        <v>0</v>
      </c>
      <c r="AH157" s="232">
        <f t="shared" si="1003"/>
        <v>0</v>
      </c>
      <c r="AI157" s="232">
        <f t="shared" si="1003"/>
        <v>0</v>
      </c>
      <c r="AJ157" s="232">
        <f t="shared" si="1003"/>
        <v>0</v>
      </c>
      <c r="AK157" s="232">
        <f t="shared" si="1003"/>
        <v>0</v>
      </c>
      <c r="AL157" s="232">
        <f t="shared" ref="AL157:BQ157" si="1004">AL189</f>
        <v>0</v>
      </c>
      <c r="AM157" s="232">
        <f t="shared" si="1004"/>
        <v>0</v>
      </c>
      <c r="AN157" s="232">
        <f t="shared" si="1004"/>
        <v>0</v>
      </c>
      <c r="AO157" s="232">
        <f t="shared" si="1004"/>
        <v>0</v>
      </c>
      <c r="AP157" s="232">
        <f t="shared" si="1004"/>
        <v>0</v>
      </c>
      <c r="AQ157" s="232">
        <f t="shared" si="1004"/>
        <v>-13068282.215059111</v>
      </c>
      <c r="AR157" s="232">
        <f t="shared" si="1004"/>
        <v>0</v>
      </c>
      <c r="AS157" s="232">
        <f t="shared" si="1004"/>
        <v>0</v>
      </c>
      <c r="AT157" s="232">
        <f t="shared" si="1004"/>
        <v>0</v>
      </c>
      <c r="AU157" s="232">
        <f t="shared" si="1004"/>
        <v>0</v>
      </c>
      <c r="AV157" s="232">
        <f t="shared" si="1004"/>
        <v>0</v>
      </c>
      <c r="AW157" s="232">
        <f t="shared" si="1004"/>
        <v>0</v>
      </c>
      <c r="AX157" s="232">
        <f t="shared" si="1004"/>
        <v>0</v>
      </c>
      <c r="AY157" s="232">
        <f t="shared" si="1004"/>
        <v>0</v>
      </c>
      <c r="AZ157" s="232">
        <f t="shared" si="1004"/>
        <v>0</v>
      </c>
      <c r="BA157" s="232">
        <f t="shared" si="1004"/>
        <v>0</v>
      </c>
      <c r="BB157" s="232">
        <f t="shared" si="1004"/>
        <v>0</v>
      </c>
      <c r="BC157" s="232">
        <f t="shared" si="1004"/>
        <v>0</v>
      </c>
      <c r="BD157" s="232">
        <f t="shared" si="1004"/>
        <v>0</v>
      </c>
      <c r="BE157" s="232">
        <f t="shared" si="1004"/>
        <v>0</v>
      </c>
      <c r="BF157" s="232">
        <f t="shared" si="1004"/>
        <v>0</v>
      </c>
      <c r="BG157" s="232">
        <f t="shared" si="1004"/>
        <v>0</v>
      </c>
      <c r="BH157" s="232">
        <f t="shared" si="1004"/>
        <v>0</v>
      </c>
      <c r="BI157" s="232">
        <f t="shared" si="1004"/>
        <v>0</v>
      </c>
      <c r="BJ157" s="232">
        <f t="shared" si="1004"/>
        <v>0</v>
      </c>
      <c r="BK157" s="232">
        <f t="shared" si="1004"/>
        <v>0</v>
      </c>
      <c r="BL157" s="232">
        <f t="shared" si="1004"/>
        <v>0</v>
      </c>
      <c r="BM157" s="232">
        <f t="shared" si="1004"/>
        <v>0</v>
      </c>
      <c r="BN157" s="232">
        <f t="shared" si="1004"/>
        <v>0</v>
      </c>
      <c r="BO157" s="232">
        <f t="shared" si="1004"/>
        <v>0</v>
      </c>
      <c r="BP157" s="232">
        <f t="shared" si="1004"/>
        <v>0</v>
      </c>
      <c r="BQ157" s="232">
        <f t="shared" si="1004"/>
        <v>0</v>
      </c>
      <c r="BR157" s="232">
        <f t="shared" ref="BR157:CW157" si="1005">BR189</f>
        <v>0</v>
      </c>
      <c r="BS157" s="232">
        <f t="shared" si="1005"/>
        <v>0</v>
      </c>
      <c r="BT157" s="232">
        <f t="shared" si="1005"/>
        <v>0</v>
      </c>
      <c r="BU157" s="232">
        <f t="shared" si="1005"/>
        <v>0</v>
      </c>
      <c r="BV157" s="232">
        <f t="shared" si="1005"/>
        <v>0</v>
      </c>
      <c r="BW157" s="232">
        <f t="shared" si="1005"/>
        <v>0</v>
      </c>
      <c r="BX157" s="232">
        <f t="shared" si="1005"/>
        <v>0</v>
      </c>
      <c r="BY157" s="232">
        <f t="shared" si="1005"/>
        <v>0</v>
      </c>
      <c r="BZ157" s="232">
        <f t="shared" si="1005"/>
        <v>0</v>
      </c>
      <c r="CA157" s="232">
        <f t="shared" si="1005"/>
        <v>0</v>
      </c>
      <c r="CB157" s="232">
        <f t="shared" si="1005"/>
        <v>0</v>
      </c>
      <c r="CC157" s="232">
        <f t="shared" si="1005"/>
        <v>0</v>
      </c>
      <c r="CD157" s="232">
        <f t="shared" si="1005"/>
        <v>0</v>
      </c>
      <c r="CE157" s="232">
        <f t="shared" si="1005"/>
        <v>0</v>
      </c>
      <c r="CF157" s="232">
        <f t="shared" si="1005"/>
        <v>0</v>
      </c>
      <c r="CG157" s="232">
        <f t="shared" si="1005"/>
        <v>0</v>
      </c>
      <c r="CH157" s="232">
        <f t="shared" si="1005"/>
        <v>0</v>
      </c>
      <c r="CI157" s="232">
        <f t="shared" si="1005"/>
        <v>0</v>
      </c>
      <c r="CJ157" s="232">
        <f t="shared" si="1005"/>
        <v>0</v>
      </c>
      <c r="CK157" s="232">
        <f t="shared" si="1005"/>
        <v>0</v>
      </c>
      <c r="CL157" s="232">
        <f t="shared" si="1005"/>
        <v>0</v>
      </c>
      <c r="CM157" s="232">
        <f t="shared" si="1005"/>
        <v>0</v>
      </c>
      <c r="CN157" s="232">
        <f t="shared" si="1005"/>
        <v>0</v>
      </c>
      <c r="CO157" s="232">
        <f t="shared" si="1005"/>
        <v>0</v>
      </c>
      <c r="CP157" s="232">
        <f t="shared" si="1005"/>
        <v>0</v>
      </c>
      <c r="CQ157" s="232">
        <f t="shared" si="1005"/>
        <v>0</v>
      </c>
      <c r="CR157" s="232">
        <f t="shared" si="1005"/>
        <v>0</v>
      </c>
      <c r="CS157" s="232">
        <f t="shared" si="1005"/>
        <v>0</v>
      </c>
      <c r="CT157" s="232">
        <f t="shared" si="1005"/>
        <v>0</v>
      </c>
      <c r="CU157" s="232">
        <f t="shared" si="1005"/>
        <v>0</v>
      </c>
      <c r="CV157" s="232">
        <f t="shared" si="1005"/>
        <v>0</v>
      </c>
      <c r="CW157" s="232">
        <f t="shared" si="1005"/>
        <v>0</v>
      </c>
      <c r="CX157" s="232">
        <f t="shared" ref="CX157:EC157" si="1006">CX189</f>
        <v>0</v>
      </c>
      <c r="CY157" s="232">
        <f t="shared" si="1006"/>
        <v>0</v>
      </c>
      <c r="CZ157" s="232">
        <f t="shared" si="1006"/>
        <v>0</v>
      </c>
      <c r="DA157" s="232">
        <f t="shared" si="1006"/>
        <v>0</v>
      </c>
      <c r="DB157" s="232">
        <f t="shared" si="1006"/>
        <v>0</v>
      </c>
      <c r="DC157" s="232">
        <f t="shared" si="1006"/>
        <v>0</v>
      </c>
      <c r="DD157" s="232">
        <f t="shared" si="1006"/>
        <v>0</v>
      </c>
      <c r="DE157" s="232">
        <f t="shared" si="1006"/>
        <v>0</v>
      </c>
      <c r="DF157" s="232">
        <f t="shared" si="1006"/>
        <v>0</v>
      </c>
      <c r="DG157" s="232">
        <f t="shared" si="1006"/>
        <v>0</v>
      </c>
      <c r="DH157" s="232">
        <f t="shared" si="1006"/>
        <v>0</v>
      </c>
      <c r="DI157" s="232">
        <f t="shared" si="1006"/>
        <v>0</v>
      </c>
      <c r="DJ157" s="232">
        <f t="shared" si="1006"/>
        <v>0</v>
      </c>
      <c r="DK157" s="232">
        <f t="shared" si="1006"/>
        <v>0</v>
      </c>
      <c r="DL157" s="232">
        <f t="shared" si="1006"/>
        <v>0</v>
      </c>
      <c r="DM157" s="232">
        <f t="shared" si="1006"/>
        <v>0</v>
      </c>
      <c r="DN157" s="232">
        <f t="shared" si="1006"/>
        <v>0</v>
      </c>
      <c r="DO157" s="232">
        <f t="shared" si="1006"/>
        <v>0</v>
      </c>
      <c r="DP157" s="232">
        <f t="shared" si="1006"/>
        <v>0</v>
      </c>
      <c r="DQ157" s="232">
        <f t="shared" si="1006"/>
        <v>0</v>
      </c>
      <c r="DR157" s="232">
        <f t="shared" si="1006"/>
        <v>0</v>
      </c>
      <c r="DS157" s="232">
        <f t="shared" si="1006"/>
        <v>0</v>
      </c>
      <c r="DT157" s="232">
        <f t="shared" si="1006"/>
        <v>0</v>
      </c>
      <c r="DU157" s="232">
        <f t="shared" si="1006"/>
        <v>0</v>
      </c>
      <c r="DV157" s="232">
        <f t="shared" si="1006"/>
        <v>0</v>
      </c>
      <c r="DW157" s="232">
        <f t="shared" si="1006"/>
        <v>0</v>
      </c>
      <c r="DX157" s="232">
        <f t="shared" si="1006"/>
        <v>0</v>
      </c>
      <c r="DY157" s="232">
        <f t="shared" si="1006"/>
        <v>0</v>
      </c>
      <c r="DZ157" s="232">
        <f t="shared" si="1006"/>
        <v>0</v>
      </c>
      <c r="EA157" s="232">
        <f t="shared" si="1006"/>
        <v>0</v>
      </c>
      <c r="EB157" s="232">
        <f t="shared" si="1006"/>
        <v>0</v>
      </c>
      <c r="EC157" s="232">
        <f t="shared" si="1006"/>
        <v>0</v>
      </c>
      <c r="ED157" s="232">
        <f t="shared" ref="ED157:FF157" si="1007">ED189</f>
        <v>0</v>
      </c>
      <c r="EE157" s="232">
        <f t="shared" si="1007"/>
        <v>0</v>
      </c>
      <c r="EF157" s="232">
        <f t="shared" si="1007"/>
        <v>0</v>
      </c>
      <c r="EG157" s="232">
        <f t="shared" si="1007"/>
        <v>0</v>
      </c>
      <c r="EH157" s="232">
        <f t="shared" si="1007"/>
        <v>0</v>
      </c>
      <c r="EI157" s="232">
        <f t="shared" si="1007"/>
        <v>0</v>
      </c>
      <c r="EJ157" s="232">
        <f t="shared" si="1007"/>
        <v>0</v>
      </c>
      <c r="EK157" s="232">
        <f t="shared" si="1007"/>
        <v>0</v>
      </c>
      <c r="EL157" s="232">
        <f t="shared" si="1007"/>
        <v>0</v>
      </c>
      <c r="EM157" s="232">
        <f t="shared" si="1007"/>
        <v>0</v>
      </c>
      <c r="EN157" s="232">
        <f t="shared" si="1007"/>
        <v>0</v>
      </c>
      <c r="EO157" s="232">
        <f t="shared" si="1007"/>
        <v>0</v>
      </c>
      <c r="EP157" s="232">
        <f t="shared" si="1007"/>
        <v>0</v>
      </c>
      <c r="EQ157" s="232">
        <f t="shared" si="1007"/>
        <v>0</v>
      </c>
      <c r="ER157" s="232">
        <f t="shared" si="1007"/>
        <v>0</v>
      </c>
      <c r="ES157" s="232">
        <f t="shared" si="1007"/>
        <v>0</v>
      </c>
      <c r="ET157" s="232">
        <f t="shared" si="1007"/>
        <v>0</v>
      </c>
      <c r="EU157" s="232">
        <f t="shared" si="1007"/>
        <v>0</v>
      </c>
      <c r="EV157" s="232">
        <f t="shared" si="1007"/>
        <v>0</v>
      </c>
      <c r="EW157" s="232">
        <f t="shared" si="1007"/>
        <v>0</v>
      </c>
      <c r="EX157" s="232">
        <f t="shared" si="1007"/>
        <v>0</v>
      </c>
      <c r="EY157" s="232">
        <f t="shared" si="1007"/>
        <v>0</v>
      </c>
      <c r="EZ157" s="232">
        <f t="shared" si="1007"/>
        <v>0</v>
      </c>
      <c r="FA157" s="232">
        <f t="shared" si="1007"/>
        <v>0</v>
      </c>
      <c r="FB157" s="232">
        <f t="shared" si="1007"/>
        <v>0</v>
      </c>
      <c r="FC157" s="232">
        <f t="shared" si="1007"/>
        <v>0</v>
      </c>
      <c r="FD157" s="232">
        <f t="shared" si="1007"/>
        <v>0</v>
      </c>
      <c r="FE157" s="232">
        <f t="shared" si="1007"/>
        <v>0</v>
      </c>
      <c r="FF157" s="232">
        <f t="shared" si="1007"/>
        <v>0</v>
      </c>
      <c r="FG157" s="321"/>
      <c r="FH157" s="232">
        <f t="shared" si="988"/>
        <v>0</v>
      </c>
      <c r="FI157" s="232">
        <f t="shared" si="988"/>
        <v>0</v>
      </c>
      <c r="FJ157" s="232">
        <f t="shared" si="988"/>
        <v>0</v>
      </c>
      <c r="FK157" s="232">
        <f t="shared" si="988"/>
        <v>-13068282.215059111</v>
      </c>
      <c r="FL157" s="232">
        <f t="shared" si="988"/>
        <v>0</v>
      </c>
      <c r="FM157" s="232">
        <f t="shared" si="988"/>
        <v>0</v>
      </c>
      <c r="FN157" s="232">
        <f t="shared" si="988"/>
        <v>0</v>
      </c>
      <c r="FO157" s="232">
        <f t="shared" si="988"/>
        <v>0</v>
      </c>
      <c r="FP157" s="232">
        <f t="shared" si="988"/>
        <v>0</v>
      </c>
      <c r="FQ157" s="232">
        <f t="shared" si="988"/>
        <v>0</v>
      </c>
      <c r="FR157" s="232">
        <f t="shared" si="988"/>
        <v>0</v>
      </c>
      <c r="FS157" s="232">
        <f t="shared" si="988"/>
        <v>0</v>
      </c>
      <c r="FT157" s="232">
        <f t="shared" si="988"/>
        <v>0</v>
      </c>
      <c r="FU157" s="232">
        <f t="shared" si="988"/>
        <v>0</v>
      </c>
      <c r="FV157" s="321"/>
    </row>
    <row r="158" spans="2:178" x14ac:dyDescent="0.2">
      <c r="C158" s="39" t="s">
        <v>116</v>
      </c>
      <c r="E158" s="163">
        <f t="shared" ca="1" si="983"/>
        <v>21662072.895306453</v>
      </c>
      <c r="F158" s="259">
        <f t="shared" ref="F158:AK158" si="1008">IF(F58=$F$29,F194,0)</f>
        <v>0</v>
      </c>
      <c r="G158" s="232">
        <f t="shared" si="1008"/>
        <v>0</v>
      </c>
      <c r="H158" s="232">
        <f t="shared" si="1008"/>
        <v>0</v>
      </c>
      <c r="I158" s="232">
        <f t="shared" si="1008"/>
        <v>0</v>
      </c>
      <c r="J158" s="232">
        <f t="shared" si="1008"/>
        <v>0</v>
      </c>
      <c r="K158" s="232">
        <f t="shared" si="1008"/>
        <v>0</v>
      </c>
      <c r="L158" s="232">
        <f t="shared" si="1008"/>
        <v>0</v>
      </c>
      <c r="M158" s="232">
        <f t="shared" si="1008"/>
        <v>0</v>
      </c>
      <c r="N158" s="232">
        <f t="shared" si="1008"/>
        <v>0</v>
      </c>
      <c r="O158" s="232">
        <f t="shared" si="1008"/>
        <v>0</v>
      </c>
      <c r="P158" s="232">
        <f t="shared" si="1008"/>
        <v>0</v>
      </c>
      <c r="Q158" s="232">
        <f t="shared" si="1008"/>
        <v>0</v>
      </c>
      <c r="R158" s="232">
        <f t="shared" si="1008"/>
        <v>0</v>
      </c>
      <c r="S158" s="232">
        <f t="shared" si="1008"/>
        <v>0</v>
      </c>
      <c r="T158" s="232">
        <f t="shared" si="1008"/>
        <v>0</v>
      </c>
      <c r="U158" s="232">
        <f t="shared" si="1008"/>
        <v>0</v>
      </c>
      <c r="V158" s="232">
        <f t="shared" si="1008"/>
        <v>0</v>
      </c>
      <c r="W158" s="232">
        <f t="shared" si="1008"/>
        <v>0</v>
      </c>
      <c r="X158" s="232">
        <f t="shared" si="1008"/>
        <v>0</v>
      </c>
      <c r="Y158" s="232">
        <f t="shared" si="1008"/>
        <v>0</v>
      </c>
      <c r="Z158" s="232">
        <f t="shared" si="1008"/>
        <v>0</v>
      </c>
      <c r="AA158" s="232">
        <f t="shared" si="1008"/>
        <v>0</v>
      </c>
      <c r="AB158" s="232">
        <f t="shared" si="1008"/>
        <v>0</v>
      </c>
      <c r="AC158" s="232">
        <f t="shared" si="1008"/>
        <v>0</v>
      </c>
      <c r="AD158" s="232">
        <f t="shared" si="1008"/>
        <v>0</v>
      </c>
      <c r="AE158" s="232">
        <f t="shared" si="1008"/>
        <v>0</v>
      </c>
      <c r="AF158" s="232">
        <f t="shared" si="1008"/>
        <v>0</v>
      </c>
      <c r="AG158" s="232">
        <f t="shared" si="1008"/>
        <v>0</v>
      </c>
      <c r="AH158" s="232">
        <f t="shared" si="1008"/>
        <v>0</v>
      </c>
      <c r="AI158" s="232">
        <f t="shared" si="1008"/>
        <v>0</v>
      </c>
      <c r="AJ158" s="232">
        <f t="shared" si="1008"/>
        <v>0</v>
      </c>
      <c r="AK158" s="232">
        <f t="shared" si="1008"/>
        <v>0</v>
      </c>
      <c r="AL158" s="232">
        <f t="shared" ref="AL158:BQ158" si="1009">IF(AL58=$F$29,AL194,0)</f>
        <v>0</v>
      </c>
      <c r="AM158" s="232">
        <f t="shared" si="1009"/>
        <v>0</v>
      </c>
      <c r="AN158" s="232">
        <f t="shared" si="1009"/>
        <v>0</v>
      </c>
      <c r="AO158" s="232">
        <f t="shared" si="1009"/>
        <v>0</v>
      </c>
      <c r="AP158" s="232">
        <f t="shared" si="1009"/>
        <v>0</v>
      </c>
      <c r="AQ158" s="232">
        <f t="shared" ca="1" si="1009"/>
        <v>21662072.895306453</v>
      </c>
      <c r="AR158" s="232">
        <f t="shared" si="1009"/>
        <v>0</v>
      </c>
      <c r="AS158" s="232">
        <f t="shared" si="1009"/>
        <v>0</v>
      </c>
      <c r="AT158" s="232">
        <f t="shared" si="1009"/>
        <v>0</v>
      </c>
      <c r="AU158" s="232">
        <f t="shared" si="1009"/>
        <v>0</v>
      </c>
      <c r="AV158" s="232">
        <f t="shared" si="1009"/>
        <v>0</v>
      </c>
      <c r="AW158" s="232">
        <f t="shared" si="1009"/>
        <v>0</v>
      </c>
      <c r="AX158" s="232">
        <f t="shared" si="1009"/>
        <v>0</v>
      </c>
      <c r="AY158" s="232">
        <f t="shared" si="1009"/>
        <v>0</v>
      </c>
      <c r="AZ158" s="232">
        <f t="shared" si="1009"/>
        <v>0</v>
      </c>
      <c r="BA158" s="232">
        <f t="shared" si="1009"/>
        <v>0</v>
      </c>
      <c r="BB158" s="232">
        <f t="shared" si="1009"/>
        <v>0</v>
      </c>
      <c r="BC158" s="232">
        <f t="shared" si="1009"/>
        <v>0</v>
      </c>
      <c r="BD158" s="232">
        <f t="shared" si="1009"/>
        <v>0</v>
      </c>
      <c r="BE158" s="232">
        <f t="shared" si="1009"/>
        <v>0</v>
      </c>
      <c r="BF158" s="232">
        <f t="shared" si="1009"/>
        <v>0</v>
      </c>
      <c r="BG158" s="232">
        <f t="shared" si="1009"/>
        <v>0</v>
      </c>
      <c r="BH158" s="232">
        <f t="shared" si="1009"/>
        <v>0</v>
      </c>
      <c r="BI158" s="232">
        <f t="shared" si="1009"/>
        <v>0</v>
      </c>
      <c r="BJ158" s="232">
        <f t="shared" si="1009"/>
        <v>0</v>
      </c>
      <c r="BK158" s="232">
        <f t="shared" si="1009"/>
        <v>0</v>
      </c>
      <c r="BL158" s="232">
        <f t="shared" si="1009"/>
        <v>0</v>
      </c>
      <c r="BM158" s="232">
        <f t="shared" si="1009"/>
        <v>0</v>
      </c>
      <c r="BN158" s="232">
        <f t="shared" si="1009"/>
        <v>0</v>
      </c>
      <c r="BO158" s="232">
        <f t="shared" si="1009"/>
        <v>0</v>
      </c>
      <c r="BP158" s="232">
        <f t="shared" si="1009"/>
        <v>0</v>
      </c>
      <c r="BQ158" s="232">
        <f t="shared" si="1009"/>
        <v>0</v>
      </c>
      <c r="BR158" s="232">
        <f t="shared" ref="BR158:CW158" si="1010">IF(BR58=$F$29,BR194,0)</f>
        <v>0</v>
      </c>
      <c r="BS158" s="232">
        <f t="shared" si="1010"/>
        <v>0</v>
      </c>
      <c r="BT158" s="232">
        <f t="shared" si="1010"/>
        <v>0</v>
      </c>
      <c r="BU158" s="232">
        <f t="shared" si="1010"/>
        <v>0</v>
      </c>
      <c r="BV158" s="232">
        <f t="shared" si="1010"/>
        <v>0</v>
      </c>
      <c r="BW158" s="232">
        <f t="shared" si="1010"/>
        <v>0</v>
      </c>
      <c r="BX158" s="232">
        <f t="shared" si="1010"/>
        <v>0</v>
      </c>
      <c r="BY158" s="232">
        <f t="shared" si="1010"/>
        <v>0</v>
      </c>
      <c r="BZ158" s="232">
        <f t="shared" si="1010"/>
        <v>0</v>
      </c>
      <c r="CA158" s="232">
        <f t="shared" si="1010"/>
        <v>0</v>
      </c>
      <c r="CB158" s="232">
        <f t="shared" si="1010"/>
        <v>0</v>
      </c>
      <c r="CC158" s="232">
        <f t="shared" si="1010"/>
        <v>0</v>
      </c>
      <c r="CD158" s="232">
        <f t="shared" si="1010"/>
        <v>0</v>
      </c>
      <c r="CE158" s="232">
        <f t="shared" si="1010"/>
        <v>0</v>
      </c>
      <c r="CF158" s="232">
        <f t="shared" si="1010"/>
        <v>0</v>
      </c>
      <c r="CG158" s="232">
        <f t="shared" si="1010"/>
        <v>0</v>
      </c>
      <c r="CH158" s="232">
        <f t="shared" si="1010"/>
        <v>0</v>
      </c>
      <c r="CI158" s="232">
        <f t="shared" si="1010"/>
        <v>0</v>
      </c>
      <c r="CJ158" s="232">
        <f t="shared" si="1010"/>
        <v>0</v>
      </c>
      <c r="CK158" s="232">
        <f t="shared" si="1010"/>
        <v>0</v>
      </c>
      <c r="CL158" s="232">
        <f t="shared" si="1010"/>
        <v>0</v>
      </c>
      <c r="CM158" s="232">
        <f t="shared" si="1010"/>
        <v>0</v>
      </c>
      <c r="CN158" s="232">
        <f t="shared" si="1010"/>
        <v>0</v>
      </c>
      <c r="CO158" s="232">
        <f t="shared" si="1010"/>
        <v>0</v>
      </c>
      <c r="CP158" s="232">
        <f t="shared" si="1010"/>
        <v>0</v>
      </c>
      <c r="CQ158" s="232">
        <f t="shared" si="1010"/>
        <v>0</v>
      </c>
      <c r="CR158" s="232">
        <f t="shared" si="1010"/>
        <v>0</v>
      </c>
      <c r="CS158" s="232">
        <f t="shared" si="1010"/>
        <v>0</v>
      </c>
      <c r="CT158" s="232">
        <f t="shared" si="1010"/>
        <v>0</v>
      </c>
      <c r="CU158" s="232">
        <f t="shared" si="1010"/>
        <v>0</v>
      </c>
      <c r="CV158" s="232">
        <f t="shared" si="1010"/>
        <v>0</v>
      </c>
      <c r="CW158" s="232">
        <f t="shared" si="1010"/>
        <v>0</v>
      </c>
      <c r="CX158" s="232">
        <f t="shared" ref="CX158:EC158" si="1011">IF(CX58=$F$29,CX194,0)</f>
        <v>0</v>
      </c>
      <c r="CY158" s="232">
        <f t="shared" si="1011"/>
        <v>0</v>
      </c>
      <c r="CZ158" s="232">
        <f t="shared" si="1011"/>
        <v>0</v>
      </c>
      <c r="DA158" s="232">
        <f t="shared" si="1011"/>
        <v>0</v>
      </c>
      <c r="DB158" s="232">
        <f t="shared" si="1011"/>
        <v>0</v>
      </c>
      <c r="DC158" s="232">
        <f t="shared" si="1011"/>
        <v>0</v>
      </c>
      <c r="DD158" s="232">
        <f t="shared" si="1011"/>
        <v>0</v>
      </c>
      <c r="DE158" s="232">
        <f t="shared" si="1011"/>
        <v>0</v>
      </c>
      <c r="DF158" s="232">
        <f t="shared" si="1011"/>
        <v>0</v>
      </c>
      <c r="DG158" s="232">
        <f t="shared" si="1011"/>
        <v>0</v>
      </c>
      <c r="DH158" s="232">
        <f t="shared" si="1011"/>
        <v>0</v>
      </c>
      <c r="DI158" s="232">
        <f t="shared" si="1011"/>
        <v>0</v>
      </c>
      <c r="DJ158" s="232">
        <f t="shared" si="1011"/>
        <v>0</v>
      </c>
      <c r="DK158" s="232">
        <f t="shared" si="1011"/>
        <v>0</v>
      </c>
      <c r="DL158" s="232">
        <f t="shared" si="1011"/>
        <v>0</v>
      </c>
      <c r="DM158" s="232">
        <f t="shared" si="1011"/>
        <v>0</v>
      </c>
      <c r="DN158" s="232">
        <f t="shared" si="1011"/>
        <v>0</v>
      </c>
      <c r="DO158" s="232">
        <f t="shared" si="1011"/>
        <v>0</v>
      </c>
      <c r="DP158" s="232">
        <f t="shared" si="1011"/>
        <v>0</v>
      </c>
      <c r="DQ158" s="232">
        <f t="shared" si="1011"/>
        <v>0</v>
      </c>
      <c r="DR158" s="232">
        <f t="shared" si="1011"/>
        <v>0</v>
      </c>
      <c r="DS158" s="232">
        <f t="shared" si="1011"/>
        <v>0</v>
      </c>
      <c r="DT158" s="232">
        <f t="shared" si="1011"/>
        <v>0</v>
      </c>
      <c r="DU158" s="232">
        <f t="shared" si="1011"/>
        <v>0</v>
      </c>
      <c r="DV158" s="232">
        <f t="shared" si="1011"/>
        <v>0</v>
      </c>
      <c r="DW158" s="232">
        <f t="shared" si="1011"/>
        <v>0</v>
      </c>
      <c r="DX158" s="232">
        <f t="shared" si="1011"/>
        <v>0</v>
      </c>
      <c r="DY158" s="232">
        <f t="shared" si="1011"/>
        <v>0</v>
      </c>
      <c r="DZ158" s="232">
        <f t="shared" si="1011"/>
        <v>0</v>
      </c>
      <c r="EA158" s="232">
        <f t="shared" si="1011"/>
        <v>0</v>
      </c>
      <c r="EB158" s="232">
        <f t="shared" si="1011"/>
        <v>0</v>
      </c>
      <c r="EC158" s="232">
        <f t="shared" si="1011"/>
        <v>0</v>
      </c>
      <c r="ED158" s="232">
        <f t="shared" ref="ED158:FF158" si="1012">IF(ED58=$F$29,ED194,0)</f>
        <v>0</v>
      </c>
      <c r="EE158" s="232">
        <f t="shared" si="1012"/>
        <v>0</v>
      </c>
      <c r="EF158" s="232">
        <f t="shared" si="1012"/>
        <v>0</v>
      </c>
      <c r="EG158" s="232">
        <f t="shared" si="1012"/>
        <v>0</v>
      </c>
      <c r="EH158" s="232">
        <f t="shared" si="1012"/>
        <v>0</v>
      </c>
      <c r="EI158" s="232">
        <f t="shared" si="1012"/>
        <v>0</v>
      </c>
      <c r="EJ158" s="232">
        <f t="shared" si="1012"/>
        <v>0</v>
      </c>
      <c r="EK158" s="232">
        <f t="shared" si="1012"/>
        <v>0</v>
      </c>
      <c r="EL158" s="232">
        <f t="shared" si="1012"/>
        <v>0</v>
      </c>
      <c r="EM158" s="232">
        <f t="shared" si="1012"/>
        <v>0</v>
      </c>
      <c r="EN158" s="232">
        <f t="shared" si="1012"/>
        <v>0</v>
      </c>
      <c r="EO158" s="232">
        <f t="shared" si="1012"/>
        <v>0</v>
      </c>
      <c r="EP158" s="232">
        <f t="shared" si="1012"/>
        <v>0</v>
      </c>
      <c r="EQ158" s="232">
        <f t="shared" si="1012"/>
        <v>0</v>
      </c>
      <c r="ER158" s="232">
        <f t="shared" si="1012"/>
        <v>0</v>
      </c>
      <c r="ES158" s="232">
        <f t="shared" si="1012"/>
        <v>0</v>
      </c>
      <c r="ET158" s="232">
        <f t="shared" si="1012"/>
        <v>0</v>
      </c>
      <c r="EU158" s="232">
        <f t="shared" si="1012"/>
        <v>0</v>
      </c>
      <c r="EV158" s="232">
        <f t="shared" si="1012"/>
        <v>0</v>
      </c>
      <c r="EW158" s="232">
        <f t="shared" si="1012"/>
        <v>0</v>
      </c>
      <c r="EX158" s="232">
        <f t="shared" si="1012"/>
        <v>0</v>
      </c>
      <c r="EY158" s="232">
        <f t="shared" si="1012"/>
        <v>0</v>
      </c>
      <c r="EZ158" s="232">
        <f t="shared" si="1012"/>
        <v>0</v>
      </c>
      <c r="FA158" s="232">
        <f t="shared" si="1012"/>
        <v>0</v>
      </c>
      <c r="FB158" s="232">
        <f t="shared" si="1012"/>
        <v>0</v>
      </c>
      <c r="FC158" s="232">
        <f t="shared" si="1012"/>
        <v>0</v>
      </c>
      <c r="FD158" s="232">
        <f t="shared" si="1012"/>
        <v>0</v>
      </c>
      <c r="FE158" s="232">
        <f t="shared" si="1012"/>
        <v>0</v>
      </c>
      <c r="FF158" s="232">
        <f t="shared" si="1012"/>
        <v>0</v>
      </c>
      <c r="FG158" s="321"/>
      <c r="FH158" s="232">
        <f t="shared" si="988"/>
        <v>0</v>
      </c>
      <c r="FI158" s="232">
        <f t="shared" si="988"/>
        <v>0</v>
      </c>
      <c r="FJ158" s="232">
        <f t="shared" si="988"/>
        <v>0</v>
      </c>
      <c r="FK158" s="232">
        <f t="shared" ca="1" si="988"/>
        <v>21662072.895306453</v>
      </c>
      <c r="FL158" s="232">
        <f t="shared" si="988"/>
        <v>0</v>
      </c>
      <c r="FM158" s="232">
        <f t="shared" si="988"/>
        <v>0</v>
      </c>
      <c r="FN158" s="232">
        <f t="shared" si="988"/>
        <v>0</v>
      </c>
      <c r="FO158" s="232">
        <f t="shared" si="988"/>
        <v>0</v>
      </c>
      <c r="FP158" s="232">
        <f t="shared" si="988"/>
        <v>0</v>
      </c>
      <c r="FQ158" s="232">
        <f t="shared" si="988"/>
        <v>0</v>
      </c>
      <c r="FR158" s="232">
        <f t="shared" si="988"/>
        <v>0</v>
      </c>
      <c r="FS158" s="232">
        <f t="shared" si="988"/>
        <v>0</v>
      </c>
      <c r="FT158" s="232">
        <f t="shared" si="988"/>
        <v>0</v>
      </c>
      <c r="FU158" s="232">
        <f t="shared" si="988"/>
        <v>0</v>
      </c>
      <c r="FV158" s="321"/>
    </row>
    <row r="159" spans="2:178" x14ac:dyDescent="0.2">
      <c r="C159" s="39" t="s">
        <v>165</v>
      </c>
      <c r="E159" s="163">
        <f t="shared" ca="1" si="983"/>
        <v>-108310.36447653227</v>
      </c>
      <c r="F159" s="259">
        <f t="shared" ref="F159:AK159" si="1013">IF(F58=$F$29,-$I$31,0)</f>
        <v>0</v>
      </c>
      <c r="G159" s="232">
        <f t="shared" si="1013"/>
        <v>0</v>
      </c>
      <c r="H159" s="232">
        <f t="shared" si="1013"/>
        <v>0</v>
      </c>
      <c r="I159" s="232">
        <f t="shared" si="1013"/>
        <v>0</v>
      </c>
      <c r="J159" s="232">
        <f t="shared" si="1013"/>
        <v>0</v>
      </c>
      <c r="K159" s="232">
        <f t="shared" si="1013"/>
        <v>0</v>
      </c>
      <c r="L159" s="232">
        <f t="shared" si="1013"/>
        <v>0</v>
      </c>
      <c r="M159" s="232">
        <f t="shared" si="1013"/>
        <v>0</v>
      </c>
      <c r="N159" s="232">
        <f t="shared" si="1013"/>
        <v>0</v>
      </c>
      <c r="O159" s="232">
        <f t="shared" si="1013"/>
        <v>0</v>
      </c>
      <c r="P159" s="232">
        <f t="shared" si="1013"/>
        <v>0</v>
      </c>
      <c r="Q159" s="232">
        <f t="shared" si="1013"/>
        <v>0</v>
      </c>
      <c r="R159" s="232">
        <f t="shared" si="1013"/>
        <v>0</v>
      </c>
      <c r="S159" s="232">
        <f t="shared" si="1013"/>
        <v>0</v>
      </c>
      <c r="T159" s="232">
        <f t="shared" si="1013"/>
        <v>0</v>
      </c>
      <c r="U159" s="232">
        <f t="shared" si="1013"/>
        <v>0</v>
      </c>
      <c r="V159" s="232">
        <f t="shared" si="1013"/>
        <v>0</v>
      </c>
      <c r="W159" s="232">
        <f t="shared" si="1013"/>
        <v>0</v>
      </c>
      <c r="X159" s="232">
        <f t="shared" si="1013"/>
        <v>0</v>
      </c>
      <c r="Y159" s="232">
        <f t="shared" si="1013"/>
        <v>0</v>
      </c>
      <c r="Z159" s="232">
        <f t="shared" si="1013"/>
        <v>0</v>
      </c>
      <c r="AA159" s="232">
        <f t="shared" si="1013"/>
        <v>0</v>
      </c>
      <c r="AB159" s="232">
        <f t="shared" si="1013"/>
        <v>0</v>
      </c>
      <c r="AC159" s="232">
        <f t="shared" si="1013"/>
        <v>0</v>
      </c>
      <c r="AD159" s="232">
        <f t="shared" si="1013"/>
        <v>0</v>
      </c>
      <c r="AE159" s="232">
        <f t="shared" si="1013"/>
        <v>0</v>
      </c>
      <c r="AF159" s="232">
        <f t="shared" si="1013"/>
        <v>0</v>
      </c>
      <c r="AG159" s="232">
        <f t="shared" si="1013"/>
        <v>0</v>
      </c>
      <c r="AH159" s="232">
        <f t="shared" si="1013"/>
        <v>0</v>
      </c>
      <c r="AI159" s="232">
        <f t="shared" si="1013"/>
        <v>0</v>
      </c>
      <c r="AJ159" s="232">
        <f t="shared" si="1013"/>
        <v>0</v>
      </c>
      <c r="AK159" s="232">
        <f t="shared" si="1013"/>
        <v>0</v>
      </c>
      <c r="AL159" s="232">
        <f t="shared" ref="AL159:BQ159" si="1014">IF(AL58=$F$29,-$I$31,0)</f>
        <v>0</v>
      </c>
      <c r="AM159" s="232">
        <f t="shared" si="1014"/>
        <v>0</v>
      </c>
      <c r="AN159" s="232">
        <f t="shared" si="1014"/>
        <v>0</v>
      </c>
      <c r="AO159" s="232">
        <f t="shared" si="1014"/>
        <v>0</v>
      </c>
      <c r="AP159" s="232">
        <f t="shared" si="1014"/>
        <v>0</v>
      </c>
      <c r="AQ159" s="232">
        <f t="shared" ca="1" si="1014"/>
        <v>-108310.36447653227</v>
      </c>
      <c r="AR159" s="232">
        <f t="shared" si="1014"/>
        <v>0</v>
      </c>
      <c r="AS159" s="232">
        <f t="shared" si="1014"/>
        <v>0</v>
      </c>
      <c r="AT159" s="232">
        <f t="shared" si="1014"/>
        <v>0</v>
      </c>
      <c r="AU159" s="232">
        <f t="shared" si="1014"/>
        <v>0</v>
      </c>
      <c r="AV159" s="232">
        <f t="shared" si="1014"/>
        <v>0</v>
      </c>
      <c r="AW159" s="232">
        <f t="shared" si="1014"/>
        <v>0</v>
      </c>
      <c r="AX159" s="232">
        <f t="shared" si="1014"/>
        <v>0</v>
      </c>
      <c r="AY159" s="232">
        <f t="shared" si="1014"/>
        <v>0</v>
      </c>
      <c r="AZ159" s="232">
        <f t="shared" si="1014"/>
        <v>0</v>
      </c>
      <c r="BA159" s="232">
        <f t="shared" si="1014"/>
        <v>0</v>
      </c>
      <c r="BB159" s="232">
        <f t="shared" si="1014"/>
        <v>0</v>
      </c>
      <c r="BC159" s="232">
        <f t="shared" si="1014"/>
        <v>0</v>
      </c>
      <c r="BD159" s="232">
        <f t="shared" si="1014"/>
        <v>0</v>
      </c>
      <c r="BE159" s="232">
        <f t="shared" si="1014"/>
        <v>0</v>
      </c>
      <c r="BF159" s="232">
        <f t="shared" si="1014"/>
        <v>0</v>
      </c>
      <c r="BG159" s="232">
        <f t="shared" si="1014"/>
        <v>0</v>
      </c>
      <c r="BH159" s="232">
        <f t="shared" si="1014"/>
        <v>0</v>
      </c>
      <c r="BI159" s="232">
        <f t="shared" si="1014"/>
        <v>0</v>
      </c>
      <c r="BJ159" s="232">
        <f t="shared" si="1014"/>
        <v>0</v>
      </c>
      <c r="BK159" s="232">
        <f t="shared" si="1014"/>
        <v>0</v>
      </c>
      <c r="BL159" s="232">
        <f t="shared" si="1014"/>
        <v>0</v>
      </c>
      <c r="BM159" s="232">
        <f t="shared" si="1014"/>
        <v>0</v>
      </c>
      <c r="BN159" s="232">
        <f t="shared" si="1014"/>
        <v>0</v>
      </c>
      <c r="BO159" s="232">
        <f t="shared" si="1014"/>
        <v>0</v>
      </c>
      <c r="BP159" s="232">
        <f t="shared" si="1014"/>
        <v>0</v>
      </c>
      <c r="BQ159" s="232">
        <f t="shared" si="1014"/>
        <v>0</v>
      </c>
      <c r="BR159" s="232">
        <f t="shared" ref="BR159:CW159" si="1015">IF(BR58=$F$29,-$I$31,0)</f>
        <v>0</v>
      </c>
      <c r="BS159" s="232">
        <f t="shared" si="1015"/>
        <v>0</v>
      </c>
      <c r="BT159" s="232">
        <f t="shared" si="1015"/>
        <v>0</v>
      </c>
      <c r="BU159" s="232">
        <f t="shared" si="1015"/>
        <v>0</v>
      </c>
      <c r="BV159" s="232">
        <f t="shared" si="1015"/>
        <v>0</v>
      </c>
      <c r="BW159" s="232">
        <f t="shared" si="1015"/>
        <v>0</v>
      </c>
      <c r="BX159" s="232">
        <f t="shared" si="1015"/>
        <v>0</v>
      </c>
      <c r="BY159" s="232">
        <f t="shared" si="1015"/>
        <v>0</v>
      </c>
      <c r="BZ159" s="232">
        <f t="shared" si="1015"/>
        <v>0</v>
      </c>
      <c r="CA159" s="232">
        <f t="shared" si="1015"/>
        <v>0</v>
      </c>
      <c r="CB159" s="232">
        <f t="shared" si="1015"/>
        <v>0</v>
      </c>
      <c r="CC159" s="232">
        <f t="shared" si="1015"/>
        <v>0</v>
      </c>
      <c r="CD159" s="232">
        <f t="shared" si="1015"/>
        <v>0</v>
      </c>
      <c r="CE159" s="232">
        <f t="shared" si="1015"/>
        <v>0</v>
      </c>
      <c r="CF159" s="232">
        <f t="shared" si="1015"/>
        <v>0</v>
      </c>
      <c r="CG159" s="232">
        <f t="shared" si="1015"/>
        <v>0</v>
      </c>
      <c r="CH159" s="232">
        <f t="shared" si="1015"/>
        <v>0</v>
      </c>
      <c r="CI159" s="232">
        <f t="shared" si="1015"/>
        <v>0</v>
      </c>
      <c r="CJ159" s="232">
        <f t="shared" si="1015"/>
        <v>0</v>
      </c>
      <c r="CK159" s="232">
        <f t="shared" si="1015"/>
        <v>0</v>
      </c>
      <c r="CL159" s="232">
        <f t="shared" si="1015"/>
        <v>0</v>
      </c>
      <c r="CM159" s="232">
        <f t="shared" si="1015"/>
        <v>0</v>
      </c>
      <c r="CN159" s="232">
        <f t="shared" si="1015"/>
        <v>0</v>
      </c>
      <c r="CO159" s="232">
        <f t="shared" si="1015"/>
        <v>0</v>
      </c>
      <c r="CP159" s="232">
        <f t="shared" si="1015"/>
        <v>0</v>
      </c>
      <c r="CQ159" s="232">
        <f t="shared" si="1015"/>
        <v>0</v>
      </c>
      <c r="CR159" s="232">
        <f t="shared" si="1015"/>
        <v>0</v>
      </c>
      <c r="CS159" s="232">
        <f t="shared" si="1015"/>
        <v>0</v>
      </c>
      <c r="CT159" s="232">
        <f t="shared" si="1015"/>
        <v>0</v>
      </c>
      <c r="CU159" s="232">
        <f t="shared" si="1015"/>
        <v>0</v>
      </c>
      <c r="CV159" s="232">
        <f t="shared" si="1015"/>
        <v>0</v>
      </c>
      <c r="CW159" s="232">
        <f t="shared" si="1015"/>
        <v>0</v>
      </c>
      <c r="CX159" s="232">
        <f t="shared" ref="CX159:EC159" si="1016">IF(CX58=$F$29,-$I$31,0)</f>
        <v>0</v>
      </c>
      <c r="CY159" s="232">
        <f t="shared" si="1016"/>
        <v>0</v>
      </c>
      <c r="CZ159" s="232">
        <f t="shared" si="1016"/>
        <v>0</v>
      </c>
      <c r="DA159" s="232">
        <f t="shared" si="1016"/>
        <v>0</v>
      </c>
      <c r="DB159" s="232">
        <f t="shared" si="1016"/>
        <v>0</v>
      </c>
      <c r="DC159" s="232">
        <f t="shared" si="1016"/>
        <v>0</v>
      </c>
      <c r="DD159" s="232">
        <f t="shared" si="1016"/>
        <v>0</v>
      </c>
      <c r="DE159" s="232">
        <f t="shared" si="1016"/>
        <v>0</v>
      </c>
      <c r="DF159" s="232">
        <f t="shared" si="1016"/>
        <v>0</v>
      </c>
      <c r="DG159" s="232">
        <f t="shared" si="1016"/>
        <v>0</v>
      </c>
      <c r="DH159" s="232">
        <f t="shared" si="1016"/>
        <v>0</v>
      </c>
      <c r="DI159" s="232">
        <f t="shared" si="1016"/>
        <v>0</v>
      </c>
      <c r="DJ159" s="232">
        <f t="shared" si="1016"/>
        <v>0</v>
      </c>
      <c r="DK159" s="232">
        <f t="shared" si="1016"/>
        <v>0</v>
      </c>
      <c r="DL159" s="232">
        <f t="shared" si="1016"/>
        <v>0</v>
      </c>
      <c r="DM159" s="232">
        <f t="shared" si="1016"/>
        <v>0</v>
      </c>
      <c r="DN159" s="232">
        <f t="shared" si="1016"/>
        <v>0</v>
      </c>
      <c r="DO159" s="232">
        <f t="shared" si="1016"/>
        <v>0</v>
      </c>
      <c r="DP159" s="232">
        <f t="shared" si="1016"/>
        <v>0</v>
      </c>
      <c r="DQ159" s="232">
        <f t="shared" si="1016"/>
        <v>0</v>
      </c>
      <c r="DR159" s="232">
        <f t="shared" si="1016"/>
        <v>0</v>
      </c>
      <c r="DS159" s="232">
        <f t="shared" si="1016"/>
        <v>0</v>
      </c>
      <c r="DT159" s="232">
        <f t="shared" si="1016"/>
        <v>0</v>
      </c>
      <c r="DU159" s="232">
        <f t="shared" si="1016"/>
        <v>0</v>
      </c>
      <c r="DV159" s="232">
        <f t="shared" si="1016"/>
        <v>0</v>
      </c>
      <c r="DW159" s="232">
        <f t="shared" si="1016"/>
        <v>0</v>
      </c>
      <c r="DX159" s="232">
        <f t="shared" si="1016"/>
        <v>0</v>
      </c>
      <c r="DY159" s="232">
        <f t="shared" si="1016"/>
        <v>0</v>
      </c>
      <c r="DZ159" s="232">
        <f t="shared" si="1016"/>
        <v>0</v>
      </c>
      <c r="EA159" s="232">
        <f t="shared" si="1016"/>
        <v>0</v>
      </c>
      <c r="EB159" s="232">
        <f t="shared" si="1016"/>
        <v>0</v>
      </c>
      <c r="EC159" s="232">
        <f t="shared" si="1016"/>
        <v>0</v>
      </c>
      <c r="ED159" s="232">
        <f t="shared" ref="ED159:FF159" si="1017">IF(ED58=$F$29,-$I$31,0)</f>
        <v>0</v>
      </c>
      <c r="EE159" s="232">
        <f t="shared" si="1017"/>
        <v>0</v>
      </c>
      <c r="EF159" s="232">
        <f t="shared" si="1017"/>
        <v>0</v>
      </c>
      <c r="EG159" s="232">
        <f t="shared" si="1017"/>
        <v>0</v>
      </c>
      <c r="EH159" s="232">
        <f t="shared" si="1017"/>
        <v>0</v>
      </c>
      <c r="EI159" s="232">
        <f t="shared" si="1017"/>
        <v>0</v>
      </c>
      <c r="EJ159" s="232">
        <f t="shared" si="1017"/>
        <v>0</v>
      </c>
      <c r="EK159" s="232">
        <f t="shared" si="1017"/>
        <v>0</v>
      </c>
      <c r="EL159" s="232">
        <f t="shared" si="1017"/>
        <v>0</v>
      </c>
      <c r="EM159" s="232">
        <f t="shared" si="1017"/>
        <v>0</v>
      </c>
      <c r="EN159" s="232">
        <f t="shared" si="1017"/>
        <v>0</v>
      </c>
      <c r="EO159" s="232">
        <f t="shared" si="1017"/>
        <v>0</v>
      </c>
      <c r="EP159" s="232">
        <f t="shared" si="1017"/>
        <v>0</v>
      </c>
      <c r="EQ159" s="232">
        <f t="shared" si="1017"/>
        <v>0</v>
      </c>
      <c r="ER159" s="232">
        <f t="shared" si="1017"/>
        <v>0</v>
      </c>
      <c r="ES159" s="232">
        <f t="shared" si="1017"/>
        <v>0</v>
      </c>
      <c r="ET159" s="232">
        <f t="shared" si="1017"/>
        <v>0</v>
      </c>
      <c r="EU159" s="232">
        <f t="shared" si="1017"/>
        <v>0</v>
      </c>
      <c r="EV159" s="232">
        <f t="shared" si="1017"/>
        <v>0</v>
      </c>
      <c r="EW159" s="232">
        <f t="shared" si="1017"/>
        <v>0</v>
      </c>
      <c r="EX159" s="232">
        <f t="shared" si="1017"/>
        <v>0</v>
      </c>
      <c r="EY159" s="232">
        <f t="shared" si="1017"/>
        <v>0</v>
      </c>
      <c r="EZ159" s="232">
        <f t="shared" si="1017"/>
        <v>0</v>
      </c>
      <c r="FA159" s="232">
        <f t="shared" si="1017"/>
        <v>0</v>
      </c>
      <c r="FB159" s="232">
        <f t="shared" si="1017"/>
        <v>0</v>
      </c>
      <c r="FC159" s="232">
        <f t="shared" si="1017"/>
        <v>0</v>
      </c>
      <c r="FD159" s="232">
        <f t="shared" si="1017"/>
        <v>0</v>
      </c>
      <c r="FE159" s="232">
        <f t="shared" si="1017"/>
        <v>0</v>
      </c>
      <c r="FF159" s="232">
        <f t="shared" si="1017"/>
        <v>0</v>
      </c>
      <c r="FG159" s="321"/>
      <c r="FH159" s="232">
        <f t="shared" si="988"/>
        <v>0</v>
      </c>
      <c r="FI159" s="232">
        <f t="shared" si="988"/>
        <v>0</v>
      </c>
      <c r="FJ159" s="232">
        <f t="shared" si="988"/>
        <v>0</v>
      </c>
      <c r="FK159" s="232">
        <f t="shared" ca="1" si="988"/>
        <v>-108310.36447653227</v>
      </c>
      <c r="FL159" s="232">
        <f t="shared" si="988"/>
        <v>0</v>
      </c>
      <c r="FM159" s="232">
        <f t="shared" si="988"/>
        <v>0</v>
      </c>
      <c r="FN159" s="232">
        <f t="shared" si="988"/>
        <v>0</v>
      </c>
      <c r="FO159" s="232">
        <f t="shared" si="988"/>
        <v>0</v>
      </c>
      <c r="FP159" s="232">
        <f t="shared" si="988"/>
        <v>0</v>
      </c>
      <c r="FQ159" s="232">
        <f t="shared" si="988"/>
        <v>0</v>
      </c>
      <c r="FR159" s="232">
        <f t="shared" si="988"/>
        <v>0</v>
      </c>
      <c r="FS159" s="232">
        <f t="shared" si="988"/>
        <v>0</v>
      </c>
      <c r="FT159" s="232">
        <f t="shared" si="988"/>
        <v>0</v>
      </c>
      <c r="FU159" s="232">
        <f t="shared" si="988"/>
        <v>0</v>
      </c>
      <c r="FV159" s="321"/>
    </row>
    <row r="160" spans="2:178" x14ac:dyDescent="0.2">
      <c r="C160" s="39" t="s">
        <v>193</v>
      </c>
      <c r="E160" s="163">
        <f t="shared" ca="1" si="983"/>
        <v>-7274951.3323369212</v>
      </c>
      <c r="F160" s="259">
        <f>SUM(F196:F197)</f>
        <v>0</v>
      </c>
      <c r="G160" s="232">
        <f t="shared" ref="G160:BR160" si="1018">SUM(G196:G197)</f>
        <v>0</v>
      </c>
      <c r="H160" s="232">
        <f t="shared" si="1018"/>
        <v>0</v>
      </c>
      <c r="I160" s="232">
        <f t="shared" si="1018"/>
        <v>0</v>
      </c>
      <c r="J160" s="232">
        <f t="shared" si="1018"/>
        <v>0</v>
      </c>
      <c r="K160" s="232">
        <f t="shared" si="1018"/>
        <v>0</v>
      </c>
      <c r="L160" s="232">
        <f t="shared" si="1018"/>
        <v>0</v>
      </c>
      <c r="M160" s="232">
        <f t="shared" si="1018"/>
        <v>0</v>
      </c>
      <c r="N160" s="232">
        <f t="shared" si="1018"/>
        <v>0</v>
      </c>
      <c r="O160" s="232">
        <f t="shared" si="1018"/>
        <v>0</v>
      </c>
      <c r="P160" s="232">
        <f t="shared" si="1018"/>
        <v>0</v>
      </c>
      <c r="Q160" s="232">
        <f t="shared" si="1018"/>
        <v>0</v>
      </c>
      <c r="R160" s="232">
        <f t="shared" si="1018"/>
        <v>0</v>
      </c>
      <c r="S160" s="232">
        <f t="shared" si="1018"/>
        <v>0</v>
      </c>
      <c r="T160" s="232">
        <f t="shared" si="1018"/>
        <v>0</v>
      </c>
      <c r="U160" s="232">
        <f t="shared" si="1018"/>
        <v>0</v>
      </c>
      <c r="V160" s="232">
        <f t="shared" si="1018"/>
        <v>0</v>
      </c>
      <c r="W160" s="232">
        <f t="shared" si="1018"/>
        <v>0</v>
      </c>
      <c r="X160" s="232">
        <f t="shared" si="1018"/>
        <v>0</v>
      </c>
      <c r="Y160" s="232">
        <f t="shared" si="1018"/>
        <v>0</v>
      </c>
      <c r="Z160" s="232">
        <f t="shared" si="1018"/>
        <v>0</v>
      </c>
      <c r="AA160" s="232">
        <f t="shared" si="1018"/>
        <v>0</v>
      </c>
      <c r="AB160" s="232">
        <f t="shared" si="1018"/>
        <v>0</v>
      </c>
      <c r="AC160" s="232">
        <f t="shared" si="1018"/>
        <v>0</v>
      </c>
      <c r="AD160" s="232">
        <f t="shared" si="1018"/>
        <v>0</v>
      </c>
      <c r="AE160" s="232">
        <f t="shared" si="1018"/>
        <v>0</v>
      </c>
      <c r="AF160" s="232">
        <f t="shared" si="1018"/>
        <v>0</v>
      </c>
      <c r="AG160" s="232">
        <f t="shared" si="1018"/>
        <v>0</v>
      </c>
      <c r="AH160" s="232">
        <f t="shared" si="1018"/>
        <v>0</v>
      </c>
      <c r="AI160" s="232">
        <f t="shared" si="1018"/>
        <v>0</v>
      </c>
      <c r="AJ160" s="232">
        <f t="shared" si="1018"/>
        <v>0</v>
      </c>
      <c r="AK160" s="232">
        <f t="shared" si="1018"/>
        <v>0</v>
      </c>
      <c r="AL160" s="232">
        <f t="shared" si="1018"/>
        <v>0</v>
      </c>
      <c r="AM160" s="232">
        <f t="shared" si="1018"/>
        <v>0</v>
      </c>
      <c r="AN160" s="232">
        <f t="shared" si="1018"/>
        <v>0</v>
      </c>
      <c r="AO160" s="232">
        <f t="shared" si="1018"/>
        <v>0</v>
      </c>
      <c r="AP160" s="232">
        <f t="shared" si="1018"/>
        <v>0</v>
      </c>
      <c r="AQ160" s="232">
        <f t="shared" si="1018"/>
        <v>0</v>
      </c>
      <c r="AR160" s="232">
        <f t="shared" ca="1" si="1018"/>
        <v>-108310.36447653227</v>
      </c>
      <c r="AS160" s="232">
        <f t="shared" ca="1" si="1018"/>
        <v>-108310.36447653227</v>
      </c>
      <c r="AT160" s="232">
        <f t="shared" ca="1" si="1018"/>
        <v>-108310.36447653227</v>
      </c>
      <c r="AU160" s="232">
        <f t="shared" ca="1" si="1018"/>
        <v>-108310.36447653227</v>
      </c>
      <c r="AV160" s="232">
        <f t="shared" ca="1" si="1018"/>
        <v>-108310.36447653227</v>
      </c>
      <c r="AW160" s="232">
        <f t="shared" ca="1" si="1018"/>
        <v>-108310.36447653227</v>
      </c>
      <c r="AX160" s="232">
        <f t="shared" ca="1" si="1018"/>
        <v>-108310.36447653227</v>
      </c>
      <c r="AY160" s="232">
        <f t="shared" ca="1" si="1018"/>
        <v>-108310.36447653227</v>
      </c>
      <c r="AZ160" s="232">
        <f t="shared" ca="1" si="1018"/>
        <v>-108310.36447653227</v>
      </c>
      <c r="BA160" s="232">
        <f t="shared" ca="1" si="1018"/>
        <v>-108310.36447653227</v>
      </c>
      <c r="BB160" s="232">
        <f t="shared" ca="1" si="1018"/>
        <v>-108310.36447653227</v>
      </c>
      <c r="BC160" s="232">
        <f t="shared" ca="1" si="1018"/>
        <v>-108310.36447653227</v>
      </c>
      <c r="BD160" s="232">
        <f t="shared" ca="1" si="1018"/>
        <v>-108310.36447653227</v>
      </c>
      <c r="BE160" s="232">
        <f t="shared" ca="1" si="1018"/>
        <v>-108310.36447653227</v>
      </c>
      <c r="BF160" s="232">
        <f t="shared" ca="1" si="1018"/>
        <v>-108310.36447653227</v>
      </c>
      <c r="BG160" s="232">
        <f t="shared" ca="1" si="1018"/>
        <v>-108310.36447653227</v>
      </c>
      <c r="BH160" s="232">
        <f t="shared" ca="1" si="1018"/>
        <v>-108310.36447653227</v>
      </c>
      <c r="BI160" s="232">
        <f t="shared" ca="1" si="1018"/>
        <v>-108310.36447653227</v>
      </c>
      <c r="BJ160" s="232">
        <f t="shared" ca="1" si="1018"/>
        <v>-108310.36447653227</v>
      </c>
      <c r="BK160" s="232">
        <f t="shared" ca="1" si="1018"/>
        <v>-108310.36447653227</v>
      </c>
      <c r="BL160" s="232">
        <f t="shared" ca="1" si="1018"/>
        <v>-108310.36447653227</v>
      </c>
      <c r="BM160" s="232">
        <f t="shared" ca="1" si="1018"/>
        <v>-108310.36447653227</v>
      </c>
      <c r="BN160" s="232">
        <f t="shared" ca="1" si="1018"/>
        <v>-108310.36447653227</v>
      </c>
      <c r="BO160" s="232">
        <f t="shared" ca="1" si="1018"/>
        <v>-108310.36447653227</v>
      </c>
      <c r="BP160" s="232">
        <f t="shared" ca="1" si="1018"/>
        <v>-129875.07180278187</v>
      </c>
      <c r="BQ160" s="232">
        <f t="shared" ca="1" si="1018"/>
        <v>-129875.07180278187</v>
      </c>
      <c r="BR160" s="232">
        <f t="shared" ca="1" si="1018"/>
        <v>-129875.07180278187</v>
      </c>
      <c r="BS160" s="232">
        <f t="shared" ref="BS160:ED160" ca="1" si="1019">SUM(BS196:BS197)</f>
        <v>-129875.07180278187</v>
      </c>
      <c r="BT160" s="232">
        <f t="shared" ca="1" si="1019"/>
        <v>-129875.07180278187</v>
      </c>
      <c r="BU160" s="232">
        <f t="shared" ca="1" si="1019"/>
        <v>-129875.07180278187</v>
      </c>
      <c r="BV160" s="232">
        <f t="shared" ca="1" si="1019"/>
        <v>-129875.07180278187</v>
      </c>
      <c r="BW160" s="232">
        <f t="shared" ca="1" si="1019"/>
        <v>-129875.07180278187</v>
      </c>
      <c r="BX160" s="232">
        <f t="shared" ca="1" si="1019"/>
        <v>-129875.07180278187</v>
      </c>
      <c r="BY160" s="232">
        <f t="shared" ca="1" si="1019"/>
        <v>-129875.07180278187</v>
      </c>
      <c r="BZ160" s="232">
        <f t="shared" ca="1" si="1019"/>
        <v>-129875.07180278187</v>
      </c>
      <c r="CA160" s="232">
        <f t="shared" ca="1" si="1019"/>
        <v>-129875.07180278187</v>
      </c>
      <c r="CB160" s="232">
        <f t="shared" ca="1" si="1019"/>
        <v>-129875.07180278187</v>
      </c>
      <c r="CC160" s="232">
        <f t="shared" ca="1" si="1019"/>
        <v>-129875.07180278187</v>
      </c>
      <c r="CD160" s="232">
        <f t="shared" ca="1" si="1019"/>
        <v>-129875.07180278187</v>
      </c>
      <c r="CE160" s="232">
        <f t="shared" ca="1" si="1019"/>
        <v>-129875.07180278187</v>
      </c>
      <c r="CF160" s="232">
        <f t="shared" ca="1" si="1019"/>
        <v>-129875.07180278187</v>
      </c>
      <c r="CG160" s="232">
        <f t="shared" ca="1" si="1019"/>
        <v>-129875.07180278187</v>
      </c>
      <c r="CH160" s="232">
        <f t="shared" ca="1" si="1019"/>
        <v>-129875.07180278187</v>
      </c>
      <c r="CI160" s="232">
        <f t="shared" ca="1" si="1019"/>
        <v>-129875.07180278187</v>
      </c>
      <c r="CJ160" s="232">
        <f t="shared" ca="1" si="1019"/>
        <v>-129875.07180278187</v>
      </c>
      <c r="CK160" s="232">
        <f t="shared" ca="1" si="1019"/>
        <v>-129875.07180278187</v>
      </c>
      <c r="CL160" s="232">
        <f t="shared" ca="1" si="1019"/>
        <v>-129875.07180278187</v>
      </c>
      <c r="CM160" s="232">
        <f t="shared" ca="1" si="1019"/>
        <v>-129875.07180278187</v>
      </c>
      <c r="CN160" s="232">
        <f t="shared" ca="1" si="1019"/>
        <v>-129875.07180278187</v>
      </c>
      <c r="CO160" s="232">
        <f t="shared" ca="1" si="1019"/>
        <v>-129875.07180278187</v>
      </c>
      <c r="CP160" s="232">
        <f t="shared" ca="1" si="1019"/>
        <v>-129875.07180278187</v>
      </c>
      <c r="CQ160" s="232">
        <f t="shared" ca="1" si="1019"/>
        <v>-129875.07180278187</v>
      </c>
      <c r="CR160" s="232">
        <f t="shared" ca="1" si="1019"/>
        <v>-129875.07180278187</v>
      </c>
      <c r="CS160" s="232">
        <f t="shared" ca="1" si="1019"/>
        <v>-129875.07180278187</v>
      </c>
      <c r="CT160" s="232">
        <f t="shared" ca="1" si="1019"/>
        <v>-129875.07180278187</v>
      </c>
      <c r="CU160" s="232">
        <f t="shared" ca="1" si="1019"/>
        <v>-129875.07180278187</v>
      </c>
      <c r="CV160" s="232">
        <f t="shared" ca="1" si="1019"/>
        <v>-129875.07180278187</v>
      </c>
      <c r="CW160" s="232">
        <f t="shared" ca="1" si="1019"/>
        <v>-129875.07180278187</v>
      </c>
      <c r="CX160" s="232">
        <f t="shared" ca="1" si="1019"/>
        <v>-129875.07180278187</v>
      </c>
      <c r="CY160" s="232">
        <f t="shared" ca="1" si="1019"/>
        <v>-129875.07180278187</v>
      </c>
      <c r="CZ160" s="232">
        <f t="shared" ca="1" si="1019"/>
        <v>0</v>
      </c>
      <c r="DA160" s="232">
        <f t="shared" ca="1" si="1019"/>
        <v>0</v>
      </c>
      <c r="DB160" s="232">
        <f t="shared" ca="1" si="1019"/>
        <v>0</v>
      </c>
      <c r="DC160" s="232">
        <f t="shared" ca="1" si="1019"/>
        <v>0</v>
      </c>
      <c r="DD160" s="232">
        <f t="shared" ca="1" si="1019"/>
        <v>0</v>
      </c>
      <c r="DE160" s="232">
        <f t="shared" ca="1" si="1019"/>
        <v>0</v>
      </c>
      <c r="DF160" s="232">
        <f t="shared" ca="1" si="1019"/>
        <v>0</v>
      </c>
      <c r="DG160" s="232">
        <f t="shared" ca="1" si="1019"/>
        <v>0</v>
      </c>
      <c r="DH160" s="232">
        <f t="shared" ca="1" si="1019"/>
        <v>0</v>
      </c>
      <c r="DI160" s="232">
        <f t="shared" ca="1" si="1019"/>
        <v>0</v>
      </c>
      <c r="DJ160" s="232">
        <f t="shared" ca="1" si="1019"/>
        <v>0</v>
      </c>
      <c r="DK160" s="232">
        <f t="shared" ca="1" si="1019"/>
        <v>0</v>
      </c>
      <c r="DL160" s="232">
        <f t="shared" ca="1" si="1019"/>
        <v>0</v>
      </c>
      <c r="DM160" s="232">
        <f t="shared" ca="1" si="1019"/>
        <v>0</v>
      </c>
      <c r="DN160" s="232">
        <f t="shared" ca="1" si="1019"/>
        <v>0</v>
      </c>
      <c r="DO160" s="232">
        <f t="shared" ca="1" si="1019"/>
        <v>0</v>
      </c>
      <c r="DP160" s="232">
        <f t="shared" ca="1" si="1019"/>
        <v>0</v>
      </c>
      <c r="DQ160" s="232">
        <f t="shared" ca="1" si="1019"/>
        <v>0</v>
      </c>
      <c r="DR160" s="232">
        <f t="shared" ca="1" si="1019"/>
        <v>0</v>
      </c>
      <c r="DS160" s="232">
        <f t="shared" ca="1" si="1019"/>
        <v>0</v>
      </c>
      <c r="DT160" s="232">
        <f t="shared" ca="1" si="1019"/>
        <v>0</v>
      </c>
      <c r="DU160" s="232">
        <f t="shared" ca="1" si="1019"/>
        <v>0</v>
      </c>
      <c r="DV160" s="232">
        <f t="shared" ca="1" si="1019"/>
        <v>0</v>
      </c>
      <c r="DW160" s="232">
        <f t="shared" ca="1" si="1019"/>
        <v>0</v>
      </c>
      <c r="DX160" s="232">
        <f t="shared" ca="1" si="1019"/>
        <v>0</v>
      </c>
      <c r="DY160" s="232">
        <f t="shared" ca="1" si="1019"/>
        <v>0</v>
      </c>
      <c r="DZ160" s="232">
        <f t="shared" ca="1" si="1019"/>
        <v>0</v>
      </c>
      <c r="EA160" s="232">
        <f t="shared" ca="1" si="1019"/>
        <v>0</v>
      </c>
      <c r="EB160" s="232">
        <f t="shared" ca="1" si="1019"/>
        <v>0</v>
      </c>
      <c r="EC160" s="232">
        <f t="shared" ca="1" si="1019"/>
        <v>0</v>
      </c>
      <c r="ED160" s="232">
        <f t="shared" ca="1" si="1019"/>
        <v>0</v>
      </c>
      <c r="EE160" s="232">
        <f t="shared" ref="EE160:FE160" ca="1" si="1020">SUM(EE196:EE197)</f>
        <v>0</v>
      </c>
      <c r="EF160" s="232">
        <f t="shared" ca="1" si="1020"/>
        <v>0</v>
      </c>
      <c r="EG160" s="232">
        <f t="shared" ca="1" si="1020"/>
        <v>0</v>
      </c>
      <c r="EH160" s="232">
        <f t="shared" ca="1" si="1020"/>
        <v>0</v>
      </c>
      <c r="EI160" s="232">
        <f t="shared" ca="1" si="1020"/>
        <v>0</v>
      </c>
      <c r="EJ160" s="232">
        <f t="shared" ca="1" si="1020"/>
        <v>0</v>
      </c>
      <c r="EK160" s="232">
        <f t="shared" ca="1" si="1020"/>
        <v>0</v>
      </c>
      <c r="EL160" s="232">
        <f t="shared" ca="1" si="1020"/>
        <v>0</v>
      </c>
      <c r="EM160" s="232">
        <f t="shared" ca="1" si="1020"/>
        <v>0</v>
      </c>
      <c r="EN160" s="232">
        <f t="shared" ca="1" si="1020"/>
        <v>0</v>
      </c>
      <c r="EO160" s="232">
        <f t="shared" ca="1" si="1020"/>
        <v>0</v>
      </c>
      <c r="EP160" s="232">
        <f t="shared" ca="1" si="1020"/>
        <v>0</v>
      </c>
      <c r="EQ160" s="232">
        <f t="shared" ca="1" si="1020"/>
        <v>0</v>
      </c>
      <c r="ER160" s="232">
        <f t="shared" ca="1" si="1020"/>
        <v>0</v>
      </c>
      <c r="ES160" s="232">
        <f t="shared" ca="1" si="1020"/>
        <v>0</v>
      </c>
      <c r="ET160" s="232">
        <f t="shared" ca="1" si="1020"/>
        <v>0</v>
      </c>
      <c r="EU160" s="232">
        <f t="shared" ca="1" si="1020"/>
        <v>0</v>
      </c>
      <c r="EV160" s="232">
        <f t="shared" ca="1" si="1020"/>
        <v>0</v>
      </c>
      <c r="EW160" s="232">
        <f t="shared" ca="1" si="1020"/>
        <v>0</v>
      </c>
      <c r="EX160" s="232">
        <f t="shared" ca="1" si="1020"/>
        <v>0</v>
      </c>
      <c r="EY160" s="232">
        <f t="shared" ca="1" si="1020"/>
        <v>0</v>
      </c>
      <c r="EZ160" s="232">
        <f t="shared" ca="1" si="1020"/>
        <v>0</v>
      </c>
      <c r="FA160" s="232">
        <f t="shared" ca="1" si="1020"/>
        <v>0</v>
      </c>
      <c r="FB160" s="232">
        <f t="shared" ca="1" si="1020"/>
        <v>0</v>
      </c>
      <c r="FC160" s="232">
        <f t="shared" ca="1" si="1020"/>
        <v>0</v>
      </c>
      <c r="FD160" s="232">
        <f t="shared" ca="1" si="1020"/>
        <v>0</v>
      </c>
      <c r="FE160" s="232">
        <f t="shared" ca="1" si="1020"/>
        <v>0</v>
      </c>
      <c r="FF160" s="232">
        <f t="shared" ref="FF160" ca="1" si="1021">SUM(FF196:FF197)</f>
        <v>0</v>
      </c>
      <c r="FG160" s="321"/>
      <c r="FH160" s="232">
        <f t="shared" si="988"/>
        <v>0</v>
      </c>
      <c r="FI160" s="232">
        <f t="shared" si="988"/>
        <v>0</v>
      </c>
      <c r="FJ160" s="232">
        <f t="shared" si="988"/>
        <v>0</v>
      </c>
      <c r="FK160" s="232">
        <f t="shared" ca="1" si="988"/>
        <v>-649862.18685919349</v>
      </c>
      <c r="FL160" s="232">
        <f t="shared" ca="1" si="988"/>
        <v>-1299724.3737183867</v>
      </c>
      <c r="FM160" s="232">
        <f t="shared" ca="1" si="988"/>
        <v>-1429112.6176758849</v>
      </c>
      <c r="FN160" s="232">
        <f t="shared" ca="1" si="988"/>
        <v>-1558500.8616333825</v>
      </c>
      <c r="FO160" s="232">
        <f t="shared" ca="1" si="988"/>
        <v>-1558500.8616333825</v>
      </c>
      <c r="FP160" s="232">
        <f t="shared" ca="1" si="988"/>
        <v>-779250.43081669125</v>
      </c>
      <c r="FQ160" s="232">
        <f t="shared" ca="1" si="988"/>
        <v>0</v>
      </c>
      <c r="FR160" s="232">
        <f t="shared" ca="1" si="988"/>
        <v>0</v>
      </c>
      <c r="FS160" s="232">
        <f t="shared" ca="1" si="988"/>
        <v>0</v>
      </c>
      <c r="FT160" s="232">
        <f t="shared" ca="1" si="988"/>
        <v>0</v>
      </c>
      <c r="FU160" s="232">
        <f t="shared" ca="1" si="988"/>
        <v>0</v>
      </c>
      <c r="FV160" s="321"/>
    </row>
    <row r="161" spans="2:178" x14ac:dyDescent="0.2">
      <c r="C161" s="39" t="s">
        <v>135</v>
      </c>
      <c r="E161" s="163">
        <f t="shared" ca="1" si="983"/>
        <v>-20813801.304388411</v>
      </c>
      <c r="F161" s="259">
        <f>F198</f>
        <v>0</v>
      </c>
      <c r="G161" s="232">
        <f t="shared" ref="G161:BR161" si="1022">G198</f>
        <v>0</v>
      </c>
      <c r="H161" s="232">
        <f t="shared" si="1022"/>
        <v>0</v>
      </c>
      <c r="I161" s="232">
        <f t="shared" si="1022"/>
        <v>0</v>
      </c>
      <c r="J161" s="232">
        <f t="shared" si="1022"/>
        <v>0</v>
      </c>
      <c r="K161" s="232">
        <f t="shared" si="1022"/>
        <v>0</v>
      </c>
      <c r="L161" s="232">
        <f t="shared" si="1022"/>
        <v>0</v>
      </c>
      <c r="M161" s="232">
        <f t="shared" si="1022"/>
        <v>0</v>
      </c>
      <c r="N161" s="232">
        <f t="shared" si="1022"/>
        <v>0</v>
      </c>
      <c r="O161" s="232">
        <f t="shared" si="1022"/>
        <v>0</v>
      </c>
      <c r="P161" s="232">
        <f t="shared" si="1022"/>
        <v>0</v>
      </c>
      <c r="Q161" s="232">
        <f t="shared" si="1022"/>
        <v>0</v>
      </c>
      <c r="R161" s="232">
        <f t="shared" si="1022"/>
        <v>0</v>
      </c>
      <c r="S161" s="232">
        <f t="shared" si="1022"/>
        <v>0</v>
      </c>
      <c r="T161" s="232">
        <f t="shared" si="1022"/>
        <v>0</v>
      </c>
      <c r="U161" s="232">
        <f t="shared" si="1022"/>
        <v>0</v>
      </c>
      <c r="V161" s="232">
        <f t="shared" si="1022"/>
        <v>0</v>
      </c>
      <c r="W161" s="232">
        <f t="shared" si="1022"/>
        <v>0</v>
      </c>
      <c r="X161" s="232">
        <f t="shared" si="1022"/>
        <v>0</v>
      </c>
      <c r="Y161" s="232">
        <f t="shared" si="1022"/>
        <v>0</v>
      </c>
      <c r="Z161" s="232">
        <f t="shared" si="1022"/>
        <v>0</v>
      </c>
      <c r="AA161" s="232">
        <f t="shared" si="1022"/>
        <v>0</v>
      </c>
      <c r="AB161" s="232">
        <f t="shared" si="1022"/>
        <v>0</v>
      </c>
      <c r="AC161" s="232">
        <f t="shared" si="1022"/>
        <v>0</v>
      </c>
      <c r="AD161" s="232">
        <f t="shared" si="1022"/>
        <v>0</v>
      </c>
      <c r="AE161" s="232">
        <f t="shared" si="1022"/>
        <v>0</v>
      </c>
      <c r="AF161" s="232">
        <f t="shared" si="1022"/>
        <v>0</v>
      </c>
      <c r="AG161" s="232">
        <f t="shared" si="1022"/>
        <v>0</v>
      </c>
      <c r="AH161" s="232">
        <f t="shared" si="1022"/>
        <v>0</v>
      </c>
      <c r="AI161" s="232">
        <f t="shared" si="1022"/>
        <v>0</v>
      </c>
      <c r="AJ161" s="232">
        <f t="shared" si="1022"/>
        <v>0</v>
      </c>
      <c r="AK161" s="232">
        <f t="shared" si="1022"/>
        <v>0</v>
      </c>
      <c r="AL161" s="232">
        <f t="shared" si="1022"/>
        <v>0</v>
      </c>
      <c r="AM161" s="232">
        <f t="shared" si="1022"/>
        <v>0</v>
      </c>
      <c r="AN161" s="232">
        <f t="shared" si="1022"/>
        <v>0</v>
      </c>
      <c r="AO161" s="232">
        <f t="shared" si="1022"/>
        <v>0</v>
      </c>
      <c r="AP161" s="232">
        <f t="shared" si="1022"/>
        <v>0</v>
      </c>
      <c r="AQ161" s="232">
        <f t="shared" si="1022"/>
        <v>0</v>
      </c>
      <c r="AR161" s="232">
        <f t="shared" si="1022"/>
        <v>0</v>
      </c>
      <c r="AS161" s="232">
        <f t="shared" si="1022"/>
        <v>0</v>
      </c>
      <c r="AT161" s="232">
        <f t="shared" si="1022"/>
        <v>0</v>
      </c>
      <c r="AU161" s="232">
        <f t="shared" si="1022"/>
        <v>0</v>
      </c>
      <c r="AV161" s="232">
        <f t="shared" si="1022"/>
        <v>0</v>
      </c>
      <c r="AW161" s="232">
        <f t="shared" si="1022"/>
        <v>0</v>
      </c>
      <c r="AX161" s="232">
        <f t="shared" si="1022"/>
        <v>0</v>
      </c>
      <c r="AY161" s="232">
        <f t="shared" si="1022"/>
        <v>0</v>
      </c>
      <c r="AZ161" s="232">
        <f t="shared" si="1022"/>
        <v>0</v>
      </c>
      <c r="BA161" s="232">
        <f t="shared" si="1022"/>
        <v>0</v>
      </c>
      <c r="BB161" s="232">
        <f t="shared" si="1022"/>
        <v>0</v>
      </c>
      <c r="BC161" s="232">
        <f t="shared" si="1022"/>
        <v>0</v>
      </c>
      <c r="BD161" s="232">
        <f t="shared" si="1022"/>
        <v>0</v>
      </c>
      <c r="BE161" s="232">
        <f t="shared" si="1022"/>
        <v>0</v>
      </c>
      <c r="BF161" s="232">
        <f t="shared" si="1022"/>
        <v>0</v>
      </c>
      <c r="BG161" s="232">
        <f t="shared" si="1022"/>
        <v>0</v>
      </c>
      <c r="BH161" s="232">
        <f t="shared" si="1022"/>
        <v>0</v>
      </c>
      <c r="BI161" s="232">
        <f t="shared" si="1022"/>
        <v>0</v>
      </c>
      <c r="BJ161" s="232">
        <f t="shared" si="1022"/>
        <v>0</v>
      </c>
      <c r="BK161" s="232">
        <f t="shared" si="1022"/>
        <v>0</v>
      </c>
      <c r="BL161" s="232">
        <f t="shared" si="1022"/>
        <v>0</v>
      </c>
      <c r="BM161" s="232">
        <f t="shared" si="1022"/>
        <v>0</v>
      </c>
      <c r="BN161" s="232">
        <f t="shared" si="1022"/>
        <v>0</v>
      </c>
      <c r="BO161" s="232">
        <f t="shared" si="1022"/>
        <v>0</v>
      </c>
      <c r="BP161" s="232">
        <f t="shared" si="1022"/>
        <v>0</v>
      </c>
      <c r="BQ161" s="232">
        <f t="shared" si="1022"/>
        <v>0</v>
      </c>
      <c r="BR161" s="232">
        <f t="shared" si="1022"/>
        <v>0</v>
      </c>
      <c r="BS161" s="232">
        <f t="shared" ref="BS161:ED161" si="1023">BS198</f>
        <v>0</v>
      </c>
      <c r="BT161" s="232">
        <f t="shared" si="1023"/>
        <v>0</v>
      </c>
      <c r="BU161" s="232">
        <f t="shared" si="1023"/>
        <v>0</v>
      </c>
      <c r="BV161" s="232">
        <f t="shared" si="1023"/>
        <v>0</v>
      </c>
      <c r="BW161" s="232">
        <f t="shared" si="1023"/>
        <v>0</v>
      </c>
      <c r="BX161" s="232">
        <f t="shared" si="1023"/>
        <v>0</v>
      </c>
      <c r="BY161" s="232">
        <f t="shared" si="1023"/>
        <v>0</v>
      </c>
      <c r="BZ161" s="232">
        <f t="shared" si="1023"/>
        <v>0</v>
      </c>
      <c r="CA161" s="232">
        <f t="shared" si="1023"/>
        <v>0</v>
      </c>
      <c r="CB161" s="232">
        <f t="shared" si="1023"/>
        <v>0</v>
      </c>
      <c r="CC161" s="232">
        <f t="shared" si="1023"/>
        <v>0</v>
      </c>
      <c r="CD161" s="232">
        <f t="shared" si="1023"/>
        <v>0</v>
      </c>
      <c r="CE161" s="232">
        <f t="shared" si="1023"/>
        <v>0</v>
      </c>
      <c r="CF161" s="232">
        <f t="shared" si="1023"/>
        <v>0</v>
      </c>
      <c r="CG161" s="232">
        <f t="shared" si="1023"/>
        <v>0</v>
      </c>
      <c r="CH161" s="232">
        <f t="shared" si="1023"/>
        <v>0</v>
      </c>
      <c r="CI161" s="232">
        <f t="shared" si="1023"/>
        <v>0</v>
      </c>
      <c r="CJ161" s="232">
        <f t="shared" si="1023"/>
        <v>0</v>
      </c>
      <c r="CK161" s="232">
        <f t="shared" si="1023"/>
        <v>0</v>
      </c>
      <c r="CL161" s="232">
        <f t="shared" si="1023"/>
        <v>0</v>
      </c>
      <c r="CM161" s="232">
        <f t="shared" si="1023"/>
        <v>0</v>
      </c>
      <c r="CN161" s="232">
        <f t="shared" si="1023"/>
        <v>0</v>
      </c>
      <c r="CO161" s="232">
        <f t="shared" si="1023"/>
        <v>0</v>
      </c>
      <c r="CP161" s="232">
        <f t="shared" si="1023"/>
        <v>0</v>
      </c>
      <c r="CQ161" s="232">
        <f t="shared" si="1023"/>
        <v>0</v>
      </c>
      <c r="CR161" s="232">
        <f t="shared" si="1023"/>
        <v>0</v>
      </c>
      <c r="CS161" s="232">
        <f t="shared" si="1023"/>
        <v>0</v>
      </c>
      <c r="CT161" s="232">
        <f t="shared" si="1023"/>
        <v>0</v>
      </c>
      <c r="CU161" s="232">
        <f t="shared" si="1023"/>
        <v>0</v>
      </c>
      <c r="CV161" s="232">
        <f t="shared" si="1023"/>
        <v>0</v>
      </c>
      <c r="CW161" s="232">
        <f t="shared" si="1023"/>
        <v>0</v>
      </c>
      <c r="CX161" s="232">
        <f t="shared" si="1023"/>
        <v>0</v>
      </c>
      <c r="CY161" s="232">
        <f t="shared" ca="1" si="1023"/>
        <v>-20813801.304388411</v>
      </c>
      <c r="CZ161" s="232">
        <f t="shared" si="1023"/>
        <v>0</v>
      </c>
      <c r="DA161" s="232">
        <f t="shared" si="1023"/>
        <v>0</v>
      </c>
      <c r="DB161" s="232">
        <f t="shared" si="1023"/>
        <v>0</v>
      </c>
      <c r="DC161" s="232">
        <f t="shared" si="1023"/>
        <v>0</v>
      </c>
      <c r="DD161" s="232">
        <f t="shared" si="1023"/>
        <v>0</v>
      </c>
      <c r="DE161" s="232">
        <f t="shared" si="1023"/>
        <v>0</v>
      </c>
      <c r="DF161" s="232">
        <f t="shared" si="1023"/>
        <v>0</v>
      </c>
      <c r="DG161" s="232">
        <f t="shared" si="1023"/>
        <v>0</v>
      </c>
      <c r="DH161" s="232">
        <f t="shared" si="1023"/>
        <v>0</v>
      </c>
      <c r="DI161" s="232">
        <f t="shared" si="1023"/>
        <v>0</v>
      </c>
      <c r="DJ161" s="232">
        <f t="shared" si="1023"/>
        <v>0</v>
      </c>
      <c r="DK161" s="232">
        <f t="shared" si="1023"/>
        <v>0</v>
      </c>
      <c r="DL161" s="232">
        <f t="shared" si="1023"/>
        <v>0</v>
      </c>
      <c r="DM161" s="232">
        <f t="shared" si="1023"/>
        <v>0</v>
      </c>
      <c r="DN161" s="232">
        <f t="shared" si="1023"/>
        <v>0</v>
      </c>
      <c r="DO161" s="232">
        <f t="shared" si="1023"/>
        <v>0</v>
      </c>
      <c r="DP161" s="232">
        <f t="shared" si="1023"/>
        <v>0</v>
      </c>
      <c r="DQ161" s="232">
        <f t="shared" si="1023"/>
        <v>0</v>
      </c>
      <c r="DR161" s="232">
        <f t="shared" si="1023"/>
        <v>0</v>
      </c>
      <c r="DS161" s="232">
        <f t="shared" si="1023"/>
        <v>0</v>
      </c>
      <c r="DT161" s="232">
        <f t="shared" si="1023"/>
        <v>0</v>
      </c>
      <c r="DU161" s="232">
        <f t="shared" si="1023"/>
        <v>0</v>
      </c>
      <c r="DV161" s="232">
        <f t="shared" si="1023"/>
        <v>0</v>
      </c>
      <c r="DW161" s="232">
        <f t="shared" si="1023"/>
        <v>0</v>
      </c>
      <c r="DX161" s="232">
        <f t="shared" si="1023"/>
        <v>0</v>
      </c>
      <c r="DY161" s="232">
        <f t="shared" si="1023"/>
        <v>0</v>
      </c>
      <c r="DZ161" s="232">
        <f t="shared" si="1023"/>
        <v>0</v>
      </c>
      <c r="EA161" s="232">
        <f t="shared" si="1023"/>
        <v>0</v>
      </c>
      <c r="EB161" s="232">
        <f t="shared" si="1023"/>
        <v>0</v>
      </c>
      <c r="EC161" s="232">
        <f t="shared" si="1023"/>
        <v>0</v>
      </c>
      <c r="ED161" s="232">
        <f t="shared" si="1023"/>
        <v>0</v>
      </c>
      <c r="EE161" s="232">
        <f t="shared" ref="EE161:FE161" si="1024">EE198</f>
        <v>0</v>
      </c>
      <c r="EF161" s="232">
        <f t="shared" si="1024"/>
        <v>0</v>
      </c>
      <c r="EG161" s="232">
        <f t="shared" si="1024"/>
        <v>0</v>
      </c>
      <c r="EH161" s="232">
        <f t="shared" si="1024"/>
        <v>0</v>
      </c>
      <c r="EI161" s="232">
        <f t="shared" si="1024"/>
        <v>0</v>
      </c>
      <c r="EJ161" s="232">
        <f t="shared" si="1024"/>
        <v>0</v>
      </c>
      <c r="EK161" s="232">
        <f t="shared" si="1024"/>
        <v>0</v>
      </c>
      <c r="EL161" s="232">
        <f t="shared" si="1024"/>
        <v>0</v>
      </c>
      <c r="EM161" s="232">
        <f t="shared" si="1024"/>
        <v>0</v>
      </c>
      <c r="EN161" s="232">
        <f t="shared" si="1024"/>
        <v>0</v>
      </c>
      <c r="EO161" s="232">
        <f t="shared" si="1024"/>
        <v>0</v>
      </c>
      <c r="EP161" s="232">
        <f t="shared" si="1024"/>
        <v>0</v>
      </c>
      <c r="EQ161" s="232">
        <f t="shared" si="1024"/>
        <v>0</v>
      </c>
      <c r="ER161" s="232">
        <f t="shared" si="1024"/>
        <v>0</v>
      </c>
      <c r="ES161" s="232">
        <f t="shared" si="1024"/>
        <v>0</v>
      </c>
      <c r="ET161" s="232">
        <f t="shared" si="1024"/>
        <v>0</v>
      </c>
      <c r="EU161" s="232">
        <f t="shared" si="1024"/>
        <v>0</v>
      </c>
      <c r="EV161" s="232">
        <f t="shared" si="1024"/>
        <v>0</v>
      </c>
      <c r="EW161" s="232">
        <f t="shared" si="1024"/>
        <v>0</v>
      </c>
      <c r="EX161" s="232">
        <f t="shared" si="1024"/>
        <v>0</v>
      </c>
      <c r="EY161" s="232">
        <f t="shared" si="1024"/>
        <v>0</v>
      </c>
      <c r="EZ161" s="232">
        <f t="shared" si="1024"/>
        <v>0</v>
      </c>
      <c r="FA161" s="232">
        <f t="shared" si="1024"/>
        <v>0</v>
      </c>
      <c r="FB161" s="232">
        <f t="shared" si="1024"/>
        <v>0</v>
      </c>
      <c r="FC161" s="232">
        <f t="shared" si="1024"/>
        <v>0</v>
      </c>
      <c r="FD161" s="232">
        <f t="shared" si="1024"/>
        <v>0</v>
      </c>
      <c r="FE161" s="232">
        <f t="shared" si="1024"/>
        <v>0</v>
      </c>
      <c r="FF161" s="232">
        <f t="shared" ref="FF161" si="1025">FF198</f>
        <v>0</v>
      </c>
      <c r="FG161" s="321"/>
      <c r="FH161" s="232">
        <f t="shared" si="988"/>
        <v>0</v>
      </c>
      <c r="FI161" s="232">
        <f t="shared" si="988"/>
        <v>0</v>
      </c>
      <c r="FJ161" s="232">
        <f t="shared" si="988"/>
        <v>0</v>
      </c>
      <c r="FK161" s="232">
        <f t="shared" si="988"/>
        <v>0</v>
      </c>
      <c r="FL161" s="232">
        <f t="shared" si="988"/>
        <v>0</v>
      </c>
      <c r="FM161" s="232">
        <f t="shared" si="988"/>
        <v>0</v>
      </c>
      <c r="FN161" s="232">
        <f t="shared" si="988"/>
        <v>0</v>
      </c>
      <c r="FO161" s="232">
        <f t="shared" si="988"/>
        <v>0</v>
      </c>
      <c r="FP161" s="232">
        <f t="shared" ca="1" si="988"/>
        <v>-20813801.304388411</v>
      </c>
      <c r="FQ161" s="232">
        <f t="shared" si="988"/>
        <v>0</v>
      </c>
      <c r="FR161" s="232">
        <f t="shared" si="988"/>
        <v>0</v>
      </c>
      <c r="FS161" s="232">
        <f t="shared" si="988"/>
        <v>0</v>
      </c>
      <c r="FT161" s="232">
        <f t="shared" si="988"/>
        <v>0</v>
      </c>
      <c r="FU161" s="232">
        <f t="shared" si="988"/>
        <v>0</v>
      </c>
      <c r="FV161" s="321"/>
    </row>
    <row r="162" spans="2:178" s="208" customFormat="1" x14ac:dyDescent="0.2">
      <c r="C162" s="80" t="s">
        <v>111</v>
      </c>
      <c r="D162" s="80"/>
      <c r="E162" s="272">
        <f t="shared" ca="1" si="983"/>
        <v>18717683.065625101</v>
      </c>
      <c r="F162" s="279">
        <f t="shared" ref="F162:AK162" ca="1" si="1026">SUM(F153:F158,F160:F161)</f>
        <v>-12298499.999999998</v>
      </c>
      <c r="G162" s="80">
        <f t="shared" ca="1" si="1026"/>
        <v>-52440.983253253202</v>
      </c>
      <c r="H162" s="80">
        <f t="shared" ca="1" si="1026"/>
        <v>-52064.898211386273</v>
      </c>
      <c r="I162" s="80">
        <f t="shared" ca="1" si="1026"/>
        <v>-51687.872956914754</v>
      </c>
      <c r="J162" s="80">
        <f t="shared" ca="1" si="1026"/>
        <v>-51309.905139307069</v>
      </c>
      <c r="K162" s="80">
        <f t="shared" ca="1" si="1026"/>
        <v>-50930.992402155374</v>
      </c>
      <c r="L162" s="80">
        <f t="shared" ca="1" si="1026"/>
        <v>-50551.132383160773</v>
      </c>
      <c r="M162" s="80">
        <f t="shared" ca="1" si="1026"/>
        <v>-50170.32271411868</v>
      </c>
      <c r="N162" s="80">
        <f t="shared" ca="1" si="1026"/>
        <v>-49788.561020903973</v>
      </c>
      <c r="O162" s="80">
        <f t="shared" ca="1" si="1026"/>
        <v>-49405.844923456272</v>
      </c>
      <c r="P162" s="80">
        <f t="shared" ca="1" si="1026"/>
        <v>-49022.172035764888</v>
      </c>
      <c r="Q162" s="80">
        <f t="shared" ca="1" si="1026"/>
        <v>-48637.539965854332</v>
      </c>
      <c r="R162" s="80">
        <f t="shared" ca="1" si="1026"/>
        <v>-48251.946315768917</v>
      </c>
      <c r="S162" s="80">
        <f t="shared" ca="1" si="1026"/>
        <v>77134.611318441559</v>
      </c>
      <c r="T162" s="80">
        <f t="shared" ca="1" si="1026"/>
        <v>77522.135346737705</v>
      </c>
      <c r="U162" s="80">
        <f t="shared" ca="1" si="1026"/>
        <v>77910.628185104593</v>
      </c>
      <c r="V162" s="80">
        <f t="shared" ca="1" si="1026"/>
        <v>78300.092255567302</v>
      </c>
      <c r="W162" s="80">
        <f t="shared" ca="1" si="1026"/>
        <v>78690.529986206224</v>
      </c>
      <c r="X162" s="80">
        <f t="shared" ca="1" si="1026"/>
        <v>79081.943811171761</v>
      </c>
      <c r="Y162" s="80">
        <f t="shared" ca="1" si="1026"/>
        <v>79474.336170699637</v>
      </c>
      <c r="Z162" s="80">
        <f t="shared" ca="1" si="1026"/>
        <v>79867.709511126377</v>
      </c>
      <c r="AA162" s="80">
        <f t="shared" ca="1" si="1026"/>
        <v>80262.066284904213</v>
      </c>
      <c r="AB162" s="80">
        <f t="shared" ca="1" si="1026"/>
        <v>80657.408950616504</v>
      </c>
      <c r="AC162" s="80">
        <f t="shared" ca="1" si="1026"/>
        <v>81053.739972993018</v>
      </c>
      <c r="AD162" s="80">
        <f t="shared" ca="1" si="1026"/>
        <v>81451.061822925447</v>
      </c>
      <c r="AE162" s="80">
        <f t="shared" ca="1" si="1026"/>
        <v>60926.956443374103</v>
      </c>
      <c r="AF162" s="80">
        <f t="shared" ca="1" si="1026"/>
        <v>61326.267385817773</v>
      </c>
      <c r="AG162" s="80">
        <f t="shared" ca="1" si="1026"/>
        <v>61726.576605617563</v>
      </c>
      <c r="AH162" s="80">
        <f t="shared" ca="1" si="1026"/>
        <v>62127.886598466866</v>
      </c>
      <c r="AI162" s="80">
        <f t="shared" ca="1" si="1026"/>
        <v>62530.199866298266</v>
      </c>
      <c r="AJ162" s="80">
        <f t="shared" ca="1" si="1026"/>
        <v>62933.518917299254</v>
      </c>
      <c r="AK162" s="80">
        <f t="shared" ca="1" si="1026"/>
        <v>63337.846265927772</v>
      </c>
      <c r="AL162" s="80">
        <f t="shared" ref="AL162:BQ162" ca="1" si="1027">SUM(AL153:AL158,AL160:AL161)</f>
        <v>63743.184432927927</v>
      </c>
      <c r="AM162" s="80">
        <f t="shared" ca="1" si="1027"/>
        <v>64149.535945345473</v>
      </c>
      <c r="AN162" s="80">
        <f t="shared" ca="1" si="1027"/>
        <v>64556.903336544114</v>
      </c>
      <c r="AO162" s="80">
        <f t="shared" ca="1" si="1027"/>
        <v>64965.28914622069</v>
      </c>
      <c r="AP162" s="80">
        <f t="shared" ca="1" si="1027"/>
        <v>65374.695920421538</v>
      </c>
      <c r="AQ162" s="80">
        <f t="shared" ca="1" si="1027"/>
        <v>8659575.8064588998</v>
      </c>
      <c r="AR162" s="80">
        <f t="shared" ca="1" si="1027"/>
        <v>56683.638635998417</v>
      </c>
      <c r="AS162" s="80">
        <f t="shared" ca="1" si="1027"/>
        <v>57096.123643779691</v>
      </c>
      <c r="AT162" s="80">
        <f t="shared" ca="1" si="1027"/>
        <v>57509.639864080556</v>
      </c>
      <c r="AU162" s="80">
        <f t="shared" ca="1" si="1027"/>
        <v>57924.189874932024</v>
      </c>
      <c r="AV162" s="80">
        <f t="shared" ca="1" si="1027"/>
        <v>58339.77626081073</v>
      </c>
      <c r="AW162" s="80">
        <f t="shared" ca="1" si="1027"/>
        <v>58756.401612654066</v>
      </c>
      <c r="AX162" s="80">
        <f t="shared" ca="1" si="1027"/>
        <v>59174.06852787704</v>
      </c>
      <c r="AY162" s="80">
        <f t="shared" ca="1" si="1027"/>
        <v>59592.779610388039</v>
      </c>
      <c r="AZ162" s="80">
        <f t="shared" ca="1" si="1027"/>
        <v>60012.537470605341</v>
      </c>
      <c r="BA162" s="80">
        <f t="shared" ca="1" si="1027"/>
        <v>60433.344725473173</v>
      </c>
      <c r="BB162" s="80">
        <f t="shared" ca="1" si="1027"/>
        <v>60855.203998478217</v>
      </c>
      <c r="BC162" s="80">
        <f t="shared" ca="1" si="1027"/>
        <v>61278.117919665703</v>
      </c>
      <c r="BD162" s="80">
        <f t="shared" ca="1" si="1027"/>
        <v>61702.089125656203</v>
      </c>
      <c r="BE162" s="80">
        <f t="shared" ca="1" si="1027"/>
        <v>62127.120259661693</v>
      </c>
      <c r="BF162" s="80">
        <f t="shared" ca="1" si="1027"/>
        <v>62553.213971502206</v>
      </c>
      <c r="BG162" s="80">
        <f t="shared" ca="1" si="1027"/>
        <v>62980.37291762224</v>
      </c>
      <c r="BH162" s="80">
        <f t="shared" ca="1" si="1027"/>
        <v>63408.599761107645</v>
      </c>
      <c r="BI162" s="80">
        <f t="shared" ca="1" si="1027"/>
        <v>63837.897171701741</v>
      </c>
      <c r="BJ162" s="80">
        <f t="shared" ca="1" si="1027"/>
        <v>64268.267825822317</v>
      </c>
      <c r="BK162" s="80">
        <f t="shared" ca="1" si="1027"/>
        <v>64699.714406578161</v>
      </c>
      <c r="BL162" s="80">
        <f t="shared" ca="1" si="1027"/>
        <v>65132.239603785943</v>
      </c>
      <c r="BM162" s="80">
        <f t="shared" ca="1" si="1027"/>
        <v>65565.846113986714</v>
      </c>
      <c r="BN162" s="80">
        <f t="shared" ca="1" si="1027"/>
        <v>66000.536640463019</v>
      </c>
      <c r="BO162" s="80">
        <f t="shared" ca="1" si="1027"/>
        <v>66436.313893255545</v>
      </c>
      <c r="BP162" s="80">
        <f t="shared" ca="1" si="1027"/>
        <v>45308.473262930347</v>
      </c>
      <c r="BQ162" s="80">
        <f t="shared" ca="1" si="1027"/>
        <v>45746.432125594612</v>
      </c>
      <c r="BR162" s="80">
        <f t="shared" ref="BR162:CW162" ca="1" si="1028">SUM(BR153:BR158,BR160:BR161)</f>
        <v>46185.485885415575</v>
      </c>
      <c r="BS162" s="80">
        <f t="shared" ca="1" si="1028"/>
        <v>46625.637279636023</v>
      </c>
      <c r="BT162" s="80">
        <f t="shared" ca="1" si="1028"/>
        <v>47066.88905234207</v>
      </c>
      <c r="BU162" s="80">
        <f t="shared" ca="1" si="1028"/>
        <v>47509.243954479956</v>
      </c>
      <c r="BV162" s="80">
        <f t="shared" ca="1" si="1028"/>
        <v>47952.704743873037</v>
      </c>
      <c r="BW162" s="80">
        <f t="shared" ca="1" si="1028"/>
        <v>48397.274185239658</v>
      </c>
      <c r="BX162" s="80">
        <f t="shared" ca="1" si="1028"/>
        <v>48842.95505020977</v>
      </c>
      <c r="BY162" s="80">
        <f t="shared" ca="1" si="1028"/>
        <v>49289.750117342162</v>
      </c>
      <c r="BZ162" s="80">
        <f t="shared" ca="1" si="1028"/>
        <v>49737.662172142504</v>
      </c>
      <c r="CA162" s="80">
        <f t="shared" ca="1" si="1028"/>
        <v>50186.694007079757</v>
      </c>
      <c r="CB162" s="80">
        <f t="shared" ca="1" si="1028"/>
        <v>50636.848421604402</v>
      </c>
      <c r="CC162" s="80">
        <f t="shared" ca="1" si="1028"/>
        <v>51088.128222165338</v>
      </c>
      <c r="CD162" s="80">
        <f t="shared" ca="1" si="1028"/>
        <v>51540.536222227733</v>
      </c>
      <c r="CE162" s="80">
        <f t="shared" ca="1" si="1028"/>
        <v>51994.075242290244</v>
      </c>
      <c r="CF162" s="80">
        <f t="shared" ca="1" si="1028"/>
        <v>52448.748109902837</v>
      </c>
      <c r="CG162" s="80">
        <f t="shared" ca="1" si="1028"/>
        <v>52904.557659684593</v>
      </c>
      <c r="CH162" s="80">
        <f t="shared" ca="1" si="1028"/>
        <v>53361.506733340735</v>
      </c>
      <c r="CI162" s="80">
        <f t="shared" ca="1" si="1028"/>
        <v>53819.598179681023</v>
      </c>
      <c r="CJ162" s="80">
        <f t="shared" ca="1" si="1028"/>
        <v>54278.834854637156</v>
      </c>
      <c r="CK162" s="80">
        <f t="shared" ca="1" si="1028"/>
        <v>54739.219621280645</v>
      </c>
      <c r="CL162" s="80">
        <f t="shared" ca="1" si="1028"/>
        <v>55200.755349840823</v>
      </c>
      <c r="CM162" s="80">
        <f t="shared" ca="1" si="1028"/>
        <v>55663.444917722401</v>
      </c>
      <c r="CN162" s="80">
        <f t="shared" ca="1" si="1028"/>
        <v>56127.291209523653</v>
      </c>
      <c r="CO162" s="80">
        <f t="shared" ca="1" si="1028"/>
        <v>56592.297117054404</v>
      </c>
      <c r="CP162" s="80">
        <f t="shared" ca="1" si="1028"/>
        <v>57058.465539354016</v>
      </c>
      <c r="CQ162" s="80">
        <f t="shared" ca="1" si="1028"/>
        <v>57525.799382709258</v>
      </c>
      <c r="CR162" s="80">
        <f t="shared" ca="1" si="1028"/>
        <v>57994.301560673019</v>
      </c>
      <c r="CS162" s="80">
        <f t="shared" ca="1" si="1028"/>
        <v>58463.974994081538</v>
      </c>
      <c r="CT162" s="80">
        <f t="shared" ca="1" si="1028"/>
        <v>58934.82261107376</v>
      </c>
      <c r="CU162" s="80">
        <f t="shared" ca="1" si="1028"/>
        <v>59406.847347108385</v>
      </c>
      <c r="CV162" s="80">
        <f t="shared" ca="1" si="1028"/>
        <v>59880.052144983114</v>
      </c>
      <c r="CW162" s="80">
        <f t="shared" ca="1" si="1028"/>
        <v>60354.439954852482</v>
      </c>
      <c r="CX162" s="80">
        <f t="shared" ref="CX162:EC162" ca="1" si="1029">SUM(CX153:CX158,CX160:CX161)</f>
        <v>38926208.901130721</v>
      </c>
      <c r="CY162" s="80">
        <f t="shared" ca="1" si="1029"/>
        <v>-20943676.376191191</v>
      </c>
      <c r="CZ162" s="80">
        <f t="shared" ca="1" si="1029"/>
        <v>0</v>
      </c>
      <c r="DA162" s="80">
        <f t="shared" ca="1" si="1029"/>
        <v>0</v>
      </c>
      <c r="DB162" s="80">
        <f t="shared" ca="1" si="1029"/>
        <v>0</v>
      </c>
      <c r="DC162" s="80">
        <f t="shared" ca="1" si="1029"/>
        <v>0</v>
      </c>
      <c r="DD162" s="80">
        <f t="shared" ca="1" si="1029"/>
        <v>0</v>
      </c>
      <c r="DE162" s="80">
        <f t="shared" ca="1" si="1029"/>
        <v>0</v>
      </c>
      <c r="DF162" s="80">
        <f t="shared" ca="1" si="1029"/>
        <v>0</v>
      </c>
      <c r="DG162" s="80">
        <f t="shared" ca="1" si="1029"/>
        <v>0</v>
      </c>
      <c r="DH162" s="80">
        <f t="shared" ca="1" si="1029"/>
        <v>0</v>
      </c>
      <c r="DI162" s="80">
        <f t="shared" ca="1" si="1029"/>
        <v>0</v>
      </c>
      <c r="DJ162" s="80">
        <f t="shared" ca="1" si="1029"/>
        <v>0</v>
      </c>
      <c r="DK162" s="80">
        <f t="shared" ca="1" si="1029"/>
        <v>0</v>
      </c>
      <c r="DL162" s="80">
        <f t="shared" ca="1" si="1029"/>
        <v>0</v>
      </c>
      <c r="DM162" s="80">
        <f t="shared" ca="1" si="1029"/>
        <v>0</v>
      </c>
      <c r="DN162" s="80">
        <f t="shared" ca="1" si="1029"/>
        <v>0</v>
      </c>
      <c r="DO162" s="80">
        <f t="shared" ca="1" si="1029"/>
        <v>0</v>
      </c>
      <c r="DP162" s="80">
        <f t="shared" ca="1" si="1029"/>
        <v>0</v>
      </c>
      <c r="DQ162" s="80">
        <f t="shared" ca="1" si="1029"/>
        <v>0</v>
      </c>
      <c r="DR162" s="80">
        <f t="shared" ca="1" si="1029"/>
        <v>0</v>
      </c>
      <c r="DS162" s="80">
        <f t="shared" ca="1" si="1029"/>
        <v>0</v>
      </c>
      <c r="DT162" s="80">
        <f t="shared" ca="1" si="1029"/>
        <v>0</v>
      </c>
      <c r="DU162" s="80">
        <f t="shared" ca="1" si="1029"/>
        <v>0</v>
      </c>
      <c r="DV162" s="80">
        <f t="shared" ca="1" si="1029"/>
        <v>0</v>
      </c>
      <c r="DW162" s="80">
        <f t="shared" ca="1" si="1029"/>
        <v>0</v>
      </c>
      <c r="DX162" s="80">
        <f t="shared" ca="1" si="1029"/>
        <v>0</v>
      </c>
      <c r="DY162" s="80">
        <f t="shared" ca="1" si="1029"/>
        <v>0</v>
      </c>
      <c r="DZ162" s="80">
        <f t="shared" ca="1" si="1029"/>
        <v>0</v>
      </c>
      <c r="EA162" s="80">
        <f t="shared" ca="1" si="1029"/>
        <v>0</v>
      </c>
      <c r="EB162" s="80">
        <f t="shared" ca="1" si="1029"/>
        <v>0</v>
      </c>
      <c r="EC162" s="80">
        <f t="shared" ca="1" si="1029"/>
        <v>0</v>
      </c>
      <c r="ED162" s="80">
        <f t="shared" ref="ED162:FC162" ca="1" si="1030">SUM(ED153:ED158,ED160:ED161)</f>
        <v>0</v>
      </c>
      <c r="EE162" s="80">
        <f t="shared" ca="1" si="1030"/>
        <v>0</v>
      </c>
      <c r="EF162" s="80">
        <f t="shared" ca="1" si="1030"/>
        <v>0</v>
      </c>
      <c r="EG162" s="80">
        <f t="shared" ca="1" si="1030"/>
        <v>0</v>
      </c>
      <c r="EH162" s="80">
        <f t="shared" ca="1" si="1030"/>
        <v>0</v>
      </c>
      <c r="EI162" s="80">
        <f t="shared" ca="1" si="1030"/>
        <v>0</v>
      </c>
      <c r="EJ162" s="80">
        <f t="shared" ca="1" si="1030"/>
        <v>0</v>
      </c>
      <c r="EK162" s="80">
        <f t="shared" ca="1" si="1030"/>
        <v>0</v>
      </c>
      <c r="EL162" s="80">
        <f t="shared" ca="1" si="1030"/>
        <v>0</v>
      </c>
      <c r="EM162" s="80">
        <f t="shared" ca="1" si="1030"/>
        <v>0</v>
      </c>
      <c r="EN162" s="80">
        <f t="shared" ca="1" si="1030"/>
        <v>0</v>
      </c>
      <c r="EO162" s="80">
        <f t="shared" ca="1" si="1030"/>
        <v>0</v>
      </c>
      <c r="EP162" s="80">
        <f t="shared" ca="1" si="1030"/>
        <v>0</v>
      </c>
      <c r="EQ162" s="80">
        <f t="shared" ca="1" si="1030"/>
        <v>0</v>
      </c>
      <c r="ER162" s="80">
        <f t="shared" ca="1" si="1030"/>
        <v>0</v>
      </c>
      <c r="ES162" s="80">
        <f t="shared" ca="1" si="1030"/>
        <v>0</v>
      </c>
      <c r="ET162" s="80">
        <f t="shared" ca="1" si="1030"/>
        <v>0</v>
      </c>
      <c r="EU162" s="80">
        <f t="shared" ca="1" si="1030"/>
        <v>0</v>
      </c>
      <c r="EV162" s="80">
        <f t="shared" ca="1" si="1030"/>
        <v>0</v>
      </c>
      <c r="EW162" s="80">
        <f t="shared" ca="1" si="1030"/>
        <v>0</v>
      </c>
      <c r="EX162" s="80">
        <f t="shared" ca="1" si="1030"/>
        <v>0</v>
      </c>
      <c r="EY162" s="80">
        <f t="shared" ca="1" si="1030"/>
        <v>0</v>
      </c>
      <c r="EZ162" s="80">
        <f t="shared" ca="1" si="1030"/>
        <v>0</v>
      </c>
      <c r="FA162" s="80">
        <f t="shared" ca="1" si="1030"/>
        <v>0</v>
      </c>
      <c r="FB162" s="80">
        <f t="shared" ca="1" si="1030"/>
        <v>0</v>
      </c>
      <c r="FC162" s="80">
        <f t="shared" ca="1" si="1030"/>
        <v>0</v>
      </c>
      <c r="FD162" s="80">
        <f t="shared" ref="FD162:FE162" ca="1" si="1031">SUM(FD153:FD158,FD160:FD161)</f>
        <v>0</v>
      </c>
      <c r="FE162" s="80">
        <f t="shared" ca="1" si="1031"/>
        <v>0</v>
      </c>
      <c r="FF162" s="80">
        <f t="shared" ref="FF162" ca="1" si="1032">SUM(FF153:FF158,FF160:FF161)</f>
        <v>0</v>
      </c>
      <c r="FG162" s="288"/>
      <c r="FH162" s="80">
        <f t="shared" ca="1" si="988"/>
        <v>-12657656.107060293</v>
      </c>
      <c r="FI162" s="80">
        <f t="shared" ca="1" si="988"/>
        <v>303008.2128121804</v>
      </c>
      <c r="FJ162" s="80">
        <f t="shared" ca="1" si="988"/>
        <v>838201.23862536706</v>
      </c>
      <c r="FK162" s="80">
        <f t="shared" ca="1" si="988"/>
        <v>9328675.1851326134</v>
      </c>
      <c r="FL162" s="80">
        <f t="shared" ca="1" si="988"/>
        <v>737955.34545973921</v>
      </c>
      <c r="FM162" s="80">
        <f t="shared" ca="1" si="988"/>
        <v>670545.08004429017</v>
      </c>
      <c r="FN162" s="80">
        <f t="shared" ca="1" si="988"/>
        <v>605019.93415376195</v>
      </c>
      <c r="FO162" s="80">
        <f t="shared" ca="1" si="988"/>
        <v>670825.48945989867</v>
      </c>
      <c r="FP162" s="80">
        <f t="shared" ca="1" si="988"/>
        <v>18221108.686997548</v>
      </c>
      <c r="FQ162" s="80">
        <f t="shared" ca="1" si="988"/>
        <v>0</v>
      </c>
      <c r="FR162" s="80">
        <f t="shared" ca="1" si="988"/>
        <v>0</v>
      </c>
      <c r="FS162" s="80">
        <f t="shared" ca="1" si="988"/>
        <v>0</v>
      </c>
      <c r="FT162" s="80">
        <f t="shared" ca="1" si="988"/>
        <v>0</v>
      </c>
      <c r="FU162" s="80">
        <f t="shared" ca="1" si="988"/>
        <v>0</v>
      </c>
      <c r="FV162" s="288"/>
    </row>
    <row r="163" spans="2:178" s="47" customFormat="1" x14ac:dyDescent="0.2">
      <c r="C163" s="216" t="s">
        <v>113</v>
      </c>
      <c r="E163" s="262"/>
      <c r="F163" s="265">
        <f ca="1">IF(F162&lt;0,F162+E163,E163)</f>
        <v>-12298499.999999998</v>
      </c>
      <c r="G163" s="250">
        <f t="shared" ref="G163:BR163" ca="1" si="1033">IF(G162&lt;0,G162+F163,F163)</f>
        <v>-12350940.983253252</v>
      </c>
      <c r="H163" s="250">
        <f t="shared" ca="1" si="1033"/>
        <v>-12403005.881464638</v>
      </c>
      <c r="I163" s="250">
        <f t="shared" ca="1" si="1033"/>
        <v>-12454693.754421553</v>
      </c>
      <c r="J163" s="250">
        <f t="shared" ca="1" si="1033"/>
        <v>-12506003.659560859</v>
      </c>
      <c r="K163" s="250">
        <f t="shared" ca="1" si="1033"/>
        <v>-12556934.651963014</v>
      </c>
      <c r="L163" s="250">
        <f t="shared" ca="1" si="1033"/>
        <v>-12607485.784346174</v>
      </c>
      <c r="M163" s="250">
        <f t="shared" ca="1" si="1033"/>
        <v>-12657656.107060293</v>
      </c>
      <c r="N163" s="250">
        <f t="shared" ca="1" si="1033"/>
        <v>-12707444.668081196</v>
      </c>
      <c r="O163" s="250">
        <f t="shared" ca="1" si="1033"/>
        <v>-12756850.513004653</v>
      </c>
      <c r="P163" s="250">
        <f t="shared" ca="1" si="1033"/>
        <v>-12805872.685040418</v>
      </c>
      <c r="Q163" s="250">
        <f t="shared" ca="1" si="1033"/>
        <v>-12854510.225006273</v>
      </c>
      <c r="R163" s="250">
        <f t="shared" ca="1" si="1033"/>
        <v>-12902762.171322042</v>
      </c>
      <c r="S163" s="250">
        <f t="shared" ca="1" si="1033"/>
        <v>-12902762.171322042</v>
      </c>
      <c r="T163" s="250">
        <f t="shared" ca="1" si="1033"/>
        <v>-12902762.171322042</v>
      </c>
      <c r="U163" s="250">
        <f t="shared" ca="1" si="1033"/>
        <v>-12902762.171322042</v>
      </c>
      <c r="V163" s="250">
        <f t="shared" ca="1" si="1033"/>
        <v>-12902762.171322042</v>
      </c>
      <c r="W163" s="250">
        <f t="shared" ca="1" si="1033"/>
        <v>-12902762.171322042</v>
      </c>
      <c r="X163" s="250">
        <f t="shared" ca="1" si="1033"/>
        <v>-12902762.171322042</v>
      </c>
      <c r="Y163" s="250">
        <f t="shared" ca="1" si="1033"/>
        <v>-12902762.171322042</v>
      </c>
      <c r="Z163" s="250">
        <f t="shared" ca="1" si="1033"/>
        <v>-12902762.171322042</v>
      </c>
      <c r="AA163" s="250">
        <f t="shared" ca="1" si="1033"/>
        <v>-12902762.171322042</v>
      </c>
      <c r="AB163" s="250">
        <f t="shared" ca="1" si="1033"/>
        <v>-12902762.171322042</v>
      </c>
      <c r="AC163" s="250">
        <f t="shared" ca="1" si="1033"/>
        <v>-12902762.171322042</v>
      </c>
      <c r="AD163" s="250">
        <f t="shared" ca="1" si="1033"/>
        <v>-12902762.171322042</v>
      </c>
      <c r="AE163" s="250">
        <f t="shared" ca="1" si="1033"/>
        <v>-12902762.171322042</v>
      </c>
      <c r="AF163" s="250">
        <f t="shared" ca="1" si="1033"/>
        <v>-12902762.171322042</v>
      </c>
      <c r="AG163" s="250">
        <f t="shared" ca="1" si="1033"/>
        <v>-12902762.171322042</v>
      </c>
      <c r="AH163" s="250">
        <f t="shared" ca="1" si="1033"/>
        <v>-12902762.171322042</v>
      </c>
      <c r="AI163" s="250">
        <f t="shared" ca="1" si="1033"/>
        <v>-12902762.171322042</v>
      </c>
      <c r="AJ163" s="250">
        <f t="shared" ca="1" si="1033"/>
        <v>-12902762.171322042</v>
      </c>
      <c r="AK163" s="250">
        <f t="shared" ca="1" si="1033"/>
        <v>-12902762.171322042</v>
      </c>
      <c r="AL163" s="250">
        <f t="shared" ca="1" si="1033"/>
        <v>-12902762.171322042</v>
      </c>
      <c r="AM163" s="250">
        <f t="shared" ca="1" si="1033"/>
        <v>-12902762.171322042</v>
      </c>
      <c r="AN163" s="250">
        <f t="shared" ca="1" si="1033"/>
        <v>-12902762.171322042</v>
      </c>
      <c r="AO163" s="250">
        <f t="shared" ca="1" si="1033"/>
        <v>-12902762.171322042</v>
      </c>
      <c r="AP163" s="250">
        <f t="shared" ca="1" si="1033"/>
        <v>-12902762.171322042</v>
      </c>
      <c r="AQ163" s="250">
        <f t="shared" ca="1" si="1033"/>
        <v>-12902762.171322042</v>
      </c>
      <c r="AR163" s="250">
        <f t="shared" ca="1" si="1033"/>
        <v>-12902762.171322042</v>
      </c>
      <c r="AS163" s="250">
        <f t="shared" ca="1" si="1033"/>
        <v>-12902762.171322042</v>
      </c>
      <c r="AT163" s="250">
        <f t="shared" ca="1" si="1033"/>
        <v>-12902762.171322042</v>
      </c>
      <c r="AU163" s="250">
        <f t="shared" ca="1" si="1033"/>
        <v>-12902762.171322042</v>
      </c>
      <c r="AV163" s="250">
        <f t="shared" ca="1" si="1033"/>
        <v>-12902762.171322042</v>
      </c>
      <c r="AW163" s="250">
        <f t="shared" ca="1" si="1033"/>
        <v>-12902762.171322042</v>
      </c>
      <c r="AX163" s="250">
        <f t="shared" ca="1" si="1033"/>
        <v>-12902762.171322042</v>
      </c>
      <c r="AY163" s="250">
        <f t="shared" ca="1" si="1033"/>
        <v>-12902762.171322042</v>
      </c>
      <c r="AZ163" s="250">
        <f t="shared" ca="1" si="1033"/>
        <v>-12902762.171322042</v>
      </c>
      <c r="BA163" s="250">
        <f t="shared" ca="1" si="1033"/>
        <v>-12902762.171322042</v>
      </c>
      <c r="BB163" s="250">
        <f t="shared" ca="1" si="1033"/>
        <v>-12902762.171322042</v>
      </c>
      <c r="BC163" s="250">
        <f t="shared" ca="1" si="1033"/>
        <v>-12902762.171322042</v>
      </c>
      <c r="BD163" s="250">
        <f t="shared" ca="1" si="1033"/>
        <v>-12902762.171322042</v>
      </c>
      <c r="BE163" s="250">
        <f t="shared" ca="1" si="1033"/>
        <v>-12902762.171322042</v>
      </c>
      <c r="BF163" s="250">
        <f t="shared" ca="1" si="1033"/>
        <v>-12902762.171322042</v>
      </c>
      <c r="BG163" s="250">
        <f t="shared" ca="1" si="1033"/>
        <v>-12902762.171322042</v>
      </c>
      <c r="BH163" s="250">
        <f t="shared" ca="1" si="1033"/>
        <v>-12902762.171322042</v>
      </c>
      <c r="BI163" s="250">
        <f t="shared" ca="1" si="1033"/>
        <v>-12902762.171322042</v>
      </c>
      <c r="BJ163" s="250">
        <f t="shared" ca="1" si="1033"/>
        <v>-12902762.171322042</v>
      </c>
      <c r="BK163" s="250">
        <f t="shared" ca="1" si="1033"/>
        <v>-12902762.171322042</v>
      </c>
      <c r="BL163" s="250">
        <f t="shared" ca="1" si="1033"/>
        <v>-12902762.171322042</v>
      </c>
      <c r="BM163" s="250">
        <f t="shared" ca="1" si="1033"/>
        <v>-12902762.171322042</v>
      </c>
      <c r="BN163" s="250">
        <f t="shared" ca="1" si="1033"/>
        <v>-12902762.171322042</v>
      </c>
      <c r="BO163" s="250">
        <f t="shared" ca="1" si="1033"/>
        <v>-12902762.171322042</v>
      </c>
      <c r="BP163" s="250">
        <f t="shared" ca="1" si="1033"/>
        <v>-12902762.171322042</v>
      </c>
      <c r="BQ163" s="250">
        <f t="shared" ca="1" si="1033"/>
        <v>-12902762.171322042</v>
      </c>
      <c r="BR163" s="250">
        <f t="shared" ca="1" si="1033"/>
        <v>-12902762.171322042</v>
      </c>
      <c r="BS163" s="250">
        <f t="shared" ref="BS163:ED163" ca="1" si="1034">IF(BS162&lt;0,BS162+BR163,BR163)</f>
        <v>-12902762.171322042</v>
      </c>
      <c r="BT163" s="250">
        <f t="shared" ca="1" si="1034"/>
        <v>-12902762.171322042</v>
      </c>
      <c r="BU163" s="250">
        <f t="shared" ca="1" si="1034"/>
        <v>-12902762.171322042</v>
      </c>
      <c r="BV163" s="250">
        <f t="shared" ca="1" si="1034"/>
        <v>-12902762.171322042</v>
      </c>
      <c r="BW163" s="250">
        <f t="shared" ca="1" si="1034"/>
        <v>-12902762.171322042</v>
      </c>
      <c r="BX163" s="250">
        <f t="shared" ca="1" si="1034"/>
        <v>-12902762.171322042</v>
      </c>
      <c r="BY163" s="250">
        <f t="shared" ca="1" si="1034"/>
        <v>-12902762.171322042</v>
      </c>
      <c r="BZ163" s="250">
        <f t="shared" ca="1" si="1034"/>
        <v>-12902762.171322042</v>
      </c>
      <c r="CA163" s="250">
        <f t="shared" ca="1" si="1034"/>
        <v>-12902762.171322042</v>
      </c>
      <c r="CB163" s="250">
        <f t="shared" ca="1" si="1034"/>
        <v>-12902762.171322042</v>
      </c>
      <c r="CC163" s="250">
        <f t="shared" ca="1" si="1034"/>
        <v>-12902762.171322042</v>
      </c>
      <c r="CD163" s="250">
        <f t="shared" ca="1" si="1034"/>
        <v>-12902762.171322042</v>
      </c>
      <c r="CE163" s="250">
        <f t="shared" ca="1" si="1034"/>
        <v>-12902762.171322042</v>
      </c>
      <c r="CF163" s="250">
        <f t="shared" ca="1" si="1034"/>
        <v>-12902762.171322042</v>
      </c>
      <c r="CG163" s="250">
        <f t="shared" ca="1" si="1034"/>
        <v>-12902762.171322042</v>
      </c>
      <c r="CH163" s="250">
        <f t="shared" ca="1" si="1034"/>
        <v>-12902762.171322042</v>
      </c>
      <c r="CI163" s="250">
        <f t="shared" ca="1" si="1034"/>
        <v>-12902762.171322042</v>
      </c>
      <c r="CJ163" s="250">
        <f t="shared" ca="1" si="1034"/>
        <v>-12902762.171322042</v>
      </c>
      <c r="CK163" s="250">
        <f t="shared" ca="1" si="1034"/>
        <v>-12902762.171322042</v>
      </c>
      <c r="CL163" s="250">
        <f t="shared" ca="1" si="1034"/>
        <v>-12902762.171322042</v>
      </c>
      <c r="CM163" s="250">
        <f t="shared" ca="1" si="1034"/>
        <v>-12902762.171322042</v>
      </c>
      <c r="CN163" s="250">
        <f t="shared" ca="1" si="1034"/>
        <v>-12902762.171322042</v>
      </c>
      <c r="CO163" s="250">
        <f t="shared" ca="1" si="1034"/>
        <v>-12902762.171322042</v>
      </c>
      <c r="CP163" s="250">
        <f t="shared" ca="1" si="1034"/>
        <v>-12902762.171322042</v>
      </c>
      <c r="CQ163" s="250">
        <f t="shared" ca="1" si="1034"/>
        <v>-12902762.171322042</v>
      </c>
      <c r="CR163" s="250">
        <f t="shared" ca="1" si="1034"/>
        <v>-12902762.171322042</v>
      </c>
      <c r="CS163" s="250">
        <f t="shared" ca="1" si="1034"/>
        <v>-12902762.171322042</v>
      </c>
      <c r="CT163" s="250">
        <f t="shared" ca="1" si="1034"/>
        <v>-12902762.171322042</v>
      </c>
      <c r="CU163" s="250">
        <f t="shared" ca="1" si="1034"/>
        <v>-12902762.171322042</v>
      </c>
      <c r="CV163" s="250">
        <f t="shared" ca="1" si="1034"/>
        <v>-12902762.171322042</v>
      </c>
      <c r="CW163" s="250">
        <f t="shared" ca="1" si="1034"/>
        <v>-12902762.171322042</v>
      </c>
      <c r="CX163" s="250">
        <f t="shared" ca="1" si="1034"/>
        <v>-12902762.171322042</v>
      </c>
      <c r="CY163" s="250">
        <f t="shared" ca="1" si="1034"/>
        <v>-33846438.547513232</v>
      </c>
      <c r="CZ163" s="250">
        <f t="shared" ca="1" si="1034"/>
        <v>-33846438.547513232</v>
      </c>
      <c r="DA163" s="250">
        <f t="shared" ca="1" si="1034"/>
        <v>-33846438.547513232</v>
      </c>
      <c r="DB163" s="250">
        <f t="shared" ca="1" si="1034"/>
        <v>-33846438.547513232</v>
      </c>
      <c r="DC163" s="250">
        <f t="shared" ca="1" si="1034"/>
        <v>-33846438.547513232</v>
      </c>
      <c r="DD163" s="250">
        <f t="shared" ca="1" si="1034"/>
        <v>-33846438.547513232</v>
      </c>
      <c r="DE163" s="250">
        <f t="shared" ca="1" si="1034"/>
        <v>-33846438.547513232</v>
      </c>
      <c r="DF163" s="250">
        <f t="shared" ca="1" si="1034"/>
        <v>-33846438.547513232</v>
      </c>
      <c r="DG163" s="250">
        <f t="shared" ca="1" si="1034"/>
        <v>-33846438.547513232</v>
      </c>
      <c r="DH163" s="250">
        <f t="shared" ca="1" si="1034"/>
        <v>-33846438.547513232</v>
      </c>
      <c r="DI163" s="250">
        <f t="shared" ca="1" si="1034"/>
        <v>-33846438.547513232</v>
      </c>
      <c r="DJ163" s="250">
        <f t="shared" ca="1" si="1034"/>
        <v>-33846438.547513232</v>
      </c>
      <c r="DK163" s="250">
        <f t="shared" ca="1" si="1034"/>
        <v>-33846438.547513232</v>
      </c>
      <c r="DL163" s="250">
        <f t="shared" ca="1" si="1034"/>
        <v>-33846438.547513232</v>
      </c>
      <c r="DM163" s="250">
        <f t="shared" ca="1" si="1034"/>
        <v>-33846438.547513232</v>
      </c>
      <c r="DN163" s="250">
        <f t="shared" ca="1" si="1034"/>
        <v>-33846438.547513232</v>
      </c>
      <c r="DO163" s="250">
        <f t="shared" ca="1" si="1034"/>
        <v>-33846438.547513232</v>
      </c>
      <c r="DP163" s="250">
        <f t="shared" ca="1" si="1034"/>
        <v>-33846438.547513232</v>
      </c>
      <c r="DQ163" s="250">
        <f t="shared" ca="1" si="1034"/>
        <v>-33846438.547513232</v>
      </c>
      <c r="DR163" s="250">
        <f t="shared" ca="1" si="1034"/>
        <v>-33846438.547513232</v>
      </c>
      <c r="DS163" s="250">
        <f t="shared" ca="1" si="1034"/>
        <v>-33846438.547513232</v>
      </c>
      <c r="DT163" s="250">
        <f t="shared" ca="1" si="1034"/>
        <v>-33846438.547513232</v>
      </c>
      <c r="DU163" s="250">
        <f t="shared" ca="1" si="1034"/>
        <v>-33846438.547513232</v>
      </c>
      <c r="DV163" s="250">
        <f t="shared" ca="1" si="1034"/>
        <v>-33846438.547513232</v>
      </c>
      <c r="DW163" s="250">
        <f t="shared" ca="1" si="1034"/>
        <v>-33846438.547513232</v>
      </c>
      <c r="DX163" s="250">
        <f t="shared" ca="1" si="1034"/>
        <v>-33846438.547513232</v>
      </c>
      <c r="DY163" s="250">
        <f t="shared" ca="1" si="1034"/>
        <v>-33846438.547513232</v>
      </c>
      <c r="DZ163" s="250">
        <f t="shared" ca="1" si="1034"/>
        <v>-33846438.547513232</v>
      </c>
      <c r="EA163" s="250">
        <f t="shared" ca="1" si="1034"/>
        <v>-33846438.547513232</v>
      </c>
      <c r="EB163" s="250">
        <f t="shared" ca="1" si="1034"/>
        <v>-33846438.547513232</v>
      </c>
      <c r="EC163" s="250">
        <f t="shared" ca="1" si="1034"/>
        <v>-33846438.547513232</v>
      </c>
      <c r="ED163" s="250">
        <f t="shared" ca="1" si="1034"/>
        <v>-33846438.547513232</v>
      </c>
      <c r="EE163" s="250">
        <f t="shared" ref="EE163:FC163" ca="1" si="1035">IF(EE162&lt;0,EE162+ED163,ED163)</f>
        <v>-33846438.547513232</v>
      </c>
      <c r="EF163" s="250">
        <f t="shared" ca="1" si="1035"/>
        <v>-33846438.547513232</v>
      </c>
      <c r="EG163" s="250">
        <f t="shared" ca="1" si="1035"/>
        <v>-33846438.547513232</v>
      </c>
      <c r="EH163" s="250">
        <f t="shared" ca="1" si="1035"/>
        <v>-33846438.547513232</v>
      </c>
      <c r="EI163" s="250">
        <f t="shared" ca="1" si="1035"/>
        <v>-33846438.547513232</v>
      </c>
      <c r="EJ163" s="250">
        <f t="shared" ca="1" si="1035"/>
        <v>-33846438.547513232</v>
      </c>
      <c r="EK163" s="250">
        <f t="shared" ca="1" si="1035"/>
        <v>-33846438.547513232</v>
      </c>
      <c r="EL163" s="250">
        <f t="shared" ca="1" si="1035"/>
        <v>-33846438.547513232</v>
      </c>
      <c r="EM163" s="250">
        <f t="shared" ca="1" si="1035"/>
        <v>-33846438.547513232</v>
      </c>
      <c r="EN163" s="250">
        <f t="shared" ca="1" si="1035"/>
        <v>-33846438.547513232</v>
      </c>
      <c r="EO163" s="250">
        <f t="shared" ca="1" si="1035"/>
        <v>-33846438.547513232</v>
      </c>
      <c r="EP163" s="250">
        <f t="shared" ca="1" si="1035"/>
        <v>-33846438.547513232</v>
      </c>
      <c r="EQ163" s="250">
        <f t="shared" ca="1" si="1035"/>
        <v>-33846438.547513232</v>
      </c>
      <c r="ER163" s="250">
        <f t="shared" ca="1" si="1035"/>
        <v>-33846438.547513232</v>
      </c>
      <c r="ES163" s="250">
        <f t="shared" ca="1" si="1035"/>
        <v>-33846438.547513232</v>
      </c>
      <c r="ET163" s="250">
        <f t="shared" ca="1" si="1035"/>
        <v>-33846438.547513232</v>
      </c>
      <c r="EU163" s="250">
        <f t="shared" ca="1" si="1035"/>
        <v>-33846438.547513232</v>
      </c>
      <c r="EV163" s="250">
        <f t="shared" ca="1" si="1035"/>
        <v>-33846438.547513232</v>
      </c>
      <c r="EW163" s="250">
        <f t="shared" ca="1" si="1035"/>
        <v>-33846438.547513232</v>
      </c>
      <c r="EX163" s="250">
        <f t="shared" ca="1" si="1035"/>
        <v>-33846438.547513232</v>
      </c>
      <c r="EY163" s="250">
        <f t="shared" ca="1" si="1035"/>
        <v>-33846438.547513232</v>
      </c>
      <c r="EZ163" s="250">
        <f t="shared" ca="1" si="1035"/>
        <v>-33846438.547513232</v>
      </c>
      <c r="FA163" s="250">
        <f t="shared" ca="1" si="1035"/>
        <v>-33846438.547513232</v>
      </c>
      <c r="FB163" s="250">
        <f t="shared" ca="1" si="1035"/>
        <v>-33846438.547513232</v>
      </c>
      <c r="FC163" s="250">
        <f t="shared" ca="1" si="1035"/>
        <v>-33846438.547513232</v>
      </c>
      <c r="FD163" s="250">
        <f t="shared" ref="FD163" ca="1" si="1036">IF(FD162&lt;0,FD162+FC163,FC163)</f>
        <v>-33846438.547513232</v>
      </c>
      <c r="FE163" s="250">
        <f t="shared" ref="FE163:FF163" ca="1" si="1037">IF(FE162&lt;0,FE162+FD163,FD163)</f>
        <v>-33846438.547513232</v>
      </c>
      <c r="FF163" s="250">
        <f t="shared" ca="1" si="1037"/>
        <v>-33846438.547513232</v>
      </c>
      <c r="FG163" s="329"/>
      <c r="FH163" s="250">
        <f t="shared" ref="FH163" ca="1" si="1038">IF(FH162&lt;0,FH162+EZ163,EZ163)</f>
        <v>-46504094.654573523</v>
      </c>
      <c r="FI163" s="250"/>
      <c r="FJ163" s="250"/>
      <c r="FK163" s="250"/>
      <c r="FL163" s="250"/>
      <c r="FM163" s="250">
        <f ca="1">IF(FM162&lt;0,FM162+FA163,FA163)</f>
        <v>-33846438.547513232</v>
      </c>
      <c r="FN163" s="250">
        <f ca="1">IF(FN162&lt;0,FN162+FB163,FB163)</f>
        <v>-33846438.547513232</v>
      </c>
      <c r="FO163" s="250">
        <f ca="1">IF(FO162&lt;0,FO162+FC163,FC163)</f>
        <v>-33846438.547513232</v>
      </c>
      <c r="FP163" s="250">
        <f ca="1">IF(FP162&lt;0,FP162+FD163,FD163)</f>
        <v>-33846438.547513232</v>
      </c>
      <c r="FQ163" s="250"/>
      <c r="FR163" s="250"/>
      <c r="FS163" s="250"/>
      <c r="FT163" s="250"/>
      <c r="FU163" s="250"/>
      <c r="FV163" s="329"/>
    </row>
    <row r="164" spans="2:178" x14ac:dyDescent="0.2">
      <c r="F164" s="255"/>
    </row>
    <row r="165" spans="2:178" x14ac:dyDescent="0.2">
      <c r="C165" s="50" t="s">
        <v>162</v>
      </c>
      <c r="D165" s="50"/>
      <c r="E165" s="50"/>
      <c r="F165" s="255"/>
    </row>
    <row r="166" spans="2:178" x14ac:dyDescent="0.2">
      <c r="C166" s="47" t="s">
        <v>112</v>
      </c>
      <c r="D166" s="47"/>
      <c r="E166" s="262">
        <f ca="1">SUM(F162:FC162)</f>
        <v>18717683.065625101</v>
      </c>
      <c r="F166" s="255"/>
    </row>
    <row r="167" spans="2:178" x14ac:dyDescent="0.2">
      <c r="C167" s="47" t="s">
        <v>113</v>
      </c>
      <c r="D167" s="262"/>
      <c r="E167" s="262">
        <f ca="1">MIN(F163:FC163)</f>
        <v>-33846438.547513232</v>
      </c>
      <c r="F167" s="255"/>
    </row>
    <row r="168" spans="2:178" x14ac:dyDescent="0.2">
      <c r="C168" s="47" t="s">
        <v>114</v>
      </c>
      <c r="D168" s="47"/>
      <c r="E168" s="202">
        <f ca="1">(1+IRR(F162:FC162,0))^12-1</f>
        <v>0.17620048851013626</v>
      </c>
      <c r="F168" s="255"/>
    </row>
    <row r="169" spans="2:178" x14ac:dyDescent="0.2">
      <c r="C169" s="47" t="s">
        <v>115</v>
      </c>
      <c r="D169" s="47"/>
      <c r="E169" s="264">
        <f ca="1">(E166-E167)/-E167</f>
        <v>1.5530178024299199</v>
      </c>
      <c r="F169" s="255"/>
    </row>
    <row r="170" spans="2:178" x14ac:dyDescent="0.2">
      <c r="C170" s="47"/>
      <c r="D170" s="47"/>
      <c r="E170" s="206"/>
      <c r="F170" s="255"/>
    </row>
    <row r="171" spans="2:178" x14ac:dyDescent="0.2">
      <c r="C171" s="50" t="s">
        <v>189</v>
      </c>
      <c r="D171" s="260"/>
      <c r="E171" s="260"/>
      <c r="F171" s="286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260"/>
      <c r="AG171" s="260"/>
      <c r="AH171" s="260"/>
      <c r="AI171" s="260"/>
      <c r="AJ171" s="260"/>
      <c r="AK171" s="260"/>
      <c r="AL171" s="260"/>
      <c r="AM171" s="260"/>
      <c r="AN171" s="260"/>
      <c r="AO171" s="260"/>
      <c r="AP171" s="260"/>
      <c r="AQ171" s="260"/>
      <c r="AR171" s="260"/>
      <c r="AS171" s="260"/>
      <c r="AT171" s="260"/>
      <c r="AU171" s="260"/>
      <c r="AV171" s="260"/>
      <c r="AW171" s="260"/>
      <c r="AX171" s="260"/>
      <c r="AY171" s="260"/>
      <c r="AZ171" s="260"/>
      <c r="BA171" s="260"/>
      <c r="BB171" s="260"/>
      <c r="BC171" s="260"/>
      <c r="BD171" s="260"/>
      <c r="BE171" s="260"/>
      <c r="BF171" s="260"/>
      <c r="BG171" s="260"/>
      <c r="BH171" s="260"/>
      <c r="BI171" s="260"/>
      <c r="BJ171" s="260"/>
      <c r="BK171" s="260"/>
      <c r="BL171" s="260"/>
      <c r="BM171" s="260"/>
      <c r="BN171" s="260"/>
      <c r="BO171" s="260"/>
      <c r="BP171" s="260"/>
      <c r="BQ171" s="260"/>
      <c r="BR171" s="260"/>
      <c r="BS171" s="260"/>
      <c r="BT171" s="260"/>
      <c r="BU171" s="260"/>
      <c r="BV171" s="260"/>
      <c r="BW171" s="260"/>
      <c r="BX171" s="260"/>
      <c r="BY171" s="260"/>
      <c r="BZ171" s="260"/>
      <c r="CA171" s="260"/>
      <c r="CB171" s="260"/>
      <c r="CC171" s="260"/>
      <c r="CD171" s="260"/>
      <c r="CE171" s="260"/>
      <c r="CF171" s="260"/>
      <c r="CG171" s="260"/>
      <c r="CH171" s="260"/>
      <c r="CI171" s="260"/>
      <c r="CJ171" s="260"/>
      <c r="CK171" s="260"/>
      <c r="CL171" s="260"/>
      <c r="CM171" s="260"/>
      <c r="CN171" s="260"/>
      <c r="CO171" s="260"/>
      <c r="CP171" s="260"/>
      <c r="CQ171" s="260"/>
      <c r="CR171" s="260"/>
      <c r="CS171" s="260"/>
      <c r="CT171" s="260"/>
      <c r="CU171" s="260"/>
      <c r="CV171" s="260"/>
      <c r="CW171" s="260"/>
      <c r="CX171" s="260"/>
      <c r="CY171" s="260"/>
      <c r="CZ171" s="260"/>
      <c r="DA171" s="260"/>
      <c r="DB171" s="260"/>
      <c r="DC171" s="260"/>
      <c r="DD171" s="260"/>
      <c r="DE171" s="260"/>
      <c r="DF171" s="260"/>
      <c r="DG171" s="260"/>
      <c r="DH171" s="260"/>
      <c r="DI171" s="260"/>
      <c r="DJ171" s="260"/>
      <c r="DK171" s="260"/>
      <c r="DL171" s="260"/>
      <c r="DM171" s="260"/>
      <c r="DN171" s="260"/>
      <c r="DO171" s="260"/>
      <c r="DP171" s="260"/>
      <c r="DQ171" s="260"/>
      <c r="DR171" s="260"/>
      <c r="DS171" s="260"/>
      <c r="DT171" s="260"/>
      <c r="DU171" s="260"/>
      <c r="DV171" s="260"/>
      <c r="DW171" s="260"/>
      <c r="DX171" s="260"/>
      <c r="DY171" s="260"/>
      <c r="DZ171" s="260"/>
      <c r="EA171" s="260"/>
      <c r="EB171" s="260"/>
      <c r="EC171" s="260"/>
      <c r="ED171" s="260"/>
      <c r="EE171" s="260"/>
      <c r="EF171" s="260"/>
      <c r="EG171" s="260"/>
      <c r="EH171" s="260"/>
      <c r="EI171" s="260"/>
      <c r="EJ171" s="260"/>
      <c r="EK171" s="260"/>
      <c r="EL171" s="260"/>
      <c r="EM171" s="260"/>
      <c r="EN171" s="260"/>
      <c r="EO171" s="260"/>
      <c r="EP171" s="260"/>
      <c r="EQ171" s="260"/>
      <c r="ER171" s="260"/>
      <c r="ES171" s="260"/>
      <c r="ET171" s="260"/>
      <c r="EU171" s="260"/>
      <c r="EV171" s="260"/>
      <c r="EW171" s="260"/>
      <c r="EX171" s="260"/>
      <c r="EY171" s="260"/>
      <c r="EZ171" s="260"/>
      <c r="FA171" s="260"/>
      <c r="FB171" s="260"/>
      <c r="FC171" s="260"/>
      <c r="FD171" s="260"/>
      <c r="FE171" s="260"/>
      <c r="FF171" s="260"/>
      <c r="FH171" s="260"/>
      <c r="FI171" s="260"/>
      <c r="FJ171" s="260"/>
      <c r="FK171" s="260"/>
      <c r="FL171" s="260"/>
      <c r="FM171" s="260"/>
      <c r="FN171" s="260"/>
      <c r="FO171" s="260"/>
      <c r="FP171" s="260"/>
      <c r="FQ171" s="260"/>
      <c r="FR171" s="260"/>
      <c r="FS171" s="260"/>
      <c r="FT171" s="260"/>
      <c r="FU171" s="260"/>
    </row>
    <row r="172" spans="2:178" x14ac:dyDescent="0.2">
      <c r="B172" s="47"/>
      <c r="C172" s="47" t="s">
        <v>120</v>
      </c>
      <c r="F172" s="255"/>
    </row>
    <row r="173" spans="2:178" x14ac:dyDescent="0.2">
      <c r="B173" s="47"/>
      <c r="C173" s="39" t="s">
        <v>121</v>
      </c>
      <c r="F173" s="266">
        <f>IFERROR(INDEX(SOFR!$D$3:$D$123,MATCH('Pro Forma Template'!F58,SOFR!$B$3:$B$123,0)),0)</f>
        <v>0</v>
      </c>
      <c r="G173" s="267">
        <f>IFERROR(INDEX(SOFR!$D$3:$D$123,MATCH('Pro Forma Template'!G58,SOFR!$B$3:$B$123,0)),0)</f>
        <v>3.4920899999999998E-2</v>
      </c>
      <c r="H173" s="267">
        <f>IFERROR(INDEX(SOFR!$D$3:$D$123,MATCH('Pro Forma Template'!H58,SOFR!$B$3:$B$123,0)),0)</f>
        <v>3.4119700000000003E-2</v>
      </c>
      <c r="I173" s="267">
        <f>IFERROR(INDEX(SOFR!$D$3:$D$123,MATCH('Pro Forma Template'!I58,SOFR!$B$3:$B$123,0)),0)</f>
        <v>3.3492099999999997E-2</v>
      </c>
      <c r="J173" s="267">
        <f>IFERROR(INDEX(SOFR!$D$3:$D$123,MATCH('Pro Forma Template'!J58,SOFR!$B$3:$B$123,0)),0)</f>
        <v>3.19517E-2</v>
      </c>
      <c r="K173" s="267">
        <f>IFERROR(INDEX(SOFR!$D$3:$D$123,MATCH('Pro Forma Template'!K58,SOFR!$B$3:$B$123,0)),0)</f>
        <v>3.1950300000000001E-2</v>
      </c>
      <c r="L173" s="267">
        <f>IFERROR(INDEX(SOFR!$D$3:$D$123,MATCH('Pro Forma Template'!L58,SOFR!$B$3:$B$123,0)),0)</f>
        <v>3.1913700000000003E-2</v>
      </c>
      <c r="M173" s="267">
        <f>IFERROR(INDEX(SOFR!$D$3:$D$123,MATCH('Pro Forma Template'!M58,SOFR!$B$3:$B$123,0)),0)</f>
        <v>3.0899800000000002E-2</v>
      </c>
      <c r="N173" s="267">
        <f>IFERROR(INDEX(SOFR!$D$3:$D$123,MATCH('Pro Forma Template'!N58,SOFR!$B$3:$B$123,0)),0)</f>
        <v>3.08972E-2</v>
      </c>
      <c r="O173" s="267">
        <f>IFERROR(INDEX(SOFR!$D$3:$D$123,MATCH('Pro Forma Template'!O58,SOFR!$B$3:$B$123,0)),0)</f>
        <v>3.0893199999999999E-2</v>
      </c>
      <c r="P173" s="267">
        <f>IFERROR(INDEX(SOFR!$D$3:$D$123,MATCH('Pro Forma Template'!P58,SOFR!$B$3:$B$123,0)),0)</f>
        <v>3.0589999999999999E-2</v>
      </c>
      <c r="Q173" s="267">
        <f>IFERROR(INDEX(SOFR!$D$3:$D$123,MATCH('Pro Forma Template'!Q58,SOFR!$B$3:$B$123,0)),0)</f>
        <v>3.0586100000000001E-2</v>
      </c>
      <c r="R173" s="267">
        <f>IFERROR(INDEX(SOFR!$D$3:$D$123,MATCH('Pro Forma Template'!R58,SOFR!$B$3:$B$123,0)),0)</f>
        <v>3.0588199999999999E-2</v>
      </c>
      <c r="S173" s="267">
        <f>IFERROR(INDEX(SOFR!$D$3:$D$123,MATCH('Pro Forma Template'!S58,SOFR!$B$3:$B$123,0)),0)</f>
        <v>3.0652700000000001E-2</v>
      </c>
      <c r="T173" s="267">
        <f>IFERROR(INDEX(SOFR!$D$3:$D$123,MATCH('Pro Forma Template'!T58,SOFR!$B$3:$B$123,0)),0)</f>
        <v>3.07341E-2</v>
      </c>
      <c r="U173" s="267">
        <f>IFERROR(INDEX(SOFR!$D$3:$D$123,MATCH('Pro Forma Template'!U58,SOFR!$B$3:$B$123,0)),0)</f>
        <v>3.08188E-2</v>
      </c>
      <c r="V173" s="267">
        <f>IFERROR(INDEX(SOFR!$D$3:$D$123,MATCH('Pro Forma Template'!V58,SOFR!$B$3:$B$123,0)),0)</f>
        <v>3.09187E-2</v>
      </c>
      <c r="W173" s="267">
        <f>IFERROR(INDEX(SOFR!$D$3:$D$123,MATCH('Pro Forma Template'!W58,SOFR!$B$3:$B$123,0)),0)</f>
        <v>3.1028E-2</v>
      </c>
      <c r="X173" s="267">
        <f>IFERROR(INDEX(SOFR!$D$3:$D$123,MATCH('Pro Forma Template'!X58,SOFR!$B$3:$B$123,0)),0)</f>
        <v>3.1139500000000001E-2</v>
      </c>
      <c r="Y173" s="267">
        <f>IFERROR(INDEX(SOFR!$D$3:$D$123,MATCH('Pro Forma Template'!Y58,SOFR!$B$3:$B$123,0)),0)</f>
        <v>3.1270100000000002E-2</v>
      </c>
      <c r="Z173" s="267">
        <f>IFERROR(INDEX(SOFR!$D$3:$D$123,MATCH('Pro Forma Template'!Z58,SOFR!$B$3:$B$123,0)),0)</f>
        <v>3.14083E-2</v>
      </c>
      <c r="AA173" s="267">
        <f>IFERROR(INDEX(SOFR!$D$3:$D$123,MATCH('Pro Forma Template'!AA58,SOFR!$B$3:$B$123,0)),0)</f>
        <v>3.15415E-2</v>
      </c>
      <c r="AB173" s="267">
        <f>IFERROR(INDEX(SOFR!$D$3:$D$123,MATCH('Pro Forma Template'!AB58,SOFR!$B$3:$B$123,0)),0)</f>
        <v>3.1686800000000001E-2</v>
      </c>
      <c r="AC173" s="267">
        <f>IFERROR(INDEX(SOFR!$D$3:$D$123,MATCH('Pro Forma Template'!AC58,SOFR!$B$3:$B$123,0)),0)</f>
        <v>3.1830999999999998E-2</v>
      </c>
      <c r="AD173" s="267">
        <f>IFERROR(INDEX(SOFR!$D$3:$D$123,MATCH('Pro Forma Template'!AD58,SOFR!$B$3:$B$123,0)),0)</f>
        <v>3.1990200000000003E-2</v>
      </c>
      <c r="AE173" s="267">
        <f>IFERROR(INDEX(SOFR!$D$3:$D$123,MATCH('Pro Forma Template'!AE58,SOFR!$B$3:$B$123,0)),0)</f>
        <v>3.2138699999999999E-2</v>
      </c>
      <c r="AF173" s="267">
        <f>IFERROR(INDEX(SOFR!$D$3:$D$123,MATCH('Pro Forma Template'!AF58,SOFR!$B$3:$B$123,0)),0)</f>
        <v>3.2273200000000002E-2</v>
      </c>
      <c r="AG173" s="267">
        <f>IFERROR(INDEX(SOFR!$D$3:$D$123,MATCH('Pro Forma Template'!AG58,SOFR!$B$3:$B$123,0)),0)</f>
        <v>3.2427699999999997E-2</v>
      </c>
      <c r="AH173" s="267">
        <f>IFERROR(INDEX(SOFR!$D$3:$D$123,MATCH('Pro Forma Template'!AH58,SOFR!$B$3:$B$123,0)),0)</f>
        <v>3.2576099999999997E-2</v>
      </c>
      <c r="AI173" s="267">
        <f>IFERROR(INDEX(SOFR!$D$3:$D$123,MATCH('Pro Forma Template'!AI58,SOFR!$B$3:$B$123,0)),0)</f>
        <v>3.27222E-2</v>
      </c>
      <c r="AJ173" s="267">
        <f>IFERROR(INDEX(SOFR!$D$3:$D$123,MATCH('Pro Forma Template'!AJ58,SOFR!$B$3:$B$123,0)),0)</f>
        <v>3.2874899999999999E-2</v>
      </c>
      <c r="AK173" s="267">
        <f>IFERROR(INDEX(SOFR!$D$3:$D$123,MATCH('Pro Forma Template'!AK58,SOFR!$B$3:$B$123,0)),0)</f>
        <v>3.3028200000000001E-2</v>
      </c>
      <c r="AL173" s="267">
        <f>IFERROR(INDEX(SOFR!$D$3:$D$123,MATCH('Pro Forma Template'!AL58,SOFR!$B$3:$B$123,0)),0)</f>
        <v>3.3189299999999998E-2</v>
      </c>
      <c r="AM173" s="267">
        <f>IFERROR(INDEX(SOFR!$D$3:$D$123,MATCH('Pro Forma Template'!AM58,SOFR!$B$3:$B$123,0)),0)</f>
        <v>3.3334299999999997E-2</v>
      </c>
      <c r="AN173" s="267">
        <f>IFERROR(INDEX(SOFR!$D$3:$D$123,MATCH('Pro Forma Template'!AN58,SOFR!$B$3:$B$123,0)),0)</f>
        <v>3.3478800000000003E-2</v>
      </c>
      <c r="AO173" s="267">
        <f>IFERROR(INDEX(SOFR!$D$3:$D$123,MATCH('Pro Forma Template'!AO58,SOFR!$B$3:$B$123,0)),0)</f>
        <v>3.3614900000000003E-2</v>
      </c>
      <c r="AP173" s="267">
        <f>IFERROR(INDEX(SOFR!$D$3:$D$123,MATCH('Pro Forma Template'!AP58,SOFR!$B$3:$B$123,0)),0)</f>
        <v>3.3765099999999999E-2</v>
      </c>
      <c r="AQ173" s="267">
        <f>IFERROR(INDEX(SOFR!$D$3:$D$123,MATCH('Pro Forma Template'!AQ58,SOFR!$B$3:$B$123,0)),0)</f>
        <v>3.39063E-2</v>
      </c>
      <c r="AR173" s="267">
        <f>IFERROR(INDEX(SOFR!$D$3:$D$123,MATCH('Pro Forma Template'!AR58,SOFR!$B$3:$B$123,0)),0)</f>
        <v>3.4042799999999998E-2</v>
      </c>
      <c r="AS173" s="267">
        <f>IFERROR(INDEX(SOFR!$D$3:$D$123,MATCH('Pro Forma Template'!AS58,SOFR!$B$3:$B$123,0)),0)</f>
        <v>3.4181799999999998E-2</v>
      </c>
      <c r="AT173" s="267">
        <f>IFERROR(INDEX(SOFR!$D$3:$D$123,MATCH('Pro Forma Template'!AT58,SOFR!$B$3:$B$123,0)),0)</f>
        <v>3.4314299999999999E-2</v>
      </c>
      <c r="AU173" s="267">
        <f>IFERROR(INDEX(SOFR!$D$3:$D$123,MATCH('Pro Forma Template'!AU58,SOFR!$B$3:$B$123,0)),0)</f>
        <v>3.4454899999999997E-2</v>
      </c>
      <c r="AV173" s="267">
        <f>IFERROR(INDEX(SOFR!$D$3:$D$123,MATCH('Pro Forma Template'!AV58,SOFR!$B$3:$B$123,0)),0)</f>
        <v>3.45829E-2</v>
      </c>
      <c r="AW173" s="267">
        <f>IFERROR(INDEX(SOFR!$D$3:$D$123,MATCH('Pro Forma Template'!AW58,SOFR!$B$3:$B$123,0)),0)</f>
        <v>3.4702400000000001E-2</v>
      </c>
      <c r="AX173" s="267">
        <f>IFERROR(INDEX(SOFR!$D$3:$D$123,MATCH('Pro Forma Template'!AX58,SOFR!$B$3:$B$123,0)),0)</f>
        <v>3.48353E-2</v>
      </c>
      <c r="AY173" s="267">
        <f>IFERROR(INDEX(SOFR!$D$3:$D$123,MATCH('Pro Forma Template'!AY58,SOFR!$B$3:$B$123,0)),0)</f>
        <v>3.4948399999999998E-2</v>
      </c>
      <c r="AZ173" s="267">
        <f>IFERROR(INDEX(SOFR!$D$3:$D$123,MATCH('Pro Forma Template'!AZ58,SOFR!$B$3:$B$123,0)),0)</f>
        <v>3.50689E-2</v>
      </c>
      <c r="BA173" s="267">
        <f>IFERROR(INDEX(SOFR!$D$3:$D$123,MATCH('Pro Forma Template'!BA58,SOFR!$B$3:$B$123,0)),0)</f>
        <v>3.5189400000000003E-2</v>
      </c>
      <c r="BB173" s="267">
        <f>IFERROR(INDEX(SOFR!$D$3:$D$123,MATCH('Pro Forma Template'!BB58,SOFR!$B$3:$B$123,0)),0)</f>
        <v>3.5320499999999998E-2</v>
      </c>
      <c r="BC173" s="267">
        <f>IFERROR(INDEX(SOFR!$D$3:$D$123,MATCH('Pro Forma Template'!BC58,SOFR!$B$3:$B$123,0)),0)</f>
        <v>3.5451200000000002E-2</v>
      </c>
      <c r="BD173" s="267">
        <f>IFERROR(INDEX(SOFR!$D$3:$D$123,MATCH('Pro Forma Template'!BD58,SOFR!$B$3:$B$123,0)),0)</f>
        <v>3.55964E-2</v>
      </c>
      <c r="BE173" s="267">
        <f>IFERROR(INDEX(SOFR!$D$3:$D$123,MATCH('Pro Forma Template'!BE58,SOFR!$B$3:$B$123,0)),0)</f>
        <v>3.5738399999999997E-2</v>
      </c>
      <c r="BF173" s="267">
        <f>IFERROR(INDEX(SOFR!$D$3:$D$123,MATCH('Pro Forma Template'!BF58,SOFR!$B$3:$B$123,0)),0)</f>
        <v>3.5868999999999998E-2</v>
      </c>
      <c r="BG173" s="267">
        <f>IFERROR(INDEX(SOFR!$D$3:$D$123,MATCH('Pro Forma Template'!BG58,SOFR!$B$3:$B$123,0)),0)</f>
        <v>3.6019700000000002E-2</v>
      </c>
      <c r="BH173" s="267">
        <f>IFERROR(INDEX(SOFR!$D$3:$D$123,MATCH('Pro Forma Template'!BH58,SOFR!$B$3:$B$123,0)),0)</f>
        <v>3.6166200000000003E-2</v>
      </c>
      <c r="BI173" s="267">
        <f>IFERROR(INDEX(SOFR!$D$3:$D$123,MATCH('Pro Forma Template'!BI58,SOFR!$B$3:$B$123,0)),0)</f>
        <v>3.6313900000000003E-2</v>
      </c>
      <c r="BJ173" s="267">
        <f>IFERROR(INDEX(SOFR!$D$3:$D$123,MATCH('Pro Forma Template'!BJ58,SOFR!$B$3:$B$123,0)),0)</f>
        <v>3.6474600000000003E-2</v>
      </c>
      <c r="BK173" s="267">
        <f>IFERROR(INDEX(SOFR!$D$3:$D$123,MATCH('Pro Forma Template'!BK58,SOFR!$B$3:$B$123,0)),0)</f>
        <v>3.6620699999999999E-2</v>
      </c>
      <c r="BL173" s="267">
        <f>IFERROR(INDEX(SOFR!$D$3:$D$123,MATCH('Pro Forma Template'!BL58,SOFR!$B$3:$B$123,0)),0)</f>
        <v>3.6770499999999998E-2</v>
      </c>
      <c r="BM173" s="267">
        <f>IFERROR(INDEX(SOFR!$D$3:$D$123,MATCH('Pro Forma Template'!BM58,SOFR!$B$3:$B$123,0)),0)</f>
        <v>3.6928799999999998E-2</v>
      </c>
      <c r="BN173" s="267">
        <f>IFERROR(INDEX(SOFR!$D$3:$D$123,MATCH('Pro Forma Template'!BN58,SOFR!$B$3:$B$123,0)),0)</f>
        <v>3.7084699999999998E-2</v>
      </c>
      <c r="BO173" s="267">
        <f>IFERROR(INDEX(SOFR!$D$3:$D$123,MATCH('Pro Forma Template'!BO58,SOFR!$B$3:$B$123,0)),0)</f>
        <v>3.72146E-2</v>
      </c>
      <c r="BP173" s="267">
        <f>IFERROR(INDEX(SOFR!$D$3:$D$123,MATCH('Pro Forma Template'!BP58,SOFR!$B$3:$B$123,0)),0)</f>
        <v>3.73637E-2</v>
      </c>
      <c r="BQ173" s="267">
        <f>IFERROR(INDEX(SOFR!$D$3:$D$123,MATCH('Pro Forma Template'!BQ58,SOFR!$B$3:$B$123,0)),0)</f>
        <v>3.7506299999999999E-2</v>
      </c>
      <c r="BR173" s="267">
        <f>IFERROR(INDEX(SOFR!$D$3:$D$123,MATCH('Pro Forma Template'!BR58,SOFR!$B$3:$B$123,0)),0)</f>
        <v>3.7636999999999997E-2</v>
      </c>
      <c r="BS173" s="267">
        <f>IFERROR(INDEX(SOFR!$D$3:$D$123,MATCH('Pro Forma Template'!BS58,SOFR!$B$3:$B$123,0)),0)</f>
        <v>3.77732E-2</v>
      </c>
      <c r="BT173" s="267">
        <f>IFERROR(INDEX(SOFR!$D$3:$D$123,MATCH('Pro Forma Template'!BT58,SOFR!$B$3:$B$123,0)),0)</f>
        <v>3.7902499999999999E-2</v>
      </c>
      <c r="BU173" s="267">
        <f>IFERROR(INDEX(SOFR!$D$3:$D$123,MATCH('Pro Forma Template'!BU58,SOFR!$B$3:$B$123,0)),0)</f>
        <v>3.8045299999999997E-2</v>
      </c>
      <c r="BV173" s="267">
        <f>IFERROR(INDEX(SOFR!$D$3:$D$123,MATCH('Pro Forma Template'!BV58,SOFR!$B$3:$B$123,0)),0)</f>
        <v>3.8172900000000003E-2</v>
      </c>
      <c r="BW173" s="267">
        <f>IFERROR(INDEX(SOFR!$D$3:$D$123,MATCH('Pro Forma Template'!BW58,SOFR!$B$3:$B$123,0)),0)</f>
        <v>3.82773E-2</v>
      </c>
      <c r="BX173" s="267">
        <f>IFERROR(INDEX(SOFR!$D$3:$D$123,MATCH('Pro Forma Template'!BX58,SOFR!$B$3:$B$123,0)),0)</f>
        <v>3.8407200000000002E-2</v>
      </c>
      <c r="BY173" s="267">
        <f>IFERROR(INDEX(SOFR!$D$3:$D$123,MATCH('Pro Forma Template'!BY58,SOFR!$B$3:$B$123,0)),0)</f>
        <v>3.8521800000000002E-2</v>
      </c>
      <c r="BZ173" s="267">
        <f>IFERROR(INDEX(SOFR!$D$3:$D$123,MATCH('Pro Forma Template'!BZ58,SOFR!$B$3:$B$123,0)),0)</f>
        <v>3.8630499999999998E-2</v>
      </c>
      <c r="CA173" s="267">
        <f>IFERROR(INDEX(SOFR!$D$3:$D$123,MATCH('Pro Forma Template'!CA58,SOFR!$B$3:$B$123,0)),0)</f>
        <v>3.8747400000000001E-2</v>
      </c>
      <c r="CB173" s="267">
        <f>IFERROR(INDEX(SOFR!$D$3:$D$123,MATCH('Pro Forma Template'!CB58,SOFR!$B$3:$B$123,0)),0)</f>
        <v>3.8857099999999999E-2</v>
      </c>
      <c r="CC173" s="267">
        <f>IFERROR(INDEX(SOFR!$D$3:$D$123,MATCH('Pro Forma Template'!CC58,SOFR!$B$3:$B$123,0)),0)</f>
        <v>3.89573E-2</v>
      </c>
      <c r="CD173" s="267">
        <f>IFERROR(INDEX(SOFR!$D$3:$D$123,MATCH('Pro Forma Template'!CD58,SOFR!$B$3:$B$123,0)),0)</f>
        <v>3.9061600000000002E-2</v>
      </c>
      <c r="CE173" s="267">
        <f>IFERROR(INDEX(SOFR!$D$3:$D$123,MATCH('Pro Forma Template'!CE58,SOFR!$B$3:$B$123,0)),0)</f>
        <v>3.91629E-2</v>
      </c>
      <c r="CF173" s="267">
        <f>IFERROR(INDEX(SOFR!$D$3:$D$123,MATCH('Pro Forma Template'!CF58,SOFR!$B$3:$B$123,0)),0)</f>
        <v>3.9254299999999999E-2</v>
      </c>
      <c r="CG173" s="267">
        <f>IFERROR(INDEX(SOFR!$D$3:$D$123,MATCH('Pro Forma Template'!CG58,SOFR!$B$3:$B$123,0)),0)</f>
        <v>3.9354100000000003E-2</v>
      </c>
      <c r="CH173" s="267">
        <f>IFERROR(INDEX(SOFR!$D$3:$D$123,MATCH('Pro Forma Template'!CH58,SOFR!$B$3:$B$123,0)),0)</f>
        <v>3.9445899999999999E-2</v>
      </c>
      <c r="CI173" s="267">
        <f>IFERROR(INDEX(SOFR!$D$3:$D$123,MATCH('Pro Forma Template'!CI58,SOFR!$B$3:$B$123,0)),0)</f>
        <v>3.95222E-2</v>
      </c>
      <c r="CJ173" s="267">
        <f>IFERROR(INDEX(SOFR!$D$3:$D$123,MATCH('Pro Forma Template'!CJ58,SOFR!$B$3:$B$123,0)),0)</f>
        <v>3.9617699999999999E-2</v>
      </c>
      <c r="CK173" s="267">
        <f>IFERROR(INDEX(SOFR!$D$3:$D$123,MATCH('Pro Forma Template'!CK58,SOFR!$B$3:$B$123,0)),0)</f>
        <v>3.9703299999999997E-2</v>
      </c>
      <c r="CL173" s="267">
        <f>IFERROR(INDEX(SOFR!$D$3:$D$123,MATCH('Pro Forma Template'!CL58,SOFR!$B$3:$B$123,0)),0)</f>
        <v>3.9791199999999999E-2</v>
      </c>
      <c r="CM173" s="267">
        <f>IFERROR(INDEX(SOFR!$D$3:$D$123,MATCH('Pro Forma Template'!CM58,SOFR!$B$3:$B$123,0)),0)</f>
        <v>3.98815E-2</v>
      </c>
      <c r="CN173" s="267">
        <f>IFERROR(INDEX(SOFR!$D$3:$D$123,MATCH('Pro Forma Template'!CN58,SOFR!$B$3:$B$123,0)),0)</f>
        <v>3.9971899999999998E-2</v>
      </c>
      <c r="CO173" s="267">
        <f>IFERROR(INDEX(SOFR!$D$3:$D$123,MATCH('Pro Forma Template'!CO58,SOFR!$B$3:$B$123,0)),0)</f>
        <v>4.0066999999999998E-2</v>
      </c>
      <c r="CP173" s="267">
        <f>IFERROR(INDEX(SOFR!$D$3:$D$123,MATCH('Pro Forma Template'!CP58,SOFR!$B$3:$B$123,0)),0)</f>
        <v>4.0152599999999997E-2</v>
      </c>
      <c r="CQ173" s="267">
        <f>IFERROR(INDEX(SOFR!$D$3:$D$123,MATCH('Pro Forma Template'!CQ58,SOFR!$B$3:$B$123,0)),0)</f>
        <v>4.0238500000000003E-2</v>
      </c>
      <c r="CR173" s="267">
        <f>IFERROR(INDEX(SOFR!$D$3:$D$123,MATCH('Pro Forma Template'!CR58,SOFR!$B$3:$B$123,0)),0)</f>
        <v>4.0333399999999998E-2</v>
      </c>
      <c r="CS173" s="267">
        <f>IFERROR(INDEX(SOFR!$D$3:$D$123,MATCH('Pro Forma Template'!CS58,SOFR!$B$3:$B$123,0)),0)</f>
        <v>4.0424000000000002E-2</v>
      </c>
      <c r="CT173" s="267">
        <f>IFERROR(INDEX(SOFR!$D$3:$D$123,MATCH('Pro Forma Template'!CT58,SOFR!$B$3:$B$123,0)),0)</f>
        <v>4.05096E-2</v>
      </c>
      <c r="CU173" s="267">
        <f>IFERROR(INDEX(SOFR!$D$3:$D$123,MATCH('Pro Forma Template'!CU58,SOFR!$B$3:$B$123,0)),0)</f>
        <v>4.0590099999999997E-2</v>
      </c>
      <c r="CV173" s="267">
        <f>IFERROR(INDEX(SOFR!$D$3:$D$123,MATCH('Pro Forma Template'!CV58,SOFR!$B$3:$B$123,0)),0)</f>
        <v>4.0684400000000003E-2</v>
      </c>
      <c r="CW173" s="267">
        <f>IFERROR(INDEX(SOFR!$D$3:$D$123,MATCH('Pro Forma Template'!CW58,SOFR!$B$3:$B$123,0)),0)</f>
        <v>4.0772599999999999E-2</v>
      </c>
      <c r="CX173" s="267">
        <f>IFERROR(INDEX(SOFR!$D$3:$D$123,MATCH('Pro Forma Template'!CX58,SOFR!$B$3:$B$123,0)),0)</f>
        <v>4.08771E-2</v>
      </c>
      <c r="CY173" s="267">
        <f>IFERROR(INDEX(SOFR!$D$3:$D$123,MATCH('Pro Forma Template'!CY58,SOFR!$B$3:$B$123,0)),0)</f>
        <v>4.0963300000000001E-2</v>
      </c>
      <c r="CZ173" s="267">
        <f>IFERROR(INDEX(SOFR!$D$3:$D$123,MATCH('Pro Forma Template'!CZ58,SOFR!$B$3:$B$123,0)),0)</f>
        <v>4.1047800000000002E-2</v>
      </c>
      <c r="DA173" s="267">
        <f>IFERROR(INDEX(SOFR!$D$3:$D$123,MATCH('Pro Forma Template'!DA58,SOFR!$B$3:$B$123,0)),0)</f>
        <v>4.1144399999999998E-2</v>
      </c>
      <c r="DB173" s="267">
        <f>IFERROR(INDEX(SOFR!$D$3:$D$123,MATCH('Pro Forma Template'!DB58,SOFR!$B$3:$B$123,0)),0)</f>
        <v>4.1232699999999997E-2</v>
      </c>
      <c r="DC173" s="267">
        <f>IFERROR(INDEX(SOFR!$D$3:$D$123,MATCH('Pro Forma Template'!DC58,SOFR!$B$3:$B$123,0)),0)</f>
        <v>4.1323699999999998E-2</v>
      </c>
      <c r="DD173" s="267">
        <f>IFERROR(INDEX(SOFR!$D$3:$D$123,MATCH('Pro Forma Template'!DD58,SOFR!$B$3:$B$123,0)),0)</f>
        <v>4.1417000000000002E-2</v>
      </c>
      <c r="DE173" s="267">
        <f>IFERROR(INDEX(SOFR!$D$3:$D$123,MATCH('Pro Forma Template'!DE58,SOFR!$B$3:$B$123,0)),0)</f>
        <v>4.1510600000000002E-2</v>
      </c>
      <c r="DF173" s="267">
        <f>IFERROR(INDEX(SOFR!$D$3:$D$123,MATCH('Pro Forma Template'!DF58,SOFR!$B$3:$B$123,0)),0)</f>
        <v>4.1612999999999997E-2</v>
      </c>
      <c r="DG173" s="267">
        <f>IFERROR(INDEX(SOFR!$D$3:$D$123,MATCH('Pro Forma Template'!DG58,SOFR!$B$3:$B$123,0)),0)</f>
        <v>4.1692399999999998E-2</v>
      </c>
      <c r="DH173" s="267">
        <f>IFERROR(INDEX(SOFR!$D$3:$D$123,MATCH('Pro Forma Template'!DH58,SOFR!$B$3:$B$123,0)),0)</f>
        <v>4.1786200000000003E-2</v>
      </c>
      <c r="DI173" s="267">
        <f>IFERROR(INDEX(SOFR!$D$3:$D$123,MATCH('Pro Forma Template'!DI58,SOFR!$B$3:$B$123,0)),0)</f>
        <v>4.1870400000000002E-2</v>
      </c>
      <c r="DJ173" s="267">
        <f>IFERROR(INDEX(SOFR!$D$3:$D$123,MATCH('Pro Forma Template'!DJ58,SOFR!$B$3:$B$123,0)),0)</f>
        <v>4.1969699999999999E-2</v>
      </c>
      <c r="DK173" s="267">
        <f>IFERROR(INDEX(SOFR!$D$3:$D$123,MATCH('Pro Forma Template'!DK58,SOFR!$B$3:$B$123,0)),0)</f>
        <v>4.2059399999999997E-2</v>
      </c>
      <c r="DL173" s="267">
        <f>IFERROR(INDEX(SOFR!$D$3:$D$123,MATCH('Pro Forma Template'!DL58,SOFR!$B$3:$B$123,0)),0)</f>
        <v>4.2152000000000002E-2</v>
      </c>
      <c r="DM173" s="267">
        <f>IFERROR(INDEX(SOFR!$D$3:$D$123,MATCH('Pro Forma Template'!DM58,SOFR!$B$3:$B$123,0)),0)</f>
        <v>4.2247E-2</v>
      </c>
      <c r="DN173" s="267">
        <f>IFERROR(INDEX(SOFR!$D$3:$D$123,MATCH('Pro Forma Template'!DN58,SOFR!$B$3:$B$123,0)),0)</f>
        <v>4.2338099999999997E-2</v>
      </c>
      <c r="DO173" s="267">
        <f>IFERROR(INDEX(SOFR!$D$3:$D$123,MATCH('Pro Forma Template'!DO58,SOFR!$B$3:$B$123,0)),0)</f>
        <v>4.2442399999999998E-2</v>
      </c>
      <c r="DP173" s="267">
        <f>IFERROR(INDEX(SOFR!$D$3:$D$123,MATCH('Pro Forma Template'!DP58,SOFR!$B$3:$B$123,0)),0)</f>
        <v>4.2532E-2</v>
      </c>
      <c r="DQ173" s="267">
        <f>IFERROR(INDEX(SOFR!$D$3:$D$123,MATCH('Pro Forma Template'!DQ58,SOFR!$B$3:$B$123,0)),0)</f>
        <v>4.2622500000000001E-2</v>
      </c>
      <c r="DR173" s="267">
        <f>IFERROR(INDEX(SOFR!$D$3:$D$123,MATCH('Pro Forma Template'!DR58,SOFR!$B$3:$B$123,0)),0)</f>
        <v>4.2726500000000001E-2</v>
      </c>
      <c r="DS173" s="267">
        <f>IFERROR(INDEX(SOFR!$D$3:$D$123,MATCH('Pro Forma Template'!DS58,SOFR!$B$3:$B$123,0)),0)</f>
        <v>4.2812099999999999E-2</v>
      </c>
      <c r="DT173" s="267">
        <f>IFERROR(INDEX(SOFR!$D$3:$D$123,MATCH('Pro Forma Template'!DT58,SOFR!$B$3:$B$123,0)),0)</f>
        <v>0</v>
      </c>
      <c r="DU173" s="267">
        <f>IFERROR(INDEX(SOFR!$D$3:$D$123,MATCH('Pro Forma Template'!DU58,SOFR!$B$3:$B$123,0)),0)</f>
        <v>0</v>
      </c>
      <c r="DV173" s="267">
        <f>IFERROR(INDEX(SOFR!$D$3:$D$123,MATCH('Pro Forma Template'!DV58,SOFR!$B$3:$B$123,0)),0)</f>
        <v>0</v>
      </c>
      <c r="DW173" s="267">
        <f>IFERROR(INDEX(SOFR!$D$3:$D$123,MATCH('Pro Forma Template'!DW58,SOFR!$B$3:$B$123,0)),0)</f>
        <v>0</v>
      </c>
      <c r="DX173" s="267">
        <f>IFERROR(INDEX(SOFR!$D$3:$D$123,MATCH('Pro Forma Template'!DX58,SOFR!$B$3:$B$123,0)),0)</f>
        <v>0</v>
      </c>
      <c r="DY173" s="267">
        <f>IFERROR(INDEX(SOFR!$D$3:$D$123,MATCH('Pro Forma Template'!DY58,SOFR!$B$3:$B$123,0)),0)</f>
        <v>0</v>
      </c>
      <c r="DZ173" s="267">
        <f>IFERROR(INDEX(SOFR!$D$3:$D$123,MATCH('Pro Forma Template'!DZ58,SOFR!$B$3:$B$123,0)),0)</f>
        <v>0</v>
      </c>
      <c r="EA173" s="267">
        <f>IFERROR(INDEX(SOFR!$D$3:$D$123,MATCH('Pro Forma Template'!EA58,SOFR!$B$3:$B$123,0)),0)</f>
        <v>0</v>
      </c>
      <c r="EB173" s="267">
        <f>IFERROR(INDEX(SOFR!$D$3:$D$123,MATCH('Pro Forma Template'!EB58,SOFR!$B$3:$B$123,0)),0)</f>
        <v>0</v>
      </c>
      <c r="EC173" s="267">
        <f>IFERROR(INDEX(SOFR!$D$3:$D$123,MATCH('Pro Forma Template'!EC58,SOFR!$B$3:$B$123,0)),0)</f>
        <v>0</v>
      </c>
      <c r="ED173" s="267">
        <f>IFERROR(INDEX(SOFR!$D$3:$D$123,MATCH('Pro Forma Template'!ED58,SOFR!$B$3:$B$123,0)),0)</f>
        <v>0</v>
      </c>
      <c r="EE173" s="267">
        <f>IFERROR(INDEX(SOFR!$D$3:$D$123,MATCH('Pro Forma Template'!EE58,SOFR!$B$3:$B$123,0)),0)</f>
        <v>0</v>
      </c>
      <c r="EF173" s="267">
        <f>IFERROR(INDEX(SOFR!$D$3:$D$123,MATCH('Pro Forma Template'!EF58,SOFR!$B$3:$B$123,0)),0)</f>
        <v>0</v>
      </c>
      <c r="EG173" s="267">
        <f>IFERROR(INDEX(SOFR!$D$3:$D$123,MATCH('Pro Forma Template'!EG58,SOFR!$B$3:$B$123,0)),0)</f>
        <v>0</v>
      </c>
      <c r="EH173" s="267">
        <f>IFERROR(INDEX(SOFR!$D$3:$D$123,MATCH('Pro Forma Template'!EH58,SOFR!$B$3:$B$123,0)),0)</f>
        <v>0</v>
      </c>
      <c r="EI173" s="267">
        <f>IFERROR(INDEX(SOFR!$D$3:$D$123,MATCH('Pro Forma Template'!EI58,SOFR!$B$3:$B$123,0)),0)</f>
        <v>0</v>
      </c>
      <c r="EJ173" s="267">
        <f>IFERROR(INDEX(SOFR!$D$3:$D$123,MATCH('Pro Forma Template'!EJ58,SOFR!$B$3:$B$123,0)),0)</f>
        <v>0</v>
      </c>
      <c r="EK173" s="267">
        <f>IFERROR(INDEX(SOFR!$D$3:$D$123,MATCH('Pro Forma Template'!EK58,SOFR!$B$3:$B$123,0)),0)</f>
        <v>0</v>
      </c>
      <c r="EL173" s="267">
        <f>IFERROR(INDEX(SOFR!$D$3:$D$123,MATCH('Pro Forma Template'!EL58,SOFR!$B$3:$B$123,0)),0)</f>
        <v>0</v>
      </c>
      <c r="EM173" s="267">
        <f>IFERROR(INDEX(SOFR!$D$3:$D$123,MATCH('Pro Forma Template'!EM58,SOFR!$B$3:$B$123,0)),0)</f>
        <v>0</v>
      </c>
      <c r="EN173" s="267">
        <f>IFERROR(INDEX(SOFR!$D$3:$D$123,MATCH('Pro Forma Template'!EN58,SOFR!$B$3:$B$123,0)),0)</f>
        <v>0</v>
      </c>
      <c r="EO173" s="267">
        <f>IFERROR(INDEX(SOFR!$D$3:$D$123,MATCH('Pro Forma Template'!EO58,SOFR!$B$3:$B$123,0)),0)</f>
        <v>0</v>
      </c>
      <c r="EP173" s="267">
        <f>IFERROR(INDEX(SOFR!$D$3:$D$123,MATCH('Pro Forma Template'!EP58,SOFR!$B$3:$B$123,0)),0)</f>
        <v>0</v>
      </c>
      <c r="EQ173" s="267">
        <f>IFERROR(INDEX(SOFR!$D$3:$D$123,MATCH('Pro Forma Template'!EQ58,SOFR!$B$3:$B$123,0)),0)</f>
        <v>0</v>
      </c>
      <c r="ER173" s="267">
        <f>IFERROR(INDEX(SOFR!$D$3:$D$123,MATCH('Pro Forma Template'!ER58,SOFR!$B$3:$B$123,0)),0)</f>
        <v>0</v>
      </c>
      <c r="ES173" s="267">
        <f>IFERROR(INDEX(SOFR!$D$3:$D$123,MATCH('Pro Forma Template'!ES58,SOFR!$B$3:$B$123,0)),0)</f>
        <v>0</v>
      </c>
      <c r="ET173" s="267">
        <f>IFERROR(INDEX(SOFR!$D$3:$D$123,MATCH('Pro Forma Template'!ET58,SOFR!$B$3:$B$123,0)),0)</f>
        <v>0</v>
      </c>
      <c r="EU173" s="267">
        <f>IFERROR(INDEX(SOFR!$D$3:$D$123,MATCH('Pro Forma Template'!EU58,SOFR!$B$3:$B$123,0)),0)</f>
        <v>0</v>
      </c>
      <c r="EV173" s="267">
        <f>IFERROR(INDEX(SOFR!$D$3:$D$123,MATCH('Pro Forma Template'!EV58,SOFR!$B$3:$B$123,0)),0)</f>
        <v>0</v>
      </c>
      <c r="EW173" s="267">
        <f>IFERROR(INDEX(SOFR!$D$3:$D$123,MATCH('Pro Forma Template'!EW58,SOFR!$B$3:$B$123,0)),0)</f>
        <v>0</v>
      </c>
      <c r="EX173" s="267">
        <f>IFERROR(INDEX(SOFR!$D$3:$D$123,MATCH('Pro Forma Template'!EX58,SOFR!$B$3:$B$123,0)),0)</f>
        <v>0</v>
      </c>
      <c r="EY173" s="267">
        <f>IFERROR(INDEX(SOFR!$D$3:$D$123,MATCH('Pro Forma Template'!EY58,SOFR!$B$3:$B$123,0)),0)</f>
        <v>0</v>
      </c>
      <c r="EZ173" s="267">
        <f>IFERROR(INDEX(SOFR!$D$3:$D$123,MATCH('Pro Forma Template'!EZ58,SOFR!$B$3:$B$123,0)),0)</f>
        <v>0</v>
      </c>
      <c r="FA173" s="267">
        <f>IFERROR(INDEX(SOFR!$D$3:$D$123,MATCH('Pro Forma Template'!FA58,SOFR!$B$3:$B$123,0)),0)</f>
        <v>0</v>
      </c>
      <c r="FB173" s="267">
        <f>IFERROR(INDEX(SOFR!$D$3:$D$123,MATCH('Pro Forma Template'!FB58,SOFR!$B$3:$B$123,0)),0)</f>
        <v>0</v>
      </c>
      <c r="FC173" s="267">
        <f>IFERROR(INDEX(SOFR!$D$3:$D$123,MATCH('Pro Forma Template'!FC58,SOFR!$B$3:$B$123,0)),0)</f>
        <v>0</v>
      </c>
      <c r="FD173" s="267">
        <f>IFERROR(INDEX(SOFR!$D$3:$D$123,MATCH('Pro Forma Template'!FD58,SOFR!$B$3:$B$123,0)),0)</f>
        <v>0</v>
      </c>
      <c r="FE173" s="267">
        <f>IFERROR(INDEX(SOFR!$D$3:$D$123,MATCH('Pro Forma Template'!FE58,SOFR!$B$3:$B$123,0)),0)</f>
        <v>0</v>
      </c>
      <c r="FF173" s="267">
        <f>IFERROR(INDEX(SOFR!$D$3:$D$123,MATCH('Pro Forma Template'!FF58,SOFR!$B$3:$B$123,0)),0)</f>
        <v>0</v>
      </c>
      <c r="FG173" s="315"/>
      <c r="FH173" s="267">
        <f>AVERAGEIF($F$57:$FF$57,FH$57,$F173:$FF173)</f>
        <v>2.8656024999999998E-2</v>
      </c>
      <c r="FI173" s="267">
        <f t="shared" ref="FI173:FU175" si="1039">AVERAGEIF($F$57:$FF$57,FI$57,$F173:$FF173)</f>
        <v>3.084305E-2</v>
      </c>
      <c r="FJ173" s="267">
        <f t="shared" si="1039"/>
        <v>3.2208233333333329E-2</v>
      </c>
      <c r="FK173" s="267">
        <f t="shared" si="1039"/>
        <v>3.3963983333333336E-2</v>
      </c>
      <c r="FL173" s="267">
        <f t="shared" si="1039"/>
        <v>3.554310833333333E-2</v>
      </c>
      <c r="FM173" s="267">
        <f t="shared" si="1039"/>
        <v>3.7276825E-2</v>
      </c>
      <c r="FN173" s="267">
        <f t="shared" si="1039"/>
        <v>3.8783700000000004E-2</v>
      </c>
      <c r="FO173" s="267">
        <f t="shared" si="1039"/>
        <v>3.9929100000000002E-2</v>
      </c>
      <c r="FP173" s="267">
        <f t="shared" si="1039"/>
        <v>4.1006108333333333E-2</v>
      </c>
      <c r="FQ173" s="267">
        <f t="shared" si="1039"/>
        <v>4.2110425E-2</v>
      </c>
      <c r="FR173" s="267">
        <f t="shared" si="1039"/>
        <v>7.128216666666666E-3</v>
      </c>
      <c r="FS173" s="267">
        <f t="shared" si="1039"/>
        <v>0</v>
      </c>
      <c r="FT173" s="267">
        <f t="shared" si="1039"/>
        <v>0</v>
      </c>
      <c r="FU173" s="267">
        <f t="shared" si="1039"/>
        <v>0</v>
      </c>
      <c r="FV173" s="315"/>
    </row>
    <row r="174" spans="2:178" x14ac:dyDescent="0.2">
      <c r="B174" s="47"/>
      <c r="C174" s="39" t="s">
        <v>122</v>
      </c>
      <c r="F174" s="266">
        <f t="shared" ref="F174:AK174" si="1040">$F$30/10000</f>
        <v>7.0000000000000007E-6</v>
      </c>
      <c r="G174" s="267">
        <f t="shared" si="1040"/>
        <v>7.0000000000000007E-6</v>
      </c>
      <c r="H174" s="267">
        <f t="shared" si="1040"/>
        <v>7.0000000000000007E-6</v>
      </c>
      <c r="I174" s="267">
        <f t="shared" si="1040"/>
        <v>7.0000000000000007E-6</v>
      </c>
      <c r="J174" s="267">
        <f t="shared" si="1040"/>
        <v>7.0000000000000007E-6</v>
      </c>
      <c r="K174" s="267">
        <f t="shared" si="1040"/>
        <v>7.0000000000000007E-6</v>
      </c>
      <c r="L174" s="267">
        <f t="shared" si="1040"/>
        <v>7.0000000000000007E-6</v>
      </c>
      <c r="M174" s="267">
        <f t="shared" si="1040"/>
        <v>7.0000000000000007E-6</v>
      </c>
      <c r="N174" s="267">
        <f t="shared" si="1040"/>
        <v>7.0000000000000007E-6</v>
      </c>
      <c r="O174" s="267">
        <f t="shared" si="1040"/>
        <v>7.0000000000000007E-6</v>
      </c>
      <c r="P174" s="267">
        <f t="shared" si="1040"/>
        <v>7.0000000000000007E-6</v>
      </c>
      <c r="Q174" s="267">
        <f t="shared" si="1040"/>
        <v>7.0000000000000007E-6</v>
      </c>
      <c r="R174" s="267">
        <f t="shared" si="1040"/>
        <v>7.0000000000000007E-6</v>
      </c>
      <c r="S174" s="267">
        <f t="shared" si="1040"/>
        <v>7.0000000000000007E-6</v>
      </c>
      <c r="T174" s="267">
        <f t="shared" si="1040"/>
        <v>7.0000000000000007E-6</v>
      </c>
      <c r="U174" s="267">
        <f t="shared" si="1040"/>
        <v>7.0000000000000007E-6</v>
      </c>
      <c r="V174" s="267">
        <f t="shared" si="1040"/>
        <v>7.0000000000000007E-6</v>
      </c>
      <c r="W174" s="267">
        <f t="shared" si="1040"/>
        <v>7.0000000000000007E-6</v>
      </c>
      <c r="X174" s="267">
        <f t="shared" si="1040"/>
        <v>7.0000000000000007E-6</v>
      </c>
      <c r="Y174" s="267">
        <f t="shared" si="1040"/>
        <v>7.0000000000000007E-6</v>
      </c>
      <c r="Z174" s="267">
        <f t="shared" si="1040"/>
        <v>7.0000000000000007E-6</v>
      </c>
      <c r="AA174" s="267">
        <f t="shared" si="1040"/>
        <v>7.0000000000000007E-6</v>
      </c>
      <c r="AB174" s="267">
        <f t="shared" si="1040"/>
        <v>7.0000000000000007E-6</v>
      </c>
      <c r="AC174" s="267">
        <f t="shared" si="1040"/>
        <v>7.0000000000000007E-6</v>
      </c>
      <c r="AD174" s="267">
        <f t="shared" si="1040"/>
        <v>7.0000000000000007E-6</v>
      </c>
      <c r="AE174" s="267">
        <f t="shared" si="1040"/>
        <v>7.0000000000000007E-6</v>
      </c>
      <c r="AF174" s="267">
        <f t="shared" si="1040"/>
        <v>7.0000000000000007E-6</v>
      </c>
      <c r="AG174" s="267">
        <f t="shared" si="1040"/>
        <v>7.0000000000000007E-6</v>
      </c>
      <c r="AH174" s="267">
        <f t="shared" si="1040"/>
        <v>7.0000000000000007E-6</v>
      </c>
      <c r="AI174" s="267">
        <f t="shared" si="1040"/>
        <v>7.0000000000000007E-6</v>
      </c>
      <c r="AJ174" s="267">
        <f t="shared" si="1040"/>
        <v>7.0000000000000007E-6</v>
      </c>
      <c r="AK174" s="267">
        <f t="shared" si="1040"/>
        <v>7.0000000000000007E-6</v>
      </c>
      <c r="AL174" s="267">
        <f t="shared" ref="AL174:BQ174" si="1041">$F$30/10000</f>
        <v>7.0000000000000007E-6</v>
      </c>
      <c r="AM174" s="267">
        <f t="shared" si="1041"/>
        <v>7.0000000000000007E-6</v>
      </c>
      <c r="AN174" s="267">
        <f t="shared" si="1041"/>
        <v>7.0000000000000007E-6</v>
      </c>
      <c r="AO174" s="267">
        <f t="shared" si="1041"/>
        <v>7.0000000000000007E-6</v>
      </c>
      <c r="AP174" s="267">
        <f t="shared" si="1041"/>
        <v>7.0000000000000007E-6</v>
      </c>
      <c r="AQ174" s="267">
        <f t="shared" si="1041"/>
        <v>7.0000000000000007E-6</v>
      </c>
      <c r="AR174" s="267">
        <f t="shared" si="1041"/>
        <v>7.0000000000000007E-6</v>
      </c>
      <c r="AS174" s="267">
        <f t="shared" si="1041"/>
        <v>7.0000000000000007E-6</v>
      </c>
      <c r="AT174" s="267">
        <f t="shared" si="1041"/>
        <v>7.0000000000000007E-6</v>
      </c>
      <c r="AU174" s="267">
        <f t="shared" si="1041"/>
        <v>7.0000000000000007E-6</v>
      </c>
      <c r="AV174" s="267">
        <f t="shared" si="1041"/>
        <v>7.0000000000000007E-6</v>
      </c>
      <c r="AW174" s="267">
        <f t="shared" si="1041"/>
        <v>7.0000000000000007E-6</v>
      </c>
      <c r="AX174" s="267">
        <f t="shared" si="1041"/>
        <v>7.0000000000000007E-6</v>
      </c>
      <c r="AY174" s="267">
        <f t="shared" si="1041"/>
        <v>7.0000000000000007E-6</v>
      </c>
      <c r="AZ174" s="267">
        <f t="shared" si="1041"/>
        <v>7.0000000000000007E-6</v>
      </c>
      <c r="BA174" s="267">
        <f t="shared" si="1041"/>
        <v>7.0000000000000007E-6</v>
      </c>
      <c r="BB174" s="267">
        <f t="shared" si="1041"/>
        <v>7.0000000000000007E-6</v>
      </c>
      <c r="BC174" s="267">
        <f t="shared" si="1041"/>
        <v>7.0000000000000007E-6</v>
      </c>
      <c r="BD174" s="267">
        <f t="shared" si="1041"/>
        <v>7.0000000000000007E-6</v>
      </c>
      <c r="BE174" s="267">
        <f t="shared" si="1041"/>
        <v>7.0000000000000007E-6</v>
      </c>
      <c r="BF174" s="267">
        <f t="shared" si="1041"/>
        <v>7.0000000000000007E-6</v>
      </c>
      <c r="BG174" s="267">
        <f t="shared" si="1041"/>
        <v>7.0000000000000007E-6</v>
      </c>
      <c r="BH174" s="267">
        <f t="shared" si="1041"/>
        <v>7.0000000000000007E-6</v>
      </c>
      <c r="BI174" s="267">
        <f t="shared" si="1041"/>
        <v>7.0000000000000007E-6</v>
      </c>
      <c r="BJ174" s="267">
        <f t="shared" si="1041"/>
        <v>7.0000000000000007E-6</v>
      </c>
      <c r="BK174" s="267">
        <f t="shared" si="1041"/>
        <v>7.0000000000000007E-6</v>
      </c>
      <c r="BL174" s="267">
        <f t="shared" si="1041"/>
        <v>7.0000000000000007E-6</v>
      </c>
      <c r="BM174" s="267">
        <f t="shared" si="1041"/>
        <v>7.0000000000000007E-6</v>
      </c>
      <c r="BN174" s="267">
        <f t="shared" si="1041"/>
        <v>7.0000000000000007E-6</v>
      </c>
      <c r="BO174" s="267">
        <f t="shared" si="1041"/>
        <v>7.0000000000000007E-6</v>
      </c>
      <c r="BP174" s="267">
        <f t="shared" si="1041"/>
        <v>7.0000000000000007E-6</v>
      </c>
      <c r="BQ174" s="267">
        <f t="shared" si="1041"/>
        <v>7.0000000000000007E-6</v>
      </c>
      <c r="BR174" s="267">
        <f t="shared" ref="BR174:CW174" si="1042">$F$30/10000</f>
        <v>7.0000000000000007E-6</v>
      </c>
      <c r="BS174" s="267">
        <f t="shared" si="1042"/>
        <v>7.0000000000000007E-6</v>
      </c>
      <c r="BT174" s="267">
        <f t="shared" si="1042"/>
        <v>7.0000000000000007E-6</v>
      </c>
      <c r="BU174" s="267">
        <f t="shared" si="1042"/>
        <v>7.0000000000000007E-6</v>
      </c>
      <c r="BV174" s="267">
        <f t="shared" si="1042"/>
        <v>7.0000000000000007E-6</v>
      </c>
      <c r="BW174" s="267">
        <f t="shared" si="1042"/>
        <v>7.0000000000000007E-6</v>
      </c>
      <c r="BX174" s="267">
        <f t="shared" si="1042"/>
        <v>7.0000000000000007E-6</v>
      </c>
      <c r="BY174" s="267">
        <f t="shared" si="1042"/>
        <v>7.0000000000000007E-6</v>
      </c>
      <c r="BZ174" s="267">
        <f t="shared" si="1042"/>
        <v>7.0000000000000007E-6</v>
      </c>
      <c r="CA174" s="267">
        <f t="shared" si="1042"/>
        <v>7.0000000000000007E-6</v>
      </c>
      <c r="CB174" s="267">
        <f t="shared" si="1042"/>
        <v>7.0000000000000007E-6</v>
      </c>
      <c r="CC174" s="267">
        <f t="shared" si="1042"/>
        <v>7.0000000000000007E-6</v>
      </c>
      <c r="CD174" s="267">
        <f t="shared" si="1042"/>
        <v>7.0000000000000007E-6</v>
      </c>
      <c r="CE174" s="267">
        <f t="shared" si="1042"/>
        <v>7.0000000000000007E-6</v>
      </c>
      <c r="CF174" s="267">
        <f t="shared" si="1042"/>
        <v>7.0000000000000007E-6</v>
      </c>
      <c r="CG174" s="267">
        <f t="shared" si="1042"/>
        <v>7.0000000000000007E-6</v>
      </c>
      <c r="CH174" s="267">
        <f t="shared" si="1042"/>
        <v>7.0000000000000007E-6</v>
      </c>
      <c r="CI174" s="267">
        <f t="shared" si="1042"/>
        <v>7.0000000000000007E-6</v>
      </c>
      <c r="CJ174" s="267">
        <f t="shared" si="1042"/>
        <v>7.0000000000000007E-6</v>
      </c>
      <c r="CK174" s="267">
        <f t="shared" si="1042"/>
        <v>7.0000000000000007E-6</v>
      </c>
      <c r="CL174" s="267">
        <f t="shared" si="1042"/>
        <v>7.0000000000000007E-6</v>
      </c>
      <c r="CM174" s="267">
        <f t="shared" si="1042"/>
        <v>7.0000000000000007E-6</v>
      </c>
      <c r="CN174" s="267">
        <f t="shared" si="1042"/>
        <v>7.0000000000000007E-6</v>
      </c>
      <c r="CO174" s="267">
        <f t="shared" si="1042"/>
        <v>7.0000000000000007E-6</v>
      </c>
      <c r="CP174" s="267">
        <f t="shared" si="1042"/>
        <v>7.0000000000000007E-6</v>
      </c>
      <c r="CQ174" s="267">
        <f t="shared" si="1042"/>
        <v>7.0000000000000007E-6</v>
      </c>
      <c r="CR174" s="267">
        <f t="shared" si="1042"/>
        <v>7.0000000000000007E-6</v>
      </c>
      <c r="CS174" s="267">
        <f t="shared" si="1042"/>
        <v>7.0000000000000007E-6</v>
      </c>
      <c r="CT174" s="267">
        <f t="shared" si="1042"/>
        <v>7.0000000000000007E-6</v>
      </c>
      <c r="CU174" s="267">
        <f t="shared" si="1042"/>
        <v>7.0000000000000007E-6</v>
      </c>
      <c r="CV174" s="267">
        <f t="shared" si="1042"/>
        <v>7.0000000000000007E-6</v>
      </c>
      <c r="CW174" s="267">
        <f t="shared" si="1042"/>
        <v>7.0000000000000007E-6</v>
      </c>
      <c r="CX174" s="267">
        <f t="shared" ref="CX174:EC174" si="1043">$F$30/10000</f>
        <v>7.0000000000000007E-6</v>
      </c>
      <c r="CY174" s="267">
        <f t="shared" si="1043"/>
        <v>7.0000000000000007E-6</v>
      </c>
      <c r="CZ174" s="267">
        <f t="shared" si="1043"/>
        <v>7.0000000000000007E-6</v>
      </c>
      <c r="DA174" s="267">
        <f t="shared" si="1043"/>
        <v>7.0000000000000007E-6</v>
      </c>
      <c r="DB174" s="267">
        <f t="shared" si="1043"/>
        <v>7.0000000000000007E-6</v>
      </c>
      <c r="DC174" s="267">
        <f t="shared" si="1043"/>
        <v>7.0000000000000007E-6</v>
      </c>
      <c r="DD174" s="267">
        <f t="shared" si="1043"/>
        <v>7.0000000000000007E-6</v>
      </c>
      <c r="DE174" s="267">
        <f t="shared" si="1043"/>
        <v>7.0000000000000007E-6</v>
      </c>
      <c r="DF174" s="267">
        <f t="shared" si="1043"/>
        <v>7.0000000000000007E-6</v>
      </c>
      <c r="DG174" s="267">
        <f t="shared" si="1043"/>
        <v>7.0000000000000007E-6</v>
      </c>
      <c r="DH174" s="267">
        <f t="shared" si="1043"/>
        <v>7.0000000000000007E-6</v>
      </c>
      <c r="DI174" s="267">
        <f t="shared" si="1043"/>
        <v>7.0000000000000007E-6</v>
      </c>
      <c r="DJ174" s="267">
        <f t="shared" si="1043"/>
        <v>7.0000000000000007E-6</v>
      </c>
      <c r="DK174" s="267">
        <f t="shared" si="1043"/>
        <v>7.0000000000000007E-6</v>
      </c>
      <c r="DL174" s="267">
        <f t="shared" si="1043"/>
        <v>7.0000000000000007E-6</v>
      </c>
      <c r="DM174" s="267">
        <f t="shared" si="1043"/>
        <v>7.0000000000000007E-6</v>
      </c>
      <c r="DN174" s="267">
        <f t="shared" si="1043"/>
        <v>7.0000000000000007E-6</v>
      </c>
      <c r="DO174" s="267">
        <f t="shared" si="1043"/>
        <v>7.0000000000000007E-6</v>
      </c>
      <c r="DP174" s="267">
        <f t="shared" si="1043"/>
        <v>7.0000000000000007E-6</v>
      </c>
      <c r="DQ174" s="267">
        <f t="shared" si="1043"/>
        <v>7.0000000000000007E-6</v>
      </c>
      <c r="DR174" s="267">
        <f t="shared" si="1043"/>
        <v>7.0000000000000007E-6</v>
      </c>
      <c r="DS174" s="267">
        <f t="shared" si="1043"/>
        <v>7.0000000000000007E-6</v>
      </c>
      <c r="DT174" s="267">
        <f t="shared" si="1043"/>
        <v>7.0000000000000007E-6</v>
      </c>
      <c r="DU174" s="267">
        <f t="shared" si="1043"/>
        <v>7.0000000000000007E-6</v>
      </c>
      <c r="DV174" s="267">
        <f t="shared" si="1043"/>
        <v>7.0000000000000007E-6</v>
      </c>
      <c r="DW174" s="267">
        <f t="shared" si="1043"/>
        <v>7.0000000000000007E-6</v>
      </c>
      <c r="DX174" s="267">
        <f t="shared" si="1043"/>
        <v>7.0000000000000007E-6</v>
      </c>
      <c r="DY174" s="267">
        <f t="shared" si="1043"/>
        <v>7.0000000000000007E-6</v>
      </c>
      <c r="DZ174" s="267">
        <f t="shared" si="1043"/>
        <v>7.0000000000000007E-6</v>
      </c>
      <c r="EA174" s="267">
        <f t="shared" si="1043"/>
        <v>7.0000000000000007E-6</v>
      </c>
      <c r="EB174" s="267">
        <f t="shared" si="1043"/>
        <v>7.0000000000000007E-6</v>
      </c>
      <c r="EC174" s="267">
        <f t="shared" si="1043"/>
        <v>7.0000000000000007E-6</v>
      </c>
      <c r="ED174" s="267">
        <f t="shared" ref="ED174:FF174" si="1044">$F$30/10000</f>
        <v>7.0000000000000007E-6</v>
      </c>
      <c r="EE174" s="267">
        <f t="shared" si="1044"/>
        <v>7.0000000000000007E-6</v>
      </c>
      <c r="EF174" s="267">
        <f t="shared" si="1044"/>
        <v>7.0000000000000007E-6</v>
      </c>
      <c r="EG174" s="267">
        <f t="shared" si="1044"/>
        <v>7.0000000000000007E-6</v>
      </c>
      <c r="EH174" s="267">
        <f t="shared" si="1044"/>
        <v>7.0000000000000007E-6</v>
      </c>
      <c r="EI174" s="267">
        <f t="shared" si="1044"/>
        <v>7.0000000000000007E-6</v>
      </c>
      <c r="EJ174" s="267">
        <f t="shared" si="1044"/>
        <v>7.0000000000000007E-6</v>
      </c>
      <c r="EK174" s="267">
        <f t="shared" si="1044"/>
        <v>7.0000000000000007E-6</v>
      </c>
      <c r="EL174" s="267">
        <f t="shared" si="1044"/>
        <v>7.0000000000000007E-6</v>
      </c>
      <c r="EM174" s="267">
        <f t="shared" si="1044"/>
        <v>7.0000000000000007E-6</v>
      </c>
      <c r="EN174" s="267">
        <f t="shared" si="1044"/>
        <v>7.0000000000000007E-6</v>
      </c>
      <c r="EO174" s="267">
        <f t="shared" si="1044"/>
        <v>7.0000000000000007E-6</v>
      </c>
      <c r="EP174" s="267">
        <f t="shared" si="1044"/>
        <v>7.0000000000000007E-6</v>
      </c>
      <c r="EQ174" s="267">
        <f t="shared" si="1044"/>
        <v>7.0000000000000007E-6</v>
      </c>
      <c r="ER174" s="267">
        <f t="shared" si="1044"/>
        <v>7.0000000000000007E-6</v>
      </c>
      <c r="ES174" s="267">
        <f t="shared" si="1044"/>
        <v>7.0000000000000007E-6</v>
      </c>
      <c r="ET174" s="267">
        <f t="shared" si="1044"/>
        <v>7.0000000000000007E-6</v>
      </c>
      <c r="EU174" s="267">
        <f t="shared" si="1044"/>
        <v>7.0000000000000007E-6</v>
      </c>
      <c r="EV174" s="267">
        <f t="shared" si="1044"/>
        <v>7.0000000000000007E-6</v>
      </c>
      <c r="EW174" s="267">
        <f t="shared" si="1044"/>
        <v>7.0000000000000007E-6</v>
      </c>
      <c r="EX174" s="267">
        <f t="shared" si="1044"/>
        <v>7.0000000000000007E-6</v>
      </c>
      <c r="EY174" s="267">
        <f t="shared" si="1044"/>
        <v>7.0000000000000007E-6</v>
      </c>
      <c r="EZ174" s="267">
        <f t="shared" si="1044"/>
        <v>7.0000000000000007E-6</v>
      </c>
      <c r="FA174" s="267">
        <f t="shared" si="1044"/>
        <v>7.0000000000000007E-6</v>
      </c>
      <c r="FB174" s="267">
        <f t="shared" si="1044"/>
        <v>7.0000000000000007E-6</v>
      </c>
      <c r="FC174" s="267">
        <f t="shared" si="1044"/>
        <v>7.0000000000000007E-6</v>
      </c>
      <c r="FD174" s="267">
        <f t="shared" si="1044"/>
        <v>7.0000000000000007E-6</v>
      </c>
      <c r="FE174" s="267">
        <f t="shared" si="1044"/>
        <v>7.0000000000000007E-6</v>
      </c>
      <c r="FF174" s="267">
        <f t="shared" si="1044"/>
        <v>7.0000000000000007E-6</v>
      </c>
      <c r="FG174" s="315"/>
      <c r="FH174" s="267">
        <f>AVERAGEIF($F$57:$FF$57,FH$57,$F174:$FF174)</f>
        <v>7.0000000000000007E-6</v>
      </c>
      <c r="FI174" s="267">
        <f t="shared" si="1039"/>
        <v>7.0000000000000033E-6</v>
      </c>
      <c r="FJ174" s="267">
        <f t="shared" si="1039"/>
        <v>7.0000000000000033E-6</v>
      </c>
      <c r="FK174" s="267">
        <f t="shared" si="1039"/>
        <v>7.0000000000000033E-6</v>
      </c>
      <c r="FL174" s="267">
        <f t="shared" si="1039"/>
        <v>7.0000000000000033E-6</v>
      </c>
      <c r="FM174" s="267">
        <f t="shared" si="1039"/>
        <v>7.0000000000000033E-6</v>
      </c>
      <c r="FN174" s="267">
        <f t="shared" si="1039"/>
        <v>7.0000000000000033E-6</v>
      </c>
      <c r="FO174" s="267">
        <f t="shared" si="1039"/>
        <v>7.0000000000000033E-6</v>
      </c>
      <c r="FP174" s="267">
        <f t="shared" si="1039"/>
        <v>7.0000000000000033E-6</v>
      </c>
      <c r="FQ174" s="267">
        <f t="shared" si="1039"/>
        <v>7.0000000000000033E-6</v>
      </c>
      <c r="FR174" s="267">
        <f t="shared" si="1039"/>
        <v>7.0000000000000033E-6</v>
      </c>
      <c r="FS174" s="267">
        <f t="shared" si="1039"/>
        <v>7.0000000000000033E-6</v>
      </c>
      <c r="FT174" s="267">
        <f t="shared" si="1039"/>
        <v>7.0000000000000033E-6</v>
      </c>
      <c r="FU174" s="267">
        <f t="shared" si="1039"/>
        <v>7.0000000000000007E-6</v>
      </c>
      <c r="FV174" s="315"/>
    </row>
    <row r="175" spans="2:178" x14ac:dyDescent="0.2">
      <c r="B175" s="47"/>
      <c r="C175" s="79" t="s">
        <v>120</v>
      </c>
      <c r="D175" s="79"/>
      <c r="E175" s="79"/>
      <c r="F175" s="268">
        <f t="shared" ref="F175:AK175" si="1045">IF($E$30="Floating",SUM(F173:F174),$F$30)</f>
        <v>7.0000000000000007E-2</v>
      </c>
      <c r="G175" s="269">
        <f t="shared" si="1045"/>
        <v>7.0000000000000007E-2</v>
      </c>
      <c r="H175" s="269">
        <f t="shared" si="1045"/>
        <v>7.0000000000000007E-2</v>
      </c>
      <c r="I175" s="269">
        <f t="shared" si="1045"/>
        <v>7.0000000000000007E-2</v>
      </c>
      <c r="J175" s="269">
        <f t="shared" si="1045"/>
        <v>7.0000000000000007E-2</v>
      </c>
      <c r="K175" s="269">
        <f t="shared" si="1045"/>
        <v>7.0000000000000007E-2</v>
      </c>
      <c r="L175" s="269">
        <f t="shared" si="1045"/>
        <v>7.0000000000000007E-2</v>
      </c>
      <c r="M175" s="269">
        <f t="shared" si="1045"/>
        <v>7.0000000000000007E-2</v>
      </c>
      <c r="N175" s="269">
        <f t="shared" si="1045"/>
        <v>7.0000000000000007E-2</v>
      </c>
      <c r="O175" s="269">
        <f t="shared" si="1045"/>
        <v>7.0000000000000007E-2</v>
      </c>
      <c r="P175" s="269">
        <f t="shared" si="1045"/>
        <v>7.0000000000000007E-2</v>
      </c>
      <c r="Q175" s="269">
        <f t="shared" si="1045"/>
        <v>7.0000000000000007E-2</v>
      </c>
      <c r="R175" s="269">
        <f t="shared" si="1045"/>
        <v>7.0000000000000007E-2</v>
      </c>
      <c r="S175" s="269">
        <f t="shared" si="1045"/>
        <v>7.0000000000000007E-2</v>
      </c>
      <c r="T175" s="269">
        <f t="shared" si="1045"/>
        <v>7.0000000000000007E-2</v>
      </c>
      <c r="U175" s="269">
        <f t="shared" si="1045"/>
        <v>7.0000000000000007E-2</v>
      </c>
      <c r="V175" s="269">
        <f t="shared" si="1045"/>
        <v>7.0000000000000007E-2</v>
      </c>
      <c r="W175" s="269">
        <f t="shared" si="1045"/>
        <v>7.0000000000000007E-2</v>
      </c>
      <c r="X175" s="269">
        <f t="shared" si="1045"/>
        <v>7.0000000000000007E-2</v>
      </c>
      <c r="Y175" s="269">
        <f t="shared" si="1045"/>
        <v>7.0000000000000007E-2</v>
      </c>
      <c r="Z175" s="269">
        <f t="shared" si="1045"/>
        <v>7.0000000000000007E-2</v>
      </c>
      <c r="AA175" s="269">
        <f t="shared" si="1045"/>
        <v>7.0000000000000007E-2</v>
      </c>
      <c r="AB175" s="269">
        <f t="shared" si="1045"/>
        <v>7.0000000000000007E-2</v>
      </c>
      <c r="AC175" s="269">
        <f t="shared" si="1045"/>
        <v>7.0000000000000007E-2</v>
      </c>
      <c r="AD175" s="269">
        <f t="shared" si="1045"/>
        <v>7.0000000000000007E-2</v>
      </c>
      <c r="AE175" s="269">
        <f t="shared" si="1045"/>
        <v>7.0000000000000007E-2</v>
      </c>
      <c r="AF175" s="269">
        <f t="shared" si="1045"/>
        <v>7.0000000000000007E-2</v>
      </c>
      <c r="AG175" s="269">
        <f t="shared" si="1045"/>
        <v>7.0000000000000007E-2</v>
      </c>
      <c r="AH175" s="269">
        <f t="shared" si="1045"/>
        <v>7.0000000000000007E-2</v>
      </c>
      <c r="AI175" s="269">
        <f t="shared" si="1045"/>
        <v>7.0000000000000007E-2</v>
      </c>
      <c r="AJ175" s="269">
        <f t="shared" si="1045"/>
        <v>7.0000000000000007E-2</v>
      </c>
      <c r="AK175" s="269">
        <f t="shared" si="1045"/>
        <v>7.0000000000000007E-2</v>
      </c>
      <c r="AL175" s="269">
        <f t="shared" ref="AL175:BQ175" si="1046">IF($E$30="Floating",SUM(AL173:AL174),$F$30)</f>
        <v>7.0000000000000007E-2</v>
      </c>
      <c r="AM175" s="269">
        <f t="shared" si="1046"/>
        <v>7.0000000000000007E-2</v>
      </c>
      <c r="AN175" s="269">
        <f t="shared" si="1046"/>
        <v>7.0000000000000007E-2</v>
      </c>
      <c r="AO175" s="269">
        <f t="shared" si="1046"/>
        <v>7.0000000000000007E-2</v>
      </c>
      <c r="AP175" s="269">
        <f t="shared" si="1046"/>
        <v>7.0000000000000007E-2</v>
      </c>
      <c r="AQ175" s="269">
        <f t="shared" si="1046"/>
        <v>7.0000000000000007E-2</v>
      </c>
      <c r="AR175" s="269">
        <f t="shared" si="1046"/>
        <v>7.0000000000000007E-2</v>
      </c>
      <c r="AS175" s="269">
        <f t="shared" si="1046"/>
        <v>7.0000000000000007E-2</v>
      </c>
      <c r="AT175" s="269">
        <f t="shared" si="1046"/>
        <v>7.0000000000000007E-2</v>
      </c>
      <c r="AU175" s="269">
        <f t="shared" si="1046"/>
        <v>7.0000000000000007E-2</v>
      </c>
      <c r="AV175" s="269">
        <f t="shared" si="1046"/>
        <v>7.0000000000000007E-2</v>
      </c>
      <c r="AW175" s="269">
        <f t="shared" si="1046"/>
        <v>7.0000000000000007E-2</v>
      </c>
      <c r="AX175" s="269">
        <f t="shared" si="1046"/>
        <v>7.0000000000000007E-2</v>
      </c>
      <c r="AY175" s="269">
        <f t="shared" si="1046"/>
        <v>7.0000000000000007E-2</v>
      </c>
      <c r="AZ175" s="269">
        <f t="shared" si="1046"/>
        <v>7.0000000000000007E-2</v>
      </c>
      <c r="BA175" s="269">
        <f t="shared" si="1046"/>
        <v>7.0000000000000007E-2</v>
      </c>
      <c r="BB175" s="269">
        <f t="shared" si="1046"/>
        <v>7.0000000000000007E-2</v>
      </c>
      <c r="BC175" s="269">
        <f t="shared" si="1046"/>
        <v>7.0000000000000007E-2</v>
      </c>
      <c r="BD175" s="269">
        <f t="shared" si="1046"/>
        <v>7.0000000000000007E-2</v>
      </c>
      <c r="BE175" s="269">
        <f t="shared" si="1046"/>
        <v>7.0000000000000007E-2</v>
      </c>
      <c r="BF175" s="269">
        <f t="shared" si="1046"/>
        <v>7.0000000000000007E-2</v>
      </c>
      <c r="BG175" s="269">
        <f t="shared" si="1046"/>
        <v>7.0000000000000007E-2</v>
      </c>
      <c r="BH175" s="269">
        <f t="shared" si="1046"/>
        <v>7.0000000000000007E-2</v>
      </c>
      <c r="BI175" s="269">
        <f t="shared" si="1046"/>
        <v>7.0000000000000007E-2</v>
      </c>
      <c r="BJ175" s="269">
        <f t="shared" si="1046"/>
        <v>7.0000000000000007E-2</v>
      </c>
      <c r="BK175" s="269">
        <f t="shared" si="1046"/>
        <v>7.0000000000000007E-2</v>
      </c>
      <c r="BL175" s="269">
        <f t="shared" si="1046"/>
        <v>7.0000000000000007E-2</v>
      </c>
      <c r="BM175" s="269">
        <f t="shared" si="1046"/>
        <v>7.0000000000000007E-2</v>
      </c>
      <c r="BN175" s="269">
        <f t="shared" si="1046"/>
        <v>7.0000000000000007E-2</v>
      </c>
      <c r="BO175" s="269">
        <f t="shared" si="1046"/>
        <v>7.0000000000000007E-2</v>
      </c>
      <c r="BP175" s="269">
        <f t="shared" si="1046"/>
        <v>7.0000000000000007E-2</v>
      </c>
      <c r="BQ175" s="269">
        <f t="shared" si="1046"/>
        <v>7.0000000000000007E-2</v>
      </c>
      <c r="BR175" s="269">
        <f t="shared" ref="BR175:CW175" si="1047">IF($E$30="Floating",SUM(BR173:BR174),$F$30)</f>
        <v>7.0000000000000007E-2</v>
      </c>
      <c r="BS175" s="269">
        <f t="shared" si="1047"/>
        <v>7.0000000000000007E-2</v>
      </c>
      <c r="BT175" s="269">
        <f t="shared" si="1047"/>
        <v>7.0000000000000007E-2</v>
      </c>
      <c r="BU175" s="269">
        <f t="shared" si="1047"/>
        <v>7.0000000000000007E-2</v>
      </c>
      <c r="BV175" s="269">
        <f t="shared" si="1047"/>
        <v>7.0000000000000007E-2</v>
      </c>
      <c r="BW175" s="269">
        <f t="shared" si="1047"/>
        <v>7.0000000000000007E-2</v>
      </c>
      <c r="BX175" s="269">
        <f t="shared" si="1047"/>
        <v>7.0000000000000007E-2</v>
      </c>
      <c r="BY175" s="269">
        <f t="shared" si="1047"/>
        <v>7.0000000000000007E-2</v>
      </c>
      <c r="BZ175" s="269">
        <f t="shared" si="1047"/>
        <v>7.0000000000000007E-2</v>
      </c>
      <c r="CA175" s="269">
        <f t="shared" si="1047"/>
        <v>7.0000000000000007E-2</v>
      </c>
      <c r="CB175" s="269">
        <f t="shared" si="1047"/>
        <v>7.0000000000000007E-2</v>
      </c>
      <c r="CC175" s="269">
        <f t="shared" si="1047"/>
        <v>7.0000000000000007E-2</v>
      </c>
      <c r="CD175" s="269">
        <f t="shared" si="1047"/>
        <v>7.0000000000000007E-2</v>
      </c>
      <c r="CE175" s="269">
        <f t="shared" si="1047"/>
        <v>7.0000000000000007E-2</v>
      </c>
      <c r="CF175" s="269">
        <f t="shared" si="1047"/>
        <v>7.0000000000000007E-2</v>
      </c>
      <c r="CG175" s="269">
        <f t="shared" si="1047"/>
        <v>7.0000000000000007E-2</v>
      </c>
      <c r="CH175" s="269">
        <f t="shared" si="1047"/>
        <v>7.0000000000000007E-2</v>
      </c>
      <c r="CI175" s="269">
        <f t="shared" si="1047"/>
        <v>7.0000000000000007E-2</v>
      </c>
      <c r="CJ175" s="269">
        <f t="shared" si="1047"/>
        <v>7.0000000000000007E-2</v>
      </c>
      <c r="CK175" s="269">
        <f t="shared" si="1047"/>
        <v>7.0000000000000007E-2</v>
      </c>
      <c r="CL175" s="269">
        <f t="shared" si="1047"/>
        <v>7.0000000000000007E-2</v>
      </c>
      <c r="CM175" s="269">
        <f t="shared" si="1047"/>
        <v>7.0000000000000007E-2</v>
      </c>
      <c r="CN175" s="269">
        <f t="shared" si="1047"/>
        <v>7.0000000000000007E-2</v>
      </c>
      <c r="CO175" s="269">
        <f t="shared" si="1047"/>
        <v>7.0000000000000007E-2</v>
      </c>
      <c r="CP175" s="269">
        <f t="shared" si="1047"/>
        <v>7.0000000000000007E-2</v>
      </c>
      <c r="CQ175" s="269">
        <f t="shared" si="1047"/>
        <v>7.0000000000000007E-2</v>
      </c>
      <c r="CR175" s="269">
        <f t="shared" si="1047"/>
        <v>7.0000000000000007E-2</v>
      </c>
      <c r="CS175" s="269">
        <f t="shared" si="1047"/>
        <v>7.0000000000000007E-2</v>
      </c>
      <c r="CT175" s="269">
        <f t="shared" si="1047"/>
        <v>7.0000000000000007E-2</v>
      </c>
      <c r="CU175" s="269">
        <f t="shared" si="1047"/>
        <v>7.0000000000000007E-2</v>
      </c>
      <c r="CV175" s="269">
        <f t="shared" si="1047"/>
        <v>7.0000000000000007E-2</v>
      </c>
      <c r="CW175" s="269">
        <f t="shared" si="1047"/>
        <v>7.0000000000000007E-2</v>
      </c>
      <c r="CX175" s="269">
        <f t="shared" ref="CX175:EC175" si="1048">IF($E$30="Floating",SUM(CX173:CX174),$F$30)</f>
        <v>7.0000000000000007E-2</v>
      </c>
      <c r="CY175" s="269">
        <f t="shared" si="1048"/>
        <v>7.0000000000000007E-2</v>
      </c>
      <c r="CZ175" s="269">
        <f t="shared" si="1048"/>
        <v>7.0000000000000007E-2</v>
      </c>
      <c r="DA175" s="269">
        <f t="shared" si="1048"/>
        <v>7.0000000000000007E-2</v>
      </c>
      <c r="DB175" s="269">
        <f t="shared" si="1048"/>
        <v>7.0000000000000007E-2</v>
      </c>
      <c r="DC175" s="269">
        <f t="shared" si="1048"/>
        <v>7.0000000000000007E-2</v>
      </c>
      <c r="DD175" s="269">
        <f t="shared" si="1048"/>
        <v>7.0000000000000007E-2</v>
      </c>
      <c r="DE175" s="269">
        <f t="shared" si="1048"/>
        <v>7.0000000000000007E-2</v>
      </c>
      <c r="DF175" s="269">
        <f t="shared" si="1048"/>
        <v>7.0000000000000007E-2</v>
      </c>
      <c r="DG175" s="269">
        <f t="shared" si="1048"/>
        <v>7.0000000000000007E-2</v>
      </c>
      <c r="DH175" s="269">
        <f t="shared" si="1048"/>
        <v>7.0000000000000007E-2</v>
      </c>
      <c r="DI175" s="269">
        <f t="shared" si="1048"/>
        <v>7.0000000000000007E-2</v>
      </c>
      <c r="DJ175" s="269">
        <f t="shared" si="1048"/>
        <v>7.0000000000000007E-2</v>
      </c>
      <c r="DK175" s="269">
        <f t="shared" si="1048"/>
        <v>7.0000000000000007E-2</v>
      </c>
      <c r="DL175" s="269">
        <f t="shared" si="1048"/>
        <v>7.0000000000000007E-2</v>
      </c>
      <c r="DM175" s="269">
        <f t="shared" si="1048"/>
        <v>7.0000000000000007E-2</v>
      </c>
      <c r="DN175" s="269">
        <f t="shared" si="1048"/>
        <v>7.0000000000000007E-2</v>
      </c>
      <c r="DO175" s="269">
        <f t="shared" si="1048"/>
        <v>7.0000000000000007E-2</v>
      </c>
      <c r="DP175" s="269">
        <f t="shared" si="1048"/>
        <v>7.0000000000000007E-2</v>
      </c>
      <c r="DQ175" s="269">
        <f t="shared" si="1048"/>
        <v>7.0000000000000007E-2</v>
      </c>
      <c r="DR175" s="269">
        <f t="shared" si="1048"/>
        <v>7.0000000000000007E-2</v>
      </c>
      <c r="DS175" s="269">
        <f t="shared" si="1048"/>
        <v>7.0000000000000007E-2</v>
      </c>
      <c r="DT175" s="269">
        <f t="shared" si="1048"/>
        <v>7.0000000000000007E-2</v>
      </c>
      <c r="DU175" s="269">
        <f t="shared" si="1048"/>
        <v>7.0000000000000007E-2</v>
      </c>
      <c r="DV175" s="269">
        <f t="shared" si="1048"/>
        <v>7.0000000000000007E-2</v>
      </c>
      <c r="DW175" s="269">
        <f t="shared" si="1048"/>
        <v>7.0000000000000007E-2</v>
      </c>
      <c r="DX175" s="269">
        <f t="shared" si="1048"/>
        <v>7.0000000000000007E-2</v>
      </c>
      <c r="DY175" s="269">
        <f t="shared" si="1048"/>
        <v>7.0000000000000007E-2</v>
      </c>
      <c r="DZ175" s="269">
        <f t="shared" si="1048"/>
        <v>7.0000000000000007E-2</v>
      </c>
      <c r="EA175" s="269">
        <f t="shared" si="1048"/>
        <v>7.0000000000000007E-2</v>
      </c>
      <c r="EB175" s="269">
        <f t="shared" si="1048"/>
        <v>7.0000000000000007E-2</v>
      </c>
      <c r="EC175" s="269">
        <f t="shared" si="1048"/>
        <v>7.0000000000000007E-2</v>
      </c>
      <c r="ED175" s="269">
        <f t="shared" ref="ED175:FF175" si="1049">IF($E$30="Floating",SUM(ED173:ED174),$F$30)</f>
        <v>7.0000000000000007E-2</v>
      </c>
      <c r="EE175" s="269">
        <f t="shared" si="1049"/>
        <v>7.0000000000000007E-2</v>
      </c>
      <c r="EF175" s="269">
        <f t="shared" si="1049"/>
        <v>7.0000000000000007E-2</v>
      </c>
      <c r="EG175" s="269">
        <f t="shared" si="1049"/>
        <v>7.0000000000000007E-2</v>
      </c>
      <c r="EH175" s="269">
        <f t="shared" si="1049"/>
        <v>7.0000000000000007E-2</v>
      </c>
      <c r="EI175" s="269">
        <f t="shared" si="1049"/>
        <v>7.0000000000000007E-2</v>
      </c>
      <c r="EJ175" s="269">
        <f t="shared" si="1049"/>
        <v>7.0000000000000007E-2</v>
      </c>
      <c r="EK175" s="269">
        <f t="shared" si="1049"/>
        <v>7.0000000000000007E-2</v>
      </c>
      <c r="EL175" s="269">
        <f t="shared" si="1049"/>
        <v>7.0000000000000007E-2</v>
      </c>
      <c r="EM175" s="269">
        <f t="shared" si="1049"/>
        <v>7.0000000000000007E-2</v>
      </c>
      <c r="EN175" s="269">
        <f t="shared" si="1049"/>
        <v>7.0000000000000007E-2</v>
      </c>
      <c r="EO175" s="269">
        <f t="shared" si="1049"/>
        <v>7.0000000000000007E-2</v>
      </c>
      <c r="EP175" s="269">
        <f t="shared" si="1049"/>
        <v>7.0000000000000007E-2</v>
      </c>
      <c r="EQ175" s="269">
        <f t="shared" si="1049"/>
        <v>7.0000000000000007E-2</v>
      </c>
      <c r="ER175" s="269">
        <f t="shared" si="1049"/>
        <v>7.0000000000000007E-2</v>
      </c>
      <c r="ES175" s="269">
        <f t="shared" si="1049"/>
        <v>7.0000000000000007E-2</v>
      </c>
      <c r="ET175" s="269">
        <f t="shared" si="1049"/>
        <v>7.0000000000000007E-2</v>
      </c>
      <c r="EU175" s="269">
        <f t="shared" si="1049"/>
        <v>7.0000000000000007E-2</v>
      </c>
      <c r="EV175" s="269">
        <f t="shared" si="1049"/>
        <v>7.0000000000000007E-2</v>
      </c>
      <c r="EW175" s="269">
        <f t="shared" si="1049"/>
        <v>7.0000000000000007E-2</v>
      </c>
      <c r="EX175" s="269">
        <f t="shared" si="1049"/>
        <v>7.0000000000000007E-2</v>
      </c>
      <c r="EY175" s="269">
        <f t="shared" si="1049"/>
        <v>7.0000000000000007E-2</v>
      </c>
      <c r="EZ175" s="269">
        <f t="shared" si="1049"/>
        <v>7.0000000000000007E-2</v>
      </c>
      <c r="FA175" s="269">
        <f t="shared" si="1049"/>
        <v>7.0000000000000007E-2</v>
      </c>
      <c r="FB175" s="269">
        <f t="shared" si="1049"/>
        <v>7.0000000000000007E-2</v>
      </c>
      <c r="FC175" s="269">
        <f t="shared" si="1049"/>
        <v>7.0000000000000007E-2</v>
      </c>
      <c r="FD175" s="269">
        <f t="shared" si="1049"/>
        <v>7.0000000000000007E-2</v>
      </c>
      <c r="FE175" s="269">
        <f t="shared" si="1049"/>
        <v>7.0000000000000007E-2</v>
      </c>
      <c r="FF175" s="269">
        <f t="shared" si="1049"/>
        <v>7.0000000000000007E-2</v>
      </c>
      <c r="FG175" s="330"/>
      <c r="FH175" s="269">
        <f>AVERAGEIF($F$57:$FF$57,FH$57,$F175:$FF175)</f>
        <v>7.0000000000000007E-2</v>
      </c>
      <c r="FI175" s="269">
        <f t="shared" si="1039"/>
        <v>7.0000000000000021E-2</v>
      </c>
      <c r="FJ175" s="269">
        <f t="shared" si="1039"/>
        <v>7.0000000000000021E-2</v>
      </c>
      <c r="FK175" s="269">
        <f t="shared" si="1039"/>
        <v>7.0000000000000021E-2</v>
      </c>
      <c r="FL175" s="269">
        <f t="shared" si="1039"/>
        <v>7.0000000000000021E-2</v>
      </c>
      <c r="FM175" s="269">
        <f t="shared" si="1039"/>
        <v>7.0000000000000021E-2</v>
      </c>
      <c r="FN175" s="269">
        <f t="shared" si="1039"/>
        <v>7.0000000000000021E-2</v>
      </c>
      <c r="FO175" s="269">
        <f t="shared" si="1039"/>
        <v>7.0000000000000021E-2</v>
      </c>
      <c r="FP175" s="269">
        <f t="shared" si="1039"/>
        <v>7.0000000000000021E-2</v>
      </c>
      <c r="FQ175" s="269">
        <f t="shared" si="1039"/>
        <v>7.0000000000000021E-2</v>
      </c>
      <c r="FR175" s="269">
        <f t="shared" si="1039"/>
        <v>7.0000000000000021E-2</v>
      </c>
      <c r="FS175" s="269">
        <f t="shared" si="1039"/>
        <v>7.0000000000000021E-2</v>
      </c>
      <c r="FT175" s="269">
        <f t="shared" si="1039"/>
        <v>7.0000000000000021E-2</v>
      </c>
      <c r="FU175" s="269">
        <f t="shared" si="1039"/>
        <v>7.0000000000000007E-2</v>
      </c>
      <c r="FV175" s="330"/>
    </row>
    <row r="176" spans="2:178" x14ac:dyDescent="0.2">
      <c r="B176" s="47"/>
      <c r="F176" s="255"/>
    </row>
    <row r="177" spans="2:178" x14ac:dyDescent="0.2">
      <c r="B177" s="47"/>
      <c r="C177" s="47" t="s">
        <v>123</v>
      </c>
      <c r="F177" s="255"/>
    </row>
    <row r="178" spans="2:178" s="163" customFormat="1" x14ac:dyDescent="0.2">
      <c r="B178" s="262"/>
      <c r="C178" s="163" t="s">
        <v>124</v>
      </c>
      <c r="E178" s="163">
        <f t="shared" ref="E178:E180" si="1050">SUM(F178:FF178)</f>
        <v>25500000</v>
      </c>
      <c r="F178" s="261">
        <f t="shared" ref="F178:AK178" si="1051">F141-F137</f>
        <v>25500000</v>
      </c>
      <c r="G178" s="163">
        <f t="shared" si="1051"/>
        <v>0</v>
      </c>
      <c r="H178" s="163">
        <f t="shared" si="1051"/>
        <v>0</v>
      </c>
      <c r="I178" s="163">
        <f t="shared" si="1051"/>
        <v>0</v>
      </c>
      <c r="J178" s="163">
        <f t="shared" si="1051"/>
        <v>0</v>
      </c>
      <c r="K178" s="163">
        <f t="shared" si="1051"/>
        <v>0</v>
      </c>
      <c r="L178" s="163">
        <f t="shared" si="1051"/>
        <v>0</v>
      </c>
      <c r="M178" s="163">
        <f t="shared" si="1051"/>
        <v>0</v>
      </c>
      <c r="N178" s="163">
        <f t="shared" si="1051"/>
        <v>0</v>
      </c>
      <c r="O178" s="163">
        <f t="shared" si="1051"/>
        <v>0</v>
      </c>
      <c r="P178" s="163">
        <f t="shared" si="1051"/>
        <v>0</v>
      </c>
      <c r="Q178" s="163">
        <f t="shared" si="1051"/>
        <v>0</v>
      </c>
      <c r="R178" s="163">
        <f t="shared" si="1051"/>
        <v>0</v>
      </c>
      <c r="S178" s="163">
        <f t="shared" si="1051"/>
        <v>0</v>
      </c>
      <c r="T178" s="163">
        <f t="shared" si="1051"/>
        <v>0</v>
      </c>
      <c r="U178" s="163">
        <f t="shared" si="1051"/>
        <v>0</v>
      </c>
      <c r="V178" s="163">
        <f t="shared" si="1051"/>
        <v>0</v>
      </c>
      <c r="W178" s="163">
        <f t="shared" si="1051"/>
        <v>0</v>
      </c>
      <c r="X178" s="163">
        <f t="shared" si="1051"/>
        <v>0</v>
      </c>
      <c r="Y178" s="163">
        <f t="shared" si="1051"/>
        <v>0</v>
      </c>
      <c r="Z178" s="163">
        <f t="shared" si="1051"/>
        <v>0</v>
      </c>
      <c r="AA178" s="163">
        <f t="shared" si="1051"/>
        <v>0</v>
      </c>
      <c r="AB178" s="163">
        <f t="shared" si="1051"/>
        <v>0</v>
      </c>
      <c r="AC178" s="163">
        <f t="shared" si="1051"/>
        <v>0</v>
      </c>
      <c r="AD178" s="163">
        <f t="shared" si="1051"/>
        <v>0</v>
      </c>
      <c r="AE178" s="163">
        <f t="shared" si="1051"/>
        <v>0</v>
      </c>
      <c r="AF178" s="163">
        <f t="shared" si="1051"/>
        <v>0</v>
      </c>
      <c r="AG178" s="163">
        <f t="shared" si="1051"/>
        <v>0</v>
      </c>
      <c r="AH178" s="163">
        <f t="shared" si="1051"/>
        <v>0</v>
      </c>
      <c r="AI178" s="163">
        <f t="shared" si="1051"/>
        <v>0</v>
      </c>
      <c r="AJ178" s="163">
        <f t="shared" si="1051"/>
        <v>0</v>
      </c>
      <c r="AK178" s="163">
        <f t="shared" si="1051"/>
        <v>0</v>
      </c>
      <c r="AL178" s="163">
        <f t="shared" ref="AL178:BQ178" si="1052">AL141-AL137</f>
        <v>0</v>
      </c>
      <c r="AM178" s="163">
        <f t="shared" si="1052"/>
        <v>0</v>
      </c>
      <c r="AN178" s="163">
        <f t="shared" si="1052"/>
        <v>0</v>
      </c>
      <c r="AO178" s="163">
        <f t="shared" si="1052"/>
        <v>0</v>
      </c>
      <c r="AP178" s="163">
        <f t="shared" si="1052"/>
        <v>0</v>
      </c>
      <c r="AQ178" s="163">
        <f t="shared" si="1052"/>
        <v>0</v>
      </c>
      <c r="AR178" s="163">
        <f t="shared" si="1052"/>
        <v>0</v>
      </c>
      <c r="AS178" s="163">
        <f t="shared" si="1052"/>
        <v>0</v>
      </c>
      <c r="AT178" s="163">
        <f t="shared" si="1052"/>
        <v>0</v>
      </c>
      <c r="AU178" s="163">
        <f t="shared" si="1052"/>
        <v>0</v>
      </c>
      <c r="AV178" s="163">
        <f t="shared" si="1052"/>
        <v>0</v>
      </c>
      <c r="AW178" s="163">
        <f t="shared" si="1052"/>
        <v>0</v>
      </c>
      <c r="AX178" s="163">
        <f t="shared" si="1052"/>
        <v>0</v>
      </c>
      <c r="AY178" s="163">
        <f t="shared" si="1052"/>
        <v>0</v>
      </c>
      <c r="AZ178" s="163">
        <f t="shared" si="1052"/>
        <v>0</v>
      </c>
      <c r="BA178" s="163">
        <f t="shared" si="1052"/>
        <v>0</v>
      </c>
      <c r="BB178" s="163">
        <f t="shared" si="1052"/>
        <v>0</v>
      </c>
      <c r="BC178" s="163">
        <f t="shared" si="1052"/>
        <v>0</v>
      </c>
      <c r="BD178" s="163">
        <f t="shared" si="1052"/>
        <v>0</v>
      </c>
      <c r="BE178" s="163">
        <f t="shared" si="1052"/>
        <v>0</v>
      </c>
      <c r="BF178" s="163">
        <f t="shared" si="1052"/>
        <v>0</v>
      </c>
      <c r="BG178" s="163">
        <f t="shared" si="1052"/>
        <v>0</v>
      </c>
      <c r="BH178" s="163">
        <f t="shared" si="1052"/>
        <v>0</v>
      </c>
      <c r="BI178" s="163">
        <f t="shared" si="1052"/>
        <v>0</v>
      </c>
      <c r="BJ178" s="163">
        <f t="shared" si="1052"/>
        <v>0</v>
      </c>
      <c r="BK178" s="163">
        <f t="shared" si="1052"/>
        <v>0</v>
      </c>
      <c r="BL178" s="163">
        <f t="shared" si="1052"/>
        <v>0</v>
      </c>
      <c r="BM178" s="163">
        <f t="shared" si="1052"/>
        <v>0</v>
      </c>
      <c r="BN178" s="163">
        <f t="shared" si="1052"/>
        <v>0</v>
      </c>
      <c r="BO178" s="163">
        <f t="shared" si="1052"/>
        <v>0</v>
      </c>
      <c r="BP178" s="163">
        <f t="shared" si="1052"/>
        <v>0</v>
      </c>
      <c r="BQ178" s="163">
        <f t="shared" si="1052"/>
        <v>0</v>
      </c>
      <c r="BR178" s="163">
        <f t="shared" ref="BR178:CW178" si="1053">BR141-BR137</f>
        <v>0</v>
      </c>
      <c r="BS178" s="163">
        <f t="shared" si="1053"/>
        <v>0</v>
      </c>
      <c r="BT178" s="163">
        <f t="shared" si="1053"/>
        <v>0</v>
      </c>
      <c r="BU178" s="163">
        <f t="shared" si="1053"/>
        <v>0</v>
      </c>
      <c r="BV178" s="163">
        <f t="shared" si="1053"/>
        <v>0</v>
      </c>
      <c r="BW178" s="163">
        <f t="shared" si="1053"/>
        <v>0</v>
      </c>
      <c r="BX178" s="163">
        <f t="shared" si="1053"/>
        <v>0</v>
      </c>
      <c r="BY178" s="163">
        <f t="shared" si="1053"/>
        <v>0</v>
      </c>
      <c r="BZ178" s="163">
        <f t="shared" si="1053"/>
        <v>0</v>
      </c>
      <c r="CA178" s="163">
        <f t="shared" si="1053"/>
        <v>0</v>
      </c>
      <c r="CB178" s="163">
        <f t="shared" si="1053"/>
        <v>0</v>
      </c>
      <c r="CC178" s="163">
        <f t="shared" si="1053"/>
        <v>0</v>
      </c>
      <c r="CD178" s="163">
        <f t="shared" si="1053"/>
        <v>0</v>
      </c>
      <c r="CE178" s="163">
        <f t="shared" si="1053"/>
        <v>0</v>
      </c>
      <c r="CF178" s="163">
        <f t="shared" si="1053"/>
        <v>0</v>
      </c>
      <c r="CG178" s="163">
        <f t="shared" si="1053"/>
        <v>0</v>
      </c>
      <c r="CH178" s="163">
        <f t="shared" si="1053"/>
        <v>0</v>
      </c>
      <c r="CI178" s="163">
        <f t="shared" si="1053"/>
        <v>0</v>
      </c>
      <c r="CJ178" s="163">
        <f t="shared" si="1053"/>
        <v>0</v>
      </c>
      <c r="CK178" s="163">
        <f t="shared" si="1053"/>
        <v>0</v>
      </c>
      <c r="CL178" s="163">
        <f t="shared" si="1053"/>
        <v>0</v>
      </c>
      <c r="CM178" s="163">
        <f t="shared" si="1053"/>
        <v>0</v>
      </c>
      <c r="CN178" s="163">
        <f t="shared" si="1053"/>
        <v>0</v>
      </c>
      <c r="CO178" s="163">
        <f t="shared" si="1053"/>
        <v>0</v>
      </c>
      <c r="CP178" s="163">
        <f t="shared" si="1053"/>
        <v>0</v>
      </c>
      <c r="CQ178" s="163">
        <f t="shared" si="1053"/>
        <v>0</v>
      </c>
      <c r="CR178" s="163">
        <f t="shared" si="1053"/>
        <v>0</v>
      </c>
      <c r="CS178" s="163">
        <f t="shared" si="1053"/>
        <v>0</v>
      </c>
      <c r="CT178" s="163">
        <f t="shared" si="1053"/>
        <v>0</v>
      </c>
      <c r="CU178" s="163">
        <f t="shared" si="1053"/>
        <v>0</v>
      </c>
      <c r="CV178" s="163">
        <f t="shared" si="1053"/>
        <v>0</v>
      </c>
      <c r="CW178" s="163">
        <f t="shared" si="1053"/>
        <v>0</v>
      </c>
      <c r="CX178" s="163">
        <f t="shared" ref="CX178:EC178" si="1054">CX141-CX137</f>
        <v>0</v>
      </c>
      <c r="CY178" s="163">
        <f t="shared" si="1054"/>
        <v>0</v>
      </c>
      <c r="CZ178" s="163">
        <f t="shared" si="1054"/>
        <v>0</v>
      </c>
      <c r="DA178" s="163">
        <f t="shared" si="1054"/>
        <v>0</v>
      </c>
      <c r="DB178" s="163">
        <f t="shared" si="1054"/>
        <v>0</v>
      </c>
      <c r="DC178" s="163">
        <f t="shared" si="1054"/>
        <v>0</v>
      </c>
      <c r="DD178" s="163">
        <f t="shared" si="1054"/>
        <v>0</v>
      </c>
      <c r="DE178" s="163">
        <f t="shared" si="1054"/>
        <v>0</v>
      </c>
      <c r="DF178" s="163">
        <f t="shared" si="1054"/>
        <v>0</v>
      </c>
      <c r="DG178" s="163">
        <f t="shared" si="1054"/>
        <v>0</v>
      </c>
      <c r="DH178" s="163">
        <f t="shared" si="1054"/>
        <v>0</v>
      </c>
      <c r="DI178" s="163">
        <f t="shared" si="1054"/>
        <v>0</v>
      </c>
      <c r="DJ178" s="163">
        <f t="shared" si="1054"/>
        <v>0</v>
      </c>
      <c r="DK178" s="163">
        <f t="shared" si="1054"/>
        <v>0</v>
      </c>
      <c r="DL178" s="163">
        <f t="shared" si="1054"/>
        <v>0</v>
      </c>
      <c r="DM178" s="163">
        <f t="shared" si="1054"/>
        <v>0</v>
      </c>
      <c r="DN178" s="163">
        <f t="shared" si="1054"/>
        <v>0</v>
      </c>
      <c r="DO178" s="163">
        <f t="shared" si="1054"/>
        <v>0</v>
      </c>
      <c r="DP178" s="163">
        <f t="shared" si="1054"/>
        <v>0</v>
      </c>
      <c r="DQ178" s="163">
        <f t="shared" si="1054"/>
        <v>0</v>
      </c>
      <c r="DR178" s="163">
        <f t="shared" si="1054"/>
        <v>0</v>
      </c>
      <c r="DS178" s="163">
        <f t="shared" si="1054"/>
        <v>0</v>
      </c>
      <c r="DT178" s="163">
        <f t="shared" si="1054"/>
        <v>0</v>
      </c>
      <c r="DU178" s="163">
        <f t="shared" si="1054"/>
        <v>0</v>
      </c>
      <c r="DV178" s="163">
        <f t="shared" si="1054"/>
        <v>0</v>
      </c>
      <c r="DW178" s="163">
        <f t="shared" si="1054"/>
        <v>0</v>
      </c>
      <c r="DX178" s="163">
        <f t="shared" si="1054"/>
        <v>0</v>
      </c>
      <c r="DY178" s="163">
        <f t="shared" si="1054"/>
        <v>0</v>
      </c>
      <c r="DZ178" s="163">
        <f t="shared" si="1054"/>
        <v>0</v>
      </c>
      <c r="EA178" s="163">
        <f t="shared" si="1054"/>
        <v>0</v>
      </c>
      <c r="EB178" s="163">
        <f t="shared" si="1054"/>
        <v>0</v>
      </c>
      <c r="EC178" s="163">
        <f t="shared" si="1054"/>
        <v>0</v>
      </c>
      <c r="ED178" s="163">
        <f t="shared" ref="ED178:FF178" si="1055">ED141-ED137</f>
        <v>0</v>
      </c>
      <c r="EE178" s="163">
        <f t="shared" si="1055"/>
        <v>0</v>
      </c>
      <c r="EF178" s="163">
        <f t="shared" si="1055"/>
        <v>0</v>
      </c>
      <c r="EG178" s="163">
        <f t="shared" si="1055"/>
        <v>0</v>
      </c>
      <c r="EH178" s="163">
        <f t="shared" si="1055"/>
        <v>0</v>
      </c>
      <c r="EI178" s="163">
        <f t="shared" si="1055"/>
        <v>0</v>
      </c>
      <c r="EJ178" s="163">
        <f t="shared" si="1055"/>
        <v>0</v>
      </c>
      <c r="EK178" s="163">
        <f t="shared" si="1055"/>
        <v>0</v>
      </c>
      <c r="EL178" s="163">
        <f t="shared" si="1055"/>
        <v>0</v>
      </c>
      <c r="EM178" s="163">
        <f t="shared" si="1055"/>
        <v>0</v>
      </c>
      <c r="EN178" s="163">
        <f t="shared" si="1055"/>
        <v>0</v>
      </c>
      <c r="EO178" s="163">
        <f t="shared" si="1055"/>
        <v>0</v>
      </c>
      <c r="EP178" s="163">
        <f t="shared" si="1055"/>
        <v>0</v>
      </c>
      <c r="EQ178" s="163">
        <f t="shared" si="1055"/>
        <v>0</v>
      </c>
      <c r="ER178" s="163">
        <f t="shared" si="1055"/>
        <v>0</v>
      </c>
      <c r="ES178" s="163">
        <f t="shared" si="1055"/>
        <v>0</v>
      </c>
      <c r="ET178" s="163">
        <f t="shared" si="1055"/>
        <v>0</v>
      </c>
      <c r="EU178" s="163">
        <f t="shared" si="1055"/>
        <v>0</v>
      </c>
      <c r="EV178" s="163">
        <f t="shared" si="1055"/>
        <v>0</v>
      </c>
      <c r="EW178" s="163">
        <f t="shared" si="1055"/>
        <v>0</v>
      </c>
      <c r="EX178" s="163">
        <f t="shared" si="1055"/>
        <v>0</v>
      </c>
      <c r="EY178" s="163">
        <f t="shared" si="1055"/>
        <v>0</v>
      </c>
      <c r="EZ178" s="163">
        <f t="shared" si="1055"/>
        <v>0</v>
      </c>
      <c r="FA178" s="163">
        <f t="shared" si="1055"/>
        <v>0</v>
      </c>
      <c r="FB178" s="163">
        <f t="shared" si="1055"/>
        <v>0</v>
      </c>
      <c r="FC178" s="163">
        <f t="shared" si="1055"/>
        <v>0</v>
      </c>
      <c r="FD178" s="163">
        <f t="shared" si="1055"/>
        <v>0</v>
      </c>
      <c r="FE178" s="163">
        <f t="shared" si="1055"/>
        <v>0</v>
      </c>
      <c r="FF178" s="163">
        <f t="shared" si="1055"/>
        <v>0</v>
      </c>
      <c r="FG178" s="314"/>
      <c r="FH178" s="163">
        <f t="shared" ref="FH178:FU180" si="1056">SUMIF($F$57:$FF$57,FH$57,$F178:$FF178)</f>
        <v>25500000</v>
      </c>
      <c r="FI178" s="163">
        <f t="shared" si="1056"/>
        <v>0</v>
      </c>
      <c r="FJ178" s="163">
        <f t="shared" si="1056"/>
        <v>0</v>
      </c>
      <c r="FK178" s="163">
        <f t="shared" si="1056"/>
        <v>0</v>
      </c>
      <c r="FL178" s="163">
        <f t="shared" si="1056"/>
        <v>0</v>
      </c>
      <c r="FM178" s="163">
        <f t="shared" si="1056"/>
        <v>0</v>
      </c>
      <c r="FN178" s="163">
        <f t="shared" si="1056"/>
        <v>0</v>
      </c>
      <c r="FO178" s="163">
        <f t="shared" si="1056"/>
        <v>0</v>
      </c>
      <c r="FP178" s="163">
        <f t="shared" si="1056"/>
        <v>0</v>
      </c>
      <c r="FQ178" s="163">
        <f t="shared" si="1056"/>
        <v>0</v>
      </c>
      <c r="FR178" s="163">
        <f t="shared" si="1056"/>
        <v>0</v>
      </c>
      <c r="FS178" s="163">
        <f t="shared" si="1056"/>
        <v>0</v>
      </c>
      <c r="FT178" s="163">
        <f t="shared" si="1056"/>
        <v>0</v>
      </c>
      <c r="FU178" s="163">
        <f t="shared" si="1056"/>
        <v>0</v>
      </c>
      <c r="FV178" s="314"/>
    </row>
    <row r="179" spans="2:178" s="163" customFormat="1" x14ac:dyDescent="0.2">
      <c r="B179" s="262"/>
      <c r="C179" s="163" t="s">
        <v>125</v>
      </c>
      <c r="E179" s="163">
        <f t="shared" si="1050"/>
        <v>12149999.999999998</v>
      </c>
      <c r="F179" s="261">
        <f>IF($K$50=TRUE,0,D23-F28)</f>
        <v>12149999.999999998</v>
      </c>
      <c r="G179" s="163">
        <f>F181</f>
        <v>0</v>
      </c>
      <c r="H179" s="163">
        <f t="shared" ref="H179:BS179" si="1057">G181</f>
        <v>0</v>
      </c>
      <c r="I179" s="163">
        <f t="shared" si="1057"/>
        <v>0</v>
      </c>
      <c r="J179" s="163">
        <f t="shared" si="1057"/>
        <v>0</v>
      </c>
      <c r="K179" s="163">
        <f t="shared" si="1057"/>
        <v>0</v>
      </c>
      <c r="L179" s="163">
        <f t="shared" si="1057"/>
        <v>0</v>
      </c>
      <c r="M179" s="163">
        <f t="shared" si="1057"/>
        <v>0</v>
      </c>
      <c r="N179" s="163">
        <f t="shared" si="1057"/>
        <v>0</v>
      </c>
      <c r="O179" s="163">
        <f t="shared" si="1057"/>
        <v>0</v>
      </c>
      <c r="P179" s="163">
        <f t="shared" si="1057"/>
        <v>0</v>
      </c>
      <c r="Q179" s="163">
        <f t="shared" si="1057"/>
        <v>0</v>
      </c>
      <c r="R179" s="163">
        <f t="shared" si="1057"/>
        <v>0</v>
      </c>
      <c r="S179" s="163">
        <f t="shared" si="1057"/>
        <v>0</v>
      </c>
      <c r="T179" s="163">
        <f t="shared" si="1057"/>
        <v>0</v>
      </c>
      <c r="U179" s="163">
        <f t="shared" si="1057"/>
        <v>0</v>
      </c>
      <c r="V179" s="163">
        <f t="shared" si="1057"/>
        <v>0</v>
      </c>
      <c r="W179" s="163">
        <f t="shared" si="1057"/>
        <v>0</v>
      </c>
      <c r="X179" s="163">
        <f t="shared" si="1057"/>
        <v>0</v>
      </c>
      <c r="Y179" s="163">
        <f t="shared" si="1057"/>
        <v>0</v>
      </c>
      <c r="Z179" s="163">
        <f t="shared" si="1057"/>
        <v>0</v>
      </c>
      <c r="AA179" s="163">
        <f t="shared" si="1057"/>
        <v>0</v>
      </c>
      <c r="AB179" s="163">
        <f t="shared" si="1057"/>
        <v>0</v>
      </c>
      <c r="AC179" s="163">
        <f t="shared" si="1057"/>
        <v>0</v>
      </c>
      <c r="AD179" s="163">
        <f t="shared" si="1057"/>
        <v>0</v>
      </c>
      <c r="AE179" s="163">
        <f t="shared" si="1057"/>
        <v>0</v>
      </c>
      <c r="AF179" s="163">
        <f t="shared" si="1057"/>
        <v>0</v>
      </c>
      <c r="AG179" s="163">
        <f t="shared" si="1057"/>
        <v>0</v>
      </c>
      <c r="AH179" s="163">
        <f t="shared" si="1057"/>
        <v>0</v>
      </c>
      <c r="AI179" s="163">
        <f t="shared" si="1057"/>
        <v>0</v>
      </c>
      <c r="AJ179" s="163">
        <f t="shared" si="1057"/>
        <v>0</v>
      </c>
      <c r="AK179" s="163">
        <f t="shared" si="1057"/>
        <v>0</v>
      </c>
      <c r="AL179" s="163">
        <f t="shared" si="1057"/>
        <v>0</v>
      </c>
      <c r="AM179" s="163">
        <f t="shared" si="1057"/>
        <v>0</v>
      </c>
      <c r="AN179" s="163">
        <f t="shared" si="1057"/>
        <v>0</v>
      </c>
      <c r="AO179" s="163">
        <f t="shared" si="1057"/>
        <v>0</v>
      </c>
      <c r="AP179" s="163">
        <f t="shared" si="1057"/>
        <v>0</v>
      </c>
      <c r="AQ179" s="163">
        <f t="shared" si="1057"/>
        <v>0</v>
      </c>
      <c r="AR179" s="163">
        <f t="shared" si="1057"/>
        <v>0</v>
      </c>
      <c r="AS179" s="163">
        <f t="shared" si="1057"/>
        <v>0</v>
      </c>
      <c r="AT179" s="163">
        <f t="shared" si="1057"/>
        <v>0</v>
      </c>
      <c r="AU179" s="163">
        <f t="shared" si="1057"/>
        <v>0</v>
      </c>
      <c r="AV179" s="163">
        <f t="shared" si="1057"/>
        <v>0</v>
      </c>
      <c r="AW179" s="163">
        <f t="shared" si="1057"/>
        <v>0</v>
      </c>
      <c r="AX179" s="163">
        <f t="shared" si="1057"/>
        <v>0</v>
      </c>
      <c r="AY179" s="163">
        <f t="shared" si="1057"/>
        <v>0</v>
      </c>
      <c r="AZ179" s="163">
        <f t="shared" si="1057"/>
        <v>0</v>
      </c>
      <c r="BA179" s="163">
        <f t="shared" si="1057"/>
        <v>0</v>
      </c>
      <c r="BB179" s="163">
        <f t="shared" si="1057"/>
        <v>0</v>
      </c>
      <c r="BC179" s="163">
        <f t="shared" si="1057"/>
        <v>0</v>
      </c>
      <c r="BD179" s="163">
        <f t="shared" si="1057"/>
        <v>0</v>
      </c>
      <c r="BE179" s="163">
        <f t="shared" si="1057"/>
        <v>0</v>
      </c>
      <c r="BF179" s="163">
        <f t="shared" si="1057"/>
        <v>0</v>
      </c>
      <c r="BG179" s="163">
        <f t="shared" si="1057"/>
        <v>0</v>
      </c>
      <c r="BH179" s="163">
        <f t="shared" si="1057"/>
        <v>0</v>
      </c>
      <c r="BI179" s="163">
        <f t="shared" si="1057"/>
        <v>0</v>
      </c>
      <c r="BJ179" s="163">
        <f t="shared" si="1057"/>
        <v>0</v>
      </c>
      <c r="BK179" s="163">
        <f t="shared" si="1057"/>
        <v>0</v>
      </c>
      <c r="BL179" s="163">
        <f t="shared" si="1057"/>
        <v>0</v>
      </c>
      <c r="BM179" s="163">
        <f t="shared" si="1057"/>
        <v>0</v>
      </c>
      <c r="BN179" s="163">
        <f t="shared" si="1057"/>
        <v>0</v>
      </c>
      <c r="BO179" s="163">
        <f t="shared" si="1057"/>
        <v>0</v>
      </c>
      <c r="BP179" s="163">
        <f t="shared" si="1057"/>
        <v>0</v>
      </c>
      <c r="BQ179" s="163">
        <f t="shared" si="1057"/>
        <v>0</v>
      </c>
      <c r="BR179" s="163">
        <f t="shared" si="1057"/>
        <v>0</v>
      </c>
      <c r="BS179" s="163">
        <f t="shared" si="1057"/>
        <v>0</v>
      </c>
      <c r="BT179" s="163">
        <f t="shared" ref="BT179:EE179" si="1058">BS181</f>
        <v>0</v>
      </c>
      <c r="BU179" s="163">
        <f t="shared" si="1058"/>
        <v>0</v>
      </c>
      <c r="BV179" s="163">
        <f t="shared" si="1058"/>
        <v>0</v>
      </c>
      <c r="BW179" s="163">
        <f t="shared" si="1058"/>
        <v>0</v>
      </c>
      <c r="BX179" s="163">
        <f t="shared" si="1058"/>
        <v>0</v>
      </c>
      <c r="BY179" s="163">
        <f t="shared" si="1058"/>
        <v>0</v>
      </c>
      <c r="BZ179" s="163">
        <f t="shared" si="1058"/>
        <v>0</v>
      </c>
      <c r="CA179" s="163">
        <f t="shared" si="1058"/>
        <v>0</v>
      </c>
      <c r="CB179" s="163">
        <f t="shared" si="1058"/>
        <v>0</v>
      </c>
      <c r="CC179" s="163">
        <f t="shared" si="1058"/>
        <v>0</v>
      </c>
      <c r="CD179" s="163">
        <f t="shared" si="1058"/>
        <v>0</v>
      </c>
      <c r="CE179" s="163">
        <f t="shared" si="1058"/>
        <v>0</v>
      </c>
      <c r="CF179" s="163">
        <f t="shared" si="1058"/>
        <v>0</v>
      </c>
      <c r="CG179" s="163">
        <f t="shared" si="1058"/>
        <v>0</v>
      </c>
      <c r="CH179" s="163">
        <f t="shared" si="1058"/>
        <v>0</v>
      </c>
      <c r="CI179" s="163">
        <f t="shared" si="1058"/>
        <v>0</v>
      </c>
      <c r="CJ179" s="163">
        <f t="shared" si="1058"/>
        <v>0</v>
      </c>
      <c r="CK179" s="163">
        <f t="shared" si="1058"/>
        <v>0</v>
      </c>
      <c r="CL179" s="163">
        <f t="shared" si="1058"/>
        <v>0</v>
      </c>
      <c r="CM179" s="163">
        <f t="shared" si="1058"/>
        <v>0</v>
      </c>
      <c r="CN179" s="163">
        <f t="shared" si="1058"/>
        <v>0</v>
      </c>
      <c r="CO179" s="163">
        <f t="shared" si="1058"/>
        <v>0</v>
      </c>
      <c r="CP179" s="163">
        <f t="shared" si="1058"/>
        <v>0</v>
      </c>
      <c r="CQ179" s="163">
        <f t="shared" si="1058"/>
        <v>0</v>
      </c>
      <c r="CR179" s="163">
        <f t="shared" si="1058"/>
        <v>0</v>
      </c>
      <c r="CS179" s="163">
        <f t="shared" si="1058"/>
        <v>0</v>
      </c>
      <c r="CT179" s="163">
        <f t="shared" si="1058"/>
        <v>0</v>
      </c>
      <c r="CU179" s="163">
        <f t="shared" si="1058"/>
        <v>0</v>
      </c>
      <c r="CV179" s="163">
        <f t="shared" si="1058"/>
        <v>0</v>
      </c>
      <c r="CW179" s="163">
        <f t="shared" si="1058"/>
        <v>0</v>
      </c>
      <c r="CX179" s="163">
        <f t="shared" si="1058"/>
        <v>0</v>
      </c>
      <c r="CY179" s="163">
        <f t="shared" si="1058"/>
        <v>0</v>
      </c>
      <c r="CZ179" s="163">
        <f t="shared" si="1058"/>
        <v>0</v>
      </c>
      <c r="DA179" s="163">
        <f t="shared" si="1058"/>
        <v>0</v>
      </c>
      <c r="DB179" s="163">
        <f t="shared" si="1058"/>
        <v>0</v>
      </c>
      <c r="DC179" s="163">
        <f t="shared" si="1058"/>
        <v>0</v>
      </c>
      <c r="DD179" s="163">
        <f t="shared" si="1058"/>
        <v>0</v>
      </c>
      <c r="DE179" s="163">
        <f t="shared" si="1058"/>
        <v>0</v>
      </c>
      <c r="DF179" s="163">
        <f t="shared" si="1058"/>
        <v>0</v>
      </c>
      <c r="DG179" s="163">
        <f t="shared" si="1058"/>
        <v>0</v>
      </c>
      <c r="DH179" s="163">
        <f t="shared" si="1058"/>
        <v>0</v>
      </c>
      <c r="DI179" s="163">
        <f t="shared" si="1058"/>
        <v>0</v>
      </c>
      <c r="DJ179" s="163">
        <f t="shared" si="1058"/>
        <v>0</v>
      </c>
      <c r="DK179" s="163">
        <f t="shared" si="1058"/>
        <v>0</v>
      </c>
      <c r="DL179" s="163">
        <f t="shared" si="1058"/>
        <v>0</v>
      </c>
      <c r="DM179" s="163">
        <f t="shared" si="1058"/>
        <v>0</v>
      </c>
      <c r="DN179" s="163">
        <f t="shared" si="1058"/>
        <v>0</v>
      </c>
      <c r="DO179" s="163">
        <f t="shared" si="1058"/>
        <v>0</v>
      </c>
      <c r="DP179" s="163">
        <f t="shared" si="1058"/>
        <v>0</v>
      </c>
      <c r="DQ179" s="163">
        <f t="shared" si="1058"/>
        <v>0</v>
      </c>
      <c r="DR179" s="163">
        <f t="shared" si="1058"/>
        <v>0</v>
      </c>
      <c r="DS179" s="163">
        <f t="shared" si="1058"/>
        <v>0</v>
      </c>
      <c r="DT179" s="163">
        <f t="shared" si="1058"/>
        <v>0</v>
      </c>
      <c r="DU179" s="163">
        <f t="shared" si="1058"/>
        <v>0</v>
      </c>
      <c r="DV179" s="163">
        <f t="shared" si="1058"/>
        <v>0</v>
      </c>
      <c r="DW179" s="163">
        <f t="shared" si="1058"/>
        <v>0</v>
      </c>
      <c r="DX179" s="163">
        <f t="shared" si="1058"/>
        <v>0</v>
      </c>
      <c r="DY179" s="163">
        <f t="shared" si="1058"/>
        <v>0</v>
      </c>
      <c r="DZ179" s="163">
        <f t="shared" si="1058"/>
        <v>0</v>
      </c>
      <c r="EA179" s="163">
        <f t="shared" si="1058"/>
        <v>0</v>
      </c>
      <c r="EB179" s="163">
        <f t="shared" si="1058"/>
        <v>0</v>
      </c>
      <c r="EC179" s="163">
        <f t="shared" si="1058"/>
        <v>0</v>
      </c>
      <c r="ED179" s="163">
        <f t="shared" si="1058"/>
        <v>0</v>
      </c>
      <c r="EE179" s="163">
        <f t="shared" si="1058"/>
        <v>0</v>
      </c>
      <c r="EF179" s="163">
        <f t="shared" ref="EF179:FC179" si="1059">EE181</f>
        <v>0</v>
      </c>
      <c r="EG179" s="163">
        <f t="shared" si="1059"/>
        <v>0</v>
      </c>
      <c r="EH179" s="163">
        <f t="shared" si="1059"/>
        <v>0</v>
      </c>
      <c r="EI179" s="163">
        <f t="shared" si="1059"/>
        <v>0</v>
      </c>
      <c r="EJ179" s="163">
        <f t="shared" si="1059"/>
        <v>0</v>
      </c>
      <c r="EK179" s="163">
        <f t="shared" si="1059"/>
        <v>0</v>
      </c>
      <c r="EL179" s="163">
        <f t="shared" si="1059"/>
        <v>0</v>
      </c>
      <c r="EM179" s="163">
        <f t="shared" si="1059"/>
        <v>0</v>
      </c>
      <c r="EN179" s="163">
        <f t="shared" si="1059"/>
        <v>0</v>
      </c>
      <c r="EO179" s="163">
        <f t="shared" si="1059"/>
        <v>0</v>
      </c>
      <c r="EP179" s="163">
        <f t="shared" si="1059"/>
        <v>0</v>
      </c>
      <c r="EQ179" s="163">
        <f t="shared" si="1059"/>
        <v>0</v>
      </c>
      <c r="ER179" s="163">
        <f t="shared" si="1059"/>
        <v>0</v>
      </c>
      <c r="ES179" s="163">
        <f t="shared" si="1059"/>
        <v>0</v>
      </c>
      <c r="ET179" s="163">
        <f t="shared" si="1059"/>
        <v>0</v>
      </c>
      <c r="EU179" s="163">
        <f t="shared" si="1059"/>
        <v>0</v>
      </c>
      <c r="EV179" s="163">
        <f t="shared" si="1059"/>
        <v>0</v>
      </c>
      <c r="EW179" s="163">
        <f t="shared" si="1059"/>
        <v>0</v>
      </c>
      <c r="EX179" s="163">
        <f t="shared" si="1059"/>
        <v>0</v>
      </c>
      <c r="EY179" s="163">
        <f t="shared" si="1059"/>
        <v>0</v>
      </c>
      <c r="EZ179" s="163">
        <f t="shared" si="1059"/>
        <v>0</v>
      </c>
      <c r="FA179" s="163">
        <f t="shared" si="1059"/>
        <v>0</v>
      </c>
      <c r="FB179" s="163">
        <f t="shared" si="1059"/>
        <v>0</v>
      </c>
      <c r="FC179" s="163">
        <f t="shared" si="1059"/>
        <v>0</v>
      </c>
      <c r="FD179" s="163">
        <f t="shared" ref="FD179" si="1060">FC181</f>
        <v>0</v>
      </c>
      <c r="FE179" s="163">
        <f t="shared" ref="FE179:FF179" si="1061">FD181</f>
        <v>0</v>
      </c>
      <c r="FF179" s="163">
        <f t="shared" si="1061"/>
        <v>0</v>
      </c>
      <c r="FG179" s="314"/>
      <c r="FH179" s="163">
        <f t="shared" si="1056"/>
        <v>12149999.999999998</v>
      </c>
      <c r="FI179" s="163">
        <f t="shared" si="1056"/>
        <v>0</v>
      </c>
      <c r="FJ179" s="163">
        <f t="shared" si="1056"/>
        <v>0</v>
      </c>
      <c r="FK179" s="163">
        <f t="shared" si="1056"/>
        <v>0</v>
      </c>
      <c r="FL179" s="163">
        <f t="shared" si="1056"/>
        <v>0</v>
      </c>
      <c r="FM179" s="163">
        <f t="shared" si="1056"/>
        <v>0</v>
      </c>
      <c r="FN179" s="163">
        <f t="shared" si="1056"/>
        <v>0</v>
      </c>
      <c r="FO179" s="163">
        <f t="shared" si="1056"/>
        <v>0</v>
      </c>
      <c r="FP179" s="163">
        <f t="shared" si="1056"/>
        <v>0</v>
      </c>
      <c r="FQ179" s="163">
        <f t="shared" si="1056"/>
        <v>0</v>
      </c>
      <c r="FR179" s="163">
        <f t="shared" si="1056"/>
        <v>0</v>
      </c>
      <c r="FS179" s="163">
        <f t="shared" si="1056"/>
        <v>0</v>
      </c>
      <c r="FT179" s="163">
        <f t="shared" si="1056"/>
        <v>0</v>
      </c>
      <c r="FU179" s="163">
        <f t="shared" si="1056"/>
        <v>0</v>
      </c>
      <c r="FV179" s="314"/>
    </row>
    <row r="180" spans="2:178" s="163" customFormat="1" x14ac:dyDescent="0.2">
      <c r="B180" s="262"/>
      <c r="C180" s="163" t="s">
        <v>123</v>
      </c>
      <c r="E180" s="163">
        <f t="shared" si="1050"/>
        <v>-12149999.999999998</v>
      </c>
      <c r="F180" s="261">
        <f>IF(F179&gt;=F178,-F178,-F179)</f>
        <v>-12149999.999999998</v>
      </c>
      <c r="G180" s="163">
        <f t="shared" ref="G180:BR180" si="1062">IF(G179&gt;=G178,-G178,-G179)</f>
        <v>0</v>
      </c>
      <c r="H180" s="163">
        <f t="shared" si="1062"/>
        <v>0</v>
      </c>
      <c r="I180" s="163">
        <f t="shared" si="1062"/>
        <v>0</v>
      </c>
      <c r="J180" s="163">
        <f t="shared" si="1062"/>
        <v>0</v>
      </c>
      <c r="K180" s="163">
        <f t="shared" si="1062"/>
        <v>0</v>
      </c>
      <c r="L180" s="163">
        <f t="shared" si="1062"/>
        <v>0</v>
      </c>
      <c r="M180" s="163">
        <f t="shared" si="1062"/>
        <v>0</v>
      </c>
      <c r="N180" s="163">
        <f t="shared" si="1062"/>
        <v>0</v>
      </c>
      <c r="O180" s="163">
        <f t="shared" si="1062"/>
        <v>0</v>
      </c>
      <c r="P180" s="163">
        <f t="shared" si="1062"/>
        <v>0</v>
      </c>
      <c r="Q180" s="163">
        <f t="shared" si="1062"/>
        <v>0</v>
      </c>
      <c r="R180" s="163">
        <f t="shared" si="1062"/>
        <v>0</v>
      </c>
      <c r="S180" s="163">
        <f t="shared" si="1062"/>
        <v>0</v>
      </c>
      <c r="T180" s="163">
        <f t="shared" si="1062"/>
        <v>0</v>
      </c>
      <c r="U180" s="163">
        <f t="shared" si="1062"/>
        <v>0</v>
      </c>
      <c r="V180" s="163">
        <f t="shared" si="1062"/>
        <v>0</v>
      </c>
      <c r="W180" s="163">
        <f t="shared" si="1062"/>
        <v>0</v>
      </c>
      <c r="X180" s="163">
        <f t="shared" si="1062"/>
        <v>0</v>
      </c>
      <c r="Y180" s="163">
        <f t="shared" si="1062"/>
        <v>0</v>
      </c>
      <c r="Z180" s="163">
        <f t="shared" si="1062"/>
        <v>0</v>
      </c>
      <c r="AA180" s="163">
        <f t="shared" si="1062"/>
        <v>0</v>
      </c>
      <c r="AB180" s="163">
        <f t="shared" si="1062"/>
        <v>0</v>
      </c>
      <c r="AC180" s="163">
        <f t="shared" si="1062"/>
        <v>0</v>
      </c>
      <c r="AD180" s="163">
        <f t="shared" si="1062"/>
        <v>0</v>
      </c>
      <c r="AE180" s="163">
        <f t="shared" si="1062"/>
        <v>0</v>
      </c>
      <c r="AF180" s="163">
        <f t="shared" si="1062"/>
        <v>0</v>
      </c>
      <c r="AG180" s="163">
        <f t="shared" si="1062"/>
        <v>0</v>
      </c>
      <c r="AH180" s="163">
        <f t="shared" si="1062"/>
        <v>0</v>
      </c>
      <c r="AI180" s="163">
        <f t="shared" si="1062"/>
        <v>0</v>
      </c>
      <c r="AJ180" s="163">
        <f t="shared" si="1062"/>
        <v>0</v>
      </c>
      <c r="AK180" s="163">
        <f t="shared" si="1062"/>
        <v>0</v>
      </c>
      <c r="AL180" s="163">
        <f t="shared" si="1062"/>
        <v>0</v>
      </c>
      <c r="AM180" s="163">
        <f t="shared" si="1062"/>
        <v>0</v>
      </c>
      <c r="AN180" s="163">
        <f t="shared" si="1062"/>
        <v>0</v>
      </c>
      <c r="AO180" s="163">
        <f t="shared" si="1062"/>
        <v>0</v>
      </c>
      <c r="AP180" s="163">
        <f t="shared" si="1062"/>
        <v>0</v>
      </c>
      <c r="AQ180" s="163">
        <f t="shared" si="1062"/>
        <v>0</v>
      </c>
      <c r="AR180" s="163">
        <f t="shared" si="1062"/>
        <v>0</v>
      </c>
      <c r="AS180" s="163">
        <f t="shared" si="1062"/>
        <v>0</v>
      </c>
      <c r="AT180" s="163">
        <f t="shared" si="1062"/>
        <v>0</v>
      </c>
      <c r="AU180" s="163">
        <f t="shared" si="1062"/>
        <v>0</v>
      </c>
      <c r="AV180" s="163">
        <f t="shared" si="1062"/>
        <v>0</v>
      </c>
      <c r="AW180" s="163">
        <f t="shared" si="1062"/>
        <v>0</v>
      </c>
      <c r="AX180" s="163">
        <f t="shared" si="1062"/>
        <v>0</v>
      </c>
      <c r="AY180" s="163">
        <f t="shared" si="1062"/>
        <v>0</v>
      </c>
      <c r="AZ180" s="163">
        <f t="shared" si="1062"/>
        <v>0</v>
      </c>
      <c r="BA180" s="163">
        <f t="shared" si="1062"/>
        <v>0</v>
      </c>
      <c r="BB180" s="163">
        <f t="shared" si="1062"/>
        <v>0</v>
      </c>
      <c r="BC180" s="163">
        <f t="shared" si="1062"/>
        <v>0</v>
      </c>
      <c r="BD180" s="163">
        <f t="shared" si="1062"/>
        <v>0</v>
      </c>
      <c r="BE180" s="163">
        <f t="shared" si="1062"/>
        <v>0</v>
      </c>
      <c r="BF180" s="163">
        <f t="shared" si="1062"/>
        <v>0</v>
      </c>
      <c r="BG180" s="163">
        <f t="shared" si="1062"/>
        <v>0</v>
      </c>
      <c r="BH180" s="163">
        <f t="shared" si="1062"/>
        <v>0</v>
      </c>
      <c r="BI180" s="163">
        <f t="shared" si="1062"/>
        <v>0</v>
      </c>
      <c r="BJ180" s="163">
        <f t="shared" si="1062"/>
        <v>0</v>
      </c>
      <c r="BK180" s="163">
        <f t="shared" si="1062"/>
        <v>0</v>
      </c>
      <c r="BL180" s="163">
        <f t="shared" si="1062"/>
        <v>0</v>
      </c>
      <c r="BM180" s="163">
        <f t="shared" si="1062"/>
        <v>0</v>
      </c>
      <c r="BN180" s="163">
        <f t="shared" si="1062"/>
        <v>0</v>
      </c>
      <c r="BO180" s="163">
        <f t="shared" si="1062"/>
        <v>0</v>
      </c>
      <c r="BP180" s="163">
        <f t="shared" si="1062"/>
        <v>0</v>
      </c>
      <c r="BQ180" s="163">
        <f t="shared" si="1062"/>
        <v>0</v>
      </c>
      <c r="BR180" s="163">
        <f t="shared" si="1062"/>
        <v>0</v>
      </c>
      <c r="BS180" s="163">
        <f t="shared" ref="BS180:ED180" si="1063">IF(BS179&gt;=BS178,-BS178,-BS179)</f>
        <v>0</v>
      </c>
      <c r="BT180" s="163">
        <f t="shared" si="1063"/>
        <v>0</v>
      </c>
      <c r="BU180" s="163">
        <f t="shared" si="1063"/>
        <v>0</v>
      </c>
      <c r="BV180" s="163">
        <f t="shared" si="1063"/>
        <v>0</v>
      </c>
      <c r="BW180" s="163">
        <f t="shared" si="1063"/>
        <v>0</v>
      </c>
      <c r="BX180" s="163">
        <f t="shared" si="1063"/>
        <v>0</v>
      </c>
      <c r="BY180" s="163">
        <f t="shared" si="1063"/>
        <v>0</v>
      </c>
      <c r="BZ180" s="163">
        <f t="shared" si="1063"/>
        <v>0</v>
      </c>
      <c r="CA180" s="163">
        <f t="shared" si="1063"/>
        <v>0</v>
      </c>
      <c r="CB180" s="163">
        <f t="shared" si="1063"/>
        <v>0</v>
      </c>
      <c r="CC180" s="163">
        <f t="shared" si="1063"/>
        <v>0</v>
      </c>
      <c r="CD180" s="163">
        <f t="shared" si="1063"/>
        <v>0</v>
      </c>
      <c r="CE180" s="163">
        <f t="shared" si="1063"/>
        <v>0</v>
      </c>
      <c r="CF180" s="163">
        <f t="shared" si="1063"/>
        <v>0</v>
      </c>
      <c r="CG180" s="163">
        <f t="shared" si="1063"/>
        <v>0</v>
      </c>
      <c r="CH180" s="163">
        <f t="shared" si="1063"/>
        <v>0</v>
      </c>
      <c r="CI180" s="163">
        <f t="shared" si="1063"/>
        <v>0</v>
      </c>
      <c r="CJ180" s="163">
        <f t="shared" si="1063"/>
        <v>0</v>
      </c>
      <c r="CK180" s="163">
        <f t="shared" si="1063"/>
        <v>0</v>
      </c>
      <c r="CL180" s="163">
        <f t="shared" si="1063"/>
        <v>0</v>
      </c>
      <c r="CM180" s="163">
        <f t="shared" si="1063"/>
        <v>0</v>
      </c>
      <c r="CN180" s="163">
        <f t="shared" si="1063"/>
        <v>0</v>
      </c>
      <c r="CO180" s="163">
        <f t="shared" si="1063"/>
        <v>0</v>
      </c>
      <c r="CP180" s="163">
        <f t="shared" si="1063"/>
        <v>0</v>
      </c>
      <c r="CQ180" s="163">
        <f t="shared" si="1063"/>
        <v>0</v>
      </c>
      <c r="CR180" s="163">
        <f t="shared" si="1063"/>
        <v>0</v>
      </c>
      <c r="CS180" s="163">
        <f t="shared" si="1063"/>
        <v>0</v>
      </c>
      <c r="CT180" s="163">
        <f t="shared" si="1063"/>
        <v>0</v>
      </c>
      <c r="CU180" s="163">
        <f t="shared" si="1063"/>
        <v>0</v>
      </c>
      <c r="CV180" s="163">
        <f t="shared" si="1063"/>
        <v>0</v>
      </c>
      <c r="CW180" s="163">
        <f t="shared" si="1063"/>
        <v>0</v>
      </c>
      <c r="CX180" s="163">
        <f t="shared" si="1063"/>
        <v>0</v>
      </c>
      <c r="CY180" s="163">
        <f t="shared" si="1063"/>
        <v>0</v>
      </c>
      <c r="CZ180" s="163">
        <f t="shared" si="1063"/>
        <v>0</v>
      </c>
      <c r="DA180" s="163">
        <f t="shared" si="1063"/>
        <v>0</v>
      </c>
      <c r="DB180" s="163">
        <f t="shared" si="1063"/>
        <v>0</v>
      </c>
      <c r="DC180" s="163">
        <f t="shared" si="1063"/>
        <v>0</v>
      </c>
      <c r="DD180" s="163">
        <f t="shared" si="1063"/>
        <v>0</v>
      </c>
      <c r="DE180" s="163">
        <f t="shared" si="1063"/>
        <v>0</v>
      </c>
      <c r="DF180" s="163">
        <f t="shared" si="1063"/>
        <v>0</v>
      </c>
      <c r="DG180" s="163">
        <f t="shared" si="1063"/>
        <v>0</v>
      </c>
      <c r="DH180" s="163">
        <f t="shared" si="1063"/>
        <v>0</v>
      </c>
      <c r="DI180" s="163">
        <f t="shared" si="1063"/>
        <v>0</v>
      </c>
      <c r="DJ180" s="163">
        <f t="shared" si="1063"/>
        <v>0</v>
      </c>
      <c r="DK180" s="163">
        <f t="shared" si="1063"/>
        <v>0</v>
      </c>
      <c r="DL180" s="163">
        <f t="shared" si="1063"/>
        <v>0</v>
      </c>
      <c r="DM180" s="163">
        <f t="shared" si="1063"/>
        <v>0</v>
      </c>
      <c r="DN180" s="163">
        <f t="shared" si="1063"/>
        <v>0</v>
      </c>
      <c r="DO180" s="163">
        <f t="shared" si="1063"/>
        <v>0</v>
      </c>
      <c r="DP180" s="163">
        <f t="shared" si="1063"/>
        <v>0</v>
      </c>
      <c r="DQ180" s="163">
        <f t="shared" si="1063"/>
        <v>0</v>
      </c>
      <c r="DR180" s="163">
        <f t="shared" si="1063"/>
        <v>0</v>
      </c>
      <c r="DS180" s="163">
        <f t="shared" si="1063"/>
        <v>0</v>
      </c>
      <c r="DT180" s="163">
        <f t="shared" si="1063"/>
        <v>0</v>
      </c>
      <c r="DU180" s="163">
        <f t="shared" si="1063"/>
        <v>0</v>
      </c>
      <c r="DV180" s="163">
        <f t="shared" si="1063"/>
        <v>0</v>
      </c>
      <c r="DW180" s="163">
        <f t="shared" si="1063"/>
        <v>0</v>
      </c>
      <c r="DX180" s="163">
        <f t="shared" si="1063"/>
        <v>0</v>
      </c>
      <c r="DY180" s="163">
        <f t="shared" si="1063"/>
        <v>0</v>
      </c>
      <c r="DZ180" s="163">
        <f t="shared" si="1063"/>
        <v>0</v>
      </c>
      <c r="EA180" s="163">
        <f t="shared" si="1063"/>
        <v>0</v>
      </c>
      <c r="EB180" s="163">
        <f t="shared" si="1063"/>
        <v>0</v>
      </c>
      <c r="EC180" s="163">
        <f t="shared" si="1063"/>
        <v>0</v>
      </c>
      <c r="ED180" s="163">
        <f t="shared" si="1063"/>
        <v>0</v>
      </c>
      <c r="EE180" s="163">
        <f t="shared" ref="EE180:FC180" si="1064">IF(EE179&gt;=EE178,-EE178,-EE179)</f>
        <v>0</v>
      </c>
      <c r="EF180" s="163">
        <f t="shared" si="1064"/>
        <v>0</v>
      </c>
      <c r="EG180" s="163">
        <f t="shared" si="1064"/>
        <v>0</v>
      </c>
      <c r="EH180" s="163">
        <f t="shared" si="1064"/>
        <v>0</v>
      </c>
      <c r="EI180" s="163">
        <f t="shared" si="1064"/>
        <v>0</v>
      </c>
      <c r="EJ180" s="163">
        <f t="shared" si="1064"/>
        <v>0</v>
      </c>
      <c r="EK180" s="163">
        <f t="shared" si="1064"/>
        <v>0</v>
      </c>
      <c r="EL180" s="163">
        <f t="shared" si="1064"/>
        <v>0</v>
      </c>
      <c r="EM180" s="163">
        <f t="shared" si="1064"/>
        <v>0</v>
      </c>
      <c r="EN180" s="163">
        <f t="shared" si="1064"/>
        <v>0</v>
      </c>
      <c r="EO180" s="163">
        <f t="shared" si="1064"/>
        <v>0</v>
      </c>
      <c r="EP180" s="163">
        <f t="shared" si="1064"/>
        <v>0</v>
      </c>
      <c r="EQ180" s="163">
        <f t="shared" si="1064"/>
        <v>0</v>
      </c>
      <c r="ER180" s="163">
        <f t="shared" si="1064"/>
        <v>0</v>
      </c>
      <c r="ES180" s="163">
        <f t="shared" si="1064"/>
        <v>0</v>
      </c>
      <c r="ET180" s="163">
        <f t="shared" si="1064"/>
        <v>0</v>
      </c>
      <c r="EU180" s="163">
        <f t="shared" si="1064"/>
        <v>0</v>
      </c>
      <c r="EV180" s="163">
        <f t="shared" si="1064"/>
        <v>0</v>
      </c>
      <c r="EW180" s="163">
        <f t="shared" si="1064"/>
        <v>0</v>
      </c>
      <c r="EX180" s="163">
        <f t="shared" si="1064"/>
        <v>0</v>
      </c>
      <c r="EY180" s="163">
        <f t="shared" si="1064"/>
        <v>0</v>
      </c>
      <c r="EZ180" s="163">
        <f t="shared" si="1064"/>
        <v>0</v>
      </c>
      <c r="FA180" s="163">
        <f t="shared" si="1064"/>
        <v>0</v>
      </c>
      <c r="FB180" s="163">
        <f t="shared" si="1064"/>
        <v>0</v>
      </c>
      <c r="FC180" s="163">
        <f t="shared" si="1064"/>
        <v>0</v>
      </c>
      <c r="FD180" s="163">
        <f t="shared" ref="FD180:FE180" si="1065">IF(FD179&gt;=FD178,-FD178,-FD179)</f>
        <v>0</v>
      </c>
      <c r="FE180" s="163">
        <f t="shared" si="1065"/>
        <v>0</v>
      </c>
      <c r="FF180" s="163">
        <f t="shared" ref="FF180" si="1066">IF(FF179&gt;=FF178,-FF178,-FF179)</f>
        <v>0</v>
      </c>
      <c r="FG180" s="314"/>
      <c r="FH180" s="163">
        <f t="shared" si="1056"/>
        <v>-12149999.999999998</v>
      </c>
      <c r="FI180" s="163">
        <f t="shared" si="1056"/>
        <v>0</v>
      </c>
      <c r="FJ180" s="163">
        <f t="shared" si="1056"/>
        <v>0</v>
      </c>
      <c r="FK180" s="163">
        <f t="shared" si="1056"/>
        <v>0</v>
      </c>
      <c r="FL180" s="163">
        <f t="shared" si="1056"/>
        <v>0</v>
      </c>
      <c r="FM180" s="163">
        <f t="shared" si="1056"/>
        <v>0</v>
      </c>
      <c r="FN180" s="163">
        <f t="shared" si="1056"/>
        <v>0</v>
      </c>
      <c r="FO180" s="163">
        <f t="shared" si="1056"/>
        <v>0</v>
      </c>
      <c r="FP180" s="163">
        <f t="shared" si="1056"/>
        <v>0</v>
      </c>
      <c r="FQ180" s="163">
        <f t="shared" si="1056"/>
        <v>0</v>
      </c>
      <c r="FR180" s="163">
        <f t="shared" si="1056"/>
        <v>0</v>
      </c>
      <c r="FS180" s="163">
        <f t="shared" si="1056"/>
        <v>0</v>
      </c>
      <c r="FT180" s="163">
        <f t="shared" si="1056"/>
        <v>0</v>
      </c>
      <c r="FU180" s="163">
        <f t="shared" si="1056"/>
        <v>0</v>
      </c>
      <c r="FV180" s="314"/>
    </row>
    <row r="181" spans="2:178" s="77" customFormat="1" x14ac:dyDescent="0.2">
      <c r="B181" s="208"/>
      <c r="C181" s="80" t="s">
        <v>126</v>
      </c>
      <c r="D181" s="80"/>
      <c r="E181" s="80"/>
      <c r="F181" s="279">
        <f>SUM(F179:F180)</f>
        <v>0</v>
      </c>
      <c r="G181" s="80">
        <f t="shared" ref="G181:BR181" si="1067">SUM(G179:G180)</f>
        <v>0</v>
      </c>
      <c r="H181" s="80">
        <f t="shared" si="1067"/>
        <v>0</v>
      </c>
      <c r="I181" s="80">
        <f t="shared" si="1067"/>
        <v>0</v>
      </c>
      <c r="J181" s="80">
        <f t="shared" si="1067"/>
        <v>0</v>
      </c>
      <c r="K181" s="80">
        <f t="shared" si="1067"/>
        <v>0</v>
      </c>
      <c r="L181" s="80">
        <f t="shared" si="1067"/>
        <v>0</v>
      </c>
      <c r="M181" s="80">
        <f t="shared" si="1067"/>
        <v>0</v>
      </c>
      <c r="N181" s="80">
        <f t="shared" si="1067"/>
        <v>0</v>
      </c>
      <c r="O181" s="80">
        <f t="shared" si="1067"/>
        <v>0</v>
      </c>
      <c r="P181" s="80">
        <f t="shared" si="1067"/>
        <v>0</v>
      </c>
      <c r="Q181" s="80">
        <f t="shared" si="1067"/>
        <v>0</v>
      </c>
      <c r="R181" s="80">
        <f t="shared" si="1067"/>
        <v>0</v>
      </c>
      <c r="S181" s="80">
        <f t="shared" si="1067"/>
        <v>0</v>
      </c>
      <c r="T181" s="80">
        <f t="shared" si="1067"/>
        <v>0</v>
      </c>
      <c r="U181" s="80">
        <f t="shared" si="1067"/>
        <v>0</v>
      </c>
      <c r="V181" s="80">
        <f t="shared" si="1067"/>
        <v>0</v>
      </c>
      <c r="W181" s="80">
        <f t="shared" si="1067"/>
        <v>0</v>
      </c>
      <c r="X181" s="80">
        <f t="shared" si="1067"/>
        <v>0</v>
      </c>
      <c r="Y181" s="80">
        <f t="shared" si="1067"/>
        <v>0</v>
      </c>
      <c r="Z181" s="80">
        <f t="shared" si="1067"/>
        <v>0</v>
      </c>
      <c r="AA181" s="80">
        <f t="shared" si="1067"/>
        <v>0</v>
      </c>
      <c r="AB181" s="80">
        <f t="shared" si="1067"/>
        <v>0</v>
      </c>
      <c r="AC181" s="80">
        <f t="shared" si="1067"/>
        <v>0</v>
      </c>
      <c r="AD181" s="80">
        <f t="shared" si="1067"/>
        <v>0</v>
      </c>
      <c r="AE181" s="80">
        <f t="shared" si="1067"/>
        <v>0</v>
      </c>
      <c r="AF181" s="80">
        <f t="shared" si="1067"/>
        <v>0</v>
      </c>
      <c r="AG181" s="80">
        <f t="shared" si="1067"/>
        <v>0</v>
      </c>
      <c r="AH181" s="80">
        <f t="shared" si="1067"/>
        <v>0</v>
      </c>
      <c r="AI181" s="80">
        <f t="shared" si="1067"/>
        <v>0</v>
      </c>
      <c r="AJ181" s="80">
        <f t="shared" si="1067"/>
        <v>0</v>
      </c>
      <c r="AK181" s="80">
        <f t="shared" si="1067"/>
        <v>0</v>
      </c>
      <c r="AL181" s="80">
        <f t="shared" si="1067"/>
        <v>0</v>
      </c>
      <c r="AM181" s="80">
        <f t="shared" si="1067"/>
        <v>0</v>
      </c>
      <c r="AN181" s="80">
        <f t="shared" si="1067"/>
        <v>0</v>
      </c>
      <c r="AO181" s="80">
        <f t="shared" si="1067"/>
        <v>0</v>
      </c>
      <c r="AP181" s="80">
        <f t="shared" si="1067"/>
        <v>0</v>
      </c>
      <c r="AQ181" s="80">
        <f t="shared" si="1067"/>
        <v>0</v>
      </c>
      <c r="AR181" s="80">
        <f t="shared" si="1067"/>
        <v>0</v>
      </c>
      <c r="AS181" s="80">
        <f t="shared" si="1067"/>
        <v>0</v>
      </c>
      <c r="AT181" s="80">
        <f t="shared" si="1067"/>
        <v>0</v>
      </c>
      <c r="AU181" s="80">
        <f t="shared" si="1067"/>
        <v>0</v>
      </c>
      <c r="AV181" s="80">
        <f t="shared" si="1067"/>
        <v>0</v>
      </c>
      <c r="AW181" s="80">
        <f t="shared" si="1067"/>
        <v>0</v>
      </c>
      <c r="AX181" s="80">
        <f t="shared" si="1067"/>
        <v>0</v>
      </c>
      <c r="AY181" s="80">
        <f t="shared" si="1067"/>
        <v>0</v>
      </c>
      <c r="AZ181" s="80">
        <f t="shared" si="1067"/>
        <v>0</v>
      </c>
      <c r="BA181" s="80">
        <f t="shared" si="1067"/>
        <v>0</v>
      </c>
      <c r="BB181" s="80">
        <f t="shared" si="1067"/>
        <v>0</v>
      </c>
      <c r="BC181" s="80">
        <f t="shared" si="1067"/>
        <v>0</v>
      </c>
      <c r="BD181" s="80">
        <f t="shared" si="1067"/>
        <v>0</v>
      </c>
      <c r="BE181" s="80">
        <f t="shared" si="1067"/>
        <v>0</v>
      </c>
      <c r="BF181" s="80">
        <f t="shared" si="1067"/>
        <v>0</v>
      </c>
      <c r="BG181" s="80">
        <f t="shared" si="1067"/>
        <v>0</v>
      </c>
      <c r="BH181" s="80">
        <f t="shared" si="1067"/>
        <v>0</v>
      </c>
      <c r="BI181" s="80">
        <f t="shared" si="1067"/>
        <v>0</v>
      </c>
      <c r="BJ181" s="80">
        <f t="shared" si="1067"/>
        <v>0</v>
      </c>
      <c r="BK181" s="80">
        <f t="shared" si="1067"/>
        <v>0</v>
      </c>
      <c r="BL181" s="80">
        <f t="shared" si="1067"/>
        <v>0</v>
      </c>
      <c r="BM181" s="80">
        <f t="shared" si="1067"/>
        <v>0</v>
      </c>
      <c r="BN181" s="80">
        <f t="shared" si="1067"/>
        <v>0</v>
      </c>
      <c r="BO181" s="80">
        <f t="shared" si="1067"/>
        <v>0</v>
      </c>
      <c r="BP181" s="80">
        <f t="shared" si="1067"/>
        <v>0</v>
      </c>
      <c r="BQ181" s="80">
        <f t="shared" si="1067"/>
        <v>0</v>
      </c>
      <c r="BR181" s="80">
        <f t="shared" si="1067"/>
        <v>0</v>
      </c>
      <c r="BS181" s="80">
        <f t="shared" ref="BS181:ED181" si="1068">SUM(BS179:BS180)</f>
        <v>0</v>
      </c>
      <c r="BT181" s="80">
        <f t="shared" si="1068"/>
        <v>0</v>
      </c>
      <c r="BU181" s="80">
        <f t="shared" si="1068"/>
        <v>0</v>
      </c>
      <c r="BV181" s="80">
        <f t="shared" si="1068"/>
        <v>0</v>
      </c>
      <c r="BW181" s="80">
        <f t="shared" si="1068"/>
        <v>0</v>
      </c>
      <c r="BX181" s="80">
        <f t="shared" si="1068"/>
        <v>0</v>
      </c>
      <c r="BY181" s="80">
        <f t="shared" si="1068"/>
        <v>0</v>
      </c>
      <c r="BZ181" s="80">
        <f t="shared" si="1068"/>
        <v>0</v>
      </c>
      <c r="CA181" s="80">
        <f t="shared" si="1068"/>
        <v>0</v>
      </c>
      <c r="CB181" s="80">
        <f t="shared" si="1068"/>
        <v>0</v>
      </c>
      <c r="CC181" s="80">
        <f t="shared" si="1068"/>
        <v>0</v>
      </c>
      <c r="CD181" s="80">
        <f t="shared" si="1068"/>
        <v>0</v>
      </c>
      <c r="CE181" s="80">
        <f t="shared" si="1068"/>
        <v>0</v>
      </c>
      <c r="CF181" s="80">
        <f t="shared" si="1068"/>
        <v>0</v>
      </c>
      <c r="CG181" s="80">
        <f t="shared" si="1068"/>
        <v>0</v>
      </c>
      <c r="CH181" s="80">
        <f t="shared" si="1068"/>
        <v>0</v>
      </c>
      <c r="CI181" s="80">
        <f t="shared" si="1068"/>
        <v>0</v>
      </c>
      <c r="CJ181" s="80">
        <f t="shared" si="1068"/>
        <v>0</v>
      </c>
      <c r="CK181" s="80">
        <f t="shared" si="1068"/>
        <v>0</v>
      </c>
      <c r="CL181" s="80">
        <f t="shared" si="1068"/>
        <v>0</v>
      </c>
      <c r="CM181" s="80">
        <f t="shared" si="1068"/>
        <v>0</v>
      </c>
      <c r="CN181" s="80">
        <f t="shared" si="1068"/>
        <v>0</v>
      </c>
      <c r="CO181" s="80">
        <f t="shared" si="1068"/>
        <v>0</v>
      </c>
      <c r="CP181" s="80">
        <f t="shared" si="1068"/>
        <v>0</v>
      </c>
      <c r="CQ181" s="80">
        <f t="shared" si="1068"/>
        <v>0</v>
      </c>
      <c r="CR181" s="80">
        <f t="shared" si="1068"/>
        <v>0</v>
      </c>
      <c r="CS181" s="80">
        <f t="shared" si="1068"/>
        <v>0</v>
      </c>
      <c r="CT181" s="80">
        <f t="shared" si="1068"/>
        <v>0</v>
      </c>
      <c r="CU181" s="80">
        <f t="shared" si="1068"/>
        <v>0</v>
      </c>
      <c r="CV181" s="80">
        <f t="shared" si="1068"/>
        <v>0</v>
      </c>
      <c r="CW181" s="80">
        <f t="shared" si="1068"/>
        <v>0</v>
      </c>
      <c r="CX181" s="80">
        <f t="shared" si="1068"/>
        <v>0</v>
      </c>
      <c r="CY181" s="80">
        <f t="shared" si="1068"/>
        <v>0</v>
      </c>
      <c r="CZ181" s="80">
        <f t="shared" si="1068"/>
        <v>0</v>
      </c>
      <c r="DA181" s="80">
        <f t="shared" si="1068"/>
        <v>0</v>
      </c>
      <c r="DB181" s="80">
        <f t="shared" si="1068"/>
        <v>0</v>
      </c>
      <c r="DC181" s="80">
        <f t="shared" si="1068"/>
        <v>0</v>
      </c>
      <c r="DD181" s="80">
        <f t="shared" si="1068"/>
        <v>0</v>
      </c>
      <c r="DE181" s="80">
        <f t="shared" si="1068"/>
        <v>0</v>
      </c>
      <c r="DF181" s="80">
        <f t="shared" si="1068"/>
        <v>0</v>
      </c>
      <c r="DG181" s="80">
        <f t="shared" si="1068"/>
        <v>0</v>
      </c>
      <c r="DH181" s="80">
        <f t="shared" si="1068"/>
        <v>0</v>
      </c>
      <c r="DI181" s="80">
        <f t="shared" si="1068"/>
        <v>0</v>
      </c>
      <c r="DJ181" s="80">
        <f t="shared" si="1068"/>
        <v>0</v>
      </c>
      <c r="DK181" s="80">
        <f t="shared" si="1068"/>
        <v>0</v>
      </c>
      <c r="DL181" s="80">
        <f t="shared" si="1068"/>
        <v>0</v>
      </c>
      <c r="DM181" s="80">
        <f t="shared" si="1068"/>
        <v>0</v>
      </c>
      <c r="DN181" s="80">
        <f t="shared" si="1068"/>
        <v>0</v>
      </c>
      <c r="DO181" s="80">
        <f t="shared" si="1068"/>
        <v>0</v>
      </c>
      <c r="DP181" s="80">
        <f t="shared" si="1068"/>
        <v>0</v>
      </c>
      <c r="DQ181" s="80">
        <f t="shared" si="1068"/>
        <v>0</v>
      </c>
      <c r="DR181" s="80">
        <f t="shared" si="1068"/>
        <v>0</v>
      </c>
      <c r="DS181" s="80">
        <f t="shared" si="1068"/>
        <v>0</v>
      </c>
      <c r="DT181" s="80">
        <f t="shared" si="1068"/>
        <v>0</v>
      </c>
      <c r="DU181" s="80">
        <f t="shared" si="1068"/>
        <v>0</v>
      </c>
      <c r="DV181" s="80">
        <f t="shared" si="1068"/>
        <v>0</v>
      </c>
      <c r="DW181" s="80">
        <f t="shared" si="1068"/>
        <v>0</v>
      </c>
      <c r="DX181" s="80">
        <f t="shared" si="1068"/>
        <v>0</v>
      </c>
      <c r="DY181" s="80">
        <f t="shared" si="1068"/>
        <v>0</v>
      </c>
      <c r="DZ181" s="80">
        <f t="shared" si="1068"/>
        <v>0</v>
      </c>
      <c r="EA181" s="80">
        <f t="shared" si="1068"/>
        <v>0</v>
      </c>
      <c r="EB181" s="80">
        <f t="shared" si="1068"/>
        <v>0</v>
      </c>
      <c r="EC181" s="80">
        <f t="shared" si="1068"/>
        <v>0</v>
      </c>
      <c r="ED181" s="80">
        <f t="shared" si="1068"/>
        <v>0</v>
      </c>
      <c r="EE181" s="80">
        <f t="shared" ref="EE181:FC181" si="1069">SUM(EE179:EE180)</f>
        <v>0</v>
      </c>
      <c r="EF181" s="80">
        <f t="shared" si="1069"/>
        <v>0</v>
      </c>
      <c r="EG181" s="80">
        <f t="shared" si="1069"/>
        <v>0</v>
      </c>
      <c r="EH181" s="80">
        <f t="shared" si="1069"/>
        <v>0</v>
      </c>
      <c r="EI181" s="80">
        <f t="shared" si="1069"/>
        <v>0</v>
      </c>
      <c r="EJ181" s="80">
        <f t="shared" si="1069"/>
        <v>0</v>
      </c>
      <c r="EK181" s="80">
        <f t="shared" si="1069"/>
        <v>0</v>
      </c>
      <c r="EL181" s="80">
        <f t="shared" si="1069"/>
        <v>0</v>
      </c>
      <c r="EM181" s="80">
        <f t="shared" si="1069"/>
        <v>0</v>
      </c>
      <c r="EN181" s="80">
        <f t="shared" si="1069"/>
        <v>0</v>
      </c>
      <c r="EO181" s="80">
        <f t="shared" si="1069"/>
        <v>0</v>
      </c>
      <c r="EP181" s="80">
        <f t="shared" si="1069"/>
        <v>0</v>
      </c>
      <c r="EQ181" s="80">
        <f t="shared" si="1069"/>
        <v>0</v>
      </c>
      <c r="ER181" s="80">
        <f t="shared" si="1069"/>
        <v>0</v>
      </c>
      <c r="ES181" s="80">
        <f t="shared" si="1069"/>
        <v>0</v>
      </c>
      <c r="ET181" s="80">
        <f t="shared" si="1069"/>
        <v>0</v>
      </c>
      <c r="EU181" s="80">
        <f t="shared" si="1069"/>
        <v>0</v>
      </c>
      <c r="EV181" s="80">
        <f t="shared" si="1069"/>
        <v>0</v>
      </c>
      <c r="EW181" s="80">
        <f t="shared" si="1069"/>
        <v>0</v>
      </c>
      <c r="EX181" s="80">
        <f t="shared" si="1069"/>
        <v>0</v>
      </c>
      <c r="EY181" s="80">
        <f t="shared" si="1069"/>
        <v>0</v>
      </c>
      <c r="EZ181" s="80">
        <f t="shared" si="1069"/>
        <v>0</v>
      </c>
      <c r="FA181" s="80">
        <f t="shared" si="1069"/>
        <v>0</v>
      </c>
      <c r="FB181" s="80">
        <f t="shared" si="1069"/>
        <v>0</v>
      </c>
      <c r="FC181" s="80">
        <f t="shared" si="1069"/>
        <v>0</v>
      </c>
      <c r="FD181" s="80">
        <f t="shared" ref="FD181:FE181" si="1070">SUM(FD179:FD180)</f>
        <v>0</v>
      </c>
      <c r="FE181" s="80">
        <f t="shared" si="1070"/>
        <v>0</v>
      </c>
      <c r="FF181" s="80">
        <f t="shared" ref="FF181" si="1071">SUM(FF179:FF180)</f>
        <v>0</v>
      </c>
      <c r="FG181" s="288"/>
      <c r="FH181" s="80">
        <f t="shared" ref="FH181:FO181" si="1072">SUM(FH179:FH180)</f>
        <v>0</v>
      </c>
      <c r="FI181" s="80"/>
      <c r="FJ181" s="80"/>
      <c r="FK181" s="80"/>
      <c r="FL181" s="80"/>
      <c r="FM181" s="80">
        <f t="shared" si="1072"/>
        <v>0</v>
      </c>
      <c r="FN181" s="80">
        <f t="shared" si="1072"/>
        <v>0</v>
      </c>
      <c r="FO181" s="80">
        <f t="shared" si="1072"/>
        <v>0</v>
      </c>
      <c r="FP181" s="80">
        <f t="shared" ref="FP181" si="1073">SUM(FP179:FP180)</f>
        <v>0</v>
      </c>
      <c r="FQ181" s="80"/>
      <c r="FR181" s="80"/>
      <c r="FS181" s="80"/>
      <c r="FT181" s="80"/>
      <c r="FU181" s="80"/>
      <c r="FV181" s="288"/>
    </row>
    <row r="182" spans="2:178" x14ac:dyDescent="0.2">
      <c r="B182" s="47"/>
      <c r="F182" s="255"/>
    </row>
    <row r="183" spans="2:178" x14ac:dyDescent="0.2">
      <c r="B183" s="47"/>
      <c r="C183" s="47" t="s">
        <v>188</v>
      </c>
      <c r="F183" s="255"/>
    </row>
    <row r="184" spans="2:178" x14ac:dyDescent="0.2">
      <c r="B184" s="47"/>
      <c r="C184" s="39" t="s">
        <v>128</v>
      </c>
      <c r="F184" s="255"/>
      <c r="G184" s="163">
        <f>F190</f>
        <v>13350000.000000002</v>
      </c>
      <c r="H184" s="163">
        <f>G190</f>
        <v>13350000.000000002</v>
      </c>
      <c r="I184" s="163">
        <f t="shared" ref="I184:BS184" si="1074">H190</f>
        <v>13350000.000000002</v>
      </c>
      <c r="J184" s="163">
        <f>I190</f>
        <v>13350000.000000002</v>
      </c>
      <c r="K184" s="163">
        <f t="shared" si="1074"/>
        <v>13350000.000000002</v>
      </c>
      <c r="L184" s="163">
        <f t="shared" si="1074"/>
        <v>13350000.000000002</v>
      </c>
      <c r="M184" s="163">
        <f t="shared" si="1074"/>
        <v>13350000.000000002</v>
      </c>
      <c r="N184" s="163">
        <f t="shared" si="1074"/>
        <v>13350000.000000002</v>
      </c>
      <c r="O184" s="163">
        <f t="shared" si="1074"/>
        <v>13350000.000000002</v>
      </c>
      <c r="P184" s="163">
        <f t="shared" si="1074"/>
        <v>13350000.000000002</v>
      </c>
      <c r="Q184" s="163">
        <f t="shared" si="1074"/>
        <v>13350000.000000002</v>
      </c>
      <c r="R184" s="163">
        <f t="shared" si="1074"/>
        <v>13350000.000000002</v>
      </c>
      <c r="S184" s="163">
        <f t="shared" si="1074"/>
        <v>13350000.000000002</v>
      </c>
      <c r="T184" s="163">
        <f t="shared" si="1074"/>
        <v>13350000.000000002</v>
      </c>
      <c r="U184" s="163">
        <f t="shared" si="1074"/>
        <v>13350000.000000002</v>
      </c>
      <c r="V184" s="163">
        <f>U190</f>
        <v>13350000.000000002</v>
      </c>
      <c r="W184" s="163">
        <f t="shared" si="1074"/>
        <v>13350000.000000002</v>
      </c>
      <c r="X184" s="163">
        <f t="shared" si="1074"/>
        <v>13350000.000000002</v>
      </c>
      <c r="Y184" s="163">
        <f t="shared" si="1074"/>
        <v>13350000.000000002</v>
      </c>
      <c r="Z184" s="163">
        <f t="shared" si="1074"/>
        <v>13350000.000000002</v>
      </c>
      <c r="AA184" s="163">
        <f t="shared" si="1074"/>
        <v>13350000.000000002</v>
      </c>
      <c r="AB184" s="163">
        <f t="shared" si="1074"/>
        <v>13350000.000000002</v>
      </c>
      <c r="AC184" s="163">
        <f t="shared" si="1074"/>
        <v>13350000.000000002</v>
      </c>
      <c r="AD184" s="163">
        <f t="shared" si="1074"/>
        <v>13350000.000000002</v>
      </c>
      <c r="AE184" s="163">
        <f t="shared" si="1074"/>
        <v>13350000.000000002</v>
      </c>
      <c r="AF184" s="163">
        <f t="shared" si="1074"/>
        <v>13329077.579465894</v>
      </c>
      <c r="AG184" s="163">
        <f t="shared" si="1074"/>
        <v>13308033.11147867</v>
      </c>
      <c r="AH184" s="163">
        <f t="shared" si="1074"/>
        <v>13286865.884094853</v>
      </c>
      <c r="AI184" s="163">
        <f t="shared" si="1074"/>
        <v>13265575.181217965</v>
      </c>
      <c r="AJ184" s="163">
        <f t="shared" si="1074"/>
        <v>13244160.282574294</v>
      </c>
      <c r="AK184" s="163">
        <f t="shared" si="1074"/>
        <v>13222620.463688536</v>
      </c>
      <c r="AL184" s="163">
        <f t="shared" si="1074"/>
        <v>13200954.995859277</v>
      </c>
      <c r="AM184" s="163">
        <f t="shared" si="1074"/>
        <v>13179163.146134347</v>
      </c>
      <c r="AN184" s="163">
        <f t="shared" si="1074"/>
        <v>13157244.177286021</v>
      </c>
      <c r="AO184" s="163">
        <f t="shared" si="1074"/>
        <v>13135197.347786082</v>
      </c>
      <c r="AP184" s="163">
        <f t="shared" si="1074"/>
        <v>13113021.911780726</v>
      </c>
      <c r="AQ184" s="163">
        <f t="shared" si="1074"/>
        <v>13090717.119065339</v>
      </c>
      <c r="AR184" s="163">
        <f t="shared" si="1074"/>
        <v>0</v>
      </c>
      <c r="AS184" s="163">
        <f t="shared" si="1074"/>
        <v>0</v>
      </c>
      <c r="AT184" s="163">
        <f t="shared" si="1074"/>
        <v>0</v>
      </c>
      <c r="AU184" s="163">
        <f t="shared" si="1074"/>
        <v>0</v>
      </c>
      <c r="AV184" s="163">
        <f t="shared" si="1074"/>
        <v>0</v>
      </c>
      <c r="AW184" s="163">
        <f t="shared" si="1074"/>
        <v>0</v>
      </c>
      <c r="AX184" s="163">
        <f t="shared" si="1074"/>
        <v>0</v>
      </c>
      <c r="AY184" s="163">
        <f t="shared" si="1074"/>
        <v>0</v>
      </c>
      <c r="AZ184" s="163">
        <f t="shared" si="1074"/>
        <v>0</v>
      </c>
      <c r="BA184" s="163">
        <f t="shared" si="1074"/>
        <v>0</v>
      </c>
      <c r="BB184" s="163">
        <f t="shared" si="1074"/>
        <v>0</v>
      </c>
      <c r="BC184" s="163">
        <f t="shared" si="1074"/>
        <v>0</v>
      </c>
      <c r="BD184" s="163">
        <f t="shared" si="1074"/>
        <v>0</v>
      </c>
      <c r="BE184" s="163">
        <f t="shared" si="1074"/>
        <v>0</v>
      </c>
      <c r="BF184" s="163">
        <f t="shared" si="1074"/>
        <v>0</v>
      </c>
      <c r="BG184" s="163">
        <f t="shared" si="1074"/>
        <v>0</v>
      </c>
      <c r="BH184" s="163">
        <f t="shared" si="1074"/>
        <v>0</v>
      </c>
      <c r="BI184" s="163">
        <f t="shared" si="1074"/>
        <v>0</v>
      </c>
      <c r="BJ184" s="163">
        <f t="shared" si="1074"/>
        <v>0</v>
      </c>
      <c r="BK184" s="163">
        <f t="shared" si="1074"/>
        <v>0</v>
      </c>
      <c r="BL184" s="163">
        <f t="shared" si="1074"/>
        <v>0</v>
      </c>
      <c r="BM184" s="163">
        <f t="shared" si="1074"/>
        <v>0</v>
      </c>
      <c r="BN184" s="163">
        <f t="shared" si="1074"/>
        <v>0</v>
      </c>
      <c r="BO184" s="163">
        <f t="shared" si="1074"/>
        <v>0</v>
      </c>
      <c r="BP184" s="163">
        <f t="shared" si="1074"/>
        <v>0</v>
      </c>
      <c r="BQ184" s="163">
        <f t="shared" si="1074"/>
        <v>0</v>
      </c>
      <c r="BR184" s="163">
        <f t="shared" si="1074"/>
        <v>0</v>
      </c>
      <c r="BS184" s="163">
        <f t="shared" si="1074"/>
        <v>0</v>
      </c>
      <c r="BT184" s="163">
        <f t="shared" ref="BT184:EE184" si="1075">BS190</f>
        <v>0</v>
      </c>
      <c r="BU184" s="163">
        <f t="shared" si="1075"/>
        <v>0</v>
      </c>
      <c r="BV184" s="163">
        <f t="shared" si="1075"/>
        <v>0</v>
      </c>
      <c r="BW184" s="163">
        <f t="shared" si="1075"/>
        <v>0</v>
      </c>
      <c r="BX184" s="163">
        <f t="shared" si="1075"/>
        <v>0</v>
      </c>
      <c r="BY184" s="163">
        <f t="shared" si="1075"/>
        <v>0</v>
      </c>
      <c r="BZ184" s="163">
        <f t="shared" si="1075"/>
        <v>0</v>
      </c>
      <c r="CA184" s="163">
        <f t="shared" si="1075"/>
        <v>0</v>
      </c>
      <c r="CB184" s="163">
        <f t="shared" si="1075"/>
        <v>0</v>
      </c>
      <c r="CC184" s="163">
        <f t="shared" si="1075"/>
        <v>0</v>
      </c>
      <c r="CD184" s="163">
        <f t="shared" si="1075"/>
        <v>0</v>
      </c>
      <c r="CE184" s="163">
        <f t="shared" si="1075"/>
        <v>0</v>
      </c>
      <c r="CF184" s="163">
        <f t="shared" si="1075"/>
        <v>0</v>
      </c>
      <c r="CG184" s="163">
        <f t="shared" si="1075"/>
        <v>0</v>
      </c>
      <c r="CH184" s="163">
        <f t="shared" si="1075"/>
        <v>0</v>
      </c>
      <c r="CI184" s="163">
        <f t="shared" si="1075"/>
        <v>0</v>
      </c>
      <c r="CJ184" s="163">
        <f t="shared" si="1075"/>
        <v>0</v>
      </c>
      <c r="CK184" s="163">
        <f t="shared" si="1075"/>
        <v>0</v>
      </c>
      <c r="CL184" s="163">
        <f t="shared" si="1075"/>
        <v>0</v>
      </c>
      <c r="CM184" s="163">
        <f t="shared" si="1075"/>
        <v>0</v>
      </c>
      <c r="CN184" s="163">
        <f t="shared" si="1075"/>
        <v>0</v>
      </c>
      <c r="CO184" s="163">
        <f t="shared" si="1075"/>
        <v>0</v>
      </c>
      <c r="CP184" s="163">
        <f t="shared" si="1075"/>
        <v>0</v>
      </c>
      <c r="CQ184" s="163">
        <f t="shared" si="1075"/>
        <v>0</v>
      </c>
      <c r="CR184" s="163">
        <f t="shared" si="1075"/>
        <v>0</v>
      </c>
      <c r="CS184" s="163">
        <f t="shared" si="1075"/>
        <v>0</v>
      </c>
      <c r="CT184" s="163">
        <f t="shared" si="1075"/>
        <v>0</v>
      </c>
      <c r="CU184" s="163">
        <f t="shared" si="1075"/>
        <v>0</v>
      </c>
      <c r="CV184" s="163">
        <f t="shared" si="1075"/>
        <v>0</v>
      </c>
      <c r="CW184" s="163">
        <f t="shared" si="1075"/>
        <v>0</v>
      </c>
      <c r="CX184" s="163">
        <f t="shared" si="1075"/>
        <v>0</v>
      </c>
      <c r="CY184" s="163">
        <f t="shared" si="1075"/>
        <v>0</v>
      </c>
      <c r="CZ184" s="163">
        <f t="shared" si="1075"/>
        <v>0</v>
      </c>
      <c r="DA184" s="163">
        <f t="shared" si="1075"/>
        <v>0</v>
      </c>
      <c r="DB184" s="163">
        <f t="shared" si="1075"/>
        <v>0</v>
      </c>
      <c r="DC184" s="163">
        <f t="shared" si="1075"/>
        <v>0</v>
      </c>
      <c r="DD184" s="163">
        <f t="shared" si="1075"/>
        <v>0</v>
      </c>
      <c r="DE184" s="163">
        <f t="shared" si="1075"/>
        <v>0</v>
      </c>
      <c r="DF184" s="163">
        <f t="shared" si="1075"/>
        <v>0</v>
      </c>
      <c r="DG184" s="163">
        <f t="shared" si="1075"/>
        <v>0</v>
      </c>
      <c r="DH184" s="163">
        <f t="shared" si="1075"/>
        <v>0</v>
      </c>
      <c r="DI184" s="163">
        <f t="shared" si="1075"/>
        <v>0</v>
      </c>
      <c r="DJ184" s="163">
        <f t="shared" si="1075"/>
        <v>0</v>
      </c>
      <c r="DK184" s="163">
        <f t="shared" si="1075"/>
        <v>0</v>
      </c>
      <c r="DL184" s="163">
        <f t="shared" si="1075"/>
        <v>0</v>
      </c>
      <c r="DM184" s="163">
        <f t="shared" si="1075"/>
        <v>0</v>
      </c>
      <c r="DN184" s="163">
        <f t="shared" si="1075"/>
        <v>0</v>
      </c>
      <c r="DO184" s="163">
        <f t="shared" si="1075"/>
        <v>0</v>
      </c>
      <c r="DP184" s="163">
        <f t="shared" si="1075"/>
        <v>0</v>
      </c>
      <c r="DQ184" s="163">
        <f t="shared" si="1075"/>
        <v>0</v>
      </c>
      <c r="DR184" s="163">
        <f t="shared" si="1075"/>
        <v>0</v>
      </c>
      <c r="DS184" s="163">
        <f t="shared" si="1075"/>
        <v>0</v>
      </c>
      <c r="DT184" s="163">
        <f t="shared" si="1075"/>
        <v>0</v>
      </c>
      <c r="DU184" s="163">
        <f t="shared" si="1075"/>
        <v>0</v>
      </c>
      <c r="DV184" s="163">
        <f t="shared" si="1075"/>
        <v>0</v>
      </c>
      <c r="DW184" s="163">
        <f t="shared" si="1075"/>
        <v>0</v>
      </c>
      <c r="DX184" s="163">
        <f t="shared" si="1075"/>
        <v>0</v>
      </c>
      <c r="DY184" s="163">
        <f t="shared" si="1075"/>
        <v>0</v>
      </c>
      <c r="DZ184" s="163">
        <f t="shared" si="1075"/>
        <v>0</v>
      </c>
      <c r="EA184" s="163">
        <f t="shared" si="1075"/>
        <v>0</v>
      </c>
      <c r="EB184" s="163">
        <f t="shared" si="1075"/>
        <v>0</v>
      </c>
      <c r="EC184" s="163">
        <f t="shared" si="1075"/>
        <v>0</v>
      </c>
      <c r="ED184" s="163">
        <f t="shared" si="1075"/>
        <v>0</v>
      </c>
      <c r="EE184" s="163">
        <f t="shared" si="1075"/>
        <v>0</v>
      </c>
      <c r="EF184" s="163">
        <f t="shared" ref="EF184:FC184" si="1076">EE190</f>
        <v>0</v>
      </c>
      <c r="EG184" s="163">
        <f t="shared" si="1076"/>
        <v>0</v>
      </c>
      <c r="EH184" s="163">
        <f t="shared" si="1076"/>
        <v>0</v>
      </c>
      <c r="EI184" s="163">
        <f t="shared" si="1076"/>
        <v>0</v>
      </c>
      <c r="EJ184" s="163">
        <f t="shared" si="1076"/>
        <v>0</v>
      </c>
      <c r="EK184" s="163">
        <f t="shared" si="1076"/>
        <v>0</v>
      </c>
      <c r="EL184" s="163">
        <f t="shared" si="1076"/>
        <v>0</v>
      </c>
      <c r="EM184" s="163">
        <f t="shared" si="1076"/>
        <v>0</v>
      </c>
      <c r="EN184" s="163">
        <f t="shared" si="1076"/>
        <v>0</v>
      </c>
      <c r="EO184" s="163">
        <f t="shared" si="1076"/>
        <v>0</v>
      </c>
      <c r="EP184" s="163">
        <f t="shared" si="1076"/>
        <v>0</v>
      </c>
      <c r="EQ184" s="163">
        <f t="shared" si="1076"/>
        <v>0</v>
      </c>
      <c r="ER184" s="163">
        <f t="shared" si="1076"/>
        <v>0</v>
      </c>
      <c r="ES184" s="163">
        <f t="shared" si="1076"/>
        <v>0</v>
      </c>
      <c r="ET184" s="163">
        <f t="shared" si="1076"/>
        <v>0</v>
      </c>
      <c r="EU184" s="163">
        <f t="shared" si="1076"/>
        <v>0</v>
      </c>
      <c r="EV184" s="163">
        <f t="shared" si="1076"/>
        <v>0</v>
      </c>
      <c r="EW184" s="163">
        <f t="shared" si="1076"/>
        <v>0</v>
      </c>
      <c r="EX184" s="163">
        <f t="shared" si="1076"/>
        <v>0</v>
      </c>
      <c r="EY184" s="163">
        <f t="shared" si="1076"/>
        <v>0</v>
      </c>
      <c r="EZ184" s="163">
        <f t="shared" si="1076"/>
        <v>0</v>
      </c>
      <c r="FA184" s="163">
        <f t="shared" si="1076"/>
        <v>0</v>
      </c>
      <c r="FB184" s="163">
        <f t="shared" si="1076"/>
        <v>0</v>
      </c>
      <c r="FC184" s="163">
        <f t="shared" si="1076"/>
        <v>0</v>
      </c>
      <c r="FD184" s="163">
        <f t="shared" ref="FD184" si="1077">FC190</f>
        <v>0</v>
      </c>
      <c r="FE184" s="163">
        <f t="shared" ref="FE184:FF184" si="1078">FD190</f>
        <v>0</v>
      </c>
      <c r="FF184" s="163">
        <f t="shared" si="1078"/>
        <v>0</v>
      </c>
      <c r="FG184" s="314"/>
      <c r="FH184" s="163">
        <f t="shared" ref="FH184" si="1079">EZ190</f>
        <v>0</v>
      </c>
      <c r="FI184" s="163">
        <f>FH190</f>
        <v>13350000.000000002</v>
      </c>
      <c r="FJ184" s="163">
        <f t="shared" ref="FJ184:FT184" si="1080">FI190</f>
        <v>13350000.000000002</v>
      </c>
      <c r="FK184" s="163">
        <f t="shared" si="1080"/>
        <v>13200954.995859275</v>
      </c>
      <c r="FL184" s="163">
        <f t="shared" si="1080"/>
        <v>0</v>
      </c>
      <c r="FM184" s="163">
        <f t="shared" si="1080"/>
        <v>0</v>
      </c>
      <c r="FN184" s="163">
        <f t="shared" si="1080"/>
        <v>0</v>
      </c>
      <c r="FO184" s="163">
        <f t="shared" si="1080"/>
        <v>0</v>
      </c>
      <c r="FP184" s="163">
        <f t="shared" si="1080"/>
        <v>0</v>
      </c>
      <c r="FQ184" s="163">
        <f t="shared" si="1080"/>
        <v>0</v>
      </c>
      <c r="FR184" s="163">
        <f t="shared" si="1080"/>
        <v>0</v>
      </c>
      <c r="FS184" s="163">
        <f t="shared" si="1080"/>
        <v>0</v>
      </c>
      <c r="FT184" s="163">
        <f t="shared" si="1080"/>
        <v>0</v>
      </c>
      <c r="FU184" s="163">
        <f t="shared" ref="FU184" si="1081">FT190</f>
        <v>0</v>
      </c>
      <c r="FV184" s="314"/>
    </row>
    <row r="185" spans="2:178" x14ac:dyDescent="0.2">
      <c r="B185" s="47"/>
      <c r="C185" s="39" t="s">
        <v>127</v>
      </c>
      <c r="E185" s="163">
        <f t="shared" ref="E185:E189" si="1082">SUM(F185:FF185)</f>
        <v>13350000.000000002</v>
      </c>
      <c r="F185" s="261">
        <f t="shared" ref="F185:AK185" si="1083">IF($K$50=TRUE,0,IF(F181=0,F178-F179,0))</f>
        <v>13350000.000000002</v>
      </c>
      <c r="G185" s="163">
        <f t="shared" si="1083"/>
        <v>0</v>
      </c>
      <c r="H185" s="163">
        <f t="shared" si="1083"/>
        <v>0</v>
      </c>
      <c r="I185" s="163">
        <f t="shared" si="1083"/>
        <v>0</v>
      </c>
      <c r="J185" s="163">
        <f t="shared" si="1083"/>
        <v>0</v>
      </c>
      <c r="K185" s="163">
        <f t="shared" si="1083"/>
        <v>0</v>
      </c>
      <c r="L185" s="163">
        <f t="shared" si="1083"/>
        <v>0</v>
      </c>
      <c r="M185" s="163">
        <f t="shared" si="1083"/>
        <v>0</v>
      </c>
      <c r="N185" s="163">
        <f t="shared" si="1083"/>
        <v>0</v>
      </c>
      <c r="O185" s="163">
        <f t="shared" si="1083"/>
        <v>0</v>
      </c>
      <c r="P185" s="163">
        <f t="shared" si="1083"/>
        <v>0</v>
      </c>
      <c r="Q185" s="163">
        <f t="shared" si="1083"/>
        <v>0</v>
      </c>
      <c r="R185" s="163">
        <f t="shared" si="1083"/>
        <v>0</v>
      </c>
      <c r="S185" s="163">
        <f t="shared" si="1083"/>
        <v>0</v>
      </c>
      <c r="T185" s="163">
        <f t="shared" si="1083"/>
        <v>0</v>
      </c>
      <c r="U185" s="163">
        <f t="shared" si="1083"/>
        <v>0</v>
      </c>
      <c r="V185" s="163">
        <f t="shared" si="1083"/>
        <v>0</v>
      </c>
      <c r="W185" s="163">
        <f t="shared" si="1083"/>
        <v>0</v>
      </c>
      <c r="X185" s="163">
        <f t="shared" si="1083"/>
        <v>0</v>
      </c>
      <c r="Y185" s="163">
        <f t="shared" si="1083"/>
        <v>0</v>
      </c>
      <c r="Z185" s="163">
        <f t="shared" si="1083"/>
        <v>0</v>
      </c>
      <c r="AA185" s="163">
        <f t="shared" si="1083"/>
        <v>0</v>
      </c>
      <c r="AB185" s="163">
        <f t="shared" si="1083"/>
        <v>0</v>
      </c>
      <c r="AC185" s="163">
        <f t="shared" si="1083"/>
        <v>0</v>
      </c>
      <c r="AD185" s="163">
        <f t="shared" si="1083"/>
        <v>0</v>
      </c>
      <c r="AE185" s="163">
        <f t="shared" si="1083"/>
        <v>0</v>
      </c>
      <c r="AF185" s="163">
        <f t="shared" si="1083"/>
        <v>0</v>
      </c>
      <c r="AG185" s="163">
        <f t="shared" si="1083"/>
        <v>0</v>
      </c>
      <c r="AH185" s="163">
        <f t="shared" si="1083"/>
        <v>0</v>
      </c>
      <c r="AI185" s="163">
        <f t="shared" si="1083"/>
        <v>0</v>
      </c>
      <c r="AJ185" s="163">
        <f t="shared" si="1083"/>
        <v>0</v>
      </c>
      <c r="AK185" s="163">
        <f t="shared" si="1083"/>
        <v>0</v>
      </c>
      <c r="AL185" s="163">
        <f t="shared" ref="AL185:BQ185" si="1084">IF($K$50=TRUE,0,IF(AL181=0,AL178-AL179,0))</f>
        <v>0</v>
      </c>
      <c r="AM185" s="163">
        <f t="shared" si="1084"/>
        <v>0</v>
      </c>
      <c r="AN185" s="163">
        <f t="shared" si="1084"/>
        <v>0</v>
      </c>
      <c r="AO185" s="163">
        <f t="shared" si="1084"/>
        <v>0</v>
      </c>
      <c r="AP185" s="163">
        <f t="shared" si="1084"/>
        <v>0</v>
      </c>
      <c r="AQ185" s="163">
        <f t="shared" si="1084"/>
        <v>0</v>
      </c>
      <c r="AR185" s="163">
        <f t="shared" si="1084"/>
        <v>0</v>
      </c>
      <c r="AS185" s="163">
        <f t="shared" si="1084"/>
        <v>0</v>
      </c>
      <c r="AT185" s="163">
        <f t="shared" si="1084"/>
        <v>0</v>
      </c>
      <c r="AU185" s="163">
        <f t="shared" si="1084"/>
        <v>0</v>
      </c>
      <c r="AV185" s="163">
        <f t="shared" si="1084"/>
        <v>0</v>
      </c>
      <c r="AW185" s="163">
        <f t="shared" si="1084"/>
        <v>0</v>
      </c>
      <c r="AX185" s="163">
        <f t="shared" si="1084"/>
        <v>0</v>
      </c>
      <c r="AY185" s="163">
        <f t="shared" si="1084"/>
        <v>0</v>
      </c>
      <c r="AZ185" s="163">
        <f t="shared" si="1084"/>
        <v>0</v>
      </c>
      <c r="BA185" s="163">
        <f t="shared" si="1084"/>
        <v>0</v>
      </c>
      <c r="BB185" s="163">
        <f t="shared" si="1084"/>
        <v>0</v>
      </c>
      <c r="BC185" s="163">
        <f t="shared" si="1084"/>
        <v>0</v>
      </c>
      <c r="BD185" s="163">
        <f t="shared" si="1084"/>
        <v>0</v>
      </c>
      <c r="BE185" s="163">
        <f t="shared" si="1084"/>
        <v>0</v>
      </c>
      <c r="BF185" s="163">
        <f t="shared" si="1084"/>
        <v>0</v>
      </c>
      <c r="BG185" s="163">
        <f t="shared" si="1084"/>
        <v>0</v>
      </c>
      <c r="BH185" s="163">
        <f t="shared" si="1084"/>
        <v>0</v>
      </c>
      <c r="BI185" s="163">
        <f t="shared" si="1084"/>
        <v>0</v>
      </c>
      <c r="BJ185" s="163">
        <f t="shared" si="1084"/>
        <v>0</v>
      </c>
      <c r="BK185" s="163">
        <f t="shared" si="1084"/>
        <v>0</v>
      </c>
      <c r="BL185" s="163">
        <f t="shared" si="1084"/>
        <v>0</v>
      </c>
      <c r="BM185" s="163">
        <f t="shared" si="1084"/>
        <v>0</v>
      </c>
      <c r="BN185" s="163">
        <f t="shared" si="1084"/>
        <v>0</v>
      </c>
      <c r="BO185" s="163">
        <f t="shared" si="1084"/>
        <v>0</v>
      </c>
      <c r="BP185" s="163">
        <f t="shared" si="1084"/>
        <v>0</v>
      </c>
      <c r="BQ185" s="163">
        <f t="shared" si="1084"/>
        <v>0</v>
      </c>
      <c r="BR185" s="163">
        <f t="shared" ref="BR185:CW185" si="1085">IF($K$50=TRUE,0,IF(BR181=0,BR178-BR179,0))</f>
        <v>0</v>
      </c>
      <c r="BS185" s="163">
        <f t="shared" si="1085"/>
        <v>0</v>
      </c>
      <c r="BT185" s="163">
        <f t="shared" si="1085"/>
        <v>0</v>
      </c>
      <c r="BU185" s="163">
        <f t="shared" si="1085"/>
        <v>0</v>
      </c>
      <c r="BV185" s="163">
        <f t="shared" si="1085"/>
        <v>0</v>
      </c>
      <c r="BW185" s="163">
        <f t="shared" si="1085"/>
        <v>0</v>
      </c>
      <c r="BX185" s="163">
        <f t="shared" si="1085"/>
        <v>0</v>
      </c>
      <c r="BY185" s="163">
        <f t="shared" si="1085"/>
        <v>0</v>
      </c>
      <c r="BZ185" s="163">
        <f t="shared" si="1085"/>
        <v>0</v>
      </c>
      <c r="CA185" s="163">
        <f t="shared" si="1085"/>
        <v>0</v>
      </c>
      <c r="CB185" s="163">
        <f t="shared" si="1085"/>
        <v>0</v>
      </c>
      <c r="CC185" s="163">
        <f t="shared" si="1085"/>
        <v>0</v>
      </c>
      <c r="CD185" s="163">
        <f t="shared" si="1085"/>
        <v>0</v>
      </c>
      <c r="CE185" s="163">
        <f t="shared" si="1085"/>
        <v>0</v>
      </c>
      <c r="CF185" s="163">
        <f t="shared" si="1085"/>
        <v>0</v>
      </c>
      <c r="CG185" s="163">
        <f t="shared" si="1085"/>
        <v>0</v>
      </c>
      <c r="CH185" s="163">
        <f t="shared" si="1085"/>
        <v>0</v>
      </c>
      <c r="CI185" s="163">
        <f t="shared" si="1085"/>
        <v>0</v>
      </c>
      <c r="CJ185" s="163">
        <f t="shared" si="1085"/>
        <v>0</v>
      </c>
      <c r="CK185" s="163">
        <f t="shared" si="1085"/>
        <v>0</v>
      </c>
      <c r="CL185" s="163">
        <f t="shared" si="1085"/>
        <v>0</v>
      </c>
      <c r="CM185" s="163">
        <f t="shared" si="1085"/>
        <v>0</v>
      </c>
      <c r="CN185" s="163">
        <f t="shared" si="1085"/>
        <v>0</v>
      </c>
      <c r="CO185" s="163">
        <f t="shared" si="1085"/>
        <v>0</v>
      </c>
      <c r="CP185" s="163">
        <f t="shared" si="1085"/>
        <v>0</v>
      </c>
      <c r="CQ185" s="163">
        <f t="shared" si="1085"/>
        <v>0</v>
      </c>
      <c r="CR185" s="163">
        <f t="shared" si="1085"/>
        <v>0</v>
      </c>
      <c r="CS185" s="163">
        <f t="shared" si="1085"/>
        <v>0</v>
      </c>
      <c r="CT185" s="163">
        <f t="shared" si="1085"/>
        <v>0</v>
      </c>
      <c r="CU185" s="163">
        <f t="shared" si="1085"/>
        <v>0</v>
      </c>
      <c r="CV185" s="163">
        <f t="shared" si="1085"/>
        <v>0</v>
      </c>
      <c r="CW185" s="163">
        <f t="shared" si="1085"/>
        <v>0</v>
      </c>
      <c r="CX185" s="163">
        <f t="shared" ref="CX185:EC185" si="1086">IF($K$50=TRUE,0,IF(CX181=0,CX178-CX179,0))</f>
        <v>0</v>
      </c>
      <c r="CY185" s="163">
        <f t="shared" si="1086"/>
        <v>0</v>
      </c>
      <c r="CZ185" s="163">
        <f t="shared" si="1086"/>
        <v>0</v>
      </c>
      <c r="DA185" s="163">
        <f t="shared" si="1086"/>
        <v>0</v>
      </c>
      <c r="DB185" s="163">
        <f t="shared" si="1086"/>
        <v>0</v>
      </c>
      <c r="DC185" s="163">
        <f t="shared" si="1086"/>
        <v>0</v>
      </c>
      <c r="DD185" s="163">
        <f t="shared" si="1086"/>
        <v>0</v>
      </c>
      <c r="DE185" s="163">
        <f t="shared" si="1086"/>
        <v>0</v>
      </c>
      <c r="DF185" s="163">
        <f t="shared" si="1086"/>
        <v>0</v>
      </c>
      <c r="DG185" s="163">
        <f t="shared" si="1086"/>
        <v>0</v>
      </c>
      <c r="DH185" s="163">
        <f t="shared" si="1086"/>
        <v>0</v>
      </c>
      <c r="DI185" s="163">
        <f t="shared" si="1086"/>
        <v>0</v>
      </c>
      <c r="DJ185" s="163">
        <f t="shared" si="1086"/>
        <v>0</v>
      </c>
      <c r="DK185" s="163">
        <f t="shared" si="1086"/>
        <v>0</v>
      </c>
      <c r="DL185" s="163">
        <f t="shared" si="1086"/>
        <v>0</v>
      </c>
      <c r="DM185" s="163">
        <f t="shared" si="1086"/>
        <v>0</v>
      </c>
      <c r="DN185" s="163">
        <f t="shared" si="1086"/>
        <v>0</v>
      </c>
      <c r="DO185" s="163">
        <f t="shared" si="1086"/>
        <v>0</v>
      </c>
      <c r="DP185" s="163">
        <f t="shared" si="1086"/>
        <v>0</v>
      </c>
      <c r="DQ185" s="163">
        <f t="shared" si="1086"/>
        <v>0</v>
      </c>
      <c r="DR185" s="163">
        <f t="shared" si="1086"/>
        <v>0</v>
      </c>
      <c r="DS185" s="163">
        <f t="shared" si="1086"/>
        <v>0</v>
      </c>
      <c r="DT185" s="163">
        <f t="shared" si="1086"/>
        <v>0</v>
      </c>
      <c r="DU185" s="163">
        <f t="shared" si="1086"/>
        <v>0</v>
      </c>
      <c r="DV185" s="163">
        <f t="shared" si="1086"/>
        <v>0</v>
      </c>
      <c r="DW185" s="163">
        <f t="shared" si="1086"/>
        <v>0</v>
      </c>
      <c r="DX185" s="163">
        <f t="shared" si="1086"/>
        <v>0</v>
      </c>
      <c r="DY185" s="163">
        <f t="shared" si="1086"/>
        <v>0</v>
      </c>
      <c r="DZ185" s="163">
        <f t="shared" si="1086"/>
        <v>0</v>
      </c>
      <c r="EA185" s="163">
        <f t="shared" si="1086"/>
        <v>0</v>
      </c>
      <c r="EB185" s="163">
        <f t="shared" si="1086"/>
        <v>0</v>
      </c>
      <c r="EC185" s="163">
        <f t="shared" si="1086"/>
        <v>0</v>
      </c>
      <c r="ED185" s="163">
        <f t="shared" ref="ED185:FF185" si="1087">IF($K$50=TRUE,0,IF(ED181=0,ED178-ED179,0))</f>
        <v>0</v>
      </c>
      <c r="EE185" s="163">
        <f t="shared" si="1087"/>
        <v>0</v>
      </c>
      <c r="EF185" s="163">
        <f t="shared" si="1087"/>
        <v>0</v>
      </c>
      <c r="EG185" s="163">
        <f t="shared" si="1087"/>
        <v>0</v>
      </c>
      <c r="EH185" s="163">
        <f t="shared" si="1087"/>
        <v>0</v>
      </c>
      <c r="EI185" s="163">
        <f t="shared" si="1087"/>
        <v>0</v>
      </c>
      <c r="EJ185" s="163">
        <f t="shared" si="1087"/>
        <v>0</v>
      </c>
      <c r="EK185" s="163">
        <f t="shared" si="1087"/>
        <v>0</v>
      </c>
      <c r="EL185" s="163">
        <f t="shared" si="1087"/>
        <v>0</v>
      </c>
      <c r="EM185" s="163">
        <f t="shared" si="1087"/>
        <v>0</v>
      </c>
      <c r="EN185" s="163">
        <f t="shared" si="1087"/>
        <v>0</v>
      </c>
      <c r="EO185" s="163">
        <f t="shared" si="1087"/>
        <v>0</v>
      </c>
      <c r="EP185" s="163">
        <f t="shared" si="1087"/>
        <v>0</v>
      </c>
      <c r="EQ185" s="163">
        <f t="shared" si="1087"/>
        <v>0</v>
      </c>
      <c r="ER185" s="163">
        <f t="shared" si="1087"/>
        <v>0</v>
      </c>
      <c r="ES185" s="163">
        <f t="shared" si="1087"/>
        <v>0</v>
      </c>
      <c r="ET185" s="163">
        <f t="shared" si="1087"/>
        <v>0</v>
      </c>
      <c r="EU185" s="163">
        <f t="shared" si="1087"/>
        <v>0</v>
      </c>
      <c r="EV185" s="163">
        <f t="shared" si="1087"/>
        <v>0</v>
      </c>
      <c r="EW185" s="163">
        <f t="shared" si="1087"/>
        <v>0</v>
      </c>
      <c r="EX185" s="163">
        <f t="shared" si="1087"/>
        <v>0</v>
      </c>
      <c r="EY185" s="163">
        <f t="shared" si="1087"/>
        <v>0</v>
      </c>
      <c r="EZ185" s="163">
        <f t="shared" si="1087"/>
        <v>0</v>
      </c>
      <c r="FA185" s="163">
        <f t="shared" si="1087"/>
        <v>0</v>
      </c>
      <c r="FB185" s="163">
        <f t="shared" si="1087"/>
        <v>0</v>
      </c>
      <c r="FC185" s="163">
        <f t="shared" si="1087"/>
        <v>0</v>
      </c>
      <c r="FD185" s="163">
        <f t="shared" si="1087"/>
        <v>0</v>
      </c>
      <c r="FE185" s="163">
        <f t="shared" si="1087"/>
        <v>0</v>
      </c>
      <c r="FF185" s="163">
        <f t="shared" si="1087"/>
        <v>0</v>
      </c>
      <c r="FG185" s="314"/>
      <c r="FH185" s="163">
        <f t="shared" ref="FH185:FU189" si="1088">SUMIF($F$57:$FF$57,FH$57,$F185:$FF185)</f>
        <v>13350000.000000002</v>
      </c>
      <c r="FI185" s="163">
        <f t="shared" si="1088"/>
        <v>0</v>
      </c>
      <c r="FJ185" s="163">
        <f t="shared" si="1088"/>
        <v>0</v>
      </c>
      <c r="FK185" s="163">
        <f t="shared" si="1088"/>
        <v>0</v>
      </c>
      <c r="FL185" s="163">
        <f t="shared" si="1088"/>
        <v>0</v>
      </c>
      <c r="FM185" s="163">
        <f t="shared" si="1088"/>
        <v>0</v>
      </c>
      <c r="FN185" s="163">
        <f t="shared" si="1088"/>
        <v>0</v>
      </c>
      <c r="FO185" s="163">
        <f t="shared" si="1088"/>
        <v>0</v>
      </c>
      <c r="FP185" s="163">
        <f t="shared" si="1088"/>
        <v>0</v>
      </c>
      <c r="FQ185" s="163">
        <f t="shared" si="1088"/>
        <v>0</v>
      </c>
      <c r="FR185" s="163">
        <f t="shared" si="1088"/>
        <v>0</v>
      </c>
      <c r="FS185" s="163">
        <f t="shared" si="1088"/>
        <v>0</v>
      </c>
      <c r="FT185" s="163">
        <f t="shared" si="1088"/>
        <v>0</v>
      </c>
      <c r="FU185" s="163">
        <f t="shared" si="1088"/>
        <v>0</v>
      </c>
      <c r="FV185" s="314"/>
    </row>
    <row r="186" spans="2:178" x14ac:dyDescent="0.2">
      <c r="B186" s="47"/>
      <c r="C186" s="39" t="s">
        <v>129</v>
      </c>
      <c r="E186" s="163">
        <f t="shared" si="1082"/>
        <v>2871648.6820025202</v>
      </c>
      <c r="F186" s="261">
        <f>IF($K$50=TRUE,0,F184)*F175/12</f>
        <v>0</v>
      </c>
      <c r="G186" s="163">
        <f t="shared" ref="G186:BR186" si="1089">IF($K$50=TRUE,0,G184)*G175/12</f>
        <v>77875.000000000015</v>
      </c>
      <c r="H186" s="163">
        <f t="shared" si="1089"/>
        <v>77875.000000000015</v>
      </c>
      <c r="I186" s="163">
        <f t="shared" si="1089"/>
        <v>77875.000000000015</v>
      </c>
      <c r="J186" s="163">
        <f t="shared" si="1089"/>
        <v>77875.000000000015</v>
      </c>
      <c r="K186" s="163">
        <f t="shared" si="1089"/>
        <v>77875.000000000015</v>
      </c>
      <c r="L186" s="163">
        <f t="shared" si="1089"/>
        <v>77875.000000000015</v>
      </c>
      <c r="M186" s="163">
        <f t="shared" si="1089"/>
        <v>77875.000000000015</v>
      </c>
      <c r="N186" s="163">
        <f t="shared" si="1089"/>
        <v>77875.000000000015</v>
      </c>
      <c r="O186" s="163">
        <f t="shared" si="1089"/>
        <v>77875.000000000015</v>
      </c>
      <c r="P186" s="163">
        <f t="shared" si="1089"/>
        <v>77875.000000000015</v>
      </c>
      <c r="Q186" s="163">
        <f t="shared" si="1089"/>
        <v>77875.000000000015</v>
      </c>
      <c r="R186" s="163">
        <f t="shared" si="1089"/>
        <v>77875.000000000015</v>
      </c>
      <c r="S186" s="163">
        <f t="shared" si="1089"/>
        <v>77875.000000000015</v>
      </c>
      <c r="T186" s="163">
        <f t="shared" si="1089"/>
        <v>77875.000000000015</v>
      </c>
      <c r="U186" s="163">
        <f t="shared" si="1089"/>
        <v>77875.000000000015</v>
      </c>
      <c r="V186" s="163">
        <f t="shared" si="1089"/>
        <v>77875.000000000015</v>
      </c>
      <c r="W186" s="163">
        <f t="shared" si="1089"/>
        <v>77875.000000000015</v>
      </c>
      <c r="X186" s="163">
        <f t="shared" si="1089"/>
        <v>77875.000000000015</v>
      </c>
      <c r="Y186" s="163">
        <f t="shared" si="1089"/>
        <v>77875.000000000015</v>
      </c>
      <c r="Z186" s="163">
        <f t="shared" si="1089"/>
        <v>77875.000000000015</v>
      </c>
      <c r="AA186" s="163">
        <f t="shared" si="1089"/>
        <v>77875.000000000015</v>
      </c>
      <c r="AB186" s="163">
        <f t="shared" si="1089"/>
        <v>77875.000000000015</v>
      </c>
      <c r="AC186" s="163">
        <f t="shared" si="1089"/>
        <v>77875.000000000015</v>
      </c>
      <c r="AD186" s="163">
        <f t="shared" si="1089"/>
        <v>77875.000000000015</v>
      </c>
      <c r="AE186" s="163">
        <f t="shared" si="1089"/>
        <v>77875.000000000015</v>
      </c>
      <c r="AF186" s="163">
        <f t="shared" si="1089"/>
        <v>77752.952546884393</v>
      </c>
      <c r="AG186" s="163">
        <f t="shared" si="1089"/>
        <v>77630.193150292253</v>
      </c>
      <c r="AH186" s="163">
        <f t="shared" si="1089"/>
        <v>77506.717657219982</v>
      </c>
      <c r="AI186" s="163">
        <f t="shared" si="1089"/>
        <v>77382.521890438133</v>
      </c>
      <c r="AJ186" s="163">
        <f t="shared" si="1089"/>
        <v>77257.601648350057</v>
      </c>
      <c r="AK186" s="163">
        <f t="shared" si="1089"/>
        <v>77131.952704849798</v>
      </c>
      <c r="AL186" s="163">
        <f t="shared" si="1089"/>
        <v>77005.570809179117</v>
      </c>
      <c r="AM186" s="163">
        <f t="shared" si="1089"/>
        <v>76878.451685783701</v>
      </c>
      <c r="AN186" s="163">
        <f t="shared" si="1089"/>
        <v>76750.591034168465</v>
      </c>
      <c r="AO186" s="163">
        <f t="shared" si="1089"/>
        <v>76621.984528752146</v>
      </c>
      <c r="AP186" s="163">
        <f t="shared" si="1089"/>
        <v>76492.62781872091</v>
      </c>
      <c r="AQ186" s="163">
        <f t="shared" si="1089"/>
        <v>76362.516527881147</v>
      </c>
      <c r="AR186" s="163">
        <f t="shared" si="1089"/>
        <v>0</v>
      </c>
      <c r="AS186" s="163">
        <f t="shared" si="1089"/>
        <v>0</v>
      </c>
      <c r="AT186" s="163">
        <f t="shared" si="1089"/>
        <v>0</v>
      </c>
      <c r="AU186" s="163">
        <f t="shared" si="1089"/>
        <v>0</v>
      </c>
      <c r="AV186" s="163">
        <f t="shared" si="1089"/>
        <v>0</v>
      </c>
      <c r="AW186" s="163">
        <f t="shared" si="1089"/>
        <v>0</v>
      </c>
      <c r="AX186" s="163">
        <f t="shared" si="1089"/>
        <v>0</v>
      </c>
      <c r="AY186" s="163">
        <f t="shared" si="1089"/>
        <v>0</v>
      </c>
      <c r="AZ186" s="163">
        <f t="shared" si="1089"/>
        <v>0</v>
      </c>
      <c r="BA186" s="163">
        <f t="shared" si="1089"/>
        <v>0</v>
      </c>
      <c r="BB186" s="163">
        <f t="shared" si="1089"/>
        <v>0</v>
      </c>
      <c r="BC186" s="163">
        <f t="shared" si="1089"/>
        <v>0</v>
      </c>
      <c r="BD186" s="163">
        <f t="shared" si="1089"/>
        <v>0</v>
      </c>
      <c r="BE186" s="163">
        <f t="shared" si="1089"/>
        <v>0</v>
      </c>
      <c r="BF186" s="163">
        <f t="shared" si="1089"/>
        <v>0</v>
      </c>
      <c r="BG186" s="163">
        <f t="shared" si="1089"/>
        <v>0</v>
      </c>
      <c r="BH186" s="163">
        <f t="shared" si="1089"/>
        <v>0</v>
      </c>
      <c r="BI186" s="163">
        <f t="shared" si="1089"/>
        <v>0</v>
      </c>
      <c r="BJ186" s="163">
        <f t="shared" si="1089"/>
        <v>0</v>
      </c>
      <c r="BK186" s="163">
        <f t="shared" si="1089"/>
        <v>0</v>
      </c>
      <c r="BL186" s="163">
        <f t="shared" si="1089"/>
        <v>0</v>
      </c>
      <c r="BM186" s="163">
        <f t="shared" si="1089"/>
        <v>0</v>
      </c>
      <c r="BN186" s="163">
        <f t="shared" si="1089"/>
        <v>0</v>
      </c>
      <c r="BO186" s="163">
        <f t="shared" si="1089"/>
        <v>0</v>
      </c>
      <c r="BP186" s="163">
        <f t="shared" si="1089"/>
        <v>0</v>
      </c>
      <c r="BQ186" s="163">
        <f t="shared" si="1089"/>
        <v>0</v>
      </c>
      <c r="BR186" s="163">
        <f t="shared" si="1089"/>
        <v>0</v>
      </c>
      <c r="BS186" s="163">
        <f t="shared" ref="BS186:ED186" si="1090">IF($K$50=TRUE,0,BS184)*BS175/12</f>
        <v>0</v>
      </c>
      <c r="BT186" s="163">
        <f t="shared" si="1090"/>
        <v>0</v>
      </c>
      <c r="BU186" s="163">
        <f t="shared" si="1090"/>
        <v>0</v>
      </c>
      <c r="BV186" s="163">
        <f t="shared" si="1090"/>
        <v>0</v>
      </c>
      <c r="BW186" s="163">
        <f t="shared" si="1090"/>
        <v>0</v>
      </c>
      <c r="BX186" s="163">
        <f t="shared" si="1090"/>
        <v>0</v>
      </c>
      <c r="BY186" s="163">
        <f t="shared" si="1090"/>
        <v>0</v>
      </c>
      <c r="BZ186" s="163">
        <f t="shared" si="1090"/>
        <v>0</v>
      </c>
      <c r="CA186" s="163">
        <f t="shared" si="1090"/>
        <v>0</v>
      </c>
      <c r="CB186" s="163">
        <f t="shared" si="1090"/>
        <v>0</v>
      </c>
      <c r="CC186" s="163">
        <f t="shared" si="1090"/>
        <v>0</v>
      </c>
      <c r="CD186" s="163">
        <f t="shared" si="1090"/>
        <v>0</v>
      </c>
      <c r="CE186" s="163">
        <f t="shared" si="1090"/>
        <v>0</v>
      </c>
      <c r="CF186" s="163">
        <f t="shared" si="1090"/>
        <v>0</v>
      </c>
      <c r="CG186" s="163">
        <f t="shared" si="1090"/>
        <v>0</v>
      </c>
      <c r="CH186" s="163">
        <f t="shared" si="1090"/>
        <v>0</v>
      </c>
      <c r="CI186" s="163">
        <f t="shared" si="1090"/>
        <v>0</v>
      </c>
      <c r="CJ186" s="163">
        <f t="shared" si="1090"/>
        <v>0</v>
      </c>
      <c r="CK186" s="163">
        <f t="shared" si="1090"/>
        <v>0</v>
      </c>
      <c r="CL186" s="163">
        <f t="shared" si="1090"/>
        <v>0</v>
      </c>
      <c r="CM186" s="163">
        <f t="shared" si="1090"/>
        <v>0</v>
      </c>
      <c r="CN186" s="163">
        <f t="shared" si="1090"/>
        <v>0</v>
      </c>
      <c r="CO186" s="163">
        <f t="shared" si="1090"/>
        <v>0</v>
      </c>
      <c r="CP186" s="163">
        <f t="shared" si="1090"/>
        <v>0</v>
      </c>
      <c r="CQ186" s="163">
        <f t="shared" si="1090"/>
        <v>0</v>
      </c>
      <c r="CR186" s="163">
        <f t="shared" si="1090"/>
        <v>0</v>
      </c>
      <c r="CS186" s="163">
        <f t="shared" si="1090"/>
        <v>0</v>
      </c>
      <c r="CT186" s="163">
        <f t="shared" si="1090"/>
        <v>0</v>
      </c>
      <c r="CU186" s="163">
        <f t="shared" si="1090"/>
        <v>0</v>
      </c>
      <c r="CV186" s="163">
        <f t="shared" si="1090"/>
        <v>0</v>
      </c>
      <c r="CW186" s="163">
        <f t="shared" si="1090"/>
        <v>0</v>
      </c>
      <c r="CX186" s="163">
        <f t="shared" si="1090"/>
        <v>0</v>
      </c>
      <c r="CY186" s="163">
        <f t="shared" si="1090"/>
        <v>0</v>
      </c>
      <c r="CZ186" s="163">
        <f t="shared" si="1090"/>
        <v>0</v>
      </c>
      <c r="DA186" s="163">
        <f t="shared" si="1090"/>
        <v>0</v>
      </c>
      <c r="DB186" s="163">
        <f t="shared" si="1090"/>
        <v>0</v>
      </c>
      <c r="DC186" s="163">
        <f t="shared" si="1090"/>
        <v>0</v>
      </c>
      <c r="DD186" s="163">
        <f t="shared" si="1090"/>
        <v>0</v>
      </c>
      <c r="DE186" s="163">
        <f t="shared" si="1090"/>
        <v>0</v>
      </c>
      <c r="DF186" s="163">
        <f t="shared" si="1090"/>
        <v>0</v>
      </c>
      <c r="DG186" s="163">
        <f t="shared" si="1090"/>
        <v>0</v>
      </c>
      <c r="DH186" s="163">
        <f t="shared" si="1090"/>
        <v>0</v>
      </c>
      <c r="DI186" s="163">
        <f t="shared" si="1090"/>
        <v>0</v>
      </c>
      <c r="DJ186" s="163">
        <f t="shared" si="1090"/>
        <v>0</v>
      </c>
      <c r="DK186" s="163">
        <f t="shared" si="1090"/>
        <v>0</v>
      </c>
      <c r="DL186" s="163">
        <f t="shared" si="1090"/>
        <v>0</v>
      </c>
      <c r="DM186" s="163">
        <f t="shared" si="1090"/>
        <v>0</v>
      </c>
      <c r="DN186" s="163">
        <f t="shared" si="1090"/>
        <v>0</v>
      </c>
      <c r="DO186" s="163">
        <f t="shared" si="1090"/>
        <v>0</v>
      </c>
      <c r="DP186" s="163">
        <f t="shared" si="1090"/>
        <v>0</v>
      </c>
      <c r="DQ186" s="163">
        <f t="shared" si="1090"/>
        <v>0</v>
      </c>
      <c r="DR186" s="163">
        <f t="shared" si="1090"/>
        <v>0</v>
      </c>
      <c r="DS186" s="163">
        <f t="shared" si="1090"/>
        <v>0</v>
      </c>
      <c r="DT186" s="163">
        <f t="shared" si="1090"/>
        <v>0</v>
      </c>
      <c r="DU186" s="163">
        <f t="shared" si="1090"/>
        <v>0</v>
      </c>
      <c r="DV186" s="163">
        <f t="shared" si="1090"/>
        <v>0</v>
      </c>
      <c r="DW186" s="163">
        <f t="shared" si="1090"/>
        <v>0</v>
      </c>
      <c r="DX186" s="163">
        <f t="shared" si="1090"/>
        <v>0</v>
      </c>
      <c r="DY186" s="163">
        <f t="shared" si="1090"/>
        <v>0</v>
      </c>
      <c r="DZ186" s="163">
        <f t="shared" si="1090"/>
        <v>0</v>
      </c>
      <c r="EA186" s="163">
        <f t="shared" si="1090"/>
        <v>0</v>
      </c>
      <c r="EB186" s="163">
        <f t="shared" si="1090"/>
        <v>0</v>
      </c>
      <c r="EC186" s="163">
        <f t="shared" si="1090"/>
        <v>0</v>
      </c>
      <c r="ED186" s="163">
        <f t="shared" si="1090"/>
        <v>0</v>
      </c>
      <c r="EE186" s="163">
        <f t="shared" ref="EE186:FE186" si="1091">IF($K$50=TRUE,0,EE184)*EE175/12</f>
        <v>0</v>
      </c>
      <c r="EF186" s="163">
        <f t="shared" si="1091"/>
        <v>0</v>
      </c>
      <c r="EG186" s="163">
        <f t="shared" si="1091"/>
        <v>0</v>
      </c>
      <c r="EH186" s="163">
        <f t="shared" si="1091"/>
        <v>0</v>
      </c>
      <c r="EI186" s="163">
        <f t="shared" si="1091"/>
        <v>0</v>
      </c>
      <c r="EJ186" s="163">
        <f t="shared" si="1091"/>
        <v>0</v>
      </c>
      <c r="EK186" s="163">
        <f t="shared" si="1091"/>
        <v>0</v>
      </c>
      <c r="EL186" s="163">
        <f t="shared" si="1091"/>
        <v>0</v>
      </c>
      <c r="EM186" s="163">
        <f t="shared" si="1091"/>
        <v>0</v>
      </c>
      <c r="EN186" s="163">
        <f t="shared" si="1091"/>
        <v>0</v>
      </c>
      <c r="EO186" s="163">
        <f t="shared" si="1091"/>
        <v>0</v>
      </c>
      <c r="EP186" s="163">
        <f t="shared" si="1091"/>
        <v>0</v>
      </c>
      <c r="EQ186" s="163">
        <f t="shared" si="1091"/>
        <v>0</v>
      </c>
      <c r="ER186" s="163">
        <f t="shared" si="1091"/>
        <v>0</v>
      </c>
      <c r="ES186" s="163">
        <f t="shared" si="1091"/>
        <v>0</v>
      </c>
      <c r="ET186" s="163">
        <f t="shared" si="1091"/>
        <v>0</v>
      </c>
      <c r="EU186" s="163">
        <f t="shared" si="1091"/>
        <v>0</v>
      </c>
      <c r="EV186" s="163">
        <f t="shared" si="1091"/>
        <v>0</v>
      </c>
      <c r="EW186" s="163">
        <f t="shared" si="1091"/>
        <v>0</v>
      </c>
      <c r="EX186" s="163">
        <f t="shared" si="1091"/>
        <v>0</v>
      </c>
      <c r="EY186" s="163">
        <f t="shared" si="1091"/>
        <v>0</v>
      </c>
      <c r="EZ186" s="163">
        <f t="shared" si="1091"/>
        <v>0</v>
      </c>
      <c r="FA186" s="163">
        <f t="shared" si="1091"/>
        <v>0</v>
      </c>
      <c r="FB186" s="163">
        <f t="shared" si="1091"/>
        <v>0</v>
      </c>
      <c r="FC186" s="163">
        <f t="shared" si="1091"/>
        <v>0</v>
      </c>
      <c r="FD186" s="163">
        <f t="shared" si="1091"/>
        <v>0</v>
      </c>
      <c r="FE186" s="163">
        <f t="shared" si="1091"/>
        <v>0</v>
      </c>
      <c r="FF186" s="163">
        <f t="shared" ref="FF186" si="1092">IF($K$50=TRUE,0,FF184)*FF175/12</f>
        <v>0</v>
      </c>
      <c r="FG186" s="314"/>
      <c r="FH186" s="163">
        <f t="shared" si="1088"/>
        <v>545125.00000000012</v>
      </c>
      <c r="FI186" s="163">
        <f t="shared" si="1088"/>
        <v>934500.00000000012</v>
      </c>
      <c r="FJ186" s="163">
        <f t="shared" si="1088"/>
        <v>931911.9395980346</v>
      </c>
      <c r="FK186" s="163">
        <f t="shared" si="1088"/>
        <v>460111.74240448547</v>
      </c>
      <c r="FL186" s="163">
        <f t="shared" si="1088"/>
        <v>0</v>
      </c>
      <c r="FM186" s="163">
        <f t="shared" si="1088"/>
        <v>0</v>
      </c>
      <c r="FN186" s="163">
        <f t="shared" si="1088"/>
        <v>0</v>
      </c>
      <c r="FO186" s="163">
        <f t="shared" si="1088"/>
        <v>0</v>
      </c>
      <c r="FP186" s="163">
        <f t="shared" si="1088"/>
        <v>0</v>
      </c>
      <c r="FQ186" s="163">
        <f t="shared" si="1088"/>
        <v>0</v>
      </c>
      <c r="FR186" s="163">
        <f t="shared" si="1088"/>
        <v>0</v>
      </c>
      <c r="FS186" s="163">
        <f t="shared" si="1088"/>
        <v>0</v>
      </c>
      <c r="FT186" s="163">
        <f t="shared" si="1088"/>
        <v>0</v>
      </c>
      <c r="FU186" s="163">
        <f t="shared" si="1088"/>
        <v>0</v>
      </c>
      <c r="FV186" s="314"/>
    </row>
    <row r="187" spans="2:178" x14ac:dyDescent="0.2">
      <c r="B187" s="47"/>
      <c r="C187" s="39" t="s">
        <v>130</v>
      </c>
      <c r="E187" s="163">
        <f t="shared" si="1082"/>
        <v>-2871648.6820025202</v>
      </c>
      <c r="F187" s="261">
        <f t="shared" ref="F187:AK187" si="1093">-MIN(F186,F121*(F121&gt;0))</f>
        <v>0</v>
      </c>
      <c r="G187" s="163">
        <f t="shared" si="1093"/>
        <v>-77875.000000000015</v>
      </c>
      <c r="H187" s="163">
        <f t="shared" si="1093"/>
        <v>-77875.000000000015</v>
      </c>
      <c r="I187" s="163">
        <f t="shared" si="1093"/>
        <v>-77875.000000000015</v>
      </c>
      <c r="J187" s="163">
        <f t="shared" si="1093"/>
        <v>-77875.000000000015</v>
      </c>
      <c r="K187" s="163">
        <f t="shared" si="1093"/>
        <v>-77875.000000000015</v>
      </c>
      <c r="L187" s="163">
        <f t="shared" si="1093"/>
        <v>-77875.000000000015</v>
      </c>
      <c r="M187" s="163">
        <f t="shared" si="1093"/>
        <v>-77875.000000000015</v>
      </c>
      <c r="N187" s="163">
        <f t="shared" si="1093"/>
        <v>-77875.000000000015</v>
      </c>
      <c r="O187" s="163">
        <f t="shared" si="1093"/>
        <v>-77875.000000000015</v>
      </c>
      <c r="P187" s="163">
        <f t="shared" si="1093"/>
        <v>-77875.000000000015</v>
      </c>
      <c r="Q187" s="163">
        <f t="shared" si="1093"/>
        <v>-77875.000000000015</v>
      </c>
      <c r="R187" s="163">
        <f t="shared" si="1093"/>
        <v>-77875.000000000015</v>
      </c>
      <c r="S187" s="163">
        <f t="shared" si="1093"/>
        <v>-77875.000000000015</v>
      </c>
      <c r="T187" s="163">
        <f t="shared" si="1093"/>
        <v>-77875.000000000015</v>
      </c>
      <c r="U187" s="163">
        <f t="shared" si="1093"/>
        <v>-77875.000000000015</v>
      </c>
      <c r="V187" s="163">
        <f t="shared" si="1093"/>
        <v>-77875.000000000015</v>
      </c>
      <c r="W187" s="163">
        <f t="shared" si="1093"/>
        <v>-77875.000000000015</v>
      </c>
      <c r="X187" s="163">
        <f t="shared" si="1093"/>
        <v>-77875.000000000015</v>
      </c>
      <c r="Y187" s="163">
        <f t="shared" si="1093"/>
        <v>-77875.000000000015</v>
      </c>
      <c r="Z187" s="163">
        <f t="shared" si="1093"/>
        <v>-77875.000000000015</v>
      </c>
      <c r="AA187" s="163">
        <f t="shared" si="1093"/>
        <v>-77875.000000000015</v>
      </c>
      <c r="AB187" s="163">
        <f t="shared" si="1093"/>
        <v>-77875.000000000015</v>
      </c>
      <c r="AC187" s="163">
        <f t="shared" si="1093"/>
        <v>-77875.000000000015</v>
      </c>
      <c r="AD187" s="163">
        <f t="shared" si="1093"/>
        <v>-77875.000000000015</v>
      </c>
      <c r="AE187" s="163">
        <f t="shared" si="1093"/>
        <v>-77875.000000000015</v>
      </c>
      <c r="AF187" s="163">
        <f t="shared" si="1093"/>
        <v>-77752.952546884393</v>
      </c>
      <c r="AG187" s="163">
        <f t="shared" si="1093"/>
        <v>-77630.193150292253</v>
      </c>
      <c r="AH187" s="163">
        <f t="shared" si="1093"/>
        <v>-77506.717657219982</v>
      </c>
      <c r="AI187" s="163">
        <f t="shared" si="1093"/>
        <v>-77382.521890438133</v>
      </c>
      <c r="AJ187" s="163">
        <f t="shared" si="1093"/>
        <v>-77257.601648350057</v>
      </c>
      <c r="AK187" s="163">
        <f t="shared" si="1093"/>
        <v>-77131.952704849798</v>
      </c>
      <c r="AL187" s="163">
        <f t="shared" ref="AL187:BQ187" si="1094">-MIN(AL186,AL121*(AL121&gt;0))</f>
        <v>-77005.570809179117</v>
      </c>
      <c r="AM187" s="163">
        <f t="shared" si="1094"/>
        <v>-76878.451685783701</v>
      </c>
      <c r="AN187" s="163">
        <f t="shared" si="1094"/>
        <v>-76750.591034168465</v>
      </c>
      <c r="AO187" s="163">
        <f t="shared" si="1094"/>
        <v>-76621.984528752146</v>
      </c>
      <c r="AP187" s="163">
        <f t="shared" si="1094"/>
        <v>-76492.62781872091</v>
      </c>
      <c r="AQ187" s="163">
        <f t="shared" si="1094"/>
        <v>-76362.516527881147</v>
      </c>
      <c r="AR187" s="163">
        <f t="shared" si="1094"/>
        <v>0</v>
      </c>
      <c r="AS187" s="163">
        <f t="shared" si="1094"/>
        <v>0</v>
      </c>
      <c r="AT187" s="163">
        <f t="shared" si="1094"/>
        <v>0</v>
      </c>
      <c r="AU187" s="163">
        <f t="shared" si="1094"/>
        <v>0</v>
      </c>
      <c r="AV187" s="163">
        <f t="shared" si="1094"/>
        <v>0</v>
      </c>
      <c r="AW187" s="163">
        <f t="shared" si="1094"/>
        <v>0</v>
      </c>
      <c r="AX187" s="163">
        <f t="shared" si="1094"/>
        <v>0</v>
      </c>
      <c r="AY187" s="163">
        <f t="shared" si="1094"/>
        <v>0</v>
      </c>
      <c r="AZ187" s="163">
        <f t="shared" si="1094"/>
        <v>0</v>
      </c>
      <c r="BA187" s="163">
        <f t="shared" si="1094"/>
        <v>0</v>
      </c>
      <c r="BB187" s="163">
        <f t="shared" si="1094"/>
        <v>0</v>
      </c>
      <c r="BC187" s="163">
        <f t="shared" si="1094"/>
        <v>0</v>
      </c>
      <c r="BD187" s="163">
        <f t="shared" si="1094"/>
        <v>0</v>
      </c>
      <c r="BE187" s="163">
        <f t="shared" si="1094"/>
        <v>0</v>
      </c>
      <c r="BF187" s="163">
        <f t="shared" si="1094"/>
        <v>0</v>
      </c>
      <c r="BG187" s="163">
        <f t="shared" si="1094"/>
        <v>0</v>
      </c>
      <c r="BH187" s="163">
        <f t="shared" si="1094"/>
        <v>0</v>
      </c>
      <c r="BI187" s="163">
        <f t="shared" si="1094"/>
        <v>0</v>
      </c>
      <c r="BJ187" s="163">
        <f t="shared" si="1094"/>
        <v>0</v>
      </c>
      <c r="BK187" s="163">
        <f t="shared" si="1094"/>
        <v>0</v>
      </c>
      <c r="BL187" s="163">
        <f t="shared" si="1094"/>
        <v>0</v>
      </c>
      <c r="BM187" s="163">
        <f t="shared" si="1094"/>
        <v>0</v>
      </c>
      <c r="BN187" s="163">
        <f t="shared" si="1094"/>
        <v>0</v>
      </c>
      <c r="BO187" s="163">
        <f t="shared" si="1094"/>
        <v>0</v>
      </c>
      <c r="BP187" s="163">
        <f t="shared" si="1094"/>
        <v>0</v>
      </c>
      <c r="BQ187" s="163">
        <f t="shared" si="1094"/>
        <v>0</v>
      </c>
      <c r="BR187" s="163">
        <f t="shared" ref="BR187:CW187" si="1095">-MIN(BR186,BR121*(BR121&gt;0))</f>
        <v>0</v>
      </c>
      <c r="BS187" s="163">
        <f t="shared" si="1095"/>
        <v>0</v>
      </c>
      <c r="BT187" s="163">
        <f t="shared" si="1095"/>
        <v>0</v>
      </c>
      <c r="BU187" s="163">
        <f t="shared" si="1095"/>
        <v>0</v>
      </c>
      <c r="BV187" s="163">
        <f t="shared" si="1095"/>
        <v>0</v>
      </c>
      <c r="BW187" s="163">
        <f t="shared" si="1095"/>
        <v>0</v>
      </c>
      <c r="BX187" s="163">
        <f t="shared" si="1095"/>
        <v>0</v>
      </c>
      <c r="BY187" s="163">
        <f t="shared" si="1095"/>
        <v>0</v>
      </c>
      <c r="BZ187" s="163">
        <f t="shared" si="1095"/>
        <v>0</v>
      </c>
      <c r="CA187" s="163">
        <f t="shared" si="1095"/>
        <v>0</v>
      </c>
      <c r="CB187" s="163">
        <f t="shared" si="1095"/>
        <v>0</v>
      </c>
      <c r="CC187" s="163">
        <f t="shared" si="1095"/>
        <v>0</v>
      </c>
      <c r="CD187" s="163">
        <f t="shared" si="1095"/>
        <v>0</v>
      </c>
      <c r="CE187" s="163">
        <f t="shared" si="1095"/>
        <v>0</v>
      </c>
      <c r="CF187" s="163">
        <f t="shared" si="1095"/>
        <v>0</v>
      </c>
      <c r="CG187" s="163">
        <f t="shared" si="1095"/>
        <v>0</v>
      </c>
      <c r="CH187" s="163">
        <f t="shared" si="1095"/>
        <v>0</v>
      </c>
      <c r="CI187" s="163">
        <f t="shared" si="1095"/>
        <v>0</v>
      </c>
      <c r="CJ187" s="163">
        <f t="shared" si="1095"/>
        <v>0</v>
      </c>
      <c r="CK187" s="163">
        <f t="shared" si="1095"/>
        <v>0</v>
      </c>
      <c r="CL187" s="163">
        <f t="shared" si="1095"/>
        <v>0</v>
      </c>
      <c r="CM187" s="163">
        <f t="shared" si="1095"/>
        <v>0</v>
      </c>
      <c r="CN187" s="163">
        <f t="shared" si="1095"/>
        <v>0</v>
      </c>
      <c r="CO187" s="163">
        <f t="shared" si="1095"/>
        <v>0</v>
      </c>
      <c r="CP187" s="163">
        <f t="shared" si="1095"/>
        <v>0</v>
      </c>
      <c r="CQ187" s="163">
        <f t="shared" si="1095"/>
        <v>0</v>
      </c>
      <c r="CR187" s="163">
        <f t="shared" si="1095"/>
        <v>0</v>
      </c>
      <c r="CS187" s="163">
        <f t="shared" si="1095"/>
        <v>0</v>
      </c>
      <c r="CT187" s="163">
        <f t="shared" si="1095"/>
        <v>0</v>
      </c>
      <c r="CU187" s="163">
        <f t="shared" si="1095"/>
        <v>0</v>
      </c>
      <c r="CV187" s="163">
        <f t="shared" si="1095"/>
        <v>0</v>
      </c>
      <c r="CW187" s="163">
        <f t="shared" si="1095"/>
        <v>0</v>
      </c>
      <c r="CX187" s="163">
        <f t="shared" ref="CX187:EC187" si="1096">-MIN(CX186,CX121*(CX121&gt;0))</f>
        <v>0</v>
      </c>
      <c r="CY187" s="163">
        <f t="shared" si="1096"/>
        <v>0</v>
      </c>
      <c r="CZ187" s="163">
        <f t="shared" si="1096"/>
        <v>0</v>
      </c>
      <c r="DA187" s="163">
        <f t="shared" si="1096"/>
        <v>0</v>
      </c>
      <c r="DB187" s="163">
        <f t="shared" si="1096"/>
        <v>0</v>
      </c>
      <c r="DC187" s="163">
        <f t="shared" si="1096"/>
        <v>0</v>
      </c>
      <c r="DD187" s="163">
        <f t="shared" si="1096"/>
        <v>0</v>
      </c>
      <c r="DE187" s="163">
        <f t="shared" si="1096"/>
        <v>0</v>
      </c>
      <c r="DF187" s="163">
        <f t="shared" si="1096"/>
        <v>0</v>
      </c>
      <c r="DG187" s="163">
        <f t="shared" si="1096"/>
        <v>0</v>
      </c>
      <c r="DH187" s="163">
        <f t="shared" si="1096"/>
        <v>0</v>
      </c>
      <c r="DI187" s="163">
        <f t="shared" si="1096"/>
        <v>0</v>
      </c>
      <c r="DJ187" s="163">
        <f t="shared" si="1096"/>
        <v>0</v>
      </c>
      <c r="DK187" s="163">
        <f t="shared" si="1096"/>
        <v>0</v>
      </c>
      <c r="DL187" s="163">
        <f t="shared" si="1096"/>
        <v>0</v>
      </c>
      <c r="DM187" s="163">
        <f t="shared" si="1096"/>
        <v>0</v>
      </c>
      <c r="DN187" s="163">
        <f t="shared" si="1096"/>
        <v>0</v>
      </c>
      <c r="DO187" s="163">
        <f t="shared" si="1096"/>
        <v>0</v>
      </c>
      <c r="DP187" s="163">
        <f t="shared" si="1096"/>
        <v>0</v>
      </c>
      <c r="DQ187" s="163">
        <f t="shared" si="1096"/>
        <v>0</v>
      </c>
      <c r="DR187" s="163">
        <f t="shared" si="1096"/>
        <v>0</v>
      </c>
      <c r="DS187" s="163">
        <f t="shared" si="1096"/>
        <v>0</v>
      </c>
      <c r="DT187" s="163">
        <f t="shared" si="1096"/>
        <v>0</v>
      </c>
      <c r="DU187" s="163">
        <f t="shared" si="1096"/>
        <v>0</v>
      </c>
      <c r="DV187" s="163">
        <f t="shared" si="1096"/>
        <v>0</v>
      </c>
      <c r="DW187" s="163">
        <f t="shared" si="1096"/>
        <v>0</v>
      </c>
      <c r="DX187" s="163">
        <f t="shared" si="1096"/>
        <v>0</v>
      </c>
      <c r="DY187" s="163">
        <f t="shared" si="1096"/>
        <v>0</v>
      </c>
      <c r="DZ187" s="163">
        <f t="shared" si="1096"/>
        <v>0</v>
      </c>
      <c r="EA187" s="163">
        <f t="shared" si="1096"/>
        <v>0</v>
      </c>
      <c r="EB187" s="163">
        <f t="shared" si="1096"/>
        <v>0</v>
      </c>
      <c r="EC187" s="163">
        <f t="shared" si="1096"/>
        <v>0</v>
      </c>
      <c r="ED187" s="163">
        <f t="shared" ref="ED187:FF187" si="1097">-MIN(ED186,ED121*(ED121&gt;0))</f>
        <v>0</v>
      </c>
      <c r="EE187" s="163">
        <f t="shared" si="1097"/>
        <v>0</v>
      </c>
      <c r="EF187" s="163">
        <f t="shared" si="1097"/>
        <v>0</v>
      </c>
      <c r="EG187" s="163">
        <f t="shared" si="1097"/>
        <v>0</v>
      </c>
      <c r="EH187" s="163">
        <f t="shared" si="1097"/>
        <v>0</v>
      </c>
      <c r="EI187" s="163">
        <f t="shared" si="1097"/>
        <v>0</v>
      </c>
      <c r="EJ187" s="163">
        <f t="shared" si="1097"/>
        <v>0</v>
      </c>
      <c r="EK187" s="163">
        <f t="shared" si="1097"/>
        <v>0</v>
      </c>
      <c r="EL187" s="163">
        <f t="shared" si="1097"/>
        <v>0</v>
      </c>
      <c r="EM187" s="163">
        <f t="shared" si="1097"/>
        <v>0</v>
      </c>
      <c r="EN187" s="163">
        <f t="shared" si="1097"/>
        <v>0</v>
      </c>
      <c r="EO187" s="163">
        <f t="shared" si="1097"/>
        <v>0</v>
      </c>
      <c r="EP187" s="163">
        <f t="shared" si="1097"/>
        <v>0</v>
      </c>
      <c r="EQ187" s="163">
        <f t="shared" si="1097"/>
        <v>0</v>
      </c>
      <c r="ER187" s="163">
        <f t="shared" si="1097"/>
        <v>0</v>
      </c>
      <c r="ES187" s="163">
        <f t="shared" si="1097"/>
        <v>0</v>
      </c>
      <c r="ET187" s="163">
        <f t="shared" si="1097"/>
        <v>0</v>
      </c>
      <c r="EU187" s="163">
        <f t="shared" si="1097"/>
        <v>0</v>
      </c>
      <c r="EV187" s="163">
        <f t="shared" si="1097"/>
        <v>0</v>
      </c>
      <c r="EW187" s="163">
        <f t="shared" si="1097"/>
        <v>0</v>
      </c>
      <c r="EX187" s="163">
        <f t="shared" si="1097"/>
        <v>0</v>
      </c>
      <c r="EY187" s="163">
        <f t="shared" si="1097"/>
        <v>0</v>
      </c>
      <c r="EZ187" s="163">
        <f t="shared" si="1097"/>
        <v>0</v>
      </c>
      <c r="FA187" s="163">
        <f t="shared" si="1097"/>
        <v>0</v>
      </c>
      <c r="FB187" s="163">
        <f t="shared" si="1097"/>
        <v>0</v>
      </c>
      <c r="FC187" s="163">
        <f t="shared" si="1097"/>
        <v>0</v>
      </c>
      <c r="FD187" s="163">
        <f t="shared" si="1097"/>
        <v>0</v>
      </c>
      <c r="FE187" s="163">
        <f t="shared" si="1097"/>
        <v>0</v>
      </c>
      <c r="FF187" s="163">
        <f t="shared" si="1097"/>
        <v>0</v>
      </c>
      <c r="FG187" s="314"/>
      <c r="FH187" s="163">
        <f t="shared" si="1088"/>
        <v>-545125.00000000012</v>
      </c>
      <c r="FI187" s="163">
        <f t="shared" si="1088"/>
        <v>-934500.00000000012</v>
      </c>
      <c r="FJ187" s="163">
        <f t="shared" si="1088"/>
        <v>-931911.9395980346</v>
      </c>
      <c r="FK187" s="163">
        <f t="shared" si="1088"/>
        <v>-460111.74240448547</v>
      </c>
      <c r="FL187" s="163">
        <f t="shared" si="1088"/>
        <v>0</v>
      </c>
      <c r="FM187" s="163">
        <f t="shared" si="1088"/>
        <v>0</v>
      </c>
      <c r="FN187" s="163">
        <f t="shared" si="1088"/>
        <v>0</v>
      </c>
      <c r="FO187" s="163">
        <f t="shared" si="1088"/>
        <v>0</v>
      </c>
      <c r="FP187" s="163">
        <f t="shared" si="1088"/>
        <v>0</v>
      </c>
      <c r="FQ187" s="163">
        <f t="shared" si="1088"/>
        <v>0</v>
      </c>
      <c r="FR187" s="163">
        <f t="shared" si="1088"/>
        <v>0</v>
      </c>
      <c r="FS187" s="163">
        <f t="shared" si="1088"/>
        <v>0</v>
      </c>
      <c r="FT187" s="163">
        <f t="shared" si="1088"/>
        <v>0</v>
      </c>
      <c r="FU187" s="163">
        <f t="shared" si="1088"/>
        <v>0</v>
      </c>
      <c r="FV187" s="314"/>
    </row>
    <row r="188" spans="2:178" x14ac:dyDescent="0.2">
      <c r="B188" s="47"/>
      <c r="C188" s="39" t="s">
        <v>131</v>
      </c>
      <c r="E188" s="163">
        <f t="shared" si="1082"/>
        <v>-281717.78494089306</v>
      </c>
      <c r="F188" s="261">
        <f t="shared" ref="F188:AK188" si="1098">IF(AND(F58&gt;=EOMONTH($F$9,$E$32),F58&lt;=$F$11),-($F$32+F187),0)</f>
        <v>0</v>
      </c>
      <c r="G188" s="163">
        <f t="shared" si="1098"/>
        <v>0</v>
      </c>
      <c r="H188" s="163">
        <f t="shared" si="1098"/>
        <v>0</v>
      </c>
      <c r="I188" s="163">
        <f t="shared" si="1098"/>
        <v>0</v>
      </c>
      <c r="J188" s="163">
        <f t="shared" si="1098"/>
        <v>0</v>
      </c>
      <c r="K188" s="163">
        <f t="shared" si="1098"/>
        <v>0</v>
      </c>
      <c r="L188" s="163">
        <f t="shared" si="1098"/>
        <v>0</v>
      </c>
      <c r="M188" s="163">
        <f t="shared" si="1098"/>
        <v>0</v>
      </c>
      <c r="N188" s="163">
        <f t="shared" si="1098"/>
        <v>0</v>
      </c>
      <c r="O188" s="163">
        <f t="shared" si="1098"/>
        <v>0</v>
      </c>
      <c r="P188" s="163">
        <f t="shared" si="1098"/>
        <v>0</v>
      </c>
      <c r="Q188" s="163">
        <f t="shared" si="1098"/>
        <v>0</v>
      </c>
      <c r="R188" s="163">
        <f t="shared" si="1098"/>
        <v>0</v>
      </c>
      <c r="S188" s="163">
        <f t="shared" si="1098"/>
        <v>0</v>
      </c>
      <c r="T188" s="163">
        <f t="shared" si="1098"/>
        <v>0</v>
      </c>
      <c r="U188" s="163">
        <f t="shared" si="1098"/>
        <v>0</v>
      </c>
      <c r="V188" s="163">
        <f t="shared" si="1098"/>
        <v>0</v>
      </c>
      <c r="W188" s="163">
        <f t="shared" si="1098"/>
        <v>0</v>
      </c>
      <c r="X188" s="163">
        <f t="shared" si="1098"/>
        <v>0</v>
      </c>
      <c r="Y188" s="163">
        <f t="shared" si="1098"/>
        <v>0</v>
      </c>
      <c r="Z188" s="163">
        <f t="shared" si="1098"/>
        <v>0</v>
      </c>
      <c r="AA188" s="163">
        <f t="shared" si="1098"/>
        <v>0</v>
      </c>
      <c r="AB188" s="163">
        <f t="shared" si="1098"/>
        <v>0</v>
      </c>
      <c r="AC188" s="163">
        <f t="shared" si="1098"/>
        <v>0</v>
      </c>
      <c r="AD188" s="163">
        <f t="shared" si="1098"/>
        <v>0</v>
      </c>
      <c r="AE188" s="163">
        <f t="shared" si="1098"/>
        <v>-20922.420534108693</v>
      </c>
      <c r="AF188" s="163">
        <f t="shared" si="1098"/>
        <v>-21044.467987224314</v>
      </c>
      <c r="AG188" s="163">
        <f t="shared" si="1098"/>
        <v>-21167.227383816455</v>
      </c>
      <c r="AH188" s="163">
        <f t="shared" si="1098"/>
        <v>-21290.702876888725</v>
      </c>
      <c r="AI188" s="163">
        <f t="shared" si="1098"/>
        <v>-21414.898643670575</v>
      </c>
      <c r="AJ188" s="163">
        <f t="shared" si="1098"/>
        <v>-21539.81888575865</v>
      </c>
      <c r="AK188" s="163">
        <f t="shared" si="1098"/>
        <v>-21665.467829258909</v>
      </c>
      <c r="AL188" s="163">
        <f t="shared" ref="AL188:BQ188" si="1099">IF(AND(AL58&gt;=EOMONTH($F$9,$E$32),AL58&lt;=$F$11),-($F$32+AL187),0)</f>
        <v>-21791.849724929591</v>
      </c>
      <c r="AM188" s="163">
        <f t="shared" si="1099"/>
        <v>-21918.968848325007</v>
      </c>
      <c r="AN188" s="163">
        <f t="shared" si="1099"/>
        <v>-22046.829499940242</v>
      </c>
      <c r="AO188" s="163">
        <f t="shared" si="1099"/>
        <v>-22175.436005356562</v>
      </c>
      <c r="AP188" s="163">
        <f t="shared" si="1099"/>
        <v>-22304.792715387797</v>
      </c>
      <c r="AQ188" s="163">
        <f t="shared" si="1099"/>
        <v>-22434.90400622756</v>
      </c>
      <c r="AR188" s="163">
        <f t="shared" si="1099"/>
        <v>0</v>
      </c>
      <c r="AS188" s="163">
        <f t="shared" si="1099"/>
        <v>0</v>
      </c>
      <c r="AT188" s="163">
        <f t="shared" si="1099"/>
        <v>0</v>
      </c>
      <c r="AU188" s="163">
        <f t="shared" si="1099"/>
        <v>0</v>
      </c>
      <c r="AV188" s="163">
        <f t="shared" si="1099"/>
        <v>0</v>
      </c>
      <c r="AW188" s="163">
        <f t="shared" si="1099"/>
        <v>0</v>
      </c>
      <c r="AX188" s="163">
        <f t="shared" si="1099"/>
        <v>0</v>
      </c>
      <c r="AY188" s="163">
        <f t="shared" si="1099"/>
        <v>0</v>
      </c>
      <c r="AZ188" s="163">
        <f t="shared" si="1099"/>
        <v>0</v>
      </c>
      <c r="BA188" s="163">
        <f t="shared" si="1099"/>
        <v>0</v>
      </c>
      <c r="BB188" s="163">
        <f t="shared" si="1099"/>
        <v>0</v>
      </c>
      <c r="BC188" s="163">
        <f t="shared" si="1099"/>
        <v>0</v>
      </c>
      <c r="BD188" s="163">
        <f t="shared" si="1099"/>
        <v>0</v>
      </c>
      <c r="BE188" s="163">
        <f t="shared" si="1099"/>
        <v>0</v>
      </c>
      <c r="BF188" s="163">
        <f t="shared" si="1099"/>
        <v>0</v>
      </c>
      <c r="BG188" s="163">
        <f t="shared" si="1099"/>
        <v>0</v>
      </c>
      <c r="BH188" s="163">
        <f t="shared" si="1099"/>
        <v>0</v>
      </c>
      <c r="BI188" s="163">
        <f t="shared" si="1099"/>
        <v>0</v>
      </c>
      <c r="BJ188" s="163">
        <f t="shared" si="1099"/>
        <v>0</v>
      </c>
      <c r="BK188" s="163">
        <f t="shared" si="1099"/>
        <v>0</v>
      </c>
      <c r="BL188" s="163">
        <f t="shared" si="1099"/>
        <v>0</v>
      </c>
      <c r="BM188" s="163">
        <f t="shared" si="1099"/>
        <v>0</v>
      </c>
      <c r="BN188" s="163">
        <f t="shared" si="1099"/>
        <v>0</v>
      </c>
      <c r="BO188" s="163">
        <f t="shared" si="1099"/>
        <v>0</v>
      </c>
      <c r="BP188" s="163">
        <f t="shared" si="1099"/>
        <v>0</v>
      </c>
      <c r="BQ188" s="163">
        <f t="shared" si="1099"/>
        <v>0</v>
      </c>
      <c r="BR188" s="163">
        <f t="shared" ref="BR188:CW188" si="1100">IF(AND(BR58&gt;=EOMONTH($F$9,$E$32),BR58&lt;=$F$11),-($F$32+BR187),0)</f>
        <v>0</v>
      </c>
      <c r="BS188" s="163">
        <f t="shared" si="1100"/>
        <v>0</v>
      </c>
      <c r="BT188" s="163">
        <f t="shared" si="1100"/>
        <v>0</v>
      </c>
      <c r="BU188" s="163">
        <f t="shared" si="1100"/>
        <v>0</v>
      </c>
      <c r="BV188" s="163">
        <f t="shared" si="1100"/>
        <v>0</v>
      </c>
      <c r="BW188" s="163">
        <f t="shared" si="1100"/>
        <v>0</v>
      </c>
      <c r="BX188" s="163">
        <f t="shared" si="1100"/>
        <v>0</v>
      </c>
      <c r="BY188" s="163">
        <f t="shared" si="1100"/>
        <v>0</v>
      </c>
      <c r="BZ188" s="163">
        <f t="shared" si="1100"/>
        <v>0</v>
      </c>
      <c r="CA188" s="163">
        <f t="shared" si="1100"/>
        <v>0</v>
      </c>
      <c r="CB188" s="163">
        <f t="shared" si="1100"/>
        <v>0</v>
      </c>
      <c r="CC188" s="163">
        <f t="shared" si="1100"/>
        <v>0</v>
      </c>
      <c r="CD188" s="163">
        <f t="shared" si="1100"/>
        <v>0</v>
      </c>
      <c r="CE188" s="163">
        <f t="shared" si="1100"/>
        <v>0</v>
      </c>
      <c r="CF188" s="163">
        <f t="shared" si="1100"/>
        <v>0</v>
      </c>
      <c r="CG188" s="163">
        <f t="shared" si="1100"/>
        <v>0</v>
      </c>
      <c r="CH188" s="163">
        <f t="shared" si="1100"/>
        <v>0</v>
      </c>
      <c r="CI188" s="163">
        <f t="shared" si="1100"/>
        <v>0</v>
      </c>
      <c r="CJ188" s="163">
        <f t="shared" si="1100"/>
        <v>0</v>
      </c>
      <c r="CK188" s="163">
        <f t="shared" si="1100"/>
        <v>0</v>
      </c>
      <c r="CL188" s="163">
        <f t="shared" si="1100"/>
        <v>0</v>
      </c>
      <c r="CM188" s="163">
        <f t="shared" si="1100"/>
        <v>0</v>
      </c>
      <c r="CN188" s="163">
        <f t="shared" si="1100"/>
        <v>0</v>
      </c>
      <c r="CO188" s="163">
        <f t="shared" si="1100"/>
        <v>0</v>
      </c>
      <c r="CP188" s="163">
        <f t="shared" si="1100"/>
        <v>0</v>
      </c>
      <c r="CQ188" s="163">
        <f t="shared" si="1100"/>
        <v>0</v>
      </c>
      <c r="CR188" s="163">
        <f t="shared" si="1100"/>
        <v>0</v>
      </c>
      <c r="CS188" s="163">
        <f t="shared" si="1100"/>
        <v>0</v>
      </c>
      <c r="CT188" s="163">
        <f t="shared" si="1100"/>
        <v>0</v>
      </c>
      <c r="CU188" s="163">
        <f t="shared" si="1100"/>
        <v>0</v>
      </c>
      <c r="CV188" s="163">
        <f t="shared" si="1100"/>
        <v>0</v>
      </c>
      <c r="CW188" s="163">
        <f t="shared" si="1100"/>
        <v>0</v>
      </c>
      <c r="CX188" s="163">
        <f t="shared" ref="CX188:EC188" si="1101">IF(AND(CX58&gt;=EOMONTH($F$9,$E$32),CX58&lt;=$F$11),-($F$32+CX187),0)</f>
        <v>0</v>
      </c>
      <c r="CY188" s="163">
        <f t="shared" si="1101"/>
        <v>0</v>
      </c>
      <c r="CZ188" s="163">
        <f t="shared" si="1101"/>
        <v>0</v>
      </c>
      <c r="DA188" s="163">
        <f t="shared" si="1101"/>
        <v>0</v>
      </c>
      <c r="DB188" s="163">
        <f t="shared" si="1101"/>
        <v>0</v>
      </c>
      <c r="DC188" s="163">
        <f t="shared" si="1101"/>
        <v>0</v>
      </c>
      <c r="DD188" s="163">
        <f t="shared" si="1101"/>
        <v>0</v>
      </c>
      <c r="DE188" s="163">
        <f t="shared" si="1101"/>
        <v>0</v>
      </c>
      <c r="DF188" s="163">
        <f t="shared" si="1101"/>
        <v>0</v>
      </c>
      <c r="DG188" s="163">
        <f t="shared" si="1101"/>
        <v>0</v>
      </c>
      <c r="DH188" s="163">
        <f t="shared" si="1101"/>
        <v>0</v>
      </c>
      <c r="DI188" s="163">
        <f t="shared" si="1101"/>
        <v>0</v>
      </c>
      <c r="DJ188" s="163">
        <f t="shared" si="1101"/>
        <v>0</v>
      </c>
      <c r="DK188" s="163">
        <f t="shared" si="1101"/>
        <v>0</v>
      </c>
      <c r="DL188" s="163">
        <f t="shared" si="1101"/>
        <v>0</v>
      </c>
      <c r="DM188" s="163">
        <f t="shared" si="1101"/>
        <v>0</v>
      </c>
      <c r="DN188" s="163">
        <f t="shared" si="1101"/>
        <v>0</v>
      </c>
      <c r="DO188" s="163">
        <f t="shared" si="1101"/>
        <v>0</v>
      </c>
      <c r="DP188" s="163">
        <f t="shared" si="1101"/>
        <v>0</v>
      </c>
      <c r="DQ188" s="163">
        <f t="shared" si="1101"/>
        <v>0</v>
      </c>
      <c r="DR188" s="163">
        <f t="shared" si="1101"/>
        <v>0</v>
      </c>
      <c r="DS188" s="163">
        <f t="shared" si="1101"/>
        <v>0</v>
      </c>
      <c r="DT188" s="163">
        <f t="shared" si="1101"/>
        <v>0</v>
      </c>
      <c r="DU188" s="163">
        <f t="shared" si="1101"/>
        <v>0</v>
      </c>
      <c r="DV188" s="163">
        <f t="shared" si="1101"/>
        <v>0</v>
      </c>
      <c r="DW188" s="163">
        <f t="shared" si="1101"/>
        <v>0</v>
      </c>
      <c r="DX188" s="163">
        <f t="shared" si="1101"/>
        <v>0</v>
      </c>
      <c r="DY188" s="163">
        <f t="shared" si="1101"/>
        <v>0</v>
      </c>
      <c r="DZ188" s="163">
        <f t="shared" si="1101"/>
        <v>0</v>
      </c>
      <c r="EA188" s="163">
        <f t="shared" si="1101"/>
        <v>0</v>
      </c>
      <c r="EB188" s="163">
        <f t="shared" si="1101"/>
        <v>0</v>
      </c>
      <c r="EC188" s="163">
        <f t="shared" si="1101"/>
        <v>0</v>
      </c>
      <c r="ED188" s="163">
        <f t="shared" ref="ED188:FF188" si="1102">IF(AND(ED58&gt;=EOMONTH($F$9,$E$32),ED58&lt;=$F$11),-($F$32+ED187),0)</f>
        <v>0</v>
      </c>
      <c r="EE188" s="163">
        <f t="shared" si="1102"/>
        <v>0</v>
      </c>
      <c r="EF188" s="163">
        <f t="shared" si="1102"/>
        <v>0</v>
      </c>
      <c r="EG188" s="163">
        <f t="shared" si="1102"/>
        <v>0</v>
      </c>
      <c r="EH188" s="163">
        <f t="shared" si="1102"/>
        <v>0</v>
      </c>
      <c r="EI188" s="163">
        <f t="shared" si="1102"/>
        <v>0</v>
      </c>
      <c r="EJ188" s="163">
        <f t="shared" si="1102"/>
        <v>0</v>
      </c>
      <c r="EK188" s="163">
        <f t="shared" si="1102"/>
        <v>0</v>
      </c>
      <c r="EL188" s="163">
        <f t="shared" si="1102"/>
        <v>0</v>
      </c>
      <c r="EM188" s="163">
        <f t="shared" si="1102"/>
        <v>0</v>
      </c>
      <c r="EN188" s="163">
        <f t="shared" si="1102"/>
        <v>0</v>
      </c>
      <c r="EO188" s="163">
        <f t="shared" si="1102"/>
        <v>0</v>
      </c>
      <c r="EP188" s="163">
        <f t="shared" si="1102"/>
        <v>0</v>
      </c>
      <c r="EQ188" s="163">
        <f t="shared" si="1102"/>
        <v>0</v>
      </c>
      <c r="ER188" s="163">
        <f t="shared" si="1102"/>
        <v>0</v>
      </c>
      <c r="ES188" s="163">
        <f t="shared" si="1102"/>
        <v>0</v>
      </c>
      <c r="ET188" s="163">
        <f t="shared" si="1102"/>
        <v>0</v>
      </c>
      <c r="EU188" s="163">
        <f t="shared" si="1102"/>
        <v>0</v>
      </c>
      <c r="EV188" s="163">
        <f t="shared" si="1102"/>
        <v>0</v>
      </c>
      <c r="EW188" s="163">
        <f t="shared" si="1102"/>
        <v>0</v>
      </c>
      <c r="EX188" s="163">
        <f t="shared" si="1102"/>
        <v>0</v>
      </c>
      <c r="EY188" s="163">
        <f t="shared" si="1102"/>
        <v>0</v>
      </c>
      <c r="EZ188" s="163">
        <f t="shared" si="1102"/>
        <v>0</v>
      </c>
      <c r="FA188" s="163">
        <f t="shared" si="1102"/>
        <v>0</v>
      </c>
      <c r="FB188" s="163">
        <f t="shared" si="1102"/>
        <v>0</v>
      </c>
      <c r="FC188" s="163">
        <f t="shared" si="1102"/>
        <v>0</v>
      </c>
      <c r="FD188" s="163">
        <f t="shared" si="1102"/>
        <v>0</v>
      </c>
      <c r="FE188" s="163">
        <f t="shared" si="1102"/>
        <v>0</v>
      </c>
      <c r="FF188" s="163">
        <f t="shared" si="1102"/>
        <v>0</v>
      </c>
      <c r="FG188" s="314"/>
      <c r="FH188" s="163">
        <f t="shared" si="1088"/>
        <v>0</v>
      </c>
      <c r="FI188" s="163">
        <f t="shared" si="1088"/>
        <v>0</v>
      </c>
      <c r="FJ188" s="163">
        <f t="shared" si="1088"/>
        <v>-149045.00414072632</v>
      </c>
      <c r="FK188" s="163">
        <f t="shared" si="1088"/>
        <v>-132672.78080016677</v>
      </c>
      <c r="FL188" s="163">
        <f t="shared" si="1088"/>
        <v>0</v>
      </c>
      <c r="FM188" s="163">
        <f t="shared" si="1088"/>
        <v>0</v>
      </c>
      <c r="FN188" s="163">
        <f t="shared" si="1088"/>
        <v>0</v>
      </c>
      <c r="FO188" s="163">
        <f t="shared" si="1088"/>
        <v>0</v>
      </c>
      <c r="FP188" s="163">
        <f t="shared" si="1088"/>
        <v>0</v>
      </c>
      <c r="FQ188" s="163">
        <f t="shared" si="1088"/>
        <v>0</v>
      </c>
      <c r="FR188" s="163">
        <f t="shared" si="1088"/>
        <v>0</v>
      </c>
      <c r="FS188" s="163">
        <f t="shared" si="1088"/>
        <v>0</v>
      </c>
      <c r="FT188" s="163">
        <f t="shared" si="1088"/>
        <v>0</v>
      </c>
      <c r="FU188" s="163">
        <f t="shared" si="1088"/>
        <v>0</v>
      </c>
      <c r="FV188" s="314"/>
    </row>
    <row r="189" spans="2:178" x14ac:dyDescent="0.2">
      <c r="B189" s="47"/>
      <c r="C189" s="39" t="s">
        <v>132</v>
      </c>
      <c r="E189" s="163">
        <f t="shared" si="1082"/>
        <v>-13068282.215059111</v>
      </c>
      <c r="F189" s="261">
        <f t="shared" ref="F189:AK189" si="1103">IF(F58=$F$29,-SUM(F184:F188),0)</f>
        <v>0</v>
      </c>
      <c r="G189" s="163">
        <f t="shared" si="1103"/>
        <v>0</v>
      </c>
      <c r="H189" s="163">
        <f t="shared" si="1103"/>
        <v>0</v>
      </c>
      <c r="I189" s="163">
        <f t="shared" si="1103"/>
        <v>0</v>
      </c>
      <c r="J189" s="163">
        <f t="shared" si="1103"/>
        <v>0</v>
      </c>
      <c r="K189" s="163">
        <f t="shared" si="1103"/>
        <v>0</v>
      </c>
      <c r="L189" s="163">
        <f t="shared" si="1103"/>
        <v>0</v>
      </c>
      <c r="M189" s="163">
        <f t="shared" si="1103"/>
        <v>0</v>
      </c>
      <c r="N189" s="163">
        <f t="shared" si="1103"/>
        <v>0</v>
      </c>
      <c r="O189" s="163">
        <f t="shared" si="1103"/>
        <v>0</v>
      </c>
      <c r="P189" s="163">
        <f t="shared" si="1103"/>
        <v>0</v>
      </c>
      <c r="Q189" s="163">
        <f t="shared" si="1103"/>
        <v>0</v>
      </c>
      <c r="R189" s="163">
        <f t="shared" si="1103"/>
        <v>0</v>
      </c>
      <c r="S189" s="163">
        <f t="shared" si="1103"/>
        <v>0</v>
      </c>
      <c r="T189" s="163">
        <f t="shared" si="1103"/>
        <v>0</v>
      </c>
      <c r="U189" s="163">
        <f t="shared" si="1103"/>
        <v>0</v>
      </c>
      <c r="V189" s="163">
        <f t="shared" si="1103"/>
        <v>0</v>
      </c>
      <c r="W189" s="163">
        <f t="shared" si="1103"/>
        <v>0</v>
      </c>
      <c r="X189" s="163">
        <f t="shared" si="1103"/>
        <v>0</v>
      </c>
      <c r="Y189" s="163">
        <f t="shared" si="1103"/>
        <v>0</v>
      </c>
      <c r="Z189" s="163">
        <f t="shared" si="1103"/>
        <v>0</v>
      </c>
      <c r="AA189" s="163">
        <f t="shared" si="1103"/>
        <v>0</v>
      </c>
      <c r="AB189" s="163">
        <f t="shared" si="1103"/>
        <v>0</v>
      </c>
      <c r="AC189" s="163">
        <f t="shared" si="1103"/>
        <v>0</v>
      </c>
      <c r="AD189" s="163">
        <f t="shared" si="1103"/>
        <v>0</v>
      </c>
      <c r="AE189" s="163">
        <f t="shared" si="1103"/>
        <v>0</v>
      </c>
      <c r="AF189" s="163">
        <f t="shared" si="1103"/>
        <v>0</v>
      </c>
      <c r="AG189" s="163">
        <f t="shared" si="1103"/>
        <v>0</v>
      </c>
      <c r="AH189" s="163">
        <f t="shared" si="1103"/>
        <v>0</v>
      </c>
      <c r="AI189" s="163">
        <f t="shared" si="1103"/>
        <v>0</v>
      </c>
      <c r="AJ189" s="163">
        <f t="shared" si="1103"/>
        <v>0</v>
      </c>
      <c r="AK189" s="163">
        <f t="shared" si="1103"/>
        <v>0</v>
      </c>
      <c r="AL189" s="163">
        <f t="shared" ref="AL189:BQ189" si="1104">IF(AL58=$F$29,-SUM(AL184:AL188),0)</f>
        <v>0</v>
      </c>
      <c r="AM189" s="163">
        <f t="shared" si="1104"/>
        <v>0</v>
      </c>
      <c r="AN189" s="163">
        <f t="shared" si="1104"/>
        <v>0</v>
      </c>
      <c r="AO189" s="163">
        <f t="shared" si="1104"/>
        <v>0</v>
      </c>
      <c r="AP189" s="163">
        <f t="shared" si="1104"/>
        <v>0</v>
      </c>
      <c r="AQ189" s="163">
        <f t="shared" si="1104"/>
        <v>-13068282.215059111</v>
      </c>
      <c r="AR189" s="163">
        <f t="shared" si="1104"/>
        <v>0</v>
      </c>
      <c r="AS189" s="163">
        <f t="shared" si="1104"/>
        <v>0</v>
      </c>
      <c r="AT189" s="163">
        <f t="shared" si="1104"/>
        <v>0</v>
      </c>
      <c r="AU189" s="163">
        <f t="shared" si="1104"/>
        <v>0</v>
      </c>
      <c r="AV189" s="163">
        <f t="shared" si="1104"/>
        <v>0</v>
      </c>
      <c r="AW189" s="163">
        <f t="shared" si="1104"/>
        <v>0</v>
      </c>
      <c r="AX189" s="163">
        <f t="shared" si="1104"/>
        <v>0</v>
      </c>
      <c r="AY189" s="163">
        <f t="shared" si="1104"/>
        <v>0</v>
      </c>
      <c r="AZ189" s="163">
        <f t="shared" si="1104"/>
        <v>0</v>
      </c>
      <c r="BA189" s="163">
        <f t="shared" si="1104"/>
        <v>0</v>
      </c>
      <c r="BB189" s="163">
        <f t="shared" si="1104"/>
        <v>0</v>
      </c>
      <c r="BC189" s="163">
        <f t="shared" si="1104"/>
        <v>0</v>
      </c>
      <c r="BD189" s="163">
        <f t="shared" si="1104"/>
        <v>0</v>
      </c>
      <c r="BE189" s="163">
        <f t="shared" si="1104"/>
        <v>0</v>
      </c>
      <c r="BF189" s="163">
        <f t="shared" si="1104"/>
        <v>0</v>
      </c>
      <c r="BG189" s="163">
        <f t="shared" si="1104"/>
        <v>0</v>
      </c>
      <c r="BH189" s="163">
        <f t="shared" si="1104"/>
        <v>0</v>
      </c>
      <c r="BI189" s="163">
        <f t="shared" si="1104"/>
        <v>0</v>
      </c>
      <c r="BJ189" s="163">
        <f t="shared" si="1104"/>
        <v>0</v>
      </c>
      <c r="BK189" s="163">
        <f t="shared" si="1104"/>
        <v>0</v>
      </c>
      <c r="BL189" s="163">
        <f t="shared" si="1104"/>
        <v>0</v>
      </c>
      <c r="BM189" s="163">
        <f t="shared" si="1104"/>
        <v>0</v>
      </c>
      <c r="BN189" s="163">
        <f t="shared" si="1104"/>
        <v>0</v>
      </c>
      <c r="BO189" s="163">
        <f t="shared" si="1104"/>
        <v>0</v>
      </c>
      <c r="BP189" s="163">
        <f t="shared" si="1104"/>
        <v>0</v>
      </c>
      <c r="BQ189" s="163">
        <f t="shared" si="1104"/>
        <v>0</v>
      </c>
      <c r="BR189" s="163">
        <f t="shared" ref="BR189:CW189" si="1105">IF(BR58=$F$29,-SUM(BR184:BR188),0)</f>
        <v>0</v>
      </c>
      <c r="BS189" s="163">
        <f t="shared" si="1105"/>
        <v>0</v>
      </c>
      <c r="BT189" s="163">
        <f t="shared" si="1105"/>
        <v>0</v>
      </c>
      <c r="BU189" s="163">
        <f t="shared" si="1105"/>
        <v>0</v>
      </c>
      <c r="BV189" s="163">
        <f t="shared" si="1105"/>
        <v>0</v>
      </c>
      <c r="BW189" s="163">
        <f t="shared" si="1105"/>
        <v>0</v>
      </c>
      <c r="BX189" s="163">
        <f t="shared" si="1105"/>
        <v>0</v>
      </c>
      <c r="BY189" s="163">
        <f t="shared" si="1105"/>
        <v>0</v>
      </c>
      <c r="BZ189" s="163">
        <f t="shared" si="1105"/>
        <v>0</v>
      </c>
      <c r="CA189" s="163">
        <f t="shared" si="1105"/>
        <v>0</v>
      </c>
      <c r="CB189" s="163">
        <f t="shared" si="1105"/>
        <v>0</v>
      </c>
      <c r="CC189" s="163">
        <f t="shared" si="1105"/>
        <v>0</v>
      </c>
      <c r="CD189" s="163">
        <f t="shared" si="1105"/>
        <v>0</v>
      </c>
      <c r="CE189" s="163">
        <f t="shared" si="1105"/>
        <v>0</v>
      </c>
      <c r="CF189" s="163">
        <f t="shared" si="1105"/>
        <v>0</v>
      </c>
      <c r="CG189" s="163">
        <f t="shared" si="1105"/>
        <v>0</v>
      </c>
      <c r="CH189" s="163">
        <f t="shared" si="1105"/>
        <v>0</v>
      </c>
      <c r="CI189" s="163">
        <f t="shared" si="1105"/>
        <v>0</v>
      </c>
      <c r="CJ189" s="163">
        <f t="shared" si="1105"/>
        <v>0</v>
      </c>
      <c r="CK189" s="163">
        <f t="shared" si="1105"/>
        <v>0</v>
      </c>
      <c r="CL189" s="163">
        <f t="shared" si="1105"/>
        <v>0</v>
      </c>
      <c r="CM189" s="163">
        <f t="shared" si="1105"/>
        <v>0</v>
      </c>
      <c r="CN189" s="163">
        <f t="shared" si="1105"/>
        <v>0</v>
      </c>
      <c r="CO189" s="163">
        <f t="shared" si="1105"/>
        <v>0</v>
      </c>
      <c r="CP189" s="163">
        <f t="shared" si="1105"/>
        <v>0</v>
      </c>
      <c r="CQ189" s="163">
        <f t="shared" si="1105"/>
        <v>0</v>
      </c>
      <c r="CR189" s="163">
        <f t="shared" si="1105"/>
        <v>0</v>
      </c>
      <c r="CS189" s="163">
        <f t="shared" si="1105"/>
        <v>0</v>
      </c>
      <c r="CT189" s="163">
        <f t="shared" si="1105"/>
        <v>0</v>
      </c>
      <c r="CU189" s="163">
        <f t="shared" si="1105"/>
        <v>0</v>
      </c>
      <c r="CV189" s="163">
        <f t="shared" si="1105"/>
        <v>0</v>
      </c>
      <c r="CW189" s="163">
        <f t="shared" si="1105"/>
        <v>0</v>
      </c>
      <c r="CX189" s="163">
        <f t="shared" ref="CX189:EC189" si="1106">IF(CX58=$F$29,-SUM(CX184:CX188),0)</f>
        <v>0</v>
      </c>
      <c r="CY189" s="163">
        <f t="shared" si="1106"/>
        <v>0</v>
      </c>
      <c r="CZ189" s="163">
        <f t="shared" si="1106"/>
        <v>0</v>
      </c>
      <c r="DA189" s="163">
        <f t="shared" si="1106"/>
        <v>0</v>
      </c>
      <c r="DB189" s="163">
        <f t="shared" si="1106"/>
        <v>0</v>
      </c>
      <c r="DC189" s="163">
        <f t="shared" si="1106"/>
        <v>0</v>
      </c>
      <c r="DD189" s="163">
        <f t="shared" si="1106"/>
        <v>0</v>
      </c>
      <c r="DE189" s="163">
        <f t="shared" si="1106"/>
        <v>0</v>
      </c>
      <c r="DF189" s="163">
        <f t="shared" si="1106"/>
        <v>0</v>
      </c>
      <c r="DG189" s="163">
        <f t="shared" si="1106"/>
        <v>0</v>
      </c>
      <c r="DH189" s="163">
        <f t="shared" si="1106"/>
        <v>0</v>
      </c>
      <c r="DI189" s="163">
        <f t="shared" si="1106"/>
        <v>0</v>
      </c>
      <c r="DJ189" s="163">
        <f t="shared" si="1106"/>
        <v>0</v>
      </c>
      <c r="DK189" s="163">
        <f t="shared" si="1106"/>
        <v>0</v>
      </c>
      <c r="DL189" s="163">
        <f t="shared" si="1106"/>
        <v>0</v>
      </c>
      <c r="DM189" s="163">
        <f t="shared" si="1106"/>
        <v>0</v>
      </c>
      <c r="DN189" s="163">
        <f t="shared" si="1106"/>
        <v>0</v>
      </c>
      <c r="DO189" s="163">
        <f t="shared" si="1106"/>
        <v>0</v>
      </c>
      <c r="DP189" s="163">
        <f t="shared" si="1106"/>
        <v>0</v>
      </c>
      <c r="DQ189" s="163">
        <f t="shared" si="1106"/>
        <v>0</v>
      </c>
      <c r="DR189" s="163">
        <f t="shared" si="1106"/>
        <v>0</v>
      </c>
      <c r="DS189" s="163">
        <f t="shared" si="1106"/>
        <v>0</v>
      </c>
      <c r="DT189" s="163">
        <f t="shared" si="1106"/>
        <v>0</v>
      </c>
      <c r="DU189" s="163">
        <f t="shared" si="1106"/>
        <v>0</v>
      </c>
      <c r="DV189" s="163">
        <f t="shared" si="1106"/>
        <v>0</v>
      </c>
      <c r="DW189" s="163">
        <f t="shared" si="1106"/>
        <v>0</v>
      </c>
      <c r="DX189" s="163">
        <f t="shared" si="1106"/>
        <v>0</v>
      </c>
      <c r="DY189" s="163">
        <f t="shared" si="1106"/>
        <v>0</v>
      </c>
      <c r="DZ189" s="163">
        <f t="shared" si="1106"/>
        <v>0</v>
      </c>
      <c r="EA189" s="163">
        <f t="shared" si="1106"/>
        <v>0</v>
      </c>
      <c r="EB189" s="163">
        <f t="shared" si="1106"/>
        <v>0</v>
      </c>
      <c r="EC189" s="163">
        <f t="shared" si="1106"/>
        <v>0</v>
      </c>
      <c r="ED189" s="163">
        <f t="shared" ref="ED189:FF189" si="1107">IF(ED58=$F$29,-SUM(ED184:ED188),0)</f>
        <v>0</v>
      </c>
      <c r="EE189" s="163">
        <f t="shared" si="1107"/>
        <v>0</v>
      </c>
      <c r="EF189" s="163">
        <f t="shared" si="1107"/>
        <v>0</v>
      </c>
      <c r="EG189" s="163">
        <f t="shared" si="1107"/>
        <v>0</v>
      </c>
      <c r="EH189" s="163">
        <f t="shared" si="1107"/>
        <v>0</v>
      </c>
      <c r="EI189" s="163">
        <f t="shared" si="1107"/>
        <v>0</v>
      </c>
      <c r="EJ189" s="163">
        <f t="shared" si="1107"/>
        <v>0</v>
      </c>
      <c r="EK189" s="163">
        <f t="shared" si="1107"/>
        <v>0</v>
      </c>
      <c r="EL189" s="163">
        <f t="shared" si="1107"/>
        <v>0</v>
      </c>
      <c r="EM189" s="163">
        <f t="shared" si="1107"/>
        <v>0</v>
      </c>
      <c r="EN189" s="163">
        <f t="shared" si="1107"/>
        <v>0</v>
      </c>
      <c r="EO189" s="163">
        <f t="shared" si="1107"/>
        <v>0</v>
      </c>
      <c r="EP189" s="163">
        <f t="shared" si="1107"/>
        <v>0</v>
      </c>
      <c r="EQ189" s="163">
        <f t="shared" si="1107"/>
        <v>0</v>
      </c>
      <c r="ER189" s="163">
        <f t="shared" si="1107"/>
        <v>0</v>
      </c>
      <c r="ES189" s="163">
        <f t="shared" si="1107"/>
        <v>0</v>
      </c>
      <c r="ET189" s="163">
        <f t="shared" si="1107"/>
        <v>0</v>
      </c>
      <c r="EU189" s="163">
        <f t="shared" si="1107"/>
        <v>0</v>
      </c>
      <c r="EV189" s="163">
        <f t="shared" si="1107"/>
        <v>0</v>
      </c>
      <c r="EW189" s="163">
        <f t="shared" si="1107"/>
        <v>0</v>
      </c>
      <c r="EX189" s="163">
        <f t="shared" si="1107"/>
        <v>0</v>
      </c>
      <c r="EY189" s="163">
        <f t="shared" si="1107"/>
        <v>0</v>
      </c>
      <c r="EZ189" s="163">
        <f t="shared" si="1107"/>
        <v>0</v>
      </c>
      <c r="FA189" s="163">
        <f t="shared" si="1107"/>
        <v>0</v>
      </c>
      <c r="FB189" s="163">
        <f t="shared" si="1107"/>
        <v>0</v>
      </c>
      <c r="FC189" s="163">
        <f t="shared" si="1107"/>
        <v>0</v>
      </c>
      <c r="FD189" s="163">
        <f t="shared" si="1107"/>
        <v>0</v>
      </c>
      <c r="FE189" s="163">
        <f t="shared" si="1107"/>
        <v>0</v>
      </c>
      <c r="FF189" s="163">
        <f t="shared" si="1107"/>
        <v>0</v>
      </c>
      <c r="FG189" s="314"/>
      <c r="FH189" s="163">
        <f t="shared" si="1088"/>
        <v>0</v>
      </c>
      <c r="FI189" s="163">
        <f t="shared" si="1088"/>
        <v>0</v>
      </c>
      <c r="FJ189" s="163">
        <f t="shared" si="1088"/>
        <v>0</v>
      </c>
      <c r="FK189" s="163">
        <f t="shared" si="1088"/>
        <v>-13068282.215059111</v>
      </c>
      <c r="FL189" s="163">
        <f t="shared" si="1088"/>
        <v>0</v>
      </c>
      <c r="FM189" s="163">
        <f t="shared" si="1088"/>
        <v>0</v>
      </c>
      <c r="FN189" s="163">
        <f t="shared" si="1088"/>
        <v>0</v>
      </c>
      <c r="FO189" s="163">
        <f t="shared" si="1088"/>
        <v>0</v>
      </c>
      <c r="FP189" s="163">
        <f t="shared" si="1088"/>
        <v>0</v>
      </c>
      <c r="FQ189" s="163">
        <f t="shared" si="1088"/>
        <v>0</v>
      </c>
      <c r="FR189" s="163">
        <f t="shared" si="1088"/>
        <v>0</v>
      </c>
      <c r="FS189" s="163">
        <f t="shared" si="1088"/>
        <v>0</v>
      </c>
      <c r="FT189" s="163">
        <f t="shared" si="1088"/>
        <v>0</v>
      </c>
      <c r="FU189" s="163">
        <f t="shared" si="1088"/>
        <v>0</v>
      </c>
      <c r="FV189" s="314"/>
    </row>
    <row r="190" spans="2:178" s="77" customFormat="1" x14ac:dyDescent="0.2">
      <c r="B190" s="208"/>
      <c r="C190" s="80" t="s">
        <v>133</v>
      </c>
      <c r="D190" s="80"/>
      <c r="E190" s="80"/>
      <c r="F190" s="279">
        <f t="shared" ref="F190:AK190" si="1108">SUM(F184:F189)</f>
        <v>13350000.000000002</v>
      </c>
      <c r="G190" s="80">
        <f t="shared" si="1108"/>
        <v>13350000.000000002</v>
      </c>
      <c r="H190" s="80">
        <f t="shared" si="1108"/>
        <v>13350000.000000002</v>
      </c>
      <c r="I190" s="80">
        <f t="shared" si="1108"/>
        <v>13350000.000000002</v>
      </c>
      <c r="J190" s="80">
        <f t="shared" si="1108"/>
        <v>13350000.000000002</v>
      </c>
      <c r="K190" s="80">
        <f t="shared" si="1108"/>
        <v>13350000.000000002</v>
      </c>
      <c r="L190" s="80">
        <f t="shared" si="1108"/>
        <v>13350000.000000002</v>
      </c>
      <c r="M190" s="80">
        <f t="shared" si="1108"/>
        <v>13350000.000000002</v>
      </c>
      <c r="N190" s="80">
        <f t="shared" si="1108"/>
        <v>13350000.000000002</v>
      </c>
      <c r="O190" s="80">
        <f t="shared" si="1108"/>
        <v>13350000.000000002</v>
      </c>
      <c r="P190" s="80">
        <f t="shared" si="1108"/>
        <v>13350000.000000002</v>
      </c>
      <c r="Q190" s="80">
        <f t="shared" si="1108"/>
        <v>13350000.000000002</v>
      </c>
      <c r="R190" s="80">
        <f t="shared" si="1108"/>
        <v>13350000.000000002</v>
      </c>
      <c r="S190" s="80">
        <f t="shared" si="1108"/>
        <v>13350000.000000002</v>
      </c>
      <c r="T190" s="80">
        <f t="shared" si="1108"/>
        <v>13350000.000000002</v>
      </c>
      <c r="U190" s="80">
        <f t="shared" si="1108"/>
        <v>13350000.000000002</v>
      </c>
      <c r="V190" s="80">
        <f t="shared" si="1108"/>
        <v>13350000.000000002</v>
      </c>
      <c r="W190" s="80">
        <f t="shared" si="1108"/>
        <v>13350000.000000002</v>
      </c>
      <c r="X190" s="80">
        <f t="shared" si="1108"/>
        <v>13350000.000000002</v>
      </c>
      <c r="Y190" s="80">
        <f t="shared" si="1108"/>
        <v>13350000.000000002</v>
      </c>
      <c r="Z190" s="80">
        <f t="shared" si="1108"/>
        <v>13350000.000000002</v>
      </c>
      <c r="AA190" s="80">
        <f t="shared" si="1108"/>
        <v>13350000.000000002</v>
      </c>
      <c r="AB190" s="80">
        <f t="shared" si="1108"/>
        <v>13350000.000000002</v>
      </c>
      <c r="AC190" s="80">
        <f t="shared" si="1108"/>
        <v>13350000.000000002</v>
      </c>
      <c r="AD190" s="80">
        <f t="shared" si="1108"/>
        <v>13350000.000000002</v>
      </c>
      <c r="AE190" s="80">
        <f t="shared" si="1108"/>
        <v>13329077.579465894</v>
      </c>
      <c r="AF190" s="80">
        <f t="shared" si="1108"/>
        <v>13308033.11147867</v>
      </c>
      <c r="AG190" s="80">
        <f t="shared" si="1108"/>
        <v>13286865.884094853</v>
      </c>
      <c r="AH190" s="80">
        <f t="shared" si="1108"/>
        <v>13265575.181217965</v>
      </c>
      <c r="AI190" s="80">
        <f t="shared" si="1108"/>
        <v>13244160.282574294</v>
      </c>
      <c r="AJ190" s="80">
        <f t="shared" si="1108"/>
        <v>13222620.463688536</v>
      </c>
      <c r="AK190" s="80">
        <f t="shared" si="1108"/>
        <v>13200954.995859277</v>
      </c>
      <c r="AL190" s="80">
        <f t="shared" ref="AL190:CW190" si="1109">SUM(AL184:AL189)</f>
        <v>13179163.146134347</v>
      </c>
      <c r="AM190" s="80">
        <f t="shared" si="1109"/>
        <v>13157244.177286021</v>
      </c>
      <c r="AN190" s="80">
        <f t="shared" si="1109"/>
        <v>13135197.347786082</v>
      </c>
      <c r="AO190" s="80">
        <f t="shared" si="1109"/>
        <v>13113021.911780726</v>
      </c>
      <c r="AP190" s="80">
        <f t="shared" si="1109"/>
        <v>13090717.119065339</v>
      </c>
      <c r="AQ190" s="80">
        <f t="shared" si="1109"/>
        <v>0</v>
      </c>
      <c r="AR190" s="80">
        <f t="shared" si="1109"/>
        <v>0</v>
      </c>
      <c r="AS190" s="80">
        <f t="shared" si="1109"/>
        <v>0</v>
      </c>
      <c r="AT190" s="80">
        <f t="shared" si="1109"/>
        <v>0</v>
      </c>
      <c r="AU190" s="80">
        <f t="shared" si="1109"/>
        <v>0</v>
      </c>
      <c r="AV190" s="80">
        <f t="shared" si="1109"/>
        <v>0</v>
      </c>
      <c r="AW190" s="80">
        <f t="shared" si="1109"/>
        <v>0</v>
      </c>
      <c r="AX190" s="80">
        <f t="shared" si="1109"/>
        <v>0</v>
      </c>
      <c r="AY190" s="80">
        <f t="shared" si="1109"/>
        <v>0</v>
      </c>
      <c r="AZ190" s="80">
        <f t="shared" si="1109"/>
        <v>0</v>
      </c>
      <c r="BA190" s="80">
        <f t="shared" si="1109"/>
        <v>0</v>
      </c>
      <c r="BB190" s="80">
        <f t="shared" si="1109"/>
        <v>0</v>
      </c>
      <c r="BC190" s="80">
        <f t="shared" si="1109"/>
        <v>0</v>
      </c>
      <c r="BD190" s="80">
        <f t="shared" si="1109"/>
        <v>0</v>
      </c>
      <c r="BE190" s="80">
        <f t="shared" si="1109"/>
        <v>0</v>
      </c>
      <c r="BF190" s="80">
        <f t="shared" si="1109"/>
        <v>0</v>
      </c>
      <c r="BG190" s="80">
        <f t="shared" si="1109"/>
        <v>0</v>
      </c>
      <c r="BH190" s="80">
        <f t="shared" si="1109"/>
        <v>0</v>
      </c>
      <c r="BI190" s="80">
        <f t="shared" si="1109"/>
        <v>0</v>
      </c>
      <c r="BJ190" s="80">
        <f t="shared" si="1109"/>
        <v>0</v>
      </c>
      <c r="BK190" s="80">
        <f t="shared" si="1109"/>
        <v>0</v>
      </c>
      <c r="BL190" s="80">
        <f t="shared" si="1109"/>
        <v>0</v>
      </c>
      <c r="BM190" s="80">
        <f t="shared" si="1109"/>
        <v>0</v>
      </c>
      <c r="BN190" s="80">
        <f t="shared" si="1109"/>
        <v>0</v>
      </c>
      <c r="BO190" s="80">
        <f t="shared" si="1109"/>
        <v>0</v>
      </c>
      <c r="BP190" s="80">
        <f t="shared" si="1109"/>
        <v>0</v>
      </c>
      <c r="BQ190" s="80">
        <f t="shared" si="1109"/>
        <v>0</v>
      </c>
      <c r="BR190" s="80">
        <f t="shared" si="1109"/>
        <v>0</v>
      </c>
      <c r="BS190" s="80">
        <f t="shared" si="1109"/>
        <v>0</v>
      </c>
      <c r="BT190" s="80">
        <f t="shared" si="1109"/>
        <v>0</v>
      </c>
      <c r="BU190" s="80">
        <f t="shared" si="1109"/>
        <v>0</v>
      </c>
      <c r="BV190" s="80">
        <f t="shared" si="1109"/>
        <v>0</v>
      </c>
      <c r="BW190" s="80">
        <f t="shared" si="1109"/>
        <v>0</v>
      </c>
      <c r="BX190" s="80">
        <f t="shared" si="1109"/>
        <v>0</v>
      </c>
      <c r="BY190" s="80">
        <f t="shared" si="1109"/>
        <v>0</v>
      </c>
      <c r="BZ190" s="80">
        <f t="shared" si="1109"/>
        <v>0</v>
      </c>
      <c r="CA190" s="80">
        <f t="shared" si="1109"/>
        <v>0</v>
      </c>
      <c r="CB190" s="80">
        <f t="shared" si="1109"/>
        <v>0</v>
      </c>
      <c r="CC190" s="80">
        <f t="shared" si="1109"/>
        <v>0</v>
      </c>
      <c r="CD190" s="80">
        <f t="shared" si="1109"/>
        <v>0</v>
      </c>
      <c r="CE190" s="80">
        <f t="shared" si="1109"/>
        <v>0</v>
      </c>
      <c r="CF190" s="80">
        <f t="shared" si="1109"/>
        <v>0</v>
      </c>
      <c r="CG190" s="80">
        <f t="shared" si="1109"/>
        <v>0</v>
      </c>
      <c r="CH190" s="80">
        <f t="shared" si="1109"/>
        <v>0</v>
      </c>
      <c r="CI190" s="80">
        <f t="shared" si="1109"/>
        <v>0</v>
      </c>
      <c r="CJ190" s="80">
        <f t="shared" si="1109"/>
        <v>0</v>
      </c>
      <c r="CK190" s="80">
        <f t="shared" si="1109"/>
        <v>0</v>
      </c>
      <c r="CL190" s="80">
        <f t="shared" si="1109"/>
        <v>0</v>
      </c>
      <c r="CM190" s="80">
        <f t="shared" si="1109"/>
        <v>0</v>
      </c>
      <c r="CN190" s="80">
        <f t="shared" si="1109"/>
        <v>0</v>
      </c>
      <c r="CO190" s="80">
        <f t="shared" si="1109"/>
        <v>0</v>
      </c>
      <c r="CP190" s="80">
        <f t="shared" si="1109"/>
        <v>0</v>
      </c>
      <c r="CQ190" s="80">
        <f t="shared" si="1109"/>
        <v>0</v>
      </c>
      <c r="CR190" s="80">
        <f t="shared" si="1109"/>
        <v>0</v>
      </c>
      <c r="CS190" s="80">
        <f t="shared" si="1109"/>
        <v>0</v>
      </c>
      <c r="CT190" s="80">
        <f t="shared" si="1109"/>
        <v>0</v>
      </c>
      <c r="CU190" s="80">
        <f t="shared" si="1109"/>
        <v>0</v>
      </c>
      <c r="CV190" s="80">
        <f t="shared" si="1109"/>
        <v>0</v>
      </c>
      <c r="CW190" s="80">
        <f t="shared" si="1109"/>
        <v>0</v>
      </c>
      <c r="CX190" s="80">
        <f t="shared" ref="CX190:FC190" si="1110">SUM(CX184:CX189)</f>
        <v>0</v>
      </c>
      <c r="CY190" s="80">
        <f t="shared" si="1110"/>
        <v>0</v>
      </c>
      <c r="CZ190" s="80">
        <f t="shared" si="1110"/>
        <v>0</v>
      </c>
      <c r="DA190" s="80">
        <f t="shared" si="1110"/>
        <v>0</v>
      </c>
      <c r="DB190" s="80">
        <f t="shared" si="1110"/>
        <v>0</v>
      </c>
      <c r="DC190" s="80">
        <f t="shared" si="1110"/>
        <v>0</v>
      </c>
      <c r="DD190" s="80">
        <f t="shared" si="1110"/>
        <v>0</v>
      </c>
      <c r="DE190" s="80">
        <f t="shared" si="1110"/>
        <v>0</v>
      </c>
      <c r="DF190" s="80">
        <f t="shared" si="1110"/>
        <v>0</v>
      </c>
      <c r="DG190" s="80">
        <f t="shared" si="1110"/>
        <v>0</v>
      </c>
      <c r="DH190" s="80">
        <f t="shared" si="1110"/>
        <v>0</v>
      </c>
      <c r="DI190" s="80">
        <f t="shared" si="1110"/>
        <v>0</v>
      </c>
      <c r="DJ190" s="80">
        <f t="shared" si="1110"/>
        <v>0</v>
      </c>
      <c r="DK190" s="80">
        <f t="shared" si="1110"/>
        <v>0</v>
      </c>
      <c r="DL190" s="80">
        <f t="shared" si="1110"/>
        <v>0</v>
      </c>
      <c r="DM190" s="80">
        <f t="shared" si="1110"/>
        <v>0</v>
      </c>
      <c r="DN190" s="80">
        <f t="shared" si="1110"/>
        <v>0</v>
      </c>
      <c r="DO190" s="80">
        <f t="shared" si="1110"/>
        <v>0</v>
      </c>
      <c r="DP190" s="80">
        <f t="shared" si="1110"/>
        <v>0</v>
      </c>
      <c r="DQ190" s="80">
        <f t="shared" si="1110"/>
        <v>0</v>
      </c>
      <c r="DR190" s="80">
        <f t="shared" si="1110"/>
        <v>0</v>
      </c>
      <c r="DS190" s="80">
        <f t="shared" si="1110"/>
        <v>0</v>
      </c>
      <c r="DT190" s="80">
        <f t="shared" si="1110"/>
        <v>0</v>
      </c>
      <c r="DU190" s="80">
        <f t="shared" si="1110"/>
        <v>0</v>
      </c>
      <c r="DV190" s="80">
        <f t="shared" si="1110"/>
        <v>0</v>
      </c>
      <c r="DW190" s="80">
        <f t="shared" si="1110"/>
        <v>0</v>
      </c>
      <c r="DX190" s="80">
        <f t="shared" si="1110"/>
        <v>0</v>
      </c>
      <c r="DY190" s="80">
        <f t="shared" si="1110"/>
        <v>0</v>
      </c>
      <c r="DZ190" s="80">
        <f t="shared" si="1110"/>
        <v>0</v>
      </c>
      <c r="EA190" s="80">
        <f t="shared" si="1110"/>
        <v>0</v>
      </c>
      <c r="EB190" s="80">
        <f t="shared" si="1110"/>
        <v>0</v>
      </c>
      <c r="EC190" s="80">
        <f t="shared" si="1110"/>
        <v>0</v>
      </c>
      <c r="ED190" s="80">
        <f t="shared" si="1110"/>
        <v>0</v>
      </c>
      <c r="EE190" s="80">
        <f t="shared" si="1110"/>
        <v>0</v>
      </c>
      <c r="EF190" s="80">
        <f t="shared" si="1110"/>
        <v>0</v>
      </c>
      <c r="EG190" s="80">
        <f t="shared" si="1110"/>
        <v>0</v>
      </c>
      <c r="EH190" s="80">
        <f t="shared" si="1110"/>
        <v>0</v>
      </c>
      <c r="EI190" s="80">
        <f t="shared" si="1110"/>
        <v>0</v>
      </c>
      <c r="EJ190" s="80">
        <f t="shared" si="1110"/>
        <v>0</v>
      </c>
      <c r="EK190" s="80">
        <f t="shared" si="1110"/>
        <v>0</v>
      </c>
      <c r="EL190" s="80">
        <f t="shared" si="1110"/>
        <v>0</v>
      </c>
      <c r="EM190" s="80">
        <f t="shared" si="1110"/>
        <v>0</v>
      </c>
      <c r="EN190" s="80">
        <f t="shared" si="1110"/>
        <v>0</v>
      </c>
      <c r="EO190" s="80">
        <f t="shared" si="1110"/>
        <v>0</v>
      </c>
      <c r="EP190" s="80">
        <f t="shared" si="1110"/>
        <v>0</v>
      </c>
      <c r="EQ190" s="80">
        <f t="shared" si="1110"/>
        <v>0</v>
      </c>
      <c r="ER190" s="80">
        <f t="shared" si="1110"/>
        <v>0</v>
      </c>
      <c r="ES190" s="80">
        <f t="shared" si="1110"/>
        <v>0</v>
      </c>
      <c r="ET190" s="80">
        <f t="shared" si="1110"/>
        <v>0</v>
      </c>
      <c r="EU190" s="80">
        <f t="shared" si="1110"/>
        <v>0</v>
      </c>
      <c r="EV190" s="80">
        <f t="shared" si="1110"/>
        <v>0</v>
      </c>
      <c r="EW190" s="80">
        <f t="shared" si="1110"/>
        <v>0</v>
      </c>
      <c r="EX190" s="80">
        <f t="shared" si="1110"/>
        <v>0</v>
      </c>
      <c r="EY190" s="80">
        <f t="shared" si="1110"/>
        <v>0</v>
      </c>
      <c r="EZ190" s="80">
        <f t="shared" si="1110"/>
        <v>0</v>
      </c>
      <c r="FA190" s="80">
        <f t="shared" si="1110"/>
        <v>0</v>
      </c>
      <c r="FB190" s="80">
        <f t="shared" si="1110"/>
        <v>0</v>
      </c>
      <c r="FC190" s="80">
        <f t="shared" si="1110"/>
        <v>0</v>
      </c>
      <c r="FD190" s="80">
        <f t="shared" ref="FD190:FE190" si="1111">SUM(FD184:FD189)</f>
        <v>0</v>
      </c>
      <c r="FE190" s="80">
        <f t="shared" si="1111"/>
        <v>0</v>
      </c>
      <c r="FF190" s="80">
        <f t="shared" ref="FF190" si="1112">SUM(FF184:FF189)</f>
        <v>0</v>
      </c>
      <c r="FG190" s="288"/>
      <c r="FH190" s="80">
        <f t="shared" ref="FH190:FU190" si="1113">SUM(FH184:FH189)</f>
        <v>13350000.000000002</v>
      </c>
      <c r="FI190" s="80">
        <f t="shared" si="1113"/>
        <v>13350000.000000002</v>
      </c>
      <c r="FJ190" s="80">
        <f t="shared" si="1113"/>
        <v>13200954.995859275</v>
      </c>
      <c r="FK190" s="80">
        <f t="shared" si="1113"/>
        <v>0</v>
      </c>
      <c r="FL190" s="80">
        <f t="shared" si="1113"/>
        <v>0</v>
      </c>
      <c r="FM190" s="80">
        <f t="shared" si="1113"/>
        <v>0</v>
      </c>
      <c r="FN190" s="80">
        <f t="shared" si="1113"/>
        <v>0</v>
      </c>
      <c r="FO190" s="80">
        <f t="shared" si="1113"/>
        <v>0</v>
      </c>
      <c r="FP190" s="80">
        <f t="shared" si="1113"/>
        <v>0</v>
      </c>
      <c r="FQ190" s="80">
        <f t="shared" si="1113"/>
        <v>0</v>
      </c>
      <c r="FR190" s="80">
        <f t="shared" si="1113"/>
        <v>0</v>
      </c>
      <c r="FS190" s="80">
        <f t="shared" si="1113"/>
        <v>0</v>
      </c>
      <c r="FT190" s="80">
        <f t="shared" si="1113"/>
        <v>0</v>
      </c>
      <c r="FU190" s="80">
        <f t="shared" si="1113"/>
        <v>0</v>
      </c>
      <c r="FV190" s="288"/>
    </row>
    <row r="191" spans="2:178" x14ac:dyDescent="0.2">
      <c r="B191" s="47"/>
      <c r="F191" s="255"/>
    </row>
    <row r="192" spans="2:178" x14ac:dyDescent="0.2">
      <c r="B192" s="47"/>
      <c r="C192" s="47" t="s">
        <v>166</v>
      </c>
      <c r="F192" s="255"/>
    </row>
    <row r="193" spans="2:178" x14ac:dyDescent="0.2">
      <c r="B193" s="47"/>
      <c r="C193" s="39" t="s">
        <v>128</v>
      </c>
      <c r="F193" s="255">
        <v>0</v>
      </c>
      <c r="G193" s="163">
        <f>F199</f>
        <v>0</v>
      </c>
      <c r="H193" s="163">
        <f>G199</f>
        <v>0</v>
      </c>
      <c r="I193" s="163">
        <f t="shared" ref="I193" si="1114">H199</f>
        <v>0</v>
      </c>
      <c r="J193" s="163">
        <f>I199</f>
        <v>0</v>
      </c>
      <c r="K193" s="163">
        <f t="shared" ref="K193" si="1115">J199</f>
        <v>0</v>
      </c>
      <c r="L193" s="163">
        <f t="shared" ref="L193" si="1116">K199</f>
        <v>0</v>
      </c>
      <c r="M193" s="163">
        <f t="shared" ref="M193" si="1117">L199</f>
        <v>0</v>
      </c>
      <c r="N193" s="163">
        <f t="shared" ref="N193" si="1118">M199</f>
        <v>0</v>
      </c>
      <c r="O193" s="163">
        <f t="shared" ref="O193" si="1119">N199</f>
        <v>0</v>
      </c>
      <c r="P193" s="163">
        <f t="shared" ref="P193" si="1120">O199</f>
        <v>0</v>
      </c>
      <c r="Q193" s="163">
        <f t="shared" ref="Q193" si="1121">P199</f>
        <v>0</v>
      </c>
      <c r="R193" s="163">
        <f t="shared" ref="R193" si="1122">Q199</f>
        <v>0</v>
      </c>
      <c r="S193" s="163">
        <f t="shared" ref="S193" si="1123">R199</f>
        <v>0</v>
      </c>
      <c r="T193" s="163">
        <f t="shared" ref="T193" si="1124">S199</f>
        <v>0</v>
      </c>
      <c r="U193" s="163">
        <f t="shared" ref="U193" si="1125">T199</f>
        <v>0</v>
      </c>
      <c r="V193" s="163">
        <f>U199</f>
        <v>0</v>
      </c>
      <c r="W193" s="163">
        <f t="shared" ref="W193" si="1126">V199</f>
        <v>0</v>
      </c>
      <c r="X193" s="163">
        <f t="shared" ref="X193" si="1127">W199</f>
        <v>0</v>
      </c>
      <c r="Y193" s="163">
        <f t="shared" ref="Y193" si="1128">X199</f>
        <v>0</v>
      </c>
      <c r="Z193" s="163">
        <f t="shared" ref="Z193" si="1129">Y199</f>
        <v>0</v>
      </c>
      <c r="AA193" s="163">
        <f t="shared" ref="AA193" si="1130">Z199</f>
        <v>0</v>
      </c>
      <c r="AB193" s="163">
        <f t="shared" ref="AB193" si="1131">AA199</f>
        <v>0</v>
      </c>
      <c r="AC193" s="163">
        <f t="shared" ref="AC193" si="1132">AB199</f>
        <v>0</v>
      </c>
      <c r="AD193" s="163">
        <f t="shared" ref="AD193" si="1133">AC199</f>
        <v>0</v>
      </c>
      <c r="AE193" s="163">
        <f t="shared" ref="AE193" si="1134">AD199</f>
        <v>0</v>
      </c>
      <c r="AF193" s="163">
        <f t="shared" ref="AF193" si="1135">AE199</f>
        <v>0</v>
      </c>
      <c r="AG193" s="163">
        <f t="shared" ref="AG193" si="1136">AF199</f>
        <v>0</v>
      </c>
      <c r="AH193" s="163">
        <f t="shared" ref="AH193" si="1137">AG199</f>
        <v>0</v>
      </c>
      <c r="AI193" s="163">
        <f t="shared" ref="AI193" si="1138">AH199</f>
        <v>0</v>
      </c>
      <c r="AJ193" s="163">
        <f t="shared" ref="AJ193" si="1139">AI199</f>
        <v>0</v>
      </c>
      <c r="AK193" s="163">
        <f t="shared" ref="AK193" si="1140">AJ199</f>
        <v>0</v>
      </c>
      <c r="AL193" s="163">
        <f t="shared" ref="AL193" si="1141">AK199</f>
        <v>0</v>
      </c>
      <c r="AM193" s="163">
        <f t="shared" ref="AM193" si="1142">AL199</f>
        <v>0</v>
      </c>
      <c r="AN193" s="163">
        <f t="shared" ref="AN193" si="1143">AM199</f>
        <v>0</v>
      </c>
      <c r="AO193" s="163">
        <f t="shared" ref="AO193" si="1144">AN199</f>
        <v>0</v>
      </c>
      <c r="AP193" s="163">
        <f t="shared" ref="AP193" si="1145">AO199</f>
        <v>0</v>
      </c>
      <c r="AQ193" s="163">
        <f t="shared" ref="AQ193" si="1146">AP199</f>
        <v>0</v>
      </c>
      <c r="AR193" s="163">
        <f t="shared" ref="AR193" ca="1" si="1147">AQ199</f>
        <v>21662072.895306453</v>
      </c>
      <c r="AS193" s="163">
        <f t="shared" ref="AS193" ca="1" si="1148">AR199</f>
        <v>21662072.895306453</v>
      </c>
      <c r="AT193" s="163">
        <f t="shared" ref="AT193" ca="1" si="1149">AS199</f>
        <v>21662072.895306453</v>
      </c>
      <c r="AU193" s="163">
        <f t="shared" ref="AU193" ca="1" si="1150">AT199</f>
        <v>21662072.895306453</v>
      </c>
      <c r="AV193" s="163">
        <f t="shared" ref="AV193" ca="1" si="1151">AU199</f>
        <v>21662072.895306453</v>
      </c>
      <c r="AW193" s="163">
        <f t="shared" ref="AW193" ca="1" si="1152">AV199</f>
        <v>21662072.895306453</v>
      </c>
      <c r="AX193" s="163">
        <f t="shared" ref="AX193" ca="1" si="1153">AW199</f>
        <v>21662072.895306453</v>
      </c>
      <c r="AY193" s="163">
        <f t="shared" ref="AY193" ca="1" si="1154">AX199</f>
        <v>21662072.895306453</v>
      </c>
      <c r="AZ193" s="163">
        <f t="shared" ref="AZ193" ca="1" si="1155">AY199</f>
        <v>21662072.895306453</v>
      </c>
      <c r="BA193" s="163">
        <f t="shared" ref="BA193" ca="1" si="1156">AZ199</f>
        <v>21662072.895306453</v>
      </c>
      <c r="BB193" s="163">
        <f t="shared" ref="BB193" ca="1" si="1157">BA199</f>
        <v>21662072.895306453</v>
      </c>
      <c r="BC193" s="163">
        <f t="shared" ref="BC193" ca="1" si="1158">BB199</f>
        <v>21662072.895306453</v>
      </c>
      <c r="BD193" s="163">
        <f t="shared" ref="BD193" ca="1" si="1159">BC199</f>
        <v>21662072.895306453</v>
      </c>
      <c r="BE193" s="163">
        <f t="shared" ref="BE193" ca="1" si="1160">BD199</f>
        <v>21662072.895306453</v>
      </c>
      <c r="BF193" s="163">
        <f t="shared" ref="BF193" ca="1" si="1161">BE199</f>
        <v>21662072.895306453</v>
      </c>
      <c r="BG193" s="163">
        <f t="shared" ref="BG193" ca="1" si="1162">BF199</f>
        <v>21662072.895306453</v>
      </c>
      <c r="BH193" s="163">
        <f t="shared" ref="BH193" ca="1" si="1163">BG199</f>
        <v>21662072.895306453</v>
      </c>
      <c r="BI193" s="163">
        <f t="shared" ref="BI193" ca="1" si="1164">BH199</f>
        <v>21662072.895306453</v>
      </c>
      <c r="BJ193" s="163">
        <f t="shared" ref="BJ193" ca="1" si="1165">BI199</f>
        <v>21662072.895306453</v>
      </c>
      <c r="BK193" s="163">
        <f t="shared" ref="BK193" ca="1" si="1166">BJ199</f>
        <v>21662072.895306453</v>
      </c>
      <c r="BL193" s="163">
        <f t="shared" ref="BL193" ca="1" si="1167">BK199</f>
        <v>21662072.895306453</v>
      </c>
      <c r="BM193" s="163">
        <f t="shared" ref="BM193" ca="1" si="1168">BL199</f>
        <v>21662072.895306453</v>
      </c>
      <c r="BN193" s="163">
        <f t="shared" ref="BN193" ca="1" si="1169">BM199</f>
        <v>21662072.895306453</v>
      </c>
      <c r="BO193" s="163">
        <f t="shared" ref="BO193" ca="1" si="1170">BN199</f>
        <v>21662072.895306453</v>
      </c>
      <c r="BP193" s="163">
        <f t="shared" ref="BP193" ca="1" si="1171">BO199</f>
        <v>21662072.895306453</v>
      </c>
      <c r="BQ193" s="163">
        <f t="shared" ref="BQ193" ca="1" si="1172">BP199</f>
        <v>21640508.187980205</v>
      </c>
      <c r="BR193" s="163">
        <f t="shared" ref="BR193" ca="1" si="1173">BQ199</f>
        <v>21618835.657117326</v>
      </c>
      <c r="BS193" s="163">
        <f t="shared" ref="BS193" ca="1" si="1174">BR199</f>
        <v>21597054.76360013</v>
      </c>
      <c r="BT193" s="163">
        <f t="shared" ref="BT193" ca="1" si="1175">BS199</f>
        <v>21575164.965615347</v>
      </c>
      <c r="BU193" s="163">
        <f t="shared" ref="BU193" ca="1" si="1176">BT199</f>
        <v>21553165.71864064</v>
      </c>
      <c r="BV193" s="163">
        <f t="shared" ref="BV193" ca="1" si="1177">BU199</f>
        <v>21531056.475431062</v>
      </c>
      <c r="BW193" s="163">
        <f t="shared" ref="BW193" ca="1" si="1178">BV199</f>
        <v>21508836.686005436</v>
      </c>
      <c r="BX193" s="163">
        <f t="shared" ref="BX193" ca="1" si="1179">BW199</f>
        <v>21486505.797632679</v>
      </c>
      <c r="BY193" s="163">
        <f t="shared" ref="BY193" ca="1" si="1180">BX199</f>
        <v>21464063.25481806</v>
      </c>
      <c r="BZ193" s="163">
        <f t="shared" ref="BZ193" ca="1" si="1181">BY199</f>
        <v>21441508.499289367</v>
      </c>
      <c r="CA193" s="163">
        <f t="shared" ref="CA193" ca="1" si="1182">BZ199</f>
        <v>21418840.969983034</v>
      </c>
      <c r="CB193" s="163">
        <f t="shared" ref="CB193" ca="1" si="1183">CA199</f>
        <v>21396060.103030168</v>
      </c>
      <c r="CC193" s="163">
        <f t="shared" ref="CC193" ca="1" si="1184">CB199</f>
        <v>21373165.331742536</v>
      </c>
      <c r="CD193" s="163">
        <f t="shared" ref="CD193" ca="1" si="1185">CC199</f>
        <v>21350156.086598467</v>
      </c>
      <c r="CE193" s="163">
        <f t="shared" ref="CE193" ca="1" si="1186">CD199</f>
        <v>21327031.795228679</v>
      </c>
      <c r="CF193" s="163">
        <f t="shared" ref="CF193" ca="1" si="1187">CE199</f>
        <v>21303791.88240204</v>
      </c>
      <c r="CG193" s="163">
        <f t="shared" ref="CG193" ca="1" si="1188">CF199</f>
        <v>21280435.770011269</v>
      </c>
      <c r="CH193" s="163">
        <f t="shared" ref="CH193" ca="1" si="1189">CG199</f>
        <v>21256962.877058543</v>
      </c>
      <c r="CI193" s="163">
        <f t="shared" ref="CI193" ca="1" si="1190">CH199</f>
        <v>21233372.619641054</v>
      </c>
      <c r="CJ193" s="163">
        <f t="shared" ref="CJ193" ca="1" si="1191">CI199</f>
        <v>21209664.410936479</v>
      </c>
      <c r="CK193" s="163">
        <f t="shared" ref="CK193" ca="1" si="1192">CJ199</f>
        <v>21185837.661188379</v>
      </c>
      <c r="CL193" s="163">
        <f t="shared" ref="CL193" ca="1" si="1193">CK199</f>
        <v>21161891.777691539</v>
      </c>
      <c r="CM193" s="163">
        <f t="shared" ref="CM193" ca="1" si="1194">CL199</f>
        <v>21137826.164777216</v>
      </c>
      <c r="CN193" s="163">
        <f t="shared" ref="CN193" ca="1" si="1195">CM199</f>
        <v>21113640.22379832</v>
      </c>
      <c r="CO193" s="163">
        <f t="shared" ref="CO193" ca="1" si="1196">CN199</f>
        <v>21089333.35311453</v>
      </c>
      <c r="CP193" s="163">
        <f t="shared" ref="CP193" ca="1" si="1197">CO199</f>
        <v>21064904.948077321</v>
      </c>
      <c r="CQ193" s="163">
        <f t="shared" ref="CQ193" ca="1" si="1198">CP199</f>
        <v>21040354.401014924</v>
      </c>
      <c r="CR193" s="163">
        <f t="shared" ref="CR193" ca="1" si="1199">CQ199</f>
        <v>21015681.101217218</v>
      </c>
      <c r="CS193" s="163">
        <f t="shared" ref="CS193" ca="1" si="1200">CR199</f>
        <v>20990884.434920523</v>
      </c>
      <c r="CT193" s="163">
        <f t="shared" ref="CT193" ca="1" si="1201">CS199</f>
        <v>20965963.785292342</v>
      </c>
      <c r="CU193" s="163">
        <f t="shared" ref="CU193" ca="1" si="1202">CT199</f>
        <v>20940918.532416023</v>
      </c>
      <c r="CV193" s="163">
        <f t="shared" ref="CV193" ca="1" si="1203">CU199</f>
        <v>20915748.053275321</v>
      </c>
      <c r="CW193" s="163">
        <f t="shared" ref="CW193" ca="1" si="1204">CV199</f>
        <v>20890451.721738916</v>
      </c>
      <c r="CX193" s="163">
        <f t="shared" ref="CX193" ca="1" si="1205">CW199</f>
        <v>20865028.908544827</v>
      </c>
      <c r="CY193" s="163">
        <f t="shared" ref="CY193" ca="1" si="1206">CX199</f>
        <v>20839478.981284771</v>
      </c>
      <c r="CZ193" s="163">
        <f t="shared" ref="CZ193" ca="1" si="1207">CY199</f>
        <v>0</v>
      </c>
      <c r="DA193" s="163">
        <f t="shared" ref="DA193" ca="1" si="1208">CZ199</f>
        <v>0</v>
      </c>
      <c r="DB193" s="163">
        <f t="shared" ref="DB193" ca="1" si="1209">DA199</f>
        <v>0</v>
      </c>
      <c r="DC193" s="163">
        <f t="shared" ref="DC193" ca="1" si="1210">DB199</f>
        <v>0</v>
      </c>
      <c r="DD193" s="163">
        <f t="shared" ref="DD193" ca="1" si="1211">DC199</f>
        <v>0</v>
      </c>
      <c r="DE193" s="163">
        <f t="shared" ref="DE193" ca="1" si="1212">DD199</f>
        <v>0</v>
      </c>
      <c r="DF193" s="163">
        <f t="shared" ref="DF193" ca="1" si="1213">DE199</f>
        <v>0</v>
      </c>
      <c r="DG193" s="163">
        <f t="shared" ref="DG193" ca="1" si="1214">DF199</f>
        <v>0</v>
      </c>
      <c r="DH193" s="163">
        <f t="shared" ref="DH193" ca="1" si="1215">DG199</f>
        <v>0</v>
      </c>
      <c r="DI193" s="163">
        <f t="shared" ref="DI193" ca="1" si="1216">DH199</f>
        <v>0</v>
      </c>
      <c r="DJ193" s="163">
        <f t="shared" ref="DJ193" ca="1" si="1217">DI199</f>
        <v>0</v>
      </c>
      <c r="DK193" s="163">
        <f t="shared" ref="DK193" ca="1" si="1218">DJ199</f>
        <v>0</v>
      </c>
      <c r="DL193" s="163">
        <f t="shared" ref="DL193" ca="1" si="1219">DK199</f>
        <v>0</v>
      </c>
      <c r="DM193" s="163">
        <f t="shared" ref="DM193" ca="1" si="1220">DL199</f>
        <v>0</v>
      </c>
      <c r="DN193" s="163">
        <f t="shared" ref="DN193" ca="1" si="1221">DM199</f>
        <v>0</v>
      </c>
      <c r="DO193" s="163">
        <f t="shared" ref="DO193" ca="1" si="1222">DN199</f>
        <v>0</v>
      </c>
      <c r="DP193" s="163">
        <f t="shared" ref="DP193" ca="1" si="1223">DO199</f>
        <v>0</v>
      </c>
      <c r="DQ193" s="163">
        <f t="shared" ref="DQ193" ca="1" si="1224">DP199</f>
        <v>0</v>
      </c>
      <c r="DR193" s="163">
        <f t="shared" ref="DR193" ca="1" si="1225">DQ199</f>
        <v>0</v>
      </c>
      <c r="DS193" s="163">
        <f t="shared" ref="DS193" ca="1" si="1226">DR199</f>
        <v>0</v>
      </c>
      <c r="DT193" s="163">
        <f t="shared" ref="DT193" ca="1" si="1227">DS199</f>
        <v>0</v>
      </c>
      <c r="DU193" s="163">
        <f t="shared" ref="DU193" ca="1" si="1228">DT199</f>
        <v>0</v>
      </c>
      <c r="DV193" s="163">
        <f t="shared" ref="DV193" ca="1" si="1229">DU199</f>
        <v>0</v>
      </c>
      <c r="DW193" s="163">
        <f t="shared" ref="DW193" ca="1" si="1230">DV199</f>
        <v>0</v>
      </c>
      <c r="DX193" s="163">
        <f t="shared" ref="DX193" ca="1" si="1231">DW199</f>
        <v>0</v>
      </c>
      <c r="DY193" s="163">
        <f t="shared" ref="DY193" ca="1" si="1232">DX199</f>
        <v>0</v>
      </c>
      <c r="DZ193" s="163">
        <f t="shared" ref="DZ193" ca="1" si="1233">DY199</f>
        <v>0</v>
      </c>
      <c r="EA193" s="163">
        <f t="shared" ref="EA193" ca="1" si="1234">DZ199</f>
        <v>0</v>
      </c>
      <c r="EB193" s="163">
        <f t="shared" ref="EB193" ca="1" si="1235">EA199</f>
        <v>0</v>
      </c>
      <c r="EC193" s="163">
        <f t="shared" ref="EC193" ca="1" si="1236">EB199</f>
        <v>0</v>
      </c>
      <c r="ED193" s="163">
        <f t="shared" ref="ED193" ca="1" si="1237">EC199</f>
        <v>0</v>
      </c>
      <c r="EE193" s="163">
        <f t="shared" ref="EE193" ca="1" si="1238">ED199</f>
        <v>0</v>
      </c>
      <c r="EF193" s="163">
        <f t="shared" ref="EF193" ca="1" si="1239">EE199</f>
        <v>0</v>
      </c>
      <c r="EG193" s="163">
        <f t="shared" ref="EG193" ca="1" si="1240">EF199</f>
        <v>0</v>
      </c>
      <c r="EH193" s="163">
        <f t="shared" ref="EH193" ca="1" si="1241">EG199</f>
        <v>0</v>
      </c>
      <c r="EI193" s="163">
        <f t="shared" ref="EI193" ca="1" si="1242">EH199</f>
        <v>0</v>
      </c>
      <c r="EJ193" s="163">
        <f t="shared" ref="EJ193" ca="1" si="1243">EI199</f>
        <v>0</v>
      </c>
      <c r="EK193" s="163">
        <f t="shared" ref="EK193" ca="1" si="1244">EJ199</f>
        <v>0</v>
      </c>
      <c r="EL193" s="163">
        <f t="shared" ref="EL193" ca="1" si="1245">EK199</f>
        <v>0</v>
      </c>
      <c r="EM193" s="163">
        <f t="shared" ref="EM193" ca="1" si="1246">EL199</f>
        <v>0</v>
      </c>
      <c r="EN193" s="163">
        <f t="shared" ref="EN193" ca="1" si="1247">EM199</f>
        <v>0</v>
      </c>
      <c r="EO193" s="163">
        <f t="shared" ref="EO193" ca="1" si="1248">EN199</f>
        <v>0</v>
      </c>
      <c r="EP193" s="163">
        <f t="shared" ref="EP193" ca="1" si="1249">EO199</f>
        <v>0</v>
      </c>
      <c r="EQ193" s="163">
        <f t="shared" ref="EQ193" ca="1" si="1250">EP199</f>
        <v>0</v>
      </c>
      <c r="ER193" s="163">
        <f t="shared" ref="ER193" ca="1" si="1251">EQ199</f>
        <v>0</v>
      </c>
      <c r="ES193" s="163">
        <f t="shared" ref="ES193" ca="1" si="1252">ER199</f>
        <v>0</v>
      </c>
      <c r="ET193" s="163">
        <f t="shared" ref="ET193" ca="1" si="1253">ES199</f>
        <v>0</v>
      </c>
      <c r="EU193" s="163">
        <f t="shared" ref="EU193" ca="1" si="1254">ET199</f>
        <v>0</v>
      </c>
      <c r="EV193" s="163">
        <f t="shared" ref="EV193" ca="1" si="1255">EU199</f>
        <v>0</v>
      </c>
      <c r="EW193" s="163">
        <f t="shared" ref="EW193" ca="1" si="1256">EV199</f>
        <v>0</v>
      </c>
      <c r="EX193" s="163">
        <f t="shared" ref="EX193" ca="1" si="1257">EW199</f>
        <v>0</v>
      </c>
      <c r="EY193" s="163">
        <f t="shared" ref="EY193" ca="1" si="1258">EX199</f>
        <v>0</v>
      </c>
      <c r="EZ193" s="163">
        <f t="shared" ref="EZ193" ca="1" si="1259">EY199</f>
        <v>0</v>
      </c>
      <c r="FA193" s="163">
        <f t="shared" ref="FA193" ca="1" si="1260">EZ199</f>
        <v>0</v>
      </c>
      <c r="FB193" s="163">
        <f t="shared" ref="FB193" ca="1" si="1261">FA199</f>
        <v>0</v>
      </c>
      <c r="FC193" s="163">
        <f t="shared" ref="FC193" ca="1" si="1262">FB199</f>
        <v>0</v>
      </c>
      <c r="FD193" s="163">
        <f t="shared" ref="FD193" ca="1" si="1263">FC199</f>
        <v>0</v>
      </c>
      <c r="FE193" s="163">
        <f t="shared" ref="FE193:FF193" ca="1" si="1264">FD199</f>
        <v>0</v>
      </c>
      <c r="FF193" s="163">
        <f t="shared" ca="1" si="1264"/>
        <v>0</v>
      </c>
      <c r="FG193" s="314"/>
      <c r="FH193" s="163">
        <f t="shared" ref="FH193" ca="1" si="1265">EZ199</f>
        <v>0</v>
      </c>
      <c r="FI193" s="163">
        <f t="shared" ref="FI193:FS193" ca="1" si="1266">FH199</f>
        <v>0</v>
      </c>
      <c r="FJ193" s="163">
        <f t="shared" ca="1" si="1266"/>
        <v>0</v>
      </c>
      <c r="FK193" s="163">
        <f t="shared" ca="1" si="1266"/>
        <v>0</v>
      </c>
      <c r="FL193" s="163">
        <f t="shared" ca="1" si="1266"/>
        <v>21662072.895306453</v>
      </c>
      <c r="FM193" s="163">
        <f t="shared" ca="1" si="1266"/>
        <v>21662072.895306453</v>
      </c>
      <c r="FN193" s="163">
        <f t="shared" ca="1" si="1266"/>
        <v>21531056.475431062</v>
      </c>
      <c r="FO193" s="163">
        <f t="shared" ca="1" si="1266"/>
        <v>21256962.877058543</v>
      </c>
      <c r="FP193" s="163">
        <f t="shared" ca="1" si="1266"/>
        <v>20965963.785292342</v>
      </c>
      <c r="FQ193" s="163">
        <f t="shared" ca="1" si="1266"/>
        <v>0</v>
      </c>
      <c r="FR193" s="163">
        <f t="shared" ca="1" si="1266"/>
        <v>0</v>
      </c>
      <c r="FS193" s="163">
        <f t="shared" ca="1" si="1266"/>
        <v>0</v>
      </c>
      <c r="FT193" s="163">
        <f t="shared" ref="FT193:FU193" ca="1" si="1267">FS199</f>
        <v>0</v>
      </c>
      <c r="FU193" s="163">
        <f t="shared" ca="1" si="1267"/>
        <v>0</v>
      </c>
      <c r="FV193" s="314"/>
    </row>
    <row r="194" spans="2:178" x14ac:dyDescent="0.2">
      <c r="B194" s="47"/>
      <c r="C194" s="39" t="s">
        <v>127</v>
      </c>
      <c r="E194" s="163">
        <f t="shared" ref="E194:E198" ca="1" si="1268">SUM(F194:FF194)</f>
        <v>21662072.895306453</v>
      </c>
      <c r="F194" s="261">
        <f t="shared" ref="F194:AK194" si="1269">IF($K$50=TRUE,0,IF(F56=$E$11,$I$28,0))</f>
        <v>0</v>
      </c>
      <c r="G194" s="163">
        <f t="shared" si="1269"/>
        <v>0</v>
      </c>
      <c r="H194" s="163">
        <f t="shared" si="1269"/>
        <v>0</v>
      </c>
      <c r="I194" s="163">
        <f t="shared" si="1269"/>
        <v>0</v>
      </c>
      <c r="J194" s="163">
        <f t="shared" si="1269"/>
        <v>0</v>
      </c>
      <c r="K194" s="163">
        <f t="shared" si="1269"/>
        <v>0</v>
      </c>
      <c r="L194" s="163">
        <f t="shared" si="1269"/>
        <v>0</v>
      </c>
      <c r="M194" s="163">
        <f t="shared" si="1269"/>
        <v>0</v>
      </c>
      <c r="N194" s="163">
        <f t="shared" si="1269"/>
        <v>0</v>
      </c>
      <c r="O194" s="163">
        <f t="shared" si="1269"/>
        <v>0</v>
      </c>
      <c r="P194" s="163">
        <f t="shared" si="1269"/>
        <v>0</v>
      </c>
      <c r="Q194" s="163">
        <f t="shared" si="1269"/>
        <v>0</v>
      </c>
      <c r="R194" s="163">
        <f t="shared" si="1269"/>
        <v>0</v>
      </c>
      <c r="S194" s="163">
        <f t="shared" si="1269"/>
        <v>0</v>
      </c>
      <c r="T194" s="163">
        <f t="shared" si="1269"/>
        <v>0</v>
      </c>
      <c r="U194" s="163">
        <f t="shared" si="1269"/>
        <v>0</v>
      </c>
      <c r="V194" s="163">
        <f t="shared" si="1269"/>
        <v>0</v>
      </c>
      <c r="W194" s="163">
        <f t="shared" si="1269"/>
        <v>0</v>
      </c>
      <c r="X194" s="163">
        <f t="shared" si="1269"/>
        <v>0</v>
      </c>
      <c r="Y194" s="163">
        <f t="shared" si="1269"/>
        <v>0</v>
      </c>
      <c r="Z194" s="163">
        <f t="shared" si="1269"/>
        <v>0</v>
      </c>
      <c r="AA194" s="163">
        <f t="shared" si="1269"/>
        <v>0</v>
      </c>
      <c r="AB194" s="163">
        <f t="shared" si="1269"/>
        <v>0</v>
      </c>
      <c r="AC194" s="163">
        <f t="shared" si="1269"/>
        <v>0</v>
      </c>
      <c r="AD194" s="163">
        <f t="shared" si="1269"/>
        <v>0</v>
      </c>
      <c r="AE194" s="163">
        <f t="shared" si="1269"/>
        <v>0</v>
      </c>
      <c r="AF194" s="163">
        <f t="shared" si="1269"/>
        <v>0</v>
      </c>
      <c r="AG194" s="163">
        <f t="shared" si="1269"/>
        <v>0</v>
      </c>
      <c r="AH194" s="163">
        <f t="shared" si="1269"/>
        <v>0</v>
      </c>
      <c r="AI194" s="163">
        <f t="shared" si="1269"/>
        <v>0</v>
      </c>
      <c r="AJ194" s="163">
        <f t="shared" si="1269"/>
        <v>0</v>
      </c>
      <c r="AK194" s="163">
        <f t="shared" si="1269"/>
        <v>0</v>
      </c>
      <c r="AL194" s="163">
        <f t="shared" ref="AL194:BQ194" si="1270">IF($K$50=TRUE,0,IF(AL56=$E$11,$I$28,0))</f>
        <v>0</v>
      </c>
      <c r="AM194" s="163">
        <f t="shared" si="1270"/>
        <v>0</v>
      </c>
      <c r="AN194" s="163">
        <f t="shared" si="1270"/>
        <v>0</v>
      </c>
      <c r="AO194" s="163">
        <f t="shared" si="1270"/>
        <v>0</v>
      </c>
      <c r="AP194" s="163">
        <f t="shared" si="1270"/>
        <v>0</v>
      </c>
      <c r="AQ194" s="163">
        <f t="shared" ca="1" si="1270"/>
        <v>21662072.895306453</v>
      </c>
      <c r="AR194" s="163">
        <f t="shared" si="1270"/>
        <v>0</v>
      </c>
      <c r="AS194" s="163">
        <f t="shared" si="1270"/>
        <v>0</v>
      </c>
      <c r="AT194" s="163">
        <f t="shared" si="1270"/>
        <v>0</v>
      </c>
      <c r="AU194" s="163">
        <f t="shared" si="1270"/>
        <v>0</v>
      </c>
      <c r="AV194" s="163">
        <f t="shared" si="1270"/>
        <v>0</v>
      </c>
      <c r="AW194" s="163">
        <f t="shared" si="1270"/>
        <v>0</v>
      </c>
      <c r="AX194" s="163">
        <f t="shared" si="1270"/>
        <v>0</v>
      </c>
      <c r="AY194" s="163">
        <f t="shared" si="1270"/>
        <v>0</v>
      </c>
      <c r="AZ194" s="163">
        <f t="shared" si="1270"/>
        <v>0</v>
      </c>
      <c r="BA194" s="163">
        <f t="shared" si="1270"/>
        <v>0</v>
      </c>
      <c r="BB194" s="163">
        <f t="shared" si="1270"/>
        <v>0</v>
      </c>
      <c r="BC194" s="163">
        <f t="shared" si="1270"/>
        <v>0</v>
      </c>
      <c r="BD194" s="163">
        <f t="shared" si="1270"/>
        <v>0</v>
      </c>
      <c r="BE194" s="163">
        <f t="shared" si="1270"/>
        <v>0</v>
      </c>
      <c r="BF194" s="163">
        <f t="shared" si="1270"/>
        <v>0</v>
      </c>
      <c r="BG194" s="163">
        <f t="shared" si="1270"/>
        <v>0</v>
      </c>
      <c r="BH194" s="163">
        <f t="shared" si="1270"/>
        <v>0</v>
      </c>
      <c r="BI194" s="163">
        <f t="shared" si="1270"/>
        <v>0</v>
      </c>
      <c r="BJ194" s="163">
        <f t="shared" si="1270"/>
        <v>0</v>
      </c>
      <c r="BK194" s="163">
        <f t="shared" si="1270"/>
        <v>0</v>
      </c>
      <c r="BL194" s="163">
        <f t="shared" si="1270"/>
        <v>0</v>
      </c>
      <c r="BM194" s="163">
        <f t="shared" si="1270"/>
        <v>0</v>
      </c>
      <c r="BN194" s="163">
        <f t="shared" si="1270"/>
        <v>0</v>
      </c>
      <c r="BO194" s="163">
        <f t="shared" si="1270"/>
        <v>0</v>
      </c>
      <c r="BP194" s="163">
        <f t="shared" si="1270"/>
        <v>0</v>
      </c>
      <c r="BQ194" s="163">
        <f t="shared" si="1270"/>
        <v>0</v>
      </c>
      <c r="BR194" s="163">
        <f t="shared" ref="BR194:CW194" si="1271">IF($K$50=TRUE,0,IF(BR56=$E$11,$I$28,0))</f>
        <v>0</v>
      </c>
      <c r="BS194" s="163">
        <f t="shared" si="1271"/>
        <v>0</v>
      </c>
      <c r="BT194" s="163">
        <f t="shared" si="1271"/>
        <v>0</v>
      </c>
      <c r="BU194" s="163">
        <f t="shared" si="1271"/>
        <v>0</v>
      </c>
      <c r="BV194" s="163">
        <f t="shared" si="1271"/>
        <v>0</v>
      </c>
      <c r="BW194" s="163">
        <f t="shared" si="1271"/>
        <v>0</v>
      </c>
      <c r="BX194" s="163">
        <f t="shared" si="1271"/>
        <v>0</v>
      </c>
      <c r="BY194" s="163">
        <f t="shared" si="1271"/>
        <v>0</v>
      </c>
      <c r="BZ194" s="163">
        <f t="shared" si="1271"/>
        <v>0</v>
      </c>
      <c r="CA194" s="163">
        <f t="shared" si="1271"/>
        <v>0</v>
      </c>
      <c r="CB194" s="163">
        <f t="shared" si="1271"/>
        <v>0</v>
      </c>
      <c r="CC194" s="163">
        <f t="shared" si="1271"/>
        <v>0</v>
      </c>
      <c r="CD194" s="163">
        <f t="shared" si="1271"/>
        <v>0</v>
      </c>
      <c r="CE194" s="163">
        <f t="shared" si="1271"/>
        <v>0</v>
      </c>
      <c r="CF194" s="163">
        <f t="shared" si="1271"/>
        <v>0</v>
      </c>
      <c r="CG194" s="163">
        <f t="shared" si="1271"/>
        <v>0</v>
      </c>
      <c r="CH194" s="163">
        <f t="shared" si="1271"/>
        <v>0</v>
      </c>
      <c r="CI194" s="163">
        <f t="shared" si="1271"/>
        <v>0</v>
      </c>
      <c r="CJ194" s="163">
        <f t="shared" si="1271"/>
        <v>0</v>
      </c>
      <c r="CK194" s="163">
        <f t="shared" si="1271"/>
        <v>0</v>
      </c>
      <c r="CL194" s="163">
        <f t="shared" si="1271"/>
        <v>0</v>
      </c>
      <c r="CM194" s="163">
        <f t="shared" si="1271"/>
        <v>0</v>
      </c>
      <c r="CN194" s="163">
        <f t="shared" si="1271"/>
        <v>0</v>
      </c>
      <c r="CO194" s="163">
        <f t="shared" si="1271"/>
        <v>0</v>
      </c>
      <c r="CP194" s="163">
        <f t="shared" si="1271"/>
        <v>0</v>
      </c>
      <c r="CQ194" s="163">
        <f t="shared" si="1271"/>
        <v>0</v>
      </c>
      <c r="CR194" s="163">
        <f t="shared" si="1271"/>
        <v>0</v>
      </c>
      <c r="CS194" s="163">
        <f t="shared" si="1271"/>
        <v>0</v>
      </c>
      <c r="CT194" s="163">
        <f t="shared" si="1271"/>
        <v>0</v>
      </c>
      <c r="CU194" s="163">
        <f t="shared" si="1271"/>
        <v>0</v>
      </c>
      <c r="CV194" s="163">
        <f t="shared" si="1271"/>
        <v>0</v>
      </c>
      <c r="CW194" s="163">
        <f t="shared" si="1271"/>
        <v>0</v>
      </c>
      <c r="CX194" s="163">
        <f t="shared" ref="CX194:EC194" si="1272">IF($K$50=TRUE,0,IF(CX56=$E$11,$I$28,0))</f>
        <v>0</v>
      </c>
      <c r="CY194" s="163">
        <f t="shared" si="1272"/>
        <v>0</v>
      </c>
      <c r="CZ194" s="163">
        <f t="shared" si="1272"/>
        <v>0</v>
      </c>
      <c r="DA194" s="163">
        <f t="shared" si="1272"/>
        <v>0</v>
      </c>
      <c r="DB194" s="163">
        <f t="shared" si="1272"/>
        <v>0</v>
      </c>
      <c r="DC194" s="163">
        <f t="shared" si="1272"/>
        <v>0</v>
      </c>
      <c r="DD194" s="163">
        <f t="shared" si="1272"/>
        <v>0</v>
      </c>
      <c r="DE194" s="163">
        <f t="shared" si="1272"/>
        <v>0</v>
      </c>
      <c r="DF194" s="163">
        <f t="shared" si="1272"/>
        <v>0</v>
      </c>
      <c r="DG194" s="163">
        <f t="shared" si="1272"/>
        <v>0</v>
      </c>
      <c r="DH194" s="163">
        <f t="shared" si="1272"/>
        <v>0</v>
      </c>
      <c r="DI194" s="163">
        <f t="shared" si="1272"/>
        <v>0</v>
      </c>
      <c r="DJ194" s="163">
        <f t="shared" si="1272"/>
        <v>0</v>
      </c>
      <c r="DK194" s="163">
        <f t="shared" si="1272"/>
        <v>0</v>
      </c>
      <c r="DL194" s="163">
        <f t="shared" si="1272"/>
        <v>0</v>
      </c>
      <c r="DM194" s="163">
        <f t="shared" si="1272"/>
        <v>0</v>
      </c>
      <c r="DN194" s="163">
        <f t="shared" si="1272"/>
        <v>0</v>
      </c>
      <c r="DO194" s="163">
        <f t="shared" si="1272"/>
        <v>0</v>
      </c>
      <c r="DP194" s="163">
        <f t="shared" si="1272"/>
        <v>0</v>
      </c>
      <c r="DQ194" s="163">
        <f t="shared" si="1272"/>
        <v>0</v>
      </c>
      <c r="DR194" s="163">
        <f t="shared" si="1272"/>
        <v>0</v>
      </c>
      <c r="DS194" s="163">
        <f t="shared" si="1272"/>
        <v>0</v>
      </c>
      <c r="DT194" s="163">
        <f t="shared" si="1272"/>
        <v>0</v>
      </c>
      <c r="DU194" s="163">
        <f t="shared" si="1272"/>
        <v>0</v>
      </c>
      <c r="DV194" s="163">
        <f t="shared" si="1272"/>
        <v>0</v>
      </c>
      <c r="DW194" s="163">
        <f t="shared" si="1272"/>
        <v>0</v>
      </c>
      <c r="DX194" s="163">
        <f t="shared" si="1272"/>
        <v>0</v>
      </c>
      <c r="DY194" s="163">
        <f t="shared" si="1272"/>
        <v>0</v>
      </c>
      <c r="DZ194" s="163">
        <f t="shared" si="1272"/>
        <v>0</v>
      </c>
      <c r="EA194" s="163">
        <f t="shared" si="1272"/>
        <v>0</v>
      </c>
      <c r="EB194" s="163">
        <f t="shared" si="1272"/>
        <v>0</v>
      </c>
      <c r="EC194" s="163">
        <f t="shared" si="1272"/>
        <v>0</v>
      </c>
      <c r="ED194" s="163">
        <f t="shared" ref="ED194:FF194" si="1273">IF($K$50=TRUE,0,IF(ED56=$E$11,$I$28,0))</f>
        <v>0</v>
      </c>
      <c r="EE194" s="163">
        <f t="shared" si="1273"/>
        <v>0</v>
      </c>
      <c r="EF194" s="163">
        <f t="shared" si="1273"/>
        <v>0</v>
      </c>
      <c r="EG194" s="163">
        <f t="shared" si="1273"/>
        <v>0</v>
      </c>
      <c r="EH194" s="163">
        <f t="shared" si="1273"/>
        <v>0</v>
      </c>
      <c r="EI194" s="163">
        <f t="shared" si="1273"/>
        <v>0</v>
      </c>
      <c r="EJ194" s="163">
        <f t="shared" si="1273"/>
        <v>0</v>
      </c>
      <c r="EK194" s="163">
        <f t="shared" si="1273"/>
        <v>0</v>
      </c>
      <c r="EL194" s="163">
        <f t="shared" si="1273"/>
        <v>0</v>
      </c>
      <c r="EM194" s="163">
        <f t="shared" si="1273"/>
        <v>0</v>
      </c>
      <c r="EN194" s="163">
        <f t="shared" si="1273"/>
        <v>0</v>
      </c>
      <c r="EO194" s="163">
        <f t="shared" si="1273"/>
        <v>0</v>
      </c>
      <c r="EP194" s="163">
        <f t="shared" si="1273"/>
        <v>0</v>
      </c>
      <c r="EQ194" s="163">
        <f t="shared" si="1273"/>
        <v>0</v>
      </c>
      <c r="ER194" s="163">
        <f t="shared" si="1273"/>
        <v>0</v>
      </c>
      <c r="ES194" s="163">
        <f t="shared" si="1273"/>
        <v>0</v>
      </c>
      <c r="ET194" s="163">
        <f t="shared" si="1273"/>
        <v>0</v>
      </c>
      <c r="EU194" s="163">
        <f t="shared" si="1273"/>
        <v>0</v>
      </c>
      <c r="EV194" s="163">
        <f t="shared" si="1273"/>
        <v>0</v>
      </c>
      <c r="EW194" s="163">
        <f t="shared" si="1273"/>
        <v>0</v>
      </c>
      <c r="EX194" s="163">
        <f t="shared" si="1273"/>
        <v>0</v>
      </c>
      <c r="EY194" s="163">
        <f t="shared" si="1273"/>
        <v>0</v>
      </c>
      <c r="EZ194" s="163">
        <f t="shared" si="1273"/>
        <v>0</v>
      </c>
      <c r="FA194" s="163">
        <f t="shared" si="1273"/>
        <v>0</v>
      </c>
      <c r="FB194" s="163">
        <f t="shared" si="1273"/>
        <v>0</v>
      </c>
      <c r="FC194" s="163">
        <f t="shared" si="1273"/>
        <v>0</v>
      </c>
      <c r="FD194" s="163">
        <f t="shared" si="1273"/>
        <v>0</v>
      </c>
      <c r="FE194" s="163">
        <f t="shared" si="1273"/>
        <v>0</v>
      </c>
      <c r="FF194" s="163">
        <f t="shared" si="1273"/>
        <v>0</v>
      </c>
      <c r="FG194" s="314"/>
      <c r="FH194" s="163">
        <f t="shared" ref="FH194:FU198" si="1274">SUMIF($F$57:$FF$57,FH$57,$F194:$FF194)</f>
        <v>0</v>
      </c>
      <c r="FI194" s="163">
        <f t="shared" si="1274"/>
        <v>0</v>
      </c>
      <c r="FJ194" s="163">
        <f t="shared" si="1274"/>
        <v>0</v>
      </c>
      <c r="FK194" s="163">
        <f t="shared" ca="1" si="1274"/>
        <v>21662072.895306453</v>
      </c>
      <c r="FL194" s="163">
        <f t="shared" si="1274"/>
        <v>0</v>
      </c>
      <c r="FM194" s="163">
        <f t="shared" si="1274"/>
        <v>0</v>
      </c>
      <c r="FN194" s="163">
        <f t="shared" si="1274"/>
        <v>0</v>
      </c>
      <c r="FO194" s="163">
        <f t="shared" si="1274"/>
        <v>0</v>
      </c>
      <c r="FP194" s="163">
        <f t="shared" si="1274"/>
        <v>0</v>
      </c>
      <c r="FQ194" s="163">
        <f t="shared" si="1274"/>
        <v>0</v>
      </c>
      <c r="FR194" s="163">
        <f t="shared" si="1274"/>
        <v>0</v>
      </c>
      <c r="FS194" s="163">
        <f t="shared" si="1274"/>
        <v>0</v>
      </c>
      <c r="FT194" s="163">
        <f t="shared" si="1274"/>
        <v>0</v>
      </c>
      <c r="FU194" s="163">
        <f t="shared" si="1274"/>
        <v>0</v>
      </c>
      <c r="FV194" s="314"/>
    </row>
    <row r="195" spans="2:178" x14ac:dyDescent="0.2">
      <c r="B195" s="47"/>
      <c r="C195" s="39" t="s">
        <v>129</v>
      </c>
      <c r="E195" s="163">
        <f t="shared" ca="1" si="1268"/>
        <v>6426679.7414188804</v>
      </c>
      <c r="F195" s="261">
        <f>IF($K$50=TRUE,0,F193)*$I$30/12</f>
        <v>0</v>
      </c>
      <c r="G195" s="163">
        <f t="shared" ref="G195:BR195" si="1275">IF($K$50=TRUE,0,G193)*$I$30/12</f>
        <v>0</v>
      </c>
      <c r="H195" s="163">
        <f t="shared" si="1275"/>
        <v>0</v>
      </c>
      <c r="I195" s="163">
        <f t="shared" si="1275"/>
        <v>0</v>
      </c>
      <c r="J195" s="163">
        <f t="shared" si="1275"/>
        <v>0</v>
      </c>
      <c r="K195" s="163">
        <f t="shared" si="1275"/>
        <v>0</v>
      </c>
      <c r="L195" s="163">
        <f t="shared" si="1275"/>
        <v>0</v>
      </c>
      <c r="M195" s="163">
        <f t="shared" si="1275"/>
        <v>0</v>
      </c>
      <c r="N195" s="163">
        <f t="shared" si="1275"/>
        <v>0</v>
      </c>
      <c r="O195" s="163">
        <f t="shared" si="1275"/>
        <v>0</v>
      </c>
      <c r="P195" s="163">
        <f t="shared" si="1275"/>
        <v>0</v>
      </c>
      <c r="Q195" s="163">
        <f t="shared" si="1275"/>
        <v>0</v>
      </c>
      <c r="R195" s="163">
        <f t="shared" si="1275"/>
        <v>0</v>
      </c>
      <c r="S195" s="163">
        <f t="shared" si="1275"/>
        <v>0</v>
      </c>
      <c r="T195" s="163">
        <f t="shared" si="1275"/>
        <v>0</v>
      </c>
      <c r="U195" s="163">
        <f t="shared" si="1275"/>
        <v>0</v>
      </c>
      <c r="V195" s="163">
        <f t="shared" si="1275"/>
        <v>0</v>
      </c>
      <c r="W195" s="163">
        <f t="shared" si="1275"/>
        <v>0</v>
      </c>
      <c r="X195" s="163">
        <f t="shared" si="1275"/>
        <v>0</v>
      </c>
      <c r="Y195" s="163">
        <f t="shared" si="1275"/>
        <v>0</v>
      </c>
      <c r="Z195" s="163">
        <f t="shared" si="1275"/>
        <v>0</v>
      </c>
      <c r="AA195" s="163">
        <f t="shared" si="1275"/>
        <v>0</v>
      </c>
      <c r="AB195" s="163">
        <f t="shared" si="1275"/>
        <v>0</v>
      </c>
      <c r="AC195" s="163">
        <f t="shared" si="1275"/>
        <v>0</v>
      </c>
      <c r="AD195" s="163">
        <f t="shared" si="1275"/>
        <v>0</v>
      </c>
      <c r="AE195" s="163">
        <f t="shared" si="1275"/>
        <v>0</v>
      </c>
      <c r="AF195" s="163">
        <f t="shared" si="1275"/>
        <v>0</v>
      </c>
      <c r="AG195" s="163">
        <f t="shared" si="1275"/>
        <v>0</v>
      </c>
      <c r="AH195" s="163">
        <f t="shared" si="1275"/>
        <v>0</v>
      </c>
      <c r="AI195" s="163">
        <f t="shared" si="1275"/>
        <v>0</v>
      </c>
      <c r="AJ195" s="163">
        <f t="shared" si="1275"/>
        <v>0</v>
      </c>
      <c r="AK195" s="163">
        <f t="shared" si="1275"/>
        <v>0</v>
      </c>
      <c r="AL195" s="163">
        <f t="shared" si="1275"/>
        <v>0</v>
      </c>
      <c r="AM195" s="163">
        <f t="shared" si="1275"/>
        <v>0</v>
      </c>
      <c r="AN195" s="163">
        <f t="shared" si="1275"/>
        <v>0</v>
      </c>
      <c r="AO195" s="163">
        <f t="shared" si="1275"/>
        <v>0</v>
      </c>
      <c r="AP195" s="163">
        <f t="shared" si="1275"/>
        <v>0</v>
      </c>
      <c r="AQ195" s="163">
        <f t="shared" si="1275"/>
        <v>0</v>
      </c>
      <c r="AR195" s="163">
        <f t="shared" ca="1" si="1275"/>
        <v>108310.36447653227</v>
      </c>
      <c r="AS195" s="163">
        <f t="shared" ca="1" si="1275"/>
        <v>108310.36447653227</v>
      </c>
      <c r="AT195" s="163">
        <f t="shared" ca="1" si="1275"/>
        <v>108310.36447653227</v>
      </c>
      <c r="AU195" s="163">
        <f t="shared" ca="1" si="1275"/>
        <v>108310.36447653227</v>
      </c>
      <c r="AV195" s="163">
        <f t="shared" ca="1" si="1275"/>
        <v>108310.36447653227</v>
      </c>
      <c r="AW195" s="163">
        <f t="shared" ca="1" si="1275"/>
        <v>108310.36447653227</v>
      </c>
      <c r="AX195" s="163">
        <f t="shared" ca="1" si="1275"/>
        <v>108310.36447653227</v>
      </c>
      <c r="AY195" s="163">
        <f t="shared" ca="1" si="1275"/>
        <v>108310.36447653227</v>
      </c>
      <c r="AZ195" s="163">
        <f t="shared" ca="1" si="1275"/>
        <v>108310.36447653227</v>
      </c>
      <c r="BA195" s="163">
        <f t="shared" ca="1" si="1275"/>
        <v>108310.36447653227</v>
      </c>
      <c r="BB195" s="163">
        <f t="shared" ca="1" si="1275"/>
        <v>108310.36447653227</v>
      </c>
      <c r="BC195" s="163">
        <f t="shared" ca="1" si="1275"/>
        <v>108310.36447653227</v>
      </c>
      <c r="BD195" s="163">
        <f t="shared" ca="1" si="1275"/>
        <v>108310.36447653227</v>
      </c>
      <c r="BE195" s="163">
        <f t="shared" ca="1" si="1275"/>
        <v>108310.36447653227</v>
      </c>
      <c r="BF195" s="163">
        <f t="shared" ca="1" si="1275"/>
        <v>108310.36447653227</v>
      </c>
      <c r="BG195" s="163">
        <f t="shared" ca="1" si="1275"/>
        <v>108310.36447653227</v>
      </c>
      <c r="BH195" s="163">
        <f t="shared" ca="1" si="1275"/>
        <v>108310.36447653227</v>
      </c>
      <c r="BI195" s="163">
        <f t="shared" ca="1" si="1275"/>
        <v>108310.36447653227</v>
      </c>
      <c r="BJ195" s="163">
        <f t="shared" ca="1" si="1275"/>
        <v>108310.36447653227</v>
      </c>
      <c r="BK195" s="163">
        <f t="shared" ca="1" si="1275"/>
        <v>108310.36447653227</v>
      </c>
      <c r="BL195" s="163">
        <f t="shared" ca="1" si="1275"/>
        <v>108310.36447653227</v>
      </c>
      <c r="BM195" s="163">
        <f t="shared" ca="1" si="1275"/>
        <v>108310.36447653227</v>
      </c>
      <c r="BN195" s="163">
        <f t="shared" ca="1" si="1275"/>
        <v>108310.36447653227</v>
      </c>
      <c r="BO195" s="163">
        <f t="shared" ca="1" si="1275"/>
        <v>108310.36447653227</v>
      </c>
      <c r="BP195" s="163">
        <f t="shared" ca="1" si="1275"/>
        <v>108310.36447653227</v>
      </c>
      <c r="BQ195" s="163">
        <f t="shared" ca="1" si="1275"/>
        <v>108202.54093990102</v>
      </c>
      <c r="BR195" s="163">
        <f t="shared" ca="1" si="1275"/>
        <v>108094.17828558663</v>
      </c>
      <c r="BS195" s="163">
        <f t="shared" ref="BS195:ED195" ca="1" si="1276">IF($K$50=TRUE,0,BS193)*$I$30/12</f>
        <v>107985.27381800064</v>
      </c>
      <c r="BT195" s="163">
        <f t="shared" ca="1" si="1276"/>
        <v>107875.82482807674</v>
      </c>
      <c r="BU195" s="163">
        <f t="shared" ca="1" si="1276"/>
        <v>107765.8285932032</v>
      </c>
      <c r="BV195" s="163">
        <f t="shared" ca="1" si="1276"/>
        <v>107655.28237715531</v>
      </c>
      <c r="BW195" s="163">
        <f t="shared" ca="1" si="1276"/>
        <v>107544.18343002717</v>
      </c>
      <c r="BX195" s="163">
        <f t="shared" ca="1" si="1276"/>
        <v>107432.52898816339</v>
      </c>
      <c r="BY195" s="163">
        <f t="shared" ca="1" si="1276"/>
        <v>107320.31627409031</v>
      </c>
      <c r="BZ195" s="163">
        <f t="shared" ca="1" si="1276"/>
        <v>107207.54249644683</v>
      </c>
      <c r="CA195" s="163">
        <f t="shared" ca="1" si="1276"/>
        <v>107094.20484991517</v>
      </c>
      <c r="CB195" s="163">
        <f t="shared" ca="1" si="1276"/>
        <v>106980.30051515083</v>
      </c>
      <c r="CC195" s="163">
        <f t="shared" ca="1" si="1276"/>
        <v>106865.82665871269</v>
      </c>
      <c r="CD195" s="163">
        <f t="shared" ca="1" si="1276"/>
        <v>106750.78043299232</v>
      </c>
      <c r="CE195" s="163">
        <f t="shared" ca="1" si="1276"/>
        <v>106635.15897614339</v>
      </c>
      <c r="CF195" s="163">
        <f t="shared" ca="1" si="1276"/>
        <v>106518.9594120102</v>
      </c>
      <c r="CG195" s="163">
        <f t="shared" ca="1" si="1276"/>
        <v>106402.17885005633</v>
      </c>
      <c r="CH195" s="163">
        <f t="shared" ca="1" si="1276"/>
        <v>106284.81438529272</v>
      </c>
      <c r="CI195" s="163">
        <f t="shared" ca="1" si="1276"/>
        <v>106166.86309820526</v>
      </c>
      <c r="CJ195" s="163">
        <f t="shared" ca="1" si="1276"/>
        <v>106048.3220546824</v>
      </c>
      <c r="CK195" s="163">
        <f t="shared" ca="1" si="1276"/>
        <v>105929.18830594189</v>
      </c>
      <c r="CL195" s="163">
        <f t="shared" ca="1" si="1276"/>
        <v>105809.4588884577</v>
      </c>
      <c r="CM195" s="163">
        <f t="shared" ca="1" si="1276"/>
        <v>105689.13082388608</v>
      </c>
      <c r="CN195" s="163">
        <f t="shared" ca="1" si="1276"/>
        <v>105568.20111899159</v>
      </c>
      <c r="CO195" s="163">
        <f t="shared" ca="1" si="1276"/>
        <v>105446.66676557263</v>
      </c>
      <c r="CP195" s="163">
        <f t="shared" ca="1" si="1276"/>
        <v>105324.52474038659</v>
      </c>
      <c r="CQ195" s="163">
        <f t="shared" ca="1" si="1276"/>
        <v>105201.77200507461</v>
      </c>
      <c r="CR195" s="163">
        <f t="shared" ca="1" si="1276"/>
        <v>105078.40550608608</v>
      </c>
      <c r="CS195" s="163">
        <f t="shared" ca="1" si="1276"/>
        <v>104954.42217460262</v>
      </c>
      <c r="CT195" s="163">
        <f t="shared" ca="1" si="1276"/>
        <v>104829.8189264617</v>
      </c>
      <c r="CU195" s="163">
        <f t="shared" ca="1" si="1276"/>
        <v>104704.59266208012</v>
      </c>
      <c r="CV195" s="163">
        <f t="shared" ca="1" si="1276"/>
        <v>104578.7402663766</v>
      </c>
      <c r="CW195" s="163">
        <f t="shared" ca="1" si="1276"/>
        <v>104452.25860869458</v>
      </c>
      <c r="CX195" s="163">
        <f t="shared" ca="1" si="1276"/>
        <v>104325.14454272413</v>
      </c>
      <c r="CY195" s="163">
        <f t="shared" ca="1" si="1276"/>
        <v>104197.39490642385</v>
      </c>
      <c r="CZ195" s="163">
        <f t="shared" ca="1" si="1276"/>
        <v>0</v>
      </c>
      <c r="DA195" s="163">
        <f t="shared" ca="1" si="1276"/>
        <v>0</v>
      </c>
      <c r="DB195" s="163">
        <f t="shared" ca="1" si="1276"/>
        <v>0</v>
      </c>
      <c r="DC195" s="163">
        <f t="shared" ca="1" si="1276"/>
        <v>0</v>
      </c>
      <c r="DD195" s="163">
        <f t="shared" ca="1" si="1276"/>
        <v>0</v>
      </c>
      <c r="DE195" s="163">
        <f t="shared" ca="1" si="1276"/>
        <v>0</v>
      </c>
      <c r="DF195" s="163">
        <f t="shared" ca="1" si="1276"/>
        <v>0</v>
      </c>
      <c r="DG195" s="163">
        <f t="shared" ca="1" si="1276"/>
        <v>0</v>
      </c>
      <c r="DH195" s="163">
        <f t="shared" ca="1" si="1276"/>
        <v>0</v>
      </c>
      <c r="DI195" s="163">
        <f t="shared" ca="1" si="1276"/>
        <v>0</v>
      </c>
      <c r="DJ195" s="163">
        <f t="shared" ca="1" si="1276"/>
        <v>0</v>
      </c>
      <c r="DK195" s="163">
        <f t="shared" ca="1" si="1276"/>
        <v>0</v>
      </c>
      <c r="DL195" s="163">
        <f t="shared" ca="1" si="1276"/>
        <v>0</v>
      </c>
      <c r="DM195" s="163">
        <f t="shared" ca="1" si="1276"/>
        <v>0</v>
      </c>
      <c r="DN195" s="163">
        <f t="shared" ca="1" si="1276"/>
        <v>0</v>
      </c>
      <c r="DO195" s="163">
        <f t="shared" ca="1" si="1276"/>
        <v>0</v>
      </c>
      <c r="DP195" s="163">
        <f t="shared" ca="1" si="1276"/>
        <v>0</v>
      </c>
      <c r="DQ195" s="163">
        <f t="shared" ca="1" si="1276"/>
        <v>0</v>
      </c>
      <c r="DR195" s="163">
        <f t="shared" ca="1" si="1276"/>
        <v>0</v>
      </c>
      <c r="DS195" s="163">
        <f t="shared" ca="1" si="1276"/>
        <v>0</v>
      </c>
      <c r="DT195" s="163">
        <f t="shared" ca="1" si="1276"/>
        <v>0</v>
      </c>
      <c r="DU195" s="163">
        <f t="shared" ca="1" si="1276"/>
        <v>0</v>
      </c>
      <c r="DV195" s="163">
        <f t="shared" ca="1" si="1276"/>
        <v>0</v>
      </c>
      <c r="DW195" s="163">
        <f t="shared" ca="1" si="1276"/>
        <v>0</v>
      </c>
      <c r="DX195" s="163">
        <f t="shared" ca="1" si="1276"/>
        <v>0</v>
      </c>
      <c r="DY195" s="163">
        <f t="shared" ca="1" si="1276"/>
        <v>0</v>
      </c>
      <c r="DZ195" s="163">
        <f t="shared" ca="1" si="1276"/>
        <v>0</v>
      </c>
      <c r="EA195" s="163">
        <f t="shared" ca="1" si="1276"/>
        <v>0</v>
      </c>
      <c r="EB195" s="163">
        <f t="shared" ca="1" si="1276"/>
        <v>0</v>
      </c>
      <c r="EC195" s="163">
        <f t="shared" ca="1" si="1276"/>
        <v>0</v>
      </c>
      <c r="ED195" s="163">
        <f t="shared" ca="1" si="1276"/>
        <v>0</v>
      </c>
      <c r="EE195" s="163">
        <f t="shared" ref="EE195:FE195" ca="1" si="1277">IF($K$50=TRUE,0,EE193)*$I$30/12</f>
        <v>0</v>
      </c>
      <c r="EF195" s="163">
        <f t="shared" ca="1" si="1277"/>
        <v>0</v>
      </c>
      <c r="EG195" s="163">
        <f t="shared" ca="1" si="1277"/>
        <v>0</v>
      </c>
      <c r="EH195" s="163">
        <f t="shared" ca="1" si="1277"/>
        <v>0</v>
      </c>
      <c r="EI195" s="163">
        <f t="shared" ca="1" si="1277"/>
        <v>0</v>
      </c>
      <c r="EJ195" s="163">
        <f t="shared" ca="1" si="1277"/>
        <v>0</v>
      </c>
      <c r="EK195" s="163">
        <f t="shared" ca="1" si="1277"/>
        <v>0</v>
      </c>
      <c r="EL195" s="163">
        <f t="shared" ca="1" si="1277"/>
        <v>0</v>
      </c>
      <c r="EM195" s="163">
        <f t="shared" ca="1" si="1277"/>
        <v>0</v>
      </c>
      <c r="EN195" s="163">
        <f t="shared" ca="1" si="1277"/>
        <v>0</v>
      </c>
      <c r="EO195" s="163">
        <f t="shared" ca="1" si="1277"/>
        <v>0</v>
      </c>
      <c r="EP195" s="163">
        <f t="shared" ca="1" si="1277"/>
        <v>0</v>
      </c>
      <c r="EQ195" s="163">
        <f t="shared" ca="1" si="1277"/>
        <v>0</v>
      </c>
      <c r="ER195" s="163">
        <f t="shared" ca="1" si="1277"/>
        <v>0</v>
      </c>
      <c r="ES195" s="163">
        <f t="shared" ca="1" si="1277"/>
        <v>0</v>
      </c>
      <c r="ET195" s="163">
        <f t="shared" ca="1" si="1277"/>
        <v>0</v>
      </c>
      <c r="EU195" s="163">
        <f t="shared" ca="1" si="1277"/>
        <v>0</v>
      </c>
      <c r="EV195" s="163">
        <f t="shared" ca="1" si="1277"/>
        <v>0</v>
      </c>
      <c r="EW195" s="163">
        <f t="shared" ca="1" si="1277"/>
        <v>0</v>
      </c>
      <c r="EX195" s="163">
        <f t="shared" ca="1" si="1277"/>
        <v>0</v>
      </c>
      <c r="EY195" s="163">
        <f t="shared" ca="1" si="1277"/>
        <v>0</v>
      </c>
      <c r="EZ195" s="163">
        <f t="shared" ca="1" si="1277"/>
        <v>0</v>
      </c>
      <c r="FA195" s="163">
        <f t="shared" ca="1" si="1277"/>
        <v>0</v>
      </c>
      <c r="FB195" s="163">
        <f t="shared" ca="1" si="1277"/>
        <v>0</v>
      </c>
      <c r="FC195" s="163">
        <f t="shared" ca="1" si="1277"/>
        <v>0</v>
      </c>
      <c r="FD195" s="163">
        <f t="shared" ca="1" si="1277"/>
        <v>0</v>
      </c>
      <c r="FE195" s="163">
        <f t="shared" ca="1" si="1277"/>
        <v>0</v>
      </c>
      <c r="FF195" s="163">
        <f t="shared" ref="FF195" ca="1" si="1278">IF($K$50=TRUE,0,FF193)*$I$30/12</f>
        <v>0</v>
      </c>
      <c r="FG195" s="314"/>
      <c r="FH195" s="163">
        <f t="shared" si="1274"/>
        <v>0</v>
      </c>
      <c r="FI195" s="163">
        <f t="shared" si="1274"/>
        <v>0</v>
      </c>
      <c r="FJ195" s="163">
        <f t="shared" si="1274"/>
        <v>0</v>
      </c>
      <c r="FK195" s="163">
        <f t="shared" ca="1" si="1274"/>
        <v>649862.18685919349</v>
      </c>
      <c r="FL195" s="163">
        <f t="shared" ca="1" si="1274"/>
        <v>1299724.3737183867</v>
      </c>
      <c r="FM195" s="163">
        <f t="shared" ca="1" si="1274"/>
        <v>1298096.1978004938</v>
      </c>
      <c r="FN195" s="163">
        <f t="shared" ca="1" si="1274"/>
        <v>1284407.2632608642</v>
      </c>
      <c r="FO195" s="163">
        <f t="shared" ca="1" si="1274"/>
        <v>1267501.7698671799</v>
      </c>
      <c r="FP195" s="163">
        <f t="shared" ca="1" si="1274"/>
        <v>627087.94991276099</v>
      </c>
      <c r="FQ195" s="163">
        <f t="shared" ca="1" si="1274"/>
        <v>0</v>
      </c>
      <c r="FR195" s="163">
        <f t="shared" ca="1" si="1274"/>
        <v>0</v>
      </c>
      <c r="FS195" s="163">
        <f t="shared" ca="1" si="1274"/>
        <v>0</v>
      </c>
      <c r="FT195" s="163">
        <f t="shared" ca="1" si="1274"/>
        <v>0</v>
      </c>
      <c r="FU195" s="163">
        <f t="shared" ca="1" si="1274"/>
        <v>0</v>
      </c>
      <c r="FV195" s="314"/>
    </row>
    <row r="196" spans="2:178" x14ac:dyDescent="0.2">
      <c r="B196" s="47"/>
      <c r="C196" s="39" t="s">
        <v>130</v>
      </c>
      <c r="E196" s="163">
        <f t="shared" ca="1" si="1268"/>
        <v>-6426679.7414188804</v>
      </c>
      <c r="F196" s="261">
        <f t="shared" ref="F196:AK196" si="1279">-MIN(F195,F121*(F121&gt;0))</f>
        <v>0</v>
      </c>
      <c r="G196" s="163">
        <f t="shared" si="1279"/>
        <v>0</v>
      </c>
      <c r="H196" s="163">
        <f t="shared" si="1279"/>
        <v>0</v>
      </c>
      <c r="I196" s="163">
        <f t="shared" si="1279"/>
        <v>0</v>
      </c>
      <c r="J196" s="163">
        <f t="shared" si="1279"/>
        <v>0</v>
      </c>
      <c r="K196" s="163">
        <f t="shared" si="1279"/>
        <v>0</v>
      </c>
      <c r="L196" s="163">
        <f t="shared" si="1279"/>
        <v>0</v>
      </c>
      <c r="M196" s="163">
        <f t="shared" si="1279"/>
        <v>0</v>
      </c>
      <c r="N196" s="163">
        <f t="shared" si="1279"/>
        <v>0</v>
      </c>
      <c r="O196" s="163">
        <f t="shared" si="1279"/>
        <v>0</v>
      </c>
      <c r="P196" s="163">
        <f t="shared" si="1279"/>
        <v>0</v>
      </c>
      <c r="Q196" s="163">
        <f t="shared" si="1279"/>
        <v>0</v>
      </c>
      <c r="R196" s="163">
        <f t="shared" si="1279"/>
        <v>0</v>
      </c>
      <c r="S196" s="163">
        <f t="shared" si="1279"/>
        <v>0</v>
      </c>
      <c r="T196" s="163">
        <f t="shared" si="1279"/>
        <v>0</v>
      </c>
      <c r="U196" s="163">
        <f t="shared" si="1279"/>
        <v>0</v>
      </c>
      <c r="V196" s="163">
        <f t="shared" si="1279"/>
        <v>0</v>
      </c>
      <c r="W196" s="163">
        <f t="shared" si="1279"/>
        <v>0</v>
      </c>
      <c r="X196" s="163">
        <f t="shared" si="1279"/>
        <v>0</v>
      </c>
      <c r="Y196" s="163">
        <f t="shared" si="1279"/>
        <v>0</v>
      </c>
      <c r="Z196" s="163">
        <f t="shared" si="1279"/>
        <v>0</v>
      </c>
      <c r="AA196" s="163">
        <f t="shared" si="1279"/>
        <v>0</v>
      </c>
      <c r="AB196" s="163">
        <f t="shared" si="1279"/>
        <v>0</v>
      </c>
      <c r="AC196" s="163">
        <f t="shared" si="1279"/>
        <v>0</v>
      </c>
      <c r="AD196" s="163">
        <f t="shared" si="1279"/>
        <v>0</v>
      </c>
      <c r="AE196" s="163">
        <f t="shared" si="1279"/>
        <v>0</v>
      </c>
      <c r="AF196" s="163">
        <f t="shared" si="1279"/>
        <v>0</v>
      </c>
      <c r="AG196" s="163">
        <f t="shared" si="1279"/>
        <v>0</v>
      </c>
      <c r="AH196" s="163">
        <f t="shared" si="1279"/>
        <v>0</v>
      </c>
      <c r="AI196" s="163">
        <f t="shared" si="1279"/>
        <v>0</v>
      </c>
      <c r="AJ196" s="163">
        <f t="shared" si="1279"/>
        <v>0</v>
      </c>
      <c r="AK196" s="163">
        <f t="shared" si="1279"/>
        <v>0</v>
      </c>
      <c r="AL196" s="163">
        <f t="shared" ref="AL196:BQ196" si="1280">-MIN(AL195,AL121*(AL121&gt;0))</f>
        <v>0</v>
      </c>
      <c r="AM196" s="163">
        <f t="shared" si="1280"/>
        <v>0</v>
      </c>
      <c r="AN196" s="163">
        <f t="shared" si="1280"/>
        <v>0</v>
      </c>
      <c r="AO196" s="163">
        <f t="shared" si="1280"/>
        <v>0</v>
      </c>
      <c r="AP196" s="163">
        <f t="shared" si="1280"/>
        <v>0</v>
      </c>
      <c r="AQ196" s="163">
        <f t="shared" si="1280"/>
        <v>0</v>
      </c>
      <c r="AR196" s="163">
        <f t="shared" ca="1" si="1280"/>
        <v>-108310.36447653227</v>
      </c>
      <c r="AS196" s="163">
        <f t="shared" ca="1" si="1280"/>
        <v>-108310.36447653227</v>
      </c>
      <c r="AT196" s="163">
        <f t="shared" ca="1" si="1280"/>
        <v>-108310.36447653227</v>
      </c>
      <c r="AU196" s="163">
        <f t="shared" ca="1" si="1280"/>
        <v>-108310.36447653227</v>
      </c>
      <c r="AV196" s="163">
        <f t="shared" ca="1" si="1280"/>
        <v>-108310.36447653227</v>
      </c>
      <c r="AW196" s="163">
        <f t="shared" ca="1" si="1280"/>
        <v>-108310.36447653227</v>
      </c>
      <c r="AX196" s="163">
        <f t="shared" ca="1" si="1280"/>
        <v>-108310.36447653227</v>
      </c>
      <c r="AY196" s="163">
        <f t="shared" ca="1" si="1280"/>
        <v>-108310.36447653227</v>
      </c>
      <c r="AZ196" s="163">
        <f t="shared" ca="1" si="1280"/>
        <v>-108310.36447653227</v>
      </c>
      <c r="BA196" s="163">
        <f t="shared" ca="1" si="1280"/>
        <v>-108310.36447653227</v>
      </c>
      <c r="BB196" s="163">
        <f t="shared" ca="1" si="1280"/>
        <v>-108310.36447653227</v>
      </c>
      <c r="BC196" s="163">
        <f t="shared" ca="1" si="1280"/>
        <v>-108310.36447653227</v>
      </c>
      <c r="BD196" s="163">
        <f t="shared" ca="1" si="1280"/>
        <v>-108310.36447653227</v>
      </c>
      <c r="BE196" s="163">
        <f t="shared" ca="1" si="1280"/>
        <v>-108310.36447653227</v>
      </c>
      <c r="BF196" s="163">
        <f t="shared" ca="1" si="1280"/>
        <v>-108310.36447653227</v>
      </c>
      <c r="BG196" s="163">
        <f t="shared" ca="1" si="1280"/>
        <v>-108310.36447653227</v>
      </c>
      <c r="BH196" s="163">
        <f t="shared" ca="1" si="1280"/>
        <v>-108310.36447653227</v>
      </c>
      <c r="BI196" s="163">
        <f t="shared" ca="1" si="1280"/>
        <v>-108310.36447653227</v>
      </c>
      <c r="BJ196" s="163">
        <f t="shared" ca="1" si="1280"/>
        <v>-108310.36447653227</v>
      </c>
      <c r="BK196" s="163">
        <f t="shared" ca="1" si="1280"/>
        <v>-108310.36447653227</v>
      </c>
      <c r="BL196" s="163">
        <f t="shared" ca="1" si="1280"/>
        <v>-108310.36447653227</v>
      </c>
      <c r="BM196" s="163">
        <f t="shared" ca="1" si="1280"/>
        <v>-108310.36447653227</v>
      </c>
      <c r="BN196" s="163">
        <f t="shared" ca="1" si="1280"/>
        <v>-108310.36447653227</v>
      </c>
      <c r="BO196" s="163">
        <f t="shared" ca="1" si="1280"/>
        <v>-108310.36447653227</v>
      </c>
      <c r="BP196" s="163">
        <f t="shared" ca="1" si="1280"/>
        <v>-108310.36447653227</v>
      </c>
      <c r="BQ196" s="163">
        <f t="shared" ca="1" si="1280"/>
        <v>-108202.54093990102</v>
      </c>
      <c r="BR196" s="163">
        <f t="shared" ref="BR196:CW196" ca="1" si="1281">-MIN(BR195,BR121*(BR121&gt;0))</f>
        <v>-108094.17828558663</v>
      </c>
      <c r="BS196" s="163">
        <f t="shared" ca="1" si="1281"/>
        <v>-107985.27381800064</v>
      </c>
      <c r="BT196" s="163">
        <f t="shared" ca="1" si="1281"/>
        <v>-107875.82482807674</v>
      </c>
      <c r="BU196" s="163">
        <f t="shared" ca="1" si="1281"/>
        <v>-107765.8285932032</v>
      </c>
      <c r="BV196" s="163">
        <f t="shared" ca="1" si="1281"/>
        <v>-107655.28237715531</v>
      </c>
      <c r="BW196" s="163">
        <f t="shared" ca="1" si="1281"/>
        <v>-107544.18343002717</v>
      </c>
      <c r="BX196" s="163">
        <f t="shared" ca="1" si="1281"/>
        <v>-107432.52898816339</v>
      </c>
      <c r="BY196" s="163">
        <f t="shared" ca="1" si="1281"/>
        <v>-107320.31627409031</v>
      </c>
      <c r="BZ196" s="163">
        <f t="shared" ca="1" si="1281"/>
        <v>-107207.54249644683</v>
      </c>
      <c r="CA196" s="163">
        <f t="shared" ca="1" si="1281"/>
        <v>-107094.20484991517</v>
      </c>
      <c r="CB196" s="163">
        <f t="shared" ca="1" si="1281"/>
        <v>-106980.30051515083</v>
      </c>
      <c r="CC196" s="163">
        <f t="shared" ca="1" si="1281"/>
        <v>-106865.82665871269</v>
      </c>
      <c r="CD196" s="163">
        <f t="shared" ca="1" si="1281"/>
        <v>-106750.78043299232</v>
      </c>
      <c r="CE196" s="163">
        <f t="shared" ca="1" si="1281"/>
        <v>-106635.15897614339</v>
      </c>
      <c r="CF196" s="163">
        <f t="shared" ca="1" si="1281"/>
        <v>-106518.9594120102</v>
      </c>
      <c r="CG196" s="163">
        <f t="shared" ca="1" si="1281"/>
        <v>-106402.17885005633</v>
      </c>
      <c r="CH196" s="163">
        <f t="shared" ca="1" si="1281"/>
        <v>-106284.81438529272</v>
      </c>
      <c r="CI196" s="163">
        <f t="shared" ca="1" si="1281"/>
        <v>-106166.86309820526</v>
      </c>
      <c r="CJ196" s="163">
        <f t="shared" ca="1" si="1281"/>
        <v>-106048.3220546824</v>
      </c>
      <c r="CK196" s="163">
        <f t="shared" ca="1" si="1281"/>
        <v>-105929.18830594189</v>
      </c>
      <c r="CL196" s="163">
        <f t="shared" ca="1" si="1281"/>
        <v>-105809.4588884577</v>
      </c>
      <c r="CM196" s="163">
        <f t="shared" ca="1" si="1281"/>
        <v>-105689.13082388608</v>
      </c>
      <c r="CN196" s="163">
        <f t="shared" ca="1" si="1281"/>
        <v>-105568.20111899159</v>
      </c>
      <c r="CO196" s="163">
        <f t="shared" ca="1" si="1281"/>
        <v>-105446.66676557263</v>
      </c>
      <c r="CP196" s="163">
        <f t="shared" ca="1" si="1281"/>
        <v>-105324.52474038659</v>
      </c>
      <c r="CQ196" s="163">
        <f t="shared" ca="1" si="1281"/>
        <v>-105201.77200507461</v>
      </c>
      <c r="CR196" s="163">
        <f t="shared" ca="1" si="1281"/>
        <v>-105078.40550608608</v>
      </c>
      <c r="CS196" s="163">
        <f t="shared" ca="1" si="1281"/>
        <v>-104954.42217460262</v>
      </c>
      <c r="CT196" s="163">
        <f t="shared" ca="1" si="1281"/>
        <v>-104829.8189264617</v>
      </c>
      <c r="CU196" s="163">
        <f t="shared" ca="1" si="1281"/>
        <v>-104704.59266208012</v>
      </c>
      <c r="CV196" s="163">
        <f t="shared" ca="1" si="1281"/>
        <v>-104578.7402663766</v>
      </c>
      <c r="CW196" s="163">
        <f t="shared" ca="1" si="1281"/>
        <v>-104452.25860869458</v>
      </c>
      <c r="CX196" s="163">
        <f t="shared" ref="CX196:EC196" ca="1" si="1282">-MIN(CX195,CX121*(CX121&gt;0))</f>
        <v>-104325.14454272413</v>
      </c>
      <c r="CY196" s="163">
        <f t="shared" ca="1" si="1282"/>
        <v>-104197.39490642385</v>
      </c>
      <c r="CZ196" s="163">
        <f t="shared" ca="1" si="1282"/>
        <v>0</v>
      </c>
      <c r="DA196" s="163">
        <f t="shared" ca="1" si="1282"/>
        <v>0</v>
      </c>
      <c r="DB196" s="163">
        <f t="shared" ca="1" si="1282"/>
        <v>0</v>
      </c>
      <c r="DC196" s="163">
        <f t="shared" ca="1" si="1282"/>
        <v>0</v>
      </c>
      <c r="DD196" s="163">
        <f t="shared" ca="1" si="1282"/>
        <v>0</v>
      </c>
      <c r="DE196" s="163">
        <f t="shared" ca="1" si="1282"/>
        <v>0</v>
      </c>
      <c r="DF196" s="163">
        <f t="shared" ca="1" si="1282"/>
        <v>0</v>
      </c>
      <c r="DG196" s="163">
        <f t="shared" ca="1" si="1282"/>
        <v>0</v>
      </c>
      <c r="DH196" s="163">
        <f t="shared" ca="1" si="1282"/>
        <v>0</v>
      </c>
      <c r="DI196" s="163">
        <f t="shared" ca="1" si="1282"/>
        <v>0</v>
      </c>
      <c r="DJ196" s="163">
        <f t="shared" ca="1" si="1282"/>
        <v>0</v>
      </c>
      <c r="DK196" s="163">
        <f t="shared" ca="1" si="1282"/>
        <v>0</v>
      </c>
      <c r="DL196" s="163">
        <f t="shared" ca="1" si="1282"/>
        <v>0</v>
      </c>
      <c r="DM196" s="163">
        <f t="shared" ca="1" si="1282"/>
        <v>0</v>
      </c>
      <c r="DN196" s="163">
        <f t="shared" ca="1" si="1282"/>
        <v>0</v>
      </c>
      <c r="DO196" s="163">
        <f t="shared" ca="1" si="1282"/>
        <v>0</v>
      </c>
      <c r="DP196" s="163">
        <f t="shared" ca="1" si="1282"/>
        <v>0</v>
      </c>
      <c r="DQ196" s="163">
        <f t="shared" ca="1" si="1282"/>
        <v>0</v>
      </c>
      <c r="DR196" s="163">
        <f t="shared" ca="1" si="1282"/>
        <v>0</v>
      </c>
      <c r="DS196" s="163">
        <f t="shared" ca="1" si="1282"/>
        <v>0</v>
      </c>
      <c r="DT196" s="163">
        <f t="shared" ca="1" si="1282"/>
        <v>0</v>
      </c>
      <c r="DU196" s="163">
        <f t="shared" ca="1" si="1282"/>
        <v>0</v>
      </c>
      <c r="DV196" s="163">
        <f t="shared" ca="1" si="1282"/>
        <v>0</v>
      </c>
      <c r="DW196" s="163">
        <f t="shared" ca="1" si="1282"/>
        <v>0</v>
      </c>
      <c r="DX196" s="163">
        <f t="shared" ca="1" si="1282"/>
        <v>0</v>
      </c>
      <c r="DY196" s="163">
        <f t="shared" ca="1" si="1282"/>
        <v>0</v>
      </c>
      <c r="DZ196" s="163">
        <f t="shared" ca="1" si="1282"/>
        <v>0</v>
      </c>
      <c r="EA196" s="163">
        <f t="shared" ca="1" si="1282"/>
        <v>0</v>
      </c>
      <c r="EB196" s="163">
        <f t="shared" ca="1" si="1282"/>
        <v>0</v>
      </c>
      <c r="EC196" s="163">
        <f t="shared" ca="1" si="1282"/>
        <v>0</v>
      </c>
      <c r="ED196" s="163">
        <f t="shared" ref="ED196:FF196" ca="1" si="1283">-MIN(ED195,ED121*(ED121&gt;0))</f>
        <v>0</v>
      </c>
      <c r="EE196" s="163">
        <f t="shared" ca="1" si="1283"/>
        <v>0</v>
      </c>
      <c r="EF196" s="163">
        <f t="shared" ca="1" si="1283"/>
        <v>0</v>
      </c>
      <c r="EG196" s="163">
        <f t="shared" ca="1" si="1283"/>
        <v>0</v>
      </c>
      <c r="EH196" s="163">
        <f t="shared" ca="1" si="1283"/>
        <v>0</v>
      </c>
      <c r="EI196" s="163">
        <f t="shared" ca="1" si="1283"/>
        <v>0</v>
      </c>
      <c r="EJ196" s="163">
        <f t="shared" ca="1" si="1283"/>
        <v>0</v>
      </c>
      <c r="EK196" s="163">
        <f t="shared" ca="1" si="1283"/>
        <v>0</v>
      </c>
      <c r="EL196" s="163">
        <f t="shared" ca="1" si="1283"/>
        <v>0</v>
      </c>
      <c r="EM196" s="163">
        <f t="shared" ca="1" si="1283"/>
        <v>0</v>
      </c>
      <c r="EN196" s="163">
        <f t="shared" ca="1" si="1283"/>
        <v>0</v>
      </c>
      <c r="EO196" s="163">
        <f t="shared" ca="1" si="1283"/>
        <v>0</v>
      </c>
      <c r="EP196" s="163">
        <f t="shared" ca="1" si="1283"/>
        <v>0</v>
      </c>
      <c r="EQ196" s="163">
        <f t="shared" ca="1" si="1283"/>
        <v>0</v>
      </c>
      <c r="ER196" s="163">
        <f t="shared" ca="1" si="1283"/>
        <v>0</v>
      </c>
      <c r="ES196" s="163">
        <f t="shared" ca="1" si="1283"/>
        <v>0</v>
      </c>
      <c r="ET196" s="163">
        <f t="shared" ca="1" si="1283"/>
        <v>0</v>
      </c>
      <c r="EU196" s="163">
        <f t="shared" ca="1" si="1283"/>
        <v>0</v>
      </c>
      <c r="EV196" s="163">
        <f t="shared" ca="1" si="1283"/>
        <v>0</v>
      </c>
      <c r="EW196" s="163">
        <f t="shared" ca="1" si="1283"/>
        <v>0</v>
      </c>
      <c r="EX196" s="163">
        <f t="shared" ca="1" si="1283"/>
        <v>0</v>
      </c>
      <c r="EY196" s="163">
        <f t="shared" ca="1" si="1283"/>
        <v>0</v>
      </c>
      <c r="EZ196" s="163">
        <f t="shared" ca="1" si="1283"/>
        <v>0</v>
      </c>
      <c r="FA196" s="163">
        <f t="shared" ca="1" si="1283"/>
        <v>0</v>
      </c>
      <c r="FB196" s="163">
        <f t="shared" ca="1" si="1283"/>
        <v>0</v>
      </c>
      <c r="FC196" s="163">
        <f t="shared" ca="1" si="1283"/>
        <v>0</v>
      </c>
      <c r="FD196" s="163">
        <f t="shared" ca="1" si="1283"/>
        <v>0</v>
      </c>
      <c r="FE196" s="163">
        <f t="shared" ca="1" si="1283"/>
        <v>0</v>
      </c>
      <c r="FF196" s="163">
        <f t="shared" ca="1" si="1283"/>
        <v>0</v>
      </c>
      <c r="FG196" s="314"/>
      <c r="FH196" s="163">
        <f t="shared" si="1274"/>
        <v>0</v>
      </c>
      <c r="FI196" s="163">
        <f t="shared" si="1274"/>
        <v>0</v>
      </c>
      <c r="FJ196" s="163">
        <f t="shared" si="1274"/>
        <v>0</v>
      </c>
      <c r="FK196" s="163">
        <f t="shared" ca="1" si="1274"/>
        <v>-649862.18685919349</v>
      </c>
      <c r="FL196" s="163">
        <f t="shared" ca="1" si="1274"/>
        <v>-1299724.3737183867</v>
      </c>
      <c r="FM196" s="163">
        <f t="shared" ca="1" si="1274"/>
        <v>-1298096.1978004938</v>
      </c>
      <c r="FN196" s="163">
        <f t="shared" ca="1" si="1274"/>
        <v>-1284407.2632608642</v>
      </c>
      <c r="FO196" s="163">
        <f t="shared" ca="1" si="1274"/>
        <v>-1267501.7698671799</v>
      </c>
      <c r="FP196" s="163">
        <f t="shared" ca="1" si="1274"/>
        <v>-627087.94991276099</v>
      </c>
      <c r="FQ196" s="163">
        <f t="shared" ca="1" si="1274"/>
        <v>0</v>
      </c>
      <c r="FR196" s="163">
        <f t="shared" ca="1" si="1274"/>
        <v>0</v>
      </c>
      <c r="FS196" s="163">
        <f t="shared" ca="1" si="1274"/>
        <v>0</v>
      </c>
      <c r="FT196" s="163">
        <f t="shared" ca="1" si="1274"/>
        <v>0</v>
      </c>
      <c r="FU196" s="163">
        <f t="shared" ca="1" si="1274"/>
        <v>0</v>
      </c>
      <c r="FV196" s="314"/>
    </row>
    <row r="197" spans="2:178" x14ac:dyDescent="0.2">
      <c r="B197" s="47"/>
      <c r="C197" s="39" t="s">
        <v>131</v>
      </c>
      <c r="E197" s="163">
        <f t="shared" ca="1" si="1268"/>
        <v>-848271.59091804142</v>
      </c>
      <c r="F197" s="261">
        <f t="shared" ref="F197:AK197" si="1284">IF(AND(F58&gt;=EOMONTH($F$11,$H$32+1),F58&lt;=$H$12),-($I$32+F196),0)</f>
        <v>0</v>
      </c>
      <c r="G197" s="163">
        <f t="shared" si="1284"/>
        <v>0</v>
      </c>
      <c r="H197" s="163">
        <f t="shared" si="1284"/>
        <v>0</v>
      </c>
      <c r="I197" s="163">
        <f t="shared" si="1284"/>
        <v>0</v>
      </c>
      <c r="J197" s="163">
        <f t="shared" si="1284"/>
        <v>0</v>
      </c>
      <c r="K197" s="163">
        <f t="shared" si="1284"/>
        <v>0</v>
      </c>
      <c r="L197" s="163">
        <f t="shared" si="1284"/>
        <v>0</v>
      </c>
      <c r="M197" s="163">
        <f t="shared" si="1284"/>
        <v>0</v>
      </c>
      <c r="N197" s="163">
        <f t="shared" si="1284"/>
        <v>0</v>
      </c>
      <c r="O197" s="163">
        <f t="shared" si="1284"/>
        <v>0</v>
      </c>
      <c r="P197" s="163">
        <f t="shared" si="1284"/>
        <v>0</v>
      </c>
      <c r="Q197" s="163">
        <f t="shared" si="1284"/>
        <v>0</v>
      </c>
      <c r="R197" s="163">
        <f t="shared" si="1284"/>
        <v>0</v>
      </c>
      <c r="S197" s="163">
        <f t="shared" si="1284"/>
        <v>0</v>
      </c>
      <c r="T197" s="163">
        <f t="shared" si="1284"/>
        <v>0</v>
      </c>
      <c r="U197" s="163">
        <f t="shared" si="1284"/>
        <v>0</v>
      </c>
      <c r="V197" s="163">
        <f t="shared" si="1284"/>
        <v>0</v>
      </c>
      <c r="W197" s="163">
        <f t="shared" si="1284"/>
        <v>0</v>
      </c>
      <c r="X197" s="163">
        <f t="shared" si="1284"/>
        <v>0</v>
      </c>
      <c r="Y197" s="163">
        <f t="shared" si="1284"/>
        <v>0</v>
      </c>
      <c r="Z197" s="163">
        <f t="shared" si="1284"/>
        <v>0</v>
      </c>
      <c r="AA197" s="163">
        <f t="shared" si="1284"/>
        <v>0</v>
      </c>
      <c r="AB197" s="163">
        <f t="shared" si="1284"/>
        <v>0</v>
      </c>
      <c r="AC197" s="163">
        <f t="shared" si="1284"/>
        <v>0</v>
      </c>
      <c r="AD197" s="163">
        <f t="shared" si="1284"/>
        <v>0</v>
      </c>
      <c r="AE197" s="163">
        <f t="shared" si="1284"/>
        <v>0</v>
      </c>
      <c r="AF197" s="163">
        <f t="shared" si="1284"/>
        <v>0</v>
      </c>
      <c r="AG197" s="163">
        <f t="shared" si="1284"/>
        <v>0</v>
      </c>
      <c r="AH197" s="163">
        <f t="shared" si="1284"/>
        <v>0</v>
      </c>
      <c r="AI197" s="163">
        <f t="shared" si="1284"/>
        <v>0</v>
      </c>
      <c r="AJ197" s="163">
        <f t="shared" si="1284"/>
        <v>0</v>
      </c>
      <c r="AK197" s="163">
        <f t="shared" si="1284"/>
        <v>0</v>
      </c>
      <c r="AL197" s="163">
        <f t="shared" ref="AL197:BQ197" si="1285">IF(AND(AL58&gt;=EOMONTH($F$11,$H$32+1),AL58&lt;=$H$12),-($I$32+AL196),0)</f>
        <v>0</v>
      </c>
      <c r="AM197" s="163">
        <f t="shared" si="1285"/>
        <v>0</v>
      </c>
      <c r="AN197" s="163">
        <f t="shared" si="1285"/>
        <v>0</v>
      </c>
      <c r="AO197" s="163">
        <f t="shared" si="1285"/>
        <v>0</v>
      </c>
      <c r="AP197" s="163">
        <f t="shared" si="1285"/>
        <v>0</v>
      </c>
      <c r="AQ197" s="163">
        <f t="shared" si="1285"/>
        <v>0</v>
      </c>
      <c r="AR197" s="163">
        <f t="shared" si="1285"/>
        <v>0</v>
      </c>
      <c r="AS197" s="163">
        <f t="shared" si="1285"/>
        <v>0</v>
      </c>
      <c r="AT197" s="163">
        <f t="shared" si="1285"/>
        <v>0</v>
      </c>
      <c r="AU197" s="163">
        <f t="shared" si="1285"/>
        <v>0</v>
      </c>
      <c r="AV197" s="163">
        <f t="shared" si="1285"/>
        <v>0</v>
      </c>
      <c r="AW197" s="163">
        <f t="shared" si="1285"/>
        <v>0</v>
      </c>
      <c r="AX197" s="163">
        <f t="shared" si="1285"/>
        <v>0</v>
      </c>
      <c r="AY197" s="163">
        <f t="shared" si="1285"/>
        <v>0</v>
      </c>
      <c r="AZ197" s="163">
        <f t="shared" si="1285"/>
        <v>0</v>
      </c>
      <c r="BA197" s="163">
        <f t="shared" si="1285"/>
        <v>0</v>
      </c>
      <c r="BB197" s="163">
        <f t="shared" si="1285"/>
        <v>0</v>
      </c>
      <c r="BC197" s="163">
        <f t="shared" si="1285"/>
        <v>0</v>
      </c>
      <c r="BD197" s="163">
        <f t="shared" si="1285"/>
        <v>0</v>
      </c>
      <c r="BE197" s="163">
        <f t="shared" si="1285"/>
        <v>0</v>
      </c>
      <c r="BF197" s="163">
        <f t="shared" si="1285"/>
        <v>0</v>
      </c>
      <c r="BG197" s="163">
        <f t="shared" si="1285"/>
        <v>0</v>
      </c>
      <c r="BH197" s="163">
        <f t="shared" si="1285"/>
        <v>0</v>
      </c>
      <c r="BI197" s="163">
        <f t="shared" si="1285"/>
        <v>0</v>
      </c>
      <c r="BJ197" s="163">
        <f t="shared" si="1285"/>
        <v>0</v>
      </c>
      <c r="BK197" s="163">
        <f t="shared" si="1285"/>
        <v>0</v>
      </c>
      <c r="BL197" s="163">
        <f t="shared" si="1285"/>
        <v>0</v>
      </c>
      <c r="BM197" s="163">
        <f t="shared" si="1285"/>
        <v>0</v>
      </c>
      <c r="BN197" s="163">
        <f t="shared" si="1285"/>
        <v>0</v>
      </c>
      <c r="BO197" s="163">
        <f t="shared" si="1285"/>
        <v>0</v>
      </c>
      <c r="BP197" s="163">
        <f t="shared" ca="1" si="1285"/>
        <v>-21564.707326249598</v>
      </c>
      <c r="BQ197" s="163">
        <f t="shared" ca="1" si="1285"/>
        <v>-21672.530862880842</v>
      </c>
      <c r="BR197" s="163">
        <f t="shared" ref="BR197:CW197" ca="1" si="1286">IF(AND(BR58&gt;=EOMONTH($F$11,$H$32+1),BR58&lt;=$H$12),-($I$32+BR196),0)</f>
        <v>-21780.893517195233</v>
      </c>
      <c r="BS197" s="163">
        <f t="shared" ca="1" si="1286"/>
        <v>-21889.797984781224</v>
      </c>
      <c r="BT197" s="163">
        <f t="shared" ca="1" si="1286"/>
        <v>-21999.246974705122</v>
      </c>
      <c r="BU197" s="163">
        <f t="shared" ca="1" si="1286"/>
        <v>-22109.243209578664</v>
      </c>
      <c r="BV197" s="163">
        <f t="shared" ca="1" si="1286"/>
        <v>-22219.789425626557</v>
      </c>
      <c r="BW197" s="163">
        <f t="shared" ca="1" si="1286"/>
        <v>-22330.888372754693</v>
      </c>
      <c r="BX197" s="163">
        <f t="shared" ca="1" si="1286"/>
        <v>-22442.542814618471</v>
      </c>
      <c r="BY197" s="163">
        <f t="shared" ca="1" si="1286"/>
        <v>-22554.755528691559</v>
      </c>
      <c r="BZ197" s="163">
        <f t="shared" ca="1" si="1286"/>
        <v>-22667.52930633504</v>
      </c>
      <c r="CA197" s="163">
        <f t="shared" ca="1" si="1286"/>
        <v>-22780.866952866694</v>
      </c>
      <c r="CB197" s="163">
        <f t="shared" ca="1" si="1286"/>
        <v>-22894.77128763104</v>
      </c>
      <c r="CC197" s="163">
        <f t="shared" ca="1" si="1286"/>
        <v>-23009.24514406918</v>
      </c>
      <c r="CD197" s="163">
        <f t="shared" ca="1" si="1286"/>
        <v>-23124.291369789542</v>
      </c>
      <c r="CE197" s="163">
        <f t="shared" ca="1" si="1286"/>
        <v>-23239.91282663848</v>
      </c>
      <c r="CF197" s="163">
        <f t="shared" ca="1" si="1286"/>
        <v>-23356.112390771668</v>
      </c>
      <c r="CG197" s="163">
        <f t="shared" ca="1" si="1286"/>
        <v>-23472.892952725539</v>
      </c>
      <c r="CH197" s="163">
        <f t="shared" ca="1" si="1286"/>
        <v>-23590.257417489149</v>
      </c>
      <c r="CI197" s="163">
        <f t="shared" ca="1" si="1286"/>
        <v>-23708.208704576609</v>
      </c>
      <c r="CJ197" s="163">
        <f t="shared" ca="1" si="1286"/>
        <v>-23826.749748099464</v>
      </c>
      <c r="CK197" s="163">
        <f t="shared" ca="1" si="1286"/>
        <v>-23945.883496839975</v>
      </c>
      <c r="CL197" s="163">
        <f t="shared" ca="1" si="1286"/>
        <v>-24065.612914324171</v>
      </c>
      <c r="CM197" s="163">
        <f t="shared" ca="1" si="1286"/>
        <v>-24185.940978895786</v>
      </c>
      <c r="CN197" s="163">
        <f t="shared" ca="1" si="1286"/>
        <v>-24306.870683790272</v>
      </c>
      <c r="CO197" s="163">
        <f t="shared" ca="1" si="1286"/>
        <v>-24428.405037209232</v>
      </c>
      <c r="CP197" s="163">
        <f t="shared" ca="1" si="1286"/>
        <v>-24550.547062395271</v>
      </c>
      <c r="CQ197" s="163">
        <f t="shared" ca="1" si="1286"/>
        <v>-24673.299797707252</v>
      </c>
      <c r="CR197" s="163">
        <f t="shared" ca="1" si="1286"/>
        <v>-24796.666296695781</v>
      </c>
      <c r="CS197" s="163">
        <f t="shared" ca="1" si="1286"/>
        <v>-24920.64962817925</v>
      </c>
      <c r="CT197" s="163">
        <f t="shared" ca="1" si="1286"/>
        <v>-25045.25287632017</v>
      </c>
      <c r="CU197" s="163">
        <f t="shared" ca="1" si="1286"/>
        <v>-25170.479140701747</v>
      </c>
      <c r="CV197" s="163">
        <f t="shared" ca="1" si="1286"/>
        <v>-25296.331536405269</v>
      </c>
      <c r="CW197" s="163">
        <f t="shared" ca="1" si="1286"/>
        <v>-25422.813194087285</v>
      </c>
      <c r="CX197" s="163">
        <f t="shared" ref="CX197:EC197" ca="1" si="1287">IF(AND(CX58&gt;=EOMONTH($F$11,$H$32+1),CX58&lt;=$H$12),-($I$32+CX196),0)</f>
        <v>-25549.927260057739</v>
      </c>
      <c r="CY197" s="163">
        <f t="shared" ca="1" si="1287"/>
        <v>-25677.676896358011</v>
      </c>
      <c r="CZ197" s="163">
        <f t="shared" si="1287"/>
        <v>0</v>
      </c>
      <c r="DA197" s="163">
        <f t="shared" si="1287"/>
        <v>0</v>
      </c>
      <c r="DB197" s="163">
        <f t="shared" si="1287"/>
        <v>0</v>
      </c>
      <c r="DC197" s="163">
        <f t="shared" si="1287"/>
        <v>0</v>
      </c>
      <c r="DD197" s="163">
        <f t="shared" si="1287"/>
        <v>0</v>
      </c>
      <c r="DE197" s="163">
        <f t="shared" si="1287"/>
        <v>0</v>
      </c>
      <c r="DF197" s="163">
        <f t="shared" si="1287"/>
        <v>0</v>
      </c>
      <c r="DG197" s="163">
        <f t="shared" si="1287"/>
        <v>0</v>
      </c>
      <c r="DH197" s="163">
        <f t="shared" si="1287"/>
        <v>0</v>
      </c>
      <c r="DI197" s="163">
        <f t="shared" si="1287"/>
        <v>0</v>
      </c>
      <c r="DJ197" s="163">
        <f t="shared" si="1287"/>
        <v>0</v>
      </c>
      <c r="DK197" s="163">
        <f t="shared" si="1287"/>
        <v>0</v>
      </c>
      <c r="DL197" s="163">
        <f t="shared" si="1287"/>
        <v>0</v>
      </c>
      <c r="DM197" s="163">
        <f t="shared" si="1287"/>
        <v>0</v>
      </c>
      <c r="DN197" s="163">
        <f t="shared" si="1287"/>
        <v>0</v>
      </c>
      <c r="DO197" s="163">
        <f t="shared" si="1287"/>
        <v>0</v>
      </c>
      <c r="DP197" s="163">
        <f t="shared" si="1287"/>
        <v>0</v>
      </c>
      <c r="DQ197" s="163">
        <f t="shared" si="1287"/>
        <v>0</v>
      </c>
      <c r="DR197" s="163">
        <f t="shared" si="1287"/>
        <v>0</v>
      </c>
      <c r="DS197" s="163">
        <f t="shared" si="1287"/>
        <v>0</v>
      </c>
      <c r="DT197" s="163">
        <f t="shared" si="1287"/>
        <v>0</v>
      </c>
      <c r="DU197" s="163">
        <f t="shared" si="1287"/>
        <v>0</v>
      </c>
      <c r="DV197" s="163">
        <f t="shared" si="1287"/>
        <v>0</v>
      </c>
      <c r="DW197" s="163">
        <f t="shared" si="1287"/>
        <v>0</v>
      </c>
      <c r="DX197" s="163">
        <f t="shared" si="1287"/>
        <v>0</v>
      </c>
      <c r="DY197" s="163">
        <f t="shared" si="1287"/>
        <v>0</v>
      </c>
      <c r="DZ197" s="163">
        <f t="shared" si="1287"/>
        <v>0</v>
      </c>
      <c r="EA197" s="163">
        <f t="shared" si="1287"/>
        <v>0</v>
      </c>
      <c r="EB197" s="163">
        <f t="shared" si="1287"/>
        <v>0</v>
      </c>
      <c r="EC197" s="163">
        <f t="shared" si="1287"/>
        <v>0</v>
      </c>
      <c r="ED197" s="163">
        <f t="shared" ref="ED197:FF197" si="1288">IF(AND(ED58&gt;=EOMONTH($F$11,$H$32+1),ED58&lt;=$H$12),-($I$32+ED196),0)</f>
        <v>0</v>
      </c>
      <c r="EE197" s="163">
        <f t="shared" si="1288"/>
        <v>0</v>
      </c>
      <c r="EF197" s="163">
        <f t="shared" si="1288"/>
        <v>0</v>
      </c>
      <c r="EG197" s="163">
        <f t="shared" si="1288"/>
        <v>0</v>
      </c>
      <c r="EH197" s="163">
        <f t="shared" si="1288"/>
        <v>0</v>
      </c>
      <c r="EI197" s="163">
        <f t="shared" si="1288"/>
        <v>0</v>
      </c>
      <c r="EJ197" s="163">
        <f t="shared" si="1288"/>
        <v>0</v>
      </c>
      <c r="EK197" s="163">
        <f t="shared" si="1288"/>
        <v>0</v>
      </c>
      <c r="EL197" s="163">
        <f t="shared" si="1288"/>
        <v>0</v>
      </c>
      <c r="EM197" s="163">
        <f t="shared" si="1288"/>
        <v>0</v>
      </c>
      <c r="EN197" s="163">
        <f t="shared" si="1288"/>
        <v>0</v>
      </c>
      <c r="EO197" s="163">
        <f t="shared" si="1288"/>
        <v>0</v>
      </c>
      <c r="EP197" s="163">
        <f t="shared" si="1288"/>
        <v>0</v>
      </c>
      <c r="EQ197" s="163">
        <f t="shared" si="1288"/>
        <v>0</v>
      </c>
      <c r="ER197" s="163">
        <f t="shared" si="1288"/>
        <v>0</v>
      </c>
      <c r="ES197" s="163">
        <f t="shared" si="1288"/>
        <v>0</v>
      </c>
      <c r="ET197" s="163">
        <f t="shared" si="1288"/>
        <v>0</v>
      </c>
      <c r="EU197" s="163">
        <f t="shared" si="1288"/>
        <v>0</v>
      </c>
      <c r="EV197" s="163">
        <f t="shared" si="1288"/>
        <v>0</v>
      </c>
      <c r="EW197" s="163">
        <f t="shared" si="1288"/>
        <v>0</v>
      </c>
      <c r="EX197" s="163">
        <f t="shared" si="1288"/>
        <v>0</v>
      </c>
      <c r="EY197" s="163">
        <f t="shared" si="1288"/>
        <v>0</v>
      </c>
      <c r="EZ197" s="163">
        <f t="shared" si="1288"/>
        <v>0</v>
      </c>
      <c r="FA197" s="163">
        <f t="shared" si="1288"/>
        <v>0</v>
      </c>
      <c r="FB197" s="163">
        <f t="shared" si="1288"/>
        <v>0</v>
      </c>
      <c r="FC197" s="163">
        <f t="shared" si="1288"/>
        <v>0</v>
      </c>
      <c r="FD197" s="163">
        <f t="shared" si="1288"/>
        <v>0</v>
      </c>
      <c r="FE197" s="163">
        <f t="shared" si="1288"/>
        <v>0</v>
      </c>
      <c r="FF197" s="163">
        <f t="shared" si="1288"/>
        <v>0</v>
      </c>
      <c r="FG197" s="314"/>
      <c r="FH197" s="163">
        <f t="shared" si="1274"/>
        <v>0</v>
      </c>
      <c r="FI197" s="163">
        <f t="shared" si="1274"/>
        <v>0</v>
      </c>
      <c r="FJ197" s="163">
        <f t="shared" si="1274"/>
        <v>0</v>
      </c>
      <c r="FK197" s="163">
        <f t="shared" si="1274"/>
        <v>0</v>
      </c>
      <c r="FL197" s="163">
        <f t="shared" si="1274"/>
        <v>0</v>
      </c>
      <c r="FM197" s="163">
        <f t="shared" ca="1" si="1274"/>
        <v>-131016.41987539068</v>
      </c>
      <c r="FN197" s="163">
        <f t="shared" ca="1" si="1274"/>
        <v>-274093.59837251843</v>
      </c>
      <c r="FO197" s="163">
        <f t="shared" ca="1" si="1274"/>
        <v>-290999.09176620218</v>
      </c>
      <c r="FP197" s="163">
        <f t="shared" ca="1" si="1274"/>
        <v>-152162.48090393021</v>
      </c>
      <c r="FQ197" s="163">
        <f t="shared" si="1274"/>
        <v>0</v>
      </c>
      <c r="FR197" s="163">
        <f t="shared" si="1274"/>
        <v>0</v>
      </c>
      <c r="FS197" s="163">
        <f t="shared" si="1274"/>
        <v>0</v>
      </c>
      <c r="FT197" s="163">
        <f t="shared" si="1274"/>
        <v>0</v>
      </c>
      <c r="FU197" s="163">
        <f t="shared" si="1274"/>
        <v>0</v>
      </c>
      <c r="FV197" s="314"/>
    </row>
    <row r="198" spans="2:178" x14ac:dyDescent="0.2">
      <c r="B198" s="47"/>
      <c r="C198" s="39" t="s">
        <v>132</v>
      </c>
      <c r="E198" s="163">
        <f t="shared" ca="1" si="1268"/>
        <v>-20813801.304388411</v>
      </c>
      <c r="F198" s="261">
        <f t="shared" ref="F198:AK198" si="1289">IF(F58=$H$12,-SUM(F193:F197),0)</f>
        <v>0</v>
      </c>
      <c r="G198" s="163">
        <f t="shared" si="1289"/>
        <v>0</v>
      </c>
      <c r="H198" s="163">
        <f t="shared" si="1289"/>
        <v>0</v>
      </c>
      <c r="I198" s="163">
        <f t="shared" si="1289"/>
        <v>0</v>
      </c>
      <c r="J198" s="163">
        <f t="shared" si="1289"/>
        <v>0</v>
      </c>
      <c r="K198" s="163">
        <f t="shared" si="1289"/>
        <v>0</v>
      </c>
      <c r="L198" s="163">
        <f t="shared" si="1289"/>
        <v>0</v>
      </c>
      <c r="M198" s="163">
        <f t="shared" si="1289"/>
        <v>0</v>
      </c>
      <c r="N198" s="163">
        <f t="shared" si="1289"/>
        <v>0</v>
      </c>
      <c r="O198" s="163">
        <f t="shared" si="1289"/>
        <v>0</v>
      </c>
      <c r="P198" s="163">
        <f t="shared" si="1289"/>
        <v>0</v>
      </c>
      <c r="Q198" s="163">
        <f t="shared" si="1289"/>
        <v>0</v>
      </c>
      <c r="R198" s="163">
        <f t="shared" si="1289"/>
        <v>0</v>
      </c>
      <c r="S198" s="163">
        <f t="shared" si="1289"/>
        <v>0</v>
      </c>
      <c r="T198" s="163">
        <f t="shared" si="1289"/>
        <v>0</v>
      </c>
      <c r="U198" s="163">
        <f t="shared" si="1289"/>
        <v>0</v>
      </c>
      <c r="V198" s="163">
        <f t="shared" si="1289"/>
        <v>0</v>
      </c>
      <c r="W198" s="163">
        <f t="shared" si="1289"/>
        <v>0</v>
      </c>
      <c r="X198" s="163">
        <f t="shared" si="1289"/>
        <v>0</v>
      </c>
      <c r="Y198" s="163">
        <f t="shared" si="1289"/>
        <v>0</v>
      </c>
      <c r="Z198" s="163">
        <f t="shared" si="1289"/>
        <v>0</v>
      </c>
      <c r="AA198" s="163">
        <f t="shared" si="1289"/>
        <v>0</v>
      </c>
      <c r="AB198" s="163">
        <f t="shared" si="1289"/>
        <v>0</v>
      </c>
      <c r="AC198" s="163">
        <f t="shared" si="1289"/>
        <v>0</v>
      </c>
      <c r="AD198" s="163">
        <f t="shared" si="1289"/>
        <v>0</v>
      </c>
      <c r="AE198" s="163">
        <f t="shared" si="1289"/>
        <v>0</v>
      </c>
      <c r="AF198" s="163">
        <f t="shared" si="1289"/>
        <v>0</v>
      </c>
      <c r="AG198" s="163">
        <f t="shared" si="1289"/>
        <v>0</v>
      </c>
      <c r="AH198" s="163">
        <f t="shared" si="1289"/>
        <v>0</v>
      </c>
      <c r="AI198" s="163">
        <f t="shared" si="1289"/>
        <v>0</v>
      </c>
      <c r="AJ198" s="163">
        <f t="shared" si="1289"/>
        <v>0</v>
      </c>
      <c r="AK198" s="163">
        <f t="shared" si="1289"/>
        <v>0</v>
      </c>
      <c r="AL198" s="163">
        <f t="shared" ref="AL198:BQ198" si="1290">IF(AL58=$H$12,-SUM(AL193:AL197),0)</f>
        <v>0</v>
      </c>
      <c r="AM198" s="163">
        <f t="shared" si="1290"/>
        <v>0</v>
      </c>
      <c r="AN198" s="163">
        <f t="shared" si="1290"/>
        <v>0</v>
      </c>
      <c r="AO198" s="163">
        <f t="shared" si="1290"/>
        <v>0</v>
      </c>
      <c r="AP198" s="163">
        <f t="shared" si="1290"/>
        <v>0</v>
      </c>
      <c r="AQ198" s="163">
        <f t="shared" si="1290"/>
        <v>0</v>
      </c>
      <c r="AR198" s="163">
        <f t="shared" si="1290"/>
        <v>0</v>
      </c>
      <c r="AS198" s="163">
        <f t="shared" si="1290"/>
        <v>0</v>
      </c>
      <c r="AT198" s="163">
        <f t="shared" si="1290"/>
        <v>0</v>
      </c>
      <c r="AU198" s="163">
        <f t="shared" si="1290"/>
        <v>0</v>
      </c>
      <c r="AV198" s="163">
        <f t="shared" si="1290"/>
        <v>0</v>
      </c>
      <c r="AW198" s="163">
        <f t="shared" si="1290"/>
        <v>0</v>
      </c>
      <c r="AX198" s="163">
        <f t="shared" si="1290"/>
        <v>0</v>
      </c>
      <c r="AY198" s="163">
        <f t="shared" si="1290"/>
        <v>0</v>
      </c>
      <c r="AZ198" s="163">
        <f t="shared" si="1290"/>
        <v>0</v>
      </c>
      <c r="BA198" s="163">
        <f t="shared" si="1290"/>
        <v>0</v>
      </c>
      <c r="BB198" s="163">
        <f t="shared" si="1290"/>
        <v>0</v>
      </c>
      <c r="BC198" s="163">
        <f t="shared" si="1290"/>
        <v>0</v>
      </c>
      <c r="BD198" s="163">
        <f t="shared" si="1290"/>
        <v>0</v>
      </c>
      <c r="BE198" s="163">
        <f t="shared" si="1290"/>
        <v>0</v>
      </c>
      <c r="BF198" s="163">
        <f t="shared" si="1290"/>
        <v>0</v>
      </c>
      <c r="BG198" s="163">
        <f t="shared" si="1290"/>
        <v>0</v>
      </c>
      <c r="BH198" s="163">
        <f t="shared" si="1290"/>
        <v>0</v>
      </c>
      <c r="BI198" s="163">
        <f t="shared" si="1290"/>
        <v>0</v>
      </c>
      <c r="BJ198" s="163">
        <f t="shared" si="1290"/>
        <v>0</v>
      </c>
      <c r="BK198" s="163">
        <f t="shared" si="1290"/>
        <v>0</v>
      </c>
      <c r="BL198" s="163">
        <f t="shared" si="1290"/>
        <v>0</v>
      </c>
      <c r="BM198" s="163">
        <f t="shared" si="1290"/>
        <v>0</v>
      </c>
      <c r="BN198" s="163">
        <f t="shared" si="1290"/>
        <v>0</v>
      </c>
      <c r="BO198" s="163">
        <f t="shared" si="1290"/>
        <v>0</v>
      </c>
      <c r="BP198" s="163">
        <f t="shared" si="1290"/>
        <v>0</v>
      </c>
      <c r="BQ198" s="163">
        <f t="shared" si="1290"/>
        <v>0</v>
      </c>
      <c r="BR198" s="163">
        <f t="shared" ref="BR198:CW198" si="1291">IF(BR58=$H$12,-SUM(BR193:BR197),0)</f>
        <v>0</v>
      </c>
      <c r="BS198" s="163">
        <f t="shared" si="1291"/>
        <v>0</v>
      </c>
      <c r="BT198" s="163">
        <f t="shared" si="1291"/>
        <v>0</v>
      </c>
      <c r="BU198" s="163">
        <f t="shared" si="1291"/>
        <v>0</v>
      </c>
      <c r="BV198" s="163">
        <f t="shared" si="1291"/>
        <v>0</v>
      </c>
      <c r="BW198" s="163">
        <f t="shared" si="1291"/>
        <v>0</v>
      </c>
      <c r="BX198" s="163">
        <f t="shared" si="1291"/>
        <v>0</v>
      </c>
      <c r="BY198" s="163">
        <f t="shared" si="1291"/>
        <v>0</v>
      </c>
      <c r="BZ198" s="163">
        <f t="shared" si="1291"/>
        <v>0</v>
      </c>
      <c r="CA198" s="163">
        <f t="shared" si="1291"/>
        <v>0</v>
      </c>
      <c r="CB198" s="163">
        <f t="shared" si="1291"/>
        <v>0</v>
      </c>
      <c r="CC198" s="163">
        <f t="shared" si="1291"/>
        <v>0</v>
      </c>
      <c r="CD198" s="163">
        <f t="shared" si="1291"/>
        <v>0</v>
      </c>
      <c r="CE198" s="163">
        <f t="shared" si="1291"/>
        <v>0</v>
      </c>
      <c r="CF198" s="163">
        <f t="shared" si="1291"/>
        <v>0</v>
      </c>
      <c r="CG198" s="163">
        <f t="shared" si="1291"/>
        <v>0</v>
      </c>
      <c r="CH198" s="163">
        <f t="shared" si="1291"/>
        <v>0</v>
      </c>
      <c r="CI198" s="163">
        <f t="shared" si="1291"/>
        <v>0</v>
      </c>
      <c r="CJ198" s="163">
        <f t="shared" si="1291"/>
        <v>0</v>
      </c>
      <c r="CK198" s="163">
        <f t="shared" si="1291"/>
        <v>0</v>
      </c>
      <c r="CL198" s="163">
        <f t="shared" si="1291"/>
        <v>0</v>
      </c>
      <c r="CM198" s="163">
        <f t="shared" si="1291"/>
        <v>0</v>
      </c>
      <c r="CN198" s="163">
        <f t="shared" si="1291"/>
        <v>0</v>
      </c>
      <c r="CO198" s="163">
        <f t="shared" si="1291"/>
        <v>0</v>
      </c>
      <c r="CP198" s="163">
        <f t="shared" si="1291"/>
        <v>0</v>
      </c>
      <c r="CQ198" s="163">
        <f t="shared" si="1291"/>
        <v>0</v>
      </c>
      <c r="CR198" s="163">
        <f t="shared" si="1291"/>
        <v>0</v>
      </c>
      <c r="CS198" s="163">
        <f t="shared" si="1291"/>
        <v>0</v>
      </c>
      <c r="CT198" s="163">
        <f t="shared" si="1291"/>
        <v>0</v>
      </c>
      <c r="CU198" s="163">
        <f t="shared" si="1291"/>
        <v>0</v>
      </c>
      <c r="CV198" s="163">
        <f t="shared" si="1291"/>
        <v>0</v>
      </c>
      <c r="CW198" s="163">
        <f t="shared" si="1291"/>
        <v>0</v>
      </c>
      <c r="CX198" s="163">
        <f t="shared" ref="CX198:EC198" si="1292">IF(CX58=$H$12,-SUM(CX193:CX197),0)</f>
        <v>0</v>
      </c>
      <c r="CY198" s="163">
        <f t="shared" ca="1" si="1292"/>
        <v>-20813801.304388411</v>
      </c>
      <c r="CZ198" s="163">
        <f t="shared" si="1292"/>
        <v>0</v>
      </c>
      <c r="DA198" s="163">
        <f t="shared" si="1292"/>
        <v>0</v>
      </c>
      <c r="DB198" s="163">
        <f t="shared" si="1292"/>
        <v>0</v>
      </c>
      <c r="DC198" s="163">
        <f t="shared" si="1292"/>
        <v>0</v>
      </c>
      <c r="DD198" s="163">
        <f t="shared" si="1292"/>
        <v>0</v>
      </c>
      <c r="DE198" s="163">
        <f t="shared" si="1292"/>
        <v>0</v>
      </c>
      <c r="DF198" s="163">
        <f t="shared" si="1292"/>
        <v>0</v>
      </c>
      <c r="DG198" s="163">
        <f t="shared" si="1292"/>
        <v>0</v>
      </c>
      <c r="DH198" s="163">
        <f t="shared" si="1292"/>
        <v>0</v>
      </c>
      <c r="DI198" s="163">
        <f t="shared" si="1292"/>
        <v>0</v>
      </c>
      <c r="DJ198" s="163">
        <f t="shared" si="1292"/>
        <v>0</v>
      </c>
      <c r="DK198" s="163">
        <f t="shared" si="1292"/>
        <v>0</v>
      </c>
      <c r="DL198" s="163">
        <f t="shared" si="1292"/>
        <v>0</v>
      </c>
      <c r="DM198" s="163">
        <f t="shared" si="1292"/>
        <v>0</v>
      </c>
      <c r="DN198" s="163">
        <f t="shared" si="1292"/>
        <v>0</v>
      </c>
      <c r="DO198" s="163">
        <f t="shared" si="1292"/>
        <v>0</v>
      </c>
      <c r="DP198" s="163">
        <f t="shared" si="1292"/>
        <v>0</v>
      </c>
      <c r="DQ198" s="163">
        <f t="shared" si="1292"/>
        <v>0</v>
      </c>
      <c r="DR198" s="163">
        <f t="shared" si="1292"/>
        <v>0</v>
      </c>
      <c r="DS198" s="163">
        <f t="shared" si="1292"/>
        <v>0</v>
      </c>
      <c r="DT198" s="163">
        <f t="shared" si="1292"/>
        <v>0</v>
      </c>
      <c r="DU198" s="163">
        <f t="shared" si="1292"/>
        <v>0</v>
      </c>
      <c r="DV198" s="163">
        <f t="shared" si="1292"/>
        <v>0</v>
      </c>
      <c r="DW198" s="163">
        <f t="shared" si="1292"/>
        <v>0</v>
      </c>
      <c r="DX198" s="163">
        <f t="shared" si="1292"/>
        <v>0</v>
      </c>
      <c r="DY198" s="163">
        <f t="shared" si="1292"/>
        <v>0</v>
      </c>
      <c r="DZ198" s="163">
        <f t="shared" si="1292"/>
        <v>0</v>
      </c>
      <c r="EA198" s="163">
        <f t="shared" si="1292"/>
        <v>0</v>
      </c>
      <c r="EB198" s="163">
        <f t="shared" si="1292"/>
        <v>0</v>
      </c>
      <c r="EC198" s="163">
        <f t="shared" si="1292"/>
        <v>0</v>
      </c>
      <c r="ED198" s="163">
        <f t="shared" ref="ED198:FF198" si="1293">IF(ED58=$H$12,-SUM(ED193:ED197),0)</f>
        <v>0</v>
      </c>
      <c r="EE198" s="163">
        <f t="shared" si="1293"/>
        <v>0</v>
      </c>
      <c r="EF198" s="163">
        <f t="shared" si="1293"/>
        <v>0</v>
      </c>
      <c r="EG198" s="163">
        <f t="shared" si="1293"/>
        <v>0</v>
      </c>
      <c r="EH198" s="163">
        <f t="shared" si="1293"/>
        <v>0</v>
      </c>
      <c r="EI198" s="163">
        <f t="shared" si="1293"/>
        <v>0</v>
      </c>
      <c r="EJ198" s="163">
        <f t="shared" si="1293"/>
        <v>0</v>
      </c>
      <c r="EK198" s="163">
        <f t="shared" si="1293"/>
        <v>0</v>
      </c>
      <c r="EL198" s="163">
        <f t="shared" si="1293"/>
        <v>0</v>
      </c>
      <c r="EM198" s="163">
        <f t="shared" si="1293"/>
        <v>0</v>
      </c>
      <c r="EN198" s="163">
        <f t="shared" si="1293"/>
        <v>0</v>
      </c>
      <c r="EO198" s="163">
        <f t="shared" si="1293"/>
        <v>0</v>
      </c>
      <c r="EP198" s="163">
        <f t="shared" si="1293"/>
        <v>0</v>
      </c>
      <c r="EQ198" s="163">
        <f t="shared" si="1293"/>
        <v>0</v>
      </c>
      <c r="ER198" s="163">
        <f t="shared" si="1293"/>
        <v>0</v>
      </c>
      <c r="ES198" s="163">
        <f t="shared" si="1293"/>
        <v>0</v>
      </c>
      <c r="ET198" s="163">
        <f t="shared" si="1293"/>
        <v>0</v>
      </c>
      <c r="EU198" s="163">
        <f t="shared" si="1293"/>
        <v>0</v>
      </c>
      <c r="EV198" s="163">
        <f t="shared" si="1293"/>
        <v>0</v>
      </c>
      <c r="EW198" s="163">
        <f t="shared" si="1293"/>
        <v>0</v>
      </c>
      <c r="EX198" s="163">
        <f t="shared" si="1293"/>
        <v>0</v>
      </c>
      <c r="EY198" s="163">
        <f t="shared" si="1293"/>
        <v>0</v>
      </c>
      <c r="EZ198" s="163">
        <f t="shared" si="1293"/>
        <v>0</v>
      </c>
      <c r="FA198" s="163">
        <f t="shared" si="1293"/>
        <v>0</v>
      </c>
      <c r="FB198" s="163">
        <f t="shared" si="1293"/>
        <v>0</v>
      </c>
      <c r="FC198" s="163">
        <f t="shared" si="1293"/>
        <v>0</v>
      </c>
      <c r="FD198" s="163">
        <f t="shared" si="1293"/>
        <v>0</v>
      </c>
      <c r="FE198" s="163">
        <f t="shared" si="1293"/>
        <v>0</v>
      </c>
      <c r="FF198" s="163">
        <f t="shared" si="1293"/>
        <v>0</v>
      </c>
      <c r="FG198" s="314"/>
      <c r="FH198" s="163">
        <f t="shared" si="1274"/>
        <v>0</v>
      </c>
      <c r="FI198" s="163">
        <f t="shared" si="1274"/>
        <v>0</v>
      </c>
      <c r="FJ198" s="163">
        <f t="shared" si="1274"/>
        <v>0</v>
      </c>
      <c r="FK198" s="163">
        <f t="shared" si="1274"/>
        <v>0</v>
      </c>
      <c r="FL198" s="163">
        <f t="shared" si="1274"/>
        <v>0</v>
      </c>
      <c r="FM198" s="163">
        <f t="shared" si="1274"/>
        <v>0</v>
      </c>
      <c r="FN198" s="163">
        <f t="shared" si="1274"/>
        <v>0</v>
      </c>
      <c r="FO198" s="163">
        <f t="shared" si="1274"/>
        <v>0</v>
      </c>
      <c r="FP198" s="163">
        <f t="shared" ca="1" si="1274"/>
        <v>-20813801.304388411</v>
      </c>
      <c r="FQ198" s="163">
        <f t="shared" si="1274"/>
        <v>0</v>
      </c>
      <c r="FR198" s="163">
        <f t="shared" si="1274"/>
        <v>0</v>
      </c>
      <c r="FS198" s="163">
        <f t="shared" si="1274"/>
        <v>0</v>
      </c>
      <c r="FT198" s="163">
        <f t="shared" si="1274"/>
        <v>0</v>
      </c>
      <c r="FU198" s="163">
        <f t="shared" si="1274"/>
        <v>0</v>
      </c>
      <c r="FV198" s="314"/>
    </row>
    <row r="199" spans="2:178" s="77" customFormat="1" x14ac:dyDescent="0.2">
      <c r="B199" s="208"/>
      <c r="C199" s="80" t="s">
        <v>133</v>
      </c>
      <c r="D199" s="80"/>
      <c r="E199" s="80"/>
      <c r="F199" s="279">
        <f t="shared" ref="F199:AK199" si="1294">SUM(F193:F198)</f>
        <v>0</v>
      </c>
      <c r="G199" s="80">
        <f t="shared" si="1294"/>
        <v>0</v>
      </c>
      <c r="H199" s="80">
        <f t="shared" si="1294"/>
        <v>0</v>
      </c>
      <c r="I199" s="80">
        <f t="shared" si="1294"/>
        <v>0</v>
      </c>
      <c r="J199" s="80">
        <f t="shared" si="1294"/>
        <v>0</v>
      </c>
      <c r="K199" s="80">
        <f t="shared" si="1294"/>
        <v>0</v>
      </c>
      <c r="L199" s="80">
        <f t="shared" si="1294"/>
        <v>0</v>
      </c>
      <c r="M199" s="80">
        <f t="shared" si="1294"/>
        <v>0</v>
      </c>
      <c r="N199" s="80">
        <f t="shared" si="1294"/>
        <v>0</v>
      </c>
      <c r="O199" s="80">
        <f t="shared" si="1294"/>
        <v>0</v>
      </c>
      <c r="P199" s="80">
        <f t="shared" si="1294"/>
        <v>0</v>
      </c>
      <c r="Q199" s="80">
        <f t="shared" si="1294"/>
        <v>0</v>
      </c>
      <c r="R199" s="80">
        <f t="shared" si="1294"/>
        <v>0</v>
      </c>
      <c r="S199" s="80">
        <f t="shared" si="1294"/>
        <v>0</v>
      </c>
      <c r="T199" s="80">
        <f t="shared" si="1294"/>
        <v>0</v>
      </c>
      <c r="U199" s="80">
        <f t="shared" si="1294"/>
        <v>0</v>
      </c>
      <c r="V199" s="80">
        <f t="shared" si="1294"/>
        <v>0</v>
      </c>
      <c r="W199" s="80">
        <f t="shared" si="1294"/>
        <v>0</v>
      </c>
      <c r="X199" s="80">
        <f t="shared" si="1294"/>
        <v>0</v>
      </c>
      <c r="Y199" s="80">
        <f t="shared" si="1294"/>
        <v>0</v>
      </c>
      <c r="Z199" s="80">
        <f t="shared" si="1294"/>
        <v>0</v>
      </c>
      <c r="AA199" s="80">
        <f t="shared" si="1294"/>
        <v>0</v>
      </c>
      <c r="AB199" s="80">
        <f t="shared" si="1294"/>
        <v>0</v>
      </c>
      <c r="AC199" s="80">
        <f t="shared" si="1294"/>
        <v>0</v>
      </c>
      <c r="AD199" s="80">
        <f t="shared" si="1294"/>
        <v>0</v>
      </c>
      <c r="AE199" s="80">
        <f t="shared" si="1294"/>
        <v>0</v>
      </c>
      <c r="AF199" s="80">
        <f t="shared" si="1294"/>
        <v>0</v>
      </c>
      <c r="AG199" s="80">
        <f t="shared" si="1294"/>
        <v>0</v>
      </c>
      <c r="AH199" s="80">
        <f t="shared" si="1294"/>
        <v>0</v>
      </c>
      <c r="AI199" s="80">
        <f t="shared" si="1294"/>
        <v>0</v>
      </c>
      <c r="AJ199" s="80">
        <f t="shared" si="1294"/>
        <v>0</v>
      </c>
      <c r="AK199" s="80">
        <f t="shared" si="1294"/>
        <v>0</v>
      </c>
      <c r="AL199" s="80">
        <f t="shared" ref="AL199:CW199" si="1295">SUM(AL193:AL198)</f>
        <v>0</v>
      </c>
      <c r="AM199" s="80">
        <f t="shared" si="1295"/>
        <v>0</v>
      </c>
      <c r="AN199" s="80">
        <f t="shared" si="1295"/>
        <v>0</v>
      </c>
      <c r="AO199" s="80">
        <f t="shared" si="1295"/>
        <v>0</v>
      </c>
      <c r="AP199" s="80">
        <f t="shared" si="1295"/>
        <v>0</v>
      </c>
      <c r="AQ199" s="80">
        <f t="shared" ca="1" si="1295"/>
        <v>21662072.895306453</v>
      </c>
      <c r="AR199" s="80">
        <f t="shared" ca="1" si="1295"/>
        <v>21662072.895306453</v>
      </c>
      <c r="AS199" s="80">
        <f t="shared" ca="1" si="1295"/>
        <v>21662072.895306453</v>
      </c>
      <c r="AT199" s="80">
        <f t="shared" ca="1" si="1295"/>
        <v>21662072.895306453</v>
      </c>
      <c r="AU199" s="80">
        <f t="shared" ca="1" si="1295"/>
        <v>21662072.895306453</v>
      </c>
      <c r="AV199" s="80">
        <f t="shared" ca="1" si="1295"/>
        <v>21662072.895306453</v>
      </c>
      <c r="AW199" s="80">
        <f t="shared" ca="1" si="1295"/>
        <v>21662072.895306453</v>
      </c>
      <c r="AX199" s="80">
        <f t="shared" ca="1" si="1295"/>
        <v>21662072.895306453</v>
      </c>
      <c r="AY199" s="80">
        <f t="shared" ca="1" si="1295"/>
        <v>21662072.895306453</v>
      </c>
      <c r="AZ199" s="80">
        <f t="shared" ca="1" si="1295"/>
        <v>21662072.895306453</v>
      </c>
      <c r="BA199" s="80">
        <f t="shared" ca="1" si="1295"/>
        <v>21662072.895306453</v>
      </c>
      <c r="BB199" s="80">
        <f t="shared" ca="1" si="1295"/>
        <v>21662072.895306453</v>
      </c>
      <c r="BC199" s="80">
        <f t="shared" ca="1" si="1295"/>
        <v>21662072.895306453</v>
      </c>
      <c r="BD199" s="80">
        <f t="shared" ca="1" si="1295"/>
        <v>21662072.895306453</v>
      </c>
      <c r="BE199" s="80">
        <f t="shared" ca="1" si="1295"/>
        <v>21662072.895306453</v>
      </c>
      <c r="BF199" s="80">
        <f t="shared" ca="1" si="1295"/>
        <v>21662072.895306453</v>
      </c>
      <c r="BG199" s="80">
        <f t="shared" ca="1" si="1295"/>
        <v>21662072.895306453</v>
      </c>
      <c r="BH199" s="80">
        <f t="shared" ca="1" si="1295"/>
        <v>21662072.895306453</v>
      </c>
      <c r="BI199" s="80">
        <f t="shared" ca="1" si="1295"/>
        <v>21662072.895306453</v>
      </c>
      <c r="BJ199" s="80">
        <f t="shared" ca="1" si="1295"/>
        <v>21662072.895306453</v>
      </c>
      <c r="BK199" s="80">
        <f t="shared" ca="1" si="1295"/>
        <v>21662072.895306453</v>
      </c>
      <c r="BL199" s="80">
        <f t="shared" ca="1" si="1295"/>
        <v>21662072.895306453</v>
      </c>
      <c r="BM199" s="80">
        <f t="shared" ca="1" si="1295"/>
        <v>21662072.895306453</v>
      </c>
      <c r="BN199" s="80">
        <f t="shared" ca="1" si="1295"/>
        <v>21662072.895306453</v>
      </c>
      <c r="BO199" s="80">
        <f t="shared" ca="1" si="1295"/>
        <v>21662072.895306453</v>
      </c>
      <c r="BP199" s="80">
        <f t="shared" ca="1" si="1295"/>
        <v>21640508.187980205</v>
      </c>
      <c r="BQ199" s="80">
        <f t="shared" ca="1" si="1295"/>
        <v>21618835.657117326</v>
      </c>
      <c r="BR199" s="80">
        <f t="shared" ca="1" si="1295"/>
        <v>21597054.76360013</v>
      </c>
      <c r="BS199" s="80">
        <f t="shared" ca="1" si="1295"/>
        <v>21575164.965615347</v>
      </c>
      <c r="BT199" s="80">
        <f t="shared" ca="1" si="1295"/>
        <v>21553165.71864064</v>
      </c>
      <c r="BU199" s="80">
        <f t="shared" ca="1" si="1295"/>
        <v>21531056.475431062</v>
      </c>
      <c r="BV199" s="80">
        <f t="shared" ca="1" si="1295"/>
        <v>21508836.686005436</v>
      </c>
      <c r="BW199" s="80">
        <f t="shared" ca="1" si="1295"/>
        <v>21486505.797632679</v>
      </c>
      <c r="BX199" s="80">
        <f t="shared" ca="1" si="1295"/>
        <v>21464063.25481806</v>
      </c>
      <c r="BY199" s="80">
        <f t="shared" ca="1" si="1295"/>
        <v>21441508.499289367</v>
      </c>
      <c r="BZ199" s="80">
        <f t="shared" ca="1" si="1295"/>
        <v>21418840.969983034</v>
      </c>
      <c r="CA199" s="80">
        <f t="shared" ca="1" si="1295"/>
        <v>21396060.103030168</v>
      </c>
      <c r="CB199" s="80">
        <f t="shared" ca="1" si="1295"/>
        <v>21373165.331742536</v>
      </c>
      <c r="CC199" s="80">
        <f t="shared" ca="1" si="1295"/>
        <v>21350156.086598467</v>
      </c>
      <c r="CD199" s="80">
        <f t="shared" ca="1" si="1295"/>
        <v>21327031.795228679</v>
      </c>
      <c r="CE199" s="80">
        <f t="shared" ca="1" si="1295"/>
        <v>21303791.88240204</v>
      </c>
      <c r="CF199" s="80">
        <f t="shared" ca="1" si="1295"/>
        <v>21280435.770011269</v>
      </c>
      <c r="CG199" s="80">
        <f t="shared" ca="1" si="1295"/>
        <v>21256962.877058543</v>
      </c>
      <c r="CH199" s="80">
        <f t="shared" ca="1" si="1295"/>
        <v>21233372.619641054</v>
      </c>
      <c r="CI199" s="80">
        <f t="shared" ca="1" si="1295"/>
        <v>21209664.410936479</v>
      </c>
      <c r="CJ199" s="80">
        <f t="shared" ca="1" si="1295"/>
        <v>21185837.661188379</v>
      </c>
      <c r="CK199" s="80">
        <f t="shared" ca="1" si="1295"/>
        <v>21161891.777691539</v>
      </c>
      <c r="CL199" s="80">
        <f t="shared" ca="1" si="1295"/>
        <v>21137826.164777216</v>
      </c>
      <c r="CM199" s="80">
        <f t="shared" ca="1" si="1295"/>
        <v>21113640.22379832</v>
      </c>
      <c r="CN199" s="80">
        <f t="shared" ca="1" si="1295"/>
        <v>21089333.35311453</v>
      </c>
      <c r="CO199" s="80">
        <f t="shared" ca="1" si="1295"/>
        <v>21064904.948077321</v>
      </c>
      <c r="CP199" s="80">
        <f t="shared" ca="1" si="1295"/>
        <v>21040354.401014924</v>
      </c>
      <c r="CQ199" s="80">
        <f t="shared" ca="1" si="1295"/>
        <v>21015681.101217218</v>
      </c>
      <c r="CR199" s="80">
        <f t="shared" ca="1" si="1295"/>
        <v>20990884.434920523</v>
      </c>
      <c r="CS199" s="80">
        <f t="shared" ca="1" si="1295"/>
        <v>20965963.785292342</v>
      </c>
      <c r="CT199" s="80">
        <f t="shared" ca="1" si="1295"/>
        <v>20940918.532416023</v>
      </c>
      <c r="CU199" s="80">
        <f t="shared" ca="1" si="1295"/>
        <v>20915748.053275321</v>
      </c>
      <c r="CV199" s="80">
        <f t="shared" ca="1" si="1295"/>
        <v>20890451.721738916</v>
      </c>
      <c r="CW199" s="80">
        <f t="shared" ca="1" si="1295"/>
        <v>20865028.908544827</v>
      </c>
      <c r="CX199" s="80">
        <f t="shared" ref="CX199:FE199" ca="1" si="1296">SUM(CX193:CX198)</f>
        <v>20839478.981284771</v>
      </c>
      <c r="CY199" s="80">
        <f t="shared" ca="1" si="1296"/>
        <v>0</v>
      </c>
      <c r="CZ199" s="80">
        <f t="shared" ca="1" si="1296"/>
        <v>0</v>
      </c>
      <c r="DA199" s="80">
        <f t="shared" ca="1" si="1296"/>
        <v>0</v>
      </c>
      <c r="DB199" s="80">
        <f t="shared" ca="1" si="1296"/>
        <v>0</v>
      </c>
      <c r="DC199" s="80">
        <f t="shared" ca="1" si="1296"/>
        <v>0</v>
      </c>
      <c r="DD199" s="80">
        <f t="shared" ca="1" si="1296"/>
        <v>0</v>
      </c>
      <c r="DE199" s="80">
        <f t="shared" ca="1" si="1296"/>
        <v>0</v>
      </c>
      <c r="DF199" s="80">
        <f t="shared" ca="1" si="1296"/>
        <v>0</v>
      </c>
      <c r="DG199" s="80">
        <f t="shared" ca="1" si="1296"/>
        <v>0</v>
      </c>
      <c r="DH199" s="80">
        <f t="shared" ca="1" si="1296"/>
        <v>0</v>
      </c>
      <c r="DI199" s="80">
        <f t="shared" ca="1" si="1296"/>
        <v>0</v>
      </c>
      <c r="DJ199" s="80">
        <f t="shared" ca="1" si="1296"/>
        <v>0</v>
      </c>
      <c r="DK199" s="80">
        <f t="shared" ca="1" si="1296"/>
        <v>0</v>
      </c>
      <c r="DL199" s="80">
        <f t="shared" ca="1" si="1296"/>
        <v>0</v>
      </c>
      <c r="DM199" s="80">
        <f t="shared" ca="1" si="1296"/>
        <v>0</v>
      </c>
      <c r="DN199" s="80">
        <f t="shared" ca="1" si="1296"/>
        <v>0</v>
      </c>
      <c r="DO199" s="80">
        <f t="shared" ca="1" si="1296"/>
        <v>0</v>
      </c>
      <c r="DP199" s="80">
        <f t="shared" ca="1" si="1296"/>
        <v>0</v>
      </c>
      <c r="DQ199" s="80">
        <f t="shared" ca="1" si="1296"/>
        <v>0</v>
      </c>
      <c r="DR199" s="80">
        <f t="shared" ca="1" si="1296"/>
        <v>0</v>
      </c>
      <c r="DS199" s="80">
        <f t="shared" ca="1" si="1296"/>
        <v>0</v>
      </c>
      <c r="DT199" s="80">
        <f t="shared" ca="1" si="1296"/>
        <v>0</v>
      </c>
      <c r="DU199" s="80">
        <f t="shared" ca="1" si="1296"/>
        <v>0</v>
      </c>
      <c r="DV199" s="80">
        <f t="shared" ca="1" si="1296"/>
        <v>0</v>
      </c>
      <c r="DW199" s="80">
        <f t="shared" ca="1" si="1296"/>
        <v>0</v>
      </c>
      <c r="DX199" s="80">
        <f t="shared" ca="1" si="1296"/>
        <v>0</v>
      </c>
      <c r="DY199" s="80">
        <f t="shared" ca="1" si="1296"/>
        <v>0</v>
      </c>
      <c r="DZ199" s="80">
        <f t="shared" ca="1" si="1296"/>
        <v>0</v>
      </c>
      <c r="EA199" s="80">
        <f t="shared" ca="1" si="1296"/>
        <v>0</v>
      </c>
      <c r="EB199" s="80">
        <f t="shared" ca="1" si="1296"/>
        <v>0</v>
      </c>
      <c r="EC199" s="80">
        <f t="shared" ca="1" si="1296"/>
        <v>0</v>
      </c>
      <c r="ED199" s="80">
        <f t="shared" ca="1" si="1296"/>
        <v>0</v>
      </c>
      <c r="EE199" s="80">
        <f t="shared" ca="1" si="1296"/>
        <v>0</v>
      </c>
      <c r="EF199" s="80">
        <f t="shared" ca="1" si="1296"/>
        <v>0</v>
      </c>
      <c r="EG199" s="80">
        <f t="shared" ca="1" si="1296"/>
        <v>0</v>
      </c>
      <c r="EH199" s="80">
        <f t="shared" ca="1" si="1296"/>
        <v>0</v>
      </c>
      <c r="EI199" s="80">
        <f t="shared" ca="1" si="1296"/>
        <v>0</v>
      </c>
      <c r="EJ199" s="80">
        <f t="shared" ca="1" si="1296"/>
        <v>0</v>
      </c>
      <c r="EK199" s="80">
        <f t="shared" ca="1" si="1296"/>
        <v>0</v>
      </c>
      <c r="EL199" s="80">
        <f t="shared" ca="1" si="1296"/>
        <v>0</v>
      </c>
      <c r="EM199" s="80">
        <f t="shared" ca="1" si="1296"/>
        <v>0</v>
      </c>
      <c r="EN199" s="80">
        <f t="shared" ca="1" si="1296"/>
        <v>0</v>
      </c>
      <c r="EO199" s="80">
        <f t="shared" ca="1" si="1296"/>
        <v>0</v>
      </c>
      <c r="EP199" s="80">
        <f t="shared" ca="1" si="1296"/>
        <v>0</v>
      </c>
      <c r="EQ199" s="80">
        <f t="shared" ca="1" si="1296"/>
        <v>0</v>
      </c>
      <c r="ER199" s="80">
        <f t="shared" ca="1" si="1296"/>
        <v>0</v>
      </c>
      <c r="ES199" s="80">
        <f t="shared" ca="1" si="1296"/>
        <v>0</v>
      </c>
      <c r="ET199" s="80">
        <f t="shared" ca="1" si="1296"/>
        <v>0</v>
      </c>
      <c r="EU199" s="80">
        <f t="shared" ca="1" si="1296"/>
        <v>0</v>
      </c>
      <c r="EV199" s="80">
        <f t="shared" ca="1" si="1296"/>
        <v>0</v>
      </c>
      <c r="EW199" s="80">
        <f t="shared" ca="1" si="1296"/>
        <v>0</v>
      </c>
      <c r="EX199" s="80">
        <f t="shared" ca="1" si="1296"/>
        <v>0</v>
      </c>
      <c r="EY199" s="80">
        <f t="shared" ca="1" si="1296"/>
        <v>0</v>
      </c>
      <c r="EZ199" s="80">
        <f t="shared" ca="1" si="1296"/>
        <v>0</v>
      </c>
      <c r="FA199" s="80">
        <f t="shared" ca="1" si="1296"/>
        <v>0</v>
      </c>
      <c r="FB199" s="80">
        <f t="shared" ca="1" si="1296"/>
        <v>0</v>
      </c>
      <c r="FC199" s="80">
        <f t="shared" ca="1" si="1296"/>
        <v>0</v>
      </c>
      <c r="FD199" s="80">
        <f t="shared" ca="1" si="1296"/>
        <v>0</v>
      </c>
      <c r="FE199" s="80">
        <f t="shared" ca="1" si="1296"/>
        <v>0</v>
      </c>
      <c r="FF199" s="80">
        <f t="shared" ref="FF199" ca="1" si="1297">SUM(FF193:FF198)</f>
        <v>0</v>
      </c>
      <c r="FG199" s="288"/>
      <c r="FH199" s="80">
        <f t="shared" ref="FH199:FU199" ca="1" si="1298">SUM(FH193:FH198)</f>
        <v>0</v>
      </c>
      <c r="FI199" s="80">
        <f t="shared" ca="1" si="1298"/>
        <v>0</v>
      </c>
      <c r="FJ199" s="80">
        <f t="shared" ca="1" si="1298"/>
        <v>0</v>
      </c>
      <c r="FK199" s="80">
        <f t="shared" ca="1" si="1298"/>
        <v>21662072.895306453</v>
      </c>
      <c r="FL199" s="80">
        <f t="shared" ca="1" si="1298"/>
        <v>21662072.895306453</v>
      </c>
      <c r="FM199" s="80">
        <f t="shared" ca="1" si="1298"/>
        <v>21531056.475431062</v>
      </c>
      <c r="FN199" s="80">
        <f t="shared" ca="1" si="1298"/>
        <v>21256962.877058543</v>
      </c>
      <c r="FO199" s="80">
        <f t="shared" ca="1" si="1298"/>
        <v>20965963.785292342</v>
      </c>
      <c r="FP199" s="80">
        <f t="shared" ca="1" si="1298"/>
        <v>0</v>
      </c>
      <c r="FQ199" s="80">
        <f t="shared" ca="1" si="1298"/>
        <v>0</v>
      </c>
      <c r="FR199" s="80">
        <f t="shared" ca="1" si="1298"/>
        <v>0</v>
      </c>
      <c r="FS199" s="80">
        <f t="shared" ca="1" si="1298"/>
        <v>0</v>
      </c>
      <c r="FT199" s="80">
        <f t="shared" ca="1" si="1298"/>
        <v>0</v>
      </c>
      <c r="FU199" s="80">
        <f t="shared" ca="1" si="1298"/>
        <v>0</v>
      </c>
      <c r="FV199" s="288"/>
    </row>
  </sheetData>
  <dataValidations count="2">
    <dataValidation type="list" allowBlank="1" showInputMessage="1" showErrorMessage="1" sqref="G6" xr:uid="{CFA5C402-6482-4743-9EB6-85CE998BB738}">
      <formula1>$AF$3:$AF$7</formula1>
    </dataValidation>
    <dataValidation type="list" allowBlank="1" showInputMessage="1" showErrorMessage="1" sqref="H28" xr:uid="{F39BC7EA-CC59-43B3-A1FA-10EBE82F2F4A}">
      <formula1>$G$34:$G$36</formula1>
    </dataValidation>
  </dataValidations>
  <pageMargins left="0.7" right="0.7" top="0.75" bottom="0.75" header="0.3" footer="0.3"/>
  <pageSetup orientation="portrait" r:id="rId1"/>
  <ignoredErrors>
    <ignoredError sqref="G43:I53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08" r:id="rId4" name="Check Box 8">
              <controlPr defaultSize="0" autoFill="0" autoLine="0" autoPict="0">
                <anchor moveWithCells="1">
                  <from>
                    <xdr:col>10</xdr:col>
                    <xdr:colOff>1117600</xdr:colOff>
                    <xdr:row>48</xdr:row>
                    <xdr:rowOff>152400</xdr:rowOff>
                  </from>
                  <to>
                    <xdr:col>12</xdr:col>
                    <xdr:colOff>647700</xdr:colOff>
                    <xdr:row>50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5D57-12C7-4B3E-A2E5-D7BC02B129B3}">
  <dimension ref="B2:D123"/>
  <sheetViews>
    <sheetView showGridLines="0" workbookViewId="0"/>
  </sheetViews>
  <sheetFormatPr baseColWidth="10" defaultColWidth="8.83203125" defaultRowHeight="18" x14ac:dyDescent="0.3"/>
  <cols>
    <col min="2" max="3" width="9.33203125" bestFit="1" customWidth="1"/>
    <col min="4" max="4" width="27" bestFit="1" customWidth="1"/>
  </cols>
  <sheetData>
    <row r="2" spans="2:4" x14ac:dyDescent="0.3">
      <c r="B2" s="35" t="s">
        <v>118</v>
      </c>
      <c r="C2" s="35" t="s">
        <v>81</v>
      </c>
      <c r="D2" s="35" t="s">
        <v>119</v>
      </c>
    </row>
    <row r="3" spans="2:4" x14ac:dyDescent="0.3">
      <c r="B3" s="36">
        <f>EOMONTH(C3,0)</f>
        <v>46081</v>
      </c>
      <c r="C3" s="37">
        <v>46070</v>
      </c>
      <c r="D3" s="38">
        <v>3.6629299999999997E-2</v>
      </c>
    </row>
    <row r="4" spans="2:4" x14ac:dyDescent="0.3">
      <c r="B4" s="36">
        <f t="shared" ref="B4:B67" si="0">EOMONTH(C4,0)</f>
        <v>46112</v>
      </c>
      <c r="C4" s="37">
        <v>46098</v>
      </c>
      <c r="D4" s="38">
        <v>3.6516699999999999E-2</v>
      </c>
    </row>
    <row r="5" spans="2:4" x14ac:dyDescent="0.3">
      <c r="B5" s="36">
        <f t="shared" si="0"/>
        <v>46142</v>
      </c>
      <c r="C5" s="37">
        <v>46129</v>
      </c>
      <c r="D5" s="38">
        <v>3.6173200000000003E-2</v>
      </c>
    </row>
    <row r="6" spans="2:4" x14ac:dyDescent="0.3">
      <c r="B6" s="36">
        <f t="shared" si="0"/>
        <v>46173</v>
      </c>
      <c r="C6" s="37">
        <v>46160</v>
      </c>
      <c r="D6" s="38">
        <v>3.57834E-2</v>
      </c>
    </row>
    <row r="7" spans="2:4" x14ac:dyDescent="0.3">
      <c r="B7" s="36">
        <f t="shared" si="0"/>
        <v>46203</v>
      </c>
      <c r="C7" s="37">
        <v>46190</v>
      </c>
      <c r="D7" s="38">
        <v>3.4920899999999998E-2</v>
      </c>
    </row>
    <row r="8" spans="2:4" x14ac:dyDescent="0.3">
      <c r="B8" s="36">
        <f t="shared" si="0"/>
        <v>46234</v>
      </c>
      <c r="C8" s="37">
        <v>46220</v>
      </c>
      <c r="D8" s="38">
        <v>3.4119700000000003E-2</v>
      </c>
    </row>
    <row r="9" spans="2:4" x14ac:dyDescent="0.3">
      <c r="B9" s="36">
        <f t="shared" si="0"/>
        <v>46265</v>
      </c>
      <c r="C9" s="37">
        <v>46251</v>
      </c>
      <c r="D9" s="38">
        <v>3.3492099999999997E-2</v>
      </c>
    </row>
    <row r="10" spans="2:4" x14ac:dyDescent="0.3">
      <c r="B10" s="36">
        <f t="shared" si="0"/>
        <v>46295</v>
      </c>
      <c r="C10" s="37">
        <v>46282</v>
      </c>
      <c r="D10" s="38">
        <v>3.19517E-2</v>
      </c>
    </row>
    <row r="11" spans="2:4" x14ac:dyDescent="0.3">
      <c r="B11" s="36">
        <f t="shared" si="0"/>
        <v>46326</v>
      </c>
      <c r="C11" s="37">
        <v>46314</v>
      </c>
      <c r="D11" s="38">
        <v>3.1950300000000001E-2</v>
      </c>
    </row>
    <row r="12" spans="2:4" x14ac:dyDescent="0.3">
      <c r="B12" s="36">
        <f t="shared" si="0"/>
        <v>46356</v>
      </c>
      <c r="C12" s="37">
        <v>46343</v>
      </c>
      <c r="D12" s="38">
        <v>3.1913700000000003E-2</v>
      </c>
    </row>
    <row r="13" spans="2:4" x14ac:dyDescent="0.3">
      <c r="B13" s="36">
        <f t="shared" si="0"/>
        <v>46387</v>
      </c>
      <c r="C13" s="37">
        <v>46373</v>
      </c>
      <c r="D13" s="38">
        <v>3.0899800000000002E-2</v>
      </c>
    </row>
    <row r="14" spans="2:4" x14ac:dyDescent="0.3">
      <c r="B14" s="36">
        <f t="shared" si="0"/>
        <v>46418</v>
      </c>
      <c r="C14" s="37">
        <v>46406</v>
      </c>
      <c r="D14" s="38">
        <v>3.08972E-2</v>
      </c>
    </row>
    <row r="15" spans="2:4" x14ac:dyDescent="0.3">
      <c r="B15" s="36">
        <f t="shared" si="0"/>
        <v>46446</v>
      </c>
      <c r="C15" s="37">
        <v>46435</v>
      </c>
      <c r="D15" s="38">
        <v>3.0893199999999999E-2</v>
      </c>
    </row>
    <row r="16" spans="2:4" x14ac:dyDescent="0.3">
      <c r="B16" s="36">
        <f t="shared" si="0"/>
        <v>46477</v>
      </c>
      <c r="C16" s="37">
        <v>46463</v>
      </c>
      <c r="D16" s="38">
        <v>3.0589999999999999E-2</v>
      </c>
    </row>
    <row r="17" spans="2:4" x14ac:dyDescent="0.3">
      <c r="B17" s="36">
        <f t="shared" si="0"/>
        <v>46507</v>
      </c>
      <c r="C17" s="37">
        <v>46496</v>
      </c>
      <c r="D17" s="38">
        <v>3.0586100000000001E-2</v>
      </c>
    </row>
    <row r="18" spans="2:4" x14ac:dyDescent="0.3">
      <c r="B18" s="36">
        <f t="shared" si="0"/>
        <v>46538</v>
      </c>
      <c r="C18" s="37">
        <v>46524</v>
      </c>
      <c r="D18" s="38">
        <v>3.0588199999999999E-2</v>
      </c>
    </row>
    <row r="19" spans="2:4" x14ac:dyDescent="0.3">
      <c r="B19" s="36">
        <f t="shared" si="0"/>
        <v>46568</v>
      </c>
      <c r="C19" s="37">
        <v>46555</v>
      </c>
      <c r="D19" s="38">
        <v>3.0652700000000001E-2</v>
      </c>
    </row>
    <row r="20" spans="2:4" x14ac:dyDescent="0.3">
      <c r="B20" s="36">
        <f t="shared" si="0"/>
        <v>46599</v>
      </c>
      <c r="C20" s="37">
        <v>46587</v>
      </c>
      <c r="D20" s="38">
        <v>3.07341E-2</v>
      </c>
    </row>
    <row r="21" spans="2:4" x14ac:dyDescent="0.3">
      <c r="B21" s="36">
        <f t="shared" si="0"/>
        <v>46630</v>
      </c>
      <c r="C21" s="37">
        <v>46616</v>
      </c>
      <c r="D21" s="38">
        <v>3.08188E-2</v>
      </c>
    </row>
    <row r="22" spans="2:4" x14ac:dyDescent="0.3">
      <c r="B22" s="36">
        <f t="shared" si="0"/>
        <v>46660</v>
      </c>
      <c r="C22" s="37">
        <v>46647</v>
      </c>
      <c r="D22" s="38">
        <v>3.09187E-2</v>
      </c>
    </row>
    <row r="23" spans="2:4" x14ac:dyDescent="0.3">
      <c r="B23" s="36">
        <f t="shared" si="0"/>
        <v>46691</v>
      </c>
      <c r="C23" s="37">
        <v>46678</v>
      </c>
      <c r="D23" s="38">
        <v>3.1028E-2</v>
      </c>
    </row>
    <row r="24" spans="2:4" x14ac:dyDescent="0.3">
      <c r="B24" s="36">
        <f t="shared" si="0"/>
        <v>46721</v>
      </c>
      <c r="C24" s="37">
        <v>46708</v>
      </c>
      <c r="D24" s="38">
        <v>3.1139500000000001E-2</v>
      </c>
    </row>
    <row r="25" spans="2:4" x14ac:dyDescent="0.3">
      <c r="B25" s="36">
        <f t="shared" si="0"/>
        <v>46752</v>
      </c>
      <c r="C25" s="37">
        <v>46738</v>
      </c>
      <c r="D25" s="38">
        <v>3.1270100000000002E-2</v>
      </c>
    </row>
    <row r="26" spans="2:4" x14ac:dyDescent="0.3">
      <c r="B26" s="36">
        <f t="shared" si="0"/>
        <v>46783</v>
      </c>
      <c r="C26" s="37">
        <v>46770</v>
      </c>
      <c r="D26" s="38">
        <v>3.14083E-2</v>
      </c>
    </row>
    <row r="27" spans="2:4" x14ac:dyDescent="0.3">
      <c r="B27" s="36">
        <f t="shared" si="0"/>
        <v>46812</v>
      </c>
      <c r="C27" s="37">
        <v>46800</v>
      </c>
      <c r="D27" s="38">
        <v>3.15415E-2</v>
      </c>
    </row>
    <row r="28" spans="2:4" x14ac:dyDescent="0.3">
      <c r="B28" s="36">
        <f t="shared" si="0"/>
        <v>46843</v>
      </c>
      <c r="C28" s="37">
        <v>46829</v>
      </c>
      <c r="D28" s="38">
        <v>3.1686800000000001E-2</v>
      </c>
    </row>
    <row r="29" spans="2:4" x14ac:dyDescent="0.3">
      <c r="B29" s="36">
        <f t="shared" si="0"/>
        <v>46873</v>
      </c>
      <c r="C29" s="37">
        <v>46860</v>
      </c>
      <c r="D29" s="38">
        <v>3.1830999999999998E-2</v>
      </c>
    </row>
    <row r="30" spans="2:4" x14ac:dyDescent="0.3">
      <c r="B30" s="36">
        <f t="shared" si="0"/>
        <v>46904</v>
      </c>
      <c r="C30" s="37">
        <v>46890</v>
      </c>
      <c r="D30" s="38">
        <v>3.1990200000000003E-2</v>
      </c>
    </row>
    <row r="31" spans="2:4" x14ac:dyDescent="0.3">
      <c r="B31" s="36">
        <f t="shared" si="0"/>
        <v>46934</v>
      </c>
      <c r="C31" s="37">
        <v>46924</v>
      </c>
      <c r="D31" s="38">
        <v>3.2138699999999999E-2</v>
      </c>
    </row>
    <row r="32" spans="2:4" x14ac:dyDescent="0.3">
      <c r="B32" s="36">
        <f t="shared" si="0"/>
        <v>46965</v>
      </c>
      <c r="C32" s="37">
        <v>46951</v>
      </c>
      <c r="D32" s="38">
        <v>3.2273200000000002E-2</v>
      </c>
    </row>
    <row r="33" spans="2:4" x14ac:dyDescent="0.3">
      <c r="B33" s="36">
        <f t="shared" si="0"/>
        <v>46996</v>
      </c>
      <c r="C33" s="37">
        <v>46982</v>
      </c>
      <c r="D33" s="38">
        <v>3.2427699999999997E-2</v>
      </c>
    </row>
    <row r="34" spans="2:4" x14ac:dyDescent="0.3">
      <c r="B34" s="36">
        <f t="shared" si="0"/>
        <v>47026</v>
      </c>
      <c r="C34" s="37">
        <v>47014</v>
      </c>
      <c r="D34" s="38">
        <v>3.2576099999999997E-2</v>
      </c>
    </row>
    <row r="35" spans="2:4" x14ac:dyDescent="0.3">
      <c r="B35" s="36">
        <f t="shared" si="0"/>
        <v>47057</v>
      </c>
      <c r="C35" s="37">
        <v>47043</v>
      </c>
      <c r="D35" s="38">
        <v>3.27222E-2</v>
      </c>
    </row>
    <row r="36" spans="2:4" x14ac:dyDescent="0.3">
      <c r="B36" s="36">
        <f t="shared" si="0"/>
        <v>47087</v>
      </c>
      <c r="C36" s="37">
        <v>47074</v>
      </c>
      <c r="D36" s="38">
        <v>3.2874899999999999E-2</v>
      </c>
    </row>
    <row r="37" spans="2:4" x14ac:dyDescent="0.3">
      <c r="B37" s="36">
        <f t="shared" si="0"/>
        <v>47118</v>
      </c>
      <c r="C37" s="37">
        <v>47105</v>
      </c>
      <c r="D37" s="38">
        <v>3.3028200000000001E-2</v>
      </c>
    </row>
    <row r="38" spans="2:4" x14ac:dyDescent="0.3">
      <c r="B38" s="36">
        <f t="shared" si="0"/>
        <v>47149</v>
      </c>
      <c r="C38" s="37">
        <v>47135</v>
      </c>
      <c r="D38" s="38">
        <v>3.3189299999999998E-2</v>
      </c>
    </row>
    <row r="39" spans="2:4" x14ac:dyDescent="0.3">
      <c r="B39" s="36">
        <f t="shared" si="0"/>
        <v>47177</v>
      </c>
      <c r="C39" s="37">
        <v>47169</v>
      </c>
      <c r="D39" s="38">
        <v>3.3334299999999997E-2</v>
      </c>
    </row>
    <row r="40" spans="2:4" x14ac:dyDescent="0.3">
      <c r="B40" s="36">
        <f t="shared" si="0"/>
        <v>47208</v>
      </c>
      <c r="C40" s="37">
        <v>47196</v>
      </c>
      <c r="D40" s="38">
        <v>3.3478800000000003E-2</v>
      </c>
    </row>
    <row r="41" spans="2:4" x14ac:dyDescent="0.3">
      <c r="B41" s="36">
        <f t="shared" si="0"/>
        <v>47238</v>
      </c>
      <c r="C41" s="37">
        <v>47225</v>
      </c>
      <c r="D41" s="38">
        <v>3.3614900000000003E-2</v>
      </c>
    </row>
    <row r="42" spans="2:4" x14ac:dyDescent="0.3">
      <c r="B42" s="36">
        <f t="shared" si="0"/>
        <v>47269</v>
      </c>
      <c r="C42" s="37">
        <v>47255</v>
      </c>
      <c r="D42" s="38">
        <v>3.3765099999999999E-2</v>
      </c>
    </row>
    <row r="43" spans="2:4" x14ac:dyDescent="0.3">
      <c r="B43" s="36">
        <f t="shared" si="0"/>
        <v>47299</v>
      </c>
      <c r="C43" s="37">
        <v>47287</v>
      </c>
      <c r="D43" s="38">
        <v>3.39063E-2</v>
      </c>
    </row>
    <row r="44" spans="2:4" x14ac:dyDescent="0.3">
      <c r="B44" s="36">
        <f t="shared" si="0"/>
        <v>47330</v>
      </c>
      <c r="C44" s="37">
        <v>47316</v>
      </c>
      <c r="D44" s="38">
        <v>3.4042799999999998E-2</v>
      </c>
    </row>
    <row r="45" spans="2:4" x14ac:dyDescent="0.3">
      <c r="B45" s="36">
        <f t="shared" si="0"/>
        <v>47361</v>
      </c>
      <c r="C45" s="37">
        <v>47347</v>
      </c>
      <c r="D45" s="38">
        <v>3.4181799999999998E-2</v>
      </c>
    </row>
    <row r="46" spans="2:4" x14ac:dyDescent="0.3">
      <c r="B46" s="36">
        <f t="shared" si="0"/>
        <v>47391</v>
      </c>
      <c r="C46" s="37">
        <v>47378</v>
      </c>
      <c r="D46" s="38">
        <v>3.4314299999999999E-2</v>
      </c>
    </row>
    <row r="47" spans="2:4" x14ac:dyDescent="0.3">
      <c r="B47" s="36">
        <f t="shared" si="0"/>
        <v>47422</v>
      </c>
      <c r="C47" s="37">
        <v>47408</v>
      </c>
      <c r="D47" s="38">
        <v>3.4454899999999997E-2</v>
      </c>
    </row>
    <row r="48" spans="2:4" x14ac:dyDescent="0.3">
      <c r="B48" s="36">
        <f t="shared" si="0"/>
        <v>47452</v>
      </c>
      <c r="C48" s="37">
        <v>47441</v>
      </c>
      <c r="D48" s="38">
        <v>3.45829E-2</v>
      </c>
    </row>
    <row r="49" spans="2:4" x14ac:dyDescent="0.3">
      <c r="B49" s="36">
        <f t="shared" si="0"/>
        <v>47483</v>
      </c>
      <c r="C49" s="37">
        <v>47469</v>
      </c>
      <c r="D49" s="38">
        <v>3.4702400000000001E-2</v>
      </c>
    </row>
    <row r="50" spans="2:4" x14ac:dyDescent="0.3">
      <c r="B50" s="36">
        <f t="shared" si="0"/>
        <v>47514</v>
      </c>
      <c r="C50" s="37">
        <v>47500</v>
      </c>
      <c r="D50" s="38">
        <v>3.48353E-2</v>
      </c>
    </row>
    <row r="51" spans="2:4" x14ac:dyDescent="0.3">
      <c r="B51" s="36">
        <f t="shared" si="0"/>
        <v>47542</v>
      </c>
      <c r="C51" s="37">
        <v>47533</v>
      </c>
      <c r="D51" s="38">
        <v>3.4948399999999998E-2</v>
      </c>
    </row>
    <row r="52" spans="2:4" x14ac:dyDescent="0.3">
      <c r="B52" s="36">
        <f t="shared" si="0"/>
        <v>47573</v>
      </c>
      <c r="C52" s="37">
        <v>47560</v>
      </c>
      <c r="D52" s="38">
        <v>3.50689E-2</v>
      </c>
    </row>
    <row r="53" spans="2:4" x14ac:dyDescent="0.3">
      <c r="B53" s="36">
        <f t="shared" si="0"/>
        <v>47603</v>
      </c>
      <c r="C53" s="37">
        <v>47590</v>
      </c>
      <c r="D53" s="38">
        <v>3.5189400000000003E-2</v>
      </c>
    </row>
    <row r="54" spans="2:4" x14ac:dyDescent="0.3">
      <c r="B54" s="36">
        <f t="shared" si="0"/>
        <v>47634</v>
      </c>
      <c r="C54" s="37">
        <v>47620</v>
      </c>
      <c r="D54" s="38">
        <v>3.5320499999999998E-2</v>
      </c>
    </row>
    <row r="55" spans="2:4" x14ac:dyDescent="0.3">
      <c r="B55" s="36">
        <f t="shared" si="0"/>
        <v>47664</v>
      </c>
      <c r="C55" s="37">
        <v>47651</v>
      </c>
      <c r="D55" s="38">
        <v>3.5451200000000002E-2</v>
      </c>
    </row>
    <row r="56" spans="2:4" x14ac:dyDescent="0.3">
      <c r="B56" s="36">
        <f t="shared" si="0"/>
        <v>47695</v>
      </c>
      <c r="C56" s="37">
        <v>47681</v>
      </c>
      <c r="D56" s="38">
        <v>3.55964E-2</v>
      </c>
    </row>
    <row r="57" spans="2:4" x14ac:dyDescent="0.3">
      <c r="B57" s="36">
        <f t="shared" si="0"/>
        <v>47726</v>
      </c>
      <c r="C57" s="37">
        <v>47714</v>
      </c>
      <c r="D57" s="38">
        <v>3.5738399999999997E-2</v>
      </c>
    </row>
    <row r="58" spans="2:4" x14ac:dyDescent="0.3">
      <c r="B58" s="36">
        <f t="shared" si="0"/>
        <v>47756</v>
      </c>
      <c r="C58" s="37">
        <v>47743</v>
      </c>
      <c r="D58" s="38">
        <v>3.5868999999999998E-2</v>
      </c>
    </row>
    <row r="59" spans="2:4" x14ac:dyDescent="0.3">
      <c r="B59" s="36">
        <f t="shared" si="0"/>
        <v>47787</v>
      </c>
      <c r="C59" s="37">
        <v>47773</v>
      </c>
      <c r="D59" s="38">
        <v>3.6019700000000002E-2</v>
      </c>
    </row>
    <row r="60" spans="2:4" x14ac:dyDescent="0.3">
      <c r="B60" s="36">
        <f t="shared" si="0"/>
        <v>47817</v>
      </c>
      <c r="C60" s="37">
        <v>47805</v>
      </c>
      <c r="D60" s="38">
        <v>3.6166200000000003E-2</v>
      </c>
    </row>
    <row r="61" spans="2:4" x14ac:dyDescent="0.3">
      <c r="B61" s="36">
        <f t="shared" si="0"/>
        <v>47848</v>
      </c>
      <c r="C61" s="37">
        <v>47834</v>
      </c>
      <c r="D61" s="38">
        <v>3.6313900000000003E-2</v>
      </c>
    </row>
    <row r="62" spans="2:4" x14ac:dyDescent="0.3">
      <c r="B62" s="36">
        <f t="shared" si="0"/>
        <v>47879</v>
      </c>
      <c r="C62" s="37">
        <v>47865</v>
      </c>
      <c r="D62" s="38">
        <v>3.6474600000000003E-2</v>
      </c>
    </row>
    <row r="63" spans="2:4" x14ac:dyDescent="0.3">
      <c r="B63" s="36">
        <f t="shared" si="0"/>
        <v>47907</v>
      </c>
      <c r="C63" s="37">
        <v>47897</v>
      </c>
      <c r="D63" s="38">
        <v>3.6620699999999999E-2</v>
      </c>
    </row>
    <row r="64" spans="2:4" x14ac:dyDescent="0.3">
      <c r="B64" s="36">
        <f t="shared" si="0"/>
        <v>47938</v>
      </c>
      <c r="C64" s="37">
        <v>47924</v>
      </c>
      <c r="D64" s="38">
        <v>3.6770499999999998E-2</v>
      </c>
    </row>
    <row r="65" spans="2:4" x14ac:dyDescent="0.3">
      <c r="B65" s="36">
        <f t="shared" si="0"/>
        <v>47968</v>
      </c>
      <c r="C65" s="37">
        <v>47955</v>
      </c>
      <c r="D65" s="38">
        <v>3.6928799999999998E-2</v>
      </c>
    </row>
    <row r="66" spans="2:4" x14ac:dyDescent="0.3">
      <c r="B66" s="36">
        <f t="shared" si="0"/>
        <v>47999</v>
      </c>
      <c r="C66" s="37">
        <v>47987</v>
      </c>
      <c r="D66" s="38">
        <v>3.7084699999999998E-2</v>
      </c>
    </row>
    <row r="67" spans="2:4" x14ac:dyDescent="0.3">
      <c r="B67" s="36">
        <f t="shared" si="0"/>
        <v>48029</v>
      </c>
      <c r="C67" s="37">
        <v>48016</v>
      </c>
      <c r="D67" s="38">
        <v>3.72146E-2</v>
      </c>
    </row>
    <row r="68" spans="2:4" x14ac:dyDescent="0.3">
      <c r="B68" s="36">
        <f t="shared" ref="B68:B123" si="1">EOMONTH(C68,0)</f>
        <v>48060</v>
      </c>
      <c r="C68" s="37">
        <v>48046</v>
      </c>
      <c r="D68" s="38">
        <v>3.73637E-2</v>
      </c>
    </row>
    <row r="69" spans="2:4" x14ac:dyDescent="0.3">
      <c r="B69" s="36">
        <f t="shared" si="1"/>
        <v>48091</v>
      </c>
      <c r="C69" s="37">
        <v>48078</v>
      </c>
      <c r="D69" s="38">
        <v>3.7506299999999999E-2</v>
      </c>
    </row>
    <row r="70" spans="2:4" x14ac:dyDescent="0.3">
      <c r="B70" s="36">
        <f t="shared" si="1"/>
        <v>48121</v>
      </c>
      <c r="C70" s="37">
        <v>48108</v>
      </c>
      <c r="D70" s="38">
        <v>3.7636999999999997E-2</v>
      </c>
    </row>
    <row r="71" spans="2:4" x14ac:dyDescent="0.3">
      <c r="B71" s="36">
        <f t="shared" si="1"/>
        <v>48152</v>
      </c>
      <c r="C71" s="37">
        <v>48138</v>
      </c>
      <c r="D71" s="38">
        <v>3.77732E-2</v>
      </c>
    </row>
    <row r="72" spans="2:4" x14ac:dyDescent="0.3">
      <c r="B72" s="36">
        <f t="shared" si="1"/>
        <v>48182</v>
      </c>
      <c r="C72" s="37">
        <v>48169</v>
      </c>
      <c r="D72" s="38">
        <v>3.7902499999999999E-2</v>
      </c>
    </row>
    <row r="73" spans="2:4" x14ac:dyDescent="0.3">
      <c r="B73" s="36">
        <f t="shared" si="1"/>
        <v>48213</v>
      </c>
      <c r="C73" s="37">
        <v>48199</v>
      </c>
      <c r="D73" s="38">
        <v>3.8045299999999997E-2</v>
      </c>
    </row>
    <row r="74" spans="2:4" x14ac:dyDescent="0.3">
      <c r="B74" s="36">
        <f t="shared" si="1"/>
        <v>48244</v>
      </c>
      <c r="C74" s="37">
        <v>48233</v>
      </c>
      <c r="D74" s="38">
        <v>3.8172900000000003E-2</v>
      </c>
    </row>
    <row r="75" spans="2:4" x14ac:dyDescent="0.3">
      <c r="B75" s="36">
        <f t="shared" si="1"/>
        <v>48273</v>
      </c>
      <c r="C75" s="37">
        <v>48261</v>
      </c>
      <c r="D75" s="38">
        <v>3.82773E-2</v>
      </c>
    </row>
    <row r="76" spans="2:4" x14ac:dyDescent="0.3">
      <c r="B76" s="36">
        <f t="shared" si="1"/>
        <v>48304</v>
      </c>
      <c r="C76" s="37">
        <v>48290</v>
      </c>
      <c r="D76" s="38">
        <v>3.8407200000000002E-2</v>
      </c>
    </row>
    <row r="77" spans="2:4" x14ac:dyDescent="0.3">
      <c r="B77" s="36">
        <f t="shared" si="1"/>
        <v>48334</v>
      </c>
      <c r="C77" s="37">
        <v>48323</v>
      </c>
      <c r="D77" s="38">
        <v>3.8521800000000002E-2</v>
      </c>
    </row>
    <row r="78" spans="2:4" x14ac:dyDescent="0.3">
      <c r="B78" s="36">
        <f t="shared" si="1"/>
        <v>48365</v>
      </c>
      <c r="C78" s="37">
        <v>48351</v>
      </c>
      <c r="D78" s="38">
        <v>3.8630499999999998E-2</v>
      </c>
    </row>
    <row r="79" spans="2:4" x14ac:dyDescent="0.3">
      <c r="B79" s="36">
        <f t="shared" si="1"/>
        <v>48395</v>
      </c>
      <c r="C79" s="37">
        <v>48382</v>
      </c>
      <c r="D79" s="38">
        <v>3.8747400000000001E-2</v>
      </c>
    </row>
    <row r="80" spans="2:4" x14ac:dyDescent="0.3">
      <c r="B80" s="36">
        <f t="shared" si="1"/>
        <v>48426</v>
      </c>
      <c r="C80" s="37">
        <v>48414</v>
      </c>
      <c r="D80" s="38">
        <v>3.8857099999999999E-2</v>
      </c>
    </row>
    <row r="81" spans="2:4" x14ac:dyDescent="0.3">
      <c r="B81" s="36">
        <f t="shared" si="1"/>
        <v>48457</v>
      </c>
      <c r="C81" s="37">
        <v>48443</v>
      </c>
      <c r="D81" s="38">
        <v>3.89573E-2</v>
      </c>
    </row>
    <row r="82" spans="2:4" x14ac:dyDescent="0.3">
      <c r="B82" s="36">
        <f t="shared" si="1"/>
        <v>48487</v>
      </c>
      <c r="C82" s="37">
        <v>48474</v>
      </c>
      <c r="D82" s="38">
        <v>3.9061600000000002E-2</v>
      </c>
    </row>
    <row r="83" spans="2:4" x14ac:dyDescent="0.3">
      <c r="B83" s="36">
        <f t="shared" si="1"/>
        <v>48518</v>
      </c>
      <c r="C83" s="37">
        <v>48505</v>
      </c>
      <c r="D83" s="38">
        <v>3.91629E-2</v>
      </c>
    </row>
    <row r="84" spans="2:4" x14ac:dyDescent="0.3">
      <c r="B84" s="36">
        <f t="shared" si="1"/>
        <v>48548</v>
      </c>
      <c r="C84" s="37">
        <v>48535</v>
      </c>
      <c r="D84" s="38">
        <v>3.9254299999999999E-2</v>
      </c>
    </row>
    <row r="85" spans="2:4" x14ac:dyDescent="0.3">
      <c r="B85" s="36">
        <f t="shared" si="1"/>
        <v>48579</v>
      </c>
      <c r="C85" s="37">
        <v>48565</v>
      </c>
      <c r="D85" s="38">
        <v>3.9354100000000003E-2</v>
      </c>
    </row>
    <row r="86" spans="2:4" x14ac:dyDescent="0.3">
      <c r="B86" s="36">
        <f t="shared" si="1"/>
        <v>48610</v>
      </c>
      <c r="C86" s="37">
        <v>48597</v>
      </c>
      <c r="D86" s="38">
        <v>3.9445899999999999E-2</v>
      </c>
    </row>
    <row r="87" spans="2:4" x14ac:dyDescent="0.3">
      <c r="B87" s="36">
        <f t="shared" si="1"/>
        <v>48638</v>
      </c>
      <c r="C87" s="37">
        <v>48627</v>
      </c>
      <c r="D87" s="38">
        <v>3.95222E-2</v>
      </c>
    </row>
    <row r="88" spans="2:4" x14ac:dyDescent="0.3">
      <c r="B88" s="36">
        <f t="shared" si="1"/>
        <v>48669</v>
      </c>
      <c r="C88" s="37">
        <v>48655</v>
      </c>
      <c r="D88" s="38">
        <v>3.9617699999999999E-2</v>
      </c>
    </row>
    <row r="89" spans="2:4" x14ac:dyDescent="0.3">
      <c r="B89" s="36">
        <f t="shared" si="1"/>
        <v>48699</v>
      </c>
      <c r="C89" s="37">
        <v>48687</v>
      </c>
      <c r="D89" s="38">
        <v>3.9703299999999997E-2</v>
      </c>
    </row>
    <row r="90" spans="2:4" x14ac:dyDescent="0.3">
      <c r="B90" s="36">
        <f t="shared" si="1"/>
        <v>48730</v>
      </c>
      <c r="C90" s="37">
        <v>48716</v>
      </c>
      <c r="D90" s="38">
        <v>3.9791199999999999E-2</v>
      </c>
    </row>
    <row r="91" spans="2:4" x14ac:dyDescent="0.3">
      <c r="B91" s="36">
        <f t="shared" si="1"/>
        <v>48760</v>
      </c>
      <c r="C91" s="37">
        <v>48747</v>
      </c>
      <c r="D91" s="38">
        <v>3.98815E-2</v>
      </c>
    </row>
    <row r="92" spans="2:4" x14ac:dyDescent="0.3">
      <c r="B92" s="36">
        <f t="shared" si="1"/>
        <v>48791</v>
      </c>
      <c r="C92" s="37">
        <v>48778</v>
      </c>
      <c r="D92" s="38">
        <v>3.9971899999999998E-2</v>
      </c>
    </row>
    <row r="93" spans="2:4" x14ac:dyDescent="0.3">
      <c r="B93" s="36">
        <f t="shared" si="1"/>
        <v>48822</v>
      </c>
      <c r="C93" s="37">
        <v>48808</v>
      </c>
      <c r="D93" s="38">
        <v>4.0066999999999998E-2</v>
      </c>
    </row>
    <row r="94" spans="2:4" x14ac:dyDescent="0.3">
      <c r="B94" s="36">
        <f t="shared" si="1"/>
        <v>48852</v>
      </c>
      <c r="C94" s="37">
        <v>48841</v>
      </c>
      <c r="D94" s="38">
        <v>4.0152599999999997E-2</v>
      </c>
    </row>
    <row r="95" spans="2:4" x14ac:dyDescent="0.3">
      <c r="B95" s="36">
        <f t="shared" si="1"/>
        <v>48883</v>
      </c>
      <c r="C95" s="37">
        <v>48869</v>
      </c>
      <c r="D95" s="38">
        <v>4.0238500000000003E-2</v>
      </c>
    </row>
    <row r="96" spans="2:4" x14ac:dyDescent="0.3">
      <c r="B96" s="36">
        <f t="shared" si="1"/>
        <v>48913</v>
      </c>
      <c r="C96" s="37">
        <v>48900</v>
      </c>
      <c r="D96" s="38">
        <v>4.0333399999999998E-2</v>
      </c>
    </row>
    <row r="97" spans="2:4" x14ac:dyDescent="0.3">
      <c r="B97" s="36">
        <f t="shared" si="1"/>
        <v>48944</v>
      </c>
      <c r="C97" s="37">
        <v>48932</v>
      </c>
      <c r="D97" s="38">
        <v>4.0424000000000002E-2</v>
      </c>
    </row>
    <row r="98" spans="2:4" x14ac:dyDescent="0.3">
      <c r="B98" s="36">
        <f t="shared" si="1"/>
        <v>48975</v>
      </c>
      <c r="C98" s="37">
        <v>48961</v>
      </c>
      <c r="D98" s="38">
        <v>4.05096E-2</v>
      </c>
    </row>
    <row r="99" spans="2:4" x14ac:dyDescent="0.3">
      <c r="B99" s="36">
        <f t="shared" si="1"/>
        <v>49003</v>
      </c>
      <c r="C99" s="37">
        <v>48992</v>
      </c>
      <c r="D99" s="38">
        <v>4.0590099999999997E-2</v>
      </c>
    </row>
    <row r="100" spans="2:4" x14ac:dyDescent="0.3">
      <c r="B100" s="36">
        <f t="shared" si="1"/>
        <v>49034</v>
      </c>
      <c r="C100" s="37">
        <v>49020</v>
      </c>
      <c r="D100" s="38">
        <v>4.0684400000000003E-2</v>
      </c>
    </row>
    <row r="101" spans="2:4" x14ac:dyDescent="0.3">
      <c r="B101" s="36">
        <f t="shared" si="1"/>
        <v>49064</v>
      </c>
      <c r="C101" s="37">
        <v>49051</v>
      </c>
      <c r="D101" s="38">
        <v>4.0772599999999999E-2</v>
      </c>
    </row>
    <row r="102" spans="2:4" x14ac:dyDescent="0.3">
      <c r="B102" s="36">
        <f t="shared" si="1"/>
        <v>49095</v>
      </c>
      <c r="C102" s="37">
        <v>49081</v>
      </c>
      <c r="D102" s="38">
        <v>4.08771E-2</v>
      </c>
    </row>
    <row r="103" spans="2:4" x14ac:dyDescent="0.3">
      <c r="B103" s="36">
        <f t="shared" si="1"/>
        <v>49125</v>
      </c>
      <c r="C103" s="37">
        <v>49115</v>
      </c>
      <c r="D103" s="38">
        <v>4.0963300000000001E-2</v>
      </c>
    </row>
    <row r="104" spans="2:4" x14ac:dyDescent="0.3">
      <c r="B104" s="36">
        <f t="shared" si="1"/>
        <v>49156</v>
      </c>
      <c r="C104" s="37">
        <v>49142</v>
      </c>
      <c r="D104" s="38">
        <v>4.1047800000000002E-2</v>
      </c>
    </row>
    <row r="105" spans="2:4" x14ac:dyDescent="0.3">
      <c r="B105" s="36">
        <f t="shared" si="1"/>
        <v>49187</v>
      </c>
      <c r="C105" s="37">
        <v>49173</v>
      </c>
      <c r="D105" s="38">
        <v>4.1144399999999998E-2</v>
      </c>
    </row>
    <row r="106" spans="2:4" x14ac:dyDescent="0.3">
      <c r="B106" s="36">
        <f t="shared" si="1"/>
        <v>49217</v>
      </c>
      <c r="C106" s="37">
        <v>49205</v>
      </c>
      <c r="D106" s="38">
        <v>4.1232699999999997E-2</v>
      </c>
    </row>
    <row r="107" spans="2:4" x14ac:dyDescent="0.3">
      <c r="B107" s="36">
        <f t="shared" si="1"/>
        <v>49248</v>
      </c>
      <c r="C107" s="37">
        <v>49234</v>
      </c>
      <c r="D107" s="38">
        <v>4.1323699999999998E-2</v>
      </c>
    </row>
    <row r="108" spans="2:4" x14ac:dyDescent="0.3">
      <c r="B108" s="36">
        <f t="shared" si="1"/>
        <v>49278</v>
      </c>
      <c r="C108" s="37">
        <v>49265</v>
      </c>
      <c r="D108" s="38">
        <v>4.1417000000000002E-2</v>
      </c>
    </row>
    <row r="109" spans="2:4" x14ac:dyDescent="0.3">
      <c r="B109" s="36">
        <f t="shared" si="1"/>
        <v>49309</v>
      </c>
      <c r="C109" s="37">
        <v>49296</v>
      </c>
      <c r="D109" s="38">
        <v>4.1510600000000002E-2</v>
      </c>
    </row>
    <row r="110" spans="2:4" x14ac:dyDescent="0.3">
      <c r="B110" s="36">
        <f t="shared" si="1"/>
        <v>49340</v>
      </c>
      <c r="C110" s="37">
        <v>49326</v>
      </c>
      <c r="D110" s="38">
        <v>4.1612999999999997E-2</v>
      </c>
    </row>
    <row r="111" spans="2:4" x14ac:dyDescent="0.3">
      <c r="B111" s="36">
        <f t="shared" si="1"/>
        <v>49368</v>
      </c>
      <c r="C111" s="37">
        <v>49360</v>
      </c>
      <c r="D111" s="38">
        <v>4.1692399999999998E-2</v>
      </c>
    </row>
    <row r="112" spans="2:4" x14ac:dyDescent="0.3">
      <c r="B112" s="36">
        <f t="shared" si="1"/>
        <v>49399</v>
      </c>
      <c r="C112" s="37">
        <v>49387</v>
      </c>
      <c r="D112" s="38">
        <v>4.1786200000000003E-2</v>
      </c>
    </row>
    <row r="113" spans="2:4" x14ac:dyDescent="0.3">
      <c r="B113" s="36">
        <f t="shared" si="1"/>
        <v>49429</v>
      </c>
      <c r="C113" s="37">
        <v>49416</v>
      </c>
      <c r="D113" s="38">
        <v>4.1870400000000002E-2</v>
      </c>
    </row>
    <row r="114" spans="2:4" x14ac:dyDescent="0.3">
      <c r="B114" s="36">
        <f t="shared" si="1"/>
        <v>49460</v>
      </c>
      <c r="C114" s="37">
        <v>49446</v>
      </c>
      <c r="D114" s="38">
        <v>4.1969699999999999E-2</v>
      </c>
    </row>
    <row r="115" spans="2:4" x14ac:dyDescent="0.3">
      <c r="B115" s="36">
        <f t="shared" si="1"/>
        <v>49490</v>
      </c>
      <c r="C115" s="37">
        <v>49478</v>
      </c>
      <c r="D115" s="38">
        <v>4.2059399999999997E-2</v>
      </c>
    </row>
    <row r="116" spans="2:4" x14ac:dyDescent="0.3">
      <c r="B116" s="36">
        <f t="shared" si="1"/>
        <v>49521</v>
      </c>
      <c r="C116" s="37">
        <v>49507</v>
      </c>
      <c r="D116" s="38">
        <v>4.2152000000000002E-2</v>
      </c>
    </row>
    <row r="117" spans="2:4" x14ac:dyDescent="0.3">
      <c r="B117" s="36">
        <f t="shared" si="1"/>
        <v>49552</v>
      </c>
      <c r="C117" s="37">
        <v>49538</v>
      </c>
      <c r="D117" s="38">
        <v>4.2247E-2</v>
      </c>
    </row>
    <row r="118" spans="2:4" x14ac:dyDescent="0.3">
      <c r="B118" s="36">
        <f t="shared" si="1"/>
        <v>49582</v>
      </c>
      <c r="C118" s="37">
        <v>49569</v>
      </c>
      <c r="D118" s="38">
        <v>4.2338099999999997E-2</v>
      </c>
    </row>
    <row r="119" spans="2:4" x14ac:dyDescent="0.3">
      <c r="B119" s="36">
        <f t="shared" si="1"/>
        <v>49613</v>
      </c>
      <c r="C119" s="37">
        <v>49599</v>
      </c>
      <c r="D119" s="38">
        <v>4.2442399999999998E-2</v>
      </c>
    </row>
    <row r="120" spans="2:4" x14ac:dyDescent="0.3">
      <c r="B120" s="36">
        <f t="shared" si="1"/>
        <v>49643</v>
      </c>
      <c r="C120" s="37">
        <v>49632</v>
      </c>
      <c r="D120" s="38">
        <v>4.2532E-2</v>
      </c>
    </row>
    <row r="121" spans="2:4" x14ac:dyDescent="0.3">
      <c r="B121" s="36">
        <f t="shared" si="1"/>
        <v>49674</v>
      </c>
      <c r="C121" s="37">
        <v>49660</v>
      </c>
      <c r="D121" s="38">
        <v>4.2622500000000001E-2</v>
      </c>
    </row>
    <row r="122" spans="2:4" x14ac:dyDescent="0.3">
      <c r="B122" s="36">
        <f t="shared" si="1"/>
        <v>49705</v>
      </c>
      <c r="C122" s="37">
        <v>49691</v>
      </c>
      <c r="D122" s="38">
        <v>4.2726500000000001E-2</v>
      </c>
    </row>
    <row r="123" spans="2:4" x14ac:dyDescent="0.3">
      <c r="B123" s="36">
        <f t="shared" si="1"/>
        <v>49734</v>
      </c>
      <c r="C123" s="37">
        <v>49724</v>
      </c>
      <c r="D123" s="38">
        <v>4.2812099999999999E-2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7D7D"/>
  </sheetPr>
  <dimension ref="A1"/>
  <sheetViews>
    <sheetView showGridLines="0" workbookViewId="0"/>
  </sheetViews>
  <sheetFormatPr baseColWidth="10" defaultColWidth="8.83203125" defaultRowHeight="18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M47"/>
  <sheetViews>
    <sheetView showGridLines="0" zoomScale="70" zoomScaleNormal="70" workbookViewId="0"/>
  </sheetViews>
  <sheetFormatPr baseColWidth="10" defaultColWidth="8.83203125" defaultRowHeight="18" x14ac:dyDescent="0.3"/>
  <cols>
    <col min="1" max="1" width="3.6640625" customWidth="1"/>
    <col min="2" max="195" width="12.6640625" customWidth="1"/>
  </cols>
  <sheetData>
    <row r="2" spans="2:38" x14ac:dyDescent="0.3">
      <c r="B2" s="1" t="s">
        <v>38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</row>
    <row r="3" spans="2:38" x14ac:dyDescent="0.3">
      <c r="B3" s="4" t="s">
        <v>39</v>
      </c>
      <c r="C3" s="5">
        <v>1</v>
      </c>
      <c r="D3" s="5">
        <f>C3+1</f>
        <v>2</v>
      </c>
      <c r="E3" s="5">
        <f>D3+1</f>
        <v>3</v>
      </c>
      <c r="F3" s="5">
        <f t="shared" ref="F3:AL3" si="0">E3+1</f>
        <v>4</v>
      </c>
      <c r="G3" s="5">
        <f t="shared" si="0"/>
        <v>5</v>
      </c>
      <c r="H3" s="5">
        <f t="shared" si="0"/>
        <v>6</v>
      </c>
      <c r="I3" s="5">
        <f t="shared" si="0"/>
        <v>7</v>
      </c>
      <c r="J3" s="5">
        <f t="shared" si="0"/>
        <v>8</v>
      </c>
      <c r="K3" s="5">
        <f t="shared" si="0"/>
        <v>9</v>
      </c>
      <c r="L3" s="5">
        <f t="shared" si="0"/>
        <v>10</v>
      </c>
      <c r="M3" s="5">
        <f t="shared" si="0"/>
        <v>11</v>
      </c>
      <c r="N3" s="5">
        <f t="shared" si="0"/>
        <v>12</v>
      </c>
      <c r="O3" s="5">
        <f t="shared" si="0"/>
        <v>13</v>
      </c>
      <c r="P3" s="5">
        <f t="shared" si="0"/>
        <v>14</v>
      </c>
      <c r="Q3" s="5">
        <f t="shared" si="0"/>
        <v>15</v>
      </c>
      <c r="R3" s="5">
        <f t="shared" si="0"/>
        <v>16</v>
      </c>
      <c r="S3" s="5">
        <f t="shared" si="0"/>
        <v>17</v>
      </c>
      <c r="T3" s="5">
        <f t="shared" si="0"/>
        <v>18</v>
      </c>
      <c r="U3" s="5">
        <f t="shared" si="0"/>
        <v>19</v>
      </c>
      <c r="V3" s="5">
        <f t="shared" si="0"/>
        <v>20</v>
      </c>
      <c r="W3" s="5">
        <f t="shared" si="0"/>
        <v>21</v>
      </c>
      <c r="X3" s="5">
        <f t="shared" si="0"/>
        <v>22</v>
      </c>
      <c r="Y3" s="5">
        <f t="shared" si="0"/>
        <v>23</v>
      </c>
      <c r="Z3" s="5">
        <f t="shared" si="0"/>
        <v>24</v>
      </c>
      <c r="AA3" s="5">
        <f t="shared" si="0"/>
        <v>25</v>
      </c>
      <c r="AB3" s="5">
        <f t="shared" si="0"/>
        <v>26</v>
      </c>
      <c r="AC3" s="5">
        <f t="shared" si="0"/>
        <v>27</v>
      </c>
      <c r="AD3" s="5">
        <f t="shared" si="0"/>
        <v>28</v>
      </c>
      <c r="AE3" s="5">
        <f t="shared" si="0"/>
        <v>29</v>
      </c>
      <c r="AF3" s="5">
        <f t="shared" si="0"/>
        <v>30</v>
      </c>
      <c r="AG3" s="5">
        <f t="shared" si="0"/>
        <v>31</v>
      </c>
      <c r="AH3" s="5">
        <f t="shared" si="0"/>
        <v>32</v>
      </c>
      <c r="AI3" s="5">
        <f t="shared" si="0"/>
        <v>33</v>
      </c>
      <c r="AJ3" s="5">
        <f t="shared" si="0"/>
        <v>34</v>
      </c>
      <c r="AK3" s="5">
        <f t="shared" si="0"/>
        <v>35</v>
      </c>
      <c r="AL3" s="6">
        <f t="shared" si="0"/>
        <v>36</v>
      </c>
    </row>
    <row r="4" spans="2:38" x14ac:dyDescent="0.3">
      <c r="B4" s="7">
        <f t="shared" ref="B4:B12" si="1">B5-1</f>
        <v>1</v>
      </c>
      <c r="C4" s="8"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26"/>
    </row>
    <row r="5" spans="2:38" x14ac:dyDescent="0.3">
      <c r="B5" s="10">
        <f t="shared" si="1"/>
        <v>2</v>
      </c>
      <c r="C5" s="11">
        <v>0.5</v>
      </c>
      <c r="D5" s="11">
        <v>0.5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27"/>
    </row>
    <row r="6" spans="2:38" x14ac:dyDescent="0.3">
      <c r="B6" s="10">
        <f t="shared" si="1"/>
        <v>3</v>
      </c>
      <c r="C6" s="11">
        <v>0.33333333333333331</v>
      </c>
      <c r="D6" s="11">
        <v>0.33333333333333331</v>
      </c>
      <c r="E6" s="11">
        <v>0.33333333333333331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27"/>
    </row>
    <row r="7" spans="2:38" x14ac:dyDescent="0.3">
      <c r="B7" s="10">
        <f t="shared" si="1"/>
        <v>4</v>
      </c>
      <c r="C7" s="11">
        <v>0.2</v>
      </c>
      <c r="D7" s="11">
        <v>0.3</v>
      </c>
      <c r="E7" s="11">
        <v>0.3</v>
      </c>
      <c r="F7" s="11">
        <v>0.2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27"/>
    </row>
    <row r="8" spans="2:38" hidden="1" x14ac:dyDescent="0.3">
      <c r="B8" s="10">
        <f t="shared" si="1"/>
        <v>5</v>
      </c>
      <c r="C8" s="11">
        <v>0.15</v>
      </c>
      <c r="D8" s="11">
        <v>0.2</v>
      </c>
      <c r="E8" s="11">
        <v>0.3</v>
      </c>
      <c r="F8" s="11">
        <v>0.2</v>
      </c>
      <c r="G8" s="11">
        <v>0.15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27"/>
    </row>
    <row r="9" spans="2:38" x14ac:dyDescent="0.3">
      <c r="B9" s="10">
        <f t="shared" si="1"/>
        <v>6</v>
      </c>
      <c r="C9" s="11">
        <v>0.1</v>
      </c>
      <c r="D9" s="11">
        <v>0.15</v>
      </c>
      <c r="E9" s="11">
        <v>0.25</v>
      </c>
      <c r="F9" s="11">
        <v>0.25</v>
      </c>
      <c r="G9" s="11">
        <v>0.15</v>
      </c>
      <c r="H9" s="11">
        <v>0.1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27"/>
    </row>
    <row r="10" spans="2:38" x14ac:dyDescent="0.3">
      <c r="B10" s="10">
        <f t="shared" si="1"/>
        <v>7</v>
      </c>
      <c r="C10" s="11">
        <v>7.4999999999999997E-2</v>
      </c>
      <c r="D10" s="11">
        <v>0.125</v>
      </c>
      <c r="E10" s="11">
        <v>0.17499999999999999</v>
      </c>
      <c r="F10" s="11">
        <v>0.25</v>
      </c>
      <c r="G10" s="11">
        <v>0.17499999999999999</v>
      </c>
      <c r="H10" s="11">
        <v>0.125</v>
      </c>
      <c r="I10" s="11">
        <v>7.4999999999999997E-2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27"/>
    </row>
    <row r="11" spans="2:38" x14ac:dyDescent="0.3">
      <c r="B11" s="10">
        <f t="shared" si="1"/>
        <v>8</v>
      </c>
      <c r="C11" s="11">
        <v>0.05</v>
      </c>
      <c r="D11" s="11">
        <v>0.1</v>
      </c>
      <c r="E11" s="11">
        <v>0.15</v>
      </c>
      <c r="F11" s="11">
        <v>0.2</v>
      </c>
      <c r="G11" s="11">
        <v>0.2</v>
      </c>
      <c r="H11" s="11">
        <v>0.15</v>
      </c>
      <c r="I11" s="11">
        <v>0.1</v>
      </c>
      <c r="J11" s="11">
        <v>0.05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27"/>
    </row>
    <row r="12" spans="2:38" x14ac:dyDescent="0.3">
      <c r="B12" s="10">
        <f t="shared" si="1"/>
        <v>9</v>
      </c>
      <c r="C12" s="11">
        <v>0.05</v>
      </c>
      <c r="D12" s="11">
        <v>7.4999999999999997E-2</v>
      </c>
      <c r="E12" s="11">
        <v>0.125</v>
      </c>
      <c r="F12" s="11">
        <v>0.15</v>
      </c>
      <c r="G12" s="11">
        <v>0.2</v>
      </c>
      <c r="H12" s="11">
        <v>0.15</v>
      </c>
      <c r="I12" s="11">
        <v>0.125</v>
      </c>
      <c r="J12" s="11">
        <v>7.4999999999999997E-2</v>
      </c>
      <c r="K12" s="11">
        <v>0.05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27"/>
    </row>
    <row r="13" spans="2:38" x14ac:dyDescent="0.3">
      <c r="B13" s="10">
        <v>10</v>
      </c>
      <c r="C13" s="11">
        <v>0.04</v>
      </c>
      <c r="D13" s="11">
        <v>6.5000000000000002E-2</v>
      </c>
      <c r="E13" s="11">
        <v>0.1</v>
      </c>
      <c r="F13" s="11">
        <v>0.125</v>
      </c>
      <c r="G13" s="11">
        <v>0.17</v>
      </c>
      <c r="H13" s="11">
        <v>0.17</v>
      </c>
      <c r="I13" s="11">
        <v>0.125</v>
      </c>
      <c r="J13" s="11">
        <v>0.1</v>
      </c>
      <c r="K13" s="11">
        <v>6.5000000000000002E-2</v>
      </c>
      <c r="L13" s="11">
        <v>0.04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27"/>
    </row>
    <row r="14" spans="2:38" x14ac:dyDescent="0.3">
      <c r="B14" s="10">
        <v>11</v>
      </c>
      <c r="C14" s="11">
        <v>3.5000000000000003E-2</v>
      </c>
      <c r="D14" s="11">
        <v>0.05</v>
      </c>
      <c r="E14" s="11">
        <v>0.09</v>
      </c>
      <c r="F14" s="11">
        <v>0.12</v>
      </c>
      <c r="G14" s="11">
        <v>0.13</v>
      </c>
      <c r="H14" s="11">
        <v>0.15</v>
      </c>
      <c r="I14" s="11">
        <v>0.13</v>
      </c>
      <c r="J14" s="11">
        <v>0.12</v>
      </c>
      <c r="K14" s="11">
        <v>0.09</v>
      </c>
      <c r="L14" s="11">
        <v>0.05</v>
      </c>
      <c r="M14" s="11">
        <v>3.5000000000000003E-2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27"/>
    </row>
    <row r="15" spans="2:38" x14ac:dyDescent="0.3">
      <c r="B15" s="10">
        <v>12</v>
      </c>
      <c r="C15" s="11">
        <v>0.03</v>
      </c>
      <c r="D15" s="11">
        <v>0.05</v>
      </c>
      <c r="E15" s="11">
        <v>7.0000000000000007E-2</v>
      </c>
      <c r="F15" s="11">
        <v>0.1</v>
      </c>
      <c r="G15" s="11">
        <v>0.12</v>
      </c>
      <c r="H15" s="11">
        <v>0.13</v>
      </c>
      <c r="I15" s="11">
        <v>0.13</v>
      </c>
      <c r="J15" s="11">
        <v>0.12</v>
      </c>
      <c r="K15" s="11">
        <v>0.1</v>
      </c>
      <c r="L15" s="11">
        <v>7.0000000000000007E-2</v>
      </c>
      <c r="M15" s="11">
        <v>0.05</v>
      </c>
      <c r="N15" s="11">
        <v>0.03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27"/>
    </row>
    <row r="16" spans="2:38" x14ac:dyDescent="0.3">
      <c r="B16" s="10">
        <f>+B15+1</f>
        <v>13</v>
      </c>
      <c r="C16" s="11">
        <v>2.5000000000000001E-2</v>
      </c>
      <c r="D16" s="11">
        <v>0.04</v>
      </c>
      <c r="E16" s="11">
        <v>0.06</v>
      </c>
      <c r="F16" s="11">
        <v>0.09</v>
      </c>
      <c r="G16" s="11">
        <v>0.11</v>
      </c>
      <c r="H16" s="11">
        <v>0.11</v>
      </c>
      <c r="I16" s="11">
        <v>0.13</v>
      </c>
      <c r="J16" s="11">
        <v>0.11</v>
      </c>
      <c r="K16" s="11">
        <v>0.11</v>
      </c>
      <c r="L16" s="11">
        <v>0.09</v>
      </c>
      <c r="M16" s="11">
        <v>0.06</v>
      </c>
      <c r="N16" s="11">
        <v>0.04</v>
      </c>
      <c r="O16" s="11">
        <v>2.5000000000000001E-2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27"/>
    </row>
    <row r="17" spans="2:38" x14ac:dyDescent="0.3">
      <c r="B17" s="10">
        <f t="shared" ref="B17:B39" si="2">+B16+1</f>
        <v>14</v>
      </c>
      <c r="C17" s="11">
        <v>0.02</v>
      </c>
      <c r="D17" s="11">
        <v>0.04</v>
      </c>
      <c r="E17" s="11">
        <v>0.06</v>
      </c>
      <c r="F17" s="11">
        <v>0.08</v>
      </c>
      <c r="G17" s="11">
        <v>0.08</v>
      </c>
      <c r="H17" s="11">
        <v>0.1</v>
      </c>
      <c r="I17" s="11">
        <v>0.12</v>
      </c>
      <c r="J17" s="11">
        <v>0.12</v>
      </c>
      <c r="K17" s="11">
        <v>0.1</v>
      </c>
      <c r="L17" s="11">
        <v>0.08</v>
      </c>
      <c r="M17" s="11">
        <v>0.08</v>
      </c>
      <c r="N17" s="11">
        <v>0.06</v>
      </c>
      <c r="O17" s="11">
        <v>0.04</v>
      </c>
      <c r="P17" s="11">
        <v>0.02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27"/>
    </row>
    <row r="18" spans="2:38" x14ac:dyDescent="0.3">
      <c r="B18" s="10">
        <f t="shared" si="2"/>
        <v>15</v>
      </c>
      <c r="C18" s="11">
        <v>0.02</v>
      </c>
      <c r="D18" s="11">
        <v>0.03</v>
      </c>
      <c r="E18" s="11">
        <v>0.05</v>
      </c>
      <c r="F18" s="11">
        <v>7.0000000000000007E-2</v>
      </c>
      <c r="G18" s="11">
        <v>0.08</v>
      </c>
      <c r="H18" s="11">
        <v>0.09</v>
      </c>
      <c r="I18" s="11">
        <v>0.1</v>
      </c>
      <c r="J18" s="11">
        <v>0.12</v>
      </c>
      <c r="K18" s="11">
        <v>0.1</v>
      </c>
      <c r="L18" s="11">
        <v>0.09</v>
      </c>
      <c r="M18" s="11">
        <v>0.08</v>
      </c>
      <c r="N18" s="11">
        <v>7.0000000000000007E-2</v>
      </c>
      <c r="O18" s="11">
        <v>0.05</v>
      </c>
      <c r="P18" s="11">
        <v>0.03</v>
      </c>
      <c r="Q18" s="11">
        <v>0.02</v>
      </c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27"/>
    </row>
    <row r="19" spans="2:38" x14ac:dyDescent="0.3">
      <c r="B19" s="10">
        <f t="shared" si="2"/>
        <v>16</v>
      </c>
      <c r="C19" s="11">
        <v>0.02</v>
      </c>
      <c r="D19" s="11">
        <v>0.03</v>
      </c>
      <c r="E19" s="11">
        <v>0.05</v>
      </c>
      <c r="F19" s="11">
        <v>0.06</v>
      </c>
      <c r="G19" s="11">
        <v>7.0000000000000007E-2</v>
      </c>
      <c r="H19" s="11">
        <v>0.08</v>
      </c>
      <c r="I19" s="11">
        <v>0.09</v>
      </c>
      <c r="J19" s="11">
        <v>0.1</v>
      </c>
      <c r="K19" s="11">
        <v>0.1</v>
      </c>
      <c r="L19" s="11">
        <v>0.09</v>
      </c>
      <c r="M19" s="11">
        <v>0.08</v>
      </c>
      <c r="N19" s="11">
        <v>7.0000000000000007E-2</v>
      </c>
      <c r="O19" s="11">
        <v>0.06</v>
      </c>
      <c r="P19" s="11">
        <v>0.05</v>
      </c>
      <c r="Q19" s="11">
        <v>0.03</v>
      </c>
      <c r="R19" s="11">
        <v>0.02</v>
      </c>
      <c r="S19" s="11"/>
      <c r="T19" s="11"/>
      <c r="U19" s="11"/>
      <c r="V19" s="11"/>
      <c r="W19" s="11"/>
      <c r="X19" s="11"/>
      <c r="Y19" s="11"/>
      <c r="Z19" s="11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27"/>
    </row>
    <row r="20" spans="2:38" x14ac:dyDescent="0.3">
      <c r="B20" s="10">
        <f t="shared" si="2"/>
        <v>17</v>
      </c>
      <c r="C20" s="11">
        <v>0.02</v>
      </c>
      <c r="D20" s="11">
        <v>0.03</v>
      </c>
      <c r="E20" s="11">
        <v>0.04</v>
      </c>
      <c r="F20" s="11">
        <v>0.05</v>
      </c>
      <c r="G20" s="11">
        <v>0.06</v>
      </c>
      <c r="H20" s="11">
        <v>7.0000000000000007E-2</v>
      </c>
      <c r="I20" s="11">
        <v>0.09</v>
      </c>
      <c r="J20" s="11">
        <v>0.09</v>
      </c>
      <c r="K20" s="11">
        <v>0.1</v>
      </c>
      <c r="L20" s="11">
        <v>0.09</v>
      </c>
      <c r="M20" s="11">
        <v>0.09</v>
      </c>
      <c r="N20" s="11">
        <v>7.0000000000000007E-2</v>
      </c>
      <c r="O20" s="11">
        <v>0.06</v>
      </c>
      <c r="P20" s="11">
        <v>0.05</v>
      </c>
      <c r="Q20" s="11">
        <v>0.04</v>
      </c>
      <c r="R20" s="11">
        <v>0.03</v>
      </c>
      <c r="S20" s="11">
        <v>0.02</v>
      </c>
      <c r="T20" s="11"/>
      <c r="U20" s="11"/>
      <c r="V20" s="11"/>
      <c r="W20" s="11"/>
      <c r="X20" s="11"/>
      <c r="Y20" s="11"/>
      <c r="Z20" s="11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27"/>
    </row>
    <row r="21" spans="2:38" x14ac:dyDescent="0.3">
      <c r="B21" s="10">
        <f t="shared" si="2"/>
        <v>18</v>
      </c>
      <c r="C21" s="11">
        <v>1.4999999999999999E-2</v>
      </c>
      <c r="D21" s="11">
        <v>2.5000000000000001E-2</v>
      </c>
      <c r="E21" s="11">
        <v>2.5000000000000001E-2</v>
      </c>
      <c r="F21" s="11">
        <v>2.5000000000000001E-2</v>
      </c>
      <c r="G21" s="11">
        <v>0.03</v>
      </c>
      <c r="H21" s="11">
        <v>0.04</v>
      </c>
      <c r="I21" s="11">
        <v>0.05</v>
      </c>
      <c r="J21" s="11">
        <v>0.08</v>
      </c>
      <c r="K21" s="11">
        <v>0.1</v>
      </c>
      <c r="L21" s="11">
        <v>0.1</v>
      </c>
      <c r="M21" s="11">
        <v>0.08</v>
      </c>
      <c r="N21" s="11">
        <v>0.08</v>
      </c>
      <c r="O21" s="11">
        <v>0.08</v>
      </c>
      <c r="P21" s="11">
        <v>0.08</v>
      </c>
      <c r="Q21" s="11">
        <v>0.08</v>
      </c>
      <c r="R21" s="11">
        <v>0.06</v>
      </c>
      <c r="S21" s="11">
        <v>0.03</v>
      </c>
      <c r="T21" s="11">
        <v>0.02</v>
      </c>
      <c r="U21" s="11"/>
      <c r="V21" s="11"/>
      <c r="W21" s="11"/>
      <c r="X21" s="11"/>
      <c r="Y21" s="11"/>
      <c r="Z21" s="11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27"/>
    </row>
    <row r="22" spans="2:38" x14ac:dyDescent="0.3">
      <c r="B22" s="10">
        <f t="shared" si="2"/>
        <v>19</v>
      </c>
      <c r="C22" s="11">
        <v>1.4999999999999999E-2</v>
      </c>
      <c r="D22" s="11">
        <v>2.5000000000000001E-2</v>
      </c>
      <c r="E22" s="11">
        <v>2.5000000000000001E-2</v>
      </c>
      <c r="F22" s="11">
        <v>2.5000000000000001E-2</v>
      </c>
      <c r="G22" s="11">
        <v>2.5000000000000001E-2</v>
      </c>
      <c r="H22" s="11">
        <v>0.03</v>
      </c>
      <c r="I22" s="11">
        <v>0.05</v>
      </c>
      <c r="J22" s="11">
        <v>6.5000000000000002E-2</v>
      </c>
      <c r="K22" s="11">
        <v>0.08</v>
      </c>
      <c r="L22" s="11">
        <v>0.08</v>
      </c>
      <c r="M22" s="11">
        <v>0.08</v>
      </c>
      <c r="N22" s="11">
        <v>0.08</v>
      </c>
      <c r="O22" s="11">
        <v>0.08</v>
      </c>
      <c r="P22" s="11">
        <v>0.08</v>
      </c>
      <c r="Q22" s="11">
        <v>0.08</v>
      </c>
      <c r="R22" s="11">
        <v>0.08</v>
      </c>
      <c r="S22" s="11">
        <v>0.06</v>
      </c>
      <c r="T22" s="11">
        <v>0.03</v>
      </c>
      <c r="U22" s="11">
        <v>0.01</v>
      </c>
      <c r="V22" s="11"/>
      <c r="W22" s="11"/>
      <c r="X22" s="11"/>
      <c r="Y22" s="11"/>
      <c r="Z22" s="11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27"/>
    </row>
    <row r="23" spans="2:38" x14ac:dyDescent="0.3">
      <c r="B23" s="10">
        <f t="shared" si="2"/>
        <v>20</v>
      </c>
      <c r="C23" s="11">
        <v>1.4999999999999999E-2</v>
      </c>
      <c r="D23" s="11">
        <v>1.4999999999999999E-2</v>
      </c>
      <c r="E23" s="11">
        <v>2.5000000000000001E-2</v>
      </c>
      <c r="F23" s="11">
        <v>2.5000000000000001E-2</v>
      </c>
      <c r="G23" s="11">
        <v>0.03</v>
      </c>
      <c r="H23" s="11">
        <v>0.03</v>
      </c>
      <c r="I23" s="11">
        <v>0.04</v>
      </c>
      <c r="J23" s="11">
        <v>0.05</v>
      </c>
      <c r="K23" s="11">
        <v>7.0000000000000007E-2</v>
      </c>
      <c r="L23" s="11">
        <v>7.0000000000000007E-2</v>
      </c>
      <c r="M23" s="11">
        <v>0.08</v>
      </c>
      <c r="N23" s="11">
        <v>0.08</v>
      </c>
      <c r="O23" s="11">
        <v>0.08</v>
      </c>
      <c r="P23" s="11">
        <v>0.08</v>
      </c>
      <c r="Q23" s="11">
        <v>0.08</v>
      </c>
      <c r="R23" s="11">
        <v>0.08</v>
      </c>
      <c r="S23" s="11">
        <v>7.0000000000000007E-2</v>
      </c>
      <c r="T23" s="11">
        <v>0.05</v>
      </c>
      <c r="U23" s="11">
        <v>0.02</v>
      </c>
      <c r="V23" s="11">
        <v>0.01</v>
      </c>
      <c r="W23" s="11"/>
      <c r="X23" s="11"/>
      <c r="Y23" s="11"/>
      <c r="Z23" s="11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27"/>
    </row>
    <row r="24" spans="2:38" x14ac:dyDescent="0.3">
      <c r="B24" s="10">
        <f t="shared" si="2"/>
        <v>21</v>
      </c>
      <c r="C24" s="11">
        <v>0.01</v>
      </c>
      <c r="D24" s="11">
        <v>0.01</v>
      </c>
      <c r="E24" s="11">
        <v>0.02</v>
      </c>
      <c r="F24" s="11">
        <v>0.02</v>
      </c>
      <c r="G24" s="11">
        <v>0.02</v>
      </c>
      <c r="H24" s="11">
        <v>0.03</v>
      </c>
      <c r="I24" s="11">
        <v>0.04</v>
      </c>
      <c r="J24" s="11">
        <v>0.05</v>
      </c>
      <c r="K24" s="11">
        <v>7.0000000000000007E-2</v>
      </c>
      <c r="L24" s="11">
        <v>7.0000000000000007E-2</v>
      </c>
      <c r="M24" s="11">
        <v>7.0000000000000007E-2</v>
      </c>
      <c r="N24" s="11">
        <v>0.08</v>
      </c>
      <c r="O24" s="11">
        <v>0.08</v>
      </c>
      <c r="P24" s="11">
        <v>0.08</v>
      </c>
      <c r="Q24" s="11">
        <v>0.08</v>
      </c>
      <c r="R24" s="11">
        <v>0.08</v>
      </c>
      <c r="S24" s="11">
        <v>0.08</v>
      </c>
      <c r="T24" s="11">
        <v>0.05</v>
      </c>
      <c r="U24" s="11">
        <v>0.03</v>
      </c>
      <c r="V24" s="11">
        <v>0.02</v>
      </c>
      <c r="W24" s="11">
        <v>0.01</v>
      </c>
      <c r="X24" s="11"/>
      <c r="Y24" s="11"/>
      <c r="Z24" s="11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27"/>
    </row>
    <row r="25" spans="2:38" x14ac:dyDescent="0.3">
      <c r="B25" s="10">
        <f t="shared" si="2"/>
        <v>22</v>
      </c>
      <c r="C25" s="11">
        <v>0.01</v>
      </c>
      <c r="D25" s="11">
        <v>0.01</v>
      </c>
      <c r="E25" s="11">
        <v>0.01</v>
      </c>
      <c r="F25" s="11">
        <v>0.02</v>
      </c>
      <c r="G25" s="11">
        <v>0.02</v>
      </c>
      <c r="H25" s="11">
        <v>0.02</v>
      </c>
      <c r="I25" s="11">
        <v>0.03</v>
      </c>
      <c r="J25" s="11">
        <v>0.04</v>
      </c>
      <c r="K25" s="11">
        <v>0.05</v>
      </c>
      <c r="L25" s="11">
        <v>7.0000000000000007E-2</v>
      </c>
      <c r="M25" s="11">
        <v>7.0000000000000007E-2</v>
      </c>
      <c r="N25" s="11">
        <v>0.08</v>
      </c>
      <c r="O25" s="11">
        <v>0.08</v>
      </c>
      <c r="P25" s="11">
        <v>0.08</v>
      </c>
      <c r="Q25" s="11">
        <v>0.08</v>
      </c>
      <c r="R25" s="11">
        <v>0.08</v>
      </c>
      <c r="S25" s="11">
        <v>0.08</v>
      </c>
      <c r="T25" s="11">
        <v>0.08</v>
      </c>
      <c r="U25" s="11">
        <v>0.05</v>
      </c>
      <c r="V25" s="11">
        <v>0.02</v>
      </c>
      <c r="W25" s="11">
        <v>0.01</v>
      </c>
      <c r="X25" s="11">
        <v>0.01</v>
      </c>
      <c r="Y25" s="11"/>
      <c r="Z25" s="11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27"/>
    </row>
    <row r="26" spans="2:38" x14ac:dyDescent="0.3">
      <c r="B26" s="10">
        <f t="shared" si="2"/>
        <v>23</v>
      </c>
      <c r="C26" s="11">
        <v>0.01</v>
      </c>
      <c r="D26" s="11">
        <v>0.01</v>
      </c>
      <c r="E26" s="11">
        <v>0.01</v>
      </c>
      <c r="F26" s="11">
        <v>0.01</v>
      </c>
      <c r="G26" s="11">
        <v>0.02</v>
      </c>
      <c r="H26" s="11">
        <v>0.02</v>
      </c>
      <c r="I26" s="11">
        <v>0.02</v>
      </c>
      <c r="J26" s="11">
        <v>0.03</v>
      </c>
      <c r="K26" s="11">
        <v>0.04</v>
      </c>
      <c r="L26" s="11">
        <v>0.06</v>
      </c>
      <c r="M26" s="11">
        <v>7.0000000000000007E-2</v>
      </c>
      <c r="N26" s="11">
        <v>7.0000000000000007E-2</v>
      </c>
      <c r="O26" s="11">
        <v>0.08</v>
      </c>
      <c r="P26" s="11">
        <v>0.08</v>
      </c>
      <c r="Q26" s="11">
        <v>0.08</v>
      </c>
      <c r="R26" s="11">
        <v>0.08</v>
      </c>
      <c r="S26" s="11">
        <v>0.08</v>
      </c>
      <c r="T26" s="11">
        <v>0.08</v>
      </c>
      <c r="U26" s="11">
        <v>0.06</v>
      </c>
      <c r="V26" s="11">
        <v>0.03</v>
      </c>
      <c r="W26" s="11">
        <v>0.03</v>
      </c>
      <c r="X26" s="11">
        <v>0.02</v>
      </c>
      <c r="Y26" s="11">
        <v>0.01</v>
      </c>
      <c r="Z26" s="11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27"/>
    </row>
    <row r="27" spans="2:38" x14ac:dyDescent="0.3">
      <c r="B27" s="10">
        <f t="shared" si="2"/>
        <v>24</v>
      </c>
      <c r="C27" s="11">
        <v>0.01</v>
      </c>
      <c r="D27" s="11">
        <v>0.01</v>
      </c>
      <c r="E27" s="11">
        <v>0.01</v>
      </c>
      <c r="F27" s="11">
        <v>0.01</v>
      </c>
      <c r="G27" s="11">
        <v>0.01</v>
      </c>
      <c r="H27" s="11">
        <v>0.02</v>
      </c>
      <c r="I27" s="11">
        <v>0.02</v>
      </c>
      <c r="J27" s="11">
        <v>0.02</v>
      </c>
      <c r="K27" s="11">
        <v>0.03</v>
      </c>
      <c r="L27" s="11">
        <v>0.05</v>
      </c>
      <c r="M27" s="11">
        <v>0.06</v>
      </c>
      <c r="N27" s="11">
        <v>7.0000000000000007E-2</v>
      </c>
      <c r="O27" s="11">
        <v>7.0000000000000007E-2</v>
      </c>
      <c r="P27" s="11">
        <v>0.08</v>
      </c>
      <c r="Q27" s="11">
        <v>0.08</v>
      </c>
      <c r="R27" s="11">
        <v>0.08</v>
      </c>
      <c r="S27" s="11">
        <v>0.08</v>
      </c>
      <c r="T27" s="11">
        <v>0.08</v>
      </c>
      <c r="U27" s="11">
        <v>0.08</v>
      </c>
      <c r="V27" s="11">
        <v>0.05</v>
      </c>
      <c r="W27" s="11">
        <v>0.03</v>
      </c>
      <c r="X27" s="11">
        <v>0.02</v>
      </c>
      <c r="Y27" s="11">
        <v>0.02</v>
      </c>
      <c r="Z27" s="11">
        <v>0.01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27"/>
    </row>
    <row r="28" spans="2:38" x14ac:dyDescent="0.3">
      <c r="B28" s="10">
        <f t="shared" si="2"/>
        <v>25</v>
      </c>
      <c r="C28" s="11">
        <v>3.205128205128205E-3</v>
      </c>
      <c r="D28" s="11">
        <v>9.6153846153846159E-3</v>
      </c>
      <c r="E28" s="11">
        <v>1.6025641025641024E-2</v>
      </c>
      <c r="F28" s="11">
        <v>2.2435897435897436E-2</v>
      </c>
      <c r="G28" s="11">
        <v>2.8846153846153844E-2</v>
      </c>
      <c r="H28" s="11">
        <v>3.5256410256410256E-2</v>
      </c>
      <c r="I28" s="11">
        <v>4.1666666666666671E-2</v>
      </c>
      <c r="J28" s="11">
        <v>4.8076923076923073E-2</v>
      </c>
      <c r="K28" s="11">
        <v>5.4487179487179488E-2</v>
      </c>
      <c r="L28" s="11">
        <v>6.0897435897435889E-2</v>
      </c>
      <c r="M28" s="11">
        <v>6.7307692307692304E-2</v>
      </c>
      <c r="N28" s="11">
        <v>7.371794871794872E-2</v>
      </c>
      <c r="O28" s="11">
        <v>7.6923076923076927E-2</v>
      </c>
      <c r="P28" s="11">
        <v>7.371794871794872E-2</v>
      </c>
      <c r="Q28" s="11">
        <v>6.7307692307692304E-2</v>
      </c>
      <c r="R28" s="11">
        <v>6.0897435897435889E-2</v>
      </c>
      <c r="S28" s="11">
        <v>5.4487179487179488E-2</v>
      </c>
      <c r="T28" s="11">
        <v>4.8076923076923073E-2</v>
      </c>
      <c r="U28" s="11">
        <v>4.1666666666666671E-2</v>
      </c>
      <c r="V28" s="11">
        <v>3.5256410256410256E-2</v>
      </c>
      <c r="W28" s="11">
        <v>2.8846153846153844E-2</v>
      </c>
      <c r="X28" s="11">
        <v>2.2435897435897436E-2</v>
      </c>
      <c r="Y28" s="11">
        <v>1.6025641025641024E-2</v>
      </c>
      <c r="Z28" s="11">
        <v>9.6153846153846159E-3</v>
      </c>
      <c r="AA28" s="11">
        <v>3.205128205128205E-3</v>
      </c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27"/>
    </row>
    <row r="29" spans="2:38" x14ac:dyDescent="0.3">
      <c r="B29" s="10">
        <f t="shared" si="2"/>
        <v>26</v>
      </c>
      <c r="C29" s="11">
        <v>5.4945054945054949E-3</v>
      </c>
      <c r="D29" s="11">
        <v>1.098901098901099E-2</v>
      </c>
      <c r="E29" s="11">
        <v>1.6483516483516484E-2</v>
      </c>
      <c r="F29" s="11">
        <v>2.197802197802198E-2</v>
      </c>
      <c r="G29" s="11">
        <v>2.7472527472527476E-2</v>
      </c>
      <c r="H29" s="11">
        <v>3.2967032967032968E-2</v>
      </c>
      <c r="I29" s="11">
        <v>3.8461538461538464E-2</v>
      </c>
      <c r="J29" s="11">
        <v>4.3956043956043959E-2</v>
      </c>
      <c r="K29" s="11">
        <v>4.9450549450549455E-2</v>
      </c>
      <c r="L29" s="11">
        <v>5.4945054945054951E-2</v>
      </c>
      <c r="M29" s="11">
        <v>6.0439560439560447E-2</v>
      </c>
      <c r="N29" s="11">
        <v>6.5934065934065936E-2</v>
      </c>
      <c r="O29" s="11">
        <v>7.1428571428571438E-2</v>
      </c>
      <c r="P29" s="11">
        <v>7.1428571428571438E-2</v>
      </c>
      <c r="Q29" s="11">
        <v>6.5934065934065936E-2</v>
      </c>
      <c r="R29" s="11">
        <v>6.0439560439560447E-2</v>
      </c>
      <c r="S29" s="11">
        <v>5.4945054945054951E-2</v>
      </c>
      <c r="T29" s="11">
        <v>4.9450549450549455E-2</v>
      </c>
      <c r="U29" s="11">
        <v>4.3956043956043959E-2</v>
      </c>
      <c r="V29" s="11">
        <v>3.8461538461538464E-2</v>
      </c>
      <c r="W29" s="11">
        <v>3.2967032967032968E-2</v>
      </c>
      <c r="X29" s="11">
        <v>2.7472527472527476E-2</v>
      </c>
      <c r="Y29" s="11">
        <v>2.197802197802198E-2</v>
      </c>
      <c r="Z29" s="11">
        <v>1.6483516483516484E-2</v>
      </c>
      <c r="AA29" s="11">
        <v>1.098901098901099E-2</v>
      </c>
      <c r="AB29" s="11">
        <v>5.4945054945054949E-3</v>
      </c>
      <c r="AC29" s="11"/>
      <c r="AD29" s="11"/>
      <c r="AE29" s="11"/>
      <c r="AF29" s="11"/>
      <c r="AG29" s="11"/>
      <c r="AH29" s="11"/>
      <c r="AI29" s="11"/>
      <c r="AJ29" s="11"/>
      <c r="AK29" s="11"/>
      <c r="AL29" s="28"/>
    </row>
    <row r="30" spans="2:38" x14ac:dyDescent="0.3">
      <c r="B30" s="10">
        <f t="shared" si="2"/>
        <v>27</v>
      </c>
      <c r="C30" s="11">
        <v>2.7472527472527475E-3</v>
      </c>
      <c r="D30" s="11">
        <v>8.241758241758242E-3</v>
      </c>
      <c r="E30" s="11">
        <v>1.3736263736263736E-2</v>
      </c>
      <c r="F30" s="11">
        <v>1.9230769230769232E-2</v>
      </c>
      <c r="G30" s="11">
        <v>2.4725274725274728E-2</v>
      </c>
      <c r="H30" s="11">
        <v>3.0219780219780223E-2</v>
      </c>
      <c r="I30" s="11">
        <v>3.5714285714285712E-2</v>
      </c>
      <c r="J30" s="11">
        <v>4.1208791208791215E-2</v>
      </c>
      <c r="K30" s="11">
        <v>4.6703296703296704E-2</v>
      </c>
      <c r="L30" s="11">
        <v>5.2197802197802207E-2</v>
      </c>
      <c r="M30" s="11">
        <v>5.7692307692307696E-2</v>
      </c>
      <c r="N30" s="11">
        <v>6.3186813186813184E-2</v>
      </c>
      <c r="O30" s="11">
        <v>6.8681318681318687E-2</v>
      </c>
      <c r="P30" s="11">
        <v>7.1428571428571438E-2</v>
      </c>
      <c r="Q30" s="11">
        <v>6.8681318681318687E-2</v>
      </c>
      <c r="R30" s="11">
        <v>6.3186813186813184E-2</v>
      </c>
      <c r="S30" s="11">
        <v>5.7692307692307696E-2</v>
      </c>
      <c r="T30" s="11">
        <v>5.2197802197802207E-2</v>
      </c>
      <c r="U30" s="11">
        <v>4.6703296703296704E-2</v>
      </c>
      <c r="V30" s="11">
        <v>4.1208791208791215E-2</v>
      </c>
      <c r="W30" s="11">
        <v>3.5714285714285712E-2</v>
      </c>
      <c r="X30" s="11">
        <v>3.0219780219780223E-2</v>
      </c>
      <c r="Y30" s="11">
        <v>2.4725274725274728E-2</v>
      </c>
      <c r="Z30" s="11">
        <v>1.9230769230769232E-2</v>
      </c>
      <c r="AA30" s="11">
        <v>1.3736263736263736E-2</v>
      </c>
      <c r="AB30" s="11">
        <v>8.241758241758242E-3</v>
      </c>
      <c r="AC30" s="11">
        <v>2.7472527472527475E-3</v>
      </c>
      <c r="AD30" s="11"/>
      <c r="AE30" s="11"/>
      <c r="AF30" s="11"/>
      <c r="AG30" s="11"/>
      <c r="AH30" s="11"/>
      <c r="AI30" s="11"/>
      <c r="AJ30" s="11"/>
      <c r="AK30" s="11"/>
      <c r="AL30" s="28"/>
    </row>
    <row r="31" spans="2:38" x14ac:dyDescent="0.3">
      <c r="B31" s="10">
        <f t="shared" si="2"/>
        <v>28</v>
      </c>
      <c r="C31" s="11">
        <v>4.7619047619047623E-3</v>
      </c>
      <c r="D31" s="11">
        <v>9.5238095238095247E-3</v>
      </c>
      <c r="E31" s="11">
        <v>1.4285714285714287E-2</v>
      </c>
      <c r="F31" s="11">
        <v>1.9047619047619049E-2</v>
      </c>
      <c r="G31" s="11">
        <v>2.3809523809523812E-2</v>
      </c>
      <c r="H31" s="11">
        <v>2.8571428571428574E-2</v>
      </c>
      <c r="I31" s="11">
        <v>3.333333333333334E-2</v>
      </c>
      <c r="J31" s="11">
        <v>3.8095238095238099E-2</v>
      </c>
      <c r="K31" s="11">
        <v>4.2857142857142858E-2</v>
      </c>
      <c r="L31" s="11">
        <v>4.7619047619047623E-2</v>
      </c>
      <c r="M31" s="11">
        <v>5.2380952380952389E-2</v>
      </c>
      <c r="N31" s="11">
        <v>5.7142857142857148E-2</v>
      </c>
      <c r="O31" s="11">
        <v>6.1904761904761907E-2</v>
      </c>
      <c r="P31" s="11">
        <v>6.666666666666668E-2</v>
      </c>
      <c r="Q31" s="11">
        <v>6.666666666666668E-2</v>
      </c>
      <c r="R31" s="11">
        <v>6.1904761904761907E-2</v>
      </c>
      <c r="S31" s="11">
        <v>5.7142857142857148E-2</v>
      </c>
      <c r="T31" s="11">
        <v>5.2380952380952389E-2</v>
      </c>
      <c r="U31" s="11">
        <v>4.7619047619047623E-2</v>
      </c>
      <c r="V31" s="11">
        <v>4.2857142857142858E-2</v>
      </c>
      <c r="W31" s="11">
        <v>3.8095238095238099E-2</v>
      </c>
      <c r="X31" s="11">
        <v>3.333333333333334E-2</v>
      </c>
      <c r="Y31" s="11">
        <v>2.8571428571428574E-2</v>
      </c>
      <c r="Z31" s="11">
        <v>2.3809523809523812E-2</v>
      </c>
      <c r="AA31" s="11">
        <v>1.9047619047619049E-2</v>
      </c>
      <c r="AB31" s="11">
        <v>1.4285714285714287E-2</v>
      </c>
      <c r="AC31" s="11">
        <v>9.5238095238095247E-3</v>
      </c>
      <c r="AD31" s="11">
        <v>4.7619047619047623E-3</v>
      </c>
      <c r="AE31" s="11"/>
      <c r="AF31" s="11"/>
      <c r="AG31" s="11"/>
      <c r="AH31" s="11"/>
      <c r="AI31" s="11"/>
      <c r="AJ31" s="11"/>
      <c r="AK31" s="11"/>
      <c r="AL31" s="28"/>
    </row>
    <row r="32" spans="2:38" x14ac:dyDescent="0.3">
      <c r="B32" s="10">
        <f t="shared" si="2"/>
        <v>29</v>
      </c>
      <c r="C32" s="11">
        <v>2.3809523809523812E-3</v>
      </c>
      <c r="D32" s="11">
        <v>7.1428571428571435E-3</v>
      </c>
      <c r="E32" s="11">
        <v>1.1904761904761906E-2</v>
      </c>
      <c r="F32" s="11">
        <v>1.666666666666667E-2</v>
      </c>
      <c r="G32" s="11">
        <v>2.1428571428571429E-2</v>
      </c>
      <c r="H32" s="11">
        <v>2.6190476190476195E-2</v>
      </c>
      <c r="I32" s="11">
        <v>3.0952380952380957E-2</v>
      </c>
      <c r="J32" s="11">
        <v>3.5714285714285719E-2</v>
      </c>
      <c r="K32" s="11">
        <v>4.0476190476190478E-2</v>
      </c>
      <c r="L32" s="11">
        <v>4.5238095238095244E-2</v>
      </c>
      <c r="M32" s="11">
        <v>0.05</v>
      </c>
      <c r="N32" s="11">
        <v>5.4761904761904769E-2</v>
      </c>
      <c r="O32" s="11">
        <v>5.9523809523809527E-2</v>
      </c>
      <c r="P32" s="11">
        <v>6.4285714285714293E-2</v>
      </c>
      <c r="Q32" s="11">
        <v>6.666666666666668E-2</v>
      </c>
      <c r="R32" s="11">
        <v>6.4285714285714293E-2</v>
      </c>
      <c r="S32" s="11">
        <v>5.9523809523809527E-2</v>
      </c>
      <c r="T32" s="11">
        <v>5.4761904761904769E-2</v>
      </c>
      <c r="U32" s="11">
        <v>0.05</v>
      </c>
      <c r="V32" s="11">
        <v>4.5238095238095244E-2</v>
      </c>
      <c r="W32" s="11">
        <v>4.0476190476190478E-2</v>
      </c>
      <c r="X32" s="11">
        <v>3.5714285714285719E-2</v>
      </c>
      <c r="Y32" s="11">
        <v>3.0952380952380957E-2</v>
      </c>
      <c r="Z32" s="11">
        <v>2.6190476190476195E-2</v>
      </c>
      <c r="AA32" s="11">
        <v>2.1428571428571429E-2</v>
      </c>
      <c r="AB32" s="11">
        <v>1.666666666666667E-2</v>
      </c>
      <c r="AC32" s="11">
        <v>1.1904761904761906E-2</v>
      </c>
      <c r="AD32" s="11">
        <v>7.1428571428571435E-3</v>
      </c>
      <c r="AE32" s="11">
        <v>2.3809523809523812E-3</v>
      </c>
      <c r="AF32" s="11"/>
      <c r="AG32" s="11"/>
      <c r="AH32" s="11"/>
      <c r="AI32" s="11"/>
      <c r="AJ32" s="11"/>
      <c r="AK32" s="11"/>
      <c r="AL32" s="28"/>
    </row>
    <row r="33" spans="2:195" x14ac:dyDescent="0.3">
      <c r="B33" s="10">
        <f t="shared" si="2"/>
        <v>30</v>
      </c>
      <c r="C33" s="11">
        <v>4.1666666666666666E-3</v>
      </c>
      <c r="D33" s="11">
        <v>8.3333333333333332E-3</v>
      </c>
      <c r="E33" s="11">
        <v>1.2500000000000001E-2</v>
      </c>
      <c r="F33" s="11">
        <v>1.6666666666666666E-2</v>
      </c>
      <c r="G33" s="11">
        <v>2.0833333333333332E-2</v>
      </c>
      <c r="H33" s="11">
        <v>2.5000000000000001E-2</v>
      </c>
      <c r="I33" s="11">
        <v>2.9166666666666667E-2</v>
      </c>
      <c r="J33" s="11">
        <v>3.3333333333333333E-2</v>
      </c>
      <c r="K33" s="11">
        <v>3.7499999999999999E-2</v>
      </c>
      <c r="L33" s="11">
        <v>4.1666666666666664E-2</v>
      </c>
      <c r="M33" s="11">
        <v>4.583333333333333E-2</v>
      </c>
      <c r="N33" s="11">
        <v>0.05</v>
      </c>
      <c r="O33" s="11">
        <v>5.4166666666666669E-2</v>
      </c>
      <c r="P33" s="11">
        <v>5.8333333333333334E-2</v>
      </c>
      <c r="Q33" s="11">
        <v>6.25E-2</v>
      </c>
      <c r="R33" s="11">
        <v>6.25E-2</v>
      </c>
      <c r="S33" s="11">
        <v>5.8333333333333334E-2</v>
      </c>
      <c r="T33" s="11">
        <v>5.4166666666666669E-2</v>
      </c>
      <c r="U33" s="11">
        <v>0.05</v>
      </c>
      <c r="V33" s="11">
        <v>4.583333333333333E-2</v>
      </c>
      <c r="W33" s="11">
        <v>4.1666666666666664E-2</v>
      </c>
      <c r="X33" s="11">
        <v>3.7499999999999999E-2</v>
      </c>
      <c r="Y33" s="11">
        <v>3.3333333333333333E-2</v>
      </c>
      <c r="Z33" s="11">
        <v>2.9166666666666667E-2</v>
      </c>
      <c r="AA33" s="11">
        <v>2.5000000000000001E-2</v>
      </c>
      <c r="AB33" s="11">
        <v>2.0833333333333332E-2</v>
      </c>
      <c r="AC33" s="11">
        <v>1.6666666666666666E-2</v>
      </c>
      <c r="AD33" s="11">
        <v>1.2500000000000001E-2</v>
      </c>
      <c r="AE33" s="11">
        <v>8.3333333333333332E-3</v>
      </c>
      <c r="AF33" s="11">
        <v>4.1666666666666666E-3</v>
      </c>
      <c r="AG33" s="11"/>
      <c r="AH33" s="11"/>
      <c r="AI33" s="11"/>
      <c r="AJ33" s="11"/>
      <c r="AK33" s="11"/>
      <c r="AL33" s="28"/>
    </row>
    <row r="34" spans="2:195" x14ac:dyDescent="0.3">
      <c r="B34" s="10">
        <f t="shared" si="2"/>
        <v>31</v>
      </c>
      <c r="C34" s="11">
        <v>2.0833333333333333E-3</v>
      </c>
      <c r="D34" s="11">
        <v>6.2500000000000003E-3</v>
      </c>
      <c r="E34" s="11">
        <v>1.0416666666666668E-2</v>
      </c>
      <c r="F34" s="11">
        <v>1.4583333333333334E-2</v>
      </c>
      <c r="G34" s="11">
        <v>1.8749999999999999E-2</v>
      </c>
      <c r="H34" s="11">
        <v>2.2916666666666669E-2</v>
      </c>
      <c r="I34" s="11">
        <v>2.7083333333333334E-2</v>
      </c>
      <c r="J34" s="11">
        <v>3.125E-2</v>
      </c>
      <c r="K34" s="11">
        <v>3.5416666666666666E-2</v>
      </c>
      <c r="L34" s="11">
        <v>3.9583333333333331E-2</v>
      </c>
      <c r="M34" s="11">
        <v>4.3749999999999997E-2</v>
      </c>
      <c r="N34" s="11">
        <v>4.7916666666666663E-2</v>
      </c>
      <c r="O34" s="11">
        <v>5.2083333333333336E-2</v>
      </c>
      <c r="P34" s="11">
        <v>5.6250000000000001E-2</v>
      </c>
      <c r="Q34" s="11">
        <v>6.0416666666666667E-2</v>
      </c>
      <c r="R34" s="11">
        <v>6.25E-2</v>
      </c>
      <c r="S34" s="11">
        <v>6.0416666666666667E-2</v>
      </c>
      <c r="T34" s="11">
        <v>5.6250000000000001E-2</v>
      </c>
      <c r="U34" s="11">
        <v>5.2083333333333336E-2</v>
      </c>
      <c r="V34" s="11">
        <v>4.7916666666666663E-2</v>
      </c>
      <c r="W34" s="11">
        <v>4.3749999999999997E-2</v>
      </c>
      <c r="X34" s="11">
        <v>3.9583333333333331E-2</v>
      </c>
      <c r="Y34" s="11">
        <v>3.5416666666666666E-2</v>
      </c>
      <c r="Z34" s="11">
        <v>3.125E-2</v>
      </c>
      <c r="AA34" s="11">
        <v>2.7083333333333334E-2</v>
      </c>
      <c r="AB34" s="11">
        <v>2.2916666666666669E-2</v>
      </c>
      <c r="AC34" s="11">
        <v>1.8749999999999999E-2</v>
      </c>
      <c r="AD34" s="11">
        <v>1.4583333333333334E-2</v>
      </c>
      <c r="AE34" s="11">
        <v>1.0416666666666668E-2</v>
      </c>
      <c r="AF34" s="11">
        <v>6.2500000000000003E-3</v>
      </c>
      <c r="AG34" s="11">
        <v>2.0833333333333333E-3</v>
      </c>
      <c r="AH34" s="11"/>
      <c r="AI34" s="11"/>
      <c r="AJ34" s="11"/>
      <c r="AK34" s="11"/>
      <c r="AL34" s="28"/>
    </row>
    <row r="35" spans="2:195" x14ac:dyDescent="0.3">
      <c r="B35" s="10">
        <f t="shared" si="2"/>
        <v>32</v>
      </c>
      <c r="C35" s="11">
        <v>3.6764705882352941E-3</v>
      </c>
      <c r="D35" s="11">
        <v>7.3529411764705881E-3</v>
      </c>
      <c r="E35" s="11">
        <v>1.1029411764705881E-2</v>
      </c>
      <c r="F35" s="11">
        <v>1.4705882352941176E-2</v>
      </c>
      <c r="G35" s="11">
        <v>1.8382352941176471E-2</v>
      </c>
      <c r="H35" s="11">
        <v>2.2058823529411763E-2</v>
      </c>
      <c r="I35" s="11">
        <v>2.5735294117647058E-2</v>
      </c>
      <c r="J35" s="11">
        <v>2.9411764705882353E-2</v>
      </c>
      <c r="K35" s="11">
        <v>3.3088235294117647E-2</v>
      </c>
      <c r="L35" s="11">
        <v>3.6764705882352942E-2</v>
      </c>
      <c r="M35" s="11">
        <v>4.0441176470588237E-2</v>
      </c>
      <c r="N35" s="11">
        <v>4.4117647058823525E-2</v>
      </c>
      <c r="O35" s="11">
        <v>4.779411764705882E-2</v>
      </c>
      <c r="P35" s="11">
        <v>5.1470588235294115E-2</v>
      </c>
      <c r="Q35" s="11">
        <v>5.514705882352941E-2</v>
      </c>
      <c r="R35" s="11">
        <v>5.8823529411764705E-2</v>
      </c>
      <c r="S35" s="11">
        <v>5.8823529411764705E-2</v>
      </c>
      <c r="T35" s="11">
        <v>5.514705882352941E-2</v>
      </c>
      <c r="U35" s="11">
        <v>5.1470588235294115E-2</v>
      </c>
      <c r="V35" s="11">
        <v>4.779411764705882E-2</v>
      </c>
      <c r="W35" s="11">
        <v>4.4117647058823525E-2</v>
      </c>
      <c r="X35" s="11">
        <v>4.0441176470588237E-2</v>
      </c>
      <c r="Y35" s="11">
        <v>3.6764705882352942E-2</v>
      </c>
      <c r="Z35" s="11">
        <v>3.3088235294117647E-2</v>
      </c>
      <c r="AA35" s="11">
        <v>2.9411764705882353E-2</v>
      </c>
      <c r="AB35" s="11">
        <v>2.5735294117647058E-2</v>
      </c>
      <c r="AC35" s="11">
        <v>2.2058823529411763E-2</v>
      </c>
      <c r="AD35" s="11">
        <v>1.8382352941176471E-2</v>
      </c>
      <c r="AE35" s="11">
        <v>1.4705882352941176E-2</v>
      </c>
      <c r="AF35" s="11">
        <v>1.1029411764705881E-2</v>
      </c>
      <c r="AG35" s="11">
        <v>7.3529411764705881E-3</v>
      </c>
      <c r="AH35" s="11">
        <v>3.6764705882352941E-3</v>
      </c>
      <c r="AI35" s="11"/>
      <c r="AJ35" s="11"/>
      <c r="AK35" s="11"/>
      <c r="AL35" s="28"/>
    </row>
    <row r="36" spans="2:195" x14ac:dyDescent="0.3">
      <c r="B36" s="10">
        <f t="shared" si="2"/>
        <v>33</v>
      </c>
      <c r="C36" s="11">
        <v>1.838235294117647E-3</v>
      </c>
      <c r="D36" s="11">
        <v>5.5147058823529407E-3</v>
      </c>
      <c r="E36" s="11">
        <v>9.1911764705882339E-3</v>
      </c>
      <c r="F36" s="11">
        <v>1.2867647058823529E-2</v>
      </c>
      <c r="G36" s="11">
        <v>1.6544117647058824E-2</v>
      </c>
      <c r="H36" s="11">
        <v>2.0220588235294115E-2</v>
      </c>
      <c r="I36" s="11">
        <v>2.389705882352941E-2</v>
      </c>
      <c r="J36" s="11">
        <v>2.7573529411764705E-2</v>
      </c>
      <c r="K36" s="11">
        <v>3.125E-2</v>
      </c>
      <c r="L36" s="11">
        <v>3.4926470588235295E-2</v>
      </c>
      <c r="M36" s="11">
        <v>3.860294117647059E-2</v>
      </c>
      <c r="N36" s="11">
        <v>4.2279411764705885E-2</v>
      </c>
      <c r="O36" s="11">
        <v>4.5955882352941173E-2</v>
      </c>
      <c r="P36" s="11">
        <v>4.9632352941176468E-2</v>
      </c>
      <c r="Q36" s="11">
        <v>5.3308823529411763E-2</v>
      </c>
      <c r="R36" s="11">
        <v>5.6985294117647058E-2</v>
      </c>
      <c r="S36" s="11">
        <v>5.8823529411764705E-2</v>
      </c>
      <c r="T36" s="11">
        <v>5.6985294117647058E-2</v>
      </c>
      <c r="U36" s="11">
        <v>5.3308823529411763E-2</v>
      </c>
      <c r="V36" s="11">
        <v>4.9632352941176468E-2</v>
      </c>
      <c r="W36" s="11">
        <v>4.5955882352941173E-2</v>
      </c>
      <c r="X36" s="11">
        <v>4.2279411764705885E-2</v>
      </c>
      <c r="Y36" s="11">
        <v>3.860294117647059E-2</v>
      </c>
      <c r="Z36" s="11">
        <v>3.4926470588235295E-2</v>
      </c>
      <c r="AA36" s="11">
        <v>3.125E-2</v>
      </c>
      <c r="AB36" s="11">
        <v>2.7573529411764705E-2</v>
      </c>
      <c r="AC36" s="11">
        <v>2.389705882352941E-2</v>
      </c>
      <c r="AD36" s="11">
        <v>2.0220588235294115E-2</v>
      </c>
      <c r="AE36" s="11">
        <v>1.6544117647058824E-2</v>
      </c>
      <c r="AF36" s="11">
        <v>1.2867647058823529E-2</v>
      </c>
      <c r="AG36" s="11">
        <v>9.1911764705882339E-3</v>
      </c>
      <c r="AH36" s="11">
        <v>5.5147058823529407E-3</v>
      </c>
      <c r="AI36" s="11">
        <v>1.838235294117647E-3</v>
      </c>
      <c r="AJ36" s="11"/>
      <c r="AK36" s="11"/>
      <c r="AL36" s="28"/>
    </row>
    <row r="37" spans="2:195" x14ac:dyDescent="0.3">
      <c r="B37" s="10">
        <f t="shared" si="2"/>
        <v>34</v>
      </c>
      <c r="C37" s="11">
        <v>3.2679738562091504E-3</v>
      </c>
      <c r="D37" s="11">
        <v>6.5359477124183009E-3</v>
      </c>
      <c r="E37" s="11">
        <v>9.8039215686274508E-3</v>
      </c>
      <c r="F37" s="11">
        <v>1.3071895424836602E-2</v>
      </c>
      <c r="G37" s="11">
        <v>1.6339869281045753E-2</v>
      </c>
      <c r="H37" s="11">
        <v>1.9607843137254902E-2</v>
      </c>
      <c r="I37" s="11">
        <v>2.2875816993464054E-2</v>
      </c>
      <c r="J37" s="11">
        <v>2.6143790849673203E-2</v>
      </c>
      <c r="K37" s="11">
        <v>2.9411764705882353E-2</v>
      </c>
      <c r="L37" s="11">
        <v>3.2679738562091505E-2</v>
      </c>
      <c r="M37" s="11">
        <v>3.5947712418300658E-2</v>
      </c>
      <c r="N37" s="11">
        <v>3.9215686274509803E-2</v>
      </c>
      <c r="O37" s="11">
        <v>4.2483660130718956E-2</v>
      </c>
      <c r="P37" s="11">
        <v>4.5751633986928109E-2</v>
      </c>
      <c r="Q37" s="11">
        <v>4.9019607843137254E-2</v>
      </c>
      <c r="R37" s="11">
        <v>5.2287581699346407E-2</v>
      </c>
      <c r="S37" s="11">
        <v>5.5555555555555559E-2</v>
      </c>
      <c r="T37" s="11">
        <v>5.5555555555555559E-2</v>
      </c>
      <c r="U37" s="11">
        <v>5.2287581699346407E-2</v>
      </c>
      <c r="V37" s="11">
        <v>4.9019607843137254E-2</v>
      </c>
      <c r="W37" s="11">
        <v>4.5751633986928109E-2</v>
      </c>
      <c r="X37" s="11">
        <v>4.2483660130718956E-2</v>
      </c>
      <c r="Y37" s="11">
        <v>3.9215686274509803E-2</v>
      </c>
      <c r="Z37" s="11">
        <v>3.5947712418300658E-2</v>
      </c>
      <c r="AA37" s="11">
        <v>3.2679738562091505E-2</v>
      </c>
      <c r="AB37" s="11">
        <v>2.9411764705882353E-2</v>
      </c>
      <c r="AC37" s="11">
        <v>2.6143790849673203E-2</v>
      </c>
      <c r="AD37" s="11">
        <v>2.2875816993464054E-2</v>
      </c>
      <c r="AE37" s="11">
        <v>1.9607843137254902E-2</v>
      </c>
      <c r="AF37" s="11">
        <v>1.6339869281045753E-2</v>
      </c>
      <c r="AG37" s="11">
        <v>1.3071895424836602E-2</v>
      </c>
      <c r="AH37" s="11">
        <v>9.8039215686274508E-3</v>
      </c>
      <c r="AI37" s="11">
        <v>6.5359477124183009E-3</v>
      </c>
      <c r="AJ37" s="11">
        <v>3.2679738562091504E-3</v>
      </c>
      <c r="AK37" s="11"/>
      <c r="AL37" s="28"/>
    </row>
    <row r="38" spans="2:195" x14ac:dyDescent="0.3">
      <c r="B38" s="10">
        <f t="shared" si="2"/>
        <v>35</v>
      </c>
      <c r="C38" s="11">
        <v>1.6339869281045752E-3</v>
      </c>
      <c r="D38" s="11">
        <v>4.9019607843137254E-3</v>
      </c>
      <c r="E38" s="11">
        <v>8.1699346405228763E-3</v>
      </c>
      <c r="F38" s="11">
        <v>1.1437908496732027E-2</v>
      </c>
      <c r="G38" s="11">
        <v>1.4705882352941176E-2</v>
      </c>
      <c r="H38" s="11">
        <v>1.7973856209150325E-2</v>
      </c>
      <c r="I38" s="11">
        <v>2.1241830065359478E-2</v>
      </c>
      <c r="J38" s="11">
        <v>2.4509803921568631E-2</v>
      </c>
      <c r="K38" s="11">
        <v>2.7777777777777776E-2</v>
      </c>
      <c r="L38" s="11">
        <v>3.1045751633986929E-2</v>
      </c>
      <c r="M38" s="11">
        <v>3.4313725490196081E-2</v>
      </c>
      <c r="N38" s="11">
        <v>3.7581699346405234E-2</v>
      </c>
      <c r="O38" s="11">
        <v>4.084967320261438E-2</v>
      </c>
      <c r="P38" s="11">
        <v>4.4117647058823532E-2</v>
      </c>
      <c r="Q38" s="11">
        <v>4.7385620915032678E-2</v>
      </c>
      <c r="R38" s="11">
        <v>5.0653594771241831E-2</v>
      </c>
      <c r="S38" s="11">
        <v>5.3921568627450983E-2</v>
      </c>
      <c r="T38" s="11">
        <v>5.5555555555555559E-2</v>
      </c>
      <c r="U38" s="11">
        <v>5.3921568627450983E-2</v>
      </c>
      <c r="V38" s="11">
        <v>5.0653594771241831E-2</v>
      </c>
      <c r="W38" s="11">
        <v>4.7385620915032678E-2</v>
      </c>
      <c r="X38" s="11">
        <v>4.4117647058823532E-2</v>
      </c>
      <c r="Y38" s="11">
        <v>4.084967320261438E-2</v>
      </c>
      <c r="Z38" s="11">
        <v>3.7581699346405234E-2</v>
      </c>
      <c r="AA38" s="11">
        <v>3.4313725490196081E-2</v>
      </c>
      <c r="AB38" s="11">
        <v>3.1045751633986929E-2</v>
      </c>
      <c r="AC38" s="11">
        <v>2.7777777777777776E-2</v>
      </c>
      <c r="AD38" s="11">
        <v>2.4509803921568631E-2</v>
      </c>
      <c r="AE38" s="11">
        <v>2.1241830065359478E-2</v>
      </c>
      <c r="AF38" s="11">
        <v>1.7973856209150325E-2</v>
      </c>
      <c r="AG38" s="11">
        <v>1.4705882352941176E-2</v>
      </c>
      <c r="AH38" s="11">
        <v>1.1437908496732027E-2</v>
      </c>
      <c r="AI38" s="11">
        <v>8.1699346405228763E-3</v>
      </c>
      <c r="AJ38" s="11">
        <v>4.9019607843137254E-3</v>
      </c>
      <c r="AK38" s="11">
        <v>1.6339869281045752E-3</v>
      </c>
      <c r="AL38" s="28"/>
    </row>
    <row r="39" spans="2:195" x14ac:dyDescent="0.3">
      <c r="B39" s="13">
        <f t="shared" si="2"/>
        <v>36</v>
      </c>
      <c r="C39" s="14">
        <v>2.9239766081871343E-3</v>
      </c>
      <c r="D39" s="14">
        <v>5.8479532163742687E-3</v>
      </c>
      <c r="E39" s="14">
        <v>8.771929824561403E-3</v>
      </c>
      <c r="F39" s="14">
        <v>1.1695906432748537E-2</v>
      </c>
      <c r="G39" s="14">
        <v>1.4619883040935672E-2</v>
      </c>
      <c r="H39" s="14">
        <v>1.7543859649122806E-2</v>
      </c>
      <c r="I39" s="14">
        <v>2.046783625730994E-2</v>
      </c>
      <c r="J39" s="14">
        <v>2.3391812865497075E-2</v>
      </c>
      <c r="K39" s="14">
        <v>2.6315789473684209E-2</v>
      </c>
      <c r="L39" s="14">
        <v>2.9239766081871343E-2</v>
      </c>
      <c r="M39" s="14">
        <v>3.2163742690058478E-2</v>
      </c>
      <c r="N39" s="14">
        <v>3.5087719298245612E-2</v>
      </c>
      <c r="O39" s="14">
        <v>3.8011695906432746E-2</v>
      </c>
      <c r="P39" s="14">
        <v>4.0935672514619881E-2</v>
      </c>
      <c r="Q39" s="14">
        <v>4.3859649122807015E-2</v>
      </c>
      <c r="R39" s="14">
        <v>4.6783625730994149E-2</v>
      </c>
      <c r="S39" s="14">
        <v>4.9707602339181284E-2</v>
      </c>
      <c r="T39" s="14">
        <v>5.2631578947368418E-2</v>
      </c>
      <c r="U39" s="14">
        <v>5.2631578947368418E-2</v>
      </c>
      <c r="V39" s="14">
        <v>4.9707602339181284E-2</v>
      </c>
      <c r="W39" s="14">
        <v>4.6783625730994149E-2</v>
      </c>
      <c r="X39" s="14">
        <v>4.3859649122807015E-2</v>
      </c>
      <c r="Y39" s="14">
        <v>4.0935672514619881E-2</v>
      </c>
      <c r="Z39" s="14">
        <v>3.8011695906432746E-2</v>
      </c>
      <c r="AA39" s="14">
        <v>3.5087719298245612E-2</v>
      </c>
      <c r="AB39" s="14">
        <v>3.2163742690058478E-2</v>
      </c>
      <c r="AC39" s="14">
        <v>2.9239766081871343E-2</v>
      </c>
      <c r="AD39" s="14">
        <v>2.6315789473684209E-2</v>
      </c>
      <c r="AE39" s="14">
        <v>2.3391812865497075E-2</v>
      </c>
      <c r="AF39" s="14">
        <v>2.046783625730994E-2</v>
      </c>
      <c r="AG39" s="14">
        <v>1.7543859649122806E-2</v>
      </c>
      <c r="AH39" s="14">
        <v>1.4619883040935672E-2</v>
      </c>
      <c r="AI39" s="14">
        <v>1.1695906432748537E-2</v>
      </c>
      <c r="AJ39" s="14">
        <v>8.771929824561403E-3</v>
      </c>
      <c r="AK39" s="14">
        <v>5.8479532163742687E-3</v>
      </c>
      <c r="AL39" s="29">
        <v>2.9239766081871343E-3</v>
      </c>
    </row>
    <row r="41" spans="2:195" x14ac:dyDescent="0.3">
      <c r="B41" s="16"/>
      <c r="C41" s="17">
        <v>43281</v>
      </c>
      <c r="D41" s="17">
        <v>43312</v>
      </c>
      <c r="E41" s="17">
        <v>43343</v>
      </c>
      <c r="F41" s="17">
        <v>43373</v>
      </c>
      <c r="G41" s="17">
        <v>43404</v>
      </c>
      <c r="H41" s="17">
        <v>43434</v>
      </c>
      <c r="I41" s="17">
        <v>43465</v>
      </c>
      <c r="J41" s="17">
        <v>43496</v>
      </c>
      <c r="K41" s="17">
        <v>43524</v>
      </c>
      <c r="L41" s="17">
        <v>43555</v>
      </c>
      <c r="M41" s="17">
        <v>43585</v>
      </c>
      <c r="N41" s="17">
        <v>43616</v>
      </c>
      <c r="O41" s="17">
        <v>43646</v>
      </c>
      <c r="P41" s="17">
        <v>43677</v>
      </c>
      <c r="Q41" s="17">
        <v>43708</v>
      </c>
      <c r="R41" s="17">
        <v>43738</v>
      </c>
      <c r="S41" s="17">
        <v>43769</v>
      </c>
      <c r="T41" s="17">
        <v>43799</v>
      </c>
      <c r="U41" s="17">
        <v>43830</v>
      </c>
      <c r="V41" s="17">
        <v>43861</v>
      </c>
      <c r="W41" s="17">
        <v>43890</v>
      </c>
      <c r="X41" s="17">
        <v>43921</v>
      </c>
      <c r="Y41" s="17">
        <v>43951</v>
      </c>
      <c r="Z41" s="17">
        <v>43982</v>
      </c>
      <c r="AA41" s="17">
        <v>44012</v>
      </c>
      <c r="AB41" s="17">
        <v>44043</v>
      </c>
      <c r="AC41" s="17">
        <v>44074</v>
      </c>
      <c r="AD41" s="17">
        <v>44104</v>
      </c>
      <c r="AE41" s="17">
        <v>44135</v>
      </c>
      <c r="AF41" s="17">
        <v>44165</v>
      </c>
      <c r="AG41" s="17">
        <v>44196</v>
      </c>
      <c r="AH41" s="17">
        <v>44227</v>
      </c>
      <c r="AI41" s="17">
        <v>44255</v>
      </c>
      <c r="AJ41" s="17">
        <v>44286</v>
      </c>
      <c r="AK41" s="17">
        <v>44316</v>
      </c>
      <c r="AL41" s="17">
        <v>44347</v>
      </c>
      <c r="AM41" s="17">
        <v>44377</v>
      </c>
      <c r="AN41" s="17">
        <v>44408</v>
      </c>
      <c r="AO41" s="17">
        <v>44439</v>
      </c>
      <c r="AP41" s="17">
        <v>44469</v>
      </c>
      <c r="AQ41" s="17">
        <v>44500</v>
      </c>
      <c r="AR41" s="17">
        <v>44530</v>
      </c>
      <c r="AS41" s="17">
        <v>44561</v>
      </c>
      <c r="AT41" s="17">
        <v>44592</v>
      </c>
      <c r="AU41" s="17">
        <v>44620</v>
      </c>
      <c r="AV41" s="17">
        <v>44651</v>
      </c>
      <c r="AW41" s="17">
        <v>44681</v>
      </c>
      <c r="AX41" s="17">
        <v>44712</v>
      </c>
      <c r="AY41" s="17">
        <v>44742</v>
      </c>
      <c r="AZ41" s="17">
        <v>44773</v>
      </c>
      <c r="BA41" s="17">
        <v>44804</v>
      </c>
      <c r="BB41" s="17">
        <v>44834</v>
      </c>
      <c r="BC41" s="17">
        <v>44865</v>
      </c>
      <c r="BD41" s="17">
        <v>44895</v>
      </c>
      <c r="BE41" s="17">
        <v>44926</v>
      </c>
      <c r="BF41" s="17">
        <v>44957</v>
      </c>
      <c r="BG41" s="17">
        <v>44985</v>
      </c>
      <c r="BH41" s="17">
        <v>45016</v>
      </c>
      <c r="BI41" s="17">
        <v>45046</v>
      </c>
      <c r="BJ41" s="17">
        <v>45077</v>
      </c>
      <c r="BK41" s="17">
        <v>45107</v>
      </c>
      <c r="BL41" s="17">
        <v>45138</v>
      </c>
      <c r="BM41" s="17">
        <v>45169</v>
      </c>
      <c r="BN41" s="17">
        <v>45199</v>
      </c>
      <c r="BO41" s="17">
        <v>45230</v>
      </c>
      <c r="BP41" s="17">
        <v>45260</v>
      </c>
      <c r="BQ41" s="17">
        <v>45291</v>
      </c>
      <c r="BR41" s="17">
        <v>45322</v>
      </c>
      <c r="BS41" s="17">
        <v>45351</v>
      </c>
      <c r="BT41" s="17">
        <v>45382</v>
      </c>
      <c r="BU41" s="17">
        <v>45412</v>
      </c>
      <c r="BV41" s="17">
        <v>45443</v>
      </c>
      <c r="BW41" s="17">
        <v>45473</v>
      </c>
      <c r="BX41" s="17">
        <v>45504</v>
      </c>
      <c r="BY41" s="17">
        <v>45535</v>
      </c>
      <c r="BZ41" s="17">
        <v>45565</v>
      </c>
      <c r="CA41" s="17">
        <v>45596</v>
      </c>
      <c r="CB41" s="17">
        <v>45626</v>
      </c>
      <c r="CC41" s="17">
        <v>45657</v>
      </c>
      <c r="CD41" s="17">
        <v>45688</v>
      </c>
      <c r="CE41" s="17">
        <v>45716</v>
      </c>
      <c r="CF41" s="17">
        <v>45747</v>
      </c>
      <c r="CG41" s="17">
        <v>45777</v>
      </c>
      <c r="CH41" s="17">
        <v>45808</v>
      </c>
      <c r="CI41" s="17">
        <v>45838</v>
      </c>
      <c r="CJ41" s="17">
        <v>45869</v>
      </c>
      <c r="CK41" s="17">
        <v>45900</v>
      </c>
      <c r="CL41" s="17">
        <v>45930</v>
      </c>
      <c r="CM41" s="17">
        <v>45961</v>
      </c>
      <c r="CN41" s="17">
        <v>45991</v>
      </c>
      <c r="CO41" s="17">
        <v>46022</v>
      </c>
      <c r="CP41" s="17">
        <v>46053</v>
      </c>
      <c r="CQ41" s="17">
        <v>46081</v>
      </c>
      <c r="CR41" s="17">
        <v>46112</v>
      </c>
      <c r="CS41" s="17">
        <v>46142</v>
      </c>
      <c r="CT41" s="17">
        <v>46173</v>
      </c>
      <c r="CU41" s="17">
        <v>46203</v>
      </c>
      <c r="CV41" s="17">
        <v>46234</v>
      </c>
      <c r="CW41" s="17">
        <v>46265</v>
      </c>
      <c r="CX41" s="17">
        <v>46295</v>
      </c>
      <c r="CY41" s="17">
        <v>46326</v>
      </c>
      <c r="CZ41" s="17">
        <v>46356</v>
      </c>
      <c r="DA41" s="17">
        <v>46387</v>
      </c>
      <c r="DB41" s="17">
        <v>46418</v>
      </c>
      <c r="DC41" s="17">
        <v>46446</v>
      </c>
      <c r="DD41" s="17">
        <v>46477</v>
      </c>
      <c r="DE41" s="17">
        <v>46507</v>
      </c>
      <c r="DF41" s="17">
        <v>46538</v>
      </c>
      <c r="DG41" s="17">
        <v>46568</v>
      </c>
      <c r="DH41" s="17">
        <v>46599</v>
      </c>
      <c r="DI41" s="17">
        <v>46630</v>
      </c>
      <c r="DJ41" s="17">
        <v>46660</v>
      </c>
      <c r="DK41" s="17">
        <v>46691</v>
      </c>
      <c r="DL41" s="17">
        <v>46721</v>
      </c>
      <c r="DM41" s="17">
        <v>46752</v>
      </c>
      <c r="DN41" s="17">
        <v>46783</v>
      </c>
      <c r="DO41" s="17">
        <v>46812</v>
      </c>
      <c r="DP41" s="17">
        <v>46843</v>
      </c>
      <c r="DQ41" s="17">
        <v>46873</v>
      </c>
      <c r="DR41" s="17">
        <v>46904</v>
      </c>
      <c r="DS41" s="17">
        <v>46934</v>
      </c>
      <c r="DT41" s="17">
        <v>46965</v>
      </c>
      <c r="DU41" s="17">
        <v>46996</v>
      </c>
      <c r="DV41" s="17">
        <v>47026</v>
      </c>
      <c r="DW41" s="17">
        <v>47057</v>
      </c>
      <c r="DX41" s="17">
        <v>47087</v>
      </c>
      <c r="DY41" s="17">
        <v>47118</v>
      </c>
      <c r="DZ41" s="17">
        <v>47149</v>
      </c>
      <c r="EA41" s="17">
        <v>47177</v>
      </c>
      <c r="EB41" s="17">
        <v>47208</v>
      </c>
      <c r="EC41" s="17">
        <v>47238</v>
      </c>
      <c r="ED41" s="17">
        <v>47269</v>
      </c>
      <c r="EE41" s="17">
        <v>47299</v>
      </c>
      <c r="EF41" s="17">
        <v>47330</v>
      </c>
      <c r="EG41" s="17">
        <v>47361</v>
      </c>
      <c r="EH41" s="17">
        <v>47391</v>
      </c>
      <c r="EI41" s="17">
        <v>47422</v>
      </c>
      <c r="EJ41" s="17">
        <v>47452</v>
      </c>
      <c r="EK41" s="17">
        <v>47483</v>
      </c>
      <c r="EL41" s="17">
        <v>47514</v>
      </c>
      <c r="EM41" s="17">
        <v>47542</v>
      </c>
      <c r="EN41" s="17">
        <v>47573</v>
      </c>
      <c r="EO41" s="17">
        <v>47603</v>
      </c>
      <c r="EP41" s="17">
        <v>47634</v>
      </c>
      <c r="EQ41" s="17">
        <v>47664</v>
      </c>
      <c r="ER41" s="17">
        <v>47695</v>
      </c>
      <c r="ES41" s="17">
        <v>47726</v>
      </c>
      <c r="ET41" s="17">
        <v>47756</v>
      </c>
      <c r="EU41" s="17">
        <v>47787</v>
      </c>
      <c r="EV41" s="17">
        <v>47817</v>
      </c>
      <c r="EW41" s="17">
        <v>47848</v>
      </c>
      <c r="EX41" s="17">
        <v>47879</v>
      </c>
      <c r="EY41" s="17">
        <v>47907</v>
      </c>
      <c r="EZ41" s="17">
        <v>47938</v>
      </c>
      <c r="FA41" s="17">
        <v>47968</v>
      </c>
      <c r="FB41" s="17">
        <v>47999</v>
      </c>
      <c r="FC41" s="17">
        <v>48029</v>
      </c>
      <c r="FD41" s="17">
        <v>48060</v>
      </c>
      <c r="FE41" s="17">
        <v>48091</v>
      </c>
      <c r="FF41" s="17">
        <v>48121</v>
      </c>
      <c r="FG41" s="17">
        <v>48152</v>
      </c>
      <c r="FH41" s="17">
        <v>48182</v>
      </c>
      <c r="FI41" s="17">
        <v>48213</v>
      </c>
      <c r="FJ41" s="17">
        <v>48244</v>
      </c>
      <c r="FK41" s="17">
        <v>48273</v>
      </c>
      <c r="FL41" s="17">
        <v>48304</v>
      </c>
      <c r="FM41" s="17">
        <v>48334</v>
      </c>
      <c r="FN41" s="17">
        <v>48365</v>
      </c>
      <c r="FO41" s="17">
        <v>48395</v>
      </c>
      <c r="FP41" s="17">
        <v>48426</v>
      </c>
      <c r="FQ41" s="17">
        <v>48457</v>
      </c>
      <c r="FR41" s="17">
        <v>48487</v>
      </c>
      <c r="FS41" s="17">
        <v>48518</v>
      </c>
      <c r="FT41" s="17">
        <v>48548</v>
      </c>
      <c r="FU41" s="17">
        <v>48579</v>
      </c>
      <c r="FV41" s="17">
        <v>48610</v>
      </c>
      <c r="FW41" s="17">
        <v>48638</v>
      </c>
      <c r="FX41" s="17">
        <v>48669</v>
      </c>
      <c r="FY41" s="17">
        <v>48699</v>
      </c>
      <c r="FZ41" s="17">
        <v>48730</v>
      </c>
      <c r="GA41" s="17">
        <v>48760</v>
      </c>
      <c r="GB41" s="17">
        <v>48791</v>
      </c>
      <c r="GC41" s="17">
        <v>48822</v>
      </c>
      <c r="GD41" s="17">
        <v>48852</v>
      </c>
      <c r="GE41" s="17">
        <v>48883</v>
      </c>
      <c r="GF41" s="17">
        <v>48913</v>
      </c>
      <c r="GG41" s="17">
        <v>48944</v>
      </c>
      <c r="GH41" s="17">
        <v>48975</v>
      </c>
      <c r="GI41" s="17">
        <v>49003</v>
      </c>
      <c r="GJ41" s="17">
        <v>49034</v>
      </c>
      <c r="GK41" s="17">
        <v>49064</v>
      </c>
      <c r="GL41" s="17">
        <v>49095</v>
      </c>
      <c r="GM41" s="18">
        <v>49125</v>
      </c>
    </row>
    <row r="42" spans="2:195" x14ac:dyDescent="0.3">
      <c r="B42" s="19" t="s">
        <v>40</v>
      </c>
      <c r="C42" s="20">
        <v>2.0902500000000001E-2</v>
      </c>
      <c r="D42" s="20">
        <v>2.0813799999999997E-2</v>
      </c>
      <c r="E42" s="20">
        <v>2.11375E-2</v>
      </c>
      <c r="F42" s="20">
        <v>2.26056E-2</v>
      </c>
      <c r="G42" s="20">
        <v>2.30688E-2</v>
      </c>
      <c r="H42" s="20">
        <v>2.3469400000000001E-2</v>
      </c>
      <c r="I42" s="20">
        <v>2.5026899999999998E-2</v>
      </c>
      <c r="J42" s="20">
        <v>2.51375E-2</v>
      </c>
      <c r="K42" s="20">
        <v>2.49038E-2</v>
      </c>
      <c r="L42" s="20">
        <v>2.4944999999999998E-2</v>
      </c>
      <c r="M42" s="20">
        <v>2.4805000000000001E-2</v>
      </c>
      <c r="N42" s="20">
        <v>2.4305E-2</v>
      </c>
      <c r="O42" s="20">
        <v>2.3980000000000001E-2</v>
      </c>
      <c r="P42" s="20">
        <v>2.2242500000000002E-2</v>
      </c>
      <c r="Q42" s="20">
        <v>2.0889999999999999E-2</v>
      </c>
      <c r="R42" s="20">
        <v>2.0156299999999999E-2</v>
      </c>
      <c r="S42" s="20">
        <v>1.7848800000000001E-2</v>
      </c>
      <c r="T42" s="20">
        <v>1.6971300000000002E-2</v>
      </c>
      <c r="U42" s="20">
        <v>1.7624999999999998E-2</v>
      </c>
      <c r="V42" s="20">
        <v>1.66188E-2</v>
      </c>
      <c r="W42" s="20">
        <v>1.5152499999999999E-2</v>
      </c>
      <c r="X42" s="20">
        <v>1.1362500000000001E-2</v>
      </c>
      <c r="Y42" s="20">
        <v>1.0124500000000002E-2</v>
      </c>
      <c r="Z42" s="20">
        <v>9.134200000000002E-3</v>
      </c>
      <c r="AA42" s="20">
        <v>8.4721999999999992E-3</v>
      </c>
      <c r="AB42" s="20">
        <v>7.9368000000000008E-3</v>
      </c>
      <c r="AC42" s="20">
        <v>7.4056999999999994E-3</v>
      </c>
      <c r="AD42" s="20">
        <v>6.9191999999999995E-3</v>
      </c>
      <c r="AE42" s="20">
        <v>6.6086000000000001E-3</v>
      </c>
      <c r="AF42" s="20">
        <v>6.4932999999999996E-3</v>
      </c>
      <c r="AG42" s="20">
        <v>6.5613999999999994E-3</v>
      </c>
      <c r="AH42" s="20">
        <v>6.6812E-3</v>
      </c>
      <c r="AI42" s="20">
        <v>6.7386E-3</v>
      </c>
      <c r="AJ42" s="20">
        <v>6.7481999999999993E-3</v>
      </c>
      <c r="AK42" s="20">
        <v>6.7405999999999994E-3</v>
      </c>
      <c r="AL42" s="20">
        <v>6.7174000000000001E-3</v>
      </c>
      <c r="AM42" s="20">
        <v>6.7186999999999993E-3</v>
      </c>
      <c r="AN42" s="20">
        <v>6.7520999999999996E-3</v>
      </c>
      <c r="AO42" s="20">
        <v>6.7960999999999994E-3</v>
      </c>
      <c r="AP42" s="20">
        <v>6.8750999999999994E-3</v>
      </c>
      <c r="AQ42" s="20">
        <v>6.9825E-3</v>
      </c>
      <c r="AR42" s="20">
        <v>7.0908999999999998E-3</v>
      </c>
      <c r="AS42" s="20">
        <v>7.2185999999999995E-3</v>
      </c>
      <c r="AT42" s="20">
        <v>7.3641999999999996E-3</v>
      </c>
      <c r="AU42" s="20">
        <v>7.5058E-3</v>
      </c>
      <c r="AV42" s="20">
        <v>7.6562999999999996E-3</v>
      </c>
      <c r="AW42" s="20">
        <v>7.8097999999999996E-3</v>
      </c>
      <c r="AX42" s="20">
        <v>7.944699999999999E-3</v>
      </c>
      <c r="AY42" s="20">
        <v>8.0764000000000009E-3</v>
      </c>
      <c r="AZ42" s="20">
        <v>8.2044000000000006E-3</v>
      </c>
      <c r="BA42" s="20">
        <v>8.3123999999999993E-3</v>
      </c>
      <c r="BB42" s="20">
        <v>8.4157999999999993E-3</v>
      </c>
      <c r="BC42" s="20">
        <v>8.5147E-3</v>
      </c>
      <c r="BD42" s="20">
        <v>8.5940000000000009E-3</v>
      </c>
      <c r="BE42" s="20">
        <v>8.6695999999999995E-3</v>
      </c>
      <c r="BF42" s="20">
        <v>8.7424000000000009E-3</v>
      </c>
      <c r="BG42" s="20">
        <v>8.7974000000000004E-3</v>
      </c>
      <c r="BH42" s="20">
        <v>8.8535000000000003E-3</v>
      </c>
      <c r="BI42" s="20">
        <v>8.9152000000000016E-3</v>
      </c>
      <c r="BJ42" s="20">
        <v>8.9676999999999986E-3</v>
      </c>
      <c r="BK42" s="20">
        <v>9.0293000000000005E-3</v>
      </c>
      <c r="BL42" s="20">
        <v>9.1003000000000021E-3</v>
      </c>
      <c r="BM42" s="20">
        <v>9.1623000000000017E-3</v>
      </c>
      <c r="BN42" s="20">
        <v>9.233100000000001E-3</v>
      </c>
      <c r="BO42" s="20">
        <v>9.3116999999999991E-3</v>
      </c>
      <c r="BP42" s="20">
        <v>9.3786000000000008E-3</v>
      </c>
      <c r="BQ42" s="20">
        <v>9.4523999999999997E-3</v>
      </c>
      <c r="BR42" s="20">
        <v>9.5329000000000004E-3</v>
      </c>
      <c r="BS42" s="20">
        <v>9.5998000000000021E-3</v>
      </c>
      <c r="BT42" s="20">
        <v>9.6734000000000021E-3</v>
      </c>
      <c r="BU42" s="20">
        <v>9.755800000000002E-3</v>
      </c>
      <c r="BV42" s="20">
        <v>9.8247000000000022E-3</v>
      </c>
      <c r="BW42" s="20">
        <v>9.9084000000000012E-3</v>
      </c>
      <c r="BX42" s="20">
        <v>1.0000100000000001E-2</v>
      </c>
      <c r="BY42" s="20">
        <v>1.0081300000000001E-2</v>
      </c>
      <c r="BZ42" s="20">
        <v>1.0173100000000001E-2</v>
      </c>
      <c r="CA42" s="20">
        <v>1.0275599999999999E-2</v>
      </c>
      <c r="CB42" s="20">
        <v>1.0368100000000002E-2</v>
      </c>
      <c r="CC42" s="20">
        <v>1.04706E-2</v>
      </c>
      <c r="CD42" s="20">
        <v>1.05828E-2</v>
      </c>
      <c r="CE42" s="20">
        <v>1.06838E-2</v>
      </c>
      <c r="CF42" s="20">
        <v>1.07901E-2</v>
      </c>
      <c r="CG42" s="20">
        <v>1.0899800000000001E-2</v>
      </c>
      <c r="CH42" s="20">
        <v>1.09917E-2</v>
      </c>
      <c r="CI42" s="20">
        <v>1.1084199999999999E-2</v>
      </c>
      <c r="CJ42" s="20">
        <v>1.1177400000000001E-2</v>
      </c>
      <c r="CK42" s="20">
        <v>1.1253200000000001E-2</v>
      </c>
      <c r="CL42" s="20">
        <v>1.1330400000000001E-2</v>
      </c>
      <c r="CM42" s="20">
        <v>1.1408399999999999E-2</v>
      </c>
      <c r="CN42" s="20">
        <v>1.1470299999999999E-2</v>
      </c>
      <c r="CO42" s="20">
        <v>1.1534700000000002E-2</v>
      </c>
      <c r="CP42" s="20">
        <v>1.1601400000000001E-2</v>
      </c>
      <c r="CQ42" s="20">
        <v>1.1653400000000001E-2</v>
      </c>
      <c r="CR42" s="20">
        <v>1.1708800000000002E-2</v>
      </c>
      <c r="CS42" s="20">
        <v>1.1767300000000001E-2</v>
      </c>
      <c r="CT42" s="20">
        <v>1.18178E-2</v>
      </c>
      <c r="CU42" s="20">
        <v>1.18732E-2</v>
      </c>
      <c r="CV42" s="20">
        <v>1.1934500000000001E-2</v>
      </c>
      <c r="CW42" s="20">
        <v>1.1984700000000001E-2</v>
      </c>
      <c r="CX42" s="20">
        <v>1.2041400000000001E-2</v>
      </c>
      <c r="CY42" s="20">
        <v>1.21034E-2</v>
      </c>
      <c r="CZ42" s="20">
        <v>1.2152699999999999E-2</v>
      </c>
      <c r="DA42" s="20">
        <v>1.2206700000000001E-2</v>
      </c>
      <c r="DB42" s="20">
        <v>1.22647E-2</v>
      </c>
      <c r="DC42" s="20">
        <v>1.2308700000000002E-2</v>
      </c>
      <c r="DD42" s="20">
        <v>1.2357300000000002E-2</v>
      </c>
      <c r="DE42" s="20">
        <v>1.2412800000000002E-2</v>
      </c>
      <c r="DF42" s="20">
        <v>1.24575E-2</v>
      </c>
      <c r="DG42" s="20">
        <v>1.2512700000000002E-2</v>
      </c>
      <c r="DH42" s="20">
        <v>1.25778E-2</v>
      </c>
      <c r="DI42" s="20">
        <v>1.2632000000000001E-2</v>
      </c>
      <c r="DJ42" s="20">
        <v>1.2695999999999999E-2</v>
      </c>
      <c r="DK42" s="20">
        <v>1.2769100000000002E-2</v>
      </c>
      <c r="DL42" s="20">
        <v>1.2829799999999999E-2</v>
      </c>
      <c r="DM42" s="20">
        <v>1.2897700000000002E-2</v>
      </c>
      <c r="DN42" s="20">
        <v>1.2972600000000001E-2</v>
      </c>
      <c r="DO42" s="20">
        <v>1.30335E-2</v>
      </c>
      <c r="DP42" s="20">
        <v>1.3099900000000001E-2</v>
      </c>
      <c r="DQ42" s="20">
        <v>1.31726E-2</v>
      </c>
      <c r="DR42" s="20">
        <v>1.3230600000000002E-2</v>
      </c>
      <c r="DS42" s="20">
        <v>1.3294300000000002E-2</v>
      </c>
      <c r="DT42" s="20">
        <v>1.3363900000000001E-2</v>
      </c>
      <c r="DU42" s="20">
        <v>1.3419199999999999E-2</v>
      </c>
      <c r="DV42" s="20">
        <v>1.3480499999999999E-2</v>
      </c>
      <c r="DW42" s="20">
        <v>1.3548000000000001E-2</v>
      </c>
      <c r="DX42" s="20">
        <v>1.3601000000000002E-2</v>
      </c>
      <c r="DY42" s="20">
        <v>1.36603E-2</v>
      </c>
      <c r="DZ42" s="20">
        <v>1.3726000000000002E-2</v>
      </c>
      <c r="EA42" s="20">
        <v>1.3775900000000001E-2</v>
      </c>
      <c r="EB42" s="20">
        <v>1.38298E-2</v>
      </c>
      <c r="EC42" s="20">
        <v>1.3888299999999999E-2</v>
      </c>
      <c r="ED42" s="20">
        <v>1.3929900000000002E-2</v>
      </c>
      <c r="EE42" s="20">
        <v>1.3978500000000001E-2</v>
      </c>
      <c r="EF42" s="20">
        <v>1.4030000000000001E-2</v>
      </c>
      <c r="EG42" s="20">
        <v>1.4065899999999999E-2</v>
      </c>
      <c r="EH42" s="20">
        <v>1.4106900000000002E-2</v>
      </c>
      <c r="EI42" s="20">
        <v>1.4152999999999999E-2</v>
      </c>
      <c r="EJ42" s="20">
        <v>1.4182400000000001E-2</v>
      </c>
      <c r="EK42" s="20">
        <v>1.42159E-2</v>
      </c>
      <c r="EL42" s="20">
        <v>1.4253999999999999E-2</v>
      </c>
      <c r="EM42" s="20">
        <v>1.4275400000000001E-2</v>
      </c>
      <c r="EN42" s="20">
        <v>1.43012E-2</v>
      </c>
      <c r="EO42" s="25">
        <v>1.43512E-2</v>
      </c>
      <c r="EP42" s="25">
        <v>1.4401199999999999E-2</v>
      </c>
      <c r="EQ42" s="25">
        <v>1.4451199999999999E-2</v>
      </c>
      <c r="ER42" s="25">
        <v>1.4501199999999999E-2</v>
      </c>
      <c r="ES42" s="25">
        <v>1.4551199999999999E-2</v>
      </c>
      <c r="ET42" s="25">
        <v>1.4601199999999998E-2</v>
      </c>
      <c r="EU42" s="25">
        <v>1.4651199999999998E-2</v>
      </c>
      <c r="EV42" s="25">
        <v>1.4701199999999998E-2</v>
      </c>
      <c r="EW42" s="25">
        <v>1.4751199999999997E-2</v>
      </c>
      <c r="EX42" s="25">
        <v>1.4801199999999997E-2</v>
      </c>
      <c r="EY42" s="25">
        <v>1.4851199999999997E-2</v>
      </c>
      <c r="EZ42" s="25">
        <v>1.4901199999999996E-2</v>
      </c>
      <c r="FA42" s="25">
        <v>1.4951199999999996E-2</v>
      </c>
      <c r="FB42" s="25">
        <v>1.5001199999999996E-2</v>
      </c>
      <c r="FC42" s="25">
        <v>1.5051199999999995E-2</v>
      </c>
      <c r="FD42" s="25">
        <v>1.5101199999999995E-2</v>
      </c>
      <c r="FE42" s="25">
        <v>1.5151199999999995E-2</v>
      </c>
      <c r="FF42" s="25">
        <v>1.5201199999999995E-2</v>
      </c>
      <c r="FG42" s="25">
        <v>1.5251199999999994E-2</v>
      </c>
      <c r="FH42" s="25">
        <v>1.5301199999999994E-2</v>
      </c>
      <c r="FI42" s="25">
        <v>1.5351199999999994E-2</v>
      </c>
      <c r="FJ42" s="25">
        <v>1.5401199999999993E-2</v>
      </c>
      <c r="FK42" s="25">
        <v>1.5451199999999993E-2</v>
      </c>
      <c r="FL42" s="25">
        <v>1.5501199999999993E-2</v>
      </c>
      <c r="FM42" s="25">
        <v>1.5551199999999992E-2</v>
      </c>
      <c r="FN42" s="25">
        <v>1.5601199999999992E-2</v>
      </c>
      <c r="FO42" s="25">
        <v>1.5651199999999994E-2</v>
      </c>
      <c r="FP42" s="25">
        <v>1.5701199999999995E-2</v>
      </c>
      <c r="FQ42" s="25">
        <v>1.5751199999999996E-2</v>
      </c>
      <c r="FR42" s="25">
        <v>1.5801199999999998E-2</v>
      </c>
      <c r="FS42" s="25">
        <v>1.5851199999999999E-2</v>
      </c>
      <c r="FT42" s="25">
        <v>1.5901200000000001E-2</v>
      </c>
      <c r="FU42" s="25">
        <v>1.5951200000000002E-2</v>
      </c>
      <c r="FV42" s="25">
        <v>1.6001200000000004E-2</v>
      </c>
      <c r="FW42" s="25">
        <v>1.6051200000000005E-2</v>
      </c>
      <c r="FX42" s="25">
        <v>1.6101200000000006E-2</v>
      </c>
      <c r="FY42" s="25">
        <v>1.6151200000000008E-2</v>
      </c>
      <c r="FZ42" s="25">
        <v>1.6201200000000009E-2</v>
      </c>
      <c r="GA42" s="25">
        <v>1.6251200000000011E-2</v>
      </c>
      <c r="GB42" s="25">
        <v>1.6301200000000012E-2</v>
      </c>
      <c r="GC42" s="25">
        <v>1.6351200000000014E-2</v>
      </c>
      <c r="GD42" s="25">
        <v>1.6401200000000015E-2</v>
      </c>
      <c r="GE42" s="25">
        <v>1.6451200000000017E-2</v>
      </c>
      <c r="GF42" s="25">
        <v>1.6501200000000018E-2</v>
      </c>
      <c r="GG42" s="25">
        <v>1.6551200000000019E-2</v>
      </c>
      <c r="GH42" s="25">
        <v>1.6601200000000021E-2</v>
      </c>
      <c r="GI42" s="25">
        <v>1.6651200000000022E-2</v>
      </c>
      <c r="GJ42" s="25">
        <v>1.6701200000000024E-2</v>
      </c>
      <c r="GK42" s="25">
        <v>1.6751200000000025E-2</v>
      </c>
      <c r="GL42" s="25">
        <v>1.6801200000000027E-2</v>
      </c>
      <c r="GM42" s="25">
        <v>1.6851200000000028E-2</v>
      </c>
    </row>
    <row r="43" spans="2:195" x14ac:dyDescent="0.3">
      <c r="C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</row>
    <row r="44" spans="2:195" x14ac:dyDescent="0.3">
      <c r="B44" s="16"/>
      <c r="C44" s="17">
        <f>C41</f>
        <v>43281</v>
      </c>
      <c r="D44" s="17">
        <f>EOMONTH(C44,1)</f>
        <v>43312</v>
      </c>
      <c r="E44" s="17">
        <f t="shared" ref="E44:BP44" si="3">EOMONTH(D44,1)</f>
        <v>43343</v>
      </c>
      <c r="F44" s="17">
        <f t="shared" si="3"/>
        <v>43373</v>
      </c>
      <c r="G44" s="17">
        <f t="shared" si="3"/>
        <v>43404</v>
      </c>
      <c r="H44" s="17">
        <f t="shared" si="3"/>
        <v>43434</v>
      </c>
      <c r="I44" s="17">
        <f t="shared" si="3"/>
        <v>43465</v>
      </c>
      <c r="J44" s="17">
        <f t="shared" si="3"/>
        <v>43496</v>
      </c>
      <c r="K44" s="17">
        <f t="shared" si="3"/>
        <v>43524</v>
      </c>
      <c r="L44" s="17">
        <f t="shared" si="3"/>
        <v>43555</v>
      </c>
      <c r="M44" s="17">
        <f t="shared" si="3"/>
        <v>43585</v>
      </c>
      <c r="N44" s="17">
        <f t="shared" si="3"/>
        <v>43616</v>
      </c>
      <c r="O44" s="17">
        <f t="shared" si="3"/>
        <v>43646</v>
      </c>
      <c r="P44" s="17">
        <f t="shared" si="3"/>
        <v>43677</v>
      </c>
      <c r="Q44" s="17">
        <f t="shared" si="3"/>
        <v>43708</v>
      </c>
      <c r="R44" s="17">
        <f t="shared" si="3"/>
        <v>43738</v>
      </c>
      <c r="S44" s="17">
        <f t="shared" si="3"/>
        <v>43769</v>
      </c>
      <c r="T44" s="17">
        <f t="shared" si="3"/>
        <v>43799</v>
      </c>
      <c r="U44" s="17">
        <f t="shared" si="3"/>
        <v>43830</v>
      </c>
      <c r="V44" s="17">
        <f t="shared" si="3"/>
        <v>43861</v>
      </c>
      <c r="W44" s="17">
        <f t="shared" si="3"/>
        <v>43890</v>
      </c>
      <c r="X44" s="17">
        <f t="shared" si="3"/>
        <v>43921</v>
      </c>
      <c r="Y44" s="17">
        <f t="shared" si="3"/>
        <v>43951</v>
      </c>
      <c r="Z44" s="17">
        <f t="shared" si="3"/>
        <v>43982</v>
      </c>
      <c r="AA44" s="17">
        <f t="shared" si="3"/>
        <v>44012</v>
      </c>
      <c r="AB44" s="17">
        <f t="shared" si="3"/>
        <v>44043</v>
      </c>
      <c r="AC44" s="17">
        <f t="shared" si="3"/>
        <v>44074</v>
      </c>
      <c r="AD44" s="17">
        <f t="shared" si="3"/>
        <v>44104</v>
      </c>
      <c r="AE44" s="17">
        <f t="shared" si="3"/>
        <v>44135</v>
      </c>
      <c r="AF44" s="17">
        <f t="shared" si="3"/>
        <v>44165</v>
      </c>
      <c r="AG44" s="17">
        <f t="shared" si="3"/>
        <v>44196</v>
      </c>
      <c r="AH44" s="17">
        <f t="shared" si="3"/>
        <v>44227</v>
      </c>
      <c r="AI44" s="17">
        <f t="shared" si="3"/>
        <v>44255</v>
      </c>
      <c r="AJ44" s="17">
        <f t="shared" si="3"/>
        <v>44286</v>
      </c>
      <c r="AK44" s="17">
        <f t="shared" si="3"/>
        <v>44316</v>
      </c>
      <c r="AL44" s="17">
        <f t="shared" si="3"/>
        <v>44347</v>
      </c>
      <c r="AM44" s="17">
        <f t="shared" si="3"/>
        <v>44377</v>
      </c>
      <c r="AN44" s="17">
        <f t="shared" si="3"/>
        <v>44408</v>
      </c>
      <c r="AO44" s="17">
        <f t="shared" si="3"/>
        <v>44439</v>
      </c>
      <c r="AP44" s="17">
        <f t="shared" si="3"/>
        <v>44469</v>
      </c>
      <c r="AQ44" s="17">
        <f t="shared" si="3"/>
        <v>44500</v>
      </c>
      <c r="AR44" s="17">
        <f t="shared" si="3"/>
        <v>44530</v>
      </c>
      <c r="AS44" s="17">
        <f t="shared" si="3"/>
        <v>44561</v>
      </c>
      <c r="AT44" s="17">
        <f t="shared" si="3"/>
        <v>44592</v>
      </c>
      <c r="AU44" s="17">
        <f t="shared" si="3"/>
        <v>44620</v>
      </c>
      <c r="AV44" s="17">
        <f t="shared" si="3"/>
        <v>44651</v>
      </c>
      <c r="AW44" s="17">
        <f t="shared" si="3"/>
        <v>44681</v>
      </c>
      <c r="AX44" s="17">
        <f t="shared" si="3"/>
        <v>44712</v>
      </c>
      <c r="AY44" s="17">
        <f t="shared" si="3"/>
        <v>44742</v>
      </c>
      <c r="AZ44" s="17">
        <f t="shared" si="3"/>
        <v>44773</v>
      </c>
      <c r="BA44" s="17">
        <f t="shared" si="3"/>
        <v>44804</v>
      </c>
      <c r="BB44" s="17">
        <f t="shared" si="3"/>
        <v>44834</v>
      </c>
      <c r="BC44" s="17">
        <f t="shared" si="3"/>
        <v>44865</v>
      </c>
      <c r="BD44" s="17">
        <f t="shared" si="3"/>
        <v>44895</v>
      </c>
      <c r="BE44" s="17">
        <f t="shared" si="3"/>
        <v>44926</v>
      </c>
      <c r="BF44" s="17">
        <f t="shared" si="3"/>
        <v>44957</v>
      </c>
      <c r="BG44" s="17">
        <f t="shared" si="3"/>
        <v>44985</v>
      </c>
      <c r="BH44" s="17">
        <f t="shared" si="3"/>
        <v>45016</v>
      </c>
      <c r="BI44" s="17">
        <f t="shared" si="3"/>
        <v>45046</v>
      </c>
      <c r="BJ44" s="17">
        <f t="shared" si="3"/>
        <v>45077</v>
      </c>
      <c r="BK44" s="17">
        <f t="shared" si="3"/>
        <v>45107</v>
      </c>
      <c r="BL44" s="17">
        <f t="shared" si="3"/>
        <v>45138</v>
      </c>
      <c r="BM44" s="17">
        <f t="shared" si="3"/>
        <v>45169</v>
      </c>
      <c r="BN44" s="17">
        <f t="shared" si="3"/>
        <v>45199</v>
      </c>
      <c r="BO44" s="17">
        <f t="shared" si="3"/>
        <v>45230</v>
      </c>
      <c r="BP44" s="17">
        <f t="shared" si="3"/>
        <v>45260</v>
      </c>
      <c r="BQ44" s="17">
        <f t="shared" ref="BQ44:EB44" si="4">EOMONTH(BP44,1)</f>
        <v>45291</v>
      </c>
      <c r="BR44" s="17">
        <f t="shared" si="4"/>
        <v>45322</v>
      </c>
      <c r="BS44" s="17">
        <f t="shared" si="4"/>
        <v>45351</v>
      </c>
      <c r="BT44" s="17">
        <f t="shared" si="4"/>
        <v>45382</v>
      </c>
      <c r="BU44" s="17">
        <f t="shared" si="4"/>
        <v>45412</v>
      </c>
      <c r="BV44" s="17">
        <f t="shared" si="4"/>
        <v>45443</v>
      </c>
      <c r="BW44" s="17">
        <f t="shared" si="4"/>
        <v>45473</v>
      </c>
      <c r="BX44" s="17">
        <f t="shared" si="4"/>
        <v>45504</v>
      </c>
      <c r="BY44" s="17">
        <f t="shared" si="4"/>
        <v>45535</v>
      </c>
      <c r="BZ44" s="17">
        <f t="shared" si="4"/>
        <v>45565</v>
      </c>
      <c r="CA44" s="17">
        <f t="shared" si="4"/>
        <v>45596</v>
      </c>
      <c r="CB44" s="17">
        <f t="shared" si="4"/>
        <v>45626</v>
      </c>
      <c r="CC44" s="17">
        <f t="shared" si="4"/>
        <v>45657</v>
      </c>
      <c r="CD44" s="17">
        <f t="shared" si="4"/>
        <v>45688</v>
      </c>
      <c r="CE44" s="17">
        <f t="shared" si="4"/>
        <v>45716</v>
      </c>
      <c r="CF44" s="17">
        <f t="shared" si="4"/>
        <v>45747</v>
      </c>
      <c r="CG44" s="17">
        <f t="shared" si="4"/>
        <v>45777</v>
      </c>
      <c r="CH44" s="17">
        <f t="shared" si="4"/>
        <v>45808</v>
      </c>
      <c r="CI44" s="17">
        <f t="shared" si="4"/>
        <v>45838</v>
      </c>
      <c r="CJ44" s="17">
        <f t="shared" si="4"/>
        <v>45869</v>
      </c>
      <c r="CK44" s="17">
        <f t="shared" si="4"/>
        <v>45900</v>
      </c>
      <c r="CL44" s="17">
        <f t="shared" si="4"/>
        <v>45930</v>
      </c>
      <c r="CM44" s="17">
        <f t="shared" si="4"/>
        <v>45961</v>
      </c>
      <c r="CN44" s="17">
        <f t="shared" si="4"/>
        <v>45991</v>
      </c>
      <c r="CO44" s="17">
        <f t="shared" si="4"/>
        <v>46022</v>
      </c>
      <c r="CP44" s="17">
        <f t="shared" si="4"/>
        <v>46053</v>
      </c>
      <c r="CQ44" s="17">
        <f t="shared" si="4"/>
        <v>46081</v>
      </c>
      <c r="CR44" s="17">
        <f t="shared" si="4"/>
        <v>46112</v>
      </c>
      <c r="CS44" s="17">
        <f t="shared" si="4"/>
        <v>46142</v>
      </c>
      <c r="CT44" s="17">
        <f t="shared" si="4"/>
        <v>46173</v>
      </c>
      <c r="CU44" s="17">
        <f t="shared" si="4"/>
        <v>46203</v>
      </c>
      <c r="CV44" s="17">
        <f t="shared" si="4"/>
        <v>46234</v>
      </c>
      <c r="CW44" s="17">
        <f t="shared" si="4"/>
        <v>46265</v>
      </c>
      <c r="CX44" s="17">
        <f t="shared" si="4"/>
        <v>46295</v>
      </c>
      <c r="CY44" s="17">
        <f t="shared" si="4"/>
        <v>46326</v>
      </c>
      <c r="CZ44" s="17">
        <f t="shared" si="4"/>
        <v>46356</v>
      </c>
      <c r="DA44" s="17">
        <f t="shared" si="4"/>
        <v>46387</v>
      </c>
      <c r="DB44" s="17">
        <f t="shared" si="4"/>
        <v>46418</v>
      </c>
      <c r="DC44" s="17">
        <f t="shared" si="4"/>
        <v>46446</v>
      </c>
      <c r="DD44" s="17">
        <f t="shared" si="4"/>
        <v>46477</v>
      </c>
      <c r="DE44" s="17">
        <f t="shared" si="4"/>
        <v>46507</v>
      </c>
      <c r="DF44" s="17">
        <f t="shared" si="4"/>
        <v>46538</v>
      </c>
      <c r="DG44" s="17">
        <f t="shared" si="4"/>
        <v>46568</v>
      </c>
      <c r="DH44" s="17">
        <f t="shared" si="4"/>
        <v>46599</v>
      </c>
      <c r="DI44" s="17">
        <f t="shared" si="4"/>
        <v>46630</v>
      </c>
      <c r="DJ44" s="17">
        <f t="shared" si="4"/>
        <v>46660</v>
      </c>
      <c r="DK44" s="17">
        <f t="shared" si="4"/>
        <v>46691</v>
      </c>
      <c r="DL44" s="17">
        <f t="shared" si="4"/>
        <v>46721</v>
      </c>
      <c r="DM44" s="17">
        <f t="shared" si="4"/>
        <v>46752</v>
      </c>
      <c r="DN44" s="17">
        <f t="shared" si="4"/>
        <v>46783</v>
      </c>
      <c r="DO44" s="17">
        <f t="shared" si="4"/>
        <v>46812</v>
      </c>
      <c r="DP44" s="17">
        <f t="shared" si="4"/>
        <v>46843</v>
      </c>
      <c r="DQ44" s="17">
        <f t="shared" si="4"/>
        <v>46873</v>
      </c>
      <c r="DR44" s="17">
        <f t="shared" si="4"/>
        <v>46904</v>
      </c>
      <c r="DS44" s="17">
        <f t="shared" si="4"/>
        <v>46934</v>
      </c>
      <c r="DT44" s="17">
        <f t="shared" si="4"/>
        <v>46965</v>
      </c>
      <c r="DU44" s="17">
        <f t="shared" si="4"/>
        <v>46996</v>
      </c>
      <c r="DV44" s="17">
        <f t="shared" si="4"/>
        <v>47026</v>
      </c>
      <c r="DW44" s="17">
        <f t="shared" si="4"/>
        <v>47057</v>
      </c>
      <c r="DX44" s="17">
        <f t="shared" si="4"/>
        <v>47087</v>
      </c>
      <c r="DY44" s="17">
        <f t="shared" si="4"/>
        <v>47118</v>
      </c>
      <c r="DZ44" s="17">
        <f t="shared" si="4"/>
        <v>47149</v>
      </c>
      <c r="EA44" s="17">
        <f t="shared" si="4"/>
        <v>47177</v>
      </c>
      <c r="EB44" s="17">
        <f t="shared" si="4"/>
        <v>47208</v>
      </c>
      <c r="EC44" s="17">
        <f t="shared" ref="EC44:GM44" si="5">EOMONTH(EB44,1)</f>
        <v>47238</v>
      </c>
      <c r="ED44" s="17">
        <f t="shared" si="5"/>
        <v>47269</v>
      </c>
      <c r="EE44" s="17">
        <f t="shared" si="5"/>
        <v>47299</v>
      </c>
      <c r="EF44" s="17">
        <f t="shared" si="5"/>
        <v>47330</v>
      </c>
      <c r="EG44" s="17">
        <f t="shared" si="5"/>
        <v>47361</v>
      </c>
      <c r="EH44" s="17">
        <f t="shared" si="5"/>
        <v>47391</v>
      </c>
      <c r="EI44" s="17">
        <f t="shared" si="5"/>
        <v>47422</v>
      </c>
      <c r="EJ44" s="17">
        <f t="shared" si="5"/>
        <v>47452</v>
      </c>
      <c r="EK44" s="17">
        <f t="shared" si="5"/>
        <v>47483</v>
      </c>
      <c r="EL44" s="17">
        <f t="shared" si="5"/>
        <v>47514</v>
      </c>
      <c r="EM44" s="17">
        <f t="shared" si="5"/>
        <v>47542</v>
      </c>
      <c r="EN44" s="17">
        <f t="shared" si="5"/>
        <v>47573</v>
      </c>
      <c r="EO44" s="17">
        <f t="shared" si="5"/>
        <v>47603</v>
      </c>
      <c r="EP44" s="17">
        <f t="shared" si="5"/>
        <v>47634</v>
      </c>
      <c r="EQ44" s="17">
        <f t="shared" si="5"/>
        <v>47664</v>
      </c>
      <c r="ER44" s="17">
        <f t="shared" si="5"/>
        <v>47695</v>
      </c>
      <c r="ES44" s="17">
        <f t="shared" si="5"/>
        <v>47726</v>
      </c>
      <c r="ET44" s="17">
        <f t="shared" si="5"/>
        <v>47756</v>
      </c>
      <c r="EU44" s="17">
        <f t="shared" si="5"/>
        <v>47787</v>
      </c>
      <c r="EV44" s="17">
        <f t="shared" si="5"/>
        <v>47817</v>
      </c>
      <c r="EW44" s="17">
        <f t="shared" si="5"/>
        <v>47848</v>
      </c>
      <c r="EX44" s="17">
        <f t="shared" si="5"/>
        <v>47879</v>
      </c>
      <c r="EY44" s="17">
        <f t="shared" si="5"/>
        <v>47907</v>
      </c>
      <c r="EZ44" s="17">
        <f t="shared" si="5"/>
        <v>47938</v>
      </c>
      <c r="FA44" s="17">
        <f t="shared" si="5"/>
        <v>47968</v>
      </c>
      <c r="FB44" s="17">
        <f t="shared" si="5"/>
        <v>47999</v>
      </c>
      <c r="FC44" s="17">
        <f t="shared" si="5"/>
        <v>48029</v>
      </c>
      <c r="FD44" s="17">
        <f t="shared" si="5"/>
        <v>48060</v>
      </c>
      <c r="FE44" s="17">
        <f t="shared" si="5"/>
        <v>48091</v>
      </c>
      <c r="FF44" s="17">
        <f t="shared" si="5"/>
        <v>48121</v>
      </c>
      <c r="FG44" s="17">
        <f t="shared" si="5"/>
        <v>48152</v>
      </c>
      <c r="FH44" s="17">
        <f t="shared" si="5"/>
        <v>48182</v>
      </c>
      <c r="FI44" s="17">
        <f t="shared" si="5"/>
        <v>48213</v>
      </c>
      <c r="FJ44" s="17">
        <f t="shared" si="5"/>
        <v>48244</v>
      </c>
      <c r="FK44" s="17">
        <f t="shared" si="5"/>
        <v>48273</v>
      </c>
      <c r="FL44" s="17">
        <f t="shared" si="5"/>
        <v>48304</v>
      </c>
      <c r="FM44" s="17">
        <f t="shared" si="5"/>
        <v>48334</v>
      </c>
      <c r="FN44" s="17">
        <f t="shared" si="5"/>
        <v>48365</v>
      </c>
      <c r="FO44" s="17">
        <f t="shared" si="5"/>
        <v>48395</v>
      </c>
      <c r="FP44" s="17">
        <f t="shared" si="5"/>
        <v>48426</v>
      </c>
      <c r="FQ44" s="17">
        <f t="shared" si="5"/>
        <v>48457</v>
      </c>
      <c r="FR44" s="17">
        <f t="shared" si="5"/>
        <v>48487</v>
      </c>
      <c r="FS44" s="17">
        <f t="shared" si="5"/>
        <v>48518</v>
      </c>
      <c r="FT44" s="17">
        <f t="shared" si="5"/>
        <v>48548</v>
      </c>
      <c r="FU44" s="17">
        <f t="shared" si="5"/>
        <v>48579</v>
      </c>
      <c r="FV44" s="17">
        <f t="shared" si="5"/>
        <v>48610</v>
      </c>
      <c r="FW44" s="17">
        <f t="shared" si="5"/>
        <v>48638</v>
      </c>
      <c r="FX44" s="17">
        <f t="shared" si="5"/>
        <v>48669</v>
      </c>
      <c r="FY44" s="17">
        <f t="shared" si="5"/>
        <v>48699</v>
      </c>
      <c r="FZ44" s="17">
        <f t="shared" si="5"/>
        <v>48730</v>
      </c>
      <c r="GA44" s="17">
        <f t="shared" si="5"/>
        <v>48760</v>
      </c>
      <c r="GB44" s="17">
        <f t="shared" si="5"/>
        <v>48791</v>
      </c>
      <c r="GC44" s="17">
        <f t="shared" si="5"/>
        <v>48822</v>
      </c>
      <c r="GD44" s="17">
        <f t="shared" si="5"/>
        <v>48852</v>
      </c>
      <c r="GE44" s="17">
        <f t="shared" si="5"/>
        <v>48883</v>
      </c>
      <c r="GF44" s="17">
        <f t="shared" si="5"/>
        <v>48913</v>
      </c>
      <c r="GG44" s="17">
        <f t="shared" si="5"/>
        <v>48944</v>
      </c>
      <c r="GH44" s="17">
        <f t="shared" si="5"/>
        <v>48975</v>
      </c>
      <c r="GI44" s="17">
        <f t="shared" si="5"/>
        <v>49003</v>
      </c>
      <c r="GJ44" s="17">
        <f t="shared" si="5"/>
        <v>49034</v>
      </c>
      <c r="GK44" s="17">
        <f t="shared" si="5"/>
        <v>49064</v>
      </c>
      <c r="GL44" s="17">
        <f t="shared" si="5"/>
        <v>49095</v>
      </c>
      <c r="GM44" s="18">
        <f t="shared" si="5"/>
        <v>49125</v>
      </c>
    </row>
    <row r="45" spans="2:195" x14ac:dyDescent="0.3">
      <c r="B45" s="21" t="s">
        <v>35</v>
      </c>
      <c r="C45" s="30">
        <f>IFERROR(INDEX($B$3:$AL$39,MATCH(#REF!,$B$3:$B$39,0),MATCH(DATEDIF(EOMONTH(#REF!,-1)+1,C44,"M"),$B$3:$AL$3,0)),0)</f>
        <v>0</v>
      </c>
      <c r="D45" s="30">
        <f>IFERROR(INDEX($B$3:$AL$39,MATCH(#REF!,$B$3:$B$39,0),MATCH(DATEDIF(EOMONTH(#REF!,-1)+1,D44,"M"),$B$3:$AL$3,0)),0)</f>
        <v>0</v>
      </c>
      <c r="E45" s="30">
        <f>IFERROR(INDEX($B$3:$AL$39,MATCH(#REF!,$B$3:$B$39,0),MATCH(DATEDIF(EOMONTH(#REF!,-1)+1,E44,"M"),$B$3:$AL$3,0)),0)</f>
        <v>0</v>
      </c>
      <c r="F45" s="30">
        <f>IFERROR(INDEX($B$3:$AL$39,MATCH(#REF!,$B$3:$B$39,0),MATCH(DATEDIF(EOMONTH(#REF!,-1)+1,F44,"M"),$B$3:$AL$3,0)),0)</f>
        <v>0</v>
      </c>
      <c r="G45" s="30">
        <f>IFERROR(INDEX($B$3:$AL$39,MATCH(#REF!,$B$3:$B$39,0),MATCH(DATEDIF(EOMONTH(#REF!,-1)+1,G44,"M"),$B$3:$AL$3,0)),0)</f>
        <v>0</v>
      </c>
      <c r="H45" s="30">
        <f>IFERROR(INDEX($B$3:$AL$39,MATCH(#REF!,$B$3:$B$39,0),MATCH(DATEDIF(EOMONTH(#REF!,-1)+1,H44,"M"),$B$3:$AL$3,0)),0)</f>
        <v>0</v>
      </c>
      <c r="I45" s="30">
        <f>IFERROR(INDEX($B$3:$AL$39,MATCH(#REF!,$B$3:$B$39,0),MATCH(DATEDIF(EOMONTH(#REF!,-1)+1,I44,"M"),$B$3:$AL$3,0)),0)</f>
        <v>0</v>
      </c>
      <c r="J45" s="30">
        <f>IFERROR(INDEX($B$3:$AL$39,MATCH(#REF!,$B$3:$B$39,0),MATCH(DATEDIF(EOMONTH(#REF!,-1)+1,J44,"M"),$B$3:$AL$3,0)),0)</f>
        <v>0</v>
      </c>
      <c r="K45" s="30">
        <f>IFERROR(INDEX($B$3:$AL$39,MATCH(#REF!,$B$3:$B$39,0),MATCH(DATEDIF(EOMONTH(#REF!,-1)+1,K44,"M"),$B$3:$AL$3,0)),0)</f>
        <v>0</v>
      </c>
      <c r="L45" s="30">
        <f>IFERROR(INDEX($B$3:$AL$39,MATCH(#REF!,$B$3:$B$39,0),MATCH(DATEDIF(EOMONTH(#REF!,-1)+1,L44,"M"),$B$3:$AL$3,0)),0)</f>
        <v>0</v>
      </c>
      <c r="M45" s="30">
        <f>IFERROR(INDEX($B$3:$AL$39,MATCH(#REF!,$B$3:$B$39,0),MATCH(DATEDIF(EOMONTH(#REF!,-1)+1,M44,"M"),$B$3:$AL$3,0)),0)</f>
        <v>0</v>
      </c>
      <c r="N45" s="30">
        <f>IFERROR(INDEX($B$3:$AL$39,MATCH(#REF!,$B$3:$B$39,0),MATCH(DATEDIF(EOMONTH(#REF!,-1)+1,N44,"M"),$B$3:$AL$3,0)),0)</f>
        <v>0</v>
      </c>
      <c r="O45" s="30">
        <f>IFERROR(INDEX($B$3:$AL$39,MATCH(#REF!,$B$3:$B$39,0),MATCH(DATEDIF(EOMONTH(#REF!,-1)+1,O44,"M"),$B$3:$AL$3,0)),0)</f>
        <v>0</v>
      </c>
      <c r="P45" s="30">
        <f>IFERROR(INDEX($B$3:$AL$39,MATCH(#REF!,$B$3:$B$39,0),MATCH(DATEDIF(EOMONTH(#REF!,-1)+1,P44,"M"),$B$3:$AL$3,0)),0)</f>
        <v>0</v>
      </c>
      <c r="Q45" s="30">
        <f>IFERROR(INDEX($B$3:$AL$39,MATCH(#REF!,$B$3:$B$39,0),MATCH(DATEDIF(EOMONTH(#REF!,-1)+1,Q44,"M"),$B$3:$AL$3,0)),0)</f>
        <v>0</v>
      </c>
      <c r="R45" s="30">
        <f>IFERROR(INDEX($B$3:$AL$39,MATCH(#REF!,$B$3:$B$39,0),MATCH(DATEDIF(EOMONTH(#REF!,-1)+1,R44,"M"),$B$3:$AL$3,0)),0)</f>
        <v>0</v>
      </c>
      <c r="S45" s="30">
        <f>IFERROR(INDEX($B$3:$AL$39,MATCH(#REF!,$B$3:$B$39,0),MATCH(DATEDIF(EOMONTH(#REF!,-1)+1,S44,"M"),$B$3:$AL$3,0)),0)</f>
        <v>0</v>
      </c>
      <c r="T45" s="30">
        <f>IFERROR(INDEX($B$3:$AL$39,MATCH(#REF!,$B$3:$B$39,0),MATCH(DATEDIF(EOMONTH(#REF!,-1)+1,T44,"M"),$B$3:$AL$3,0)),0)</f>
        <v>0</v>
      </c>
      <c r="U45" s="30">
        <f>IFERROR(INDEX($B$3:$AL$39,MATCH(#REF!,$B$3:$B$39,0),MATCH(DATEDIF(EOMONTH(#REF!,-1)+1,U44,"M"),$B$3:$AL$3,0)),0)</f>
        <v>0</v>
      </c>
      <c r="V45" s="30">
        <f>IFERROR(INDEX($B$3:$AL$39,MATCH(#REF!,$B$3:$B$39,0),MATCH(DATEDIF(EOMONTH(#REF!,-1)+1,V44,"M"),$B$3:$AL$3,0)),0)</f>
        <v>0</v>
      </c>
      <c r="W45" s="30">
        <f>IFERROR(INDEX($B$3:$AL$39,MATCH(#REF!,$B$3:$B$39,0),MATCH(DATEDIF(EOMONTH(#REF!,-1)+1,W44,"M"),$B$3:$AL$3,0)),0)</f>
        <v>0</v>
      </c>
      <c r="X45" s="30">
        <f>IFERROR(INDEX($B$3:$AL$39,MATCH(#REF!,$B$3:$B$39,0),MATCH(DATEDIF(EOMONTH(#REF!,-1)+1,X44,"M"),$B$3:$AL$3,0)),0)</f>
        <v>0</v>
      </c>
      <c r="Y45" s="30">
        <f>IFERROR(INDEX($B$3:$AL$39,MATCH(#REF!,$B$3:$B$39,0),MATCH(DATEDIF(EOMONTH(#REF!,-1)+1,Y44,"M"),$B$3:$AL$3,0)),0)</f>
        <v>0</v>
      </c>
      <c r="Z45" s="30">
        <f>IFERROR(INDEX($B$3:$AL$39,MATCH(#REF!,$B$3:$B$39,0),MATCH(DATEDIF(EOMONTH(#REF!,-1)+1,Z44,"M"),$B$3:$AL$3,0)),0)</f>
        <v>0</v>
      </c>
      <c r="AA45" s="30">
        <f>IFERROR(INDEX($B$3:$AL$39,MATCH(#REF!,$B$3:$B$39,0),MATCH(DATEDIF(EOMONTH(#REF!,-1)+1,AA44,"M"),$B$3:$AL$3,0)),0)</f>
        <v>0</v>
      </c>
      <c r="AB45" s="30">
        <f>IFERROR(INDEX($B$3:$AL$39,MATCH(#REF!,$B$3:$B$39,0),MATCH(DATEDIF(EOMONTH(#REF!,-1)+1,AB44,"M"),$B$3:$AL$3,0)),0)</f>
        <v>0</v>
      </c>
      <c r="AC45" s="30">
        <f>IFERROR(INDEX($B$3:$AL$39,MATCH(#REF!,$B$3:$B$39,0),MATCH(DATEDIF(EOMONTH(#REF!,-1)+1,AC44,"M"),$B$3:$AL$3,0)),0)</f>
        <v>0</v>
      </c>
      <c r="AD45" s="30">
        <f>IFERROR(INDEX($B$3:$AL$39,MATCH(#REF!,$B$3:$B$39,0),MATCH(DATEDIF(EOMONTH(#REF!,-1)+1,AD44,"M"),$B$3:$AL$3,0)),0)</f>
        <v>0</v>
      </c>
      <c r="AE45" s="30">
        <f>IFERROR(INDEX($B$3:$AL$39,MATCH(#REF!,$B$3:$B$39,0),MATCH(DATEDIF(EOMONTH(#REF!,-1)+1,AE44,"M"),$B$3:$AL$3,0)),0)</f>
        <v>0</v>
      </c>
      <c r="AF45" s="30">
        <f>IFERROR(INDEX($B$3:$AL$39,MATCH(#REF!,$B$3:$B$39,0),MATCH(DATEDIF(EOMONTH(#REF!,-1)+1,AF44,"M"),$B$3:$AL$3,0)),0)</f>
        <v>0</v>
      </c>
      <c r="AG45" s="30">
        <f>IFERROR(INDEX($B$3:$AL$39,MATCH(#REF!,$B$3:$B$39,0),MATCH(DATEDIF(EOMONTH(#REF!,-1)+1,AG44,"M"),$B$3:$AL$3,0)),0)</f>
        <v>0</v>
      </c>
      <c r="AH45" s="30">
        <f>IFERROR(INDEX($B$3:$AL$39,MATCH(#REF!,$B$3:$B$39,0),MATCH(DATEDIF(EOMONTH(#REF!,-1)+1,AH44,"M"),$B$3:$AL$3,0)),0)</f>
        <v>0</v>
      </c>
      <c r="AI45" s="30">
        <f>IFERROR(INDEX($B$3:$AL$39,MATCH(#REF!,$B$3:$B$39,0),MATCH(DATEDIF(EOMONTH(#REF!,-1)+1,AI44,"M"),$B$3:$AL$3,0)),0)</f>
        <v>0</v>
      </c>
      <c r="AJ45" s="30">
        <f>IFERROR(INDEX($B$3:$AL$39,MATCH(#REF!,$B$3:$B$39,0),MATCH(DATEDIF(EOMONTH(#REF!,-1)+1,AJ44,"M"),$B$3:$AL$3,0)),0)</f>
        <v>0</v>
      </c>
      <c r="AK45" s="30">
        <f>IFERROR(INDEX($B$3:$AL$39,MATCH(#REF!,$B$3:$B$39,0),MATCH(DATEDIF(EOMONTH(#REF!,-1)+1,AK44,"M"),$B$3:$AL$3,0)),0)</f>
        <v>0</v>
      </c>
      <c r="AL45" s="30">
        <f>IFERROR(INDEX($B$3:$AL$39,MATCH(#REF!,$B$3:$B$39,0),MATCH(DATEDIF(EOMONTH(#REF!,-1)+1,AL44,"M"),$B$3:$AL$3,0)),0)</f>
        <v>0</v>
      </c>
      <c r="AM45" s="30">
        <f>IFERROR(INDEX($B$3:$AL$39,MATCH(#REF!,$B$3:$B$39,0),MATCH(DATEDIF(EOMONTH(#REF!,-1)+1,AM44,"M"),$B$3:$AL$3,0)),0)</f>
        <v>0</v>
      </c>
      <c r="AN45" s="30">
        <f>IFERROR(INDEX($B$3:$AL$39,MATCH(#REF!,$B$3:$B$39,0),MATCH(DATEDIF(EOMONTH(#REF!,-1)+1,AN44,"M"),$B$3:$AL$3,0)),0)</f>
        <v>0</v>
      </c>
      <c r="AO45" s="30">
        <f>IFERROR(INDEX($B$3:$AL$39,MATCH(#REF!,$B$3:$B$39,0),MATCH(DATEDIF(EOMONTH(#REF!,-1)+1,AO44,"M"),$B$3:$AL$3,0)),0)</f>
        <v>0</v>
      </c>
      <c r="AP45" s="30">
        <f>IFERROR(INDEX($B$3:$AL$39,MATCH(#REF!,$B$3:$B$39,0),MATCH(DATEDIF(EOMONTH(#REF!,-1)+1,AP44,"M"),$B$3:$AL$3,0)),0)</f>
        <v>0</v>
      </c>
      <c r="AQ45" s="30">
        <f>IFERROR(INDEX($B$3:$AL$39,MATCH(#REF!,$B$3:$B$39,0),MATCH(DATEDIF(EOMONTH(#REF!,-1)+1,AQ44,"M"),$B$3:$AL$3,0)),0)</f>
        <v>0</v>
      </c>
      <c r="AR45" s="30">
        <f>IFERROR(INDEX($B$3:$AL$39,MATCH(#REF!,$B$3:$B$39,0),MATCH(DATEDIF(EOMONTH(#REF!,-1)+1,AR44,"M"),$B$3:$AL$3,0)),0)</f>
        <v>0</v>
      </c>
      <c r="AS45" s="30">
        <f>IFERROR(INDEX($B$3:$AL$39,MATCH(#REF!,$B$3:$B$39,0),MATCH(DATEDIF(EOMONTH(#REF!,-1)+1,AS44,"M"),$B$3:$AL$3,0)),0)</f>
        <v>0</v>
      </c>
      <c r="AT45" s="30">
        <f>IFERROR(INDEX($B$3:$AL$39,MATCH(#REF!,$B$3:$B$39,0),MATCH(DATEDIF(EOMONTH(#REF!,-1)+1,AT44,"M"),$B$3:$AL$3,0)),0)</f>
        <v>0</v>
      </c>
      <c r="AU45" s="30">
        <f>IFERROR(INDEX($B$3:$AL$39,MATCH(#REF!,$B$3:$B$39,0),MATCH(DATEDIF(EOMONTH(#REF!,-1)+1,AU44,"M"),$B$3:$AL$3,0)),0)</f>
        <v>0</v>
      </c>
      <c r="AV45" s="30">
        <f>IFERROR(INDEX($B$3:$AL$39,MATCH(#REF!,$B$3:$B$39,0),MATCH(DATEDIF(EOMONTH(#REF!,-1)+1,AV44,"M"),$B$3:$AL$3,0)),0)</f>
        <v>0</v>
      </c>
      <c r="AW45" s="30">
        <f>IFERROR(INDEX($B$3:$AL$39,MATCH(#REF!,$B$3:$B$39,0),MATCH(DATEDIF(EOMONTH(#REF!,-1)+1,AW44,"M"),$B$3:$AL$3,0)),0)</f>
        <v>0</v>
      </c>
      <c r="AX45" s="30">
        <f>IFERROR(INDEX($B$3:$AL$39,MATCH(#REF!,$B$3:$B$39,0),MATCH(DATEDIF(EOMONTH(#REF!,-1)+1,AX44,"M"),$B$3:$AL$3,0)),0)</f>
        <v>0</v>
      </c>
      <c r="AY45" s="30">
        <f>IFERROR(INDEX($B$3:$AL$39,MATCH(#REF!,$B$3:$B$39,0),MATCH(DATEDIF(EOMONTH(#REF!,-1)+1,AY44,"M"),$B$3:$AL$3,0)),0)</f>
        <v>0</v>
      </c>
      <c r="AZ45" s="30">
        <f>IFERROR(INDEX($B$3:$AL$39,MATCH(#REF!,$B$3:$B$39,0),MATCH(DATEDIF(EOMONTH(#REF!,-1)+1,AZ44,"M"),$B$3:$AL$3,0)),0)</f>
        <v>0</v>
      </c>
      <c r="BA45" s="30">
        <f>IFERROR(INDEX($B$3:$AL$39,MATCH(#REF!,$B$3:$B$39,0),MATCH(DATEDIF(EOMONTH(#REF!,-1)+1,BA44,"M"),$B$3:$AL$3,0)),0)</f>
        <v>0</v>
      </c>
      <c r="BB45" s="30">
        <f>IFERROR(INDEX($B$3:$AL$39,MATCH(#REF!,$B$3:$B$39,0),MATCH(DATEDIF(EOMONTH(#REF!,-1)+1,BB44,"M"),$B$3:$AL$3,0)),0)</f>
        <v>0</v>
      </c>
      <c r="BC45" s="30">
        <f>IFERROR(INDEX($B$3:$AL$39,MATCH(#REF!,$B$3:$B$39,0),MATCH(DATEDIF(EOMONTH(#REF!,-1)+1,BC44,"M"),$B$3:$AL$3,0)),0)</f>
        <v>0</v>
      </c>
      <c r="BD45" s="30">
        <f>IFERROR(INDEX($B$3:$AL$39,MATCH(#REF!,$B$3:$B$39,0),MATCH(DATEDIF(EOMONTH(#REF!,-1)+1,BD44,"M"),$B$3:$AL$3,0)),0)</f>
        <v>0</v>
      </c>
      <c r="BE45" s="30">
        <f>IFERROR(INDEX($B$3:$AL$39,MATCH(#REF!,$B$3:$B$39,0),MATCH(DATEDIF(EOMONTH(#REF!,-1)+1,BE44,"M"),$B$3:$AL$3,0)),0)</f>
        <v>0</v>
      </c>
      <c r="BF45" s="30">
        <f>IFERROR(INDEX($B$3:$AL$39,MATCH(#REF!,$B$3:$B$39,0),MATCH(DATEDIF(EOMONTH(#REF!,-1)+1,BF44,"M"),$B$3:$AL$3,0)),0)</f>
        <v>0</v>
      </c>
      <c r="BG45" s="30">
        <f>IFERROR(INDEX($B$3:$AL$39,MATCH(#REF!,$B$3:$B$39,0),MATCH(DATEDIF(EOMONTH(#REF!,-1)+1,BG44,"M"),$B$3:$AL$3,0)),0)</f>
        <v>0</v>
      </c>
      <c r="BH45" s="30">
        <f>IFERROR(INDEX($B$3:$AL$39,MATCH(#REF!,$B$3:$B$39,0),MATCH(DATEDIF(EOMONTH(#REF!,-1)+1,BH44,"M"),$B$3:$AL$3,0)),0)</f>
        <v>0</v>
      </c>
      <c r="BI45" s="30">
        <f>IFERROR(INDEX($B$3:$AL$39,MATCH(#REF!,$B$3:$B$39,0),MATCH(DATEDIF(EOMONTH(#REF!,-1)+1,BI44,"M"),$B$3:$AL$3,0)),0)</f>
        <v>0</v>
      </c>
      <c r="BJ45" s="30">
        <f>IFERROR(INDEX($B$3:$AL$39,MATCH(#REF!,$B$3:$B$39,0),MATCH(DATEDIF(EOMONTH(#REF!,-1)+1,BJ44,"M"),$B$3:$AL$3,0)),0)</f>
        <v>0</v>
      </c>
      <c r="BK45" s="30">
        <f>IFERROR(INDEX($B$3:$AL$39,MATCH(#REF!,$B$3:$B$39,0),MATCH(DATEDIF(EOMONTH(#REF!,-1)+1,BK44,"M"),$B$3:$AL$3,0)),0)</f>
        <v>0</v>
      </c>
      <c r="BL45" s="30">
        <f>IFERROR(INDEX($B$3:$AL$39,MATCH(#REF!,$B$3:$B$39,0),MATCH(DATEDIF(EOMONTH(#REF!,-1)+1,BL44,"M"),$B$3:$AL$3,0)),0)</f>
        <v>0</v>
      </c>
      <c r="BM45" s="30">
        <f>IFERROR(INDEX($B$3:$AL$39,MATCH(#REF!,$B$3:$B$39,0),MATCH(DATEDIF(EOMONTH(#REF!,-1)+1,BM44,"M"),$B$3:$AL$3,0)),0)</f>
        <v>0</v>
      </c>
      <c r="BN45" s="30">
        <f>IFERROR(INDEX($B$3:$AL$39,MATCH(#REF!,$B$3:$B$39,0),MATCH(DATEDIF(EOMONTH(#REF!,-1)+1,BN44,"M"),$B$3:$AL$3,0)),0)</f>
        <v>0</v>
      </c>
      <c r="BO45" s="30">
        <f>IFERROR(INDEX($B$3:$AL$39,MATCH(#REF!,$B$3:$B$39,0),MATCH(DATEDIF(EOMONTH(#REF!,-1)+1,BO44,"M"),$B$3:$AL$3,0)),0)</f>
        <v>0</v>
      </c>
      <c r="BP45" s="30">
        <f>IFERROR(INDEX($B$3:$AL$39,MATCH(#REF!,$B$3:$B$39,0),MATCH(DATEDIF(EOMONTH(#REF!,-1)+1,BP44,"M"),$B$3:$AL$3,0)),0)</f>
        <v>0</v>
      </c>
      <c r="BQ45" s="30">
        <f>IFERROR(INDEX($B$3:$AL$39,MATCH(#REF!,$B$3:$B$39,0),MATCH(DATEDIF(EOMONTH(#REF!,-1)+1,BQ44,"M"),$B$3:$AL$3,0)),0)</f>
        <v>0</v>
      </c>
      <c r="BR45" s="30">
        <f>IFERROR(INDEX($B$3:$AL$39,MATCH(#REF!,$B$3:$B$39,0),MATCH(DATEDIF(EOMONTH(#REF!,-1)+1,BR44,"M"),$B$3:$AL$3,0)),0)</f>
        <v>0</v>
      </c>
      <c r="BS45" s="30">
        <f>IFERROR(INDEX($B$3:$AL$39,MATCH(#REF!,$B$3:$B$39,0),MATCH(DATEDIF(EOMONTH(#REF!,-1)+1,BS44,"M"),$B$3:$AL$3,0)),0)</f>
        <v>0</v>
      </c>
      <c r="BT45" s="30">
        <f>IFERROR(INDEX($B$3:$AL$39,MATCH(#REF!,$B$3:$B$39,0),MATCH(DATEDIF(EOMONTH(#REF!,-1)+1,BT44,"M"),$B$3:$AL$3,0)),0)</f>
        <v>0</v>
      </c>
      <c r="BU45" s="30">
        <f>IFERROR(INDEX($B$3:$AL$39,MATCH(#REF!,$B$3:$B$39,0),MATCH(DATEDIF(EOMONTH(#REF!,-1)+1,BU44,"M"),$B$3:$AL$3,0)),0)</f>
        <v>0</v>
      </c>
      <c r="BV45" s="30">
        <f>IFERROR(INDEX($B$3:$AL$39,MATCH(#REF!,$B$3:$B$39,0),MATCH(DATEDIF(EOMONTH(#REF!,-1)+1,BV44,"M"),$B$3:$AL$3,0)),0)</f>
        <v>0</v>
      </c>
      <c r="BW45" s="30">
        <f>IFERROR(INDEX($B$3:$AL$39,MATCH(#REF!,$B$3:$B$39,0),MATCH(DATEDIF(EOMONTH(#REF!,-1)+1,BW44,"M"),$B$3:$AL$3,0)),0)</f>
        <v>0</v>
      </c>
      <c r="BX45" s="30">
        <f>IFERROR(INDEX($B$3:$AL$39,MATCH(#REF!,$B$3:$B$39,0),MATCH(DATEDIF(EOMONTH(#REF!,-1)+1,BX44,"M"),$B$3:$AL$3,0)),0)</f>
        <v>0</v>
      </c>
      <c r="BY45" s="30">
        <f>IFERROR(INDEX($B$3:$AL$39,MATCH(#REF!,$B$3:$B$39,0),MATCH(DATEDIF(EOMONTH(#REF!,-1)+1,BY44,"M"),$B$3:$AL$3,0)),0)</f>
        <v>0</v>
      </c>
      <c r="BZ45" s="30">
        <f>IFERROR(INDEX($B$3:$AL$39,MATCH(#REF!,$B$3:$B$39,0),MATCH(DATEDIF(EOMONTH(#REF!,-1)+1,BZ44,"M"),$B$3:$AL$3,0)),0)</f>
        <v>0</v>
      </c>
      <c r="CA45" s="30">
        <f>IFERROR(INDEX($B$3:$AL$39,MATCH(#REF!,$B$3:$B$39,0),MATCH(DATEDIF(EOMONTH(#REF!,-1)+1,CA44,"M"),$B$3:$AL$3,0)),0)</f>
        <v>0</v>
      </c>
      <c r="CB45" s="30">
        <f>IFERROR(INDEX($B$3:$AL$39,MATCH(#REF!,$B$3:$B$39,0),MATCH(DATEDIF(EOMONTH(#REF!,-1)+1,CB44,"M"),$B$3:$AL$3,0)),0)</f>
        <v>0</v>
      </c>
      <c r="CC45" s="30">
        <f>IFERROR(INDEX($B$3:$AL$39,MATCH(#REF!,$B$3:$B$39,0),MATCH(DATEDIF(EOMONTH(#REF!,-1)+1,CC44,"M"),$B$3:$AL$3,0)),0)</f>
        <v>0</v>
      </c>
      <c r="CD45" s="30">
        <f>IFERROR(INDEX($B$3:$AL$39,MATCH(#REF!,$B$3:$B$39,0),MATCH(DATEDIF(EOMONTH(#REF!,-1)+1,CD44,"M"),$B$3:$AL$3,0)),0)</f>
        <v>0</v>
      </c>
      <c r="CE45" s="30">
        <f>IFERROR(INDEX($B$3:$AL$39,MATCH(#REF!,$B$3:$B$39,0),MATCH(DATEDIF(EOMONTH(#REF!,-1)+1,CE44,"M"),$B$3:$AL$3,0)),0)</f>
        <v>0</v>
      </c>
      <c r="CF45" s="30">
        <f>IFERROR(INDEX($B$3:$AL$39,MATCH(#REF!,$B$3:$B$39,0),MATCH(DATEDIF(EOMONTH(#REF!,-1)+1,CF44,"M"),$B$3:$AL$3,0)),0)</f>
        <v>0</v>
      </c>
      <c r="CG45" s="30">
        <f>IFERROR(INDEX($B$3:$AL$39,MATCH(#REF!,$B$3:$B$39,0),MATCH(DATEDIF(EOMONTH(#REF!,-1)+1,CG44,"M"),$B$3:$AL$3,0)),0)</f>
        <v>0</v>
      </c>
      <c r="CH45" s="30">
        <f>IFERROR(INDEX($B$3:$AL$39,MATCH(#REF!,$B$3:$B$39,0),MATCH(DATEDIF(EOMONTH(#REF!,-1)+1,CH44,"M"),$B$3:$AL$3,0)),0)</f>
        <v>0</v>
      </c>
      <c r="CI45" s="30">
        <f>IFERROR(INDEX($B$3:$AL$39,MATCH(#REF!,$B$3:$B$39,0),MATCH(DATEDIF(EOMONTH(#REF!,-1)+1,CI44,"M"),$B$3:$AL$3,0)),0)</f>
        <v>0</v>
      </c>
      <c r="CJ45" s="30">
        <f>IFERROR(INDEX($B$3:$AL$39,MATCH(#REF!,$B$3:$B$39,0),MATCH(DATEDIF(EOMONTH(#REF!,-1)+1,CJ44,"M"),$B$3:$AL$3,0)),0)</f>
        <v>0</v>
      </c>
      <c r="CK45" s="30">
        <f>IFERROR(INDEX($B$3:$AL$39,MATCH(#REF!,$B$3:$B$39,0),MATCH(DATEDIF(EOMONTH(#REF!,-1)+1,CK44,"M"),$B$3:$AL$3,0)),0)</f>
        <v>0</v>
      </c>
      <c r="CL45" s="30">
        <f>IFERROR(INDEX($B$3:$AL$39,MATCH(#REF!,$B$3:$B$39,0),MATCH(DATEDIF(EOMONTH(#REF!,-1)+1,CL44,"M"),$B$3:$AL$3,0)),0)</f>
        <v>0</v>
      </c>
      <c r="CM45" s="30">
        <f>IFERROR(INDEX($B$3:$AL$39,MATCH(#REF!,$B$3:$B$39,0),MATCH(DATEDIF(EOMONTH(#REF!,-1)+1,CM44,"M"),$B$3:$AL$3,0)),0)</f>
        <v>0</v>
      </c>
      <c r="CN45" s="30">
        <f>IFERROR(INDEX($B$3:$AL$39,MATCH(#REF!,$B$3:$B$39,0),MATCH(DATEDIF(EOMONTH(#REF!,-1)+1,CN44,"M"),$B$3:$AL$3,0)),0)</f>
        <v>0</v>
      </c>
      <c r="CO45" s="30">
        <f>IFERROR(INDEX($B$3:$AL$39,MATCH(#REF!,$B$3:$B$39,0),MATCH(DATEDIF(EOMONTH(#REF!,-1)+1,CO44,"M"),$B$3:$AL$3,0)),0)</f>
        <v>0</v>
      </c>
      <c r="CP45" s="30">
        <f>IFERROR(INDEX($B$3:$AL$39,MATCH(#REF!,$B$3:$B$39,0),MATCH(DATEDIF(EOMONTH(#REF!,-1)+1,CP44,"M"),$B$3:$AL$3,0)),0)</f>
        <v>0</v>
      </c>
      <c r="CQ45" s="30">
        <f>IFERROR(INDEX($B$3:$AL$39,MATCH(#REF!,$B$3:$B$39,0),MATCH(DATEDIF(EOMONTH(#REF!,-1)+1,CQ44,"M"),$B$3:$AL$3,0)),0)</f>
        <v>0</v>
      </c>
      <c r="CR45" s="30">
        <f>IFERROR(INDEX($B$3:$AL$39,MATCH(#REF!,$B$3:$B$39,0),MATCH(DATEDIF(EOMONTH(#REF!,-1)+1,CR44,"M"),$B$3:$AL$3,0)),0)</f>
        <v>0</v>
      </c>
      <c r="CS45" s="30">
        <f>IFERROR(INDEX($B$3:$AL$39,MATCH(#REF!,$B$3:$B$39,0),MATCH(DATEDIF(EOMONTH(#REF!,-1)+1,CS44,"M"),$B$3:$AL$3,0)),0)</f>
        <v>0</v>
      </c>
      <c r="CT45" s="30">
        <f>IFERROR(INDEX($B$3:$AL$39,MATCH(#REF!,$B$3:$B$39,0),MATCH(DATEDIF(EOMONTH(#REF!,-1)+1,CT44,"M"),$B$3:$AL$3,0)),0)</f>
        <v>0</v>
      </c>
      <c r="CU45" s="30">
        <f>IFERROR(INDEX($B$3:$AL$39,MATCH(#REF!,$B$3:$B$39,0),MATCH(DATEDIF(EOMONTH(#REF!,-1)+1,CU44,"M"),$B$3:$AL$3,0)),0)</f>
        <v>0</v>
      </c>
      <c r="CV45" s="30">
        <f>IFERROR(INDEX($B$3:$AL$39,MATCH(#REF!,$B$3:$B$39,0),MATCH(DATEDIF(EOMONTH(#REF!,-1)+1,CV44,"M"),$B$3:$AL$3,0)),0)</f>
        <v>0</v>
      </c>
      <c r="CW45" s="30">
        <f>IFERROR(INDEX($B$3:$AL$39,MATCH(#REF!,$B$3:$B$39,0),MATCH(DATEDIF(EOMONTH(#REF!,-1)+1,CW44,"M"),$B$3:$AL$3,0)),0)</f>
        <v>0</v>
      </c>
      <c r="CX45" s="30">
        <f>IFERROR(INDEX($B$3:$AL$39,MATCH(#REF!,$B$3:$B$39,0),MATCH(DATEDIF(EOMONTH(#REF!,-1)+1,CX44,"M"),$B$3:$AL$3,0)),0)</f>
        <v>0</v>
      </c>
      <c r="CY45" s="30">
        <f>IFERROR(INDEX($B$3:$AL$39,MATCH(#REF!,$B$3:$B$39,0),MATCH(DATEDIF(EOMONTH(#REF!,-1)+1,CY44,"M"),$B$3:$AL$3,0)),0)</f>
        <v>0</v>
      </c>
      <c r="CZ45" s="30">
        <f>IFERROR(INDEX($B$3:$AL$39,MATCH(#REF!,$B$3:$B$39,0),MATCH(DATEDIF(EOMONTH(#REF!,-1)+1,CZ44,"M"),$B$3:$AL$3,0)),0)</f>
        <v>0</v>
      </c>
      <c r="DA45" s="30">
        <f>IFERROR(INDEX($B$3:$AL$39,MATCH(#REF!,$B$3:$B$39,0),MATCH(DATEDIF(EOMONTH(#REF!,-1)+1,DA44,"M"),$B$3:$AL$3,0)),0)</f>
        <v>0</v>
      </c>
      <c r="DB45" s="30">
        <f>IFERROR(INDEX($B$3:$AL$39,MATCH(#REF!,$B$3:$B$39,0),MATCH(DATEDIF(EOMONTH(#REF!,-1)+1,DB44,"M"),$B$3:$AL$3,0)),0)</f>
        <v>0</v>
      </c>
      <c r="DC45" s="30">
        <f>IFERROR(INDEX($B$3:$AL$39,MATCH(#REF!,$B$3:$B$39,0),MATCH(DATEDIF(EOMONTH(#REF!,-1)+1,DC44,"M"),$B$3:$AL$3,0)),0)</f>
        <v>0</v>
      </c>
      <c r="DD45" s="30">
        <f>IFERROR(INDEX($B$3:$AL$39,MATCH(#REF!,$B$3:$B$39,0),MATCH(DATEDIF(EOMONTH(#REF!,-1)+1,DD44,"M"),$B$3:$AL$3,0)),0)</f>
        <v>0</v>
      </c>
      <c r="DE45" s="30">
        <f>IFERROR(INDEX($B$3:$AL$39,MATCH(#REF!,$B$3:$B$39,0),MATCH(DATEDIF(EOMONTH(#REF!,-1)+1,DE44,"M"),$B$3:$AL$3,0)),0)</f>
        <v>0</v>
      </c>
      <c r="DF45" s="30">
        <f>IFERROR(INDEX($B$3:$AL$39,MATCH(#REF!,$B$3:$B$39,0),MATCH(DATEDIF(EOMONTH(#REF!,-1)+1,DF44,"M"),$B$3:$AL$3,0)),0)</f>
        <v>0</v>
      </c>
      <c r="DG45" s="30">
        <f>IFERROR(INDEX($B$3:$AL$39,MATCH(#REF!,$B$3:$B$39,0),MATCH(DATEDIF(EOMONTH(#REF!,-1)+1,DG44,"M"),$B$3:$AL$3,0)),0)</f>
        <v>0</v>
      </c>
      <c r="DH45" s="30">
        <f>IFERROR(INDEX($B$3:$AL$39,MATCH(#REF!,$B$3:$B$39,0),MATCH(DATEDIF(EOMONTH(#REF!,-1)+1,DH44,"M"),$B$3:$AL$3,0)),0)</f>
        <v>0</v>
      </c>
      <c r="DI45" s="30">
        <f>IFERROR(INDEX($B$3:$AL$39,MATCH(#REF!,$B$3:$B$39,0),MATCH(DATEDIF(EOMONTH(#REF!,-1)+1,DI44,"M"),$B$3:$AL$3,0)),0)</f>
        <v>0</v>
      </c>
      <c r="DJ45" s="30">
        <f>IFERROR(INDEX($B$3:$AL$39,MATCH(#REF!,$B$3:$B$39,0),MATCH(DATEDIF(EOMONTH(#REF!,-1)+1,DJ44,"M"),$B$3:$AL$3,0)),0)</f>
        <v>0</v>
      </c>
      <c r="DK45" s="30">
        <f>IFERROR(INDEX($B$3:$AL$39,MATCH(#REF!,$B$3:$B$39,0),MATCH(DATEDIF(EOMONTH(#REF!,-1)+1,DK44,"M"),$B$3:$AL$3,0)),0)</f>
        <v>0</v>
      </c>
      <c r="DL45" s="30">
        <f>IFERROR(INDEX($B$3:$AL$39,MATCH(#REF!,$B$3:$B$39,0),MATCH(DATEDIF(EOMONTH(#REF!,-1)+1,DL44,"M"),$B$3:$AL$3,0)),0)</f>
        <v>0</v>
      </c>
      <c r="DM45" s="30">
        <f>IFERROR(INDEX($B$3:$AL$39,MATCH(#REF!,$B$3:$B$39,0),MATCH(DATEDIF(EOMONTH(#REF!,-1)+1,DM44,"M"),$B$3:$AL$3,0)),0)</f>
        <v>0</v>
      </c>
      <c r="DN45" s="30">
        <f>IFERROR(INDEX($B$3:$AL$39,MATCH(#REF!,$B$3:$B$39,0),MATCH(DATEDIF(EOMONTH(#REF!,-1)+1,DN44,"M"),$B$3:$AL$3,0)),0)</f>
        <v>0</v>
      </c>
      <c r="DO45" s="30">
        <f>IFERROR(INDEX($B$3:$AL$39,MATCH(#REF!,$B$3:$B$39,0),MATCH(DATEDIF(EOMONTH(#REF!,-1)+1,DO44,"M"),$B$3:$AL$3,0)),0)</f>
        <v>0</v>
      </c>
      <c r="DP45" s="30">
        <f>IFERROR(INDEX($B$3:$AL$39,MATCH(#REF!,$B$3:$B$39,0),MATCH(DATEDIF(EOMONTH(#REF!,-1)+1,DP44,"M"),$B$3:$AL$3,0)),0)</f>
        <v>0</v>
      </c>
      <c r="DQ45" s="30">
        <f>IFERROR(INDEX($B$3:$AL$39,MATCH(#REF!,$B$3:$B$39,0),MATCH(DATEDIF(EOMONTH(#REF!,-1)+1,DQ44,"M"),$B$3:$AL$3,0)),0)</f>
        <v>0</v>
      </c>
      <c r="DR45" s="30">
        <f>IFERROR(INDEX($B$3:$AL$39,MATCH(#REF!,$B$3:$B$39,0),MATCH(DATEDIF(EOMONTH(#REF!,-1)+1,DR44,"M"),$B$3:$AL$3,0)),0)</f>
        <v>0</v>
      </c>
      <c r="DS45" s="30">
        <f>IFERROR(INDEX($B$3:$AL$39,MATCH(#REF!,$B$3:$B$39,0),MATCH(DATEDIF(EOMONTH(#REF!,-1)+1,DS44,"M"),$B$3:$AL$3,0)),0)</f>
        <v>0</v>
      </c>
      <c r="DT45" s="30">
        <f>IFERROR(INDEX($B$3:$AL$39,MATCH(#REF!,$B$3:$B$39,0),MATCH(DATEDIF(EOMONTH(#REF!,-1)+1,DT44,"M"),$B$3:$AL$3,0)),0)</f>
        <v>0</v>
      </c>
      <c r="DU45" s="30">
        <f>IFERROR(INDEX($B$3:$AL$39,MATCH(#REF!,$B$3:$B$39,0),MATCH(DATEDIF(EOMONTH(#REF!,-1)+1,DU44,"M"),$B$3:$AL$3,0)),0)</f>
        <v>0</v>
      </c>
      <c r="DV45" s="30">
        <f>IFERROR(INDEX($B$3:$AL$39,MATCH(#REF!,$B$3:$B$39,0),MATCH(DATEDIF(EOMONTH(#REF!,-1)+1,DV44,"M"),$B$3:$AL$3,0)),0)</f>
        <v>0</v>
      </c>
      <c r="DW45" s="30">
        <f>IFERROR(INDEX($B$3:$AL$39,MATCH(#REF!,$B$3:$B$39,0),MATCH(DATEDIF(EOMONTH(#REF!,-1)+1,DW44,"M"),$B$3:$AL$3,0)),0)</f>
        <v>0</v>
      </c>
      <c r="DX45" s="30">
        <f>IFERROR(INDEX($B$3:$AL$39,MATCH(#REF!,$B$3:$B$39,0),MATCH(DATEDIF(EOMONTH(#REF!,-1)+1,DX44,"M"),$B$3:$AL$3,0)),0)</f>
        <v>0</v>
      </c>
      <c r="DY45" s="30">
        <f>IFERROR(INDEX($B$3:$AL$39,MATCH(#REF!,$B$3:$B$39,0),MATCH(DATEDIF(EOMONTH(#REF!,-1)+1,DY44,"M"),$B$3:$AL$3,0)),0)</f>
        <v>0</v>
      </c>
      <c r="DZ45" s="30">
        <f>IFERROR(INDEX($B$3:$AL$39,MATCH(#REF!,$B$3:$B$39,0),MATCH(DATEDIF(EOMONTH(#REF!,-1)+1,DZ44,"M"),$B$3:$AL$3,0)),0)</f>
        <v>0</v>
      </c>
      <c r="EA45" s="30">
        <f>IFERROR(INDEX($B$3:$AL$39,MATCH(#REF!,$B$3:$B$39,0),MATCH(DATEDIF(EOMONTH(#REF!,-1)+1,EA44,"M"),$B$3:$AL$3,0)),0)</f>
        <v>0</v>
      </c>
      <c r="EB45" s="30">
        <f>IFERROR(INDEX($B$3:$AL$39,MATCH(#REF!,$B$3:$B$39,0),MATCH(DATEDIF(EOMONTH(#REF!,-1)+1,EB44,"M"),$B$3:$AL$3,0)),0)</f>
        <v>0</v>
      </c>
      <c r="EC45" s="30">
        <f>IFERROR(INDEX($B$3:$AL$39,MATCH(#REF!,$B$3:$B$39,0),MATCH(DATEDIF(EOMONTH(#REF!,-1)+1,EC44,"M"),$B$3:$AL$3,0)),0)</f>
        <v>0</v>
      </c>
      <c r="ED45" s="30">
        <f>IFERROR(INDEX($B$3:$AL$39,MATCH(#REF!,$B$3:$B$39,0),MATCH(DATEDIF(EOMONTH(#REF!,-1)+1,ED44,"M"),$B$3:$AL$3,0)),0)</f>
        <v>0</v>
      </c>
      <c r="EE45" s="30">
        <f>IFERROR(INDEX($B$3:$AL$39,MATCH(#REF!,$B$3:$B$39,0),MATCH(DATEDIF(EOMONTH(#REF!,-1)+1,EE44,"M"),$B$3:$AL$3,0)),0)</f>
        <v>0</v>
      </c>
      <c r="EF45" s="30">
        <f>IFERROR(INDEX($B$3:$AL$39,MATCH(#REF!,$B$3:$B$39,0),MATCH(DATEDIF(EOMONTH(#REF!,-1)+1,EF44,"M"),$B$3:$AL$3,0)),0)</f>
        <v>0</v>
      </c>
      <c r="EG45" s="30">
        <f>IFERROR(INDEX($B$3:$AL$39,MATCH(#REF!,$B$3:$B$39,0),MATCH(DATEDIF(EOMONTH(#REF!,-1)+1,EG44,"M"),$B$3:$AL$3,0)),0)</f>
        <v>0</v>
      </c>
      <c r="EH45" s="30">
        <f>IFERROR(INDEX($B$3:$AL$39,MATCH(#REF!,$B$3:$B$39,0),MATCH(DATEDIF(EOMONTH(#REF!,-1)+1,EH44,"M"),$B$3:$AL$3,0)),0)</f>
        <v>0</v>
      </c>
      <c r="EI45" s="30">
        <f>IFERROR(INDEX($B$3:$AL$39,MATCH(#REF!,$B$3:$B$39,0),MATCH(DATEDIF(EOMONTH(#REF!,-1)+1,EI44,"M"),$B$3:$AL$3,0)),0)</f>
        <v>0</v>
      </c>
      <c r="EJ45" s="30">
        <f>IFERROR(INDEX($B$3:$AL$39,MATCH(#REF!,$B$3:$B$39,0),MATCH(DATEDIF(EOMONTH(#REF!,-1)+1,EJ44,"M"),$B$3:$AL$3,0)),0)</f>
        <v>0</v>
      </c>
      <c r="EK45" s="30">
        <f>IFERROR(INDEX($B$3:$AL$39,MATCH(#REF!,$B$3:$B$39,0),MATCH(DATEDIF(EOMONTH(#REF!,-1)+1,EK44,"M"),$B$3:$AL$3,0)),0)</f>
        <v>0</v>
      </c>
      <c r="EL45" s="30">
        <f>IFERROR(INDEX($B$3:$AL$39,MATCH(#REF!,$B$3:$B$39,0),MATCH(DATEDIF(EOMONTH(#REF!,-1)+1,EL44,"M"),$B$3:$AL$3,0)),0)</f>
        <v>0</v>
      </c>
      <c r="EM45" s="30">
        <f>IFERROR(INDEX($B$3:$AL$39,MATCH(#REF!,$B$3:$B$39,0),MATCH(DATEDIF(EOMONTH(#REF!,-1)+1,EM44,"M"),$B$3:$AL$3,0)),0)</f>
        <v>0</v>
      </c>
      <c r="EN45" s="30">
        <f>IFERROR(INDEX($B$3:$AL$39,MATCH(#REF!,$B$3:$B$39,0),MATCH(DATEDIF(EOMONTH(#REF!,-1)+1,EN44,"M"),$B$3:$AL$3,0)),0)</f>
        <v>0</v>
      </c>
      <c r="EO45" s="30">
        <f>IFERROR(INDEX($B$3:$AL$39,MATCH(#REF!,$B$3:$B$39,0),MATCH(DATEDIF(EOMONTH(#REF!,-1)+1,EO44,"M"),$B$3:$AL$3,0)),0)</f>
        <v>0</v>
      </c>
      <c r="EP45" s="30">
        <f>IFERROR(INDEX($B$3:$AL$39,MATCH(#REF!,$B$3:$B$39,0),MATCH(DATEDIF(EOMONTH(#REF!,-1)+1,EP44,"M"),$B$3:$AL$3,0)),0)</f>
        <v>0</v>
      </c>
      <c r="EQ45" s="30">
        <f>IFERROR(INDEX($B$3:$AL$39,MATCH(#REF!,$B$3:$B$39,0),MATCH(DATEDIF(EOMONTH(#REF!,-1)+1,EQ44,"M"),$B$3:$AL$3,0)),0)</f>
        <v>0</v>
      </c>
      <c r="ER45" s="30">
        <f>IFERROR(INDEX($B$3:$AL$39,MATCH(#REF!,$B$3:$B$39,0),MATCH(DATEDIF(EOMONTH(#REF!,-1)+1,ER44,"M"),$B$3:$AL$3,0)),0)</f>
        <v>0</v>
      </c>
      <c r="ES45" s="30">
        <f>IFERROR(INDEX($B$3:$AL$39,MATCH(#REF!,$B$3:$B$39,0),MATCH(DATEDIF(EOMONTH(#REF!,-1)+1,ES44,"M"),$B$3:$AL$3,0)),0)</f>
        <v>0</v>
      </c>
      <c r="ET45" s="30">
        <f>IFERROR(INDEX($B$3:$AL$39,MATCH(#REF!,$B$3:$B$39,0),MATCH(DATEDIF(EOMONTH(#REF!,-1)+1,ET44,"M"),$B$3:$AL$3,0)),0)</f>
        <v>0</v>
      </c>
      <c r="EU45" s="30">
        <f>IFERROR(INDEX($B$3:$AL$39,MATCH(#REF!,$B$3:$B$39,0),MATCH(DATEDIF(EOMONTH(#REF!,-1)+1,EU44,"M"),$B$3:$AL$3,0)),0)</f>
        <v>0</v>
      </c>
      <c r="EV45" s="30">
        <f>IFERROR(INDEX($B$3:$AL$39,MATCH(#REF!,$B$3:$B$39,0),MATCH(DATEDIF(EOMONTH(#REF!,-1)+1,EV44,"M"),$B$3:$AL$3,0)),0)</f>
        <v>0</v>
      </c>
      <c r="EW45" s="30">
        <f>IFERROR(INDEX($B$3:$AL$39,MATCH(#REF!,$B$3:$B$39,0),MATCH(DATEDIF(EOMONTH(#REF!,-1)+1,EW44,"M"),$B$3:$AL$3,0)),0)</f>
        <v>0</v>
      </c>
      <c r="EX45" s="30">
        <f>IFERROR(INDEX($B$3:$AL$39,MATCH(#REF!,$B$3:$B$39,0),MATCH(DATEDIF(EOMONTH(#REF!,-1)+1,EX44,"M"),$B$3:$AL$3,0)),0)</f>
        <v>0</v>
      </c>
      <c r="EY45" s="30">
        <f>IFERROR(INDEX($B$3:$AL$39,MATCH(#REF!,$B$3:$B$39,0),MATCH(DATEDIF(EOMONTH(#REF!,-1)+1,EY44,"M"),$B$3:$AL$3,0)),0)</f>
        <v>0</v>
      </c>
      <c r="EZ45" s="30">
        <f>IFERROR(INDEX($B$3:$AL$39,MATCH(#REF!,$B$3:$B$39,0),MATCH(DATEDIF(EOMONTH(#REF!,-1)+1,EZ44,"M"),$B$3:$AL$3,0)),0)</f>
        <v>0</v>
      </c>
      <c r="FA45" s="30">
        <f>IFERROR(INDEX($B$3:$AL$39,MATCH(#REF!,$B$3:$B$39,0),MATCH(DATEDIF(EOMONTH(#REF!,-1)+1,FA44,"M"),$B$3:$AL$3,0)),0)</f>
        <v>0</v>
      </c>
      <c r="FB45" s="30">
        <f>IFERROR(INDEX($B$3:$AL$39,MATCH(#REF!,$B$3:$B$39,0),MATCH(DATEDIF(EOMONTH(#REF!,-1)+1,FB44,"M"),$B$3:$AL$3,0)),0)</f>
        <v>0</v>
      </c>
      <c r="FC45" s="30">
        <f>IFERROR(INDEX($B$3:$AL$39,MATCH(#REF!,$B$3:$B$39,0),MATCH(DATEDIF(EOMONTH(#REF!,-1)+1,FC44,"M"),$B$3:$AL$3,0)),0)</f>
        <v>0</v>
      </c>
      <c r="FD45" s="30">
        <f>IFERROR(INDEX($B$3:$AL$39,MATCH(#REF!,$B$3:$B$39,0),MATCH(DATEDIF(EOMONTH(#REF!,-1)+1,FD44,"M"),$B$3:$AL$3,0)),0)</f>
        <v>0</v>
      </c>
      <c r="FE45" s="30">
        <f>IFERROR(INDEX($B$3:$AL$39,MATCH(#REF!,$B$3:$B$39,0),MATCH(DATEDIF(EOMONTH(#REF!,-1)+1,FE44,"M"),$B$3:$AL$3,0)),0)</f>
        <v>0</v>
      </c>
      <c r="FF45" s="30">
        <f>IFERROR(INDEX($B$3:$AL$39,MATCH(#REF!,$B$3:$B$39,0),MATCH(DATEDIF(EOMONTH(#REF!,-1)+1,FF44,"M"),$B$3:$AL$3,0)),0)</f>
        <v>0</v>
      </c>
      <c r="FG45" s="30">
        <f>IFERROR(INDEX($B$3:$AL$39,MATCH(#REF!,$B$3:$B$39,0),MATCH(DATEDIF(EOMONTH(#REF!,-1)+1,FG44,"M"),$B$3:$AL$3,0)),0)</f>
        <v>0</v>
      </c>
      <c r="FH45" s="30">
        <f>IFERROR(INDEX($B$3:$AL$39,MATCH(#REF!,$B$3:$B$39,0),MATCH(DATEDIF(EOMONTH(#REF!,-1)+1,FH44,"M"),$B$3:$AL$3,0)),0)</f>
        <v>0</v>
      </c>
      <c r="FI45" s="30">
        <f>IFERROR(INDEX($B$3:$AL$39,MATCH(#REF!,$B$3:$B$39,0),MATCH(DATEDIF(EOMONTH(#REF!,-1)+1,FI44,"M"),$B$3:$AL$3,0)),0)</f>
        <v>0</v>
      </c>
      <c r="FJ45" s="30">
        <f>IFERROR(INDEX($B$3:$AL$39,MATCH(#REF!,$B$3:$B$39,0),MATCH(DATEDIF(EOMONTH(#REF!,-1)+1,FJ44,"M"),$B$3:$AL$3,0)),0)</f>
        <v>0</v>
      </c>
      <c r="FK45" s="30">
        <f>IFERROR(INDEX($B$3:$AL$39,MATCH(#REF!,$B$3:$B$39,0),MATCH(DATEDIF(EOMONTH(#REF!,-1)+1,FK44,"M"),$B$3:$AL$3,0)),0)</f>
        <v>0</v>
      </c>
      <c r="FL45" s="30">
        <f>IFERROR(INDEX($B$3:$AL$39,MATCH(#REF!,$B$3:$B$39,0),MATCH(DATEDIF(EOMONTH(#REF!,-1)+1,FL44,"M"),$B$3:$AL$3,0)),0)</f>
        <v>0</v>
      </c>
      <c r="FM45" s="30">
        <f>IFERROR(INDEX($B$3:$AL$39,MATCH(#REF!,$B$3:$B$39,0),MATCH(DATEDIF(EOMONTH(#REF!,-1)+1,FM44,"M"),$B$3:$AL$3,0)),0)</f>
        <v>0</v>
      </c>
      <c r="FN45" s="30">
        <f>IFERROR(INDEX($B$3:$AL$39,MATCH(#REF!,$B$3:$B$39,0),MATCH(DATEDIF(EOMONTH(#REF!,-1)+1,FN44,"M"),$B$3:$AL$3,0)),0)</f>
        <v>0</v>
      </c>
      <c r="FO45" s="30">
        <f>IFERROR(INDEX($B$3:$AL$39,MATCH(#REF!,$B$3:$B$39,0),MATCH(DATEDIF(EOMONTH(#REF!,-1)+1,FO44,"M"),$B$3:$AL$3,0)),0)</f>
        <v>0</v>
      </c>
      <c r="FP45" s="30">
        <f>IFERROR(INDEX($B$3:$AL$39,MATCH(#REF!,$B$3:$B$39,0),MATCH(DATEDIF(EOMONTH(#REF!,-1)+1,FP44,"M"),$B$3:$AL$3,0)),0)</f>
        <v>0</v>
      </c>
      <c r="FQ45" s="30">
        <f>IFERROR(INDEX($B$3:$AL$39,MATCH(#REF!,$B$3:$B$39,0),MATCH(DATEDIF(EOMONTH(#REF!,-1)+1,FQ44,"M"),$B$3:$AL$3,0)),0)</f>
        <v>0</v>
      </c>
      <c r="FR45" s="30">
        <f>IFERROR(INDEX($B$3:$AL$39,MATCH(#REF!,$B$3:$B$39,0),MATCH(DATEDIF(EOMONTH(#REF!,-1)+1,FR44,"M"),$B$3:$AL$3,0)),0)</f>
        <v>0</v>
      </c>
      <c r="FS45" s="30">
        <f>IFERROR(INDEX($B$3:$AL$39,MATCH(#REF!,$B$3:$B$39,0),MATCH(DATEDIF(EOMONTH(#REF!,-1)+1,FS44,"M"),$B$3:$AL$3,0)),0)</f>
        <v>0</v>
      </c>
      <c r="FT45" s="30">
        <f>IFERROR(INDEX($B$3:$AL$39,MATCH(#REF!,$B$3:$B$39,0),MATCH(DATEDIF(EOMONTH(#REF!,-1)+1,FT44,"M"),$B$3:$AL$3,0)),0)</f>
        <v>0</v>
      </c>
      <c r="FU45" s="30">
        <f>IFERROR(INDEX($B$3:$AL$39,MATCH(#REF!,$B$3:$B$39,0),MATCH(DATEDIF(EOMONTH(#REF!,-1)+1,FU44,"M"),$B$3:$AL$3,0)),0)</f>
        <v>0</v>
      </c>
      <c r="FV45" s="30">
        <f>IFERROR(INDEX($B$3:$AL$39,MATCH(#REF!,$B$3:$B$39,0),MATCH(DATEDIF(EOMONTH(#REF!,-1)+1,FV44,"M"),$B$3:$AL$3,0)),0)</f>
        <v>0</v>
      </c>
      <c r="FW45" s="30">
        <f>IFERROR(INDEX($B$3:$AL$39,MATCH(#REF!,$B$3:$B$39,0),MATCH(DATEDIF(EOMONTH(#REF!,-1)+1,FW44,"M"),$B$3:$AL$3,0)),0)</f>
        <v>0</v>
      </c>
      <c r="FX45" s="30">
        <f>IFERROR(INDEX($B$3:$AL$39,MATCH(#REF!,$B$3:$B$39,0),MATCH(DATEDIF(EOMONTH(#REF!,-1)+1,FX44,"M"),$B$3:$AL$3,0)),0)</f>
        <v>0</v>
      </c>
      <c r="FY45" s="30">
        <f>IFERROR(INDEX($B$3:$AL$39,MATCH(#REF!,$B$3:$B$39,0),MATCH(DATEDIF(EOMONTH(#REF!,-1)+1,FY44,"M"),$B$3:$AL$3,0)),0)</f>
        <v>0</v>
      </c>
      <c r="FZ45" s="30">
        <f>IFERROR(INDEX($B$3:$AL$39,MATCH(#REF!,$B$3:$B$39,0),MATCH(DATEDIF(EOMONTH(#REF!,-1)+1,FZ44,"M"),$B$3:$AL$3,0)),0)</f>
        <v>0</v>
      </c>
      <c r="GA45" s="30">
        <f>IFERROR(INDEX($B$3:$AL$39,MATCH(#REF!,$B$3:$B$39,0),MATCH(DATEDIF(EOMONTH(#REF!,-1)+1,GA44,"M"),$B$3:$AL$3,0)),0)</f>
        <v>0</v>
      </c>
      <c r="GB45" s="30">
        <f>IFERROR(INDEX($B$3:$AL$39,MATCH(#REF!,$B$3:$B$39,0),MATCH(DATEDIF(EOMONTH(#REF!,-1)+1,GB44,"M"),$B$3:$AL$3,0)),0)</f>
        <v>0</v>
      </c>
      <c r="GC45" s="30">
        <f>IFERROR(INDEX($B$3:$AL$39,MATCH(#REF!,$B$3:$B$39,0),MATCH(DATEDIF(EOMONTH(#REF!,-1)+1,GC44,"M"),$B$3:$AL$3,0)),0)</f>
        <v>0</v>
      </c>
      <c r="GD45" s="30">
        <f>IFERROR(INDEX($B$3:$AL$39,MATCH(#REF!,$B$3:$B$39,0),MATCH(DATEDIF(EOMONTH(#REF!,-1)+1,GD44,"M"),$B$3:$AL$3,0)),0)</f>
        <v>0</v>
      </c>
      <c r="GE45" s="30">
        <f>IFERROR(INDEX($B$3:$AL$39,MATCH(#REF!,$B$3:$B$39,0),MATCH(DATEDIF(EOMONTH(#REF!,-1)+1,GE44,"M"),$B$3:$AL$3,0)),0)</f>
        <v>0</v>
      </c>
      <c r="GF45" s="30">
        <f>IFERROR(INDEX($B$3:$AL$39,MATCH(#REF!,$B$3:$B$39,0),MATCH(DATEDIF(EOMONTH(#REF!,-1)+1,GF44,"M"),$B$3:$AL$3,0)),0)</f>
        <v>0</v>
      </c>
      <c r="GG45" s="30">
        <f>IFERROR(INDEX($B$3:$AL$39,MATCH(#REF!,$B$3:$B$39,0),MATCH(DATEDIF(EOMONTH(#REF!,-1)+1,GG44,"M"),$B$3:$AL$3,0)),0)</f>
        <v>0</v>
      </c>
      <c r="GH45" s="30">
        <f>IFERROR(INDEX($B$3:$AL$39,MATCH(#REF!,$B$3:$B$39,0),MATCH(DATEDIF(EOMONTH(#REF!,-1)+1,GH44,"M"),$B$3:$AL$3,0)),0)</f>
        <v>0</v>
      </c>
      <c r="GI45" s="30">
        <f>IFERROR(INDEX($B$3:$AL$39,MATCH(#REF!,$B$3:$B$39,0),MATCH(DATEDIF(EOMONTH(#REF!,-1)+1,GI44,"M"),$B$3:$AL$3,0)),0)</f>
        <v>0</v>
      </c>
      <c r="GJ45" s="30">
        <f>IFERROR(INDEX($B$3:$AL$39,MATCH(#REF!,$B$3:$B$39,0),MATCH(DATEDIF(EOMONTH(#REF!,-1)+1,GJ44,"M"),$B$3:$AL$3,0)),0)</f>
        <v>0</v>
      </c>
      <c r="GK45" s="30">
        <f>IFERROR(INDEX($B$3:$AL$39,MATCH(#REF!,$B$3:$B$39,0),MATCH(DATEDIF(EOMONTH(#REF!,-1)+1,GK44,"M"),$B$3:$AL$3,0)),0)</f>
        <v>0</v>
      </c>
      <c r="GL45" s="30">
        <f>IFERROR(INDEX($B$3:$AL$39,MATCH(#REF!,$B$3:$B$39,0),MATCH(DATEDIF(EOMONTH(#REF!,-1)+1,GL44,"M"),$B$3:$AL$3,0)),0)</f>
        <v>0</v>
      </c>
      <c r="GM45" s="31">
        <f>IFERROR(INDEX($B$3:$AL$39,MATCH(#REF!,$B$3:$B$39,0),MATCH(DATEDIF(EOMONTH(#REF!,-1)+1,GM44,"M"),$B$3:$AL$3,0)),0)</f>
        <v>0</v>
      </c>
    </row>
    <row r="46" spans="2:195" x14ac:dyDescent="0.3">
      <c r="B46" s="22" t="s">
        <v>36</v>
      </c>
      <c r="C46" s="32">
        <f>IFERROR(INDEX($B$3:$AL$39,MATCH(#REF!,$B$3:$B$39,0),MATCH(DATEDIF(EOMONTH(#REF!,-1)+1,C44,"M"),$B$3:$AL$3,0)),0)</f>
        <v>0</v>
      </c>
      <c r="D46" s="32">
        <f>IFERROR(INDEX($B$3:$AL$39,MATCH(#REF!,$B$3:$B$39,0),MATCH(DATEDIF(EOMONTH(#REF!,-1)+1,D44,"M"),$B$3:$AL$3,0)),0)</f>
        <v>0</v>
      </c>
      <c r="E46" s="32">
        <f>IFERROR(INDEX($B$3:$AL$39,MATCH(#REF!,$B$3:$B$39,0),MATCH(DATEDIF(EOMONTH(#REF!,-1)+1,E44,"M"),$B$3:$AL$3,0)),0)</f>
        <v>0</v>
      </c>
      <c r="F46" s="32">
        <f>IFERROR(INDEX($B$3:$AL$39,MATCH(#REF!,$B$3:$B$39,0),MATCH(DATEDIF(EOMONTH(#REF!,-1)+1,F44,"M"),$B$3:$AL$3,0)),0)</f>
        <v>0</v>
      </c>
      <c r="G46" s="32">
        <f>IFERROR(INDEX($B$3:$AL$39,MATCH(#REF!,$B$3:$B$39,0),MATCH(DATEDIF(EOMONTH(#REF!,-1)+1,G44,"M"),$B$3:$AL$3,0)),0)</f>
        <v>0</v>
      </c>
      <c r="H46" s="32">
        <f>IFERROR(INDEX($B$3:$AL$39,MATCH(#REF!,$B$3:$B$39,0),MATCH(DATEDIF(EOMONTH(#REF!,-1)+1,H44,"M"),$B$3:$AL$3,0)),0)</f>
        <v>0</v>
      </c>
      <c r="I46" s="32">
        <f>IFERROR(INDEX($B$3:$AL$39,MATCH(#REF!,$B$3:$B$39,0),MATCH(DATEDIF(EOMONTH(#REF!,-1)+1,I44,"M"),$B$3:$AL$3,0)),0)</f>
        <v>0</v>
      </c>
      <c r="J46" s="32">
        <f>IFERROR(INDEX($B$3:$AL$39,MATCH(#REF!,$B$3:$B$39,0),MATCH(DATEDIF(EOMONTH(#REF!,-1)+1,J44,"M"),$B$3:$AL$3,0)),0)</f>
        <v>0</v>
      </c>
      <c r="K46" s="32">
        <f>IFERROR(INDEX($B$3:$AL$39,MATCH(#REF!,$B$3:$B$39,0),MATCH(DATEDIF(EOMONTH(#REF!,-1)+1,K44,"M"),$B$3:$AL$3,0)),0)</f>
        <v>0</v>
      </c>
      <c r="L46" s="32">
        <f>IFERROR(INDEX($B$3:$AL$39,MATCH(#REF!,$B$3:$B$39,0),MATCH(DATEDIF(EOMONTH(#REF!,-1)+1,L44,"M"),$B$3:$AL$3,0)),0)</f>
        <v>0</v>
      </c>
      <c r="M46" s="32">
        <f>IFERROR(INDEX($B$3:$AL$39,MATCH(#REF!,$B$3:$B$39,0),MATCH(DATEDIF(EOMONTH(#REF!,-1)+1,M44,"M"),$B$3:$AL$3,0)),0)</f>
        <v>0</v>
      </c>
      <c r="N46" s="32">
        <f>IFERROR(INDEX($B$3:$AL$39,MATCH(#REF!,$B$3:$B$39,0),MATCH(DATEDIF(EOMONTH(#REF!,-1)+1,N44,"M"),$B$3:$AL$3,0)),0)</f>
        <v>0</v>
      </c>
      <c r="O46" s="32">
        <f>IFERROR(INDEX($B$3:$AL$39,MATCH(#REF!,$B$3:$B$39,0),MATCH(DATEDIF(EOMONTH(#REF!,-1)+1,O44,"M"),$B$3:$AL$3,0)),0)</f>
        <v>0</v>
      </c>
      <c r="P46" s="32">
        <f>IFERROR(INDEX($B$3:$AL$39,MATCH(#REF!,$B$3:$B$39,0),MATCH(DATEDIF(EOMONTH(#REF!,-1)+1,P44,"M"),$B$3:$AL$3,0)),0)</f>
        <v>0</v>
      </c>
      <c r="Q46" s="32">
        <f>IFERROR(INDEX($B$3:$AL$39,MATCH(#REF!,$B$3:$B$39,0),MATCH(DATEDIF(EOMONTH(#REF!,-1)+1,Q44,"M"),$B$3:$AL$3,0)),0)</f>
        <v>0</v>
      </c>
      <c r="R46" s="32">
        <f>IFERROR(INDEX($B$3:$AL$39,MATCH(#REF!,$B$3:$B$39,0),MATCH(DATEDIF(EOMONTH(#REF!,-1)+1,R44,"M"),$B$3:$AL$3,0)),0)</f>
        <v>0</v>
      </c>
      <c r="S46" s="32">
        <f>IFERROR(INDEX($B$3:$AL$39,MATCH(#REF!,$B$3:$B$39,0),MATCH(DATEDIF(EOMONTH(#REF!,-1)+1,S44,"M"),$B$3:$AL$3,0)),0)</f>
        <v>0</v>
      </c>
      <c r="T46" s="32">
        <f>IFERROR(INDEX($B$3:$AL$39,MATCH(#REF!,$B$3:$B$39,0),MATCH(DATEDIF(EOMONTH(#REF!,-1)+1,T44,"M"),$B$3:$AL$3,0)),0)</f>
        <v>0</v>
      </c>
      <c r="U46" s="32">
        <f>IFERROR(INDEX($B$3:$AL$39,MATCH(#REF!,$B$3:$B$39,0),MATCH(DATEDIF(EOMONTH(#REF!,-1)+1,U44,"M"),$B$3:$AL$3,0)),0)</f>
        <v>0</v>
      </c>
      <c r="V46" s="32">
        <f>IFERROR(INDEX($B$3:$AL$39,MATCH(#REF!,$B$3:$B$39,0),MATCH(DATEDIF(EOMONTH(#REF!,-1)+1,V44,"M"),$B$3:$AL$3,0)),0)</f>
        <v>0</v>
      </c>
      <c r="W46" s="32">
        <f>IFERROR(INDEX($B$3:$AL$39,MATCH(#REF!,$B$3:$B$39,0),MATCH(DATEDIF(EOMONTH(#REF!,-1)+1,W44,"M"),$B$3:$AL$3,0)),0)</f>
        <v>0</v>
      </c>
      <c r="X46" s="32">
        <f>IFERROR(INDEX($B$3:$AL$39,MATCH(#REF!,$B$3:$B$39,0),MATCH(DATEDIF(EOMONTH(#REF!,-1)+1,X44,"M"),$B$3:$AL$3,0)),0)</f>
        <v>0</v>
      </c>
      <c r="Y46" s="32">
        <f>IFERROR(INDEX($B$3:$AL$39,MATCH(#REF!,$B$3:$B$39,0),MATCH(DATEDIF(EOMONTH(#REF!,-1)+1,Y44,"M"),$B$3:$AL$3,0)),0)</f>
        <v>0</v>
      </c>
      <c r="Z46" s="32">
        <f>IFERROR(INDEX($B$3:$AL$39,MATCH(#REF!,$B$3:$B$39,0),MATCH(DATEDIF(EOMONTH(#REF!,-1)+1,Z44,"M"),$B$3:$AL$3,0)),0)</f>
        <v>0</v>
      </c>
      <c r="AA46" s="32">
        <f>IFERROR(INDEX($B$3:$AL$39,MATCH(#REF!,$B$3:$B$39,0),MATCH(DATEDIF(EOMONTH(#REF!,-1)+1,AA44,"M"),$B$3:$AL$3,0)),0)</f>
        <v>0</v>
      </c>
      <c r="AB46" s="32">
        <f>IFERROR(INDEX($B$3:$AL$39,MATCH(#REF!,$B$3:$B$39,0),MATCH(DATEDIF(EOMONTH(#REF!,-1)+1,AB44,"M"),$B$3:$AL$3,0)),0)</f>
        <v>0</v>
      </c>
      <c r="AC46" s="32">
        <f>IFERROR(INDEX($B$3:$AL$39,MATCH(#REF!,$B$3:$B$39,0),MATCH(DATEDIF(EOMONTH(#REF!,-1)+1,AC44,"M"),$B$3:$AL$3,0)),0)</f>
        <v>0</v>
      </c>
      <c r="AD46" s="32">
        <f>IFERROR(INDEX($B$3:$AL$39,MATCH(#REF!,$B$3:$B$39,0),MATCH(DATEDIF(EOMONTH(#REF!,-1)+1,AD44,"M"),$B$3:$AL$3,0)),0)</f>
        <v>0</v>
      </c>
      <c r="AE46" s="32">
        <f>IFERROR(INDEX($B$3:$AL$39,MATCH(#REF!,$B$3:$B$39,0),MATCH(DATEDIF(EOMONTH(#REF!,-1)+1,AE44,"M"),$B$3:$AL$3,0)),0)</f>
        <v>0</v>
      </c>
      <c r="AF46" s="32">
        <f>IFERROR(INDEX($B$3:$AL$39,MATCH(#REF!,$B$3:$B$39,0),MATCH(DATEDIF(EOMONTH(#REF!,-1)+1,AF44,"M"),$B$3:$AL$3,0)),0)</f>
        <v>0</v>
      </c>
      <c r="AG46" s="32">
        <f>IFERROR(INDEX($B$3:$AL$39,MATCH(#REF!,$B$3:$B$39,0),MATCH(DATEDIF(EOMONTH(#REF!,-1)+1,AG44,"M"),$B$3:$AL$3,0)),0)</f>
        <v>0</v>
      </c>
      <c r="AH46" s="32">
        <f>IFERROR(INDEX($B$3:$AL$39,MATCH(#REF!,$B$3:$B$39,0),MATCH(DATEDIF(EOMONTH(#REF!,-1)+1,AH44,"M"),$B$3:$AL$3,0)),0)</f>
        <v>0</v>
      </c>
      <c r="AI46" s="32">
        <f>IFERROR(INDEX($B$3:$AL$39,MATCH(#REF!,$B$3:$B$39,0),MATCH(DATEDIF(EOMONTH(#REF!,-1)+1,AI44,"M"),$B$3:$AL$3,0)),0)</f>
        <v>0</v>
      </c>
      <c r="AJ46" s="32">
        <f>IFERROR(INDEX($B$3:$AL$39,MATCH(#REF!,$B$3:$B$39,0),MATCH(DATEDIF(EOMONTH(#REF!,-1)+1,AJ44,"M"),$B$3:$AL$3,0)),0)</f>
        <v>0</v>
      </c>
      <c r="AK46" s="32">
        <f>IFERROR(INDEX($B$3:$AL$39,MATCH(#REF!,$B$3:$B$39,0),MATCH(DATEDIF(EOMONTH(#REF!,-1)+1,AK44,"M"),$B$3:$AL$3,0)),0)</f>
        <v>0</v>
      </c>
      <c r="AL46" s="32">
        <f>IFERROR(INDEX($B$3:$AL$39,MATCH(#REF!,$B$3:$B$39,0),MATCH(DATEDIF(EOMONTH(#REF!,-1)+1,AL44,"M"),$B$3:$AL$3,0)),0)</f>
        <v>0</v>
      </c>
      <c r="AM46" s="32">
        <f>IFERROR(INDEX($B$3:$AL$39,MATCH(#REF!,$B$3:$B$39,0),MATCH(DATEDIF(EOMONTH(#REF!,-1)+1,AM44,"M"),$B$3:$AL$3,0)),0)</f>
        <v>0</v>
      </c>
      <c r="AN46" s="32">
        <f>IFERROR(INDEX($B$3:$AL$39,MATCH(#REF!,$B$3:$B$39,0),MATCH(DATEDIF(EOMONTH(#REF!,-1)+1,AN44,"M"),$B$3:$AL$3,0)),0)</f>
        <v>0</v>
      </c>
      <c r="AO46" s="32">
        <f>IFERROR(INDEX($B$3:$AL$39,MATCH(#REF!,$B$3:$B$39,0),MATCH(DATEDIF(EOMONTH(#REF!,-1)+1,AO44,"M"),$B$3:$AL$3,0)),0)</f>
        <v>0</v>
      </c>
      <c r="AP46" s="32">
        <f>IFERROR(INDEX($B$3:$AL$39,MATCH(#REF!,$B$3:$B$39,0),MATCH(DATEDIF(EOMONTH(#REF!,-1)+1,AP44,"M"),$B$3:$AL$3,0)),0)</f>
        <v>0</v>
      </c>
      <c r="AQ46" s="32">
        <f>IFERROR(INDEX($B$3:$AL$39,MATCH(#REF!,$B$3:$B$39,0),MATCH(DATEDIF(EOMONTH(#REF!,-1)+1,AQ44,"M"),$B$3:$AL$3,0)),0)</f>
        <v>0</v>
      </c>
      <c r="AR46" s="32">
        <f>IFERROR(INDEX($B$3:$AL$39,MATCH(#REF!,$B$3:$B$39,0),MATCH(DATEDIF(EOMONTH(#REF!,-1)+1,AR44,"M"),$B$3:$AL$3,0)),0)</f>
        <v>0</v>
      </c>
      <c r="AS46" s="32">
        <f>IFERROR(INDEX($B$3:$AL$39,MATCH(#REF!,$B$3:$B$39,0),MATCH(DATEDIF(EOMONTH(#REF!,-1)+1,AS44,"M"),$B$3:$AL$3,0)),0)</f>
        <v>0</v>
      </c>
      <c r="AT46" s="32">
        <f>IFERROR(INDEX($B$3:$AL$39,MATCH(#REF!,$B$3:$B$39,0),MATCH(DATEDIF(EOMONTH(#REF!,-1)+1,AT44,"M"),$B$3:$AL$3,0)),0)</f>
        <v>0</v>
      </c>
      <c r="AU46" s="32">
        <f>IFERROR(INDEX($B$3:$AL$39,MATCH(#REF!,$B$3:$B$39,0),MATCH(DATEDIF(EOMONTH(#REF!,-1)+1,AU44,"M"),$B$3:$AL$3,0)),0)</f>
        <v>0</v>
      </c>
      <c r="AV46" s="32">
        <f>IFERROR(INDEX($B$3:$AL$39,MATCH(#REF!,$B$3:$B$39,0),MATCH(DATEDIF(EOMONTH(#REF!,-1)+1,AV44,"M"),$B$3:$AL$3,0)),0)</f>
        <v>0</v>
      </c>
      <c r="AW46" s="32">
        <f>IFERROR(INDEX($B$3:$AL$39,MATCH(#REF!,$B$3:$B$39,0),MATCH(DATEDIF(EOMONTH(#REF!,-1)+1,AW44,"M"),$B$3:$AL$3,0)),0)</f>
        <v>0</v>
      </c>
      <c r="AX46" s="32">
        <f>IFERROR(INDEX($B$3:$AL$39,MATCH(#REF!,$B$3:$B$39,0),MATCH(DATEDIF(EOMONTH(#REF!,-1)+1,AX44,"M"),$B$3:$AL$3,0)),0)</f>
        <v>0</v>
      </c>
      <c r="AY46" s="32">
        <f>IFERROR(INDEX($B$3:$AL$39,MATCH(#REF!,$B$3:$B$39,0),MATCH(DATEDIF(EOMONTH(#REF!,-1)+1,AY44,"M"),$B$3:$AL$3,0)),0)</f>
        <v>0</v>
      </c>
      <c r="AZ46" s="32">
        <f>IFERROR(INDEX($B$3:$AL$39,MATCH(#REF!,$B$3:$B$39,0),MATCH(DATEDIF(EOMONTH(#REF!,-1)+1,AZ44,"M"),$B$3:$AL$3,0)),0)</f>
        <v>0</v>
      </c>
      <c r="BA46" s="32">
        <f>IFERROR(INDEX($B$3:$AL$39,MATCH(#REF!,$B$3:$B$39,0),MATCH(DATEDIF(EOMONTH(#REF!,-1)+1,BA44,"M"),$B$3:$AL$3,0)),0)</f>
        <v>0</v>
      </c>
      <c r="BB46" s="32">
        <f>IFERROR(INDEX($B$3:$AL$39,MATCH(#REF!,$B$3:$B$39,0),MATCH(DATEDIF(EOMONTH(#REF!,-1)+1,BB44,"M"),$B$3:$AL$3,0)),0)</f>
        <v>0</v>
      </c>
      <c r="BC46" s="32">
        <f>IFERROR(INDEX($B$3:$AL$39,MATCH(#REF!,$B$3:$B$39,0),MATCH(DATEDIF(EOMONTH(#REF!,-1)+1,BC44,"M"),$B$3:$AL$3,0)),0)</f>
        <v>0</v>
      </c>
      <c r="BD46" s="32">
        <f>IFERROR(INDEX($B$3:$AL$39,MATCH(#REF!,$B$3:$B$39,0),MATCH(DATEDIF(EOMONTH(#REF!,-1)+1,BD44,"M"),$B$3:$AL$3,0)),0)</f>
        <v>0</v>
      </c>
      <c r="BE46" s="32">
        <f>IFERROR(INDEX($B$3:$AL$39,MATCH(#REF!,$B$3:$B$39,0),MATCH(DATEDIF(EOMONTH(#REF!,-1)+1,BE44,"M"),$B$3:$AL$3,0)),0)</f>
        <v>0</v>
      </c>
      <c r="BF46" s="32">
        <f>IFERROR(INDEX($B$3:$AL$39,MATCH(#REF!,$B$3:$B$39,0),MATCH(DATEDIF(EOMONTH(#REF!,-1)+1,BF44,"M"),$B$3:$AL$3,0)),0)</f>
        <v>0</v>
      </c>
      <c r="BG46" s="32">
        <f>IFERROR(INDEX($B$3:$AL$39,MATCH(#REF!,$B$3:$B$39,0),MATCH(DATEDIF(EOMONTH(#REF!,-1)+1,BG44,"M"),$B$3:$AL$3,0)),0)</f>
        <v>0</v>
      </c>
      <c r="BH46" s="32">
        <f>IFERROR(INDEX($B$3:$AL$39,MATCH(#REF!,$B$3:$B$39,0),MATCH(DATEDIF(EOMONTH(#REF!,-1)+1,BH44,"M"),$B$3:$AL$3,0)),0)</f>
        <v>0</v>
      </c>
      <c r="BI46" s="32">
        <f>IFERROR(INDEX($B$3:$AL$39,MATCH(#REF!,$B$3:$B$39,0),MATCH(DATEDIF(EOMONTH(#REF!,-1)+1,BI44,"M"),$B$3:$AL$3,0)),0)</f>
        <v>0</v>
      </c>
      <c r="BJ46" s="32">
        <f>IFERROR(INDEX($B$3:$AL$39,MATCH(#REF!,$B$3:$B$39,0),MATCH(DATEDIF(EOMONTH(#REF!,-1)+1,BJ44,"M"),$B$3:$AL$3,0)),0)</f>
        <v>0</v>
      </c>
      <c r="BK46" s="32">
        <f>IFERROR(INDEX($B$3:$AL$39,MATCH(#REF!,$B$3:$B$39,0),MATCH(DATEDIF(EOMONTH(#REF!,-1)+1,BK44,"M"),$B$3:$AL$3,0)),0)</f>
        <v>0</v>
      </c>
      <c r="BL46" s="32">
        <f>IFERROR(INDEX($B$3:$AL$39,MATCH(#REF!,$B$3:$B$39,0),MATCH(DATEDIF(EOMONTH(#REF!,-1)+1,BL44,"M"),$B$3:$AL$3,0)),0)</f>
        <v>0</v>
      </c>
      <c r="BM46" s="32">
        <f>IFERROR(INDEX($B$3:$AL$39,MATCH(#REF!,$B$3:$B$39,0),MATCH(DATEDIF(EOMONTH(#REF!,-1)+1,BM44,"M"),$B$3:$AL$3,0)),0)</f>
        <v>0</v>
      </c>
      <c r="BN46" s="32">
        <f>IFERROR(INDEX($B$3:$AL$39,MATCH(#REF!,$B$3:$B$39,0),MATCH(DATEDIF(EOMONTH(#REF!,-1)+1,BN44,"M"),$B$3:$AL$3,0)),0)</f>
        <v>0</v>
      </c>
      <c r="BO46" s="32">
        <f>IFERROR(INDEX($B$3:$AL$39,MATCH(#REF!,$B$3:$B$39,0),MATCH(DATEDIF(EOMONTH(#REF!,-1)+1,BO44,"M"),$B$3:$AL$3,0)),0)</f>
        <v>0</v>
      </c>
      <c r="BP46" s="32">
        <f>IFERROR(INDEX($B$3:$AL$39,MATCH(#REF!,$B$3:$B$39,0),MATCH(DATEDIF(EOMONTH(#REF!,-1)+1,BP44,"M"),$B$3:$AL$3,0)),0)</f>
        <v>0</v>
      </c>
      <c r="BQ46" s="32">
        <f>IFERROR(INDEX($B$3:$AL$39,MATCH(#REF!,$B$3:$B$39,0),MATCH(DATEDIF(EOMONTH(#REF!,-1)+1,BQ44,"M"),$B$3:$AL$3,0)),0)</f>
        <v>0</v>
      </c>
      <c r="BR46" s="32">
        <f>IFERROR(INDEX($B$3:$AL$39,MATCH(#REF!,$B$3:$B$39,0),MATCH(DATEDIF(EOMONTH(#REF!,-1)+1,BR44,"M"),$B$3:$AL$3,0)),0)</f>
        <v>0</v>
      </c>
      <c r="BS46" s="32">
        <f>IFERROR(INDEX($B$3:$AL$39,MATCH(#REF!,$B$3:$B$39,0),MATCH(DATEDIF(EOMONTH(#REF!,-1)+1,BS44,"M"),$B$3:$AL$3,0)),0)</f>
        <v>0</v>
      </c>
      <c r="BT46" s="32">
        <f>IFERROR(INDEX($B$3:$AL$39,MATCH(#REF!,$B$3:$B$39,0),MATCH(DATEDIF(EOMONTH(#REF!,-1)+1,BT44,"M"),$B$3:$AL$3,0)),0)</f>
        <v>0</v>
      </c>
      <c r="BU46" s="32">
        <f>IFERROR(INDEX($B$3:$AL$39,MATCH(#REF!,$B$3:$B$39,0),MATCH(DATEDIF(EOMONTH(#REF!,-1)+1,BU44,"M"),$B$3:$AL$3,0)),0)</f>
        <v>0</v>
      </c>
      <c r="BV46" s="32">
        <f>IFERROR(INDEX($B$3:$AL$39,MATCH(#REF!,$B$3:$B$39,0),MATCH(DATEDIF(EOMONTH(#REF!,-1)+1,BV44,"M"),$B$3:$AL$3,0)),0)</f>
        <v>0</v>
      </c>
      <c r="BW46" s="32">
        <f>IFERROR(INDEX($B$3:$AL$39,MATCH(#REF!,$B$3:$B$39,0),MATCH(DATEDIF(EOMONTH(#REF!,-1)+1,BW44,"M"),$B$3:$AL$3,0)),0)</f>
        <v>0</v>
      </c>
      <c r="BX46" s="32">
        <f>IFERROR(INDEX($B$3:$AL$39,MATCH(#REF!,$B$3:$B$39,0),MATCH(DATEDIF(EOMONTH(#REF!,-1)+1,BX44,"M"),$B$3:$AL$3,0)),0)</f>
        <v>0</v>
      </c>
      <c r="BY46" s="32">
        <f>IFERROR(INDEX($B$3:$AL$39,MATCH(#REF!,$B$3:$B$39,0),MATCH(DATEDIF(EOMONTH(#REF!,-1)+1,BY44,"M"),$B$3:$AL$3,0)),0)</f>
        <v>0</v>
      </c>
      <c r="BZ46" s="32">
        <f>IFERROR(INDEX($B$3:$AL$39,MATCH(#REF!,$B$3:$B$39,0),MATCH(DATEDIF(EOMONTH(#REF!,-1)+1,BZ44,"M"),$B$3:$AL$3,0)),0)</f>
        <v>0</v>
      </c>
      <c r="CA46" s="32">
        <f>IFERROR(INDEX($B$3:$AL$39,MATCH(#REF!,$B$3:$B$39,0),MATCH(DATEDIF(EOMONTH(#REF!,-1)+1,CA44,"M"),$B$3:$AL$3,0)),0)</f>
        <v>0</v>
      </c>
      <c r="CB46" s="32">
        <f>IFERROR(INDEX($B$3:$AL$39,MATCH(#REF!,$B$3:$B$39,0),MATCH(DATEDIF(EOMONTH(#REF!,-1)+1,CB44,"M"),$B$3:$AL$3,0)),0)</f>
        <v>0</v>
      </c>
      <c r="CC46" s="32">
        <f>IFERROR(INDEX($B$3:$AL$39,MATCH(#REF!,$B$3:$B$39,0),MATCH(DATEDIF(EOMONTH(#REF!,-1)+1,CC44,"M"),$B$3:$AL$3,0)),0)</f>
        <v>0</v>
      </c>
      <c r="CD46" s="32">
        <f>IFERROR(INDEX($B$3:$AL$39,MATCH(#REF!,$B$3:$B$39,0),MATCH(DATEDIF(EOMONTH(#REF!,-1)+1,CD44,"M"),$B$3:$AL$3,0)),0)</f>
        <v>0</v>
      </c>
      <c r="CE46" s="32">
        <f>IFERROR(INDEX($B$3:$AL$39,MATCH(#REF!,$B$3:$B$39,0),MATCH(DATEDIF(EOMONTH(#REF!,-1)+1,CE44,"M"),$B$3:$AL$3,0)),0)</f>
        <v>0</v>
      </c>
      <c r="CF46" s="32">
        <f>IFERROR(INDEX($B$3:$AL$39,MATCH(#REF!,$B$3:$B$39,0),MATCH(DATEDIF(EOMONTH(#REF!,-1)+1,CF44,"M"),$B$3:$AL$3,0)),0)</f>
        <v>0</v>
      </c>
      <c r="CG46" s="32">
        <f>IFERROR(INDEX($B$3:$AL$39,MATCH(#REF!,$B$3:$B$39,0),MATCH(DATEDIF(EOMONTH(#REF!,-1)+1,CG44,"M"),$B$3:$AL$3,0)),0)</f>
        <v>0</v>
      </c>
      <c r="CH46" s="32">
        <f>IFERROR(INDEX($B$3:$AL$39,MATCH(#REF!,$B$3:$B$39,0),MATCH(DATEDIF(EOMONTH(#REF!,-1)+1,CH44,"M"),$B$3:$AL$3,0)),0)</f>
        <v>0</v>
      </c>
      <c r="CI46" s="32">
        <f>IFERROR(INDEX($B$3:$AL$39,MATCH(#REF!,$B$3:$B$39,0),MATCH(DATEDIF(EOMONTH(#REF!,-1)+1,CI44,"M"),$B$3:$AL$3,0)),0)</f>
        <v>0</v>
      </c>
      <c r="CJ46" s="32">
        <f>IFERROR(INDEX($B$3:$AL$39,MATCH(#REF!,$B$3:$B$39,0),MATCH(DATEDIF(EOMONTH(#REF!,-1)+1,CJ44,"M"),$B$3:$AL$3,0)),0)</f>
        <v>0</v>
      </c>
      <c r="CK46" s="32">
        <f>IFERROR(INDEX($B$3:$AL$39,MATCH(#REF!,$B$3:$B$39,0),MATCH(DATEDIF(EOMONTH(#REF!,-1)+1,CK44,"M"),$B$3:$AL$3,0)),0)</f>
        <v>0</v>
      </c>
      <c r="CL46" s="32">
        <f>IFERROR(INDEX($B$3:$AL$39,MATCH(#REF!,$B$3:$B$39,0),MATCH(DATEDIF(EOMONTH(#REF!,-1)+1,CL44,"M"),$B$3:$AL$3,0)),0)</f>
        <v>0</v>
      </c>
      <c r="CM46" s="32">
        <f>IFERROR(INDEX($B$3:$AL$39,MATCH(#REF!,$B$3:$B$39,0),MATCH(DATEDIF(EOMONTH(#REF!,-1)+1,CM44,"M"),$B$3:$AL$3,0)),0)</f>
        <v>0</v>
      </c>
      <c r="CN46" s="32">
        <f>IFERROR(INDEX($B$3:$AL$39,MATCH(#REF!,$B$3:$B$39,0),MATCH(DATEDIF(EOMONTH(#REF!,-1)+1,CN44,"M"),$B$3:$AL$3,0)),0)</f>
        <v>0</v>
      </c>
      <c r="CO46" s="32">
        <f>IFERROR(INDEX($B$3:$AL$39,MATCH(#REF!,$B$3:$B$39,0),MATCH(DATEDIF(EOMONTH(#REF!,-1)+1,CO44,"M"),$B$3:$AL$3,0)),0)</f>
        <v>0</v>
      </c>
      <c r="CP46" s="32">
        <f>IFERROR(INDEX($B$3:$AL$39,MATCH(#REF!,$B$3:$B$39,0),MATCH(DATEDIF(EOMONTH(#REF!,-1)+1,CP44,"M"),$B$3:$AL$3,0)),0)</f>
        <v>0</v>
      </c>
      <c r="CQ46" s="32">
        <f>IFERROR(INDEX($B$3:$AL$39,MATCH(#REF!,$B$3:$B$39,0),MATCH(DATEDIF(EOMONTH(#REF!,-1)+1,CQ44,"M"),$B$3:$AL$3,0)),0)</f>
        <v>0</v>
      </c>
      <c r="CR46" s="32">
        <f>IFERROR(INDEX($B$3:$AL$39,MATCH(#REF!,$B$3:$B$39,0),MATCH(DATEDIF(EOMONTH(#REF!,-1)+1,CR44,"M"),$B$3:$AL$3,0)),0)</f>
        <v>0</v>
      </c>
      <c r="CS46" s="32">
        <f>IFERROR(INDEX($B$3:$AL$39,MATCH(#REF!,$B$3:$B$39,0),MATCH(DATEDIF(EOMONTH(#REF!,-1)+1,CS44,"M"),$B$3:$AL$3,0)),0)</f>
        <v>0</v>
      </c>
      <c r="CT46" s="32">
        <f>IFERROR(INDEX($B$3:$AL$39,MATCH(#REF!,$B$3:$B$39,0),MATCH(DATEDIF(EOMONTH(#REF!,-1)+1,CT44,"M"),$B$3:$AL$3,0)),0)</f>
        <v>0</v>
      </c>
      <c r="CU46" s="32">
        <f>IFERROR(INDEX($B$3:$AL$39,MATCH(#REF!,$B$3:$B$39,0),MATCH(DATEDIF(EOMONTH(#REF!,-1)+1,CU44,"M"),$B$3:$AL$3,0)),0)</f>
        <v>0</v>
      </c>
      <c r="CV46" s="32">
        <f>IFERROR(INDEX($B$3:$AL$39,MATCH(#REF!,$B$3:$B$39,0),MATCH(DATEDIF(EOMONTH(#REF!,-1)+1,CV44,"M"),$B$3:$AL$3,0)),0)</f>
        <v>0</v>
      </c>
      <c r="CW46" s="32">
        <f>IFERROR(INDEX($B$3:$AL$39,MATCH(#REF!,$B$3:$B$39,0),MATCH(DATEDIF(EOMONTH(#REF!,-1)+1,CW44,"M"),$B$3:$AL$3,0)),0)</f>
        <v>0</v>
      </c>
      <c r="CX46" s="32">
        <f>IFERROR(INDEX($B$3:$AL$39,MATCH(#REF!,$B$3:$B$39,0),MATCH(DATEDIF(EOMONTH(#REF!,-1)+1,CX44,"M"),$B$3:$AL$3,0)),0)</f>
        <v>0</v>
      </c>
      <c r="CY46" s="32">
        <f>IFERROR(INDEX($B$3:$AL$39,MATCH(#REF!,$B$3:$B$39,0),MATCH(DATEDIF(EOMONTH(#REF!,-1)+1,CY44,"M"),$B$3:$AL$3,0)),0)</f>
        <v>0</v>
      </c>
      <c r="CZ46" s="32">
        <f>IFERROR(INDEX($B$3:$AL$39,MATCH(#REF!,$B$3:$B$39,0),MATCH(DATEDIF(EOMONTH(#REF!,-1)+1,CZ44,"M"),$B$3:$AL$3,0)),0)</f>
        <v>0</v>
      </c>
      <c r="DA46" s="32">
        <f>IFERROR(INDEX($B$3:$AL$39,MATCH(#REF!,$B$3:$B$39,0),MATCH(DATEDIF(EOMONTH(#REF!,-1)+1,DA44,"M"),$B$3:$AL$3,0)),0)</f>
        <v>0</v>
      </c>
      <c r="DB46" s="32">
        <f>IFERROR(INDEX($B$3:$AL$39,MATCH(#REF!,$B$3:$B$39,0),MATCH(DATEDIF(EOMONTH(#REF!,-1)+1,DB44,"M"),$B$3:$AL$3,0)),0)</f>
        <v>0</v>
      </c>
      <c r="DC46" s="32">
        <f>IFERROR(INDEX($B$3:$AL$39,MATCH(#REF!,$B$3:$B$39,0),MATCH(DATEDIF(EOMONTH(#REF!,-1)+1,DC44,"M"),$B$3:$AL$3,0)),0)</f>
        <v>0</v>
      </c>
      <c r="DD46" s="32">
        <f>IFERROR(INDEX($B$3:$AL$39,MATCH(#REF!,$B$3:$B$39,0),MATCH(DATEDIF(EOMONTH(#REF!,-1)+1,DD44,"M"),$B$3:$AL$3,0)),0)</f>
        <v>0</v>
      </c>
      <c r="DE46" s="32">
        <f>IFERROR(INDEX($B$3:$AL$39,MATCH(#REF!,$B$3:$B$39,0),MATCH(DATEDIF(EOMONTH(#REF!,-1)+1,DE44,"M"),$B$3:$AL$3,0)),0)</f>
        <v>0</v>
      </c>
      <c r="DF46" s="32">
        <f>IFERROR(INDEX($B$3:$AL$39,MATCH(#REF!,$B$3:$B$39,0),MATCH(DATEDIF(EOMONTH(#REF!,-1)+1,DF44,"M"),$B$3:$AL$3,0)),0)</f>
        <v>0</v>
      </c>
      <c r="DG46" s="32">
        <f>IFERROR(INDEX($B$3:$AL$39,MATCH(#REF!,$B$3:$B$39,0),MATCH(DATEDIF(EOMONTH(#REF!,-1)+1,DG44,"M"),$B$3:$AL$3,0)),0)</f>
        <v>0</v>
      </c>
      <c r="DH46" s="32">
        <f>IFERROR(INDEX($B$3:$AL$39,MATCH(#REF!,$B$3:$B$39,0),MATCH(DATEDIF(EOMONTH(#REF!,-1)+1,DH44,"M"),$B$3:$AL$3,0)),0)</f>
        <v>0</v>
      </c>
      <c r="DI46" s="32">
        <f>IFERROR(INDEX($B$3:$AL$39,MATCH(#REF!,$B$3:$B$39,0),MATCH(DATEDIF(EOMONTH(#REF!,-1)+1,DI44,"M"),$B$3:$AL$3,0)),0)</f>
        <v>0</v>
      </c>
      <c r="DJ46" s="32">
        <f>IFERROR(INDEX($B$3:$AL$39,MATCH(#REF!,$B$3:$B$39,0),MATCH(DATEDIF(EOMONTH(#REF!,-1)+1,DJ44,"M"),$B$3:$AL$3,0)),0)</f>
        <v>0</v>
      </c>
      <c r="DK46" s="32">
        <f>IFERROR(INDEX($B$3:$AL$39,MATCH(#REF!,$B$3:$B$39,0),MATCH(DATEDIF(EOMONTH(#REF!,-1)+1,DK44,"M"),$B$3:$AL$3,0)),0)</f>
        <v>0</v>
      </c>
      <c r="DL46" s="32">
        <f>IFERROR(INDEX($B$3:$AL$39,MATCH(#REF!,$B$3:$B$39,0),MATCH(DATEDIF(EOMONTH(#REF!,-1)+1,DL44,"M"),$B$3:$AL$3,0)),0)</f>
        <v>0</v>
      </c>
      <c r="DM46" s="32">
        <f>IFERROR(INDEX($B$3:$AL$39,MATCH(#REF!,$B$3:$B$39,0),MATCH(DATEDIF(EOMONTH(#REF!,-1)+1,DM44,"M"),$B$3:$AL$3,0)),0)</f>
        <v>0</v>
      </c>
      <c r="DN46" s="32">
        <f>IFERROR(INDEX($B$3:$AL$39,MATCH(#REF!,$B$3:$B$39,0),MATCH(DATEDIF(EOMONTH(#REF!,-1)+1,DN44,"M"),$B$3:$AL$3,0)),0)</f>
        <v>0</v>
      </c>
      <c r="DO46" s="32">
        <f>IFERROR(INDEX($B$3:$AL$39,MATCH(#REF!,$B$3:$B$39,0),MATCH(DATEDIF(EOMONTH(#REF!,-1)+1,DO44,"M"),$B$3:$AL$3,0)),0)</f>
        <v>0</v>
      </c>
      <c r="DP46" s="32">
        <f>IFERROR(INDEX($B$3:$AL$39,MATCH(#REF!,$B$3:$B$39,0),MATCH(DATEDIF(EOMONTH(#REF!,-1)+1,DP44,"M"),$B$3:$AL$3,0)),0)</f>
        <v>0</v>
      </c>
      <c r="DQ46" s="32">
        <f>IFERROR(INDEX($B$3:$AL$39,MATCH(#REF!,$B$3:$B$39,0),MATCH(DATEDIF(EOMONTH(#REF!,-1)+1,DQ44,"M"),$B$3:$AL$3,0)),0)</f>
        <v>0</v>
      </c>
      <c r="DR46" s="32">
        <f>IFERROR(INDEX($B$3:$AL$39,MATCH(#REF!,$B$3:$B$39,0),MATCH(DATEDIF(EOMONTH(#REF!,-1)+1,DR44,"M"),$B$3:$AL$3,0)),0)</f>
        <v>0</v>
      </c>
      <c r="DS46" s="32">
        <f>IFERROR(INDEX($B$3:$AL$39,MATCH(#REF!,$B$3:$B$39,0),MATCH(DATEDIF(EOMONTH(#REF!,-1)+1,DS44,"M"),$B$3:$AL$3,0)),0)</f>
        <v>0</v>
      </c>
      <c r="DT46" s="32">
        <f>IFERROR(INDEX($B$3:$AL$39,MATCH(#REF!,$B$3:$B$39,0),MATCH(DATEDIF(EOMONTH(#REF!,-1)+1,DT44,"M"),$B$3:$AL$3,0)),0)</f>
        <v>0</v>
      </c>
      <c r="DU46" s="32">
        <f>IFERROR(INDEX($B$3:$AL$39,MATCH(#REF!,$B$3:$B$39,0),MATCH(DATEDIF(EOMONTH(#REF!,-1)+1,DU44,"M"),$B$3:$AL$3,0)),0)</f>
        <v>0</v>
      </c>
      <c r="DV46" s="32">
        <f>IFERROR(INDEX($B$3:$AL$39,MATCH(#REF!,$B$3:$B$39,0),MATCH(DATEDIF(EOMONTH(#REF!,-1)+1,DV44,"M"),$B$3:$AL$3,0)),0)</f>
        <v>0</v>
      </c>
      <c r="DW46" s="32">
        <f>IFERROR(INDEX($B$3:$AL$39,MATCH(#REF!,$B$3:$B$39,0),MATCH(DATEDIF(EOMONTH(#REF!,-1)+1,DW44,"M"),$B$3:$AL$3,0)),0)</f>
        <v>0</v>
      </c>
      <c r="DX46" s="32">
        <f>IFERROR(INDEX($B$3:$AL$39,MATCH(#REF!,$B$3:$B$39,0),MATCH(DATEDIF(EOMONTH(#REF!,-1)+1,DX44,"M"),$B$3:$AL$3,0)),0)</f>
        <v>0</v>
      </c>
      <c r="DY46" s="32">
        <f>IFERROR(INDEX($B$3:$AL$39,MATCH(#REF!,$B$3:$B$39,0),MATCH(DATEDIF(EOMONTH(#REF!,-1)+1,DY44,"M"),$B$3:$AL$3,0)),0)</f>
        <v>0</v>
      </c>
      <c r="DZ46" s="32">
        <f>IFERROR(INDEX($B$3:$AL$39,MATCH(#REF!,$B$3:$B$39,0),MATCH(DATEDIF(EOMONTH(#REF!,-1)+1,DZ44,"M"),$B$3:$AL$3,0)),0)</f>
        <v>0</v>
      </c>
      <c r="EA46" s="32">
        <f>IFERROR(INDEX($B$3:$AL$39,MATCH(#REF!,$B$3:$B$39,0),MATCH(DATEDIF(EOMONTH(#REF!,-1)+1,EA44,"M"),$B$3:$AL$3,0)),0)</f>
        <v>0</v>
      </c>
      <c r="EB46" s="32">
        <f>IFERROR(INDEX($B$3:$AL$39,MATCH(#REF!,$B$3:$B$39,0),MATCH(DATEDIF(EOMONTH(#REF!,-1)+1,EB44,"M"),$B$3:$AL$3,0)),0)</f>
        <v>0</v>
      </c>
      <c r="EC46" s="32">
        <f>IFERROR(INDEX($B$3:$AL$39,MATCH(#REF!,$B$3:$B$39,0),MATCH(DATEDIF(EOMONTH(#REF!,-1)+1,EC44,"M"),$B$3:$AL$3,0)),0)</f>
        <v>0</v>
      </c>
      <c r="ED46" s="32">
        <f>IFERROR(INDEX($B$3:$AL$39,MATCH(#REF!,$B$3:$B$39,0),MATCH(DATEDIF(EOMONTH(#REF!,-1)+1,ED44,"M"),$B$3:$AL$3,0)),0)</f>
        <v>0</v>
      </c>
      <c r="EE46" s="32">
        <f>IFERROR(INDEX($B$3:$AL$39,MATCH(#REF!,$B$3:$B$39,0),MATCH(DATEDIF(EOMONTH(#REF!,-1)+1,EE44,"M"),$B$3:$AL$3,0)),0)</f>
        <v>0</v>
      </c>
      <c r="EF46" s="32">
        <f>IFERROR(INDEX($B$3:$AL$39,MATCH(#REF!,$B$3:$B$39,0),MATCH(DATEDIF(EOMONTH(#REF!,-1)+1,EF44,"M"),$B$3:$AL$3,0)),0)</f>
        <v>0</v>
      </c>
      <c r="EG46" s="32">
        <f>IFERROR(INDEX($B$3:$AL$39,MATCH(#REF!,$B$3:$B$39,0),MATCH(DATEDIF(EOMONTH(#REF!,-1)+1,EG44,"M"),$B$3:$AL$3,0)),0)</f>
        <v>0</v>
      </c>
      <c r="EH46" s="32">
        <f>IFERROR(INDEX($B$3:$AL$39,MATCH(#REF!,$B$3:$B$39,0),MATCH(DATEDIF(EOMONTH(#REF!,-1)+1,EH44,"M"),$B$3:$AL$3,0)),0)</f>
        <v>0</v>
      </c>
      <c r="EI46" s="32">
        <f>IFERROR(INDEX($B$3:$AL$39,MATCH(#REF!,$B$3:$B$39,0),MATCH(DATEDIF(EOMONTH(#REF!,-1)+1,EI44,"M"),$B$3:$AL$3,0)),0)</f>
        <v>0</v>
      </c>
      <c r="EJ46" s="32">
        <f>IFERROR(INDEX($B$3:$AL$39,MATCH(#REF!,$B$3:$B$39,0),MATCH(DATEDIF(EOMONTH(#REF!,-1)+1,EJ44,"M"),$B$3:$AL$3,0)),0)</f>
        <v>0</v>
      </c>
      <c r="EK46" s="32">
        <f>IFERROR(INDEX($B$3:$AL$39,MATCH(#REF!,$B$3:$B$39,0),MATCH(DATEDIF(EOMONTH(#REF!,-1)+1,EK44,"M"),$B$3:$AL$3,0)),0)</f>
        <v>0</v>
      </c>
      <c r="EL46" s="32">
        <f>IFERROR(INDEX($B$3:$AL$39,MATCH(#REF!,$B$3:$B$39,0),MATCH(DATEDIF(EOMONTH(#REF!,-1)+1,EL44,"M"),$B$3:$AL$3,0)),0)</f>
        <v>0</v>
      </c>
      <c r="EM46" s="32">
        <f>IFERROR(INDEX($B$3:$AL$39,MATCH(#REF!,$B$3:$B$39,0),MATCH(DATEDIF(EOMONTH(#REF!,-1)+1,EM44,"M"),$B$3:$AL$3,0)),0)</f>
        <v>0</v>
      </c>
      <c r="EN46" s="32">
        <f>IFERROR(INDEX($B$3:$AL$39,MATCH(#REF!,$B$3:$B$39,0),MATCH(DATEDIF(EOMONTH(#REF!,-1)+1,EN44,"M"),$B$3:$AL$3,0)),0)</f>
        <v>0</v>
      </c>
      <c r="EO46" s="32">
        <f>IFERROR(INDEX($B$3:$AL$39,MATCH(#REF!,$B$3:$B$39,0),MATCH(DATEDIF(EOMONTH(#REF!,-1)+1,EO44,"M"),$B$3:$AL$3,0)),0)</f>
        <v>0</v>
      </c>
      <c r="EP46" s="32">
        <f>IFERROR(INDEX($B$3:$AL$39,MATCH(#REF!,$B$3:$B$39,0),MATCH(DATEDIF(EOMONTH(#REF!,-1)+1,EP44,"M"),$B$3:$AL$3,0)),0)</f>
        <v>0</v>
      </c>
      <c r="EQ46" s="32">
        <f>IFERROR(INDEX($B$3:$AL$39,MATCH(#REF!,$B$3:$B$39,0),MATCH(DATEDIF(EOMONTH(#REF!,-1)+1,EQ44,"M"),$B$3:$AL$3,0)),0)</f>
        <v>0</v>
      </c>
      <c r="ER46" s="32">
        <f>IFERROR(INDEX($B$3:$AL$39,MATCH(#REF!,$B$3:$B$39,0),MATCH(DATEDIF(EOMONTH(#REF!,-1)+1,ER44,"M"),$B$3:$AL$3,0)),0)</f>
        <v>0</v>
      </c>
      <c r="ES46" s="32">
        <f>IFERROR(INDEX($B$3:$AL$39,MATCH(#REF!,$B$3:$B$39,0),MATCH(DATEDIF(EOMONTH(#REF!,-1)+1,ES44,"M"),$B$3:$AL$3,0)),0)</f>
        <v>0</v>
      </c>
      <c r="ET46" s="32">
        <f>IFERROR(INDEX($B$3:$AL$39,MATCH(#REF!,$B$3:$B$39,0),MATCH(DATEDIF(EOMONTH(#REF!,-1)+1,ET44,"M"),$B$3:$AL$3,0)),0)</f>
        <v>0</v>
      </c>
      <c r="EU46" s="32">
        <f>IFERROR(INDEX($B$3:$AL$39,MATCH(#REF!,$B$3:$B$39,0),MATCH(DATEDIF(EOMONTH(#REF!,-1)+1,EU44,"M"),$B$3:$AL$3,0)),0)</f>
        <v>0</v>
      </c>
      <c r="EV46" s="32">
        <f>IFERROR(INDEX($B$3:$AL$39,MATCH(#REF!,$B$3:$B$39,0),MATCH(DATEDIF(EOMONTH(#REF!,-1)+1,EV44,"M"),$B$3:$AL$3,0)),0)</f>
        <v>0</v>
      </c>
      <c r="EW46" s="32">
        <f>IFERROR(INDEX($B$3:$AL$39,MATCH(#REF!,$B$3:$B$39,0),MATCH(DATEDIF(EOMONTH(#REF!,-1)+1,EW44,"M"),$B$3:$AL$3,0)),0)</f>
        <v>0</v>
      </c>
      <c r="EX46" s="32">
        <f>IFERROR(INDEX($B$3:$AL$39,MATCH(#REF!,$B$3:$B$39,0),MATCH(DATEDIF(EOMONTH(#REF!,-1)+1,EX44,"M"),$B$3:$AL$3,0)),0)</f>
        <v>0</v>
      </c>
      <c r="EY46" s="32">
        <f>IFERROR(INDEX($B$3:$AL$39,MATCH(#REF!,$B$3:$B$39,0),MATCH(DATEDIF(EOMONTH(#REF!,-1)+1,EY44,"M"),$B$3:$AL$3,0)),0)</f>
        <v>0</v>
      </c>
      <c r="EZ46" s="32">
        <f>IFERROR(INDEX($B$3:$AL$39,MATCH(#REF!,$B$3:$B$39,0),MATCH(DATEDIF(EOMONTH(#REF!,-1)+1,EZ44,"M"),$B$3:$AL$3,0)),0)</f>
        <v>0</v>
      </c>
      <c r="FA46" s="32">
        <f>IFERROR(INDEX($B$3:$AL$39,MATCH(#REF!,$B$3:$B$39,0),MATCH(DATEDIF(EOMONTH(#REF!,-1)+1,FA44,"M"),$B$3:$AL$3,0)),0)</f>
        <v>0</v>
      </c>
      <c r="FB46" s="32">
        <f>IFERROR(INDEX($B$3:$AL$39,MATCH(#REF!,$B$3:$B$39,0),MATCH(DATEDIF(EOMONTH(#REF!,-1)+1,FB44,"M"),$B$3:$AL$3,0)),0)</f>
        <v>0</v>
      </c>
      <c r="FC46" s="32">
        <f>IFERROR(INDEX($B$3:$AL$39,MATCH(#REF!,$B$3:$B$39,0),MATCH(DATEDIF(EOMONTH(#REF!,-1)+1,FC44,"M"),$B$3:$AL$3,0)),0)</f>
        <v>0</v>
      </c>
      <c r="FD46" s="32">
        <f>IFERROR(INDEX($B$3:$AL$39,MATCH(#REF!,$B$3:$B$39,0),MATCH(DATEDIF(EOMONTH(#REF!,-1)+1,FD44,"M"),$B$3:$AL$3,0)),0)</f>
        <v>0</v>
      </c>
      <c r="FE46" s="32">
        <f>IFERROR(INDEX($B$3:$AL$39,MATCH(#REF!,$B$3:$B$39,0),MATCH(DATEDIF(EOMONTH(#REF!,-1)+1,FE44,"M"),$B$3:$AL$3,0)),0)</f>
        <v>0</v>
      </c>
      <c r="FF46" s="32">
        <f>IFERROR(INDEX($B$3:$AL$39,MATCH(#REF!,$B$3:$B$39,0),MATCH(DATEDIF(EOMONTH(#REF!,-1)+1,FF44,"M"),$B$3:$AL$3,0)),0)</f>
        <v>0</v>
      </c>
      <c r="FG46" s="32">
        <f>IFERROR(INDEX($B$3:$AL$39,MATCH(#REF!,$B$3:$B$39,0),MATCH(DATEDIF(EOMONTH(#REF!,-1)+1,FG44,"M"),$B$3:$AL$3,0)),0)</f>
        <v>0</v>
      </c>
      <c r="FH46" s="32">
        <f>IFERROR(INDEX($B$3:$AL$39,MATCH(#REF!,$B$3:$B$39,0),MATCH(DATEDIF(EOMONTH(#REF!,-1)+1,FH44,"M"),$B$3:$AL$3,0)),0)</f>
        <v>0</v>
      </c>
      <c r="FI46" s="32">
        <f>IFERROR(INDEX($B$3:$AL$39,MATCH(#REF!,$B$3:$B$39,0),MATCH(DATEDIF(EOMONTH(#REF!,-1)+1,FI44,"M"),$B$3:$AL$3,0)),0)</f>
        <v>0</v>
      </c>
      <c r="FJ46" s="32">
        <f>IFERROR(INDEX($B$3:$AL$39,MATCH(#REF!,$B$3:$B$39,0),MATCH(DATEDIF(EOMONTH(#REF!,-1)+1,FJ44,"M"),$B$3:$AL$3,0)),0)</f>
        <v>0</v>
      </c>
      <c r="FK46" s="32">
        <f>IFERROR(INDEX($B$3:$AL$39,MATCH(#REF!,$B$3:$B$39,0),MATCH(DATEDIF(EOMONTH(#REF!,-1)+1,FK44,"M"),$B$3:$AL$3,0)),0)</f>
        <v>0</v>
      </c>
      <c r="FL46" s="32">
        <f>IFERROR(INDEX($B$3:$AL$39,MATCH(#REF!,$B$3:$B$39,0),MATCH(DATEDIF(EOMONTH(#REF!,-1)+1,FL44,"M"),$B$3:$AL$3,0)),0)</f>
        <v>0</v>
      </c>
      <c r="FM46" s="32">
        <f>IFERROR(INDEX($B$3:$AL$39,MATCH(#REF!,$B$3:$B$39,0),MATCH(DATEDIF(EOMONTH(#REF!,-1)+1,FM44,"M"),$B$3:$AL$3,0)),0)</f>
        <v>0</v>
      </c>
      <c r="FN46" s="32">
        <f>IFERROR(INDEX($B$3:$AL$39,MATCH(#REF!,$B$3:$B$39,0),MATCH(DATEDIF(EOMONTH(#REF!,-1)+1,FN44,"M"),$B$3:$AL$3,0)),0)</f>
        <v>0</v>
      </c>
      <c r="FO46" s="32">
        <f>IFERROR(INDEX($B$3:$AL$39,MATCH(#REF!,$B$3:$B$39,0),MATCH(DATEDIF(EOMONTH(#REF!,-1)+1,FO44,"M"),$B$3:$AL$3,0)),0)</f>
        <v>0</v>
      </c>
      <c r="FP46" s="32">
        <f>IFERROR(INDEX($B$3:$AL$39,MATCH(#REF!,$B$3:$B$39,0),MATCH(DATEDIF(EOMONTH(#REF!,-1)+1,FP44,"M"),$B$3:$AL$3,0)),0)</f>
        <v>0</v>
      </c>
      <c r="FQ46" s="32">
        <f>IFERROR(INDEX($B$3:$AL$39,MATCH(#REF!,$B$3:$B$39,0),MATCH(DATEDIF(EOMONTH(#REF!,-1)+1,FQ44,"M"),$B$3:$AL$3,0)),0)</f>
        <v>0</v>
      </c>
      <c r="FR46" s="32">
        <f>IFERROR(INDEX($B$3:$AL$39,MATCH(#REF!,$B$3:$B$39,0),MATCH(DATEDIF(EOMONTH(#REF!,-1)+1,FR44,"M"),$B$3:$AL$3,0)),0)</f>
        <v>0</v>
      </c>
      <c r="FS46" s="32">
        <f>IFERROR(INDEX($B$3:$AL$39,MATCH(#REF!,$B$3:$B$39,0),MATCH(DATEDIF(EOMONTH(#REF!,-1)+1,FS44,"M"),$B$3:$AL$3,0)),0)</f>
        <v>0</v>
      </c>
      <c r="FT46" s="32">
        <f>IFERROR(INDEX($B$3:$AL$39,MATCH(#REF!,$B$3:$B$39,0),MATCH(DATEDIF(EOMONTH(#REF!,-1)+1,FT44,"M"),$B$3:$AL$3,0)),0)</f>
        <v>0</v>
      </c>
      <c r="FU46" s="32">
        <f>IFERROR(INDEX($B$3:$AL$39,MATCH(#REF!,$B$3:$B$39,0),MATCH(DATEDIF(EOMONTH(#REF!,-1)+1,FU44,"M"),$B$3:$AL$3,0)),0)</f>
        <v>0</v>
      </c>
      <c r="FV46" s="32">
        <f>IFERROR(INDEX($B$3:$AL$39,MATCH(#REF!,$B$3:$B$39,0),MATCH(DATEDIF(EOMONTH(#REF!,-1)+1,FV44,"M"),$B$3:$AL$3,0)),0)</f>
        <v>0</v>
      </c>
      <c r="FW46" s="32">
        <f>IFERROR(INDEX($B$3:$AL$39,MATCH(#REF!,$B$3:$B$39,0),MATCH(DATEDIF(EOMONTH(#REF!,-1)+1,FW44,"M"),$B$3:$AL$3,0)),0)</f>
        <v>0</v>
      </c>
      <c r="FX46" s="32">
        <f>IFERROR(INDEX($B$3:$AL$39,MATCH(#REF!,$B$3:$B$39,0),MATCH(DATEDIF(EOMONTH(#REF!,-1)+1,FX44,"M"),$B$3:$AL$3,0)),0)</f>
        <v>0</v>
      </c>
      <c r="FY46" s="32">
        <f>IFERROR(INDEX($B$3:$AL$39,MATCH(#REF!,$B$3:$B$39,0),MATCH(DATEDIF(EOMONTH(#REF!,-1)+1,FY44,"M"),$B$3:$AL$3,0)),0)</f>
        <v>0</v>
      </c>
      <c r="FZ46" s="32">
        <f>IFERROR(INDEX($B$3:$AL$39,MATCH(#REF!,$B$3:$B$39,0),MATCH(DATEDIF(EOMONTH(#REF!,-1)+1,FZ44,"M"),$B$3:$AL$3,0)),0)</f>
        <v>0</v>
      </c>
      <c r="GA46" s="32">
        <f>IFERROR(INDEX($B$3:$AL$39,MATCH(#REF!,$B$3:$B$39,0),MATCH(DATEDIF(EOMONTH(#REF!,-1)+1,GA44,"M"),$B$3:$AL$3,0)),0)</f>
        <v>0</v>
      </c>
      <c r="GB46" s="32">
        <f>IFERROR(INDEX($B$3:$AL$39,MATCH(#REF!,$B$3:$B$39,0),MATCH(DATEDIF(EOMONTH(#REF!,-1)+1,GB44,"M"),$B$3:$AL$3,0)),0)</f>
        <v>0</v>
      </c>
      <c r="GC46" s="32">
        <f>IFERROR(INDEX($B$3:$AL$39,MATCH(#REF!,$B$3:$B$39,0),MATCH(DATEDIF(EOMONTH(#REF!,-1)+1,GC44,"M"),$B$3:$AL$3,0)),0)</f>
        <v>0</v>
      </c>
      <c r="GD46" s="32">
        <f>IFERROR(INDEX($B$3:$AL$39,MATCH(#REF!,$B$3:$B$39,0),MATCH(DATEDIF(EOMONTH(#REF!,-1)+1,GD44,"M"),$B$3:$AL$3,0)),0)</f>
        <v>0</v>
      </c>
      <c r="GE46" s="32">
        <f>IFERROR(INDEX($B$3:$AL$39,MATCH(#REF!,$B$3:$B$39,0),MATCH(DATEDIF(EOMONTH(#REF!,-1)+1,GE44,"M"),$B$3:$AL$3,0)),0)</f>
        <v>0</v>
      </c>
      <c r="GF46" s="32">
        <f>IFERROR(INDEX($B$3:$AL$39,MATCH(#REF!,$B$3:$B$39,0),MATCH(DATEDIF(EOMONTH(#REF!,-1)+1,GF44,"M"),$B$3:$AL$3,0)),0)</f>
        <v>0</v>
      </c>
      <c r="GG46" s="32">
        <f>IFERROR(INDEX($B$3:$AL$39,MATCH(#REF!,$B$3:$B$39,0),MATCH(DATEDIF(EOMONTH(#REF!,-1)+1,GG44,"M"),$B$3:$AL$3,0)),0)</f>
        <v>0</v>
      </c>
      <c r="GH46" s="32">
        <f>IFERROR(INDEX($B$3:$AL$39,MATCH(#REF!,$B$3:$B$39,0),MATCH(DATEDIF(EOMONTH(#REF!,-1)+1,GH44,"M"),$B$3:$AL$3,0)),0)</f>
        <v>0</v>
      </c>
      <c r="GI46" s="32">
        <f>IFERROR(INDEX($B$3:$AL$39,MATCH(#REF!,$B$3:$B$39,0),MATCH(DATEDIF(EOMONTH(#REF!,-1)+1,GI44,"M"),$B$3:$AL$3,0)),0)</f>
        <v>0</v>
      </c>
      <c r="GJ46" s="32">
        <f>IFERROR(INDEX($B$3:$AL$39,MATCH(#REF!,$B$3:$B$39,0),MATCH(DATEDIF(EOMONTH(#REF!,-1)+1,GJ44,"M"),$B$3:$AL$3,0)),0)</f>
        <v>0</v>
      </c>
      <c r="GK46" s="32">
        <f>IFERROR(INDEX($B$3:$AL$39,MATCH(#REF!,$B$3:$B$39,0),MATCH(DATEDIF(EOMONTH(#REF!,-1)+1,GK44,"M"),$B$3:$AL$3,0)),0)</f>
        <v>0</v>
      </c>
      <c r="GL46" s="32">
        <f>IFERROR(INDEX($B$3:$AL$39,MATCH(#REF!,$B$3:$B$39,0),MATCH(DATEDIF(EOMONTH(#REF!,-1)+1,GL44,"M"),$B$3:$AL$3,0)),0)</f>
        <v>0</v>
      </c>
      <c r="GM46" s="15">
        <f>IFERROR(INDEX($B$3:$AL$39,MATCH(#REF!,$B$3:$B$39,0),MATCH(DATEDIF(EOMONTH(#REF!,-1)+1,GM44,"M"),$B$3:$AL$3,0)),0)</f>
        <v>0</v>
      </c>
    </row>
    <row r="47" spans="2:195" x14ac:dyDescent="0.3">
      <c r="B47" s="23" t="s">
        <v>37</v>
      </c>
      <c r="C47" s="33">
        <f>IFERROR(INDEX($B$3:$AL$39,MATCH(#REF!,$B$3:$B$39,0),MATCH(DATEDIF(EOMONTH(#REF!,-1)+1,C44,"M"),$B$3:$AL$3,0)),0)</f>
        <v>0</v>
      </c>
      <c r="D47" s="33">
        <f>IFERROR(INDEX($B$3:$AL$39,MATCH(#REF!,$B$3:$B$39,0),MATCH(DATEDIF(EOMONTH(#REF!,-1)+1,D44,"M"),$B$3:$AL$3,0)),0)</f>
        <v>0</v>
      </c>
      <c r="E47" s="33">
        <f>IFERROR(INDEX($B$3:$AL$39,MATCH(#REF!,$B$3:$B$39,0),MATCH(DATEDIF(EOMONTH(#REF!,-1)+1,E44,"M"),$B$3:$AL$3,0)),0)</f>
        <v>0</v>
      </c>
      <c r="F47" s="33">
        <f>IFERROR(INDEX($B$3:$AL$39,MATCH(#REF!,$B$3:$B$39,0),MATCH(DATEDIF(EOMONTH(#REF!,-1)+1,F44,"M"),$B$3:$AL$3,0)),0)</f>
        <v>0</v>
      </c>
      <c r="G47" s="33">
        <f>IFERROR(INDEX($B$3:$AL$39,MATCH(#REF!,$B$3:$B$39,0),MATCH(DATEDIF(EOMONTH(#REF!,-1)+1,G44,"M"),$B$3:$AL$3,0)),0)</f>
        <v>0</v>
      </c>
      <c r="H47" s="33">
        <f>IFERROR(INDEX($B$3:$AL$39,MATCH(#REF!,$B$3:$B$39,0),MATCH(DATEDIF(EOMONTH(#REF!,-1)+1,H44,"M"),$B$3:$AL$3,0)),0)</f>
        <v>0</v>
      </c>
      <c r="I47" s="33">
        <f>IFERROR(INDEX($B$3:$AL$39,MATCH(#REF!,$B$3:$B$39,0),MATCH(DATEDIF(EOMONTH(#REF!,-1)+1,I44,"M"),$B$3:$AL$3,0)),0)</f>
        <v>0</v>
      </c>
      <c r="J47" s="33">
        <f>IFERROR(INDEX($B$3:$AL$39,MATCH(#REF!,$B$3:$B$39,0),MATCH(DATEDIF(EOMONTH(#REF!,-1)+1,J44,"M"),$B$3:$AL$3,0)),0)</f>
        <v>0</v>
      </c>
      <c r="K47" s="33">
        <f>IFERROR(INDEX($B$3:$AL$39,MATCH(#REF!,$B$3:$B$39,0),MATCH(DATEDIF(EOMONTH(#REF!,-1)+1,K44,"M"),$B$3:$AL$3,0)),0)</f>
        <v>0</v>
      </c>
      <c r="L47" s="33">
        <f>IFERROR(INDEX($B$3:$AL$39,MATCH(#REF!,$B$3:$B$39,0),MATCH(DATEDIF(EOMONTH(#REF!,-1)+1,L44,"M"),$B$3:$AL$3,0)),0)</f>
        <v>0</v>
      </c>
      <c r="M47" s="33">
        <f>IFERROR(INDEX($B$3:$AL$39,MATCH(#REF!,$B$3:$B$39,0),MATCH(DATEDIF(EOMONTH(#REF!,-1)+1,M44,"M"),$B$3:$AL$3,0)),0)</f>
        <v>0</v>
      </c>
      <c r="N47" s="33">
        <f>IFERROR(INDEX($B$3:$AL$39,MATCH(#REF!,$B$3:$B$39,0),MATCH(DATEDIF(EOMONTH(#REF!,-1)+1,N44,"M"),$B$3:$AL$3,0)),0)</f>
        <v>0</v>
      </c>
      <c r="O47" s="33">
        <f>IFERROR(INDEX($B$3:$AL$39,MATCH(#REF!,$B$3:$B$39,0),MATCH(DATEDIF(EOMONTH(#REF!,-1)+1,O44,"M"),$B$3:$AL$3,0)),0)</f>
        <v>0</v>
      </c>
      <c r="P47" s="33">
        <f>IFERROR(INDEX($B$3:$AL$39,MATCH(#REF!,$B$3:$B$39,0),MATCH(DATEDIF(EOMONTH(#REF!,-1)+1,P44,"M"),$B$3:$AL$3,0)),0)</f>
        <v>0</v>
      </c>
      <c r="Q47" s="33">
        <f>IFERROR(INDEX($B$3:$AL$39,MATCH(#REF!,$B$3:$B$39,0),MATCH(DATEDIF(EOMONTH(#REF!,-1)+1,Q44,"M"),$B$3:$AL$3,0)),0)</f>
        <v>0</v>
      </c>
      <c r="R47" s="33">
        <f>IFERROR(INDEX($B$3:$AL$39,MATCH(#REF!,$B$3:$B$39,0),MATCH(DATEDIF(EOMONTH(#REF!,-1)+1,R44,"M"),$B$3:$AL$3,0)),0)</f>
        <v>0</v>
      </c>
      <c r="S47" s="33">
        <f>IFERROR(INDEX($B$3:$AL$39,MATCH(#REF!,$B$3:$B$39,0),MATCH(DATEDIF(EOMONTH(#REF!,-1)+1,S44,"M"),$B$3:$AL$3,0)),0)</f>
        <v>0</v>
      </c>
      <c r="T47" s="33">
        <f>IFERROR(INDEX($B$3:$AL$39,MATCH(#REF!,$B$3:$B$39,0),MATCH(DATEDIF(EOMONTH(#REF!,-1)+1,T44,"M"),$B$3:$AL$3,0)),0)</f>
        <v>0</v>
      </c>
      <c r="U47" s="33">
        <f>IFERROR(INDEX($B$3:$AL$39,MATCH(#REF!,$B$3:$B$39,0),MATCH(DATEDIF(EOMONTH(#REF!,-1)+1,U44,"M"),$B$3:$AL$3,0)),0)</f>
        <v>0</v>
      </c>
      <c r="V47" s="33">
        <f>IFERROR(INDEX($B$3:$AL$39,MATCH(#REF!,$B$3:$B$39,0),MATCH(DATEDIF(EOMONTH(#REF!,-1)+1,V44,"M"),$B$3:$AL$3,0)),0)</f>
        <v>0</v>
      </c>
      <c r="W47" s="33">
        <f>IFERROR(INDEX($B$3:$AL$39,MATCH(#REF!,$B$3:$B$39,0),MATCH(DATEDIF(EOMONTH(#REF!,-1)+1,W44,"M"),$B$3:$AL$3,0)),0)</f>
        <v>0</v>
      </c>
      <c r="X47" s="33">
        <f>IFERROR(INDEX($B$3:$AL$39,MATCH(#REF!,$B$3:$B$39,0),MATCH(DATEDIF(EOMONTH(#REF!,-1)+1,X44,"M"),$B$3:$AL$3,0)),0)</f>
        <v>0</v>
      </c>
      <c r="Y47" s="33">
        <f>IFERROR(INDEX($B$3:$AL$39,MATCH(#REF!,$B$3:$B$39,0),MATCH(DATEDIF(EOMONTH(#REF!,-1)+1,Y44,"M"),$B$3:$AL$3,0)),0)</f>
        <v>0</v>
      </c>
      <c r="Z47" s="33">
        <f>IFERROR(INDEX($B$3:$AL$39,MATCH(#REF!,$B$3:$B$39,0),MATCH(DATEDIF(EOMONTH(#REF!,-1)+1,Z44,"M"),$B$3:$AL$3,0)),0)</f>
        <v>0</v>
      </c>
      <c r="AA47" s="33">
        <f>IFERROR(INDEX($B$3:$AL$39,MATCH(#REF!,$B$3:$B$39,0),MATCH(DATEDIF(EOMONTH(#REF!,-1)+1,AA44,"M"),$B$3:$AL$3,0)),0)</f>
        <v>0</v>
      </c>
      <c r="AB47" s="33">
        <f>IFERROR(INDEX($B$3:$AL$39,MATCH(#REF!,$B$3:$B$39,0),MATCH(DATEDIF(EOMONTH(#REF!,-1)+1,AB44,"M"),$B$3:$AL$3,0)),0)</f>
        <v>0</v>
      </c>
      <c r="AC47" s="33">
        <f>IFERROR(INDEX($B$3:$AL$39,MATCH(#REF!,$B$3:$B$39,0),MATCH(DATEDIF(EOMONTH(#REF!,-1)+1,AC44,"M"),$B$3:$AL$3,0)),0)</f>
        <v>0</v>
      </c>
      <c r="AD47" s="33">
        <f>IFERROR(INDEX($B$3:$AL$39,MATCH(#REF!,$B$3:$B$39,0),MATCH(DATEDIF(EOMONTH(#REF!,-1)+1,AD44,"M"),$B$3:$AL$3,0)),0)</f>
        <v>0</v>
      </c>
      <c r="AE47" s="33">
        <f>IFERROR(INDEX($B$3:$AL$39,MATCH(#REF!,$B$3:$B$39,0),MATCH(DATEDIF(EOMONTH(#REF!,-1)+1,AE44,"M"),$B$3:$AL$3,0)),0)</f>
        <v>0</v>
      </c>
      <c r="AF47" s="33">
        <f>IFERROR(INDEX($B$3:$AL$39,MATCH(#REF!,$B$3:$B$39,0),MATCH(DATEDIF(EOMONTH(#REF!,-1)+1,AF44,"M"),$B$3:$AL$3,0)),0)</f>
        <v>0</v>
      </c>
      <c r="AG47" s="33">
        <f>IFERROR(INDEX($B$3:$AL$39,MATCH(#REF!,$B$3:$B$39,0),MATCH(DATEDIF(EOMONTH(#REF!,-1)+1,AG44,"M"),$B$3:$AL$3,0)),0)</f>
        <v>0</v>
      </c>
      <c r="AH47" s="33">
        <f>IFERROR(INDEX($B$3:$AL$39,MATCH(#REF!,$B$3:$B$39,0),MATCH(DATEDIF(EOMONTH(#REF!,-1)+1,AH44,"M"),$B$3:$AL$3,0)),0)</f>
        <v>0</v>
      </c>
      <c r="AI47" s="33">
        <f>IFERROR(INDEX($B$3:$AL$39,MATCH(#REF!,$B$3:$B$39,0),MATCH(DATEDIF(EOMONTH(#REF!,-1)+1,AI44,"M"),$B$3:$AL$3,0)),0)</f>
        <v>0</v>
      </c>
      <c r="AJ47" s="33">
        <f>IFERROR(INDEX($B$3:$AL$39,MATCH(#REF!,$B$3:$B$39,0),MATCH(DATEDIF(EOMONTH(#REF!,-1)+1,AJ44,"M"),$B$3:$AL$3,0)),0)</f>
        <v>0</v>
      </c>
      <c r="AK47" s="33">
        <f>IFERROR(INDEX($B$3:$AL$39,MATCH(#REF!,$B$3:$B$39,0),MATCH(DATEDIF(EOMONTH(#REF!,-1)+1,AK44,"M"),$B$3:$AL$3,0)),0)</f>
        <v>0</v>
      </c>
      <c r="AL47" s="33">
        <f>IFERROR(INDEX($B$3:$AL$39,MATCH(#REF!,$B$3:$B$39,0),MATCH(DATEDIF(EOMONTH(#REF!,-1)+1,AL44,"M"),$B$3:$AL$3,0)),0)</f>
        <v>0</v>
      </c>
      <c r="AM47" s="33">
        <f>IFERROR(INDEX($B$3:$AL$39,MATCH(#REF!,$B$3:$B$39,0),MATCH(DATEDIF(EOMONTH(#REF!,-1)+1,AM44,"M"),$B$3:$AL$3,0)),0)</f>
        <v>0</v>
      </c>
      <c r="AN47" s="33">
        <f>IFERROR(INDEX($B$3:$AL$39,MATCH(#REF!,$B$3:$B$39,0),MATCH(DATEDIF(EOMONTH(#REF!,-1)+1,AN44,"M"),$B$3:$AL$3,0)),0)</f>
        <v>0</v>
      </c>
      <c r="AO47" s="33">
        <f>IFERROR(INDEX($B$3:$AL$39,MATCH(#REF!,$B$3:$B$39,0),MATCH(DATEDIF(EOMONTH(#REF!,-1)+1,AO44,"M"),$B$3:$AL$3,0)),0)</f>
        <v>0</v>
      </c>
      <c r="AP47" s="33">
        <f>IFERROR(INDEX($B$3:$AL$39,MATCH(#REF!,$B$3:$B$39,0),MATCH(DATEDIF(EOMONTH(#REF!,-1)+1,AP44,"M"),$B$3:$AL$3,0)),0)</f>
        <v>0</v>
      </c>
      <c r="AQ47" s="33">
        <f>IFERROR(INDEX($B$3:$AL$39,MATCH(#REF!,$B$3:$B$39,0),MATCH(DATEDIF(EOMONTH(#REF!,-1)+1,AQ44,"M"),$B$3:$AL$3,0)),0)</f>
        <v>0</v>
      </c>
      <c r="AR47" s="33">
        <f>IFERROR(INDEX($B$3:$AL$39,MATCH(#REF!,$B$3:$B$39,0),MATCH(DATEDIF(EOMONTH(#REF!,-1)+1,AR44,"M"),$B$3:$AL$3,0)),0)</f>
        <v>0</v>
      </c>
      <c r="AS47" s="33">
        <f>IFERROR(INDEX($B$3:$AL$39,MATCH(#REF!,$B$3:$B$39,0),MATCH(DATEDIF(EOMONTH(#REF!,-1)+1,AS44,"M"),$B$3:$AL$3,0)),0)</f>
        <v>0</v>
      </c>
      <c r="AT47" s="33">
        <f>IFERROR(INDEX($B$3:$AL$39,MATCH(#REF!,$B$3:$B$39,0),MATCH(DATEDIF(EOMONTH(#REF!,-1)+1,AT44,"M"),$B$3:$AL$3,0)),0)</f>
        <v>0</v>
      </c>
      <c r="AU47" s="33">
        <f>IFERROR(INDEX($B$3:$AL$39,MATCH(#REF!,$B$3:$B$39,0),MATCH(DATEDIF(EOMONTH(#REF!,-1)+1,AU44,"M"),$B$3:$AL$3,0)),0)</f>
        <v>0</v>
      </c>
      <c r="AV47" s="33">
        <f>IFERROR(INDEX($B$3:$AL$39,MATCH(#REF!,$B$3:$B$39,0),MATCH(DATEDIF(EOMONTH(#REF!,-1)+1,AV44,"M"),$B$3:$AL$3,0)),0)</f>
        <v>0</v>
      </c>
      <c r="AW47" s="33">
        <f>IFERROR(INDEX($B$3:$AL$39,MATCH(#REF!,$B$3:$B$39,0),MATCH(DATEDIF(EOMONTH(#REF!,-1)+1,AW44,"M"),$B$3:$AL$3,0)),0)</f>
        <v>0</v>
      </c>
      <c r="AX47" s="33">
        <f>IFERROR(INDEX($B$3:$AL$39,MATCH(#REF!,$B$3:$B$39,0),MATCH(DATEDIF(EOMONTH(#REF!,-1)+1,AX44,"M"),$B$3:$AL$3,0)),0)</f>
        <v>0</v>
      </c>
      <c r="AY47" s="33">
        <f>IFERROR(INDEX($B$3:$AL$39,MATCH(#REF!,$B$3:$B$39,0),MATCH(DATEDIF(EOMONTH(#REF!,-1)+1,AY44,"M"),$B$3:$AL$3,0)),0)</f>
        <v>0</v>
      </c>
      <c r="AZ47" s="33">
        <f>IFERROR(INDEX($B$3:$AL$39,MATCH(#REF!,$B$3:$B$39,0),MATCH(DATEDIF(EOMONTH(#REF!,-1)+1,AZ44,"M"),$B$3:$AL$3,0)),0)</f>
        <v>0</v>
      </c>
      <c r="BA47" s="33">
        <f>IFERROR(INDEX($B$3:$AL$39,MATCH(#REF!,$B$3:$B$39,0),MATCH(DATEDIF(EOMONTH(#REF!,-1)+1,BA44,"M"),$B$3:$AL$3,0)),0)</f>
        <v>0</v>
      </c>
      <c r="BB47" s="33">
        <f>IFERROR(INDEX($B$3:$AL$39,MATCH(#REF!,$B$3:$B$39,0),MATCH(DATEDIF(EOMONTH(#REF!,-1)+1,BB44,"M"),$B$3:$AL$3,0)),0)</f>
        <v>0</v>
      </c>
      <c r="BC47" s="33">
        <f>IFERROR(INDEX($B$3:$AL$39,MATCH(#REF!,$B$3:$B$39,0),MATCH(DATEDIF(EOMONTH(#REF!,-1)+1,BC44,"M"),$B$3:$AL$3,0)),0)</f>
        <v>0</v>
      </c>
      <c r="BD47" s="33">
        <f>IFERROR(INDEX($B$3:$AL$39,MATCH(#REF!,$B$3:$B$39,0),MATCH(DATEDIF(EOMONTH(#REF!,-1)+1,BD44,"M"),$B$3:$AL$3,0)),0)</f>
        <v>0</v>
      </c>
      <c r="BE47" s="33">
        <f>IFERROR(INDEX($B$3:$AL$39,MATCH(#REF!,$B$3:$B$39,0),MATCH(DATEDIF(EOMONTH(#REF!,-1)+1,BE44,"M"),$B$3:$AL$3,0)),0)</f>
        <v>0</v>
      </c>
      <c r="BF47" s="33">
        <f>IFERROR(INDEX($B$3:$AL$39,MATCH(#REF!,$B$3:$B$39,0),MATCH(DATEDIF(EOMONTH(#REF!,-1)+1,BF44,"M"),$B$3:$AL$3,0)),0)</f>
        <v>0</v>
      </c>
      <c r="BG47" s="33">
        <f>IFERROR(INDEX($B$3:$AL$39,MATCH(#REF!,$B$3:$B$39,0),MATCH(DATEDIF(EOMONTH(#REF!,-1)+1,BG44,"M"),$B$3:$AL$3,0)),0)</f>
        <v>0</v>
      </c>
      <c r="BH47" s="33">
        <f>IFERROR(INDEX($B$3:$AL$39,MATCH(#REF!,$B$3:$B$39,0),MATCH(DATEDIF(EOMONTH(#REF!,-1)+1,BH44,"M"),$B$3:$AL$3,0)),0)</f>
        <v>0</v>
      </c>
      <c r="BI47" s="33">
        <f>IFERROR(INDEX($B$3:$AL$39,MATCH(#REF!,$B$3:$B$39,0),MATCH(DATEDIF(EOMONTH(#REF!,-1)+1,BI44,"M"),$B$3:$AL$3,0)),0)</f>
        <v>0</v>
      </c>
      <c r="BJ47" s="33">
        <f>IFERROR(INDEX($B$3:$AL$39,MATCH(#REF!,$B$3:$B$39,0),MATCH(DATEDIF(EOMONTH(#REF!,-1)+1,BJ44,"M"),$B$3:$AL$3,0)),0)</f>
        <v>0</v>
      </c>
      <c r="BK47" s="33">
        <f>IFERROR(INDEX($B$3:$AL$39,MATCH(#REF!,$B$3:$B$39,0),MATCH(DATEDIF(EOMONTH(#REF!,-1)+1,BK44,"M"),$B$3:$AL$3,0)),0)</f>
        <v>0</v>
      </c>
      <c r="BL47" s="33">
        <f>IFERROR(INDEX($B$3:$AL$39,MATCH(#REF!,$B$3:$B$39,0),MATCH(DATEDIF(EOMONTH(#REF!,-1)+1,BL44,"M"),$B$3:$AL$3,0)),0)</f>
        <v>0</v>
      </c>
      <c r="BM47" s="33">
        <f>IFERROR(INDEX($B$3:$AL$39,MATCH(#REF!,$B$3:$B$39,0),MATCH(DATEDIF(EOMONTH(#REF!,-1)+1,BM44,"M"),$B$3:$AL$3,0)),0)</f>
        <v>0</v>
      </c>
      <c r="BN47" s="33">
        <f>IFERROR(INDEX($B$3:$AL$39,MATCH(#REF!,$B$3:$B$39,0),MATCH(DATEDIF(EOMONTH(#REF!,-1)+1,BN44,"M"),$B$3:$AL$3,0)),0)</f>
        <v>0</v>
      </c>
      <c r="BO47" s="33">
        <f>IFERROR(INDEX($B$3:$AL$39,MATCH(#REF!,$B$3:$B$39,0),MATCH(DATEDIF(EOMONTH(#REF!,-1)+1,BO44,"M"),$B$3:$AL$3,0)),0)</f>
        <v>0</v>
      </c>
      <c r="BP47" s="33">
        <f>IFERROR(INDEX($B$3:$AL$39,MATCH(#REF!,$B$3:$B$39,0),MATCH(DATEDIF(EOMONTH(#REF!,-1)+1,BP44,"M"),$B$3:$AL$3,0)),0)</f>
        <v>0</v>
      </c>
      <c r="BQ47" s="33">
        <f>IFERROR(INDEX($B$3:$AL$39,MATCH(#REF!,$B$3:$B$39,0),MATCH(DATEDIF(EOMONTH(#REF!,-1)+1,BQ44,"M"),$B$3:$AL$3,0)),0)</f>
        <v>0</v>
      </c>
      <c r="BR47" s="33">
        <f>IFERROR(INDEX($B$3:$AL$39,MATCH(#REF!,$B$3:$B$39,0),MATCH(DATEDIF(EOMONTH(#REF!,-1)+1,BR44,"M"),$B$3:$AL$3,0)),0)</f>
        <v>0</v>
      </c>
      <c r="BS47" s="33">
        <f>IFERROR(INDEX($B$3:$AL$39,MATCH(#REF!,$B$3:$B$39,0),MATCH(DATEDIF(EOMONTH(#REF!,-1)+1,BS44,"M"),$B$3:$AL$3,0)),0)</f>
        <v>0</v>
      </c>
      <c r="BT47" s="33">
        <f>IFERROR(INDEX($B$3:$AL$39,MATCH(#REF!,$B$3:$B$39,0),MATCH(DATEDIF(EOMONTH(#REF!,-1)+1,BT44,"M"),$B$3:$AL$3,0)),0)</f>
        <v>0</v>
      </c>
      <c r="BU47" s="33">
        <f>IFERROR(INDEX($B$3:$AL$39,MATCH(#REF!,$B$3:$B$39,0),MATCH(DATEDIF(EOMONTH(#REF!,-1)+1,BU44,"M"),$B$3:$AL$3,0)),0)</f>
        <v>0</v>
      </c>
      <c r="BV47" s="33">
        <f>IFERROR(INDEX($B$3:$AL$39,MATCH(#REF!,$B$3:$B$39,0),MATCH(DATEDIF(EOMONTH(#REF!,-1)+1,BV44,"M"),$B$3:$AL$3,0)),0)</f>
        <v>0</v>
      </c>
      <c r="BW47" s="33">
        <f>IFERROR(INDEX($B$3:$AL$39,MATCH(#REF!,$B$3:$B$39,0),MATCH(DATEDIF(EOMONTH(#REF!,-1)+1,BW44,"M"),$B$3:$AL$3,0)),0)</f>
        <v>0</v>
      </c>
      <c r="BX47" s="33">
        <f>IFERROR(INDEX($B$3:$AL$39,MATCH(#REF!,$B$3:$B$39,0),MATCH(DATEDIF(EOMONTH(#REF!,-1)+1,BX44,"M"),$B$3:$AL$3,0)),0)</f>
        <v>0</v>
      </c>
      <c r="BY47" s="33">
        <f>IFERROR(INDEX($B$3:$AL$39,MATCH(#REF!,$B$3:$B$39,0),MATCH(DATEDIF(EOMONTH(#REF!,-1)+1,BY44,"M"),$B$3:$AL$3,0)),0)</f>
        <v>0</v>
      </c>
      <c r="BZ47" s="33">
        <f>IFERROR(INDEX($B$3:$AL$39,MATCH(#REF!,$B$3:$B$39,0),MATCH(DATEDIF(EOMONTH(#REF!,-1)+1,BZ44,"M"),$B$3:$AL$3,0)),0)</f>
        <v>0</v>
      </c>
      <c r="CA47" s="33">
        <f>IFERROR(INDEX($B$3:$AL$39,MATCH(#REF!,$B$3:$B$39,0),MATCH(DATEDIF(EOMONTH(#REF!,-1)+1,CA44,"M"),$B$3:$AL$3,0)),0)</f>
        <v>0</v>
      </c>
      <c r="CB47" s="33">
        <f>IFERROR(INDEX($B$3:$AL$39,MATCH(#REF!,$B$3:$B$39,0),MATCH(DATEDIF(EOMONTH(#REF!,-1)+1,CB44,"M"),$B$3:$AL$3,0)),0)</f>
        <v>0</v>
      </c>
      <c r="CC47" s="33">
        <f>IFERROR(INDEX($B$3:$AL$39,MATCH(#REF!,$B$3:$B$39,0),MATCH(DATEDIF(EOMONTH(#REF!,-1)+1,CC44,"M"),$B$3:$AL$3,0)),0)</f>
        <v>0</v>
      </c>
      <c r="CD47" s="33">
        <f>IFERROR(INDEX($B$3:$AL$39,MATCH(#REF!,$B$3:$B$39,0),MATCH(DATEDIF(EOMONTH(#REF!,-1)+1,CD44,"M"),$B$3:$AL$3,0)),0)</f>
        <v>0</v>
      </c>
      <c r="CE47" s="33">
        <f>IFERROR(INDEX($B$3:$AL$39,MATCH(#REF!,$B$3:$B$39,0),MATCH(DATEDIF(EOMONTH(#REF!,-1)+1,CE44,"M"),$B$3:$AL$3,0)),0)</f>
        <v>0</v>
      </c>
      <c r="CF47" s="33">
        <f>IFERROR(INDEX($B$3:$AL$39,MATCH(#REF!,$B$3:$B$39,0),MATCH(DATEDIF(EOMONTH(#REF!,-1)+1,CF44,"M"),$B$3:$AL$3,0)),0)</f>
        <v>0</v>
      </c>
      <c r="CG47" s="33">
        <f>IFERROR(INDEX($B$3:$AL$39,MATCH(#REF!,$B$3:$B$39,0),MATCH(DATEDIF(EOMONTH(#REF!,-1)+1,CG44,"M"),$B$3:$AL$3,0)),0)</f>
        <v>0</v>
      </c>
      <c r="CH47" s="33">
        <f>IFERROR(INDEX($B$3:$AL$39,MATCH(#REF!,$B$3:$B$39,0),MATCH(DATEDIF(EOMONTH(#REF!,-1)+1,CH44,"M"),$B$3:$AL$3,0)),0)</f>
        <v>0</v>
      </c>
      <c r="CI47" s="33">
        <f>IFERROR(INDEX($B$3:$AL$39,MATCH(#REF!,$B$3:$B$39,0),MATCH(DATEDIF(EOMONTH(#REF!,-1)+1,CI44,"M"),$B$3:$AL$3,0)),0)</f>
        <v>0</v>
      </c>
      <c r="CJ47" s="33">
        <f>IFERROR(INDEX($B$3:$AL$39,MATCH(#REF!,$B$3:$B$39,0),MATCH(DATEDIF(EOMONTH(#REF!,-1)+1,CJ44,"M"),$B$3:$AL$3,0)),0)</f>
        <v>0</v>
      </c>
      <c r="CK47" s="33">
        <f>IFERROR(INDEX($B$3:$AL$39,MATCH(#REF!,$B$3:$B$39,0),MATCH(DATEDIF(EOMONTH(#REF!,-1)+1,CK44,"M"),$B$3:$AL$3,0)),0)</f>
        <v>0</v>
      </c>
      <c r="CL47" s="33">
        <f>IFERROR(INDEX($B$3:$AL$39,MATCH(#REF!,$B$3:$B$39,0),MATCH(DATEDIF(EOMONTH(#REF!,-1)+1,CL44,"M"),$B$3:$AL$3,0)),0)</f>
        <v>0</v>
      </c>
      <c r="CM47" s="33">
        <f>IFERROR(INDEX($B$3:$AL$39,MATCH(#REF!,$B$3:$B$39,0),MATCH(DATEDIF(EOMONTH(#REF!,-1)+1,CM44,"M"),$B$3:$AL$3,0)),0)</f>
        <v>0</v>
      </c>
      <c r="CN47" s="33">
        <f>IFERROR(INDEX($B$3:$AL$39,MATCH(#REF!,$B$3:$B$39,0),MATCH(DATEDIF(EOMONTH(#REF!,-1)+1,CN44,"M"),$B$3:$AL$3,0)),0)</f>
        <v>0</v>
      </c>
      <c r="CO47" s="33">
        <f>IFERROR(INDEX($B$3:$AL$39,MATCH(#REF!,$B$3:$B$39,0),MATCH(DATEDIF(EOMONTH(#REF!,-1)+1,CO44,"M"),$B$3:$AL$3,0)),0)</f>
        <v>0</v>
      </c>
      <c r="CP47" s="33">
        <f>IFERROR(INDEX($B$3:$AL$39,MATCH(#REF!,$B$3:$B$39,0),MATCH(DATEDIF(EOMONTH(#REF!,-1)+1,CP44,"M"),$B$3:$AL$3,0)),0)</f>
        <v>0</v>
      </c>
      <c r="CQ47" s="33">
        <f>IFERROR(INDEX($B$3:$AL$39,MATCH(#REF!,$B$3:$B$39,0),MATCH(DATEDIF(EOMONTH(#REF!,-1)+1,CQ44,"M"),$B$3:$AL$3,0)),0)</f>
        <v>0</v>
      </c>
      <c r="CR47" s="33">
        <f>IFERROR(INDEX($B$3:$AL$39,MATCH(#REF!,$B$3:$B$39,0),MATCH(DATEDIF(EOMONTH(#REF!,-1)+1,CR44,"M"),$B$3:$AL$3,0)),0)</f>
        <v>0</v>
      </c>
      <c r="CS47" s="33">
        <f>IFERROR(INDEX($B$3:$AL$39,MATCH(#REF!,$B$3:$B$39,0),MATCH(DATEDIF(EOMONTH(#REF!,-1)+1,CS44,"M"),$B$3:$AL$3,0)),0)</f>
        <v>0</v>
      </c>
      <c r="CT47" s="33">
        <f>IFERROR(INDEX($B$3:$AL$39,MATCH(#REF!,$B$3:$B$39,0),MATCH(DATEDIF(EOMONTH(#REF!,-1)+1,CT44,"M"),$B$3:$AL$3,0)),0)</f>
        <v>0</v>
      </c>
      <c r="CU47" s="33">
        <f>IFERROR(INDEX($B$3:$AL$39,MATCH(#REF!,$B$3:$B$39,0),MATCH(DATEDIF(EOMONTH(#REF!,-1)+1,CU44,"M"),$B$3:$AL$3,0)),0)</f>
        <v>0</v>
      </c>
      <c r="CV47" s="33">
        <f>IFERROR(INDEX($B$3:$AL$39,MATCH(#REF!,$B$3:$B$39,0),MATCH(DATEDIF(EOMONTH(#REF!,-1)+1,CV44,"M"),$B$3:$AL$3,0)),0)</f>
        <v>0</v>
      </c>
      <c r="CW47" s="33">
        <f>IFERROR(INDEX($B$3:$AL$39,MATCH(#REF!,$B$3:$B$39,0),MATCH(DATEDIF(EOMONTH(#REF!,-1)+1,CW44,"M"),$B$3:$AL$3,0)),0)</f>
        <v>0</v>
      </c>
      <c r="CX47" s="33">
        <f>IFERROR(INDEX($B$3:$AL$39,MATCH(#REF!,$B$3:$B$39,0),MATCH(DATEDIF(EOMONTH(#REF!,-1)+1,CX44,"M"),$B$3:$AL$3,0)),0)</f>
        <v>0</v>
      </c>
      <c r="CY47" s="33">
        <f>IFERROR(INDEX($B$3:$AL$39,MATCH(#REF!,$B$3:$B$39,0),MATCH(DATEDIF(EOMONTH(#REF!,-1)+1,CY44,"M"),$B$3:$AL$3,0)),0)</f>
        <v>0</v>
      </c>
      <c r="CZ47" s="33">
        <f>IFERROR(INDEX($B$3:$AL$39,MATCH(#REF!,$B$3:$B$39,0),MATCH(DATEDIF(EOMONTH(#REF!,-1)+1,CZ44,"M"),$B$3:$AL$3,0)),0)</f>
        <v>0</v>
      </c>
      <c r="DA47" s="33">
        <f>IFERROR(INDEX($B$3:$AL$39,MATCH(#REF!,$B$3:$B$39,0),MATCH(DATEDIF(EOMONTH(#REF!,-1)+1,DA44,"M"),$B$3:$AL$3,0)),0)</f>
        <v>0</v>
      </c>
      <c r="DB47" s="33">
        <f>IFERROR(INDEX($B$3:$AL$39,MATCH(#REF!,$B$3:$B$39,0),MATCH(DATEDIF(EOMONTH(#REF!,-1)+1,DB44,"M"),$B$3:$AL$3,0)),0)</f>
        <v>0</v>
      </c>
      <c r="DC47" s="33">
        <f>IFERROR(INDEX($B$3:$AL$39,MATCH(#REF!,$B$3:$B$39,0),MATCH(DATEDIF(EOMONTH(#REF!,-1)+1,DC44,"M"),$B$3:$AL$3,0)),0)</f>
        <v>0</v>
      </c>
      <c r="DD47" s="33">
        <f>IFERROR(INDEX($B$3:$AL$39,MATCH(#REF!,$B$3:$B$39,0),MATCH(DATEDIF(EOMONTH(#REF!,-1)+1,DD44,"M"),$B$3:$AL$3,0)),0)</f>
        <v>0</v>
      </c>
      <c r="DE47" s="33">
        <f>IFERROR(INDEX($B$3:$AL$39,MATCH(#REF!,$B$3:$B$39,0),MATCH(DATEDIF(EOMONTH(#REF!,-1)+1,DE44,"M"),$B$3:$AL$3,0)),0)</f>
        <v>0</v>
      </c>
      <c r="DF47" s="33">
        <f>IFERROR(INDEX($B$3:$AL$39,MATCH(#REF!,$B$3:$B$39,0),MATCH(DATEDIF(EOMONTH(#REF!,-1)+1,DF44,"M"),$B$3:$AL$3,0)),0)</f>
        <v>0</v>
      </c>
      <c r="DG47" s="33">
        <f>IFERROR(INDEX($B$3:$AL$39,MATCH(#REF!,$B$3:$B$39,0),MATCH(DATEDIF(EOMONTH(#REF!,-1)+1,DG44,"M"),$B$3:$AL$3,0)),0)</f>
        <v>0</v>
      </c>
      <c r="DH47" s="33">
        <f>IFERROR(INDEX($B$3:$AL$39,MATCH(#REF!,$B$3:$B$39,0),MATCH(DATEDIF(EOMONTH(#REF!,-1)+1,DH44,"M"),$B$3:$AL$3,0)),0)</f>
        <v>0</v>
      </c>
      <c r="DI47" s="33">
        <f>IFERROR(INDEX($B$3:$AL$39,MATCH(#REF!,$B$3:$B$39,0),MATCH(DATEDIF(EOMONTH(#REF!,-1)+1,DI44,"M"),$B$3:$AL$3,0)),0)</f>
        <v>0</v>
      </c>
      <c r="DJ47" s="33">
        <f>IFERROR(INDEX($B$3:$AL$39,MATCH(#REF!,$B$3:$B$39,0),MATCH(DATEDIF(EOMONTH(#REF!,-1)+1,DJ44,"M"),$B$3:$AL$3,0)),0)</f>
        <v>0</v>
      </c>
      <c r="DK47" s="33">
        <f>IFERROR(INDEX($B$3:$AL$39,MATCH(#REF!,$B$3:$B$39,0),MATCH(DATEDIF(EOMONTH(#REF!,-1)+1,DK44,"M"),$B$3:$AL$3,0)),0)</f>
        <v>0</v>
      </c>
      <c r="DL47" s="33">
        <f>IFERROR(INDEX($B$3:$AL$39,MATCH(#REF!,$B$3:$B$39,0),MATCH(DATEDIF(EOMONTH(#REF!,-1)+1,DL44,"M"),$B$3:$AL$3,0)),0)</f>
        <v>0</v>
      </c>
      <c r="DM47" s="33">
        <f>IFERROR(INDEX($B$3:$AL$39,MATCH(#REF!,$B$3:$B$39,0),MATCH(DATEDIF(EOMONTH(#REF!,-1)+1,DM44,"M"),$B$3:$AL$3,0)),0)</f>
        <v>0</v>
      </c>
      <c r="DN47" s="33">
        <f>IFERROR(INDEX($B$3:$AL$39,MATCH(#REF!,$B$3:$B$39,0),MATCH(DATEDIF(EOMONTH(#REF!,-1)+1,DN44,"M"),$B$3:$AL$3,0)),0)</f>
        <v>0</v>
      </c>
      <c r="DO47" s="33">
        <f>IFERROR(INDEX($B$3:$AL$39,MATCH(#REF!,$B$3:$B$39,0),MATCH(DATEDIF(EOMONTH(#REF!,-1)+1,DO44,"M"),$B$3:$AL$3,0)),0)</f>
        <v>0</v>
      </c>
      <c r="DP47" s="33">
        <f>IFERROR(INDEX($B$3:$AL$39,MATCH(#REF!,$B$3:$B$39,0),MATCH(DATEDIF(EOMONTH(#REF!,-1)+1,DP44,"M"),$B$3:$AL$3,0)),0)</f>
        <v>0</v>
      </c>
      <c r="DQ47" s="33">
        <f>IFERROR(INDEX($B$3:$AL$39,MATCH(#REF!,$B$3:$B$39,0),MATCH(DATEDIF(EOMONTH(#REF!,-1)+1,DQ44,"M"),$B$3:$AL$3,0)),0)</f>
        <v>0</v>
      </c>
      <c r="DR47" s="33">
        <f>IFERROR(INDEX($B$3:$AL$39,MATCH(#REF!,$B$3:$B$39,0),MATCH(DATEDIF(EOMONTH(#REF!,-1)+1,DR44,"M"),$B$3:$AL$3,0)),0)</f>
        <v>0</v>
      </c>
      <c r="DS47" s="33">
        <f>IFERROR(INDEX($B$3:$AL$39,MATCH(#REF!,$B$3:$B$39,0),MATCH(DATEDIF(EOMONTH(#REF!,-1)+1,DS44,"M"),$B$3:$AL$3,0)),0)</f>
        <v>0</v>
      </c>
      <c r="DT47" s="33">
        <f>IFERROR(INDEX($B$3:$AL$39,MATCH(#REF!,$B$3:$B$39,0),MATCH(DATEDIF(EOMONTH(#REF!,-1)+1,DT44,"M"),$B$3:$AL$3,0)),0)</f>
        <v>0</v>
      </c>
      <c r="DU47" s="33">
        <f>IFERROR(INDEX($B$3:$AL$39,MATCH(#REF!,$B$3:$B$39,0),MATCH(DATEDIF(EOMONTH(#REF!,-1)+1,DU44,"M"),$B$3:$AL$3,0)),0)</f>
        <v>0</v>
      </c>
      <c r="DV47" s="33">
        <f>IFERROR(INDEX($B$3:$AL$39,MATCH(#REF!,$B$3:$B$39,0),MATCH(DATEDIF(EOMONTH(#REF!,-1)+1,DV44,"M"),$B$3:$AL$3,0)),0)</f>
        <v>0</v>
      </c>
      <c r="DW47" s="33">
        <f>IFERROR(INDEX($B$3:$AL$39,MATCH(#REF!,$B$3:$B$39,0),MATCH(DATEDIF(EOMONTH(#REF!,-1)+1,DW44,"M"),$B$3:$AL$3,0)),0)</f>
        <v>0</v>
      </c>
      <c r="DX47" s="33">
        <f>IFERROR(INDEX($B$3:$AL$39,MATCH(#REF!,$B$3:$B$39,0),MATCH(DATEDIF(EOMONTH(#REF!,-1)+1,DX44,"M"),$B$3:$AL$3,0)),0)</f>
        <v>0</v>
      </c>
      <c r="DY47" s="33">
        <f>IFERROR(INDEX($B$3:$AL$39,MATCH(#REF!,$B$3:$B$39,0),MATCH(DATEDIF(EOMONTH(#REF!,-1)+1,DY44,"M"),$B$3:$AL$3,0)),0)</f>
        <v>0</v>
      </c>
      <c r="DZ47" s="33">
        <f>IFERROR(INDEX($B$3:$AL$39,MATCH(#REF!,$B$3:$B$39,0),MATCH(DATEDIF(EOMONTH(#REF!,-1)+1,DZ44,"M"),$B$3:$AL$3,0)),0)</f>
        <v>0</v>
      </c>
      <c r="EA47" s="33">
        <f>IFERROR(INDEX($B$3:$AL$39,MATCH(#REF!,$B$3:$B$39,0),MATCH(DATEDIF(EOMONTH(#REF!,-1)+1,EA44,"M"),$B$3:$AL$3,0)),0)</f>
        <v>0</v>
      </c>
      <c r="EB47" s="33">
        <f>IFERROR(INDEX($B$3:$AL$39,MATCH(#REF!,$B$3:$B$39,0),MATCH(DATEDIF(EOMONTH(#REF!,-1)+1,EB44,"M"),$B$3:$AL$3,0)),0)</f>
        <v>0</v>
      </c>
      <c r="EC47" s="33">
        <f>IFERROR(INDEX($B$3:$AL$39,MATCH(#REF!,$B$3:$B$39,0),MATCH(DATEDIF(EOMONTH(#REF!,-1)+1,EC44,"M"),$B$3:$AL$3,0)),0)</f>
        <v>0</v>
      </c>
      <c r="ED47" s="33">
        <f>IFERROR(INDEX($B$3:$AL$39,MATCH(#REF!,$B$3:$B$39,0),MATCH(DATEDIF(EOMONTH(#REF!,-1)+1,ED44,"M"),$B$3:$AL$3,0)),0)</f>
        <v>0</v>
      </c>
      <c r="EE47" s="33">
        <f>IFERROR(INDEX($B$3:$AL$39,MATCH(#REF!,$B$3:$B$39,0),MATCH(DATEDIF(EOMONTH(#REF!,-1)+1,EE44,"M"),$B$3:$AL$3,0)),0)</f>
        <v>0</v>
      </c>
      <c r="EF47" s="33">
        <f>IFERROR(INDEX($B$3:$AL$39,MATCH(#REF!,$B$3:$B$39,0),MATCH(DATEDIF(EOMONTH(#REF!,-1)+1,EF44,"M"),$B$3:$AL$3,0)),0)</f>
        <v>0</v>
      </c>
      <c r="EG47" s="33">
        <f>IFERROR(INDEX($B$3:$AL$39,MATCH(#REF!,$B$3:$B$39,0),MATCH(DATEDIF(EOMONTH(#REF!,-1)+1,EG44,"M"),$B$3:$AL$3,0)),0)</f>
        <v>0</v>
      </c>
      <c r="EH47" s="33">
        <f>IFERROR(INDEX($B$3:$AL$39,MATCH(#REF!,$B$3:$B$39,0),MATCH(DATEDIF(EOMONTH(#REF!,-1)+1,EH44,"M"),$B$3:$AL$3,0)),0)</f>
        <v>0</v>
      </c>
      <c r="EI47" s="33">
        <f>IFERROR(INDEX($B$3:$AL$39,MATCH(#REF!,$B$3:$B$39,0),MATCH(DATEDIF(EOMONTH(#REF!,-1)+1,EI44,"M"),$B$3:$AL$3,0)),0)</f>
        <v>0</v>
      </c>
      <c r="EJ47" s="33">
        <f>IFERROR(INDEX($B$3:$AL$39,MATCH(#REF!,$B$3:$B$39,0),MATCH(DATEDIF(EOMONTH(#REF!,-1)+1,EJ44,"M"),$B$3:$AL$3,0)),0)</f>
        <v>0</v>
      </c>
      <c r="EK47" s="33">
        <f>IFERROR(INDEX($B$3:$AL$39,MATCH(#REF!,$B$3:$B$39,0),MATCH(DATEDIF(EOMONTH(#REF!,-1)+1,EK44,"M"),$B$3:$AL$3,0)),0)</f>
        <v>0</v>
      </c>
      <c r="EL47" s="33">
        <f>IFERROR(INDEX($B$3:$AL$39,MATCH(#REF!,$B$3:$B$39,0),MATCH(DATEDIF(EOMONTH(#REF!,-1)+1,EL44,"M"),$B$3:$AL$3,0)),0)</f>
        <v>0</v>
      </c>
      <c r="EM47" s="33">
        <f>IFERROR(INDEX($B$3:$AL$39,MATCH(#REF!,$B$3:$B$39,0),MATCH(DATEDIF(EOMONTH(#REF!,-1)+1,EM44,"M"),$B$3:$AL$3,0)),0)</f>
        <v>0</v>
      </c>
      <c r="EN47" s="33">
        <f>IFERROR(INDEX($B$3:$AL$39,MATCH(#REF!,$B$3:$B$39,0),MATCH(DATEDIF(EOMONTH(#REF!,-1)+1,EN44,"M"),$B$3:$AL$3,0)),0)</f>
        <v>0</v>
      </c>
      <c r="EO47" s="33">
        <f>IFERROR(INDEX($B$3:$AL$39,MATCH(#REF!,$B$3:$B$39,0),MATCH(DATEDIF(EOMONTH(#REF!,-1)+1,EO44,"M"),$B$3:$AL$3,0)),0)</f>
        <v>0</v>
      </c>
      <c r="EP47" s="33">
        <f>IFERROR(INDEX($B$3:$AL$39,MATCH(#REF!,$B$3:$B$39,0),MATCH(DATEDIF(EOMONTH(#REF!,-1)+1,EP44,"M"),$B$3:$AL$3,0)),0)</f>
        <v>0</v>
      </c>
      <c r="EQ47" s="33">
        <f>IFERROR(INDEX($B$3:$AL$39,MATCH(#REF!,$B$3:$B$39,0),MATCH(DATEDIF(EOMONTH(#REF!,-1)+1,EQ44,"M"),$B$3:$AL$3,0)),0)</f>
        <v>0</v>
      </c>
      <c r="ER47" s="33">
        <f>IFERROR(INDEX($B$3:$AL$39,MATCH(#REF!,$B$3:$B$39,0),MATCH(DATEDIF(EOMONTH(#REF!,-1)+1,ER44,"M"),$B$3:$AL$3,0)),0)</f>
        <v>0</v>
      </c>
      <c r="ES47" s="33">
        <f>IFERROR(INDEX($B$3:$AL$39,MATCH(#REF!,$B$3:$B$39,0),MATCH(DATEDIF(EOMONTH(#REF!,-1)+1,ES44,"M"),$B$3:$AL$3,0)),0)</f>
        <v>0</v>
      </c>
      <c r="ET47" s="33">
        <f>IFERROR(INDEX($B$3:$AL$39,MATCH(#REF!,$B$3:$B$39,0),MATCH(DATEDIF(EOMONTH(#REF!,-1)+1,ET44,"M"),$B$3:$AL$3,0)),0)</f>
        <v>0</v>
      </c>
      <c r="EU47" s="33">
        <f>IFERROR(INDEX($B$3:$AL$39,MATCH(#REF!,$B$3:$B$39,0),MATCH(DATEDIF(EOMONTH(#REF!,-1)+1,EU44,"M"),$B$3:$AL$3,0)),0)</f>
        <v>0</v>
      </c>
      <c r="EV47" s="33">
        <f>IFERROR(INDEX($B$3:$AL$39,MATCH(#REF!,$B$3:$B$39,0),MATCH(DATEDIF(EOMONTH(#REF!,-1)+1,EV44,"M"),$B$3:$AL$3,0)),0)</f>
        <v>0</v>
      </c>
      <c r="EW47" s="33">
        <f>IFERROR(INDEX($B$3:$AL$39,MATCH(#REF!,$B$3:$B$39,0),MATCH(DATEDIF(EOMONTH(#REF!,-1)+1,EW44,"M"),$B$3:$AL$3,0)),0)</f>
        <v>0</v>
      </c>
      <c r="EX47" s="33">
        <f>IFERROR(INDEX($B$3:$AL$39,MATCH(#REF!,$B$3:$B$39,0),MATCH(DATEDIF(EOMONTH(#REF!,-1)+1,EX44,"M"),$B$3:$AL$3,0)),0)</f>
        <v>0</v>
      </c>
      <c r="EY47" s="33">
        <f>IFERROR(INDEX($B$3:$AL$39,MATCH(#REF!,$B$3:$B$39,0),MATCH(DATEDIF(EOMONTH(#REF!,-1)+1,EY44,"M"),$B$3:$AL$3,0)),0)</f>
        <v>0</v>
      </c>
      <c r="EZ47" s="33">
        <f>IFERROR(INDEX($B$3:$AL$39,MATCH(#REF!,$B$3:$B$39,0),MATCH(DATEDIF(EOMONTH(#REF!,-1)+1,EZ44,"M"),$B$3:$AL$3,0)),0)</f>
        <v>0</v>
      </c>
      <c r="FA47" s="33">
        <f>IFERROR(INDEX($B$3:$AL$39,MATCH(#REF!,$B$3:$B$39,0),MATCH(DATEDIF(EOMONTH(#REF!,-1)+1,FA44,"M"),$B$3:$AL$3,0)),0)</f>
        <v>0</v>
      </c>
      <c r="FB47" s="33">
        <f>IFERROR(INDEX($B$3:$AL$39,MATCH(#REF!,$B$3:$B$39,0),MATCH(DATEDIF(EOMONTH(#REF!,-1)+1,FB44,"M"),$B$3:$AL$3,0)),0)</f>
        <v>0</v>
      </c>
      <c r="FC47" s="33">
        <f>IFERROR(INDEX($B$3:$AL$39,MATCH(#REF!,$B$3:$B$39,0),MATCH(DATEDIF(EOMONTH(#REF!,-1)+1,FC44,"M"),$B$3:$AL$3,0)),0)</f>
        <v>0</v>
      </c>
      <c r="FD47" s="33">
        <f>IFERROR(INDEX($B$3:$AL$39,MATCH(#REF!,$B$3:$B$39,0),MATCH(DATEDIF(EOMONTH(#REF!,-1)+1,FD44,"M"),$B$3:$AL$3,0)),0)</f>
        <v>0</v>
      </c>
      <c r="FE47" s="33">
        <f>IFERROR(INDEX($B$3:$AL$39,MATCH(#REF!,$B$3:$B$39,0),MATCH(DATEDIF(EOMONTH(#REF!,-1)+1,FE44,"M"),$B$3:$AL$3,0)),0)</f>
        <v>0</v>
      </c>
      <c r="FF47" s="33">
        <f>IFERROR(INDEX($B$3:$AL$39,MATCH(#REF!,$B$3:$B$39,0),MATCH(DATEDIF(EOMONTH(#REF!,-1)+1,FF44,"M"),$B$3:$AL$3,0)),0)</f>
        <v>0</v>
      </c>
      <c r="FG47" s="33">
        <f>IFERROR(INDEX($B$3:$AL$39,MATCH(#REF!,$B$3:$B$39,0),MATCH(DATEDIF(EOMONTH(#REF!,-1)+1,FG44,"M"),$B$3:$AL$3,0)),0)</f>
        <v>0</v>
      </c>
      <c r="FH47" s="33">
        <f>IFERROR(INDEX($B$3:$AL$39,MATCH(#REF!,$B$3:$B$39,0),MATCH(DATEDIF(EOMONTH(#REF!,-1)+1,FH44,"M"),$B$3:$AL$3,0)),0)</f>
        <v>0</v>
      </c>
      <c r="FI47" s="33">
        <f>IFERROR(INDEX($B$3:$AL$39,MATCH(#REF!,$B$3:$B$39,0),MATCH(DATEDIF(EOMONTH(#REF!,-1)+1,FI44,"M"),$B$3:$AL$3,0)),0)</f>
        <v>0</v>
      </c>
      <c r="FJ47" s="33">
        <f>IFERROR(INDEX($B$3:$AL$39,MATCH(#REF!,$B$3:$B$39,0),MATCH(DATEDIF(EOMONTH(#REF!,-1)+1,FJ44,"M"),$B$3:$AL$3,0)),0)</f>
        <v>0</v>
      </c>
      <c r="FK47" s="33">
        <f>IFERROR(INDEX($B$3:$AL$39,MATCH(#REF!,$B$3:$B$39,0),MATCH(DATEDIF(EOMONTH(#REF!,-1)+1,FK44,"M"),$B$3:$AL$3,0)),0)</f>
        <v>0</v>
      </c>
      <c r="FL47" s="33">
        <f>IFERROR(INDEX($B$3:$AL$39,MATCH(#REF!,$B$3:$B$39,0),MATCH(DATEDIF(EOMONTH(#REF!,-1)+1,FL44,"M"),$B$3:$AL$3,0)),0)</f>
        <v>0</v>
      </c>
      <c r="FM47" s="33">
        <f>IFERROR(INDEX($B$3:$AL$39,MATCH(#REF!,$B$3:$B$39,0),MATCH(DATEDIF(EOMONTH(#REF!,-1)+1,FM44,"M"),$B$3:$AL$3,0)),0)</f>
        <v>0</v>
      </c>
      <c r="FN47" s="33">
        <f>IFERROR(INDEX($B$3:$AL$39,MATCH(#REF!,$B$3:$B$39,0),MATCH(DATEDIF(EOMONTH(#REF!,-1)+1,FN44,"M"),$B$3:$AL$3,0)),0)</f>
        <v>0</v>
      </c>
      <c r="FO47" s="33">
        <f>IFERROR(INDEX($B$3:$AL$39,MATCH(#REF!,$B$3:$B$39,0),MATCH(DATEDIF(EOMONTH(#REF!,-1)+1,FO44,"M"),$B$3:$AL$3,0)),0)</f>
        <v>0</v>
      </c>
      <c r="FP47" s="33">
        <f>IFERROR(INDEX($B$3:$AL$39,MATCH(#REF!,$B$3:$B$39,0),MATCH(DATEDIF(EOMONTH(#REF!,-1)+1,FP44,"M"),$B$3:$AL$3,0)),0)</f>
        <v>0</v>
      </c>
      <c r="FQ47" s="33">
        <f>IFERROR(INDEX($B$3:$AL$39,MATCH(#REF!,$B$3:$B$39,0),MATCH(DATEDIF(EOMONTH(#REF!,-1)+1,FQ44,"M"),$B$3:$AL$3,0)),0)</f>
        <v>0</v>
      </c>
      <c r="FR47" s="33">
        <f>IFERROR(INDEX($B$3:$AL$39,MATCH(#REF!,$B$3:$B$39,0),MATCH(DATEDIF(EOMONTH(#REF!,-1)+1,FR44,"M"),$B$3:$AL$3,0)),0)</f>
        <v>0</v>
      </c>
      <c r="FS47" s="33">
        <f>IFERROR(INDEX($B$3:$AL$39,MATCH(#REF!,$B$3:$B$39,0),MATCH(DATEDIF(EOMONTH(#REF!,-1)+1,FS44,"M"),$B$3:$AL$3,0)),0)</f>
        <v>0</v>
      </c>
      <c r="FT47" s="33">
        <f>IFERROR(INDEX($B$3:$AL$39,MATCH(#REF!,$B$3:$B$39,0),MATCH(DATEDIF(EOMONTH(#REF!,-1)+1,FT44,"M"),$B$3:$AL$3,0)),0)</f>
        <v>0</v>
      </c>
      <c r="FU47" s="33">
        <f>IFERROR(INDEX($B$3:$AL$39,MATCH(#REF!,$B$3:$B$39,0),MATCH(DATEDIF(EOMONTH(#REF!,-1)+1,FU44,"M"),$B$3:$AL$3,0)),0)</f>
        <v>0</v>
      </c>
      <c r="FV47" s="33">
        <f>IFERROR(INDEX($B$3:$AL$39,MATCH(#REF!,$B$3:$B$39,0),MATCH(DATEDIF(EOMONTH(#REF!,-1)+1,FV44,"M"),$B$3:$AL$3,0)),0)</f>
        <v>0</v>
      </c>
      <c r="FW47" s="33">
        <f>IFERROR(INDEX($B$3:$AL$39,MATCH(#REF!,$B$3:$B$39,0),MATCH(DATEDIF(EOMONTH(#REF!,-1)+1,FW44,"M"),$B$3:$AL$3,0)),0)</f>
        <v>0</v>
      </c>
      <c r="FX47" s="33">
        <f>IFERROR(INDEX($B$3:$AL$39,MATCH(#REF!,$B$3:$B$39,0),MATCH(DATEDIF(EOMONTH(#REF!,-1)+1,FX44,"M"),$B$3:$AL$3,0)),0)</f>
        <v>0</v>
      </c>
      <c r="FY47" s="33">
        <f>IFERROR(INDEX($B$3:$AL$39,MATCH(#REF!,$B$3:$B$39,0),MATCH(DATEDIF(EOMONTH(#REF!,-1)+1,FY44,"M"),$B$3:$AL$3,0)),0)</f>
        <v>0</v>
      </c>
      <c r="FZ47" s="33">
        <f>IFERROR(INDEX($B$3:$AL$39,MATCH(#REF!,$B$3:$B$39,0),MATCH(DATEDIF(EOMONTH(#REF!,-1)+1,FZ44,"M"),$B$3:$AL$3,0)),0)</f>
        <v>0</v>
      </c>
      <c r="GA47" s="33">
        <f>IFERROR(INDEX($B$3:$AL$39,MATCH(#REF!,$B$3:$B$39,0),MATCH(DATEDIF(EOMONTH(#REF!,-1)+1,GA44,"M"),$B$3:$AL$3,0)),0)</f>
        <v>0</v>
      </c>
      <c r="GB47" s="33">
        <f>IFERROR(INDEX($B$3:$AL$39,MATCH(#REF!,$B$3:$B$39,0),MATCH(DATEDIF(EOMONTH(#REF!,-1)+1,GB44,"M"),$B$3:$AL$3,0)),0)</f>
        <v>0</v>
      </c>
      <c r="GC47" s="33">
        <f>IFERROR(INDEX($B$3:$AL$39,MATCH(#REF!,$B$3:$B$39,0),MATCH(DATEDIF(EOMONTH(#REF!,-1)+1,GC44,"M"),$B$3:$AL$3,0)),0)</f>
        <v>0</v>
      </c>
      <c r="GD47" s="33">
        <f>IFERROR(INDEX($B$3:$AL$39,MATCH(#REF!,$B$3:$B$39,0),MATCH(DATEDIF(EOMONTH(#REF!,-1)+1,GD44,"M"),$B$3:$AL$3,0)),0)</f>
        <v>0</v>
      </c>
      <c r="GE47" s="33">
        <f>IFERROR(INDEX($B$3:$AL$39,MATCH(#REF!,$B$3:$B$39,0),MATCH(DATEDIF(EOMONTH(#REF!,-1)+1,GE44,"M"),$B$3:$AL$3,0)),0)</f>
        <v>0</v>
      </c>
      <c r="GF47" s="33">
        <f>IFERROR(INDEX($B$3:$AL$39,MATCH(#REF!,$B$3:$B$39,0),MATCH(DATEDIF(EOMONTH(#REF!,-1)+1,GF44,"M"),$B$3:$AL$3,0)),0)</f>
        <v>0</v>
      </c>
      <c r="GG47" s="33">
        <f>IFERROR(INDEX($B$3:$AL$39,MATCH(#REF!,$B$3:$B$39,0),MATCH(DATEDIF(EOMONTH(#REF!,-1)+1,GG44,"M"),$B$3:$AL$3,0)),0)</f>
        <v>0</v>
      </c>
      <c r="GH47" s="33">
        <f>IFERROR(INDEX($B$3:$AL$39,MATCH(#REF!,$B$3:$B$39,0),MATCH(DATEDIF(EOMONTH(#REF!,-1)+1,GH44,"M"),$B$3:$AL$3,0)),0)</f>
        <v>0</v>
      </c>
      <c r="GI47" s="33">
        <f>IFERROR(INDEX($B$3:$AL$39,MATCH(#REF!,$B$3:$B$39,0),MATCH(DATEDIF(EOMONTH(#REF!,-1)+1,GI44,"M"),$B$3:$AL$3,0)),0)</f>
        <v>0</v>
      </c>
      <c r="GJ47" s="33">
        <f>IFERROR(INDEX($B$3:$AL$39,MATCH(#REF!,$B$3:$B$39,0),MATCH(DATEDIF(EOMONTH(#REF!,-1)+1,GJ44,"M"),$B$3:$AL$3,0)),0)</f>
        <v>0</v>
      </c>
      <c r="GK47" s="33">
        <f>IFERROR(INDEX($B$3:$AL$39,MATCH(#REF!,$B$3:$B$39,0),MATCH(DATEDIF(EOMONTH(#REF!,-1)+1,GK44,"M"),$B$3:$AL$3,0)),0)</f>
        <v>0</v>
      </c>
      <c r="GL47" s="33">
        <f>IFERROR(INDEX($B$3:$AL$39,MATCH(#REF!,$B$3:$B$39,0),MATCH(DATEDIF(EOMONTH(#REF!,-1)+1,GL44,"M"),$B$3:$AL$3,0)),0)</f>
        <v>0</v>
      </c>
      <c r="GM47" s="34">
        <f>IFERROR(INDEX($B$3:$AL$39,MATCH(#REF!,$B$3:$B$39,0),MATCH(DATEDIF(EOMONTH(#REF!,-1)+1,GM44,"M"),$B$3:$AL$3,0)),0)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Underwriting</vt:lpstr>
      <vt:lpstr>Other Inputs&gt;&gt;</vt:lpstr>
      <vt:lpstr>Pro Forma Template</vt:lpstr>
      <vt:lpstr>SOFR</vt:lpstr>
      <vt:lpstr>Exclude -&gt;</vt:lpstr>
      <vt:lpstr>Cost Curve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McCarthy</dc:creator>
  <cp:keywords/>
  <dc:description/>
  <cp:lastModifiedBy>Leila Collins (Helmy)</cp:lastModifiedBy>
  <cp:revision/>
  <cp:lastPrinted>2023-06-26T19:01:34Z</cp:lastPrinted>
  <dcterms:created xsi:type="dcterms:W3CDTF">2020-02-07T06:57:41Z</dcterms:created>
  <dcterms:modified xsi:type="dcterms:W3CDTF">2026-03-06T21:54:50Z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13" linkTarget="Prop_13">
    <vt:lpwstr>#REF!</vt:lpwstr>
  </property>
  <property fmtid="{D5CDD505-2E9C-101B-9397-08002B2CF9AE}" pid="3" name="Acq_Cost" linkTarget="Prop_Acq_Cost">
    <vt:lpwstr>#REF!</vt:lpwstr>
  </property>
</Properties>
</file>